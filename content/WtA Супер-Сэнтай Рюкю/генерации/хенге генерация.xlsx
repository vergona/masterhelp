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sidian Circe\Rolling Vault\World of Darkness\WtA Супер-Сэнтай Рюкю\генерации\"/>
    </mc:Choice>
  </mc:AlternateContent>
  <xr:revisionPtr revIDLastSave="0" documentId="13_ncr:1_{FCFBEF83-4058-465F-9E43-7614568883DD}" xr6:coauthVersionLast="47" xr6:coauthVersionMax="47" xr10:uidLastSave="{00000000-0000-0000-0000-000000000000}"/>
  <bookViews>
    <workbookView xWindow="-118" yWindow="-118" windowWidth="25370" windowHeight="13759" xr2:uid="{73626943-CDD2-4604-8B23-0C6F1A407ED4}"/>
  </bookViews>
  <sheets>
    <sheet name="ТИГР ОПЫТ" sheetId="5" r:id="rId1"/>
    <sheet name="ТИГР СТАРТ" sheetId="4" r:id="rId2"/>
    <sheet name="почеты" sheetId="3" r:id="rId3"/>
    <sheet name="кинн" sheetId="2" r:id="rId4"/>
    <sheet name="сводная" sheetId="1" r:id="rId5"/>
  </sheets>
  <definedNames>
    <definedName name="_xlnm._FilterDatabase" localSheetId="3" hidden="1">кинн!$A$1:$L$19</definedName>
    <definedName name="_xlnm._FilterDatabase" localSheetId="2" hidden="1">почеты!$A$1:$H$4</definedName>
    <definedName name="_xlnm._FilterDatabase" localSheetId="4" hidden="1">сводная!$A$18:$K$67</definedName>
    <definedName name="_xlnm._FilterDatabase" localSheetId="0" hidden="1">'ТИГР ОПЫТ'!$G$20:$S$20</definedName>
    <definedName name="_xlnm._FilterDatabase" localSheetId="1" hidden="1">'ТИГР СТАРТ'!$G$20:$S$20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4" i="5" l="1"/>
  <c r="Z33" i="5"/>
  <c r="Z32" i="5"/>
  <c r="Z31" i="5"/>
  <c r="Z30" i="5"/>
  <c r="Z29" i="5"/>
  <c r="Z28" i="5"/>
  <c r="Z27" i="5"/>
  <c r="Z26" i="5"/>
  <c r="Z25" i="5"/>
  <c r="Z23" i="5"/>
  <c r="Z22" i="5"/>
  <c r="Z21" i="5"/>
  <c r="Z20" i="5"/>
  <c r="Z19" i="5"/>
  <c r="Z18" i="5"/>
  <c r="Z17" i="5"/>
  <c r="Z16" i="5"/>
  <c r="Z15" i="5"/>
  <c r="Z14" i="5"/>
  <c r="Z4" i="5"/>
  <c r="Z5" i="5"/>
  <c r="Z6" i="5"/>
  <c r="Z7" i="5"/>
  <c r="Z8" i="5"/>
  <c r="Z9" i="5"/>
  <c r="Z10" i="5"/>
  <c r="Z11" i="5"/>
  <c r="Z12" i="5"/>
  <c r="Z3" i="5"/>
  <c r="J17" i="5"/>
  <c r="J16" i="5"/>
  <c r="J15" i="5"/>
  <c r="J13" i="5"/>
  <c r="J12" i="5"/>
  <c r="J11" i="5"/>
  <c r="J9" i="5"/>
  <c r="J8" i="5"/>
  <c r="J7" i="5"/>
  <c r="J4" i="5"/>
  <c r="J5" i="5"/>
  <c r="J3" i="5"/>
  <c r="H56" i="5" l="1"/>
  <c r="L56" i="5" s="1"/>
  <c r="H55" i="5"/>
  <c r="I55" i="5" s="1"/>
  <c r="J54" i="5"/>
  <c r="H54" i="5"/>
  <c r="L54" i="5" s="1"/>
  <c r="I52" i="5"/>
  <c r="H52" i="5"/>
  <c r="O52" i="5" s="1"/>
  <c r="H51" i="5"/>
  <c r="J51" i="5" s="1"/>
  <c r="H50" i="5"/>
  <c r="L50" i="5" s="1"/>
  <c r="J48" i="5"/>
  <c r="H48" i="5"/>
  <c r="L48" i="5" s="1"/>
  <c r="J47" i="5"/>
  <c r="H47" i="5"/>
  <c r="I47" i="5" s="1"/>
  <c r="L46" i="5"/>
  <c r="H46" i="5"/>
  <c r="K46" i="5" s="1"/>
  <c r="AA34" i="5"/>
  <c r="X34" i="5"/>
  <c r="Y34" i="5" s="1"/>
  <c r="AA33" i="5"/>
  <c r="X33" i="5"/>
  <c r="Y33" i="5" s="1"/>
  <c r="AA32" i="5"/>
  <c r="X32" i="5"/>
  <c r="Y32" i="5" s="1"/>
  <c r="AA31" i="5"/>
  <c r="X31" i="5"/>
  <c r="Y31" i="5" s="1"/>
  <c r="AA30" i="5"/>
  <c r="X30" i="5"/>
  <c r="Y30" i="5" s="1"/>
  <c r="AA29" i="5"/>
  <c r="X29" i="5"/>
  <c r="Y29" i="5" s="1"/>
  <c r="AA28" i="5"/>
  <c r="X28" i="5"/>
  <c r="Y28" i="5" s="1"/>
  <c r="AA27" i="5"/>
  <c r="X27" i="5"/>
  <c r="Y27" i="5" s="1"/>
  <c r="AA26" i="5"/>
  <c r="X26" i="5"/>
  <c r="Y26" i="5" s="1"/>
  <c r="AA25" i="5"/>
  <c r="Y25" i="5"/>
  <c r="X25" i="5"/>
  <c r="AB24" i="5"/>
  <c r="I24" i="5"/>
  <c r="H24" i="5"/>
  <c r="AA23" i="5"/>
  <c r="X23" i="5"/>
  <c r="Y23" i="5" s="1"/>
  <c r="H23" i="5"/>
  <c r="I23" i="5" s="1"/>
  <c r="AA22" i="5"/>
  <c r="Y22" i="5"/>
  <c r="X22" i="5"/>
  <c r="H22" i="5"/>
  <c r="I22" i="5" s="1"/>
  <c r="AA21" i="5"/>
  <c r="X21" i="5"/>
  <c r="Y21" i="5" s="1"/>
  <c r="H21" i="5"/>
  <c r="I21" i="5" s="1"/>
  <c r="AA20" i="5"/>
  <c r="Y20" i="5"/>
  <c r="X20" i="5"/>
  <c r="H20" i="5"/>
  <c r="I20" i="5" s="1"/>
  <c r="C20" i="5"/>
  <c r="AA19" i="5"/>
  <c r="X19" i="5"/>
  <c r="Y19" i="5" s="1"/>
  <c r="I19" i="5"/>
  <c r="H19" i="5"/>
  <c r="AA18" i="5"/>
  <c r="X18" i="5"/>
  <c r="Y18" i="5" s="1"/>
  <c r="L18" i="5"/>
  <c r="AA17" i="5"/>
  <c r="X17" i="5"/>
  <c r="Y17" i="5" s="1"/>
  <c r="H17" i="5"/>
  <c r="I17" i="5" s="1"/>
  <c r="K17" i="5" s="1"/>
  <c r="D17" i="5"/>
  <c r="C17" i="5"/>
  <c r="AX16" i="5"/>
  <c r="AU16" i="5"/>
  <c r="AA16" i="5"/>
  <c r="X16" i="5"/>
  <c r="Y16" i="5" s="1"/>
  <c r="H16" i="5"/>
  <c r="I16" i="5" s="1"/>
  <c r="K16" i="5" s="1"/>
  <c r="AX15" i="5"/>
  <c r="AU15" i="5"/>
  <c r="AA15" i="5"/>
  <c r="X15" i="5"/>
  <c r="Y15" i="5" s="1"/>
  <c r="H15" i="5"/>
  <c r="I15" i="5" s="1"/>
  <c r="K15" i="5" s="1"/>
  <c r="D15" i="5"/>
  <c r="C15" i="5"/>
  <c r="AX14" i="5"/>
  <c r="AU14" i="5"/>
  <c r="AA14" i="5"/>
  <c r="Y14" i="5"/>
  <c r="X14" i="5"/>
  <c r="D14" i="5"/>
  <c r="C14" i="5"/>
  <c r="AX13" i="5"/>
  <c r="AU13" i="5"/>
  <c r="AB13" i="5"/>
  <c r="H13" i="5"/>
  <c r="I13" i="5" s="1"/>
  <c r="K13" i="5" s="1"/>
  <c r="AX12" i="5"/>
  <c r="AU12" i="5"/>
  <c r="AA12" i="5"/>
  <c r="Y12" i="5"/>
  <c r="X12" i="5"/>
  <c r="I12" i="5"/>
  <c r="K12" i="5" s="1"/>
  <c r="H12" i="5"/>
  <c r="AX11" i="5"/>
  <c r="AU11" i="5"/>
  <c r="AA11" i="5"/>
  <c r="X11" i="5"/>
  <c r="Y11" i="5" s="1"/>
  <c r="K11" i="5"/>
  <c r="I11" i="5"/>
  <c r="H11" i="5"/>
  <c r="AX10" i="5"/>
  <c r="AU10" i="5"/>
  <c r="AA10" i="5"/>
  <c r="X10" i="5"/>
  <c r="Y10" i="5" s="1"/>
  <c r="M10" i="5"/>
  <c r="L10" i="5"/>
  <c r="AX9" i="5"/>
  <c r="AU9" i="5"/>
  <c r="AA9" i="5"/>
  <c r="Y9" i="5"/>
  <c r="X9" i="5"/>
  <c r="I9" i="5"/>
  <c r="K9" i="5" s="1"/>
  <c r="H9" i="5"/>
  <c r="AX8" i="5"/>
  <c r="AU8" i="5"/>
  <c r="AA8" i="5"/>
  <c r="Y8" i="5"/>
  <c r="X8" i="5"/>
  <c r="I8" i="5"/>
  <c r="K8" i="5" s="1"/>
  <c r="H8" i="5"/>
  <c r="AX7" i="5"/>
  <c r="AU7" i="5"/>
  <c r="AA7" i="5"/>
  <c r="X7" i="5"/>
  <c r="Y7" i="5" s="1"/>
  <c r="I7" i="5"/>
  <c r="K7" i="5" s="1"/>
  <c r="H7" i="5"/>
  <c r="AX6" i="5"/>
  <c r="AU6" i="5"/>
  <c r="AA6" i="5"/>
  <c r="X6" i="5"/>
  <c r="Y6" i="5" s="1"/>
  <c r="M6" i="5"/>
  <c r="L6" i="5"/>
  <c r="AX5" i="5"/>
  <c r="AU5" i="5"/>
  <c r="AA5" i="5"/>
  <c r="X5" i="5"/>
  <c r="Y5" i="5" s="1"/>
  <c r="H5" i="5"/>
  <c r="I5" i="5" s="1"/>
  <c r="K5" i="5" s="1"/>
  <c r="AX4" i="5"/>
  <c r="AU4" i="5"/>
  <c r="AA4" i="5"/>
  <c r="Y4" i="5"/>
  <c r="X4" i="5"/>
  <c r="H4" i="5"/>
  <c r="I4" i="5" s="1"/>
  <c r="K4" i="5" s="1"/>
  <c r="AX3" i="5"/>
  <c r="AU3" i="5"/>
  <c r="AA3" i="5"/>
  <c r="Y3" i="5"/>
  <c r="X3" i="5"/>
  <c r="H3" i="5"/>
  <c r="I3" i="5" s="1"/>
  <c r="K3" i="5" s="1"/>
  <c r="AU2" i="5"/>
  <c r="AB2" i="5"/>
  <c r="M2" i="5"/>
  <c r="C12" i="5" s="1"/>
  <c r="L2" i="5"/>
  <c r="H56" i="4"/>
  <c r="L56" i="4" s="1"/>
  <c r="H55" i="4"/>
  <c r="I55" i="4" s="1"/>
  <c r="J54" i="4"/>
  <c r="H54" i="4"/>
  <c r="L54" i="4" s="1"/>
  <c r="L52" i="4"/>
  <c r="I52" i="4"/>
  <c r="H52" i="4"/>
  <c r="O52" i="4" s="1"/>
  <c r="L51" i="4"/>
  <c r="I51" i="4"/>
  <c r="H51" i="4"/>
  <c r="J51" i="4" s="1"/>
  <c r="K50" i="4"/>
  <c r="J50" i="4"/>
  <c r="I50" i="4"/>
  <c r="H50" i="4"/>
  <c r="L50" i="4" s="1"/>
  <c r="H48" i="4"/>
  <c r="L48" i="4" s="1"/>
  <c r="H47" i="4"/>
  <c r="I47" i="4" s="1"/>
  <c r="J46" i="4"/>
  <c r="H46" i="4"/>
  <c r="L46" i="4" s="1"/>
  <c r="AA34" i="4"/>
  <c r="X34" i="4"/>
  <c r="Y34" i="4" s="1"/>
  <c r="AA33" i="4"/>
  <c r="X33" i="4"/>
  <c r="Y33" i="4" s="1"/>
  <c r="AA32" i="4"/>
  <c r="X32" i="4"/>
  <c r="Y32" i="4" s="1"/>
  <c r="AA31" i="4"/>
  <c r="X31" i="4"/>
  <c r="Y31" i="4" s="1"/>
  <c r="AA30" i="4"/>
  <c r="Y30" i="4"/>
  <c r="X30" i="4"/>
  <c r="AA29" i="4"/>
  <c r="Y29" i="4"/>
  <c r="X29" i="4"/>
  <c r="AA28" i="4"/>
  <c r="Y28" i="4"/>
  <c r="X28" i="4"/>
  <c r="AA27" i="4"/>
  <c r="Y27" i="4"/>
  <c r="X27" i="4"/>
  <c r="AA26" i="4"/>
  <c r="X26" i="4"/>
  <c r="Y26" i="4" s="1"/>
  <c r="AA25" i="4"/>
  <c r="AA24" i="4" s="1"/>
  <c r="X25" i="4"/>
  <c r="Y25" i="4" s="1"/>
  <c r="AB24" i="4"/>
  <c r="I24" i="4"/>
  <c r="H24" i="4"/>
  <c r="AA23" i="4"/>
  <c r="Y23" i="4"/>
  <c r="X23" i="4"/>
  <c r="I23" i="4"/>
  <c r="H23" i="4"/>
  <c r="AA22" i="4"/>
  <c r="Y22" i="4"/>
  <c r="X22" i="4"/>
  <c r="H22" i="4"/>
  <c r="I22" i="4" s="1"/>
  <c r="AA21" i="4"/>
  <c r="Y21" i="4"/>
  <c r="X21" i="4"/>
  <c r="H21" i="4"/>
  <c r="I21" i="4" s="1"/>
  <c r="AA20" i="4"/>
  <c r="X20" i="4"/>
  <c r="Y20" i="4" s="1"/>
  <c r="I20" i="4"/>
  <c r="H20" i="4"/>
  <c r="C20" i="4"/>
  <c r="AA19" i="4"/>
  <c r="X19" i="4"/>
  <c r="Y19" i="4" s="1"/>
  <c r="H19" i="4"/>
  <c r="I19" i="4" s="1"/>
  <c r="AA18" i="4"/>
  <c r="X18" i="4"/>
  <c r="Y18" i="4" s="1"/>
  <c r="L18" i="4"/>
  <c r="AA17" i="4"/>
  <c r="Y17" i="4"/>
  <c r="X17" i="4"/>
  <c r="I17" i="4"/>
  <c r="K17" i="4" s="1"/>
  <c r="H17" i="4"/>
  <c r="D17" i="4"/>
  <c r="C17" i="4"/>
  <c r="AX16" i="4"/>
  <c r="AU16" i="4"/>
  <c r="AA16" i="4"/>
  <c r="X16" i="4"/>
  <c r="Y16" i="4" s="1"/>
  <c r="H16" i="4"/>
  <c r="I16" i="4" s="1"/>
  <c r="K16" i="4" s="1"/>
  <c r="AX15" i="4"/>
  <c r="AU15" i="4"/>
  <c r="AA15" i="4"/>
  <c r="X15" i="4"/>
  <c r="Y15" i="4" s="1"/>
  <c r="H15" i="4"/>
  <c r="I15" i="4" s="1"/>
  <c r="K15" i="4" s="1"/>
  <c r="D15" i="4"/>
  <c r="C15" i="4"/>
  <c r="AX14" i="4"/>
  <c r="AU14" i="4"/>
  <c r="AA14" i="4"/>
  <c r="D13" i="4" s="1"/>
  <c r="Y14" i="4"/>
  <c r="X14" i="4"/>
  <c r="D14" i="4"/>
  <c r="C14" i="4"/>
  <c r="AX13" i="4"/>
  <c r="AU13" i="4"/>
  <c r="AB13" i="4"/>
  <c r="H13" i="4"/>
  <c r="I13" i="4" s="1"/>
  <c r="K13" i="4" s="1"/>
  <c r="C13" i="4"/>
  <c r="AX12" i="4"/>
  <c r="AU12" i="4"/>
  <c r="AA12" i="4"/>
  <c r="Y12" i="4"/>
  <c r="X12" i="4"/>
  <c r="H12" i="4"/>
  <c r="I12" i="4" s="1"/>
  <c r="K12" i="4" s="1"/>
  <c r="AX11" i="4"/>
  <c r="AU11" i="4"/>
  <c r="AA11" i="4"/>
  <c r="X11" i="4"/>
  <c r="Y11" i="4" s="1"/>
  <c r="I11" i="4"/>
  <c r="K11" i="4" s="1"/>
  <c r="H11" i="4"/>
  <c r="AX10" i="4"/>
  <c r="AU10" i="4"/>
  <c r="AA10" i="4"/>
  <c r="X10" i="4"/>
  <c r="Y10" i="4" s="1"/>
  <c r="M10" i="4"/>
  <c r="L10" i="4"/>
  <c r="AX9" i="4"/>
  <c r="AU9" i="4"/>
  <c r="AA9" i="4"/>
  <c r="Y9" i="4"/>
  <c r="X9" i="4"/>
  <c r="H9" i="4"/>
  <c r="I9" i="4" s="1"/>
  <c r="K9" i="4" s="1"/>
  <c r="AX8" i="4"/>
  <c r="AU8" i="4"/>
  <c r="AA8" i="4"/>
  <c r="Y8" i="4"/>
  <c r="X8" i="4"/>
  <c r="H8" i="4"/>
  <c r="I8" i="4" s="1"/>
  <c r="K8" i="4" s="1"/>
  <c r="AX7" i="4"/>
  <c r="AU7" i="4"/>
  <c r="AA7" i="4"/>
  <c r="Y7" i="4"/>
  <c r="X7" i="4"/>
  <c r="H7" i="4"/>
  <c r="I7" i="4" s="1"/>
  <c r="K7" i="4" s="1"/>
  <c r="AX6" i="4"/>
  <c r="AU6" i="4"/>
  <c r="AA6" i="4"/>
  <c r="AA2" i="4" s="1"/>
  <c r="Y6" i="4"/>
  <c r="X6" i="4"/>
  <c r="M6" i="4"/>
  <c r="L6" i="4"/>
  <c r="AX5" i="4"/>
  <c r="AU5" i="4"/>
  <c r="AA5" i="4"/>
  <c r="X5" i="4"/>
  <c r="Y5" i="4" s="1"/>
  <c r="I5" i="4"/>
  <c r="K5" i="4" s="1"/>
  <c r="H5" i="4"/>
  <c r="AX4" i="4"/>
  <c r="AU4" i="4"/>
  <c r="AA4" i="4"/>
  <c r="X4" i="4"/>
  <c r="Y4" i="4" s="1"/>
  <c r="I4" i="4"/>
  <c r="K4" i="4" s="1"/>
  <c r="H4" i="4"/>
  <c r="AX3" i="4"/>
  <c r="AU3" i="4"/>
  <c r="AA3" i="4"/>
  <c r="X3" i="4"/>
  <c r="Y3" i="4" s="1"/>
  <c r="I3" i="4"/>
  <c r="K3" i="4" s="1"/>
  <c r="H3" i="4"/>
  <c r="AU2" i="4"/>
  <c r="AB2" i="4"/>
  <c r="M2" i="4"/>
  <c r="C12" i="4" s="1"/>
  <c r="L2" i="4"/>
  <c r="E2" i="3"/>
  <c r="H2" i="3"/>
  <c r="I2" i="3" s="1"/>
  <c r="J2" i="3"/>
  <c r="K2" i="3"/>
  <c r="L2" i="3"/>
  <c r="E3" i="3"/>
  <c r="H3" i="3"/>
  <c r="I3" i="3" s="1"/>
  <c r="J3" i="3"/>
  <c r="K3" i="3"/>
  <c r="L3" i="3" s="1"/>
  <c r="E4" i="3"/>
  <c r="H4" i="3"/>
  <c r="I4" i="3"/>
  <c r="K4" i="3"/>
  <c r="L4" i="3" s="1"/>
  <c r="I5" i="3"/>
  <c r="L5" i="3"/>
  <c r="E7" i="3"/>
  <c r="H7" i="3"/>
  <c r="I7" i="3"/>
  <c r="J7" i="3"/>
  <c r="K7" i="3" s="1"/>
  <c r="E8" i="3"/>
  <c r="H8" i="3"/>
  <c r="I8" i="3" s="1"/>
  <c r="J8" i="3"/>
  <c r="K8" i="3"/>
  <c r="L8" i="3"/>
  <c r="E9" i="3"/>
  <c r="H9" i="3"/>
  <c r="I9" i="3"/>
  <c r="J9" i="3"/>
  <c r="K9" i="3" s="1"/>
  <c r="L9" i="3" s="1"/>
  <c r="I10" i="3"/>
  <c r="E12" i="3"/>
  <c r="G12" i="3"/>
  <c r="J12" i="3" s="1"/>
  <c r="K12" i="3" s="1"/>
  <c r="H12" i="3"/>
  <c r="I12" i="3"/>
  <c r="I13" i="3"/>
  <c r="E15" i="3"/>
  <c r="H15" i="3"/>
  <c r="I15" i="3"/>
  <c r="J15" i="3"/>
  <c r="K15" i="3"/>
  <c r="L15" i="3"/>
  <c r="E16" i="3"/>
  <c r="H16" i="3"/>
  <c r="I16" i="3" s="1"/>
  <c r="J16" i="3"/>
  <c r="K16" i="3"/>
  <c r="L16" i="3" s="1"/>
  <c r="E17" i="3"/>
  <c r="H17" i="3"/>
  <c r="I17" i="3"/>
  <c r="J17" i="3"/>
  <c r="K17" i="3" s="1"/>
  <c r="I18" i="3"/>
  <c r="E20" i="3"/>
  <c r="H20" i="3"/>
  <c r="I20" i="3"/>
  <c r="J20" i="3"/>
  <c r="K20" i="3" s="1"/>
  <c r="E21" i="3"/>
  <c r="H21" i="3"/>
  <c r="I21" i="3" s="1"/>
  <c r="J21" i="3"/>
  <c r="K21" i="3"/>
  <c r="L21" i="3"/>
  <c r="E22" i="3"/>
  <c r="H22" i="3"/>
  <c r="I22" i="3"/>
  <c r="J22" i="3"/>
  <c r="K22" i="3" s="1"/>
  <c r="L22" i="3" s="1"/>
  <c r="E24" i="2"/>
  <c r="D25" i="2"/>
  <c r="E25" i="2" s="1"/>
  <c r="D26" i="2"/>
  <c r="E26" i="2" s="1"/>
  <c r="D27" i="2"/>
  <c r="E27" i="2" s="1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I57" i="1"/>
  <c r="I56" i="1"/>
  <c r="I55" i="1"/>
  <c r="I54" i="1"/>
  <c r="I53" i="1"/>
  <c r="I51" i="1"/>
  <c r="I50" i="1"/>
  <c r="I49" i="1"/>
  <c r="I48" i="1"/>
  <c r="I47" i="1"/>
  <c r="I46" i="1"/>
  <c r="I45" i="1"/>
  <c r="I44" i="1"/>
  <c r="I43" i="1"/>
  <c r="I42" i="1"/>
  <c r="I40" i="1"/>
  <c r="I39" i="1"/>
  <c r="I38" i="1"/>
  <c r="I37" i="1"/>
  <c r="I36" i="1"/>
  <c r="I35" i="1"/>
  <c r="I34" i="1"/>
  <c r="I33" i="1"/>
  <c r="I32" i="1"/>
  <c r="I31" i="1"/>
  <c r="I23" i="1"/>
  <c r="I24" i="1"/>
  <c r="I25" i="1"/>
  <c r="I26" i="1"/>
  <c r="I27" i="1"/>
  <c r="I28" i="1"/>
  <c r="I29" i="1"/>
  <c r="I22" i="1"/>
  <c r="I21" i="1"/>
  <c r="I20" i="1"/>
  <c r="I17" i="1"/>
  <c r="I16" i="1"/>
  <c r="I15" i="1"/>
  <c r="I13" i="1"/>
  <c r="I12" i="1"/>
  <c r="I11" i="1"/>
  <c r="I9" i="1"/>
  <c r="I8" i="1"/>
  <c r="I7" i="1"/>
  <c r="I4" i="1"/>
  <c r="I5" i="1"/>
  <c r="I3" i="1"/>
  <c r="D13" i="5" l="1"/>
  <c r="AA24" i="5"/>
  <c r="AA2" i="5"/>
  <c r="D18" i="5"/>
  <c r="C18" i="5"/>
  <c r="K51" i="5"/>
  <c r="P52" i="5"/>
  <c r="J55" i="5"/>
  <c r="K47" i="5"/>
  <c r="I50" i="5"/>
  <c r="L51" i="5"/>
  <c r="K55" i="5"/>
  <c r="I46" i="5"/>
  <c r="L47" i="5"/>
  <c r="J50" i="5"/>
  <c r="I54" i="5"/>
  <c r="L55" i="5"/>
  <c r="AA13" i="5"/>
  <c r="C13" i="5"/>
  <c r="J46" i="5"/>
  <c r="K50" i="5"/>
  <c r="I48" i="5"/>
  <c r="J52" i="5"/>
  <c r="K54" i="5"/>
  <c r="I56" i="5"/>
  <c r="K52" i="5"/>
  <c r="J56" i="5"/>
  <c r="K48" i="5"/>
  <c r="I51" i="5"/>
  <c r="L52" i="5"/>
  <c r="K56" i="5"/>
  <c r="D18" i="4"/>
  <c r="C18" i="4"/>
  <c r="C21" i="4" s="1"/>
  <c r="D21" i="4"/>
  <c r="J47" i="4"/>
  <c r="K51" i="4"/>
  <c r="P52" i="4"/>
  <c r="K52" i="4" s="1"/>
  <c r="J55" i="4"/>
  <c r="AA13" i="4"/>
  <c r="K47" i="4"/>
  <c r="K55" i="4"/>
  <c r="I46" i="4"/>
  <c r="L47" i="4"/>
  <c r="I54" i="4"/>
  <c r="L55" i="4"/>
  <c r="K46" i="4"/>
  <c r="I48" i="4"/>
  <c r="J52" i="4"/>
  <c r="K54" i="4"/>
  <c r="I56" i="4"/>
  <c r="J48" i="4"/>
  <c r="J56" i="4"/>
  <c r="K48" i="4"/>
  <c r="K56" i="4"/>
  <c r="L17" i="3"/>
  <c r="L18" i="3"/>
  <c r="L20" i="3"/>
  <c r="L23" i="3"/>
  <c r="L12" i="3"/>
  <c r="L13" i="3"/>
  <c r="L7" i="3"/>
  <c r="L10" i="3"/>
  <c r="I23" i="3"/>
  <c r="D21" i="5" l="1"/>
  <c r="C21" i="5"/>
</calcChain>
</file>

<file path=xl/sharedStrings.xml><?xml version="1.0" encoding="utf-8"?>
<sst xmlns="http://schemas.openxmlformats.org/spreadsheetml/2006/main" count="706" uniqueCount="229">
  <si>
    <t>атрибуты</t>
  </si>
  <si>
    <t>способности</t>
  </si>
  <si>
    <t>Физика</t>
  </si>
  <si>
    <t>таланты</t>
  </si>
  <si>
    <t>STR</t>
  </si>
  <si>
    <t>Alertness</t>
  </si>
  <si>
    <t>DEX</t>
  </si>
  <si>
    <t>Athletics</t>
  </si>
  <si>
    <t>STA</t>
  </si>
  <si>
    <t>Brawl</t>
  </si>
  <si>
    <t>Социал</t>
  </si>
  <si>
    <t>Dodge</t>
  </si>
  <si>
    <t>Ярость</t>
  </si>
  <si>
    <t>CHA</t>
  </si>
  <si>
    <t>Empathy</t>
  </si>
  <si>
    <t>Гнозис</t>
  </si>
  <si>
    <t>MAN</t>
  </si>
  <si>
    <t>Expression</t>
  </si>
  <si>
    <t>APP</t>
  </si>
  <si>
    <t>Intimidation</t>
  </si>
  <si>
    <t>Ментал</t>
  </si>
  <si>
    <t>Primal-Urge</t>
  </si>
  <si>
    <t>PER</t>
  </si>
  <si>
    <t>Streetwise</t>
  </si>
  <si>
    <t>INT</t>
  </si>
  <si>
    <t>Subterfuge</t>
  </si>
  <si>
    <t>WIT</t>
  </si>
  <si>
    <t>навыки</t>
  </si>
  <si>
    <t>Прочее</t>
  </si>
  <si>
    <t>Animal Ken</t>
  </si>
  <si>
    <t>Crafts</t>
  </si>
  <si>
    <t>Воля</t>
  </si>
  <si>
    <t>Drive</t>
  </si>
  <si>
    <t>Etiquette</t>
  </si>
  <si>
    <t>Firearms</t>
  </si>
  <si>
    <t>Leadership</t>
  </si>
  <si>
    <t>Melee</t>
  </si>
  <si>
    <t>Performance</t>
  </si>
  <si>
    <t>Stealth</t>
  </si>
  <si>
    <t>Survival</t>
  </si>
  <si>
    <t>знания</t>
  </si>
  <si>
    <t>Computer</t>
  </si>
  <si>
    <t>Enigmas</t>
  </si>
  <si>
    <t>Investigation</t>
  </si>
  <si>
    <t>Law</t>
  </si>
  <si>
    <t>Linguistics</t>
  </si>
  <si>
    <t>Medicine</t>
  </si>
  <si>
    <t>Occult</t>
  </si>
  <si>
    <t>Politics</t>
  </si>
  <si>
    <t>Rituals</t>
  </si>
  <si>
    <t>Science</t>
  </si>
  <si>
    <t>вторичныкк</t>
  </si>
  <si>
    <t>Плавание</t>
  </si>
  <si>
    <t>Управление (лодкой)</t>
  </si>
  <si>
    <t>Райга Волк</t>
  </si>
  <si>
    <t>Дракон</t>
  </si>
  <si>
    <t>Ворон</t>
  </si>
  <si>
    <t>Волк-монах</t>
  </si>
  <si>
    <t>Тигресс</t>
  </si>
  <si>
    <t>Полет</t>
  </si>
  <si>
    <t>беки</t>
  </si>
  <si>
    <t>Родня 1</t>
  </si>
  <si>
    <t>Ресурс 1</t>
  </si>
  <si>
    <t>Тайны 3</t>
  </si>
  <si>
    <t>Обряды 1</t>
  </si>
  <si>
    <t>Умбракарт 2</t>
  </si>
  <si>
    <t>Обряды 2</t>
  </si>
  <si>
    <t>Мнезис 3</t>
  </si>
  <si>
    <t>Фетиш 2</t>
  </si>
  <si>
    <t>Ментор 5</t>
  </si>
  <si>
    <t>Байхен Сестра</t>
  </si>
  <si>
    <t>Хулу Брат</t>
  </si>
  <si>
    <t>Ресурс 3</t>
  </si>
  <si>
    <t>Нумен 3</t>
  </si>
  <si>
    <t>Клан 3</t>
  </si>
  <si>
    <t>Го-эн 2</t>
  </si>
  <si>
    <t>Фетиш 5</t>
  </si>
  <si>
    <t>Чистота 2</t>
  </si>
  <si>
    <t>Тотем 2</t>
  </si>
  <si>
    <t>Ресурс 2</t>
  </si>
  <si>
    <t>Ментор 4</t>
  </si>
  <si>
    <t>Обряды 3</t>
  </si>
  <si>
    <t>Звездочтение</t>
  </si>
  <si>
    <t>Кайлиндо</t>
  </si>
  <si>
    <t>Среднее</t>
  </si>
  <si>
    <t>=</t>
  </si>
  <si>
    <t>Предки 3</t>
  </si>
  <si>
    <t>Ресурсная (еда, транспорт, кров)</t>
  </si>
  <si>
    <t>Ровесники/Молодые (20-30 лет)</t>
  </si>
  <si>
    <t>Бариста в серф-кафе</t>
  </si>
  <si>
    <t>Мияги Айка (宮城 愛果)</t>
  </si>
  <si>
    <t>Мияги Айка (宮城 愛果) — Бариста в серф-кафе**</t>
  </si>
  <si>
    <t>Знания/Дух</t>
  </si>
  <si>
    <t>Студент-неформал и художник-граффитист</t>
  </si>
  <si>
    <t>Дзэн Дзиро (善 次郎)</t>
  </si>
  <si>
    <t>Дзэн Дзиро (善 次郎) — Студент-неформал и художник-граффитист**</t>
  </si>
  <si>
    <t>Информационная/Образовательная</t>
  </si>
  <si>
    <t>Хранители мудрости/Старейшины (60+ лет</t>
  </si>
  <si>
    <t>Смотрительница маленького частного музея</t>
  </si>
  <si>
    <t>Накамура Кэйко (中村 敬子)</t>
  </si>
  <si>
    <t>Накамура Кэйко (中村 敬子) — Смотрительница маленького частного музея**</t>
  </si>
  <si>
    <t>Старшие наставники/Опекуны (40+ лет)</t>
  </si>
  <si>
    <t>Город/Сервис</t>
  </si>
  <si>
    <t>Таксист и краевед-любитель</t>
  </si>
  <si>
    <t>Уэхара Сэйити (上原 聖一)</t>
  </si>
  <si>
    <t>Уэхара Сэйити (上原 聖一) — Таксист и краевед-любитель**</t>
  </si>
  <si>
    <t>Кассирша в круглосуточном магазине (комбини)</t>
  </si>
  <si>
    <t>Осиро Юка (大城 由佳)</t>
  </si>
  <si>
    <t>Осиро Юка (大城 由佳) — Кассирша в круглосуточном магазине (комбини)**</t>
  </si>
  <si>
    <t>Земля/Ремесло</t>
  </si>
  <si>
    <t>Ночной сторож на стройке</t>
  </si>
  <si>
    <t>Тамура Хироки (田村 洋輝)</t>
  </si>
  <si>
    <t>Тамура Хироки (田村 洋輝) — Ночной сторож на стройке**</t>
  </si>
  <si>
    <t>Курьер на скутере</t>
  </si>
  <si>
    <t>Тамамуро Хикару (玉室 光)</t>
  </si>
  <si>
    <t>Тамамуро Хикару (玉室 光) — Курьер на скутере**</t>
  </si>
  <si>
    <t>Ночная бариста</t>
  </si>
  <si>
    <t>Ёнахара Саё (与那原 小夜)</t>
  </si>
  <si>
    <t>Ёнахара Саё (与那原 小夜) — Ночная бариста**</t>
  </si>
  <si>
    <t>Эмоциональная/Духовная (принятие, утешение, понимание)</t>
  </si>
  <si>
    <t>Старая ткачиха</t>
  </si>
  <si>
    <t>Хига Матико (比嘉 町子)</t>
  </si>
  <si>
    <t>Хига Матико (比嘉 町子) — Старая ткачиха**</t>
  </si>
  <si>
    <t>Садовник и продавец цветов</t>
  </si>
  <si>
    <t>Исии Рёта (石井 涼太)</t>
  </si>
  <si>
    <t>Исии Рёта (石井 涼太) — Садовник и продавец цветов**</t>
  </si>
  <si>
    <t>Хранительница семейного ресторанчика</t>
  </si>
  <si>
    <t>Хига Матико (比嘉 町子) — Хранительница семейного ресторанчика**</t>
  </si>
  <si>
    <t>Садовод-натуралист</t>
  </si>
  <si>
    <t>Оширо Рёта (大城 涼太)</t>
  </si>
  <si>
    <t>Оширо Рёта (大城 涼太) — Садовод-натуралист**</t>
  </si>
  <si>
    <t>Библиотекарь</t>
  </si>
  <si>
    <t>Сатоми (聡美)</t>
  </si>
  <si>
    <t>Сатоми (聡美) — Библиотекарь</t>
  </si>
  <si>
    <t>Интеллектуал</t>
  </si>
  <si>
    <t>Студент-историк</t>
  </si>
  <si>
    <t>Кэнта (健太)</t>
  </si>
  <si>
    <t>Кэнта (健太) — Студент-историк</t>
  </si>
  <si>
    <t>Море/Вода</t>
  </si>
  <si>
    <t>Девушка-дайвер (ама)</t>
  </si>
  <si>
    <t>Юри (由里)</t>
  </si>
  <si>
    <t>Юри (由里) — Девушка-дайвер (ама)</t>
  </si>
  <si>
    <t>Механик</t>
  </si>
  <si>
    <t>Горо (悟郎)</t>
  </si>
  <si>
    <t>Горо (悟郎) — Механик</t>
  </si>
  <si>
    <t>Владелица маленькой лавки</t>
  </si>
  <si>
    <t>Тянь Мэйли (田 美莉)</t>
  </si>
  <si>
    <t>Тянь Мэйли (田 美莉) — Владелица маленькой лавки</t>
  </si>
  <si>
    <t>Молодой рыбак</t>
  </si>
  <si>
    <t>Кари Ясухиро (狩 康弘)</t>
  </si>
  <si>
    <t>Кари Ясухиро (狩 康弘) — Молодой рыбак</t>
  </si>
  <si>
    <t>ц</t>
  </si>
  <si>
    <t>По типу предлагаемой помощи:</t>
  </si>
  <si>
    <t>По возрасту</t>
  </si>
  <si>
    <t>По роду занятий</t>
  </si>
  <si>
    <t>код</t>
  </si>
  <si>
    <t>роль</t>
  </si>
  <si>
    <t>имя</t>
  </si>
  <si>
    <t>полное</t>
  </si>
  <si>
    <t>Мудрость</t>
  </si>
  <si>
    <t>Колонна</t>
  </si>
  <si>
    <t>Достоинство</t>
  </si>
  <si>
    <t>Слава</t>
  </si>
  <si>
    <t>дельта</t>
  </si>
  <si>
    <t>сейчас</t>
  </si>
  <si>
    <t>на 2 ранг</t>
  </si>
  <si>
    <t>Старт</t>
  </si>
  <si>
    <t>Почет</t>
  </si>
  <si>
    <t>Роль</t>
  </si>
  <si>
    <t>Зеркало</t>
  </si>
  <si>
    <t>Сумма</t>
  </si>
  <si>
    <t>Лист</t>
  </si>
  <si>
    <t>Кулак</t>
  </si>
  <si>
    <t>Фонарь</t>
  </si>
  <si>
    <t>с кагуей</t>
  </si>
  <si>
    <t>Параметр</t>
  </si>
  <si>
    <t>Свободные</t>
  </si>
  <si>
    <t>Опыт</t>
  </si>
  <si>
    <t>Очки</t>
  </si>
  <si>
    <t>Очки+БП</t>
  </si>
  <si>
    <t>цена +1</t>
  </si>
  <si>
    <t>Сум.свобод</t>
  </si>
  <si>
    <t>навык был</t>
  </si>
  <si>
    <t>навык стал</t>
  </si>
  <si>
    <t>очков</t>
  </si>
  <si>
    <t>Атрибут</t>
  </si>
  <si>
    <t>5FB за точку</t>
  </si>
  <si>
    <t>тек.знач*4</t>
  </si>
  <si>
    <t>7--5--3</t>
  </si>
  <si>
    <t>13--9--5</t>
  </si>
  <si>
    <t>Способность</t>
  </si>
  <si>
    <t>2FB за точку</t>
  </si>
  <si>
    <t>3 за новую, тек.зн.*2</t>
  </si>
  <si>
    <t>•</t>
  </si>
  <si>
    <t>Дополнение</t>
  </si>
  <si>
    <t>1FB за точку</t>
  </si>
  <si>
    <t>тек.знач*3</t>
  </si>
  <si>
    <t>Сила Воли</t>
  </si>
  <si>
    <t>*тек.знач</t>
  </si>
  <si>
    <t>F</t>
  </si>
  <si>
    <t>Дар</t>
  </si>
  <si>
    <t>7FB за дар(1ур)</t>
  </si>
  <si>
    <t>10 new / *7 spec / *8 other</t>
  </si>
  <si>
    <t>тек.знач*8</t>
  </si>
  <si>
    <t>M</t>
  </si>
  <si>
    <t>Вышла за бюджет</t>
  </si>
  <si>
    <t>Drive (лодка)</t>
  </si>
  <si>
    <t>Предыстории</t>
  </si>
  <si>
    <t>Предки</t>
  </si>
  <si>
    <r>
      <rPr>
        <b/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rgb="FFFF0000"/>
        <rFont val="Calibri"/>
        <family val="2"/>
        <charset val="204"/>
        <scheme val="minor"/>
      </rPr>
      <t xml:space="preserve"> выделен запрет для люпусов брать на стартовых очках, только СО или опыт</t>
    </r>
  </si>
  <si>
    <t>всего</t>
  </si>
  <si>
    <t>Чистота рода</t>
  </si>
  <si>
    <t>потрачено</t>
  </si>
  <si>
    <t>Тотем для горного</t>
  </si>
  <si>
    <t>Союзники</t>
  </si>
  <si>
    <t>по базе фриби</t>
  </si>
  <si>
    <t>Обряды</t>
  </si>
  <si>
    <t>merits</t>
  </si>
  <si>
    <t>Кинфолк</t>
  </si>
  <si>
    <t>flaws</t>
  </si>
  <si>
    <t>Diff</t>
  </si>
  <si>
    <t>Homid</t>
  </si>
  <si>
    <t>Sokto</t>
  </si>
  <si>
    <t>Crinos</t>
  </si>
  <si>
    <t>Chatro</t>
  </si>
  <si>
    <t>Feline</t>
  </si>
  <si>
    <t>тек.знач</t>
  </si>
  <si>
    <t>тек.знач*2</t>
  </si>
  <si>
    <t>ур*3/ ур*5 чужой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</si>
</sst>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3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404040"/>
      <name val="Segoe U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"/>
      <color rgb="FF7030A0"/>
      <name val="Calibri"/>
      <family val="2"/>
      <charset val="204"/>
      <scheme val="minor"/>
    </font>
    <font>
      <b/>
      <sz val="11"/>
      <color rgb="FFED0000"/>
      <name val="Calibri"/>
      <family val="2"/>
      <charset val="204"/>
      <scheme val="minor"/>
    </font>
    <font>
      <i/>
      <sz val="11"/>
      <color rgb="FFED0000"/>
      <name val="Calibri"/>
      <family val="2"/>
      <charset val="204"/>
      <scheme val="minor"/>
    </font>
    <font>
      <b/>
      <sz val="13"/>
      <color rgb="FFC00000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/>
    <xf numFmtId="0" fontId="3" fillId="0" borderId="0" xfId="1" applyFont="1"/>
    <xf numFmtId="0" fontId="3" fillId="0" borderId="0" xfId="0" applyFont="1"/>
    <xf numFmtId="0" fontId="4" fillId="0" borderId="0" xfId="1" applyFont="1"/>
    <xf numFmtId="0" fontId="4" fillId="0" borderId="0" xfId="0" applyFont="1"/>
    <xf numFmtId="0" fontId="3" fillId="2" borderId="0" xfId="1" applyFont="1" applyFill="1"/>
    <xf numFmtId="0" fontId="0" fillId="2" borderId="0" xfId="0" applyFill="1" applyAlignment="1">
      <alignment horizontal="center"/>
    </xf>
    <xf numFmtId="0" fontId="2" fillId="3" borderId="0" xfId="1" applyFont="1" applyFill="1"/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3" fillId="0" borderId="1" xfId="0" applyFont="1" applyBorder="1"/>
    <xf numFmtId="0" fontId="0" fillId="4" borderId="0" xfId="0" applyFill="1"/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14" fontId="0" fillId="0" borderId="0" xfId="0" applyNumberFormat="1"/>
    <xf numFmtId="0" fontId="0" fillId="7" borderId="0" xfId="0" applyFill="1"/>
    <xf numFmtId="14" fontId="0" fillId="7" borderId="0" xfId="0" applyNumberFormat="1" applyFill="1"/>
    <xf numFmtId="0" fontId="6" fillId="0" borderId="0" xfId="0" applyFont="1"/>
    <xf numFmtId="0" fontId="0" fillId="8" borderId="0" xfId="0" applyFill="1"/>
    <xf numFmtId="0" fontId="6" fillId="8" borderId="0" xfId="0" applyFont="1" applyFill="1"/>
    <xf numFmtId="0" fontId="6" fillId="0" borderId="0" xfId="0" applyFont="1" applyAlignment="1">
      <alignment vertical="center" wrapText="1"/>
    </xf>
    <xf numFmtId="164" fontId="0" fillId="5" borderId="0" xfId="2" applyNumberFormat="1" applyFont="1" applyFill="1"/>
    <xf numFmtId="0" fontId="0" fillId="9" borderId="0" xfId="0" applyFill="1"/>
    <xf numFmtId="9" fontId="0" fillId="10" borderId="0" xfId="2" applyFont="1" applyFill="1"/>
    <xf numFmtId="0" fontId="0" fillId="2" borderId="0" xfId="0" applyFill="1"/>
    <xf numFmtId="0" fontId="0" fillId="11" borderId="0" xfId="0" applyFill="1"/>
    <xf numFmtId="0" fontId="0" fillId="12" borderId="0" xfId="0" applyFill="1"/>
    <xf numFmtId="0" fontId="7" fillId="0" borderId="0" xfId="1" applyFont="1"/>
    <xf numFmtId="0" fontId="2" fillId="13" borderId="0" xfId="1" applyFont="1" applyFill="1"/>
    <xf numFmtId="0" fontId="2" fillId="13" borderId="0" xfId="1" applyFont="1" applyFill="1" applyAlignment="1">
      <alignment horizontal="center"/>
    </xf>
    <xf numFmtId="0" fontId="8" fillId="0" borderId="0" xfId="1" applyFont="1"/>
    <xf numFmtId="0" fontId="3" fillId="7" borderId="0" xfId="1" applyFont="1" applyFill="1"/>
    <xf numFmtId="0" fontId="9" fillId="7" borderId="0" xfId="1" applyFont="1" applyFill="1"/>
    <xf numFmtId="0" fontId="3" fillId="7" borderId="0" xfId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1" applyFont="1"/>
    <xf numFmtId="0" fontId="3" fillId="0" borderId="0" xfId="1" applyFont="1" applyAlignment="1">
      <alignment horizontal="center"/>
    </xf>
    <xf numFmtId="0" fontId="11" fillId="0" borderId="0" xfId="0" applyFont="1" applyAlignment="1">
      <alignment horizontal="center"/>
    </xf>
    <xf numFmtId="0" fontId="12" fillId="10" borderId="0" xfId="1" applyFont="1" applyFill="1"/>
    <xf numFmtId="0" fontId="3" fillId="5" borderId="0" xfId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8" fillId="0" borderId="3" xfId="1" applyFont="1" applyBorder="1"/>
    <xf numFmtId="0" fontId="8" fillId="0" borderId="0" xfId="0" applyFont="1"/>
    <xf numFmtId="0" fontId="14" fillId="0" borderId="0" xfId="0" applyFont="1" applyAlignment="1">
      <alignment horizontal="center"/>
    </xf>
    <xf numFmtId="0" fontId="3" fillId="13" borderId="0" xfId="1" applyFont="1" applyFill="1" applyAlignment="1">
      <alignment horizontal="center"/>
    </xf>
    <xf numFmtId="0" fontId="3" fillId="13" borderId="0" xfId="1" applyFont="1" applyFill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8" fillId="0" borderId="3" xfId="0" applyFont="1" applyBorder="1"/>
    <xf numFmtId="0" fontId="3" fillId="0" borderId="0" xfId="0" applyFont="1" applyAlignment="1">
      <alignment horizontal="center"/>
    </xf>
    <xf numFmtId="0" fontId="9" fillId="0" borderId="0" xfId="0" applyFont="1"/>
    <xf numFmtId="0" fontId="9" fillId="7" borderId="0" xfId="1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8" fillId="0" borderId="0" xfId="1" applyFont="1"/>
    <xf numFmtId="0" fontId="5" fillId="0" borderId="0" xfId="0" applyFont="1" applyAlignment="1">
      <alignment horizontal="center" vertical="top" wrapText="1"/>
    </xf>
    <xf numFmtId="0" fontId="7" fillId="0" borderId="0" xfId="1" applyFont="1"/>
  </cellXfs>
  <cellStyles count="3">
    <cellStyle name="Обычный" xfId="0" builtinId="0"/>
    <cellStyle name="Обычный 2" xfId="1" xr:uid="{934068C6-8FE1-4ED7-96B7-416A494AB655}"/>
    <cellStyle name="Процентный" xfId="2" builtinId="5"/>
  </cellStyles>
  <dxfs count="44"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numFmt numFmtId="165" formatCode=";;;"/>
    </dxf>
    <dxf>
      <font>
        <color auto="1"/>
      </font>
      <numFmt numFmtId="165" formatCode=";;;"/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numFmt numFmtId="165" formatCode=";;;"/>
    </dxf>
    <dxf>
      <font>
        <color auto="1"/>
      </font>
      <numFmt numFmtId="165" formatCode=";;;"/>
    </dxf>
    <dxf>
      <font>
        <color auto="1"/>
      </font>
      <numFmt numFmtId="165" formatCode=";;;"/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theme="2" tint="-0.24994659260841701"/>
      </font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numFmt numFmtId="165" formatCode=";;;"/>
    </dxf>
    <dxf>
      <font>
        <color auto="1"/>
      </font>
      <numFmt numFmtId="165" formatCode=";;;"/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numFmt numFmtId="165" formatCode=";;;"/>
    </dxf>
    <dxf>
      <font>
        <color auto="1"/>
      </font>
      <numFmt numFmtId="165" formatCode=";;;"/>
    </dxf>
    <dxf>
      <font>
        <color auto="1"/>
      </font>
      <numFmt numFmtId="165" formatCode=";;;"/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theme="2" tint="-0.24994659260841701"/>
      </font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3786-1C98-4E68-B474-CC773C44C691}">
  <dimension ref="B1:AX56"/>
  <sheetViews>
    <sheetView tabSelected="1" zoomScale="72" zoomScaleNormal="72" workbookViewId="0">
      <selection activeCell="J29" sqref="J29"/>
    </sheetView>
  </sheetViews>
  <sheetFormatPr defaultColWidth="8.77734375" defaultRowHeight="17.05" outlineLevelCol="1" x14ac:dyDescent="0.3"/>
  <cols>
    <col min="1" max="1" width="3.88671875" bestFit="1" customWidth="1"/>
    <col min="2" max="2" width="13.88671875" customWidth="1"/>
    <col min="3" max="3" width="16.77734375" bestFit="1" customWidth="1"/>
    <col min="4" max="4" width="17.44140625" bestFit="1" customWidth="1"/>
    <col min="5" max="5" width="10" customWidth="1"/>
    <col min="7" max="7" width="19.33203125" style="4" customWidth="1"/>
    <col min="8" max="8" width="7.88671875" style="54" bestFit="1" customWidth="1"/>
    <col min="9" max="9" width="10" style="4" bestFit="1" customWidth="1"/>
    <col min="10" max="10" width="8.77734375" style="4" customWidth="1" outlineLevel="1"/>
    <col min="11" max="11" width="12.5546875" style="4" customWidth="1" outlineLevel="1"/>
    <col min="12" max="12" width="9" style="53" bestFit="1" customWidth="1"/>
    <col min="13" max="13" width="9.33203125" style="53" customWidth="1"/>
    <col min="14" max="21" width="4.6640625" style="53" customWidth="1"/>
    <col min="22" max="22" width="4.6640625" style="4" customWidth="1"/>
    <col min="23" max="23" width="22.88671875" style="4" bestFit="1" customWidth="1"/>
    <col min="24" max="24" width="9.6640625" style="4" bestFit="1" customWidth="1"/>
    <col min="25" max="25" width="10" style="4" bestFit="1" customWidth="1"/>
    <col min="26" max="26" width="8.77734375" style="4" customWidth="1" outlineLevel="1"/>
    <col min="27" max="27" width="12.5546875" style="4" customWidth="1" outlineLevel="1"/>
    <col min="28" max="32" width="4.5546875" style="4" customWidth="1"/>
    <col min="33" max="33" width="4.5546875" customWidth="1"/>
    <col min="34" max="34" width="14.77734375" bestFit="1" customWidth="1"/>
    <col min="35" max="43" width="4.5546875" customWidth="1"/>
  </cols>
  <sheetData>
    <row r="1" spans="2:50" x14ac:dyDescent="0.3">
      <c r="B1" s="31" t="s">
        <v>175</v>
      </c>
      <c r="C1" s="31" t="s">
        <v>176</v>
      </c>
      <c r="D1" s="59" t="s">
        <v>177</v>
      </c>
      <c r="E1" s="59"/>
      <c r="G1" s="32" t="s">
        <v>0</v>
      </c>
      <c r="H1" s="32" t="s">
        <v>178</v>
      </c>
      <c r="I1" s="32" t="s">
        <v>179</v>
      </c>
      <c r="J1" s="32" t="s">
        <v>180</v>
      </c>
      <c r="K1" s="32" t="s">
        <v>181</v>
      </c>
      <c r="L1" s="33">
        <v>1</v>
      </c>
      <c r="M1" s="33">
        <v>2</v>
      </c>
      <c r="N1" s="33">
        <v>3</v>
      </c>
      <c r="O1" s="33">
        <v>4</v>
      </c>
      <c r="P1" s="33">
        <v>5</v>
      </c>
      <c r="Q1" s="33">
        <v>6</v>
      </c>
      <c r="R1" s="33">
        <v>7</v>
      </c>
      <c r="S1" s="33">
        <v>8</v>
      </c>
      <c r="T1" s="33">
        <v>9</v>
      </c>
      <c r="U1" s="33">
        <v>10</v>
      </c>
      <c r="W1" s="32" t="s">
        <v>1</v>
      </c>
      <c r="X1" s="32" t="s">
        <v>178</v>
      </c>
      <c r="Y1" s="32" t="s">
        <v>179</v>
      </c>
      <c r="Z1" s="32" t="s">
        <v>180</v>
      </c>
      <c r="AA1" s="32" t="s">
        <v>181</v>
      </c>
      <c r="AB1" s="33">
        <v>1</v>
      </c>
      <c r="AC1" s="33">
        <v>2</v>
      </c>
      <c r="AD1" s="33">
        <v>3</v>
      </c>
      <c r="AE1" s="33">
        <v>4</v>
      </c>
      <c r="AF1" s="33">
        <v>5</v>
      </c>
      <c r="AV1" s="34" t="s">
        <v>182</v>
      </c>
      <c r="AW1" s="34" t="s">
        <v>183</v>
      </c>
      <c r="AX1" t="s">
        <v>184</v>
      </c>
    </row>
    <row r="2" spans="2:50" x14ac:dyDescent="0.3">
      <c r="B2" s="34" t="s">
        <v>185</v>
      </c>
      <c r="C2" s="34" t="s">
        <v>186</v>
      </c>
      <c r="D2" s="57" t="s">
        <v>187</v>
      </c>
      <c r="E2" s="57"/>
      <c r="G2" s="35" t="s">
        <v>2</v>
      </c>
      <c r="H2" s="36" t="s">
        <v>188</v>
      </c>
      <c r="I2" s="35"/>
      <c r="J2" s="35"/>
      <c r="K2" s="35"/>
      <c r="L2" s="37">
        <f>COUNTIF($L3:$U5,"•")-3</f>
        <v>7</v>
      </c>
      <c r="M2" s="37">
        <f>COUNTIF($L3:$U5,"F")*5</f>
        <v>0</v>
      </c>
      <c r="N2" s="37"/>
      <c r="O2" s="37"/>
      <c r="P2" s="37"/>
      <c r="Q2" s="37"/>
      <c r="R2" s="37"/>
      <c r="S2" s="37"/>
      <c r="T2" s="37"/>
      <c r="U2" s="37"/>
      <c r="W2" s="35" t="s">
        <v>3</v>
      </c>
      <c r="X2" s="36" t="s">
        <v>189</v>
      </c>
      <c r="Y2" s="35"/>
      <c r="Z2" s="35"/>
      <c r="AA2" s="35">
        <f>SUM(AA3:AA12)</f>
        <v>0</v>
      </c>
      <c r="AB2" s="37">
        <f>COUNTIF($AB3:$AF12,"•")</f>
        <v>17</v>
      </c>
      <c r="AC2" s="37"/>
      <c r="AD2" s="37"/>
      <c r="AE2" s="37"/>
      <c r="AF2" s="37"/>
      <c r="AU2" t="str">
        <f t="shared" ref="AU2:AU16" si="0">"_"&amp;AV2&amp;AW2</f>
        <v>_01</v>
      </c>
      <c r="AV2">
        <v>0</v>
      </c>
      <c r="AW2">
        <v>1</v>
      </c>
      <c r="AX2" s="38">
        <v>3</v>
      </c>
    </row>
    <row r="3" spans="2:50" x14ac:dyDescent="0.3">
      <c r="B3" s="34" t="s">
        <v>190</v>
      </c>
      <c r="C3" s="34" t="s">
        <v>191</v>
      </c>
      <c r="D3" s="57" t="s">
        <v>192</v>
      </c>
      <c r="E3" s="57"/>
      <c r="G3" s="3" t="s">
        <v>4</v>
      </c>
      <c r="H3" s="39" t="str">
        <f>REPT("•",COUNTIF($L3:$V3,"•"))</f>
        <v>•••</v>
      </c>
      <c r="I3" s="3" t="str">
        <f>H3&amp;REPT("•",COUNTIF($L3:$U3,"F"))&amp;REPT("•",COUNTIF($L3:$U3,"M"))</f>
        <v>•••</v>
      </c>
      <c r="J3" s="3">
        <f>LEN(H3)*4</f>
        <v>12</v>
      </c>
      <c r="K3" s="3">
        <f>IF(I3=H3,0,J3)</f>
        <v>0</v>
      </c>
      <c r="L3" s="40" t="s">
        <v>193</v>
      </c>
      <c r="M3" s="40" t="s">
        <v>193</v>
      </c>
      <c r="N3" s="40" t="s">
        <v>193</v>
      </c>
      <c r="O3" s="40"/>
      <c r="P3" s="40"/>
      <c r="Q3" s="40"/>
      <c r="R3" s="40"/>
      <c r="S3" s="40"/>
      <c r="T3" s="40"/>
      <c r="U3" s="40"/>
      <c r="W3" s="3" t="s">
        <v>5</v>
      </c>
      <c r="X3" s="39" t="str">
        <f>REPT("•",COUNTIF($AB3:$AF3,"•"))</f>
        <v>••</v>
      </c>
      <c r="Y3" s="3" t="str">
        <f t="shared" ref="Y3:Y12" si="1">X3&amp;REPT("•",COUNTIF($AB3:$AF3,"F"))&amp;REPT("•",COUNTIF($AB3:$AF3,"M"))</f>
        <v>••</v>
      </c>
      <c r="Z3" s="3">
        <f>IF(LEN(X3)=0,3,2*LEN(X3))</f>
        <v>4</v>
      </c>
      <c r="AA3" s="3">
        <f t="shared" ref="AA3:AA12" si="2">COUNTIF($AB3:$AR3,"F")*Z3</f>
        <v>0</v>
      </c>
      <c r="AB3" s="40" t="s">
        <v>193</v>
      </c>
      <c r="AC3" s="40" t="s">
        <v>193</v>
      </c>
      <c r="AD3" s="40"/>
      <c r="AE3" s="40"/>
      <c r="AF3" s="40"/>
      <c r="AU3" t="str">
        <f t="shared" si="0"/>
        <v>_02</v>
      </c>
      <c r="AV3">
        <v>0</v>
      </c>
      <c r="AW3">
        <v>2</v>
      </c>
      <c r="AX3" s="41">
        <f>3+(AW3-AV3)*(AW3+AV3-1)</f>
        <v>5</v>
      </c>
    </row>
    <row r="4" spans="2:50" x14ac:dyDescent="0.3">
      <c r="B4" s="34" t="s">
        <v>194</v>
      </c>
      <c r="C4" s="34" t="s">
        <v>195</v>
      </c>
      <c r="D4" s="57" t="s">
        <v>196</v>
      </c>
      <c r="E4" s="57"/>
      <c r="G4" s="42" t="s">
        <v>6</v>
      </c>
      <c r="H4" s="39" t="str">
        <f>REPT("•",COUNTIF($L4:$V4,"•"))</f>
        <v>••••</v>
      </c>
      <c r="I4" s="3" t="str">
        <f>H4&amp;REPT("•",COUNTIF($L4:$U4,"F"))&amp;REPT("•",COUNTIF($L4:$U4,"M"))</f>
        <v>••••</v>
      </c>
      <c r="J4" s="3">
        <f t="shared" ref="J4:J5" si="3">LEN(H4)*4</f>
        <v>16</v>
      </c>
      <c r="K4" s="3">
        <f t="shared" ref="K4:K5" si="4">IF(I4=H4,0,J4)</f>
        <v>0</v>
      </c>
      <c r="L4" s="40" t="s">
        <v>193</v>
      </c>
      <c r="M4" s="40" t="s">
        <v>193</v>
      </c>
      <c r="N4" s="40" t="s">
        <v>193</v>
      </c>
      <c r="O4" s="40" t="s">
        <v>193</v>
      </c>
      <c r="P4" s="40"/>
      <c r="Q4" s="40"/>
      <c r="R4" s="40"/>
      <c r="S4" s="40"/>
      <c r="T4" s="40"/>
      <c r="U4" s="40"/>
      <c r="W4" s="3" t="s">
        <v>7</v>
      </c>
      <c r="X4" s="39" t="str">
        <f t="shared" ref="X4:X12" si="5">REPT("•",COUNTIF($AB4:$AF4,"•"))</f>
        <v>•••</v>
      </c>
      <c r="Y4" s="3" t="str">
        <f t="shared" si="1"/>
        <v>•••</v>
      </c>
      <c r="Z4" s="3">
        <f t="shared" ref="Z4:Z12" si="6">IF(LEN(X4)=0,3,2*LEN(X4))</f>
        <v>6</v>
      </c>
      <c r="AA4" s="3">
        <f t="shared" si="2"/>
        <v>0</v>
      </c>
      <c r="AB4" s="40" t="s">
        <v>193</v>
      </c>
      <c r="AC4" s="40" t="s">
        <v>193</v>
      </c>
      <c r="AD4" s="40" t="s">
        <v>193</v>
      </c>
      <c r="AE4" s="40"/>
      <c r="AF4" s="40"/>
      <c r="AU4" t="str">
        <f t="shared" si="0"/>
        <v>_03</v>
      </c>
      <c r="AV4">
        <v>0</v>
      </c>
      <c r="AW4">
        <v>3</v>
      </c>
      <c r="AX4" s="41">
        <f>3+(AW4-AV4)*(AW4+AV4-1)</f>
        <v>9</v>
      </c>
    </row>
    <row r="5" spans="2:50" x14ac:dyDescent="0.3">
      <c r="B5" s="34" t="s">
        <v>197</v>
      </c>
      <c r="C5" s="34" t="s">
        <v>195</v>
      </c>
      <c r="D5" s="57" t="s">
        <v>198</v>
      </c>
      <c r="E5" s="57"/>
      <c r="G5" s="3" t="s">
        <v>8</v>
      </c>
      <c r="H5" s="39" t="str">
        <f>REPT("•",COUNTIF($L5:$V5,"•"))</f>
        <v>•••</v>
      </c>
      <c r="I5" s="3" t="str">
        <f>H5&amp;REPT("•",COUNTIF($L5:$U5,"F"))&amp;REPT("•",COUNTIF($L5:$U5,"M"))</f>
        <v>•••</v>
      </c>
      <c r="J5" s="3">
        <f t="shared" si="3"/>
        <v>12</v>
      </c>
      <c r="K5" s="3">
        <f t="shared" si="4"/>
        <v>0</v>
      </c>
      <c r="L5" s="40" t="s">
        <v>193</v>
      </c>
      <c r="M5" s="40" t="s">
        <v>193</v>
      </c>
      <c r="N5" s="40" t="s">
        <v>193</v>
      </c>
      <c r="O5" s="40"/>
      <c r="P5" s="40"/>
      <c r="Q5" s="40"/>
      <c r="R5" s="40"/>
      <c r="S5" s="40"/>
      <c r="T5" s="40"/>
      <c r="U5" s="40"/>
      <c r="W5" s="42" t="s">
        <v>9</v>
      </c>
      <c r="X5" s="39" t="str">
        <f t="shared" si="5"/>
        <v>••••</v>
      </c>
      <c r="Y5" s="3" t="str">
        <f t="shared" si="1"/>
        <v>••••</v>
      </c>
      <c r="Z5" s="3">
        <f t="shared" si="6"/>
        <v>8</v>
      </c>
      <c r="AA5" s="3">
        <f t="shared" si="2"/>
        <v>0</v>
      </c>
      <c r="AB5" s="40" t="s">
        <v>193</v>
      </c>
      <c r="AC5" s="40" t="s">
        <v>193</v>
      </c>
      <c r="AD5" s="40" t="s">
        <v>193</v>
      </c>
      <c r="AE5" s="40" t="s">
        <v>193</v>
      </c>
      <c r="AF5" s="40"/>
      <c r="AU5" t="str">
        <f t="shared" si="0"/>
        <v>_04</v>
      </c>
      <c r="AV5">
        <v>0</v>
      </c>
      <c r="AW5">
        <v>4</v>
      </c>
      <c r="AX5" s="41">
        <f>3+(AW5-AV5)*(AW5+AV5-1)</f>
        <v>15</v>
      </c>
    </row>
    <row r="6" spans="2:50" x14ac:dyDescent="0.3">
      <c r="B6" s="34" t="s">
        <v>200</v>
      </c>
      <c r="C6" s="34" t="s">
        <v>201</v>
      </c>
      <c r="D6" s="57" t="s">
        <v>228</v>
      </c>
      <c r="E6" s="57"/>
      <c r="G6" s="35" t="s">
        <v>10</v>
      </c>
      <c r="H6" s="36"/>
      <c r="I6" s="35"/>
      <c r="J6" s="35"/>
      <c r="K6" s="35"/>
      <c r="L6" s="37">
        <f>COUNTIF($L7:$U9,"•")-3</f>
        <v>3</v>
      </c>
      <c r="M6" s="37">
        <f>COUNTIF($L7:$U9,"F")*5</f>
        <v>0</v>
      </c>
      <c r="N6" s="37"/>
      <c r="O6" s="37"/>
      <c r="P6" s="37"/>
      <c r="Q6" s="37"/>
      <c r="R6" s="37"/>
      <c r="S6" s="37"/>
      <c r="T6" s="37"/>
      <c r="U6" s="37"/>
      <c r="W6" s="3" t="s">
        <v>11</v>
      </c>
      <c r="X6" s="39" t="str">
        <f t="shared" si="5"/>
        <v>•••</v>
      </c>
      <c r="Y6" s="3" t="str">
        <f t="shared" si="1"/>
        <v>•••</v>
      </c>
      <c r="Z6" s="3">
        <f t="shared" si="6"/>
        <v>6</v>
      </c>
      <c r="AA6" s="3">
        <f t="shared" si="2"/>
        <v>0</v>
      </c>
      <c r="AB6" s="40" t="s">
        <v>193</v>
      </c>
      <c r="AC6" s="40" t="s">
        <v>193</v>
      </c>
      <c r="AD6" s="40" t="s">
        <v>193</v>
      </c>
      <c r="AE6" s="40"/>
      <c r="AF6" s="40"/>
      <c r="AU6" t="str">
        <f t="shared" si="0"/>
        <v>_05</v>
      </c>
      <c r="AV6">
        <v>0</v>
      </c>
      <c r="AW6">
        <v>5</v>
      </c>
      <c r="AX6" s="41">
        <f>3+(AW6-AV6)*(AW6+AV6-1)</f>
        <v>23</v>
      </c>
    </row>
    <row r="7" spans="2:50" x14ac:dyDescent="0.3">
      <c r="B7" s="34" t="s">
        <v>12</v>
      </c>
      <c r="C7" s="34" t="s">
        <v>195</v>
      </c>
      <c r="D7" s="57" t="s">
        <v>226</v>
      </c>
      <c r="E7" s="57"/>
      <c r="G7" s="3" t="s">
        <v>13</v>
      </c>
      <c r="H7" s="39" t="str">
        <f>REPT("•",COUNTIF($L7:$V7,"•"))</f>
        <v>•••</v>
      </c>
      <c r="I7" s="3" t="str">
        <f>H7&amp;REPT("•",COUNTIF($L7:$U7,"F"))&amp;REPT("•",COUNTIF($L7:$U7,"M"))</f>
        <v>•••</v>
      </c>
      <c r="J7" s="3">
        <f>LEN(H7)*4</f>
        <v>12</v>
      </c>
      <c r="K7" s="3">
        <f>IF(I7=H7,0,J7)</f>
        <v>0</v>
      </c>
      <c r="L7" s="40" t="s">
        <v>193</v>
      </c>
      <c r="M7" s="40" t="s">
        <v>193</v>
      </c>
      <c r="N7" s="40" t="s">
        <v>193</v>
      </c>
      <c r="O7" s="40"/>
      <c r="P7" s="40"/>
      <c r="Q7" s="40"/>
      <c r="R7" s="40"/>
      <c r="S7" s="40"/>
      <c r="T7" s="40"/>
      <c r="U7" s="40"/>
      <c r="W7" s="4" t="s">
        <v>14</v>
      </c>
      <c r="X7" s="39" t="str">
        <f t="shared" si="5"/>
        <v>••</v>
      </c>
      <c r="Y7" s="3" t="str">
        <f t="shared" si="1"/>
        <v>••</v>
      </c>
      <c r="Z7" s="3">
        <f t="shared" si="6"/>
        <v>4</v>
      </c>
      <c r="AA7" s="3">
        <f t="shared" si="2"/>
        <v>0</v>
      </c>
      <c r="AB7" s="40" t="s">
        <v>193</v>
      </c>
      <c r="AC7" s="40" t="s">
        <v>193</v>
      </c>
      <c r="AD7" s="40"/>
      <c r="AE7" s="40"/>
      <c r="AF7" s="40"/>
      <c r="AU7" t="str">
        <f t="shared" si="0"/>
        <v>_12</v>
      </c>
      <c r="AV7">
        <v>1</v>
      </c>
      <c r="AW7">
        <v>2</v>
      </c>
      <c r="AX7" s="44">
        <f>(AW7-AV7)*(AW7+AV7-1)</f>
        <v>2</v>
      </c>
    </row>
    <row r="8" spans="2:50" x14ac:dyDescent="0.3">
      <c r="B8" s="45" t="s">
        <v>15</v>
      </c>
      <c r="C8" s="45" t="s">
        <v>191</v>
      </c>
      <c r="D8" s="57" t="s">
        <v>227</v>
      </c>
      <c r="E8" s="57"/>
      <c r="G8" s="3" t="s">
        <v>16</v>
      </c>
      <c r="H8" s="39" t="str">
        <f>REPT("•",COUNTIF($L8:$V8,"•"))</f>
        <v>•</v>
      </c>
      <c r="I8" s="3" t="str">
        <f>H8&amp;REPT("•",COUNTIF($L8:$U8,"F"))&amp;REPT("•",COUNTIF($L8:$U8,"M"))</f>
        <v>•</v>
      </c>
      <c r="J8" s="3">
        <f t="shared" ref="J8:J9" si="7">LEN(H8)*4</f>
        <v>4</v>
      </c>
      <c r="K8" s="3">
        <f t="shared" ref="K8:K9" si="8">IF(I8=H8,0,J8)</f>
        <v>0</v>
      </c>
      <c r="L8" s="40" t="s">
        <v>193</v>
      </c>
      <c r="M8" s="40"/>
      <c r="N8" s="40"/>
      <c r="O8" s="40"/>
      <c r="P8" s="40"/>
      <c r="Q8" s="40"/>
      <c r="R8" s="40"/>
      <c r="S8" s="40"/>
      <c r="T8" s="40"/>
      <c r="U8" s="40"/>
      <c r="W8" s="3" t="s">
        <v>17</v>
      </c>
      <c r="X8" s="39" t="str">
        <f t="shared" si="5"/>
        <v/>
      </c>
      <c r="Y8" s="3" t="str">
        <f t="shared" si="1"/>
        <v/>
      </c>
      <c r="Z8" s="3">
        <f t="shared" si="6"/>
        <v>3</v>
      </c>
      <c r="AA8" s="3">
        <f t="shared" si="2"/>
        <v>0</v>
      </c>
      <c r="AB8" s="40"/>
      <c r="AC8" s="40"/>
      <c r="AD8" s="40"/>
      <c r="AE8" s="40"/>
      <c r="AF8" s="40"/>
      <c r="AU8" t="str">
        <f t="shared" si="0"/>
        <v>_13</v>
      </c>
      <c r="AV8">
        <v>1</v>
      </c>
      <c r="AW8">
        <v>3</v>
      </c>
      <c r="AX8" s="44">
        <f t="shared" ref="AX8:AX16" si="9">(AW8-AV8)*(AW8+AV8-1)</f>
        <v>6</v>
      </c>
    </row>
    <row r="9" spans="2:50" x14ac:dyDescent="0.3">
      <c r="G9" s="3" t="s">
        <v>18</v>
      </c>
      <c r="H9" s="39" t="str">
        <f>REPT("•",COUNTIF($L9:$V9,"•"))</f>
        <v>••</v>
      </c>
      <c r="I9" s="3" t="str">
        <f>H9&amp;REPT("•",COUNTIF($L9:$U9,"F"))&amp;REPT("•",COUNTIF($L9:$U9,"M"))</f>
        <v>••</v>
      </c>
      <c r="J9" s="3">
        <f t="shared" si="7"/>
        <v>8</v>
      </c>
      <c r="K9" s="3">
        <f t="shared" si="8"/>
        <v>0</v>
      </c>
      <c r="L9" s="40" t="s">
        <v>193</v>
      </c>
      <c r="M9" s="40" t="s">
        <v>193</v>
      </c>
      <c r="N9" s="40"/>
      <c r="O9" s="40"/>
      <c r="P9" s="40"/>
      <c r="Q9" s="40"/>
      <c r="R9" s="40"/>
      <c r="S9" s="40"/>
      <c r="T9" s="40"/>
      <c r="U9" s="40"/>
      <c r="W9" s="3" t="s">
        <v>19</v>
      </c>
      <c r="X9" s="39" t="str">
        <f t="shared" si="5"/>
        <v>•</v>
      </c>
      <c r="Y9" s="3" t="str">
        <f t="shared" si="1"/>
        <v>•</v>
      </c>
      <c r="Z9" s="3">
        <f t="shared" si="6"/>
        <v>2</v>
      </c>
      <c r="AA9" s="3">
        <f t="shared" si="2"/>
        <v>0</v>
      </c>
      <c r="AB9" s="40" t="s">
        <v>193</v>
      </c>
      <c r="AC9" s="40"/>
      <c r="AD9" s="40"/>
      <c r="AE9" s="40"/>
      <c r="AF9" s="40"/>
      <c r="AU9" t="str">
        <f t="shared" si="0"/>
        <v>_14</v>
      </c>
      <c r="AV9">
        <v>1</v>
      </c>
      <c r="AW9">
        <v>4</v>
      </c>
      <c r="AX9" s="44">
        <f t="shared" si="9"/>
        <v>12</v>
      </c>
    </row>
    <row r="10" spans="2:50" x14ac:dyDescent="0.3">
      <c r="B10" s="31" t="s">
        <v>175</v>
      </c>
      <c r="C10" s="31" t="s">
        <v>176</v>
      </c>
      <c r="D10" s="31" t="s">
        <v>205</v>
      </c>
      <c r="E10" s="31"/>
      <c r="F10" s="31"/>
      <c r="G10" s="35" t="s">
        <v>20</v>
      </c>
      <c r="H10" s="36"/>
      <c r="I10" s="35"/>
      <c r="J10" s="35"/>
      <c r="K10" s="35"/>
      <c r="L10" s="37">
        <f>COUNTIF($L11:$U13,"•")-3</f>
        <v>5</v>
      </c>
      <c r="M10" s="37">
        <f>COUNTIF($L11:$U13,"F")*5</f>
        <v>0</v>
      </c>
      <c r="N10" s="37"/>
      <c r="O10" s="37"/>
      <c r="P10" s="37"/>
      <c r="Q10" s="37"/>
      <c r="R10" s="37"/>
      <c r="S10" s="37"/>
      <c r="T10" s="37"/>
      <c r="U10" s="37"/>
      <c r="W10" s="4" t="s">
        <v>21</v>
      </c>
      <c r="X10" s="39" t="str">
        <f t="shared" si="5"/>
        <v>••</v>
      </c>
      <c r="Y10" s="3" t="str">
        <f t="shared" si="1"/>
        <v>••</v>
      </c>
      <c r="Z10" s="3">
        <f t="shared" si="6"/>
        <v>4</v>
      </c>
      <c r="AA10" s="3">
        <f t="shared" si="2"/>
        <v>0</v>
      </c>
      <c r="AB10" s="40" t="s">
        <v>193</v>
      </c>
      <c r="AC10" s="40" t="s">
        <v>193</v>
      </c>
      <c r="AD10" s="40"/>
      <c r="AE10" s="40"/>
      <c r="AF10" s="40"/>
      <c r="AU10" t="str">
        <f t="shared" si="0"/>
        <v>_15</v>
      </c>
      <c r="AV10">
        <v>1</v>
      </c>
      <c r="AW10">
        <v>5</v>
      </c>
      <c r="AX10" s="44">
        <f t="shared" si="9"/>
        <v>20</v>
      </c>
    </row>
    <row r="11" spans="2:50" x14ac:dyDescent="0.3">
      <c r="C11" s="40" t="s">
        <v>199</v>
      </c>
      <c r="D11" s="43" t="s">
        <v>204</v>
      </c>
      <c r="E11" s="46"/>
      <c r="F11" s="46"/>
      <c r="G11" s="3" t="s">
        <v>22</v>
      </c>
      <c r="H11" s="39" t="str">
        <f>REPT("•",COUNTIF($L11:$V11,"•"))</f>
        <v>•••</v>
      </c>
      <c r="I11" s="3" t="str">
        <f>H11&amp;REPT("•",COUNTIF($L11:$U11,"F"))&amp;REPT("•",COUNTIF($L11:$U11,"M"))</f>
        <v>•••</v>
      </c>
      <c r="J11" s="3">
        <f>LEN(H11)*4</f>
        <v>12</v>
      </c>
      <c r="K11" s="3">
        <f>IF(I11=H11,0,J11)</f>
        <v>0</v>
      </c>
      <c r="L11" s="40" t="s">
        <v>193</v>
      </c>
      <c r="M11" s="40" t="s">
        <v>193</v>
      </c>
      <c r="N11" s="40" t="s">
        <v>193</v>
      </c>
      <c r="O11" s="40"/>
      <c r="P11" s="40"/>
      <c r="Q11" s="40"/>
      <c r="R11" s="40"/>
      <c r="S11" s="40"/>
      <c r="T11" s="40"/>
      <c r="U11" s="40"/>
      <c r="W11" s="3" t="s">
        <v>23</v>
      </c>
      <c r="X11" s="39" t="str">
        <f t="shared" si="5"/>
        <v/>
      </c>
      <c r="Y11" s="3" t="str">
        <f t="shared" si="1"/>
        <v/>
      </c>
      <c r="Z11" s="3">
        <f t="shared" si="6"/>
        <v>3</v>
      </c>
      <c r="AA11" s="3">
        <f t="shared" si="2"/>
        <v>0</v>
      </c>
      <c r="AB11" s="40"/>
      <c r="AC11" s="40"/>
      <c r="AD11" s="40"/>
      <c r="AE11" s="40"/>
      <c r="AF11" s="40"/>
      <c r="AU11" t="str">
        <f t="shared" si="0"/>
        <v>_23</v>
      </c>
      <c r="AV11">
        <v>2</v>
      </c>
      <c r="AW11">
        <v>3</v>
      </c>
      <c r="AX11" s="47">
        <f t="shared" si="9"/>
        <v>4</v>
      </c>
    </row>
    <row r="12" spans="2:50" x14ac:dyDescent="0.3">
      <c r="B12" s="34" t="s">
        <v>185</v>
      </c>
      <c r="C12" s="46">
        <f>SUM(M2,M6,M10)</f>
        <v>0</v>
      </c>
      <c r="D12" s="46"/>
      <c r="E12" s="46"/>
      <c r="F12" s="46"/>
      <c r="G12" s="3" t="s">
        <v>24</v>
      </c>
      <c r="H12" s="39" t="str">
        <f>REPT("•",COUNTIF($L12:$V12,"•"))</f>
        <v>••</v>
      </c>
      <c r="I12" s="3" t="str">
        <f>H12&amp;REPT("•",COUNTIF($L12:$U12,"F"))&amp;REPT("•",COUNTIF($L12:$U12,"M"))</f>
        <v>••</v>
      </c>
      <c r="J12" s="3">
        <f t="shared" ref="J12:J13" si="10">LEN(H12)*4</f>
        <v>8</v>
      </c>
      <c r="K12" s="3">
        <f t="shared" ref="K12:K13" si="11">IF(I12=H12,0,J12)</f>
        <v>0</v>
      </c>
      <c r="L12" s="40" t="s">
        <v>193</v>
      </c>
      <c r="M12" s="40" t="s">
        <v>193</v>
      </c>
      <c r="N12" s="40"/>
      <c r="O12" s="40"/>
      <c r="P12" s="40"/>
      <c r="Q12" s="40"/>
      <c r="R12" s="40"/>
      <c r="S12" s="40"/>
      <c r="T12" s="40"/>
      <c r="U12" s="40"/>
      <c r="W12" s="3" t="s">
        <v>25</v>
      </c>
      <c r="X12" s="39" t="str">
        <f t="shared" si="5"/>
        <v/>
      </c>
      <c r="Y12" s="3" t="str">
        <f t="shared" si="1"/>
        <v/>
      </c>
      <c r="Z12" s="3">
        <f t="shared" si="6"/>
        <v>3</v>
      </c>
      <c r="AA12" s="3">
        <f t="shared" si="2"/>
        <v>0</v>
      </c>
      <c r="AB12" s="40"/>
      <c r="AC12" s="40"/>
      <c r="AD12" s="40"/>
      <c r="AE12" s="40"/>
      <c r="AF12" s="40"/>
      <c r="AU12" t="str">
        <f t="shared" si="0"/>
        <v>_24</v>
      </c>
      <c r="AV12">
        <v>2</v>
      </c>
      <c r="AW12">
        <v>4</v>
      </c>
      <c r="AX12" s="47">
        <f t="shared" si="9"/>
        <v>10</v>
      </c>
    </row>
    <row r="13" spans="2:50" x14ac:dyDescent="0.3">
      <c r="B13" s="34" t="s">
        <v>190</v>
      </c>
      <c r="C13" s="46">
        <f>COUNTIF($AB3:$AF12,C$11)*2+COUNTIF($AA14:$AF23,C$11)*2+COUNTIF($AB25:$AF34,C$11)*2</f>
        <v>0</v>
      </c>
      <c r="D13" s="46">
        <f>COUNTIF($AB3:$AF12,D$11)*2+COUNTIF($AA14:$AF23,D$11)*2+COUNTIF($AB25:$AF34,D$11)*2</f>
        <v>0</v>
      </c>
      <c r="E13" s="46"/>
      <c r="F13" s="46"/>
      <c r="G13" s="3" t="s">
        <v>26</v>
      </c>
      <c r="H13" s="39" t="str">
        <f>REPT("•",COUNTIF($L13:$V13,"•"))</f>
        <v>•••</v>
      </c>
      <c r="I13" s="3" t="str">
        <f>H13&amp;REPT("•",COUNTIF($L13:$U13,"F"))&amp;REPT("•",COUNTIF($L13:$U13,"M"))</f>
        <v>•••</v>
      </c>
      <c r="J13" s="3">
        <f t="shared" si="10"/>
        <v>12</v>
      </c>
      <c r="K13" s="3">
        <f t="shared" si="11"/>
        <v>0</v>
      </c>
      <c r="L13" s="40" t="s">
        <v>193</v>
      </c>
      <c r="M13" s="40" t="s">
        <v>193</v>
      </c>
      <c r="N13" s="40" t="s">
        <v>193</v>
      </c>
      <c r="O13" s="40"/>
      <c r="P13" s="40"/>
      <c r="Q13" s="40"/>
      <c r="R13" s="40"/>
      <c r="S13" s="40"/>
      <c r="T13" s="40"/>
      <c r="U13" s="40"/>
      <c r="W13" s="35" t="s">
        <v>27</v>
      </c>
      <c r="X13" s="36"/>
      <c r="Y13" s="35"/>
      <c r="Z13" s="35"/>
      <c r="AA13" s="35">
        <f>SUM(AA14:AA23)</f>
        <v>0</v>
      </c>
      <c r="AB13" s="37">
        <f>COUNTIF($AB14:$AF23,"•")</f>
        <v>11</v>
      </c>
      <c r="AC13" s="37"/>
      <c r="AD13" s="37"/>
      <c r="AE13" s="37"/>
      <c r="AF13" s="37"/>
      <c r="AU13" t="str">
        <f t="shared" si="0"/>
        <v>_25</v>
      </c>
      <c r="AV13">
        <v>2</v>
      </c>
      <c r="AW13">
        <v>5</v>
      </c>
      <c r="AX13" s="47">
        <f t="shared" si="9"/>
        <v>18</v>
      </c>
    </row>
    <row r="14" spans="2:50" x14ac:dyDescent="0.3">
      <c r="B14" s="34" t="s">
        <v>194</v>
      </c>
      <c r="C14" s="46">
        <f>COUNTIF($L19:$U24,C$11)</f>
        <v>0</v>
      </c>
      <c r="D14" s="46">
        <f>COUNTIF($L19:$U24,D$11)</f>
        <v>0</v>
      </c>
      <c r="E14" s="46"/>
      <c r="F14" s="46"/>
      <c r="G14" s="32" t="s">
        <v>28</v>
      </c>
      <c r="H14" s="33"/>
      <c r="I14" s="48"/>
      <c r="J14" s="32"/>
      <c r="K14" s="49"/>
      <c r="L14" s="33"/>
      <c r="M14" s="48"/>
      <c r="N14" s="33"/>
      <c r="O14" s="33"/>
      <c r="P14" s="33"/>
      <c r="Q14" s="33"/>
      <c r="R14" s="33"/>
      <c r="S14" s="33"/>
      <c r="T14" s="33"/>
      <c r="U14" s="33"/>
      <c r="W14" s="4" t="s">
        <v>29</v>
      </c>
      <c r="X14" s="39" t="str">
        <f>REPT("•",COUNTIF($AB14:$AF14,"•"))</f>
        <v>••</v>
      </c>
      <c r="Y14" s="3" t="str">
        <f t="shared" ref="Y14:Y23" si="12">X14&amp;REPT("•",COUNTIF($AB14:$AF14,"F"))&amp;REPT("•",COUNTIF($AB14:$AF14,"M"))</f>
        <v>••</v>
      </c>
      <c r="Z14" s="3">
        <f>IF(LEN(X14)=0,3,2*LEN(X14))</f>
        <v>4</v>
      </c>
      <c r="AA14" s="3">
        <f t="shared" ref="AA14:AA23" si="13">COUNTIF($AB14:$AR14,"F")*Z14</f>
        <v>0</v>
      </c>
      <c r="AB14" s="40" t="s">
        <v>193</v>
      </c>
      <c r="AC14" s="40" t="s">
        <v>193</v>
      </c>
      <c r="AD14" s="40"/>
      <c r="AE14" s="40"/>
      <c r="AF14" s="40"/>
      <c r="AU14" t="str">
        <f t="shared" si="0"/>
        <v>_34</v>
      </c>
      <c r="AV14">
        <v>3</v>
      </c>
      <c r="AW14">
        <v>4</v>
      </c>
      <c r="AX14" s="50">
        <f t="shared" si="9"/>
        <v>6</v>
      </c>
    </row>
    <row r="15" spans="2:50" x14ac:dyDescent="0.3">
      <c r="B15" s="34" t="s">
        <v>197</v>
      </c>
      <c r="C15" s="46">
        <f>COUNTIF($L17:$U17,C$11)</f>
        <v>0</v>
      </c>
      <c r="D15" s="46">
        <f>COUNTIF($L17:$U17,D$11)</f>
        <v>0</v>
      </c>
      <c r="F15" s="46"/>
      <c r="G15" s="3" t="s">
        <v>12</v>
      </c>
      <c r="H15" s="39" t="str">
        <f>REPT("•",COUNTIF($L15:$V15,"•"))</f>
        <v>•••••</v>
      </c>
      <c r="I15" s="3" t="str">
        <f>H15&amp;REPT("•",COUNTIF($L15:$U15,"F"))&amp;REPT("•",COUNTIF($L15:$U15,"M"))</f>
        <v>•••••</v>
      </c>
      <c r="J15" s="3">
        <f>LEN(H15)</f>
        <v>5</v>
      </c>
      <c r="K15" s="3">
        <f>IF(I15=H15,0,J15)</f>
        <v>0</v>
      </c>
      <c r="L15" s="40" t="s">
        <v>193</v>
      </c>
      <c r="M15" s="40" t="s">
        <v>193</v>
      </c>
      <c r="N15" s="40" t="s">
        <v>193</v>
      </c>
      <c r="O15" s="40" t="s">
        <v>193</v>
      </c>
      <c r="P15" s="40" t="s">
        <v>193</v>
      </c>
      <c r="Q15" s="40"/>
      <c r="R15" s="40"/>
      <c r="S15" s="40"/>
      <c r="T15" s="40"/>
      <c r="U15" s="40"/>
      <c r="W15" s="5" t="s">
        <v>30</v>
      </c>
      <c r="X15" s="39" t="str">
        <f t="shared" ref="X15:X23" si="14">REPT("•",COUNTIF($AB15:$AF15,"•"))</f>
        <v/>
      </c>
      <c r="Y15" s="3" t="str">
        <f t="shared" si="12"/>
        <v/>
      </c>
      <c r="Z15" s="3">
        <f t="shared" ref="Z15:Z23" si="15">IF(LEN(X15)=0,3,2*LEN(X15))</f>
        <v>3</v>
      </c>
      <c r="AA15" s="3">
        <f t="shared" si="13"/>
        <v>0</v>
      </c>
      <c r="AB15" s="40"/>
      <c r="AC15" s="40"/>
      <c r="AD15" s="40"/>
      <c r="AE15" s="40"/>
      <c r="AF15" s="40"/>
      <c r="AU15" t="str">
        <f t="shared" si="0"/>
        <v>_35</v>
      </c>
      <c r="AV15">
        <v>3</v>
      </c>
      <c r="AW15">
        <v>5</v>
      </c>
      <c r="AX15" s="50">
        <f t="shared" si="9"/>
        <v>14</v>
      </c>
    </row>
    <row r="16" spans="2:50" x14ac:dyDescent="0.3">
      <c r="B16" t="s">
        <v>200</v>
      </c>
      <c r="C16" s="46">
        <v>0</v>
      </c>
      <c r="D16" s="46">
        <v>0</v>
      </c>
      <c r="E16" s="46"/>
      <c r="F16" s="46"/>
      <c r="G16" s="3" t="s">
        <v>15</v>
      </c>
      <c r="H16" s="39" t="str">
        <f>REPT("•",COUNTIF($L16:$V16,"•"))</f>
        <v>••••••</v>
      </c>
      <c r="I16" s="3" t="str">
        <f>H16&amp;REPT("•",COUNTIF($L16:$U16,"F"))&amp;REPT("•",COUNTIF($L16:$U16,"M"))</f>
        <v>••••••</v>
      </c>
      <c r="J16" s="3">
        <f>LEN(H16)*2</f>
        <v>12</v>
      </c>
      <c r="K16" s="3">
        <f>IF(I16=H16,0,J16)</f>
        <v>0</v>
      </c>
      <c r="L16" s="40" t="s">
        <v>193</v>
      </c>
      <c r="M16" s="40" t="s">
        <v>193</v>
      </c>
      <c r="N16" s="40" t="s">
        <v>193</v>
      </c>
      <c r="O16" s="40" t="s">
        <v>193</v>
      </c>
      <c r="P16" s="40" t="s">
        <v>193</v>
      </c>
      <c r="Q16" s="40" t="s">
        <v>193</v>
      </c>
      <c r="R16" s="40"/>
      <c r="S16" s="40"/>
      <c r="T16" s="40"/>
      <c r="U16" s="40"/>
      <c r="W16" s="5" t="s">
        <v>206</v>
      </c>
      <c r="X16" s="39" t="str">
        <f t="shared" si="14"/>
        <v>••</v>
      </c>
      <c r="Y16" s="3" t="str">
        <f t="shared" si="12"/>
        <v>••</v>
      </c>
      <c r="Z16" s="3">
        <f t="shared" si="15"/>
        <v>4</v>
      </c>
      <c r="AA16" s="3">
        <f t="shared" si="13"/>
        <v>0</v>
      </c>
      <c r="AB16" s="40" t="s">
        <v>193</v>
      </c>
      <c r="AC16" s="40" t="s">
        <v>193</v>
      </c>
      <c r="AD16" s="40"/>
      <c r="AE16" s="40"/>
      <c r="AF16" s="40"/>
      <c r="AU16" t="str">
        <f t="shared" si="0"/>
        <v>_45</v>
      </c>
      <c r="AV16">
        <v>4</v>
      </c>
      <c r="AW16">
        <v>5</v>
      </c>
      <c r="AX16" s="51">
        <f t="shared" si="9"/>
        <v>8</v>
      </c>
    </row>
    <row r="17" spans="2:48" x14ac:dyDescent="0.3">
      <c r="B17" s="34" t="s">
        <v>12</v>
      </c>
      <c r="C17" s="46">
        <f>COUNTIF($L15:$U15,C$11)</f>
        <v>0</v>
      </c>
      <c r="D17" s="46">
        <f>COUNTIF($L15:$U15,D$11)</f>
        <v>0</v>
      </c>
      <c r="E17" s="46"/>
      <c r="F17" s="46"/>
      <c r="G17" s="3" t="s">
        <v>31</v>
      </c>
      <c r="H17" s="39" t="str">
        <f>REPT("•",COUNTIF($L17:$V17,"•"))</f>
        <v>••••••</v>
      </c>
      <c r="I17" s="3" t="str">
        <f>H17&amp;REPT("•",COUNTIF($L17:$U17,"F"))&amp;REPT("•",COUNTIF($L17:$U17,"M"))</f>
        <v>••••••</v>
      </c>
      <c r="J17" s="3">
        <f>LEN(H17)</f>
        <v>6</v>
      </c>
      <c r="K17" s="3">
        <f>IF(I17=H17,0,J17)</f>
        <v>0</v>
      </c>
      <c r="L17" s="40" t="s">
        <v>193</v>
      </c>
      <c r="M17" s="40" t="s">
        <v>193</v>
      </c>
      <c r="N17" s="40" t="s">
        <v>193</v>
      </c>
      <c r="O17" s="40" t="s">
        <v>193</v>
      </c>
      <c r="P17" s="40" t="s">
        <v>193</v>
      </c>
      <c r="Q17" s="40" t="s">
        <v>193</v>
      </c>
      <c r="R17" s="40"/>
      <c r="S17" s="40"/>
      <c r="T17" s="40"/>
      <c r="U17" s="40"/>
      <c r="W17" s="5" t="s">
        <v>33</v>
      </c>
      <c r="X17" s="39" t="str">
        <f t="shared" si="14"/>
        <v/>
      </c>
      <c r="Y17" s="3" t="str">
        <f t="shared" si="12"/>
        <v/>
      </c>
      <c r="Z17" s="3">
        <f t="shared" si="15"/>
        <v>3</v>
      </c>
      <c r="AA17" s="3">
        <f t="shared" si="13"/>
        <v>0</v>
      </c>
      <c r="AB17" s="40"/>
      <c r="AC17" s="40"/>
      <c r="AD17" s="40"/>
      <c r="AE17" s="40"/>
      <c r="AF17" s="40"/>
    </row>
    <row r="18" spans="2:48" x14ac:dyDescent="0.3">
      <c r="B18" s="45" t="s">
        <v>15</v>
      </c>
      <c r="C18" s="52">
        <f>COUNTIF($K16:$T16,C$11)</f>
        <v>0</v>
      </c>
      <c r="D18" s="52">
        <f>COUNTIF($K16:$T16,D$11)</f>
        <v>0</v>
      </c>
      <c r="E18" s="46"/>
      <c r="F18" s="46"/>
      <c r="G18" s="32" t="s">
        <v>207</v>
      </c>
      <c r="H18" s="33"/>
      <c r="I18" s="48"/>
      <c r="J18" s="32"/>
      <c r="K18" s="49"/>
      <c r="L18" s="48">
        <f>COUNTIF($L19:$U26,"•")</f>
        <v>10</v>
      </c>
      <c r="M18" s="48"/>
      <c r="N18" s="33"/>
      <c r="O18" s="33"/>
      <c r="P18" s="33"/>
      <c r="Q18" s="33"/>
      <c r="R18" s="33"/>
      <c r="S18" s="33"/>
      <c r="T18" s="33"/>
      <c r="U18" s="33"/>
      <c r="W18" s="5" t="s">
        <v>34</v>
      </c>
      <c r="X18" s="39" t="str">
        <f t="shared" si="14"/>
        <v/>
      </c>
      <c r="Y18" s="3" t="str">
        <f t="shared" si="12"/>
        <v/>
      </c>
      <c r="Z18" s="3">
        <f t="shared" si="15"/>
        <v>3</v>
      </c>
      <c r="AA18" s="3">
        <f t="shared" si="13"/>
        <v>0</v>
      </c>
      <c r="AB18" s="40"/>
      <c r="AC18" s="40"/>
      <c r="AD18" s="40"/>
      <c r="AE18" s="40"/>
      <c r="AF18" s="40"/>
    </row>
    <row r="19" spans="2:48" x14ac:dyDescent="0.3">
      <c r="B19" s="46"/>
      <c r="C19" s="46"/>
      <c r="D19" s="46"/>
      <c r="E19" s="46"/>
      <c r="F19" s="46"/>
      <c r="G19" t="s">
        <v>208</v>
      </c>
      <c r="H19" s="39" t="str">
        <f>REPT("•",COUNTIF($L19:$V19,"•"))</f>
        <v>•••</v>
      </c>
      <c r="I19" s="3" t="str">
        <f>H19&amp;REPT("•",COUNTIF($L19:$U19,"F"))&amp;REPT("•",COUNTIF($L19:$U19,"M"))</f>
        <v>•••</v>
      </c>
      <c r="J19"/>
      <c r="K19"/>
      <c r="L19" s="40" t="s">
        <v>193</v>
      </c>
      <c r="M19" s="40" t="s">
        <v>193</v>
      </c>
      <c r="N19" s="40" t="s">
        <v>193</v>
      </c>
      <c r="O19" s="40"/>
      <c r="P19" s="40"/>
      <c r="Q19" s="40"/>
      <c r="R19" s="40"/>
      <c r="S19" s="40"/>
      <c r="T19" s="40"/>
      <c r="U19" s="40"/>
      <c r="W19" s="3" t="s">
        <v>35</v>
      </c>
      <c r="X19" s="39" t="str">
        <f t="shared" si="14"/>
        <v>•</v>
      </c>
      <c r="Y19" s="3" t="str">
        <f t="shared" si="12"/>
        <v>•</v>
      </c>
      <c r="Z19" s="3">
        <f t="shared" si="15"/>
        <v>2</v>
      </c>
      <c r="AA19" s="3">
        <f t="shared" si="13"/>
        <v>0</v>
      </c>
      <c r="AB19" s="40" t="s">
        <v>193</v>
      </c>
      <c r="AC19" s="40"/>
      <c r="AD19" s="40"/>
      <c r="AE19" s="40"/>
      <c r="AF19" s="40"/>
      <c r="AT19" s="58" t="s">
        <v>209</v>
      </c>
      <c r="AU19" s="58"/>
      <c r="AV19" s="58"/>
    </row>
    <row r="20" spans="2:48" x14ac:dyDescent="0.3">
      <c r="B20" s="34" t="s">
        <v>210</v>
      </c>
      <c r="C20" s="46">
        <f>SUM(C23,-C24,C25)</f>
        <v>21</v>
      </c>
      <c r="D20" s="46"/>
      <c r="E20" s="46"/>
      <c r="F20" s="46"/>
      <c r="G20" t="s">
        <v>211</v>
      </c>
      <c r="H20" s="39" t="str">
        <f>REPT("•",COUNTIF($L20:$V20,"•"))</f>
        <v>••</v>
      </c>
      <c r="I20" s="3" t="str">
        <f>H20&amp;REPT("•",COUNTIF($L20:$U20,"F"))&amp;REPT("•",COUNTIF($L20:$U20,"M"))</f>
        <v>••</v>
      </c>
      <c r="J20"/>
      <c r="K20"/>
      <c r="L20" s="40" t="s">
        <v>193</v>
      </c>
      <c r="M20" s="40" t="s">
        <v>193</v>
      </c>
      <c r="N20" s="40"/>
      <c r="O20" s="40"/>
      <c r="P20" s="40"/>
      <c r="Q20" s="40"/>
      <c r="R20" s="40"/>
      <c r="S20" s="40"/>
      <c r="T20" s="40"/>
      <c r="U20" s="40"/>
      <c r="W20" s="3" t="s">
        <v>36</v>
      </c>
      <c r="X20" s="39" t="str">
        <f t="shared" si="14"/>
        <v/>
      </c>
      <c r="Y20" s="3" t="str">
        <f t="shared" si="12"/>
        <v/>
      </c>
      <c r="Z20" s="3">
        <f t="shared" si="15"/>
        <v>3</v>
      </c>
      <c r="AA20" s="3">
        <f t="shared" si="13"/>
        <v>0</v>
      </c>
      <c r="AB20" s="40"/>
      <c r="AC20" s="40"/>
      <c r="AD20" s="40"/>
      <c r="AE20" s="40"/>
      <c r="AF20" s="40"/>
      <c r="AT20" s="58"/>
      <c r="AU20" s="58"/>
      <c r="AV20" s="58"/>
    </row>
    <row r="21" spans="2:48" x14ac:dyDescent="0.3">
      <c r="B21" s="34" t="s">
        <v>212</v>
      </c>
      <c r="C21" s="46">
        <f>SUM(C12:C18)</f>
        <v>0</v>
      </c>
      <c r="D21" s="46">
        <f>SUM(D12:D18)</f>
        <v>0</v>
      </c>
      <c r="E21" s="46"/>
      <c r="F21" s="46"/>
      <c r="G21" t="s">
        <v>213</v>
      </c>
      <c r="H21" s="39" t="str">
        <f>REPT("•",COUNTIF($L24:$V24,"•"))</f>
        <v>•</v>
      </c>
      <c r="I21" s="3" t="str">
        <f>H21&amp;REPT("•",COUNTIF($L24:$U24,"F"))&amp;REPT("•",COUNTIF($L24:$U24,"M"))</f>
        <v>•</v>
      </c>
      <c r="J21"/>
      <c r="K21"/>
      <c r="L21" s="40" t="s">
        <v>193</v>
      </c>
      <c r="M21" s="40" t="s">
        <v>193</v>
      </c>
      <c r="N21" s="40"/>
      <c r="O21" s="40"/>
      <c r="P21" s="40"/>
      <c r="Q21" s="40"/>
      <c r="R21" s="40"/>
      <c r="S21" s="40"/>
      <c r="W21" s="3" t="s">
        <v>37</v>
      </c>
      <c r="X21" s="39" t="str">
        <f t="shared" si="14"/>
        <v/>
      </c>
      <c r="Y21" s="3" t="str">
        <f t="shared" si="12"/>
        <v/>
      </c>
      <c r="Z21" s="3">
        <f t="shared" si="15"/>
        <v>3</v>
      </c>
      <c r="AA21" s="3">
        <f t="shared" si="13"/>
        <v>0</v>
      </c>
      <c r="AB21" s="40"/>
      <c r="AC21" s="40"/>
      <c r="AD21" s="40"/>
      <c r="AE21" s="40"/>
      <c r="AF21" s="40"/>
      <c r="AT21" s="58"/>
      <c r="AU21" s="58"/>
      <c r="AV21" s="58"/>
    </row>
    <row r="22" spans="2:48" x14ac:dyDescent="0.3">
      <c r="B22" s="46"/>
      <c r="C22" s="46"/>
      <c r="D22" s="46"/>
      <c r="E22" s="46"/>
      <c r="F22" s="46"/>
      <c r="G22" t="s">
        <v>214</v>
      </c>
      <c r="H22" s="39" t="str">
        <f>REPT("•",COUNTIF($N21:$V21,"•"))</f>
        <v/>
      </c>
      <c r="I22" s="3" t="str">
        <f>H22&amp;REPT("•",COUNTIF($N21:$U21,"F"))&amp;REPT("•",COUNTIF($N21:$U21,"M"))</f>
        <v/>
      </c>
      <c r="J22"/>
      <c r="K22"/>
      <c r="L22" s="40" t="s">
        <v>193</v>
      </c>
      <c r="M22" s="40"/>
      <c r="N22" s="40"/>
      <c r="O22" s="40"/>
      <c r="P22" s="40"/>
      <c r="Q22" s="40"/>
      <c r="R22" s="40"/>
      <c r="S22" s="40"/>
      <c r="T22" s="40"/>
      <c r="U22" s="40"/>
      <c r="W22" s="3" t="s">
        <v>38</v>
      </c>
      <c r="X22" s="39" t="str">
        <f t="shared" si="14"/>
        <v>•••</v>
      </c>
      <c r="Y22" s="3" t="str">
        <f t="shared" si="12"/>
        <v>•••</v>
      </c>
      <c r="Z22" s="3">
        <f t="shared" si="15"/>
        <v>6</v>
      </c>
      <c r="AA22" s="3">
        <f t="shared" si="13"/>
        <v>0</v>
      </c>
      <c r="AB22" s="40" t="s">
        <v>193</v>
      </c>
      <c r="AC22" s="40" t="s">
        <v>193</v>
      </c>
      <c r="AD22" s="40" t="s">
        <v>193</v>
      </c>
      <c r="AE22" s="40"/>
      <c r="AF22" s="40"/>
    </row>
    <row r="23" spans="2:48" x14ac:dyDescent="0.3">
      <c r="B23" s="46" t="s">
        <v>215</v>
      </c>
      <c r="C23" s="46">
        <v>15</v>
      </c>
      <c r="D23" s="46"/>
      <c r="E23" s="46"/>
      <c r="F23" s="46"/>
      <c r="G23" t="s">
        <v>216</v>
      </c>
      <c r="H23" s="39" t="str">
        <f>REPT("•",COUNTIF($N22:$V22,"•"))</f>
        <v/>
      </c>
      <c r="I23" s="3" t="str">
        <f>H23&amp;REPT("•",COUNTIF($N22:$U22,"F"))&amp;REPT("•",COUNTIF($N22:$U22,"M"))</f>
        <v/>
      </c>
      <c r="J23"/>
      <c r="K23"/>
      <c r="L23" s="40" t="s">
        <v>193</v>
      </c>
      <c r="M23" s="40"/>
      <c r="N23" s="40"/>
      <c r="O23" s="40"/>
      <c r="P23" s="40"/>
      <c r="Q23" s="40"/>
      <c r="R23" s="40"/>
      <c r="S23" s="40"/>
      <c r="T23" s="40"/>
      <c r="U23" s="40"/>
      <c r="W23" s="3" t="s">
        <v>39</v>
      </c>
      <c r="X23" s="39" t="str">
        <f t="shared" si="14"/>
        <v>•••</v>
      </c>
      <c r="Y23" s="3" t="str">
        <f t="shared" si="12"/>
        <v>•••</v>
      </c>
      <c r="Z23" s="3">
        <f t="shared" si="15"/>
        <v>6</v>
      </c>
      <c r="AA23" s="3">
        <f t="shared" si="13"/>
        <v>0</v>
      </c>
      <c r="AB23" s="40" t="s">
        <v>193</v>
      </c>
      <c r="AC23" s="40" t="s">
        <v>193</v>
      </c>
      <c r="AD23" s="40" t="s">
        <v>193</v>
      </c>
      <c r="AE23" s="40"/>
      <c r="AF23" s="40"/>
    </row>
    <row r="24" spans="2:48" x14ac:dyDescent="0.3">
      <c r="B24" s="46" t="s">
        <v>217</v>
      </c>
      <c r="C24" s="46">
        <v>2</v>
      </c>
      <c r="D24" s="46"/>
      <c r="E24" s="46"/>
      <c r="F24" s="46"/>
      <c r="G24" t="s">
        <v>218</v>
      </c>
      <c r="H24" s="39" t="str">
        <f>REPT("•",COUNTIF($N23:$V23,"•"))</f>
        <v/>
      </c>
      <c r="I24" s="3" t="str">
        <f>H24&amp;REPT("•",COUNTIF($N23:$U23,"F"))&amp;REPT("•",COUNTIF($N23:$U23,"M"))</f>
        <v/>
      </c>
      <c r="J24"/>
      <c r="K24"/>
      <c r="L24" s="40" t="s">
        <v>193</v>
      </c>
      <c r="N24" s="40"/>
      <c r="O24" s="40"/>
      <c r="P24" s="40"/>
      <c r="Q24" s="40"/>
      <c r="R24" s="40"/>
      <c r="S24" s="40"/>
      <c r="T24" s="40"/>
      <c r="U24" s="40"/>
      <c r="W24" s="35" t="s">
        <v>40</v>
      </c>
      <c r="X24" s="36"/>
      <c r="Y24" s="35"/>
      <c r="Z24" s="35"/>
      <c r="AA24" s="35">
        <f>SUM(AA25:AA34)</f>
        <v>0</v>
      </c>
      <c r="AB24" s="37">
        <f>COUNTIF($AB25:$AF34,"•")</f>
        <v>9</v>
      </c>
      <c r="AC24" s="37"/>
      <c r="AD24" s="37"/>
      <c r="AE24" s="37"/>
      <c r="AF24" s="37"/>
    </row>
    <row r="25" spans="2:48" x14ac:dyDescent="0.3">
      <c r="B25" s="46" t="s">
        <v>219</v>
      </c>
      <c r="C25" s="46">
        <v>8</v>
      </c>
      <c r="D25" s="46"/>
      <c r="N25" s="40"/>
      <c r="O25" s="40"/>
      <c r="P25" s="40"/>
      <c r="T25" s="40"/>
      <c r="U25" s="40"/>
      <c r="W25" s="5" t="s">
        <v>41</v>
      </c>
      <c r="X25" s="39" t="str">
        <f>REPT("•",COUNTIF($AB25:$AF25,"•"))</f>
        <v/>
      </c>
      <c r="Y25" s="3" t="str">
        <f t="shared" ref="Y25:Y34" si="16">X25&amp;REPT("•",COUNTIF($AB25:$AF25,"F"))&amp;REPT("•",COUNTIF($AB25:$AF25,"M"))</f>
        <v/>
      </c>
      <c r="Z25" s="3">
        <f>IF(LEN(X25)=0,3,2*LEN(X25))</f>
        <v>3</v>
      </c>
      <c r="AA25" s="3">
        <f t="shared" ref="AA25:AA34" si="17">COUNTIF($AB25:$AR25,"F")*Z25</f>
        <v>0</v>
      </c>
      <c r="AB25" s="40"/>
      <c r="AC25" s="40"/>
      <c r="AD25" s="40"/>
      <c r="AE25" s="40"/>
      <c r="AF25" s="40"/>
    </row>
    <row r="26" spans="2:48" x14ac:dyDescent="0.3">
      <c r="N26" s="40"/>
      <c r="O26" s="40"/>
      <c r="P26" s="40"/>
      <c r="Q26" s="40"/>
      <c r="R26" s="40"/>
      <c r="S26" s="40"/>
      <c r="T26" s="40"/>
      <c r="U26" s="40"/>
      <c r="V26" s="40"/>
      <c r="W26" s="3" t="s">
        <v>42</v>
      </c>
      <c r="X26" s="39" t="str">
        <f t="shared" ref="X26:X34" si="18">REPT("•",COUNTIF($AB26:$AF26,"•"))</f>
        <v>••</v>
      </c>
      <c r="Y26" s="3" t="str">
        <f t="shared" si="16"/>
        <v>••</v>
      </c>
      <c r="Z26" s="3">
        <f t="shared" ref="Z26:Z34" si="19">IF(LEN(X26)=0,3,2*LEN(X26))</f>
        <v>4</v>
      </c>
      <c r="AA26" s="3">
        <f t="shared" si="17"/>
        <v>0</v>
      </c>
      <c r="AB26" s="40" t="s">
        <v>193</v>
      </c>
      <c r="AC26" s="40" t="s">
        <v>193</v>
      </c>
      <c r="AD26" s="40"/>
      <c r="AE26" s="40"/>
      <c r="AF26" s="40"/>
    </row>
    <row r="27" spans="2:48" x14ac:dyDescent="0.3">
      <c r="W27" s="3" t="s">
        <v>43</v>
      </c>
      <c r="X27" s="39" t="str">
        <f t="shared" si="18"/>
        <v>•</v>
      </c>
      <c r="Y27" s="3" t="str">
        <f t="shared" si="16"/>
        <v>•</v>
      </c>
      <c r="Z27" s="3">
        <f t="shared" si="19"/>
        <v>2</v>
      </c>
      <c r="AA27" s="3">
        <f t="shared" si="17"/>
        <v>0</v>
      </c>
      <c r="AB27" s="40" t="s">
        <v>193</v>
      </c>
      <c r="AC27" s="40"/>
      <c r="AD27" s="40"/>
      <c r="AE27" s="40"/>
      <c r="AF27" s="40"/>
    </row>
    <row r="28" spans="2:48" x14ac:dyDescent="0.3">
      <c r="U28" s="40"/>
      <c r="W28" s="5" t="s">
        <v>44</v>
      </c>
      <c r="X28" s="39" t="str">
        <f t="shared" si="18"/>
        <v/>
      </c>
      <c r="Y28" s="3" t="str">
        <f t="shared" si="16"/>
        <v/>
      </c>
      <c r="Z28" s="3">
        <f t="shared" si="19"/>
        <v>3</v>
      </c>
      <c r="AA28" s="3">
        <f t="shared" si="17"/>
        <v>0</v>
      </c>
      <c r="AB28" s="40"/>
      <c r="AC28" s="40"/>
      <c r="AD28" s="40"/>
      <c r="AE28" s="40"/>
      <c r="AF28" s="40"/>
    </row>
    <row r="29" spans="2:48" x14ac:dyDescent="0.3">
      <c r="W29" s="5" t="s">
        <v>45</v>
      </c>
      <c r="X29" s="39" t="str">
        <f t="shared" si="18"/>
        <v>••</v>
      </c>
      <c r="Y29" s="3" t="str">
        <f t="shared" si="16"/>
        <v>••</v>
      </c>
      <c r="Z29" s="3">
        <f t="shared" si="19"/>
        <v>4</v>
      </c>
      <c r="AA29" s="3">
        <f t="shared" si="17"/>
        <v>0</v>
      </c>
      <c r="AB29" s="40" t="s">
        <v>193</v>
      </c>
      <c r="AC29" s="40" t="s">
        <v>193</v>
      </c>
      <c r="AD29" s="40"/>
      <c r="AE29" s="40"/>
      <c r="AF29" s="40"/>
    </row>
    <row r="30" spans="2:48" x14ac:dyDescent="0.3">
      <c r="W30" s="3" t="s">
        <v>46</v>
      </c>
      <c r="X30" s="39" t="str">
        <f t="shared" si="18"/>
        <v>•••</v>
      </c>
      <c r="Y30" s="3" t="str">
        <f t="shared" si="16"/>
        <v>•••</v>
      </c>
      <c r="Z30" s="3">
        <f t="shared" si="19"/>
        <v>6</v>
      </c>
      <c r="AA30" s="3">
        <f t="shared" si="17"/>
        <v>0</v>
      </c>
      <c r="AB30" s="40" t="s">
        <v>193</v>
      </c>
      <c r="AC30" s="40" t="s">
        <v>193</v>
      </c>
      <c r="AD30" s="40" t="s">
        <v>193</v>
      </c>
      <c r="AE30" s="40"/>
      <c r="AF30" s="40"/>
    </row>
    <row r="31" spans="2:48" x14ac:dyDescent="0.3">
      <c r="W31" s="3" t="s">
        <v>47</v>
      </c>
      <c r="X31" s="39" t="str">
        <f t="shared" si="18"/>
        <v/>
      </c>
      <c r="Y31" s="3" t="str">
        <f t="shared" si="16"/>
        <v/>
      </c>
      <c r="Z31" s="3">
        <f t="shared" si="19"/>
        <v>3</v>
      </c>
      <c r="AA31" s="3">
        <f t="shared" si="17"/>
        <v>0</v>
      </c>
      <c r="AB31" s="40"/>
      <c r="AC31" s="40"/>
      <c r="AD31" s="40"/>
      <c r="AE31" s="40"/>
      <c r="AF31" s="40"/>
    </row>
    <row r="32" spans="2:48" x14ac:dyDescent="0.3">
      <c r="W32" s="6" t="s">
        <v>48</v>
      </c>
      <c r="X32" s="39" t="str">
        <f t="shared" si="18"/>
        <v/>
      </c>
      <c r="Y32" s="3" t="str">
        <f t="shared" si="16"/>
        <v/>
      </c>
      <c r="Z32" s="3">
        <f t="shared" si="19"/>
        <v>3</v>
      </c>
      <c r="AA32" s="3">
        <f t="shared" si="17"/>
        <v>0</v>
      </c>
      <c r="AB32" s="40"/>
      <c r="AC32" s="40"/>
      <c r="AD32" s="40"/>
      <c r="AE32" s="40"/>
      <c r="AF32" s="40"/>
    </row>
    <row r="33" spans="7:32" x14ac:dyDescent="0.3">
      <c r="W33" s="4" t="s">
        <v>49</v>
      </c>
      <c r="X33" s="39" t="str">
        <f t="shared" si="18"/>
        <v>•</v>
      </c>
      <c r="Y33" s="3" t="str">
        <f t="shared" si="16"/>
        <v>•</v>
      </c>
      <c r="Z33" s="3">
        <f t="shared" si="19"/>
        <v>2</v>
      </c>
      <c r="AA33" s="3">
        <f t="shared" si="17"/>
        <v>0</v>
      </c>
      <c r="AB33" s="40" t="s">
        <v>193</v>
      </c>
      <c r="AC33" s="40"/>
      <c r="AD33" s="40"/>
      <c r="AE33" s="40"/>
      <c r="AF33" s="40"/>
    </row>
    <row r="34" spans="7:32" x14ac:dyDescent="0.3">
      <c r="W34" s="5" t="s">
        <v>50</v>
      </c>
      <c r="X34" s="39" t="str">
        <f t="shared" si="18"/>
        <v/>
      </c>
      <c r="Y34" s="3" t="str">
        <f t="shared" si="16"/>
        <v/>
      </c>
      <c r="Z34" s="3">
        <f t="shared" si="19"/>
        <v>3</v>
      </c>
      <c r="AA34" s="3">
        <f t="shared" si="17"/>
        <v>0</v>
      </c>
      <c r="AB34" s="40"/>
      <c r="AC34" s="40"/>
      <c r="AD34" s="40"/>
      <c r="AE34" s="40"/>
      <c r="AF34" s="40"/>
    </row>
    <row r="35" spans="7:32" x14ac:dyDescent="0.3">
      <c r="W35"/>
      <c r="X35"/>
      <c r="Y35"/>
      <c r="Z35"/>
      <c r="AA35"/>
      <c r="AB35"/>
      <c r="AC35"/>
      <c r="AD35"/>
      <c r="AE35"/>
      <c r="AF35"/>
    </row>
    <row r="36" spans="7:32" x14ac:dyDescent="0.3">
      <c r="W36"/>
      <c r="X36"/>
      <c r="Y36"/>
      <c r="Z36"/>
      <c r="AA36"/>
      <c r="AB36"/>
      <c r="AC36"/>
      <c r="AD36"/>
      <c r="AE36"/>
      <c r="AF36"/>
    </row>
    <row r="37" spans="7:32" x14ac:dyDescent="0.3">
      <c r="W37"/>
      <c r="X37"/>
      <c r="Y37"/>
      <c r="Z37"/>
      <c r="AA37"/>
      <c r="AB37"/>
      <c r="AC37"/>
      <c r="AD37"/>
      <c r="AE37"/>
      <c r="AF37"/>
    </row>
    <row r="38" spans="7:32" x14ac:dyDescent="0.3">
      <c r="W38"/>
      <c r="X38"/>
      <c r="Y38"/>
      <c r="Z38"/>
      <c r="AA38"/>
      <c r="AB38"/>
      <c r="AC38"/>
      <c r="AD38"/>
      <c r="AE38"/>
      <c r="AF38"/>
    </row>
    <row r="39" spans="7:32" x14ac:dyDescent="0.3">
      <c r="W39"/>
      <c r="X39"/>
      <c r="Y39"/>
      <c r="Z39"/>
      <c r="AA39"/>
      <c r="AB39"/>
      <c r="AC39"/>
      <c r="AD39"/>
      <c r="AE39"/>
      <c r="AF39"/>
    </row>
    <row r="40" spans="7:32" x14ac:dyDescent="0.3">
      <c r="W40"/>
      <c r="X40"/>
      <c r="Y40"/>
      <c r="Z40"/>
      <c r="AA40"/>
      <c r="AB40"/>
      <c r="AC40"/>
      <c r="AD40"/>
      <c r="AE40"/>
      <c r="AF40"/>
    </row>
    <row r="41" spans="7:32" x14ac:dyDescent="0.3">
      <c r="W41"/>
      <c r="X41"/>
      <c r="Y41"/>
      <c r="Z41"/>
      <c r="AA41"/>
      <c r="AB41"/>
      <c r="AC41"/>
      <c r="AD41"/>
      <c r="AE41"/>
      <c r="AF41"/>
    </row>
    <row r="42" spans="7:32" x14ac:dyDescent="0.3">
      <c r="W42"/>
      <c r="X42"/>
      <c r="Y42"/>
      <c r="Z42"/>
      <c r="AA42"/>
      <c r="AB42"/>
      <c r="AC42"/>
      <c r="AD42"/>
      <c r="AE42"/>
      <c r="AF42"/>
    </row>
    <row r="43" spans="7:32" x14ac:dyDescent="0.3">
      <c r="G43" s="32" t="s">
        <v>220</v>
      </c>
      <c r="H43" s="33">
        <v>6</v>
      </c>
      <c r="I43" s="33">
        <v>7</v>
      </c>
      <c r="J43" s="33">
        <v>6</v>
      </c>
      <c r="K43" s="33">
        <v>7</v>
      </c>
      <c r="L43" s="33">
        <v>6</v>
      </c>
      <c r="W43"/>
      <c r="X43"/>
      <c r="Y43"/>
      <c r="Z43"/>
      <c r="AA43"/>
      <c r="AB43"/>
      <c r="AC43"/>
      <c r="AD43"/>
      <c r="AE43"/>
      <c r="AF43"/>
    </row>
    <row r="44" spans="7:32" x14ac:dyDescent="0.3">
      <c r="G44" s="32" t="s">
        <v>0</v>
      </c>
      <c r="H44" s="33" t="s">
        <v>221</v>
      </c>
      <c r="I44" s="33" t="s">
        <v>222</v>
      </c>
      <c r="J44" s="33" t="s">
        <v>223</v>
      </c>
      <c r="K44" s="33" t="s">
        <v>224</v>
      </c>
      <c r="L44" s="33" t="s">
        <v>225</v>
      </c>
      <c r="W44"/>
      <c r="X44"/>
      <c r="Y44"/>
      <c r="Z44"/>
      <c r="AA44"/>
      <c r="AB44"/>
      <c r="AC44"/>
      <c r="AD44"/>
      <c r="AE44"/>
      <c r="AF44"/>
    </row>
    <row r="45" spans="7:32" x14ac:dyDescent="0.3">
      <c r="G45" s="35" t="s">
        <v>2</v>
      </c>
      <c r="H45" s="55"/>
      <c r="I45" s="37"/>
      <c r="J45" s="37"/>
      <c r="K45" s="37"/>
      <c r="L45" s="55"/>
    </row>
    <row r="46" spans="7:32" x14ac:dyDescent="0.3">
      <c r="G46" s="3" t="s">
        <v>4</v>
      </c>
      <c r="H46" s="1">
        <f>COUNTIF($L3:$V3,"•")</f>
        <v>3</v>
      </c>
      <c r="I46" s="1">
        <f t="shared" ref="I46:L48" si="20">$H46+N46</f>
        <v>5</v>
      </c>
      <c r="J46" s="1">
        <f t="shared" si="20"/>
        <v>6</v>
      </c>
      <c r="K46" s="1">
        <f t="shared" si="20"/>
        <v>7</v>
      </c>
      <c r="L46" s="1">
        <f t="shared" si="20"/>
        <v>6</v>
      </c>
      <c r="M46" s="56"/>
      <c r="N46" s="56">
        <v>2</v>
      </c>
      <c r="O46" s="56">
        <v>3</v>
      </c>
      <c r="P46" s="56">
        <v>4</v>
      </c>
      <c r="Q46" s="56">
        <v>3</v>
      </c>
    </row>
    <row r="47" spans="7:32" x14ac:dyDescent="0.3">
      <c r="G47" s="3" t="s">
        <v>6</v>
      </c>
      <c r="H47" s="1">
        <f>COUNTIF($L4:$V4,"•")</f>
        <v>4</v>
      </c>
      <c r="I47" s="1">
        <f t="shared" si="20"/>
        <v>5</v>
      </c>
      <c r="J47" s="1">
        <f t="shared" si="20"/>
        <v>6</v>
      </c>
      <c r="K47" s="1">
        <f t="shared" si="20"/>
        <v>6</v>
      </c>
      <c r="L47" s="1">
        <f t="shared" si="20"/>
        <v>6</v>
      </c>
      <c r="M47" s="56"/>
      <c r="N47" s="56">
        <v>1</v>
      </c>
      <c r="O47" s="56">
        <v>2</v>
      </c>
      <c r="P47" s="56">
        <v>2</v>
      </c>
      <c r="Q47" s="56">
        <v>2</v>
      </c>
    </row>
    <row r="48" spans="7:32" x14ac:dyDescent="0.3">
      <c r="G48" s="3" t="s">
        <v>8</v>
      </c>
      <c r="H48" s="1">
        <f>COUNTIF($L5:$V5,"•")</f>
        <v>3</v>
      </c>
      <c r="I48" s="1">
        <f t="shared" si="20"/>
        <v>4</v>
      </c>
      <c r="J48" s="1">
        <f t="shared" si="20"/>
        <v>6</v>
      </c>
      <c r="K48" s="1">
        <f t="shared" si="20"/>
        <v>6</v>
      </c>
      <c r="L48" s="1">
        <f t="shared" si="20"/>
        <v>5</v>
      </c>
      <c r="M48" s="56"/>
      <c r="N48" s="56">
        <v>1</v>
      </c>
      <c r="O48" s="56">
        <v>3</v>
      </c>
      <c r="P48" s="56">
        <v>3</v>
      </c>
      <c r="Q48" s="56">
        <v>2</v>
      </c>
    </row>
    <row r="49" spans="7:17" x14ac:dyDescent="0.3">
      <c r="G49" s="35" t="s">
        <v>10</v>
      </c>
      <c r="H49" s="55"/>
      <c r="I49" s="37"/>
      <c r="J49" s="37"/>
      <c r="K49" s="37"/>
      <c r="L49" s="55"/>
    </row>
    <row r="50" spans="7:17" x14ac:dyDescent="0.3">
      <c r="G50" s="3" t="s">
        <v>13</v>
      </c>
      <c r="H50" s="1">
        <f>COUNTIF($L7:$V7,"•")</f>
        <v>3</v>
      </c>
      <c r="I50" s="1">
        <f t="shared" ref="I50:L52" si="21">$H50+N50</f>
        <v>3</v>
      </c>
      <c r="J50" s="1">
        <f t="shared" si="21"/>
        <v>3</v>
      </c>
      <c r="K50" s="1">
        <f t="shared" si="21"/>
        <v>3</v>
      </c>
      <c r="L50" s="1">
        <f t="shared" si="21"/>
        <v>3</v>
      </c>
      <c r="M50" s="56"/>
      <c r="N50" s="56"/>
      <c r="O50" s="56"/>
      <c r="P50" s="56"/>
      <c r="Q50" s="56"/>
    </row>
    <row r="51" spans="7:17" x14ac:dyDescent="0.3">
      <c r="G51" s="3" t="s">
        <v>16</v>
      </c>
      <c r="H51" s="1">
        <f>COUNTIF($L8:$V8,"•")</f>
        <v>1</v>
      </c>
      <c r="I51" s="1">
        <f t="shared" si="21"/>
        <v>0</v>
      </c>
      <c r="J51" s="1">
        <f t="shared" si="21"/>
        <v>-2</v>
      </c>
      <c r="K51" s="1">
        <f t="shared" si="21"/>
        <v>-2</v>
      </c>
      <c r="L51" s="1">
        <f t="shared" si="21"/>
        <v>-2</v>
      </c>
      <c r="M51" s="56"/>
      <c r="N51" s="56">
        <v>-1</v>
      </c>
      <c r="O51" s="56">
        <v>-3</v>
      </c>
      <c r="P51" s="56">
        <v>-3</v>
      </c>
      <c r="Q51" s="56">
        <v>-3</v>
      </c>
    </row>
    <row r="52" spans="7:17" x14ac:dyDescent="0.3">
      <c r="G52" s="3" t="s">
        <v>18</v>
      </c>
      <c r="H52" s="1">
        <f>COUNTIF($L9:$V9,"•")</f>
        <v>2</v>
      </c>
      <c r="I52" s="1">
        <f t="shared" si="21"/>
        <v>1</v>
      </c>
      <c r="J52" s="1">
        <f t="shared" si="21"/>
        <v>0</v>
      </c>
      <c r="K52" s="1">
        <f t="shared" si="21"/>
        <v>0</v>
      </c>
      <c r="L52" s="1">
        <f t="shared" si="21"/>
        <v>2</v>
      </c>
      <c r="M52" s="56"/>
      <c r="N52" s="56">
        <v>-1</v>
      </c>
      <c r="O52" s="56">
        <f>-H52</f>
        <v>-2</v>
      </c>
      <c r="P52" s="56">
        <f>-H52</f>
        <v>-2</v>
      </c>
      <c r="Q52" s="56"/>
    </row>
    <row r="53" spans="7:17" x14ac:dyDescent="0.3">
      <c r="G53" s="35" t="s">
        <v>20</v>
      </c>
      <c r="H53" s="55"/>
      <c r="I53" s="37"/>
      <c r="J53" s="37"/>
      <c r="K53" s="37"/>
      <c r="L53" s="55"/>
    </row>
    <row r="54" spans="7:17" x14ac:dyDescent="0.3">
      <c r="G54" s="3" t="s">
        <v>22</v>
      </c>
      <c r="H54" s="1">
        <f>COUNTIF($L11:$V11,"•")</f>
        <v>3</v>
      </c>
      <c r="I54" s="1">
        <f t="shared" ref="I54:L56" si="22">$H54+N54</f>
        <v>3</v>
      </c>
      <c r="J54" s="1">
        <f t="shared" si="22"/>
        <v>3</v>
      </c>
      <c r="K54" s="1">
        <f t="shared" si="22"/>
        <v>3</v>
      </c>
      <c r="L54" s="1">
        <f t="shared" si="22"/>
        <v>3</v>
      </c>
      <c r="M54" s="56"/>
      <c r="N54" s="56"/>
      <c r="O54" s="56"/>
      <c r="P54" s="56"/>
      <c r="Q54" s="56"/>
    </row>
    <row r="55" spans="7:17" x14ac:dyDescent="0.3">
      <c r="G55" s="3" t="s">
        <v>24</v>
      </c>
      <c r="H55" s="1">
        <f>COUNTIF($L12:$V12,"•")</f>
        <v>2</v>
      </c>
      <c r="I55" s="1">
        <f t="shared" si="22"/>
        <v>2</v>
      </c>
      <c r="J55" s="1">
        <f t="shared" si="22"/>
        <v>2</v>
      </c>
      <c r="K55" s="1">
        <f t="shared" si="22"/>
        <v>2</v>
      </c>
      <c r="L55" s="1">
        <f t="shared" si="22"/>
        <v>2</v>
      </c>
      <c r="M55" s="56"/>
      <c r="N55" s="56"/>
      <c r="O55" s="56"/>
      <c r="P55" s="56"/>
      <c r="Q55" s="56"/>
    </row>
    <row r="56" spans="7:17" x14ac:dyDescent="0.3">
      <c r="G56" s="3" t="s">
        <v>26</v>
      </c>
      <c r="H56" s="1">
        <f>COUNTIF($L13:$V13,"•")</f>
        <v>3</v>
      </c>
      <c r="I56" s="1">
        <f t="shared" si="22"/>
        <v>3</v>
      </c>
      <c r="J56" s="1">
        <f t="shared" si="22"/>
        <v>3</v>
      </c>
      <c r="K56" s="1">
        <f t="shared" si="22"/>
        <v>3</v>
      </c>
      <c r="L56" s="1">
        <f t="shared" si="22"/>
        <v>3</v>
      </c>
      <c r="M56" s="56"/>
      <c r="N56" s="56"/>
      <c r="O56" s="56"/>
      <c r="P56" s="56"/>
      <c r="Q56" s="56"/>
    </row>
  </sheetData>
  <mergeCells count="9">
    <mergeCell ref="D7:E7"/>
    <mergeCell ref="D8:E8"/>
    <mergeCell ref="AT19:AV21"/>
    <mergeCell ref="D1:E1"/>
    <mergeCell ref="D2:E2"/>
    <mergeCell ref="D3:E3"/>
    <mergeCell ref="D4:E4"/>
    <mergeCell ref="D5:E5"/>
    <mergeCell ref="D6:E6"/>
  </mergeCells>
  <conditionalFormatting sqref="C11:D11">
    <cfRule type="cellIs" dxfId="43" priority="14" operator="equal">
      <formula>"F"</formula>
    </cfRule>
    <cfRule type="cellIs" dxfId="42" priority="15" operator="equal">
      <formula>"•"</formula>
    </cfRule>
    <cfRule type="cellIs" dxfId="41" priority="16" operator="equal">
      <formula>"@"</formula>
    </cfRule>
  </conditionalFormatting>
  <conditionalFormatting sqref="C12:D18">
    <cfRule type="cellIs" dxfId="40" priority="13" operator="equal">
      <formula>0</formula>
    </cfRule>
  </conditionalFormatting>
  <conditionalFormatting sqref="H14 L19:U20 L21:M23 N21:U24 L22:L24 N25:T25 N26:P26">
    <cfRule type="cellIs" dxfId="39" priority="21" operator="equal">
      <formula>"•"</formula>
    </cfRule>
    <cfRule type="cellIs" dxfId="38" priority="22" operator="equal">
      <formula>"@"</formula>
    </cfRule>
  </conditionalFormatting>
  <conditionalFormatting sqref="H18">
    <cfRule type="cellIs" dxfId="37" priority="18" operator="equal">
      <formula>"•"</formula>
    </cfRule>
    <cfRule type="cellIs" dxfId="36" priority="19" operator="equal">
      <formula>"@"</formula>
    </cfRule>
  </conditionalFormatting>
  <conditionalFormatting sqref="I14">
    <cfRule type="cellIs" dxfId="35" priority="20" operator="equal">
      <formula>0</formula>
    </cfRule>
  </conditionalFormatting>
  <conditionalFormatting sqref="I18">
    <cfRule type="cellIs" dxfId="34" priority="17" operator="equal">
      <formula>0</formula>
    </cfRule>
  </conditionalFormatting>
  <conditionalFormatting sqref="L18:M18">
    <cfRule type="cellIs" dxfId="33" priority="24" operator="equal">
      <formula>0</formula>
    </cfRule>
  </conditionalFormatting>
  <conditionalFormatting sqref="L3:U5 AB3:AF12 L7:U9 L11:U13 L15:U17 L19:U21 M22:M23 L22:L24 N22:U24 N25:T25 U25:U26 N26:P26">
    <cfRule type="cellIs" dxfId="32" priority="25" operator="equal">
      <formula>"F"</formula>
    </cfRule>
  </conditionalFormatting>
  <conditionalFormatting sqref="L3:V5 AB3:AF12 N6:V6 L7:V9 N10:V10 L11:V13 AD13:AF13 L14 N14:U14 V14:V35 L15:U17 N18:U18 AD24:AF24 U25:U26">
    <cfRule type="cellIs" dxfId="31" priority="27" operator="equal">
      <formula>"•"</formula>
    </cfRule>
    <cfRule type="cellIs" dxfId="30" priority="28" operator="equal">
      <formula>"@"</formula>
    </cfRule>
  </conditionalFormatting>
  <conditionalFormatting sqref="M14">
    <cfRule type="cellIs" dxfId="29" priority="23" operator="equal">
      <formula>0</formula>
    </cfRule>
  </conditionalFormatting>
  <conditionalFormatting sqref="AA3:AA12 K3:K18 AA14:AA23 AA25:AA34">
    <cfRule type="cellIs" dxfId="28" priority="26" operator="equal">
      <formula>0</formula>
    </cfRule>
  </conditionalFormatting>
  <conditionalFormatting sqref="AB14:AF23">
    <cfRule type="cellIs" dxfId="27" priority="10" operator="equal">
      <formula>"F"</formula>
    </cfRule>
    <cfRule type="cellIs" dxfId="26" priority="11" operator="equal">
      <formula>"•"</formula>
    </cfRule>
    <cfRule type="cellIs" dxfId="25" priority="12" operator="equal">
      <formula>"@"</formula>
    </cfRule>
  </conditionalFormatting>
  <conditionalFormatting sqref="AB25:AF34">
    <cfRule type="cellIs" dxfId="24" priority="1" operator="equal">
      <formula>"F"</formula>
    </cfRule>
    <cfRule type="cellIs" dxfId="23" priority="2" operator="equal">
      <formula>"•"</formula>
    </cfRule>
    <cfRule type="cellIs" dxfId="22" priority="3" operator="equal">
      <formula>"@"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A947-52B3-41B8-B3FF-69C2BFE58AD5}">
  <dimension ref="B1:AX56"/>
  <sheetViews>
    <sheetView zoomScale="72" zoomScaleNormal="72" workbookViewId="0">
      <selection activeCell="C32" sqref="C32"/>
    </sheetView>
  </sheetViews>
  <sheetFormatPr defaultColWidth="8.77734375" defaultRowHeight="17.05" outlineLevelCol="1" x14ac:dyDescent="0.3"/>
  <cols>
    <col min="1" max="1" width="3.88671875" bestFit="1" customWidth="1"/>
    <col min="2" max="2" width="13.88671875" customWidth="1"/>
    <col min="3" max="3" width="16.77734375" bestFit="1" customWidth="1"/>
    <col min="4" max="4" width="17.44140625" bestFit="1" customWidth="1"/>
    <col min="5" max="5" width="10" customWidth="1"/>
    <col min="7" max="7" width="19.33203125" style="4" customWidth="1"/>
    <col min="8" max="8" width="7.88671875" style="54" bestFit="1" customWidth="1"/>
    <col min="9" max="9" width="10" style="4" bestFit="1" customWidth="1"/>
    <col min="10" max="10" width="8.77734375" style="4" customWidth="1" outlineLevel="1"/>
    <col min="11" max="11" width="12.5546875" style="4" customWidth="1" outlineLevel="1"/>
    <col min="12" max="12" width="9" style="53" bestFit="1" customWidth="1"/>
    <col min="13" max="13" width="9.33203125" style="53" customWidth="1"/>
    <col min="14" max="21" width="4.6640625" style="53" customWidth="1"/>
    <col min="22" max="22" width="4.6640625" style="4" customWidth="1"/>
    <col min="23" max="23" width="22.88671875" style="4" bestFit="1" customWidth="1"/>
    <col min="24" max="24" width="9.6640625" style="4" bestFit="1" customWidth="1"/>
    <col min="25" max="25" width="10" style="4" bestFit="1" customWidth="1"/>
    <col min="26" max="26" width="8.77734375" style="4" hidden="1" customWidth="1" outlineLevel="1"/>
    <col min="27" max="27" width="12.5546875" style="4" hidden="1" customWidth="1" outlineLevel="1"/>
    <col min="28" max="28" width="4.5546875" style="4" customWidth="1" collapsed="1"/>
    <col min="29" max="32" width="4.5546875" style="4" customWidth="1"/>
    <col min="33" max="33" width="4.5546875" customWidth="1"/>
    <col min="34" max="34" width="14.77734375" bestFit="1" customWidth="1"/>
    <col min="35" max="43" width="4.5546875" customWidth="1"/>
  </cols>
  <sheetData>
    <row r="1" spans="2:50" x14ac:dyDescent="0.3">
      <c r="B1" s="31" t="s">
        <v>175</v>
      </c>
      <c r="C1" s="31" t="s">
        <v>176</v>
      </c>
      <c r="D1" s="59" t="s">
        <v>177</v>
      </c>
      <c r="E1" s="59"/>
      <c r="G1" s="32" t="s">
        <v>0</v>
      </c>
      <c r="H1" s="32" t="s">
        <v>178</v>
      </c>
      <c r="I1" s="32" t="s">
        <v>179</v>
      </c>
      <c r="J1" s="32" t="s">
        <v>180</v>
      </c>
      <c r="K1" s="32" t="s">
        <v>181</v>
      </c>
      <c r="L1" s="33">
        <v>1</v>
      </c>
      <c r="M1" s="33">
        <v>2</v>
      </c>
      <c r="N1" s="33">
        <v>3</v>
      </c>
      <c r="O1" s="33">
        <v>4</v>
      </c>
      <c r="P1" s="33">
        <v>5</v>
      </c>
      <c r="Q1" s="33">
        <v>6</v>
      </c>
      <c r="R1" s="33">
        <v>7</v>
      </c>
      <c r="S1" s="33">
        <v>8</v>
      </c>
      <c r="T1" s="33">
        <v>9</v>
      </c>
      <c r="U1" s="33">
        <v>10</v>
      </c>
      <c r="W1" s="32" t="s">
        <v>1</v>
      </c>
      <c r="X1" s="32" t="s">
        <v>178</v>
      </c>
      <c r="Y1" s="32" t="s">
        <v>179</v>
      </c>
      <c r="Z1" s="32" t="s">
        <v>180</v>
      </c>
      <c r="AA1" s="32" t="s">
        <v>181</v>
      </c>
      <c r="AB1" s="33">
        <v>1</v>
      </c>
      <c r="AC1" s="33">
        <v>2</v>
      </c>
      <c r="AD1" s="33">
        <v>3</v>
      </c>
      <c r="AE1" s="33">
        <v>4</v>
      </c>
      <c r="AF1" s="33">
        <v>5</v>
      </c>
      <c r="AV1" s="34" t="s">
        <v>182</v>
      </c>
      <c r="AW1" s="34" t="s">
        <v>183</v>
      </c>
      <c r="AX1" t="s">
        <v>184</v>
      </c>
    </row>
    <row r="2" spans="2:50" x14ac:dyDescent="0.3">
      <c r="B2" s="34" t="s">
        <v>185</v>
      </c>
      <c r="C2" s="34" t="s">
        <v>186</v>
      </c>
      <c r="D2" s="57" t="s">
        <v>187</v>
      </c>
      <c r="E2" s="57"/>
      <c r="G2" s="35" t="s">
        <v>2</v>
      </c>
      <c r="H2" s="36" t="s">
        <v>188</v>
      </c>
      <c r="I2" s="35"/>
      <c r="J2" s="35"/>
      <c r="K2" s="35"/>
      <c r="L2" s="37">
        <f>COUNTIF($L3:$U5,"•")-3</f>
        <v>7</v>
      </c>
      <c r="M2" s="37">
        <f>COUNTIF($L3:$U5,"F")*5</f>
        <v>0</v>
      </c>
      <c r="N2" s="37"/>
      <c r="O2" s="37"/>
      <c r="P2" s="37"/>
      <c r="Q2" s="37"/>
      <c r="R2" s="37"/>
      <c r="S2" s="37"/>
      <c r="T2" s="37"/>
      <c r="U2" s="37"/>
      <c r="W2" s="35" t="s">
        <v>3</v>
      </c>
      <c r="X2" s="36" t="s">
        <v>189</v>
      </c>
      <c r="Y2" s="35"/>
      <c r="Z2" s="35"/>
      <c r="AA2" s="35">
        <f>SUM(AA3:AA12)</f>
        <v>6</v>
      </c>
      <c r="AB2" s="37">
        <f>COUNTIF($AB3:$AF12,"•")</f>
        <v>13</v>
      </c>
      <c r="AC2" s="37"/>
      <c r="AD2" s="37"/>
      <c r="AE2" s="37"/>
      <c r="AF2" s="37"/>
      <c r="AU2" t="str">
        <f t="shared" ref="AU2:AU16" si="0">"_"&amp;AV2&amp;AW2</f>
        <v>_01</v>
      </c>
      <c r="AV2">
        <v>0</v>
      </c>
      <c r="AW2">
        <v>1</v>
      </c>
      <c r="AX2" s="38">
        <v>3</v>
      </c>
    </row>
    <row r="3" spans="2:50" x14ac:dyDescent="0.3">
      <c r="B3" s="34" t="s">
        <v>190</v>
      </c>
      <c r="C3" s="34" t="s">
        <v>191</v>
      </c>
      <c r="D3" s="57" t="s">
        <v>192</v>
      </c>
      <c r="E3" s="57"/>
      <c r="G3" s="3" t="s">
        <v>4</v>
      </c>
      <c r="H3" s="39" t="str">
        <f>REPT("•",COUNTIF($L3:$V3,"•"))</f>
        <v>•••</v>
      </c>
      <c r="I3" s="3" t="str">
        <f>H3&amp;REPT("•",COUNTIF($L3:$U3,"F"))&amp;REPT("•",COUNTIF($L3:$U3,"M"))</f>
        <v>•••</v>
      </c>
      <c r="J3" s="3">
        <v>5</v>
      </c>
      <c r="K3" s="3">
        <f>IF(I3=H3,0,J3)</f>
        <v>0</v>
      </c>
      <c r="L3" s="40" t="s">
        <v>193</v>
      </c>
      <c r="M3" s="40" t="s">
        <v>193</v>
      </c>
      <c r="N3" s="40" t="s">
        <v>193</v>
      </c>
      <c r="O3" s="40"/>
      <c r="P3" s="40"/>
      <c r="Q3" s="40"/>
      <c r="R3" s="40"/>
      <c r="S3" s="40"/>
      <c r="T3" s="40"/>
      <c r="U3" s="40"/>
      <c r="W3" s="3" t="s">
        <v>5</v>
      </c>
      <c r="X3" s="39" t="str">
        <f>REPT("•",COUNTIF($AB3:$AF3,"•"))</f>
        <v>••</v>
      </c>
      <c r="Y3" s="3" t="str">
        <f t="shared" ref="Y3:Y12" si="1">X3&amp;REPT("•",COUNTIF($AB3:$AF3,"F"))&amp;REPT("•",COUNTIF($AB3:$AF3,"M"))</f>
        <v>••</v>
      </c>
      <c r="Z3" s="3">
        <v>2</v>
      </c>
      <c r="AA3" s="3">
        <f t="shared" ref="AA3:AA12" si="2">COUNTIF($AB3:$AR3,"F")*Z3</f>
        <v>0</v>
      </c>
      <c r="AB3" s="40" t="s">
        <v>193</v>
      </c>
      <c r="AC3" s="40" t="s">
        <v>193</v>
      </c>
      <c r="AD3" s="40"/>
      <c r="AE3" s="40"/>
      <c r="AF3" s="40"/>
      <c r="AU3" t="str">
        <f t="shared" si="0"/>
        <v>_02</v>
      </c>
      <c r="AV3">
        <v>0</v>
      </c>
      <c r="AW3">
        <v>2</v>
      </c>
      <c r="AX3" s="41">
        <f>3+(AW3-AV3)*(AW3+AV3-1)</f>
        <v>5</v>
      </c>
    </row>
    <row r="4" spans="2:50" x14ac:dyDescent="0.3">
      <c r="B4" s="34" t="s">
        <v>194</v>
      </c>
      <c r="C4" s="34" t="s">
        <v>195</v>
      </c>
      <c r="D4" s="57" t="s">
        <v>196</v>
      </c>
      <c r="E4" s="57"/>
      <c r="G4" s="42" t="s">
        <v>6</v>
      </c>
      <c r="H4" s="39" t="str">
        <f>REPT("•",COUNTIF($L4:$V4,"•"))</f>
        <v>••••</v>
      </c>
      <c r="I4" s="3" t="str">
        <f>H4&amp;REPT("•",COUNTIF($L4:$U4,"F"))&amp;REPT("•",COUNTIF($L4:$U4,"M"))</f>
        <v>••••</v>
      </c>
      <c r="J4" s="3">
        <v>5</v>
      </c>
      <c r="K4" s="3">
        <f t="shared" ref="K4:K5" si="3">IF(I4=H4,0,J4)</f>
        <v>0</v>
      </c>
      <c r="L4" s="40" t="s">
        <v>193</v>
      </c>
      <c r="M4" s="40" t="s">
        <v>193</v>
      </c>
      <c r="N4" s="40" t="s">
        <v>193</v>
      </c>
      <c r="O4" s="40" t="s">
        <v>193</v>
      </c>
      <c r="P4" s="40"/>
      <c r="Q4" s="40"/>
      <c r="R4" s="40"/>
      <c r="S4" s="40"/>
      <c r="T4" s="40"/>
      <c r="U4" s="40"/>
      <c r="W4" s="3" t="s">
        <v>7</v>
      </c>
      <c r="X4" s="39" t="str">
        <f t="shared" ref="X4:X12" si="4">REPT("•",COUNTIF($AB4:$AF4,"•"))</f>
        <v>•••</v>
      </c>
      <c r="Y4" s="3" t="str">
        <f t="shared" si="1"/>
        <v>•••</v>
      </c>
      <c r="Z4" s="3">
        <v>2</v>
      </c>
      <c r="AA4" s="3">
        <f t="shared" si="2"/>
        <v>0</v>
      </c>
      <c r="AB4" s="40" t="s">
        <v>193</v>
      </c>
      <c r="AC4" s="40" t="s">
        <v>193</v>
      </c>
      <c r="AD4" s="40" t="s">
        <v>193</v>
      </c>
      <c r="AE4" s="40"/>
      <c r="AF4" s="40"/>
      <c r="AU4" t="str">
        <f t="shared" si="0"/>
        <v>_03</v>
      </c>
      <c r="AV4">
        <v>0</v>
      </c>
      <c r="AW4">
        <v>3</v>
      </c>
      <c r="AX4" s="41">
        <f>3+(AW4-AV4)*(AW4+AV4-1)</f>
        <v>9</v>
      </c>
    </row>
    <row r="5" spans="2:50" x14ac:dyDescent="0.3">
      <c r="B5" s="34" t="s">
        <v>197</v>
      </c>
      <c r="C5" s="34" t="s">
        <v>195</v>
      </c>
      <c r="D5" s="57" t="s">
        <v>198</v>
      </c>
      <c r="E5" s="57"/>
      <c r="G5" s="3" t="s">
        <v>8</v>
      </c>
      <c r="H5" s="39" t="str">
        <f>REPT("•",COUNTIF($L5:$V5,"•"))</f>
        <v>•••</v>
      </c>
      <c r="I5" s="3" t="str">
        <f>H5&amp;REPT("•",COUNTIF($L5:$U5,"F"))&amp;REPT("•",COUNTIF($L5:$U5,"M"))</f>
        <v>•••</v>
      </c>
      <c r="J5" s="3">
        <v>5</v>
      </c>
      <c r="K5" s="3">
        <f t="shared" si="3"/>
        <v>0</v>
      </c>
      <c r="L5" s="40" t="s">
        <v>193</v>
      </c>
      <c r="M5" s="40" t="s">
        <v>193</v>
      </c>
      <c r="N5" s="40" t="s">
        <v>193</v>
      </c>
      <c r="O5" s="40"/>
      <c r="P5" s="40"/>
      <c r="Q5" s="40"/>
      <c r="R5" s="40"/>
      <c r="S5" s="40"/>
      <c r="T5" s="40"/>
      <c r="U5" s="40"/>
      <c r="W5" s="42" t="s">
        <v>9</v>
      </c>
      <c r="X5" s="39" t="str">
        <f t="shared" si="4"/>
        <v>••</v>
      </c>
      <c r="Y5" s="3" t="str">
        <f t="shared" si="1"/>
        <v>••••</v>
      </c>
      <c r="Z5" s="3">
        <v>2</v>
      </c>
      <c r="AA5" s="3">
        <f t="shared" si="2"/>
        <v>4</v>
      </c>
      <c r="AB5" s="40" t="s">
        <v>193</v>
      </c>
      <c r="AC5" s="40" t="s">
        <v>193</v>
      </c>
      <c r="AD5" s="40" t="s">
        <v>199</v>
      </c>
      <c r="AE5" s="40" t="s">
        <v>199</v>
      </c>
      <c r="AF5" s="40"/>
      <c r="AU5" t="str">
        <f t="shared" si="0"/>
        <v>_04</v>
      </c>
      <c r="AV5">
        <v>0</v>
      </c>
      <c r="AW5">
        <v>4</v>
      </c>
      <c r="AX5" s="41">
        <f>3+(AW5-AV5)*(AW5+AV5-1)</f>
        <v>15</v>
      </c>
    </row>
    <row r="6" spans="2:50" x14ac:dyDescent="0.3">
      <c r="B6" s="34" t="s">
        <v>200</v>
      </c>
      <c r="C6" s="34" t="s">
        <v>201</v>
      </c>
      <c r="D6" s="57" t="s">
        <v>202</v>
      </c>
      <c r="E6" s="57"/>
      <c r="G6" s="35" t="s">
        <v>10</v>
      </c>
      <c r="H6" s="36"/>
      <c r="I6" s="35"/>
      <c r="J6" s="35"/>
      <c r="K6" s="35"/>
      <c r="L6" s="37">
        <f>COUNTIF($L7:$U9,"•")-3</f>
        <v>3</v>
      </c>
      <c r="M6" s="37">
        <f>COUNTIF($L7:$U9,"F")*5</f>
        <v>0</v>
      </c>
      <c r="N6" s="37"/>
      <c r="O6" s="37"/>
      <c r="P6" s="37"/>
      <c r="Q6" s="37"/>
      <c r="R6" s="37"/>
      <c r="S6" s="37"/>
      <c r="T6" s="37"/>
      <c r="U6" s="37"/>
      <c r="W6" s="3" t="s">
        <v>11</v>
      </c>
      <c r="X6" s="39" t="str">
        <f t="shared" si="4"/>
        <v>••</v>
      </c>
      <c r="Y6" s="3" t="str">
        <f t="shared" si="1"/>
        <v>•••</v>
      </c>
      <c r="Z6" s="3">
        <v>2</v>
      </c>
      <c r="AA6" s="3">
        <f t="shared" si="2"/>
        <v>2</v>
      </c>
      <c r="AB6" s="40" t="s">
        <v>193</v>
      </c>
      <c r="AC6" s="40" t="s">
        <v>193</v>
      </c>
      <c r="AD6" s="40" t="s">
        <v>199</v>
      </c>
      <c r="AE6" s="40"/>
      <c r="AF6" s="40"/>
      <c r="AU6" t="str">
        <f t="shared" si="0"/>
        <v>_05</v>
      </c>
      <c r="AV6">
        <v>0</v>
      </c>
      <c r="AW6">
        <v>5</v>
      </c>
      <c r="AX6" s="41">
        <f>3+(AW6-AV6)*(AW6+AV6-1)</f>
        <v>23</v>
      </c>
    </row>
    <row r="7" spans="2:50" x14ac:dyDescent="0.3">
      <c r="B7" s="34" t="s">
        <v>12</v>
      </c>
      <c r="C7" s="34" t="s">
        <v>195</v>
      </c>
      <c r="D7" s="57" t="s">
        <v>203</v>
      </c>
      <c r="E7" s="57"/>
      <c r="G7" s="3" t="s">
        <v>13</v>
      </c>
      <c r="H7" s="39" t="str">
        <f>REPT("•",COUNTIF($L7:$V7,"•"))</f>
        <v>•••</v>
      </c>
      <c r="I7" s="3" t="str">
        <f>H7&amp;REPT("•",COUNTIF($L7:$U7,"F"))&amp;REPT("•",COUNTIF($L7:$U7,"M"))</f>
        <v>•••</v>
      </c>
      <c r="J7" s="3">
        <v>5</v>
      </c>
      <c r="K7" s="3">
        <f>IF(I7=H7,0,J7)</f>
        <v>0</v>
      </c>
      <c r="L7" s="40" t="s">
        <v>193</v>
      </c>
      <c r="M7" s="40" t="s">
        <v>193</v>
      </c>
      <c r="N7" s="40" t="s">
        <v>193</v>
      </c>
      <c r="O7" s="40"/>
      <c r="P7" s="40"/>
      <c r="Q7" s="40"/>
      <c r="R7" s="40"/>
      <c r="S7" s="40"/>
      <c r="T7" s="40"/>
      <c r="U7" s="40"/>
      <c r="W7" s="4" t="s">
        <v>14</v>
      </c>
      <c r="X7" s="39" t="str">
        <f t="shared" si="4"/>
        <v>•</v>
      </c>
      <c r="Y7" s="3" t="str">
        <f t="shared" si="1"/>
        <v>••</v>
      </c>
      <c r="Z7" s="3">
        <v>2</v>
      </c>
      <c r="AA7" s="3">
        <f t="shared" si="2"/>
        <v>0</v>
      </c>
      <c r="AB7" s="40" t="s">
        <v>193</v>
      </c>
      <c r="AC7" s="43" t="s">
        <v>204</v>
      </c>
      <c r="AD7" s="40"/>
      <c r="AE7" s="40"/>
      <c r="AF7" s="40"/>
      <c r="AU7" t="str">
        <f t="shared" si="0"/>
        <v>_12</v>
      </c>
      <c r="AV7">
        <v>1</v>
      </c>
      <c r="AW7">
        <v>2</v>
      </c>
      <c r="AX7" s="44">
        <f>(AW7-AV7)*(AW7+AV7-1)</f>
        <v>2</v>
      </c>
    </row>
    <row r="8" spans="2:50" x14ac:dyDescent="0.3">
      <c r="B8" s="45" t="s">
        <v>15</v>
      </c>
      <c r="C8" s="45" t="s">
        <v>191</v>
      </c>
      <c r="D8" s="57"/>
      <c r="E8" s="57"/>
      <c r="G8" s="3" t="s">
        <v>16</v>
      </c>
      <c r="H8" s="39" t="str">
        <f>REPT("•",COUNTIF($L8:$V8,"•"))</f>
        <v>•</v>
      </c>
      <c r="I8" s="3" t="str">
        <f>H8&amp;REPT("•",COUNTIF($L8:$U8,"F"))&amp;REPT("•",COUNTIF($L8:$U8,"M"))</f>
        <v>•</v>
      </c>
      <c r="J8" s="3">
        <v>5</v>
      </c>
      <c r="K8" s="3">
        <f t="shared" ref="K8:K9" si="5">IF(I8=H8,0,J8)</f>
        <v>0</v>
      </c>
      <c r="L8" s="40" t="s">
        <v>193</v>
      </c>
      <c r="M8" s="40"/>
      <c r="N8" s="40"/>
      <c r="O8" s="40"/>
      <c r="P8" s="40"/>
      <c r="Q8" s="40"/>
      <c r="R8" s="40"/>
      <c r="S8" s="40"/>
      <c r="T8" s="40"/>
      <c r="U8" s="40"/>
      <c r="W8" s="3" t="s">
        <v>17</v>
      </c>
      <c r="X8" s="39" t="str">
        <f t="shared" si="4"/>
        <v/>
      </c>
      <c r="Y8" s="3" t="str">
        <f t="shared" si="1"/>
        <v/>
      </c>
      <c r="Z8" s="3">
        <v>2</v>
      </c>
      <c r="AA8" s="3">
        <f t="shared" si="2"/>
        <v>0</v>
      </c>
      <c r="AB8" s="40"/>
      <c r="AC8" s="40"/>
      <c r="AD8" s="40"/>
      <c r="AE8" s="40"/>
      <c r="AF8" s="40"/>
      <c r="AU8" t="str">
        <f t="shared" si="0"/>
        <v>_13</v>
      </c>
      <c r="AV8">
        <v>1</v>
      </c>
      <c r="AW8">
        <v>3</v>
      </c>
      <c r="AX8" s="44">
        <f t="shared" ref="AX8:AX16" si="6">(AW8-AV8)*(AW8+AV8-1)</f>
        <v>6</v>
      </c>
    </row>
    <row r="9" spans="2:50" x14ac:dyDescent="0.3">
      <c r="G9" s="3" t="s">
        <v>18</v>
      </c>
      <c r="H9" s="39" t="str">
        <f>REPT("•",COUNTIF($L9:$V9,"•"))</f>
        <v>••</v>
      </c>
      <c r="I9" s="3" t="str">
        <f>H9&amp;REPT("•",COUNTIF($L9:$U9,"F"))&amp;REPT("•",COUNTIF($L9:$U9,"M"))</f>
        <v>••</v>
      </c>
      <c r="J9" s="3">
        <v>5</v>
      </c>
      <c r="K9" s="3">
        <f t="shared" si="5"/>
        <v>0</v>
      </c>
      <c r="L9" s="40" t="s">
        <v>193</v>
      </c>
      <c r="M9" s="40" t="s">
        <v>193</v>
      </c>
      <c r="N9" s="40"/>
      <c r="O9" s="40"/>
      <c r="P9" s="40"/>
      <c r="Q9" s="40"/>
      <c r="R9" s="40"/>
      <c r="S9" s="40"/>
      <c r="T9" s="40"/>
      <c r="U9" s="40"/>
      <c r="W9" s="3" t="s">
        <v>19</v>
      </c>
      <c r="X9" s="39" t="str">
        <f t="shared" si="4"/>
        <v>•</v>
      </c>
      <c r="Y9" s="3" t="str">
        <f t="shared" si="1"/>
        <v>•</v>
      </c>
      <c r="Z9" s="3">
        <v>2</v>
      </c>
      <c r="AA9" s="3">
        <f t="shared" si="2"/>
        <v>0</v>
      </c>
      <c r="AB9" s="40" t="s">
        <v>193</v>
      </c>
      <c r="AC9" s="40"/>
      <c r="AD9" s="40"/>
      <c r="AE9" s="40"/>
      <c r="AF9" s="40"/>
      <c r="AU9" t="str">
        <f t="shared" si="0"/>
        <v>_14</v>
      </c>
      <c r="AV9">
        <v>1</v>
      </c>
      <c r="AW9">
        <v>4</v>
      </c>
      <c r="AX9" s="44">
        <f t="shared" si="6"/>
        <v>12</v>
      </c>
    </row>
    <row r="10" spans="2:50" x14ac:dyDescent="0.3">
      <c r="B10" s="31" t="s">
        <v>175</v>
      </c>
      <c r="C10" s="31" t="s">
        <v>176</v>
      </c>
      <c r="D10" s="31" t="s">
        <v>205</v>
      </c>
      <c r="E10" s="31"/>
      <c r="F10" s="31"/>
      <c r="G10" s="35" t="s">
        <v>20</v>
      </c>
      <c r="H10" s="36"/>
      <c r="I10" s="35"/>
      <c r="J10" s="35"/>
      <c r="K10" s="35"/>
      <c r="L10" s="37">
        <f>COUNTIF($L11:$U13,"•")-3</f>
        <v>5</v>
      </c>
      <c r="M10" s="37">
        <f>COUNTIF($L11:$U13,"F")*5</f>
        <v>0</v>
      </c>
      <c r="N10" s="37"/>
      <c r="O10" s="37"/>
      <c r="P10" s="37"/>
      <c r="Q10" s="37"/>
      <c r="R10" s="37"/>
      <c r="S10" s="37"/>
      <c r="T10" s="37"/>
      <c r="U10" s="37"/>
      <c r="W10" s="4" t="s">
        <v>21</v>
      </c>
      <c r="X10" s="39" t="str">
        <f t="shared" si="4"/>
        <v>••</v>
      </c>
      <c r="Y10" s="3" t="str">
        <f t="shared" si="1"/>
        <v>••</v>
      </c>
      <c r="Z10" s="3">
        <v>2</v>
      </c>
      <c r="AA10" s="3">
        <f t="shared" si="2"/>
        <v>0</v>
      </c>
      <c r="AB10" s="40" t="s">
        <v>193</v>
      </c>
      <c r="AC10" s="40" t="s">
        <v>193</v>
      </c>
      <c r="AD10" s="40"/>
      <c r="AE10" s="40"/>
      <c r="AF10" s="40"/>
      <c r="AU10" t="str">
        <f t="shared" si="0"/>
        <v>_15</v>
      </c>
      <c r="AV10">
        <v>1</v>
      </c>
      <c r="AW10">
        <v>5</v>
      </c>
      <c r="AX10" s="44">
        <f t="shared" si="6"/>
        <v>20</v>
      </c>
    </row>
    <row r="11" spans="2:50" x14ac:dyDescent="0.3">
      <c r="C11" s="40" t="s">
        <v>199</v>
      </c>
      <c r="D11" s="43" t="s">
        <v>204</v>
      </c>
      <c r="E11" s="46"/>
      <c r="F11" s="46"/>
      <c r="G11" s="3" t="s">
        <v>22</v>
      </c>
      <c r="H11" s="39" t="str">
        <f>REPT("•",COUNTIF($L11:$V11,"•"))</f>
        <v>•••</v>
      </c>
      <c r="I11" s="3" t="str">
        <f>H11&amp;REPT("•",COUNTIF($L11:$U11,"F"))&amp;REPT("•",COUNTIF($L11:$U11,"M"))</f>
        <v>•••</v>
      </c>
      <c r="J11" s="3">
        <v>5</v>
      </c>
      <c r="K11" s="3">
        <f>IF(I11=H11,0,J11)</f>
        <v>0</v>
      </c>
      <c r="L11" s="40" t="s">
        <v>193</v>
      </c>
      <c r="M11" s="40" t="s">
        <v>193</v>
      </c>
      <c r="N11" s="40" t="s">
        <v>193</v>
      </c>
      <c r="O11" s="40"/>
      <c r="P11" s="40"/>
      <c r="Q11" s="40"/>
      <c r="R11" s="40"/>
      <c r="S11" s="40"/>
      <c r="T11" s="40"/>
      <c r="U11" s="40"/>
      <c r="W11" s="3" t="s">
        <v>23</v>
      </c>
      <c r="X11" s="39" t="str">
        <f t="shared" si="4"/>
        <v/>
      </c>
      <c r="Y11" s="3" t="str">
        <f t="shared" si="1"/>
        <v/>
      </c>
      <c r="Z11" s="3">
        <v>2</v>
      </c>
      <c r="AA11" s="3">
        <f t="shared" si="2"/>
        <v>0</v>
      </c>
      <c r="AB11" s="40"/>
      <c r="AC11" s="40"/>
      <c r="AD11" s="40"/>
      <c r="AE11" s="40"/>
      <c r="AF11" s="40"/>
      <c r="AU11" t="str">
        <f t="shared" si="0"/>
        <v>_23</v>
      </c>
      <c r="AV11">
        <v>2</v>
      </c>
      <c r="AW11">
        <v>3</v>
      </c>
      <c r="AX11" s="47">
        <f t="shared" si="6"/>
        <v>4</v>
      </c>
    </row>
    <row r="12" spans="2:50" x14ac:dyDescent="0.3">
      <c r="B12" s="34" t="s">
        <v>185</v>
      </c>
      <c r="C12" s="46">
        <f>SUM(M2,M6,M10)</f>
        <v>0</v>
      </c>
      <c r="D12" s="46"/>
      <c r="E12" s="46"/>
      <c r="F12" s="46"/>
      <c r="G12" s="3" t="s">
        <v>24</v>
      </c>
      <c r="H12" s="39" t="str">
        <f>REPT("•",COUNTIF($L12:$V12,"•"))</f>
        <v>••</v>
      </c>
      <c r="I12" s="3" t="str">
        <f>H12&amp;REPT("•",COUNTIF($L12:$U12,"F"))&amp;REPT("•",COUNTIF($L12:$U12,"M"))</f>
        <v>••</v>
      </c>
      <c r="J12" s="3">
        <v>5</v>
      </c>
      <c r="K12" s="3">
        <f t="shared" ref="K12:K13" si="7">IF(I12=H12,0,J12)</f>
        <v>0</v>
      </c>
      <c r="L12" s="40" t="s">
        <v>193</v>
      </c>
      <c r="M12" s="40" t="s">
        <v>193</v>
      </c>
      <c r="N12" s="40"/>
      <c r="O12" s="40"/>
      <c r="P12" s="40"/>
      <c r="Q12" s="40"/>
      <c r="R12" s="40"/>
      <c r="S12" s="40"/>
      <c r="T12" s="40"/>
      <c r="U12" s="40"/>
      <c r="W12" s="3" t="s">
        <v>25</v>
      </c>
      <c r="X12" s="39" t="str">
        <f t="shared" si="4"/>
        <v/>
      </c>
      <c r="Y12" s="3" t="str">
        <f t="shared" si="1"/>
        <v/>
      </c>
      <c r="Z12" s="3">
        <v>2</v>
      </c>
      <c r="AA12" s="3">
        <f t="shared" si="2"/>
        <v>0</v>
      </c>
      <c r="AB12" s="40"/>
      <c r="AC12" s="40"/>
      <c r="AD12" s="40"/>
      <c r="AE12" s="40"/>
      <c r="AF12" s="40"/>
      <c r="AU12" t="str">
        <f t="shared" si="0"/>
        <v>_24</v>
      </c>
      <c r="AV12">
        <v>2</v>
      </c>
      <c r="AW12">
        <v>4</v>
      </c>
      <c r="AX12" s="47">
        <f t="shared" si="6"/>
        <v>10</v>
      </c>
    </row>
    <row r="13" spans="2:50" x14ac:dyDescent="0.3">
      <c r="B13" s="34" t="s">
        <v>190</v>
      </c>
      <c r="C13" s="46">
        <f>COUNTIF($AB3:$AF12,C$11)*2+COUNTIF($AA14:$AF23,C$11)*2+COUNTIF($AB25:$AF34,C$11)*2</f>
        <v>14</v>
      </c>
      <c r="D13" s="46">
        <f>COUNTIF($AB3:$AF12,D$11)*2+COUNTIF($AA14:$AF23,D$11)*2+COUNTIF($AB25:$AF34,D$11)*2</f>
        <v>6</v>
      </c>
      <c r="E13" s="46"/>
      <c r="F13" s="46"/>
      <c r="G13" s="3" t="s">
        <v>26</v>
      </c>
      <c r="H13" s="39" t="str">
        <f>REPT("•",COUNTIF($L13:$V13,"•"))</f>
        <v>•••</v>
      </c>
      <c r="I13" s="3" t="str">
        <f>H13&amp;REPT("•",COUNTIF($L13:$U13,"F"))&amp;REPT("•",COUNTIF($L13:$U13,"M"))</f>
        <v>•••</v>
      </c>
      <c r="J13" s="3">
        <v>5</v>
      </c>
      <c r="K13" s="3">
        <f t="shared" si="7"/>
        <v>0</v>
      </c>
      <c r="L13" s="40" t="s">
        <v>193</v>
      </c>
      <c r="M13" s="40" t="s">
        <v>193</v>
      </c>
      <c r="N13" s="40" t="s">
        <v>193</v>
      </c>
      <c r="O13" s="40"/>
      <c r="P13" s="40"/>
      <c r="Q13" s="40"/>
      <c r="R13" s="40"/>
      <c r="S13" s="40"/>
      <c r="T13" s="40"/>
      <c r="U13" s="40"/>
      <c r="W13" s="35" t="s">
        <v>27</v>
      </c>
      <c r="X13" s="36"/>
      <c r="Y13" s="35"/>
      <c r="Z13" s="35"/>
      <c r="AA13" s="35">
        <f>SUM(AA14:AA23)</f>
        <v>2</v>
      </c>
      <c r="AB13" s="37">
        <f>COUNTIF($AB14:$AF23,"•")</f>
        <v>9</v>
      </c>
      <c r="AC13" s="37"/>
      <c r="AD13" s="37"/>
      <c r="AE13" s="37"/>
      <c r="AF13" s="37"/>
      <c r="AU13" t="str">
        <f t="shared" si="0"/>
        <v>_25</v>
      </c>
      <c r="AV13">
        <v>2</v>
      </c>
      <c r="AW13">
        <v>5</v>
      </c>
      <c r="AX13" s="47">
        <f t="shared" si="6"/>
        <v>18</v>
      </c>
    </row>
    <row r="14" spans="2:50" x14ac:dyDescent="0.3">
      <c r="B14" s="34" t="s">
        <v>194</v>
      </c>
      <c r="C14" s="46">
        <f>COUNTIF($L19:$U24,C$11)</f>
        <v>3</v>
      </c>
      <c r="D14" s="46">
        <f>COUNTIF($L19:$U24,D$11)</f>
        <v>2</v>
      </c>
      <c r="E14" s="46"/>
      <c r="F14" s="46"/>
      <c r="G14" s="32" t="s">
        <v>28</v>
      </c>
      <c r="H14" s="33"/>
      <c r="I14" s="48"/>
      <c r="J14" s="32"/>
      <c r="K14" s="49"/>
      <c r="L14" s="33"/>
      <c r="M14" s="48"/>
      <c r="N14" s="33"/>
      <c r="O14" s="33"/>
      <c r="P14" s="33"/>
      <c r="Q14" s="33"/>
      <c r="R14" s="33"/>
      <c r="S14" s="33"/>
      <c r="T14" s="33"/>
      <c r="U14" s="33"/>
      <c r="W14" s="4" t="s">
        <v>29</v>
      </c>
      <c r="X14" s="39" t="str">
        <f>REPT("•",COUNTIF($AB14:$AF14,"•"))</f>
        <v>••</v>
      </c>
      <c r="Y14" s="3" t="str">
        <f t="shared" ref="Y14:Y23" si="8">X14&amp;REPT("•",COUNTIF($AB14:$AF14,"F"))&amp;REPT("•",COUNTIF($AB14:$AF14,"M"))</f>
        <v>••</v>
      </c>
      <c r="Z14" s="3">
        <v>2</v>
      </c>
      <c r="AA14" s="3">
        <f t="shared" ref="AA14:AA23" si="9">COUNTIF($AB14:$AR14,"F")*Z14</f>
        <v>0</v>
      </c>
      <c r="AB14" s="40" t="s">
        <v>193</v>
      </c>
      <c r="AC14" s="40" t="s">
        <v>193</v>
      </c>
      <c r="AD14" s="40"/>
      <c r="AE14" s="40"/>
      <c r="AF14" s="40"/>
      <c r="AU14" t="str">
        <f t="shared" si="0"/>
        <v>_34</v>
      </c>
      <c r="AV14">
        <v>3</v>
      </c>
      <c r="AW14">
        <v>4</v>
      </c>
      <c r="AX14" s="50">
        <f t="shared" si="6"/>
        <v>6</v>
      </c>
    </row>
    <row r="15" spans="2:50" x14ac:dyDescent="0.3">
      <c r="B15" s="34" t="s">
        <v>197</v>
      </c>
      <c r="C15" s="46">
        <f>COUNTIF($L17:$U17,C$11)</f>
        <v>4</v>
      </c>
      <c r="D15" s="46">
        <f>COUNTIF($L17:$U17,D$11)</f>
        <v>0</v>
      </c>
      <c r="F15" s="46"/>
      <c r="G15" s="3" t="s">
        <v>12</v>
      </c>
      <c r="H15" s="39" t="str">
        <f>REPT("•",COUNTIF($L15:$V15,"•"))</f>
        <v>•••••</v>
      </c>
      <c r="I15" s="3" t="str">
        <f>H15&amp;REPT("•",COUNTIF($L15:$U15,"F"))&amp;REPT("•",COUNTIF($L15:$U15,"M"))</f>
        <v>•••••</v>
      </c>
      <c r="J15" s="3">
        <v>1</v>
      </c>
      <c r="K15" s="3">
        <f>IF(I15=H15,0,J15)</f>
        <v>0</v>
      </c>
      <c r="L15" s="40" t="s">
        <v>193</v>
      </c>
      <c r="M15" s="40" t="s">
        <v>193</v>
      </c>
      <c r="N15" s="40" t="s">
        <v>193</v>
      </c>
      <c r="O15" s="40" t="s">
        <v>193</v>
      </c>
      <c r="P15" s="40" t="s">
        <v>193</v>
      </c>
      <c r="Q15" s="40"/>
      <c r="R15" s="40"/>
      <c r="S15" s="40"/>
      <c r="T15" s="40"/>
      <c r="U15" s="40"/>
      <c r="W15" s="5" t="s">
        <v>30</v>
      </c>
      <c r="X15" s="39" t="str">
        <f t="shared" ref="X15:X23" si="10">REPT("•",COUNTIF($AB15:$AF15,"•"))</f>
        <v/>
      </c>
      <c r="Y15" s="3" t="str">
        <f t="shared" si="8"/>
        <v/>
      </c>
      <c r="Z15" s="3">
        <v>2</v>
      </c>
      <c r="AA15" s="3">
        <f t="shared" si="9"/>
        <v>0</v>
      </c>
      <c r="AB15" s="40"/>
      <c r="AC15" s="40"/>
      <c r="AD15" s="40"/>
      <c r="AE15" s="40"/>
      <c r="AF15" s="40"/>
      <c r="AU15" t="str">
        <f t="shared" si="0"/>
        <v>_35</v>
      </c>
      <c r="AV15">
        <v>3</v>
      </c>
      <c r="AW15">
        <v>5</v>
      </c>
      <c r="AX15" s="50">
        <f t="shared" si="6"/>
        <v>14</v>
      </c>
    </row>
    <row r="16" spans="2:50" x14ac:dyDescent="0.3">
      <c r="B16" t="s">
        <v>200</v>
      </c>
      <c r="C16" s="46">
        <v>0</v>
      </c>
      <c r="D16" s="46">
        <v>0</v>
      </c>
      <c r="E16" s="46"/>
      <c r="F16" s="46"/>
      <c r="G16" s="3" t="s">
        <v>15</v>
      </c>
      <c r="H16" s="39" t="str">
        <f>REPT("•",COUNTIF($L16:$V16,"•"))</f>
        <v>••••••</v>
      </c>
      <c r="I16" s="3" t="str">
        <f>H16&amp;REPT("•",COUNTIF($L16:$U16,"F"))&amp;REPT("•",COUNTIF($L16:$U16,"M"))</f>
        <v>••••••</v>
      </c>
      <c r="J16" s="3">
        <v>2</v>
      </c>
      <c r="K16" s="3">
        <f>IF(I16=H16,0,J16)</f>
        <v>0</v>
      </c>
      <c r="L16" s="40" t="s">
        <v>193</v>
      </c>
      <c r="M16" s="40" t="s">
        <v>193</v>
      </c>
      <c r="N16" s="40" t="s">
        <v>193</v>
      </c>
      <c r="O16" s="40" t="s">
        <v>193</v>
      </c>
      <c r="P16" s="40" t="s">
        <v>193</v>
      </c>
      <c r="Q16" s="40" t="s">
        <v>193</v>
      </c>
      <c r="R16" s="40"/>
      <c r="S16" s="40"/>
      <c r="T16" s="40"/>
      <c r="U16" s="40"/>
      <c r="W16" s="5" t="s">
        <v>206</v>
      </c>
      <c r="X16" s="39" t="str">
        <f t="shared" si="10"/>
        <v/>
      </c>
      <c r="Y16" s="3" t="str">
        <f t="shared" si="8"/>
        <v>••</v>
      </c>
      <c r="Z16" s="3">
        <v>2</v>
      </c>
      <c r="AA16" s="3">
        <f t="shared" si="9"/>
        <v>2</v>
      </c>
      <c r="AB16" s="40" t="s">
        <v>199</v>
      </c>
      <c r="AC16" s="43" t="s">
        <v>204</v>
      </c>
      <c r="AD16" s="40"/>
      <c r="AE16" s="40"/>
      <c r="AF16" s="40"/>
      <c r="AU16" t="str">
        <f t="shared" si="0"/>
        <v>_45</v>
      </c>
      <c r="AV16">
        <v>4</v>
      </c>
      <c r="AW16">
        <v>5</v>
      </c>
      <c r="AX16" s="51">
        <f t="shared" si="6"/>
        <v>8</v>
      </c>
    </row>
    <row r="17" spans="2:48" x14ac:dyDescent="0.3">
      <c r="B17" s="34" t="s">
        <v>12</v>
      </c>
      <c r="C17" s="46">
        <f>COUNTIF($L15:$U15,C$11)</f>
        <v>0</v>
      </c>
      <c r="D17" s="46">
        <f>COUNTIF($L15:$U15,D$11)</f>
        <v>0</v>
      </c>
      <c r="E17" s="46"/>
      <c r="F17" s="46"/>
      <c r="G17" s="3" t="s">
        <v>31</v>
      </c>
      <c r="H17" s="39" t="str">
        <f>REPT("•",COUNTIF($L17:$V17,"•"))</f>
        <v>••</v>
      </c>
      <c r="I17" s="3" t="str">
        <f>H17&amp;REPT("•",COUNTIF($L17:$U17,"F"))&amp;REPT("•",COUNTIF($L17:$U17,"M"))</f>
        <v>••••••</v>
      </c>
      <c r="J17" s="3">
        <v>1</v>
      </c>
      <c r="K17" s="3">
        <f>IF(I17=H17,0,J17)</f>
        <v>1</v>
      </c>
      <c r="L17" s="40" t="s">
        <v>193</v>
      </c>
      <c r="M17" s="40" t="s">
        <v>193</v>
      </c>
      <c r="N17" s="40" t="s">
        <v>199</v>
      </c>
      <c r="O17" s="40" t="s">
        <v>199</v>
      </c>
      <c r="P17" s="40" t="s">
        <v>199</v>
      </c>
      <c r="Q17" s="40" t="s">
        <v>199</v>
      </c>
      <c r="R17" s="40"/>
      <c r="S17" s="40"/>
      <c r="T17" s="40"/>
      <c r="U17" s="40"/>
      <c r="W17" s="5" t="s">
        <v>33</v>
      </c>
      <c r="X17" s="39" t="str">
        <f t="shared" si="10"/>
        <v/>
      </c>
      <c r="Y17" s="3" t="str">
        <f t="shared" si="8"/>
        <v/>
      </c>
      <c r="Z17" s="3">
        <v>2</v>
      </c>
      <c r="AA17" s="3">
        <f t="shared" si="9"/>
        <v>0</v>
      </c>
      <c r="AB17" s="40"/>
      <c r="AC17" s="40"/>
      <c r="AD17" s="40"/>
      <c r="AE17" s="40"/>
      <c r="AF17" s="40"/>
    </row>
    <row r="18" spans="2:48" x14ac:dyDescent="0.3">
      <c r="B18" s="45" t="s">
        <v>15</v>
      </c>
      <c r="C18" s="52">
        <f>COUNTIF($K16:$T16,C$11)</f>
        <v>0</v>
      </c>
      <c r="D18" s="52">
        <f>COUNTIF($K16:$T16,D$11)</f>
        <v>0</v>
      </c>
      <c r="E18" s="46"/>
      <c r="F18" s="46"/>
      <c r="G18" s="32" t="s">
        <v>207</v>
      </c>
      <c r="H18" s="33"/>
      <c r="I18" s="48"/>
      <c r="J18" s="32"/>
      <c r="K18" s="49"/>
      <c r="L18" s="48">
        <f>COUNTIF($L19:$U26,"•")</f>
        <v>5</v>
      </c>
      <c r="M18" s="48"/>
      <c r="N18" s="33"/>
      <c r="O18" s="33"/>
      <c r="P18" s="33"/>
      <c r="Q18" s="33"/>
      <c r="R18" s="33"/>
      <c r="S18" s="33"/>
      <c r="T18" s="33"/>
      <c r="U18" s="33"/>
      <c r="W18" s="5" t="s">
        <v>34</v>
      </c>
      <c r="X18" s="39" t="str">
        <f t="shared" si="10"/>
        <v/>
      </c>
      <c r="Y18" s="3" t="str">
        <f t="shared" si="8"/>
        <v/>
      </c>
      <c r="Z18" s="3">
        <v>2</v>
      </c>
      <c r="AA18" s="3">
        <f t="shared" si="9"/>
        <v>0</v>
      </c>
      <c r="AB18" s="40"/>
      <c r="AC18" s="40"/>
      <c r="AD18" s="40"/>
      <c r="AE18" s="40"/>
      <c r="AF18" s="40"/>
    </row>
    <row r="19" spans="2:48" x14ac:dyDescent="0.3">
      <c r="B19" s="46"/>
      <c r="C19" s="46"/>
      <c r="D19" s="46"/>
      <c r="E19" s="46"/>
      <c r="F19" s="46"/>
      <c r="G19" t="s">
        <v>208</v>
      </c>
      <c r="H19" s="39" t="str">
        <f>REPT("•",COUNTIF($L19:$V19,"•"))</f>
        <v>•••</v>
      </c>
      <c r="I19" s="3" t="str">
        <f>H19&amp;REPT("•",COUNTIF($L19:$U19,"F"))&amp;REPT("•",COUNTIF($L19:$U19,"M"))</f>
        <v>•••</v>
      </c>
      <c r="J19"/>
      <c r="K19"/>
      <c r="L19" s="40" t="s">
        <v>193</v>
      </c>
      <c r="M19" s="40" t="s">
        <v>193</v>
      </c>
      <c r="N19" s="40" t="s">
        <v>193</v>
      </c>
      <c r="O19" s="40"/>
      <c r="P19" s="40"/>
      <c r="Q19" s="40"/>
      <c r="R19" s="40"/>
      <c r="S19" s="40"/>
      <c r="T19" s="40"/>
      <c r="U19" s="40"/>
      <c r="W19" s="3" t="s">
        <v>35</v>
      </c>
      <c r="X19" s="39" t="str">
        <f t="shared" si="10"/>
        <v>•</v>
      </c>
      <c r="Y19" s="3" t="str">
        <f t="shared" si="8"/>
        <v>•</v>
      </c>
      <c r="Z19" s="3">
        <v>2</v>
      </c>
      <c r="AA19" s="3">
        <f t="shared" si="9"/>
        <v>0</v>
      </c>
      <c r="AB19" s="40" t="s">
        <v>193</v>
      </c>
      <c r="AC19" s="40"/>
      <c r="AD19" s="40"/>
      <c r="AE19" s="40"/>
      <c r="AF19" s="40"/>
      <c r="AT19" s="58" t="s">
        <v>209</v>
      </c>
      <c r="AU19" s="58"/>
      <c r="AV19" s="58"/>
    </row>
    <row r="20" spans="2:48" x14ac:dyDescent="0.3">
      <c r="B20" s="34" t="s">
        <v>210</v>
      </c>
      <c r="C20" s="46">
        <f>SUM(C23,-C24,C25)</f>
        <v>21</v>
      </c>
      <c r="D20" s="46"/>
      <c r="E20" s="46"/>
      <c r="F20" s="46"/>
      <c r="G20" t="s">
        <v>211</v>
      </c>
      <c r="H20" s="39" t="str">
        <f>REPT("•",COUNTIF($L20:$V20,"•"))</f>
        <v>•</v>
      </c>
      <c r="I20" s="3" t="str">
        <f>H20&amp;REPT("•",COUNTIF($L20:$U20,"F"))&amp;REPT("•",COUNTIF($L20:$U20,"M"))</f>
        <v>••</v>
      </c>
      <c r="J20"/>
      <c r="K20"/>
      <c r="L20" s="40" t="s">
        <v>193</v>
      </c>
      <c r="M20" s="43" t="s">
        <v>204</v>
      </c>
      <c r="N20" s="40"/>
      <c r="O20" s="40"/>
      <c r="P20" s="40"/>
      <c r="Q20" s="40"/>
      <c r="R20" s="40"/>
      <c r="S20" s="40"/>
      <c r="T20" s="40"/>
      <c r="U20" s="40"/>
      <c r="W20" s="3" t="s">
        <v>36</v>
      </c>
      <c r="X20" s="39" t="str">
        <f t="shared" si="10"/>
        <v/>
      </c>
      <c r="Y20" s="3" t="str">
        <f t="shared" si="8"/>
        <v/>
      </c>
      <c r="Z20" s="3">
        <v>2</v>
      </c>
      <c r="AA20" s="3">
        <f t="shared" si="9"/>
        <v>0</v>
      </c>
      <c r="AB20" s="40"/>
      <c r="AC20" s="40"/>
      <c r="AD20" s="40"/>
      <c r="AE20" s="40"/>
      <c r="AF20" s="40"/>
      <c r="AT20" s="58"/>
      <c r="AU20" s="58"/>
      <c r="AV20" s="58"/>
    </row>
    <row r="21" spans="2:48" x14ac:dyDescent="0.3">
      <c r="B21" s="34" t="s">
        <v>212</v>
      </c>
      <c r="C21" s="46">
        <f>SUM(C12:C18)</f>
        <v>21</v>
      </c>
      <c r="D21" s="46">
        <f>SUM(D12:D18)</f>
        <v>8</v>
      </c>
      <c r="E21" s="46"/>
      <c r="F21" s="46"/>
      <c r="G21" t="s">
        <v>213</v>
      </c>
      <c r="H21" s="39" t="str">
        <f>REPT("•",COUNTIF($L24:$V24,"•"))</f>
        <v/>
      </c>
      <c r="I21" s="3" t="str">
        <f>H21&amp;REPT("•",COUNTIF($L24:$U24,"F"))&amp;REPT("•",COUNTIF($L24:$U24,"M"))</f>
        <v>•</v>
      </c>
      <c r="J21"/>
      <c r="K21"/>
      <c r="L21" s="40" t="s">
        <v>193</v>
      </c>
      <c r="M21" s="40" t="s">
        <v>199</v>
      </c>
      <c r="N21" s="40"/>
      <c r="O21" s="40"/>
      <c r="P21" s="40"/>
      <c r="Q21" s="40"/>
      <c r="R21" s="40"/>
      <c r="S21" s="40"/>
      <c r="W21" s="3" t="s">
        <v>37</v>
      </c>
      <c r="X21" s="39" t="str">
        <f t="shared" si="10"/>
        <v/>
      </c>
      <c r="Y21" s="3" t="str">
        <f t="shared" si="8"/>
        <v/>
      </c>
      <c r="Z21" s="3">
        <v>2</v>
      </c>
      <c r="AA21" s="3">
        <f t="shared" si="9"/>
        <v>0</v>
      </c>
      <c r="AB21" s="40"/>
      <c r="AC21" s="40"/>
      <c r="AD21" s="40"/>
      <c r="AE21" s="40"/>
      <c r="AF21" s="40"/>
      <c r="AT21" s="58"/>
      <c r="AU21" s="58"/>
      <c r="AV21" s="58"/>
    </row>
    <row r="22" spans="2:48" x14ac:dyDescent="0.3">
      <c r="B22" s="46"/>
      <c r="C22" s="46"/>
      <c r="D22" s="46"/>
      <c r="E22" s="46"/>
      <c r="F22" s="46"/>
      <c r="G22" t="s">
        <v>214</v>
      </c>
      <c r="H22" s="39" t="str">
        <f>REPT("•",COUNTIF($N21:$V21,"•"))</f>
        <v/>
      </c>
      <c r="I22" s="3" t="str">
        <f>H22&amp;REPT("•",COUNTIF($N21:$U21,"F"))&amp;REPT("•",COUNTIF($N21:$U21,"M"))</f>
        <v/>
      </c>
      <c r="J22"/>
      <c r="K22"/>
      <c r="L22" s="40" t="s">
        <v>199</v>
      </c>
      <c r="M22" s="40"/>
      <c r="N22" s="40"/>
      <c r="O22" s="40"/>
      <c r="P22" s="40"/>
      <c r="Q22" s="40"/>
      <c r="R22" s="40"/>
      <c r="S22" s="40"/>
      <c r="T22" s="40"/>
      <c r="U22" s="40"/>
      <c r="W22" s="3" t="s">
        <v>38</v>
      </c>
      <c r="X22" s="39" t="str">
        <f t="shared" si="10"/>
        <v>•••</v>
      </c>
      <c r="Y22" s="3" t="str">
        <f t="shared" si="8"/>
        <v>•••</v>
      </c>
      <c r="Z22" s="3">
        <v>2</v>
      </c>
      <c r="AA22" s="3">
        <f t="shared" si="9"/>
        <v>0</v>
      </c>
      <c r="AB22" s="40" t="s">
        <v>193</v>
      </c>
      <c r="AC22" s="40" t="s">
        <v>193</v>
      </c>
      <c r="AD22" s="40" t="s">
        <v>193</v>
      </c>
      <c r="AE22" s="40"/>
      <c r="AF22" s="40"/>
    </row>
    <row r="23" spans="2:48" x14ac:dyDescent="0.3">
      <c r="B23" s="46" t="s">
        <v>215</v>
      </c>
      <c r="C23" s="46">
        <v>15</v>
      </c>
      <c r="D23" s="46"/>
      <c r="E23" s="46"/>
      <c r="F23" s="46"/>
      <c r="G23" t="s">
        <v>216</v>
      </c>
      <c r="H23" s="39" t="str">
        <f>REPT("•",COUNTIF($N22:$V22,"•"))</f>
        <v/>
      </c>
      <c r="I23" s="3" t="str">
        <f>H23&amp;REPT("•",COUNTIF($N22:$U22,"F"))&amp;REPT("•",COUNTIF($N22:$U22,"M"))</f>
        <v/>
      </c>
      <c r="J23"/>
      <c r="K23"/>
      <c r="L23" s="43" t="s">
        <v>204</v>
      </c>
      <c r="M23" s="40"/>
      <c r="N23" s="40"/>
      <c r="O23" s="40"/>
      <c r="P23" s="40"/>
      <c r="Q23" s="40"/>
      <c r="R23" s="40"/>
      <c r="S23" s="40"/>
      <c r="T23" s="40"/>
      <c r="U23" s="40"/>
      <c r="W23" s="3" t="s">
        <v>39</v>
      </c>
      <c r="X23" s="39" t="str">
        <f t="shared" si="10"/>
        <v>•••</v>
      </c>
      <c r="Y23" s="3" t="str">
        <f t="shared" si="8"/>
        <v>•••</v>
      </c>
      <c r="Z23" s="3">
        <v>2</v>
      </c>
      <c r="AA23" s="3">
        <f t="shared" si="9"/>
        <v>0</v>
      </c>
      <c r="AB23" s="40" t="s">
        <v>193</v>
      </c>
      <c r="AC23" s="40" t="s">
        <v>193</v>
      </c>
      <c r="AD23" s="40" t="s">
        <v>193</v>
      </c>
      <c r="AE23" s="40"/>
      <c r="AF23" s="40"/>
    </row>
    <row r="24" spans="2:48" x14ac:dyDescent="0.3">
      <c r="B24" s="46" t="s">
        <v>217</v>
      </c>
      <c r="C24" s="46">
        <v>2</v>
      </c>
      <c r="D24" s="46"/>
      <c r="E24" s="46"/>
      <c r="F24" s="46"/>
      <c r="G24" t="s">
        <v>218</v>
      </c>
      <c r="H24" s="39" t="str">
        <f>REPT("•",COUNTIF($N23:$V23,"•"))</f>
        <v/>
      </c>
      <c r="I24" s="3" t="str">
        <f>H24&amp;REPT("•",COUNTIF($N23:$U23,"F"))&amp;REPT("•",COUNTIF($N23:$U23,"M"))</f>
        <v/>
      </c>
      <c r="J24"/>
      <c r="K24"/>
      <c r="L24" s="40" t="s">
        <v>199</v>
      </c>
      <c r="N24" s="40"/>
      <c r="O24" s="40"/>
      <c r="P24" s="40"/>
      <c r="Q24" s="40"/>
      <c r="R24" s="40"/>
      <c r="S24" s="40"/>
      <c r="T24" s="40"/>
      <c r="U24" s="40"/>
      <c r="W24" s="35" t="s">
        <v>40</v>
      </c>
      <c r="X24" s="36"/>
      <c r="Y24" s="35"/>
      <c r="Z24" s="35"/>
      <c r="AA24" s="35">
        <f>SUM(AA25:AA34)</f>
        <v>6</v>
      </c>
      <c r="AB24" s="37">
        <f>COUNTIF($AB25:$AF34,"•")</f>
        <v>5</v>
      </c>
      <c r="AC24" s="37"/>
      <c r="AD24" s="37"/>
      <c r="AE24" s="37"/>
      <c r="AF24" s="37"/>
    </row>
    <row r="25" spans="2:48" x14ac:dyDescent="0.3">
      <c r="B25" s="46" t="s">
        <v>219</v>
      </c>
      <c r="C25" s="46">
        <v>8</v>
      </c>
      <c r="D25" s="46"/>
      <c r="N25" s="40"/>
      <c r="O25" s="40"/>
      <c r="P25" s="40"/>
      <c r="T25" s="40"/>
      <c r="U25" s="40"/>
      <c r="W25" s="5" t="s">
        <v>41</v>
      </c>
      <c r="X25" s="39" t="str">
        <f>REPT("•",COUNTIF($AB25:$AF25,"•"))</f>
        <v/>
      </c>
      <c r="Y25" s="3" t="str">
        <f t="shared" ref="Y25:Y34" si="11">X25&amp;REPT("•",COUNTIF($AB25:$AF25,"F"))&amp;REPT("•",COUNTIF($AB25:$AF25,"M"))</f>
        <v/>
      </c>
      <c r="Z25" s="3">
        <v>2</v>
      </c>
      <c r="AA25" s="3">
        <f t="shared" ref="AA25:AA34" si="12">COUNTIF($AB25:$AR25,"F")*Z25</f>
        <v>0</v>
      </c>
      <c r="AB25" s="40"/>
      <c r="AC25" s="40"/>
      <c r="AD25" s="40"/>
      <c r="AE25" s="40"/>
      <c r="AF25" s="40"/>
    </row>
    <row r="26" spans="2:48" x14ac:dyDescent="0.3">
      <c r="N26" s="40"/>
      <c r="O26" s="40"/>
      <c r="P26" s="40"/>
      <c r="Q26" s="40"/>
      <c r="R26" s="40"/>
      <c r="S26" s="40"/>
      <c r="T26" s="40"/>
      <c r="U26" s="40"/>
      <c r="V26" s="40"/>
      <c r="W26" s="3" t="s">
        <v>42</v>
      </c>
      <c r="X26" s="39" t="str">
        <f t="shared" ref="X26:X34" si="13">REPT("•",COUNTIF($AB26:$AF26,"•"))</f>
        <v>••</v>
      </c>
      <c r="Y26" s="3" t="str">
        <f t="shared" si="11"/>
        <v>••</v>
      </c>
      <c r="Z26" s="3">
        <v>2</v>
      </c>
      <c r="AA26" s="3">
        <f t="shared" si="12"/>
        <v>0</v>
      </c>
      <c r="AB26" s="40" t="s">
        <v>193</v>
      </c>
      <c r="AC26" s="40" t="s">
        <v>193</v>
      </c>
      <c r="AD26" s="40"/>
      <c r="AE26" s="40"/>
      <c r="AF26" s="40"/>
    </row>
    <row r="27" spans="2:48" x14ac:dyDescent="0.3">
      <c r="W27" s="3" t="s">
        <v>43</v>
      </c>
      <c r="X27" s="39" t="str">
        <f t="shared" si="13"/>
        <v>•</v>
      </c>
      <c r="Y27" s="3" t="str">
        <f t="shared" si="11"/>
        <v>•</v>
      </c>
      <c r="Z27" s="3">
        <v>2</v>
      </c>
      <c r="AA27" s="3">
        <f t="shared" si="12"/>
        <v>0</v>
      </c>
      <c r="AB27" s="40" t="s">
        <v>193</v>
      </c>
      <c r="AC27" s="40"/>
      <c r="AD27" s="40"/>
      <c r="AE27" s="40"/>
      <c r="AF27" s="40"/>
    </row>
    <row r="28" spans="2:48" x14ac:dyDescent="0.3">
      <c r="U28" s="40"/>
      <c r="W28" s="5" t="s">
        <v>44</v>
      </c>
      <c r="X28" s="39" t="str">
        <f t="shared" si="13"/>
        <v/>
      </c>
      <c r="Y28" s="3" t="str">
        <f t="shared" si="11"/>
        <v/>
      </c>
      <c r="Z28" s="3">
        <v>2</v>
      </c>
      <c r="AA28" s="3">
        <f t="shared" si="12"/>
        <v>0</v>
      </c>
      <c r="AB28" s="40"/>
      <c r="AC28" s="40"/>
      <c r="AD28" s="40"/>
      <c r="AE28" s="40"/>
      <c r="AF28" s="40"/>
    </row>
    <row r="29" spans="2:48" x14ac:dyDescent="0.3">
      <c r="W29" s="5" t="s">
        <v>45</v>
      </c>
      <c r="X29" s="39" t="str">
        <f t="shared" si="13"/>
        <v/>
      </c>
      <c r="Y29" s="3" t="str">
        <f t="shared" si="11"/>
        <v>••</v>
      </c>
      <c r="Z29" s="3">
        <v>2</v>
      </c>
      <c r="AA29" s="3">
        <f t="shared" si="12"/>
        <v>4</v>
      </c>
      <c r="AB29" s="40" t="s">
        <v>199</v>
      </c>
      <c r="AC29" s="40" t="s">
        <v>199</v>
      </c>
      <c r="AD29" s="40"/>
      <c r="AE29" s="40"/>
      <c r="AF29" s="40"/>
    </row>
    <row r="30" spans="2:48" x14ac:dyDescent="0.3">
      <c r="W30" s="3" t="s">
        <v>46</v>
      </c>
      <c r="X30" s="39" t="str">
        <f t="shared" si="13"/>
        <v>••</v>
      </c>
      <c r="Y30" s="3" t="str">
        <f t="shared" si="11"/>
        <v>•••</v>
      </c>
      <c r="Z30" s="3">
        <v>2</v>
      </c>
      <c r="AA30" s="3">
        <f t="shared" si="12"/>
        <v>2</v>
      </c>
      <c r="AB30" s="40" t="s">
        <v>193</v>
      </c>
      <c r="AC30" s="40" t="s">
        <v>193</v>
      </c>
      <c r="AD30" s="40" t="s">
        <v>199</v>
      </c>
      <c r="AE30" s="40"/>
      <c r="AF30" s="40"/>
    </row>
    <row r="31" spans="2:48" x14ac:dyDescent="0.3">
      <c r="W31" s="3" t="s">
        <v>47</v>
      </c>
      <c r="X31" s="39" t="str">
        <f t="shared" si="13"/>
        <v/>
      </c>
      <c r="Y31" s="3" t="str">
        <f t="shared" si="11"/>
        <v/>
      </c>
      <c r="Z31" s="3">
        <v>2</v>
      </c>
      <c r="AA31" s="3">
        <f t="shared" si="12"/>
        <v>0</v>
      </c>
      <c r="AB31" s="40"/>
      <c r="AC31" s="40"/>
      <c r="AD31" s="40"/>
      <c r="AE31" s="40"/>
      <c r="AF31" s="40"/>
    </row>
    <row r="32" spans="2:48" x14ac:dyDescent="0.3">
      <c r="W32" s="6" t="s">
        <v>48</v>
      </c>
      <c r="X32" s="39" t="str">
        <f t="shared" si="13"/>
        <v/>
      </c>
      <c r="Y32" s="3" t="str">
        <f t="shared" si="11"/>
        <v/>
      </c>
      <c r="Z32" s="3">
        <v>2</v>
      </c>
      <c r="AA32" s="3">
        <f t="shared" si="12"/>
        <v>0</v>
      </c>
      <c r="AB32" s="40"/>
      <c r="AC32" s="40"/>
      <c r="AD32" s="40"/>
      <c r="AE32" s="40"/>
      <c r="AF32" s="40"/>
    </row>
    <row r="33" spans="7:32" x14ac:dyDescent="0.3">
      <c r="W33" s="4" t="s">
        <v>49</v>
      </c>
      <c r="X33" s="39" t="str">
        <f t="shared" si="13"/>
        <v/>
      </c>
      <c r="Y33" s="3" t="str">
        <f t="shared" si="11"/>
        <v>•</v>
      </c>
      <c r="Z33" s="3">
        <v>2</v>
      </c>
      <c r="AA33" s="3">
        <f t="shared" si="12"/>
        <v>0</v>
      </c>
      <c r="AB33" s="43" t="s">
        <v>204</v>
      </c>
      <c r="AC33" s="40"/>
      <c r="AD33" s="40"/>
      <c r="AE33" s="40"/>
      <c r="AF33" s="40"/>
    </row>
    <row r="34" spans="7:32" x14ac:dyDescent="0.3">
      <c r="W34" s="5" t="s">
        <v>50</v>
      </c>
      <c r="X34" s="39" t="str">
        <f t="shared" si="13"/>
        <v/>
      </c>
      <c r="Y34" s="3" t="str">
        <f t="shared" si="11"/>
        <v/>
      </c>
      <c r="Z34" s="3">
        <v>2</v>
      </c>
      <c r="AA34" s="3">
        <f t="shared" si="12"/>
        <v>0</v>
      </c>
      <c r="AB34" s="40"/>
      <c r="AC34" s="40"/>
      <c r="AD34" s="40"/>
      <c r="AE34" s="40"/>
      <c r="AF34" s="40"/>
    </row>
    <row r="35" spans="7:32" x14ac:dyDescent="0.3">
      <c r="W35"/>
      <c r="X35"/>
      <c r="Y35"/>
      <c r="Z35"/>
      <c r="AA35"/>
      <c r="AB35"/>
      <c r="AC35"/>
      <c r="AD35"/>
      <c r="AE35"/>
      <c r="AF35"/>
    </row>
    <row r="36" spans="7:32" x14ac:dyDescent="0.3">
      <c r="W36"/>
      <c r="X36"/>
      <c r="Y36"/>
      <c r="Z36"/>
      <c r="AA36"/>
      <c r="AB36"/>
      <c r="AC36"/>
      <c r="AD36"/>
      <c r="AE36"/>
      <c r="AF36"/>
    </row>
    <row r="37" spans="7:32" x14ac:dyDescent="0.3">
      <c r="W37"/>
      <c r="X37"/>
      <c r="Y37"/>
      <c r="Z37"/>
      <c r="AA37"/>
      <c r="AB37"/>
      <c r="AC37"/>
      <c r="AD37"/>
      <c r="AE37"/>
      <c r="AF37"/>
    </row>
    <row r="38" spans="7:32" x14ac:dyDescent="0.3">
      <c r="W38"/>
      <c r="X38"/>
      <c r="Y38"/>
      <c r="Z38"/>
      <c r="AA38"/>
      <c r="AB38"/>
      <c r="AC38"/>
      <c r="AD38"/>
      <c r="AE38"/>
      <c r="AF38"/>
    </row>
    <row r="39" spans="7:32" x14ac:dyDescent="0.3">
      <c r="W39"/>
      <c r="X39"/>
      <c r="Y39"/>
      <c r="Z39"/>
      <c r="AA39"/>
      <c r="AB39"/>
      <c r="AC39"/>
      <c r="AD39"/>
      <c r="AE39"/>
      <c r="AF39"/>
    </row>
    <row r="40" spans="7:32" x14ac:dyDescent="0.3">
      <c r="W40"/>
      <c r="X40"/>
      <c r="Y40"/>
      <c r="Z40"/>
      <c r="AA40"/>
      <c r="AB40"/>
      <c r="AC40"/>
      <c r="AD40"/>
      <c r="AE40"/>
      <c r="AF40"/>
    </row>
    <row r="41" spans="7:32" x14ac:dyDescent="0.3">
      <c r="W41"/>
      <c r="X41"/>
      <c r="Y41"/>
      <c r="Z41"/>
      <c r="AA41"/>
      <c r="AB41"/>
      <c r="AC41"/>
      <c r="AD41"/>
      <c r="AE41"/>
      <c r="AF41"/>
    </row>
    <row r="42" spans="7:32" x14ac:dyDescent="0.3">
      <c r="W42"/>
      <c r="X42"/>
      <c r="Y42"/>
      <c r="Z42"/>
      <c r="AA42"/>
      <c r="AB42"/>
      <c r="AC42"/>
      <c r="AD42"/>
      <c r="AE42"/>
      <c r="AF42"/>
    </row>
    <row r="43" spans="7:32" x14ac:dyDescent="0.3">
      <c r="G43" s="32" t="s">
        <v>220</v>
      </c>
      <c r="H43" s="33">
        <v>6</v>
      </c>
      <c r="I43" s="33">
        <v>7</v>
      </c>
      <c r="J43" s="33">
        <v>6</v>
      </c>
      <c r="K43" s="33">
        <v>7</v>
      </c>
      <c r="L43" s="33">
        <v>6</v>
      </c>
      <c r="W43"/>
      <c r="X43"/>
      <c r="Y43"/>
      <c r="Z43"/>
      <c r="AA43"/>
      <c r="AB43"/>
      <c r="AC43"/>
      <c r="AD43"/>
      <c r="AE43"/>
      <c r="AF43"/>
    </row>
    <row r="44" spans="7:32" x14ac:dyDescent="0.3">
      <c r="G44" s="32" t="s">
        <v>0</v>
      </c>
      <c r="H44" s="33" t="s">
        <v>221</v>
      </c>
      <c r="I44" s="33" t="s">
        <v>222</v>
      </c>
      <c r="J44" s="33" t="s">
        <v>223</v>
      </c>
      <c r="K44" s="33" t="s">
        <v>224</v>
      </c>
      <c r="L44" s="33" t="s">
        <v>225</v>
      </c>
      <c r="W44"/>
      <c r="X44"/>
      <c r="Y44"/>
      <c r="Z44"/>
      <c r="AA44"/>
      <c r="AB44"/>
      <c r="AC44"/>
      <c r="AD44"/>
      <c r="AE44"/>
      <c r="AF44"/>
    </row>
    <row r="45" spans="7:32" x14ac:dyDescent="0.3">
      <c r="G45" s="35" t="s">
        <v>2</v>
      </c>
      <c r="H45" s="55"/>
      <c r="I45" s="37"/>
      <c r="J45" s="37"/>
      <c r="K45" s="37"/>
      <c r="L45" s="55"/>
    </row>
    <row r="46" spans="7:32" x14ac:dyDescent="0.3">
      <c r="G46" s="3" t="s">
        <v>4</v>
      </c>
      <c r="H46" s="1">
        <f>COUNTIF($L3:$V3,"•")</f>
        <v>3</v>
      </c>
      <c r="I46" s="1">
        <f t="shared" ref="I46:L48" si="14">$H46+N46</f>
        <v>5</v>
      </c>
      <c r="J46" s="1">
        <f t="shared" si="14"/>
        <v>6</v>
      </c>
      <c r="K46" s="1">
        <f t="shared" si="14"/>
        <v>7</v>
      </c>
      <c r="L46" s="1">
        <f t="shared" si="14"/>
        <v>6</v>
      </c>
      <c r="M46" s="56"/>
      <c r="N46" s="56">
        <v>2</v>
      </c>
      <c r="O46" s="56">
        <v>3</v>
      </c>
      <c r="P46" s="56">
        <v>4</v>
      </c>
      <c r="Q46" s="56">
        <v>3</v>
      </c>
    </row>
    <row r="47" spans="7:32" x14ac:dyDescent="0.3">
      <c r="G47" s="3" t="s">
        <v>6</v>
      </c>
      <c r="H47" s="1">
        <f>COUNTIF($L4:$V4,"•")</f>
        <v>4</v>
      </c>
      <c r="I47" s="1">
        <f t="shared" si="14"/>
        <v>5</v>
      </c>
      <c r="J47" s="1">
        <f t="shared" si="14"/>
        <v>6</v>
      </c>
      <c r="K47" s="1">
        <f t="shared" si="14"/>
        <v>6</v>
      </c>
      <c r="L47" s="1">
        <f t="shared" si="14"/>
        <v>6</v>
      </c>
      <c r="M47" s="56"/>
      <c r="N47" s="56">
        <v>1</v>
      </c>
      <c r="O47" s="56">
        <v>2</v>
      </c>
      <c r="P47" s="56">
        <v>2</v>
      </c>
      <c r="Q47" s="56">
        <v>2</v>
      </c>
    </row>
    <row r="48" spans="7:32" x14ac:dyDescent="0.3">
      <c r="G48" s="3" t="s">
        <v>8</v>
      </c>
      <c r="H48" s="1">
        <f>COUNTIF($L5:$V5,"•")</f>
        <v>3</v>
      </c>
      <c r="I48" s="1">
        <f t="shared" si="14"/>
        <v>4</v>
      </c>
      <c r="J48" s="1">
        <f t="shared" si="14"/>
        <v>6</v>
      </c>
      <c r="K48" s="1">
        <f t="shared" si="14"/>
        <v>6</v>
      </c>
      <c r="L48" s="1">
        <f t="shared" si="14"/>
        <v>5</v>
      </c>
      <c r="M48" s="56"/>
      <c r="N48" s="56">
        <v>1</v>
      </c>
      <c r="O48" s="56">
        <v>3</v>
      </c>
      <c r="P48" s="56">
        <v>3</v>
      </c>
      <c r="Q48" s="56">
        <v>2</v>
      </c>
    </row>
    <row r="49" spans="7:17" x14ac:dyDescent="0.3">
      <c r="G49" s="35" t="s">
        <v>10</v>
      </c>
      <c r="H49" s="55"/>
      <c r="I49" s="37"/>
      <c r="J49" s="37"/>
      <c r="K49" s="37"/>
      <c r="L49" s="55"/>
    </row>
    <row r="50" spans="7:17" x14ac:dyDescent="0.3">
      <c r="G50" s="3" t="s">
        <v>13</v>
      </c>
      <c r="H50" s="1">
        <f>COUNTIF($L7:$V7,"•")</f>
        <v>3</v>
      </c>
      <c r="I50" s="1">
        <f t="shared" ref="I50:L52" si="15">$H50+N50</f>
        <v>3</v>
      </c>
      <c r="J50" s="1">
        <f t="shared" si="15"/>
        <v>3</v>
      </c>
      <c r="K50" s="1">
        <f t="shared" si="15"/>
        <v>3</v>
      </c>
      <c r="L50" s="1">
        <f t="shared" si="15"/>
        <v>3</v>
      </c>
      <c r="M50" s="56"/>
      <c r="N50" s="56"/>
      <c r="O50" s="56"/>
      <c r="P50" s="56"/>
      <c r="Q50" s="56"/>
    </row>
    <row r="51" spans="7:17" x14ac:dyDescent="0.3">
      <c r="G51" s="3" t="s">
        <v>16</v>
      </c>
      <c r="H51" s="1">
        <f>COUNTIF($L8:$V8,"•")</f>
        <v>1</v>
      </c>
      <c r="I51" s="1">
        <f t="shared" si="15"/>
        <v>0</v>
      </c>
      <c r="J51" s="1">
        <f t="shared" si="15"/>
        <v>-2</v>
      </c>
      <c r="K51" s="1">
        <f t="shared" si="15"/>
        <v>-2</v>
      </c>
      <c r="L51" s="1">
        <f t="shared" si="15"/>
        <v>-2</v>
      </c>
      <c r="M51" s="56"/>
      <c r="N51" s="56">
        <v>-1</v>
      </c>
      <c r="O51" s="56">
        <v>-3</v>
      </c>
      <c r="P51" s="56">
        <v>-3</v>
      </c>
      <c r="Q51" s="56">
        <v>-3</v>
      </c>
    </row>
    <row r="52" spans="7:17" x14ac:dyDescent="0.3">
      <c r="G52" s="3" t="s">
        <v>18</v>
      </c>
      <c r="H52" s="1">
        <f>COUNTIF($L9:$V9,"•")</f>
        <v>2</v>
      </c>
      <c r="I52" s="1">
        <f t="shared" si="15"/>
        <v>1</v>
      </c>
      <c r="J52" s="1">
        <f t="shared" si="15"/>
        <v>0</v>
      </c>
      <c r="K52" s="1">
        <f t="shared" si="15"/>
        <v>0</v>
      </c>
      <c r="L52" s="1">
        <f t="shared" si="15"/>
        <v>2</v>
      </c>
      <c r="M52" s="56"/>
      <c r="N52" s="56">
        <v>-1</v>
      </c>
      <c r="O52" s="56">
        <f>-H52</f>
        <v>-2</v>
      </c>
      <c r="P52" s="56">
        <f>-H52</f>
        <v>-2</v>
      </c>
      <c r="Q52" s="56"/>
    </row>
    <row r="53" spans="7:17" x14ac:dyDescent="0.3">
      <c r="G53" s="35" t="s">
        <v>20</v>
      </c>
      <c r="H53" s="55"/>
      <c r="I53" s="37"/>
      <c r="J53" s="37"/>
      <c r="K53" s="37"/>
      <c r="L53" s="55"/>
    </row>
    <row r="54" spans="7:17" x14ac:dyDescent="0.3">
      <c r="G54" s="3" t="s">
        <v>22</v>
      </c>
      <c r="H54" s="1">
        <f>COUNTIF($L11:$V11,"•")</f>
        <v>3</v>
      </c>
      <c r="I54" s="1">
        <f t="shared" ref="I54:L56" si="16">$H54+N54</f>
        <v>3</v>
      </c>
      <c r="J54" s="1">
        <f t="shared" si="16"/>
        <v>3</v>
      </c>
      <c r="K54" s="1">
        <f t="shared" si="16"/>
        <v>3</v>
      </c>
      <c r="L54" s="1">
        <f t="shared" si="16"/>
        <v>3</v>
      </c>
      <c r="M54" s="56"/>
      <c r="N54" s="56"/>
      <c r="O54" s="56"/>
      <c r="P54" s="56"/>
      <c r="Q54" s="56"/>
    </row>
    <row r="55" spans="7:17" x14ac:dyDescent="0.3">
      <c r="G55" s="3" t="s">
        <v>24</v>
      </c>
      <c r="H55" s="1">
        <f>COUNTIF($L12:$V12,"•")</f>
        <v>2</v>
      </c>
      <c r="I55" s="1">
        <f t="shared" si="16"/>
        <v>2</v>
      </c>
      <c r="J55" s="1">
        <f t="shared" si="16"/>
        <v>2</v>
      </c>
      <c r="K55" s="1">
        <f t="shared" si="16"/>
        <v>2</v>
      </c>
      <c r="L55" s="1">
        <f t="shared" si="16"/>
        <v>2</v>
      </c>
      <c r="M55" s="56"/>
      <c r="N55" s="56"/>
      <c r="O55" s="56"/>
      <c r="P55" s="56"/>
      <c r="Q55" s="56"/>
    </row>
    <row r="56" spans="7:17" x14ac:dyDescent="0.3">
      <c r="G56" s="3" t="s">
        <v>26</v>
      </c>
      <c r="H56" s="1">
        <f>COUNTIF($L13:$V13,"•")</f>
        <v>3</v>
      </c>
      <c r="I56" s="1">
        <f t="shared" si="16"/>
        <v>3</v>
      </c>
      <c r="J56" s="1">
        <f t="shared" si="16"/>
        <v>3</v>
      </c>
      <c r="K56" s="1">
        <f t="shared" si="16"/>
        <v>3</v>
      </c>
      <c r="L56" s="1">
        <f t="shared" si="16"/>
        <v>3</v>
      </c>
      <c r="M56" s="56"/>
      <c r="N56" s="56"/>
      <c r="O56" s="56"/>
      <c r="P56" s="56"/>
      <c r="Q56" s="56"/>
    </row>
  </sheetData>
  <mergeCells count="9">
    <mergeCell ref="D7:E7"/>
    <mergeCell ref="D8:E8"/>
    <mergeCell ref="AT19:AV21"/>
    <mergeCell ref="D1:E1"/>
    <mergeCell ref="D2:E2"/>
    <mergeCell ref="D3:E3"/>
    <mergeCell ref="D4:E4"/>
    <mergeCell ref="D5:E5"/>
    <mergeCell ref="D6:E6"/>
  </mergeCells>
  <conditionalFormatting sqref="C11:D11">
    <cfRule type="cellIs" dxfId="21" priority="5" operator="equal">
      <formula>"F"</formula>
    </cfRule>
    <cfRule type="cellIs" dxfId="20" priority="6" operator="equal">
      <formula>"•"</formula>
    </cfRule>
    <cfRule type="cellIs" dxfId="19" priority="7" operator="equal">
      <formula>"@"</formula>
    </cfRule>
  </conditionalFormatting>
  <conditionalFormatting sqref="C12:D18">
    <cfRule type="cellIs" dxfId="18" priority="4" operator="equal">
      <formula>0</formula>
    </cfRule>
  </conditionalFormatting>
  <conditionalFormatting sqref="H14 L19:U20 L21:M23 N21:U24 L24 N25:T25 N26:P26">
    <cfRule type="cellIs" dxfId="17" priority="12" operator="equal">
      <formula>"•"</formula>
    </cfRule>
    <cfRule type="cellIs" dxfId="16" priority="13" operator="equal">
      <formula>"@"</formula>
    </cfRule>
  </conditionalFormatting>
  <conditionalFormatting sqref="H18">
    <cfRule type="cellIs" dxfId="15" priority="9" operator="equal">
      <formula>"•"</formula>
    </cfRule>
    <cfRule type="cellIs" dxfId="14" priority="10" operator="equal">
      <formula>"@"</formula>
    </cfRule>
  </conditionalFormatting>
  <conditionalFormatting sqref="I14">
    <cfRule type="cellIs" dxfId="13" priority="11" operator="equal">
      <formula>0</formula>
    </cfRule>
  </conditionalFormatting>
  <conditionalFormatting sqref="I18">
    <cfRule type="cellIs" dxfId="12" priority="8" operator="equal">
      <formula>0</formula>
    </cfRule>
  </conditionalFormatting>
  <conditionalFormatting sqref="L18:M18">
    <cfRule type="cellIs" dxfId="11" priority="15" operator="equal">
      <formula>0</formula>
    </cfRule>
  </conditionalFormatting>
  <conditionalFormatting sqref="L3:U5 AB3:AF12 L7:U9 L11:U13 L15:U17 L19:U21 M22:M23 L22:L24 N22:U24 N25:T25 U25:U26 AB25:AF34 N26:P26">
    <cfRule type="cellIs" dxfId="10" priority="16" operator="equal">
      <formula>"F"</formula>
    </cfRule>
  </conditionalFormatting>
  <conditionalFormatting sqref="L3:V5 AB3:AF12 N6:V6 L7:V9 N10:V10 L11:V13 AD13:AF13 L14 N14:U14 V14:V35 L15:U17 N18:U18 AD24:AF24 U25:U26 AB25:AF34">
    <cfRule type="cellIs" dxfId="9" priority="18" operator="equal">
      <formula>"•"</formula>
    </cfRule>
    <cfRule type="cellIs" dxfId="8" priority="19" operator="equal">
      <formula>"@"</formula>
    </cfRule>
  </conditionalFormatting>
  <conditionalFormatting sqref="M14">
    <cfRule type="cellIs" dxfId="7" priority="14" operator="equal">
      <formula>0</formula>
    </cfRule>
  </conditionalFormatting>
  <conditionalFormatting sqref="AA3:AA12 K3:K18 AA14:AA23 AA25:AA34">
    <cfRule type="cellIs" dxfId="6" priority="17" operator="equal">
      <formula>0</formula>
    </cfRule>
  </conditionalFormatting>
  <conditionalFormatting sqref="AB14:AF23">
    <cfRule type="cellIs" dxfId="5" priority="1" operator="equal">
      <formula>"F"</formula>
    </cfRule>
    <cfRule type="cellIs" dxfId="4" priority="2" operator="equal">
      <formula>"•"</formula>
    </cfRule>
    <cfRule type="cellIs" dxfId="3" priority="3" operator="equal">
      <formula>"@"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B5E8-B003-4ED3-8B38-169715C4952A}">
  <dimension ref="A1:L23"/>
  <sheetViews>
    <sheetView workbookViewId="0">
      <selection activeCell="C27" sqref="C27"/>
    </sheetView>
  </sheetViews>
  <sheetFormatPr defaultRowHeight="15.05" x14ac:dyDescent="0.3"/>
  <cols>
    <col min="2" max="2" width="11.21875" bestFit="1" customWidth="1"/>
    <col min="6" max="6" width="4.77734375" customWidth="1"/>
    <col min="9" max="9" width="4.77734375" customWidth="1"/>
    <col min="12" max="12" width="5.77734375" bestFit="1" customWidth="1"/>
  </cols>
  <sheetData>
    <row r="1" spans="1:12" x14ac:dyDescent="0.3">
      <c r="A1" t="s">
        <v>168</v>
      </c>
      <c r="B1" t="s">
        <v>167</v>
      </c>
      <c r="C1" t="s">
        <v>166</v>
      </c>
      <c r="D1" t="s">
        <v>165</v>
      </c>
      <c r="E1" t="s">
        <v>163</v>
      </c>
      <c r="F1" s="26"/>
      <c r="G1" t="s">
        <v>164</v>
      </c>
      <c r="H1" t="s">
        <v>163</v>
      </c>
      <c r="I1" s="26"/>
      <c r="J1" t="s">
        <v>174</v>
      </c>
      <c r="K1" t="s">
        <v>163</v>
      </c>
      <c r="L1" s="26"/>
    </row>
    <row r="2" spans="1:12" x14ac:dyDescent="0.3">
      <c r="A2" s="30" t="s">
        <v>173</v>
      </c>
      <c r="B2" s="30" t="s">
        <v>162</v>
      </c>
      <c r="C2" s="30">
        <v>0</v>
      </c>
      <c r="D2" s="30">
        <v>2</v>
      </c>
      <c r="E2" s="30">
        <f>$D2-C2</f>
        <v>2</v>
      </c>
      <c r="F2" s="26"/>
      <c r="G2" s="30">
        <v>0.2</v>
      </c>
      <c r="H2" s="30">
        <f>$D2-G2</f>
        <v>1.8</v>
      </c>
      <c r="I2" s="27">
        <f>1-H2/$D2</f>
        <v>9.9999999999999978E-2</v>
      </c>
      <c r="J2" s="30">
        <f>G2</f>
        <v>0.2</v>
      </c>
      <c r="K2" s="30">
        <f>$D2-J2</f>
        <v>1.8</v>
      </c>
      <c r="L2" s="27">
        <f>1-K2/$D2</f>
        <v>9.9999999999999978E-2</v>
      </c>
    </row>
    <row r="3" spans="1:12" x14ac:dyDescent="0.3">
      <c r="A3" s="29" t="s">
        <v>173</v>
      </c>
      <c r="B3" s="29" t="s">
        <v>161</v>
      </c>
      <c r="C3" s="29">
        <v>3</v>
      </c>
      <c r="D3" s="29">
        <v>5</v>
      </c>
      <c r="E3" s="29">
        <f>$D3-C3</f>
        <v>2</v>
      </c>
      <c r="F3" s="26"/>
      <c r="G3" s="29">
        <v>0.3</v>
      </c>
      <c r="H3" s="29">
        <f>$D3-G3</f>
        <v>4.7</v>
      </c>
      <c r="I3" s="27">
        <f>1-H3/$D3</f>
        <v>5.9999999999999942E-2</v>
      </c>
      <c r="J3" s="29">
        <f>G3</f>
        <v>0.3</v>
      </c>
      <c r="K3" s="29">
        <f>$D3-J3</f>
        <v>4.7</v>
      </c>
      <c r="L3" s="27">
        <f>1-K3/$D3</f>
        <v>5.9999999999999942E-2</v>
      </c>
    </row>
    <row r="4" spans="1:12" x14ac:dyDescent="0.3">
      <c r="A4" s="28" t="s">
        <v>173</v>
      </c>
      <c r="B4" s="28" t="s">
        <v>159</v>
      </c>
      <c r="C4" s="28">
        <v>0</v>
      </c>
      <c r="D4" s="28">
        <v>1</v>
      </c>
      <c r="E4" s="28">
        <f>$D4-C4</f>
        <v>1</v>
      </c>
      <c r="F4" s="26"/>
      <c r="G4" s="28">
        <v>0.2</v>
      </c>
      <c r="H4" s="28">
        <f>$D4-G4</f>
        <v>0.8</v>
      </c>
      <c r="I4" s="27">
        <f>1-H4/$D4</f>
        <v>0.19999999999999996</v>
      </c>
      <c r="J4" s="28">
        <v>1</v>
      </c>
      <c r="K4" s="28">
        <f>$D4-J4</f>
        <v>0</v>
      </c>
      <c r="L4" s="27">
        <f>1-K4/$D4</f>
        <v>1</v>
      </c>
    </row>
    <row r="5" spans="1:12" x14ac:dyDescent="0.3">
      <c r="A5" s="26"/>
      <c r="B5" s="26"/>
      <c r="C5" s="26"/>
      <c r="D5" s="26"/>
      <c r="E5" s="26"/>
      <c r="F5" s="26"/>
      <c r="G5" s="26"/>
      <c r="H5" s="26"/>
      <c r="I5" s="25">
        <f>1-SUM(H2:H4)/SUM($D2:$D4)</f>
        <v>8.7500000000000022E-2</v>
      </c>
      <c r="J5" s="26"/>
      <c r="K5" s="26"/>
      <c r="L5" s="25">
        <f>1-SUM(K2:K4)/SUM($D2:$D4)</f>
        <v>0.1875</v>
      </c>
    </row>
    <row r="6" spans="1:12" x14ac:dyDescent="0.3">
      <c r="A6" t="s">
        <v>168</v>
      </c>
      <c r="B6" t="s">
        <v>167</v>
      </c>
      <c r="C6" t="s">
        <v>166</v>
      </c>
      <c r="D6" t="s">
        <v>165</v>
      </c>
      <c r="E6" t="s">
        <v>163</v>
      </c>
      <c r="F6" s="26"/>
      <c r="G6" t="s">
        <v>164</v>
      </c>
      <c r="H6" t="s">
        <v>163</v>
      </c>
      <c r="I6" s="26"/>
      <c r="J6" t="s">
        <v>164</v>
      </c>
      <c r="K6" t="s">
        <v>163</v>
      </c>
      <c r="L6" s="26"/>
    </row>
    <row r="7" spans="1:12" x14ac:dyDescent="0.3">
      <c r="A7" s="30" t="s">
        <v>172</v>
      </c>
      <c r="B7" s="30" t="s">
        <v>162</v>
      </c>
      <c r="C7" s="30">
        <v>2</v>
      </c>
      <c r="D7" s="30">
        <v>5</v>
      </c>
      <c r="E7" s="30">
        <f>$D7-C7</f>
        <v>3</v>
      </c>
      <c r="F7" s="26"/>
      <c r="G7" s="30"/>
      <c r="H7" s="30">
        <f>$D7-G7</f>
        <v>5</v>
      </c>
      <c r="I7" s="27">
        <f>1-H7/$D7</f>
        <v>0</v>
      </c>
      <c r="J7" s="30">
        <f>G7</f>
        <v>0</v>
      </c>
      <c r="K7" s="30">
        <f>$D7-J7</f>
        <v>5</v>
      </c>
      <c r="L7" s="27">
        <f>1-K7/$D7</f>
        <v>0</v>
      </c>
    </row>
    <row r="8" spans="1:12" x14ac:dyDescent="0.3">
      <c r="A8" s="29" t="s">
        <v>172</v>
      </c>
      <c r="B8" s="29" t="s">
        <v>161</v>
      </c>
      <c r="C8" s="29">
        <v>1</v>
      </c>
      <c r="D8" s="29">
        <v>3</v>
      </c>
      <c r="E8" s="29">
        <f>$D8-C8</f>
        <v>2</v>
      </c>
      <c r="F8" s="26"/>
      <c r="G8" s="29"/>
      <c r="H8" s="29">
        <f>$D8-G8</f>
        <v>3</v>
      </c>
      <c r="I8" s="27">
        <f>1-H8/$D8</f>
        <v>0</v>
      </c>
      <c r="J8" s="29">
        <f>G8</f>
        <v>0</v>
      </c>
      <c r="K8" s="29">
        <f>$D8-J8</f>
        <v>3</v>
      </c>
      <c r="L8" s="27">
        <f>1-K8/$D8</f>
        <v>0</v>
      </c>
    </row>
    <row r="9" spans="1:12" x14ac:dyDescent="0.3">
      <c r="A9" s="28" t="s">
        <v>172</v>
      </c>
      <c r="B9" s="28" t="s">
        <v>159</v>
      </c>
      <c r="C9" s="28">
        <v>0</v>
      </c>
      <c r="D9" s="28">
        <v>1</v>
      </c>
      <c r="E9" s="28">
        <f>$D9-C9</f>
        <v>1</v>
      </c>
      <c r="F9" s="26"/>
      <c r="G9" s="28"/>
      <c r="H9" s="28">
        <f>$D9-G9</f>
        <v>1</v>
      </c>
      <c r="I9" s="27">
        <f>1-H9/$D9</f>
        <v>0</v>
      </c>
      <c r="J9" s="28">
        <f>G9+1</f>
        <v>1</v>
      </c>
      <c r="K9" s="28">
        <f>$D9-J9</f>
        <v>0</v>
      </c>
      <c r="L9" s="27">
        <f>1-K9/$D9</f>
        <v>1</v>
      </c>
    </row>
    <row r="10" spans="1:12" x14ac:dyDescent="0.3">
      <c r="A10" s="26"/>
      <c r="B10" s="26"/>
      <c r="C10" s="26"/>
      <c r="D10" s="26"/>
      <c r="E10" s="26"/>
      <c r="F10" s="26"/>
      <c r="G10" s="26"/>
      <c r="H10" s="26"/>
      <c r="I10" s="25">
        <f>1-SUM(H7:H9)/SUM($D7:$D9)</f>
        <v>0</v>
      </c>
      <c r="J10" s="26"/>
      <c r="K10" s="26"/>
      <c r="L10" s="25">
        <f>1-SUM(K7:K9)/SUM($D7:$D9)</f>
        <v>0.11111111111111116</v>
      </c>
    </row>
    <row r="11" spans="1:12" x14ac:dyDescent="0.3">
      <c r="A11" t="s">
        <v>168</v>
      </c>
      <c r="B11" t="s">
        <v>167</v>
      </c>
      <c r="C11" t="s">
        <v>166</v>
      </c>
      <c r="D11" t="s">
        <v>165</v>
      </c>
      <c r="E11" t="s">
        <v>163</v>
      </c>
      <c r="F11" s="26"/>
      <c r="G11" t="s">
        <v>164</v>
      </c>
      <c r="H11" t="s">
        <v>163</v>
      </c>
      <c r="I11" s="26"/>
      <c r="J11" t="s">
        <v>164</v>
      </c>
      <c r="K11" t="s">
        <v>163</v>
      </c>
      <c r="L11" s="26"/>
    </row>
    <row r="12" spans="1:12" x14ac:dyDescent="0.3">
      <c r="A12" t="s">
        <v>171</v>
      </c>
      <c r="B12" t="s">
        <v>170</v>
      </c>
      <c r="C12">
        <v>3</v>
      </c>
      <c r="D12">
        <v>9</v>
      </c>
      <c r="E12">
        <f>$D12-C12</f>
        <v>6</v>
      </c>
      <c r="F12" s="26"/>
      <c r="G12">
        <f>0.3+0.3+0.1</f>
        <v>0.7</v>
      </c>
      <c r="H12">
        <f>$D12-G12</f>
        <v>8.3000000000000007</v>
      </c>
      <c r="I12" s="27">
        <f>1-H12/$D12</f>
        <v>7.7777777777777724E-2</v>
      </c>
      <c r="J12">
        <f>G12+1</f>
        <v>1.7</v>
      </c>
      <c r="K12">
        <f>$D12-J12</f>
        <v>7.3</v>
      </c>
      <c r="L12" s="27">
        <f>1-K12/$D12</f>
        <v>0.18888888888888888</v>
      </c>
    </row>
    <row r="13" spans="1:12" x14ac:dyDescent="0.3">
      <c r="A13" s="26"/>
      <c r="B13" s="26"/>
      <c r="C13" s="26"/>
      <c r="D13" s="26"/>
      <c r="E13" s="26"/>
      <c r="F13" s="26"/>
      <c r="G13" s="26"/>
      <c r="H13" s="26"/>
      <c r="I13" s="25">
        <f>1-SUM(H10:H12)/SUM($D10:$D12)</f>
        <v>7.7777777777777724E-2</v>
      </c>
      <c r="J13" s="26"/>
      <c r="K13" s="26"/>
      <c r="L13" s="25">
        <f>1-SUM(K10:K12)/SUM($D10:$D12)</f>
        <v>0.18888888888888888</v>
      </c>
    </row>
    <row r="14" spans="1:12" x14ac:dyDescent="0.3">
      <c r="A14" t="s">
        <v>168</v>
      </c>
      <c r="B14" t="s">
        <v>167</v>
      </c>
      <c r="C14" t="s">
        <v>166</v>
      </c>
      <c r="D14" t="s">
        <v>165</v>
      </c>
      <c r="E14" t="s">
        <v>163</v>
      </c>
      <c r="F14" s="26"/>
      <c r="G14" t="s">
        <v>164</v>
      </c>
      <c r="H14" t="s">
        <v>163</v>
      </c>
      <c r="I14" s="26"/>
      <c r="J14" t="s">
        <v>164</v>
      </c>
      <c r="K14" t="s">
        <v>163</v>
      </c>
      <c r="L14" s="26"/>
    </row>
    <row r="15" spans="1:12" x14ac:dyDescent="0.3">
      <c r="A15" s="30" t="s">
        <v>169</v>
      </c>
      <c r="B15" s="30" t="s">
        <v>162</v>
      </c>
      <c r="C15" s="30">
        <v>0</v>
      </c>
      <c r="D15" s="30">
        <v>1</v>
      </c>
      <c r="E15" s="30">
        <f>$D15-C15</f>
        <v>1</v>
      </c>
      <c r="F15" s="26"/>
      <c r="G15" s="30"/>
      <c r="H15" s="30">
        <f>$D15-G15</f>
        <v>1</v>
      </c>
      <c r="I15" s="27">
        <f>1-H15/$D15</f>
        <v>0</v>
      </c>
      <c r="J15" s="30">
        <f>G15</f>
        <v>0</v>
      </c>
      <c r="K15" s="30">
        <f>$D15-J15</f>
        <v>1</v>
      </c>
      <c r="L15" s="27">
        <f>1-K15/$D15</f>
        <v>0</v>
      </c>
    </row>
    <row r="16" spans="1:12" x14ac:dyDescent="0.3">
      <c r="A16" s="29" t="s">
        <v>169</v>
      </c>
      <c r="B16" s="29" t="s">
        <v>161</v>
      </c>
      <c r="C16" s="29">
        <v>0</v>
      </c>
      <c r="D16" s="29">
        <v>1</v>
      </c>
      <c r="E16" s="29">
        <f>$D16-C16</f>
        <v>1</v>
      </c>
      <c r="F16" s="26"/>
      <c r="G16" s="29"/>
      <c r="H16" s="29">
        <f>$D16-G16</f>
        <v>1</v>
      </c>
      <c r="I16" s="27">
        <f>1-H16/$D16</f>
        <v>0</v>
      </c>
      <c r="J16" s="29">
        <f>G16</f>
        <v>0</v>
      </c>
      <c r="K16" s="29">
        <f>$D16-J16</f>
        <v>1</v>
      </c>
      <c r="L16" s="27">
        <f>1-K16/$D16</f>
        <v>0</v>
      </c>
    </row>
    <row r="17" spans="1:12" x14ac:dyDescent="0.3">
      <c r="A17" s="28" t="s">
        <v>169</v>
      </c>
      <c r="B17" s="28" t="s">
        <v>159</v>
      </c>
      <c r="C17" s="28">
        <v>3</v>
      </c>
      <c r="D17" s="28">
        <v>5</v>
      </c>
      <c r="E17" s="28">
        <f>$D17-C17</f>
        <v>2</v>
      </c>
      <c r="F17" s="26"/>
      <c r="G17" s="28"/>
      <c r="H17" s="28">
        <f>$D17-G17</f>
        <v>5</v>
      </c>
      <c r="I17" s="27">
        <f>1-H17/$D17</f>
        <v>0</v>
      </c>
      <c r="J17" s="28">
        <f>G17+1</f>
        <v>1</v>
      </c>
      <c r="K17" s="28">
        <f>$D17-J17</f>
        <v>4</v>
      </c>
      <c r="L17" s="27">
        <f>1-K17/$D17</f>
        <v>0.19999999999999996</v>
      </c>
    </row>
    <row r="18" spans="1:12" x14ac:dyDescent="0.3">
      <c r="A18" s="26"/>
      <c r="B18" s="26"/>
      <c r="C18" s="26"/>
      <c r="D18" s="26"/>
      <c r="E18" s="26"/>
      <c r="F18" s="26"/>
      <c r="G18" s="26"/>
      <c r="H18" s="26"/>
      <c r="I18" s="25">
        <f>1-SUM(H15:H17)/SUM($D15:$D17)</f>
        <v>0</v>
      </c>
      <c r="J18" s="26"/>
      <c r="K18" s="26"/>
      <c r="L18" s="25">
        <f>1-SUM(K15:K17)/SUM($D15:$D17)</f>
        <v>0.1428571428571429</v>
      </c>
    </row>
    <row r="19" spans="1:12" x14ac:dyDescent="0.3">
      <c r="A19" t="s">
        <v>168</v>
      </c>
      <c r="B19" t="s">
        <v>167</v>
      </c>
      <c r="C19" t="s">
        <v>166</v>
      </c>
      <c r="D19" t="s">
        <v>165</v>
      </c>
      <c r="E19" t="s">
        <v>163</v>
      </c>
      <c r="F19" s="26"/>
      <c r="G19" t="s">
        <v>164</v>
      </c>
      <c r="H19" t="s">
        <v>163</v>
      </c>
      <c r="I19" s="26"/>
      <c r="J19" t="s">
        <v>164</v>
      </c>
      <c r="K19" t="s">
        <v>163</v>
      </c>
      <c r="L19" s="26"/>
    </row>
    <row r="20" spans="1:12" x14ac:dyDescent="0.3">
      <c r="A20" s="30" t="s">
        <v>160</v>
      </c>
      <c r="B20" s="30" t="s">
        <v>162</v>
      </c>
      <c r="C20" s="30">
        <v>1</v>
      </c>
      <c r="D20" s="30">
        <v>3</v>
      </c>
      <c r="E20" s="30">
        <f>$D20-C20</f>
        <v>2</v>
      </c>
      <c r="F20" s="26"/>
      <c r="G20" s="30">
        <v>0.3</v>
      </c>
      <c r="H20" s="30">
        <f>$D20-G20</f>
        <v>2.7</v>
      </c>
      <c r="I20" s="27">
        <f>1-H20/$D20</f>
        <v>9.9999999999999978E-2</v>
      </c>
      <c r="J20" s="30">
        <f>G20</f>
        <v>0.3</v>
      </c>
      <c r="K20" s="30">
        <f>$D20-J20</f>
        <v>2.7</v>
      </c>
      <c r="L20" s="27">
        <f>1-K20/$D20</f>
        <v>9.9999999999999978E-2</v>
      </c>
    </row>
    <row r="21" spans="1:12" x14ac:dyDescent="0.3">
      <c r="A21" s="29" t="s">
        <v>160</v>
      </c>
      <c r="B21" s="29" t="s">
        <v>161</v>
      </c>
      <c r="C21" s="29">
        <v>1</v>
      </c>
      <c r="D21" s="29">
        <v>3</v>
      </c>
      <c r="E21" s="29">
        <f>$D21-C21</f>
        <v>2</v>
      </c>
      <c r="F21" s="26"/>
      <c r="G21" s="29">
        <v>0.1</v>
      </c>
      <c r="H21" s="29">
        <f>$D21-G21</f>
        <v>2.9</v>
      </c>
      <c r="I21" s="27">
        <f>1-H21/$D21</f>
        <v>3.3333333333333326E-2</v>
      </c>
      <c r="J21" s="29">
        <f>G21</f>
        <v>0.1</v>
      </c>
      <c r="K21" s="29">
        <f>$D21-J21</f>
        <v>2.9</v>
      </c>
      <c r="L21" s="27">
        <f>1-K21/$D21</f>
        <v>3.3333333333333326E-2</v>
      </c>
    </row>
    <row r="22" spans="1:12" x14ac:dyDescent="0.3">
      <c r="A22" s="28" t="s">
        <v>160</v>
      </c>
      <c r="B22" s="28" t="s">
        <v>159</v>
      </c>
      <c r="C22" s="28">
        <v>1</v>
      </c>
      <c r="D22" s="28">
        <v>2</v>
      </c>
      <c r="E22" s="28">
        <f>$D22-C22</f>
        <v>1</v>
      </c>
      <c r="F22" s="26"/>
      <c r="G22" s="28">
        <v>0.3</v>
      </c>
      <c r="H22" s="28">
        <f>$D22-G22</f>
        <v>1.7</v>
      </c>
      <c r="I22" s="27">
        <f>1-H22/$D22</f>
        <v>0.15000000000000002</v>
      </c>
      <c r="J22" s="28">
        <f>G22+1</f>
        <v>1.3</v>
      </c>
      <c r="K22" s="28">
        <f>$D22-J22</f>
        <v>0.7</v>
      </c>
      <c r="L22" s="27">
        <f>1-K22/$D22</f>
        <v>0.65</v>
      </c>
    </row>
    <row r="23" spans="1:12" x14ac:dyDescent="0.3">
      <c r="F23" s="26"/>
      <c r="I23" s="25">
        <f>1-SUM(H20:H22)/SUM($D20:$D22)</f>
        <v>8.7500000000000022E-2</v>
      </c>
      <c r="L23" s="25">
        <f>1-SUM(K20:K22)/SUM($D20:$D22)</f>
        <v>0.21250000000000002</v>
      </c>
    </row>
  </sheetData>
  <conditionalFormatting sqref="E1:E1048576 H1:H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{8415D31E-0DDA-4423-9D0B-A44A01B73D6E}</x14:id>
        </ext>
      </extLst>
    </cfRule>
  </conditionalFormatting>
  <conditionalFormatting sqref="K1:K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{42918402-E289-4D18-A8CE-3D0E6C3AFAE0}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15D31E-0DDA-4423-9D0B-A44A01B73D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 H1:H1048576</xm:sqref>
        </x14:conditionalFormatting>
        <x14:conditionalFormatting xmlns:xm="http://schemas.microsoft.com/office/excel/2006/main">
          <x14:cfRule type="dataBar" id="{42918402-E289-4D18-A8CE-3D0E6C3AFA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BAFC-BD44-48D2-988E-FCEA9E4730B3}">
  <dimension ref="A1:L37"/>
  <sheetViews>
    <sheetView workbookViewId="0">
      <selection activeCell="C24" sqref="C24"/>
    </sheetView>
  </sheetViews>
  <sheetFormatPr defaultRowHeight="15.05" x14ac:dyDescent="0.3"/>
  <cols>
    <col min="1" max="1" width="3.88671875" style="17" customWidth="1"/>
    <col min="2" max="2" width="25" bestFit="1" customWidth="1"/>
    <col min="3" max="3" width="41" bestFit="1" customWidth="1"/>
    <col min="4" max="4" width="9.88671875" bestFit="1" customWidth="1"/>
    <col min="5" max="5" width="16.44140625" bestFit="1" customWidth="1"/>
    <col min="6" max="6" width="39.5546875" bestFit="1" customWidth="1"/>
    <col min="7" max="7" width="22.5546875" customWidth="1"/>
  </cols>
  <sheetData>
    <row r="1" spans="1:12" ht="28.8" x14ac:dyDescent="0.3">
      <c r="A1" s="17" t="s">
        <v>158</v>
      </c>
      <c r="B1" t="s">
        <v>157</v>
      </c>
      <c r="C1" t="s">
        <v>156</v>
      </c>
      <c r="D1" t="s">
        <v>155</v>
      </c>
      <c r="E1" t="s">
        <v>154</v>
      </c>
      <c r="F1" t="s">
        <v>153</v>
      </c>
      <c r="G1" s="24" t="s">
        <v>152</v>
      </c>
      <c r="H1" t="s">
        <v>151</v>
      </c>
      <c r="I1" t="s">
        <v>151</v>
      </c>
      <c r="J1" t="s">
        <v>151</v>
      </c>
      <c r="K1" t="s">
        <v>151</v>
      </c>
      <c r="L1" t="s">
        <v>151</v>
      </c>
    </row>
    <row r="2" spans="1:12" x14ac:dyDescent="0.3">
      <c r="A2" s="17" t="s">
        <v>150</v>
      </c>
      <c r="B2" t="s">
        <v>149</v>
      </c>
      <c r="C2" t="s">
        <v>148</v>
      </c>
      <c r="D2">
        <v>1.01</v>
      </c>
      <c r="E2" s="21" t="s">
        <v>138</v>
      </c>
      <c r="F2" s="21" t="s">
        <v>88</v>
      </c>
      <c r="G2" s="21" t="s">
        <v>87</v>
      </c>
    </row>
    <row r="3" spans="1:12" x14ac:dyDescent="0.3">
      <c r="A3" s="17" t="s">
        <v>147</v>
      </c>
      <c r="B3" t="s">
        <v>146</v>
      </c>
      <c r="C3" t="s">
        <v>145</v>
      </c>
      <c r="D3">
        <v>1.02</v>
      </c>
      <c r="E3" s="21" t="s">
        <v>109</v>
      </c>
      <c r="F3" s="21" t="s">
        <v>101</v>
      </c>
      <c r="G3" s="21" t="s">
        <v>87</v>
      </c>
    </row>
    <row r="4" spans="1:12" x14ac:dyDescent="0.3">
      <c r="A4" s="17" t="s">
        <v>144</v>
      </c>
      <c r="B4" t="s">
        <v>143</v>
      </c>
      <c r="C4" t="s">
        <v>142</v>
      </c>
      <c r="D4">
        <v>2.0099999999999998</v>
      </c>
    </row>
    <row r="5" spans="1:12" x14ac:dyDescent="0.3">
      <c r="A5" s="17" t="s">
        <v>141</v>
      </c>
      <c r="B5" t="s">
        <v>140</v>
      </c>
      <c r="C5" t="s">
        <v>139</v>
      </c>
      <c r="D5">
        <v>2.02</v>
      </c>
      <c r="E5" s="21" t="s">
        <v>138</v>
      </c>
      <c r="F5" s="21" t="s">
        <v>88</v>
      </c>
      <c r="G5" s="21" t="s">
        <v>119</v>
      </c>
    </row>
    <row r="6" spans="1:12" x14ac:dyDescent="0.3">
      <c r="A6" s="17" t="s">
        <v>137</v>
      </c>
      <c r="B6" t="s">
        <v>136</v>
      </c>
      <c r="C6" t="s">
        <v>135</v>
      </c>
      <c r="D6">
        <v>3.01</v>
      </c>
      <c r="E6" s="21" t="s">
        <v>92</v>
      </c>
      <c r="F6" s="21" t="s">
        <v>134</v>
      </c>
      <c r="G6" s="21" t="s">
        <v>96</v>
      </c>
    </row>
    <row r="7" spans="1:12" x14ac:dyDescent="0.3">
      <c r="A7" s="17" t="s">
        <v>133</v>
      </c>
      <c r="B7" t="s">
        <v>132</v>
      </c>
      <c r="C7" t="s">
        <v>131</v>
      </c>
      <c r="D7">
        <v>3.02</v>
      </c>
    </row>
    <row r="8" spans="1:12" x14ac:dyDescent="0.3">
      <c r="A8" s="22" t="s">
        <v>130</v>
      </c>
      <c r="B8" s="22" t="s">
        <v>129</v>
      </c>
      <c r="C8" s="22" t="s">
        <v>128</v>
      </c>
      <c r="D8" s="22">
        <v>4.1100000000000003</v>
      </c>
      <c r="E8" s="22"/>
      <c r="F8" s="22"/>
      <c r="G8" s="23"/>
    </row>
    <row r="9" spans="1:12" x14ac:dyDescent="0.3">
      <c r="A9" s="22" t="s">
        <v>127</v>
      </c>
      <c r="B9" s="22" t="s">
        <v>121</v>
      </c>
      <c r="C9" s="22" t="s">
        <v>126</v>
      </c>
      <c r="D9" s="22">
        <v>4.12</v>
      </c>
      <c r="E9" s="22"/>
      <c r="F9" s="23"/>
      <c r="G9" s="22"/>
    </row>
    <row r="10" spans="1:12" x14ac:dyDescent="0.3">
      <c r="A10" s="17" t="s">
        <v>125</v>
      </c>
      <c r="B10" t="s">
        <v>124</v>
      </c>
      <c r="C10" t="s">
        <v>123</v>
      </c>
      <c r="D10">
        <v>4.21</v>
      </c>
      <c r="E10" s="21" t="s">
        <v>109</v>
      </c>
      <c r="F10" s="21" t="s">
        <v>101</v>
      </c>
      <c r="G10" s="21" t="s">
        <v>119</v>
      </c>
    </row>
    <row r="11" spans="1:12" x14ac:dyDescent="0.3">
      <c r="A11" s="17" t="s">
        <v>122</v>
      </c>
      <c r="B11" t="s">
        <v>121</v>
      </c>
      <c r="C11" t="s">
        <v>120</v>
      </c>
      <c r="D11">
        <v>4.22</v>
      </c>
      <c r="E11" s="21" t="s">
        <v>109</v>
      </c>
      <c r="F11" s="21" t="s">
        <v>97</v>
      </c>
      <c r="G11" s="21" t="s">
        <v>119</v>
      </c>
    </row>
    <row r="12" spans="1:12" x14ac:dyDescent="0.3">
      <c r="A12" s="22" t="s">
        <v>118</v>
      </c>
      <c r="B12" s="22" t="s">
        <v>117</v>
      </c>
      <c r="C12" s="22" t="s">
        <v>116</v>
      </c>
      <c r="D12" s="22">
        <v>5.1100000000000003</v>
      </c>
      <c r="E12" s="23" t="s">
        <v>102</v>
      </c>
      <c r="F12" s="22"/>
      <c r="G12" s="22"/>
    </row>
    <row r="13" spans="1:12" x14ac:dyDescent="0.3">
      <c r="A13" s="22" t="s">
        <v>115</v>
      </c>
      <c r="B13" s="22" t="s">
        <v>114</v>
      </c>
      <c r="C13" s="22" t="s">
        <v>113</v>
      </c>
      <c r="D13" s="22">
        <v>5.12</v>
      </c>
      <c r="E13" s="22"/>
      <c r="F13" s="22"/>
      <c r="G13" s="22"/>
    </row>
    <row r="14" spans="1:12" x14ac:dyDescent="0.3">
      <c r="A14" s="17" t="s">
        <v>112</v>
      </c>
      <c r="B14" t="s">
        <v>111</v>
      </c>
      <c r="C14" t="s">
        <v>110</v>
      </c>
      <c r="D14">
        <v>5.21</v>
      </c>
      <c r="E14" s="21" t="s">
        <v>109</v>
      </c>
      <c r="F14" s="21" t="s">
        <v>101</v>
      </c>
      <c r="G14" s="21" t="s">
        <v>87</v>
      </c>
    </row>
    <row r="15" spans="1:12" x14ac:dyDescent="0.3">
      <c r="A15" s="17" t="s">
        <v>108</v>
      </c>
      <c r="B15" t="s">
        <v>107</v>
      </c>
      <c r="C15" t="s">
        <v>106</v>
      </c>
      <c r="D15">
        <v>5.22</v>
      </c>
      <c r="E15" s="21" t="s">
        <v>102</v>
      </c>
      <c r="F15" s="21" t="s">
        <v>88</v>
      </c>
      <c r="G15" s="21" t="s">
        <v>87</v>
      </c>
    </row>
    <row r="16" spans="1:12" x14ac:dyDescent="0.3">
      <c r="A16" s="17" t="s">
        <v>105</v>
      </c>
      <c r="B16" t="s">
        <v>104</v>
      </c>
      <c r="C16" t="s">
        <v>103</v>
      </c>
      <c r="D16">
        <v>6.01</v>
      </c>
      <c r="E16" s="21" t="s">
        <v>102</v>
      </c>
      <c r="F16" s="21" t="s">
        <v>101</v>
      </c>
      <c r="G16" s="21" t="s">
        <v>87</v>
      </c>
    </row>
    <row r="17" spans="1:7" x14ac:dyDescent="0.3">
      <c r="A17" s="17" t="s">
        <v>100</v>
      </c>
      <c r="B17" t="s">
        <v>99</v>
      </c>
      <c r="C17" t="s">
        <v>98</v>
      </c>
      <c r="D17">
        <v>6.02</v>
      </c>
      <c r="E17" s="21" t="s">
        <v>92</v>
      </c>
      <c r="F17" s="21" t="s">
        <v>97</v>
      </c>
      <c r="G17" s="21" t="s">
        <v>96</v>
      </c>
    </row>
    <row r="18" spans="1:7" x14ac:dyDescent="0.3">
      <c r="A18" s="17" t="s">
        <v>95</v>
      </c>
      <c r="B18" t="s">
        <v>94</v>
      </c>
      <c r="C18" t="s">
        <v>93</v>
      </c>
      <c r="D18">
        <v>7.01</v>
      </c>
      <c r="E18" s="21" t="s">
        <v>92</v>
      </c>
      <c r="F18" s="21" t="s">
        <v>88</v>
      </c>
    </row>
    <row r="19" spans="1:7" x14ac:dyDescent="0.3">
      <c r="A19" s="17" t="s">
        <v>91</v>
      </c>
      <c r="B19" t="s">
        <v>90</v>
      </c>
      <c r="C19" t="s">
        <v>89</v>
      </c>
      <c r="D19">
        <v>7.02</v>
      </c>
      <c r="F19" s="21" t="s">
        <v>88</v>
      </c>
      <c r="G19" s="21" t="s">
        <v>87</v>
      </c>
    </row>
    <row r="24" spans="1:7" x14ac:dyDescent="0.3">
      <c r="D24" s="18"/>
      <c r="E24">
        <f t="shared" ref="E24:E37" si="0">WEEKDAY(D24,12)</f>
        <v>5</v>
      </c>
    </row>
    <row r="25" spans="1:7" x14ac:dyDescent="0.3">
      <c r="D25" s="18">
        <f t="shared" ref="D25:D37" si="1">DATE(2040-ROW(),7,4)</f>
        <v>42189</v>
      </c>
      <c r="E25">
        <f t="shared" si="0"/>
        <v>5</v>
      </c>
    </row>
    <row r="26" spans="1:7" x14ac:dyDescent="0.3">
      <c r="D26" s="18">
        <f t="shared" si="1"/>
        <v>41824</v>
      </c>
      <c r="E26">
        <f t="shared" si="0"/>
        <v>4</v>
      </c>
    </row>
    <row r="27" spans="1:7" x14ac:dyDescent="0.3">
      <c r="D27" s="18">
        <f t="shared" si="1"/>
        <v>41459</v>
      </c>
      <c r="E27">
        <f t="shared" si="0"/>
        <v>3</v>
      </c>
    </row>
    <row r="28" spans="1:7" x14ac:dyDescent="0.3">
      <c r="D28" s="20">
        <f t="shared" si="1"/>
        <v>41094</v>
      </c>
      <c r="E28" s="19">
        <f t="shared" si="0"/>
        <v>2</v>
      </c>
    </row>
    <row r="29" spans="1:7" x14ac:dyDescent="0.3">
      <c r="D29" s="18">
        <f t="shared" si="1"/>
        <v>40728</v>
      </c>
      <c r="E29">
        <f t="shared" si="0"/>
        <v>7</v>
      </c>
    </row>
    <row r="30" spans="1:7" x14ac:dyDescent="0.3">
      <c r="D30" s="18">
        <f t="shared" si="1"/>
        <v>40363</v>
      </c>
      <c r="E30">
        <f t="shared" si="0"/>
        <v>6</v>
      </c>
    </row>
    <row r="31" spans="1:7" x14ac:dyDescent="0.3">
      <c r="D31" s="18">
        <f t="shared" si="1"/>
        <v>39998</v>
      </c>
      <c r="E31">
        <f t="shared" si="0"/>
        <v>5</v>
      </c>
    </row>
    <row r="32" spans="1:7" x14ac:dyDescent="0.3">
      <c r="D32" s="18">
        <f t="shared" si="1"/>
        <v>39633</v>
      </c>
      <c r="E32">
        <f t="shared" si="0"/>
        <v>4</v>
      </c>
    </row>
    <row r="33" spans="4:5" x14ac:dyDescent="0.3">
      <c r="D33" s="18">
        <f t="shared" si="1"/>
        <v>39267</v>
      </c>
      <c r="E33">
        <f t="shared" si="0"/>
        <v>2</v>
      </c>
    </row>
    <row r="34" spans="4:5" x14ac:dyDescent="0.3">
      <c r="D34" s="18">
        <f t="shared" si="1"/>
        <v>38902</v>
      </c>
      <c r="E34">
        <f t="shared" si="0"/>
        <v>1</v>
      </c>
    </row>
    <row r="35" spans="4:5" x14ac:dyDescent="0.3">
      <c r="D35" s="18">
        <f t="shared" si="1"/>
        <v>38537</v>
      </c>
      <c r="E35">
        <f t="shared" si="0"/>
        <v>7</v>
      </c>
    </row>
    <row r="36" spans="4:5" x14ac:dyDescent="0.3">
      <c r="D36" s="18">
        <f t="shared" si="1"/>
        <v>38172</v>
      </c>
      <c r="E36">
        <f t="shared" si="0"/>
        <v>6</v>
      </c>
    </row>
    <row r="37" spans="4:5" x14ac:dyDescent="0.3">
      <c r="D37" s="18">
        <f t="shared" si="1"/>
        <v>37806</v>
      </c>
      <c r="E37">
        <f t="shared" si="0"/>
        <v>4</v>
      </c>
    </row>
  </sheetData>
  <autoFilter ref="A1:L19" xr:uid="{3B5F2F1E-F003-4B5D-90A6-ECFE505FF8F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783B-7FB6-4D52-B3F9-816274D40414}">
  <dimension ref="A1:K67"/>
  <sheetViews>
    <sheetView zoomScaleNormal="100" workbookViewId="0">
      <pane ySplit="1" topLeftCell="A41" activePane="bottomLeft" state="frozen"/>
      <selection pane="bottomLeft" activeCell="F60" sqref="F60"/>
    </sheetView>
  </sheetViews>
  <sheetFormatPr defaultColWidth="16" defaultRowHeight="17.05" x14ac:dyDescent="0.3"/>
  <cols>
    <col min="1" max="1" width="21.77734375" style="4" bestFit="1" customWidth="1"/>
    <col min="2" max="2" width="13.5546875" style="1" bestFit="1" customWidth="1"/>
    <col min="3" max="3" width="15.21875" style="1" bestFit="1" customWidth="1"/>
    <col min="4" max="4" width="13.77734375" style="1" hidden="1" customWidth="1"/>
    <col min="5" max="5" width="11" style="1" bestFit="1" customWidth="1"/>
    <col min="6" max="6" width="11.21875" style="1" bestFit="1" customWidth="1"/>
    <col min="7" max="7" width="14.44140625" style="1" bestFit="1" customWidth="1"/>
    <col min="8" max="8" width="3.21875" style="14" customWidth="1"/>
    <col min="9" max="9" width="14.44140625" style="1" customWidth="1"/>
    <col min="10" max="10" width="3.21875" style="14" customWidth="1"/>
    <col min="11" max="11" width="11" style="1" bestFit="1" customWidth="1"/>
  </cols>
  <sheetData>
    <row r="1" spans="1:11" x14ac:dyDescent="0.3">
      <c r="A1" s="2" t="s">
        <v>0</v>
      </c>
      <c r="B1" s="1" t="s">
        <v>71</v>
      </c>
      <c r="C1" s="1" t="s">
        <v>70</v>
      </c>
      <c r="D1" s="1" t="s">
        <v>54</v>
      </c>
      <c r="E1" s="1" t="s">
        <v>55</v>
      </c>
      <c r="F1" s="1" t="s">
        <v>56</v>
      </c>
      <c r="G1" s="1" t="s">
        <v>57</v>
      </c>
      <c r="H1" s="14" t="s">
        <v>85</v>
      </c>
      <c r="I1" s="1" t="s">
        <v>84</v>
      </c>
      <c r="J1" s="14" t="s">
        <v>85</v>
      </c>
      <c r="K1" s="1" t="s">
        <v>58</v>
      </c>
    </row>
    <row r="2" spans="1:11" x14ac:dyDescent="0.3">
      <c r="A2" s="7" t="s">
        <v>2</v>
      </c>
      <c r="B2" s="8"/>
      <c r="C2" s="8"/>
      <c r="D2" s="8"/>
      <c r="E2" s="8"/>
      <c r="F2" s="8"/>
      <c r="G2" s="8"/>
      <c r="I2" s="8"/>
      <c r="K2" s="8"/>
    </row>
    <row r="3" spans="1:11" x14ac:dyDescent="0.3">
      <c r="A3" s="3" t="s">
        <v>4</v>
      </c>
      <c r="B3" s="1">
        <v>4</v>
      </c>
      <c r="C3" s="1">
        <v>2</v>
      </c>
      <c r="D3" s="1">
        <v>3</v>
      </c>
      <c r="E3" s="1">
        <v>2</v>
      </c>
      <c r="F3" s="1">
        <v>1</v>
      </c>
      <c r="G3" s="1">
        <v>1</v>
      </c>
      <c r="I3" s="15">
        <f>AVERAGE(B3:G3)</f>
        <v>2.1666666666666665</v>
      </c>
      <c r="K3" s="1">
        <v>4</v>
      </c>
    </row>
    <row r="4" spans="1:11" x14ac:dyDescent="0.3">
      <c r="A4" s="3" t="s">
        <v>6</v>
      </c>
      <c r="B4" s="1">
        <v>3</v>
      </c>
      <c r="C4" s="1">
        <v>4</v>
      </c>
      <c r="D4" s="1">
        <v>4</v>
      </c>
      <c r="E4" s="1">
        <v>1</v>
      </c>
      <c r="F4" s="1">
        <v>3</v>
      </c>
      <c r="G4" s="1">
        <v>5</v>
      </c>
      <c r="I4" s="15">
        <f t="shared" ref="I4:I5" si="0">AVERAGE(B4:G4)</f>
        <v>3.3333333333333335</v>
      </c>
      <c r="K4" s="1">
        <v>3</v>
      </c>
    </row>
    <row r="5" spans="1:11" x14ac:dyDescent="0.3">
      <c r="A5" s="3" t="s">
        <v>8</v>
      </c>
      <c r="B5" s="1">
        <v>3</v>
      </c>
      <c r="C5" s="1">
        <v>2</v>
      </c>
      <c r="D5" s="1">
        <v>3</v>
      </c>
      <c r="E5" s="1">
        <v>3</v>
      </c>
      <c r="F5" s="1">
        <v>2</v>
      </c>
      <c r="G5" s="1">
        <v>4</v>
      </c>
      <c r="I5" s="15">
        <f t="shared" si="0"/>
        <v>2.8333333333333335</v>
      </c>
      <c r="K5" s="1">
        <v>3</v>
      </c>
    </row>
    <row r="6" spans="1:11" x14ac:dyDescent="0.3">
      <c r="A6" s="7" t="s">
        <v>10</v>
      </c>
      <c r="B6" s="8"/>
      <c r="C6" s="8"/>
      <c r="D6" s="8"/>
      <c r="E6" s="8"/>
      <c r="F6" s="8"/>
      <c r="G6" s="8"/>
      <c r="I6" s="8"/>
      <c r="K6" s="8"/>
    </row>
    <row r="7" spans="1:11" x14ac:dyDescent="0.3">
      <c r="A7" s="3" t="s">
        <v>13</v>
      </c>
      <c r="B7" s="1">
        <v>3</v>
      </c>
      <c r="C7" s="1">
        <v>1</v>
      </c>
      <c r="D7" s="1">
        <v>2</v>
      </c>
      <c r="E7" s="1">
        <v>3</v>
      </c>
      <c r="F7" s="1">
        <v>4</v>
      </c>
      <c r="G7" s="1">
        <v>1</v>
      </c>
      <c r="I7" s="15">
        <f>AVERAGE(B7:G7)</f>
        <v>2.3333333333333335</v>
      </c>
      <c r="K7" s="1">
        <v>3</v>
      </c>
    </row>
    <row r="8" spans="1:11" x14ac:dyDescent="0.3">
      <c r="A8" s="3" t="s">
        <v>16</v>
      </c>
      <c r="B8" s="1">
        <v>2</v>
      </c>
      <c r="C8" s="1">
        <v>2</v>
      </c>
      <c r="D8" s="1">
        <v>2</v>
      </c>
      <c r="E8" s="1">
        <v>3</v>
      </c>
      <c r="F8" s="1">
        <v>3</v>
      </c>
      <c r="G8" s="1">
        <v>4</v>
      </c>
      <c r="I8" s="15">
        <f t="shared" ref="I8:I9" si="1">AVERAGE(B8:G8)</f>
        <v>2.6666666666666665</v>
      </c>
      <c r="K8" s="1">
        <v>1</v>
      </c>
    </row>
    <row r="9" spans="1:11" x14ac:dyDescent="0.3">
      <c r="A9" s="3" t="s">
        <v>18</v>
      </c>
      <c r="B9" s="1">
        <v>1</v>
      </c>
      <c r="C9" s="1">
        <v>3</v>
      </c>
      <c r="D9" s="1">
        <v>2</v>
      </c>
      <c r="E9" s="1">
        <v>2</v>
      </c>
      <c r="F9" s="1">
        <v>1</v>
      </c>
      <c r="G9" s="1">
        <v>1</v>
      </c>
      <c r="I9" s="15">
        <f t="shared" si="1"/>
        <v>1.6666666666666667</v>
      </c>
      <c r="K9" s="1">
        <v>2</v>
      </c>
    </row>
    <row r="10" spans="1:11" x14ac:dyDescent="0.3">
      <c r="A10" s="7" t="s">
        <v>20</v>
      </c>
      <c r="B10" s="8"/>
      <c r="C10" s="8"/>
      <c r="D10" s="8"/>
      <c r="E10" s="8"/>
      <c r="F10" s="8"/>
      <c r="G10" s="8"/>
      <c r="I10" s="8"/>
      <c r="K10" s="8"/>
    </row>
    <row r="11" spans="1:11" x14ac:dyDescent="0.3">
      <c r="A11" s="3" t="s">
        <v>22</v>
      </c>
      <c r="B11" s="1">
        <v>3</v>
      </c>
      <c r="C11" s="1">
        <v>3</v>
      </c>
      <c r="D11" s="1">
        <v>2</v>
      </c>
      <c r="E11" s="1">
        <v>3</v>
      </c>
      <c r="F11" s="1">
        <v>4</v>
      </c>
      <c r="G11" s="1">
        <v>2</v>
      </c>
      <c r="I11" s="15">
        <f>AVERAGE(B11:G11)</f>
        <v>2.8333333333333335</v>
      </c>
      <c r="K11" s="1">
        <v>3</v>
      </c>
    </row>
    <row r="12" spans="1:11" x14ac:dyDescent="0.3">
      <c r="A12" s="3" t="s">
        <v>24</v>
      </c>
      <c r="B12" s="1">
        <v>2</v>
      </c>
      <c r="C12" s="1">
        <v>4</v>
      </c>
      <c r="D12" s="1">
        <v>3</v>
      </c>
      <c r="E12" s="1">
        <v>2</v>
      </c>
      <c r="F12" s="1">
        <v>2</v>
      </c>
      <c r="G12" s="1">
        <v>2</v>
      </c>
      <c r="I12" s="15">
        <f t="shared" ref="I12:I13" si="2">AVERAGE(B12:G12)</f>
        <v>2.5</v>
      </c>
      <c r="K12" s="1">
        <v>2</v>
      </c>
    </row>
    <row r="13" spans="1:11" x14ac:dyDescent="0.3">
      <c r="A13" s="3" t="s">
        <v>26</v>
      </c>
      <c r="B13" s="1">
        <v>3</v>
      </c>
      <c r="C13" s="1">
        <v>3</v>
      </c>
      <c r="D13" s="1">
        <v>3</v>
      </c>
      <c r="E13" s="1">
        <v>5</v>
      </c>
      <c r="F13" s="1">
        <v>4</v>
      </c>
      <c r="G13" s="1">
        <v>4</v>
      </c>
      <c r="I13" s="15">
        <f t="shared" si="2"/>
        <v>3.6666666666666665</v>
      </c>
      <c r="K13" s="1">
        <v>3</v>
      </c>
    </row>
    <row r="14" spans="1:11" x14ac:dyDescent="0.3">
      <c r="A14" s="9" t="s">
        <v>28</v>
      </c>
      <c r="B14" s="10"/>
      <c r="C14" s="10"/>
      <c r="D14" s="10"/>
      <c r="E14" s="10"/>
      <c r="F14" s="10"/>
      <c r="G14" s="10"/>
      <c r="I14" s="10"/>
      <c r="K14" s="10"/>
    </row>
    <row r="15" spans="1:11" x14ac:dyDescent="0.3">
      <c r="A15" s="3" t="s">
        <v>12</v>
      </c>
      <c r="B15" s="1">
        <v>4</v>
      </c>
      <c r="C15" s="1">
        <v>3</v>
      </c>
      <c r="D15" s="1">
        <v>4</v>
      </c>
      <c r="E15" s="1">
        <v>2</v>
      </c>
      <c r="F15" s="1">
        <v>1</v>
      </c>
      <c r="G15" s="1">
        <v>6</v>
      </c>
      <c r="I15" s="15">
        <f>AVERAGE(B15:G15)</f>
        <v>3.3333333333333335</v>
      </c>
      <c r="K15" s="1">
        <v>5</v>
      </c>
    </row>
    <row r="16" spans="1:11" x14ac:dyDescent="0.3">
      <c r="A16" s="3" t="s">
        <v>15</v>
      </c>
      <c r="B16" s="1">
        <v>4</v>
      </c>
      <c r="C16" s="1">
        <v>4</v>
      </c>
      <c r="D16" s="1">
        <v>4</v>
      </c>
      <c r="E16" s="1">
        <v>6</v>
      </c>
      <c r="F16" s="1">
        <v>6</v>
      </c>
      <c r="G16" s="1">
        <v>6</v>
      </c>
      <c r="I16" s="15">
        <f t="shared" ref="I16:I17" si="3">AVERAGE(B16:G16)</f>
        <v>5</v>
      </c>
      <c r="K16" s="1">
        <v>6</v>
      </c>
    </row>
    <row r="17" spans="1:11" x14ac:dyDescent="0.3">
      <c r="A17" s="3" t="s">
        <v>31</v>
      </c>
      <c r="B17" s="1">
        <v>8</v>
      </c>
      <c r="C17" s="1">
        <v>8</v>
      </c>
      <c r="D17" s="1">
        <v>7</v>
      </c>
      <c r="E17" s="1">
        <v>5</v>
      </c>
      <c r="F17" s="1">
        <v>6</v>
      </c>
      <c r="G17" s="1">
        <v>8</v>
      </c>
      <c r="I17" s="15">
        <f t="shared" si="3"/>
        <v>7</v>
      </c>
      <c r="K17" s="16">
        <v>5</v>
      </c>
    </row>
    <row r="18" spans="1:11" x14ac:dyDescent="0.3">
      <c r="A18" s="9" t="s">
        <v>1</v>
      </c>
      <c r="B18" s="10"/>
      <c r="C18" s="10"/>
      <c r="D18" s="10"/>
      <c r="E18" s="10"/>
      <c r="F18" s="10"/>
      <c r="G18" s="10"/>
      <c r="I18" s="10"/>
      <c r="K18" s="10"/>
    </row>
    <row r="19" spans="1:11" x14ac:dyDescent="0.3">
      <c r="A19" s="7" t="s">
        <v>3</v>
      </c>
      <c r="B19" s="8"/>
      <c r="C19" s="8"/>
      <c r="D19" s="8"/>
      <c r="E19" s="8"/>
      <c r="F19" s="8"/>
      <c r="G19" s="8"/>
      <c r="I19" s="8"/>
      <c r="K19" s="8"/>
    </row>
    <row r="20" spans="1:11" x14ac:dyDescent="0.3">
      <c r="A20" s="3" t="s">
        <v>5</v>
      </c>
      <c r="B20" s="1">
        <v>2</v>
      </c>
      <c r="C20" s="1">
        <v>2</v>
      </c>
      <c r="D20" s="1">
        <v>1</v>
      </c>
      <c r="F20" s="1">
        <v>2</v>
      </c>
      <c r="G20" s="1">
        <v>3</v>
      </c>
      <c r="I20" s="15">
        <f>AVERAGE(B20:G20)</f>
        <v>2</v>
      </c>
      <c r="K20" s="1">
        <v>2</v>
      </c>
    </row>
    <row r="21" spans="1:11" x14ac:dyDescent="0.3">
      <c r="A21" s="3" t="s">
        <v>7</v>
      </c>
      <c r="B21" s="1">
        <v>1</v>
      </c>
      <c r="C21" s="1">
        <v>1</v>
      </c>
      <c r="D21" s="1">
        <v>3</v>
      </c>
      <c r="G21" s="1">
        <v>2</v>
      </c>
      <c r="I21" s="15">
        <f t="shared" ref="I21:I29" si="4">AVERAGE(B21:G21)</f>
        <v>1.75</v>
      </c>
      <c r="K21" s="1">
        <v>3</v>
      </c>
    </row>
    <row r="22" spans="1:11" x14ac:dyDescent="0.3">
      <c r="A22" s="3" t="s">
        <v>9</v>
      </c>
      <c r="D22" s="1">
        <v>2</v>
      </c>
      <c r="E22" s="1">
        <v>1</v>
      </c>
      <c r="I22" s="15">
        <f t="shared" si="4"/>
        <v>1.5</v>
      </c>
      <c r="K22" s="1">
        <v>4</v>
      </c>
    </row>
    <row r="23" spans="1:11" x14ac:dyDescent="0.3">
      <c r="A23" s="3" t="s">
        <v>11</v>
      </c>
      <c r="B23" s="1">
        <v>2</v>
      </c>
      <c r="C23" s="1">
        <v>2</v>
      </c>
      <c r="D23" s="1">
        <v>1</v>
      </c>
      <c r="E23" s="1">
        <v>1</v>
      </c>
      <c r="F23" s="1">
        <v>1</v>
      </c>
      <c r="I23" s="15">
        <f t="shared" si="4"/>
        <v>1.4</v>
      </c>
      <c r="K23" s="1">
        <v>3</v>
      </c>
    </row>
    <row r="24" spans="1:11" x14ac:dyDescent="0.3">
      <c r="A24" s="4" t="s">
        <v>14</v>
      </c>
      <c r="B24" s="1">
        <v>2</v>
      </c>
      <c r="C24" s="1">
        <v>1</v>
      </c>
      <c r="E24" s="1">
        <v>3</v>
      </c>
      <c r="F24" s="1">
        <v>1</v>
      </c>
      <c r="G24" s="1">
        <v>4</v>
      </c>
      <c r="I24" s="15">
        <f t="shared" si="4"/>
        <v>2.2000000000000002</v>
      </c>
      <c r="K24" s="1">
        <v>2</v>
      </c>
    </row>
    <row r="25" spans="1:11" x14ac:dyDescent="0.3">
      <c r="A25" s="3" t="s">
        <v>17</v>
      </c>
      <c r="B25" s="1">
        <v>2</v>
      </c>
      <c r="C25" s="1">
        <v>1</v>
      </c>
      <c r="F25" s="1">
        <v>1</v>
      </c>
      <c r="I25" s="15">
        <f t="shared" si="4"/>
        <v>1.3333333333333333</v>
      </c>
    </row>
    <row r="26" spans="1:11" x14ac:dyDescent="0.3">
      <c r="A26" s="3" t="s">
        <v>19</v>
      </c>
      <c r="C26" s="1">
        <v>1</v>
      </c>
      <c r="D26" s="1">
        <v>4</v>
      </c>
      <c r="E26" s="1">
        <v>1</v>
      </c>
      <c r="I26" s="15">
        <f t="shared" si="4"/>
        <v>2</v>
      </c>
      <c r="K26" s="1">
        <v>2</v>
      </c>
    </row>
    <row r="27" spans="1:11" x14ac:dyDescent="0.3">
      <c r="A27" s="4" t="s">
        <v>21</v>
      </c>
      <c r="B27" s="1">
        <v>1</v>
      </c>
      <c r="D27" s="1">
        <v>2</v>
      </c>
      <c r="E27" s="1">
        <v>3</v>
      </c>
      <c r="F27" s="1">
        <v>2</v>
      </c>
      <c r="G27" s="1">
        <v>4</v>
      </c>
      <c r="I27" s="15">
        <f t="shared" si="4"/>
        <v>2.4</v>
      </c>
      <c r="K27" s="1">
        <v>2</v>
      </c>
    </row>
    <row r="28" spans="1:11" x14ac:dyDescent="0.3">
      <c r="A28" s="3" t="s">
        <v>23</v>
      </c>
      <c r="B28" s="1">
        <v>1</v>
      </c>
      <c r="F28" s="1">
        <v>1</v>
      </c>
      <c r="I28" s="15">
        <f t="shared" si="4"/>
        <v>1</v>
      </c>
    </row>
    <row r="29" spans="1:11" x14ac:dyDescent="0.3">
      <c r="A29" s="3" t="s">
        <v>25</v>
      </c>
      <c r="B29" s="1">
        <v>2</v>
      </c>
      <c r="C29" s="1">
        <v>1</v>
      </c>
      <c r="F29" s="1">
        <v>1</v>
      </c>
      <c r="I29" s="15">
        <f t="shared" si="4"/>
        <v>1.3333333333333333</v>
      </c>
    </row>
    <row r="30" spans="1:11" x14ac:dyDescent="0.3">
      <c r="A30" s="7" t="s">
        <v>27</v>
      </c>
      <c r="B30" s="8"/>
      <c r="C30" s="8"/>
      <c r="D30" s="8"/>
      <c r="E30" s="8"/>
      <c r="F30" s="8"/>
      <c r="G30" s="8"/>
      <c r="I30" s="8"/>
      <c r="K30" s="8"/>
    </row>
    <row r="31" spans="1:11" x14ac:dyDescent="0.3">
      <c r="A31" s="4" t="s">
        <v>29</v>
      </c>
      <c r="C31" s="1">
        <v>1</v>
      </c>
      <c r="F31" s="1">
        <v>3</v>
      </c>
      <c r="I31" s="15">
        <f>AVERAGE(B31:G31)</f>
        <v>2</v>
      </c>
      <c r="K31" s="1">
        <v>2</v>
      </c>
    </row>
    <row r="32" spans="1:11" x14ac:dyDescent="0.3">
      <c r="A32" s="5" t="s">
        <v>30</v>
      </c>
      <c r="C32" s="1">
        <v>2</v>
      </c>
      <c r="I32" s="15">
        <f t="shared" ref="I32:I40" si="5">AVERAGE(B32:G32)</f>
        <v>2</v>
      </c>
    </row>
    <row r="33" spans="1:11" x14ac:dyDescent="0.3">
      <c r="A33" s="5" t="s">
        <v>32</v>
      </c>
      <c r="I33" s="15" t="e">
        <f t="shared" si="5"/>
        <v>#DIV/0!</v>
      </c>
    </row>
    <row r="34" spans="1:11" x14ac:dyDescent="0.3">
      <c r="A34" s="5" t="s">
        <v>33</v>
      </c>
      <c r="B34" s="1">
        <v>1</v>
      </c>
      <c r="C34" s="1">
        <v>1</v>
      </c>
      <c r="D34" s="1">
        <v>4</v>
      </c>
      <c r="F34" s="1">
        <v>1</v>
      </c>
      <c r="I34" s="15">
        <f t="shared" si="5"/>
        <v>1.75</v>
      </c>
    </row>
    <row r="35" spans="1:11" x14ac:dyDescent="0.3">
      <c r="A35" s="5" t="s">
        <v>34</v>
      </c>
      <c r="C35" s="1">
        <v>3</v>
      </c>
      <c r="I35" s="15">
        <f t="shared" si="5"/>
        <v>3</v>
      </c>
    </row>
    <row r="36" spans="1:11" x14ac:dyDescent="0.3">
      <c r="A36" s="3" t="s">
        <v>35</v>
      </c>
      <c r="B36" s="1">
        <v>2</v>
      </c>
      <c r="C36" s="1">
        <v>2</v>
      </c>
      <c r="D36" s="1">
        <v>1</v>
      </c>
      <c r="I36" s="15">
        <f t="shared" si="5"/>
        <v>1.6666666666666667</v>
      </c>
      <c r="K36" s="1">
        <v>1</v>
      </c>
    </row>
    <row r="37" spans="1:11" x14ac:dyDescent="0.3">
      <c r="A37" s="3" t="s">
        <v>36</v>
      </c>
      <c r="B37" s="1">
        <v>4</v>
      </c>
      <c r="C37" s="1">
        <v>1</v>
      </c>
      <c r="D37" s="1">
        <v>4</v>
      </c>
      <c r="I37" s="15">
        <f t="shared" si="5"/>
        <v>3</v>
      </c>
    </row>
    <row r="38" spans="1:11" x14ac:dyDescent="0.3">
      <c r="A38" s="3" t="s">
        <v>37</v>
      </c>
      <c r="B38" s="1">
        <v>2</v>
      </c>
      <c r="C38" s="1">
        <v>2</v>
      </c>
      <c r="G38" s="1">
        <v>2</v>
      </c>
      <c r="I38" s="15">
        <f t="shared" si="5"/>
        <v>2</v>
      </c>
    </row>
    <row r="39" spans="1:11" x14ac:dyDescent="0.3">
      <c r="A39" s="3" t="s">
        <v>38</v>
      </c>
      <c r="B39" s="1">
        <v>2</v>
      </c>
      <c r="C39" s="1">
        <v>1</v>
      </c>
      <c r="E39" s="1">
        <v>3</v>
      </c>
      <c r="F39" s="1">
        <v>2</v>
      </c>
      <c r="I39" s="15">
        <f t="shared" si="5"/>
        <v>2</v>
      </c>
      <c r="K39" s="1">
        <v>3</v>
      </c>
    </row>
    <row r="40" spans="1:11" x14ac:dyDescent="0.3">
      <c r="A40" s="3" t="s">
        <v>39</v>
      </c>
      <c r="B40" s="1">
        <v>1</v>
      </c>
      <c r="C40" s="1">
        <v>2</v>
      </c>
      <c r="E40" s="1">
        <v>2</v>
      </c>
      <c r="F40" s="1">
        <v>1</v>
      </c>
      <c r="I40" s="15">
        <f t="shared" si="5"/>
        <v>1.5</v>
      </c>
      <c r="K40" s="1">
        <v>3</v>
      </c>
    </row>
    <row r="41" spans="1:11" x14ac:dyDescent="0.3">
      <c r="A41" s="7" t="s">
        <v>40</v>
      </c>
      <c r="B41" s="8"/>
      <c r="C41" s="8"/>
      <c r="D41" s="8"/>
      <c r="E41" s="8"/>
      <c r="F41" s="8"/>
      <c r="G41" s="8"/>
      <c r="I41" s="8"/>
      <c r="K41" s="8"/>
    </row>
    <row r="42" spans="1:11" x14ac:dyDescent="0.3">
      <c r="A42" s="5" t="s">
        <v>41</v>
      </c>
      <c r="I42" s="15" t="e">
        <f>AVERAGE(B42:G42)</f>
        <v>#DIV/0!</v>
      </c>
    </row>
    <row r="43" spans="1:11" x14ac:dyDescent="0.3">
      <c r="A43" s="3" t="s">
        <v>42</v>
      </c>
      <c r="B43" s="1">
        <v>1</v>
      </c>
      <c r="C43" s="1">
        <v>1</v>
      </c>
      <c r="E43" s="1">
        <v>3</v>
      </c>
      <c r="F43" s="1">
        <v>2</v>
      </c>
      <c r="I43" s="15">
        <f t="shared" ref="I43:I57" si="6">AVERAGE(B43:G43)</f>
        <v>1.75</v>
      </c>
      <c r="K43" s="1">
        <v>2</v>
      </c>
    </row>
    <row r="44" spans="1:11" x14ac:dyDescent="0.3">
      <c r="A44" s="3" t="s">
        <v>43</v>
      </c>
      <c r="B44" s="1">
        <v>2</v>
      </c>
      <c r="D44" s="1">
        <v>1</v>
      </c>
      <c r="I44" s="15">
        <f t="shared" si="6"/>
        <v>1.5</v>
      </c>
      <c r="K44" s="1">
        <v>1</v>
      </c>
    </row>
    <row r="45" spans="1:11" x14ac:dyDescent="0.3">
      <c r="A45" s="5" t="s">
        <v>44</v>
      </c>
      <c r="D45" s="1">
        <v>1</v>
      </c>
      <c r="I45" s="15">
        <f t="shared" si="6"/>
        <v>1</v>
      </c>
    </row>
    <row r="46" spans="1:11" x14ac:dyDescent="0.3">
      <c r="A46" s="5" t="s">
        <v>45</v>
      </c>
      <c r="B46" s="1">
        <v>2</v>
      </c>
      <c r="C46" s="1">
        <v>2</v>
      </c>
      <c r="D46" s="1">
        <v>1</v>
      </c>
      <c r="E46" s="1">
        <v>2</v>
      </c>
      <c r="F46" s="1">
        <v>4</v>
      </c>
      <c r="I46" s="15">
        <f t="shared" si="6"/>
        <v>2.2000000000000002</v>
      </c>
      <c r="K46" s="1">
        <v>2</v>
      </c>
    </row>
    <row r="47" spans="1:11" x14ac:dyDescent="0.3">
      <c r="A47" s="3" t="s">
        <v>46</v>
      </c>
      <c r="B47" s="1">
        <v>1</v>
      </c>
      <c r="D47" s="1">
        <v>2</v>
      </c>
      <c r="G47" s="1">
        <v>3</v>
      </c>
      <c r="I47" s="15">
        <f t="shared" si="6"/>
        <v>2</v>
      </c>
      <c r="K47" s="1">
        <v>3</v>
      </c>
    </row>
    <row r="48" spans="1:11" x14ac:dyDescent="0.3">
      <c r="A48" s="3" t="s">
        <v>47</v>
      </c>
      <c r="C48" s="1">
        <v>1</v>
      </c>
      <c r="E48" s="1">
        <v>5</v>
      </c>
      <c r="F48" s="1">
        <v>1</v>
      </c>
      <c r="I48" s="15">
        <f t="shared" si="6"/>
        <v>2.3333333333333335</v>
      </c>
    </row>
    <row r="49" spans="1:11" x14ac:dyDescent="0.3">
      <c r="A49" s="6" t="s">
        <v>48</v>
      </c>
      <c r="F49" s="1">
        <v>1</v>
      </c>
      <c r="I49" s="15">
        <f t="shared" si="6"/>
        <v>1</v>
      </c>
    </row>
    <row r="50" spans="1:11" x14ac:dyDescent="0.3">
      <c r="A50" s="4" t="s">
        <v>49</v>
      </c>
      <c r="C50" s="1">
        <v>1</v>
      </c>
      <c r="E50" s="1">
        <v>5</v>
      </c>
      <c r="F50" s="1">
        <v>2</v>
      </c>
      <c r="G50" s="1">
        <v>2</v>
      </c>
      <c r="I50" s="15">
        <f t="shared" si="6"/>
        <v>2.5</v>
      </c>
    </row>
    <row r="51" spans="1:11" x14ac:dyDescent="0.3">
      <c r="A51" s="5" t="s">
        <v>50</v>
      </c>
      <c r="I51" s="15" t="e">
        <f t="shared" si="6"/>
        <v>#DIV/0!</v>
      </c>
    </row>
    <row r="52" spans="1:11" x14ac:dyDescent="0.3">
      <c r="A52" s="7" t="s">
        <v>51</v>
      </c>
      <c r="B52" s="8"/>
      <c r="C52" s="8"/>
      <c r="D52" s="8"/>
      <c r="E52" s="8"/>
      <c r="F52" s="8"/>
      <c r="G52" s="8"/>
      <c r="I52" s="8"/>
      <c r="K52" s="8"/>
    </row>
    <row r="53" spans="1:11" x14ac:dyDescent="0.3">
      <c r="A53" s="3" t="s">
        <v>52</v>
      </c>
      <c r="I53" s="15" t="e">
        <f t="shared" si="6"/>
        <v>#DIV/0!</v>
      </c>
    </row>
    <row r="54" spans="1:11" x14ac:dyDescent="0.3">
      <c r="A54" s="3" t="s">
        <v>53</v>
      </c>
      <c r="I54" s="15" t="e">
        <f t="shared" si="6"/>
        <v>#DIV/0!</v>
      </c>
      <c r="K54" s="1">
        <v>2</v>
      </c>
    </row>
    <row r="55" spans="1:11" x14ac:dyDescent="0.3">
      <c r="A55" s="3" t="s">
        <v>59</v>
      </c>
      <c r="F55" s="1">
        <v>4</v>
      </c>
      <c r="I55" s="15">
        <f t="shared" si="6"/>
        <v>4</v>
      </c>
    </row>
    <row r="56" spans="1:11" x14ac:dyDescent="0.3">
      <c r="A56" s="3" t="s">
        <v>82</v>
      </c>
      <c r="G56" s="1">
        <v>4</v>
      </c>
      <c r="I56" s="15">
        <f t="shared" si="6"/>
        <v>4</v>
      </c>
    </row>
    <row r="57" spans="1:11" x14ac:dyDescent="0.3">
      <c r="A57" s="3" t="s">
        <v>83</v>
      </c>
      <c r="G57" s="1">
        <v>4</v>
      </c>
      <c r="I57" s="15">
        <f t="shared" si="6"/>
        <v>4</v>
      </c>
    </row>
    <row r="58" spans="1:11" x14ac:dyDescent="0.3">
      <c r="A58" s="9" t="s">
        <v>60</v>
      </c>
      <c r="B58" s="10"/>
      <c r="C58" s="10"/>
      <c r="D58" s="10"/>
      <c r="E58" s="10"/>
      <c r="F58" s="10"/>
      <c r="G58" s="10"/>
      <c r="I58" s="10"/>
      <c r="K58" s="10"/>
    </row>
    <row r="59" spans="1:11" ht="15.05" x14ac:dyDescent="0.3">
      <c r="A59" s="11"/>
      <c r="B59" s="12" t="s">
        <v>74</v>
      </c>
      <c r="C59" s="12" t="s">
        <v>74</v>
      </c>
      <c r="D59" s="12"/>
      <c r="E59" s="12"/>
      <c r="F59" s="12" t="s">
        <v>61</v>
      </c>
      <c r="G59" s="12"/>
      <c r="I59" s="12"/>
      <c r="K59" s="12"/>
    </row>
    <row r="60" spans="1:11" ht="15.05" x14ac:dyDescent="0.3">
      <c r="A60" s="11"/>
      <c r="B60" s="12" t="s">
        <v>72</v>
      </c>
      <c r="C60" s="12" t="s">
        <v>72</v>
      </c>
      <c r="D60" s="12" t="s">
        <v>79</v>
      </c>
      <c r="E60" s="12"/>
      <c r="F60" s="12" t="s">
        <v>62</v>
      </c>
      <c r="G60" s="12"/>
      <c r="I60" s="12"/>
      <c r="K60" s="12"/>
    </row>
    <row r="61" spans="1:11" ht="15.05" x14ac:dyDescent="0.3">
      <c r="A61" s="11"/>
      <c r="B61" s="12"/>
      <c r="C61" s="12"/>
      <c r="D61" s="12"/>
      <c r="E61" s="12" t="s">
        <v>66</v>
      </c>
      <c r="F61" s="12" t="s">
        <v>64</v>
      </c>
      <c r="G61" s="12" t="s">
        <v>81</v>
      </c>
      <c r="I61" s="12"/>
      <c r="K61" s="12"/>
    </row>
    <row r="62" spans="1:11" x14ac:dyDescent="0.3">
      <c r="A62" s="13"/>
      <c r="B62" s="12" t="s">
        <v>75</v>
      </c>
      <c r="C62" s="12" t="s">
        <v>75</v>
      </c>
      <c r="D62" s="12"/>
      <c r="E62" s="12" t="s">
        <v>67</v>
      </c>
      <c r="F62" s="12" t="s">
        <v>63</v>
      </c>
      <c r="G62" s="12"/>
      <c r="I62" s="12"/>
      <c r="K62" s="12" t="s">
        <v>86</v>
      </c>
    </row>
    <row r="63" spans="1:11" x14ac:dyDescent="0.3">
      <c r="A63" s="13"/>
      <c r="B63" s="12"/>
      <c r="C63" s="12"/>
      <c r="D63" s="12"/>
      <c r="E63" s="12" t="s">
        <v>69</v>
      </c>
      <c r="F63" s="12"/>
      <c r="G63" s="12" t="s">
        <v>80</v>
      </c>
      <c r="I63" s="12"/>
      <c r="K63" s="12"/>
    </row>
    <row r="64" spans="1:11" x14ac:dyDescent="0.3">
      <c r="A64" s="13"/>
      <c r="B64" s="12" t="s">
        <v>68</v>
      </c>
      <c r="C64" s="12" t="s">
        <v>68</v>
      </c>
      <c r="D64" s="12" t="s">
        <v>76</v>
      </c>
      <c r="E64" s="12" t="s">
        <v>68</v>
      </c>
      <c r="F64" s="12"/>
      <c r="G64" s="12"/>
      <c r="I64" s="12"/>
      <c r="K64" s="12"/>
    </row>
    <row r="65" spans="1:11" x14ac:dyDescent="0.3">
      <c r="A65" s="13"/>
      <c r="B65" s="12" t="s">
        <v>73</v>
      </c>
      <c r="C65" s="12" t="s">
        <v>73</v>
      </c>
      <c r="D65" s="12"/>
      <c r="E65" s="12"/>
      <c r="F65" s="12" t="s">
        <v>65</v>
      </c>
      <c r="G65" s="12"/>
      <c r="I65" s="12"/>
      <c r="K65" s="12"/>
    </row>
    <row r="66" spans="1:11" x14ac:dyDescent="0.3">
      <c r="A66" s="13"/>
      <c r="B66" s="12"/>
      <c r="C66" s="12"/>
      <c r="D66" s="12" t="s">
        <v>77</v>
      </c>
      <c r="E66" s="12"/>
      <c r="F66" s="12"/>
      <c r="G66" s="12"/>
      <c r="I66" s="12"/>
      <c r="K66" s="12" t="s">
        <v>77</v>
      </c>
    </row>
    <row r="67" spans="1:11" x14ac:dyDescent="0.3">
      <c r="A67" s="13"/>
      <c r="B67" s="12"/>
      <c r="C67" s="12"/>
      <c r="D67" s="12" t="s">
        <v>78</v>
      </c>
      <c r="E67" s="12"/>
      <c r="F67" s="12"/>
      <c r="G67" s="12"/>
      <c r="I67" s="12"/>
      <c r="K67" s="12"/>
    </row>
  </sheetData>
  <autoFilter ref="A18:K67" xr:uid="{2833783B-7FB6-4D52-B3F9-816274D40414}"/>
  <conditionalFormatting sqref="B20:B51">
    <cfRule type="cellIs" dxfId="2" priority="8" operator="equal">
      <formula>C20</formula>
    </cfRule>
  </conditionalFormatting>
  <conditionalFormatting sqref="B1:C1048576">
    <cfRule type="containsBlanks" priority="7" stopIfTrue="1">
      <formula>LEN(TRIM(B1))=0</formula>
    </cfRule>
  </conditionalFormatting>
  <conditionalFormatting sqref="C20:C51">
    <cfRule type="cellIs" dxfId="1" priority="9" operator="equal">
      <formula>B20</formula>
    </cfRule>
  </conditionalFormatting>
  <conditionalFormatting sqref="D60">
    <cfRule type="containsBlanks" priority="2" stopIfTrue="1">
      <formula>LEN(TRIM(D60))=0</formula>
    </cfRule>
  </conditionalFormatting>
  <conditionalFormatting sqref="D64">
    <cfRule type="containsBlanks" priority="3" stopIfTrue="1">
      <formula>LEN(TRIM(D64))=0</formula>
    </cfRule>
  </conditionalFormatting>
  <conditionalFormatting sqref="I1:I1048576">
    <cfRule type="cellIs" dxfId="0" priority="1" operator="greaterThan">
      <formula>K1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ТИГР ОПЫТ</vt:lpstr>
      <vt:lpstr>ТИГР СТАРТ</vt:lpstr>
      <vt:lpstr>почеты</vt:lpstr>
      <vt:lpstr>кинн</vt:lpstr>
      <vt:lpstr>сводная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Ремизова</dc:creator>
  <cp:lastModifiedBy>Екатерина Ремизова</cp:lastModifiedBy>
  <dcterms:created xsi:type="dcterms:W3CDTF">2025-08-18T18:51:14Z</dcterms:created>
  <dcterms:modified xsi:type="dcterms:W3CDTF">2025-10-29T09:14:24Z</dcterms:modified>
</cp:coreProperties>
</file>