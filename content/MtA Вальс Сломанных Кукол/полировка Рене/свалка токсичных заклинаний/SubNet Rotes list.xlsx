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golovina\Documents\Basement\fantastic\"/>
    </mc:Choice>
  </mc:AlternateContent>
  <bookViews>
    <workbookView xWindow="0" yWindow="0" windowWidth="23040" windowHeight="8676" firstSheet="4" activeTab="6"/>
  </bookViews>
  <sheets>
    <sheet name="связи" sheetId="3" state="hidden" r:id="rId1"/>
    <sheet name="энт" sheetId="4" state="hidden" r:id="rId2"/>
    <sheet name="время" sheetId="5" state="hidden" r:id="rId3"/>
    <sheet name="Лист3" sheetId="6" state="hidden" r:id="rId4"/>
    <sheet name="тех" sheetId="2" r:id="rId5"/>
    <sheet name="пивот" sheetId="7" r:id="rId6"/>
    <sheet name="Лист1" sheetId="1" r:id="rId7"/>
  </sheets>
  <definedNames>
    <definedName name="_xlnm._FilterDatabase" localSheetId="2" hidden="1">время!$A$23:$F$27</definedName>
    <definedName name="_xlnm._FilterDatabase" localSheetId="6" hidden="1">Лист1!$A$1:$I$170</definedName>
    <definedName name="_xlnm._FilterDatabase" localSheetId="0" hidden="1">связи!$A$13:$G$34</definedName>
    <definedName name="_xlnm._FilterDatabase" localSheetId="4" hidden="1">тех!$A$9:$E$9</definedName>
    <definedName name="_xlnm._FilterDatabase" localSheetId="1" hidden="1">энт!$A$12:$G$24</definedName>
  </definedNames>
  <calcPr calcId="162913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I2" i="1" s="1"/>
  <c r="H2" i="1"/>
  <c r="G3" i="1"/>
  <c r="I3" i="1" s="1"/>
  <c r="H3" i="1"/>
  <c r="G4" i="1"/>
  <c r="I4" i="1" s="1"/>
  <c r="H4" i="1"/>
  <c r="G5" i="1"/>
  <c r="I5" i="1" s="1"/>
  <c r="H5" i="1"/>
  <c r="G6" i="1"/>
  <c r="I6" i="1" s="1"/>
  <c r="H6" i="1"/>
  <c r="G7" i="1"/>
  <c r="I7" i="1" s="1"/>
  <c r="H7" i="1"/>
  <c r="G8" i="1"/>
  <c r="H8" i="1"/>
  <c r="I8" i="1"/>
  <c r="G9" i="1"/>
  <c r="I9" i="1" s="1"/>
  <c r="H9" i="1"/>
  <c r="G10" i="1"/>
  <c r="I10" i="1" s="1"/>
  <c r="H10" i="1"/>
  <c r="G11" i="1"/>
  <c r="I11" i="1" s="1"/>
  <c r="H11" i="1"/>
  <c r="G12" i="1"/>
  <c r="I12" i="1" s="1"/>
  <c r="H12" i="1"/>
  <c r="G13" i="1"/>
  <c r="I13" i="1" s="1"/>
  <c r="H13" i="1"/>
  <c r="G14" i="1"/>
  <c r="I14" i="1" s="1"/>
  <c r="H14" i="1"/>
  <c r="G15" i="1"/>
  <c r="I15" i="1" s="1"/>
  <c r="H15" i="1"/>
  <c r="G16" i="1"/>
  <c r="I16" i="1" s="1"/>
  <c r="H16" i="1"/>
  <c r="G17" i="1"/>
  <c r="I17" i="1" s="1"/>
  <c r="H17" i="1"/>
  <c r="G18" i="1"/>
  <c r="I18" i="1" s="1"/>
  <c r="H18" i="1"/>
  <c r="G19" i="1"/>
  <c r="I19" i="1" s="1"/>
  <c r="H19" i="1"/>
  <c r="G20" i="1"/>
  <c r="I20" i="1" s="1"/>
  <c r="H20" i="1"/>
  <c r="G21" i="1"/>
  <c r="I21" i="1" s="1"/>
  <c r="H21" i="1"/>
  <c r="G22" i="1"/>
  <c r="I22" i="1" s="1"/>
  <c r="H22" i="1"/>
  <c r="G23" i="1"/>
  <c r="I23" i="1" s="1"/>
  <c r="H23" i="1"/>
  <c r="G24" i="1"/>
  <c r="I24" i="1" s="1"/>
  <c r="H24" i="1"/>
  <c r="G25" i="1"/>
  <c r="I25" i="1" s="1"/>
  <c r="H25" i="1"/>
  <c r="G26" i="1"/>
  <c r="I26" i="1" s="1"/>
  <c r="H26" i="1"/>
  <c r="G27" i="1"/>
  <c r="I27" i="1" s="1"/>
  <c r="H27" i="1"/>
  <c r="G28" i="1"/>
  <c r="I28" i="1" s="1"/>
  <c r="H28" i="1"/>
  <c r="G29" i="1"/>
  <c r="I29" i="1" s="1"/>
  <c r="H29" i="1"/>
  <c r="G30" i="1"/>
  <c r="I30" i="1" s="1"/>
  <c r="H30" i="1"/>
  <c r="G31" i="1"/>
  <c r="I31" i="1" s="1"/>
  <c r="H31" i="1"/>
  <c r="G32" i="1"/>
  <c r="I32" i="1" s="1"/>
  <c r="H32" i="1"/>
  <c r="G33" i="1"/>
  <c r="I33" i="1" s="1"/>
  <c r="H33" i="1"/>
  <c r="G155" i="1"/>
  <c r="I155" i="1" s="1"/>
  <c r="H155" i="1"/>
  <c r="G156" i="1"/>
  <c r="I156" i="1" s="1"/>
  <c r="H156" i="1"/>
  <c r="G157" i="1"/>
  <c r="I157" i="1" s="1"/>
  <c r="H157" i="1"/>
  <c r="G158" i="1"/>
  <c r="I158" i="1" s="1"/>
  <c r="H158" i="1"/>
  <c r="G159" i="1"/>
  <c r="I159" i="1" s="1"/>
  <c r="H159" i="1"/>
  <c r="G160" i="1"/>
  <c r="I160" i="1" s="1"/>
  <c r="H160" i="1"/>
  <c r="G161" i="1"/>
  <c r="I161" i="1" s="1"/>
  <c r="H161" i="1"/>
  <c r="G162" i="1"/>
  <c r="I162" i="1" s="1"/>
  <c r="H162" i="1"/>
  <c r="G163" i="1"/>
  <c r="I163" i="1" s="1"/>
  <c r="H163" i="1"/>
  <c r="G164" i="1"/>
  <c r="I164" i="1" s="1"/>
  <c r="H164" i="1"/>
  <c r="G165" i="1"/>
  <c r="I165" i="1" s="1"/>
  <c r="H165" i="1"/>
  <c r="G166" i="1"/>
  <c r="I166" i="1" s="1"/>
  <c r="H166" i="1"/>
  <c r="G167" i="1"/>
  <c r="I167" i="1" s="1"/>
  <c r="H167" i="1"/>
  <c r="G168" i="1"/>
  <c r="I168" i="1" s="1"/>
  <c r="H168" i="1"/>
  <c r="G169" i="1"/>
  <c r="I169" i="1" s="1"/>
  <c r="H169" i="1"/>
  <c r="G170" i="1"/>
  <c r="I170" i="1" s="1"/>
  <c r="H170" i="1"/>
  <c r="G149" i="1"/>
  <c r="I149" i="1" s="1"/>
  <c r="H149" i="1"/>
  <c r="G150" i="1"/>
  <c r="I150" i="1" s="1"/>
  <c r="H150" i="1"/>
  <c r="G151" i="1"/>
  <c r="I151" i="1" s="1"/>
  <c r="H151" i="1"/>
  <c r="G152" i="1"/>
  <c r="I152" i="1" s="1"/>
  <c r="H152" i="1"/>
  <c r="G153" i="1"/>
  <c r="I153" i="1" s="1"/>
  <c r="H153" i="1"/>
  <c r="G154" i="1"/>
  <c r="I154" i="1" s="1"/>
  <c r="H154" i="1"/>
  <c r="R8" i="7"/>
  <c r="R9" i="7"/>
  <c r="R6" i="7"/>
  <c r="R7" i="7"/>
  <c r="S9" i="7" l="1"/>
  <c r="S8" i="7"/>
  <c r="S6" i="7"/>
  <c r="S7" i="7"/>
  <c r="E65" i="1" l="1"/>
  <c r="F65" i="1"/>
  <c r="G65" i="1" s="1"/>
  <c r="E66" i="1"/>
  <c r="F66" i="1"/>
  <c r="H66" i="1" s="1"/>
  <c r="E67" i="1"/>
  <c r="F67" i="1"/>
  <c r="G67" i="1" s="1"/>
  <c r="E68" i="1"/>
  <c r="F68" i="1"/>
  <c r="G68" i="1" s="1"/>
  <c r="E69" i="1"/>
  <c r="F69" i="1"/>
  <c r="G69" i="1" s="1"/>
  <c r="E70" i="1"/>
  <c r="F70" i="1"/>
  <c r="G70" i="1" s="1"/>
  <c r="E71" i="1"/>
  <c r="F71" i="1"/>
  <c r="G71" i="1" s="1"/>
  <c r="E72" i="1"/>
  <c r="F72" i="1"/>
  <c r="G72" i="1" s="1"/>
  <c r="E73" i="1"/>
  <c r="F73" i="1"/>
  <c r="G73" i="1" s="1"/>
  <c r="E74" i="1"/>
  <c r="F74" i="1"/>
  <c r="H74" i="1" s="1"/>
  <c r="E75" i="1"/>
  <c r="F75" i="1"/>
  <c r="G75" i="1" s="1"/>
  <c r="E76" i="1"/>
  <c r="F76" i="1"/>
  <c r="G76" i="1" s="1"/>
  <c r="E77" i="1"/>
  <c r="F77" i="1"/>
  <c r="G77" i="1" s="1"/>
  <c r="E78" i="1"/>
  <c r="F78" i="1"/>
  <c r="G78" i="1" s="1"/>
  <c r="E79" i="1"/>
  <c r="F79" i="1"/>
  <c r="G79" i="1" s="1"/>
  <c r="E80" i="1"/>
  <c r="F80" i="1"/>
  <c r="G80" i="1" s="1"/>
  <c r="E81" i="1"/>
  <c r="F81" i="1"/>
  <c r="G81" i="1" s="1"/>
  <c r="E82" i="1"/>
  <c r="F82" i="1"/>
  <c r="H82" i="1" s="1"/>
  <c r="E83" i="1"/>
  <c r="F83" i="1"/>
  <c r="G83" i="1" s="1"/>
  <c r="E84" i="1"/>
  <c r="F84" i="1"/>
  <c r="G84" i="1" s="1"/>
  <c r="E85" i="1"/>
  <c r="F85" i="1"/>
  <c r="G85" i="1" s="1"/>
  <c r="E86" i="1"/>
  <c r="F86" i="1"/>
  <c r="G86" i="1" s="1"/>
  <c r="E87" i="1"/>
  <c r="F87" i="1"/>
  <c r="G87" i="1" s="1"/>
  <c r="E88" i="1"/>
  <c r="F88" i="1"/>
  <c r="G88" i="1" s="1"/>
  <c r="E89" i="1"/>
  <c r="F89" i="1"/>
  <c r="G89" i="1" s="1"/>
  <c r="E90" i="1"/>
  <c r="F90" i="1"/>
  <c r="H90" i="1" s="1"/>
  <c r="E91" i="1"/>
  <c r="F91" i="1"/>
  <c r="G91" i="1" s="1"/>
  <c r="E92" i="1"/>
  <c r="F92" i="1"/>
  <c r="G92" i="1" s="1"/>
  <c r="E93" i="1"/>
  <c r="F93" i="1"/>
  <c r="G93" i="1" s="1"/>
  <c r="E94" i="1"/>
  <c r="F94" i="1"/>
  <c r="H94" i="1" s="1"/>
  <c r="E95" i="1"/>
  <c r="F95" i="1"/>
  <c r="G95" i="1" s="1"/>
  <c r="E96" i="1"/>
  <c r="F96" i="1"/>
  <c r="G96" i="1" s="1"/>
  <c r="E97" i="1"/>
  <c r="F97" i="1"/>
  <c r="G97" i="1" s="1"/>
  <c r="E98" i="1"/>
  <c r="F98" i="1"/>
  <c r="H98" i="1" s="1"/>
  <c r="E99" i="1"/>
  <c r="F99" i="1"/>
  <c r="G99" i="1" s="1"/>
  <c r="E100" i="1"/>
  <c r="F100" i="1"/>
  <c r="G100" i="1" s="1"/>
  <c r="E101" i="1"/>
  <c r="F101" i="1"/>
  <c r="G101" i="1" s="1"/>
  <c r="E102" i="1"/>
  <c r="F102" i="1"/>
  <c r="H102" i="1" s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E55" i="1"/>
  <c r="F55" i="1"/>
  <c r="H55" i="1" s="1"/>
  <c r="E56" i="1"/>
  <c r="F56" i="1"/>
  <c r="H56" i="1" s="1"/>
  <c r="E57" i="1"/>
  <c r="F57" i="1"/>
  <c r="G57" i="1" s="1"/>
  <c r="E58" i="1"/>
  <c r="F58" i="1"/>
  <c r="G58" i="1" s="1"/>
  <c r="E59" i="1"/>
  <c r="F59" i="1"/>
  <c r="G59" i="1" s="1"/>
  <c r="E60" i="1"/>
  <c r="F60" i="1"/>
  <c r="G60" i="1" s="1"/>
  <c r="E61" i="1"/>
  <c r="F61" i="1"/>
  <c r="G61" i="1" s="1"/>
  <c r="E62" i="1"/>
  <c r="F62" i="1"/>
  <c r="G62" i="1" s="1"/>
  <c r="E63" i="1"/>
  <c r="F63" i="1"/>
  <c r="G63" i="1" s="1"/>
  <c r="E64" i="1"/>
  <c r="F64" i="1"/>
  <c r="H64" i="1" s="1"/>
  <c r="E103" i="1"/>
  <c r="F103" i="1"/>
  <c r="G103" i="1" s="1"/>
  <c r="E104" i="1"/>
  <c r="F104" i="1"/>
  <c r="H104" i="1" s="1"/>
  <c r="E105" i="1"/>
  <c r="F105" i="1"/>
  <c r="G105" i="1" s="1"/>
  <c r="E106" i="1"/>
  <c r="F106" i="1"/>
  <c r="G106" i="1" s="1"/>
  <c r="E107" i="1"/>
  <c r="F107" i="1"/>
  <c r="G107" i="1" s="1"/>
  <c r="E108" i="1"/>
  <c r="F108" i="1"/>
  <c r="H108" i="1" s="1"/>
  <c r="E109" i="1"/>
  <c r="F109" i="1"/>
  <c r="G109" i="1" s="1"/>
  <c r="E132" i="1"/>
  <c r="F132" i="1"/>
  <c r="G132" i="1" s="1"/>
  <c r="E133" i="1"/>
  <c r="F133" i="1"/>
  <c r="H133" i="1" s="1"/>
  <c r="E134" i="1"/>
  <c r="F134" i="1"/>
  <c r="G134" i="1" s="1"/>
  <c r="E135" i="1"/>
  <c r="F135" i="1"/>
  <c r="G135" i="1" s="1"/>
  <c r="E136" i="1"/>
  <c r="F136" i="1"/>
  <c r="H136" i="1" s="1"/>
  <c r="E137" i="1"/>
  <c r="F137" i="1"/>
  <c r="G137" i="1" s="1"/>
  <c r="E138" i="1"/>
  <c r="F138" i="1"/>
  <c r="G138" i="1" s="1"/>
  <c r="E139" i="1"/>
  <c r="F139" i="1"/>
  <c r="G139" i="1" s="1"/>
  <c r="E140" i="1"/>
  <c r="F140" i="1"/>
  <c r="G140" i="1" s="1"/>
  <c r="E141" i="1"/>
  <c r="F141" i="1"/>
  <c r="H141" i="1" s="1"/>
  <c r="E142" i="1"/>
  <c r="F142" i="1"/>
  <c r="H142" i="1" s="1"/>
  <c r="E143" i="1"/>
  <c r="F143" i="1"/>
  <c r="G143" i="1" s="1"/>
  <c r="E144" i="1"/>
  <c r="F144" i="1"/>
  <c r="H144" i="1" s="1"/>
  <c r="E145" i="1"/>
  <c r="F145" i="1"/>
  <c r="H145" i="1" s="1"/>
  <c r="E146" i="1"/>
  <c r="F146" i="1"/>
  <c r="H146" i="1" s="1"/>
  <c r="E147" i="1"/>
  <c r="F147" i="1"/>
  <c r="G147" i="1" s="1"/>
  <c r="E148" i="1"/>
  <c r="F148" i="1"/>
  <c r="H148" i="1" s="1"/>
  <c r="F131" i="1"/>
  <c r="H131" i="1" s="1"/>
  <c r="E131" i="1"/>
  <c r="G43" i="1"/>
  <c r="G44" i="1"/>
  <c r="G45" i="1"/>
  <c r="I45" i="1" s="1"/>
  <c r="G46" i="1"/>
  <c r="G47" i="1"/>
  <c r="G48" i="1"/>
  <c r="G49" i="1"/>
  <c r="G50" i="1"/>
  <c r="G51" i="1"/>
  <c r="G52" i="1"/>
  <c r="G53" i="1"/>
  <c r="G54" i="1"/>
  <c r="G34" i="1"/>
  <c r="G35" i="1"/>
  <c r="G36" i="1"/>
  <c r="I36" i="1" s="1"/>
  <c r="G37" i="1"/>
  <c r="I37" i="1" s="1"/>
  <c r="G38" i="1"/>
  <c r="G39" i="1"/>
  <c r="G40" i="1"/>
  <c r="G41" i="1"/>
  <c r="G42" i="1"/>
  <c r="B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F14" i="5" s="1"/>
  <c r="B17" i="6"/>
  <c r="B18" i="6"/>
  <c r="B19" i="6"/>
  <c r="B20" i="6"/>
  <c r="B21" i="6"/>
  <c r="B22" i="6"/>
  <c r="B23" i="6"/>
  <c r="B24" i="6"/>
  <c r="B25" i="6"/>
  <c r="B26" i="6"/>
  <c r="B27" i="6"/>
  <c r="B28" i="6"/>
  <c r="D1" i="5"/>
  <c r="F1" i="5" s="1"/>
  <c r="E1" i="5"/>
  <c r="D2" i="5"/>
  <c r="F2" i="5" s="1"/>
  <c r="E2" i="5"/>
  <c r="D3" i="5"/>
  <c r="E3" i="5"/>
  <c r="F3" i="5"/>
  <c r="D4" i="5"/>
  <c r="E4" i="5"/>
  <c r="F4" i="5"/>
  <c r="D5" i="5"/>
  <c r="F5" i="5" s="1"/>
  <c r="E5" i="5"/>
  <c r="D6" i="5"/>
  <c r="F6" i="5" s="1"/>
  <c r="E6" i="5"/>
  <c r="D7" i="5"/>
  <c r="E7" i="5"/>
  <c r="F7" i="5"/>
  <c r="D9" i="5"/>
  <c r="E9" i="5"/>
  <c r="F9" i="5"/>
  <c r="D10" i="5"/>
  <c r="F10" i="5" s="1"/>
  <c r="E10" i="5"/>
  <c r="D11" i="5"/>
  <c r="F11" i="5" s="1"/>
  <c r="E11" i="5"/>
  <c r="D12" i="5"/>
  <c r="E12" i="5"/>
  <c r="F12" i="5"/>
  <c r="F13" i="5"/>
  <c r="D14" i="5"/>
  <c r="E14" i="5"/>
  <c r="D15" i="5"/>
  <c r="E15" i="5"/>
  <c r="F15" i="5"/>
  <c r="D16" i="5"/>
  <c r="F16" i="5" s="1"/>
  <c r="E16" i="5"/>
  <c r="D17" i="5"/>
  <c r="F17" i="5" s="1"/>
  <c r="E17" i="5"/>
  <c r="D18" i="5"/>
  <c r="E18" i="5"/>
  <c r="F18" i="5"/>
  <c r="D19" i="5"/>
  <c r="E19" i="5"/>
  <c r="F19" i="5"/>
  <c r="D20" i="5"/>
  <c r="F20" i="5" s="1"/>
  <c r="E20" i="5"/>
  <c r="D21" i="5"/>
  <c r="F21" i="5" s="1"/>
  <c r="E21" i="5"/>
  <c r="D23" i="5"/>
  <c r="E23" i="5"/>
  <c r="F23" i="5"/>
  <c r="D24" i="5"/>
  <c r="E24" i="5"/>
  <c r="F24" i="5"/>
  <c r="D25" i="5"/>
  <c r="F25" i="5" s="1"/>
  <c r="E25" i="5"/>
  <c r="D26" i="5"/>
  <c r="F26" i="5" s="1"/>
  <c r="E26" i="5"/>
  <c r="D27" i="5"/>
  <c r="E27" i="5"/>
  <c r="F27" i="5"/>
  <c r="E1" i="4"/>
  <c r="F1" i="4"/>
  <c r="G1" i="4"/>
  <c r="E2" i="4"/>
  <c r="G2" i="4" s="1"/>
  <c r="F2" i="4"/>
  <c r="E3" i="4"/>
  <c r="G3" i="4" s="1"/>
  <c r="F3" i="4"/>
  <c r="G4" i="4"/>
  <c r="G5" i="4"/>
  <c r="E6" i="4"/>
  <c r="G6" i="4" s="1"/>
  <c r="F6" i="4"/>
  <c r="E7" i="4"/>
  <c r="G7" i="4" s="1"/>
  <c r="F7" i="4"/>
  <c r="E8" i="4"/>
  <c r="F8" i="4"/>
  <c r="G8" i="4"/>
  <c r="E9" i="4"/>
  <c r="F9" i="4"/>
  <c r="G9" i="4"/>
  <c r="E10" i="4"/>
  <c r="G10" i="4" s="1"/>
  <c r="F10" i="4"/>
  <c r="E12" i="4"/>
  <c r="G12" i="4" s="1"/>
  <c r="F12" i="4"/>
  <c r="E13" i="4"/>
  <c r="F13" i="4"/>
  <c r="G13" i="4"/>
  <c r="E14" i="4"/>
  <c r="F14" i="4"/>
  <c r="G14" i="4"/>
  <c r="G15" i="4"/>
  <c r="E16" i="4"/>
  <c r="F16" i="4"/>
  <c r="G16" i="4"/>
  <c r="E17" i="4"/>
  <c r="G17" i="4" s="1"/>
  <c r="F17" i="4"/>
  <c r="E18" i="4"/>
  <c r="G18" i="4" s="1"/>
  <c r="F18" i="4"/>
  <c r="E19" i="4"/>
  <c r="F19" i="4"/>
  <c r="G19" i="4"/>
  <c r="E20" i="4"/>
  <c r="F20" i="4"/>
  <c r="G20" i="4"/>
  <c r="E21" i="4"/>
  <c r="G21" i="4" s="1"/>
  <c r="F21" i="4"/>
  <c r="E22" i="4"/>
  <c r="G22" i="4" s="1"/>
  <c r="F22" i="4"/>
  <c r="E23" i="4"/>
  <c r="F23" i="4"/>
  <c r="G23" i="4"/>
  <c r="E24" i="4"/>
  <c r="F24" i="4"/>
  <c r="G24" i="4"/>
  <c r="E2" i="3"/>
  <c r="G2" i="3" s="1"/>
  <c r="F2" i="3"/>
  <c r="E3" i="3"/>
  <c r="G3" i="3" s="1"/>
  <c r="F3" i="3"/>
  <c r="E4" i="3"/>
  <c r="F4" i="3"/>
  <c r="G4" i="3"/>
  <c r="G5" i="3"/>
  <c r="E6" i="3"/>
  <c r="F6" i="3"/>
  <c r="G6" i="3"/>
  <c r="E7" i="3"/>
  <c r="F7" i="3"/>
  <c r="G7" i="3"/>
  <c r="E8" i="3"/>
  <c r="G8" i="3" s="1"/>
  <c r="F8" i="3"/>
  <c r="E9" i="3"/>
  <c r="G9" i="3" s="1"/>
  <c r="F9" i="3"/>
  <c r="E10" i="3"/>
  <c r="F10" i="3"/>
  <c r="G10" i="3"/>
  <c r="E11" i="3"/>
  <c r="F11" i="3"/>
  <c r="G11" i="3"/>
  <c r="E12" i="3"/>
  <c r="G12" i="3" s="1"/>
  <c r="F12" i="3"/>
  <c r="E14" i="3"/>
  <c r="G14" i="3" s="1"/>
  <c r="F14" i="3"/>
  <c r="E15" i="3"/>
  <c r="F15" i="3"/>
  <c r="G15" i="3"/>
  <c r="E16" i="3"/>
  <c r="F16" i="3"/>
  <c r="G16" i="3"/>
  <c r="G17" i="3"/>
  <c r="G18" i="3"/>
  <c r="G19" i="3"/>
  <c r="G20" i="3"/>
  <c r="E21" i="3"/>
  <c r="G21" i="3" s="1"/>
  <c r="F21" i="3"/>
  <c r="E22" i="3"/>
  <c r="G22" i="3" s="1"/>
  <c r="F22" i="3"/>
  <c r="E23" i="3"/>
  <c r="F23" i="3"/>
  <c r="G23" i="3"/>
  <c r="E24" i="3"/>
  <c r="F24" i="3"/>
  <c r="G24" i="3"/>
  <c r="E25" i="3"/>
  <c r="G25" i="3" s="1"/>
  <c r="F25" i="3"/>
  <c r="E26" i="3"/>
  <c r="G26" i="3" s="1"/>
  <c r="F26" i="3"/>
  <c r="E27" i="3"/>
  <c r="F27" i="3"/>
  <c r="G27" i="3"/>
  <c r="E28" i="3"/>
  <c r="F28" i="3"/>
  <c r="G28" i="3"/>
  <c r="E29" i="3"/>
  <c r="G29" i="3" s="1"/>
  <c r="F29" i="3"/>
  <c r="E30" i="3"/>
  <c r="G30" i="3" s="1"/>
  <c r="F30" i="3"/>
  <c r="E31" i="3"/>
  <c r="F31" i="3"/>
  <c r="G31" i="3"/>
  <c r="E32" i="3"/>
  <c r="F32" i="3"/>
  <c r="G32" i="3"/>
  <c r="E33" i="3"/>
  <c r="G33" i="3" s="1"/>
  <c r="F33" i="3"/>
  <c r="E34" i="3"/>
  <c r="G34" i="3" s="1"/>
  <c r="F34" i="3"/>
  <c r="R1" i="7"/>
  <c r="S1" i="7"/>
  <c r="R4" i="7"/>
  <c r="R5" i="7"/>
  <c r="R3" i="7"/>
  <c r="S3" i="7" s="1"/>
  <c r="I101" i="1" l="1"/>
  <c r="H85" i="1"/>
  <c r="G102" i="1"/>
  <c r="G148" i="1"/>
  <c r="H101" i="1"/>
  <c r="I78" i="1"/>
  <c r="I88" i="1"/>
  <c r="G133" i="1"/>
  <c r="I133" i="1" s="1"/>
  <c r="G66" i="1"/>
  <c r="I66" i="1" s="1"/>
  <c r="G98" i="1"/>
  <c r="I98" i="1" s="1"/>
  <c r="I81" i="1"/>
  <c r="I73" i="1"/>
  <c r="H69" i="1"/>
  <c r="H60" i="1"/>
  <c r="H86" i="1"/>
  <c r="G74" i="1"/>
  <c r="I74" i="1" s="1"/>
  <c r="H103" i="1"/>
  <c r="I97" i="1"/>
  <c r="I93" i="1"/>
  <c r="H89" i="1"/>
  <c r="I85" i="1"/>
  <c r="G145" i="1"/>
  <c r="G64" i="1"/>
  <c r="G82" i="1"/>
  <c r="I82" i="1" s="1"/>
  <c r="G141" i="1"/>
  <c r="G136" i="1"/>
  <c r="I62" i="1"/>
  <c r="H137" i="1"/>
  <c r="G94" i="1"/>
  <c r="I94" i="1" s="1"/>
  <c r="H78" i="1"/>
  <c r="H77" i="1"/>
  <c r="I72" i="1"/>
  <c r="G142" i="1"/>
  <c r="I100" i="1"/>
  <c r="H97" i="1"/>
  <c r="I92" i="1"/>
  <c r="I84" i="1"/>
  <c r="H81" i="1"/>
  <c r="I77" i="1"/>
  <c r="I70" i="1"/>
  <c r="I65" i="1"/>
  <c r="G146" i="1"/>
  <c r="I132" i="1"/>
  <c r="G108" i="1"/>
  <c r="G56" i="1"/>
  <c r="I96" i="1"/>
  <c r="H93" i="1"/>
  <c r="G90" i="1"/>
  <c r="I90" i="1" s="1"/>
  <c r="I89" i="1"/>
  <c r="I80" i="1"/>
  <c r="I76" i="1"/>
  <c r="H73" i="1"/>
  <c r="H70" i="1"/>
  <c r="I69" i="1"/>
  <c r="I68" i="1"/>
  <c r="H65" i="1"/>
  <c r="H106" i="1"/>
  <c r="G144" i="1"/>
  <c r="H63" i="1"/>
  <c r="I103" i="1"/>
  <c r="I102" i="1"/>
  <c r="I86" i="1"/>
  <c r="H100" i="1"/>
  <c r="I99" i="1"/>
  <c r="H96" i="1"/>
  <c r="I95" i="1"/>
  <c r="H92" i="1"/>
  <c r="I91" i="1"/>
  <c r="H88" i="1"/>
  <c r="I87" i="1"/>
  <c r="H84" i="1"/>
  <c r="I83" i="1"/>
  <c r="H80" i="1"/>
  <c r="I79" i="1"/>
  <c r="H76" i="1"/>
  <c r="I75" i="1"/>
  <c r="H72" i="1"/>
  <c r="I71" i="1"/>
  <c r="H68" i="1"/>
  <c r="I67" i="1"/>
  <c r="H99" i="1"/>
  <c r="H95" i="1"/>
  <c r="H91" i="1"/>
  <c r="H87" i="1"/>
  <c r="H83" i="1"/>
  <c r="H79" i="1"/>
  <c r="H75" i="1"/>
  <c r="H71" i="1"/>
  <c r="H67" i="1"/>
  <c r="H132" i="1"/>
  <c r="G104" i="1"/>
  <c r="I104" i="1" s="1"/>
  <c r="H62" i="1"/>
  <c r="H58" i="1"/>
  <c r="H109" i="1"/>
  <c r="H105" i="1"/>
  <c r="H147" i="1"/>
  <c r="H143" i="1"/>
  <c r="H139" i="1"/>
  <c r="H135" i="1"/>
  <c r="H107" i="1"/>
  <c r="H59" i="1"/>
  <c r="H140" i="1"/>
  <c r="I63" i="1"/>
  <c r="H61" i="1"/>
  <c r="H57" i="1"/>
  <c r="H138" i="1"/>
  <c r="H134" i="1"/>
  <c r="G55" i="1"/>
  <c r="I64" i="1"/>
  <c r="I60" i="1"/>
  <c r="I109" i="1"/>
  <c r="I35" i="1"/>
  <c r="I141" i="1"/>
  <c r="I34" i="1"/>
  <c r="I43" i="1"/>
  <c r="I139" i="1"/>
  <c r="I134" i="1"/>
  <c r="G131" i="1"/>
  <c r="I52" i="1"/>
  <c r="I44" i="1"/>
  <c r="B26" i="2"/>
  <c r="B18" i="2"/>
  <c r="B13" i="2"/>
  <c r="I59" i="1" s="1"/>
  <c r="B17" i="2"/>
  <c r="B12" i="2"/>
  <c r="B16" i="2"/>
  <c r="B11" i="2"/>
  <c r="B24" i="2"/>
  <c r="I40" i="1" s="1"/>
  <c r="B15" i="2"/>
  <c r="B14" i="2"/>
  <c r="B23" i="2"/>
  <c r="B29" i="2"/>
  <c r="B9" i="2"/>
  <c r="B8" i="2"/>
  <c r="B7" i="2"/>
  <c r="B6" i="2"/>
  <c r="B5" i="2"/>
  <c r="B4" i="2"/>
  <c r="B3" i="2"/>
  <c r="B2" i="2"/>
  <c r="B1" i="2"/>
  <c r="S5" i="7"/>
  <c r="S4" i="7"/>
  <c r="I48" i="1" l="1"/>
  <c r="I142" i="1"/>
  <c r="I50" i="1"/>
  <c r="I145" i="1"/>
  <c r="I144" i="1"/>
  <c r="I105" i="1"/>
  <c r="I56" i="1"/>
  <c r="I61" i="1"/>
  <c r="I51" i="1"/>
  <c r="I107" i="1"/>
  <c r="I42" i="1"/>
  <c r="I38" i="1"/>
  <c r="I47" i="1"/>
  <c r="I137" i="1"/>
  <c r="I58" i="1"/>
  <c r="I135" i="1"/>
  <c r="I41" i="1"/>
  <c r="I131" i="1"/>
  <c r="I138" i="1"/>
  <c r="I146" i="1"/>
  <c r="I143" i="1"/>
  <c r="I136" i="1"/>
  <c r="I148" i="1"/>
  <c r="I108" i="1"/>
  <c r="I106" i="1"/>
  <c r="I57" i="1"/>
  <c r="I53" i="1"/>
  <c r="I46" i="1"/>
  <c r="I147" i="1"/>
  <c r="I140" i="1"/>
  <c r="I54" i="1"/>
  <c r="I39" i="1"/>
  <c r="I49" i="1"/>
  <c r="I55" i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10" i="1"/>
  <c r="H110" i="1" s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10" i="1"/>
  <c r="A126" i="1" l="1"/>
  <c r="A130" i="1"/>
  <c r="A129" i="1"/>
  <c r="A121" i="1"/>
  <c r="A110" i="1"/>
  <c r="A74" i="1"/>
  <c r="A137" i="1"/>
  <c r="A42" i="1"/>
  <c r="A151" i="1"/>
  <c r="A167" i="1"/>
  <c r="A14" i="1"/>
  <c r="A30" i="1"/>
  <c r="A47" i="1"/>
  <c r="A160" i="1"/>
  <c r="A7" i="1"/>
  <c r="A23" i="1"/>
  <c r="A40" i="1"/>
  <c r="A149" i="1"/>
  <c r="A165" i="1"/>
  <c r="A12" i="1"/>
  <c r="A28" i="1"/>
  <c r="A45" i="1"/>
  <c r="A150" i="1"/>
  <c r="A166" i="1"/>
  <c r="A13" i="1"/>
  <c r="A29" i="1"/>
  <c r="A89" i="1"/>
  <c r="A147" i="1"/>
  <c r="A61" i="1"/>
  <c r="A91" i="1"/>
  <c r="A83" i="1"/>
  <c r="A75" i="1"/>
  <c r="A67" i="1"/>
  <c r="A70" i="1"/>
  <c r="A135" i="1"/>
  <c r="A97" i="1"/>
  <c r="A146" i="1"/>
  <c r="A138" i="1"/>
  <c r="A108" i="1"/>
  <c r="A62" i="1"/>
  <c r="A94" i="1"/>
  <c r="A86" i="1"/>
  <c r="A78" i="1"/>
  <c r="A105" i="1"/>
  <c r="A46" i="1"/>
  <c r="A155" i="1"/>
  <c r="A2" i="1"/>
  <c r="A18" i="1"/>
  <c r="A35" i="1"/>
  <c r="A51" i="1"/>
  <c r="A164" i="1"/>
  <c r="A11" i="1"/>
  <c r="A27" i="1"/>
  <c r="A44" i="1"/>
  <c r="A153" i="1"/>
  <c r="A169" i="1"/>
  <c r="A16" i="1"/>
  <c r="A32" i="1"/>
  <c r="A49" i="1"/>
  <c r="A154" i="1"/>
  <c r="A170" i="1"/>
  <c r="A17" i="1"/>
  <c r="A33" i="1"/>
  <c r="A84" i="1"/>
  <c r="A139" i="1"/>
  <c r="A55" i="1"/>
  <c r="A87" i="1"/>
  <c r="A81" i="1"/>
  <c r="A73" i="1"/>
  <c r="A65" i="1"/>
  <c r="A66" i="1"/>
  <c r="A107" i="1"/>
  <c r="A93" i="1"/>
  <c r="A144" i="1"/>
  <c r="A136" i="1"/>
  <c r="A106" i="1"/>
  <c r="A60" i="1"/>
  <c r="A100" i="1"/>
  <c r="A92" i="1"/>
  <c r="A68" i="1"/>
  <c r="A34" i="1"/>
  <c r="A50" i="1"/>
  <c r="A159" i="1"/>
  <c r="A6" i="1"/>
  <c r="A22" i="1"/>
  <c r="A39" i="1"/>
  <c r="A152" i="1"/>
  <c r="A168" i="1"/>
  <c r="A15" i="1"/>
  <c r="A31" i="1"/>
  <c r="A48" i="1"/>
  <c r="A157" i="1"/>
  <c r="A4" i="1"/>
  <c r="A20" i="1"/>
  <c r="A37" i="1"/>
  <c r="A53" i="1"/>
  <c r="A158" i="1"/>
  <c r="A5" i="1"/>
  <c r="A21" i="1"/>
  <c r="A59" i="1"/>
  <c r="A80" i="1"/>
  <c r="A133" i="1"/>
  <c r="A101" i="1"/>
  <c r="A102" i="1"/>
  <c r="A79" i="1"/>
  <c r="A71" i="1"/>
  <c r="A82" i="1"/>
  <c r="A145" i="1"/>
  <c r="A63" i="1"/>
  <c r="A131" i="1"/>
  <c r="A142" i="1"/>
  <c r="A134" i="1"/>
  <c r="A104" i="1"/>
  <c r="A58" i="1"/>
  <c r="A98" i="1"/>
  <c r="A90" i="1"/>
  <c r="A143" i="1"/>
  <c r="A38" i="1"/>
  <c r="A54" i="1"/>
  <c r="A163" i="1"/>
  <c r="A10" i="1"/>
  <c r="A26" i="1"/>
  <c r="A43" i="1"/>
  <c r="A156" i="1"/>
  <c r="A3" i="1"/>
  <c r="A19" i="1"/>
  <c r="A36" i="1"/>
  <c r="A52" i="1"/>
  <c r="A161" i="1"/>
  <c r="A8" i="1"/>
  <c r="A24" i="1"/>
  <c r="A41" i="1"/>
  <c r="A103" i="1"/>
  <c r="A162" i="1"/>
  <c r="A9" i="1"/>
  <c r="A25" i="1"/>
  <c r="A99" i="1"/>
  <c r="A72" i="1"/>
  <c r="A109" i="1"/>
  <c r="A95" i="1"/>
  <c r="A85" i="1"/>
  <c r="A77" i="1"/>
  <c r="A69" i="1"/>
  <c r="A76" i="1"/>
  <c r="A141" i="1"/>
  <c r="A57" i="1"/>
  <c r="A148" i="1"/>
  <c r="A140" i="1"/>
  <c r="A132" i="1"/>
  <c r="A64" i="1"/>
  <c r="A56" i="1"/>
  <c r="A96" i="1"/>
  <c r="A88" i="1"/>
  <c r="A127" i="1"/>
  <c r="A123" i="1"/>
  <c r="A119" i="1"/>
  <c r="A115" i="1"/>
  <c r="A111" i="1"/>
  <c r="A118" i="1"/>
  <c r="A114" i="1"/>
  <c r="A125" i="1"/>
  <c r="A113" i="1"/>
  <c r="A122" i="1"/>
  <c r="A117" i="1"/>
  <c r="A128" i="1"/>
  <c r="A124" i="1"/>
  <c r="A120" i="1"/>
  <c r="A116" i="1"/>
  <c r="A112" i="1"/>
  <c r="G126" i="1"/>
  <c r="I126" i="1" s="1"/>
  <c r="G114" i="1"/>
  <c r="G129" i="1"/>
  <c r="I129" i="1" s="1"/>
  <c r="G125" i="1"/>
  <c r="I125" i="1" s="1"/>
  <c r="G121" i="1"/>
  <c r="I121" i="1" s="1"/>
  <c r="G117" i="1"/>
  <c r="G113" i="1"/>
  <c r="G130" i="1"/>
  <c r="I130" i="1" s="1"/>
  <c r="G118" i="1"/>
  <c r="I118" i="1" s="1"/>
  <c r="G128" i="1"/>
  <c r="G124" i="1"/>
  <c r="G120" i="1"/>
  <c r="G116" i="1"/>
  <c r="G112" i="1"/>
  <c r="G122" i="1"/>
  <c r="G110" i="1"/>
  <c r="I110" i="1" s="1"/>
  <c r="G127" i="1"/>
  <c r="I127" i="1" s="1"/>
  <c r="G123" i="1"/>
  <c r="I123" i="1" s="1"/>
  <c r="G119" i="1"/>
  <c r="G115" i="1"/>
  <c r="I115" i="1" s="1"/>
  <c r="G111" i="1"/>
  <c r="I111" i="1" s="1"/>
  <c r="I112" i="1" l="1"/>
  <c r="I117" i="1"/>
  <c r="I116" i="1"/>
  <c r="I114" i="1"/>
  <c r="I120" i="1"/>
  <c r="I128" i="1"/>
  <c r="I119" i="1"/>
  <c r="I122" i="1"/>
  <c r="I124" i="1"/>
  <c r="I113" i="1"/>
</calcChain>
</file>

<file path=xl/sharedStrings.xml><?xml version="1.0" encoding="utf-8"?>
<sst xmlns="http://schemas.openxmlformats.org/spreadsheetml/2006/main" count="1064" uniqueCount="431">
  <si>
    <t xml:space="preserve"> - [Ring Of Truth](RotesSE#RingOfTr) </t>
  </si>
  <si>
    <t xml:space="preserve"> - [Ring Of Truth</t>
  </si>
  <si>
    <t>RotesSE</t>
  </si>
  <si>
    <t xml:space="preserve"> - [Sense Corruption](RotesCeC#SenCo) </t>
  </si>
  <si>
    <t xml:space="preserve"> - [Sense Corruption</t>
  </si>
  <si>
    <t>RotesCeC</t>
  </si>
  <si>
    <t>###</t>
  </si>
  <si>
    <t>Sphere</t>
  </si>
  <si>
    <t>Dot</t>
  </si>
  <si>
    <t xml:space="preserve">[Holy Stroke](https://web.archive.org/web/20160523151858/http://www.thesubnet.com/portal/wod/mtas/RotesSP.html#HolySt)  </t>
  </si>
  <si>
    <t xml:space="preserve">[Imaginary Friend](https://web.archive.org/web/20160523151858/http://www.thesubnet.com/portal/wod/mtas/RotesNWO.html#ImaFr)  </t>
  </si>
  <si>
    <t xml:space="preserve">[Jury Rig](https://web.archive.org/web/20160523151858/http://www.thesubnet.com/portal/wod/mtas/RotesSoOE.html#JuryRig)  </t>
  </si>
  <si>
    <t xml:space="preserve">[Laserblast](https://web.archive.org/web/20160523151858/http://www.thesubnet.com/portal/wod/mtas/RotesVoE.html#Las)  </t>
  </si>
  <si>
    <t xml:space="preserve">[Lecherous Kiss](https://web.archive.org/web/20160523151858/http://www.thesubnet.com/portal/wod/mtas/RotesHoO.html#LecKi)  </t>
  </si>
  <si>
    <t xml:space="preserve">[Long Fist](https://web.archive.org/web/20160523151858/http://www.thesubnet.com/portal/wod/mtas/RotesDo.html#LongFi)  </t>
  </si>
  <si>
    <t xml:space="preserve">[Matter-Energy Converter](https://web.archive.org/web/20160523151858/http://www.thesubnet.com/portal/wod/mtas/RotesVoE.html#MatEnCo)  </t>
  </si>
  <si>
    <t xml:space="preserve">[Nanotech Life Support](https://web.archive.org/web/20160523151858/http://www.thesubnet.com/portal/wod/mtas/RotesPr.html#NanLiSu)  </t>
  </si>
  <si>
    <t xml:space="preserve">[No Surrender](https://web.archive.org/web/20160523151858/http://www.thesubnet.com/portal/wod/mtas/RotesSiOH.html#NoSu)  </t>
  </si>
  <si>
    <t xml:space="preserve">[Oak Of Sanguine Root](https://web.archive.org/web/20160523151858/http://www.thesubnet.com/portal/wod/mtas/RotesOOH.html#OakOfSaRo)  </t>
  </si>
  <si>
    <t xml:space="preserve">[Penny Dreadful's Bright New Penny](https://web.archive.org/web/20160523151858/http://www.thesubnet.com/portal/wod/mtas/RotesHoO.html#PenDrBrNewPe)  </t>
  </si>
  <si>
    <t xml:space="preserve">[Perpetual Motion](https://web.archive.org/web/20160523151858/http://www.thesubnet.com/portal/wod/mtas/RotesIX.html#PerMo)  </t>
  </si>
  <si>
    <t xml:space="preserve">[Pygmalion's Paradigm](https://web.archive.org/web/20160523151858/http://www.thesubnet.com/portal/wod/mtas/RotesG.html#PygPa)  </t>
  </si>
  <si>
    <t xml:space="preserve">[Red Button](https://web.archive.org/web/20160523151858/http://www.thesubnet.com/portal/wod/mtas/RotesNWO.html#RedBu)  </t>
  </si>
  <si>
    <t xml:space="preserve">[Song Of Orpheus](https://web.archive.org/web/20160523151858/http://www.thesubnet.com/portal/wod/mtas/RotesG.html#SongOfOr)  </t>
  </si>
  <si>
    <t xml:space="preserve">[Sucking Gate](https://web.archive.org/web/20160523151858/http://www.thesubnet.com/portal/wod/mtas/RotesDr.html#SucGa)  </t>
  </si>
  <si>
    <t xml:space="preserve">[Supporting The Brain](https://web.archive.org/web/20160523151858/http://www.thesubnet.com/portal/wod/mtas/RotesSoOE.html#SupTheBr)  </t>
  </si>
  <si>
    <t xml:space="preserve">[Talons](https://web.archive.org/web/20160523151858/http://www.thesubnet.com/portal/wod/mtas/RotesG.html#Tal)  </t>
  </si>
  <si>
    <t xml:space="preserve">[Thunder's Gauntlet](https://web.archive.org/web/20160523151858/http://www.thesubnet.com/portal/wod/mtas/RotesOOH.html#ThuGa)  </t>
  </si>
  <si>
    <t xml:space="preserve">[Unraveling The Text](https://web.archive.org/web/20160523151858/http://www.thesubnet.com/portal/wod/mtas/RotesOOH.html#UnrTheTe)  </t>
  </si>
  <si>
    <t xml:space="preserve">[Unseen Nomenclature](https://web.archive.org/web/20160523151858/http://www.thesubnet.com/portal/wod/mtas/RotesOOH.html#UnsNo)  </t>
  </si>
  <si>
    <t>Prime</t>
  </si>
  <si>
    <t>Link</t>
  </si>
  <si>
    <t>Name</t>
  </si>
  <si>
    <t>Rotes</t>
  </si>
  <si>
    <t>RotesSC</t>
  </si>
  <si>
    <t xml:space="preserve"> RotesSC (Correspondence Effects)</t>
  </si>
  <si>
    <t xml:space="preserve"> Sphere-rote</t>
  </si>
  <si>
    <t xml:space="preserve"> RotesSE (Entropy effects)</t>
  </si>
  <si>
    <t xml:space="preserve"> RotesSF (Forces effects)</t>
  </si>
  <si>
    <t xml:space="preserve"> RotesSL (Life effects)</t>
  </si>
  <si>
    <t xml:space="preserve"> RotesSM (Matter effects)</t>
  </si>
  <si>
    <t xml:space="preserve"> RotesSmi (Mind effects)</t>
  </si>
  <si>
    <t xml:space="preserve"> RotesSP (Prime effects)</t>
  </si>
  <si>
    <t xml:space="preserve"> RotesSS (Spirit effects)</t>
  </si>
  <si>
    <t>RotesST</t>
  </si>
  <si>
    <t xml:space="preserve"> RotesST (Time effects)</t>
  </si>
  <si>
    <t>RotesAhIB</t>
  </si>
  <si>
    <t xml:space="preserve"> Alh-i-Batin</t>
  </si>
  <si>
    <t xml:space="preserve"> Celestial Chorus</t>
  </si>
  <si>
    <t>RotesCuOE</t>
  </si>
  <si>
    <t xml:space="preserve"> Cult of Ecstasy</t>
  </si>
  <si>
    <t>RotesDo</t>
  </si>
  <si>
    <t xml:space="preserve"> Do (Akashic)</t>
  </si>
  <si>
    <t>RotesDr</t>
  </si>
  <si>
    <t xml:space="preserve"> Dreamspeakers</t>
  </si>
  <si>
    <t>RotesE</t>
  </si>
  <si>
    <t xml:space="preserve"> Euthanatos</t>
  </si>
  <si>
    <t>RotesG</t>
  </si>
  <si>
    <t xml:space="preserve"> RotesG (General)</t>
  </si>
  <si>
    <t xml:space="preserve"> General</t>
  </si>
  <si>
    <t>RotesHoO</t>
  </si>
  <si>
    <t xml:space="preserve"> RotesHoO (Hollow Ones)</t>
  </si>
  <si>
    <t xml:space="preserve"> Hollow Ones</t>
  </si>
  <si>
    <t>RotesIX</t>
  </si>
  <si>
    <t xml:space="preserve"> RotesIX (Iteration X)</t>
  </si>
  <si>
    <t xml:space="preserve"> :RaCog: Iteration X</t>
  </si>
  <si>
    <t>RotesNWO</t>
  </si>
  <si>
    <t xml:space="preserve"> RotesNWO (New world order)</t>
  </si>
  <si>
    <t xml:space="preserve"> :RaCog: New World Order</t>
  </si>
  <si>
    <t>RotesOOH</t>
  </si>
  <si>
    <t xml:space="preserve"> RotesOOH (Order of Hermes)</t>
  </si>
  <si>
    <t xml:space="preserve"> Order of Hermes</t>
  </si>
  <si>
    <t>RotesSiOH</t>
  </si>
  <si>
    <t xml:space="preserve"> RotesSiOH (Sisters of Hippolyta)</t>
  </si>
  <si>
    <t xml:space="preserve"> Sisters of Hippolyta</t>
  </si>
  <si>
    <t>RotesSoOE</t>
  </si>
  <si>
    <t xml:space="preserve"> Sons of Ether</t>
  </si>
  <si>
    <t>RotesSy</t>
  </si>
  <si>
    <t xml:space="preserve"> RotesSy (Syndicate)</t>
  </si>
  <si>
    <t xml:space="preserve"> :RaCog: Syncidate</t>
  </si>
  <si>
    <t>RotesTe</t>
  </si>
  <si>
    <t xml:space="preserve"> RotesTe (Templars)</t>
  </si>
  <si>
    <t xml:space="preserve"> Templars</t>
  </si>
  <si>
    <t>RotesVoE</t>
  </si>
  <si>
    <t xml:space="preserve"> RotesVoE (Void Engineers)</t>
  </si>
  <si>
    <t xml:space="preserve"> :RaCog: Void Engineers</t>
  </si>
  <si>
    <t>RotesWK</t>
  </si>
  <si>
    <t xml:space="preserve"> RotesWK (Wu-Keng)</t>
  </si>
  <si>
    <t xml:space="preserve"> Wu Keng</t>
  </si>
  <si>
    <t>RotesPr</t>
  </si>
  <si>
    <t xml:space="preserve"> RotesPr (Progenitors)</t>
  </si>
  <si>
    <t xml:space="preserve"> :RaCog: Progenitors</t>
  </si>
  <si>
    <t>RotesViA</t>
  </si>
  <si>
    <t xml:space="preserve"> RotesViA (Virt Adepts)</t>
  </si>
  <si>
    <t xml:space="preserve"> Virtual Adepts</t>
  </si>
  <si>
    <t>Wikilink</t>
  </si>
  <si>
    <t>RotesSP</t>
  </si>
  <si>
    <t>broken</t>
  </si>
  <si>
    <t>RotesSC (Correspondence Effects)</t>
  </si>
  <si>
    <t>RotesSE (Entropy effects)</t>
  </si>
  <si>
    <t>RotesSF (Forces effects)</t>
  </si>
  <si>
    <t>RotesSL (Life effects)</t>
  </si>
  <si>
    <t>RotesSM (Matter effects)</t>
  </si>
  <si>
    <t>RotesSmi (Mind effects)</t>
  </si>
  <si>
    <t>RotesSP (Prime effects)</t>
  </si>
  <si>
    <t>RotesSS (Spirit effects)</t>
  </si>
  <si>
    <t>RotesST (Time effects)</t>
  </si>
  <si>
    <t>RotesG (General)</t>
  </si>
  <si>
    <t>RotesHoO (Hollow Ones)</t>
  </si>
  <si>
    <t>RotesIX (Iteration X)</t>
  </si>
  <si>
    <t>RotesNWO (New world order)</t>
  </si>
  <si>
    <t>RotesOOH (Order of Hermes)</t>
  </si>
  <si>
    <t>RotesSiOH (Sisters of Hippolyta)</t>
  </si>
  <si>
    <t>RotesSy (Syndicate)</t>
  </si>
  <si>
    <t>RotesTe (Templars)</t>
  </si>
  <si>
    <t>RotesVoE (Void Engineers)</t>
  </si>
  <si>
    <t>RotesWK (Wu-Keng)</t>
  </si>
  <si>
    <t>RotesPr (Progenitors)</t>
  </si>
  <si>
    <t>RotesViA (Virt Adepts)</t>
  </si>
  <si>
    <t xml:space="preserve"> 🔋 Iteration X</t>
  </si>
  <si>
    <t xml:space="preserve"> 🔋 New World Order</t>
  </si>
  <si>
    <t xml:space="preserve"> 🔋 Syncidate</t>
  </si>
  <si>
    <t xml:space="preserve"> 🔋 Void Engineers</t>
  </si>
  <si>
    <t xml:space="preserve"> 🔋 Progenitors</t>
  </si>
  <si>
    <t>From</t>
  </si>
  <si>
    <t>Type</t>
  </si>
  <si>
    <t>- [Shih-Huang-Ti's Marvelous Game</t>
  </si>
  <si>
    <t xml:space="preserve">- [Shih-Huang-Ti's Marvelous Game](RotesWK#ShihHuTisMaGa) </t>
  </si>
  <si>
    <t>- [Luck Of The Lotus</t>
  </si>
  <si>
    <t xml:space="preserve">- [Luck Of The Lotus](RotesWK#LucOfTheLoCrLoCu) </t>
  </si>
  <si>
    <t>- [Crippled Lotus Curse, The</t>
  </si>
  <si>
    <t xml:space="preserve">- [Crippled Lotus Curse, The](RotesWK#LucOfTheLoCrLoCu) </t>
  </si>
  <si>
    <t>- [Whither Goest Thou?</t>
  </si>
  <si>
    <t xml:space="preserve">- [Whither Goest Thou?](RotesTe#WhiGoTh) </t>
  </si>
  <si>
    <t>- [Spatial Sheath</t>
  </si>
  <si>
    <t xml:space="preserve">- [Spatial Sheath](RotesTe#SpaSh) </t>
  </si>
  <si>
    <t>- [Quo Vadis?</t>
  </si>
  <si>
    <t xml:space="preserve">- [Quo Vadis?](RotesTe#WhiGoTh) </t>
  </si>
  <si>
    <t>- [Oak Of Sanguine Root</t>
  </si>
  <si>
    <t xml:space="preserve">- [Oak Of Sanguine Root](RotesOOH#OakOfSaRo) </t>
  </si>
  <si>
    <t>- [Glorious Sword Of Haven</t>
  </si>
  <si>
    <t>- [Glorious Sword Of Haven](RotesOOH#GloSwOfHa)</t>
  </si>
  <si>
    <t>- [Gabriel's Embrace</t>
  </si>
  <si>
    <t xml:space="preserve">- [Gabriel's Embrace](RotesOOH#GabEm) </t>
  </si>
  <si>
    <t>- [Sense Node</t>
  </si>
  <si>
    <t xml:space="preserve">- [Sense Node](RotesNWO#SenNo) </t>
  </si>
  <si>
    <t>- [Phone Tap</t>
  </si>
  <si>
    <t xml:space="preserve">- [Phone Tap](RotesNWO#PhoTap) </t>
  </si>
  <si>
    <t>- [Heat Seeking</t>
  </si>
  <si>
    <t xml:space="preserve">- [Heat Seeking](RotesNWO#HeatSe) </t>
  </si>
  <si>
    <t>- [Check The Corners</t>
  </si>
  <si>
    <t xml:space="preserve">- [Check The Corners](RotesNWO#CheTheCo) </t>
  </si>
  <si>
    <t>- [Pixie Lead</t>
  </si>
  <si>
    <t xml:space="preserve">- [Pixie Lead](RotesG#PixLe) </t>
  </si>
  <si>
    <t>- [Trip, The</t>
  </si>
  <si>
    <t xml:space="preserve">- [Trip, The](RotesCuOE#Trip) </t>
  </si>
  <si>
    <t>- [Scrying</t>
  </si>
  <si>
    <t xml:space="preserve">- [Scrying](RotesDr#Scr) </t>
  </si>
  <si>
    <t>- [Jury Rig</t>
  </si>
  <si>
    <t xml:space="preserve">- [Jury Rig](RotesSoOE#JuryRig) </t>
  </si>
  <si>
    <t>- [Eagle Eye</t>
  </si>
  <si>
    <t xml:space="preserve">- [Eagle Eye](RotesAhIB#EagEye) </t>
  </si>
  <si>
    <t>- [Ward</t>
  </si>
  <si>
    <t xml:space="preserve">- [Ward](RotesSC#Ward) </t>
  </si>
  <si>
    <t>- [Correspondence Sensing</t>
  </si>
  <si>
    <t xml:space="preserve">- [Correspondence Sensing](RotesSC#CorSe) </t>
  </si>
  <si>
    <t>- [Apportation</t>
  </si>
  <si>
    <t xml:space="preserve">- [Apportation](RotesSC#App) </t>
  </si>
  <si>
    <t xml:space="preserve">**CORRESPONDENCE LEVEL 2 ROTES** </t>
  </si>
  <si>
    <t>- [Calculate Kinematics</t>
  </si>
  <si>
    <t xml:space="preserve">- [Calculate Kinematics](RotesVoE#CalKi) </t>
  </si>
  <si>
    <t>- [Thief In The Night</t>
  </si>
  <si>
    <t xml:space="preserve">- [Thief In The Night](RotesTe#ThiInTheNi) </t>
  </si>
  <si>
    <t>- [Time-Motion Study</t>
  </si>
  <si>
    <t xml:space="preserve">- [Time-Motion Study](RotesIX#TimeMoSt) </t>
  </si>
  <si>
    <t>- [Targeting Computation</t>
  </si>
  <si>
    <t xml:space="preserve">- [Targeting Computation](RotesIX#TarCo) </t>
  </si>
  <si>
    <t>- [Prime Location</t>
  </si>
  <si>
    <t xml:space="preserve">- [Prime Location](RotesG#PriLo) </t>
  </si>
  <si>
    <t>- [Detect The Dream</t>
  </si>
  <si>
    <t xml:space="preserve">- [Detect The Dream](RotesG#DetTheDr) </t>
  </si>
  <si>
    <t>- [Ariadne's Thread</t>
  </si>
  <si>
    <t xml:space="preserve">- [Ariadne's Thread](RotesG#AriTh) </t>
  </si>
  <si>
    <t>- [Flying Dragon Kick</t>
  </si>
  <si>
    <t xml:space="preserve">- [Flying Dragon Kick](RotesDo#FlyDrKi) </t>
  </si>
  <si>
    <t>- [Whereami?</t>
  </si>
  <si>
    <t xml:space="preserve">- [Whereami?](RotesSC#Whe) </t>
  </si>
  <si>
    <t>- [Sense Connection</t>
  </si>
  <si>
    <t xml:space="preserve">- [Sense Connection](RotesSC#SenCo) </t>
  </si>
  <si>
    <t>- [Landscape Of The Mind</t>
  </si>
  <si>
    <t xml:space="preserve">- [Landscape Of The Mind](RotesSC#LanOfTheMi) </t>
  </si>
  <si>
    <t xml:space="preserve">**CORRESPONDENCE LEVEL 1 ROTES** </t>
  </si>
  <si>
    <t xml:space="preserve"> - [Thief In The Night</t>
  </si>
  <si>
    <t xml:space="preserve"> - [Thief In The Night](RotesTe#ThiInTheNi) </t>
  </si>
  <si>
    <t xml:space="preserve"> - [Recant</t>
  </si>
  <si>
    <t xml:space="preserve"> - [Recant](RotesTe#Rec) </t>
  </si>
  <si>
    <t xml:space="preserve"> - [Stacking The Deck</t>
  </si>
  <si>
    <t xml:space="preserve"> - [Stacking The Deck](RotesSy#StaTheDe) </t>
  </si>
  <si>
    <t xml:space="preserve"> - [Conclave Wellness Works</t>
  </si>
  <si>
    <t xml:space="preserve"> - [Conclave Wellness Works](RotesSiOH#ConWeWo) </t>
  </si>
  <si>
    <t xml:space="preserve"> - [Unraveling The Text</t>
  </si>
  <si>
    <t xml:space="preserve"> - [Unraveling The Text](RotesOOH#UnrTheTe) </t>
  </si>
  <si>
    <t xml:space="preserve"> - [Chaos Butterfly</t>
  </si>
  <si>
    <t xml:space="preserve"> - [Chaos Butterfly](RotesOOH#ChaBu) </t>
  </si>
  <si>
    <t xml:space="preserve"> - [Psychological Breaking Point</t>
  </si>
  <si>
    <t xml:space="preserve"> - [Psychological Breaking Point](RotesNWO#PsyBrPo) </t>
  </si>
  <si>
    <t xml:space="preserve"> - [Destructive Paranoia</t>
  </si>
  <si>
    <t xml:space="preserve"> - [Destructive Paranoia](RotesNWO#DesPa) </t>
  </si>
  <si>
    <t xml:space="preserve"> - [Statistical Mechanics</t>
  </si>
  <si>
    <t xml:space="preserve"> - [Statistical Mechanics](RotesIX#StaMe) </t>
  </si>
  <si>
    <t xml:space="preserve"> - [Random Impulse</t>
  </si>
  <si>
    <t xml:space="preserve"> - [Random Impulse](RotesE#RanIm) </t>
  </si>
  <si>
    <t xml:space="preserve"> - [Games Of Luck</t>
  </si>
  <si>
    <t xml:space="preserve"> - [Games Of Luck](RotesSE#GamOfLu) </t>
  </si>
  <si>
    <t xml:space="preserve"> - [Beginner's Luck</t>
  </si>
  <si>
    <t xml:space="preserve"> - [Beginner's Luck](RotesSE#BegLu) </t>
  </si>
  <si>
    <t xml:space="preserve"> **ENTROPY LEVEL 2 ROTES** </t>
  </si>
  <si>
    <t xml:space="preserve"> - [Silent Promise Of The Spring Tortoise</t>
  </si>
  <si>
    <t xml:space="preserve"> - [Silent Promise Of The Spring Tortoise](RotesWK#SilPrOfTheSpTo) </t>
  </si>
  <si>
    <t xml:space="preserve"> - [Organize</t>
  </si>
  <si>
    <t xml:space="preserve"> - [Organize](RotesIX#Org) </t>
  </si>
  <si>
    <t xml:space="preserve"> - [Oathbreaker's Lash</t>
  </si>
  <si>
    <t xml:space="preserve"> - [Oathbreaker's Lash](RotesOOH#OatLa) </t>
  </si>
  <si>
    <t xml:space="preserve"> - [Hermes Brand</t>
  </si>
  <si>
    <t xml:space="preserve"> - [Hermes Brand](RotesOOH#HerBr) </t>
  </si>
  <si>
    <t xml:space="preserve"> - [Burn Out</t>
  </si>
  <si>
    <t xml:space="preserve"> - [Burn Out](RotesG#BurnOut) </t>
  </si>
  <si>
    <t xml:space="preserve"> - [Trip, The</t>
  </si>
  <si>
    <t xml:space="preserve"> - [Trip, The](RotesCuOE#Trip) </t>
  </si>
  <si>
    <t xml:space="preserve"> - [Locate Disorder And Weakness</t>
  </si>
  <si>
    <t xml:space="preserve"> - [Locate Disorder And Weakness](RotesSE#LocDiAndWe) </t>
  </si>
  <si>
    <t xml:space="preserve"> **ENTROPY LEVEL 1 ROTES** </t>
  </si>
  <si>
    <t xml:space="preserve"> - [Download Specialization</t>
  </si>
  <si>
    <t xml:space="preserve"> - [Download Specialization](RotesNWO#DowSp) </t>
  </si>
  <si>
    <t xml:space="preserve"> - [Book Of Whispers</t>
  </si>
  <si>
    <t xml:space="preserve"> - [Book Of Whispers](RotesOOH#BookOfWh) </t>
  </si>
  <si>
    <t xml:space="preserve"> - [Time Warp</t>
  </si>
  <si>
    <t xml:space="preserve"> - [Time Warp](RotesST#TimeWa)      </t>
  </si>
  <si>
    <t xml:space="preserve"> - [Distort Time</t>
  </si>
  <si>
    <t xml:space="preserve"> - [Distort Time](RotesST#DisTi) </t>
  </si>
  <si>
    <t xml:space="preserve"> - **TIME LEVEL 3 ROTES**</t>
  </si>
  <si>
    <t xml:space="preserve"> - [Manipulate Time Fragment</t>
  </si>
  <si>
    <t xml:space="preserve"> - [Manipulate Time Fragment](RotesVoE#ManTiFr) </t>
  </si>
  <si>
    <t xml:space="preserve"> - [Whither Goest Thou?</t>
  </si>
  <si>
    <t xml:space="preserve"> - [Whither Goest Thou?](RotesTe#WhiGoTh) | </t>
  </si>
  <si>
    <t xml:space="preserve"> - [Quo Vadis?</t>
  </si>
  <si>
    <t xml:space="preserve"> - [Quo Vadis?](RotesTe#WhiGoTh) </t>
  </si>
  <si>
    <t xml:space="preserve"> - [PIN Drop</t>
  </si>
  <si>
    <t xml:space="preserve"> - [PIN Drop](RotesSy#PinDr) </t>
  </si>
  <si>
    <t xml:space="preserve"> - [Hail Of Bullets</t>
  </si>
  <si>
    <t xml:space="preserve"> - [Hail Of Bullets](RotesNWO#HailOfBu) </t>
  </si>
  <si>
    <t xml:space="preserve"> - [Planned Projection</t>
  </si>
  <si>
    <t xml:space="preserve"> - [Planned Projection](RotesIX#PlaPr)</t>
  </si>
  <si>
    <t xml:space="preserve"> - [Penny Dreadful's Bright New Penny</t>
  </si>
  <si>
    <t xml:space="preserve"> - [Penny Dreadful's Bright New Penny](RotesHoO#PenDrBrNewPe)Б</t>
  </si>
  <si>
    <t xml:space="preserve"> - [Song Of Orpheus</t>
  </si>
  <si>
    <t xml:space="preserve"> - [Song Of Orpheus](RotesG#SongOfOr) </t>
  </si>
  <si>
    <t xml:space="preserve"> - [Trip, The](RotesCuOE#Trip)</t>
  </si>
  <si>
    <t xml:space="preserve"> - [Time Wards</t>
  </si>
  <si>
    <t xml:space="preserve"> - [Time Wards](RotesST#TimeWa) </t>
  </si>
  <si>
    <t xml:space="preserve"> - [Divinations</t>
  </si>
  <si>
    <t xml:space="preserve"> - [Divinations](RotesST#Div) </t>
  </si>
  <si>
    <t xml:space="preserve"> - [Shed The Years</t>
  </si>
  <si>
    <t xml:space="preserve"> - [Shed The Years](RotesSE#SheTheYe) </t>
  </si>
  <si>
    <t xml:space="preserve"> **TIME LEVEL 2 ROTES** </t>
  </si>
  <si>
    <t xml:space="preserve"> - [Evaluate Fourth Dimensional Fabric</t>
  </si>
  <si>
    <t xml:space="preserve"> - [Evaluate Fourth Dimensional Fabric](RotesVoE#EvaFoDiFa)</t>
  </si>
  <si>
    <t xml:space="preserve"> - [Synchronize Watches</t>
  </si>
  <si>
    <t xml:space="preserve"> - [Synchronize Watches](RotesNWO#SynWa) </t>
  </si>
  <si>
    <t xml:space="preserve"> - [Time-Motion Study</t>
  </si>
  <si>
    <t xml:space="preserve"> - [Time-Motion Study](RotesIX#TimeMoSt)</t>
  </si>
  <si>
    <t xml:space="preserve"> - [Rigid Schedule</t>
  </si>
  <si>
    <t xml:space="preserve"> - [Rigid Schedule](RotesIX#RigSc) </t>
  </si>
  <si>
    <t xml:space="preserve"> - [Time Sense</t>
  </si>
  <si>
    <t xml:space="preserve"> - [Time Sense](RotesST#TimeSe) </t>
  </si>
  <si>
    <t xml:space="preserve"> - [Perfect Time</t>
  </si>
  <si>
    <t xml:space="preserve"> - [Perfect Time](RotesST#PerTi) </t>
  </si>
  <si>
    <t xml:space="preserve"> **TIME LEVEL 1 ROTES** </t>
  </si>
  <si>
    <t>ENTROPY</t>
  </si>
  <si>
    <t>Locate Disorder And Weakness</t>
  </si>
  <si>
    <t>Ring Of Truth</t>
  </si>
  <si>
    <t>Sense Corruption</t>
  </si>
  <si>
    <t>Trip, The</t>
  </si>
  <si>
    <t>Burn Out</t>
  </si>
  <si>
    <t>Hermes Brand</t>
  </si>
  <si>
    <t>Oathbreaker's Lash</t>
  </si>
  <si>
    <t>Organize</t>
  </si>
  <si>
    <t>Silent Promise Of The Spring Tortoise</t>
  </si>
  <si>
    <t>Beginner's Luck</t>
  </si>
  <si>
    <t>Games Of Luck</t>
  </si>
  <si>
    <t>Random Impulse</t>
  </si>
  <si>
    <t>Statistical Mechanics</t>
  </si>
  <si>
    <t>Destructive Paranoia</t>
  </si>
  <si>
    <t>Psychological Breaking Point</t>
  </si>
  <si>
    <t>Chaos Butterfly</t>
  </si>
  <si>
    <t>Unraveling The Text</t>
  </si>
  <si>
    <t>Conclave Wellness Works</t>
  </si>
  <si>
    <t>Stacking The Deck</t>
  </si>
  <si>
    <t>Recant</t>
  </si>
  <si>
    <t>Thief In The Night</t>
  </si>
  <si>
    <t xml:space="preserve">[Adrenal Rush](https://web.archive.org/web/20160523151858/http://www.thesubnet.com/portal/wod/mtas/RotesViA.html#AdrRu)  </t>
  </si>
  <si>
    <t xml:space="preserve">[Avatar Form](https://web.archive.org/web/20160523151858/http://www.thesubnet.com/portal/wod/mtas/RotesAkB.html#AvaF)  </t>
  </si>
  <si>
    <t xml:space="preserve">[Body Of Light](https://web.archive.org/web/20160523151858/http://www.thesubnet.com/portal/wod/mtas/RotesSP.html#BodyOfLi)  </t>
  </si>
  <si>
    <t xml:space="preserve">[Call Forth The Forgotten](https://web.archive.org/web/20160523151858/http://www.thesubnet.com/portal/wod/mtas/RotesG.html#CallFoTheFo)  </t>
  </si>
  <si>
    <t xml:space="preserve">[Chaos Butterfly](https://web.archive.org/web/20160523151858/http://www.thesubnet.com/portal/wod/mtas/RotesOOH.html#ChaBu)  </t>
  </si>
  <si>
    <t xml:space="preserve">[Destructive Paranoia](https://web.archive.org/web/20160523151858/http://www.thesubnet.com/portal/wod/mtas/RotesNWO.html#DesPa)  </t>
  </si>
  <si>
    <t xml:space="preserve">[Disintegrator](https://web.archive.org/web/20160523151858/http://www.thesubnet.com/portal/wod/mtas/RotesVoE.html#Dis)  </t>
  </si>
  <si>
    <t xml:space="preserve">[Divert Prime Force](https://web.archive.org/web/20160523151858/http://www.thesubnet.com/portal/wod/mtas/RotesVoE.html#DivPrFo)  </t>
  </si>
  <si>
    <t xml:space="preserve">[Dragon Fist](https://web.archive.org/web/20160523151858/http://www.thesubnet.com/portal/wod/mtas/RotesDo.html#DraFi)  </t>
  </si>
  <si>
    <t xml:space="preserve">[Emit Beam-Ray](https://web.archive.org/web/20160523151858/http://www.thesubnet.com/portal/wod/mtas/RotesIX.html#EmitBeRay)  </t>
  </si>
  <si>
    <t xml:space="preserve">[Enchant Weapon](https://web.archive.org/web/20160523151858/http://www.thesubnet.com/portal/wod/mtas/RotesSP.html#EncWe)  </t>
  </si>
  <si>
    <t xml:space="preserve">[Enhance Drugs](https://web.archive.org/web/20160523151858/http://www.thesubnet.com/portal/wod/mtas/RotesPr.html#EnhDr)  </t>
  </si>
  <si>
    <t xml:space="preserve">[Footbind](https://web.archive.org/web/20160523151858/http://www.thesubnet.com/portal/wod/mtas/RotesWK.html#Foo)  </t>
  </si>
  <si>
    <t xml:space="preserve">[Gabriel's Embrace](https://web.archive.org/web/20160523151858/http://www.thesubnet.com/portal/wod/mtas/RotesOOH.html#GabEm)  </t>
  </si>
  <si>
    <t xml:space="preserve">[Gateway Transport](https://web.archive.org/web/20160523151858/http://www.thesubnet.com/portal/wod/mtas/RotesVoE.html#GatTr)  </t>
  </si>
  <si>
    <t xml:space="preserve">[Green Thumb](https://web.archive.org/web/20160523151858/http://www.thesubnet.com/portal/wod/mtas/RotesSiOH.html#GreTh)  </t>
  </si>
  <si>
    <t xml:space="preserve">[Hermes Brand](https://web.archive.org/web/20160523151858/http://www.thesubnet.com/portal/wod/mtas/RotesOOH.html#HerBr)  </t>
  </si>
  <si>
    <t>[Holdout Weapon](https://web.archive.org/web/20160523151858/http://www.thesubnet.com/portal/wod/mtas/RotesNWO.html#HolWe)</t>
  </si>
  <si>
    <t>RotesAkB</t>
  </si>
  <si>
    <t xml:space="preserve"> Akashic Brotherhood</t>
  </si>
  <si>
    <t xml:space="preserve">[Consecration](https://web.archive.org/web/20160523151858/http://www.thesubnet.com/portal/wod/mtas/RotesSP.html#Con)  </t>
  </si>
  <si>
    <t xml:space="preserve">[Heart's Blood](https://web.archive.org/web/20160523151858/http://www.thesubnet.com/portal/wod/mtas/RotesSP.html#HeaBl)  </t>
  </si>
  <si>
    <t xml:space="preserve">[Locate Quintessential Flow](https://web.archive.org/web/20160523151858/http://www.thesubnet.com/portal/wod/mtas/RotesVoE.html#LocQuFl)  </t>
  </si>
  <si>
    <t xml:space="preserve">[Hallmark](https://web.archive.org/web/20160523151858/http://www.thesubnet.com/portal/wod/mtas/RotesG.html#Hal)  </t>
  </si>
  <si>
    <t xml:space="preserve">[Prime Location](https://web.archive.org/web/20160523151858/http://www.thesubnet.com/portal/wod/mtas/RotesG.html#PriLo)  </t>
  </si>
  <si>
    <t xml:space="preserve">[Sense Node](https://web.archive.org/web/20160523151858/http://www.thesubnet.com/portal/wod/mtas/RotesNWO.html#SenNo)  </t>
  </si>
  <si>
    <t xml:space="preserve">[Watch The Weaving](https://web.archive.org/web/20160523151858/http://www.thesubnet.com/portal/wod/mtas/RotesSP.html#WatTheWe) </t>
  </si>
  <si>
    <t xml:space="preserve">[Behavior Modification Device](https://web.archive.org/web/20160523151858/http://www.thesubnet.com/portal/wod/mtas/RotesVoE.html#BehMoDe)  </t>
  </si>
  <si>
    <t xml:space="preserve">[Counterintelligence](https://web.archive.org/web/20160523151858/http://www.thesubnet.com/portal/wod/mtas/RotesNWO.html#Cou)  </t>
  </si>
  <si>
    <t xml:space="preserve">[Crippled Lotus Curse, The](https://web.archive.org/web/20160523151858/http://www.thesubnet.com/portal/wod/mtas/RotesWK.html#LucOfTheLoCrLoCu)  </t>
  </si>
  <si>
    <t xml:space="preserve">[Disk-Doctor](https://web.archive.org/web/20160523151858/http://www.thesubnet.com/portal/wod/mtas/RotesTe.html#DiskDo)  </t>
  </si>
  <si>
    <t xml:space="preserve">[Luck Of The Lotus](https://web.archive.org/web/20160523151858/http://www.thesubnet.com/portal/wod/mtas/RotesWK.html#LucOfTheLoCrLoCu)  </t>
  </si>
  <si>
    <t xml:space="preserve">[Like Clockwork](https://web.archive.org/web/20160523151858/http://www.thesubnet.com/portal/wod/mtas/RotesSE.html#LikeCl)  </t>
  </si>
  <si>
    <t xml:space="preserve">[Piercing Cry](https://web.archive.org/web/20160523151858/http://www.thesubnet.com/portal/wod/mtas/RotesDo.html#PieCry)  </t>
  </si>
  <si>
    <t xml:space="preserve">[Screech Of The Owl](https://web.archive.org/web/20160523151858/http://www.thesubnet.com/portal/wod/mtas/RotesDo.html#ScrOfTheOwl) </t>
  </si>
  <si>
    <t xml:space="preserve">[Slay Machine](https://web.archive.org/web/20160523151858/http://www.thesubnet.com/portal/wod/mtas/RotesSE.html#SlayMa)  </t>
  </si>
  <si>
    <t>Названия строк</t>
  </si>
  <si>
    <t>Общий итог</t>
  </si>
  <si>
    <t>Названия столбцов</t>
  </si>
  <si>
    <t>Количество по полю Name</t>
  </si>
  <si>
    <t>Sphere rote</t>
  </si>
  <si>
    <t>Tradition</t>
  </si>
  <si>
    <t>Techocrathy</t>
  </si>
  <si>
    <t>Craft</t>
  </si>
  <si>
    <t xml:space="preserve">[Ariadne's Thread](https://web.archive.org/web/20160523151858/http://www.thesubnet.com/portal/wod/mtas/RotesG.html#AriTh)  </t>
  </si>
  <si>
    <t xml:space="preserve">[Detect Mental Anomalies](https://web.archive.org/web/20160523151858/http://www.thesubnet.com/portal/wod/mtas/RotesVoE.html#DetMeAn)  </t>
  </si>
  <si>
    <t xml:space="preserve">[Karoshi](https://web.archive.org/web/20160523151858/http://www.thesubnet.com/portal/wod/mtas/RotesSy.html#Kar)  </t>
  </si>
  <si>
    <t xml:space="preserve">[Mind Empowerment](https://web.archive.org/web/20160523151858/http://www.thesubnet.com/portal/wod/mtas/RotesSMi.html#MindEm)  </t>
  </si>
  <si>
    <t xml:space="preserve">[No-Mind](https://web.archive.org/web/20160523151858/http://www.thesubnet.com/portal/wod/mtas/RotesSMi.html#NoMi)  </t>
  </si>
  <si>
    <t xml:space="preserve">[Positronic Brain](https://web.archive.org/web/20160523151858/http://www.thesubnet.com/portal/wod/mtas/RotesIX.html#PosBr)  </t>
  </si>
  <si>
    <t xml:space="preserve">[Tune Psychic Radio](https://web.archive.org/web/20160523151858/http://www.thesubnet.com/portal/wod/mtas/RotesCuOE.html#TunePsRa)  </t>
  </si>
  <si>
    <t xml:space="preserve">[Adjust Minor Anomalies](https://web.archive.org/web/20160523151858/http://www.thesubnet.com/portal/wod/mtas/RotesVoE.html#AdjMiAn) </t>
  </si>
  <si>
    <t xml:space="preserve">[Book Of Whispers](https://web.archive.org/web/20160523151858/http://www.thesubnet.com/portal/wod/mtas/RotesOOH.html#BookOfWh)  </t>
  </si>
  <si>
    <t xml:space="preserve">[Be Cool](https://web.archive.org/web/20160523151858/http://www.thesubnet.com/portal/wod/mtas/RotesHoO.html#BeCo)  </t>
  </si>
  <si>
    <t xml:space="preserve">[Conclave Wellness Works](https://web.archive.org/web/20160523151858/http://www.thesubnet.com/portal/wod/mtas/RotesSiOH.html#ConWeWo)  </t>
  </si>
  <si>
    <t xml:space="preserve">[Daedalus Gateway](https://web.archive.org/web/20160523151858/http://www.thesubnet.com/portal/wod/mtas/RotesNWO.html#DaeGa)  </t>
  </si>
  <si>
    <t xml:space="preserve">[Empathetic Projection](https://web.archive.org/web/20160523151858/http://www.thesubnet.com/portal/wod/mtas/RotesSMi.html#EmpPr)  </t>
  </si>
  <si>
    <t xml:space="preserve">[Golden Apple, The](https://web.archive.org/web/20160523151858/http://www.thesubnet.com/portal/wod/mtas/RotesOOH.html#GolAp)  </t>
  </si>
  <si>
    <t xml:space="preserve">[Look, The](https://web.archive.org/web/20160523151858/http://www.thesubnet.com/portal/wod/mtas/RotesSy.html#LookWord)  </t>
  </si>
  <si>
    <t xml:space="preserve">[Machine God](https://web.archive.org/web/20160523151858/http://www.thesubnet.com/portal/wod/mtas/RotesIX.html#MacGod)  </t>
  </si>
  <si>
    <t xml:space="preserve">[Move Along](https://web.archive.org/web/20160523151858/http://www.thesubnet.com/portal/wod/mtas/RotesNWO.html#MoveAl)  </t>
  </si>
  <si>
    <t xml:space="preserve">[Peace Of Buddha](https://web.archive.org/web/20160523151858/http://www.thesubnet.com/portal/wod/mtas/RotesAkB.html#PeaOB)  </t>
  </si>
  <si>
    <t>[Persona](https://web.archive.org/web/20160523151858/http://www.thesubnet.com/portal/wod/mtas/RotesNWO.html#Per)</t>
  </si>
  <si>
    <t xml:space="preserve">[Petals Of Love](https://web.archive.org/web/20160523151858/http://www.thesubnet.com/portal/wod/mtas/RotesSiOH.html#PetOfLo)  </t>
  </si>
  <si>
    <t xml:space="preserve">[PIN Drop](https://web.archive.org/web/20160523151858/http://www.thesubnet.com/portal/wod/mtas/RotesSy.html#PinDr)  </t>
  </si>
  <si>
    <t xml:space="preserve">[Psychic Impression](https://web.archive.org/web/20160523151858/http://www.thesubnet.com/portal/wod/mtas/RotesSMi.html#PsyIm)  </t>
  </si>
  <si>
    <t xml:space="preserve">[Psychic Intrusion](https://web.archive.org/web/20160523151858/http://www.thesubnet.com/portal/wod/mtas/RotesNWO.html#PsyIn)  </t>
  </si>
  <si>
    <t xml:space="preserve">[Psychological Breaking Point](https://web.archive.org/web/20160523151858/http://www.thesubnet.com/portal/wod/mtas/RotesNWO.html#PsyBrPo)  </t>
  </si>
  <si>
    <t xml:space="preserve">[Quo Vadis?](https://web.archive.org/web/20160523151858/http://www.thesubnet.com/portal/wod/mtas/RotesTe.html#WhiGoTh)  </t>
  </si>
  <si>
    <t xml:space="preserve">[Recant](https://web.archive.org/web/20160523151858/http://www.thesubnet.com/portal/wod/mtas/RotesTe.html#Rec)  </t>
  </si>
  <si>
    <t xml:space="preserve">[Shed The Years](https://web.archive.org/web/20160523151858/http://www.thesubnet.com/portal/wod/mtas/RotesSE.html#SheTheYe)  </t>
  </si>
  <si>
    <t xml:space="preserve">[Sneaking Shadow](https://web.archive.org/web/20160523151858/http://www.thesubnet.com/portal/wod/mtas/RotesAhIB.html#SneSh)  </t>
  </si>
  <si>
    <t xml:space="preserve">[Social Science](https://web.archive.org/web/20160523151858/http://www.thesubnet.com/portal/wod/mtas/RotesIX.html#SocSc)  </t>
  </si>
  <si>
    <t xml:space="preserve">[Whither Goest Thou?](https://web.archive.org/web/20160523151858/http://www.thesubnet.com/portal/wod/mtas/RotesTe.html#WhiGoTh)  </t>
  </si>
  <si>
    <t xml:space="preserve">[Word, The](https://web.archive.org/web/20160523151858/http://www.thesubnet.com/portal/wod/mtas/RotesSy.html#LookWord)  </t>
  </si>
  <si>
    <t>Mind</t>
  </si>
  <si>
    <t>RotesSMi</t>
  </si>
  <si>
    <t>Tech/all</t>
  </si>
  <si>
    <t>Time</t>
  </si>
  <si>
    <t>CORRESPONDENCE</t>
  </si>
  <si>
    <t>Landscape Of The Mind</t>
  </si>
  <si>
    <t>Sense Connection</t>
  </si>
  <si>
    <t>Whereami?</t>
  </si>
  <si>
    <t>Flying Dragon Kick</t>
  </si>
  <si>
    <t>Ariadne's Thread</t>
  </si>
  <si>
    <t>Detect The Dream</t>
  </si>
  <si>
    <t>Prime Location</t>
  </si>
  <si>
    <t>Targeting Computation</t>
  </si>
  <si>
    <t>Time-Motion Study</t>
  </si>
  <si>
    <t>Calculate Kinematics</t>
  </si>
  <si>
    <t>Apportation</t>
  </si>
  <si>
    <t>Correspondence Sensing</t>
  </si>
  <si>
    <t>Ward</t>
  </si>
  <si>
    <t>Eagle Eye</t>
  </si>
  <si>
    <t>Jury Rig</t>
  </si>
  <si>
    <t>Scrying</t>
  </si>
  <si>
    <t>Pixie Lead</t>
  </si>
  <si>
    <t>Check The Corners</t>
  </si>
  <si>
    <t>Heat Seeking</t>
  </si>
  <si>
    <t>Phone Tap</t>
  </si>
  <si>
    <t>Sense Node</t>
  </si>
  <si>
    <t>Gabriel's Embrace</t>
  </si>
  <si>
    <t>Glorious Sword Of Haven</t>
  </si>
  <si>
    <t>Oak Of Sanguine Root</t>
  </si>
  <si>
    <t>Quo Vadis?</t>
  </si>
  <si>
    <t>Spatial Sheath</t>
  </si>
  <si>
    <t>Whither Goest Thou?</t>
  </si>
  <si>
    <t>Crippled Lotus Curse, The</t>
  </si>
  <si>
    <t>Luck Of The Lotus</t>
  </si>
  <si>
    <t>Shih-Huang-Ti's Marvelous Game</t>
  </si>
  <si>
    <t>Perfect Time</t>
  </si>
  <si>
    <t>Time Sense</t>
  </si>
  <si>
    <t>Rigid Schedule</t>
  </si>
  <si>
    <t>Synchronize Watches</t>
  </si>
  <si>
    <t>Evaluate Fourth Dimensional Fabric</t>
  </si>
  <si>
    <t>Shed The Years</t>
  </si>
  <si>
    <t>Divinations</t>
  </si>
  <si>
    <t>Time Wards</t>
  </si>
  <si>
    <t>Song Of Orpheus</t>
  </si>
  <si>
    <t>Penny Dreadful's Bright New Penny</t>
  </si>
  <si>
    <t>Planned Projection</t>
  </si>
  <si>
    <t>Hail Of Bullets</t>
  </si>
  <si>
    <t>PIN Drop</t>
  </si>
  <si>
    <t>Manipulate Time Fragment</t>
  </si>
  <si>
    <t>Distort Time</t>
  </si>
  <si>
    <t>Time Warp</t>
  </si>
  <si>
    <t>Book Of Whispers</t>
  </si>
  <si>
    <t>Download Specialization</t>
  </si>
  <si>
    <t>1*</t>
  </si>
  <si>
    <t>2*</t>
  </si>
  <si>
    <t>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</si>
</sst>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vertical="top" shrinkToFit="1"/>
    </xf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0" fillId="0" borderId="0" xfId="0" applyAlignment="1">
      <alignment shrinkToFi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1" applyNumberFormat="1" applyFont="1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6"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rgb="FF9BC2E6"/>
          <bgColor rgb="FF000000"/>
        </patternFill>
      </fill>
    </dxf>
    <dxf>
      <font>
        <color rgb="FF30549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Головина Екатерина Владимировна" refreshedDate="45391.728569212966" missingItemsLimit="0" createdVersion="6" refreshedVersion="6" minRefreshableVersion="3" recordCount="170">
  <cacheSource type="worksheet">
    <worksheetSource ref="A1:I1048576" sheet="Лист1"/>
  </cacheSource>
  <cacheFields count="9">
    <cacheField name="###" numFmtId="0">
      <sharedItems containsString="0" containsBlank="1" containsNumber="1" containsInteger="1" minValue="1" maxValue="3" count="4">
        <n v="1"/>
        <n v="3"/>
        <n v="2"/>
        <m/>
      </sharedItems>
    </cacheField>
    <cacheField name="Sphere" numFmtId="0">
      <sharedItems containsBlank="1" count="6">
        <s v="ENTROPY"/>
        <s v="Prime"/>
        <s v="Mind"/>
        <s v="Time"/>
        <s v="CORRESPONDENCE"/>
        <m/>
      </sharedItems>
    </cacheField>
    <cacheField name="Dot" numFmtId="0">
      <sharedItems containsBlank="1" count="4">
        <s v="1*"/>
        <s v="2*"/>
        <s v="3*"/>
        <m/>
      </sharedItems>
    </cacheField>
    <cacheField name="Link" numFmtId="0">
      <sharedItems containsBlank="1"/>
    </cacheField>
    <cacheField name="Name" numFmtId="0">
      <sharedItems containsBlank="1" count="134">
        <s v="Locate Disorder And Weakness"/>
        <s v="Ring Of Truth"/>
        <s v="Sense Corruption"/>
        <s v="Trip, The"/>
        <s v="Burn Out"/>
        <s v="Hermes Brand"/>
        <s v="Oathbreaker's Lash"/>
        <s v="Organize"/>
        <s v="Silent Promise Of The Spring Tortoise"/>
        <s v="Consecration"/>
        <s v="Heart's Blood"/>
        <s v="Locate Quintessential Flow"/>
        <s v="Hallmark"/>
        <s v="Prime Location"/>
        <s v="Sense Node"/>
        <s v="Watch The Weaving"/>
        <s v="Ariadne's Thread"/>
        <s v="Detect Mental Anomalies"/>
        <s v="Jury Rig"/>
        <s v="Karoshi"/>
        <s v="Mind Empowerment"/>
        <s v="No-Mind"/>
        <s v="Positronic Brain"/>
        <s v="Tune Psychic Radio"/>
        <s v="Perfect Time"/>
        <s v="Time Sense"/>
        <s v="Rigid Schedule"/>
        <s v="Time-Motion Study"/>
        <s v="Synchronize Watches"/>
        <s v="Evaluate Fourth Dimensional Fabric"/>
        <s v="Landscape Of The Mind"/>
        <s v="Sense Connection"/>
        <s v="Whereami?"/>
        <s v="Flying Dragon Kick"/>
        <s v="Detect The Dream"/>
        <s v="Targeting Computation"/>
        <s v="Thief In The Night"/>
        <s v="Calculate Kinematics"/>
        <s v="Holy Stroke"/>
        <s v="Imaginary Friend"/>
        <s v="Laserblast"/>
        <s v="Lecherous Kiss"/>
        <s v="Long Fist"/>
        <s v="Matter-Energy Converter"/>
        <s v="Nanotech Life Support"/>
        <s v="No Surrender"/>
        <s v="Oak Of Sanguine Root"/>
        <s v="Penny Dreadful's Bright New Penny"/>
        <s v="Perpetual Motion"/>
        <s v="Pygmalion's Paradigm"/>
        <s v="Red Button"/>
        <s v="Song Of Orpheus"/>
        <s v="Sucking Gate"/>
        <s v="Supporting The Brain"/>
        <s v="Talons"/>
        <s v="Thunder's Gauntlet"/>
        <s v="Unraveling The Text"/>
        <s v="Unseen Nomenclature"/>
        <s v="Beginner's Luck"/>
        <s v="Games Of Luck"/>
        <s v="Random Impulse"/>
        <s v="Statistical Mechanics"/>
        <s v="Destructive Paranoia"/>
        <s v="Psychological Breaking Point"/>
        <s v="Chaos Butterfly"/>
        <s v="Conclave Wellness Works"/>
        <s v="Stacking The Deck"/>
        <s v="Recant"/>
        <s v="Adrenal Rush"/>
        <s v="Avatar Form"/>
        <s v="Body Of Light"/>
        <s v="Call Forth The Forgotten"/>
        <s v="Disintegrator"/>
        <s v="Divert Prime Force"/>
        <s v="Dragon Fist"/>
        <s v="Emit Beam-Ray"/>
        <s v="Enchant Weapon"/>
        <s v="Enhance Drugs"/>
        <s v="Footbind"/>
        <s v="Gabriel's Embrace"/>
        <s v="Gateway Transport"/>
        <s v="Green Thumb"/>
        <s v="Holdout Weapon"/>
        <s v="Adjust Minor Anomalies"/>
        <s v="Book Of Whispers"/>
        <s v="Be Cool"/>
        <s v="Daedalus Gateway"/>
        <s v="Disk-Doctor"/>
        <s v="Empathetic Projection"/>
        <s v="Golden Apple, The"/>
        <s v="Look, The"/>
        <s v="Machine God"/>
        <s v="Move Along"/>
        <s v="Peace Of Buddha"/>
        <s v="Persona"/>
        <s v="Petals Of Love"/>
        <s v="PIN Drop"/>
        <s v="Psychic Impression"/>
        <s v="Psychic Intrusion"/>
        <s v="Quo Vadis?"/>
        <s v="Shed The Years"/>
        <s v="Sneaking Shadow"/>
        <s v="Social Science"/>
        <s v="Whither Goest Thou?"/>
        <s v="Word, The"/>
        <s v="Divinations"/>
        <s v="Time Wards"/>
        <s v="Planned Projection"/>
        <s v="Hail Of Bullets"/>
        <s v="Manipulate Time Fragment"/>
        <s v="Apportation"/>
        <s v="Correspondence Sensing"/>
        <s v="Ward"/>
        <s v="Eagle Eye"/>
        <s v="Scrying"/>
        <s v="Pixie Lead"/>
        <s v="Check The Corners"/>
        <s v="Heat Seeking"/>
        <s v="Phone Tap"/>
        <s v="Glorious Sword Of Haven"/>
        <s v="Spatial Sheath"/>
        <s v="Crippled Lotus Curse, The"/>
        <s v="Luck Of The Lotus"/>
        <s v="Shih-Huang-Ti's Marvelous Game"/>
        <s v="Behavior Modification Device"/>
        <s v="Counterintelligence"/>
        <s v="Like Clockwork"/>
        <s v="Piercing Cry"/>
        <s v="Screech Of The Owl"/>
        <s v="Slay Machine"/>
        <s v="Distort Time"/>
        <s v="Time Warp"/>
        <s v="Download Specialization"/>
        <m/>
      </sharedItems>
    </cacheField>
    <cacheField name="Rotes" numFmtId="0">
      <sharedItems containsBlank="1"/>
    </cacheField>
    <cacheField name="From" numFmtId="0">
      <sharedItems containsBlank="1" count="22">
        <s v=" Sphere-rote"/>
        <s v=" Celestial Chorus"/>
        <s v=" Cult of Ecstasy"/>
        <s v=" General"/>
        <s v=" Order of Hermes"/>
        <s v=" 🔋 Iteration X"/>
        <s v=" Wu Keng"/>
        <s v=" 🔋 Void Engineers"/>
        <s v=" 🔋 New World Order"/>
        <s v=" Sons of Ether"/>
        <s v=" 🔋 Syncidate"/>
        <s v=" Do (Akashic)"/>
        <s v=" Templars"/>
        <s v=" Hollow Ones"/>
        <s v=" 🔋 Progenitors"/>
        <s v=" Sisters of Hippolyta"/>
        <s v=" Dreamspeakers"/>
        <s v=" Euthanatos"/>
        <s v=" Virtual Adepts"/>
        <s v=" Akashic Brotherhood"/>
        <s v=" Alh-i-Batin"/>
        <m/>
      </sharedItems>
    </cacheField>
    <cacheField name="Type" numFmtId="0">
      <sharedItems containsBlank="1" count="6">
        <s v="Sphere rote"/>
        <s v="broken"/>
        <s v="Tradition"/>
        <s v="Techocrathy"/>
        <s v="Craft"/>
        <m/>
      </sharedItems>
    </cacheField>
    <cacheField name="Wiki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0">
  <r>
    <x v="0"/>
    <x v="0"/>
    <x v="0"/>
    <m/>
    <x v="0"/>
    <s v="RotesSE"/>
    <x v="0"/>
    <x v="0"/>
    <s v="- [[Rotes in sphere#RotesSE (Entropy effects)|Locate Disorder And Weakness]] Sphere-rote"/>
  </r>
  <r>
    <x v="0"/>
    <x v="0"/>
    <x v="0"/>
    <m/>
    <x v="1"/>
    <s v="RotesSE"/>
    <x v="0"/>
    <x v="0"/>
    <s v="- [[Rotes in sphere#RotesSE (Entropy effects)|Ring Of Truth]] Sphere-rote"/>
  </r>
  <r>
    <x v="0"/>
    <x v="0"/>
    <x v="0"/>
    <m/>
    <x v="2"/>
    <s v="RotesCeC"/>
    <x v="1"/>
    <x v="1"/>
    <s v="- [Sense Corruption](RotesCeC) Celestial Chorus"/>
  </r>
  <r>
    <x v="1"/>
    <x v="0"/>
    <x v="0"/>
    <m/>
    <x v="3"/>
    <s v="RotesCuOE"/>
    <x v="2"/>
    <x v="1"/>
    <s v="- [Trip, The](RotesCuOE) Cult of Ecstasy"/>
  </r>
  <r>
    <x v="0"/>
    <x v="0"/>
    <x v="0"/>
    <m/>
    <x v="4"/>
    <s v="RotesG"/>
    <x v="3"/>
    <x v="2"/>
    <s v="- [[Rotes in groups#RotesG (General)|Burn Out]] General"/>
  </r>
  <r>
    <x v="2"/>
    <x v="0"/>
    <x v="0"/>
    <m/>
    <x v="5"/>
    <s v="RotesOOH"/>
    <x v="4"/>
    <x v="2"/>
    <s v="- [[Rotes in groups#RotesOOH (Order of Hermes)|Hermes Brand]] Order of Hermes"/>
  </r>
  <r>
    <x v="0"/>
    <x v="0"/>
    <x v="0"/>
    <m/>
    <x v="6"/>
    <s v="RotesOOH"/>
    <x v="4"/>
    <x v="2"/>
    <s v="- [[Rotes in groups#RotesOOH (Order of Hermes)|Oathbreaker's Lash]] Order of Hermes"/>
  </r>
  <r>
    <x v="0"/>
    <x v="0"/>
    <x v="0"/>
    <m/>
    <x v="7"/>
    <s v="RotesIX"/>
    <x v="5"/>
    <x v="3"/>
    <s v="- [[Rotes in groups#RotesIX (Iteration X)|Organize]] 🔋 Iteration X"/>
  </r>
  <r>
    <x v="0"/>
    <x v="0"/>
    <x v="0"/>
    <m/>
    <x v="8"/>
    <s v="RotesWK"/>
    <x v="6"/>
    <x v="4"/>
    <s v="- [[Rotes in groups#RotesWK (Wu-Keng)|Silent Promise Of The Spring Tortoise]] Wu Keng"/>
  </r>
  <r>
    <x v="0"/>
    <x v="1"/>
    <x v="0"/>
    <s v="[Consecration](https://web.archive.org/web/20160523151858/http://www.thesubnet.com/portal/wod/mtas/RotesSP.html#Con)  "/>
    <x v="9"/>
    <s v="RotesSP"/>
    <x v="0"/>
    <x v="0"/>
    <s v="- [[Rotes in sphere#RotesSP (Prime effects)|Consecration]] Sphere-rote"/>
  </r>
  <r>
    <x v="0"/>
    <x v="1"/>
    <x v="0"/>
    <s v="[Heart's Blood](https://web.archive.org/web/20160523151858/http://www.thesubnet.com/portal/wod/mtas/RotesSP.html#HeaBl)  "/>
    <x v="10"/>
    <s v="RotesSP"/>
    <x v="0"/>
    <x v="0"/>
    <s v="- [[Rotes in sphere#RotesSP (Prime effects)|Heart's Blood]] Sphere-rote"/>
  </r>
  <r>
    <x v="0"/>
    <x v="1"/>
    <x v="0"/>
    <s v="[Locate Quintessential Flow](https://web.archive.org/web/20160523151858/http://www.thesubnet.com/portal/wod/mtas/RotesVoE.html#LocQuFl)  "/>
    <x v="11"/>
    <s v="RotesVoE"/>
    <x v="7"/>
    <x v="3"/>
    <s v="- [[Rotes in groups#RotesVoE (Void Engineers)|Locate Quintessential Flow]] 🔋 Void Engineers"/>
  </r>
  <r>
    <x v="0"/>
    <x v="1"/>
    <x v="0"/>
    <s v="[Hallmark](https://web.archive.org/web/20160523151858/http://www.thesubnet.com/portal/wod/mtas/RotesG.html#Hal)  "/>
    <x v="12"/>
    <s v="RotesG"/>
    <x v="3"/>
    <x v="2"/>
    <s v="- [[Rotes in groups#RotesG (General)|Hallmark]] General"/>
  </r>
  <r>
    <x v="2"/>
    <x v="1"/>
    <x v="0"/>
    <s v="[Prime Location](https://web.archive.org/web/20160523151858/http://www.thesubnet.com/portal/wod/mtas/RotesG.html#PriLo)  "/>
    <x v="13"/>
    <s v="RotesG"/>
    <x v="3"/>
    <x v="2"/>
    <s v="- [[Rotes in groups#RotesG (General)|Prime Location]] General"/>
  </r>
  <r>
    <x v="2"/>
    <x v="1"/>
    <x v="0"/>
    <s v="[Sense Node](https://web.archive.org/web/20160523151858/http://www.thesubnet.com/portal/wod/mtas/RotesNWO.html#SenNo)  "/>
    <x v="14"/>
    <s v="RotesNWO"/>
    <x v="8"/>
    <x v="3"/>
    <s v="- [[Rotes in groups#RotesNWO (New world order)|Sense Node]] 🔋 New World Order"/>
  </r>
  <r>
    <x v="0"/>
    <x v="1"/>
    <x v="0"/>
    <s v="[Watch The Weaving](https://web.archive.org/web/20160523151858/http://www.thesubnet.com/portal/wod/mtas/RotesSP.html#WatTheWe) "/>
    <x v="15"/>
    <s v="RotesSP"/>
    <x v="0"/>
    <x v="0"/>
    <s v="- [[Rotes in sphere#RotesSP (Prime effects)|Watch The Weaving]] Sphere-rote"/>
  </r>
  <r>
    <x v="2"/>
    <x v="2"/>
    <x v="0"/>
    <s v="[Ariadne's Thread](https://web.archive.org/web/20160523151858/http://www.thesubnet.com/portal/wod/mtas/RotesG.html#AriTh)  "/>
    <x v="16"/>
    <s v="RotesG"/>
    <x v="3"/>
    <x v="2"/>
    <s v="- [[Rotes in groups#RotesG (General)|Ariadne's Thread]] General"/>
  </r>
  <r>
    <x v="0"/>
    <x v="2"/>
    <x v="0"/>
    <s v="[Detect Mental Anomalies](https://web.archive.org/web/20160523151858/http://www.thesubnet.com/portal/wod/mtas/RotesVoE.html#DetMeAn)  "/>
    <x v="17"/>
    <s v="RotesVoE"/>
    <x v="7"/>
    <x v="3"/>
    <s v="- [[Rotes in groups#RotesVoE (Void Engineers)|Detect Mental Anomalies]] 🔋 Void Engineers"/>
  </r>
  <r>
    <x v="1"/>
    <x v="2"/>
    <x v="0"/>
    <s v="[Jury Rig](https://web.archive.org/web/20160523151858/http://www.thesubnet.com/portal/wod/mtas/RotesSoOE.html#JuryRig)  "/>
    <x v="18"/>
    <s v="RotesSoOE"/>
    <x v="9"/>
    <x v="1"/>
    <s v="- [Jury Rig](RotesSoOE) Sons of Ether"/>
  </r>
  <r>
    <x v="2"/>
    <x v="2"/>
    <x v="0"/>
    <s v="[Karoshi](https://web.archive.org/web/20160523151858/http://www.thesubnet.com/portal/wod/mtas/RotesSy.html#Kar)  "/>
    <x v="19"/>
    <s v="RotesSy"/>
    <x v="10"/>
    <x v="3"/>
    <s v="- [[Rotes in groups#RotesSy (Syndicate)|Karoshi]] 🔋 Syncidate"/>
  </r>
  <r>
    <x v="0"/>
    <x v="2"/>
    <x v="0"/>
    <s v="[Mind Empowerment](https://web.archive.org/web/20160523151858/http://www.thesubnet.com/portal/wod/mtas/RotesSMi.html#MindEm)  "/>
    <x v="20"/>
    <s v="RotesSMi"/>
    <x v="0"/>
    <x v="0"/>
    <s v="- [[Rotes in sphere#RotesSmi (Mind effects)|Mind Empowerment]] Sphere-rote"/>
  </r>
  <r>
    <x v="0"/>
    <x v="2"/>
    <x v="0"/>
    <s v="[No-Mind](https://web.archive.org/web/20160523151858/http://www.thesubnet.com/portal/wod/mtas/RotesSMi.html#NoMi)  "/>
    <x v="21"/>
    <s v="RotesSMi"/>
    <x v="0"/>
    <x v="0"/>
    <s v="- [[Rotes in sphere#RotesSmi (Mind effects)|No-Mind]] Sphere-rote"/>
  </r>
  <r>
    <x v="0"/>
    <x v="2"/>
    <x v="0"/>
    <s v="[Positronic Brain](https://web.archive.org/web/20160523151858/http://www.thesubnet.com/portal/wod/mtas/RotesIX.html#PosBr)  "/>
    <x v="22"/>
    <s v="RotesIX"/>
    <x v="5"/>
    <x v="3"/>
    <s v="- [[Rotes in groups#RotesIX (Iteration X)|Positronic Brain]] 🔋 Iteration X"/>
  </r>
  <r>
    <x v="0"/>
    <x v="2"/>
    <x v="0"/>
    <s v="[Tune Psychic Radio](https://web.archive.org/web/20160523151858/http://www.thesubnet.com/portal/wod/mtas/RotesCuOE.html#TunePsRa)  "/>
    <x v="23"/>
    <s v="RotesCuOE"/>
    <x v="2"/>
    <x v="1"/>
    <s v="- [Tune Psychic Radio](RotesCuOE) Cult of Ecstasy"/>
  </r>
  <r>
    <x v="0"/>
    <x v="3"/>
    <x v="0"/>
    <m/>
    <x v="24"/>
    <s v="RotesST"/>
    <x v="0"/>
    <x v="0"/>
    <s v="- [[Rotes in sphere#RotesST (Time effects)|Perfect Time]] Sphere-rote"/>
  </r>
  <r>
    <x v="0"/>
    <x v="3"/>
    <x v="0"/>
    <m/>
    <x v="25"/>
    <s v="RotesST"/>
    <x v="0"/>
    <x v="0"/>
    <s v="- [[Rotes in sphere#RotesST (Time effects)|Time Sense]] Sphere-rote"/>
  </r>
  <r>
    <x v="0"/>
    <x v="3"/>
    <x v="0"/>
    <m/>
    <x v="26"/>
    <s v="RotesIX"/>
    <x v="5"/>
    <x v="3"/>
    <s v="- [[Rotes in groups#RotesIX (Iteration X)|Rigid Schedule]] 🔋 Iteration X"/>
  </r>
  <r>
    <x v="2"/>
    <x v="3"/>
    <x v="0"/>
    <m/>
    <x v="27"/>
    <s v="RotesIX"/>
    <x v="5"/>
    <x v="3"/>
    <s v="- [[Rotes in groups#RotesIX (Iteration X)|Time-Motion Study]] 🔋 Iteration X"/>
  </r>
  <r>
    <x v="0"/>
    <x v="3"/>
    <x v="0"/>
    <m/>
    <x v="28"/>
    <s v="RotesNWO"/>
    <x v="8"/>
    <x v="3"/>
    <s v="- [[Rotes in groups#RotesNWO (New world order)|Synchronize Watches]] 🔋 New World Order"/>
  </r>
  <r>
    <x v="0"/>
    <x v="3"/>
    <x v="0"/>
    <m/>
    <x v="29"/>
    <s v="RotesVoE"/>
    <x v="7"/>
    <x v="3"/>
    <s v="- [[Rotes in groups#RotesVoE (Void Engineers)|Evaluate Fourth Dimensional Fabric]] 🔋 Void Engineers"/>
  </r>
  <r>
    <x v="0"/>
    <x v="4"/>
    <x v="0"/>
    <m/>
    <x v="30"/>
    <s v="RotesSC"/>
    <x v="0"/>
    <x v="0"/>
    <s v="- [[Rotes in sphere#RotesSC (Correspondence Effects)|Landscape Of The Mind]] Sphere-rote"/>
  </r>
  <r>
    <x v="0"/>
    <x v="4"/>
    <x v="0"/>
    <m/>
    <x v="31"/>
    <s v="RotesSC"/>
    <x v="0"/>
    <x v="0"/>
    <s v="- [[Rotes in sphere#RotesSC (Correspondence Effects)|Sense Connection]] Sphere-rote"/>
  </r>
  <r>
    <x v="0"/>
    <x v="4"/>
    <x v="0"/>
    <m/>
    <x v="32"/>
    <s v="RotesSC"/>
    <x v="0"/>
    <x v="0"/>
    <s v="- [[Rotes in sphere#RotesSC (Correspondence Effects)|Whereami?]] Sphere-rote"/>
  </r>
  <r>
    <x v="0"/>
    <x v="4"/>
    <x v="0"/>
    <m/>
    <x v="33"/>
    <s v="RotesDo"/>
    <x v="11"/>
    <x v="1"/>
    <s v="- [Flying Dragon Kick](RotesDo) Do (Akashic)"/>
  </r>
  <r>
    <x v="2"/>
    <x v="4"/>
    <x v="0"/>
    <m/>
    <x v="16"/>
    <s v="RotesG"/>
    <x v="3"/>
    <x v="2"/>
    <s v="- [[Rotes in groups#RotesG (General)|Ariadne's Thread]] General"/>
  </r>
  <r>
    <x v="0"/>
    <x v="4"/>
    <x v="0"/>
    <m/>
    <x v="34"/>
    <s v="RotesG"/>
    <x v="3"/>
    <x v="2"/>
    <s v="- [[Rotes in groups#RotesG (General)|Detect The Dream]] General"/>
  </r>
  <r>
    <x v="2"/>
    <x v="4"/>
    <x v="0"/>
    <m/>
    <x v="13"/>
    <s v="RotesG"/>
    <x v="3"/>
    <x v="2"/>
    <s v="- [[Rotes in groups#RotesG (General)|Prime Location]] General"/>
  </r>
  <r>
    <x v="0"/>
    <x v="4"/>
    <x v="0"/>
    <m/>
    <x v="35"/>
    <s v="RotesIX"/>
    <x v="5"/>
    <x v="3"/>
    <s v="- [[Rotes in groups#RotesIX (Iteration X)|Targeting Computation]] 🔋 Iteration X"/>
  </r>
  <r>
    <x v="2"/>
    <x v="4"/>
    <x v="0"/>
    <m/>
    <x v="27"/>
    <s v="RotesIX"/>
    <x v="5"/>
    <x v="3"/>
    <s v="- [[Rotes in groups#RotesIX (Iteration X)|Time-Motion Study]] 🔋 Iteration X"/>
  </r>
  <r>
    <x v="2"/>
    <x v="4"/>
    <x v="0"/>
    <m/>
    <x v="36"/>
    <s v="RotesTe"/>
    <x v="12"/>
    <x v="4"/>
    <s v="- [[Rotes in groups#RotesTe (Templars)|Thief In The Night]] Templars"/>
  </r>
  <r>
    <x v="0"/>
    <x v="4"/>
    <x v="0"/>
    <m/>
    <x v="37"/>
    <s v="RotesVoE"/>
    <x v="7"/>
    <x v="3"/>
    <s v="- [[Rotes in groups#RotesVoE (Void Engineers)|Calculate Kinematics]] 🔋 Void Engineers"/>
  </r>
  <r>
    <x v="0"/>
    <x v="1"/>
    <x v="1"/>
    <s v="[Holy Stroke](https://web.archive.org/web/20160523151858/http://www.thesubnet.com/portal/wod/mtas/RotesSP.html#HolySt)  "/>
    <x v="38"/>
    <s v="RotesSP"/>
    <x v="0"/>
    <x v="0"/>
    <s v="- [[Rotes in sphere#RotesSP (Prime effects)|Holy Stroke]] Sphere-rote"/>
  </r>
  <r>
    <x v="0"/>
    <x v="1"/>
    <x v="1"/>
    <s v="[Imaginary Friend](https://web.archive.org/web/20160523151858/http://www.thesubnet.com/portal/wod/mtas/RotesNWO.html#ImaFr)  "/>
    <x v="39"/>
    <s v="RotesNWO"/>
    <x v="8"/>
    <x v="3"/>
    <s v="- [[Rotes in groups#RotesNWO (New world order)|Imaginary Friend]] 🔋 New World Order"/>
  </r>
  <r>
    <x v="1"/>
    <x v="1"/>
    <x v="1"/>
    <s v="[Jury Rig](https://web.archive.org/web/20160523151858/http://www.thesubnet.com/portal/wod/mtas/RotesSoOE.html#JuryRig)  "/>
    <x v="18"/>
    <s v="RotesSoOE"/>
    <x v="9"/>
    <x v="1"/>
    <s v="- [Jury Rig](RotesSoOE) Sons of Ether"/>
  </r>
  <r>
    <x v="0"/>
    <x v="1"/>
    <x v="1"/>
    <s v="[Laserblast](https://web.archive.org/web/20160523151858/http://www.thesubnet.com/portal/wod/mtas/RotesVoE.html#Las)  "/>
    <x v="40"/>
    <s v="RotesVoE"/>
    <x v="7"/>
    <x v="3"/>
    <s v="- [[Rotes in groups#RotesVoE (Void Engineers)|Laserblast]] 🔋 Void Engineers"/>
  </r>
  <r>
    <x v="2"/>
    <x v="1"/>
    <x v="1"/>
    <s v="[Lecherous Kiss](https://web.archive.org/web/20160523151858/http://www.thesubnet.com/portal/wod/mtas/RotesHoO.html#LecKi)  "/>
    <x v="41"/>
    <s v="RotesHoO"/>
    <x v="13"/>
    <x v="2"/>
    <s v="- [[Rotes in groups#RotesHoO (Hollow Ones)|Lecherous Kiss]] Hollow Ones"/>
  </r>
  <r>
    <x v="0"/>
    <x v="1"/>
    <x v="1"/>
    <s v="[Long Fist](https://web.archive.org/web/20160523151858/http://www.thesubnet.com/portal/wod/mtas/RotesDo.html#LongFi)  "/>
    <x v="42"/>
    <s v="RotesDo"/>
    <x v="11"/>
    <x v="1"/>
    <s v="- [Long Fist](RotesDo) Do (Akashic)"/>
  </r>
  <r>
    <x v="0"/>
    <x v="1"/>
    <x v="1"/>
    <s v="[Matter-Energy Converter](https://web.archive.org/web/20160523151858/http://www.thesubnet.com/portal/wod/mtas/RotesVoE.html#MatEnCo)  "/>
    <x v="43"/>
    <s v="RotesVoE"/>
    <x v="7"/>
    <x v="3"/>
    <s v="- [[Rotes in groups#RotesVoE (Void Engineers)|Matter-Energy Converter]] 🔋 Void Engineers"/>
  </r>
  <r>
    <x v="0"/>
    <x v="1"/>
    <x v="1"/>
    <s v="[Nanotech Life Support](https://web.archive.org/web/20160523151858/http://www.thesubnet.com/portal/wod/mtas/RotesPr.html#NanLiSu)  "/>
    <x v="44"/>
    <s v="RotesPr"/>
    <x v="14"/>
    <x v="3"/>
    <s v="- [[Rotes in groups#RotesPr (Progenitors)|Nanotech Life Support]] 🔋 Progenitors"/>
  </r>
  <r>
    <x v="0"/>
    <x v="1"/>
    <x v="1"/>
    <s v="[No Surrender](https://web.archive.org/web/20160523151858/http://www.thesubnet.com/portal/wod/mtas/RotesSiOH.html#NoSu)  "/>
    <x v="45"/>
    <s v="RotesSiOH"/>
    <x v="15"/>
    <x v="4"/>
    <s v="- [[Rotes in groups#RotesSiOH (Sisters of Hippolyta)|No Surrender]] Sisters of Hippolyta"/>
  </r>
  <r>
    <x v="2"/>
    <x v="1"/>
    <x v="1"/>
    <s v="[Oak Of Sanguine Root](https://web.archive.org/web/20160523151858/http://www.thesubnet.com/portal/wod/mtas/RotesOOH.html#OakOfSaRo)  "/>
    <x v="46"/>
    <s v="RotesOOH"/>
    <x v="4"/>
    <x v="2"/>
    <s v="- [[Rotes in groups#RotesOOH (Order of Hermes)|Oak Of Sanguine Root]] Order of Hermes"/>
  </r>
  <r>
    <x v="2"/>
    <x v="1"/>
    <x v="1"/>
    <s v="[Penny Dreadful's Bright New Penny](https://web.archive.org/web/20160523151858/http://www.thesubnet.com/portal/wod/mtas/RotesHoO.html#PenDrBrNewPe)  "/>
    <x v="47"/>
    <s v="RotesHoO"/>
    <x v="13"/>
    <x v="2"/>
    <s v="- [[Rotes in groups#RotesHoO (Hollow Ones)|Penny Dreadful's Bright New Penny]] Hollow Ones"/>
  </r>
  <r>
    <x v="0"/>
    <x v="1"/>
    <x v="1"/>
    <s v="[Perpetual Motion](https://web.archive.org/web/20160523151858/http://www.thesubnet.com/portal/wod/mtas/RotesIX.html#PerMo)  "/>
    <x v="48"/>
    <s v="RotesIX"/>
    <x v="5"/>
    <x v="3"/>
    <s v="- [[Rotes in groups#RotesIX (Iteration X)|Perpetual Motion]] 🔋 Iteration X"/>
  </r>
  <r>
    <x v="0"/>
    <x v="1"/>
    <x v="1"/>
    <s v="[Pygmalion's Paradigm](https://web.archive.org/web/20160523151858/http://www.thesubnet.com/portal/wod/mtas/RotesG.html#PygPa)  "/>
    <x v="49"/>
    <s v="RotesG"/>
    <x v="3"/>
    <x v="2"/>
    <s v="- [[Rotes in groups#RotesG (General)|Pygmalion's Paradigm]] General"/>
  </r>
  <r>
    <x v="2"/>
    <x v="1"/>
    <x v="1"/>
    <s v="[Red Button](https://web.archive.org/web/20160523151858/http://www.thesubnet.com/portal/wod/mtas/RotesNWO.html#RedBu)  "/>
    <x v="50"/>
    <s v="RotesNWO"/>
    <x v="8"/>
    <x v="3"/>
    <s v="- [[Rotes in groups#RotesNWO (New world order)|Red Button]] 🔋 New World Order"/>
  </r>
  <r>
    <x v="2"/>
    <x v="1"/>
    <x v="1"/>
    <s v="[Song Of Orpheus](https://web.archive.org/web/20160523151858/http://www.thesubnet.com/portal/wod/mtas/RotesG.html#SongOfOr)  "/>
    <x v="51"/>
    <s v="RotesG"/>
    <x v="3"/>
    <x v="2"/>
    <s v="- [[Rotes in groups#RotesG (General)|Song Of Orpheus]] General"/>
  </r>
  <r>
    <x v="0"/>
    <x v="1"/>
    <x v="1"/>
    <s v="[Sucking Gate](https://web.archive.org/web/20160523151858/http://www.thesubnet.com/portal/wod/mtas/RotesDr.html#SucGa)  "/>
    <x v="52"/>
    <s v="RotesDr"/>
    <x v="16"/>
    <x v="1"/>
    <s v="- [Sucking Gate](RotesDr) Dreamspeakers"/>
  </r>
  <r>
    <x v="2"/>
    <x v="1"/>
    <x v="1"/>
    <s v="[Supporting The Brain](https://web.archive.org/web/20160523151858/http://www.thesubnet.com/portal/wod/mtas/RotesSoOE.html#SupTheBr)  "/>
    <x v="53"/>
    <s v="RotesSoOE"/>
    <x v="9"/>
    <x v="1"/>
    <s v="- [Supporting The Brain](RotesSoOE) Sons of Ether"/>
  </r>
  <r>
    <x v="0"/>
    <x v="1"/>
    <x v="1"/>
    <s v="[Talons](https://web.archive.org/web/20160523151858/http://www.thesubnet.com/portal/wod/mtas/RotesG.html#Tal)  "/>
    <x v="54"/>
    <s v="RotesG"/>
    <x v="3"/>
    <x v="2"/>
    <s v="- [[Rotes in groups#RotesG (General)|Talons]] General"/>
  </r>
  <r>
    <x v="0"/>
    <x v="1"/>
    <x v="1"/>
    <s v="[Thunder's Gauntlet](https://web.archive.org/web/20160523151858/http://www.thesubnet.com/portal/wod/mtas/RotesOOH.html#ThuGa)  "/>
    <x v="55"/>
    <s v="RotesOOH"/>
    <x v="4"/>
    <x v="2"/>
    <s v="- [[Rotes in groups#RotesOOH (Order of Hermes)|Thunder's Gauntlet]] Order of Hermes"/>
  </r>
  <r>
    <x v="2"/>
    <x v="1"/>
    <x v="1"/>
    <s v="[Unraveling The Text](https://web.archive.org/web/20160523151858/http://www.thesubnet.com/portal/wod/mtas/RotesOOH.html#UnrTheTe)  "/>
    <x v="56"/>
    <s v="RotesOOH"/>
    <x v="4"/>
    <x v="2"/>
    <s v="- [[Rotes in groups#RotesOOH (Order of Hermes)|Unraveling The Text]] Order of Hermes"/>
  </r>
  <r>
    <x v="2"/>
    <x v="1"/>
    <x v="1"/>
    <s v="[Unseen Nomenclature](https://web.archive.org/web/20160523151858/http://www.thesubnet.com/portal/wod/mtas/RotesOOH.html#UnsNo)  "/>
    <x v="57"/>
    <s v="RotesOOH"/>
    <x v="4"/>
    <x v="2"/>
    <s v="- [[Rotes in groups#RotesOOH (Order of Hermes)|Unseen Nomenclature]] Order of Hermes"/>
  </r>
  <r>
    <x v="0"/>
    <x v="0"/>
    <x v="1"/>
    <m/>
    <x v="58"/>
    <s v="RotesSE"/>
    <x v="0"/>
    <x v="0"/>
    <s v="- [[Rotes in sphere#RotesSE (Entropy effects)|Beginner's Luck]] Sphere-rote"/>
  </r>
  <r>
    <x v="0"/>
    <x v="0"/>
    <x v="1"/>
    <m/>
    <x v="59"/>
    <s v="RotesSE"/>
    <x v="0"/>
    <x v="0"/>
    <s v="- [[Rotes in sphere#RotesSE (Entropy effects)|Games Of Luck]] Sphere-rote"/>
  </r>
  <r>
    <x v="0"/>
    <x v="0"/>
    <x v="1"/>
    <m/>
    <x v="60"/>
    <s v="RotesE"/>
    <x v="17"/>
    <x v="1"/>
    <s v="- [Random Impulse](RotesE) Euthanatos"/>
  </r>
  <r>
    <x v="0"/>
    <x v="0"/>
    <x v="1"/>
    <m/>
    <x v="61"/>
    <s v="RotesIX"/>
    <x v="5"/>
    <x v="3"/>
    <s v="- [[Rotes in groups#RotesIX (Iteration X)|Statistical Mechanics]] 🔋 Iteration X"/>
  </r>
  <r>
    <x v="2"/>
    <x v="0"/>
    <x v="1"/>
    <m/>
    <x v="62"/>
    <s v="RotesNWO"/>
    <x v="8"/>
    <x v="3"/>
    <s v="- [[Rotes in groups#RotesNWO (New world order)|Destructive Paranoia]] 🔋 New World Order"/>
  </r>
  <r>
    <x v="2"/>
    <x v="0"/>
    <x v="1"/>
    <m/>
    <x v="63"/>
    <s v="RotesNWO"/>
    <x v="8"/>
    <x v="3"/>
    <s v="- [[Rotes in groups#RotesNWO (New world order)|Psychological Breaking Point]] 🔋 New World Order"/>
  </r>
  <r>
    <x v="2"/>
    <x v="0"/>
    <x v="1"/>
    <m/>
    <x v="64"/>
    <s v="RotesOOH"/>
    <x v="4"/>
    <x v="2"/>
    <s v="- [[Rotes in groups#RotesOOH (Order of Hermes)|Chaos Butterfly]] Order of Hermes"/>
  </r>
  <r>
    <x v="2"/>
    <x v="0"/>
    <x v="1"/>
    <m/>
    <x v="56"/>
    <s v="RotesOOH"/>
    <x v="4"/>
    <x v="2"/>
    <s v="- [[Rotes in groups#RotesOOH (Order of Hermes)|Unraveling The Text]] Order of Hermes"/>
  </r>
  <r>
    <x v="2"/>
    <x v="0"/>
    <x v="1"/>
    <m/>
    <x v="65"/>
    <s v="RotesSiOH"/>
    <x v="15"/>
    <x v="4"/>
    <s v="- [[Rotes in groups#RotesSiOH (Sisters of Hippolyta)|Conclave Wellness Works]] Sisters of Hippolyta"/>
  </r>
  <r>
    <x v="0"/>
    <x v="0"/>
    <x v="1"/>
    <m/>
    <x v="66"/>
    <s v="RotesSy"/>
    <x v="10"/>
    <x v="3"/>
    <s v="- [[Rotes in groups#RotesSy (Syndicate)|Stacking The Deck]] 🔋 Syncidate"/>
  </r>
  <r>
    <x v="2"/>
    <x v="0"/>
    <x v="1"/>
    <m/>
    <x v="67"/>
    <s v="RotesTe"/>
    <x v="12"/>
    <x v="4"/>
    <s v="- [[Rotes in groups#RotesTe (Templars)|Recant]] Templars"/>
  </r>
  <r>
    <x v="2"/>
    <x v="0"/>
    <x v="1"/>
    <m/>
    <x v="36"/>
    <s v="RotesTe"/>
    <x v="12"/>
    <x v="4"/>
    <s v="- [[Rotes in groups#RotesTe (Templars)|Thief In The Night]] Templars"/>
  </r>
  <r>
    <x v="0"/>
    <x v="1"/>
    <x v="1"/>
    <s v="[Adrenal Rush](https://web.archive.org/web/20160523151858/http://www.thesubnet.com/portal/wod/mtas/RotesViA.html#AdrRu)  "/>
    <x v="68"/>
    <s v="RotesViA"/>
    <x v="18"/>
    <x v="2"/>
    <s v="- [[Rotes in groups#RotesViA (Virt Adepts)|Adrenal Rush]] Virtual Adepts"/>
  </r>
  <r>
    <x v="2"/>
    <x v="1"/>
    <x v="1"/>
    <s v="[Avatar Form](https://web.archive.org/web/20160523151858/http://www.thesubnet.com/portal/wod/mtas/RotesAkB.html#AvaF)  "/>
    <x v="69"/>
    <s v="RotesAkB"/>
    <x v="19"/>
    <x v="1"/>
    <s v="- [Avatar Form](RotesAkB) Akashic Brotherhood"/>
  </r>
  <r>
    <x v="0"/>
    <x v="1"/>
    <x v="1"/>
    <s v="[Body Of Light](https://web.archive.org/web/20160523151858/http://www.thesubnet.com/portal/wod/mtas/RotesSP.html#BodyOfLi)  "/>
    <x v="70"/>
    <s v="RotesSP"/>
    <x v="0"/>
    <x v="0"/>
    <s v="- [[Rotes in sphere#RotesSP (Prime effects)|Body Of Light]] Sphere-rote"/>
  </r>
  <r>
    <x v="0"/>
    <x v="1"/>
    <x v="1"/>
    <s v="[Call Forth The Forgotten](https://web.archive.org/web/20160523151858/http://www.thesubnet.com/portal/wod/mtas/RotesG.html#CallFoTheFo)  "/>
    <x v="71"/>
    <s v="RotesG"/>
    <x v="3"/>
    <x v="2"/>
    <s v="- [[Rotes in groups#RotesG (General)|Call Forth The Forgotten]] General"/>
  </r>
  <r>
    <x v="2"/>
    <x v="1"/>
    <x v="1"/>
    <s v="[Chaos Butterfly](https://web.archive.org/web/20160523151858/http://www.thesubnet.com/portal/wod/mtas/RotesOOH.html#ChaBu)  "/>
    <x v="64"/>
    <s v="RotesOOH"/>
    <x v="4"/>
    <x v="2"/>
    <s v="- [[Rotes in groups#RotesOOH (Order of Hermes)|Chaos Butterfly]] Order of Hermes"/>
  </r>
  <r>
    <x v="2"/>
    <x v="1"/>
    <x v="1"/>
    <s v="[Destructive Paranoia](https://web.archive.org/web/20160523151858/http://www.thesubnet.com/portal/wod/mtas/RotesNWO.html#DesPa)  "/>
    <x v="62"/>
    <s v="RotesNWO"/>
    <x v="8"/>
    <x v="3"/>
    <s v="- [[Rotes in groups#RotesNWO (New world order)|Destructive Paranoia]] 🔋 New World Order"/>
  </r>
  <r>
    <x v="0"/>
    <x v="1"/>
    <x v="1"/>
    <s v="[Disintegrator](https://web.archive.org/web/20160523151858/http://www.thesubnet.com/portal/wod/mtas/RotesVoE.html#Dis)  "/>
    <x v="72"/>
    <s v="RotesVoE"/>
    <x v="7"/>
    <x v="3"/>
    <s v="- [[Rotes in groups#RotesVoE (Void Engineers)|Disintegrator]] 🔋 Void Engineers"/>
  </r>
  <r>
    <x v="0"/>
    <x v="1"/>
    <x v="1"/>
    <s v="[Divert Prime Force](https://web.archive.org/web/20160523151858/http://www.thesubnet.com/portal/wod/mtas/RotesVoE.html#DivPrFo)  "/>
    <x v="73"/>
    <s v="RotesVoE"/>
    <x v="7"/>
    <x v="3"/>
    <s v="- [[Rotes in groups#RotesVoE (Void Engineers)|Divert Prime Force]] 🔋 Void Engineers"/>
  </r>
  <r>
    <x v="0"/>
    <x v="1"/>
    <x v="1"/>
    <s v="[Dragon Fist](https://web.archive.org/web/20160523151858/http://www.thesubnet.com/portal/wod/mtas/RotesDo.html#DraFi)  "/>
    <x v="74"/>
    <s v="RotesDo"/>
    <x v="11"/>
    <x v="1"/>
    <s v="- [Dragon Fist](RotesDo) Do (Akashic)"/>
  </r>
  <r>
    <x v="0"/>
    <x v="1"/>
    <x v="1"/>
    <s v="[Emit Beam-Ray](https://web.archive.org/web/20160523151858/http://www.thesubnet.com/portal/wod/mtas/RotesIX.html#EmitBeRay)  "/>
    <x v="75"/>
    <s v="RotesIX"/>
    <x v="5"/>
    <x v="3"/>
    <s v="- [[Rotes in groups#RotesIX (Iteration X)|Emit Beam-Ray]] 🔋 Iteration X"/>
  </r>
  <r>
    <x v="0"/>
    <x v="1"/>
    <x v="1"/>
    <s v="[Enchant Weapon](https://web.archive.org/web/20160523151858/http://www.thesubnet.com/portal/wod/mtas/RotesSP.html#EncWe)  "/>
    <x v="76"/>
    <s v="RotesSP"/>
    <x v="0"/>
    <x v="0"/>
    <s v="- [[Rotes in sphere#RotesSP (Prime effects)|Enchant Weapon]] Sphere-rote"/>
  </r>
  <r>
    <x v="0"/>
    <x v="1"/>
    <x v="1"/>
    <s v="[Enhance Drugs](https://web.archive.org/web/20160523151858/http://www.thesubnet.com/portal/wod/mtas/RotesPr.html#EnhDr)  "/>
    <x v="77"/>
    <s v="RotesPr"/>
    <x v="14"/>
    <x v="3"/>
    <s v="- [[Rotes in groups#RotesPr (Progenitors)|Enhance Drugs]] 🔋 Progenitors"/>
  </r>
  <r>
    <x v="0"/>
    <x v="1"/>
    <x v="1"/>
    <s v="[Footbind](https://web.archive.org/web/20160523151858/http://www.thesubnet.com/portal/wod/mtas/RotesWK.html#Foo)  "/>
    <x v="78"/>
    <s v="RotesWK"/>
    <x v="6"/>
    <x v="4"/>
    <s v="- [[Rotes in groups#RotesWK (Wu-Keng)|Footbind]] Wu Keng"/>
  </r>
  <r>
    <x v="2"/>
    <x v="1"/>
    <x v="1"/>
    <s v="[Gabriel's Embrace](https://web.archive.org/web/20160523151858/http://www.thesubnet.com/portal/wod/mtas/RotesOOH.html#GabEm)  "/>
    <x v="79"/>
    <s v="RotesOOH"/>
    <x v="4"/>
    <x v="2"/>
    <s v="- [[Rotes in groups#RotesOOH (Order of Hermes)|Gabriel's Embrace]] Order of Hermes"/>
  </r>
  <r>
    <x v="0"/>
    <x v="1"/>
    <x v="1"/>
    <s v="[Gateway Transport](https://web.archive.org/web/20160523151858/http://www.thesubnet.com/portal/wod/mtas/RotesVoE.html#GatTr)  "/>
    <x v="80"/>
    <s v="RotesVoE"/>
    <x v="7"/>
    <x v="3"/>
    <s v="- [[Rotes in groups#RotesVoE (Void Engineers)|Gateway Transport]] 🔋 Void Engineers"/>
  </r>
  <r>
    <x v="0"/>
    <x v="1"/>
    <x v="1"/>
    <s v="[Green Thumb](https://web.archive.org/web/20160523151858/http://www.thesubnet.com/portal/wod/mtas/RotesSiOH.html#GreTh)  "/>
    <x v="81"/>
    <s v="RotesSiOH"/>
    <x v="15"/>
    <x v="4"/>
    <s v="- [[Rotes in groups#RotesSiOH (Sisters of Hippolyta)|Green Thumb]] Sisters of Hippolyta"/>
  </r>
  <r>
    <x v="2"/>
    <x v="1"/>
    <x v="1"/>
    <s v="[Hermes Brand](https://web.archive.org/web/20160523151858/http://www.thesubnet.com/portal/wod/mtas/RotesOOH.html#HerBr)  "/>
    <x v="5"/>
    <s v="RotesOOH"/>
    <x v="4"/>
    <x v="2"/>
    <s v="- [[Rotes in groups#RotesOOH (Order of Hermes)|Hermes Brand]] Order of Hermes"/>
  </r>
  <r>
    <x v="0"/>
    <x v="1"/>
    <x v="1"/>
    <s v="[Holdout Weapon](https://web.archive.org/web/20160523151858/http://www.thesubnet.com/portal/wod/mtas/RotesNWO.html#HolWe)"/>
    <x v="82"/>
    <s v="RotesNWO"/>
    <x v="8"/>
    <x v="3"/>
    <s v="- [[Rotes in groups#RotesNWO (New world order)|Holdout Weapon]] 🔋 New World Order"/>
  </r>
  <r>
    <x v="0"/>
    <x v="2"/>
    <x v="1"/>
    <s v="[Adjust Minor Anomalies](https://web.archive.org/web/20160523151858/http://www.thesubnet.com/portal/wod/mtas/RotesVoE.html#AdjMiAn) "/>
    <x v="83"/>
    <s v="RotesVoE"/>
    <x v="7"/>
    <x v="3"/>
    <s v="- [[Rotes in groups#RotesVoE (Void Engineers)|Adjust Minor Anomalies]] 🔋 Void Engineers"/>
  </r>
  <r>
    <x v="2"/>
    <x v="2"/>
    <x v="1"/>
    <s v="[Avatar Form](https://web.archive.org/web/20160523151858/http://www.thesubnet.com/portal/wod/mtas/RotesAkB.html#AvaF)  "/>
    <x v="69"/>
    <s v="RotesAkB"/>
    <x v="19"/>
    <x v="1"/>
    <s v="- [Avatar Form](RotesAkB) Akashic Brotherhood"/>
  </r>
  <r>
    <x v="2"/>
    <x v="2"/>
    <x v="1"/>
    <s v="[Book Of Whispers](https://web.archive.org/web/20160523151858/http://www.thesubnet.com/portal/wod/mtas/RotesOOH.html#BookOfWh)  "/>
    <x v="84"/>
    <s v="RotesOOH"/>
    <x v="4"/>
    <x v="2"/>
    <s v="- [[Rotes in groups#RotesOOH (Order of Hermes)|Book Of Whispers]] Order of Hermes"/>
  </r>
  <r>
    <x v="0"/>
    <x v="2"/>
    <x v="1"/>
    <s v="[Be Cool](https://web.archive.org/web/20160523151858/http://www.thesubnet.com/portal/wod/mtas/RotesHoO.html#BeCo)  "/>
    <x v="85"/>
    <s v="RotesHoO"/>
    <x v="13"/>
    <x v="2"/>
    <s v="- [[Rotes in groups#RotesHoO (Hollow Ones)|Be Cool]] Hollow Ones"/>
  </r>
  <r>
    <x v="2"/>
    <x v="2"/>
    <x v="1"/>
    <s v="[Conclave Wellness Works](https://web.archive.org/web/20160523151858/http://www.thesubnet.com/portal/wod/mtas/RotesSiOH.html#ConWeWo)  "/>
    <x v="65"/>
    <s v="RotesSiOH"/>
    <x v="15"/>
    <x v="4"/>
    <s v="- [[Rotes in groups#RotesSiOH (Sisters of Hippolyta)|Conclave Wellness Works]] Sisters of Hippolyta"/>
  </r>
  <r>
    <x v="0"/>
    <x v="2"/>
    <x v="1"/>
    <s v="[Daedalus Gateway](https://web.archive.org/web/20160523151858/http://www.thesubnet.com/portal/wod/mtas/RotesNWO.html#DaeGa)  "/>
    <x v="86"/>
    <s v="RotesNWO"/>
    <x v="8"/>
    <x v="3"/>
    <s v="- [[Rotes in groups#RotesNWO (New world order)|Daedalus Gateway]] 🔋 New World Order"/>
  </r>
  <r>
    <x v="2"/>
    <x v="2"/>
    <x v="1"/>
    <s v="[Disk-Doctor](https://web.archive.org/web/20160523151858/http://www.thesubnet.com/portal/wod/mtas/RotesTe.html#DiskDo)  "/>
    <x v="87"/>
    <s v="RotesTe"/>
    <x v="12"/>
    <x v="4"/>
    <s v="- [[Rotes in groups#RotesTe (Templars)|Disk-Doctor]] Templars"/>
  </r>
  <r>
    <x v="0"/>
    <x v="2"/>
    <x v="1"/>
    <s v="[Empathetic Projection](https://web.archive.org/web/20160523151858/http://www.thesubnet.com/portal/wod/mtas/RotesSMi.html#EmpPr)  "/>
    <x v="88"/>
    <s v="RotesSMi"/>
    <x v="0"/>
    <x v="0"/>
    <s v="- [[Rotes in sphere#RotesSmi (Mind effects)|Empathetic Projection]] Sphere-rote"/>
  </r>
  <r>
    <x v="0"/>
    <x v="2"/>
    <x v="1"/>
    <s v="[Golden Apple, The](https://web.archive.org/web/20160523151858/http://www.thesubnet.com/portal/wod/mtas/RotesOOH.html#GolAp)  "/>
    <x v="89"/>
    <s v="RotesOOH"/>
    <x v="4"/>
    <x v="2"/>
    <s v="- [[Rotes in groups#RotesOOH (Order of Hermes)|Golden Apple, The]] Order of Hermes"/>
  </r>
  <r>
    <x v="2"/>
    <x v="2"/>
    <x v="1"/>
    <s v="[Karoshi](https://web.archive.org/web/20160523151858/http://www.thesubnet.com/portal/wod/mtas/RotesSy.html#Kar)  "/>
    <x v="19"/>
    <s v="RotesSy"/>
    <x v="10"/>
    <x v="3"/>
    <s v="- [[Rotes in groups#RotesSy (Syndicate)|Karoshi]] 🔋 Syncidate"/>
  </r>
  <r>
    <x v="2"/>
    <x v="2"/>
    <x v="1"/>
    <s v="[Lecherous Kiss](https://web.archive.org/web/20160523151858/http://www.thesubnet.com/portal/wod/mtas/RotesHoO.html#LecKi)  "/>
    <x v="41"/>
    <s v="RotesHoO"/>
    <x v="13"/>
    <x v="2"/>
    <s v="- [[Rotes in groups#RotesHoO (Hollow Ones)|Lecherous Kiss]] Hollow Ones"/>
  </r>
  <r>
    <x v="0"/>
    <x v="2"/>
    <x v="1"/>
    <s v="[Look, The](https://web.archive.org/web/20160523151858/http://www.thesubnet.com/portal/wod/mtas/RotesSy.html#LookWord)  "/>
    <x v="90"/>
    <s v="RotesSy"/>
    <x v="10"/>
    <x v="3"/>
    <s v="- [[Rotes in groups#RotesSy (Syndicate)|Look, The]] 🔋 Syncidate"/>
  </r>
  <r>
    <x v="0"/>
    <x v="2"/>
    <x v="1"/>
    <s v="[Machine God](https://web.archive.org/web/20160523151858/http://www.thesubnet.com/portal/wod/mtas/RotesIX.html#MacGod)  "/>
    <x v="91"/>
    <s v="RotesIX"/>
    <x v="5"/>
    <x v="3"/>
    <s v="- [[Rotes in groups#RotesIX (Iteration X)|Machine God]] 🔋 Iteration X"/>
  </r>
  <r>
    <x v="0"/>
    <x v="2"/>
    <x v="1"/>
    <s v="[Move Along](https://web.archive.org/web/20160523151858/http://www.thesubnet.com/portal/wod/mtas/RotesNWO.html#MoveAl)  "/>
    <x v="92"/>
    <s v="RotesNWO"/>
    <x v="8"/>
    <x v="3"/>
    <s v="- [[Rotes in groups#RotesNWO (New world order)|Move Along]] 🔋 New World Order"/>
  </r>
  <r>
    <x v="0"/>
    <x v="2"/>
    <x v="1"/>
    <s v="[Peace Of Buddha](https://web.archive.org/web/20160523151858/http://www.thesubnet.com/portal/wod/mtas/RotesAkB.html#PeaOB)  "/>
    <x v="93"/>
    <s v="RotesAkB"/>
    <x v="19"/>
    <x v="1"/>
    <s v="- [Peace Of Buddha](RotesAkB) Akashic Brotherhood"/>
  </r>
  <r>
    <x v="0"/>
    <x v="2"/>
    <x v="1"/>
    <s v="[Persona](https://web.archive.org/web/20160523151858/http://www.thesubnet.com/portal/wod/mtas/RotesNWO.html#Per)"/>
    <x v="94"/>
    <s v="RotesNWO"/>
    <x v="8"/>
    <x v="3"/>
    <s v="- [[Rotes in groups#RotesNWO (New world order)|Persona]] 🔋 New World Order"/>
  </r>
  <r>
    <x v="0"/>
    <x v="2"/>
    <x v="1"/>
    <s v="[Petals Of Love](https://web.archive.org/web/20160523151858/http://www.thesubnet.com/portal/wod/mtas/RotesSiOH.html#PetOfLo)  "/>
    <x v="95"/>
    <s v="RotesSiOH"/>
    <x v="15"/>
    <x v="4"/>
    <s v="- [[Rotes in groups#RotesSiOH (Sisters of Hippolyta)|Petals Of Love]] Sisters of Hippolyta"/>
  </r>
  <r>
    <x v="2"/>
    <x v="2"/>
    <x v="1"/>
    <s v="[PIN Drop](https://web.archive.org/web/20160523151858/http://www.thesubnet.com/portal/wod/mtas/RotesSy.html#PinDr)  "/>
    <x v="96"/>
    <s v="RotesSy"/>
    <x v="10"/>
    <x v="3"/>
    <s v="- [[Rotes in groups#RotesSy (Syndicate)|PIN Drop]] 🔋 Syncidate"/>
  </r>
  <r>
    <x v="0"/>
    <x v="2"/>
    <x v="1"/>
    <s v="[Psychic Impression](https://web.archive.org/web/20160523151858/http://www.thesubnet.com/portal/wod/mtas/RotesSMi.html#PsyIm)  "/>
    <x v="97"/>
    <s v="RotesSMi"/>
    <x v="0"/>
    <x v="0"/>
    <s v="- [[Rotes in sphere#RotesSmi (Mind effects)|Psychic Impression]] Sphere-rote"/>
  </r>
  <r>
    <x v="0"/>
    <x v="2"/>
    <x v="1"/>
    <s v="[Psychic Intrusion](https://web.archive.org/web/20160523151858/http://www.thesubnet.com/portal/wod/mtas/RotesNWO.html#PsyIn)  "/>
    <x v="98"/>
    <s v="RotesNWO"/>
    <x v="8"/>
    <x v="3"/>
    <s v="- [[Rotes in groups#RotesNWO (New world order)|Psychic Intrusion]] 🔋 New World Order"/>
  </r>
  <r>
    <x v="2"/>
    <x v="2"/>
    <x v="1"/>
    <s v="[Psychological Breaking Point](https://web.archive.org/web/20160523151858/http://www.thesubnet.com/portal/wod/mtas/RotesNWO.html#PsyBrPo)  "/>
    <x v="63"/>
    <s v="RotesNWO"/>
    <x v="8"/>
    <x v="3"/>
    <s v="- [[Rotes in groups#RotesNWO (New world order)|Psychological Breaking Point]] 🔋 New World Order"/>
  </r>
  <r>
    <x v="1"/>
    <x v="2"/>
    <x v="1"/>
    <s v="[Quo Vadis?](https://web.archive.org/web/20160523151858/http://www.thesubnet.com/portal/wod/mtas/RotesTe.html#WhiGoTh)  "/>
    <x v="99"/>
    <s v="RotesTe"/>
    <x v="12"/>
    <x v="4"/>
    <s v="- [[Rotes in groups#RotesTe (Templars)|Quo Vadis?]] Templars"/>
  </r>
  <r>
    <x v="2"/>
    <x v="2"/>
    <x v="1"/>
    <s v="[Recant](https://web.archive.org/web/20160523151858/http://www.thesubnet.com/portal/wod/mtas/RotesTe.html#Rec)  "/>
    <x v="67"/>
    <s v="RotesTe"/>
    <x v="12"/>
    <x v="4"/>
    <s v="- [[Rotes in groups#RotesTe (Templars)|Recant]] Templars"/>
  </r>
  <r>
    <x v="2"/>
    <x v="2"/>
    <x v="1"/>
    <s v="[Shed The Years](https://web.archive.org/web/20160523151858/http://www.thesubnet.com/portal/wod/mtas/RotesSE.html#SheTheYe)  "/>
    <x v="100"/>
    <s v="RotesSE"/>
    <x v="0"/>
    <x v="0"/>
    <s v="- [[Rotes in sphere#RotesSE (Entropy effects)|Shed The Years]] Sphere-rote"/>
  </r>
  <r>
    <x v="0"/>
    <x v="2"/>
    <x v="1"/>
    <s v="[Sneaking Shadow](https://web.archive.org/web/20160523151858/http://www.thesubnet.com/portal/wod/mtas/RotesAhIB.html#SneSh)  "/>
    <x v="101"/>
    <s v="RotesAhIB"/>
    <x v="20"/>
    <x v="1"/>
    <s v="- [Sneaking Shadow](RotesAhIB) Alh-i-Batin"/>
  </r>
  <r>
    <x v="0"/>
    <x v="2"/>
    <x v="1"/>
    <s v="[Social Science](https://web.archive.org/web/20160523151858/http://www.thesubnet.com/portal/wod/mtas/RotesIX.html#SocSc)  "/>
    <x v="102"/>
    <s v="RotesIX"/>
    <x v="5"/>
    <x v="3"/>
    <s v="- [[Rotes in groups#RotesIX (Iteration X)|Social Science]] 🔋 Iteration X"/>
  </r>
  <r>
    <x v="2"/>
    <x v="2"/>
    <x v="1"/>
    <s v="[Supporting The Brain](https://web.archive.org/web/20160523151858/http://www.thesubnet.com/portal/wod/mtas/RotesSoOE.html#SupTheBr)  "/>
    <x v="53"/>
    <s v="RotesSoOE"/>
    <x v="9"/>
    <x v="1"/>
    <s v="- [Supporting The Brain](RotesSoOE) Sons of Ether"/>
  </r>
  <r>
    <x v="2"/>
    <x v="2"/>
    <x v="1"/>
    <s v="[Unseen Nomenclature](https://web.archive.org/web/20160523151858/http://www.thesubnet.com/portal/wod/mtas/RotesOOH.html#UnsNo)  "/>
    <x v="57"/>
    <s v="RotesOOH"/>
    <x v="4"/>
    <x v="2"/>
    <s v="- [[Rotes in groups#RotesOOH (Order of Hermes)|Unseen Nomenclature]] Order of Hermes"/>
  </r>
  <r>
    <x v="1"/>
    <x v="2"/>
    <x v="1"/>
    <s v="[Whither Goest Thou?](https://web.archive.org/web/20160523151858/http://www.thesubnet.com/portal/wod/mtas/RotesTe.html#WhiGoTh)  "/>
    <x v="103"/>
    <s v="RotesTe"/>
    <x v="12"/>
    <x v="4"/>
    <s v="- [[Rotes in groups#RotesTe (Templars)|Whither Goest Thou?]] Templars"/>
  </r>
  <r>
    <x v="0"/>
    <x v="2"/>
    <x v="1"/>
    <s v="[Word, The](https://web.archive.org/web/20160523151858/http://www.thesubnet.com/portal/wod/mtas/RotesSy.html#LookWord)  "/>
    <x v="104"/>
    <s v="RotesSy"/>
    <x v="10"/>
    <x v="3"/>
    <s v="- [[Rotes in groups#RotesSy (Syndicate)|Word, The]] 🔋 Syncidate"/>
  </r>
  <r>
    <x v="2"/>
    <x v="3"/>
    <x v="1"/>
    <m/>
    <x v="100"/>
    <s v="RotesSE"/>
    <x v="0"/>
    <x v="0"/>
    <s v="- [[Rotes in sphere#RotesSE (Entropy effects)|Shed The Years]] Sphere-rote"/>
  </r>
  <r>
    <x v="0"/>
    <x v="3"/>
    <x v="1"/>
    <m/>
    <x v="105"/>
    <s v="RotesST"/>
    <x v="0"/>
    <x v="0"/>
    <s v="- [[Rotes in sphere#RotesST (Time effects)|Divinations]] Sphere-rote"/>
  </r>
  <r>
    <x v="0"/>
    <x v="3"/>
    <x v="1"/>
    <m/>
    <x v="106"/>
    <s v="RotesST"/>
    <x v="0"/>
    <x v="0"/>
    <s v="- [[Rotes in sphere#RotesST (Time effects)|Time Wards]] Sphere-rote"/>
  </r>
  <r>
    <x v="1"/>
    <x v="3"/>
    <x v="1"/>
    <m/>
    <x v="3"/>
    <s v="RotesCuOE"/>
    <x v="2"/>
    <x v="1"/>
    <s v="- [Trip, The](RotesCuOE) Cult of Ecstasy"/>
  </r>
  <r>
    <x v="2"/>
    <x v="3"/>
    <x v="1"/>
    <m/>
    <x v="51"/>
    <s v="RotesG"/>
    <x v="3"/>
    <x v="2"/>
    <s v="- [[Rotes in groups#RotesG (General)|Song Of Orpheus]] General"/>
  </r>
  <r>
    <x v="2"/>
    <x v="3"/>
    <x v="1"/>
    <m/>
    <x v="47"/>
    <s v="RotesHoO"/>
    <x v="13"/>
    <x v="2"/>
    <s v="- [[Rotes in groups#RotesHoO (Hollow Ones)|Penny Dreadful's Bright New Penny]] Hollow Ones"/>
  </r>
  <r>
    <x v="0"/>
    <x v="3"/>
    <x v="1"/>
    <m/>
    <x v="107"/>
    <s v="RotesIX"/>
    <x v="5"/>
    <x v="3"/>
    <s v="- [[Rotes in groups#RotesIX (Iteration X)|Planned Projection]] 🔋 Iteration X"/>
  </r>
  <r>
    <x v="0"/>
    <x v="3"/>
    <x v="1"/>
    <m/>
    <x v="108"/>
    <s v="RotesNWO"/>
    <x v="8"/>
    <x v="3"/>
    <s v="- [[Rotes in groups#RotesNWO (New world order)|Hail Of Bullets]] 🔋 New World Order"/>
  </r>
  <r>
    <x v="2"/>
    <x v="3"/>
    <x v="1"/>
    <m/>
    <x v="96"/>
    <s v="RotesSy"/>
    <x v="10"/>
    <x v="3"/>
    <s v="- [[Rotes in groups#RotesSy (Syndicate)|PIN Drop]] 🔋 Syncidate"/>
  </r>
  <r>
    <x v="1"/>
    <x v="3"/>
    <x v="1"/>
    <m/>
    <x v="99"/>
    <s v="RotesTe"/>
    <x v="12"/>
    <x v="4"/>
    <s v="- [[Rotes in groups#RotesTe (Templars)|Quo Vadis?]] Templars"/>
  </r>
  <r>
    <x v="1"/>
    <x v="3"/>
    <x v="1"/>
    <m/>
    <x v="103"/>
    <s v="RotesTe"/>
    <x v="12"/>
    <x v="4"/>
    <s v="- [[Rotes in groups#RotesTe (Templars)|Whither Goest Thou?]] Templars"/>
  </r>
  <r>
    <x v="0"/>
    <x v="3"/>
    <x v="1"/>
    <m/>
    <x v="109"/>
    <s v="RotesVoE"/>
    <x v="7"/>
    <x v="3"/>
    <s v="- [[Rotes in groups#RotesVoE (Void Engineers)|Manipulate Time Fragment]] 🔋 Void Engineers"/>
  </r>
  <r>
    <x v="0"/>
    <x v="4"/>
    <x v="1"/>
    <m/>
    <x v="110"/>
    <s v="RotesSC"/>
    <x v="0"/>
    <x v="0"/>
    <s v="- [[Rotes in sphere#RotesSC (Correspondence Effects)|Apportation]] Sphere-rote"/>
  </r>
  <r>
    <x v="0"/>
    <x v="4"/>
    <x v="1"/>
    <m/>
    <x v="111"/>
    <s v="RotesSC"/>
    <x v="0"/>
    <x v="0"/>
    <s v="- [[Rotes in sphere#RotesSC (Correspondence Effects)|Correspondence Sensing]] Sphere-rote"/>
  </r>
  <r>
    <x v="0"/>
    <x v="4"/>
    <x v="1"/>
    <m/>
    <x v="112"/>
    <s v="RotesSC"/>
    <x v="0"/>
    <x v="0"/>
    <s v="- [[Rotes in sphere#RotesSC (Correspondence Effects)|Ward]] Sphere-rote"/>
  </r>
  <r>
    <x v="0"/>
    <x v="4"/>
    <x v="1"/>
    <m/>
    <x v="113"/>
    <s v="RotesAhIB"/>
    <x v="20"/>
    <x v="1"/>
    <s v="- [Eagle Eye](RotesAhIB) Alh-i-Batin"/>
  </r>
  <r>
    <x v="1"/>
    <x v="4"/>
    <x v="1"/>
    <m/>
    <x v="18"/>
    <s v="RotesSoOE"/>
    <x v="9"/>
    <x v="1"/>
    <s v="- [Jury Rig](RotesSoOE) Sons of Ether"/>
  </r>
  <r>
    <x v="0"/>
    <x v="4"/>
    <x v="1"/>
    <m/>
    <x v="114"/>
    <s v="RotesDr"/>
    <x v="16"/>
    <x v="1"/>
    <s v="- [Scrying](RotesDr) Dreamspeakers"/>
  </r>
  <r>
    <x v="1"/>
    <x v="4"/>
    <x v="1"/>
    <m/>
    <x v="3"/>
    <s v="RotesCuOE"/>
    <x v="2"/>
    <x v="1"/>
    <s v="- [Trip, The](RotesCuOE) Cult of Ecstasy"/>
  </r>
  <r>
    <x v="0"/>
    <x v="4"/>
    <x v="1"/>
    <m/>
    <x v="115"/>
    <s v="RotesG"/>
    <x v="3"/>
    <x v="2"/>
    <s v="- [[Rotes in groups#RotesG (General)|Pixie Lead]] General"/>
  </r>
  <r>
    <x v="0"/>
    <x v="4"/>
    <x v="1"/>
    <m/>
    <x v="116"/>
    <s v="RotesNWO"/>
    <x v="8"/>
    <x v="3"/>
    <s v="- [[Rotes in groups#RotesNWO (New world order)|Check The Corners]] 🔋 New World Order"/>
  </r>
  <r>
    <x v="0"/>
    <x v="4"/>
    <x v="1"/>
    <m/>
    <x v="117"/>
    <s v="RotesNWO"/>
    <x v="8"/>
    <x v="3"/>
    <s v="- [[Rotes in groups#RotesNWO (New world order)|Heat Seeking]] 🔋 New World Order"/>
  </r>
  <r>
    <x v="0"/>
    <x v="4"/>
    <x v="1"/>
    <m/>
    <x v="118"/>
    <s v="RotesNWO"/>
    <x v="8"/>
    <x v="3"/>
    <s v="- [[Rotes in groups#RotesNWO (New world order)|Phone Tap]] 🔋 New World Order"/>
  </r>
  <r>
    <x v="2"/>
    <x v="4"/>
    <x v="1"/>
    <m/>
    <x v="14"/>
    <s v="RotesNWO"/>
    <x v="8"/>
    <x v="3"/>
    <s v="- [[Rotes in groups#RotesNWO (New world order)|Sense Node]] 🔋 New World Order"/>
  </r>
  <r>
    <x v="2"/>
    <x v="4"/>
    <x v="1"/>
    <m/>
    <x v="79"/>
    <s v="RotesOOH"/>
    <x v="4"/>
    <x v="2"/>
    <s v="- [[Rotes in groups#RotesOOH (Order of Hermes)|Gabriel's Embrace]] Order of Hermes"/>
  </r>
  <r>
    <x v="0"/>
    <x v="4"/>
    <x v="1"/>
    <m/>
    <x v="119"/>
    <s v="RotesOOH"/>
    <x v="4"/>
    <x v="2"/>
    <s v="- [[Rotes in groups#RotesOOH (Order of Hermes)|Glorious Sword Of Haven]] Order of Hermes"/>
  </r>
  <r>
    <x v="2"/>
    <x v="4"/>
    <x v="1"/>
    <m/>
    <x v="46"/>
    <s v="RotesOOH"/>
    <x v="4"/>
    <x v="2"/>
    <s v="- [[Rotes in groups#RotesOOH (Order of Hermes)|Oak Of Sanguine Root]] Order of Hermes"/>
  </r>
  <r>
    <x v="1"/>
    <x v="4"/>
    <x v="1"/>
    <m/>
    <x v="99"/>
    <s v="RotesTe"/>
    <x v="12"/>
    <x v="4"/>
    <s v="- [[Rotes in groups#RotesTe (Templars)|Quo Vadis?]] Templars"/>
  </r>
  <r>
    <x v="0"/>
    <x v="4"/>
    <x v="1"/>
    <m/>
    <x v="120"/>
    <s v="RotesTe"/>
    <x v="12"/>
    <x v="4"/>
    <s v="- [[Rotes in groups#RotesTe (Templars)|Spatial Sheath]] Templars"/>
  </r>
  <r>
    <x v="1"/>
    <x v="4"/>
    <x v="1"/>
    <m/>
    <x v="103"/>
    <s v="RotesTe"/>
    <x v="12"/>
    <x v="4"/>
    <s v="- [[Rotes in groups#RotesTe (Templars)|Whither Goest Thou?]] Templars"/>
  </r>
  <r>
    <x v="2"/>
    <x v="4"/>
    <x v="1"/>
    <m/>
    <x v="121"/>
    <s v="RotesWK"/>
    <x v="6"/>
    <x v="4"/>
    <s v="- [[Rotes in groups#RotesWK (Wu-Keng)|Crippled Lotus Curse, The]] Wu Keng"/>
  </r>
  <r>
    <x v="2"/>
    <x v="4"/>
    <x v="1"/>
    <m/>
    <x v="122"/>
    <s v="RotesWK"/>
    <x v="6"/>
    <x v="4"/>
    <s v="- [[Rotes in groups#RotesWK (Wu-Keng)|Luck Of The Lotus]] Wu Keng"/>
  </r>
  <r>
    <x v="0"/>
    <x v="4"/>
    <x v="1"/>
    <m/>
    <x v="123"/>
    <s v="RotesWK"/>
    <x v="6"/>
    <x v="4"/>
    <s v="- [[Rotes in groups#RotesWK (Wu-Keng)|Shih-Huang-Ti's Marvelous Game]] Wu Keng"/>
  </r>
  <r>
    <x v="0"/>
    <x v="0"/>
    <x v="2"/>
    <s v="[Behavior Modification Device](https://web.archive.org/web/20160523151858/http://www.thesubnet.com/portal/wod/mtas/RotesVoE.html#BehMoDe)  "/>
    <x v="124"/>
    <s v="RotesVoE"/>
    <x v="7"/>
    <x v="3"/>
    <s v="- [[Rotes in groups#RotesVoE (Void Engineers)|Behavior Modification Device]] 🔋 Void Engineers"/>
  </r>
  <r>
    <x v="0"/>
    <x v="0"/>
    <x v="2"/>
    <s v="[Counterintelligence](https://web.archive.org/web/20160523151858/http://www.thesubnet.com/portal/wod/mtas/RotesNWO.html#Cou)  "/>
    <x v="125"/>
    <s v="RotesNWO"/>
    <x v="8"/>
    <x v="3"/>
    <s v="- [[Rotes in groups#RotesNWO (New world order)|Counterintelligence]] 🔋 New World Order"/>
  </r>
  <r>
    <x v="2"/>
    <x v="0"/>
    <x v="2"/>
    <s v="[Crippled Lotus Curse, The](https://web.archive.org/web/20160523151858/http://www.thesubnet.com/portal/wod/mtas/RotesWK.html#LucOfTheLoCrLoCu)  "/>
    <x v="121"/>
    <s v="RotesWK"/>
    <x v="6"/>
    <x v="4"/>
    <s v="- [[Rotes in groups#RotesWK (Wu-Keng)|Crippled Lotus Curse, The]] Wu Keng"/>
  </r>
  <r>
    <x v="2"/>
    <x v="0"/>
    <x v="2"/>
    <s v="[Disk-Doctor](https://web.archive.org/web/20160523151858/http://www.thesubnet.com/portal/wod/mtas/RotesTe.html#DiskDo)  "/>
    <x v="87"/>
    <s v="RotesTe"/>
    <x v="12"/>
    <x v="4"/>
    <s v="- [[Rotes in groups#RotesTe (Templars)|Disk-Doctor]] Templars"/>
  </r>
  <r>
    <x v="2"/>
    <x v="0"/>
    <x v="2"/>
    <s v="[Luck Of The Lotus](https://web.archive.org/web/20160523151858/http://www.thesubnet.com/portal/wod/mtas/RotesWK.html#LucOfTheLoCrLoCu)  "/>
    <x v="122"/>
    <s v="RotesWK"/>
    <x v="6"/>
    <x v="4"/>
    <s v="- [[Rotes in groups#RotesWK (Wu-Keng)|Luck Of The Lotus]] Wu Keng"/>
  </r>
  <r>
    <x v="0"/>
    <x v="0"/>
    <x v="2"/>
    <s v="[Like Clockwork](https://web.archive.org/web/20160523151858/http://www.thesubnet.com/portal/wod/mtas/RotesSE.html#LikeCl)  "/>
    <x v="126"/>
    <s v="RotesSE"/>
    <x v="0"/>
    <x v="0"/>
    <s v="- [[Rotes in sphere#RotesSE (Entropy effects)|Like Clockwork]] Sphere-rote"/>
  </r>
  <r>
    <x v="2"/>
    <x v="0"/>
    <x v="2"/>
    <s v="[Red Button](https://web.archive.org/web/20160523151858/http://www.thesubnet.com/portal/wod/mtas/RotesNWO.html#RedBu)  "/>
    <x v="50"/>
    <s v="RotesNWO"/>
    <x v="8"/>
    <x v="3"/>
    <s v="- [[Rotes in groups#RotesNWO (New world order)|Red Button]] 🔋 New World Order"/>
  </r>
  <r>
    <x v="0"/>
    <x v="0"/>
    <x v="2"/>
    <s v="[Piercing Cry](https://web.archive.org/web/20160523151858/http://www.thesubnet.com/portal/wod/mtas/RotesDo.html#PieCry)  "/>
    <x v="127"/>
    <s v="RotesDo"/>
    <x v="11"/>
    <x v="1"/>
    <s v="- [Piercing Cry](RotesDo) Do (Akashic)"/>
  </r>
  <r>
    <x v="0"/>
    <x v="0"/>
    <x v="2"/>
    <s v="[Screech Of The Owl](https://web.archive.org/web/20160523151858/http://www.thesubnet.com/portal/wod/mtas/RotesDo.html#ScrOfTheOwl) "/>
    <x v="128"/>
    <s v="RotesDo"/>
    <x v="11"/>
    <x v="1"/>
    <s v="- [Screech Of The Owl](RotesDo) Do (Akashic)"/>
  </r>
  <r>
    <x v="0"/>
    <x v="0"/>
    <x v="2"/>
    <s v="[Slay Machine](https://web.archive.org/web/20160523151858/http://www.thesubnet.com/portal/wod/mtas/RotesSE.html#SlayMa)  "/>
    <x v="129"/>
    <s v="RotesSE"/>
    <x v="0"/>
    <x v="0"/>
    <s v="- [[Rotes in sphere#RotesSE (Entropy effects)|Slay Machine]] Sphere-rote"/>
  </r>
  <r>
    <x v="0"/>
    <x v="3"/>
    <x v="2"/>
    <m/>
    <x v="130"/>
    <s v="RotesST"/>
    <x v="0"/>
    <x v="0"/>
    <s v="- [[Rotes in sphere#RotesST (Time effects)|Distort Time]] Sphere-rote"/>
  </r>
  <r>
    <x v="0"/>
    <x v="3"/>
    <x v="2"/>
    <m/>
    <x v="131"/>
    <s v="RotesST"/>
    <x v="0"/>
    <x v="0"/>
    <s v="- [[Rotes in sphere#RotesST (Time effects)|Time Warp]] Sphere-rote"/>
  </r>
  <r>
    <x v="2"/>
    <x v="3"/>
    <x v="2"/>
    <m/>
    <x v="84"/>
    <s v="RotesOOH"/>
    <x v="4"/>
    <x v="2"/>
    <s v="- [[Rotes in groups#RotesOOH (Order of Hermes)|Book Of Whispers]] Order of Hermes"/>
  </r>
  <r>
    <x v="0"/>
    <x v="3"/>
    <x v="2"/>
    <m/>
    <x v="132"/>
    <s v="RotesNWO"/>
    <x v="8"/>
    <x v="3"/>
    <s v="- [[Rotes in groups#RotesNWO (New world order)|Download Specialization]] 🔋 New World Order"/>
  </r>
  <r>
    <x v="3"/>
    <x v="5"/>
    <x v="3"/>
    <m/>
    <x v="133"/>
    <m/>
    <x v="21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1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G29" firstHeaderRow="1" firstDataRow="2" firstDataCol="1"/>
  <pivotFields count="9">
    <pivotField showAll="0"/>
    <pivotField axis="axisCol" showAll="0">
      <items count="7">
        <item x="0"/>
        <item x="1"/>
        <item x="5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axis="axisRow" showAll="0" sortType="ascending">
      <items count="23">
        <item x="19"/>
        <item x="20"/>
        <item x="1"/>
        <item x="2"/>
        <item x="11"/>
        <item x="16"/>
        <item x="17"/>
        <item x="3"/>
        <item x="13"/>
        <item x="4"/>
        <item x="15"/>
        <item x="9"/>
        <item x="0"/>
        <item x="12"/>
        <item x="18"/>
        <item x="6"/>
        <item x="5"/>
        <item x="8"/>
        <item x="14"/>
        <item x="10"/>
        <item x="7"/>
        <item x="21"/>
        <item t="default"/>
      </items>
    </pivotField>
    <pivotField axis="axisRow" showAll="0">
      <items count="7">
        <item x="0"/>
        <item x="2"/>
        <item h="1" x="5"/>
        <item x="1"/>
        <item x="4"/>
        <item x="3"/>
        <item t="default"/>
      </items>
    </pivotField>
    <pivotField showAll="0"/>
  </pivotFields>
  <rowFields count="2">
    <field x="7"/>
    <field x="6"/>
  </rowFields>
  <rowItems count="27">
    <i>
      <x/>
    </i>
    <i r="1">
      <x v="12"/>
    </i>
    <i>
      <x v="1"/>
    </i>
    <i r="1">
      <x v="7"/>
    </i>
    <i r="1">
      <x v="8"/>
    </i>
    <i r="1">
      <x v="9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1"/>
    </i>
    <i>
      <x v="4"/>
    </i>
    <i r="1">
      <x v="10"/>
    </i>
    <i r="1">
      <x v="13"/>
    </i>
    <i r="1">
      <x v="15"/>
    </i>
    <i>
      <x v="5"/>
    </i>
    <i r="1">
      <x v="16"/>
    </i>
    <i r="1">
      <x v="17"/>
    </i>
    <i r="1">
      <x v="18"/>
    </i>
    <i r="1">
      <x v="19"/>
    </i>
    <i r="1">
      <x v="20"/>
    </i>
    <i t="grand">
      <x/>
    </i>
  </rowItems>
  <colFields count="1">
    <field x="1"/>
  </colFields>
  <colItems count="6">
    <i>
      <x/>
    </i>
    <i>
      <x v="1"/>
    </i>
    <i>
      <x v="3"/>
    </i>
    <i>
      <x v="4"/>
    </i>
    <i>
      <x v="5"/>
    </i>
    <i t="grand">
      <x/>
    </i>
  </colItems>
  <dataFields count="1">
    <dataField name="Количество по полю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1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L1:P8" firstHeaderRow="1" firstDataRow="2" firstDataCol="1"/>
  <pivotFields count="9">
    <pivotField showAll="0"/>
    <pivotField axis="axisRow" showAll="0" sortType="ascending">
      <items count="7">
        <item x="4"/>
        <item x="0"/>
        <item x="2"/>
        <item x="1"/>
        <item x="3"/>
        <item x="5"/>
        <item t="default"/>
      </items>
    </pivotField>
    <pivotField axis="axisCol" showAll="0">
      <items count="5">
        <item h="1" x="3"/>
        <item x="0"/>
        <item x="1"/>
        <item x="2"/>
        <item t="default"/>
      </items>
    </pivotField>
    <pivotField showAll="0"/>
    <pivotField dataField="1" showAll="0"/>
    <pivotField showAll="0"/>
    <pivotField showAll="0" sortType="ascending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Количество по полю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22" sqref="B22"/>
    </sheetView>
  </sheetViews>
  <sheetFormatPr defaultRowHeight="14.4" x14ac:dyDescent="0.3"/>
  <cols>
    <col min="2" max="3" width="57.44140625" bestFit="1" customWidth="1"/>
  </cols>
  <sheetData>
    <row r="1" spans="1:7" x14ac:dyDescent="0.3">
      <c r="A1">
        <v>1</v>
      </c>
      <c r="B1" t="s">
        <v>191</v>
      </c>
      <c r="C1" t="s">
        <v>191</v>
      </c>
    </row>
    <row r="2" spans="1:7" x14ac:dyDescent="0.3">
      <c r="A2" s="2">
        <v>2</v>
      </c>
      <c r="B2" s="2" t="s">
        <v>190</v>
      </c>
      <c r="C2" s="2" t="s">
        <v>189</v>
      </c>
      <c r="D2" s="2" t="s">
        <v>34</v>
      </c>
      <c r="E2" s="2">
        <f>FIND("(",B2)</f>
        <v>26</v>
      </c>
      <c r="F2" s="2">
        <f>FIND("#",B2)</f>
        <v>34</v>
      </c>
      <c r="G2" s="2" t="str">
        <f>VLOOKUP(D2,Лист3!A:F,2,0)&amp;MID(B2,4,E2-5)&amp;"]]"&amp;VLOOKUP(D2,Лист3!A:F,4,0)</f>
        <v>- [[Rotes in sphere# RotesSC (Correspondence Effects)|Landscape Of The Mind]] Sphere-rote</v>
      </c>
    </row>
    <row r="3" spans="1:7" x14ac:dyDescent="0.3">
      <c r="A3" s="2">
        <v>3</v>
      </c>
      <c r="B3" s="2" t="s">
        <v>188</v>
      </c>
      <c r="C3" s="2" t="s">
        <v>187</v>
      </c>
      <c r="D3" s="2" t="s">
        <v>34</v>
      </c>
      <c r="E3" s="2">
        <f>FIND("(",B3)</f>
        <v>21</v>
      </c>
      <c r="F3" s="2">
        <f>FIND("#",B3)</f>
        <v>29</v>
      </c>
      <c r="G3" s="2" t="str">
        <f>VLOOKUP(D3,Лист3!A:F,2,0)&amp;MID(B3,4,E3-5)&amp;"]]"&amp;VLOOKUP(D3,Лист3!A:F,4,0)</f>
        <v>- [[Rotes in sphere# RotesSC (Correspondence Effects)|Sense Connection]] Sphere-rote</v>
      </c>
    </row>
    <row r="4" spans="1:7" x14ac:dyDescent="0.3">
      <c r="A4" s="2">
        <v>4</v>
      </c>
      <c r="B4" s="2" t="s">
        <v>186</v>
      </c>
      <c r="C4" s="2" t="s">
        <v>185</v>
      </c>
      <c r="D4" s="2" t="s">
        <v>34</v>
      </c>
      <c r="E4" s="2">
        <f>FIND("(",B4)</f>
        <v>14</v>
      </c>
      <c r="F4" s="2">
        <f>FIND("#",B4)</f>
        <v>22</v>
      </c>
      <c r="G4" s="2" t="str">
        <f>VLOOKUP(D4,Лист3!A:F,2,0)&amp;MID(B4,4,E4-5)&amp;"]]"&amp;VLOOKUP(D4,Лист3!A:F,4,0)</f>
        <v>- [[Rotes in sphere# RotesSC (Correspondence Effects)|Whereami?]] Sphere-rote</v>
      </c>
    </row>
    <row r="5" spans="1:7" x14ac:dyDescent="0.3">
      <c r="A5">
        <v>5</v>
      </c>
      <c r="B5" s="3" t="s">
        <v>184</v>
      </c>
      <c r="C5" s="3" t="s">
        <v>183</v>
      </c>
      <c r="D5" s="3" t="s">
        <v>51</v>
      </c>
      <c r="E5" s="3"/>
      <c r="G5" s="2" t="str">
        <f>B5&amp;VLOOKUP(D5,Лист3!A:F,4,0)</f>
        <v>- [Flying Dragon Kick](RotesDo#FlyDrKi)  Do (Akashic)</v>
      </c>
    </row>
    <row r="6" spans="1:7" x14ac:dyDescent="0.3">
      <c r="A6">
        <v>6</v>
      </c>
      <c r="B6" s="1" t="s">
        <v>182</v>
      </c>
      <c r="C6" s="1" t="s">
        <v>181</v>
      </c>
      <c r="D6" s="1" t="s">
        <v>57</v>
      </c>
      <c r="E6" s="1">
        <f t="shared" ref="E6:E12" si="0">FIND("(",B6)</f>
        <v>21</v>
      </c>
      <c r="F6">
        <f t="shared" ref="F6:F12" si="1">FIND("#",B6)</f>
        <v>28</v>
      </c>
      <c r="G6" s="2" t="str">
        <f>VLOOKUP(D6,Лист3!A:F,2,0)&amp;MID(B6,4,E6-5)&amp;"]]"&amp;VLOOKUP(D6,Лист3!A:F,4,0)</f>
        <v>- [[Rotes in groups# RotesG (General)|Ariadne's Thread]] General</v>
      </c>
    </row>
    <row r="7" spans="1:7" x14ac:dyDescent="0.3">
      <c r="A7">
        <v>7</v>
      </c>
      <c r="B7" s="1" t="s">
        <v>180</v>
      </c>
      <c r="C7" s="1" t="s">
        <v>179</v>
      </c>
      <c r="D7" s="1" t="s">
        <v>57</v>
      </c>
      <c r="E7" s="1">
        <f t="shared" si="0"/>
        <v>21</v>
      </c>
      <c r="F7">
        <f t="shared" si="1"/>
        <v>28</v>
      </c>
      <c r="G7" s="2" t="str">
        <f>VLOOKUP(D7,Лист3!A:F,2,0)&amp;MID(B7,4,E7-5)&amp;"]]"&amp;VLOOKUP(D7,Лист3!A:F,4,0)</f>
        <v>- [[Rotes in groups# RotesG (General)|Detect The Dream]] General</v>
      </c>
    </row>
    <row r="8" spans="1:7" x14ac:dyDescent="0.3">
      <c r="A8">
        <v>8</v>
      </c>
      <c r="B8" s="1" t="s">
        <v>178</v>
      </c>
      <c r="C8" s="1" t="s">
        <v>177</v>
      </c>
      <c r="D8" s="1" t="s">
        <v>57</v>
      </c>
      <c r="E8" s="1">
        <f t="shared" si="0"/>
        <v>19</v>
      </c>
      <c r="F8">
        <f t="shared" si="1"/>
        <v>26</v>
      </c>
      <c r="G8" s="2" t="str">
        <f>VLOOKUP(D8,Лист3!A:F,2,0)&amp;MID(B8,4,E8-5)&amp;"]]"&amp;VLOOKUP(D8,Лист3!A:F,4,0)</f>
        <v>- [[Rotes in groups# RotesG (General)|Prime Location]] General</v>
      </c>
    </row>
    <row r="9" spans="1:7" x14ac:dyDescent="0.3">
      <c r="A9">
        <v>9</v>
      </c>
      <c r="B9" s="1" t="s">
        <v>176</v>
      </c>
      <c r="C9" s="1" t="s">
        <v>175</v>
      </c>
      <c r="D9" s="1" t="s">
        <v>63</v>
      </c>
      <c r="E9" s="1">
        <f t="shared" si="0"/>
        <v>26</v>
      </c>
      <c r="F9">
        <f t="shared" si="1"/>
        <v>34</v>
      </c>
      <c r="G9" s="2" t="str">
        <f>VLOOKUP(D9,Лист3!A:F,2,0)&amp;MID(B9,4,E9-5)&amp;"]]"&amp;VLOOKUP(D9,Лист3!A:F,4,0)</f>
        <v>- [[Rotes in groups# RotesIX (Iteration X)|Targeting Computation]] :RaCog: Iteration X</v>
      </c>
    </row>
    <row r="10" spans="1:7" x14ac:dyDescent="0.3">
      <c r="A10">
        <v>10</v>
      </c>
      <c r="B10" s="1" t="s">
        <v>174</v>
      </c>
      <c r="C10" s="1" t="s">
        <v>173</v>
      </c>
      <c r="D10" s="1" t="s">
        <v>63</v>
      </c>
      <c r="E10" s="1">
        <f t="shared" si="0"/>
        <v>22</v>
      </c>
      <c r="F10">
        <f t="shared" si="1"/>
        <v>30</v>
      </c>
      <c r="G10" s="2" t="str">
        <f>VLOOKUP(D10,Лист3!A:F,2,0)&amp;MID(B10,4,E10-5)&amp;"]]"&amp;VLOOKUP(D10,Лист3!A:F,4,0)</f>
        <v>- [[Rotes in groups# RotesIX (Iteration X)|Time-Motion Study]] :RaCog: Iteration X</v>
      </c>
    </row>
    <row r="11" spans="1:7" x14ac:dyDescent="0.3">
      <c r="A11">
        <v>11</v>
      </c>
      <c r="B11" s="1" t="s">
        <v>172</v>
      </c>
      <c r="C11" s="1" t="s">
        <v>171</v>
      </c>
      <c r="D11" s="1" t="s">
        <v>80</v>
      </c>
      <c r="E11" s="1">
        <f t="shared" si="0"/>
        <v>23</v>
      </c>
      <c r="F11">
        <f t="shared" si="1"/>
        <v>31</v>
      </c>
      <c r="G11" s="2" t="str">
        <f>VLOOKUP(D11,Лист3!A:F,2,0)&amp;MID(B11,4,E11-5)&amp;"]]"&amp;VLOOKUP(D11,Лист3!A:F,4,0)</f>
        <v>- [[Rotes in groups# RotesTe (Templars)|Thief In The Night]] Templars</v>
      </c>
    </row>
    <row r="12" spans="1:7" x14ac:dyDescent="0.3">
      <c r="A12">
        <v>12</v>
      </c>
      <c r="B12" s="1" t="s">
        <v>170</v>
      </c>
      <c r="C12" s="1" t="s">
        <v>169</v>
      </c>
      <c r="D12" s="1" t="s">
        <v>83</v>
      </c>
      <c r="E12" s="1">
        <f t="shared" si="0"/>
        <v>25</v>
      </c>
      <c r="F12">
        <f t="shared" si="1"/>
        <v>34</v>
      </c>
      <c r="G12" s="2" t="str">
        <f>VLOOKUP(D12,Лист3!A:F,2,0)&amp;MID(B12,4,E12-5)&amp;"]]"&amp;VLOOKUP(D12,Лист3!A:F,4,0)</f>
        <v>- [[Rotes in groups# RotesVoE (Void Engineers)|Calculate Kinematics]] :RaCog: Void Engineers</v>
      </c>
    </row>
    <row r="13" spans="1:7" x14ac:dyDescent="0.3">
      <c r="A13">
        <v>14</v>
      </c>
      <c r="B13" t="s">
        <v>168</v>
      </c>
      <c r="C13" t="s">
        <v>168</v>
      </c>
      <c r="G13" s="2"/>
    </row>
    <row r="14" spans="1:7" x14ac:dyDescent="0.3">
      <c r="A14" s="2">
        <v>15</v>
      </c>
      <c r="B14" s="2" t="s">
        <v>167</v>
      </c>
      <c r="C14" s="2" t="s">
        <v>166</v>
      </c>
      <c r="D14" s="2" t="s">
        <v>34</v>
      </c>
      <c r="E14" s="2">
        <f>FIND("(",B14)</f>
        <v>16</v>
      </c>
      <c r="F14" s="2">
        <f>FIND("#",B14)</f>
        <v>24</v>
      </c>
      <c r="G14" s="2" t="str">
        <f>VLOOKUP(D14,Лист3!A:F,2,0)&amp;MID(B14,4,E14-5)&amp;"]]"&amp;VLOOKUP(D14,Лист3!A:F,4,0)</f>
        <v>- [[Rotes in sphere# RotesSC (Correspondence Effects)|Apportation]] Sphere-rote</v>
      </c>
    </row>
    <row r="15" spans="1:7" x14ac:dyDescent="0.3">
      <c r="A15" s="2">
        <v>17</v>
      </c>
      <c r="B15" s="2" t="s">
        <v>165</v>
      </c>
      <c r="C15" s="2" t="s">
        <v>164</v>
      </c>
      <c r="D15" s="2" t="s">
        <v>34</v>
      </c>
      <c r="E15" s="2">
        <f>FIND("(",B15)</f>
        <v>27</v>
      </c>
      <c r="F15" s="2">
        <f>FIND("#",B15)</f>
        <v>35</v>
      </c>
      <c r="G15" s="2" t="str">
        <f>VLOOKUP(D15,Лист3!A:F,2,0)&amp;MID(B15,4,E15-5)&amp;"]]"&amp;VLOOKUP(D15,Лист3!A:F,4,0)</f>
        <v>- [[Rotes in sphere# RotesSC (Correspondence Effects)|Correspondence Sensing]] Sphere-rote</v>
      </c>
    </row>
    <row r="16" spans="1:7" x14ac:dyDescent="0.3">
      <c r="A16" s="2">
        <v>34</v>
      </c>
      <c r="B16" s="2" t="s">
        <v>163</v>
      </c>
      <c r="C16" s="2" t="s">
        <v>162</v>
      </c>
      <c r="D16" s="2" t="s">
        <v>34</v>
      </c>
      <c r="E16" s="2">
        <f>FIND("(",B16)</f>
        <v>9</v>
      </c>
      <c r="F16" s="2">
        <f>FIND("#",B16)</f>
        <v>17</v>
      </c>
      <c r="G16" s="2" t="str">
        <f>VLOOKUP(D16,Лист3!A:F,2,0)&amp;MID(B16,4,E16-5)&amp;"]]"&amp;VLOOKUP(D16,Лист3!A:F,4,0)</f>
        <v>- [[Rotes in sphere# RotesSC (Correspondence Effects)|Ward]] Sphere-rote</v>
      </c>
    </row>
    <row r="17" spans="1:7" x14ac:dyDescent="0.3">
      <c r="A17">
        <v>19</v>
      </c>
      <c r="B17" s="3" t="s">
        <v>161</v>
      </c>
      <c r="C17" s="3" t="s">
        <v>160</v>
      </c>
      <c r="D17" s="3" t="s">
        <v>46</v>
      </c>
      <c r="E17" s="3"/>
      <c r="G17" s="2" t="str">
        <f>B17&amp;VLOOKUP(D17,Лист3!A:F,4,0)</f>
        <v>- [Eagle Eye](RotesAhIB#EagEye)  Alh-i-Batin</v>
      </c>
    </row>
    <row r="18" spans="1:7" x14ac:dyDescent="0.3">
      <c r="A18">
        <v>23</v>
      </c>
      <c r="B18" s="6" t="s">
        <v>159</v>
      </c>
      <c r="C18" s="6" t="s">
        <v>158</v>
      </c>
      <c r="D18" s="6" t="s">
        <v>75</v>
      </c>
      <c r="E18" s="6"/>
      <c r="G18" s="2" t="str">
        <f>B18&amp;VLOOKUP(D18,Лист3!A:F,4,0)</f>
        <v>- [Jury Rig](RotesSoOE#JuryRig)  Sons of Ether</v>
      </c>
    </row>
    <row r="19" spans="1:7" x14ac:dyDescent="0.3">
      <c r="A19">
        <v>29</v>
      </c>
      <c r="B19" s="3" t="s">
        <v>157</v>
      </c>
      <c r="C19" s="3" t="s">
        <v>156</v>
      </c>
      <c r="D19" s="3" t="s">
        <v>53</v>
      </c>
      <c r="E19" s="3"/>
      <c r="G19" s="2" t="str">
        <f>B19&amp;VLOOKUP(D19,Лист3!A:F,4,0)</f>
        <v>- [Scrying](RotesDr#Scr)  Dreamspeakers</v>
      </c>
    </row>
    <row r="20" spans="1:7" x14ac:dyDescent="0.3">
      <c r="A20">
        <v>33</v>
      </c>
      <c r="B20" s="3" t="s">
        <v>155</v>
      </c>
      <c r="C20" s="3" t="s">
        <v>154</v>
      </c>
      <c r="D20" s="3" t="s">
        <v>49</v>
      </c>
      <c r="E20" s="3"/>
      <c r="G20" s="2" t="str">
        <f>B20&amp;VLOOKUP(D20,Лист3!A:F,4,0)</f>
        <v>- [Trip, The](RotesCuOE#Trip)  Cult of Ecstasy</v>
      </c>
    </row>
    <row r="21" spans="1:7" x14ac:dyDescent="0.3">
      <c r="A21">
        <v>27</v>
      </c>
      <c r="B21" s="1" t="s">
        <v>153</v>
      </c>
      <c r="C21" s="1" t="s">
        <v>152</v>
      </c>
      <c r="D21" s="1" t="s">
        <v>57</v>
      </c>
      <c r="E21" s="1">
        <f t="shared" ref="E21:E34" si="2">FIND("(",B21)</f>
        <v>15</v>
      </c>
      <c r="F21">
        <f t="shared" ref="F21:F34" si="3">FIND("#",B21)</f>
        <v>22</v>
      </c>
      <c r="G21" s="2" t="str">
        <f>VLOOKUP(D21,Лист3!A:F,2,0)&amp;MID(B21,4,E21-5)&amp;"]]"&amp;VLOOKUP(D21,Лист3!A:F,4,0)</f>
        <v>- [[Rotes in groups# RotesG (General)|Pixie Lead]] General</v>
      </c>
    </row>
    <row r="22" spans="1:7" x14ac:dyDescent="0.3">
      <c r="A22">
        <v>16</v>
      </c>
      <c r="B22" s="1" t="s">
        <v>151</v>
      </c>
      <c r="C22" s="1" t="s">
        <v>150</v>
      </c>
      <c r="D22" s="1" t="s">
        <v>66</v>
      </c>
      <c r="E22" s="1">
        <f t="shared" si="2"/>
        <v>22</v>
      </c>
      <c r="F22">
        <f t="shared" si="3"/>
        <v>31</v>
      </c>
      <c r="G22" s="2" t="str">
        <f>VLOOKUP(D22,Лист3!A:F,2,0)&amp;MID(B22,4,E22-5)&amp;"]]"&amp;VLOOKUP(D22,Лист3!A:F,4,0)</f>
        <v>- [[Rotes in groups# RotesNWO (New world order)|Check The Corners]] :RaCog: New World Order</v>
      </c>
    </row>
    <row r="23" spans="1:7" x14ac:dyDescent="0.3">
      <c r="A23">
        <v>22</v>
      </c>
      <c r="B23" s="1" t="s">
        <v>149</v>
      </c>
      <c r="C23" s="1" t="s">
        <v>148</v>
      </c>
      <c r="D23" s="1" t="s">
        <v>66</v>
      </c>
      <c r="E23" s="1">
        <f t="shared" si="2"/>
        <v>17</v>
      </c>
      <c r="F23">
        <f t="shared" si="3"/>
        <v>26</v>
      </c>
      <c r="G23" s="2" t="str">
        <f>VLOOKUP(D23,Лист3!A:F,2,0)&amp;MID(B23,4,E23-5)&amp;"]]"&amp;VLOOKUP(D23,Лист3!A:F,4,0)</f>
        <v>- [[Rotes in groups# RotesNWO (New world order)|Heat Seeking]] :RaCog: New World Order</v>
      </c>
    </row>
    <row r="24" spans="1:7" x14ac:dyDescent="0.3">
      <c r="A24">
        <v>26</v>
      </c>
      <c r="B24" s="1" t="s">
        <v>147</v>
      </c>
      <c r="C24" s="1" t="s">
        <v>146</v>
      </c>
      <c r="D24" s="1" t="s">
        <v>66</v>
      </c>
      <c r="E24" s="1">
        <f t="shared" si="2"/>
        <v>14</v>
      </c>
      <c r="F24">
        <f t="shared" si="3"/>
        <v>23</v>
      </c>
      <c r="G24" s="2" t="str">
        <f>VLOOKUP(D24,Лист3!A:F,2,0)&amp;MID(B24,4,E24-5)&amp;"]]"&amp;VLOOKUP(D24,Лист3!A:F,4,0)</f>
        <v>- [[Rotes in groups# RotesNWO (New world order)|Phone Tap]] :RaCog: New World Order</v>
      </c>
    </row>
    <row r="25" spans="1:7" x14ac:dyDescent="0.3">
      <c r="A25">
        <v>30</v>
      </c>
      <c r="B25" s="1" t="s">
        <v>145</v>
      </c>
      <c r="C25" s="1" t="s">
        <v>144</v>
      </c>
      <c r="D25" s="1" t="s">
        <v>66</v>
      </c>
      <c r="E25" s="1">
        <f t="shared" si="2"/>
        <v>15</v>
      </c>
      <c r="F25">
        <f t="shared" si="3"/>
        <v>24</v>
      </c>
      <c r="G25" s="2" t="str">
        <f>VLOOKUP(D25,Лист3!A:F,2,0)&amp;MID(B25,4,E25-5)&amp;"]]"&amp;VLOOKUP(D25,Лист3!A:F,4,0)</f>
        <v>- [[Rotes in groups# RotesNWO (New world order)|Sense Node]] :RaCog: New World Order</v>
      </c>
    </row>
    <row r="26" spans="1:7" x14ac:dyDescent="0.3">
      <c r="A26">
        <v>20</v>
      </c>
      <c r="B26" s="1" t="s">
        <v>143</v>
      </c>
      <c r="C26" s="1" t="s">
        <v>142</v>
      </c>
      <c r="D26" s="1" t="s">
        <v>69</v>
      </c>
      <c r="E26" s="1">
        <f t="shared" si="2"/>
        <v>22</v>
      </c>
      <c r="F26">
        <f t="shared" si="3"/>
        <v>31</v>
      </c>
      <c r="G26" s="2" t="str">
        <f>VLOOKUP(D26,Лист3!A:F,2,0)&amp;MID(B26,4,E26-5)&amp;"]]"&amp;VLOOKUP(D26,Лист3!A:F,4,0)</f>
        <v>- [[Rotes in groups# RotesOOH (Order of Hermes)|Gabriel's Embrace]] Order of Hermes</v>
      </c>
    </row>
    <row r="27" spans="1:7" x14ac:dyDescent="0.3">
      <c r="A27">
        <v>21</v>
      </c>
      <c r="B27" s="1" t="s">
        <v>141</v>
      </c>
      <c r="C27" s="1" t="s">
        <v>140</v>
      </c>
      <c r="D27" s="1" t="s">
        <v>69</v>
      </c>
      <c r="E27" s="1">
        <f t="shared" si="2"/>
        <v>28</v>
      </c>
      <c r="F27">
        <f t="shared" si="3"/>
        <v>37</v>
      </c>
      <c r="G27" s="2" t="str">
        <f>VLOOKUP(D27,Лист3!A:F,2,0)&amp;MID(B27,4,E27-5)&amp;"]]"&amp;VLOOKUP(D27,Лист3!A:F,4,0)</f>
        <v>- [[Rotes in groups# RotesOOH (Order of Hermes)|Glorious Sword Of Haven]] Order of Hermes</v>
      </c>
    </row>
    <row r="28" spans="1:7" x14ac:dyDescent="0.3">
      <c r="A28">
        <v>25</v>
      </c>
      <c r="B28" s="1" t="s">
        <v>139</v>
      </c>
      <c r="C28" s="1" t="s">
        <v>138</v>
      </c>
      <c r="D28" s="1" t="s">
        <v>69</v>
      </c>
      <c r="E28" s="1">
        <f t="shared" si="2"/>
        <v>25</v>
      </c>
      <c r="F28">
        <f t="shared" si="3"/>
        <v>34</v>
      </c>
      <c r="G28" s="2" t="str">
        <f>VLOOKUP(D28,Лист3!A:F,2,0)&amp;MID(B28,4,E28-5)&amp;"]]"&amp;VLOOKUP(D28,Лист3!A:F,4,0)</f>
        <v>- [[Rotes in groups# RotesOOH (Order of Hermes)|Oak Of Sanguine Root]] Order of Hermes</v>
      </c>
    </row>
    <row r="29" spans="1:7" x14ac:dyDescent="0.3">
      <c r="A29">
        <v>28</v>
      </c>
      <c r="B29" s="1" t="s">
        <v>137</v>
      </c>
      <c r="C29" s="1" t="s">
        <v>136</v>
      </c>
      <c r="D29" s="1" t="s">
        <v>80</v>
      </c>
      <c r="E29" s="1">
        <f t="shared" si="2"/>
        <v>15</v>
      </c>
      <c r="F29">
        <f t="shared" si="3"/>
        <v>23</v>
      </c>
      <c r="G29" s="2" t="str">
        <f>VLOOKUP(D29,Лист3!A:F,2,0)&amp;MID(B29,4,E29-5)&amp;"]]"&amp;VLOOKUP(D29,Лист3!A:F,4,0)</f>
        <v>- [[Rotes in groups# RotesTe (Templars)|Quo Vadis?]] Templars</v>
      </c>
    </row>
    <row r="30" spans="1:7" x14ac:dyDescent="0.3">
      <c r="A30">
        <v>32</v>
      </c>
      <c r="B30" s="1" t="s">
        <v>135</v>
      </c>
      <c r="C30" s="1" t="s">
        <v>134</v>
      </c>
      <c r="D30" s="1" t="s">
        <v>80</v>
      </c>
      <c r="E30" s="1">
        <f t="shared" si="2"/>
        <v>19</v>
      </c>
      <c r="F30">
        <f t="shared" si="3"/>
        <v>27</v>
      </c>
      <c r="G30" s="2" t="str">
        <f>VLOOKUP(D30,Лист3!A:F,2,0)&amp;MID(B30,4,E30-5)&amp;"]]"&amp;VLOOKUP(D30,Лист3!A:F,4,0)</f>
        <v>- [[Rotes in groups# RotesTe (Templars)|Spatial Sheath]] Templars</v>
      </c>
    </row>
    <row r="31" spans="1:7" x14ac:dyDescent="0.3">
      <c r="A31">
        <v>35</v>
      </c>
      <c r="B31" s="1" t="s">
        <v>133</v>
      </c>
      <c r="C31" s="1" t="s">
        <v>132</v>
      </c>
      <c r="D31" s="1" t="s">
        <v>80</v>
      </c>
      <c r="E31" s="1">
        <f t="shared" si="2"/>
        <v>24</v>
      </c>
      <c r="F31">
        <f t="shared" si="3"/>
        <v>32</v>
      </c>
      <c r="G31" s="2" t="str">
        <f>VLOOKUP(D31,Лист3!A:F,2,0)&amp;MID(B31,4,E31-5)&amp;"]]"&amp;VLOOKUP(D31,Лист3!A:F,4,0)</f>
        <v>- [[Rotes in groups# RotesTe (Templars)|Whither Goest Thou?]] Templars</v>
      </c>
    </row>
    <row r="32" spans="1:7" x14ac:dyDescent="0.3">
      <c r="A32">
        <v>18</v>
      </c>
      <c r="B32" s="1" t="s">
        <v>131</v>
      </c>
      <c r="C32" s="1" t="s">
        <v>130</v>
      </c>
      <c r="D32" s="1" t="s">
        <v>86</v>
      </c>
      <c r="E32" s="1">
        <f t="shared" si="2"/>
        <v>30</v>
      </c>
      <c r="F32">
        <f t="shared" si="3"/>
        <v>38</v>
      </c>
      <c r="G32" s="2" t="str">
        <f>VLOOKUP(D32,Лист3!A:F,2,0)&amp;MID(B32,4,E32-5)&amp;"]]"&amp;VLOOKUP(D32,Лист3!A:F,4,0)</f>
        <v>- [[Rotes in groups# RotesWK (Wu-Keng)|Crippled Lotus Curse, The]] Wu Keng</v>
      </c>
    </row>
    <row r="33" spans="1:7" x14ac:dyDescent="0.3">
      <c r="A33">
        <v>24</v>
      </c>
      <c r="B33" s="1" t="s">
        <v>129</v>
      </c>
      <c r="C33" s="1" t="s">
        <v>128</v>
      </c>
      <c r="D33" s="1" t="s">
        <v>86</v>
      </c>
      <c r="E33" s="1">
        <f t="shared" si="2"/>
        <v>22</v>
      </c>
      <c r="F33">
        <f t="shared" si="3"/>
        <v>30</v>
      </c>
      <c r="G33" s="2" t="str">
        <f>VLOOKUP(D33,Лист3!A:F,2,0)&amp;MID(B33,4,E33-5)&amp;"]]"&amp;VLOOKUP(D33,Лист3!A:F,4,0)</f>
        <v>- [[Rotes in groups# RotesWK (Wu-Keng)|Luck Of The Lotus]] Wu Keng</v>
      </c>
    </row>
    <row r="34" spans="1:7" x14ac:dyDescent="0.3">
      <c r="A34">
        <v>31</v>
      </c>
      <c r="B34" s="1" t="s">
        <v>127</v>
      </c>
      <c r="C34" s="1" t="s">
        <v>126</v>
      </c>
      <c r="D34" s="1" t="s">
        <v>86</v>
      </c>
      <c r="E34" s="1">
        <f t="shared" si="2"/>
        <v>35</v>
      </c>
      <c r="F34">
        <f t="shared" si="3"/>
        <v>43</v>
      </c>
      <c r="G34" s="2" t="str">
        <f>VLOOKUP(D34,Лист3!A:F,2,0)&amp;MID(B34,4,E34-5)&amp;"]]"&amp;VLOOKUP(D34,Лист3!A:F,4,0)</f>
        <v>- [[Rotes in groups# RotesWK (Wu-Keng)|Shih-Huang-Ti's Marvelous Game]] Wu Keng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B1" workbookViewId="0">
      <selection activeCell="C13" sqref="C13:D24"/>
    </sheetView>
  </sheetViews>
  <sheetFormatPr defaultRowHeight="14.4" x14ac:dyDescent="0.3"/>
  <cols>
    <col min="1" max="1" width="3" bestFit="1" customWidth="1"/>
    <col min="2" max="2" width="57.44140625" bestFit="1" customWidth="1"/>
    <col min="3" max="3" width="36.77734375" bestFit="1" customWidth="1"/>
    <col min="4" max="4" width="10.109375" bestFit="1" customWidth="1"/>
    <col min="5" max="6" width="7.109375" bestFit="1" customWidth="1"/>
    <col min="7" max="7" width="91.44140625" bestFit="1" customWidth="1"/>
  </cols>
  <sheetData>
    <row r="1" spans="1:7" x14ac:dyDescent="0.3">
      <c r="A1">
        <v>38</v>
      </c>
      <c r="B1" s="1" t="s">
        <v>231</v>
      </c>
      <c r="C1" s="1" t="s">
        <v>231</v>
      </c>
      <c r="D1" s="1"/>
      <c r="E1" s="1" t="e">
        <f>FIND("(",B1)</f>
        <v>#VALUE!</v>
      </c>
      <c r="F1" t="e">
        <f>FIND("#",B1)</f>
        <v>#VALUE!</v>
      </c>
      <c r="G1" s="2" t="e">
        <f>VLOOKUP(D1,Лист3!A:F,2,0)&amp;MID(B1,4,E1-5)&amp;"]]"&amp;VLOOKUP(D1,Лист3!A:F,4,0)</f>
        <v>#N/A</v>
      </c>
    </row>
    <row r="2" spans="1:7" x14ac:dyDescent="0.3">
      <c r="A2">
        <v>41</v>
      </c>
      <c r="B2" s="2" t="s">
        <v>230</v>
      </c>
      <c r="C2" s="1" t="s">
        <v>229</v>
      </c>
      <c r="D2" s="1" t="s">
        <v>2</v>
      </c>
      <c r="E2" s="1">
        <f>FIND("(",B2)</f>
        <v>34</v>
      </c>
      <c r="F2">
        <f>FIND("#",B2)</f>
        <v>42</v>
      </c>
      <c r="G2" s="2" t="str">
        <f>VLOOKUP(D2,Лист3!A:F,2,0)&amp;MID(B2,5,E2-6)&amp;"]]"&amp;VLOOKUP(D2,Лист3!A:F,4,0)</f>
        <v>- [[Rotes in sphere# RotesSE (Entropy effects)|Locate Disorder And Weakness]] Sphere-rote</v>
      </c>
    </row>
    <row r="3" spans="1:7" x14ac:dyDescent="0.3">
      <c r="A3">
        <v>44</v>
      </c>
      <c r="B3" s="2" t="s">
        <v>0</v>
      </c>
      <c r="C3" s="1" t="s">
        <v>1</v>
      </c>
      <c r="D3" s="1" t="s">
        <v>2</v>
      </c>
      <c r="E3" s="1">
        <f>FIND("(",B3)</f>
        <v>19</v>
      </c>
      <c r="F3">
        <f>FIND("#",B3)</f>
        <v>27</v>
      </c>
      <c r="G3" s="2" t="str">
        <f>VLOOKUP(D3,Лист3!A:F,2,0)&amp;MID(B3,5,E3-6)&amp;"]]"&amp;VLOOKUP(D3,Лист3!A:F,4,0)</f>
        <v>- [[Rotes in sphere# RotesSE (Entropy effects)|Ring Of Truth]] Sphere-rote</v>
      </c>
    </row>
    <row r="4" spans="1:7" x14ac:dyDescent="0.3">
      <c r="A4">
        <v>45</v>
      </c>
      <c r="B4" s="3" t="s">
        <v>3</v>
      </c>
      <c r="C4" s="3" t="s">
        <v>4</v>
      </c>
      <c r="D4" s="3" t="s">
        <v>5</v>
      </c>
      <c r="E4" s="3"/>
      <c r="G4" s="4" t="str">
        <f>B4&amp;VLOOKUP(D4,Лист3!A:F,4,0)</f>
        <v xml:space="preserve"> - [Sense Corruption](RotesCeC#SenCo)  Celestial Chorus</v>
      </c>
    </row>
    <row r="5" spans="1:7" x14ac:dyDescent="0.3">
      <c r="A5">
        <v>47</v>
      </c>
      <c r="B5" s="3" t="s">
        <v>228</v>
      </c>
      <c r="C5" s="3" t="s">
        <v>227</v>
      </c>
      <c r="D5" s="3" t="s">
        <v>49</v>
      </c>
      <c r="E5" s="3"/>
      <c r="G5" s="4" t="str">
        <f>B5&amp;VLOOKUP(D5,Лист3!A:F,4,0)</f>
        <v xml:space="preserve"> - [Trip, The](RotesCuOE#Trip)  Cult of Ecstasy</v>
      </c>
    </row>
    <row r="6" spans="1:7" x14ac:dyDescent="0.3">
      <c r="A6">
        <v>39</v>
      </c>
      <c r="B6" s="1" t="s">
        <v>226</v>
      </c>
      <c r="C6" s="1" t="s">
        <v>225</v>
      </c>
      <c r="D6" s="1" t="s">
        <v>57</v>
      </c>
      <c r="E6" s="1">
        <f>FIND("(",B6)</f>
        <v>14</v>
      </c>
      <c r="F6">
        <f>FIND("#",B6)</f>
        <v>21</v>
      </c>
      <c r="G6" s="2" t="str">
        <f>VLOOKUP(D6,Лист3!A:F,2,0)&amp;MID(B6,5,E6-6)&amp;"]]"&amp;VLOOKUP(D6,Лист3!A:F,4,0)</f>
        <v>- [[Rotes in groups# RotesG (General)|Burn Out]] General</v>
      </c>
    </row>
    <row r="7" spans="1:7" x14ac:dyDescent="0.3">
      <c r="A7">
        <v>40</v>
      </c>
      <c r="B7" s="1" t="s">
        <v>224</v>
      </c>
      <c r="C7" s="1" t="s">
        <v>223</v>
      </c>
      <c r="D7" s="1" t="s">
        <v>69</v>
      </c>
      <c r="E7" s="1">
        <f>FIND("(",B7)</f>
        <v>18</v>
      </c>
      <c r="F7">
        <f>FIND("#",B7)</f>
        <v>27</v>
      </c>
      <c r="G7" s="2" t="str">
        <f>VLOOKUP(D7,Лист3!A:F,2,0)&amp;MID(B7,5,E7-6)&amp;"]]"&amp;VLOOKUP(D7,Лист3!A:F,4,0)</f>
        <v>- [[Rotes in groups# RotesOOH (Order of Hermes)|Hermes Brand]] Order of Hermes</v>
      </c>
    </row>
    <row r="8" spans="1:7" x14ac:dyDescent="0.3">
      <c r="A8">
        <v>42</v>
      </c>
      <c r="B8" s="1" t="s">
        <v>222</v>
      </c>
      <c r="C8" s="1" t="s">
        <v>221</v>
      </c>
      <c r="D8" s="1" t="s">
        <v>69</v>
      </c>
      <c r="E8" s="1">
        <f>FIND("(",B8)</f>
        <v>24</v>
      </c>
      <c r="F8">
        <f>FIND("#",B8)</f>
        <v>33</v>
      </c>
      <c r="G8" s="2" t="str">
        <f>VLOOKUP(D8,Лист3!A:F,2,0)&amp;MID(B8,5,E8-6)&amp;"]]"&amp;VLOOKUP(D8,Лист3!A:F,4,0)</f>
        <v>- [[Rotes in groups# RotesOOH (Order of Hermes)|Oathbreaker's Lash]] Order of Hermes</v>
      </c>
    </row>
    <row r="9" spans="1:7" x14ac:dyDescent="0.3">
      <c r="A9">
        <v>43</v>
      </c>
      <c r="B9" s="1" t="s">
        <v>220</v>
      </c>
      <c r="C9" s="1" t="s">
        <v>219</v>
      </c>
      <c r="D9" s="1" t="s">
        <v>63</v>
      </c>
      <c r="E9" s="1">
        <f>FIND("(",B9)</f>
        <v>14</v>
      </c>
      <c r="F9">
        <f>FIND("#",B9)</f>
        <v>22</v>
      </c>
      <c r="G9" s="2" t="str">
        <f>VLOOKUP(D9,Лист3!A:F,2,0)&amp;MID(B9,5,E9-6)&amp;"]]"&amp;VLOOKUP(D9,Лист3!A:F,4,0)</f>
        <v>- [[Rotes in groups# RotesIX (Iteration X)|Organize]] :RaCog: Iteration X</v>
      </c>
    </row>
    <row r="10" spans="1:7" x14ac:dyDescent="0.3">
      <c r="A10">
        <v>46</v>
      </c>
      <c r="B10" s="1" t="s">
        <v>218</v>
      </c>
      <c r="C10" s="1" t="s">
        <v>217</v>
      </c>
      <c r="D10" s="1" t="s">
        <v>86</v>
      </c>
      <c r="E10" s="1">
        <f>FIND("(",B10)</f>
        <v>43</v>
      </c>
      <c r="F10">
        <f>FIND("#",B10)</f>
        <v>51</v>
      </c>
      <c r="G10" s="2" t="str">
        <f>VLOOKUP(D10,Лист3!A:F,2,0)&amp;MID(B10,5,E10-6)&amp;"]]"&amp;VLOOKUP(D10,Лист3!A:F,4,0)</f>
        <v>- [[Rotes in groups# RotesWK (Wu-Keng)|Silent Promise Of The Spring Tortoise]] Wu Keng</v>
      </c>
    </row>
    <row r="11" spans="1:7" x14ac:dyDescent="0.3">
      <c r="B11" s="1"/>
      <c r="C11" s="1"/>
      <c r="D11" s="1"/>
      <c r="E11" s="1"/>
      <c r="G11" s="2"/>
    </row>
    <row r="12" spans="1:7" x14ac:dyDescent="0.3">
      <c r="A12">
        <v>49</v>
      </c>
      <c r="B12" s="1" t="s">
        <v>216</v>
      </c>
      <c r="C12" s="1" t="s">
        <v>216</v>
      </c>
      <c r="D12" s="1"/>
      <c r="E12" s="1" t="e">
        <f>FIND("(",B12)</f>
        <v>#VALUE!</v>
      </c>
      <c r="F12" t="e">
        <f>FIND("#",B12)</f>
        <v>#VALUE!</v>
      </c>
      <c r="G12" s="2" t="e">
        <f>VLOOKUP(D12,Лист3!A:F,2,0)&amp;MID(B12,4,E12-5)&amp;"]]"&amp;VLOOKUP(D12,Лист3!A:F,4,0)</f>
        <v>#N/A</v>
      </c>
    </row>
    <row r="13" spans="1:7" x14ac:dyDescent="0.3">
      <c r="A13">
        <v>50</v>
      </c>
      <c r="B13" s="2" t="s">
        <v>215</v>
      </c>
      <c r="C13" s="1" t="s">
        <v>214</v>
      </c>
      <c r="D13" s="1" t="s">
        <v>2</v>
      </c>
      <c r="E13" s="1">
        <f>FIND("(",B13)</f>
        <v>21</v>
      </c>
      <c r="F13">
        <f>FIND("#",B13)</f>
        <v>29</v>
      </c>
      <c r="G13" s="2" t="str">
        <f>VLOOKUP(D13,Лист3!A:F,2,0)&amp;MID(B13,5,E13-6)&amp;"]]"&amp;VLOOKUP(D13,Лист3!A:F,4,0)</f>
        <v>- [[Rotes in sphere# RotesSE (Entropy effects)|Beginner's Luck]] Sphere-rote</v>
      </c>
    </row>
    <row r="14" spans="1:7" x14ac:dyDescent="0.3">
      <c r="A14">
        <v>51</v>
      </c>
      <c r="B14" s="2" t="s">
        <v>213</v>
      </c>
      <c r="C14" s="1" t="s">
        <v>212</v>
      </c>
      <c r="D14" s="1" t="s">
        <v>2</v>
      </c>
      <c r="E14" s="1">
        <f>FIND("(",B14)</f>
        <v>19</v>
      </c>
      <c r="F14">
        <f>FIND("#",B14)</f>
        <v>27</v>
      </c>
      <c r="G14" s="2" t="str">
        <f>VLOOKUP(D14,Лист3!A:F,2,0)&amp;MID(B14,5,E14-6)&amp;"]]"&amp;VLOOKUP(D14,Лист3!A:F,4,0)</f>
        <v>- [[Rotes in sphere# RotesSE (Entropy effects)|Games Of Luck]] Sphere-rote</v>
      </c>
    </row>
    <row r="15" spans="1:7" x14ac:dyDescent="0.3">
      <c r="A15">
        <v>56</v>
      </c>
      <c r="B15" s="3" t="s">
        <v>211</v>
      </c>
      <c r="C15" s="3" t="s">
        <v>210</v>
      </c>
      <c r="D15" s="3" t="s">
        <v>55</v>
      </c>
      <c r="E15" s="3"/>
      <c r="G15" s="4" t="str">
        <f>B15&amp;VLOOKUP(D15,Лист3!A:F,4,0)</f>
        <v xml:space="preserve"> - [Random Impulse](RotesE#RanIm)  Euthanatos</v>
      </c>
    </row>
    <row r="16" spans="1:7" x14ac:dyDescent="0.3">
      <c r="A16">
        <v>59</v>
      </c>
      <c r="B16" s="1" t="s">
        <v>209</v>
      </c>
      <c r="C16" s="1" t="s">
        <v>208</v>
      </c>
      <c r="D16" s="1" t="s">
        <v>63</v>
      </c>
      <c r="E16" s="1">
        <f t="shared" ref="E16:E24" si="0">FIND("(",B16)</f>
        <v>27</v>
      </c>
      <c r="F16">
        <f t="shared" ref="F16:F24" si="1">FIND("#",B16)</f>
        <v>35</v>
      </c>
      <c r="G16" s="2" t="str">
        <f>VLOOKUP(D16,Лист3!A:F,2,0)&amp;MID(B16,5,E16-6)&amp;"]]"&amp;VLOOKUP(D16,Лист3!A:F,4,0)</f>
        <v>- [[Rotes in groups# RotesIX (Iteration X)|Statistical Mechanics]] :RaCog: Iteration X</v>
      </c>
    </row>
    <row r="17" spans="1:7" x14ac:dyDescent="0.3">
      <c r="A17">
        <v>54</v>
      </c>
      <c r="B17" s="1" t="s">
        <v>207</v>
      </c>
      <c r="C17" s="1" t="s">
        <v>206</v>
      </c>
      <c r="D17" s="1" t="s">
        <v>66</v>
      </c>
      <c r="E17" s="1">
        <f t="shared" si="0"/>
        <v>26</v>
      </c>
      <c r="F17">
        <f t="shared" si="1"/>
        <v>35</v>
      </c>
      <c r="G17" s="2" t="str">
        <f>VLOOKUP(D17,Лист3!A:F,2,0)&amp;MID(B17,5,E17-6)&amp;"]]"&amp;VLOOKUP(D17,Лист3!A:F,4,0)</f>
        <v>- [[Rotes in groups# RotesNWO (New world order)|Destructive Paranoia]] :RaCog: New World Order</v>
      </c>
    </row>
    <row r="18" spans="1:7" x14ac:dyDescent="0.3">
      <c r="A18">
        <v>55</v>
      </c>
      <c r="B18" s="1" t="s">
        <v>205</v>
      </c>
      <c r="C18" s="1" t="s">
        <v>204</v>
      </c>
      <c r="D18" s="1" t="s">
        <v>66</v>
      </c>
      <c r="E18" s="1">
        <f t="shared" si="0"/>
        <v>34</v>
      </c>
      <c r="F18">
        <f t="shared" si="1"/>
        <v>43</v>
      </c>
      <c r="G18" s="2" t="str">
        <f>VLOOKUP(D18,Лист3!A:F,2,0)&amp;MID(B18,5,E18-6)&amp;"]]"&amp;VLOOKUP(D18,Лист3!A:F,4,0)</f>
        <v>- [[Rotes in groups# RotesNWO (New world order)|Psychological Breaking Point]] :RaCog: New World Order</v>
      </c>
    </row>
    <row r="19" spans="1:7" x14ac:dyDescent="0.3">
      <c r="A19">
        <v>52</v>
      </c>
      <c r="B19" s="1" t="s">
        <v>203</v>
      </c>
      <c r="C19" s="1" t="s">
        <v>202</v>
      </c>
      <c r="D19" s="1" t="s">
        <v>69</v>
      </c>
      <c r="E19" s="1">
        <f t="shared" si="0"/>
        <v>21</v>
      </c>
      <c r="F19">
        <f t="shared" si="1"/>
        <v>30</v>
      </c>
      <c r="G19" s="2" t="str">
        <f>VLOOKUP(D19,Лист3!A:F,2,0)&amp;MID(B19,5,E19-6)&amp;"]]"&amp;VLOOKUP(D19,Лист3!A:F,4,0)</f>
        <v>- [[Rotes in groups# RotesOOH (Order of Hermes)|Chaos Butterfly]] Order of Hermes</v>
      </c>
    </row>
    <row r="20" spans="1:7" x14ac:dyDescent="0.3">
      <c r="A20">
        <v>61</v>
      </c>
      <c r="B20" s="1" t="s">
        <v>201</v>
      </c>
      <c r="C20" s="1" t="s">
        <v>200</v>
      </c>
      <c r="D20" s="1" t="s">
        <v>69</v>
      </c>
      <c r="E20" s="1">
        <f t="shared" si="0"/>
        <v>25</v>
      </c>
      <c r="F20">
        <f t="shared" si="1"/>
        <v>34</v>
      </c>
      <c r="G20" s="2" t="str">
        <f>VLOOKUP(D20,Лист3!A:F,2,0)&amp;MID(B20,5,E20-6)&amp;"]]"&amp;VLOOKUP(D20,Лист3!A:F,4,0)</f>
        <v>- [[Rotes in groups# RotesOOH (Order of Hermes)|Unraveling The Text]] Order of Hermes</v>
      </c>
    </row>
    <row r="21" spans="1:7" x14ac:dyDescent="0.3">
      <c r="A21">
        <v>53</v>
      </c>
      <c r="B21" s="1" t="s">
        <v>199</v>
      </c>
      <c r="C21" s="1" t="s">
        <v>198</v>
      </c>
      <c r="D21" s="1" t="s">
        <v>72</v>
      </c>
      <c r="E21" s="1">
        <f t="shared" si="0"/>
        <v>29</v>
      </c>
      <c r="F21">
        <f t="shared" si="1"/>
        <v>39</v>
      </c>
      <c r="G21" s="2" t="str">
        <f>VLOOKUP(D21,Лист3!A:F,2,0)&amp;MID(B21,5,E21-6)&amp;"]]"&amp;VLOOKUP(D21,Лист3!A:F,4,0)</f>
        <v>- [[Rotes in groups# RotesSiOH (Sisters of Hippolyta)|Conclave Wellness Works]] Sisters of Hippolyta</v>
      </c>
    </row>
    <row r="22" spans="1:7" x14ac:dyDescent="0.3">
      <c r="A22">
        <v>58</v>
      </c>
      <c r="B22" s="1" t="s">
        <v>197</v>
      </c>
      <c r="C22" s="1" t="s">
        <v>196</v>
      </c>
      <c r="D22" s="1" t="s">
        <v>77</v>
      </c>
      <c r="E22" s="1">
        <f t="shared" si="0"/>
        <v>23</v>
      </c>
      <c r="F22">
        <f t="shared" si="1"/>
        <v>31</v>
      </c>
      <c r="G22" s="2" t="str">
        <f>VLOOKUP(D22,Лист3!A:F,2,0)&amp;MID(B22,5,E22-6)&amp;"]]"&amp;VLOOKUP(D22,Лист3!A:F,4,0)</f>
        <v>- [[Rotes in groups# RotesSy (Syndicate)|Stacking The Deck]] :RaCog: Syncidate</v>
      </c>
    </row>
    <row r="23" spans="1:7" x14ac:dyDescent="0.3">
      <c r="A23">
        <v>57</v>
      </c>
      <c r="B23" s="1" t="s">
        <v>195</v>
      </c>
      <c r="C23" s="1" t="s">
        <v>194</v>
      </c>
      <c r="D23" s="1" t="s">
        <v>80</v>
      </c>
      <c r="E23" s="1">
        <f t="shared" si="0"/>
        <v>12</v>
      </c>
      <c r="F23">
        <f t="shared" si="1"/>
        <v>20</v>
      </c>
      <c r="G23" s="2" t="str">
        <f>VLOOKUP(D23,Лист3!A:F,2,0)&amp;MID(B23,5,E23-6)&amp;"]]"&amp;VLOOKUP(D23,Лист3!A:F,4,0)</f>
        <v>- [[Rotes in groups# RotesTe (Templars)|Recant]] Templars</v>
      </c>
    </row>
    <row r="24" spans="1:7" x14ac:dyDescent="0.3">
      <c r="A24">
        <v>60</v>
      </c>
      <c r="B24" s="1" t="s">
        <v>193</v>
      </c>
      <c r="C24" s="1" t="s">
        <v>192</v>
      </c>
      <c r="D24" s="1" t="s">
        <v>80</v>
      </c>
      <c r="E24" s="1">
        <f t="shared" si="0"/>
        <v>24</v>
      </c>
      <c r="F24">
        <f t="shared" si="1"/>
        <v>32</v>
      </c>
      <c r="G24" s="2" t="str">
        <f>VLOOKUP(D24,Лист3!A:F,2,0)&amp;MID(B24,5,E24-6)&amp;"]]"&amp;VLOOKUP(D24,Лист3!A:F,4,0)</f>
        <v>- [[Rotes in groups# RotesTe (Templars)|Thief In The Night]] Templars</v>
      </c>
    </row>
    <row r="25" spans="1:7" x14ac:dyDescent="0.3">
      <c r="B25" s="1"/>
      <c r="C25" s="1"/>
      <c r="D25" s="1"/>
      <c r="E25" s="1"/>
      <c r="G25" s="2"/>
    </row>
    <row r="26" spans="1:7" x14ac:dyDescent="0.3">
      <c r="A26">
        <v>63</v>
      </c>
    </row>
    <row r="27" spans="1:7" x14ac:dyDescent="0.3">
      <c r="A27">
        <v>64</v>
      </c>
    </row>
    <row r="28" spans="1:7" x14ac:dyDescent="0.3">
      <c r="A28">
        <v>65</v>
      </c>
    </row>
    <row r="29" spans="1:7" x14ac:dyDescent="0.3">
      <c r="A29">
        <v>66</v>
      </c>
    </row>
    <row r="30" spans="1:7" x14ac:dyDescent="0.3">
      <c r="A30">
        <v>67</v>
      </c>
    </row>
    <row r="31" spans="1:7" x14ac:dyDescent="0.3">
      <c r="A31">
        <v>68</v>
      </c>
    </row>
    <row r="32" spans="1:7" x14ac:dyDescent="0.3">
      <c r="A32">
        <v>69</v>
      </c>
    </row>
    <row r="33" spans="1:1" x14ac:dyDescent="0.3">
      <c r="A33">
        <v>70</v>
      </c>
    </row>
    <row r="34" spans="1:1" x14ac:dyDescent="0.3">
      <c r="A34">
        <v>71</v>
      </c>
    </row>
    <row r="35" spans="1:1" x14ac:dyDescent="0.3">
      <c r="A35">
        <v>72</v>
      </c>
    </row>
    <row r="36" spans="1:1" x14ac:dyDescent="0.3">
      <c r="A36">
        <v>73</v>
      </c>
    </row>
    <row r="37" spans="1:1" x14ac:dyDescent="0.3">
      <c r="A37">
        <v>74</v>
      </c>
    </row>
    <row r="38" spans="1:1" x14ac:dyDescent="0.3">
      <c r="A38">
        <v>75</v>
      </c>
    </row>
    <row r="39" spans="1:1" x14ac:dyDescent="0.3">
      <c r="A39">
        <v>76</v>
      </c>
    </row>
    <row r="40" spans="1:1" x14ac:dyDescent="0.3">
      <c r="A40">
        <v>77</v>
      </c>
    </row>
    <row r="41" spans="1:1" x14ac:dyDescent="0.3">
      <c r="A41">
        <v>78</v>
      </c>
    </row>
    <row r="42" spans="1:1" x14ac:dyDescent="0.3">
      <c r="A42">
        <v>79</v>
      </c>
    </row>
    <row r="43" spans="1:1" x14ac:dyDescent="0.3">
      <c r="A43">
        <v>80</v>
      </c>
    </row>
    <row r="44" spans="1:1" x14ac:dyDescent="0.3">
      <c r="A44">
        <v>81</v>
      </c>
    </row>
    <row r="45" spans="1:1" x14ac:dyDescent="0.3">
      <c r="A45">
        <v>82</v>
      </c>
    </row>
    <row r="46" spans="1:1" x14ac:dyDescent="0.3">
      <c r="A46">
        <v>83</v>
      </c>
    </row>
    <row r="47" spans="1:1" x14ac:dyDescent="0.3">
      <c r="A47">
        <v>84</v>
      </c>
    </row>
    <row r="48" spans="1:1" x14ac:dyDescent="0.3">
      <c r="A48">
        <v>85</v>
      </c>
    </row>
    <row r="49" spans="1:1" x14ac:dyDescent="0.3">
      <c r="A49">
        <v>86</v>
      </c>
    </row>
    <row r="50" spans="1:1" x14ac:dyDescent="0.3">
      <c r="A50">
        <v>87</v>
      </c>
    </row>
    <row r="51" spans="1:1" x14ac:dyDescent="0.3">
      <c r="A51">
        <v>88</v>
      </c>
    </row>
    <row r="52" spans="1:1" x14ac:dyDescent="0.3">
      <c r="A52">
        <v>89</v>
      </c>
    </row>
  </sheetData>
  <autoFilter ref="A12:G24">
    <sortState ref="A13:G24">
      <sortCondition sortBy="fontColor" ref="B12:B24" dxfId="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7" workbookViewId="0">
      <selection activeCell="B1" sqref="B1:C29"/>
    </sheetView>
  </sheetViews>
  <sheetFormatPr defaultRowHeight="14.4" x14ac:dyDescent="0.3"/>
  <cols>
    <col min="1" max="1" width="57.44140625" style="7" bestFit="1" customWidth="1"/>
    <col min="2" max="2" width="32.33203125" style="7" bestFit="1" customWidth="1"/>
    <col min="3" max="3" width="10.109375" style="7" bestFit="1" customWidth="1"/>
    <col min="4" max="5" width="7.109375" style="7" bestFit="1" customWidth="1"/>
    <col min="6" max="6" width="90.6640625" style="7" bestFit="1" customWidth="1"/>
    <col min="7" max="16384" width="8.88671875" style="7"/>
  </cols>
  <sheetData>
    <row r="1" spans="1:6" x14ac:dyDescent="0.3">
      <c r="A1" s="7" t="s">
        <v>277</v>
      </c>
      <c r="B1" s="7" t="s">
        <v>277</v>
      </c>
      <c r="D1" s="7" t="e">
        <f t="shared" ref="D1:D7" si="0">FIND("(",A1)</f>
        <v>#VALUE!</v>
      </c>
      <c r="E1" s="7" t="e">
        <f t="shared" ref="E1:E7" si="1">FIND("#",A1)</f>
        <v>#VALUE!</v>
      </c>
      <c r="F1" s="7" t="e">
        <f>VLOOKUP(C1,Лист3!A:F,2,0)&amp;MID(A1,5,D1-6)&amp;"]]"&amp;VLOOKUP(C1,Лист3!A:F,4,0)</f>
        <v>#N/A</v>
      </c>
    </row>
    <row r="2" spans="1:6" x14ac:dyDescent="0.3">
      <c r="A2" s="8" t="s">
        <v>276</v>
      </c>
      <c r="B2" s="8" t="s">
        <v>275</v>
      </c>
      <c r="C2" s="8" t="s">
        <v>44</v>
      </c>
      <c r="D2" s="8">
        <f t="shared" si="0"/>
        <v>18</v>
      </c>
      <c r="E2" s="8">
        <f t="shared" si="1"/>
        <v>26</v>
      </c>
      <c r="F2" s="7" t="str">
        <f>VLOOKUP(C2,Лист3!A:F,2,0)&amp;MID(A2,5,D2-6)&amp;"]]"&amp;VLOOKUP(C2,Лист3!A:F,4,0)</f>
        <v>- [[Rotes in sphere# RotesST (Time effects)|Perfect Time]] Sphere-rote</v>
      </c>
    </row>
    <row r="3" spans="1:6" x14ac:dyDescent="0.3">
      <c r="A3" s="8" t="s">
        <v>274</v>
      </c>
      <c r="B3" s="8" t="s">
        <v>273</v>
      </c>
      <c r="C3" s="8" t="s">
        <v>44</v>
      </c>
      <c r="D3" s="8">
        <f t="shared" si="0"/>
        <v>16</v>
      </c>
      <c r="E3" s="8">
        <f t="shared" si="1"/>
        <v>24</v>
      </c>
      <c r="F3" s="7" t="str">
        <f>VLOOKUP(C3,Лист3!A:F,2,0)&amp;MID(A3,5,D3-6)&amp;"]]"&amp;VLOOKUP(C3,Лист3!A:F,4,0)</f>
        <v>- [[Rotes in sphere# RotesST (Time effects)|Time Sense]] Sphere-rote</v>
      </c>
    </row>
    <row r="4" spans="1:6" x14ac:dyDescent="0.3">
      <c r="A4" s="7" t="s">
        <v>272</v>
      </c>
      <c r="B4" s="7" t="s">
        <v>271</v>
      </c>
      <c r="C4" s="7" t="s">
        <v>63</v>
      </c>
      <c r="D4" s="7">
        <f t="shared" si="0"/>
        <v>20</v>
      </c>
      <c r="E4" s="7">
        <f t="shared" si="1"/>
        <v>28</v>
      </c>
      <c r="F4" s="7" t="str">
        <f>VLOOKUP(C4,Лист3!A:F,2,0)&amp;MID(A4,5,D4-6)&amp;"]]"&amp;VLOOKUP(C4,Лист3!A:F,4,0)</f>
        <v>- [[Rotes in groups# RotesIX (Iteration X)|Rigid Schedule]] :RaCog: Iteration X</v>
      </c>
    </row>
    <row r="5" spans="1:6" x14ac:dyDescent="0.3">
      <c r="A5" s="7" t="s">
        <v>270</v>
      </c>
      <c r="B5" s="7" t="s">
        <v>269</v>
      </c>
      <c r="C5" s="7" t="s">
        <v>63</v>
      </c>
      <c r="D5" s="7">
        <f t="shared" si="0"/>
        <v>23</v>
      </c>
      <c r="E5" s="7">
        <f t="shared" si="1"/>
        <v>31</v>
      </c>
      <c r="F5" s="7" t="str">
        <f>VLOOKUP(C5,Лист3!A:F,2,0)&amp;MID(A5,5,D5-6)&amp;"]]"&amp;VLOOKUP(C5,Лист3!A:F,4,0)</f>
        <v>- [[Rotes in groups# RotesIX (Iteration X)|Time-Motion Study]] :RaCog: Iteration X</v>
      </c>
    </row>
    <row r="6" spans="1:6" x14ac:dyDescent="0.3">
      <c r="A6" s="7" t="s">
        <v>268</v>
      </c>
      <c r="B6" s="7" t="s">
        <v>267</v>
      </c>
      <c r="C6" s="7" t="s">
        <v>66</v>
      </c>
      <c r="D6" s="7">
        <f t="shared" si="0"/>
        <v>25</v>
      </c>
      <c r="E6" s="7">
        <f t="shared" si="1"/>
        <v>34</v>
      </c>
      <c r="F6" s="7" t="str">
        <f>VLOOKUP(C6,Лист3!A:F,2,0)&amp;MID(A6,5,D6-6)&amp;"]]"&amp;VLOOKUP(C6,Лист3!A:F,4,0)</f>
        <v>- [[Rotes in groups# RotesNWO (New world order)|Synchronize Watches]] :RaCog: New World Order</v>
      </c>
    </row>
    <row r="7" spans="1:6" x14ac:dyDescent="0.3">
      <c r="A7" s="7" t="s">
        <v>266</v>
      </c>
      <c r="B7" s="7" t="s">
        <v>265</v>
      </c>
      <c r="C7" s="7" t="s">
        <v>83</v>
      </c>
      <c r="D7" s="7">
        <f t="shared" si="0"/>
        <v>40</v>
      </c>
      <c r="E7" s="7">
        <f t="shared" si="1"/>
        <v>49</v>
      </c>
      <c r="F7" s="7" t="str">
        <f>VLOOKUP(C7,Лист3!A:F,2,0)&amp;MID(A7,5,D7-6)&amp;"]]"&amp;VLOOKUP(C7,Лист3!A:F,4,0)</f>
        <v>- [[Rotes in groups# RotesVoE (Void Engineers)|Evaluate Fourth Dimensional Fabric]] :RaCog: Void Engineers</v>
      </c>
    </row>
    <row r="9" spans="1:6" x14ac:dyDescent="0.3">
      <c r="A9" s="7" t="s">
        <v>264</v>
      </c>
      <c r="B9" s="7" t="s">
        <v>264</v>
      </c>
      <c r="D9" s="7" t="e">
        <f>FIND("(",A9)</f>
        <v>#VALUE!</v>
      </c>
      <c r="E9" s="7" t="e">
        <f>FIND("#",A9)</f>
        <v>#VALUE!</v>
      </c>
      <c r="F9" s="7" t="e">
        <f>VLOOKUP(C9,Лист3!A:F,2,0)&amp;MID(A9,5,D9-6)&amp;"]]"&amp;VLOOKUP(C9,Лист3!A:F,4,0)</f>
        <v>#N/A</v>
      </c>
    </row>
    <row r="10" spans="1:6" x14ac:dyDescent="0.3">
      <c r="A10" s="8" t="s">
        <v>263</v>
      </c>
      <c r="B10" s="8" t="s">
        <v>262</v>
      </c>
      <c r="C10" s="8" t="s">
        <v>2</v>
      </c>
      <c r="D10" s="8">
        <f>FIND("(",A10)</f>
        <v>20</v>
      </c>
      <c r="E10" s="8">
        <f>FIND("#",A10)</f>
        <v>28</v>
      </c>
      <c r="F10" s="7" t="str">
        <f>VLOOKUP(C10,Лист3!A:F,2,0)&amp;MID(A10,5,D10-6)&amp;"]]"&amp;VLOOKUP(C10,Лист3!A:F,4,0)</f>
        <v>- [[Rotes in sphere# RotesSE (Entropy effects)|Shed The Years]] Sphere-rote</v>
      </c>
    </row>
    <row r="11" spans="1:6" x14ac:dyDescent="0.3">
      <c r="A11" s="8" t="s">
        <v>261</v>
      </c>
      <c r="B11" s="8" t="s">
        <v>260</v>
      </c>
      <c r="C11" s="8" t="s">
        <v>44</v>
      </c>
      <c r="D11" s="8">
        <f>FIND("(",A11)</f>
        <v>17</v>
      </c>
      <c r="E11" s="8">
        <f>FIND("#",A11)</f>
        <v>25</v>
      </c>
      <c r="F11" s="7" t="str">
        <f>VLOOKUP(C11,Лист3!A:F,2,0)&amp;MID(A11,5,D11-6)&amp;"]]"&amp;VLOOKUP(C11,Лист3!A:F,4,0)</f>
        <v>- [[Rotes in sphere# RotesST (Time effects)|Divinations]] Sphere-rote</v>
      </c>
    </row>
    <row r="12" spans="1:6" x14ac:dyDescent="0.3">
      <c r="A12" s="8" t="s">
        <v>259</v>
      </c>
      <c r="B12" s="8" t="s">
        <v>258</v>
      </c>
      <c r="C12" s="8" t="s">
        <v>44</v>
      </c>
      <c r="D12" s="8">
        <f>FIND("(",A12)</f>
        <v>16</v>
      </c>
      <c r="E12" s="8">
        <f>FIND("#",A12)</f>
        <v>24</v>
      </c>
      <c r="F12" s="7" t="str">
        <f>VLOOKUP(C12,Лист3!A:F,2,0)&amp;MID(A12,5,D12-6)&amp;"]]"&amp;VLOOKUP(C12,Лист3!A:F,4,0)</f>
        <v>- [[Rotes in sphere# RotesST (Time effects)|Time Wards]] Sphere-rote</v>
      </c>
    </row>
    <row r="13" spans="1:6" x14ac:dyDescent="0.3">
      <c r="A13" s="6" t="s">
        <v>257</v>
      </c>
      <c r="B13" s="6" t="s">
        <v>227</v>
      </c>
      <c r="C13" s="6" t="s">
        <v>49</v>
      </c>
      <c r="D13" s="6"/>
      <c r="E13" s="6"/>
      <c r="F13" s="4" t="str">
        <f>A13&amp;VLOOKUP(C13,Лист3!A:D,4,0)</f>
        <v xml:space="preserve"> - [Trip, The](RotesCuOE#Trip) Cult of Ecstasy</v>
      </c>
    </row>
    <row r="14" spans="1:6" x14ac:dyDescent="0.3">
      <c r="A14" s="7" t="s">
        <v>256</v>
      </c>
      <c r="B14" s="7" t="s">
        <v>255</v>
      </c>
      <c r="C14" s="7" t="s">
        <v>57</v>
      </c>
      <c r="D14" s="7">
        <f t="shared" ref="D14:D21" si="2">FIND("(",A14)</f>
        <v>21</v>
      </c>
      <c r="E14" s="7">
        <f t="shared" ref="E14:E21" si="3">FIND("#",A14)</f>
        <v>28</v>
      </c>
      <c r="F14" s="7" t="str">
        <f>VLOOKUP(C14,Лист3!A:F,2,0)&amp;MID(A14,5,D14-6)&amp;"]]"&amp;VLOOKUP(C14,Лист3!A:F,4,0)</f>
        <v>- [[Rotes in groups# RotesG (General)|Song Of Orpheus]] General</v>
      </c>
    </row>
    <row r="15" spans="1:6" x14ac:dyDescent="0.3">
      <c r="A15" s="7" t="s">
        <v>254</v>
      </c>
      <c r="B15" s="7" t="s">
        <v>253</v>
      </c>
      <c r="C15" s="7" t="s">
        <v>60</v>
      </c>
      <c r="D15" s="7">
        <f t="shared" si="2"/>
        <v>39</v>
      </c>
      <c r="E15" s="7">
        <f t="shared" si="3"/>
        <v>48</v>
      </c>
      <c r="F15" s="7" t="str">
        <f>VLOOKUP(C15,Лист3!A:F,2,0)&amp;MID(A15,5,D15-6)&amp;"]]"&amp;VLOOKUP(C15,Лист3!A:F,4,0)</f>
        <v>- [[Rotes in groups# RotesHoO (Hollow Ones)|Penny Dreadful's Bright New Penny]] Hollow Ones</v>
      </c>
    </row>
    <row r="16" spans="1:6" x14ac:dyDescent="0.3">
      <c r="A16" s="7" t="s">
        <v>252</v>
      </c>
      <c r="B16" s="7" t="s">
        <v>251</v>
      </c>
      <c r="C16" s="7" t="s">
        <v>63</v>
      </c>
      <c r="D16" s="7">
        <f t="shared" si="2"/>
        <v>24</v>
      </c>
      <c r="E16" s="7">
        <f t="shared" si="3"/>
        <v>32</v>
      </c>
      <c r="F16" s="7" t="str">
        <f>VLOOKUP(C16,Лист3!A:F,2,0)&amp;MID(A16,5,D16-6)&amp;"]]"&amp;VLOOKUP(C16,Лист3!A:F,4,0)</f>
        <v>- [[Rotes in groups# RotesIX (Iteration X)|Planned Projection]] :RaCog: Iteration X</v>
      </c>
    </row>
    <row r="17" spans="1:6" x14ac:dyDescent="0.3">
      <c r="A17" s="7" t="s">
        <v>250</v>
      </c>
      <c r="B17" s="7" t="s">
        <v>249</v>
      </c>
      <c r="C17" s="7" t="s">
        <v>66</v>
      </c>
      <c r="D17" s="7">
        <f t="shared" si="2"/>
        <v>21</v>
      </c>
      <c r="E17" s="7">
        <f t="shared" si="3"/>
        <v>30</v>
      </c>
      <c r="F17" s="7" t="str">
        <f>VLOOKUP(C17,Лист3!A:F,2,0)&amp;MID(A17,5,D17-6)&amp;"]]"&amp;VLOOKUP(C17,Лист3!A:F,4,0)</f>
        <v>- [[Rotes in groups# RotesNWO (New world order)|Hail Of Bullets]] :RaCog: New World Order</v>
      </c>
    </row>
    <row r="18" spans="1:6" x14ac:dyDescent="0.3">
      <c r="A18" s="7" t="s">
        <v>248</v>
      </c>
      <c r="B18" s="7" t="s">
        <v>247</v>
      </c>
      <c r="C18" s="7" t="s">
        <v>77</v>
      </c>
      <c r="D18" s="7">
        <f t="shared" si="2"/>
        <v>14</v>
      </c>
      <c r="E18" s="7">
        <f t="shared" si="3"/>
        <v>22</v>
      </c>
      <c r="F18" s="7" t="str">
        <f>VLOOKUP(C18,Лист3!A:F,2,0)&amp;MID(A18,5,D18-6)&amp;"]]"&amp;VLOOKUP(C18,Лист3!A:F,4,0)</f>
        <v>- [[Rotes in groups# RotesSy (Syndicate)|PIN Drop]] :RaCog: Syncidate</v>
      </c>
    </row>
    <row r="19" spans="1:6" x14ac:dyDescent="0.3">
      <c r="A19" s="7" t="s">
        <v>246</v>
      </c>
      <c r="B19" s="7" t="s">
        <v>245</v>
      </c>
      <c r="C19" s="7" t="s">
        <v>80</v>
      </c>
      <c r="D19" s="7">
        <f t="shared" si="2"/>
        <v>16</v>
      </c>
      <c r="E19" s="7">
        <f t="shared" si="3"/>
        <v>24</v>
      </c>
      <c r="F19" s="7" t="str">
        <f>VLOOKUP(C19,Лист3!A:F,2,0)&amp;MID(A19,5,D19-6)&amp;"]]"&amp;VLOOKUP(C19,Лист3!A:F,4,0)</f>
        <v>- [[Rotes in groups# RotesTe (Templars)|Quo Vadis?]] Templars</v>
      </c>
    </row>
    <row r="20" spans="1:6" x14ac:dyDescent="0.3">
      <c r="A20" s="7" t="s">
        <v>244</v>
      </c>
      <c r="B20" s="7" t="s">
        <v>243</v>
      </c>
      <c r="C20" s="7" t="s">
        <v>80</v>
      </c>
      <c r="D20" s="7">
        <f t="shared" si="2"/>
        <v>25</v>
      </c>
      <c r="E20" s="7">
        <f t="shared" si="3"/>
        <v>33</v>
      </c>
      <c r="F20" s="7" t="str">
        <f>VLOOKUP(C20,Лист3!A:F,2,0)&amp;MID(A20,5,D20-6)&amp;"]]"&amp;VLOOKUP(C20,Лист3!A:F,4,0)</f>
        <v>- [[Rotes in groups# RotesTe (Templars)|Whither Goest Thou?]] Templars</v>
      </c>
    </row>
    <row r="21" spans="1:6" x14ac:dyDescent="0.3">
      <c r="A21" s="7" t="s">
        <v>242</v>
      </c>
      <c r="B21" s="7" t="s">
        <v>241</v>
      </c>
      <c r="C21" s="7" t="s">
        <v>83</v>
      </c>
      <c r="D21" s="7">
        <f t="shared" si="2"/>
        <v>30</v>
      </c>
      <c r="E21" s="7">
        <f t="shared" si="3"/>
        <v>39</v>
      </c>
      <c r="F21" s="7" t="str">
        <f>VLOOKUP(C21,Лист3!A:F,2,0)&amp;MID(A21,5,D21-6)&amp;"]]"&amp;VLOOKUP(C21,Лист3!A:F,4,0)</f>
        <v>- [[Rotes in groups# RotesVoE (Void Engineers)|Manipulate Time Fragment]] :RaCog: Void Engineers</v>
      </c>
    </row>
    <row r="23" spans="1:6" x14ac:dyDescent="0.3">
      <c r="A23" s="7" t="s">
        <v>240</v>
      </c>
      <c r="B23" s="7" t="s">
        <v>240</v>
      </c>
      <c r="D23" s="7" t="e">
        <f>FIND("(",A23)</f>
        <v>#VALUE!</v>
      </c>
      <c r="E23" s="7" t="e">
        <f>FIND("#",A23)</f>
        <v>#VALUE!</v>
      </c>
      <c r="F23" s="7" t="e">
        <f>VLOOKUP(C23,Лист3!A:F,2,0)&amp;MID(A23,5,D23-6)&amp;"]]"&amp;VLOOKUP(C23,Лист3!A:F,4,0)</f>
        <v>#N/A</v>
      </c>
    </row>
    <row r="24" spans="1:6" x14ac:dyDescent="0.3">
      <c r="A24" s="8" t="s">
        <v>239</v>
      </c>
      <c r="B24" s="8" t="s">
        <v>238</v>
      </c>
      <c r="C24" s="8" t="s">
        <v>44</v>
      </c>
      <c r="D24" s="8">
        <f>FIND("(",A24)</f>
        <v>18</v>
      </c>
      <c r="E24" s="8">
        <f>FIND("#",A24)</f>
        <v>26</v>
      </c>
      <c r="F24" s="7" t="str">
        <f>VLOOKUP(C24,Лист3!A:F,2,0)&amp;MID(A24,5,D24-6)&amp;"]]"&amp;VLOOKUP(C24,Лист3!A:F,4,0)</f>
        <v>- [[Rotes in sphere# RotesST (Time effects)|Distort Time]] Sphere-rote</v>
      </c>
    </row>
    <row r="25" spans="1:6" x14ac:dyDescent="0.3">
      <c r="A25" s="8" t="s">
        <v>237</v>
      </c>
      <c r="B25" s="8" t="s">
        <v>236</v>
      </c>
      <c r="C25" s="8" t="s">
        <v>44</v>
      </c>
      <c r="D25" s="8">
        <f>FIND("(",A25)</f>
        <v>15</v>
      </c>
      <c r="E25" s="8">
        <f>FIND("#",A25)</f>
        <v>23</v>
      </c>
      <c r="F25" s="7" t="str">
        <f>VLOOKUP(C25,Лист3!A:F,2,0)&amp;MID(A25,5,D25-6)&amp;"]]"&amp;VLOOKUP(C25,Лист3!A:F,4,0)</f>
        <v>- [[Rotes in sphere# RotesST (Time effects)|Time Warp]] Sphere-rote</v>
      </c>
    </row>
    <row r="26" spans="1:6" x14ac:dyDescent="0.3">
      <c r="A26" s="7" t="s">
        <v>235</v>
      </c>
      <c r="B26" s="7" t="s">
        <v>234</v>
      </c>
      <c r="C26" s="7" t="s">
        <v>69</v>
      </c>
      <c r="D26" s="7">
        <f>FIND("(",A26)</f>
        <v>22</v>
      </c>
      <c r="E26" s="7">
        <f>FIND("#",A26)</f>
        <v>31</v>
      </c>
      <c r="F26" s="7" t="str">
        <f>VLOOKUP(C26,Лист3!A:F,2,0)&amp;MID(A26,5,D26-6)&amp;"]]"&amp;VLOOKUP(C26,Лист3!A:F,4,0)</f>
        <v>- [[Rotes in groups# RotesOOH (Order of Hermes)|Book Of Whispers]] Order of Hermes</v>
      </c>
    </row>
    <row r="27" spans="1:6" x14ac:dyDescent="0.3">
      <c r="A27" s="7" t="s">
        <v>233</v>
      </c>
      <c r="B27" s="7" t="s">
        <v>232</v>
      </c>
      <c r="C27" s="7" t="s">
        <v>66</v>
      </c>
      <c r="D27" s="7">
        <f>FIND("(",A27)</f>
        <v>29</v>
      </c>
      <c r="E27" s="7">
        <f>FIND("#",A27)</f>
        <v>38</v>
      </c>
      <c r="F27" s="7" t="str">
        <f>VLOOKUP(C27,Лист3!A:F,2,0)&amp;MID(A27,5,D27-6)&amp;"]]"&amp;VLOOKUP(C27,Лист3!A:F,4,0)</f>
        <v>- [[Rotes in groups# RotesNWO (New world order)|Download Specialization]] :RaCog: New World Order</v>
      </c>
    </row>
  </sheetData>
  <autoFilter ref="A23:F27">
    <sortState ref="A24:F27">
      <sortCondition sortBy="cellColor" ref="B23:B27" dxfId="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4" workbookViewId="0">
      <selection activeCell="B12" sqref="B12"/>
    </sheetView>
  </sheetViews>
  <sheetFormatPr defaultRowHeight="14.4" x14ac:dyDescent="0.3"/>
  <cols>
    <col min="1" max="1" width="10.109375" bestFit="1" customWidth="1"/>
    <col min="2" max="2" width="45.6640625" bestFit="1" customWidth="1"/>
    <col min="3" max="3" width="29.6640625" bestFit="1" customWidth="1"/>
    <col min="4" max="4" width="11.109375" bestFit="1" customWidth="1"/>
    <col min="5" max="5" width="22.88671875" customWidth="1"/>
  </cols>
  <sheetData>
    <row r="1" spans="1:4" x14ac:dyDescent="0.3">
      <c r="A1" t="s">
        <v>34</v>
      </c>
      <c r="B1" t="str">
        <f t="shared" ref="B1:B9" si="0">"- [[Rotes in sphere#"&amp;C1&amp;"|"</f>
        <v>- [[Rotes in sphere# RotesSC (Correspondence Effects)|</v>
      </c>
      <c r="C1" t="s">
        <v>35</v>
      </c>
      <c r="D1" t="s">
        <v>36</v>
      </c>
    </row>
    <row r="2" spans="1:4" x14ac:dyDescent="0.3">
      <c r="A2" t="s">
        <v>2</v>
      </c>
      <c r="B2" t="str">
        <f t="shared" si="0"/>
        <v>- [[Rotes in sphere# RotesSE (Entropy effects)|</v>
      </c>
      <c r="C2" t="s">
        <v>37</v>
      </c>
      <c r="D2" t="s">
        <v>36</v>
      </c>
    </row>
    <row r="3" spans="1:4" x14ac:dyDescent="0.3">
      <c r="B3" t="str">
        <f t="shared" si="0"/>
        <v>- [[Rotes in sphere# RotesSF (Forces effects)|</v>
      </c>
      <c r="C3" t="s">
        <v>38</v>
      </c>
      <c r="D3" t="s">
        <v>36</v>
      </c>
    </row>
    <row r="4" spans="1:4" x14ac:dyDescent="0.3">
      <c r="B4" t="str">
        <f t="shared" si="0"/>
        <v>- [[Rotes in sphere# RotesSL (Life effects)|</v>
      </c>
      <c r="C4" t="s">
        <v>39</v>
      </c>
      <c r="D4" t="s">
        <v>36</v>
      </c>
    </row>
    <row r="5" spans="1:4" x14ac:dyDescent="0.3">
      <c r="B5" t="str">
        <f t="shared" si="0"/>
        <v>- [[Rotes in sphere# RotesSM (Matter effects)|</v>
      </c>
      <c r="C5" t="s">
        <v>40</v>
      </c>
      <c r="D5" t="s">
        <v>36</v>
      </c>
    </row>
    <row r="6" spans="1:4" x14ac:dyDescent="0.3">
      <c r="B6" t="str">
        <f t="shared" si="0"/>
        <v>- [[Rotes in sphere# RotesSmi (Mind effects)|</v>
      </c>
      <c r="C6" t="s">
        <v>41</v>
      </c>
      <c r="D6" t="s">
        <v>36</v>
      </c>
    </row>
    <row r="7" spans="1:4" x14ac:dyDescent="0.3">
      <c r="B7" t="str">
        <f t="shared" si="0"/>
        <v>- [[Rotes in sphere# RotesSP (Prime effects)|</v>
      </c>
      <c r="C7" t="s">
        <v>42</v>
      </c>
      <c r="D7" t="s">
        <v>36</v>
      </c>
    </row>
    <row r="8" spans="1:4" x14ac:dyDescent="0.3">
      <c r="B8" t="str">
        <f t="shared" si="0"/>
        <v>- [[Rotes in sphere# RotesSS (Spirit effects)|</v>
      </c>
      <c r="C8" t="s">
        <v>43</v>
      </c>
      <c r="D8" t="s">
        <v>36</v>
      </c>
    </row>
    <row r="9" spans="1:4" x14ac:dyDescent="0.3">
      <c r="A9" t="s">
        <v>44</v>
      </c>
      <c r="B9" t="str">
        <f t="shared" si="0"/>
        <v>- [[Rotes in sphere# RotesST (Time effects)|</v>
      </c>
      <c r="C9" t="s">
        <v>45</v>
      </c>
      <c r="D9" t="s">
        <v>36</v>
      </c>
    </row>
    <row r="10" spans="1:4" x14ac:dyDescent="0.3">
      <c r="A10" t="s">
        <v>46</v>
      </c>
      <c r="B10" t="str">
        <f t="shared" ref="B10:B28" si="1">"- [[Rotes in groups#"&amp;C10&amp;"|"</f>
        <v>- [[Rotes in groups#|</v>
      </c>
      <c r="D10" t="s">
        <v>47</v>
      </c>
    </row>
    <row r="11" spans="1:4" x14ac:dyDescent="0.3">
      <c r="A11" t="s">
        <v>5</v>
      </c>
      <c r="B11" t="str">
        <f t="shared" si="1"/>
        <v>- [[Rotes in groups#|</v>
      </c>
      <c r="D11" t="s">
        <v>48</v>
      </c>
    </row>
    <row r="12" spans="1:4" x14ac:dyDescent="0.3">
      <c r="A12" t="s">
        <v>49</v>
      </c>
      <c r="B12" t="str">
        <f t="shared" si="1"/>
        <v>- [[Rotes in groups#|</v>
      </c>
      <c r="D12" t="s">
        <v>50</v>
      </c>
    </row>
    <row r="13" spans="1:4" x14ac:dyDescent="0.3">
      <c r="A13" t="s">
        <v>51</v>
      </c>
      <c r="B13" t="str">
        <f t="shared" si="1"/>
        <v>- [[Rotes in groups#|</v>
      </c>
      <c r="D13" t="s">
        <v>52</v>
      </c>
    </row>
    <row r="14" spans="1:4" x14ac:dyDescent="0.3">
      <c r="A14" t="s">
        <v>53</v>
      </c>
      <c r="B14" t="str">
        <f t="shared" si="1"/>
        <v>- [[Rotes in groups#|</v>
      </c>
      <c r="D14" t="s">
        <v>54</v>
      </c>
    </row>
    <row r="15" spans="1:4" x14ac:dyDescent="0.3">
      <c r="A15" t="s">
        <v>55</v>
      </c>
      <c r="B15" t="str">
        <f t="shared" si="1"/>
        <v>- [[Rotes in groups#|</v>
      </c>
      <c r="D15" t="s">
        <v>56</v>
      </c>
    </row>
    <row r="16" spans="1:4" x14ac:dyDescent="0.3">
      <c r="A16" t="s">
        <v>57</v>
      </c>
      <c r="B16" t="str">
        <f t="shared" si="1"/>
        <v>- [[Rotes in groups# RotesG (General)|</v>
      </c>
      <c r="C16" t="s">
        <v>58</v>
      </c>
      <c r="D16" t="s">
        <v>59</v>
      </c>
    </row>
    <row r="17" spans="1:4" x14ac:dyDescent="0.3">
      <c r="A17" t="s">
        <v>60</v>
      </c>
      <c r="B17" t="str">
        <f t="shared" si="1"/>
        <v>- [[Rotes in groups# RotesHoO (Hollow Ones)|</v>
      </c>
      <c r="C17" t="s">
        <v>61</v>
      </c>
      <c r="D17" t="s">
        <v>62</v>
      </c>
    </row>
    <row r="18" spans="1:4" x14ac:dyDescent="0.3">
      <c r="A18" t="s">
        <v>63</v>
      </c>
      <c r="B18" t="str">
        <f t="shared" si="1"/>
        <v>- [[Rotes in groups# RotesIX (Iteration X)|</v>
      </c>
      <c r="C18" t="s">
        <v>64</v>
      </c>
      <c r="D18" t="s">
        <v>65</v>
      </c>
    </row>
    <row r="19" spans="1:4" x14ac:dyDescent="0.3">
      <c r="A19" t="s">
        <v>66</v>
      </c>
      <c r="B19" t="str">
        <f t="shared" si="1"/>
        <v>- [[Rotes in groups# RotesNWO (New world order)|</v>
      </c>
      <c r="C19" t="s">
        <v>67</v>
      </c>
      <c r="D19" t="s">
        <v>68</v>
      </c>
    </row>
    <row r="20" spans="1:4" x14ac:dyDescent="0.3">
      <c r="A20" t="s">
        <v>69</v>
      </c>
      <c r="B20" t="str">
        <f t="shared" si="1"/>
        <v>- [[Rotes in groups# RotesOOH (Order of Hermes)|</v>
      </c>
      <c r="C20" t="s">
        <v>70</v>
      </c>
      <c r="D20" t="s">
        <v>71</v>
      </c>
    </row>
    <row r="21" spans="1:4" x14ac:dyDescent="0.3">
      <c r="A21" t="s">
        <v>72</v>
      </c>
      <c r="B21" t="str">
        <f t="shared" si="1"/>
        <v>- [[Rotes in groups# RotesSiOH (Sisters of Hippolyta)|</v>
      </c>
      <c r="C21" t="s">
        <v>73</v>
      </c>
      <c r="D21" t="s">
        <v>74</v>
      </c>
    </row>
    <row r="22" spans="1:4" x14ac:dyDescent="0.3">
      <c r="A22" t="s">
        <v>75</v>
      </c>
      <c r="B22" t="str">
        <f t="shared" si="1"/>
        <v>- [[Rotes in groups#|</v>
      </c>
      <c r="D22" t="s">
        <v>76</v>
      </c>
    </row>
    <row r="23" spans="1:4" x14ac:dyDescent="0.3">
      <c r="A23" t="s">
        <v>77</v>
      </c>
      <c r="B23" t="str">
        <f t="shared" si="1"/>
        <v>- [[Rotes in groups# RotesSy (Syndicate)|</v>
      </c>
      <c r="C23" t="s">
        <v>78</v>
      </c>
      <c r="D23" t="s">
        <v>79</v>
      </c>
    </row>
    <row r="24" spans="1:4" x14ac:dyDescent="0.3">
      <c r="A24" t="s">
        <v>80</v>
      </c>
      <c r="B24" t="str">
        <f t="shared" si="1"/>
        <v>- [[Rotes in groups# RotesTe (Templars)|</v>
      </c>
      <c r="C24" t="s">
        <v>81</v>
      </c>
      <c r="D24" t="s">
        <v>82</v>
      </c>
    </row>
    <row r="25" spans="1:4" x14ac:dyDescent="0.3">
      <c r="A25" t="s">
        <v>83</v>
      </c>
      <c r="B25" t="str">
        <f t="shared" si="1"/>
        <v>- [[Rotes in groups# RotesVoE (Void Engineers)|</v>
      </c>
      <c r="C25" t="s">
        <v>84</v>
      </c>
      <c r="D25" t="s">
        <v>85</v>
      </c>
    </row>
    <row r="26" spans="1:4" x14ac:dyDescent="0.3">
      <c r="A26" t="s">
        <v>86</v>
      </c>
      <c r="B26" t="str">
        <f t="shared" si="1"/>
        <v>- [[Rotes in groups# RotesWK (Wu-Keng)|</v>
      </c>
      <c r="C26" t="s">
        <v>87</v>
      </c>
      <c r="D26" t="s">
        <v>88</v>
      </c>
    </row>
    <row r="27" spans="1:4" x14ac:dyDescent="0.3">
      <c r="A27" t="s">
        <v>89</v>
      </c>
      <c r="B27" t="str">
        <f t="shared" si="1"/>
        <v>- [[Rotes in groups# RotesPr (Progenitors)|</v>
      </c>
      <c r="C27" t="s">
        <v>90</v>
      </c>
      <c r="D27" t="s">
        <v>91</v>
      </c>
    </row>
    <row r="28" spans="1:4" x14ac:dyDescent="0.3">
      <c r="A28" t="s">
        <v>92</v>
      </c>
      <c r="B28" t="str">
        <f t="shared" si="1"/>
        <v>- [[Rotes in groups# RotesViA (Virt Adepts)|</v>
      </c>
      <c r="C28" t="s">
        <v>93</v>
      </c>
      <c r="D28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A7" sqref="A7"/>
    </sheetView>
  </sheetViews>
  <sheetFormatPr defaultRowHeight="14.4" x14ac:dyDescent="0.3"/>
  <cols>
    <col min="1" max="1" width="10.109375" bestFit="1" customWidth="1"/>
    <col min="2" max="2" width="45.6640625" bestFit="1" customWidth="1"/>
    <col min="3" max="3" width="29.6640625" bestFit="1" customWidth="1"/>
    <col min="4" max="4" width="18.6640625" bestFit="1" customWidth="1"/>
    <col min="5" max="5" width="22.88671875" customWidth="1"/>
  </cols>
  <sheetData>
    <row r="1" spans="1:5" x14ac:dyDescent="0.3">
      <c r="A1" t="s">
        <v>34</v>
      </c>
      <c r="B1" t="str">
        <f>"- [[Rotes in sphere#"&amp;C1&amp;"|"</f>
        <v>- [[Rotes in sphere#RotesSC (Correspondence Effects)|</v>
      </c>
      <c r="C1" t="s">
        <v>98</v>
      </c>
      <c r="D1" t="s">
        <v>36</v>
      </c>
      <c r="E1" t="s">
        <v>340</v>
      </c>
    </row>
    <row r="2" spans="1:5" x14ac:dyDescent="0.3">
      <c r="A2" t="s">
        <v>2</v>
      </c>
      <c r="B2" t="str">
        <f t="shared" ref="B2:B9" si="0">"- [[Rotes in sphere#"&amp;C2&amp;"|"</f>
        <v>- [[Rotes in sphere#RotesSE (Entropy effects)|</v>
      </c>
      <c r="C2" t="s">
        <v>99</v>
      </c>
      <c r="D2" t="s">
        <v>36</v>
      </c>
      <c r="E2" t="s">
        <v>340</v>
      </c>
    </row>
    <row r="3" spans="1:5" x14ac:dyDescent="0.3">
      <c r="B3" t="str">
        <f t="shared" si="0"/>
        <v>- [[Rotes in sphere#RotesSF (Forces effects)|</v>
      </c>
      <c r="C3" t="s">
        <v>100</v>
      </c>
      <c r="D3" t="s">
        <v>36</v>
      </c>
      <c r="E3" t="s">
        <v>340</v>
      </c>
    </row>
    <row r="4" spans="1:5" x14ac:dyDescent="0.3">
      <c r="B4" t="str">
        <f t="shared" si="0"/>
        <v>- [[Rotes in sphere#RotesSL (Life effects)|</v>
      </c>
      <c r="C4" t="s">
        <v>101</v>
      </c>
      <c r="D4" t="s">
        <v>36</v>
      </c>
      <c r="E4" t="s">
        <v>340</v>
      </c>
    </row>
    <row r="5" spans="1:5" x14ac:dyDescent="0.3">
      <c r="B5" t="str">
        <f t="shared" si="0"/>
        <v>- [[Rotes in sphere#RotesSM (Matter effects)|</v>
      </c>
      <c r="C5" t="s">
        <v>102</v>
      </c>
      <c r="D5" t="s">
        <v>36</v>
      </c>
      <c r="E5" t="s">
        <v>340</v>
      </c>
    </row>
    <row r="6" spans="1:5" x14ac:dyDescent="0.3">
      <c r="A6" t="s">
        <v>376</v>
      </c>
      <c r="B6" t="str">
        <f t="shared" si="0"/>
        <v>- [[Rotes in sphere#RotesSmi (Mind effects)|</v>
      </c>
      <c r="C6" t="s">
        <v>103</v>
      </c>
      <c r="D6" t="s">
        <v>36</v>
      </c>
      <c r="E6" t="s">
        <v>340</v>
      </c>
    </row>
    <row r="7" spans="1:5" x14ac:dyDescent="0.3">
      <c r="A7" t="s">
        <v>96</v>
      </c>
      <c r="B7" t="str">
        <f t="shared" si="0"/>
        <v>- [[Rotes in sphere#RotesSP (Prime effects)|</v>
      </c>
      <c r="C7" t="s">
        <v>104</v>
      </c>
      <c r="D7" t="s">
        <v>36</v>
      </c>
      <c r="E7" t="s">
        <v>340</v>
      </c>
    </row>
    <row r="8" spans="1:5" x14ac:dyDescent="0.3">
      <c r="B8" t="str">
        <f t="shared" si="0"/>
        <v>- [[Rotes in sphere#RotesSS (Spirit effects)|</v>
      </c>
      <c r="C8" t="s">
        <v>105</v>
      </c>
      <c r="D8" t="s">
        <v>36</v>
      </c>
      <c r="E8" t="s">
        <v>340</v>
      </c>
    </row>
    <row r="9" spans="1:5" x14ac:dyDescent="0.3">
      <c r="A9" t="s">
        <v>44</v>
      </c>
      <c r="B9" t="str">
        <f t="shared" si="0"/>
        <v>- [[Rotes in sphere#RotesST (Time effects)|</v>
      </c>
      <c r="C9" t="s">
        <v>106</v>
      </c>
      <c r="D9" t="s">
        <v>36</v>
      </c>
      <c r="E9" t="s">
        <v>340</v>
      </c>
    </row>
    <row r="10" spans="1:5" x14ac:dyDescent="0.3">
      <c r="A10" t="s">
        <v>46</v>
      </c>
      <c r="B10" t="s">
        <v>97</v>
      </c>
      <c r="D10" t="s">
        <v>47</v>
      </c>
      <c r="E10" t="s">
        <v>343</v>
      </c>
    </row>
    <row r="11" spans="1:5" x14ac:dyDescent="0.3">
      <c r="A11" t="s">
        <v>72</v>
      </c>
      <c r="B11" t="str">
        <f t="shared" ref="B11:B18" si="1">"- [[Rotes in groups#"&amp;C11&amp;"|"</f>
        <v>- [[Rotes in groups#RotesSiOH (Sisters of Hippolyta)|</v>
      </c>
      <c r="C11" t="s">
        <v>112</v>
      </c>
      <c r="D11" t="s">
        <v>74</v>
      </c>
      <c r="E11" t="s">
        <v>343</v>
      </c>
    </row>
    <row r="12" spans="1:5" x14ac:dyDescent="0.3">
      <c r="A12" t="s">
        <v>80</v>
      </c>
      <c r="B12" t="str">
        <f t="shared" si="1"/>
        <v>- [[Rotes in groups#RotesTe (Templars)|</v>
      </c>
      <c r="C12" t="s">
        <v>114</v>
      </c>
      <c r="D12" t="s">
        <v>82</v>
      </c>
      <c r="E12" t="s">
        <v>343</v>
      </c>
    </row>
    <row r="13" spans="1:5" x14ac:dyDescent="0.3">
      <c r="A13" t="s">
        <v>86</v>
      </c>
      <c r="B13" t="str">
        <f t="shared" si="1"/>
        <v>- [[Rotes in groups#RotesWK (Wu-Keng)|</v>
      </c>
      <c r="C13" t="s">
        <v>116</v>
      </c>
      <c r="D13" t="s">
        <v>88</v>
      </c>
      <c r="E13" t="s">
        <v>343</v>
      </c>
    </row>
    <row r="14" spans="1:5" x14ac:dyDescent="0.3">
      <c r="A14" t="s">
        <v>63</v>
      </c>
      <c r="B14" t="str">
        <f t="shared" si="1"/>
        <v>- [[Rotes in groups#RotesIX (Iteration X)|</v>
      </c>
      <c r="C14" t="s">
        <v>109</v>
      </c>
      <c r="D14" t="s">
        <v>119</v>
      </c>
      <c r="E14" t="s">
        <v>342</v>
      </c>
    </row>
    <row r="15" spans="1:5" x14ac:dyDescent="0.3">
      <c r="A15" t="s">
        <v>66</v>
      </c>
      <c r="B15" t="str">
        <f t="shared" si="1"/>
        <v>- [[Rotes in groups#RotesNWO (New world order)|</v>
      </c>
      <c r="C15" t="s">
        <v>110</v>
      </c>
      <c r="D15" t="s">
        <v>120</v>
      </c>
      <c r="E15" t="s">
        <v>342</v>
      </c>
    </row>
    <row r="16" spans="1:5" x14ac:dyDescent="0.3">
      <c r="A16" t="s">
        <v>77</v>
      </c>
      <c r="B16" t="str">
        <f t="shared" si="1"/>
        <v>- [[Rotes in groups#RotesSy (Syndicate)|</v>
      </c>
      <c r="C16" t="s">
        <v>113</v>
      </c>
      <c r="D16" t="s">
        <v>121</v>
      </c>
      <c r="E16" t="s">
        <v>342</v>
      </c>
    </row>
    <row r="17" spans="1:5" x14ac:dyDescent="0.3">
      <c r="A17" t="s">
        <v>83</v>
      </c>
      <c r="B17" t="str">
        <f t="shared" si="1"/>
        <v>- [[Rotes in groups#RotesVoE (Void Engineers)|</v>
      </c>
      <c r="C17" t="s">
        <v>115</v>
      </c>
      <c r="D17" t="s">
        <v>122</v>
      </c>
      <c r="E17" t="s">
        <v>342</v>
      </c>
    </row>
    <row r="18" spans="1:5" x14ac:dyDescent="0.3">
      <c r="A18" t="s">
        <v>89</v>
      </c>
      <c r="B18" t="str">
        <f t="shared" si="1"/>
        <v>- [[Rotes in groups#RotesPr (Progenitors)|</v>
      </c>
      <c r="C18" t="s">
        <v>117</v>
      </c>
      <c r="D18" t="s">
        <v>123</v>
      </c>
      <c r="E18" t="s">
        <v>342</v>
      </c>
    </row>
    <row r="19" spans="1:5" x14ac:dyDescent="0.3">
      <c r="A19" t="s">
        <v>5</v>
      </c>
      <c r="B19" t="s">
        <v>97</v>
      </c>
      <c r="D19" t="s">
        <v>48</v>
      </c>
      <c r="E19" t="s">
        <v>341</v>
      </c>
    </row>
    <row r="20" spans="1:5" x14ac:dyDescent="0.3">
      <c r="A20" t="s">
        <v>49</v>
      </c>
      <c r="B20" t="s">
        <v>97</v>
      </c>
      <c r="D20" t="s">
        <v>50</v>
      </c>
      <c r="E20" t="s">
        <v>341</v>
      </c>
    </row>
    <row r="21" spans="1:5" x14ac:dyDescent="0.3">
      <c r="A21" t="s">
        <v>53</v>
      </c>
      <c r="B21" t="s">
        <v>97</v>
      </c>
      <c r="D21" t="s">
        <v>54</v>
      </c>
      <c r="E21" t="s">
        <v>341</v>
      </c>
    </row>
    <row r="22" spans="1:5" x14ac:dyDescent="0.3">
      <c r="A22" t="s">
        <v>55</v>
      </c>
      <c r="B22" t="s">
        <v>97</v>
      </c>
      <c r="D22" t="s">
        <v>56</v>
      </c>
      <c r="E22" t="s">
        <v>341</v>
      </c>
    </row>
    <row r="23" spans="1:5" x14ac:dyDescent="0.3">
      <c r="A23" t="s">
        <v>60</v>
      </c>
      <c r="B23" t="str">
        <f>"- [[Rotes in groups#"&amp;C23&amp;"|"</f>
        <v>- [[Rotes in groups#RotesHoO (Hollow Ones)|</v>
      </c>
      <c r="C23" t="s">
        <v>108</v>
      </c>
      <c r="D23" t="s">
        <v>62</v>
      </c>
      <c r="E23" t="s">
        <v>341</v>
      </c>
    </row>
    <row r="24" spans="1:5" x14ac:dyDescent="0.3">
      <c r="A24" t="s">
        <v>69</v>
      </c>
      <c r="B24" t="str">
        <f>"- [[Rotes in groups#"&amp;C24&amp;"|"</f>
        <v>- [[Rotes in groups#RotesOOH (Order of Hermes)|</v>
      </c>
      <c r="C24" t="s">
        <v>111</v>
      </c>
      <c r="D24" t="s">
        <v>71</v>
      </c>
      <c r="E24" t="s">
        <v>341</v>
      </c>
    </row>
    <row r="25" spans="1:5" x14ac:dyDescent="0.3">
      <c r="A25" t="s">
        <v>75</v>
      </c>
      <c r="B25" t="s">
        <v>97</v>
      </c>
      <c r="D25" t="s">
        <v>76</v>
      </c>
      <c r="E25" t="s">
        <v>341</v>
      </c>
    </row>
    <row r="26" spans="1:5" x14ac:dyDescent="0.3">
      <c r="A26" t="s">
        <v>92</v>
      </c>
      <c r="B26" t="str">
        <f>"- [[Rotes in groups#"&amp;C26&amp;"|"</f>
        <v>- [[Rotes in groups#RotesViA (Virt Adepts)|</v>
      </c>
      <c r="C26" t="s">
        <v>118</v>
      </c>
      <c r="D26" t="s">
        <v>94</v>
      </c>
      <c r="E26" t="s">
        <v>341</v>
      </c>
    </row>
    <row r="27" spans="1:5" x14ac:dyDescent="0.3">
      <c r="A27" t="s">
        <v>318</v>
      </c>
      <c r="B27" t="s">
        <v>97</v>
      </c>
      <c r="D27" t="s">
        <v>319</v>
      </c>
      <c r="E27" t="s">
        <v>341</v>
      </c>
    </row>
    <row r="28" spans="1:5" x14ac:dyDescent="0.3">
      <c r="A28" t="s">
        <v>51</v>
      </c>
      <c r="B28" t="s">
        <v>97</v>
      </c>
      <c r="D28" t="s">
        <v>52</v>
      </c>
      <c r="E28" t="s">
        <v>341</v>
      </c>
    </row>
    <row r="29" spans="1:5" x14ac:dyDescent="0.3">
      <c r="A29" t="s">
        <v>57</v>
      </c>
      <c r="B29" t="str">
        <f>"- [[Rotes in groups#"&amp;C29&amp;"|"</f>
        <v>- [[Rotes in groups#RotesG (General)|</v>
      </c>
      <c r="C29" t="s">
        <v>107</v>
      </c>
      <c r="D29" t="s">
        <v>59</v>
      </c>
      <c r="E29" t="s">
        <v>341</v>
      </c>
    </row>
  </sheetData>
  <conditionalFormatting sqref="A29">
    <cfRule type="expression" dxfId="3" priority="1">
      <formula>$H29=" sphere-rote"</formula>
    </cfRule>
    <cfRule type="expression" dxfId="2" priority="2">
      <formula>$H29="broken"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selection activeCell="P15" sqref="P15"/>
    </sheetView>
  </sheetViews>
  <sheetFormatPr defaultRowHeight="14.4" x14ac:dyDescent="0.3"/>
  <cols>
    <col min="1" max="1" width="24.77734375" bestFit="1" customWidth="1"/>
    <col min="2" max="2" width="20.33203125" bestFit="1" customWidth="1"/>
    <col min="3" max="3" width="5.88671875" bestFit="1" customWidth="1"/>
    <col min="4" max="4" width="5.44140625" bestFit="1" customWidth="1"/>
    <col min="5" max="5" width="5.109375" customWidth="1"/>
    <col min="6" max="6" width="17.33203125" bestFit="1" customWidth="1"/>
    <col min="7" max="7" width="11.33203125" customWidth="1"/>
    <col min="8" max="8" width="20.33203125" customWidth="1"/>
    <col min="9" max="9" width="4" customWidth="1"/>
    <col min="10" max="10" width="3" customWidth="1"/>
    <col min="11" max="11" width="11.33203125" customWidth="1"/>
    <col min="12" max="12" width="24.77734375" customWidth="1"/>
    <col min="13" max="13" width="20.33203125" customWidth="1"/>
    <col min="14" max="14" width="8.88671875" customWidth="1"/>
    <col min="15" max="15" width="5.44140625" bestFit="1" customWidth="1"/>
    <col min="16" max="16" width="11.33203125" bestFit="1" customWidth="1"/>
    <col min="17" max="17" width="5.109375" customWidth="1"/>
    <col min="18" max="18" width="11.33203125" bestFit="1" customWidth="1"/>
  </cols>
  <sheetData>
    <row r="1" spans="1:19" x14ac:dyDescent="0.3">
      <c r="A1" s="11" t="s">
        <v>339</v>
      </c>
      <c r="B1" s="11" t="s">
        <v>338</v>
      </c>
      <c r="L1" s="11" t="s">
        <v>339</v>
      </c>
      <c r="M1" s="11" t="s">
        <v>338</v>
      </c>
      <c r="R1">
        <f>GETPIVOTDATA("Name",$A$1,"Type","Techocrathy")</f>
        <v>54</v>
      </c>
      <c r="S1" s="16">
        <f>R1/GETPIVOTDATA("Name",$L$1)</f>
        <v>0.31952662721893493</v>
      </c>
    </row>
    <row r="2" spans="1:19" x14ac:dyDescent="0.3">
      <c r="A2" s="11" t="s">
        <v>336</v>
      </c>
      <c r="B2" t="s">
        <v>278</v>
      </c>
      <c r="C2" t="s">
        <v>30</v>
      </c>
      <c r="D2" t="s">
        <v>375</v>
      </c>
      <c r="E2" t="s">
        <v>378</v>
      </c>
      <c r="F2" t="s">
        <v>379</v>
      </c>
      <c r="G2" t="s">
        <v>337</v>
      </c>
      <c r="L2" s="11" t="s">
        <v>336</v>
      </c>
      <c r="M2" t="s">
        <v>428</v>
      </c>
      <c r="N2" t="s">
        <v>429</v>
      </c>
      <c r="O2" t="s">
        <v>430</v>
      </c>
      <c r="P2" t="s">
        <v>337</v>
      </c>
      <c r="R2" t="s">
        <v>377</v>
      </c>
      <c r="S2" t="s">
        <v>377</v>
      </c>
    </row>
    <row r="3" spans="1:19" x14ac:dyDescent="0.3">
      <c r="A3" s="12" t="s">
        <v>340</v>
      </c>
      <c r="B3" s="14">
        <v>6</v>
      </c>
      <c r="C3" s="14">
        <v>6</v>
      </c>
      <c r="D3" s="14">
        <v>5</v>
      </c>
      <c r="E3" s="14">
        <v>7</v>
      </c>
      <c r="F3" s="14">
        <v>6</v>
      </c>
      <c r="G3" s="14">
        <v>30</v>
      </c>
      <c r="L3" s="12" t="s">
        <v>379</v>
      </c>
      <c r="M3" s="14">
        <v>11</v>
      </c>
      <c r="N3" s="14">
        <v>21</v>
      </c>
      <c r="O3" s="14"/>
      <c r="P3" s="14">
        <v>32</v>
      </c>
      <c r="R3">
        <f>GETPIVOTDATA("Name",$A$1,"Sphere",L3,"Type","Techocrathy")</f>
        <v>7</v>
      </c>
      <c r="S3" s="15">
        <f>R3/GETPIVOTDATA("Name",$L$1,"Sphere",L3)</f>
        <v>0.21875</v>
      </c>
    </row>
    <row r="4" spans="1:19" x14ac:dyDescent="0.3">
      <c r="A4" s="13" t="s">
        <v>36</v>
      </c>
      <c r="B4" s="14">
        <v>6</v>
      </c>
      <c r="C4" s="14">
        <v>6</v>
      </c>
      <c r="D4" s="14">
        <v>5</v>
      </c>
      <c r="E4" s="14">
        <v>7</v>
      </c>
      <c r="F4" s="14">
        <v>6</v>
      </c>
      <c r="G4" s="14">
        <v>30</v>
      </c>
      <c r="L4" s="12" t="s">
        <v>278</v>
      </c>
      <c r="M4" s="14">
        <v>9</v>
      </c>
      <c r="N4" s="14">
        <v>12</v>
      </c>
      <c r="O4" s="14">
        <v>10</v>
      </c>
      <c r="P4" s="14">
        <v>31</v>
      </c>
      <c r="R4">
        <f t="shared" ref="R4:R5" si="0">GETPIVOTDATA("Name",$A$1,"Sphere",L4,"Type","Techocrathy")</f>
        <v>8</v>
      </c>
      <c r="S4" s="15">
        <f>R4/GETPIVOTDATA("Name",$L$1,"Sphere",L4)</f>
        <v>0.25806451612903225</v>
      </c>
    </row>
    <row r="5" spans="1:19" x14ac:dyDescent="0.3">
      <c r="A5" s="12" t="s">
        <v>341</v>
      </c>
      <c r="B5" s="14">
        <v>5</v>
      </c>
      <c r="C5" s="14">
        <v>16</v>
      </c>
      <c r="D5" s="14">
        <v>6</v>
      </c>
      <c r="E5" s="14">
        <v>3</v>
      </c>
      <c r="F5" s="14">
        <v>7</v>
      </c>
      <c r="G5" s="14">
        <v>37</v>
      </c>
      <c r="L5" s="12" t="s">
        <v>375</v>
      </c>
      <c r="M5" s="14">
        <v>8</v>
      </c>
      <c r="N5" s="14">
        <v>30</v>
      </c>
      <c r="O5" s="14"/>
      <c r="P5" s="14">
        <v>38</v>
      </c>
      <c r="R5">
        <f t="shared" si="0"/>
        <v>15</v>
      </c>
      <c r="S5" s="15">
        <f>R5/GETPIVOTDATA("Name",$L$1,"Sphere",L5)</f>
        <v>0.39473684210526316</v>
      </c>
    </row>
    <row r="6" spans="1:19" x14ac:dyDescent="0.3">
      <c r="A6" s="13" t="s">
        <v>59</v>
      </c>
      <c r="B6" s="14">
        <v>1</v>
      </c>
      <c r="C6" s="14">
        <v>6</v>
      </c>
      <c r="D6" s="14">
        <v>1</v>
      </c>
      <c r="E6" s="14">
        <v>1</v>
      </c>
      <c r="F6" s="14">
        <v>4</v>
      </c>
      <c r="G6" s="14">
        <v>13</v>
      </c>
      <c r="L6" s="12" t="s">
        <v>30</v>
      </c>
      <c r="M6" s="14">
        <v>7</v>
      </c>
      <c r="N6" s="14">
        <v>39</v>
      </c>
      <c r="O6" s="14"/>
      <c r="P6" s="14">
        <v>46</v>
      </c>
      <c r="R6">
        <f t="shared" ref="R6:R7" si="1">GETPIVOTDATA("Name",$A$1,"Sphere",L6,"Type","Techocrathy")</f>
        <v>15</v>
      </c>
      <c r="S6" s="15">
        <f>R6/GETPIVOTDATA("Name",$L$1,"Sphere",L6)</f>
        <v>0.32608695652173914</v>
      </c>
    </row>
    <row r="7" spans="1:19" x14ac:dyDescent="0.3">
      <c r="A7" s="13" t="s">
        <v>62</v>
      </c>
      <c r="B7" s="14"/>
      <c r="C7" s="14">
        <v>2</v>
      </c>
      <c r="D7" s="14">
        <v>2</v>
      </c>
      <c r="E7" s="14">
        <v>1</v>
      </c>
      <c r="F7" s="14"/>
      <c r="G7" s="14">
        <v>5</v>
      </c>
      <c r="L7" s="12" t="s">
        <v>378</v>
      </c>
      <c r="M7" s="14">
        <v>6</v>
      </c>
      <c r="N7" s="14">
        <v>12</v>
      </c>
      <c r="O7" s="14">
        <v>4</v>
      </c>
      <c r="P7" s="14">
        <v>22</v>
      </c>
      <c r="R7">
        <f t="shared" si="1"/>
        <v>9</v>
      </c>
      <c r="S7" s="15">
        <f>R7/GETPIVOTDATA("Name",$L$1,"Sphere",L7)</f>
        <v>0.40909090909090912</v>
      </c>
    </row>
    <row r="8" spans="1:19" x14ac:dyDescent="0.3">
      <c r="A8" s="13" t="s">
        <v>71</v>
      </c>
      <c r="B8" s="14">
        <v>4</v>
      </c>
      <c r="C8" s="14">
        <v>7</v>
      </c>
      <c r="D8" s="14">
        <v>3</v>
      </c>
      <c r="E8" s="14">
        <v>1</v>
      </c>
      <c r="F8" s="14">
        <v>3</v>
      </c>
      <c r="G8" s="14">
        <v>18</v>
      </c>
      <c r="L8" s="12" t="s">
        <v>337</v>
      </c>
      <c r="M8" s="14">
        <v>41</v>
      </c>
      <c r="N8" s="14">
        <v>114</v>
      </c>
      <c r="O8" s="14">
        <v>14</v>
      </c>
      <c r="P8" s="14">
        <v>169</v>
      </c>
      <c r="R8" t="e">
        <f t="shared" ref="R8:R9" si="2">GETPIVOTDATA("Name",$A$1,"Sphere",L8,"Type","Techocrathy")</f>
        <v>#REF!</v>
      </c>
      <c r="S8" s="15" t="e">
        <f t="shared" ref="S8:S9" si="3">R8/GETPIVOTDATA("Name",$L$1,"Sphere",L8)</f>
        <v>#REF!</v>
      </c>
    </row>
    <row r="9" spans="1:19" x14ac:dyDescent="0.3">
      <c r="A9" s="13" t="s">
        <v>94</v>
      </c>
      <c r="B9" s="14"/>
      <c r="C9" s="14">
        <v>1</v>
      </c>
      <c r="D9" s="14"/>
      <c r="E9" s="14"/>
      <c r="F9" s="14"/>
      <c r="G9" s="14">
        <v>1</v>
      </c>
      <c r="R9" t="e">
        <f t="shared" si="2"/>
        <v>#REF!</v>
      </c>
      <c r="S9" s="15" t="e">
        <f t="shared" si="3"/>
        <v>#REF!</v>
      </c>
    </row>
    <row r="10" spans="1:19" x14ac:dyDescent="0.3">
      <c r="A10" s="12" t="s">
        <v>97</v>
      </c>
      <c r="B10" s="14">
        <v>5</v>
      </c>
      <c r="C10" s="14">
        <v>6</v>
      </c>
      <c r="D10" s="14">
        <v>6</v>
      </c>
      <c r="E10" s="14">
        <v>1</v>
      </c>
      <c r="F10" s="14">
        <v>5</v>
      </c>
      <c r="G10" s="14">
        <v>23</v>
      </c>
      <c r="M10" s="12"/>
      <c r="S10" s="15"/>
    </row>
    <row r="11" spans="1:19" x14ac:dyDescent="0.3">
      <c r="A11" s="13" t="s">
        <v>319</v>
      </c>
      <c r="B11" s="14"/>
      <c r="C11" s="14">
        <v>1</v>
      </c>
      <c r="D11" s="14">
        <v>2</v>
      </c>
      <c r="E11" s="14"/>
      <c r="F11" s="14"/>
      <c r="G11" s="14">
        <v>3</v>
      </c>
      <c r="S11" s="15"/>
    </row>
    <row r="12" spans="1:19" x14ac:dyDescent="0.3">
      <c r="A12" s="13" t="s">
        <v>47</v>
      </c>
      <c r="B12" s="14"/>
      <c r="C12" s="14"/>
      <c r="D12" s="14">
        <v>1</v>
      </c>
      <c r="E12" s="14"/>
      <c r="F12" s="14">
        <v>1</v>
      </c>
      <c r="G12" s="14">
        <v>2</v>
      </c>
    </row>
    <row r="13" spans="1:19" x14ac:dyDescent="0.3">
      <c r="A13" s="13" t="s">
        <v>48</v>
      </c>
      <c r="B13" s="14">
        <v>1</v>
      </c>
      <c r="C13" s="14"/>
      <c r="D13" s="14"/>
      <c r="E13" s="14"/>
      <c r="F13" s="14"/>
      <c r="G13" s="14">
        <v>1</v>
      </c>
    </row>
    <row r="14" spans="1:19" x14ac:dyDescent="0.3">
      <c r="A14" s="13" t="s">
        <v>50</v>
      </c>
      <c r="B14" s="14">
        <v>1</v>
      </c>
      <c r="C14" s="14"/>
      <c r="D14" s="14">
        <v>1</v>
      </c>
      <c r="E14" s="14">
        <v>1</v>
      </c>
      <c r="F14" s="14">
        <v>1</v>
      </c>
      <c r="G14" s="14">
        <v>4</v>
      </c>
      <c r="L14" s="12"/>
      <c r="M14" s="14"/>
      <c r="N14" s="14"/>
      <c r="O14" s="14"/>
      <c r="P14" s="14"/>
      <c r="Q14" s="14"/>
      <c r="R14" s="14"/>
    </row>
    <row r="15" spans="1:19" x14ac:dyDescent="0.3">
      <c r="A15" s="13" t="s">
        <v>52</v>
      </c>
      <c r="B15" s="14">
        <v>2</v>
      </c>
      <c r="C15" s="14">
        <v>2</v>
      </c>
      <c r="D15" s="14"/>
      <c r="E15" s="14"/>
      <c r="F15" s="14">
        <v>1</v>
      </c>
      <c r="G15" s="14">
        <v>5</v>
      </c>
      <c r="L15" s="12"/>
      <c r="M15" s="14"/>
      <c r="N15" s="14"/>
      <c r="O15" s="14"/>
      <c r="P15" s="14"/>
      <c r="Q15" s="14"/>
      <c r="R15" s="14"/>
    </row>
    <row r="16" spans="1:19" x14ac:dyDescent="0.3">
      <c r="A16" s="13" t="s">
        <v>54</v>
      </c>
      <c r="B16" s="14"/>
      <c r="C16" s="14">
        <v>1</v>
      </c>
      <c r="D16" s="14"/>
      <c r="E16" s="14"/>
      <c r="F16" s="14">
        <v>1</v>
      </c>
      <c r="G16" s="14">
        <v>2</v>
      </c>
      <c r="L16" s="12"/>
      <c r="M16" s="14"/>
      <c r="N16" s="14"/>
      <c r="O16" s="14"/>
      <c r="P16" s="14"/>
      <c r="Q16" s="14"/>
      <c r="R16" s="14"/>
    </row>
    <row r="17" spans="1:18" x14ac:dyDescent="0.3">
      <c r="A17" s="13" t="s">
        <v>56</v>
      </c>
      <c r="B17" s="14">
        <v>1</v>
      </c>
      <c r="C17" s="14"/>
      <c r="D17" s="14"/>
      <c r="E17" s="14"/>
      <c r="F17" s="14"/>
      <c r="G17" s="14">
        <v>1</v>
      </c>
      <c r="L17" s="12"/>
      <c r="M17" s="14"/>
      <c r="N17" s="14"/>
      <c r="O17" s="14"/>
      <c r="P17" s="14"/>
      <c r="Q17" s="14"/>
      <c r="R17" s="14"/>
    </row>
    <row r="18" spans="1:18" x14ac:dyDescent="0.3">
      <c r="A18" s="13" t="s">
        <v>76</v>
      </c>
      <c r="B18" s="14"/>
      <c r="C18" s="14">
        <v>2</v>
      </c>
      <c r="D18" s="14">
        <v>2</v>
      </c>
      <c r="E18" s="14"/>
      <c r="F18" s="14">
        <v>1</v>
      </c>
      <c r="G18" s="14">
        <v>5</v>
      </c>
      <c r="L18" s="12"/>
      <c r="M18" s="14"/>
      <c r="N18" s="14"/>
      <c r="O18" s="14"/>
      <c r="P18" s="14"/>
      <c r="Q18" s="14"/>
      <c r="R18" s="14"/>
    </row>
    <row r="19" spans="1:18" x14ac:dyDescent="0.3">
      <c r="A19" s="12" t="s">
        <v>343</v>
      </c>
      <c r="B19" s="14">
        <v>7</v>
      </c>
      <c r="C19" s="14">
        <v>3</v>
      </c>
      <c r="D19" s="14">
        <v>6</v>
      </c>
      <c r="E19" s="14">
        <v>2</v>
      </c>
      <c r="F19" s="14">
        <v>7</v>
      </c>
      <c r="G19" s="14">
        <v>25</v>
      </c>
    </row>
    <row r="20" spans="1:18" x14ac:dyDescent="0.3">
      <c r="A20" s="13" t="s">
        <v>74</v>
      </c>
      <c r="B20" s="14">
        <v>1</v>
      </c>
      <c r="C20" s="14">
        <v>2</v>
      </c>
      <c r="D20" s="14">
        <v>2</v>
      </c>
      <c r="E20" s="14"/>
      <c r="F20" s="14"/>
      <c r="G20" s="14">
        <v>5</v>
      </c>
    </row>
    <row r="21" spans="1:18" x14ac:dyDescent="0.3">
      <c r="A21" s="13" t="s">
        <v>82</v>
      </c>
      <c r="B21" s="14">
        <v>3</v>
      </c>
      <c r="C21" s="14"/>
      <c r="D21" s="14">
        <v>4</v>
      </c>
      <c r="E21" s="14">
        <v>2</v>
      </c>
      <c r="F21" s="14">
        <v>4</v>
      </c>
      <c r="G21" s="14">
        <v>13</v>
      </c>
    </row>
    <row r="22" spans="1:18" x14ac:dyDescent="0.3">
      <c r="A22" s="13" t="s">
        <v>88</v>
      </c>
      <c r="B22" s="14">
        <v>3</v>
      </c>
      <c r="C22" s="14">
        <v>1</v>
      </c>
      <c r="D22" s="14"/>
      <c r="E22" s="14"/>
      <c r="F22" s="14">
        <v>3</v>
      </c>
      <c r="G22" s="14">
        <v>7</v>
      </c>
    </row>
    <row r="23" spans="1:18" x14ac:dyDescent="0.3">
      <c r="A23" s="12" t="s">
        <v>342</v>
      </c>
      <c r="B23" s="14">
        <v>8</v>
      </c>
      <c r="C23" s="14">
        <v>15</v>
      </c>
      <c r="D23" s="14">
        <v>15</v>
      </c>
      <c r="E23" s="14">
        <v>9</v>
      </c>
      <c r="F23" s="14">
        <v>7</v>
      </c>
      <c r="G23" s="14">
        <v>54</v>
      </c>
    </row>
    <row r="24" spans="1:18" x14ac:dyDescent="0.3">
      <c r="A24" s="13" t="s">
        <v>119</v>
      </c>
      <c r="B24" s="14">
        <v>2</v>
      </c>
      <c r="C24" s="14">
        <v>2</v>
      </c>
      <c r="D24" s="14">
        <v>3</v>
      </c>
      <c r="E24" s="14">
        <v>3</v>
      </c>
      <c r="F24" s="14">
        <v>2</v>
      </c>
      <c r="G24" s="14">
        <v>12</v>
      </c>
    </row>
    <row r="25" spans="1:18" x14ac:dyDescent="0.3">
      <c r="A25" s="13" t="s">
        <v>120</v>
      </c>
      <c r="B25" s="14">
        <v>4</v>
      </c>
      <c r="C25" s="14">
        <v>5</v>
      </c>
      <c r="D25" s="14">
        <v>5</v>
      </c>
      <c r="E25" s="14">
        <v>3</v>
      </c>
      <c r="F25" s="14">
        <v>4</v>
      </c>
      <c r="G25" s="14">
        <v>21</v>
      </c>
    </row>
    <row r="26" spans="1:18" x14ac:dyDescent="0.3">
      <c r="A26" s="13" t="s">
        <v>123</v>
      </c>
      <c r="B26" s="14"/>
      <c r="C26" s="14">
        <v>2</v>
      </c>
      <c r="D26" s="14"/>
      <c r="E26" s="14"/>
      <c r="F26" s="14"/>
      <c r="G26" s="14">
        <v>2</v>
      </c>
    </row>
    <row r="27" spans="1:18" x14ac:dyDescent="0.3">
      <c r="A27" s="13" t="s">
        <v>121</v>
      </c>
      <c r="B27" s="14">
        <v>1</v>
      </c>
      <c r="C27" s="14"/>
      <c r="D27" s="14">
        <v>5</v>
      </c>
      <c r="E27" s="14">
        <v>1</v>
      </c>
      <c r="F27" s="14"/>
      <c r="G27" s="14">
        <v>7</v>
      </c>
    </row>
    <row r="28" spans="1:18" x14ac:dyDescent="0.3">
      <c r="A28" s="13" t="s">
        <v>122</v>
      </c>
      <c r="B28" s="14">
        <v>1</v>
      </c>
      <c r="C28" s="14">
        <v>6</v>
      </c>
      <c r="D28" s="14">
        <v>2</v>
      </c>
      <c r="E28" s="14">
        <v>2</v>
      </c>
      <c r="F28" s="14">
        <v>1</v>
      </c>
      <c r="G28" s="14">
        <v>12</v>
      </c>
    </row>
    <row r="29" spans="1:18" x14ac:dyDescent="0.3">
      <c r="A29" s="12" t="s">
        <v>337</v>
      </c>
      <c r="B29" s="14">
        <v>31</v>
      </c>
      <c r="C29" s="14">
        <v>46</v>
      </c>
      <c r="D29" s="14">
        <v>38</v>
      </c>
      <c r="E29" s="14">
        <v>22</v>
      </c>
      <c r="F29" s="14">
        <v>32</v>
      </c>
      <c r="G29" s="14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170"/>
  <sheetViews>
    <sheetView tabSelected="1" workbookViewId="0">
      <selection activeCell="D12" sqref="D12"/>
    </sheetView>
  </sheetViews>
  <sheetFormatPr defaultRowHeight="14.4" x14ac:dyDescent="0.3"/>
  <cols>
    <col min="1" max="1" width="4" bestFit="1" customWidth="1"/>
    <col min="2" max="2" width="17" bestFit="1" customWidth="1"/>
    <col min="3" max="3" width="4" bestFit="1" customWidth="1"/>
    <col min="4" max="4" width="34" style="9" customWidth="1"/>
    <col min="5" max="5" width="29.88671875" bestFit="1" customWidth="1"/>
    <col min="6" max="6" width="10.109375" bestFit="1" customWidth="1"/>
    <col min="7" max="7" width="22.88671875" bestFit="1" customWidth="1"/>
    <col min="8" max="8" width="15.44140625" bestFit="1" customWidth="1"/>
    <col min="9" max="9" width="52.21875" style="9" customWidth="1"/>
  </cols>
  <sheetData>
    <row r="1" spans="1:9" x14ac:dyDescent="0.3">
      <c r="A1" t="s">
        <v>6</v>
      </c>
      <c r="B1" t="s">
        <v>7</v>
      </c>
      <c r="C1" t="s">
        <v>8</v>
      </c>
      <c r="D1" s="9" t="s">
        <v>31</v>
      </c>
      <c r="E1" t="s">
        <v>32</v>
      </c>
      <c r="F1" t="s">
        <v>33</v>
      </c>
      <c r="G1" t="s">
        <v>124</v>
      </c>
      <c r="H1" t="s">
        <v>125</v>
      </c>
      <c r="I1" s="9" t="s">
        <v>95</v>
      </c>
    </row>
    <row r="2" spans="1:9" x14ac:dyDescent="0.3">
      <c r="A2">
        <f t="shared" ref="A2:A33" si="0">COUNTIF(E:E,E2)</f>
        <v>1</v>
      </c>
      <c r="B2" t="s">
        <v>379</v>
      </c>
      <c r="C2" t="s">
        <v>428</v>
      </c>
      <c r="E2" s="10" t="s">
        <v>380</v>
      </c>
      <c r="F2" t="s">
        <v>34</v>
      </c>
      <c r="G2" t="str">
        <f>VLOOKUP(F2,тех!$A:$E,4,0)</f>
        <v xml:space="preserve"> Sphere-rote</v>
      </c>
      <c r="H2" t="str">
        <f>IF(VLOOKUP(F2,тех!$A:$E,2,0)="broken","broken",VLOOKUP(F2,тех!$A:$E,5,0))</f>
        <v>Sphere rote</v>
      </c>
      <c r="I2" s="9" t="str">
        <f>IF(VLOOKUP(F2,тех!$A:$E,2,0)="broken",CONCATENATE("- [",E2,"](",F2,")",G2),VLOOKUP(F2,тех!$A:$E,2,0)&amp;E2&amp;"]]"&amp;G2)</f>
        <v>- [[Rotes in sphere#RotesSC (Correspondence Effects)|Landscape Of The Mind]] Sphere-rote</v>
      </c>
    </row>
    <row r="3" spans="1:9" x14ac:dyDescent="0.3">
      <c r="A3">
        <f t="shared" si="0"/>
        <v>1</v>
      </c>
      <c r="B3" t="s">
        <v>379</v>
      </c>
      <c r="C3" t="s">
        <v>428</v>
      </c>
      <c r="E3" s="10" t="s">
        <v>381</v>
      </c>
      <c r="F3" t="s">
        <v>34</v>
      </c>
      <c r="G3" t="str">
        <f>VLOOKUP(F3,тех!$A:$E,4,0)</f>
        <v xml:space="preserve"> Sphere-rote</v>
      </c>
      <c r="H3" t="str">
        <f>IF(VLOOKUP(F3,тех!$A:$E,2,0)="broken","broken",VLOOKUP(F3,тех!$A:$E,5,0))</f>
        <v>Sphere rote</v>
      </c>
      <c r="I3" s="9" t="str">
        <f>IF(VLOOKUP(F3,тех!$A:$E,2,0)="broken",CONCATENATE("- [",E3,"](",F3,")",G3),VLOOKUP(F3,тех!$A:$E,2,0)&amp;E3&amp;"]]"&amp;G3)</f>
        <v>- [[Rotes in sphere#RotesSC (Correspondence Effects)|Sense Connection]] Sphere-rote</v>
      </c>
    </row>
    <row r="4" spans="1:9" x14ac:dyDescent="0.3">
      <c r="A4">
        <f t="shared" si="0"/>
        <v>1</v>
      </c>
      <c r="B4" t="s">
        <v>379</v>
      </c>
      <c r="C4" t="s">
        <v>428</v>
      </c>
      <c r="E4" s="10" t="s">
        <v>382</v>
      </c>
      <c r="F4" t="s">
        <v>34</v>
      </c>
      <c r="G4" t="str">
        <f>VLOOKUP(F4,тех!$A:$E,4,0)</f>
        <v xml:space="preserve"> Sphere-rote</v>
      </c>
      <c r="H4" t="str">
        <f>IF(VLOOKUP(F4,тех!$A:$E,2,0)="broken","broken",VLOOKUP(F4,тех!$A:$E,5,0))</f>
        <v>Sphere rote</v>
      </c>
      <c r="I4" s="9" t="str">
        <f>IF(VLOOKUP(F4,тех!$A:$E,2,0)="broken",CONCATENATE("- [",E4,"](",F4,")",G4),VLOOKUP(F4,тех!$A:$E,2,0)&amp;E4&amp;"]]"&amp;G4)</f>
        <v>- [[Rotes in sphere#RotesSC (Correspondence Effects)|Whereami?]] Sphere-rote</v>
      </c>
    </row>
    <row r="5" spans="1:9" x14ac:dyDescent="0.3">
      <c r="A5">
        <f t="shared" si="0"/>
        <v>1</v>
      </c>
      <c r="B5" t="s">
        <v>379</v>
      </c>
      <c r="C5" t="s">
        <v>428</v>
      </c>
      <c r="E5" s="10" t="s">
        <v>383</v>
      </c>
      <c r="F5" t="s">
        <v>51</v>
      </c>
      <c r="G5" t="str">
        <f>VLOOKUP(F5,тех!$A:$E,4,0)</f>
        <v xml:space="preserve"> Do (Akashic)</v>
      </c>
      <c r="H5" t="str">
        <f>IF(VLOOKUP(F5,тех!$A:$E,2,0)="broken","broken",VLOOKUP(F5,тех!$A:$E,5,0))</f>
        <v>broken</v>
      </c>
      <c r="I5" s="9" t="str">
        <f>IF(VLOOKUP(F5,тех!$A:$E,2,0)="broken",CONCATENATE("- [",E5,"](",F5,")",G5),VLOOKUP(F5,тех!$A:$E,2,0)&amp;E5&amp;"]]"&amp;G5)</f>
        <v>- [Flying Dragon Kick](RotesDo) Do (Akashic)</v>
      </c>
    </row>
    <row r="6" spans="1:9" x14ac:dyDescent="0.3">
      <c r="A6">
        <f t="shared" si="0"/>
        <v>2</v>
      </c>
      <c r="B6" t="s">
        <v>379</v>
      </c>
      <c r="C6" t="s">
        <v>428</v>
      </c>
      <c r="E6" s="10" t="s">
        <v>384</v>
      </c>
      <c r="F6" t="s">
        <v>57</v>
      </c>
      <c r="G6" t="str">
        <f>VLOOKUP(F6,тех!$A:$E,4,0)</f>
        <v xml:space="preserve"> General</v>
      </c>
      <c r="H6" t="str">
        <f>IF(VLOOKUP(F6,тех!$A:$E,2,0)="broken","broken",VLOOKUP(F6,тех!$A:$E,5,0))</f>
        <v>Tradition</v>
      </c>
      <c r="I6" s="9" t="str">
        <f>IF(VLOOKUP(F6,тех!$A:$E,2,0)="broken",CONCATENATE("- [",E6,"](",F6,")",G6),VLOOKUP(F6,тех!$A:$E,2,0)&amp;E6&amp;"]]"&amp;G6)</f>
        <v>- [[Rotes in groups#RotesG (General)|Ariadne's Thread]] General</v>
      </c>
    </row>
    <row r="7" spans="1:9" x14ac:dyDescent="0.3">
      <c r="A7">
        <f t="shared" si="0"/>
        <v>1</v>
      </c>
      <c r="B7" t="s">
        <v>379</v>
      </c>
      <c r="C7" t="s">
        <v>428</v>
      </c>
      <c r="E7" s="10" t="s">
        <v>385</v>
      </c>
      <c r="F7" t="s">
        <v>57</v>
      </c>
      <c r="G7" t="str">
        <f>VLOOKUP(F7,тех!$A:$E,4,0)</f>
        <v xml:space="preserve"> General</v>
      </c>
      <c r="H7" t="str">
        <f>IF(VLOOKUP(F7,тех!$A:$E,2,0)="broken","broken",VLOOKUP(F7,тех!$A:$E,5,0))</f>
        <v>Tradition</v>
      </c>
      <c r="I7" s="9" t="str">
        <f>IF(VLOOKUP(F7,тех!$A:$E,2,0)="broken",CONCATENATE("- [",E7,"](",F7,")",G7),VLOOKUP(F7,тех!$A:$E,2,0)&amp;E7&amp;"]]"&amp;G7)</f>
        <v>- [[Rotes in groups#RotesG (General)|Detect The Dream]] General</v>
      </c>
    </row>
    <row r="8" spans="1:9" x14ac:dyDescent="0.3">
      <c r="A8">
        <f t="shared" si="0"/>
        <v>2</v>
      </c>
      <c r="B8" t="s">
        <v>379</v>
      </c>
      <c r="C8" t="s">
        <v>428</v>
      </c>
      <c r="E8" s="10" t="s">
        <v>386</v>
      </c>
      <c r="F8" t="s">
        <v>57</v>
      </c>
      <c r="G8" t="str">
        <f>VLOOKUP(F8,тех!$A:$E,4,0)</f>
        <v xml:space="preserve"> General</v>
      </c>
      <c r="H8" t="str">
        <f>IF(VLOOKUP(F8,тех!$A:$E,2,0)="broken","broken",VLOOKUP(F8,тех!$A:$E,5,0))</f>
        <v>Tradition</v>
      </c>
      <c r="I8" s="9" t="str">
        <f>IF(VLOOKUP(F8,тех!$A:$E,2,0)="broken",CONCATENATE("- [",E8,"](",F8,")",G8),VLOOKUP(F8,тех!$A:$E,2,0)&amp;E8&amp;"]]"&amp;G8)</f>
        <v>- [[Rotes in groups#RotesG (General)|Prime Location]] General</v>
      </c>
    </row>
    <row r="9" spans="1:9" x14ac:dyDescent="0.3">
      <c r="A9">
        <f t="shared" si="0"/>
        <v>1</v>
      </c>
      <c r="B9" t="s">
        <v>379</v>
      </c>
      <c r="C9" t="s">
        <v>428</v>
      </c>
      <c r="E9" s="10" t="s">
        <v>387</v>
      </c>
      <c r="F9" t="s">
        <v>63</v>
      </c>
      <c r="G9" t="str">
        <f>VLOOKUP(F9,тех!$A:$E,4,0)</f>
        <v xml:space="preserve"> 🔋 Iteration X</v>
      </c>
      <c r="H9" t="str">
        <f>IF(VLOOKUP(F9,тех!$A:$E,2,0)="broken","broken",VLOOKUP(F9,тех!$A:$E,5,0))</f>
        <v>Techocrathy</v>
      </c>
      <c r="I9" s="9" t="str">
        <f>IF(VLOOKUP(F9,тех!$A:$E,2,0)="broken",CONCATENATE("- [",E9,"](",F9,")",G9),VLOOKUP(F9,тех!$A:$E,2,0)&amp;E9&amp;"]]"&amp;G9)</f>
        <v>- [[Rotes in groups#RotesIX (Iteration X)|Targeting Computation]] 🔋 Iteration X</v>
      </c>
    </row>
    <row r="10" spans="1:9" x14ac:dyDescent="0.3">
      <c r="A10">
        <f t="shared" si="0"/>
        <v>2</v>
      </c>
      <c r="B10" t="s">
        <v>379</v>
      </c>
      <c r="C10" t="s">
        <v>428</v>
      </c>
      <c r="E10" s="10" t="s">
        <v>388</v>
      </c>
      <c r="F10" t="s">
        <v>63</v>
      </c>
      <c r="G10" t="str">
        <f>VLOOKUP(F10,тех!$A:$E,4,0)</f>
        <v xml:space="preserve"> 🔋 Iteration X</v>
      </c>
      <c r="H10" t="str">
        <f>IF(VLOOKUP(F10,тех!$A:$E,2,0)="broken","broken",VLOOKUP(F10,тех!$A:$E,5,0))</f>
        <v>Techocrathy</v>
      </c>
      <c r="I10" s="9" t="str">
        <f>IF(VLOOKUP(F10,тех!$A:$E,2,0)="broken",CONCATENATE("- [",E10,"](",F10,")",G10),VLOOKUP(F10,тех!$A:$E,2,0)&amp;E10&amp;"]]"&amp;G10)</f>
        <v>- [[Rotes in groups#RotesIX (Iteration X)|Time-Motion Study]] 🔋 Iteration X</v>
      </c>
    </row>
    <row r="11" spans="1:9" x14ac:dyDescent="0.3">
      <c r="A11">
        <f t="shared" si="0"/>
        <v>2</v>
      </c>
      <c r="B11" t="s">
        <v>379</v>
      </c>
      <c r="C11" t="s">
        <v>428</v>
      </c>
      <c r="E11" s="10" t="s">
        <v>299</v>
      </c>
      <c r="F11" t="s">
        <v>80</v>
      </c>
      <c r="G11" t="str">
        <f>VLOOKUP(F11,тех!$A:$E,4,0)</f>
        <v xml:space="preserve"> Templars</v>
      </c>
      <c r="H11" t="str">
        <f>IF(VLOOKUP(F11,тех!$A:$E,2,0)="broken","broken",VLOOKUP(F11,тех!$A:$E,5,0))</f>
        <v>Craft</v>
      </c>
      <c r="I11" s="9" t="str">
        <f>IF(VLOOKUP(F11,тех!$A:$E,2,0)="broken",CONCATENATE("- [",E11,"](",F11,")",G11),VLOOKUP(F11,тех!$A:$E,2,0)&amp;E11&amp;"]]"&amp;G11)</f>
        <v>- [[Rotes in groups#RotesTe (Templars)|Thief In The Night]] Templars</v>
      </c>
    </row>
    <row r="12" spans="1:9" x14ac:dyDescent="0.3">
      <c r="A12">
        <f t="shared" si="0"/>
        <v>1</v>
      </c>
      <c r="B12" t="s">
        <v>379</v>
      </c>
      <c r="C12" t="s">
        <v>428</v>
      </c>
      <c r="E12" s="10" t="s">
        <v>389</v>
      </c>
      <c r="F12" t="s">
        <v>83</v>
      </c>
      <c r="G12" t="str">
        <f>VLOOKUP(F12,тех!$A:$E,4,0)</f>
        <v xml:space="preserve"> 🔋 Void Engineers</v>
      </c>
      <c r="H12" t="str">
        <f>IF(VLOOKUP(F12,тех!$A:$E,2,0)="broken","broken",VLOOKUP(F12,тех!$A:$E,5,0))</f>
        <v>Techocrathy</v>
      </c>
      <c r="I12" s="9" t="str">
        <f>IF(VLOOKUP(F12,тех!$A:$E,2,0)="broken",CONCATENATE("- [",E12,"](",F12,")",G12),VLOOKUP(F12,тех!$A:$E,2,0)&amp;E12&amp;"]]"&amp;G12)</f>
        <v>- [[Rotes in groups#RotesVoE (Void Engineers)|Calculate Kinematics]] 🔋 Void Engineers</v>
      </c>
    </row>
    <row r="13" spans="1:9" x14ac:dyDescent="0.3">
      <c r="A13">
        <f t="shared" si="0"/>
        <v>1</v>
      </c>
      <c r="B13" t="s">
        <v>379</v>
      </c>
      <c r="C13" t="s">
        <v>429</v>
      </c>
      <c r="E13" s="10" t="s">
        <v>390</v>
      </c>
      <c r="F13" t="s">
        <v>34</v>
      </c>
      <c r="G13" t="str">
        <f>VLOOKUP(F13,тех!$A:$E,4,0)</f>
        <v xml:space="preserve"> Sphere-rote</v>
      </c>
      <c r="H13" t="str">
        <f>IF(VLOOKUP(F13,тех!$A:$E,2,0)="broken","broken",VLOOKUP(F13,тех!$A:$E,5,0))</f>
        <v>Sphere rote</v>
      </c>
      <c r="I13" s="9" t="str">
        <f>IF(VLOOKUP(F13,тех!$A:$E,2,0)="broken",CONCATENATE("- [",E13,"](",F13,")",G13),VLOOKUP(F13,тех!$A:$E,2,0)&amp;E13&amp;"]]"&amp;G13)</f>
        <v>- [[Rotes in sphere#RotesSC (Correspondence Effects)|Apportation]] Sphere-rote</v>
      </c>
    </row>
    <row r="14" spans="1:9" x14ac:dyDescent="0.3">
      <c r="A14">
        <f t="shared" si="0"/>
        <v>1</v>
      </c>
      <c r="B14" t="s">
        <v>379</v>
      </c>
      <c r="C14" t="s">
        <v>429</v>
      </c>
      <c r="E14" s="10" t="s">
        <v>391</v>
      </c>
      <c r="F14" t="s">
        <v>34</v>
      </c>
      <c r="G14" t="str">
        <f>VLOOKUP(F14,тех!$A:$E,4,0)</f>
        <v xml:space="preserve"> Sphere-rote</v>
      </c>
      <c r="H14" t="str">
        <f>IF(VLOOKUP(F14,тех!$A:$E,2,0)="broken","broken",VLOOKUP(F14,тех!$A:$E,5,0))</f>
        <v>Sphere rote</v>
      </c>
      <c r="I14" s="9" t="str">
        <f>IF(VLOOKUP(F14,тех!$A:$E,2,0)="broken",CONCATENATE("- [",E14,"](",F14,")",G14),VLOOKUP(F14,тех!$A:$E,2,0)&amp;E14&amp;"]]"&amp;G14)</f>
        <v>- [[Rotes in sphere#RotesSC (Correspondence Effects)|Correspondence Sensing]] Sphere-rote</v>
      </c>
    </row>
    <row r="15" spans="1:9" x14ac:dyDescent="0.3">
      <c r="A15">
        <f t="shared" si="0"/>
        <v>1</v>
      </c>
      <c r="B15" t="s">
        <v>379</v>
      </c>
      <c r="C15" t="s">
        <v>429</v>
      </c>
      <c r="E15" s="10" t="s">
        <v>392</v>
      </c>
      <c r="F15" t="s">
        <v>34</v>
      </c>
      <c r="G15" t="str">
        <f>VLOOKUP(F15,тех!$A:$E,4,0)</f>
        <v xml:space="preserve"> Sphere-rote</v>
      </c>
      <c r="H15" t="str">
        <f>IF(VLOOKUP(F15,тех!$A:$E,2,0)="broken","broken",VLOOKUP(F15,тех!$A:$E,5,0))</f>
        <v>Sphere rote</v>
      </c>
      <c r="I15" s="9" t="str">
        <f>IF(VLOOKUP(F15,тех!$A:$E,2,0)="broken",CONCATENATE("- [",E15,"](",F15,")",G15),VLOOKUP(F15,тех!$A:$E,2,0)&amp;E15&amp;"]]"&amp;G15)</f>
        <v>- [[Rotes in sphere#RotesSC (Correspondence Effects)|Ward]] Sphere-rote</v>
      </c>
    </row>
    <row r="16" spans="1:9" x14ac:dyDescent="0.3">
      <c r="A16">
        <f t="shared" si="0"/>
        <v>1</v>
      </c>
      <c r="B16" t="s">
        <v>379</v>
      </c>
      <c r="C16" t="s">
        <v>429</v>
      </c>
      <c r="E16" s="10" t="s">
        <v>393</v>
      </c>
      <c r="F16" t="s">
        <v>46</v>
      </c>
      <c r="G16" t="str">
        <f>VLOOKUP(F16,тех!$A:$E,4,0)</f>
        <v xml:space="preserve"> Alh-i-Batin</v>
      </c>
      <c r="H16" t="str">
        <f>IF(VLOOKUP(F16,тех!$A:$E,2,0)="broken","broken",VLOOKUP(F16,тех!$A:$E,5,0))</f>
        <v>broken</v>
      </c>
      <c r="I16" s="9" t="str">
        <f>IF(VLOOKUP(F16,тех!$A:$E,2,0)="broken",CONCATENATE("- [",E16,"](",F16,")",G16),VLOOKUP(F16,тех!$A:$E,2,0)&amp;E16&amp;"]]"&amp;G16)</f>
        <v>- [Eagle Eye](RotesAhIB) Alh-i-Batin</v>
      </c>
    </row>
    <row r="17" spans="1:9" x14ac:dyDescent="0.3">
      <c r="A17">
        <f t="shared" si="0"/>
        <v>3</v>
      </c>
      <c r="B17" t="s">
        <v>379</v>
      </c>
      <c r="C17" t="s">
        <v>429</v>
      </c>
      <c r="E17" s="10" t="s">
        <v>394</v>
      </c>
      <c r="F17" t="s">
        <v>75</v>
      </c>
      <c r="G17" t="str">
        <f>VLOOKUP(F17,тех!$A:$E,4,0)</f>
        <v xml:space="preserve"> Sons of Ether</v>
      </c>
      <c r="H17" t="str">
        <f>IF(VLOOKUP(F17,тех!$A:$E,2,0)="broken","broken",VLOOKUP(F17,тех!$A:$E,5,0))</f>
        <v>broken</v>
      </c>
      <c r="I17" s="9" t="str">
        <f>IF(VLOOKUP(F17,тех!$A:$E,2,0)="broken",CONCATENATE("- [",E17,"](",F17,")",G17),VLOOKUP(F17,тех!$A:$E,2,0)&amp;E17&amp;"]]"&amp;G17)</f>
        <v>- [Jury Rig](RotesSoOE) Sons of Ether</v>
      </c>
    </row>
    <row r="18" spans="1:9" x14ac:dyDescent="0.3">
      <c r="A18">
        <f t="shared" si="0"/>
        <v>1</v>
      </c>
      <c r="B18" t="s">
        <v>379</v>
      </c>
      <c r="C18" t="s">
        <v>429</v>
      </c>
      <c r="E18" s="10" t="s">
        <v>395</v>
      </c>
      <c r="F18" t="s">
        <v>53</v>
      </c>
      <c r="G18" t="str">
        <f>VLOOKUP(F18,тех!$A:$E,4,0)</f>
        <v xml:space="preserve"> Dreamspeakers</v>
      </c>
      <c r="H18" t="str">
        <f>IF(VLOOKUP(F18,тех!$A:$E,2,0)="broken","broken",VLOOKUP(F18,тех!$A:$E,5,0))</f>
        <v>broken</v>
      </c>
      <c r="I18" s="9" t="str">
        <f>IF(VLOOKUP(F18,тех!$A:$E,2,0)="broken",CONCATENATE("- [",E18,"](",F18,")",G18),VLOOKUP(F18,тех!$A:$E,2,0)&amp;E18&amp;"]]"&amp;G18)</f>
        <v>- [Scrying](RotesDr) Dreamspeakers</v>
      </c>
    </row>
    <row r="19" spans="1:9" x14ac:dyDescent="0.3">
      <c r="A19">
        <f t="shared" si="0"/>
        <v>3</v>
      </c>
      <c r="B19" t="s">
        <v>379</v>
      </c>
      <c r="C19" t="s">
        <v>429</v>
      </c>
      <c r="E19" s="10" t="s">
        <v>282</v>
      </c>
      <c r="F19" t="s">
        <v>49</v>
      </c>
      <c r="G19" t="str">
        <f>VLOOKUP(F19,тех!$A:$E,4,0)</f>
        <v xml:space="preserve"> Cult of Ecstasy</v>
      </c>
      <c r="H19" t="str">
        <f>IF(VLOOKUP(F19,тех!$A:$E,2,0)="broken","broken",VLOOKUP(F19,тех!$A:$E,5,0))</f>
        <v>broken</v>
      </c>
      <c r="I19" s="9" t="str">
        <f>IF(VLOOKUP(F19,тех!$A:$E,2,0)="broken",CONCATENATE("- [",E19,"](",F19,")",G19),VLOOKUP(F19,тех!$A:$E,2,0)&amp;E19&amp;"]]"&amp;G19)</f>
        <v>- [Trip, The](RotesCuOE) Cult of Ecstasy</v>
      </c>
    </row>
    <row r="20" spans="1:9" x14ac:dyDescent="0.3">
      <c r="A20">
        <f t="shared" si="0"/>
        <v>1</v>
      </c>
      <c r="B20" t="s">
        <v>379</v>
      </c>
      <c r="C20" t="s">
        <v>429</v>
      </c>
      <c r="E20" s="10" t="s">
        <v>396</v>
      </c>
      <c r="F20" t="s">
        <v>57</v>
      </c>
      <c r="G20" t="str">
        <f>VLOOKUP(F20,тех!$A:$E,4,0)</f>
        <v xml:space="preserve"> General</v>
      </c>
      <c r="H20" t="str">
        <f>IF(VLOOKUP(F20,тех!$A:$E,2,0)="broken","broken",VLOOKUP(F20,тех!$A:$E,5,0))</f>
        <v>Tradition</v>
      </c>
      <c r="I20" s="9" t="str">
        <f>IF(VLOOKUP(F20,тех!$A:$E,2,0)="broken",CONCATENATE("- [",E20,"](",F20,")",G20),VLOOKUP(F20,тех!$A:$E,2,0)&amp;E20&amp;"]]"&amp;G20)</f>
        <v>- [[Rotes in groups#RotesG (General)|Pixie Lead]] General</v>
      </c>
    </row>
    <row r="21" spans="1:9" x14ac:dyDescent="0.3">
      <c r="A21">
        <f t="shared" si="0"/>
        <v>1</v>
      </c>
      <c r="B21" t="s">
        <v>379</v>
      </c>
      <c r="C21" t="s">
        <v>429</v>
      </c>
      <c r="E21" s="10" t="s">
        <v>397</v>
      </c>
      <c r="F21" t="s">
        <v>66</v>
      </c>
      <c r="G21" t="str">
        <f>VLOOKUP(F21,тех!$A:$E,4,0)</f>
        <v xml:space="preserve"> 🔋 New World Order</v>
      </c>
      <c r="H21" t="str">
        <f>IF(VLOOKUP(F21,тех!$A:$E,2,0)="broken","broken",VLOOKUP(F21,тех!$A:$E,5,0))</f>
        <v>Techocrathy</v>
      </c>
      <c r="I21" s="9" t="str">
        <f>IF(VLOOKUP(F21,тех!$A:$E,2,0)="broken",CONCATENATE("- [",E21,"](",F21,")",G21),VLOOKUP(F21,тех!$A:$E,2,0)&amp;E21&amp;"]]"&amp;G21)</f>
        <v>- [[Rotes in groups#RotesNWO (New world order)|Check The Corners]] 🔋 New World Order</v>
      </c>
    </row>
    <row r="22" spans="1:9" x14ac:dyDescent="0.3">
      <c r="A22">
        <f t="shared" si="0"/>
        <v>1</v>
      </c>
      <c r="B22" t="s">
        <v>379</v>
      </c>
      <c r="C22" t="s">
        <v>429</v>
      </c>
      <c r="E22" s="10" t="s">
        <v>398</v>
      </c>
      <c r="F22" t="s">
        <v>66</v>
      </c>
      <c r="G22" t="str">
        <f>VLOOKUP(F22,тех!$A:$E,4,0)</f>
        <v xml:space="preserve"> 🔋 New World Order</v>
      </c>
      <c r="H22" t="str">
        <f>IF(VLOOKUP(F22,тех!$A:$E,2,0)="broken","broken",VLOOKUP(F22,тех!$A:$E,5,0))</f>
        <v>Techocrathy</v>
      </c>
      <c r="I22" s="9" t="str">
        <f>IF(VLOOKUP(F22,тех!$A:$E,2,0)="broken",CONCATENATE("- [",E22,"](",F22,")",G22),VLOOKUP(F22,тех!$A:$E,2,0)&amp;E22&amp;"]]"&amp;G22)</f>
        <v>- [[Rotes in groups#RotesNWO (New world order)|Heat Seeking]] 🔋 New World Order</v>
      </c>
    </row>
    <row r="23" spans="1:9" x14ac:dyDescent="0.3">
      <c r="A23">
        <f t="shared" si="0"/>
        <v>1</v>
      </c>
      <c r="B23" t="s">
        <v>379</v>
      </c>
      <c r="C23" t="s">
        <v>429</v>
      </c>
      <c r="E23" s="10" t="s">
        <v>399</v>
      </c>
      <c r="F23" t="s">
        <v>66</v>
      </c>
      <c r="G23" t="str">
        <f>VLOOKUP(F23,тех!$A:$E,4,0)</f>
        <v xml:space="preserve"> 🔋 New World Order</v>
      </c>
      <c r="H23" t="str">
        <f>IF(VLOOKUP(F23,тех!$A:$E,2,0)="broken","broken",VLOOKUP(F23,тех!$A:$E,5,0))</f>
        <v>Techocrathy</v>
      </c>
      <c r="I23" s="9" t="str">
        <f>IF(VLOOKUP(F23,тех!$A:$E,2,0)="broken",CONCATENATE("- [",E23,"](",F23,")",G23),VLOOKUP(F23,тех!$A:$E,2,0)&amp;E23&amp;"]]"&amp;G23)</f>
        <v>- [[Rotes in groups#RotesNWO (New world order)|Phone Tap]] 🔋 New World Order</v>
      </c>
    </row>
    <row r="24" spans="1:9" x14ac:dyDescent="0.3">
      <c r="A24">
        <f t="shared" si="0"/>
        <v>2</v>
      </c>
      <c r="B24" t="s">
        <v>379</v>
      </c>
      <c r="C24" t="s">
        <v>429</v>
      </c>
      <c r="E24" s="10" t="s">
        <v>400</v>
      </c>
      <c r="F24" t="s">
        <v>66</v>
      </c>
      <c r="G24" t="str">
        <f>VLOOKUP(F24,тех!$A:$E,4,0)</f>
        <v xml:space="preserve"> 🔋 New World Order</v>
      </c>
      <c r="H24" t="str">
        <f>IF(VLOOKUP(F24,тех!$A:$E,2,0)="broken","broken",VLOOKUP(F24,тех!$A:$E,5,0))</f>
        <v>Techocrathy</v>
      </c>
      <c r="I24" s="9" t="str">
        <f>IF(VLOOKUP(F24,тех!$A:$E,2,0)="broken",CONCATENATE("- [",E24,"](",F24,")",G24),VLOOKUP(F24,тех!$A:$E,2,0)&amp;E24&amp;"]]"&amp;G24)</f>
        <v>- [[Rotes in groups#RotesNWO (New world order)|Sense Node]] 🔋 New World Order</v>
      </c>
    </row>
    <row r="25" spans="1:9" x14ac:dyDescent="0.3">
      <c r="A25">
        <f t="shared" si="0"/>
        <v>2</v>
      </c>
      <c r="B25" t="s">
        <v>379</v>
      </c>
      <c r="C25" t="s">
        <v>429</v>
      </c>
      <c r="E25" s="10" t="s">
        <v>401</v>
      </c>
      <c r="F25" t="s">
        <v>69</v>
      </c>
      <c r="G25" t="str">
        <f>VLOOKUP(F25,тех!$A:$E,4,0)</f>
        <v xml:space="preserve"> Order of Hermes</v>
      </c>
      <c r="H25" t="str">
        <f>IF(VLOOKUP(F25,тех!$A:$E,2,0)="broken","broken",VLOOKUP(F25,тех!$A:$E,5,0))</f>
        <v>Tradition</v>
      </c>
      <c r="I25" s="9" t="str">
        <f>IF(VLOOKUP(F25,тех!$A:$E,2,0)="broken",CONCATENATE("- [",E25,"](",F25,")",G25),VLOOKUP(F25,тех!$A:$E,2,0)&amp;E25&amp;"]]"&amp;G25)</f>
        <v>- [[Rotes in groups#RotesOOH (Order of Hermes)|Gabriel's Embrace]] Order of Hermes</v>
      </c>
    </row>
    <row r="26" spans="1:9" x14ac:dyDescent="0.3">
      <c r="A26">
        <f t="shared" si="0"/>
        <v>1</v>
      </c>
      <c r="B26" t="s">
        <v>379</v>
      </c>
      <c r="C26" t="s">
        <v>429</v>
      </c>
      <c r="E26" s="10" t="s">
        <v>402</v>
      </c>
      <c r="F26" t="s">
        <v>69</v>
      </c>
      <c r="G26" t="str">
        <f>VLOOKUP(F26,тех!$A:$E,4,0)</f>
        <v xml:space="preserve"> Order of Hermes</v>
      </c>
      <c r="H26" t="str">
        <f>IF(VLOOKUP(F26,тех!$A:$E,2,0)="broken","broken",VLOOKUP(F26,тех!$A:$E,5,0))</f>
        <v>Tradition</v>
      </c>
      <c r="I26" s="9" t="str">
        <f>IF(VLOOKUP(F26,тех!$A:$E,2,0)="broken",CONCATENATE("- [",E26,"](",F26,")",G26),VLOOKUP(F26,тех!$A:$E,2,0)&amp;E26&amp;"]]"&amp;G26)</f>
        <v>- [[Rotes in groups#RotesOOH (Order of Hermes)|Glorious Sword Of Haven]] Order of Hermes</v>
      </c>
    </row>
    <row r="27" spans="1:9" x14ac:dyDescent="0.3">
      <c r="A27">
        <f t="shared" si="0"/>
        <v>2</v>
      </c>
      <c r="B27" t="s">
        <v>379</v>
      </c>
      <c r="C27" t="s">
        <v>429</v>
      </c>
      <c r="E27" s="10" t="s">
        <v>403</v>
      </c>
      <c r="F27" t="s">
        <v>69</v>
      </c>
      <c r="G27" t="str">
        <f>VLOOKUP(F27,тех!$A:$E,4,0)</f>
        <v xml:space="preserve"> Order of Hermes</v>
      </c>
      <c r="H27" t="str">
        <f>IF(VLOOKUP(F27,тех!$A:$E,2,0)="broken","broken",VLOOKUP(F27,тех!$A:$E,5,0))</f>
        <v>Tradition</v>
      </c>
      <c r="I27" s="9" t="str">
        <f>IF(VLOOKUP(F27,тех!$A:$E,2,0)="broken",CONCATENATE("- [",E27,"](",F27,")",G27),VLOOKUP(F27,тех!$A:$E,2,0)&amp;E27&amp;"]]"&amp;G27)</f>
        <v>- [[Rotes in groups#RotesOOH (Order of Hermes)|Oak Of Sanguine Root]] Order of Hermes</v>
      </c>
    </row>
    <row r="28" spans="1:9" x14ac:dyDescent="0.3">
      <c r="A28">
        <f t="shared" si="0"/>
        <v>3</v>
      </c>
      <c r="B28" t="s">
        <v>379</v>
      </c>
      <c r="C28" t="s">
        <v>429</v>
      </c>
      <c r="E28" s="10" t="s">
        <v>404</v>
      </c>
      <c r="F28" t="s">
        <v>80</v>
      </c>
      <c r="G28" t="str">
        <f>VLOOKUP(F28,тех!$A:$E,4,0)</f>
        <v xml:space="preserve"> Templars</v>
      </c>
      <c r="H28" t="str">
        <f>IF(VLOOKUP(F28,тех!$A:$E,2,0)="broken","broken",VLOOKUP(F28,тех!$A:$E,5,0))</f>
        <v>Craft</v>
      </c>
      <c r="I28" s="9" t="str">
        <f>IF(VLOOKUP(F28,тех!$A:$E,2,0)="broken",CONCATENATE("- [",E28,"](",F28,")",G28),VLOOKUP(F28,тех!$A:$E,2,0)&amp;E28&amp;"]]"&amp;G28)</f>
        <v>- [[Rotes in groups#RotesTe (Templars)|Quo Vadis?]] Templars</v>
      </c>
    </row>
    <row r="29" spans="1:9" x14ac:dyDescent="0.3">
      <c r="A29">
        <f t="shared" si="0"/>
        <v>1</v>
      </c>
      <c r="B29" t="s">
        <v>379</v>
      </c>
      <c r="C29" t="s">
        <v>429</v>
      </c>
      <c r="E29" s="10" t="s">
        <v>405</v>
      </c>
      <c r="F29" t="s">
        <v>80</v>
      </c>
      <c r="G29" t="str">
        <f>VLOOKUP(F29,тех!$A:$E,4,0)</f>
        <v xml:space="preserve"> Templars</v>
      </c>
      <c r="H29" t="str">
        <f>IF(VLOOKUP(F29,тех!$A:$E,2,0)="broken","broken",VLOOKUP(F29,тех!$A:$E,5,0))</f>
        <v>Craft</v>
      </c>
      <c r="I29" s="9" t="str">
        <f>IF(VLOOKUP(F29,тех!$A:$E,2,0)="broken",CONCATENATE("- [",E29,"](",F29,")",G29),VLOOKUP(F29,тех!$A:$E,2,0)&amp;E29&amp;"]]"&amp;G29)</f>
        <v>- [[Rotes in groups#RotesTe (Templars)|Spatial Sheath]] Templars</v>
      </c>
    </row>
    <row r="30" spans="1:9" x14ac:dyDescent="0.3">
      <c r="A30">
        <f t="shared" si="0"/>
        <v>3</v>
      </c>
      <c r="B30" t="s">
        <v>379</v>
      </c>
      <c r="C30" t="s">
        <v>429</v>
      </c>
      <c r="E30" s="10" t="s">
        <v>406</v>
      </c>
      <c r="F30" t="s">
        <v>80</v>
      </c>
      <c r="G30" t="str">
        <f>VLOOKUP(F30,тех!$A:$E,4,0)</f>
        <v xml:space="preserve"> Templars</v>
      </c>
      <c r="H30" t="str">
        <f>IF(VLOOKUP(F30,тех!$A:$E,2,0)="broken","broken",VLOOKUP(F30,тех!$A:$E,5,0))</f>
        <v>Craft</v>
      </c>
      <c r="I30" s="9" t="str">
        <f>IF(VLOOKUP(F30,тех!$A:$E,2,0)="broken",CONCATENATE("- [",E30,"](",F30,")",G30),VLOOKUP(F30,тех!$A:$E,2,0)&amp;E30&amp;"]]"&amp;G30)</f>
        <v>- [[Rotes in groups#RotesTe (Templars)|Whither Goest Thou?]] Templars</v>
      </c>
    </row>
    <row r="31" spans="1:9" x14ac:dyDescent="0.3">
      <c r="A31">
        <f t="shared" si="0"/>
        <v>2</v>
      </c>
      <c r="B31" t="s">
        <v>379</v>
      </c>
      <c r="C31" t="s">
        <v>429</v>
      </c>
      <c r="E31" s="10" t="s">
        <v>407</v>
      </c>
      <c r="F31" t="s">
        <v>86</v>
      </c>
      <c r="G31" t="str">
        <f>VLOOKUP(F31,тех!$A:$E,4,0)</f>
        <v xml:space="preserve"> Wu Keng</v>
      </c>
      <c r="H31" t="str">
        <f>IF(VLOOKUP(F31,тех!$A:$E,2,0)="broken","broken",VLOOKUP(F31,тех!$A:$E,5,0))</f>
        <v>Craft</v>
      </c>
      <c r="I31" s="9" t="str">
        <f>IF(VLOOKUP(F31,тех!$A:$E,2,0)="broken",CONCATENATE("- [",E31,"](",F31,")",G31),VLOOKUP(F31,тех!$A:$E,2,0)&amp;E31&amp;"]]"&amp;G31)</f>
        <v>- [[Rotes in groups#RotesWK (Wu-Keng)|Crippled Lotus Curse, The]] Wu Keng</v>
      </c>
    </row>
    <row r="32" spans="1:9" x14ac:dyDescent="0.3">
      <c r="A32">
        <f t="shared" si="0"/>
        <v>2</v>
      </c>
      <c r="B32" t="s">
        <v>379</v>
      </c>
      <c r="C32" t="s">
        <v>429</v>
      </c>
      <c r="E32" s="10" t="s">
        <v>408</v>
      </c>
      <c r="F32" t="s">
        <v>86</v>
      </c>
      <c r="G32" t="str">
        <f>VLOOKUP(F32,тех!$A:$E,4,0)</f>
        <v xml:space="preserve"> Wu Keng</v>
      </c>
      <c r="H32" t="str">
        <f>IF(VLOOKUP(F32,тех!$A:$E,2,0)="broken","broken",VLOOKUP(F32,тех!$A:$E,5,0))</f>
        <v>Craft</v>
      </c>
      <c r="I32" s="9" t="str">
        <f>IF(VLOOKUP(F32,тех!$A:$E,2,0)="broken",CONCATENATE("- [",E32,"](",F32,")",G32),VLOOKUP(F32,тех!$A:$E,2,0)&amp;E32&amp;"]]"&amp;G32)</f>
        <v>- [[Rotes in groups#RotesWK (Wu-Keng)|Luck Of The Lotus]] Wu Keng</v>
      </c>
    </row>
    <row r="33" spans="1:9" x14ac:dyDescent="0.3">
      <c r="A33">
        <f t="shared" si="0"/>
        <v>1</v>
      </c>
      <c r="B33" t="s">
        <v>379</v>
      </c>
      <c r="C33" t="s">
        <v>429</v>
      </c>
      <c r="E33" s="10" t="s">
        <v>409</v>
      </c>
      <c r="F33" t="s">
        <v>86</v>
      </c>
      <c r="G33" t="str">
        <f>VLOOKUP(F33,тех!$A:$E,4,0)</f>
        <v xml:space="preserve"> Wu Keng</v>
      </c>
      <c r="H33" t="str">
        <f>IF(VLOOKUP(F33,тех!$A:$E,2,0)="broken","broken",VLOOKUP(F33,тех!$A:$E,5,0))</f>
        <v>Craft</v>
      </c>
      <c r="I33" s="9" t="str">
        <f>IF(VLOOKUP(F33,тех!$A:$E,2,0)="broken",CONCATENATE("- [",E33,"](",F33,")",G33),VLOOKUP(F33,тех!$A:$E,2,0)&amp;E33&amp;"]]"&amp;G33)</f>
        <v>- [[Rotes in groups#RotesWK (Wu-Keng)|Shih-Huang-Ti's Marvelous Game]] Wu Keng</v>
      </c>
    </row>
    <row r="34" spans="1:9" x14ac:dyDescent="0.3">
      <c r="A34">
        <f t="shared" ref="A34:A65" si="1">COUNTIF(E:E,E34)</f>
        <v>1</v>
      </c>
      <c r="B34" t="s">
        <v>278</v>
      </c>
      <c r="C34" t="s">
        <v>428</v>
      </c>
      <c r="E34" s="10" t="s">
        <v>279</v>
      </c>
      <c r="F34" t="s">
        <v>2</v>
      </c>
      <c r="G34" t="str">
        <f>VLOOKUP(F34,тех!$A:$E,4,0)</f>
        <v xml:space="preserve"> Sphere-rote</v>
      </c>
      <c r="H34" t="str">
        <f>IF(VLOOKUP(F34,тех!$A:$E,2,0)="broken","broken",VLOOKUP(F34,тех!$A:$E,5,0))</f>
        <v>Sphere rote</v>
      </c>
      <c r="I34" s="9" t="str">
        <f>IF(VLOOKUP(F34,тех!$A:$E,2,0)="broken",CONCATENATE("- [",E34,"](",F34,")",G34),VLOOKUP(F34,тех!$A:$E,2,0)&amp;E34&amp;"]]"&amp;G34)</f>
        <v>- [[Rotes in sphere#RotesSE (Entropy effects)|Locate Disorder And Weakness]] Sphere-rote</v>
      </c>
    </row>
    <row r="35" spans="1:9" x14ac:dyDescent="0.3">
      <c r="A35">
        <f t="shared" si="1"/>
        <v>1</v>
      </c>
      <c r="B35" t="s">
        <v>278</v>
      </c>
      <c r="C35" t="s">
        <v>428</v>
      </c>
      <c r="E35" s="10" t="s">
        <v>280</v>
      </c>
      <c r="F35" t="s">
        <v>2</v>
      </c>
      <c r="G35" t="str">
        <f>VLOOKUP(F35,тех!$A:$E,4,0)</f>
        <v xml:space="preserve"> Sphere-rote</v>
      </c>
      <c r="H35" t="str">
        <f>IF(VLOOKUP(F35,тех!$A:$E,2,0)="broken","broken",VLOOKUP(F35,тех!$A:$E,5,0))</f>
        <v>Sphere rote</v>
      </c>
      <c r="I35" s="9" t="str">
        <f>IF(VLOOKUP(F35,тех!$A:$E,2,0)="broken",CONCATENATE("- [",E35,"](",F35,")",G35),VLOOKUP(F35,тех!$A:$E,2,0)&amp;E35&amp;"]]"&amp;G35)</f>
        <v>- [[Rotes in sphere#RotesSE (Entropy effects)|Ring Of Truth]] Sphere-rote</v>
      </c>
    </row>
    <row r="36" spans="1:9" x14ac:dyDescent="0.3">
      <c r="A36">
        <f t="shared" si="1"/>
        <v>1</v>
      </c>
      <c r="B36" t="s">
        <v>278</v>
      </c>
      <c r="C36" t="s">
        <v>428</v>
      </c>
      <c r="E36" s="10" t="s">
        <v>281</v>
      </c>
      <c r="F36" t="s">
        <v>5</v>
      </c>
      <c r="G36" t="str">
        <f>VLOOKUP(F36,тех!$A:$E,4,0)</f>
        <v xml:space="preserve"> Celestial Chorus</v>
      </c>
      <c r="H36" t="str">
        <f>IF(VLOOKUP(F36,тех!$A:$E,2,0)="broken","broken",VLOOKUP(F36,тех!$A:$E,5,0))</f>
        <v>broken</v>
      </c>
      <c r="I36" s="9" t="str">
        <f>IF(VLOOKUP(F36,тех!$A:$E,2,0)="broken",CONCATENATE("- [",E36,"](",F36,")",G36),VLOOKUP(F36,тех!$A:$E,2,0)&amp;E36&amp;"]]"&amp;G36)</f>
        <v>- [Sense Corruption](RotesCeC) Celestial Chorus</v>
      </c>
    </row>
    <row r="37" spans="1:9" x14ac:dyDescent="0.3">
      <c r="A37">
        <f t="shared" si="1"/>
        <v>3</v>
      </c>
      <c r="B37" t="s">
        <v>278</v>
      </c>
      <c r="C37" t="s">
        <v>428</v>
      </c>
      <c r="E37" s="10" t="s">
        <v>282</v>
      </c>
      <c r="F37" t="s">
        <v>49</v>
      </c>
      <c r="G37" t="str">
        <f>VLOOKUP(F37,тех!$A:$E,4,0)</f>
        <v xml:space="preserve"> Cult of Ecstasy</v>
      </c>
      <c r="H37" t="str">
        <f>IF(VLOOKUP(F37,тех!$A:$E,2,0)="broken","broken",VLOOKUP(F37,тех!$A:$E,5,0))</f>
        <v>broken</v>
      </c>
      <c r="I37" s="9" t="str">
        <f>IF(VLOOKUP(F37,тех!$A:$E,2,0)="broken",CONCATENATE("- [",E37,"](",F37,")",G37),VLOOKUP(F37,тех!$A:$E,2,0)&amp;E37&amp;"]]"&amp;G37)</f>
        <v>- [Trip, The](RotesCuOE) Cult of Ecstasy</v>
      </c>
    </row>
    <row r="38" spans="1:9" x14ac:dyDescent="0.3">
      <c r="A38">
        <f t="shared" si="1"/>
        <v>1</v>
      </c>
      <c r="B38" t="s">
        <v>278</v>
      </c>
      <c r="C38" t="s">
        <v>428</v>
      </c>
      <c r="E38" s="10" t="s">
        <v>283</v>
      </c>
      <c r="F38" t="s">
        <v>57</v>
      </c>
      <c r="G38" t="str">
        <f>VLOOKUP(F38,тех!$A:$E,4,0)</f>
        <v xml:space="preserve"> General</v>
      </c>
      <c r="H38" t="str">
        <f>IF(VLOOKUP(F38,тех!$A:$E,2,0)="broken","broken",VLOOKUP(F38,тех!$A:$E,5,0))</f>
        <v>Tradition</v>
      </c>
      <c r="I38" s="9" t="str">
        <f>IF(VLOOKUP(F38,тех!$A:$E,2,0)="broken",CONCATENATE("- [",E38,"](",F38,")",G38),VLOOKUP(F38,тех!$A:$E,2,0)&amp;E38&amp;"]]"&amp;G38)</f>
        <v>- [[Rotes in groups#RotesG (General)|Burn Out]] General</v>
      </c>
    </row>
    <row r="39" spans="1:9" x14ac:dyDescent="0.3">
      <c r="A39">
        <f t="shared" si="1"/>
        <v>2</v>
      </c>
      <c r="B39" t="s">
        <v>278</v>
      </c>
      <c r="C39" t="s">
        <v>428</v>
      </c>
      <c r="E39" s="10" t="s">
        <v>284</v>
      </c>
      <c r="F39" t="s">
        <v>69</v>
      </c>
      <c r="G39" t="str">
        <f>VLOOKUP(F39,тех!$A:$E,4,0)</f>
        <v xml:space="preserve"> Order of Hermes</v>
      </c>
      <c r="H39" t="str">
        <f>IF(VLOOKUP(F39,тех!$A:$E,2,0)="broken","broken",VLOOKUP(F39,тех!$A:$E,5,0))</f>
        <v>Tradition</v>
      </c>
      <c r="I39" s="9" t="str">
        <f>IF(VLOOKUP(F39,тех!$A:$E,2,0)="broken",CONCATENATE("- [",E39,"](",F39,")",G39),VLOOKUP(F39,тех!$A:$E,2,0)&amp;E39&amp;"]]"&amp;G39)</f>
        <v>- [[Rotes in groups#RotesOOH (Order of Hermes)|Hermes Brand]] Order of Hermes</v>
      </c>
    </row>
    <row r="40" spans="1:9" x14ac:dyDescent="0.3">
      <c r="A40">
        <f t="shared" si="1"/>
        <v>1</v>
      </c>
      <c r="B40" t="s">
        <v>278</v>
      </c>
      <c r="C40" t="s">
        <v>428</v>
      </c>
      <c r="E40" s="10" t="s">
        <v>285</v>
      </c>
      <c r="F40" t="s">
        <v>69</v>
      </c>
      <c r="G40" t="str">
        <f>VLOOKUP(F40,тех!$A:$E,4,0)</f>
        <v xml:space="preserve"> Order of Hermes</v>
      </c>
      <c r="H40" t="str">
        <f>IF(VLOOKUP(F40,тех!$A:$E,2,0)="broken","broken",VLOOKUP(F40,тех!$A:$E,5,0))</f>
        <v>Tradition</v>
      </c>
      <c r="I40" s="9" t="str">
        <f>IF(VLOOKUP(F40,тех!$A:$E,2,0)="broken",CONCATENATE("- [",E40,"](",F40,")",G40),VLOOKUP(F40,тех!$A:$E,2,0)&amp;E40&amp;"]]"&amp;G40)</f>
        <v>- [[Rotes in groups#RotesOOH (Order of Hermes)|Oathbreaker's Lash]] Order of Hermes</v>
      </c>
    </row>
    <row r="41" spans="1:9" x14ac:dyDescent="0.3">
      <c r="A41">
        <f t="shared" si="1"/>
        <v>1</v>
      </c>
      <c r="B41" t="s">
        <v>278</v>
      </c>
      <c r="C41" t="s">
        <v>428</v>
      </c>
      <c r="E41" s="10" t="s">
        <v>286</v>
      </c>
      <c r="F41" t="s">
        <v>63</v>
      </c>
      <c r="G41" t="str">
        <f>VLOOKUP(F41,тех!$A:$E,4,0)</f>
        <v xml:space="preserve"> 🔋 Iteration X</v>
      </c>
      <c r="H41" t="str">
        <f>IF(VLOOKUP(F41,тех!$A:$E,2,0)="broken","broken",VLOOKUP(F41,тех!$A:$E,5,0))</f>
        <v>Techocrathy</v>
      </c>
      <c r="I41" s="9" t="str">
        <f>IF(VLOOKUP(F41,тех!$A:$E,2,0)="broken",CONCATENATE("- [",E41,"](",F41,")",G41),VLOOKUP(F41,тех!$A:$E,2,0)&amp;E41&amp;"]]"&amp;G41)</f>
        <v>- [[Rotes in groups#RotesIX (Iteration X)|Organize]] 🔋 Iteration X</v>
      </c>
    </row>
    <row r="42" spans="1:9" x14ac:dyDescent="0.3">
      <c r="A42">
        <f t="shared" si="1"/>
        <v>1</v>
      </c>
      <c r="B42" t="s">
        <v>278</v>
      </c>
      <c r="C42" t="s">
        <v>428</v>
      </c>
      <c r="E42" s="10" t="s">
        <v>287</v>
      </c>
      <c r="F42" t="s">
        <v>86</v>
      </c>
      <c r="G42" t="str">
        <f>VLOOKUP(F42,тех!$A:$E,4,0)</f>
        <v xml:space="preserve"> Wu Keng</v>
      </c>
      <c r="H42" t="str">
        <f>IF(VLOOKUP(F42,тех!$A:$E,2,0)="broken","broken",VLOOKUP(F42,тех!$A:$E,5,0))</f>
        <v>Craft</v>
      </c>
      <c r="I42" s="9" t="str">
        <f>IF(VLOOKUP(F42,тех!$A:$E,2,0)="broken",CONCATENATE("- [",E42,"](",F42,")",G42),VLOOKUP(F42,тех!$A:$E,2,0)&amp;E42&amp;"]]"&amp;G42)</f>
        <v>- [[Rotes in groups#RotesWK (Wu-Keng)|Silent Promise Of The Spring Tortoise]] Wu Keng</v>
      </c>
    </row>
    <row r="43" spans="1:9" x14ac:dyDescent="0.3">
      <c r="A43">
        <f t="shared" si="1"/>
        <v>1</v>
      </c>
      <c r="B43" t="s">
        <v>278</v>
      </c>
      <c r="C43" t="s">
        <v>429</v>
      </c>
      <c r="E43" s="10" t="s">
        <v>288</v>
      </c>
      <c r="F43" t="s">
        <v>2</v>
      </c>
      <c r="G43" t="str">
        <f>VLOOKUP(F43,тех!$A:$E,4,0)</f>
        <v xml:space="preserve"> Sphere-rote</v>
      </c>
      <c r="H43" t="str">
        <f>IF(VLOOKUP(F43,тех!$A:$E,2,0)="broken","broken",VLOOKUP(F43,тех!$A:$E,5,0))</f>
        <v>Sphere rote</v>
      </c>
      <c r="I43" s="9" t="str">
        <f>IF(VLOOKUP(F43,тех!$A:$E,2,0)="broken",CONCATENATE("- [",E43,"](",F43,")",G43),VLOOKUP(F43,тех!$A:$E,2,0)&amp;E43&amp;"]]"&amp;G43)</f>
        <v>- [[Rotes in sphere#RotesSE (Entropy effects)|Beginner's Luck]] Sphere-rote</v>
      </c>
    </row>
    <row r="44" spans="1:9" x14ac:dyDescent="0.3">
      <c r="A44">
        <f t="shared" si="1"/>
        <v>1</v>
      </c>
      <c r="B44" t="s">
        <v>278</v>
      </c>
      <c r="C44" t="s">
        <v>429</v>
      </c>
      <c r="E44" s="10" t="s">
        <v>289</v>
      </c>
      <c r="F44" t="s">
        <v>2</v>
      </c>
      <c r="G44" t="str">
        <f>VLOOKUP(F44,тех!$A:$E,4,0)</f>
        <v xml:space="preserve"> Sphere-rote</v>
      </c>
      <c r="H44" t="str">
        <f>IF(VLOOKUP(F44,тех!$A:$E,2,0)="broken","broken",VLOOKUP(F44,тех!$A:$E,5,0))</f>
        <v>Sphere rote</v>
      </c>
      <c r="I44" s="9" t="str">
        <f>IF(VLOOKUP(F44,тех!$A:$E,2,0)="broken",CONCATENATE("- [",E44,"](",F44,")",G44),VLOOKUP(F44,тех!$A:$E,2,0)&amp;E44&amp;"]]"&amp;G44)</f>
        <v>- [[Rotes in sphere#RotesSE (Entropy effects)|Games Of Luck]] Sphere-rote</v>
      </c>
    </row>
    <row r="45" spans="1:9" x14ac:dyDescent="0.3">
      <c r="A45">
        <f t="shared" si="1"/>
        <v>1</v>
      </c>
      <c r="B45" t="s">
        <v>278</v>
      </c>
      <c r="C45" t="s">
        <v>429</v>
      </c>
      <c r="E45" s="10" t="s">
        <v>290</v>
      </c>
      <c r="F45" t="s">
        <v>55</v>
      </c>
      <c r="G45" t="str">
        <f>VLOOKUP(F45,тех!$A:$E,4,0)</f>
        <v xml:space="preserve"> Euthanatos</v>
      </c>
      <c r="H45" t="str">
        <f>IF(VLOOKUP(F45,тех!$A:$E,2,0)="broken","broken",VLOOKUP(F45,тех!$A:$E,5,0))</f>
        <v>broken</v>
      </c>
      <c r="I45" s="9" t="str">
        <f>IF(VLOOKUP(F45,тех!$A:$E,2,0)="broken",CONCATENATE("- [",E45,"](",F45,")",G45),VLOOKUP(F45,тех!$A:$E,2,0)&amp;E45&amp;"]]"&amp;G45)</f>
        <v>- [Random Impulse](RotesE) Euthanatos</v>
      </c>
    </row>
    <row r="46" spans="1:9" x14ac:dyDescent="0.3">
      <c r="A46">
        <f t="shared" si="1"/>
        <v>1</v>
      </c>
      <c r="B46" t="s">
        <v>278</v>
      </c>
      <c r="C46" t="s">
        <v>429</v>
      </c>
      <c r="E46" s="10" t="s">
        <v>291</v>
      </c>
      <c r="F46" t="s">
        <v>63</v>
      </c>
      <c r="G46" t="str">
        <f>VLOOKUP(F46,тех!$A:$E,4,0)</f>
        <v xml:space="preserve"> 🔋 Iteration X</v>
      </c>
      <c r="H46" t="str">
        <f>IF(VLOOKUP(F46,тех!$A:$E,2,0)="broken","broken",VLOOKUP(F46,тех!$A:$E,5,0))</f>
        <v>Techocrathy</v>
      </c>
      <c r="I46" s="9" t="str">
        <f>IF(VLOOKUP(F46,тех!$A:$E,2,0)="broken",CONCATENATE("- [",E46,"](",F46,")",G46),VLOOKUP(F46,тех!$A:$E,2,0)&amp;E46&amp;"]]"&amp;G46)</f>
        <v>- [[Rotes in groups#RotesIX (Iteration X)|Statistical Mechanics]] 🔋 Iteration X</v>
      </c>
    </row>
    <row r="47" spans="1:9" x14ac:dyDescent="0.3">
      <c r="A47">
        <f t="shared" si="1"/>
        <v>2</v>
      </c>
      <c r="B47" t="s">
        <v>278</v>
      </c>
      <c r="C47" t="s">
        <v>429</v>
      </c>
      <c r="E47" s="10" t="s">
        <v>292</v>
      </c>
      <c r="F47" t="s">
        <v>66</v>
      </c>
      <c r="G47" t="str">
        <f>VLOOKUP(F47,тех!$A:$E,4,0)</f>
        <v xml:space="preserve"> 🔋 New World Order</v>
      </c>
      <c r="H47" t="str">
        <f>IF(VLOOKUP(F47,тех!$A:$E,2,0)="broken","broken",VLOOKUP(F47,тех!$A:$E,5,0))</f>
        <v>Techocrathy</v>
      </c>
      <c r="I47" s="9" t="str">
        <f>IF(VLOOKUP(F47,тех!$A:$E,2,0)="broken",CONCATENATE("- [",E47,"](",F47,")",G47),VLOOKUP(F47,тех!$A:$E,2,0)&amp;E47&amp;"]]"&amp;G47)</f>
        <v>- [[Rotes in groups#RotesNWO (New world order)|Destructive Paranoia]] 🔋 New World Order</v>
      </c>
    </row>
    <row r="48" spans="1:9" x14ac:dyDescent="0.3">
      <c r="A48">
        <f t="shared" si="1"/>
        <v>2</v>
      </c>
      <c r="B48" t="s">
        <v>278</v>
      </c>
      <c r="C48" t="s">
        <v>429</v>
      </c>
      <c r="E48" s="10" t="s">
        <v>293</v>
      </c>
      <c r="F48" t="s">
        <v>66</v>
      </c>
      <c r="G48" t="str">
        <f>VLOOKUP(F48,тех!$A:$E,4,0)</f>
        <v xml:space="preserve"> 🔋 New World Order</v>
      </c>
      <c r="H48" t="str">
        <f>IF(VLOOKUP(F48,тех!$A:$E,2,0)="broken","broken",VLOOKUP(F48,тех!$A:$E,5,0))</f>
        <v>Techocrathy</v>
      </c>
      <c r="I48" s="9" t="str">
        <f>IF(VLOOKUP(F48,тех!$A:$E,2,0)="broken",CONCATENATE("- [",E48,"](",F48,")",G48),VLOOKUP(F48,тех!$A:$E,2,0)&amp;E48&amp;"]]"&amp;G48)</f>
        <v>- [[Rotes in groups#RotesNWO (New world order)|Psychological Breaking Point]] 🔋 New World Order</v>
      </c>
    </row>
    <row r="49" spans="1:9" x14ac:dyDescent="0.3">
      <c r="A49">
        <f t="shared" si="1"/>
        <v>2</v>
      </c>
      <c r="B49" t="s">
        <v>278</v>
      </c>
      <c r="C49" t="s">
        <v>429</v>
      </c>
      <c r="E49" s="10" t="s">
        <v>294</v>
      </c>
      <c r="F49" t="s">
        <v>69</v>
      </c>
      <c r="G49" t="str">
        <f>VLOOKUP(F49,тех!$A:$E,4,0)</f>
        <v xml:space="preserve"> Order of Hermes</v>
      </c>
      <c r="H49" t="str">
        <f>IF(VLOOKUP(F49,тех!$A:$E,2,0)="broken","broken",VLOOKUP(F49,тех!$A:$E,5,0))</f>
        <v>Tradition</v>
      </c>
      <c r="I49" s="9" t="str">
        <f>IF(VLOOKUP(F49,тех!$A:$E,2,0)="broken",CONCATENATE("- [",E49,"](",F49,")",G49),VLOOKUP(F49,тех!$A:$E,2,0)&amp;E49&amp;"]]"&amp;G49)</f>
        <v>- [[Rotes in groups#RotesOOH (Order of Hermes)|Chaos Butterfly]] Order of Hermes</v>
      </c>
    </row>
    <row r="50" spans="1:9" x14ac:dyDescent="0.3">
      <c r="A50">
        <f t="shared" si="1"/>
        <v>2</v>
      </c>
      <c r="B50" t="s">
        <v>278</v>
      </c>
      <c r="C50" t="s">
        <v>429</v>
      </c>
      <c r="E50" s="10" t="s">
        <v>295</v>
      </c>
      <c r="F50" t="s">
        <v>69</v>
      </c>
      <c r="G50" t="str">
        <f>VLOOKUP(F50,тех!$A:$E,4,0)</f>
        <v xml:space="preserve"> Order of Hermes</v>
      </c>
      <c r="H50" t="str">
        <f>IF(VLOOKUP(F50,тех!$A:$E,2,0)="broken","broken",VLOOKUP(F50,тех!$A:$E,5,0))</f>
        <v>Tradition</v>
      </c>
      <c r="I50" s="9" t="str">
        <f>IF(VLOOKUP(F50,тех!$A:$E,2,0)="broken",CONCATENATE("- [",E50,"](",F50,")",G50),VLOOKUP(F50,тех!$A:$E,2,0)&amp;E50&amp;"]]"&amp;G50)</f>
        <v>- [[Rotes in groups#RotesOOH (Order of Hermes)|Unraveling The Text]] Order of Hermes</v>
      </c>
    </row>
    <row r="51" spans="1:9" x14ac:dyDescent="0.3">
      <c r="A51">
        <f t="shared" si="1"/>
        <v>2</v>
      </c>
      <c r="B51" t="s">
        <v>278</v>
      </c>
      <c r="C51" t="s">
        <v>429</v>
      </c>
      <c r="E51" s="10" t="s">
        <v>296</v>
      </c>
      <c r="F51" t="s">
        <v>72</v>
      </c>
      <c r="G51" t="str">
        <f>VLOOKUP(F51,тех!$A:$E,4,0)</f>
        <v xml:space="preserve"> Sisters of Hippolyta</v>
      </c>
      <c r="H51" t="str">
        <f>IF(VLOOKUP(F51,тех!$A:$E,2,0)="broken","broken",VLOOKUP(F51,тех!$A:$E,5,0))</f>
        <v>Craft</v>
      </c>
      <c r="I51" s="9" t="str">
        <f>IF(VLOOKUP(F51,тех!$A:$E,2,0)="broken",CONCATENATE("- [",E51,"](",F51,")",G51),VLOOKUP(F51,тех!$A:$E,2,0)&amp;E51&amp;"]]"&amp;G51)</f>
        <v>- [[Rotes in groups#RotesSiOH (Sisters of Hippolyta)|Conclave Wellness Works]] Sisters of Hippolyta</v>
      </c>
    </row>
    <row r="52" spans="1:9" x14ac:dyDescent="0.3">
      <c r="A52">
        <f t="shared" si="1"/>
        <v>1</v>
      </c>
      <c r="B52" t="s">
        <v>278</v>
      </c>
      <c r="C52" t="s">
        <v>429</v>
      </c>
      <c r="E52" s="10" t="s">
        <v>297</v>
      </c>
      <c r="F52" t="s">
        <v>77</v>
      </c>
      <c r="G52" t="str">
        <f>VLOOKUP(F52,тех!$A:$E,4,0)</f>
        <v xml:space="preserve"> 🔋 Syncidate</v>
      </c>
      <c r="H52" t="str">
        <f>IF(VLOOKUP(F52,тех!$A:$E,2,0)="broken","broken",VLOOKUP(F52,тех!$A:$E,5,0))</f>
        <v>Techocrathy</v>
      </c>
      <c r="I52" s="9" t="str">
        <f>IF(VLOOKUP(F52,тех!$A:$E,2,0)="broken",CONCATENATE("- [",E52,"](",F52,")",G52),VLOOKUP(F52,тех!$A:$E,2,0)&amp;E52&amp;"]]"&amp;G52)</f>
        <v>- [[Rotes in groups#RotesSy (Syndicate)|Stacking The Deck]] 🔋 Syncidate</v>
      </c>
    </row>
    <row r="53" spans="1:9" x14ac:dyDescent="0.3">
      <c r="A53">
        <f t="shared" si="1"/>
        <v>2</v>
      </c>
      <c r="B53" t="s">
        <v>278</v>
      </c>
      <c r="C53" t="s">
        <v>429</v>
      </c>
      <c r="E53" s="10" t="s">
        <v>298</v>
      </c>
      <c r="F53" t="s">
        <v>80</v>
      </c>
      <c r="G53" t="str">
        <f>VLOOKUP(F53,тех!$A:$E,4,0)</f>
        <v xml:space="preserve"> Templars</v>
      </c>
      <c r="H53" t="str">
        <f>IF(VLOOKUP(F53,тех!$A:$E,2,0)="broken","broken",VLOOKUP(F53,тех!$A:$E,5,0))</f>
        <v>Craft</v>
      </c>
      <c r="I53" s="9" t="str">
        <f>IF(VLOOKUP(F53,тех!$A:$E,2,0)="broken",CONCATENATE("- [",E53,"](",F53,")",G53),VLOOKUP(F53,тех!$A:$E,2,0)&amp;E53&amp;"]]"&amp;G53)</f>
        <v>- [[Rotes in groups#RotesTe (Templars)|Recant]] Templars</v>
      </c>
    </row>
    <row r="54" spans="1:9" x14ac:dyDescent="0.3">
      <c r="A54">
        <f t="shared" si="1"/>
        <v>2</v>
      </c>
      <c r="B54" t="s">
        <v>278</v>
      </c>
      <c r="C54" t="s">
        <v>429</v>
      </c>
      <c r="E54" s="10" t="s">
        <v>299</v>
      </c>
      <c r="F54" t="s">
        <v>80</v>
      </c>
      <c r="G54" t="str">
        <f>VLOOKUP(F54,тех!$A:$E,4,0)</f>
        <v xml:space="preserve"> Templars</v>
      </c>
      <c r="H54" t="str">
        <f>IF(VLOOKUP(F54,тех!$A:$E,2,0)="broken","broken",VLOOKUP(F54,тех!$A:$E,5,0))</f>
        <v>Craft</v>
      </c>
      <c r="I54" s="9" t="str">
        <f>IF(VLOOKUP(F54,тех!$A:$E,2,0)="broken",CONCATENATE("- [",E54,"](",F54,")",G54),VLOOKUP(F54,тех!$A:$E,2,0)&amp;E54&amp;"]]"&amp;G54)</f>
        <v>- [[Rotes in groups#RotesTe (Templars)|Thief In The Night]] Templars</v>
      </c>
    </row>
    <row r="55" spans="1:9" x14ac:dyDescent="0.3">
      <c r="A55">
        <f t="shared" si="1"/>
        <v>1</v>
      </c>
      <c r="B55" t="s">
        <v>278</v>
      </c>
      <c r="C55" t="s">
        <v>430</v>
      </c>
      <c r="D55" s="9" t="s">
        <v>327</v>
      </c>
      <c r="E55" t="str">
        <f t="shared" ref="E55:E86" si="2">MID(D55,2,FIND("]",D55)-2)</f>
        <v>Behavior Modification Device</v>
      </c>
      <c r="F55" t="str">
        <f t="shared" ref="F55:F86" si="3">MID(D55,1+FIND("/Rotes",D55),FIND(".html",D55)-FIND("/Rotes",D55)-1)</f>
        <v>RotesVoE</v>
      </c>
      <c r="G55" t="str">
        <f>VLOOKUP(F55,тех!$A:$E,4,0)</f>
        <v xml:space="preserve"> 🔋 Void Engineers</v>
      </c>
      <c r="H55" t="str">
        <f>IF(VLOOKUP(F55,тех!$A:$E,2,0)="broken","broken",VLOOKUP(F55,тех!$A:$E,5,0))</f>
        <v>Techocrathy</v>
      </c>
      <c r="I55" s="9" t="str">
        <f>IF(VLOOKUP(F55,тех!$A:$E,2,0)="broken",CONCATENATE("- [",E55,"](",F55,")",G55),VLOOKUP(F55,тех!$A:$E,2,0)&amp;E55&amp;"]]"&amp;G55)</f>
        <v>- [[Rotes in groups#RotesVoE (Void Engineers)|Behavior Modification Device]] 🔋 Void Engineers</v>
      </c>
    </row>
    <row r="56" spans="1:9" x14ac:dyDescent="0.3">
      <c r="A56">
        <f t="shared" si="1"/>
        <v>1</v>
      </c>
      <c r="B56" t="s">
        <v>278</v>
      </c>
      <c r="C56" t="s">
        <v>430</v>
      </c>
      <c r="D56" s="9" t="s">
        <v>328</v>
      </c>
      <c r="E56" t="str">
        <f t="shared" si="2"/>
        <v>Counterintelligence</v>
      </c>
      <c r="F56" t="str">
        <f t="shared" si="3"/>
        <v>RotesNWO</v>
      </c>
      <c r="G56" t="str">
        <f>VLOOKUP(F56,тех!$A:$E,4,0)</f>
        <v xml:space="preserve"> 🔋 New World Order</v>
      </c>
      <c r="H56" t="str">
        <f>IF(VLOOKUP(F56,тех!$A:$E,2,0)="broken","broken",VLOOKUP(F56,тех!$A:$E,5,0))</f>
        <v>Techocrathy</v>
      </c>
      <c r="I56" s="9" t="str">
        <f>IF(VLOOKUP(F56,тех!$A:$E,2,0)="broken",CONCATENATE("- [",E56,"](",F56,")",G56),VLOOKUP(F56,тех!$A:$E,2,0)&amp;E56&amp;"]]"&amp;G56)</f>
        <v>- [[Rotes in groups#RotesNWO (New world order)|Counterintelligence]] 🔋 New World Order</v>
      </c>
    </row>
    <row r="57" spans="1:9" x14ac:dyDescent="0.3">
      <c r="A57">
        <f t="shared" si="1"/>
        <v>2</v>
      </c>
      <c r="B57" t="s">
        <v>278</v>
      </c>
      <c r="C57" t="s">
        <v>430</v>
      </c>
      <c r="D57" s="9" t="s">
        <v>329</v>
      </c>
      <c r="E57" t="str">
        <f t="shared" si="2"/>
        <v>Crippled Lotus Curse, The</v>
      </c>
      <c r="F57" t="str">
        <f t="shared" si="3"/>
        <v>RotesWK</v>
      </c>
      <c r="G57" t="str">
        <f>VLOOKUP(F57,тех!$A:$E,4,0)</f>
        <v xml:space="preserve"> Wu Keng</v>
      </c>
      <c r="H57" t="str">
        <f>IF(VLOOKUP(F57,тех!$A:$E,2,0)="broken","broken",VLOOKUP(F57,тех!$A:$E,5,0))</f>
        <v>Craft</v>
      </c>
      <c r="I57" s="9" t="str">
        <f>IF(VLOOKUP(F57,тех!$A:$E,2,0)="broken",CONCATENATE("- [",E57,"](",F57,")",G57),VLOOKUP(F57,тех!$A:$E,2,0)&amp;E57&amp;"]]"&amp;G57)</f>
        <v>- [[Rotes in groups#RotesWK (Wu-Keng)|Crippled Lotus Curse, The]] Wu Keng</v>
      </c>
    </row>
    <row r="58" spans="1:9" x14ac:dyDescent="0.3">
      <c r="A58">
        <f t="shared" si="1"/>
        <v>2</v>
      </c>
      <c r="B58" t="s">
        <v>278</v>
      </c>
      <c r="C58" t="s">
        <v>430</v>
      </c>
      <c r="D58" s="9" t="s">
        <v>330</v>
      </c>
      <c r="E58" t="str">
        <f t="shared" si="2"/>
        <v>Disk-Doctor</v>
      </c>
      <c r="F58" t="str">
        <f t="shared" si="3"/>
        <v>RotesTe</v>
      </c>
      <c r="G58" t="str">
        <f>VLOOKUP(F58,тех!$A:$E,4,0)</f>
        <v xml:space="preserve"> Templars</v>
      </c>
      <c r="H58" t="str">
        <f>IF(VLOOKUP(F58,тех!$A:$E,2,0)="broken","broken",VLOOKUP(F58,тех!$A:$E,5,0))</f>
        <v>Craft</v>
      </c>
      <c r="I58" s="9" t="str">
        <f>IF(VLOOKUP(F58,тех!$A:$E,2,0)="broken",CONCATENATE("- [",E58,"](",F58,")",G58),VLOOKUP(F58,тех!$A:$E,2,0)&amp;E58&amp;"]]"&amp;G58)</f>
        <v>- [[Rotes in groups#RotesTe (Templars)|Disk-Doctor]] Templars</v>
      </c>
    </row>
    <row r="59" spans="1:9" x14ac:dyDescent="0.3">
      <c r="A59">
        <f t="shared" si="1"/>
        <v>2</v>
      </c>
      <c r="B59" t="s">
        <v>278</v>
      </c>
      <c r="C59" t="s">
        <v>430</v>
      </c>
      <c r="D59" s="9" t="s">
        <v>331</v>
      </c>
      <c r="E59" t="str">
        <f t="shared" si="2"/>
        <v>Luck Of The Lotus</v>
      </c>
      <c r="F59" t="str">
        <f t="shared" si="3"/>
        <v>RotesWK</v>
      </c>
      <c r="G59" t="str">
        <f>VLOOKUP(F59,тех!$A:$E,4,0)</f>
        <v xml:space="preserve"> Wu Keng</v>
      </c>
      <c r="H59" t="str">
        <f>IF(VLOOKUP(F59,тех!$A:$E,2,0)="broken","broken",VLOOKUP(F59,тех!$A:$E,5,0))</f>
        <v>Craft</v>
      </c>
      <c r="I59" s="9" t="str">
        <f>IF(VLOOKUP(F59,тех!$A:$E,2,0)="broken",CONCATENATE("- [",E59,"](",F59,")",G59),VLOOKUP(F59,тех!$A:$E,2,0)&amp;E59&amp;"]]"&amp;G59)</f>
        <v>- [[Rotes in groups#RotesWK (Wu-Keng)|Luck Of The Lotus]] Wu Keng</v>
      </c>
    </row>
    <row r="60" spans="1:9" x14ac:dyDescent="0.3">
      <c r="A60">
        <f t="shared" si="1"/>
        <v>1</v>
      </c>
      <c r="B60" t="s">
        <v>278</v>
      </c>
      <c r="C60" t="s">
        <v>430</v>
      </c>
      <c r="D60" s="9" t="s">
        <v>332</v>
      </c>
      <c r="E60" t="str">
        <f t="shared" si="2"/>
        <v>Like Clockwork</v>
      </c>
      <c r="F60" t="str">
        <f t="shared" si="3"/>
        <v>RotesSE</v>
      </c>
      <c r="G60" t="str">
        <f>VLOOKUP(F60,тех!$A:$E,4,0)</f>
        <v xml:space="preserve"> Sphere-rote</v>
      </c>
      <c r="H60" t="str">
        <f>IF(VLOOKUP(F60,тех!$A:$E,2,0)="broken","broken",VLOOKUP(F60,тех!$A:$E,5,0))</f>
        <v>Sphere rote</v>
      </c>
      <c r="I60" s="9" t="str">
        <f>IF(VLOOKUP(F60,тех!$A:$E,2,0)="broken",CONCATENATE("- [",E60,"](",F60,")",G60),VLOOKUP(F60,тех!$A:$E,2,0)&amp;E60&amp;"]]"&amp;G60)</f>
        <v>- [[Rotes in sphere#RotesSE (Entropy effects)|Like Clockwork]] Sphere-rote</v>
      </c>
    </row>
    <row r="61" spans="1:9" x14ac:dyDescent="0.3">
      <c r="A61">
        <f t="shared" si="1"/>
        <v>2</v>
      </c>
      <c r="B61" t="s">
        <v>278</v>
      </c>
      <c r="C61" t="s">
        <v>430</v>
      </c>
      <c r="D61" s="9" t="s">
        <v>22</v>
      </c>
      <c r="E61" t="str">
        <f t="shared" si="2"/>
        <v>Red Button</v>
      </c>
      <c r="F61" t="str">
        <f t="shared" si="3"/>
        <v>RotesNWO</v>
      </c>
      <c r="G61" t="str">
        <f>VLOOKUP(F61,тех!$A:$E,4,0)</f>
        <v xml:space="preserve"> 🔋 New World Order</v>
      </c>
      <c r="H61" t="str">
        <f>IF(VLOOKUP(F61,тех!$A:$E,2,0)="broken","broken",VLOOKUP(F61,тех!$A:$E,5,0))</f>
        <v>Techocrathy</v>
      </c>
      <c r="I61" s="9" t="str">
        <f>IF(VLOOKUP(F61,тех!$A:$E,2,0)="broken",CONCATENATE("- [",E61,"](",F61,")",G61),VLOOKUP(F61,тех!$A:$E,2,0)&amp;E61&amp;"]]"&amp;G61)</f>
        <v>- [[Rotes in groups#RotesNWO (New world order)|Red Button]] 🔋 New World Order</v>
      </c>
    </row>
    <row r="62" spans="1:9" x14ac:dyDescent="0.3">
      <c r="A62">
        <f t="shared" si="1"/>
        <v>1</v>
      </c>
      <c r="B62" t="s">
        <v>278</v>
      </c>
      <c r="C62" t="s">
        <v>430</v>
      </c>
      <c r="D62" s="9" t="s">
        <v>333</v>
      </c>
      <c r="E62" t="str">
        <f t="shared" si="2"/>
        <v>Piercing Cry</v>
      </c>
      <c r="F62" t="str">
        <f t="shared" si="3"/>
        <v>RotesDo</v>
      </c>
      <c r="G62" t="str">
        <f>VLOOKUP(F62,тех!$A:$E,4,0)</f>
        <v xml:space="preserve"> Do (Akashic)</v>
      </c>
      <c r="H62" t="str">
        <f>IF(VLOOKUP(F62,тех!$A:$E,2,0)="broken","broken",VLOOKUP(F62,тех!$A:$E,5,0))</f>
        <v>broken</v>
      </c>
      <c r="I62" s="9" t="str">
        <f>IF(VLOOKUP(F62,тех!$A:$E,2,0)="broken",CONCATENATE("- [",E62,"](",F62,")",G62),VLOOKUP(F62,тех!$A:$E,2,0)&amp;E62&amp;"]]"&amp;G62)</f>
        <v>- [Piercing Cry](RotesDo) Do (Akashic)</v>
      </c>
    </row>
    <row r="63" spans="1:9" x14ac:dyDescent="0.3">
      <c r="A63">
        <f t="shared" si="1"/>
        <v>1</v>
      </c>
      <c r="B63" t="s">
        <v>278</v>
      </c>
      <c r="C63" t="s">
        <v>430</v>
      </c>
      <c r="D63" s="9" t="s">
        <v>334</v>
      </c>
      <c r="E63" t="str">
        <f t="shared" si="2"/>
        <v>Screech Of The Owl</v>
      </c>
      <c r="F63" t="str">
        <f t="shared" si="3"/>
        <v>RotesDo</v>
      </c>
      <c r="G63" t="str">
        <f>VLOOKUP(F63,тех!$A:$E,4,0)</f>
        <v xml:space="preserve"> Do (Akashic)</v>
      </c>
      <c r="H63" t="str">
        <f>IF(VLOOKUP(F63,тех!$A:$E,2,0)="broken","broken",VLOOKUP(F63,тех!$A:$E,5,0))</f>
        <v>broken</v>
      </c>
      <c r="I63" s="9" t="str">
        <f>IF(VLOOKUP(F63,тех!$A:$E,2,0)="broken",CONCATENATE("- [",E63,"](",F63,")",G63),VLOOKUP(F63,тех!$A:$E,2,0)&amp;E63&amp;"]]"&amp;G63)</f>
        <v>- [Screech Of The Owl](RotesDo) Do (Akashic)</v>
      </c>
    </row>
    <row r="64" spans="1:9" x14ac:dyDescent="0.3">
      <c r="A64">
        <f t="shared" si="1"/>
        <v>1</v>
      </c>
      <c r="B64" t="s">
        <v>278</v>
      </c>
      <c r="C64" t="s">
        <v>430</v>
      </c>
      <c r="D64" s="9" t="s">
        <v>335</v>
      </c>
      <c r="E64" t="str">
        <f t="shared" si="2"/>
        <v>Slay Machine</v>
      </c>
      <c r="F64" t="str">
        <f t="shared" si="3"/>
        <v>RotesSE</v>
      </c>
      <c r="G64" t="str">
        <f>VLOOKUP(F64,тех!$A:$E,4,0)</f>
        <v xml:space="preserve"> Sphere-rote</v>
      </c>
      <c r="H64" t="str">
        <f>IF(VLOOKUP(F64,тех!$A:$E,2,0)="broken","broken",VLOOKUP(F64,тех!$A:$E,5,0))</f>
        <v>Sphere rote</v>
      </c>
      <c r="I64" s="9" t="str">
        <f>IF(VLOOKUP(F64,тех!$A:$E,2,0)="broken",CONCATENATE("- [",E64,"](",F64,")",G64),VLOOKUP(F64,тех!$A:$E,2,0)&amp;E64&amp;"]]"&amp;G64)</f>
        <v>- [[Rotes in sphere#RotesSE (Entropy effects)|Slay Machine]] Sphere-rote</v>
      </c>
    </row>
    <row r="65" spans="1:9" x14ac:dyDescent="0.3">
      <c r="A65">
        <f t="shared" si="1"/>
        <v>2</v>
      </c>
      <c r="B65" t="s">
        <v>375</v>
      </c>
      <c r="C65" t="s">
        <v>428</v>
      </c>
      <c r="D65" s="9" t="s">
        <v>344</v>
      </c>
      <c r="E65" t="str">
        <f t="shared" si="2"/>
        <v>Ariadne's Thread</v>
      </c>
      <c r="F65" t="str">
        <f t="shared" si="3"/>
        <v>RotesG</v>
      </c>
      <c r="G65" t="str">
        <f>VLOOKUP(F65,тех!$A:$E,4,0)</f>
        <v xml:space="preserve"> General</v>
      </c>
      <c r="H65" t="str">
        <f>IF(VLOOKUP(F65,тех!$A:$E,2,0)="broken","broken",VLOOKUP(F65,тех!$A:$E,5,0))</f>
        <v>Tradition</v>
      </c>
      <c r="I65" s="9" t="str">
        <f>IF(VLOOKUP(F65,тех!$A:$E,2,0)="broken",CONCATENATE("- [",E65,"](",F65,")",G65),VLOOKUP(F65,тех!$A:$E,2,0)&amp;E65&amp;"]]"&amp;G65)</f>
        <v>- [[Rotes in groups#RotesG (General)|Ariadne's Thread]] General</v>
      </c>
    </row>
    <row r="66" spans="1:9" x14ac:dyDescent="0.3">
      <c r="A66">
        <f t="shared" ref="A66:A97" si="4">COUNTIF(E:E,E66)</f>
        <v>1</v>
      </c>
      <c r="B66" t="s">
        <v>375</v>
      </c>
      <c r="C66" t="s">
        <v>428</v>
      </c>
      <c r="D66" s="9" t="s">
        <v>345</v>
      </c>
      <c r="E66" t="str">
        <f t="shared" si="2"/>
        <v>Detect Mental Anomalies</v>
      </c>
      <c r="F66" t="str">
        <f t="shared" si="3"/>
        <v>RotesVoE</v>
      </c>
      <c r="G66" t="str">
        <f>VLOOKUP(F66,тех!$A:$E,4,0)</f>
        <v xml:space="preserve"> 🔋 Void Engineers</v>
      </c>
      <c r="H66" t="str">
        <f>IF(VLOOKUP(F66,тех!$A:$E,2,0)="broken","broken",VLOOKUP(F66,тех!$A:$E,5,0))</f>
        <v>Techocrathy</v>
      </c>
      <c r="I66" s="9" t="str">
        <f>IF(VLOOKUP(F66,тех!$A:$E,2,0)="broken",CONCATENATE("- [",E66,"](",F66,")",G66),VLOOKUP(F66,тех!$A:$E,2,0)&amp;E66&amp;"]]"&amp;G66)</f>
        <v>- [[Rotes in groups#RotesVoE (Void Engineers)|Detect Mental Anomalies]] 🔋 Void Engineers</v>
      </c>
    </row>
    <row r="67" spans="1:9" x14ac:dyDescent="0.3">
      <c r="A67">
        <f t="shared" si="4"/>
        <v>3</v>
      </c>
      <c r="B67" t="s">
        <v>375</v>
      </c>
      <c r="C67" t="s">
        <v>428</v>
      </c>
      <c r="D67" s="9" t="s">
        <v>11</v>
      </c>
      <c r="E67" t="str">
        <f t="shared" si="2"/>
        <v>Jury Rig</v>
      </c>
      <c r="F67" t="str">
        <f t="shared" si="3"/>
        <v>RotesSoOE</v>
      </c>
      <c r="G67" t="str">
        <f>VLOOKUP(F67,тех!$A:$E,4,0)</f>
        <v xml:space="preserve"> Sons of Ether</v>
      </c>
      <c r="H67" t="str">
        <f>IF(VLOOKUP(F67,тех!$A:$E,2,0)="broken","broken",VLOOKUP(F67,тех!$A:$E,5,0))</f>
        <v>broken</v>
      </c>
      <c r="I67" s="9" t="str">
        <f>IF(VLOOKUP(F67,тех!$A:$E,2,0)="broken",CONCATENATE("- [",E67,"](",F67,")",G67),VLOOKUP(F67,тех!$A:$E,2,0)&amp;E67&amp;"]]"&amp;G67)</f>
        <v>- [Jury Rig](RotesSoOE) Sons of Ether</v>
      </c>
    </row>
    <row r="68" spans="1:9" x14ac:dyDescent="0.3">
      <c r="A68">
        <f t="shared" si="4"/>
        <v>2</v>
      </c>
      <c r="B68" t="s">
        <v>375</v>
      </c>
      <c r="C68" t="s">
        <v>428</v>
      </c>
      <c r="D68" s="9" t="s">
        <v>346</v>
      </c>
      <c r="E68" t="str">
        <f t="shared" si="2"/>
        <v>Karoshi</v>
      </c>
      <c r="F68" t="str">
        <f t="shared" si="3"/>
        <v>RotesSy</v>
      </c>
      <c r="G68" t="str">
        <f>VLOOKUP(F68,тех!$A:$E,4,0)</f>
        <v xml:space="preserve"> 🔋 Syncidate</v>
      </c>
      <c r="H68" t="str">
        <f>IF(VLOOKUP(F68,тех!$A:$E,2,0)="broken","broken",VLOOKUP(F68,тех!$A:$E,5,0))</f>
        <v>Techocrathy</v>
      </c>
      <c r="I68" s="9" t="str">
        <f>IF(VLOOKUP(F68,тех!$A:$E,2,0)="broken",CONCATENATE("- [",E68,"](",F68,")",G68),VLOOKUP(F68,тех!$A:$E,2,0)&amp;E68&amp;"]]"&amp;G68)</f>
        <v>- [[Rotes in groups#RotesSy (Syndicate)|Karoshi]] 🔋 Syncidate</v>
      </c>
    </row>
    <row r="69" spans="1:9" x14ac:dyDescent="0.3">
      <c r="A69">
        <f t="shared" si="4"/>
        <v>1</v>
      </c>
      <c r="B69" t="s">
        <v>375</v>
      </c>
      <c r="C69" t="s">
        <v>428</v>
      </c>
      <c r="D69" s="9" t="s">
        <v>347</v>
      </c>
      <c r="E69" t="str">
        <f t="shared" si="2"/>
        <v>Mind Empowerment</v>
      </c>
      <c r="F69" t="str">
        <f t="shared" si="3"/>
        <v>RotesSMi</v>
      </c>
      <c r="G69" t="str">
        <f>VLOOKUP(F69,тех!$A:$E,4,0)</f>
        <v xml:space="preserve"> Sphere-rote</v>
      </c>
      <c r="H69" t="str">
        <f>IF(VLOOKUP(F69,тех!$A:$E,2,0)="broken","broken",VLOOKUP(F69,тех!$A:$E,5,0))</f>
        <v>Sphere rote</v>
      </c>
      <c r="I69" s="9" t="str">
        <f>IF(VLOOKUP(F69,тех!$A:$E,2,0)="broken",CONCATENATE("- [",E69,"](",F69,")",G69),VLOOKUP(F69,тех!$A:$E,2,0)&amp;E69&amp;"]]"&amp;G69)</f>
        <v>- [[Rotes in sphere#RotesSmi (Mind effects)|Mind Empowerment]] Sphere-rote</v>
      </c>
    </row>
    <row r="70" spans="1:9" x14ac:dyDescent="0.3">
      <c r="A70">
        <f t="shared" si="4"/>
        <v>1</v>
      </c>
      <c r="B70" t="s">
        <v>375</v>
      </c>
      <c r="C70" t="s">
        <v>428</v>
      </c>
      <c r="D70" s="9" t="s">
        <v>348</v>
      </c>
      <c r="E70" t="str">
        <f t="shared" si="2"/>
        <v>No-Mind</v>
      </c>
      <c r="F70" t="str">
        <f t="shared" si="3"/>
        <v>RotesSMi</v>
      </c>
      <c r="G70" t="str">
        <f>VLOOKUP(F70,тех!$A:$E,4,0)</f>
        <v xml:space="preserve"> Sphere-rote</v>
      </c>
      <c r="H70" t="str">
        <f>IF(VLOOKUP(F70,тех!$A:$E,2,0)="broken","broken",VLOOKUP(F70,тех!$A:$E,5,0))</f>
        <v>Sphere rote</v>
      </c>
      <c r="I70" s="9" t="str">
        <f>IF(VLOOKUP(F70,тех!$A:$E,2,0)="broken",CONCATENATE("- [",E70,"](",F70,")",G70),VLOOKUP(F70,тех!$A:$E,2,0)&amp;E70&amp;"]]"&amp;G70)</f>
        <v>- [[Rotes in sphere#RotesSmi (Mind effects)|No-Mind]] Sphere-rote</v>
      </c>
    </row>
    <row r="71" spans="1:9" x14ac:dyDescent="0.3">
      <c r="A71">
        <f t="shared" si="4"/>
        <v>1</v>
      </c>
      <c r="B71" t="s">
        <v>375</v>
      </c>
      <c r="C71" t="s">
        <v>428</v>
      </c>
      <c r="D71" s="9" t="s">
        <v>349</v>
      </c>
      <c r="E71" t="str">
        <f t="shared" si="2"/>
        <v>Positronic Brain</v>
      </c>
      <c r="F71" t="str">
        <f t="shared" si="3"/>
        <v>RotesIX</v>
      </c>
      <c r="G71" t="str">
        <f>VLOOKUP(F71,тех!$A:$E,4,0)</f>
        <v xml:space="preserve"> 🔋 Iteration X</v>
      </c>
      <c r="H71" t="str">
        <f>IF(VLOOKUP(F71,тех!$A:$E,2,0)="broken","broken",VLOOKUP(F71,тех!$A:$E,5,0))</f>
        <v>Techocrathy</v>
      </c>
      <c r="I71" s="9" t="str">
        <f>IF(VLOOKUP(F71,тех!$A:$E,2,0)="broken",CONCATENATE("- [",E71,"](",F71,")",G71),VLOOKUP(F71,тех!$A:$E,2,0)&amp;E71&amp;"]]"&amp;G71)</f>
        <v>- [[Rotes in groups#RotesIX (Iteration X)|Positronic Brain]] 🔋 Iteration X</v>
      </c>
    </row>
    <row r="72" spans="1:9" x14ac:dyDescent="0.3">
      <c r="A72">
        <f t="shared" si="4"/>
        <v>1</v>
      </c>
      <c r="B72" t="s">
        <v>375</v>
      </c>
      <c r="C72" t="s">
        <v>428</v>
      </c>
      <c r="D72" s="9" t="s">
        <v>350</v>
      </c>
      <c r="E72" t="str">
        <f t="shared" si="2"/>
        <v>Tune Psychic Radio</v>
      </c>
      <c r="F72" t="str">
        <f t="shared" si="3"/>
        <v>RotesCuOE</v>
      </c>
      <c r="G72" t="str">
        <f>VLOOKUP(F72,тех!$A:$E,4,0)</f>
        <v xml:space="preserve"> Cult of Ecstasy</v>
      </c>
      <c r="H72" t="str">
        <f>IF(VLOOKUP(F72,тех!$A:$E,2,0)="broken","broken",VLOOKUP(F72,тех!$A:$E,5,0))</f>
        <v>broken</v>
      </c>
      <c r="I72" s="9" t="str">
        <f>IF(VLOOKUP(F72,тех!$A:$E,2,0)="broken",CONCATENATE("- [",E72,"](",F72,")",G72),VLOOKUP(F72,тех!$A:$E,2,0)&amp;E72&amp;"]]"&amp;G72)</f>
        <v>- [Tune Psychic Radio](RotesCuOE) Cult of Ecstasy</v>
      </c>
    </row>
    <row r="73" spans="1:9" x14ac:dyDescent="0.3">
      <c r="A73">
        <f t="shared" si="4"/>
        <v>1</v>
      </c>
      <c r="B73" t="s">
        <v>375</v>
      </c>
      <c r="C73" t="s">
        <v>429</v>
      </c>
      <c r="D73" s="9" t="s">
        <v>351</v>
      </c>
      <c r="E73" t="str">
        <f t="shared" si="2"/>
        <v>Adjust Minor Anomalies</v>
      </c>
      <c r="F73" t="str">
        <f t="shared" si="3"/>
        <v>RotesVoE</v>
      </c>
      <c r="G73" t="str">
        <f>VLOOKUP(F73,тех!$A:$E,4,0)</f>
        <v xml:space="preserve"> 🔋 Void Engineers</v>
      </c>
      <c r="H73" t="str">
        <f>IF(VLOOKUP(F73,тех!$A:$E,2,0)="broken","broken",VLOOKUP(F73,тех!$A:$E,5,0))</f>
        <v>Techocrathy</v>
      </c>
      <c r="I73" s="9" t="str">
        <f>IF(VLOOKUP(F73,тех!$A:$E,2,0)="broken",CONCATENATE("- [",E73,"](",F73,")",G73),VLOOKUP(F73,тех!$A:$E,2,0)&amp;E73&amp;"]]"&amp;G73)</f>
        <v>- [[Rotes in groups#RotesVoE (Void Engineers)|Adjust Minor Anomalies]] 🔋 Void Engineers</v>
      </c>
    </row>
    <row r="74" spans="1:9" x14ac:dyDescent="0.3">
      <c r="A74">
        <f t="shared" si="4"/>
        <v>2</v>
      </c>
      <c r="B74" t="s">
        <v>375</v>
      </c>
      <c r="C74" t="s">
        <v>429</v>
      </c>
      <c r="D74" s="9" t="s">
        <v>301</v>
      </c>
      <c r="E74" t="str">
        <f t="shared" si="2"/>
        <v>Avatar Form</v>
      </c>
      <c r="F74" t="str">
        <f t="shared" si="3"/>
        <v>RotesAkB</v>
      </c>
      <c r="G74" t="str">
        <f>VLOOKUP(F74,тех!$A:$E,4,0)</f>
        <v xml:space="preserve"> Akashic Brotherhood</v>
      </c>
      <c r="H74" t="str">
        <f>IF(VLOOKUP(F74,тех!$A:$E,2,0)="broken","broken",VLOOKUP(F74,тех!$A:$E,5,0))</f>
        <v>broken</v>
      </c>
      <c r="I74" s="9" t="str">
        <f>IF(VLOOKUP(F74,тех!$A:$E,2,0)="broken",CONCATENATE("- [",E74,"](",F74,")",G74),VLOOKUP(F74,тех!$A:$E,2,0)&amp;E74&amp;"]]"&amp;G74)</f>
        <v>- [Avatar Form](RotesAkB) Akashic Brotherhood</v>
      </c>
    </row>
    <row r="75" spans="1:9" x14ac:dyDescent="0.3">
      <c r="A75">
        <f t="shared" si="4"/>
        <v>2</v>
      </c>
      <c r="B75" t="s">
        <v>375</v>
      </c>
      <c r="C75" t="s">
        <v>429</v>
      </c>
      <c r="D75" s="9" t="s">
        <v>352</v>
      </c>
      <c r="E75" t="str">
        <f t="shared" si="2"/>
        <v>Book Of Whispers</v>
      </c>
      <c r="F75" t="str">
        <f t="shared" si="3"/>
        <v>RotesOOH</v>
      </c>
      <c r="G75" t="str">
        <f>VLOOKUP(F75,тех!$A:$E,4,0)</f>
        <v xml:space="preserve"> Order of Hermes</v>
      </c>
      <c r="H75" t="str">
        <f>IF(VLOOKUP(F75,тех!$A:$E,2,0)="broken","broken",VLOOKUP(F75,тех!$A:$E,5,0))</f>
        <v>Tradition</v>
      </c>
      <c r="I75" s="9" t="str">
        <f>IF(VLOOKUP(F75,тех!$A:$E,2,0)="broken",CONCATENATE("- [",E75,"](",F75,")",G75),VLOOKUP(F75,тех!$A:$E,2,0)&amp;E75&amp;"]]"&amp;G75)</f>
        <v>- [[Rotes in groups#RotesOOH (Order of Hermes)|Book Of Whispers]] Order of Hermes</v>
      </c>
    </row>
    <row r="76" spans="1:9" x14ac:dyDescent="0.3">
      <c r="A76">
        <f t="shared" si="4"/>
        <v>1</v>
      </c>
      <c r="B76" t="s">
        <v>375</v>
      </c>
      <c r="C76" t="s">
        <v>429</v>
      </c>
      <c r="D76" s="9" t="s">
        <v>353</v>
      </c>
      <c r="E76" t="str">
        <f t="shared" si="2"/>
        <v>Be Cool</v>
      </c>
      <c r="F76" t="str">
        <f t="shared" si="3"/>
        <v>RotesHoO</v>
      </c>
      <c r="G76" t="str">
        <f>VLOOKUP(F76,тех!$A:$E,4,0)</f>
        <v xml:space="preserve"> Hollow Ones</v>
      </c>
      <c r="H76" t="str">
        <f>IF(VLOOKUP(F76,тех!$A:$E,2,0)="broken","broken",VLOOKUP(F76,тех!$A:$E,5,0))</f>
        <v>Tradition</v>
      </c>
      <c r="I76" s="9" t="str">
        <f>IF(VLOOKUP(F76,тех!$A:$E,2,0)="broken",CONCATENATE("- [",E76,"](",F76,")",G76),VLOOKUP(F76,тех!$A:$E,2,0)&amp;E76&amp;"]]"&amp;G76)</f>
        <v>- [[Rotes in groups#RotesHoO (Hollow Ones)|Be Cool]] Hollow Ones</v>
      </c>
    </row>
    <row r="77" spans="1:9" x14ac:dyDescent="0.3">
      <c r="A77">
        <f t="shared" si="4"/>
        <v>2</v>
      </c>
      <c r="B77" t="s">
        <v>375</v>
      </c>
      <c r="C77" t="s">
        <v>429</v>
      </c>
      <c r="D77" s="9" t="s">
        <v>354</v>
      </c>
      <c r="E77" t="str">
        <f t="shared" si="2"/>
        <v>Conclave Wellness Works</v>
      </c>
      <c r="F77" t="str">
        <f t="shared" si="3"/>
        <v>RotesSiOH</v>
      </c>
      <c r="G77" t="str">
        <f>VLOOKUP(F77,тех!$A:$E,4,0)</f>
        <v xml:space="preserve"> Sisters of Hippolyta</v>
      </c>
      <c r="H77" t="str">
        <f>IF(VLOOKUP(F77,тех!$A:$E,2,0)="broken","broken",VLOOKUP(F77,тех!$A:$E,5,0))</f>
        <v>Craft</v>
      </c>
      <c r="I77" s="9" t="str">
        <f>IF(VLOOKUP(F77,тех!$A:$E,2,0)="broken",CONCATENATE("- [",E77,"](",F77,")",G77),VLOOKUP(F77,тех!$A:$E,2,0)&amp;E77&amp;"]]"&amp;G77)</f>
        <v>- [[Rotes in groups#RotesSiOH (Sisters of Hippolyta)|Conclave Wellness Works]] Sisters of Hippolyta</v>
      </c>
    </row>
    <row r="78" spans="1:9" x14ac:dyDescent="0.3">
      <c r="A78">
        <f t="shared" si="4"/>
        <v>1</v>
      </c>
      <c r="B78" t="s">
        <v>375</v>
      </c>
      <c r="C78" t="s">
        <v>429</v>
      </c>
      <c r="D78" s="9" t="s">
        <v>355</v>
      </c>
      <c r="E78" t="str">
        <f t="shared" si="2"/>
        <v>Daedalus Gateway</v>
      </c>
      <c r="F78" t="str">
        <f t="shared" si="3"/>
        <v>RotesNWO</v>
      </c>
      <c r="G78" t="str">
        <f>VLOOKUP(F78,тех!$A:$E,4,0)</f>
        <v xml:space="preserve"> 🔋 New World Order</v>
      </c>
      <c r="H78" t="str">
        <f>IF(VLOOKUP(F78,тех!$A:$E,2,0)="broken","broken",VLOOKUP(F78,тех!$A:$E,5,0))</f>
        <v>Techocrathy</v>
      </c>
      <c r="I78" s="9" t="str">
        <f>IF(VLOOKUP(F78,тех!$A:$E,2,0)="broken",CONCATENATE("- [",E78,"](",F78,")",G78),VLOOKUP(F78,тех!$A:$E,2,0)&amp;E78&amp;"]]"&amp;G78)</f>
        <v>- [[Rotes in groups#RotesNWO (New world order)|Daedalus Gateway]] 🔋 New World Order</v>
      </c>
    </row>
    <row r="79" spans="1:9" x14ac:dyDescent="0.3">
      <c r="A79">
        <f t="shared" si="4"/>
        <v>2</v>
      </c>
      <c r="B79" t="s">
        <v>375</v>
      </c>
      <c r="C79" t="s">
        <v>429</v>
      </c>
      <c r="D79" s="9" t="s">
        <v>330</v>
      </c>
      <c r="E79" t="str">
        <f t="shared" si="2"/>
        <v>Disk-Doctor</v>
      </c>
      <c r="F79" t="str">
        <f t="shared" si="3"/>
        <v>RotesTe</v>
      </c>
      <c r="G79" t="str">
        <f>VLOOKUP(F79,тех!$A:$E,4,0)</f>
        <v xml:space="preserve"> Templars</v>
      </c>
      <c r="H79" t="str">
        <f>IF(VLOOKUP(F79,тех!$A:$E,2,0)="broken","broken",VLOOKUP(F79,тех!$A:$E,5,0))</f>
        <v>Craft</v>
      </c>
      <c r="I79" s="9" t="str">
        <f>IF(VLOOKUP(F79,тех!$A:$E,2,0)="broken",CONCATENATE("- [",E79,"](",F79,")",G79),VLOOKUP(F79,тех!$A:$E,2,0)&amp;E79&amp;"]]"&amp;G79)</f>
        <v>- [[Rotes in groups#RotesTe (Templars)|Disk-Doctor]] Templars</v>
      </c>
    </row>
    <row r="80" spans="1:9" x14ac:dyDescent="0.3">
      <c r="A80">
        <f t="shared" si="4"/>
        <v>1</v>
      </c>
      <c r="B80" t="s">
        <v>375</v>
      </c>
      <c r="C80" t="s">
        <v>429</v>
      </c>
      <c r="D80" s="9" t="s">
        <v>356</v>
      </c>
      <c r="E80" t="str">
        <f t="shared" si="2"/>
        <v>Empathetic Projection</v>
      </c>
      <c r="F80" t="str">
        <f t="shared" si="3"/>
        <v>RotesSMi</v>
      </c>
      <c r="G80" t="str">
        <f>VLOOKUP(F80,тех!$A:$E,4,0)</f>
        <v xml:space="preserve"> Sphere-rote</v>
      </c>
      <c r="H80" t="str">
        <f>IF(VLOOKUP(F80,тех!$A:$E,2,0)="broken","broken",VLOOKUP(F80,тех!$A:$E,5,0))</f>
        <v>Sphere rote</v>
      </c>
      <c r="I80" s="9" t="str">
        <f>IF(VLOOKUP(F80,тех!$A:$E,2,0)="broken",CONCATENATE("- [",E80,"](",F80,")",G80),VLOOKUP(F80,тех!$A:$E,2,0)&amp;E80&amp;"]]"&amp;G80)</f>
        <v>- [[Rotes in sphere#RotesSmi (Mind effects)|Empathetic Projection]] Sphere-rote</v>
      </c>
    </row>
    <row r="81" spans="1:9" x14ac:dyDescent="0.3">
      <c r="A81">
        <f t="shared" si="4"/>
        <v>1</v>
      </c>
      <c r="B81" t="s">
        <v>375</v>
      </c>
      <c r="C81" t="s">
        <v>429</v>
      </c>
      <c r="D81" s="9" t="s">
        <v>357</v>
      </c>
      <c r="E81" t="str">
        <f t="shared" si="2"/>
        <v>Golden Apple, The</v>
      </c>
      <c r="F81" t="str">
        <f t="shared" si="3"/>
        <v>RotesOOH</v>
      </c>
      <c r="G81" t="str">
        <f>VLOOKUP(F81,тех!$A:$E,4,0)</f>
        <v xml:space="preserve"> Order of Hermes</v>
      </c>
      <c r="H81" t="str">
        <f>IF(VLOOKUP(F81,тех!$A:$E,2,0)="broken","broken",VLOOKUP(F81,тех!$A:$E,5,0))</f>
        <v>Tradition</v>
      </c>
      <c r="I81" s="9" t="str">
        <f>IF(VLOOKUP(F81,тех!$A:$E,2,0)="broken",CONCATENATE("- [",E81,"](",F81,")",G81),VLOOKUP(F81,тех!$A:$E,2,0)&amp;E81&amp;"]]"&amp;G81)</f>
        <v>- [[Rotes in groups#RotesOOH (Order of Hermes)|Golden Apple, The]] Order of Hermes</v>
      </c>
    </row>
    <row r="82" spans="1:9" x14ac:dyDescent="0.3">
      <c r="A82">
        <f t="shared" si="4"/>
        <v>2</v>
      </c>
      <c r="B82" t="s">
        <v>375</v>
      </c>
      <c r="C82" t="s">
        <v>429</v>
      </c>
      <c r="D82" s="9" t="s">
        <v>346</v>
      </c>
      <c r="E82" t="str">
        <f t="shared" si="2"/>
        <v>Karoshi</v>
      </c>
      <c r="F82" t="str">
        <f t="shared" si="3"/>
        <v>RotesSy</v>
      </c>
      <c r="G82" t="str">
        <f>VLOOKUP(F82,тех!$A:$E,4,0)</f>
        <v xml:space="preserve"> 🔋 Syncidate</v>
      </c>
      <c r="H82" t="str">
        <f>IF(VLOOKUP(F82,тех!$A:$E,2,0)="broken","broken",VLOOKUP(F82,тех!$A:$E,5,0))</f>
        <v>Techocrathy</v>
      </c>
      <c r="I82" s="9" t="str">
        <f>IF(VLOOKUP(F82,тех!$A:$E,2,0)="broken",CONCATENATE("- [",E82,"](",F82,")",G82),VLOOKUP(F82,тех!$A:$E,2,0)&amp;E82&amp;"]]"&amp;G82)</f>
        <v>- [[Rotes in groups#RotesSy (Syndicate)|Karoshi]] 🔋 Syncidate</v>
      </c>
    </row>
    <row r="83" spans="1:9" x14ac:dyDescent="0.3">
      <c r="A83">
        <f t="shared" si="4"/>
        <v>2</v>
      </c>
      <c r="B83" t="s">
        <v>375</v>
      </c>
      <c r="C83" t="s">
        <v>429</v>
      </c>
      <c r="D83" s="9" t="s">
        <v>13</v>
      </c>
      <c r="E83" t="str">
        <f t="shared" si="2"/>
        <v>Lecherous Kiss</v>
      </c>
      <c r="F83" t="str">
        <f t="shared" si="3"/>
        <v>RotesHoO</v>
      </c>
      <c r="G83" t="str">
        <f>VLOOKUP(F83,тех!$A:$E,4,0)</f>
        <v xml:space="preserve"> Hollow Ones</v>
      </c>
      <c r="H83" t="str">
        <f>IF(VLOOKUP(F83,тех!$A:$E,2,0)="broken","broken",VLOOKUP(F83,тех!$A:$E,5,0))</f>
        <v>Tradition</v>
      </c>
      <c r="I83" s="9" t="str">
        <f>IF(VLOOKUP(F83,тех!$A:$E,2,0)="broken",CONCATENATE("- [",E83,"](",F83,")",G83),VLOOKUP(F83,тех!$A:$E,2,0)&amp;E83&amp;"]]"&amp;G83)</f>
        <v>- [[Rotes in groups#RotesHoO (Hollow Ones)|Lecherous Kiss]] Hollow Ones</v>
      </c>
    </row>
    <row r="84" spans="1:9" x14ac:dyDescent="0.3">
      <c r="A84">
        <f t="shared" si="4"/>
        <v>1</v>
      </c>
      <c r="B84" t="s">
        <v>375</v>
      </c>
      <c r="C84" t="s">
        <v>429</v>
      </c>
      <c r="D84" s="9" t="s">
        <v>358</v>
      </c>
      <c r="E84" t="str">
        <f t="shared" si="2"/>
        <v>Look, The</v>
      </c>
      <c r="F84" t="str">
        <f t="shared" si="3"/>
        <v>RotesSy</v>
      </c>
      <c r="G84" t="str">
        <f>VLOOKUP(F84,тех!$A:$E,4,0)</f>
        <v xml:space="preserve"> 🔋 Syncidate</v>
      </c>
      <c r="H84" t="str">
        <f>IF(VLOOKUP(F84,тех!$A:$E,2,0)="broken","broken",VLOOKUP(F84,тех!$A:$E,5,0))</f>
        <v>Techocrathy</v>
      </c>
      <c r="I84" s="9" t="str">
        <f>IF(VLOOKUP(F84,тех!$A:$E,2,0)="broken",CONCATENATE("- [",E84,"](",F84,")",G84),VLOOKUP(F84,тех!$A:$E,2,0)&amp;E84&amp;"]]"&amp;G84)</f>
        <v>- [[Rotes in groups#RotesSy (Syndicate)|Look, The]] 🔋 Syncidate</v>
      </c>
    </row>
    <row r="85" spans="1:9" x14ac:dyDescent="0.3">
      <c r="A85">
        <f t="shared" si="4"/>
        <v>1</v>
      </c>
      <c r="B85" t="s">
        <v>375</v>
      </c>
      <c r="C85" t="s">
        <v>429</v>
      </c>
      <c r="D85" s="9" t="s">
        <v>359</v>
      </c>
      <c r="E85" t="str">
        <f t="shared" si="2"/>
        <v>Machine God</v>
      </c>
      <c r="F85" t="str">
        <f t="shared" si="3"/>
        <v>RotesIX</v>
      </c>
      <c r="G85" t="str">
        <f>VLOOKUP(F85,тех!$A:$E,4,0)</f>
        <v xml:space="preserve"> 🔋 Iteration X</v>
      </c>
      <c r="H85" t="str">
        <f>IF(VLOOKUP(F85,тех!$A:$E,2,0)="broken","broken",VLOOKUP(F85,тех!$A:$E,5,0))</f>
        <v>Techocrathy</v>
      </c>
      <c r="I85" s="9" t="str">
        <f>IF(VLOOKUP(F85,тех!$A:$E,2,0)="broken",CONCATENATE("- [",E85,"](",F85,")",G85),VLOOKUP(F85,тех!$A:$E,2,0)&amp;E85&amp;"]]"&amp;G85)</f>
        <v>- [[Rotes in groups#RotesIX (Iteration X)|Machine God]] 🔋 Iteration X</v>
      </c>
    </row>
    <row r="86" spans="1:9" x14ac:dyDescent="0.3">
      <c r="A86">
        <f t="shared" si="4"/>
        <v>1</v>
      </c>
      <c r="B86" t="s">
        <v>375</v>
      </c>
      <c r="C86" t="s">
        <v>429</v>
      </c>
      <c r="D86" s="9" t="s">
        <v>360</v>
      </c>
      <c r="E86" t="str">
        <f t="shared" si="2"/>
        <v>Move Along</v>
      </c>
      <c r="F86" t="str">
        <f t="shared" si="3"/>
        <v>RotesNWO</v>
      </c>
      <c r="G86" t="str">
        <f>VLOOKUP(F86,тех!$A:$E,4,0)</f>
        <v xml:space="preserve"> 🔋 New World Order</v>
      </c>
      <c r="H86" t="str">
        <f>IF(VLOOKUP(F86,тех!$A:$E,2,0)="broken","broken",VLOOKUP(F86,тех!$A:$E,5,0))</f>
        <v>Techocrathy</v>
      </c>
      <c r="I86" s="9" t="str">
        <f>IF(VLOOKUP(F86,тех!$A:$E,2,0)="broken",CONCATENATE("- [",E86,"](",F86,")",G86),VLOOKUP(F86,тех!$A:$E,2,0)&amp;E86&amp;"]]"&amp;G86)</f>
        <v>- [[Rotes in groups#RotesNWO (New world order)|Move Along]] 🔋 New World Order</v>
      </c>
    </row>
    <row r="87" spans="1:9" x14ac:dyDescent="0.3">
      <c r="A87">
        <f t="shared" si="4"/>
        <v>1</v>
      </c>
      <c r="B87" t="s">
        <v>375</v>
      </c>
      <c r="C87" t="s">
        <v>429</v>
      </c>
      <c r="D87" s="9" t="s">
        <v>361</v>
      </c>
      <c r="E87" t="str">
        <f t="shared" ref="E87:E118" si="5">MID(D87,2,FIND("]",D87)-2)</f>
        <v>Peace Of Buddha</v>
      </c>
      <c r="F87" t="str">
        <f t="shared" ref="F87:F118" si="6">MID(D87,1+FIND("/Rotes",D87),FIND(".html",D87)-FIND("/Rotes",D87)-1)</f>
        <v>RotesAkB</v>
      </c>
      <c r="G87" t="str">
        <f>VLOOKUP(F87,тех!$A:$E,4,0)</f>
        <v xml:space="preserve"> Akashic Brotherhood</v>
      </c>
      <c r="H87" t="str">
        <f>IF(VLOOKUP(F87,тех!$A:$E,2,0)="broken","broken",VLOOKUP(F87,тех!$A:$E,5,0))</f>
        <v>broken</v>
      </c>
      <c r="I87" s="9" t="str">
        <f>IF(VLOOKUP(F87,тех!$A:$E,2,0)="broken",CONCATENATE("- [",E87,"](",F87,")",G87),VLOOKUP(F87,тех!$A:$E,2,0)&amp;E87&amp;"]]"&amp;G87)</f>
        <v>- [Peace Of Buddha](RotesAkB) Akashic Brotherhood</v>
      </c>
    </row>
    <row r="88" spans="1:9" x14ac:dyDescent="0.3">
      <c r="A88">
        <f t="shared" si="4"/>
        <v>1</v>
      </c>
      <c r="B88" t="s">
        <v>375</v>
      </c>
      <c r="C88" t="s">
        <v>429</v>
      </c>
      <c r="D88" s="9" t="s">
        <v>362</v>
      </c>
      <c r="E88" t="str">
        <f t="shared" si="5"/>
        <v>Persona</v>
      </c>
      <c r="F88" t="str">
        <f t="shared" si="6"/>
        <v>RotesNWO</v>
      </c>
      <c r="G88" t="str">
        <f>VLOOKUP(F88,тех!$A:$E,4,0)</f>
        <v xml:space="preserve"> 🔋 New World Order</v>
      </c>
      <c r="H88" t="str">
        <f>IF(VLOOKUP(F88,тех!$A:$E,2,0)="broken","broken",VLOOKUP(F88,тех!$A:$E,5,0))</f>
        <v>Techocrathy</v>
      </c>
      <c r="I88" s="9" t="str">
        <f>IF(VLOOKUP(F88,тех!$A:$E,2,0)="broken",CONCATENATE("- [",E88,"](",F88,")",G88),VLOOKUP(F88,тех!$A:$E,2,0)&amp;E88&amp;"]]"&amp;G88)</f>
        <v>- [[Rotes in groups#RotesNWO (New world order)|Persona]] 🔋 New World Order</v>
      </c>
    </row>
    <row r="89" spans="1:9" x14ac:dyDescent="0.3">
      <c r="A89">
        <f t="shared" si="4"/>
        <v>1</v>
      </c>
      <c r="B89" t="s">
        <v>375</v>
      </c>
      <c r="C89" t="s">
        <v>429</v>
      </c>
      <c r="D89" s="9" t="s">
        <v>363</v>
      </c>
      <c r="E89" t="str">
        <f t="shared" si="5"/>
        <v>Petals Of Love</v>
      </c>
      <c r="F89" t="str">
        <f t="shared" si="6"/>
        <v>RotesSiOH</v>
      </c>
      <c r="G89" t="str">
        <f>VLOOKUP(F89,тех!$A:$E,4,0)</f>
        <v xml:space="preserve"> Sisters of Hippolyta</v>
      </c>
      <c r="H89" t="str">
        <f>IF(VLOOKUP(F89,тех!$A:$E,2,0)="broken","broken",VLOOKUP(F89,тех!$A:$E,5,0))</f>
        <v>Craft</v>
      </c>
      <c r="I89" s="9" t="str">
        <f>IF(VLOOKUP(F89,тех!$A:$E,2,0)="broken",CONCATENATE("- [",E89,"](",F89,")",G89),VLOOKUP(F89,тех!$A:$E,2,0)&amp;E89&amp;"]]"&amp;G89)</f>
        <v>- [[Rotes in groups#RotesSiOH (Sisters of Hippolyta)|Petals Of Love]] Sisters of Hippolyta</v>
      </c>
    </row>
    <row r="90" spans="1:9" x14ac:dyDescent="0.3">
      <c r="A90">
        <f t="shared" si="4"/>
        <v>2</v>
      </c>
      <c r="B90" t="s">
        <v>375</v>
      </c>
      <c r="C90" t="s">
        <v>429</v>
      </c>
      <c r="D90" s="9" t="s">
        <v>364</v>
      </c>
      <c r="E90" t="str">
        <f t="shared" si="5"/>
        <v>PIN Drop</v>
      </c>
      <c r="F90" t="str">
        <f t="shared" si="6"/>
        <v>RotesSy</v>
      </c>
      <c r="G90" t="str">
        <f>VLOOKUP(F90,тех!$A:$E,4,0)</f>
        <v xml:space="preserve"> 🔋 Syncidate</v>
      </c>
      <c r="H90" t="str">
        <f>IF(VLOOKUP(F90,тех!$A:$E,2,0)="broken","broken",VLOOKUP(F90,тех!$A:$E,5,0))</f>
        <v>Techocrathy</v>
      </c>
      <c r="I90" s="9" t="str">
        <f>IF(VLOOKUP(F90,тех!$A:$E,2,0)="broken",CONCATENATE("- [",E90,"](",F90,")",G90),VLOOKUP(F90,тех!$A:$E,2,0)&amp;E90&amp;"]]"&amp;G90)</f>
        <v>- [[Rotes in groups#RotesSy (Syndicate)|PIN Drop]] 🔋 Syncidate</v>
      </c>
    </row>
    <row r="91" spans="1:9" x14ac:dyDescent="0.3">
      <c r="A91">
        <f t="shared" si="4"/>
        <v>1</v>
      </c>
      <c r="B91" t="s">
        <v>375</v>
      </c>
      <c r="C91" t="s">
        <v>429</v>
      </c>
      <c r="D91" s="9" t="s">
        <v>365</v>
      </c>
      <c r="E91" t="str">
        <f t="shared" si="5"/>
        <v>Psychic Impression</v>
      </c>
      <c r="F91" t="str">
        <f t="shared" si="6"/>
        <v>RotesSMi</v>
      </c>
      <c r="G91" t="str">
        <f>VLOOKUP(F91,тех!$A:$E,4,0)</f>
        <v xml:space="preserve"> Sphere-rote</v>
      </c>
      <c r="H91" t="str">
        <f>IF(VLOOKUP(F91,тех!$A:$E,2,0)="broken","broken",VLOOKUP(F91,тех!$A:$E,5,0))</f>
        <v>Sphere rote</v>
      </c>
      <c r="I91" s="9" t="str">
        <f>IF(VLOOKUP(F91,тех!$A:$E,2,0)="broken",CONCATENATE("- [",E91,"](",F91,")",G91),VLOOKUP(F91,тех!$A:$E,2,0)&amp;E91&amp;"]]"&amp;G91)</f>
        <v>- [[Rotes in sphere#RotesSmi (Mind effects)|Psychic Impression]] Sphere-rote</v>
      </c>
    </row>
    <row r="92" spans="1:9" x14ac:dyDescent="0.3">
      <c r="A92">
        <f t="shared" si="4"/>
        <v>1</v>
      </c>
      <c r="B92" t="s">
        <v>375</v>
      </c>
      <c r="C92" t="s">
        <v>429</v>
      </c>
      <c r="D92" s="9" t="s">
        <v>366</v>
      </c>
      <c r="E92" t="str">
        <f t="shared" si="5"/>
        <v>Psychic Intrusion</v>
      </c>
      <c r="F92" t="str">
        <f t="shared" si="6"/>
        <v>RotesNWO</v>
      </c>
      <c r="G92" t="str">
        <f>VLOOKUP(F92,тех!$A:$E,4,0)</f>
        <v xml:space="preserve"> 🔋 New World Order</v>
      </c>
      <c r="H92" t="str">
        <f>IF(VLOOKUP(F92,тех!$A:$E,2,0)="broken","broken",VLOOKUP(F92,тех!$A:$E,5,0))</f>
        <v>Techocrathy</v>
      </c>
      <c r="I92" s="9" t="str">
        <f>IF(VLOOKUP(F92,тех!$A:$E,2,0)="broken",CONCATENATE("- [",E92,"](",F92,")",G92),VLOOKUP(F92,тех!$A:$E,2,0)&amp;E92&amp;"]]"&amp;G92)</f>
        <v>- [[Rotes in groups#RotesNWO (New world order)|Psychic Intrusion]] 🔋 New World Order</v>
      </c>
    </row>
    <row r="93" spans="1:9" x14ac:dyDescent="0.3">
      <c r="A93">
        <f t="shared" si="4"/>
        <v>2</v>
      </c>
      <c r="B93" t="s">
        <v>375</v>
      </c>
      <c r="C93" t="s">
        <v>429</v>
      </c>
      <c r="D93" s="9" t="s">
        <v>367</v>
      </c>
      <c r="E93" t="str">
        <f t="shared" si="5"/>
        <v>Psychological Breaking Point</v>
      </c>
      <c r="F93" t="str">
        <f t="shared" si="6"/>
        <v>RotesNWO</v>
      </c>
      <c r="G93" t="str">
        <f>VLOOKUP(F93,тех!$A:$E,4,0)</f>
        <v xml:space="preserve"> 🔋 New World Order</v>
      </c>
      <c r="H93" t="str">
        <f>IF(VLOOKUP(F93,тех!$A:$E,2,0)="broken","broken",VLOOKUP(F93,тех!$A:$E,5,0))</f>
        <v>Techocrathy</v>
      </c>
      <c r="I93" s="9" t="str">
        <f>IF(VLOOKUP(F93,тех!$A:$E,2,0)="broken",CONCATENATE("- [",E93,"](",F93,")",G93),VLOOKUP(F93,тех!$A:$E,2,0)&amp;E93&amp;"]]"&amp;G93)</f>
        <v>- [[Rotes in groups#RotesNWO (New world order)|Psychological Breaking Point]] 🔋 New World Order</v>
      </c>
    </row>
    <row r="94" spans="1:9" x14ac:dyDescent="0.3">
      <c r="A94">
        <f t="shared" si="4"/>
        <v>3</v>
      </c>
      <c r="B94" t="s">
        <v>375</v>
      </c>
      <c r="C94" t="s">
        <v>429</v>
      </c>
      <c r="D94" s="9" t="s">
        <v>368</v>
      </c>
      <c r="E94" t="str">
        <f t="shared" si="5"/>
        <v>Quo Vadis?</v>
      </c>
      <c r="F94" t="str">
        <f t="shared" si="6"/>
        <v>RotesTe</v>
      </c>
      <c r="G94" t="str">
        <f>VLOOKUP(F94,тех!$A:$E,4,0)</f>
        <v xml:space="preserve"> Templars</v>
      </c>
      <c r="H94" t="str">
        <f>IF(VLOOKUP(F94,тех!$A:$E,2,0)="broken","broken",VLOOKUP(F94,тех!$A:$E,5,0))</f>
        <v>Craft</v>
      </c>
      <c r="I94" s="9" t="str">
        <f>IF(VLOOKUP(F94,тех!$A:$E,2,0)="broken",CONCATENATE("- [",E94,"](",F94,")",G94),VLOOKUP(F94,тех!$A:$E,2,0)&amp;E94&amp;"]]"&amp;G94)</f>
        <v>- [[Rotes in groups#RotesTe (Templars)|Quo Vadis?]] Templars</v>
      </c>
    </row>
    <row r="95" spans="1:9" x14ac:dyDescent="0.3">
      <c r="A95">
        <f t="shared" si="4"/>
        <v>2</v>
      </c>
      <c r="B95" t="s">
        <v>375</v>
      </c>
      <c r="C95" t="s">
        <v>429</v>
      </c>
      <c r="D95" s="9" t="s">
        <v>369</v>
      </c>
      <c r="E95" t="str">
        <f t="shared" si="5"/>
        <v>Recant</v>
      </c>
      <c r="F95" t="str">
        <f t="shared" si="6"/>
        <v>RotesTe</v>
      </c>
      <c r="G95" t="str">
        <f>VLOOKUP(F95,тех!$A:$E,4,0)</f>
        <v xml:space="preserve"> Templars</v>
      </c>
      <c r="H95" t="str">
        <f>IF(VLOOKUP(F95,тех!$A:$E,2,0)="broken","broken",VLOOKUP(F95,тех!$A:$E,5,0))</f>
        <v>Craft</v>
      </c>
      <c r="I95" s="9" t="str">
        <f>IF(VLOOKUP(F95,тех!$A:$E,2,0)="broken",CONCATENATE("- [",E95,"](",F95,")",G95),VLOOKUP(F95,тех!$A:$E,2,0)&amp;E95&amp;"]]"&amp;G95)</f>
        <v>- [[Rotes in groups#RotesTe (Templars)|Recant]] Templars</v>
      </c>
    </row>
    <row r="96" spans="1:9" x14ac:dyDescent="0.3">
      <c r="A96">
        <f t="shared" si="4"/>
        <v>2</v>
      </c>
      <c r="B96" t="s">
        <v>375</v>
      </c>
      <c r="C96" t="s">
        <v>429</v>
      </c>
      <c r="D96" s="9" t="s">
        <v>370</v>
      </c>
      <c r="E96" t="str">
        <f t="shared" si="5"/>
        <v>Shed The Years</v>
      </c>
      <c r="F96" t="str">
        <f t="shared" si="6"/>
        <v>RotesSE</v>
      </c>
      <c r="G96" t="str">
        <f>VLOOKUP(F96,тех!$A:$E,4,0)</f>
        <v xml:space="preserve"> Sphere-rote</v>
      </c>
      <c r="H96" t="str">
        <f>IF(VLOOKUP(F96,тех!$A:$E,2,0)="broken","broken",VLOOKUP(F96,тех!$A:$E,5,0))</f>
        <v>Sphere rote</v>
      </c>
      <c r="I96" s="9" t="str">
        <f>IF(VLOOKUP(F96,тех!$A:$E,2,0)="broken",CONCATENATE("- [",E96,"](",F96,")",G96),VLOOKUP(F96,тех!$A:$E,2,0)&amp;E96&amp;"]]"&amp;G96)</f>
        <v>- [[Rotes in sphere#RotesSE (Entropy effects)|Shed The Years]] Sphere-rote</v>
      </c>
    </row>
    <row r="97" spans="1:9" x14ac:dyDescent="0.3">
      <c r="A97">
        <f t="shared" si="4"/>
        <v>1</v>
      </c>
      <c r="B97" t="s">
        <v>375</v>
      </c>
      <c r="C97" t="s">
        <v>429</v>
      </c>
      <c r="D97" s="9" t="s">
        <v>371</v>
      </c>
      <c r="E97" t="str">
        <f t="shared" si="5"/>
        <v>Sneaking Shadow</v>
      </c>
      <c r="F97" t="str">
        <f t="shared" si="6"/>
        <v>RotesAhIB</v>
      </c>
      <c r="G97" t="str">
        <f>VLOOKUP(F97,тех!$A:$E,4,0)</f>
        <v xml:space="preserve"> Alh-i-Batin</v>
      </c>
      <c r="H97" t="str">
        <f>IF(VLOOKUP(F97,тех!$A:$E,2,0)="broken","broken",VLOOKUP(F97,тех!$A:$E,5,0))</f>
        <v>broken</v>
      </c>
      <c r="I97" s="9" t="str">
        <f>IF(VLOOKUP(F97,тех!$A:$E,2,0)="broken",CONCATENATE("- [",E97,"](",F97,")",G97),VLOOKUP(F97,тех!$A:$E,2,0)&amp;E97&amp;"]]"&amp;G97)</f>
        <v>- [Sneaking Shadow](RotesAhIB) Alh-i-Batin</v>
      </c>
    </row>
    <row r="98" spans="1:9" x14ac:dyDescent="0.3">
      <c r="A98">
        <f t="shared" ref="A98:A129" si="7">COUNTIF(E:E,E98)</f>
        <v>1</v>
      </c>
      <c r="B98" t="s">
        <v>375</v>
      </c>
      <c r="C98" t="s">
        <v>429</v>
      </c>
      <c r="D98" s="9" t="s">
        <v>372</v>
      </c>
      <c r="E98" t="str">
        <f t="shared" si="5"/>
        <v>Social Science</v>
      </c>
      <c r="F98" t="str">
        <f t="shared" si="6"/>
        <v>RotesIX</v>
      </c>
      <c r="G98" t="str">
        <f>VLOOKUP(F98,тех!$A:$E,4,0)</f>
        <v xml:space="preserve"> 🔋 Iteration X</v>
      </c>
      <c r="H98" t="str">
        <f>IF(VLOOKUP(F98,тех!$A:$E,2,0)="broken","broken",VLOOKUP(F98,тех!$A:$E,5,0))</f>
        <v>Techocrathy</v>
      </c>
      <c r="I98" s="9" t="str">
        <f>IF(VLOOKUP(F98,тех!$A:$E,2,0)="broken",CONCATENATE("- [",E98,"](",F98,")",G98),VLOOKUP(F98,тех!$A:$E,2,0)&amp;E98&amp;"]]"&amp;G98)</f>
        <v>- [[Rotes in groups#RotesIX (Iteration X)|Social Science]] 🔋 Iteration X</v>
      </c>
    </row>
    <row r="99" spans="1:9" x14ac:dyDescent="0.3">
      <c r="A99">
        <f t="shared" si="7"/>
        <v>2</v>
      </c>
      <c r="B99" t="s">
        <v>375</v>
      </c>
      <c r="C99" t="s">
        <v>429</v>
      </c>
      <c r="D99" s="9" t="s">
        <v>25</v>
      </c>
      <c r="E99" t="str">
        <f t="shared" si="5"/>
        <v>Supporting The Brain</v>
      </c>
      <c r="F99" t="str">
        <f t="shared" si="6"/>
        <v>RotesSoOE</v>
      </c>
      <c r="G99" t="str">
        <f>VLOOKUP(F99,тех!$A:$E,4,0)</f>
        <v xml:space="preserve"> Sons of Ether</v>
      </c>
      <c r="H99" t="str">
        <f>IF(VLOOKUP(F99,тех!$A:$E,2,0)="broken","broken",VLOOKUP(F99,тех!$A:$E,5,0))</f>
        <v>broken</v>
      </c>
      <c r="I99" s="9" t="str">
        <f>IF(VLOOKUP(F99,тех!$A:$E,2,0)="broken",CONCATENATE("- [",E99,"](",F99,")",G99),VLOOKUP(F99,тех!$A:$E,2,0)&amp;E99&amp;"]]"&amp;G99)</f>
        <v>- [Supporting The Brain](RotesSoOE) Sons of Ether</v>
      </c>
    </row>
    <row r="100" spans="1:9" x14ac:dyDescent="0.3">
      <c r="A100">
        <f t="shared" si="7"/>
        <v>2</v>
      </c>
      <c r="B100" t="s">
        <v>375</v>
      </c>
      <c r="C100" t="s">
        <v>429</v>
      </c>
      <c r="D100" s="9" t="s">
        <v>29</v>
      </c>
      <c r="E100" t="str">
        <f t="shared" si="5"/>
        <v>Unseen Nomenclature</v>
      </c>
      <c r="F100" t="str">
        <f t="shared" si="6"/>
        <v>RotesOOH</v>
      </c>
      <c r="G100" t="str">
        <f>VLOOKUP(F100,тех!$A:$E,4,0)</f>
        <v xml:space="preserve"> Order of Hermes</v>
      </c>
      <c r="H100" t="str">
        <f>IF(VLOOKUP(F100,тех!$A:$E,2,0)="broken","broken",VLOOKUP(F100,тех!$A:$E,5,0))</f>
        <v>Tradition</v>
      </c>
      <c r="I100" s="9" t="str">
        <f>IF(VLOOKUP(F100,тех!$A:$E,2,0)="broken",CONCATENATE("- [",E100,"](",F100,")",G100),VLOOKUP(F100,тех!$A:$E,2,0)&amp;E100&amp;"]]"&amp;G100)</f>
        <v>- [[Rotes in groups#RotesOOH (Order of Hermes)|Unseen Nomenclature]] Order of Hermes</v>
      </c>
    </row>
    <row r="101" spans="1:9" x14ac:dyDescent="0.3">
      <c r="A101">
        <f t="shared" si="7"/>
        <v>3</v>
      </c>
      <c r="B101" t="s">
        <v>375</v>
      </c>
      <c r="C101" t="s">
        <v>429</v>
      </c>
      <c r="D101" s="9" t="s">
        <v>373</v>
      </c>
      <c r="E101" t="str">
        <f t="shared" si="5"/>
        <v>Whither Goest Thou?</v>
      </c>
      <c r="F101" t="str">
        <f t="shared" si="6"/>
        <v>RotesTe</v>
      </c>
      <c r="G101" t="str">
        <f>VLOOKUP(F101,тех!$A:$E,4,0)</f>
        <v xml:space="preserve"> Templars</v>
      </c>
      <c r="H101" t="str">
        <f>IF(VLOOKUP(F101,тех!$A:$E,2,0)="broken","broken",VLOOKUP(F101,тех!$A:$E,5,0))</f>
        <v>Craft</v>
      </c>
      <c r="I101" s="9" t="str">
        <f>IF(VLOOKUP(F101,тех!$A:$E,2,0)="broken",CONCATENATE("- [",E101,"](",F101,")",G101),VLOOKUP(F101,тех!$A:$E,2,0)&amp;E101&amp;"]]"&amp;G101)</f>
        <v>- [[Rotes in groups#RotesTe (Templars)|Whither Goest Thou?]] Templars</v>
      </c>
    </row>
    <row r="102" spans="1:9" x14ac:dyDescent="0.3">
      <c r="A102">
        <f t="shared" si="7"/>
        <v>1</v>
      </c>
      <c r="B102" t="s">
        <v>375</v>
      </c>
      <c r="C102" t="s">
        <v>429</v>
      </c>
      <c r="D102" s="9" t="s">
        <v>374</v>
      </c>
      <c r="E102" t="str">
        <f t="shared" si="5"/>
        <v>Word, The</v>
      </c>
      <c r="F102" t="str">
        <f t="shared" si="6"/>
        <v>RotesSy</v>
      </c>
      <c r="G102" t="str">
        <f>VLOOKUP(F102,тех!$A:$E,4,0)</f>
        <v xml:space="preserve"> 🔋 Syncidate</v>
      </c>
      <c r="H102" t="str">
        <f>IF(VLOOKUP(F102,тех!$A:$E,2,0)="broken","broken",VLOOKUP(F102,тех!$A:$E,5,0))</f>
        <v>Techocrathy</v>
      </c>
      <c r="I102" s="9" t="str">
        <f>IF(VLOOKUP(F102,тех!$A:$E,2,0)="broken",CONCATENATE("- [",E102,"](",F102,")",G102),VLOOKUP(F102,тех!$A:$E,2,0)&amp;E102&amp;"]]"&amp;G102)</f>
        <v>- [[Rotes in groups#RotesSy (Syndicate)|Word, The]] 🔋 Syncidate</v>
      </c>
    </row>
    <row r="103" spans="1:9" x14ac:dyDescent="0.3">
      <c r="A103">
        <f t="shared" si="7"/>
        <v>1</v>
      </c>
      <c r="B103" t="s">
        <v>30</v>
      </c>
      <c r="C103" t="s">
        <v>428</v>
      </c>
      <c r="D103" s="9" t="s">
        <v>320</v>
      </c>
      <c r="E103" t="str">
        <f t="shared" si="5"/>
        <v>Consecration</v>
      </c>
      <c r="F103" t="str">
        <f t="shared" si="6"/>
        <v>RotesSP</v>
      </c>
      <c r="G103" t="str">
        <f>VLOOKUP(F103,тех!$A:$E,4,0)</f>
        <v xml:space="preserve"> Sphere-rote</v>
      </c>
      <c r="H103" t="str">
        <f>IF(VLOOKUP(F103,тех!$A:$E,2,0)="broken","broken",VLOOKUP(F103,тех!$A:$E,5,0))</f>
        <v>Sphere rote</v>
      </c>
      <c r="I103" s="9" t="str">
        <f>IF(VLOOKUP(F103,тех!$A:$E,2,0)="broken",CONCATENATE("- [",E103,"](",F103,")",G103),VLOOKUP(F103,тех!$A:$E,2,0)&amp;E103&amp;"]]"&amp;G103)</f>
        <v>- [[Rotes in sphere#RotesSP (Prime effects)|Consecration]] Sphere-rote</v>
      </c>
    </row>
    <row r="104" spans="1:9" x14ac:dyDescent="0.3">
      <c r="A104">
        <f t="shared" si="7"/>
        <v>1</v>
      </c>
      <c r="B104" t="s">
        <v>30</v>
      </c>
      <c r="C104" t="s">
        <v>428</v>
      </c>
      <c r="D104" s="9" t="s">
        <v>321</v>
      </c>
      <c r="E104" t="str">
        <f t="shared" si="5"/>
        <v>Heart's Blood</v>
      </c>
      <c r="F104" t="str">
        <f t="shared" si="6"/>
        <v>RotesSP</v>
      </c>
      <c r="G104" t="str">
        <f>VLOOKUP(F104,тех!$A:$E,4,0)</f>
        <v xml:space="preserve"> Sphere-rote</v>
      </c>
      <c r="H104" t="str">
        <f>IF(VLOOKUP(F104,тех!$A:$E,2,0)="broken","broken",VLOOKUP(F104,тех!$A:$E,5,0))</f>
        <v>Sphere rote</v>
      </c>
      <c r="I104" s="9" t="str">
        <f>IF(VLOOKUP(F104,тех!$A:$E,2,0)="broken",CONCATENATE("- [",E104,"](",F104,")",G104),VLOOKUP(F104,тех!$A:$E,2,0)&amp;E104&amp;"]]"&amp;G104)</f>
        <v>- [[Rotes in sphere#RotesSP (Prime effects)|Heart's Blood]] Sphere-rote</v>
      </c>
    </row>
    <row r="105" spans="1:9" x14ac:dyDescent="0.3">
      <c r="A105">
        <f t="shared" si="7"/>
        <v>1</v>
      </c>
      <c r="B105" t="s">
        <v>30</v>
      </c>
      <c r="C105" t="s">
        <v>428</v>
      </c>
      <c r="D105" s="9" t="s">
        <v>322</v>
      </c>
      <c r="E105" t="str">
        <f t="shared" si="5"/>
        <v>Locate Quintessential Flow</v>
      </c>
      <c r="F105" t="str">
        <f t="shared" si="6"/>
        <v>RotesVoE</v>
      </c>
      <c r="G105" t="str">
        <f>VLOOKUP(F105,тех!$A:$E,4,0)</f>
        <v xml:space="preserve"> 🔋 Void Engineers</v>
      </c>
      <c r="H105" t="str">
        <f>IF(VLOOKUP(F105,тех!$A:$E,2,0)="broken","broken",VLOOKUP(F105,тех!$A:$E,5,0))</f>
        <v>Techocrathy</v>
      </c>
      <c r="I105" s="9" t="str">
        <f>IF(VLOOKUP(F105,тех!$A:$E,2,0)="broken",CONCATENATE("- [",E105,"](",F105,")",G105),VLOOKUP(F105,тех!$A:$E,2,0)&amp;E105&amp;"]]"&amp;G105)</f>
        <v>- [[Rotes in groups#RotesVoE (Void Engineers)|Locate Quintessential Flow]] 🔋 Void Engineers</v>
      </c>
    </row>
    <row r="106" spans="1:9" x14ac:dyDescent="0.3">
      <c r="A106">
        <f t="shared" si="7"/>
        <v>1</v>
      </c>
      <c r="B106" t="s">
        <v>30</v>
      </c>
      <c r="C106" t="s">
        <v>428</v>
      </c>
      <c r="D106" s="9" t="s">
        <v>323</v>
      </c>
      <c r="E106" t="str">
        <f t="shared" si="5"/>
        <v>Hallmark</v>
      </c>
      <c r="F106" t="str">
        <f t="shared" si="6"/>
        <v>RotesG</v>
      </c>
      <c r="G106" t="str">
        <f>VLOOKUP(F106,тех!$A:$E,4,0)</f>
        <v xml:space="preserve"> General</v>
      </c>
      <c r="H106" t="str">
        <f>IF(VLOOKUP(F106,тех!$A:$E,2,0)="broken","broken",VLOOKUP(F106,тех!$A:$E,5,0))</f>
        <v>Tradition</v>
      </c>
      <c r="I106" s="9" t="str">
        <f>IF(VLOOKUP(F106,тех!$A:$E,2,0)="broken",CONCATENATE("- [",E106,"](",F106,")",G106),VLOOKUP(F106,тех!$A:$E,2,0)&amp;E106&amp;"]]"&amp;G106)</f>
        <v>- [[Rotes in groups#RotesG (General)|Hallmark]] General</v>
      </c>
    </row>
    <row r="107" spans="1:9" x14ac:dyDescent="0.3">
      <c r="A107">
        <f t="shared" si="7"/>
        <v>2</v>
      </c>
      <c r="B107" t="s">
        <v>30</v>
      </c>
      <c r="C107" t="s">
        <v>428</v>
      </c>
      <c r="D107" s="9" t="s">
        <v>324</v>
      </c>
      <c r="E107" t="str">
        <f t="shared" si="5"/>
        <v>Prime Location</v>
      </c>
      <c r="F107" t="str">
        <f t="shared" si="6"/>
        <v>RotesG</v>
      </c>
      <c r="G107" t="str">
        <f>VLOOKUP(F107,тех!$A:$E,4,0)</f>
        <v xml:space="preserve"> General</v>
      </c>
      <c r="H107" t="str">
        <f>IF(VLOOKUP(F107,тех!$A:$E,2,0)="broken","broken",VLOOKUP(F107,тех!$A:$E,5,0))</f>
        <v>Tradition</v>
      </c>
      <c r="I107" s="9" t="str">
        <f>IF(VLOOKUP(F107,тех!$A:$E,2,0)="broken",CONCATENATE("- [",E107,"](",F107,")",G107),VLOOKUP(F107,тех!$A:$E,2,0)&amp;E107&amp;"]]"&amp;G107)</f>
        <v>- [[Rotes in groups#RotesG (General)|Prime Location]] General</v>
      </c>
    </row>
    <row r="108" spans="1:9" x14ac:dyDescent="0.3">
      <c r="A108">
        <f t="shared" si="7"/>
        <v>2</v>
      </c>
      <c r="B108" t="s">
        <v>30</v>
      </c>
      <c r="C108" t="s">
        <v>428</v>
      </c>
      <c r="D108" s="9" t="s">
        <v>325</v>
      </c>
      <c r="E108" t="str">
        <f t="shared" si="5"/>
        <v>Sense Node</v>
      </c>
      <c r="F108" t="str">
        <f t="shared" si="6"/>
        <v>RotesNWO</v>
      </c>
      <c r="G108" t="str">
        <f>VLOOKUP(F108,тех!$A:$E,4,0)</f>
        <v xml:space="preserve"> 🔋 New World Order</v>
      </c>
      <c r="H108" t="str">
        <f>IF(VLOOKUP(F108,тех!$A:$E,2,0)="broken","broken",VLOOKUP(F108,тех!$A:$E,5,0))</f>
        <v>Techocrathy</v>
      </c>
      <c r="I108" s="9" t="str">
        <f>IF(VLOOKUP(F108,тех!$A:$E,2,0)="broken",CONCATENATE("- [",E108,"](",F108,")",G108),VLOOKUP(F108,тех!$A:$E,2,0)&amp;E108&amp;"]]"&amp;G108)</f>
        <v>- [[Rotes in groups#RotesNWO (New world order)|Sense Node]] 🔋 New World Order</v>
      </c>
    </row>
    <row r="109" spans="1:9" x14ac:dyDescent="0.3">
      <c r="A109">
        <f t="shared" si="7"/>
        <v>1</v>
      </c>
      <c r="B109" t="s">
        <v>30</v>
      </c>
      <c r="C109" t="s">
        <v>428</v>
      </c>
      <c r="D109" s="9" t="s">
        <v>326</v>
      </c>
      <c r="E109" t="str">
        <f t="shared" si="5"/>
        <v>Watch The Weaving</v>
      </c>
      <c r="F109" t="str">
        <f t="shared" si="6"/>
        <v>RotesSP</v>
      </c>
      <c r="G109" t="str">
        <f>VLOOKUP(F109,тех!$A:$E,4,0)</f>
        <v xml:space="preserve"> Sphere-rote</v>
      </c>
      <c r="H109" t="str">
        <f>IF(VLOOKUP(F109,тех!$A:$E,2,0)="broken","broken",VLOOKUP(F109,тех!$A:$E,5,0))</f>
        <v>Sphere rote</v>
      </c>
      <c r="I109" s="9" t="str">
        <f>IF(VLOOKUP(F109,тех!$A:$E,2,0)="broken",CONCATENATE("- [",E109,"](",F109,")",G109),VLOOKUP(F109,тех!$A:$E,2,0)&amp;E109&amp;"]]"&amp;G109)</f>
        <v>- [[Rotes in sphere#RotesSP (Prime effects)|Watch The Weaving]] Sphere-rote</v>
      </c>
    </row>
    <row r="110" spans="1:9" x14ac:dyDescent="0.3">
      <c r="A110">
        <f t="shared" si="7"/>
        <v>1</v>
      </c>
      <c r="B110" t="s">
        <v>30</v>
      </c>
      <c r="C110" t="s">
        <v>429</v>
      </c>
      <c r="D110" s="5" t="s">
        <v>9</v>
      </c>
      <c r="E110" t="str">
        <f t="shared" si="5"/>
        <v>Holy Stroke</v>
      </c>
      <c r="F110" t="str">
        <f t="shared" si="6"/>
        <v>RotesSP</v>
      </c>
      <c r="G110" t="str">
        <f>VLOOKUP(F110,тех!$A:$E,4,0)</f>
        <v xml:space="preserve"> Sphere-rote</v>
      </c>
      <c r="H110" t="str">
        <f>IF(VLOOKUP(F110,тех!$A:$E,2,0)="broken","broken",VLOOKUP(F110,тех!$A:$E,5,0))</f>
        <v>Sphere rote</v>
      </c>
      <c r="I110" s="9" t="str">
        <f>IF(VLOOKUP(F110,тех!$A:$E,2,0)="broken",CONCATENATE("- [",E110,"](",F110,")",G110),VLOOKUP(F110,тех!$A:$E,2,0)&amp;E110&amp;"]]"&amp;G110)</f>
        <v>- [[Rotes in sphere#RotesSP (Prime effects)|Holy Stroke]] Sphere-rote</v>
      </c>
    </row>
    <row r="111" spans="1:9" x14ac:dyDescent="0.3">
      <c r="A111">
        <f t="shared" si="7"/>
        <v>1</v>
      </c>
      <c r="B111" t="s">
        <v>30</v>
      </c>
      <c r="C111" t="s">
        <v>429</v>
      </c>
      <c r="D111" s="5" t="s">
        <v>10</v>
      </c>
      <c r="E111" t="str">
        <f t="shared" si="5"/>
        <v>Imaginary Friend</v>
      </c>
      <c r="F111" t="str">
        <f t="shared" si="6"/>
        <v>RotesNWO</v>
      </c>
      <c r="G111" t="str">
        <f>VLOOKUP(F111,тех!$A:$E,4,0)</f>
        <v xml:space="preserve"> 🔋 New World Order</v>
      </c>
      <c r="H111" t="str">
        <f>IF(VLOOKUP(F111,тех!$A:$E,2,0)="broken","broken",VLOOKUP(F111,тех!$A:$E,5,0))</f>
        <v>Techocrathy</v>
      </c>
      <c r="I111" s="9" t="str">
        <f>IF(VLOOKUP(F111,тех!$A:$E,2,0)="broken",CONCATENATE("- [",E111,"](",F111,")",G111),VLOOKUP(F111,тех!$A:$E,2,0)&amp;E111&amp;"]]"&amp;G111)</f>
        <v>- [[Rotes in groups#RotesNWO (New world order)|Imaginary Friend]] 🔋 New World Order</v>
      </c>
    </row>
    <row r="112" spans="1:9" x14ac:dyDescent="0.3">
      <c r="A112">
        <f t="shared" si="7"/>
        <v>3</v>
      </c>
      <c r="B112" t="s">
        <v>30</v>
      </c>
      <c r="C112" t="s">
        <v>429</v>
      </c>
      <c r="D112" s="5" t="s">
        <v>11</v>
      </c>
      <c r="E112" t="str">
        <f t="shared" si="5"/>
        <v>Jury Rig</v>
      </c>
      <c r="F112" t="str">
        <f t="shared" si="6"/>
        <v>RotesSoOE</v>
      </c>
      <c r="G112" t="str">
        <f>VLOOKUP(F112,тех!$A:$E,4,0)</f>
        <v xml:space="preserve"> Sons of Ether</v>
      </c>
      <c r="H112" t="str">
        <f>IF(VLOOKUP(F112,тех!$A:$E,2,0)="broken","broken",VLOOKUP(F112,тех!$A:$E,5,0))</f>
        <v>broken</v>
      </c>
      <c r="I112" s="9" t="str">
        <f>IF(VLOOKUP(F112,тех!$A:$E,2,0)="broken",CONCATENATE("- [",E112,"](",F112,")",G112),VLOOKUP(F112,тех!$A:$E,2,0)&amp;E112&amp;"]]"&amp;G112)</f>
        <v>- [Jury Rig](RotesSoOE) Sons of Ether</v>
      </c>
    </row>
    <row r="113" spans="1:9" x14ac:dyDescent="0.3">
      <c r="A113">
        <f t="shared" si="7"/>
        <v>1</v>
      </c>
      <c r="B113" t="s">
        <v>30</v>
      </c>
      <c r="C113" t="s">
        <v>429</v>
      </c>
      <c r="D113" s="5" t="s">
        <v>12</v>
      </c>
      <c r="E113" t="str">
        <f t="shared" si="5"/>
        <v>Laserblast</v>
      </c>
      <c r="F113" t="str">
        <f t="shared" si="6"/>
        <v>RotesVoE</v>
      </c>
      <c r="G113" t="str">
        <f>VLOOKUP(F113,тех!$A:$E,4,0)</f>
        <v xml:space="preserve"> 🔋 Void Engineers</v>
      </c>
      <c r="H113" t="str">
        <f>IF(VLOOKUP(F113,тех!$A:$E,2,0)="broken","broken",VLOOKUP(F113,тех!$A:$E,5,0))</f>
        <v>Techocrathy</v>
      </c>
      <c r="I113" s="9" t="str">
        <f>IF(VLOOKUP(F113,тех!$A:$E,2,0)="broken",CONCATENATE("- [",E113,"](",F113,")",G113),VLOOKUP(F113,тех!$A:$E,2,0)&amp;E113&amp;"]]"&amp;G113)</f>
        <v>- [[Rotes in groups#RotesVoE (Void Engineers)|Laserblast]] 🔋 Void Engineers</v>
      </c>
    </row>
    <row r="114" spans="1:9" x14ac:dyDescent="0.3">
      <c r="A114">
        <f t="shared" si="7"/>
        <v>2</v>
      </c>
      <c r="B114" t="s">
        <v>30</v>
      </c>
      <c r="C114" t="s">
        <v>429</v>
      </c>
      <c r="D114" s="5" t="s">
        <v>13</v>
      </c>
      <c r="E114" t="str">
        <f t="shared" si="5"/>
        <v>Lecherous Kiss</v>
      </c>
      <c r="F114" t="str">
        <f t="shared" si="6"/>
        <v>RotesHoO</v>
      </c>
      <c r="G114" t="str">
        <f>VLOOKUP(F114,тех!$A:$E,4,0)</f>
        <v xml:space="preserve"> Hollow Ones</v>
      </c>
      <c r="H114" t="str">
        <f>IF(VLOOKUP(F114,тех!$A:$E,2,0)="broken","broken",VLOOKUP(F114,тех!$A:$E,5,0))</f>
        <v>Tradition</v>
      </c>
      <c r="I114" s="9" t="str">
        <f>IF(VLOOKUP(F114,тех!$A:$E,2,0)="broken",CONCATENATE("- [",E114,"](",F114,")",G114),VLOOKUP(F114,тех!$A:$E,2,0)&amp;E114&amp;"]]"&amp;G114)</f>
        <v>- [[Rotes in groups#RotesHoO (Hollow Ones)|Lecherous Kiss]] Hollow Ones</v>
      </c>
    </row>
    <row r="115" spans="1:9" x14ac:dyDescent="0.3">
      <c r="A115">
        <f t="shared" si="7"/>
        <v>1</v>
      </c>
      <c r="B115" t="s">
        <v>30</v>
      </c>
      <c r="C115" t="s">
        <v>429</v>
      </c>
      <c r="D115" s="5" t="s">
        <v>14</v>
      </c>
      <c r="E115" t="str">
        <f t="shared" si="5"/>
        <v>Long Fist</v>
      </c>
      <c r="F115" t="str">
        <f t="shared" si="6"/>
        <v>RotesDo</v>
      </c>
      <c r="G115" t="str">
        <f>VLOOKUP(F115,тех!$A:$E,4,0)</f>
        <v xml:space="preserve"> Do (Akashic)</v>
      </c>
      <c r="H115" t="str">
        <f>IF(VLOOKUP(F115,тех!$A:$E,2,0)="broken","broken",VLOOKUP(F115,тех!$A:$E,5,0))</f>
        <v>broken</v>
      </c>
      <c r="I115" s="9" t="str">
        <f>IF(VLOOKUP(F115,тех!$A:$E,2,0)="broken",CONCATENATE("- [",E115,"](",F115,")",G115),VLOOKUP(F115,тех!$A:$E,2,0)&amp;E115&amp;"]]"&amp;G115)</f>
        <v>- [Long Fist](RotesDo) Do (Akashic)</v>
      </c>
    </row>
    <row r="116" spans="1:9" x14ac:dyDescent="0.3">
      <c r="A116">
        <f t="shared" si="7"/>
        <v>1</v>
      </c>
      <c r="B116" t="s">
        <v>30</v>
      </c>
      <c r="C116" t="s">
        <v>429</v>
      </c>
      <c r="D116" s="5" t="s">
        <v>15</v>
      </c>
      <c r="E116" t="str">
        <f t="shared" si="5"/>
        <v>Matter-Energy Converter</v>
      </c>
      <c r="F116" t="str">
        <f t="shared" si="6"/>
        <v>RotesVoE</v>
      </c>
      <c r="G116" t="str">
        <f>VLOOKUP(F116,тех!$A:$E,4,0)</f>
        <v xml:space="preserve"> 🔋 Void Engineers</v>
      </c>
      <c r="H116" t="str">
        <f>IF(VLOOKUP(F116,тех!$A:$E,2,0)="broken","broken",VLOOKUP(F116,тех!$A:$E,5,0))</f>
        <v>Techocrathy</v>
      </c>
      <c r="I116" s="9" t="str">
        <f>IF(VLOOKUP(F116,тех!$A:$E,2,0)="broken",CONCATENATE("- [",E116,"](",F116,")",G116),VLOOKUP(F116,тех!$A:$E,2,0)&amp;E116&amp;"]]"&amp;G116)</f>
        <v>- [[Rotes in groups#RotesVoE (Void Engineers)|Matter-Energy Converter]] 🔋 Void Engineers</v>
      </c>
    </row>
    <row r="117" spans="1:9" x14ac:dyDescent="0.3">
      <c r="A117">
        <f t="shared" si="7"/>
        <v>1</v>
      </c>
      <c r="B117" t="s">
        <v>30</v>
      </c>
      <c r="C117" t="s">
        <v>429</v>
      </c>
      <c r="D117" s="5" t="s">
        <v>16</v>
      </c>
      <c r="E117" t="str">
        <f t="shared" si="5"/>
        <v>Nanotech Life Support</v>
      </c>
      <c r="F117" t="str">
        <f t="shared" si="6"/>
        <v>RotesPr</v>
      </c>
      <c r="G117" t="str">
        <f>VLOOKUP(F117,тех!$A:$E,4,0)</f>
        <v xml:space="preserve"> 🔋 Progenitors</v>
      </c>
      <c r="H117" t="str">
        <f>IF(VLOOKUP(F117,тех!$A:$E,2,0)="broken","broken",VLOOKUP(F117,тех!$A:$E,5,0))</f>
        <v>Techocrathy</v>
      </c>
      <c r="I117" s="9" t="str">
        <f>IF(VLOOKUP(F117,тех!$A:$E,2,0)="broken",CONCATENATE("- [",E117,"](",F117,")",G117),VLOOKUP(F117,тех!$A:$E,2,0)&amp;E117&amp;"]]"&amp;G117)</f>
        <v>- [[Rotes in groups#RotesPr (Progenitors)|Nanotech Life Support]] 🔋 Progenitors</v>
      </c>
    </row>
    <row r="118" spans="1:9" x14ac:dyDescent="0.3">
      <c r="A118">
        <f t="shared" si="7"/>
        <v>1</v>
      </c>
      <c r="B118" t="s">
        <v>30</v>
      </c>
      <c r="C118" t="s">
        <v>429</v>
      </c>
      <c r="D118" s="5" t="s">
        <v>17</v>
      </c>
      <c r="E118" t="str">
        <f t="shared" si="5"/>
        <v>No Surrender</v>
      </c>
      <c r="F118" t="str">
        <f t="shared" si="6"/>
        <v>RotesSiOH</v>
      </c>
      <c r="G118" t="str">
        <f>VLOOKUP(F118,тех!$A:$E,4,0)</f>
        <v xml:space="preserve"> Sisters of Hippolyta</v>
      </c>
      <c r="H118" t="str">
        <f>IF(VLOOKUP(F118,тех!$A:$E,2,0)="broken","broken",VLOOKUP(F118,тех!$A:$E,5,0))</f>
        <v>Craft</v>
      </c>
      <c r="I118" s="9" t="str">
        <f>IF(VLOOKUP(F118,тех!$A:$E,2,0)="broken",CONCATENATE("- [",E118,"](",F118,")",G118),VLOOKUP(F118,тех!$A:$E,2,0)&amp;E118&amp;"]]"&amp;G118)</f>
        <v>- [[Rotes in groups#RotesSiOH (Sisters of Hippolyta)|No Surrender]] Sisters of Hippolyta</v>
      </c>
    </row>
    <row r="119" spans="1:9" x14ac:dyDescent="0.3">
      <c r="A119">
        <f t="shared" si="7"/>
        <v>2</v>
      </c>
      <c r="B119" t="s">
        <v>30</v>
      </c>
      <c r="C119" t="s">
        <v>429</v>
      </c>
      <c r="D119" s="5" t="s">
        <v>18</v>
      </c>
      <c r="E119" t="str">
        <f t="shared" ref="E119:E150" si="8">MID(D119,2,FIND("]",D119)-2)</f>
        <v>Oak Of Sanguine Root</v>
      </c>
      <c r="F119" t="str">
        <f t="shared" ref="F119:F148" si="9">MID(D119,1+FIND("/Rotes",D119),FIND(".html",D119)-FIND("/Rotes",D119)-1)</f>
        <v>RotesOOH</v>
      </c>
      <c r="G119" t="str">
        <f>VLOOKUP(F119,тех!$A:$E,4,0)</f>
        <v xml:space="preserve"> Order of Hermes</v>
      </c>
      <c r="H119" t="str">
        <f>IF(VLOOKUP(F119,тех!$A:$E,2,0)="broken","broken",VLOOKUP(F119,тех!$A:$E,5,0))</f>
        <v>Tradition</v>
      </c>
      <c r="I119" s="9" t="str">
        <f>IF(VLOOKUP(F119,тех!$A:$E,2,0)="broken",CONCATENATE("- [",E119,"](",F119,")",G119),VLOOKUP(F119,тех!$A:$E,2,0)&amp;E119&amp;"]]"&amp;G119)</f>
        <v>- [[Rotes in groups#RotesOOH (Order of Hermes)|Oak Of Sanguine Root]] Order of Hermes</v>
      </c>
    </row>
    <row r="120" spans="1:9" x14ac:dyDescent="0.3">
      <c r="A120">
        <f t="shared" si="7"/>
        <v>2</v>
      </c>
      <c r="B120" t="s">
        <v>30</v>
      </c>
      <c r="C120" t="s">
        <v>429</v>
      </c>
      <c r="D120" s="5" t="s">
        <v>19</v>
      </c>
      <c r="E120" t="str">
        <f t="shared" si="8"/>
        <v>Penny Dreadful's Bright New Penny</v>
      </c>
      <c r="F120" t="str">
        <f t="shared" si="9"/>
        <v>RotesHoO</v>
      </c>
      <c r="G120" t="str">
        <f>VLOOKUP(F120,тех!$A:$E,4,0)</f>
        <v xml:space="preserve"> Hollow Ones</v>
      </c>
      <c r="H120" t="str">
        <f>IF(VLOOKUP(F120,тех!$A:$E,2,0)="broken","broken",VLOOKUP(F120,тех!$A:$E,5,0))</f>
        <v>Tradition</v>
      </c>
      <c r="I120" s="9" t="str">
        <f>IF(VLOOKUP(F120,тех!$A:$E,2,0)="broken",CONCATENATE("- [",E120,"](",F120,")",G120),VLOOKUP(F120,тех!$A:$E,2,0)&amp;E120&amp;"]]"&amp;G120)</f>
        <v>- [[Rotes in groups#RotesHoO (Hollow Ones)|Penny Dreadful's Bright New Penny]] Hollow Ones</v>
      </c>
    </row>
    <row r="121" spans="1:9" x14ac:dyDescent="0.3">
      <c r="A121">
        <f t="shared" si="7"/>
        <v>1</v>
      </c>
      <c r="B121" t="s">
        <v>30</v>
      </c>
      <c r="C121" t="s">
        <v>429</v>
      </c>
      <c r="D121" s="5" t="s">
        <v>20</v>
      </c>
      <c r="E121" t="str">
        <f t="shared" si="8"/>
        <v>Perpetual Motion</v>
      </c>
      <c r="F121" t="str">
        <f t="shared" si="9"/>
        <v>RotesIX</v>
      </c>
      <c r="G121" t="str">
        <f>VLOOKUP(F121,тех!$A:$E,4,0)</f>
        <v xml:space="preserve"> 🔋 Iteration X</v>
      </c>
      <c r="H121" t="str">
        <f>IF(VLOOKUP(F121,тех!$A:$E,2,0)="broken","broken",VLOOKUP(F121,тех!$A:$E,5,0))</f>
        <v>Techocrathy</v>
      </c>
      <c r="I121" s="9" t="str">
        <f>IF(VLOOKUP(F121,тех!$A:$E,2,0)="broken",CONCATENATE("- [",E121,"](",F121,")",G121),VLOOKUP(F121,тех!$A:$E,2,0)&amp;E121&amp;"]]"&amp;G121)</f>
        <v>- [[Rotes in groups#RotesIX (Iteration X)|Perpetual Motion]] 🔋 Iteration X</v>
      </c>
    </row>
    <row r="122" spans="1:9" x14ac:dyDescent="0.3">
      <c r="A122">
        <f t="shared" si="7"/>
        <v>1</v>
      </c>
      <c r="B122" t="s">
        <v>30</v>
      </c>
      <c r="C122" t="s">
        <v>429</v>
      </c>
      <c r="D122" s="5" t="s">
        <v>21</v>
      </c>
      <c r="E122" t="str">
        <f t="shared" si="8"/>
        <v>Pygmalion's Paradigm</v>
      </c>
      <c r="F122" t="str">
        <f t="shared" si="9"/>
        <v>RotesG</v>
      </c>
      <c r="G122" t="str">
        <f>VLOOKUP(F122,тех!$A:$E,4,0)</f>
        <v xml:space="preserve"> General</v>
      </c>
      <c r="H122" t="str">
        <f>IF(VLOOKUP(F122,тех!$A:$E,2,0)="broken","broken",VLOOKUP(F122,тех!$A:$E,5,0))</f>
        <v>Tradition</v>
      </c>
      <c r="I122" s="9" t="str">
        <f>IF(VLOOKUP(F122,тех!$A:$E,2,0)="broken",CONCATENATE("- [",E122,"](",F122,")",G122),VLOOKUP(F122,тех!$A:$E,2,0)&amp;E122&amp;"]]"&amp;G122)</f>
        <v>- [[Rotes in groups#RotesG (General)|Pygmalion's Paradigm]] General</v>
      </c>
    </row>
    <row r="123" spans="1:9" x14ac:dyDescent="0.3">
      <c r="A123">
        <f t="shared" si="7"/>
        <v>2</v>
      </c>
      <c r="B123" t="s">
        <v>30</v>
      </c>
      <c r="C123" t="s">
        <v>429</v>
      </c>
      <c r="D123" s="5" t="s">
        <v>22</v>
      </c>
      <c r="E123" t="str">
        <f t="shared" si="8"/>
        <v>Red Button</v>
      </c>
      <c r="F123" t="str">
        <f t="shared" si="9"/>
        <v>RotesNWO</v>
      </c>
      <c r="G123" t="str">
        <f>VLOOKUP(F123,тех!$A:$E,4,0)</f>
        <v xml:space="preserve"> 🔋 New World Order</v>
      </c>
      <c r="H123" t="str">
        <f>IF(VLOOKUP(F123,тех!$A:$E,2,0)="broken","broken",VLOOKUP(F123,тех!$A:$E,5,0))</f>
        <v>Techocrathy</v>
      </c>
      <c r="I123" s="9" t="str">
        <f>IF(VLOOKUP(F123,тех!$A:$E,2,0)="broken",CONCATENATE("- [",E123,"](",F123,")",G123),VLOOKUP(F123,тех!$A:$E,2,0)&amp;E123&amp;"]]"&amp;G123)</f>
        <v>- [[Rotes in groups#RotesNWO (New world order)|Red Button]] 🔋 New World Order</v>
      </c>
    </row>
    <row r="124" spans="1:9" x14ac:dyDescent="0.3">
      <c r="A124">
        <f t="shared" si="7"/>
        <v>2</v>
      </c>
      <c r="B124" t="s">
        <v>30</v>
      </c>
      <c r="C124" t="s">
        <v>429</v>
      </c>
      <c r="D124" s="5" t="s">
        <v>23</v>
      </c>
      <c r="E124" t="str">
        <f t="shared" si="8"/>
        <v>Song Of Orpheus</v>
      </c>
      <c r="F124" t="str">
        <f t="shared" si="9"/>
        <v>RotesG</v>
      </c>
      <c r="G124" t="str">
        <f>VLOOKUP(F124,тех!$A:$E,4,0)</f>
        <v xml:space="preserve"> General</v>
      </c>
      <c r="H124" t="str">
        <f>IF(VLOOKUP(F124,тех!$A:$E,2,0)="broken","broken",VLOOKUP(F124,тех!$A:$E,5,0))</f>
        <v>Tradition</v>
      </c>
      <c r="I124" s="9" t="str">
        <f>IF(VLOOKUP(F124,тех!$A:$E,2,0)="broken",CONCATENATE("- [",E124,"](",F124,")",G124),VLOOKUP(F124,тех!$A:$E,2,0)&amp;E124&amp;"]]"&amp;G124)</f>
        <v>- [[Rotes in groups#RotesG (General)|Song Of Orpheus]] General</v>
      </c>
    </row>
    <row r="125" spans="1:9" x14ac:dyDescent="0.3">
      <c r="A125">
        <f t="shared" si="7"/>
        <v>1</v>
      </c>
      <c r="B125" t="s">
        <v>30</v>
      </c>
      <c r="C125" t="s">
        <v>429</v>
      </c>
      <c r="D125" s="5" t="s">
        <v>24</v>
      </c>
      <c r="E125" t="str">
        <f t="shared" si="8"/>
        <v>Sucking Gate</v>
      </c>
      <c r="F125" t="str">
        <f t="shared" si="9"/>
        <v>RotesDr</v>
      </c>
      <c r="G125" t="str">
        <f>VLOOKUP(F125,тех!$A:$E,4,0)</f>
        <v xml:space="preserve"> Dreamspeakers</v>
      </c>
      <c r="H125" t="str">
        <f>IF(VLOOKUP(F125,тех!$A:$E,2,0)="broken","broken",VLOOKUP(F125,тех!$A:$E,5,0))</f>
        <v>broken</v>
      </c>
      <c r="I125" s="9" t="str">
        <f>IF(VLOOKUP(F125,тех!$A:$E,2,0)="broken",CONCATENATE("- [",E125,"](",F125,")",G125),VLOOKUP(F125,тех!$A:$E,2,0)&amp;E125&amp;"]]"&amp;G125)</f>
        <v>- [Sucking Gate](RotesDr) Dreamspeakers</v>
      </c>
    </row>
    <row r="126" spans="1:9" x14ac:dyDescent="0.3">
      <c r="A126">
        <f t="shared" si="7"/>
        <v>2</v>
      </c>
      <c r="B126" t="s">
        <v>30</v>
      </c>
      <c r="C126" t="s">
        <v>429</v>
      </c>
      <c r="D126" s="5" t="s">
        <v>25</v>
      </c>
      <c r="E126" t="str">
        <f t="shared" si="8"/>
        <v>Supporting The Brain</v>
      </c>
      <c r="F126" t="str">
        <f t="shared" si="9"/>
        <v>RotesSoOE</v>
      </c>
      <c r="G126" t="str">
        <f>VLOOKUP(F126,тех!$A:$E,4,0)</f>
        <v xml:space="preserve"> Sons of Ether</v>
      </c>
      <c r="H126" t="str">
        <f>IF(VLOOKUP(F126,тех!$A:$E,2,0)="broken","broken",VLOOKUP(F126,тех!$A:$E,5,0))</f>
        <v>broken</v>
      </c>
      <c r="I126" s="9" t="str">
        <f>IF(VLOOKUP(F126,тех!$A:$E,2,0)="broken",CONCATENATE("- [",E126,"](",F126,")",G126),VLOOKUP(F126,тех!$A:$E,2,0)&amp;E126&amp;"]]"&amp;G126)</f>
        <v>- [Supporting The Brain](RotesSoOE) Sons of Ether</v>
      </c>
    </row>
    <row r="127" spans="1:9" x14ac:dyDescent="0.3">
      <c r="A127">
        <f t="shared" si="7"/>
        <v>1</v>
      </c>
      <c r="B127" t="s">
        <v>30</v>
      </c>
      <c r="C127" t="s">
        <v>429</v>
      </c>
      <c r="D127" s="5" t="s">
        <v>26</v>
      </c>
      <c r="E127" t="str">
        <f t="shared" si="8"/>
        <v>Talons</v>
      </c>
      <c r="F127" t="str">
        <f t="shared" si="9"/>
        <v>RotesG</v>
      </c>
      <c r="G127" t="str">
        <f>VLOOKUP(F127,тех!$A:$E,4,0)</f>
        <v xml:space="preserve"> General</v>
      </c>
      <c r="H127" t="str">
        <f>IF(VLOOKUP(F127,тех!$A:$E,2,0)="broken","broken",VLOOKUP(F127,тех!$A:$E,5,0))</f>
        <v>Tradition</v>
      </c>
      <c r="I127" s="9" t="str">
        <f>IF(VLOOKUP(F127,тех!$A:$E,2,0)="broken",CONCATENATE("- [",E127,"](",F127,")",G127),VLOOKUP(F127,тех!$A:$E,2,0)&amp;E127&amp;"]]"&amp;G127)</f>
        <v>- [[Rotes in groups#RotesG (General)|Talons]] General</v>
      </c>
    </row>
    <row r="128" spans="1:9" x14ac:dyDescent="0.3">
      <c r="A128">
        <f t="shared" si="7"/>
        <v>1</v>
      </c>
      <c r="B128" t="s">
        <v>30</v>
      </c>
      <c r="C128" t="s">
        <v>429</v>
      </c>
      <c r="D128" s="5" t="s">
        <v>27</v>
      </c>
      <c r="E128" t="str">
        <f t="shared" si="8"/>
        <v>Thunder's Gauntlet</v>
      </c>
      <c r="F128" t="str">
        <f t="shared" si="9"/>
        <v>RotesOOH</v>
      </c>
      <c r="G128" t="str">
        <f>VLOOKUP(F128,тех!$A:$E,4,0)</f>
        <v xml:space="preserve"> Order of Hermes</v>
      </c>
      <c r="H128" t="str">
        <f>IF(VLOOKUP(F128,тех!$A:$E,2,0)="broken","broken",VLOOKUP(F128,тех!$A:$E,5,0))</f>
        <v>Tradition</v>
      </c>
      <c r="I128" s="9" t="str">
        <f>IF(VLOOKUP(F128,тех!$A:$E,2,0)="broken",CONCATENATE("- [",E128,"](",F128,")",G128),VLOOKUP(F128,тех!$A:$E,2,0)&amp;E128&amp;"]]"&amp;G128)</f>
        <v>- [[Rotes in groups#RotesOOH (Order of Hermes)|Thunder's Gauntlet]] Order of Hermes</v>
      </c>
    </row>
    <row r="129" spans="1:9" x14ac:dyDescent="0.3">
      <c r="A129">
        <f t="shared" si="7"/>
        <v>2</v>
      </c>
      <c r="B129" t="s">
        <v>30</v>
      </c>
      <c r="C129" t="s">
        <v>429</v>
      </c>
      <c r="D129" s="5" t="s">
        <v>28</v>
      </c>
      <c r="E129" t="str">
        <f t="shared" si="8"/>
        <v>Unraveling The Text</v>
      </c>
      <c r="F129" t="str">
        <f t="shared" si="9"/>
        <v>RotesOOH</v>
      </c>
      <c r="G129" t="str">
        <f>VLOOKUP(F129,тех!$A:$E,4,0)</f>
        <v xml:space="preserve"> Order of Hermes</v>
      </c>
      <c r="H129" t="str">
        <f>IF(VLOOKUP(F129,тех!$A:$E,2,0)="broken","broken",VLOOKUP(F129,тех!$A:$E,5,0))</f>
        <v>Tradition</v>
      </c>
      <c r="I129" s="9" t="str">
        <f>IF(VLOOKUP(F129,тех!$A:$E,2,0)="broken",CONCATENATE("- [",E129,"](",F129,")",G129),VLOOKUP(F129,тех!$A:$E,2,0)&amp;E129&amp;"]]"&amp;G129)</f>
        <v>- [[Rotes in groups#RotesOOH (Order of Hermes)|Unraveling The Text]] Order of Hermes</v>
      </c>
    </row>
    <row r="130" spans="1:9" x14ac:dyDescent="0.3">
      <c r="A130">
        <f t="shared" ref="A130:A161" si="10">COUNTIF(E:E,E130)</f>
        <v>2</v>
      </c>
      <c r="B130" t="s">
        <v>30</v>
      </c>
      <c r="C130" t="s">
        <v>429</v>
      </c>
      <c r="D130" s="5" t="s">
        <v>29</v>
      </c>
      <c r="E130" t="str">
        <f t="shared" si="8"/>
        <v>Unseen Nomenclature</v>
      </c>
      <c r="F130" t="str">
        <f t="shared" si="9"/>
        <v>RotesOOH</v>
      </c>
      <c r="G130" t="str">
        <f>VLOOKUP(F130,тех!$A:$E,4,0)</f>
        <v xml:space="preserve"> Order of Hermes</v>
      </c>
      <c r="H130" t="str">
        <f>IF(VLOOKUP(F130,тех!$A:$E,2,0)="broken","broken",VLOOKUP(F130,тех!$A:$E,5,0))</f>
        <v>Tradition</v>
      </c>
      <c r="I130" s="9" t="str">
        <f>IF(VLOOKUP(F130,тех!$A:$E,2,0)="broken",CONCATENATE("- [",E130,"](",F130,")",G130),VLOOKUP(F130,тех!$A:$E,2,0)&amp;E130&amp;"]]"&amp;G130)</f>
        <v>- [[Rotes in groups#RotesOOH (Order of Hermes)|Unseen Nomenclature]] Order of Hermes</v>
      </c>
    </row>
    <row r="131" spans="1:9" x14ac:dyDescent="0.3">
      <c r="A131">
        <f t="shared" si="10"/>
        <v>1</v>
      </c>
      <c r="B131" t="s">
        <v>30</v>
      </c>
      <c r="C131" t="s">
        <v>429</v>
      </c>
      <c r="D131" s="9" t="s">
        <v>300</v>
      </c>
      <c r="E131" t="str">
        <f t="shared" si="8"/>
        <v>Adrenal Rush</v>
      </c>
      <c r="F131" t="str">
        <f t="shared" si="9"/>
        <v>RotesViA</v>
      </c>
      <c r="G131" t="str">
        <f>VLOOKUP(F131,тех!$A:$E,4,0)</f>
        <v xml:space="preserve"> Virtual Adepts</v>
      </c>
      <c r="H131" t="str">
        <f>IF(VLOOKUP(F131,тех!$A:$E,2,0)="broken","broken",VLOOKUP(F131,тех!$A:$E,5,0))</f>
        <v>Tradition</v>
      </c>
      <c r="I131" s="9" t="str">
        <f>IF(VLOOKUP(F131,тех!$A:$E,2,0)="broken",CONCATENATE("- [",E131,"](",F131,")",G131),VLOOKUP(F131,тех!$A:$E,2,0)&amp;E131&amp;"]]"&amp;G131)</f>
        <v>- [[Rotes in groups#RotesViA (Virt Adepts)|Adrenal Rush]] Virtual Adepts</v>
      </c>
    </row>
    <row r="132" spans="1:9" x14ac:dyDescent="0.3">
      <c r="A132">
        <f t="shared" si="10"/>
        <v>2</v>
      </c>
      <c r="B132" t="s">
        <v>30</v>
      </c>
      <c r="C132" t="s">
        <v>429</v>
      </c>
      <c r="D132" s="9" t="s">
        <v>301</v>
      </c>
      <c r="E132" t="str">
        <f t="shared" si="8"/>
        <v>Avatar Form</v>
      </c>
      <c r="F132" t="str">
        <f t="shared" si="9"/>
        <v>RotesAkB</v>
      </c>
      <c r="G132" t="str">
        <f>VLOOKUP(F132,тех!$A:$E,4,0)</f>
        <v xml:space="preserve"> Akashic Brotherhood</v>
      </c>
      <c r="H132" t="str">
        <f>IF(VLOOKUP(F132,тех!$A:$E,2,0)="broken","broken",VLOOKUP(F132,тех!$A:$E,5,0))</f>
        <v>broken</v>
      </c>
      <c r="I132" s="9" t="str">
        <f>IF(VLOOKUP(F132,тех!$A:$E,2,0)="broken",CONCATENATE("- [",E132,"](",F132,")",G132),VLOOKUP(F132,тех!$A:$E,2,0)&amp;E132&amp;"]]"&amp;G132)</f>
        <v>- [Avatar Form](RotesAkB) Akashic Brotherhood</v>
      </c>
    </row>
    <row r="133" spans="1:9" x14ac:dyDescent="0.3">
      <c r="A133">
        <f t="shared" si="10"/>
        <v>1</v>
      </c>
      <c r="B133" t="s">
        <v>30</v>
      </c>
      <c r="C133" t="s">
        <v>429</v>
      </c>
      <c r="D133" s="9" t="s">
        <v>302</v>
      </c>
      <c r="E133" t="str">
        <f t="shared" si="8"/>
        <v>Body Of Light</v>
      </c>
      <c r="F133" t="str">
        <f t="shared" si="9"/>
        <v>RotesSP</v>
      </c>
      <c r="G133" t="str">
        <f>VLOOKUP(F133,тех!$A:$E,4,0)</f>
        <v xml:space="preserve"> Sphere-rote</v>
      </c>
      <c r="H133" t="str">
        <f>IF(VLOOKUP(F133,тех!$A:$E,2,0)="broken","broken",VLOOKUP(F133,тех!$A:$E,5,0))</f>
        <v>Sphere rote</v>
      </c>
      <c r="I133" s="9" t="str">
        <f>IF(VLOOKUP(F133,тех!$A:$E,2,0)="broken",CONCATENATE("- [",E133,"](",F133,")",G133),VLOOKUP(F133,тех!$A:$E,2,0)&amp;E133&amp;"]]"&amp;G133)</f>
        <v>- [[Rotes in sphere#RotesSP (Prime effects)|Body Of Light]] Sphere-rote</v>
      </c>
    </row>
    <row r="134" spans="1:9" x14ac:dyDescent="0.3">
      <c r="A134">
        <f t="shared" si="10"/>
        <v>1</v>
      </c>
      <c r="B134" t="s">
        <v>30</v>
      </c>
      <c r="C134" t="s">
        <v>429</v>
      </c>
      <c r="D134" s="9" t="s">
        <v>303</v>
      </c>
      <c r="E134" t="str">
        <f t="shared" si="8"/>
        <v>Call Forth The Forgotten</v>
      </c>
      <c r="F134" t="str">
        <f t="shared" si="9"/>
        <v>RotesG</v>
      </c>
      <c r="G134" t="str">
        <f>VLOOKUP(F134,тех!$A:$E,4,0)</f>
        <v xml:space="preserve"> General</v>
      </c>
      <c r="H134" t="str">
        <f>IF(VLOOKUP(F134,тех!$A:$E,2,0)="broken","broken",VLOOKUP(F134,тех!$A:$E,5,0))</f>
        <v>Tradition</v>
      </c>
      <c r="I134" s="9" t="str">
        <f>IF(VLOOKUP(F134,тех!$A:$E,2,0)="broken",CONCATENATE("- [",E134,"](",F134,")",G134),VLOOKUP(F134,тех!$A:$E,2,0)&amp;E134&amp;"]]"&amp;G134)</f>
        <v>- [[Rotes in groups#RotesG (General)|Call Forth The Forgotten]] General</v>
      </c>
    </row>
    <row r="135" spans="1:9" x14ac:dyDescent="0.3">
      <c r="A135">
        <f t="shared" si="10"/>
        <v>2</v>
      </c>
      <c r="B135" t="s">
        <v>30</v>
      </c>
      <c r="C135" t="s">
        <v>429</v>
      </c>
      <c r="D135" s="9" t="s">
        <v>304</v>
      </c>
      <c r="E135" t="str">
        <f t="shared" si="8"/>
        <v>Chaos Butterfly</v>
      </c>
      <c r="F135" t="str">
        <f t="shared" si="9"/>
        <v>RotesOOH</v>
      </c>
      <c r="G135" t="str">
        <f>VLOOKUP(F135,тех!$A:$E,4,0)</f>
        <v xml:space="preserve"> Order of Hermes</v>
      </c>
      <c r="H135" t="str">
        <f>IF(VLOOKUP(F135,тех!$A:$E,2,0)="broken","broken",VLOOKUP(F135,тех!$A:$E,5,0))</f>
        <v>Tradition</v>
      </c>
      <c r="I135" s="9" t="str">
        <f>IF(VLOOKUP(F135,тех!$A:$E,2,0)="broken",CONCATENATE("- [",E135,"](",F135,")",G135),VLOOKUP(F135,тех!$A:$E,2,0)&amp;E135&amp;"]]"&amp;G135)</f>
        <v>- [[Rotes in groups#RotesOOH (Order of Hermes)|Chaos Butterfly]] Order of Hermes</v>
      </c>
    </row>
    <row r="136" spans="1:9" x14ac:dyDescent="0.3">
      <c r="A136">
        <f t="shared" si="10"/>
        <v>2</v>
      </c>
      <c r="B136" t="s">
        <v>30</v>
      </c>
      <c r="C136" t="s">
        <v>429</v>
      </c>
      <c r="D136" s="9" t="s">
        <v>305</v>
      </c>
      <c r="E136" t="str">
        <f t="shared" si="8"/>
        <v>Destructive Paranoia</v>
      </c>
      <c r="F136" t="str">
        <f t="shared" si="9"/>
        <v>RotesNWO</v>
      </c>
      <c r="G136" t="str">
        <f>VLOOKUP(F136,тех!$A:$E,4,0)</f>
        <v xml:space="preserve"> 🔋 New World Order</v>
      </c>
      <c r="H136" t="str">
        <f>IF(VLOOKUP(F136,тех!$A:$E,2,0)="broken","broken",VLOOKUP(F136,тех!$A:$E,5,0))</f>
        <v>Techocrathy</v>
      </c>
      <c r="I136" s="9" t="str">
        <f>IF(VLOOKUP(F136,тех!$A:$E,2,0)="broken",CONCATENATE("- [",E136,"](",F136,")",G136),VLOOKUP(F136,тех!$A:$E,2,0)&amp;E136&amp;"]]"&amp;G136)</f>
        <v>- [[Rotes in groups#RotesNWO (New world order)|Destructive Paranoia]] 🔋 New World Order</v>
      </c>
    </row>
    <row r="137" spans="1:9" x14ac:dyDescent="0.3">
      <c r="A137">
        <f t="shared" si="10"/>
        <v>1</v>
      </c>
      <c r="B137" t="s">
        <v>30</v>
      </c>
      <c r="C137" t="s">
        <v>429</v>
      </c>
      <c r="D137" s="9" t="s">
        <v>306</v>
      </c>
      <c r="E137" t="str">
        <f t="shared" si="8"/>
        <v>Disintegrator</v>
      </c>
      <c r="F137" t="str">
        <f t="shared" si="9"/>
        <v>RotesVoE</v>
      </c>
      <c r="G137" t="str">
        <f>VLOOKUP(F137,тех!$A:$E,4,0)</f>
        <v xml:space="preserve"> 🔋 Void Engineers</v>
      </c>
      <c r="H137" t="str">
        <f>IF(VLOOKUP(F137,тех!$A:$E,2,0)="broken","broken",VLOOKUP(F137,тех!$A:$E,5,0))</f>
        <v>Techocrathy</v>
      </c>
      <c r="I137" s="9" t="str">
        <f>IF(VLOOKUP(F137,тех!$A:$E,2,0)="broken",CONCATENATE("- [",E137,"](",F137,")",G137),VLOOKUP(F137,тех!$A:$E,2,0)&amp;E137&amp;"]]"&amp;G137)</f>
        <v>- [[Rotes in groups#RotesVoE (Void Engineers)|Disintegrator]] 🔋 Void Engineers</v>
      </c>
    </row>
    <row r="138" spans="1:9" x14ac:dyDescent="0.3">
      <c r="A138">
        <f t="shared" si="10"/>
        <v>1</v>
      </c>
      <c r="B138" t="s">
        <v>30</v>
      </c>
      <c r="C138" t="s">
        <v>429</v>
      </c>
      <c r="D138" s="9" t="s">
        <v>307</v>
      </c>
      <c r="E138" t="str">
        <f t="shared" si="8"/>
        <v>Divert Prime Force</v>
      </c>
      <c r="F138" t="str">
        <f t="shared" si="9"/>
        <v>RotesVoE</v>
      </c>
      <c r="G138" t="str">
        <f>VLOOKUP(F138,тех!$A:$E,4,0)</f>
        <v xml:space="preserve"> 🔋 Void Engineers</v>
      </c>
      <c r="H138" t="str">
        <f>IF(VLOOKUP(F138,тех!$A:$E,2,0)="broken","broken",VLOOKUP(F138,тех!$A:$E,5,0))</f>
        <v>Techocrathy</v>
      </c>
      <c r="I138" s="9" t="str">
        <f>IF(VLOOKUP(F138,тех!$A:$E,2,0)="broken",CONCATENATE("- [",E138,"](",F138,")",G138),VLOOKUP(F138,тех!$A:$E,2,0)&amp;E138&amp;"]]"&amp;G138)</f>
        <v>- [[Rotes in groups#RotesVoE (Void Engineers)|Divert Prime Force]] 🔋 Void Engineers</v>
      </c>
    </row>
    <row r="139" spans="1:9" x14ac:dyDescent="0.3">
      <c r="A139">
        <f t="shared" si="10"/>
        <v>1</v>
      </c>
      <c r="B139" t="s">
        <v>30</v>
      </c>
      <c r="C139" t="s">
        <v>429</v>
      </c>
      <c r="D139" s="9" t="s">
        <v>308</v>
      </c>
      <c r="E139" t="str">
        <f t="shared" si="8"/>
        <v>Dragon Fist</v>
      </c>
      <c r="F139" t="str">
        <f t="shared" si="9"/>
        <v>RotesDo</v>
      </c>
      <c r="G139" t="str">
        <f>VLOOKUP(F139,тех!$A:$E,4,0)</f>
        <v xml:space="preserve"> Do (Akashic)</v>
      </c>
      <c r="H139" t="str">
        <f>IF(VLOOKUP(F139,тех!$A:$E,2,0)="broken","broken",VLOOKUP(F139,тех!$A:$E,5,0))</f>
        <v>broken</v>
      </c>
      <c r="I139" s="9" t="str">
        <f>IF(VLOOKUP(F139,тех!$A:$E,2,0)="broken",CONCATENATE("- [",E139,"](",F139,")",G139),VLOOKUP(F139,тех!$A:$E,2,0)&amp;E139&amp;"]]"&amp;G139)</f>
        <v>- [Dragon Fist](RotesDo) Do (Akashic)</v>
      </c>
    </row>
    <row r="140" spans="1:9" x14ac:dyDescent="0.3">
      <c r="A140">
        <f t="shared" si="10"/>
        <v>1</v>
      </c>
      <c r="B140" t="s">
        <v>30</v>
      </c>
      <c r="C140" t="s">
        <v>429</v>
      </c>
      <c r="D140" s="9" t="s">
        <v>309</v>
      </c>
      <c r="E140" t="str">
        <f t="shared" si="8"/>
        <v>Emit Beam-Ray</v>
      </c>
      <c r="F140" t="str">
        <f t="shared" si="9"/>
        <v>RotesIX</v>
      </c>
      <c r="G140" t="str">
        <f>VLOOKUP(F140,тех!$A:$E,4,0)</f>
        <v xml:space="preserve"> 🔋 Iteration X</v>
      </c>
      <c r="H140" t="str">
        <f>IF(VLOOKUP(F140,тех!$A:$E,2,0)="broken","broken",VLOOKUP(F140,тех!$A:$E,5,0))</f>
        <v>Techocrathy</v>
      </c>
      <c r="I140" s="9" t="str">
        <f>IF(VLOOKUP(F140,тех!$A:$E,2,0)="broken",CONCATENATE("- [",E140,"](",F140,")",G140),VLOOKUP(F140,тех!$A:$E,2,0)&amp;E140&amp;"]]"&amp;G140)</f>
        <v>- [[Rotes in groups#RotesIX (Iteration X)|Emit Beam-Ray]] 🔋 Iteration X</v>
      </c>
    </row>
    <row r="141" spans="1:9" x14ac:dyDescent="0.3">
      <c r="A141">
        <f t="shared" si="10"/>
        <v>1</v>
      </c>
      <c r="B141" t="s">
        <v>30</v>
      </c>
      <c r="C141" t="s">
        <v>429</v>
      </c>
      <c r="D141" s="9" t="s">
        <v>310</v>
      </c>
      <c r="E141" t="str">
        <f t="shared" si="8"/>
        <v>Enchant Weapon</v>
      </c>
      <c r="F141" t="str">
        <f t="shared" si="9"/>
        <v>RotesSP</v>
      </c>
      <c r="G141" t="str">
        <f>VLOOKUP(F141,тех!$A:$E,4,0)</f>
        <v xml:space="preserve"> Sphere-rote</v>
      </c>
      <c r="H141" t="str">
        <f>IF(VLOOKUP(F141,тех!$A:$E,2,0)="broken","broken",VLOOKUP(F141,тех!$A:$E,5,0))</f>
        <v>Sphere rote</v>
      </c>
      <c r="I141" s="9" t="str">
        <f>IF(VLOOKUP(F141,тех!$A:$E,2,0)="broken",CONCATENATE("- [",E141,"](",F141,")",G141),VLOOKUP(F141,тех!$A:$E,2,0)&amp;E141&amp;"]]"&amp;G141)</f>
        <v>- [[Rotes in sphere#RotesSP (Prime effects)|Enchant Weapon]] Sphere-rote</v>
      </c>
    </row>
    <row r="142" spans="1:9" x14ac:dyDescent="0.3">
      <c r="A142">
        <f t="shared" si="10"/>
        <v>1</v>
      </c>
      <c r="B142" t="s">
        <v>30</v>
      </c>
      <c r="C142" t="s">
        <v>429</v>
      </c>
      <c r="D142" s="9" t="s">
        <v>311</v>
      </c>
      <c r="E142" t="str">
        <f t="shared" si="8"/>
        <v>Enhance Drugs</v>
      </c>
      <c r="F142" t="str">
        <f t="shared" si="9"/>
        <v>RotesPr</v>
      </c>
      <c r="G142" t="str">
        <f>VLOOKUP(F142,тех!$A:$E,4,0)</f>
        <v xml:space="preserve"> 🔋 Progenitors</v>
      </c>
      <c r="H142" t="str">
        <f>IF(VLOOKUP(F142,тех!$A:$E,2,0)="broken","broken",VLOOKUP(F142,тех!$A:$E,5,0))</f>
        <v>Techocrathy</v>
      </c>
      <c r="I142" s="9" t="str">
        <f>IF(VLOOKUP(F142,тех!$A:$E,2,0)="broken",CONCATENATE("- [",E142,"](",F142,")",G142),VLOOKUP(F142,тех!$A:$E,2,0)&amp;E142&amp;"]]"&amp;G142)</f>
        <v>- [[Rotes in groups#RotesPr (Progenitors)|Enhance Drugs]] 🔋 Progenitors</v>
      </c>
    </row>
    <row r="143" spans="1:9" x14ac:dyDescent="0.3">
      <c r="A143">
        <f t="shared" si="10"/>
        <v>1</v>
      </c>
      <c r="B143" t="s">
        <v>30</v>
      </c>
      <c r="C143" t="s">
        <v>429</v>
      </c>
      <c r="D143" s="9" t="s">
        <v>312</v>
      </c>
      <c r="E143" t="str">
        <f t="shared" si="8"/>
        <v>Footbind</v>
      </c>
      <c r="F143" t="str">
        <f t="shared" si="9"/>
        <v>RotesWK</v>
      </c>
      <c r="G143" t="str">
        <f>VLOOKUP(F143,тех!$A:$E,4,0)</f>
        <v xml:space="preserve"> Wu Keng</v>
      </c>
      <c r="H143" t="str">
        <f>IF(VLOOKUP(F143,тех!$A:$E,2,0)="broken","broken",VLOOKUP(F143,тех!$A:$E,5,0))</f>
        <v>Craft</v>
      </c>
      <c r="I143" s="9" t="str">
        <f>IF(VLOOKUP(F143,тех!$A:$E,2,0)="broken",CONCATENATE("- [",E143,"](",F143,")",G143),VLOOKUP(F143,тех!$A:$E,2,0)&amp;E143&amp;"]]"&amp;G143)</f>
        <v>- [[Rotes in groups#RotesWK (Wu-Keng)|Footbind]] Wu Keng</v>
      </c>
    </row>
    <row r="144" spans="1:9" x14ac:dyDescent="0.3">
      <c r="A144">
        <f t="shared" si="10"/>
        <v>2</v>
      </c>
      <c r="B144" t="s">
        <v>30</v>
      </c>
      <c r="C144" t="s">
        <v>429</v>
      </c>
      <c r="D144" s="9" t="s">
        <v>313</v>
      </c>
      <c r="E144" t="str">
        <f t="shared" si="8"/>
        <v>Gabriel's Embrace</v>
      </c>
      <c r="F144" t="str">
        <f t="shared" si="9"/>
        <v>RotesOOH</v>
      </c>
      <c r="G144" t="str">
        <f>VLOOKUP(F144,тех!$A:$E,4,0)</f>
        <v xml:space="preserve"> Order of Hermes</v>
      </c>
      <c r="H144" t="str">
        <f>IF(VLOOKUP(F144,тех!$A:$E,2,0)="broken","broken",VLOOKUP(F144,тех!$A:$E,5,0))</f>
        <v>Tradition</v>
      </c>
      <c r="I144" s="9" t="str">
        <f>IF(VLOOKUP(F144,тех!$A:$E,2,0)="broken",CONCATENATE("- [",E144,"](",F144,")",G144),VLOOKUP(F144,тех!$A:$E,2,0)&amp;E144&amp;"]]"&amp;G144)</f>
        <v>- [[Rotes in groups#RotesOOH (Order of Hermes)|Gabriel's Embrace]] Order of Hermes</v>
      </c>
    </row>
    <row r="145" spans="1:9" x14ac:dyDescent="0.3">
      <c r="A145">
        <f t="shared" si="10"/>
        <v>1</v>
      </c>
      <c r="B145" t="s">
        <v>30</v>
      </c>
      <c r="C145" t="s">
        <v>429</v>
      </c>
      <c r="D145" s="9" t="s">
        <v>314</v>
      </c>
      <c r="E145" t="str">
        <f t="shared" si="8"/>
        <v>Gateway Transport</v>
      </c>
      <c r="F145" t="str">
        <f t="shared" si="9"/>
        <v>RotesVoE</v>
      </c>
      <c r="G145" t="str">
        <f>VLOOKUP(F145,тех!$A:$E,4,0)</f>
        <v xml:space="preserve"> 🔋 Void Engineers</v>
      </c>
      <c r="H145" t="str">
        <f>IF(VLOOKUP(F145,тех!$A:$E,2,0)="broken","broken",VLOOKUP(F145,тех!$A:$E,5,0))</f>
        <v>Techocrathy</v>
      </c>
      <c r="I145" s="9" t="str">
        <f>IF(VLOOKUP(F145,тех!$A:$E,2,0)="broken",CONCATENATE("- [",E145,"](",F145,")",G145),VLOOKUP(F145,тех!$A:$E,2,0)&amp;E145&amp;"]]"&amp;G145)</f>
        <v>- [[Rotes in groups#RotesVoE (Void Engineers)|Gateway Transport]] 🔋 Void Engineers</v>
      </c>
    </row>
    <row r="146" spans="1:9" x14ac:dyDescent="0.3">
      <c r="A146">
        <f t="shared" si="10"/>
        <v>1</v>
      </c>
      <c r="B146" t="s">
        <v>30</v>
      </c>
      <c r="C146" t="s">
        <v>429</v>
      </c>
      <c r="D146" s="9" t="s">
        <v>315</v>
      </c>
      <c r="E146" t="str">
        <f t="shared" si="8"/>
        <v>Green Thumb</v>
      </c>
      <c r="F146" t="str">
        <f t="shared" si="9"/>
        <v>RotesSiOH</v>
      </c>
      <c r="G146" t="str">
        <f>VLOOKUP(F146,тех!$A:$E,4,0)</f>
        <v xml:space="preserve"> Sisters of Hippolyta</v>
      </c>
      <c r="H146" t="str">
        <f>IF(VLOOKUP(F146,тех!$A:$E,2,0)="broken","broken",VLOOKUP(F146,тех!$A:$E,5,0))</f>
        <v>Craft</v>
      </c>
      <c r="I146" s="9" t="str">
        <f>IF(VLOOKUP(F146,тех!$A:$E,2,0)="broken",CONCATENATE("- [",E146,"](",F146,")",G146),VLOOKUP(F146,тех!$A:$E,2,0)&amp;E146&amp;"]]"&amp;G146)</f>
        <v>- [[Rotes in groups#RotesSiOH (Sisters of Hippolyta)|Green Thumb]] Sisters of Hippolyta</v>
      </c>
    </row>
    <row r="147" spans="1:9" x14ac:dyDescent="0.3">
      <c r="A147">
        <f t="shared" si="10"/>
        <v>2</v>
      </c>
      <c r="B147" t="s">
        <v>30</v>
      </c>
      <c r="C147" t="s">
        <v>429</v>
      </c>
      <c r="D147" s="9" t="s">
        <v>316</v>
      </c>
      <c r="E147" t="str">
        <f t="shared" si="8"/>
        <v>Hermes Brand</v>
      </c>
      <c r="F147" t="str">
        <f t="shared" si="9"/>
        <v>RotesOOH</v>
      </c>
      <c r="G147" t="str">
        <f>VLOOKUP(F147,тех!$A:$E,4,0)</f>
        <v xml:space="preserve"> Order of Hermes</v>
      </c>
      <c r="H147" t="str">
        <f>IF(VLOOKUP(F147,тех!$A:$E,2,0)="broken","broken",VLOOKUP(F147,тех!$A:$E,5,0))</f>
        <v>Tradition</v>
      </c>
      <c r="I147" s="9" t="str">
        <f>IF(VLOOKUP(F147,тех!$A:$E,2,0)="broken",CONCATENATE("- [",E147,"](",F147,")",G147),VLOOKUP(F147,тех!$A:$E,2,0)&amp;E147&amp;"]]"&amp;G147)</f>
        <v>- [[Rotes in groups#RotesOOH (Order of Hermes)|Hermes Brand]] Order of Hermes</v>
      </c>
    </row>
    <row r="148" spans="1:9" x14ac:dyDescent="0.3">
      <c r="A148">
        <f t="shared" si="10"/>
        <v>1</v>
      </c>
      <c r="B148" t="s">
        <v>30</v>
      </c>
      <c r="C148" t="s">
        <v>429</v>
      </c>
      <c r="D148" s="9" t="s">
        <v>317</v>
      </c>
      <c r="E148" t="str">
        <f t="shared" si="8"/>
        <v>Holdout Weapon</v>
      </c>
      <c r="F148" t="str">
        <f t="shared" si="9"/>
        <v>RotesNWO</v>
      </c>
      <c r="G148" t="str">
        <f>VLOOKUP(F148,тех!$A:$E,4,0)</f>
        <v xml:space="preserve"> 🔋 New World Order</v>
      </c>
      <c r="H148" t="str">
        <f>IF(VLOOKUP(F148,тех!$A:$E,2,0)="broken","broken",VLOOKUP(F148,тех!$A:$E,5,0))</f>
        <v>Techocrathy</v>
      </c>
      <c r="I148" s="9" t="str">
        <f>IF(VLOOKUP(F148,тех!$A:$E,2,0)="broken",CONCATENATE("- [",E148,"](",F148,")",G148),VLOOKUP(F148,тех!$A:$E,2,0)&amp;E148&amp;"]]"&amp;G148)</f>
        <v>- [[Rotes in groups#RotesNWO (New world order)|Holdout Weapon]] 🔋 New World Order</v>
      </c>
    </row>
    <row r="149" spans="1:9" x14ac:dyDescent="0.3">
      <c r="A149">
        <f t="shared" si="10"/>
        <v>1</v>
      </c>
      <c r="B149" t="s">
        <v>378</v>
      </c>
      <c r="C149" t="s">
        <v>428</v>
      </c>
      <c r="E149" s="10" t="s">
        <v>410</v>
      </c>
      <c r="F149" t="s">
        <v>44</v>
      </c>
      <c r="G149" t="str">
        <f>VLOOKUP(F149,тех!$A:$E,4,0)</f>
        <v xml:space="preserve"> Sphere-rote</v>
      </c>
      <c r="H149" t="str">
        <f>IF(VLOOKUP(F149,тех!$A:$E,2,0)="broken","broken",VLOOKUP(F149,тех!$A:$E,5,0))</f>
        <v>Sphere rote</v>
      </c>
      <c r="I149" s="9" t="str">
        <f>IF(VLOOKUP(F149,тех!$A:$E,2,0)="broken",CONCATENATE("- [",E149,"](",F149,")",G149),VLOOKUP(F149,тех!$A:$E,2,0)&amp;E149&amp;"]]"&amp;G149)</f>
        <v>- [[Rotes in sphere#RotesST (Time effects)|Perfect Time]] Sphere-rote</v>
      </c>
    </row>
    <row r="150" spans="1:9" x14ac:dyDescent="0.3">
      <c r="A150">
        <f t="shared" si="10"/>
        <v>1</v>
      </c>
      <c r="B150" t="s">
        <v>378</v>
      </c>
      <c r="C150" t="s">
        <v>428</v>
      </c>
      <c r="E150" s="10" t="s">
        <v>411</v>
      </c>
      <c r="F150" t="s">
        <v>44</v>
      </c>
      <c r="G150" t="str">
        <f>VLOOKUP(F150,тех!$A:$E,4,0)</f>
        <v xml:space="preserve"> Sphere-rote</v>
      </c>
      <c r="H150" t="str">
        <f>IF(VLOOKUP(F150,тех!$A:$E,2,0)="broken","broken",VLOOKUP(F150,тех!$A:$E,5,0))</f>
        <v>Sphere rote</v>
      </c>
      <c r="I150" s="9" t="str">
        <f>IF(VLOOKUP(F150,тех!$A:$E,2,0)="broken",CONCATENATE("- [",E150,"](",F150,")",G150),VLOOKUP(F150,тех!$A:$E,2,0)&amp;E150&amp;"]]"&amp;G150)</f>
        <v>- [[Rotes in sphere#RotesST (Time effects)|Time Sense]] Sphere-rote</v>
      </c>
    </row>
    <row r="151" spans="1:9" x14ac:dyDescent="0.3">
      <c r="A151">
        <f t="shared" si="10"/>
        <v>1</v>
      </c>
      <c r="B151" t="s">
        <v>378</v>
      </c>
      <c r="C151" t="s">
        <v>428</v>
      </c>
      <c r="E151" s="10" t="s">
        <v>412</v>
      </c>
      <c r="F151" t="s">
        <v>63</v>
      </c>
      <c r="G151" t="str">
        <f>VLOOKUP(F151,тех!$A:$E,4,0)</f>
        <v xml:space="preserve"> 🔋 Iteration X</v>
      </c>
      <c r="H151" t="str">
        <f>IF(VLOOKUP(F151,тех!$A:$E,2,0)="broken","broken",VLOOKUP(F151,тех!$A:$E,5,0))</f>
        <v>Techocrathy</v>
      </c>
      <c r="I151" s="9" t="str">
        <f>IF(VLOOKUP(F151,тех!$A:$E,2,0)="broken",CONCATENATE("- [",E151,"](",F151,")",G151),VLOOKUP(F151,тех!$A:$E,2,0)&amp;E151&amp;"]]"&amp;G151)</f>
        <v>- [[Rotes in groups#RotesIX (Iteration X)|Rigid Schedule]] 🔋 Iteration X</v>
      </c>
    </row>
    <row r="152" spans="1:9" x14ac:dyDescent="0.3">
      <c r="A152">
        <f t="shared" si="10"/>
        <v>2</v>
      </c>
      <c r="B152" t="s">
        <v>378</v>
      </c>
      <c r="C152" t="s">
        <v>428</v>
      </c>
      <c r="E152" s="10" t="s">
        <v>388</v>
      </c>
      <c r="F152" t="s">
        <v>63</v>
      </c>
      <c r="G152" t="str">
        <f>VLOOKUP(F152,тех!$A:$E,4,0)</f>
        <v xml:space="preserve"> 🔋 Iteration X</v>
      </c>
      <c r="H152" t="str">
        <f>IF(VLOOKUP(F152,тех!$A:$E,2,0)="broken","broken",VLOOKUP(F152,тех!$A:$E,5,0))</f>
        <v>Techocrathy</v>
      </c>
      <c r="I152" s="9" t="str">
        <f>IF(VLOOKUP(F152,тех!$A:$E,2,0)="broken",CONCATENATE("- [",E152,"](",F152,")",G152),VLOOKUP(F152,тех!$A:$E,2,0)&amp;E152&amp;"]]"&amp;G152)</f>
        <v>- [[Rotes in groups#RotesIX (Iteration X)|Time-Motion Study]] 🔋 Iteration X</v>
      </c>
    </row>
    <row r="153" spans="1:9" x14ac:dyDescent="0.3">
      <c r="A153">
        <f t="shared" si="10"/>
        <v>1</v>
      </c>
      <c r="B153" t="s">
        <v>378</v>
      </c>
      <c r="C153" t="s">
        <v>428</v>
      </c>
      <c r="E153" s="10" t="s">
        <v>413</v>
      </c>
      <c r="F153" t="s">
        <v>66</v>
      </c>
      <c r="G153" t="str">
        <f>VLOOKUP(F153,тех!$A:$E,4,0)</f>
        <v xml:space="preserve"> 🔋 New World Order</v>
      </c>
      <c r="H153" t="str">
        <f>IF(VLOOKUP(F153,тех!$A:$E,2,0)="broken","broken",VLOOKUP(F153,тех!$A:$E,5,0))</f>
        <v>Techocrathy</v>
      </c>
      <c r="I153" s="9" t="str">
        <f>IF(VLOOKUP(F153,тех!$A:$E,2,0)="broken",CONCATENATE("- [",E153,"](",F153,")",G153),VLOOKUP(F153,тех!$A:$E,2,0)&amp;E153&amp;"]]"&amp;G153)</f>
        <v>- [[Rotes in groups#RotesNWO (New world order)|Synchronize Watches]] 🔋 New World Order</v>
      </c>
    </row>
    <row r="154" spans="1:9" x14ac:dyDescent="0.3">
      <c r="A154">
        <f t="shared" si="10"/>
        <v>1</v>
      </c>
      <c r="B154" t="s">
        <v>378</v>
      </c>
      <c r="C154" t="s">
        <v>428</v>
      </c>
      <c r="E154" s="10" t="s">
        <v>414</v>
      </c>
      <c r="F154" t="s">
        <v>83</v>
      </c>
      <c r="G154" t="str">
        <f>VLOOKUP(F154,тех!$A:$E,4,0)</f>
        <v xml:space="preserve"> 🔋 Void Engineers</v>
      </c>
      <c r="H154" t="str">
        <f>IF(VLOOKUP(F154,тех!$A:$E,2,0)="broken","broken",VLOOKUP(F154,тех!$A:$E,5,0))</f>
        <v>Techocrathy</v>
      </c>
      <c r="I154" s="9" t="str">
        <f>IF(VLOOKUP(F154,тех!$A:$E,2,0)="broken",CONCATENATE("- [",E154,"](",F154,")",G154),VLOOKUP(F154,тех!$A:$E,2,0)&amp;E154&amp;"]]"&amp;G154)</f>
        <v>- [[Rotes in groups#RotesVoE (Void Engineers)|Evaluate Fourth Dimensional Fabric]] 🔋 Void Engineers</v>
      </c>
    </row>
    <row r="155" spans="1:9" x14ac:dyDescent="0.3">
      <c r="A155">
        <f t="shared" si="10"/>
        <v>2</v>
      </c>
      <c r="B155" t="s">
        <v>378</v>
      </c>
      <c r="C155" t="s">
        <v>429</v>
      </c>
      <c r="E155" s="10" t="s">
        <v>415</v>
      </c>
      <c r="F155" t="s">
        <v>2</v>
      </c>
      <c r="G155" t="str">
        <f>VLOOKUP(F155,тех!$A:$E,4,0)</f>
        <v xml:space="preserve"> Sphere-rote</v>
      </c>
      <c r="H155" t="str">
        <f>IF(VLOOKUP(F155,тех!$A:$E,2,0)="broken","broken",VLOOKUP(F155,тех!$A:$E,5,0))</f>
        <v>Sphere rote</v>
      </c>
      <c r="I155" s="9" t="str">
        <f>IF(VLOOKUP(F155,тех!$A:$E,2,0)="broken",CONCATENATE("- [",E155,"](",F155,")",G155),VLOOKUP(F155,тех!$A:$E,2,0)&amp;E155&amp;"]]"&amp;G155)</f>
        <v>- [[Rotes in sphere#RotesSE (Entropy effects)|Shed The Years]] Sphere-rote</v>
      </c>
    </row>
    <row r="156" spans="1:9" x14ac:dyDescent="0.3">
      <c r="A156">
        <f t="shared" si="10"/>
        <v>1</v>
      </c>
      <c r="B156" t="s">
        <v>378</v>
      </c>
      <c r="C156" t="s">
        <v>429</v>
      </c>
      <c r="E156" s="10" t="s">
        <v>416</v>
      </c>
      <c r="F156" t="s">
        <v>44</v>
      </c>
      <c r="G156" t="str">
        <f>VLOOKUP(F156,тех!$A:$E,4,0)</f>
        <v xml:space="preserve"> Sphere-rote</v>
      </c>
      <c r="H156" t="str">
        <f>IF(VLOOKUP(F156,тех!$A:$E,2,0)="broken","broken",VLOOKUP(F156,тех!$A:$E,5,0))</f>
        <v>Sphere rote</v>
      </c>
      <c r="I156" s="9" t="str">
        <f>IF(VLOOKUP(F156,тех!$A:$E,2,0)="broken",CONCATENATE("- [",E156,"](",F156,")",G156),VLOOKUP(F156,тех!$A:$E,2,0)&amp;E156&amp;"]]"&amp;G156)</f>
        <v>- [[Rotes in sphere#RotesST (Time effects)|Divinations]] Sphere-rote</v>
      </c>
    </row>
    <row r="157" spans="1:9" x14ac:dyDescent="0.3">
      <c r="A157">
        <f t="shared" si="10"/>
        <v>1</v>
      </c>
      <c r="B157" t="s">
        <v>378</v>
      </c>
      <c r="C157" t="s">
        <v>429</v>
      </c>
      <c r="E157" s="10" t="s">
        <v>417</v>
      </c>
      <c r="F157" t="s">
        <v>44</v>
      </c>
      <c r="G157" t="str">
        <f>VLOOKUP(F157,тех!$A:$E,4,0)</f>
        <v xml:space="preserve"> Sphere-rote</v>
      </c>
      <c r="H157" t="str">
        <f>IF(VLOOKUP(F157,тех!$A:$E,2,0)="broken","broken",VLOOKUP(F157,тех!$A:$E,5,0))</f>
        <v>Sphere rote</v>
      </c>
      <c r="I157" s="9" t="str">
        <f>IF(VLOOKUP(F157,тех!$A:$E,2,0)="broken",CONCATENATE("- [",E157,"](",F157,")",G157),VLOOKUP(F157,тех!$A:$E,2,0)&amp;E157&amp;"]]"&amp;G157)</f>
        <v>- [[Rotes in sphere#RotesST (Time effects)|Time Wards]] Sphere-rote</v>
      </c>
    </row>
    <row r="158" spans="1:9" x14ac:dyDescent="0.3">
      <c r="A158">
        <f t="shared" si="10"/>
        <v>3</v>
      </c>
      <c r="B158" t="s">
        <v>378</v>
      </c>
      <c r="C158" t="s">
        <v>429</v>
      </c>
      <c r="E158" s="10" t="s">
        <v>282</v>
      </c>
      <c r="F158" t="s">
        <v>49</v>
      </c>
      <c r="G158" t="str">
        <f>VLOOKUP(F158,тех!$A:$E,4,0)</f>
        <v xml:space="preserve"> Cult of Ecstasy</v>
      </c>
      <c r="H158" t="str">
        <f>IF(VLOOKUP(F158,тех!$A:$E,2,0)="broken","broken",VLOOKUP(F158,тех!$A:$E,5,0))</f>
        <v>broken</v>
      </c>
      <c r="I158" s="9" t="str">
        <f>IF(VLOOKUP(F158,тех!$A:$E,2,0)="broken",CONCATENATE("- [",E158,"](",F158,")",G158),VLOOKUP(F158,тех!$A:$E,2,0)&amp;E158&amp;"]]"&amp;G158)</f>
        <v>- [Trip, The](RotesCuOE) Cult of Ecstasy</v>
      </c>
    </row>
    <row r="159" spans="1:9" x14ac:dyDescent="0.3">
      <c r="A159">
        <f t="shared" si="10"/>
        <v>2</v>
      </c>
      <c r="B159" t="s">
        <v>378</v>
      </c>
      <c r="C159" t="s">
        <v>429</v>
      </c>
      <c r="E159" s="10" t="s">
        <v>418</v>
      </c>
      <c r="F159" t="s">
        <v>57</v>
      </c>
      <c r="G159" t="str">
        <f>VLOOKUP(F159,тех!$A:$E,4,0)</f>
        <v xml:space="preserve"> General</v>
      </c>
      <c r="H159" t="str">
        <f>IF(VLOOKUP(F159,тех!$A:$E,2,0)="broken","broken",VLOOKUP(F159,тех!$A:$E,5,0))</f>
        <v>Tradition</v>
      </c>
      <c r="I159" s="9" t="str">
        <f>IF(VLOOKUP(F159,тех!$A:$E,2,0)="broken",CONCATENATE("- [",E159,"](",F159,")",G159),VLOOKUP(F159,тех!$A:$E,2,0)&amp;E159&amp;"]]"&amp;G159)</f>
        <v>- [[Rotes in groups#RotesG (General)|Song Of Orpheus]] General</v>
      </c>
    </row>
    <row r="160" spans="1:9" x14ac:dyDescent="0.3">
      <c r="A160">
        <f t="shared" si="10"/>
        <v>2</v>
      </c>
      <c r="B160" t="s">
        <v>378</v>
      </c>
      <c r="C160" t="s">
        <v>429</v>
      </c>
      <c r="E160" s="10" t="s">
        <v>419</v>
      </c>
      <c r="F160" t="s">
        <v>60</v>
      </c>
      <c r="G160" t="str">
        <f>VLOOKUP(F160,тех!$A:$E,4,0)</f>
        <v xml:space="preserve"> Hollow Ones</v>
      </c>
      <c r="H160" t="str">
        <f>IF(VLOOKUP(F160,тех!$A:$E,2,0)="broken","broken",VLOOKUP(F160,тех!$A:$E,5,0))</f>
        <v>Tradition</v>
      </c>
      <c r="I160" s="9" t="str">
        <f>IF(VLOOKUP(F160,тех!$A:$E,2,0)="broken",CONCATENATE("- [",E160,"](",F160,")",G160),VLOOKUP(F160,тех!$A:$E,2,0)&amp;E160&amp;"]]"&amp;G160)</f>
        <v>- [[Rotes in groups#RotesHoO (Hollow Ones)|Penny Dreadful's Bright New Penny]] Hollow Ones</v>
      </c>
    </row>
    <row r="161" spans="1:9" x14ac:dyDescent="0.3">
      <c r="A161">
        <f t="shared" si="10"/>
        <v>1</v>
      </c>
      <c r="B161" t="s">
        <v>378</v>
      </c>
      <c r="C161" t="s">
        <v>429</v>
      </c>
      <c r="E161" s="10" t="s">
        <v>420</v>
      </c>
      <c r="F161" t="s">
        <v>63</v>
      </c>
      <c r="G161" t="str">
        <f>VLOOKUP(F161,тех!$A:$E,4,0)</f>
        <v xml:space="preserve"> 🔋 Iteration X</v>
      </c>
      <c r="H161" t="str">
        <f>IF(VLOOKUP(F161,тех!$A:$E,2,0)="broken","broken",VLOOKUP(F161,тех!$A:$E,5,0))</f>
        <v>Techocrathy</v>
      </c>
      <c r="I161" s="9" t="str">
        <f>IF(VLOOKUP(F161,тех!$A:$E,2,0)="broken",CONCATENATE("- [",E161,"](",F161,")",G161),VLOOKUP(F161,тех!$A:$E,2,0)&amp;E161&amp;"]]"&amp;G161)</f>
        <v>- [[Rotes in groups#RotesIX (Iteration X)|Planned Projection]] 🔋 Iteration X</v>
      </c>
    </row>
    <row r="162" spans="1:9" x14ac:dyDescent="0.3">
      <c r="A162">
        <f t="shared" ref="A162:A170" si="11">COUNTIF(E:E,E162)</f>
        <v>1</v>
      </c>
      <c r="B162" t="s">
        <v>378</v>
      </c>
      <c r="C162" t="s">
        <v>429</v>
      </c>
      <c r="E162" s="10" t="s">
        <v>421</v>
      </c>
      <c r="F162" t="s">
        <v>66</v>
      </c>
      <c r="G162" t="str">
        <f>VLOOKUP(F162,тех!$A:$E,4,0)</f>
        <v xml:space="preserve"> 🔋 New World Order</v>
      </c>
      <c r="H162" t="str">
        <f>IF(VLOOKUP(F162,тех!$A:$E,2,0)="broken","broken",VLOOKUP(F162,тех!$A:$E,5,0))</f>
        <v>Techocrathy</v>
      </c>
      <c r="I162" s="9" t="str">
        <f>IF(VLOOKUP(F162,тех!$A:$E,2,0)="broken",CONCATENATE("- [",E162,"](",F162,")",G162),VLOOKUP(F162,тех!$A:$E,2,0)&amp;E162&amp;"]]"&amp;G162)</f>
        <v>- [[Rotes in groups#RotesNWO (New world order)|Hail Of Bullets]] 🔋 New World Order</v>
      </c>
    </row>
    <row r="163" spans="1:9" x14ac:dyDescent="0.3">
      <c r="A163">
        <f t="shared" si="11"/>
        <v>2</v>
      </c>
      <c r="B163" t="s">
        <v>378</v>
      </c>
      <c r="C163" t="s">
        <v>429</v>
      </c>
      <c r="E163" s="10" t="s">
        <v>422</v>
      </c>
      <c r="F163" t="s">
        <v>77</v>
      </c>
      <c r="G163" t="str">
        <f>VLOOKUP(F163,тех!$A:$E,4,0)</f>
        <v xml:space="preserve"> 🔋 Syncidate</v>
      </c>
      <c r="H163" t="str">
        <f>IF(VLOOKUP(F163,тех!$A:$E,2,0)="broken","broken",VLOOKUP(F163,тех!$A:$E,5,0))</f>
        <v>Techocrathy</v>
      </c>
      <c r="I163" s="9" t="str">
        <f>IF(VLOOKUP(F163,тех!$A:$E,2,0)="broken",CONCATENATE("- [",E163,"](",F163,")",G163),VLOOKUP(F163,тех!$A:$E,2,0)&amp;E163&amp;"]]"&amp;G163)</f>
        <v>- [[Rotes in groups#RotesSy (Syndicate)|PIN Drop]] 🔋 Syncidate</v>
      </c>
    </row>
    <row r="164" spans="1:9" x14ac:dyDescent="0.3">
      <c r="A164">
        <f t="shared" si="11"/>
        <v>3</v>
      </c>
      <c r="B164" t="s">
        <v>378</v>
      </c>
      <c r="C164" t="s">
        <v>429</v>
      </c>
      <c r="E164" s="10" t="s">
        <v>404</v>
      </c>
      <c r="F164" t="s">
        <v>80</v>
      </c>
      <c r="G164" t="str">
        <f>VLOOKUP(F164,тех!$A:$E,4,0)</f>
        <v xml:space="preserve"> Templars</v>
      </c>
      <c r="H164" t="str">
        <f>IF(VLOOKUP(F164,тех!$A:$E,2,0)="broken","broken",VLOOKUP(F164,тех!$A:$E,5,0))</f>
        <v>Craft</v>
      </c>
      <c r="I164" s="9" t="str">
        <f>IF(VLOOKUP(F164,тех!$A:$E,2,0)="broken",CONCATENATE("- [",E164,"](",F164,")",G164),VLOOKUP(F164,тех!$A:$E,2,0)&amp;E164&amp;"]]"&amp;G164)</f>
        <v>- [[Rotes in groups#RotesTe (Templars)|Quo Vadis?]] Templars</v>
      </c>
    </row>
    <row r="165" spans="1:9" x14ac:dyDescent="0.3">
      <c r="A165">
        <f t="shared" si="11"/>
        <v>3</v>
      </c>
      <c r="B165" t="s">
        <v>378</v>
      </c>
      <c r="C165" t="s">
        <v>429</v>
      </c>
      <c r="E165" s="10" t="s">
        <v>406</v>
      </c>
      <c r="F165" t="s">
        <v>80</v>
      </c>
      <c r="G165" t="str">
        <f>VLOOKUP(F165,тех!$A:$E,4,0)</f>
        <v xml:space="preserve"> Templars</v>
      </c>
      <c r="H165" t="str">
        <f>IF(VLOOKUP(F165,тех!$A:$E,2,0)="broken","broken",VLOOKUP(F165,тех!$A:$E,5,0))</f>
        <v>Craft</v>
      </c>
      <c r="I165" s="9" t="str">
        <f>IF(VLOOKUP(F165,тех!$A:$E,2,0)="broken",CONCATENATE("- [",E165,"](",F165,")",G165),VLOOKUP(F165,тех!$A:$E,2,0)&amp;E165&amp;"]]"&amp;G165)</f>
        <v>- [[Rotes in groups#RotesTe (Templars)|Whither Goest Thou?]] Templars</v>
      </c>
    </row>
    <row r="166" spans="1:9" x14ac:dyDescent="0.3">
      <c r="A166">
        <f t="shared" si="11"/>
        <v>1</v>
      </c>
      <c r="B166" t="s">
        <v>378</v>
      </c>
      <c r="C166" t="s">
        <v>429</v>
      </c>
      <c r="E166" s="10" t="s">
        <v>423</v>
      </c>
      <c r="F166" t="s">
        <v>83</v>
      </c>
      <c r="G166" t="str">
        <f>VLOOKUP(F166,тех!$A:$E,4,0)</f>
        <v xml:space="preserve"> 🔋 Void Engineers</v>
      </c>
      <c r="H166" t="str">
        <f>IF(VLOOKUP(F166,тех!$A:$E,2,0)="broken","broken",VLOOKUP(F166,тех!$A:$E,5,0))</f>
        <v>Techocrathy</v>
      </c>
      <c r="I166" s="9" t="str">
        <f>IF(VLOOKUP(F166,тех!$A:$E,2,0)="broken",CONCATENATE("- [",E166,"](",F166,")",G166),VLOOKUP(F166,тех!$A:$E,2,0)&amp;E166&amp;"]]"&amp;G166)</f>
        <v>- [[Rotes in groups#RotesVoE (Void Engineers)|Manipulate Time Fragment]] 🔋 Void Engineers</v>
      </c>
    </row>
    <row r="167" spans="1:9" x14ac:dyDescent="0.3">
      <c r="A167">
        <f t="shared" si="11"/>
        <v>1</v>
      </c>
      <c r="B167" t="s">
        <v>378</v>
      </c>
      <c r="C167" t="s">
        <v>430</v>
      </c>
      <c r="E167" s="10" t="s">
        <v>424</v>
      </c>
      <c r="F167" t="s">
        <v>44</v>
      </c>
      <c r="G167" t="str">
        <f>VLOOKUP(F167,тех!$A:$E,4,0)</f>
        <v xml:space="preserve"> Sphere-rote</v>
      </c>
      <c r="H167" t="str">
        <f>IF(VLOOKUP(F167,тех!$A:$E,2,0)="broken","broken",VLOOKUP(F167,тех!$A:$E,5,0))</f>
        <v>Sphere rote</v>
      </c>
      <c r="I167" s="9" t="str">
        <f>IF(VLOOKUP(F167,тех!$A:$E,2,0)="broken",CONCATENATE("- [",E167,"](",F167,")",G167),VLOOKUP(F167,тех!$A:$E,2,0)&amp;E167&amp;"]]"&amp;G167)</f>
        <v>- [[Rotes in sphere#RotesST (Time effects)|Distort Time]] Sphere-rote</v>
      </c>
    </row>
    <row r="168" spans="1:9" x14ac:dyDescent="0.3">
      <c r="A168">
        <f t="shared" si="11"/>
        <v>1</v>
      </c>
      <c r="B168" t="s">
        <v>378</v>
      </c>
      <c r="C168" t="s">
        <v>430</v>
      </c>
      <c r="E168" s="10" t="s">
        <v>425</v>
      </c>
      <c r="F168" t="s">
        <v>44</v>
      </c>
      <c r="G168" t="str">
        <f>VLOOKUP(F168,тех!$A:$E,4,0)</f>
        <v xml:space="preserve"> Sphere-rote</v>
      </c>
      <c r="H168" t="str">
        <f>IF(VLOOKUP(F168,тех!$A:$E,2,0)="broken","broken",VLOOKUP(F168,тех!$A:$E,5,0))</f>
        <v>Sphere rote</v>
      </c>
      <c r="I168" s="9" t="str">
        <f>IF(VLOOKUP(F168,тех!$A:$E,2,0)="broken",CONCATENATE("- [",E168,"](",F168,")",G168),VLOOKUP(F168,тех!$A:$E,2,0)&amp;E168&amp;"]]"&amp;G168)</f>
        <v>- [[Rotes in sphere#RotesST (Time effects)|Time Warp]] Sphere-rote</v>
      </c>
    </row>
    <row r="169" spans="1:9" x14ac:dyDescent="0.3">
      <c r="A169">
        <f t="shared" si="11"/>
        <v>2</v>
      </c>
      <c r="B169" t="s">
        <v>378</v>
      </c>
      <c r="C169" t="s">
        <v>430</v>
      </c>
      <c r="E169" s="10" t="s">
        <v>426</v>
      </c>
      <c r="F169" t="s">
        <v>69</v>
      </c>
      <c r="G169" t="str">
        <f>VLOOKUP(F169,тех!$A:$E,4,0)</f>
        <v xml:space="preserve"> Order of Hermes</v>
      </c>
      <c r="H169" t="str">
        <f>IF(VLOOKUP(F169,тех!$A:$E,2,0)="broken","broken",VLOOKUP(F169,тех!$A:$E,5,0))</f>
        <v>Tradition</v>
      </c>
      <c r="I169" s="9" t="str">
        <f>IF(VLOOKUP(F169,тех!$A:$E,2,0)="broken",CONCATENATE("- [",E169,"](",F169,")",G169),VLOOKUP(F169,тех!$A:$E,2,0)&amp;E169&amp;"]]"&amp;G169)</f>
        <v>- [[Rotes in groups#RotesOOH (Order of Hermes)|Book Of Whispers]] Order of Hermes</v>
      </c>
    </row>
    <row r="170" spans="1:9" x14ac:dyDescent="0.3">
      <c r="A170">
        <f t="shared" si="11"/>
        <v>1</v>
      </c>
      <c r="B170" t="s">
        <v>378</v>
      </c>
      <c r="C170" t="s">
        <v>430</v>
      </c>
      <c r="E170" s="10" t="s">
        <v>427</v>
      </c>
      <c r="F170" t="s">
        <v>66</v>
      </c>
      <c r="G170" t="str">
        <f>VLOOKUP(F170,тех!$A:$E,4,0)</f>
        <v xml:space="preserve"> 🔋 New World Order</v>
      </c>
      <c r="H170" t="str">
        <f>IF(VLOOKUP(F170,тех!$A:$E,2,0)="broken","broken",VLOOKUP(F170,тех!$A:$E,5,0))</f>
        <v>Techocrathy</v>
      </c>
      <c r="I170" s="9" t="str">
        <f>IF(VLOOKUP(F170,тех!$A:$E,2,0)="broken",CONCATENATE("- [",E170,"](",F170,")",G170),VLOOKUP(F170,тех!$A:$E,2,0)&amp;E170&amp;"]]"&amp;G170)</f>
        <v>- [[Rotes in groups#RotesNWO (New world order)|Download Specialization]] 🔋 New World Order</v>
      </c>
    </row>
  </sheetData>
  <autoFilter ref="A1:I170"/>
  <conditionalFormatting sqref="F1:I1048576 A1:D1048576">
    <cfRule type="expression" dxfId="1" priority="2">
      <formula>$H1="sphere rote"</formula>
    </cfRule>
    <cfRule type="expression" dxfId="0" priority="3">
      <formula>$H1="broken"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связи</vt:lpstr>
      <vt:lpstr>энт</vt:lpstr>
      <vt:lpstr>время</vt:lpstr>
      <vt:lpstr>Лист3</vt:lpstr>
      <vt:lpstr>тех</vt:lpstr>
      <vt:lpstr>пивот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Головина Екатерина Владимировна</dc:creator>
  <cp:lastModifiedBy>Головина Екатерина Владимировна</cp:lastModifiedBy>
  <dcterms:created xsi:type="dcterms:W3CDTF">2024-04-09T13:18:00Z</dcterms:created>
  <dcterms:modified xsi:type="dcterms:W3CDTF">2024-04-12T07:35:12Z</dcterms:modified>
</cp:coreProperties>
</file>