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E:\Obsidian Circe\Rolling Vault\Exalted Solar Road\files\эксели\"/>
    </mc:Choice>
  </mc:AlternateContent>
  <xr:revisionPtr revIDLastSave="0" documentId="13_ncr:1_{E0D889EC-5BAA-4649-82A8-67ED2E2ADC92}" xr6:coauthVersionLast="47" xr6:coauthVersionMax="47" xr10:uidLastSave="{00000000-0000-0000-0000-000000000000}"/>
  <bookViews>
    <workbookView xWindow="0" yWindow="314" windowWidth="25370" windowHeight="13759" activeTab="3" xr2:uid="{466FD6C3-7A00-4CF3-B7FA-1CD977183CD6}"/>
  </bookViews>
  <sheets>
    <sheet name="timeline" sheetId="3" r:id="rId1"/>
    <sheet name="solar tabs" sheetId="2" r:id="rId2"/>
    <sheet name="Solarlist" sheetId="4" r:id="rId3"/>
    <sheet name="Siderial" sheetId="1" r:id="rId4"/>
    <sheet name="pearl" sheetId="5" r:id="rId5"/>
    <sheet name="Лист1" sheetId="6" state="hidden" r:id="rId6"/>
    <sheet name="trials" sheetId="7" r:id="rId7"/>
    <sheet name="Лист2" sheetId="8" r:id="rId8"/>
  </sheets>
  <externalReferences>
    <externalReference r:id="rId9"/>
    <externalReference r:id="rId10"/>
  </externalReferences>
  <definedNames>
    <definedName name="_xlnm._FilterDatabase" localSheetId="3" hidden="1">Siderial!$A$1:$T$506</definedName>
    <definedName name="_xlnm._FilterDatabase" localSheetId="1" hidden="1">'solar tabs'!$AD$4:$AF$29</definedName>
    <definedName name="_xlnm._FilterDatabase" localSheetId="2" hidden="1">Solarlist!$A$1:$P$888</definedName>
    <definedName name="_xlnm._FilterDatabase" localSheetId="6" hidden="1">trials!$A$1:$P$47</definedName>
    <definedName name="_xlnm._FilterDatabase" localSheetId="5" hidden="1">Лист1!$A$1:$F$15601</definedName>
    <definedName name="AbilityList">[1]Math!$A$48:$A$98</definedName>
    <definedName name="AbilityListNoAttributes">[1]Math!$A$48:$A$79</definedName>
    <definedName name="AbilityRating">[1]Math!$D$48:$D$98</definedName>
    <definedName name="AbilityStatus">[1]Math!$B$105:$B$129</definedName>
    <definedName name="AbilityTypeFinal">[1]Math!$J$36:$J$39</definedName>
    <definedName name="AbilityTypeSplat">[1]Math!$N$47:$N$63</definedName>
    <definedName name="AbilityTypeTable">[1]Math!$O$47:$Q$63</definedName>
    <definedName name="AltChargen">[1]Character!$U$2</definedName>
    <definedName name="Anima">[1]Data!$D$11:$D$14</definedName>
    <definedName name="ArmorStats">[1]Data!$O$21:$S$27</definedName>
    <definedName name="ArmorTags">[1]Data!$M$6:$M$10</definedName>
    <definedName name="ArmorTypes">[1]Data!$L$2:$M$4</definedName>
    <definedName name="AttributeDexterity">[1]Math!$D$86</definedName>
    <definedName name="AttributePerception">[1]Math!$D$91</definedName>
    <definedName name="AttributeStamina">[1]Math!$D$87</definedName>
    <definedName name="AttributeStrength">[1]Math!$D$85</definedName>
    <definedName name="AttributeTypeFinal">[1]Math!$K$36:$K$38</definedName>
    <definedName name="AttributeTypeSplat">[1]Math!$K$27:$N$27</definedName>
    <definedName name="AttributeTypeTable">[1]Math!$K$28:$N$31</definedName>
    <definedName name="AttributeWits">[1]Math!$D$93</definedName>
    <definedName name="BGDrillType">[1]Data!$Q$37:$Q$39</definedName>
    <definedName name="BGMightAttack">[1]Data!$R$41:$R$44</definedName>
    <definedName name="BGMightDamage">[1]Data!$S$41:$S$44</definedName>
    <definedName name="BGMightDefense">[1]Data!$T$41:$T$44</definedName>
    <definedName name="BGMightValue">[1]Data!$Q$41:$Q$44</definedName>
    <definedName name="BPCostSplat">[1]Data!$W$27:$AG$27</definedName>
    <definedName name="BPCostTable">[1]Data!$W$28:$AG$41</definedName>
    <definedName name="BPCostType">[1]Data!$V$28:$V$41</definedName>
    <definedName name="CasAttributeFlag">[1]Math!$K$33</definedName>
    <definedName name="Caste">[1]Character!$O$3</definedName>
    <definedName name="CasteCount">[1]Math!$O$46</definedName>
    <definedName name="CasteLookup">[1]Data!$G$29:$H$37</definedName>
    <definedName name="Castes">[1]Data!$G$23:$G$27</definedName>
    <definedName name="CharacterMerits">[1]Character!$A$26:$H$57</definedName>
    <definedName name="ChargenAmount">[2]Data!$V$3:$AL$13</definedName>
    <definedName name="ChargenDropdown">[1]Data!$X$44:$X$51</definedName>
    <definedName name="ChargenHeader">[2]Data!$V$2:$AL$2</definedName>
    <definedName name="CharmData">'[1]Charm List'!$A$2:$L$3453</definedName>
    <definedName name="CharmDataAbility">'[1]Charm List'!$H$2:$H$4004</definedName>
    <definedName name="CharmDataAbilPreq">'[1]Charm List'!$I$2:$I$4004</definedName>
    <definedName name="CharmDataAspect">'[1]Charm List'!$K$2:$K$4004</definedName>
    <definedName name="CharmDataCost">'[1]Charm List'!$B$2:$B$4004</definedName>
    <definedName name="CharmDataDesc">'[1]Charm List'!$F$2:$F$4004</definedName>
    <definedName name="CharmDataDuration">'[1]Charm List'!$E$2:$E$4004</definedName>
    <definedName name="CharmDataEssPreq">'[1]Charm List'!$J$2:$J$4004</definedName>
    <definedName name="CharmDataKeyword">'[1]Charm List'!$D$2:$D$4004</definedName>
    <definedName name="CharmDataName">'[1]Charm List'!$A$2:$A$4004</definedName>
    <definedName name="CharmDataPage">'[1]Charm List'!$G$2:$G$4004</definedName>
    <definedName name="CharmDataType">'[1]Charm List'!$C$2:$C$4004</definedName>
    <definedName name="CharmSelectionCategory">[2]Charms!$A$3:$A$202</definedName>
    <definedName name="CharmSelectionEssence">[2]Charms!$J$3:$J$202</definedName>
    <definedName name="CharmSelectionName">[2]Charms!$B$3:$B$202</definedName>
    <definedName name="CustomCharmCategory">[2]Data!$R$47:$R$79</definedName>
    <definedName name="CustomCharmCategoryDropdown">[1]Data!$R$47:$R$79</definedName>
    <definedName name="DataCharmsAll" localSheetId="2">Solarlist!$B:$M</definedName>
    <definedName name="DataCharmsAll">Siderial!$B:$S</definedName>
    <definedName name="DataCharmsAllType" localSheetId="2">Solarlist!$A:$A</definedName>
    <definedName name="DataCharmsAllType">Siderial!$A:$A</definedName>
    <definedName name="DataSpellHeader">[1]Spells!$B$1:$H$1</definedName>
    <definedName name="DataSpellInfo">[1]Spells!$B:$H</definedName>
    <definedName name="DataSpellsCelestial">[2]CharmListGeneric!$N$2:$Z$553</definedName>
    <definedName name="DataSpellsSolar">[2]CharmListGeneric!$AA$2:$AM$553</definedName>
    <definedName name="DataSpellsTerrestrial">[2]CharmListGeneric!$A$2:$M$553</definedName>
    <definedName name="EquipArmorHardness">[1]Equipment!$AA$11:$AA$12</definedName>
    <definedName name="EquipArmorMobility">[1]Equipment!$AC$11:$AC$12</definedName>
    <definedName name="EquipArmorName">[1]Equipment!$A$11:$A$12</definedName>
    <definedName name="EquipArmorSoak">[1]Equipment!$Y$11:$Y$12</definedName>
    <definedName name="EquipRangeBands">[1]Data!$O$29:$T$29</definedName>
    <definedName name="EquipWeaponAccuracy">[1]Equipment!$Y$2:$Y$9</definedName>
    <definedName name="EquipWeaponMinimum">[1]Equipment!$AC$2:$AC$9</definedName>
    <definedName name="EquipWeaponName">[1]Equipment!$A$2:$A$9</definedName>
    <definedName name="EquipWeaponType">[1]Equipment!$S$2:$S$9</definedName>
    <definedName name="Essence">[1]Character!$P$6</definedName>
    <definedName name="EssenceRating">[1]Math!$B$153</definedName>
    <definedName name="ExpBonusGained">[1]Exp.!$C$4:$C$127</definedName>
    <definedName name="ExpBonusSpent">[1]Exp.!$G$4:$G$127</definedName>
    <definedName name="ExpCategory">[1]Data!$E$2:$E$11</definedName>
    <definedName name="ExpCosts">[1]Data!$V$15:$AG$25</definedName>
    <definedName name="ExpCostsHeader">[1]Data!$V$15:$AG$15</definedName>
    <definedName name="ExpNormGained">[1]Exp.!$B$4:$B$127</definedName>
    <definedName name="ExpNormSpent">[1]Exp.!$F$4:$F$127</definedName>
    <definedName name="FlatExpStatus">[1]Exp.!$T$1</definedName>
    <definedName name="HealthLevelLevels">[1]Math!$D$194:$D$253</definedName>
    <definedName name="HealthLevelSplat">[1]Math!$C$194:$C$253</definedName>
    <definedName name="HealthLevelSpread">[1]Math!$E$194:$I$253</definedName>
    <definedName name="HealthLevelStamina">[1]Math!$E$193:$I$193</definedName>
    <definedName name="HouseAbilities">[1]Data!$C$58:$C$62</definedName>
    <definedName name="HouseNames">[1]Data!$B$58:$B$62</definedName>
    <definedName name="ItemMaterials">[1]Data!$L$6:$L$18</definedName>
    <definedName name="ListSidMartialArts">[1]Data!$H$76:$H$185</definedName>
    <definedName name="Merit3">[1]Data!$T$52:$T$359</definedName>
    <definedName name="MeritBook">[1]Data!$U$52:$U$359</definedName>
    <definedName name="MeritList">[1]Data!$S$52:$S$359</definedName>
    <definedName name="MeritsCharacter">[1]Character!$A$26:$H$57</definedName>
    <definedName name="MeritType">[1]Data!$V$52:$V$359</definedName>
    <definedName name="MotePool">[1]Math!$A$158:$C$172</definedName>
    <definedName name="Mutations">[1]Data!$S$209:$S$302</definedName>
    <definedName name="OneFive">[1]Data!$A$10:$A$14</definedName>
    <definedName name="OneTen">[1]Data!$A$10:$A$19</definedName>
    <definedName name="OxBodyCapLookup">[1]Math!$O$202:$P$211</definedName>
    <definedName name="PenaltyWoundCheck">[1]Combat!$AV$11</definedName>
    <definedName name="PenaltyWoundValue">[1]Combat!$AY$11</definedName>
    <definedName name="RangedAccuracy">[1]Data!$O$29:$T$33</definedName>
    <definedName name="RatingArchery">[1]Math!$D$48</definedName>
    <definedName name="RatingAthletics">[1]Math!$D$49</definedName>
    <definedName name="RatingAwareness">[1]Math!$D$50</definedName>
    <definedName name="RatingBrawl">[1]Math!$D$51</definedName>
    <definedName name="RatingDodge">[1]Math!$D$53</definedName>
    <definedName name="RatingIntegrity">[1]Math!$D$54</definedName>
    <definedName name="RatingMartialArt1">[1]Math!$D$80</definedName>
    <definedName name="RatingMartialArt2">[1]Math!$D$81</definedName>
    <definedName name="RatingMartialArt3">[1]Math!$D$82</definedName>
    <definedName name="RatingMartialArt4">[1]Math!$D$83</definedName>
    <definedName name="RatingMartialArt5">[1]Math!$D$84</definedName>
    <definedName name="RatingMelee">[1]Math!$D$60</definedName>
    <definedName name="RatingResistance">[1]Math!$D$64</definedName>
    <definedName name="RatingSocialize">[1]Math!$D$67</definedName>
    <definedName name="RatingThrown">[1]Math!$D$70</definedName>
    <definedName name="SelectionAbilityListNoAttributes">[1]Data!$D$76:$D$149</definedName>
    <definedName name="SelectionCharmCategory">[1]Data!$A$76:$A$248</definedName>
    <definedName name="SelectionStyle">[1]Data!$B$76:$B$185</definedName>
    <definedName name="SorceryFavoredStatus">[1]Math!$H$119</definedName>
    <definedName name="SorceryNameCelestial">[1]Spells!$K$2:$K$101</definedName>
    <definedName name="SorceryNameSolar">[1]Spells!$L$2:$L$101</definedName>
    <definedName name="SorceryNameTerrestrial">[1]Spells!$J$2:$J$101</definedName>
    <definedName name="SorcerySelectionCelestial">[2]Sorcery!$A$20:$E$28</definedName>
    <definedName name="SpecialtyAbility1">[1]Character!$V$9:$V$24</definedName>
    <definedName name="SpecialtyAbility2">[1]Character!$AC$9:$AC$24</definedName>
    <definedName name="SpecialtyDescription1">[1]Character!$Y$9:$Y$24</definedName>
    <definedName name="SpecialtyDescription2">[1]Character!$AF$9:$AF$24</definedName>
    <definedName name="Splat">[1]Math!$B$3</definedName>
    <definedName name="SplatCaste">[1]Math!$B$4</definedName>
    <definedName name="Splats">[1]Data!$A$22:$A$37</definedName>
    <definedName name="SplatUniqueCombat">[1]Data!$O$40:$O$44</definedName>
    <definedName name="Supernal">[1]Math!$H$48:$H$80</definedName>
    <definedName name="SupernalList">[1]Math!$R$47:$R$63</definedName>
    <definedName name="WeaponStats">[1]Data!$O$1:$T$19</definedName>
    <definedName name="WeaponTags">[1]Data!$I$9:$K$20</definedName>
    <definedName name="WeaponTypes">[1]Data!$I$2:$K$7</definedName>
    <definedName name="Срез_Abil._Min">#N/A</definedName>
    <definedName name="Срез_Ability">#N/A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8" i="8" l="1"/>
  <c r="K28" i="8"/>
  <c r="J28" i="8"/>
  <c r="I28" i="8"/>
  <c r="H28" i="8"/>
  <c r="G28" i="8"/>
  <c r="M27" i="8"/>
  <c r="K27" i="8"/>
  <c r="J27" i="8"/>
  <c r="I27" i="8"/>
  <c r="H27" i="8"/>
  <c r="G27" i="8"/>
  <c r="M26" i="8"/>
  <c r="K26" i="8"/>
  <c r="J26" i="8"/>
  <c r="I26" i="8"/>
  <c r="H26" i="8"/>
  <c r="G26" i="8"/>
  <c r="L26" i="8" s="1"/>
  <c r="M25" i="8"/>
  <c r="K25" i="8"/>
  <c r="J25" i="8"/>
  <c r="I25" i="8"/>
  <c r="H25" i="8"/>
  <c r="G25" i="8"/>
  <c r="M24" i="8"/>
  <c r="K24" i="8"/>
  <c r="J24" i="8"/>
  <c r="I24" i="8"/>
  <c r="H24" i="8"/>
  <c r="G24" i="8"/>
  <c r="M23" i="8"/>
  <c r="K23" i="8"/>
  <c r="J23" i="8"/>
  <c r="I23" i="8"/>
  <c r="H23" i="8"/>
  <c r="G23" i="8"/>
  <c r="M22" i="8"/>
  <c r="K22" i="8"/>
  <c r="J22" i="8"/>
  <c r="I22" i="8"/>
  <c r="H22" i="8"/>
  <c r="G22" i="8"/>
  <c r="L22" i="8" s="1"/>
  <c r="M21" i="8"/>
  <c r="K21" i="8"/>
  <c r="J21" i="8"/>
  <c r="I21" i="8"/>
  <c r="H21" i="8"/>
  <c r="G21" i="8"/>
  <c r="M20" i="8"/>
  <c r="K20" i="8"/>
  <c r="J20" i="8"/>
  <c r="I20" i="8"/>
  <c r="H20" i="8"/>
  <c r="G20" i="8"/>
  <c r="M19" i="8"/>
  <c r="K19" i="8"/>
  <c r="J19" i="8"/>
  <c r="I19" i="8"/>
  <c r="H19" i="8"/>
  <c r="G19" i="8"/>
  <c r="M18" i="8"/>
  <c r="K18" i="8"/>
  <c r="J18" i="8"/>
  <c r="I18" i="8"/>
  <c r="H18" i="8"/>
  <c r="G18" i="8"/>
  <c r="L18" i="8" s="1"/>
  <c r="M17" i="8"/>
  <c r="K17" i="8"/>
  <c r="J17" i="8"/>
  <c r="I17" i="8"/>
  <c r="H17" i="8"/>
  <c r="G17" i="8"/>
  <c r="M16" i="8"/>
  <c r="K16" i="8"/>
  <c r="J16" i="8"/>
  <c r="I16" i="8"/>
  <c r="H16" i="8"/>
  <c r="G16" i="8"/>
  <c r="M15" i="8"/>
  <c r="K15" i="8"/>
  <c r="J15" i="8"/>
  <c r="I15" i="8"/>
  <c r="H15" i="8"/>
  <c r="G15" i="8"/>
  <c r="M14" i="8"/>
  <c r="K14" i="8"/>
  <c r="J14" i="8"/>
  <c r="I14" i="8"/>
  <c r="H14" i="8"/>
  <c r="G14" i="8"/>
  <c r="L14" i="8" s="1"/>
  <c r="M13" i="8"/>
  <c r="K13" i="8"/>
  <c r="J13" i="8"/>
  <c r="I13" i="8"/>
  <c r="H13" i="8"/>
  <c r="G13" i="8"/>
  <c r="M12" i="8"/>
  <c r="K12" i="8"/>
  <c r="J12" i="8"/>
  <c r="I12" i="8"/>
  <c r="H12" i="8"/>
  <c r="G12" i="8"/>
  <c r="M11" i="8"/>
  <c r="K11" i="8"/>
  <c r="J11" i="8"/>
  <c r="I11" i="8"/>
  <c r="H11" i="8"/>
  <c r="G11" i="8"/>
  <c r="M10" i="8"/>
  <c r="K10" i="8"/>
  <c r="J10" i="8"/>
  <c r="I10" i="8"/>
  <c r="H10" i="8"/>
  <c r="G10" i="8"/>
  <c r="M9" i="8"/>
  <c r="K9" i="8"/>
  <c r="J9" i="8"/>
  <c r="I9" i="8"/>
  <c r="H9" i="8"/>
  <c r="G9" i="8"/>
  <c r="M8" i="8"/>
  <c r="K8" i="8"/>
  <c r="J8" i="8"/>
  <c r="I8" i="8"/>
  <c r="H8" i="8"/>
  <c r="G8" i="8"/>
  <c r="M7" i="8"/>
  <c r="K7" i="8"/>
  <c r="J7" i="8"/>
  <c r="I7" i="8"/>
  <c r="H7" i="8"/>
  <c r="G7" i="8"/>
  <c r="L7" i="8" s="1"/>
  <c r="M6" i="8"/>
  <c r="K6" i="8"/>
  <c r="J6" i="8"/>
  <c r="I6" i="8"/>
  <c r="H6" i="8"/>
  <c r="G6" i="8"/>
  <c r="L6" i="8" s="1"/>
  <c r="M5" i="8"/>
  <c r="K5" i="8"/>
  <c r="J5" i="8"/>
  <c r="I5" i="8"/>
  <c r="H5" i="8"/>
  <c r="G5" i="8"/>
  <c r="M4" i="8"/>
  <c r="K4" i="8"/>
  <c r="J4" i="8"/>
  <c r="I4" i="8"/>
  <c r="H4" i="8"/>
  <c r="G4" i="8"/>
  <c r="M3" i="8"/>
  <c r="K3" i="8"/>
  <c r="J3" i="8"/>
  <c r="I3" i="8"/>
  <c r="H3" i="8"/>
  <c r="G3" i="8"/>
  <c r="L3" i="8" s="1"/>
  <c r="K20" i="7"/>
  <c r="L20" i="7"/>
  <c r="M20" i="7"/>
  <c r="N20" i="7"/>
  <c r="O20" i="7"/>
  <c r="P20" i="7"/>
  <c r="K21" i="7"/>
  <c r="L21" i="7"/>
  <c r="M21" i="7"/>
  <c r="N21" i="7"/>
  <c r="O21" i="7"/>
  <c r="P21" i="7"/>
  <c r="K3" i="7"/>
  <c r="L3" i="7"/>
  <c r="M3" i="7"/>
  <c r="N3" i="7"/>
  <c r="O3" i="7"/>
  <c r="P3" i="7"/>
  <c r="K37" i="7"/>
  <c r="L37" i="7"/>
  <c r="M37" i="7"/>
  <c r="N37" i="7"/>
  <c r="O37" i="7"/>
  <c r="P37" i="7"/>
  <c r="K35" i="7"/>
  <c r="L35" i="7"/>
  <c r="M35" i="7"/>
  <c r="N35" i="7"/>
  <c r="O35" i="7"/>
  <c r="P35" i="7"/>
  <c r="K22" i="7"/>
  <c r="L22" i="7"/>
  <c r="M22" i="7"/>
  <c r="N22" i="7"/>
  <c r="O22" i="7"/>
  <c r="P22" i="7"/>
  <c r="K46" i="7"/>
  <c r="L46" i="7"/>
  <c r="M46" i="7"/>
  <c r="N46" i="7"/>
  <c r="O46" i="7"/>
  <c r="P46" i="7"/>
  <c r="K32" i="7"/>
  <c r="L32" i="7"/>
  <c r="M32" i="7"/>
  <c r="N32" i="7"/>
  <c r="O32" i="7"/>
  <c r="P32" i="7"/>
  <c r="K23" i="7"/>
  <c r="L23" i="7"/>
  <c r="M23" i="7"/>
  <c r="N23" i="7"/>
  <c r="O23" i="7"/>
  <c r="P23" i="7"/>
  <c r="K24" i="7"/>
  <c r="L24" i="7"/>
  <c r="M24" i="7"/>
  <c r="N24" i="7"/>
  <c r="O24" i="7"/>
  <c r="P24" i="7"/>
  <c r="K4" i="7"/>
  <c r="L4" i="7"/>
  <c r="M4" i="7"/>
  <c r="N4" i="7"/>
  <c r="O4" i="7"/>
  <c r="P4" i="7"/>
  <c r="K5" i="7"/>
  <c r="L5" i="7"/>
  <c r="M5" i="7"/>
  <c r="N5" i="7"/>
  <c r="O5" i="7"/>
  <c r="P5" i="7"/>
  <c r="K25" i="7"/>
  <c r="L25" i="7"/>
  <c r="M25" i="7"/>
  <c r="N25" i="7"/>
  <c r="O25" i="7"/>
  <c r="P25" i="7"/>
  <c r="K6" i="7"/>
  <c r="L6" i="7"/>
  <c r="M6" i="7"/>
  <c r="N6" i="7"/>
  <c r="O6" i="7"/>
  <c r="P6" i="7"/>
  <c r="K7" i="7"/>
  <c r="L7" i="7"/>
  <c r="M7" i="7"/>
  <c r="N7" i="7"/>
  <c r="O7" i="7"/>
  <c r="P7" i="7"/>
  <c r="K8" i="7"/>
  <c r="L8" i="7"/>
  <c r="M8" i="7"/>
  <c r="N8" i="7"/>
  <c r="O8" i="7"/>
  <c r="P8" i="7"/>
  <c r="K33" i="7"/>
  <c r="L33" i="7"/>
  <c r="M33" i="7"/>
  <c r="N33" i="7"/>
  <c r="O33" i="7"/>
  <c r="P33" i="7"/>
  <c r="K9" i="7"/>
  <c r="L9" i="7"/>
  <c r="M9" i="7"/>
  <c r="N9" i="7"/>
  <c r="O9" i="7"/>
  <c r="P9" i="7"/>
  <c r="K10" i="7"/>
  <c r="L10" i="7"/>
  <c r="M10" i="7"/>
  <c r="N10" i="7"/>
  <c r="O10" i="7"/>
  <c r="P10" i="7"/>
  <c r="K11" i="7"/>
  <c r="L11" i="7"/>
  <c r="M11" i="7"/>
  <c r="N11" i="7"/>
  <c r="O11" i="7"/>
  <c r="P11" i="7"/>
  <c r="K26" i="7"/>
  <c r="L26" i="7"/>
  <c r="M26" i="7"/>
  <c r="N26" i="7"/>
  <c r="O26" i="7"/>
  <c r="P26" i="7"/>
  <c r="K27" i="7"/>
  <c r="L27" i="7"/>
  <c r="M27" i="7"/>
  <c r="N27" i="7"/>
  <c r="O27" i="7"/>
  <c r="P27" i="7"/>
  <c r="K34" i="7"/>
  <c r="L34" i="7"/>
  <c r="M34" i="7"/>
  <c r="N34" i="7"/>
  <c r="O34" i="7"/>
  <c r="P34" i="7"/>
  <c r="K41" i="7"/>
  <c r="L41" i="7"/>
  <c r="M41" i="7"/>
  <c r="N41" i="7"/>
  <c r="O41" i="7"/>
  <c r="P41" i="7"/>
  <c r="K12" i="7"/>
  <c r="L12" i="7"/>
  <c r="M12" i="7"/>
  <c r="N12" i="7"/>
  <c r="O12" i="7"/>
  <c r="P12" i="7"/>
  <c r="K13" i="7"/>
  <c r="L13" i="7"/>
  <c r="M13" i="7"/>
  <c r="N13" i="7"/>
  <c r="O13" i="7"/>
  <c r="P13" i="7"/>
  <c r="K47" i="7"/>
  <c r="L47" i="7"/>
  <c r="M47" i="7"/>
  <c r="N47" i="7"/>
  <c r="O47" i="7"/>
  <c r="P47" i="7"/>
  <c r="K28" i="7"/>
  <c r="L28" i="7"/>
  <c r="M28" i="7"/>
  <c r="N28" i="7"/>
  <c r="O28" i="7"/>
  <c r="P28" i="7"/>
  <c r="K29" i="7"/>
  <c r="L29" i="7"/>
  <c r="M29" i="7"/>
  <c r="N29" i="7"/>
  <c r="O29" i="7"/>
  <c r="P29" i="7"/>
  <c r="K40" i="7"/>
  <c r="L40" i="7"/>
  <c r="M40" i="7"/>
  <c r="N40" i="7"/>
  <c r="O40" i="7"/>
  <c r="P40" i="7"/>
  <c r="K45" i="7"/>
  <c r="L45" i="7"/>
  <c r="M45" i="7"/>
  <c r="N45" i="7"/>
  <c r="O45" i="7"/>
  <c r="P45" i="7"/>
  <c r="K44" i="7"/>
  <c r="L44" i="7"/>
  <c r="M44" i="7"/>
  <c r="N44" i="7"/>
  <c r="O44" i="7"/>
  <c r="P44" i="7"/>
  <c r="K14" i="7"/>
  <c r="L14" i="7"/>
  <c r="M14" i="7"/>
  <c r="N14" i="7"/>
  <c r="O14" i="7"/>
  <c r="P14" i="7"/>
  <c r="K15" i="7"/>
  <c r="L15" i="7"/>
  <c r="M15" i="7"/>
  <c r="N15" i="7"/>
  <c r="O15" i="7"/>
  <c r="P15" i="7"/>
  <c r="K16" i="7"/>
  <c r="L16" i="7"/>
  <c r="M16" i="7"/>
  <c r="N16" i="7"/>
  <c r="O16" i="7"/>
  <c r="P16" i="7"/>
  <c r="K17" i="7"/>
  <c r="L17" i="7"/>
  <c r="M17" i="7"/>
  <c r="N17" i="7"/>
  <c r="O17" i="7"/>
  <c r="P17" i="7"/>
  <c r="K18" i="7"/>
  <c r="L18" i="7"/>
  <c r="M18" i="7"/>
  <c r="N18" i="7"/>
  <c r="O18" i="7"/>
  <c r="P18" i="7"/>
  <c r="K19" i="7"/>
  <c r="L19" i="7"/>
  <c r="M19" i="7"/>
  <c r="N19" i="7"/>
  <c r="O19" i="7"/>
  <c r="P19" i="7"/>
  <c r="K43" i="7"/>
  <c r="L43" i="7"/>
  <c r="M43" i="7"/>
  <c r="N43" i="7"/>
  <c r="O43" i="7"/>
  <c r="P43" i="7"/>
  <c r="K36" i="7"/>
  <c r="L36" i="7"/>
  <c r="M36" i="7"/>
  <c r="N36" i="7"/>
  <c r="O36" i="7"/>
  <c r="P36" i="7"/>
  <c r="K39" i="7"/>
  <c r="L39" i="7"/>
  <c r="M39" i="7"/>
  <c r="N39" i="7"/>
  <c r="O39" i="7"/>
  <c r="P39" i="7"/>
  <c r="K30" i="7"/>
  <c r="L30" i="7"/>
  <c r="M30" i="7"/>
  <c r="N30" i="7"/>
  <c r="O30" i="7"/>
  <c r="P30" i="7"/>
  <c r="K31" i="7"/>
  <c r="L31" i="7"/>
  <c r="M31" i="7"/>
  <c r="N31" i="7"/>
  <c r="O31" i="7"/>
  <c r="P31" i="7"/>
  <c r="K42" i="7"/>
  <c r="L42" i="7"/>
  <c r="M42" i="7"/>
  <c r="N42" i="7"/>
  <c r="O42" i="7"/>
  <c r="P42" i="7"/>
  <c r="K38" i="7"/>
  <c r="L38" i="7"/>
  <c r="M38" i="7"/>
  <c r="N38" i="7"/>
  <c r="O38" i="7"/>
  <c r="P38" i="7"/>
  <c r="L2" i="7"/>
  <c r="M2" i="7"/>
  <c r="K2" i="7"/>
  <c r="O2" i="7"/>
  <c r="P2" i="7"/>
  <c r="N2" i="7"/>
  <c r="D184" i="6"/>
  <c r="D185" i="6" s="1"/>
  <c r="D186" i="6" s="1"/>
  <c r="D187" i="6" s="1"/>
  <c r="D188" i="6" s="1"/>
  <c r="D189" i="6" s="1"/>
  <c r="D190" i="6" s="1"/>
  <c r="D191" i="6" s="1"/>
  <c r="D192" i="6" s="1"/>
  <c r="D193" i="6" s="1"/>
  <c r="D194" i="6" s="1"/>
  <c r="D195" i="6" s="1"/>
  <c r="D196" i="6" s="1"/>
  <c r="D197" i="6" s="1"/>
  <c r="D198" i="6" s="1"/>
  <c r="D199" i="6" s="1"/>
  <c r="D200" i="6" s="1"/>
  <c r="D201" i="6" s="1"/>
  <c r="D202" i="6" s="1"/>
  <c r="D203" i="6" s="1"/>
  <c r="D204" i="6" s="1"/>
  <c r="D205" i="6" s="1"/>
  <c r="D206" i="6" s="1"/>
  <c r="D207" i="6" s="1"/>
  <c r="D208" i="6" s="1"/>
  <c r="D209" i="6" s="1"/>
  <c r="D210" i="6" s="1"/>
  <c r="D211" i="6" s="1"/>
  <c r="D212" i="6" s="1"/>
  <c r="D213" i="6" s="1"/>
  <c r="D214" i="6" s="1"/>
  <c r="D215" i="6" s="1"/>
  <c r="D216" i="6" s="1"/>
  <c r="D217" i="6" s="1"/>
  <c r="D218" i="6" s="1"/>
  <c r="D219" i="6" s="1"/>
  <c r="D220" i="6" s="1"/>
  <c r="D221" i="6" s="1"/>
  <c r="D222" i="6" s="1"/>
  <c r="D223" i="6" s="1"/>
  <c r="D224" i="6" s="1"/>
  <c r="D225" i="6" s="1"/>
  <c r="D226" i="6" s="1"/>
  <c r="D227" i="6" s="1"/>
  <c r="D228" i="6" s="1"/>
  <c r="D229" i="6" s="1"/>
  <c r="D230" i="6" s="1"/>
  <c r="D231" i="6" s="1"/>
  <c r="D232" i="6" s="1"/>
  <c r="D233" i="6" s="1"/>
  <c r="D234" i="6" s="1"/>
  <c r="D235" i="6" s="1"/>
  <c r="D236" i="6" s="1"/>
  <c r="D237" i="6" s="1"/>
  <c r="D238" i="6" s="1"/>
  <c r="D239" i="6" s="1"/>
  <c r="D240" i="6" s="1"/>
  <c r="D241" i="6" s="1"/>
  <c r="D242" i="6" s="1"/>
  <c r="D243" i="6" s="1"/>
  <c r="D244" i="6" s="1"/>
  <c r="D245" i="6" s="1"/>
  <c r="D246" i="6" s="1"/>
  <c r="D247" i="6" s="1"/>
  <c r="D248" i="6" s="1"/>
  <c r="D249" i="6" s="1"/>
  <c r="D250" i="6" s="1"/>
  <c r="D251" i="6" s="1"/>
  <c r="D252" i="6" s="1"/>
  <c r="D253" i="6" s="1"/>
  <c r="D254" i="6" s="1"/>
  <c r="D255" i="6" s="1"/>
  <c r="D256" i="6" s="1"/>
  <c r="D257" i="6" s="1"/>
  <c r="D258" i="6" s="1"/>
  <c r="D259" i="6" s="1"/>
  <c r="D260" i="6" s="1"/>
  <c r="D261" i="6" s="1"/>
  <c r="D262" i="6" s="1"/>
  <c r="D263" i="6" s="1"/>
  <c r="D264" i="6" s="1"/>
  <c r="D265" i="6" s="1"/>
  <c r="D266" i="6" s="1"/>
  <c r="D267" i="6" s="1"/>
  <c r="D268" i="6" s="1"/>
  <c r="D269" i="6" s="1"/>
  <c r="D270" i="6" s="1"/>
  <c r="D271" i="6" s="1"/>
  <c r="D272" i="6" s="1"/>
  <c r="D273" i="6" s="1"/>
  <c r="D274" i="6" s="1"/>
  <c r="D275" i="6" s="1"/>
  <c r="D276" i="6" s="1"/>
  <c r="D277" i="6" s="1"/>
  <c r="D278" i="6" s="1"/>
  <c r="D279" i="6" s="1"/>
  <c r="D280" i="6" s="1"/>
  <c r="D281" i="6" s="1"/>
  <c r="D282" i="6" s="1"/>
  <c r="D283" i="6" s="1"/>
  <c r="D284" i="6" s="1"/>
  <c r="D285" i="6" s="1"/>
  <c r="D286" i="6" s="1"/>
  <c r="D287" i="6" s="1"/>
  <c r="D288" i="6" s="1"/>
  <c r="D289" i="6" s="1"/>
  <c r="D290" i="6" s="1"/>
  <c r="D291" i="6" s="1"/>
  <c r="D292" i="6" s="1"/>
  <c r="D293" i="6" s="1"/>
  <c r="D294" i="6" s="1"/>
  <c r="D295" i="6" s="1"/>
  <c r="D296" i="6" s="1"/>
  <c r="D297" i="6" s="1"/>
  <c r="D298" i="6" s="1"/>
  <c r="D299" i="6" s="1"/>
  <c r="D300" i="6" s="1"/>
  <c r="D301" i="6" s="1"/>
  <c r="D302" i="6" s="1"/>
  <c r="D303" i="6" s="1"/>
  <c r="D304" i="6" s="1"/>
  <c r="D305" i="6" s="1"/>
  <c r="D306" i="6" s="1"/>
  <c r="D307" i="6" s="1"/>
  <c r="D308" i="6" s="1"/>
  <c r="D309" i="6" s="1"/>
  <c r="D310" i="6" s="1"/>
  <c r="D311" i="6" s="1"/>
  <c r="D312" i="6" s="1"/>
  <c r="D313" i="6" s="1"/>
  <c r="D314" i="6" s="1"/>
  <c r="D315" i="6" s="1"/>
  <c r="D316" i="6" s="1"/>
  <c r="D317" i="6" s="1"/>
  <c r="D318" i="6" s="1"/>
  <c r="D319" i="6" s="1"/>
  <c r="D320" i="6" s="1"/>
  <c r="D321" i="6" s="1"/>
  <c r="D322" i="6" s="1"/>
  <c r="D323" i="6" s="1"/>
  <c r="D324" i="6" s="1"/>
  <c r="D325" i="6" s="1"/>
  <c r="D326" i="6" s="1"/>
  <c r="D327" i="6" s="1"/>
  <c r="D328" i="6" s="1"/>
  <c r="D329" i="6" s="1"/>
  <c r="D330" i="6" s="1"/>
  <c r="D331" i="6" s="1"/>
  <c r="D332" i="6" s="1"/>
  <c r="D333" i="6" s="1"/>
  <c r="D334" i="6" s="1"/>
  <c r="D335" i="6" s="1"/>
  <c r="D336" i="6" s="1"/>
  <c r="D337" i="6" s="1"/>
  <c r="D338" i="6" s="1"/>
  <c r="D339" i="6" s="1"/>
  <c r="D340" i="6" s="1"/>
  <c r="D341" i="6" s="1"/>
  <c r="D342" i="6" s="1"/>
  <c r="D343" i="6" s="1"/>
  <c r="D344" i="6" s="1"/>
  <c r="D345" i="6" s="1"/>
  <c r="D346" i="6" s="1"/>
  <c r="D347" i="6" s="1"/>
  <c r="D348" i="6" s="1"/>
  <c r="D349" i="6" s="1"/>
  <c r="D350" i="6" s="1"/>
  <c r="D351" i="6" s="1"/>
  <c r="D352" i="6" s="1"/>
  <c r="D353" i="6" s="1"/>
  <c r="D354" i="6" s="1"/>
  <c r="D355" i="6" s="1"/>
  <c r="D356" i="6" s="1"/>
  <c r="D357" i="6" s="1"/>
  <c r="D358" i="6" s="1"/>
  <c r="D359" i="6" s="1"/>
  <c r="D360" i="6" s="1"/>
  <c r="D361" i="6" s="1"/>
  <c r="D362" i="6" s="1"/>
  <c r="D363" i="6" s="1"/>
  <c r="D364" i="6" s="1"/>
  <c r="D365" i="6" s="1"/>
  <c r="D366" i="6" s="1"/>
  <c r="D367" i="6" s="1"/>
  <c r="D368" i="6" s="1"/>
  <c r="D369" i="6" s="1"/>
  <c r="D370" i="6" s="1"/>
  <c r="D371" i="6" s="1"/>
  <c r="D372" i="6" s="1"/>
  <c r="D373" i="6" s="1"/>
  <c r="D374" i="6" s="1"/>
  <c r="D375" i="6" s="1"/>
  <c r="D376" i="6" s="1"/>
  <c r="D377" i="6" s="1"/>
  <c r="D378" i="6" s="1"/>
  <c r="D379" i="6" s="1"/>
  <c r="D380" i="6" s="1"/>
  <c r="D381" i="6" s="1"/>
  <c r="D382" i="6" s="1"/>
  <c r="D383" i="6" s="1"/>
  <c r="D384" i="6" s="1"/>
  <c r="D385" i="6" s="1"/>
  <c r="D386" i="6" s="1"/>
  <c r="D387" i="6" s="1"/>
  <c r="D388" i="6" s="1"/>
  <c r="D389" i="6" s="1"/>
  <c r="D390" i="6" s="1"/>
  <c r="D391" i="6" s="1"/>
  <c r="D392" i="6" s="1"/>
  <c r="D393" i="6" s="1"/>
  <c r="D394" i="6" s="1"/>
  <c r="D395" i="6" s="1"/>
  <c r="D396" i="6" s="1"/>
  <c r="D397" i="6" s="1"/>
  <c r="D398" i="6" s="1"/>
  <c r="D399" i="6" s="1"/>
  <c r="D400" i="6" s="1"/>
  <c r="D401" i="6" s="1"/>
  <c r="D402" i="6" s="1"/>
  <c r="D403" i="6" s="1"/>
  <c r="D404" i="6" s="1"/>
  <c r="D405" i="6" s="1"/>
  <c r="D406" i="6" s="1"/>
  <c r="D407" i="6" s="1"/>
  <c r="D408" i="6" s="1"/>
  <c r="D409" i="6" s="1"/>
  <c r="D410" i="6" s="1"/>
  <c r="D411" i="6" s="1"/>
  <c r="D412" i="6" s="1"/>
  <c r="D413" i="6" s="1"/>
  <c r="D414" i="6" s="1"/>
  <c r="D415" i="6" s="1"/>
  <c r="D416" i="6" s="1"/>
  <c r="D417" i="6" s="1"/>
  <c r="D418" i="6" s="1"/>
  <c r="D419" i="6" s="1"/>
  <c r="D420" i="6" s="1"/>
  <c r="D421" i="6" s="1"/>
  <c r="D422" i="6" s="1"/>
  <c r="D423" i="6" s="1"/>
  <c r="D424" i="6" s="1"/>
  <c r="D425" i="6" s="1"/>
  <c r="D426" i="6" s="1"/>
  <c r="D427" i="6" s="1"/>
  <c r="D428" i="6" s="1"/>
  <c r="D429" i="6" s="1"/>
  <c r="D430" i="6" s="1"/>
  <c r="D431" i="6" s="1"/>
  <c r="D432" i="6" s="1"/>
  <c r="D433" i="6" s="1"/>
  <c r="D434" i="6" s="1"/>
  <c r="D435" i="6" s="1"/>
  <c r="D436" i="6" s="1"/>
  <c r="D437" i="6" s="1"/>
  <c r="D438" i="6" s="1"/>
  <c r="D439" i="6" s="1"/>
  <c r="D440" i="6" s="1"/>
  <c r="D441" i="6" s="1"/>
  <c r="D442" i="6" s="1"/>
  <c r="D443" i="6" s="1"/>
  <c r="D444" i="6" s="1"/>
  <c r="D445" i="6" s="1"/>
  <c r="D446" i="6" s="1"/>
  <c r="D447" i="6" s="1"/>
  <c r="D448" i="6" s="1"/>
  <c r="D449" i="6" s="1"/>
  <c r="D450" i="6" s="1"/>
  <c r="D451" i="6" s="1"/>
  <c r="D452" i="6" s="1"/>
  <c r="D453" i="6" s="1"/>
  <c r="D454" i="6" s="1"/>
  <c r="D455" i="6" s="1"/>
  <c r="D456" i="6" s="1"/>
  <c r="D457" i="6" s="1"/>
  <c r="D458" i="6" s="1"/>
  <c r="D459" i="6" s="1"/>
  <c r="D460" i="6" s="1"/>
  <c r="D461" i="6" s="1"/>
  <c r="D462" i="6" s="1"/>
  <c r="D463" i="6" s="1"/>
  <c r="D464" i="6" s="1"/>
  <c r="D465" i="6" s="1"/>
  <c r="D466" i="6" s="1"/>
  <c r="D467" i="6" s="1"/>
  <c r="D468" i="6" s="1"/>
  <c r="D469" i="6" s="1"/>
  <c r="D470" i="6" s="1"/>
  <c r="D471" i="6" s="1"/>
  <c r="D472" i="6" s="1"/>
  <c r="D473" i="6" s="1"/>
  <c r="D474" i="6" s="1"/>
  <c r="D475" i="6" s="1"/>
  <c r="D476" i="6" s="1"/>
  <c r="D477" i="6" s="1"/>
  <c r="D478" i="6" s="1"/>
  <c r="D479" i="6" s="1"/>
  <c r="D480" i="6" s="1"/>
  <c r="D481" i="6" s="1"/>
  <c r="D482" i="6" s="1"/>
  <c r="D483" i="6" s="1"/>
  <c r="D484" i="6" s="1"/>
  <c r="D485" i="6" s="1"/>
  <c r="D486" i="6" s="1"/>
  <c r="D487" i="6" s="1"/>
  <c r="D488" i="6" s="1"/>
  <c r="D489" i="6" s="1"/>
  <c r="D490" i="6" s="1"/>
  <c r="D491" i="6" s="1"/>
  <c r="D492" i="6" s="1"/>
  <c r="D493" i="6" s="1"/>
  <c r="D494" i="6" s="1"/>
  <c r="D495" i="6" s="1"/>
  <c r="D496" i="6" s="1"/>
  <c r="D497" i="6" s="1"/>
  <c r="D498" i="6" s="1"/>
  <c r="D499" i="6" s="1"/>
  <c r="D500" i="6" s="1"/>
  <c r="D501" i="6" s="1"/>
  <c r="D502" i="6" s="1"/>
  <c r="D503" i="6" s="1"/>
  <c r="D504" i="6" s="1"/>
  <c r="D505" i="6" s="1"/>
  <c r="D506" i="6" s="1"/>
  <c r="D507" i="6" s="1"/>
  <c r="D508" i="6" s="1"/>
  <c r="D509" i="6" s="1"/>
  <c r="D510" i="6" s="1"/>
  <c r="D511" i="6" s="1"/>
  <c r="D512" i="6" s="1"/>
  <c r="D513" i="6" s="1"/>
  <c r="D514" i="6" s="1"/>
  <c r="D515" i="6" s="1"/>
  <c r="D516" i="6" s="1"/>
  <c r="D517" i="6" s="1"/>
  <c r="D518" i="6" s="1"/>
  <c r="D519" i="6" s="1"/>
  <c r="D520" i="6" s="1"/>
  <c r="D521" i="6" s="1"/>
  <c r="D522" i="6" s="1"/>
  <c r="D523" i="6" s="1"/>
  <c r="D524" i="6" s="1"/>
  <c r="D525" i="6" s="1"/>
  <c r="D526" i="6" s="1"/>
  <c r="D527" i="6" s="1"/>
  <c r="D528" i="6" s="1"/>
  <c r="D529" i="6" s="1"/>
  <c r="D530" i="6" s="1"/>
  <c r="D531" i="6" s="1"/>
  <c r="D532" i="6" s="1"/>
  <c r="D533" i="6" s="1"/>
  <c r="D534" i="6" s="1"/>
  <c r="D535" i="6" s="1"/>
  <c r="D536" i="6" s="1"/>
  <c r="D537" i="6" s="1"/>
  <c r="D538" i="6" s="1"/>
  <c r="D539" i="6" s="1"/>
  <c r="D540" i="6" s="1"/>
  <c r="D541" i="6" s="1"/>
  <c r="D542" i="6" s="1"/>
  <c r="D543" i="6" s="1"/>
  <c r="D544" i="6" s="1"/>
  <c r="D545" i="6" s="1"/>
  <c r="D546" i="6" s="1"/>
  <c r="D547" i="6" s="1"/>
  <c r="D548" i="6" s="1"/>
  <c r="D549" i="6" s="1"/>
  <c r="D550" i="6" s="1"/>
  <c r="D551" i="6" s="1"/>
  <c r="D552" i="6" s="1"/>
  <c r="D553" i="6" s="1"/>
  <c r="D554" i="6" s="1"/>
  <c r="D555" i="6" s="1"/>
  <c r="D556" i="6" s="1"/>
  <c r="D557" i="6" s="1"/>
  <c r="D558" i="6" s="1"/>
  <c r="D559" i="6" s="1"/>
  <c r="D560" i="6" s="1"/>
  <c r="D561" i="6" s="1"/>
  <c r="D562" i="6" s="1"/>
  <c r="D563" i="6" s="1"/>
  <c r="D564" i="6" s="1"/>
  <c r="D565" i="6" s="1"/>
  <c r="D566" i="6" s="1"/>
  <c r="D567" i="6" s="1"/>
  <c r="D568" i="6" s="1"/>
  <c r="D569" i="6" s="1"/>
  <c r="D570" i="6" s="1"/>
  <c r="D571" i="6" s="1"/>
  <c r="D572" i="6" s="1"/>
  <c r="D573" i="6" s="1"/>
  <c r="D574" i="6" s="1"/>
  <c r="D575" i="6" s="1"/>
  <c r="D576" i="6" s="1"/>
  <c r="D577" i="6" s="1"/>
  <c r="D578" i="6" s="1"/>
  <c r="D579" i="6" s="1"/>
  <c r="D580" i="6" s="1"/>
  <c r="D581" i="6" s="1"/>
  <c r="D582" i="6" s="1"/>
  <c r="D583" i="6" s="1"/>
  <c r="D584" i="6" s="1"/>
  <c r="D585" i="6" s="1"/>
  <c r="D586" i="6" s="1"/>
  <c r="D587" i="6" s="1"/>
  <c r="D588" i="6" s="1"/>
  <c r="D589" i="6" s="1"/>
  <c r="D590" i="6" s="1"/>
  <c r="D591" i="6" s="1"/>
  <c r="D592" i="6" s="1"/>
  <c r="D593" i="6" s="1"/>
  <c r="D594" i="6" s="1"/>
  <c r="D595" i="6" s="1"/>
  <c r="D596" i="6" s="1"/>
  <c r="D597" i="6" s="1"/>
  <c r="D598" i="6" s="1"/>
  <c r="D599" i="6" s="1"/>
  <c r="D600" i="6" s="1"/>
  <c r="D601" i="6" s="1"/>
  <c r="D602" i="6" s="1"/>
  <c r="D603" i="6" s="1"/>
  <c r="D604" i="6" s="1"/>
  <c r="D605" i="6" s="1"/>
  <c r="D606" i="6" s="1"/>
  <c r="D607" i="6" s="1"/>
  <c r="D608" i="6" s="1"/>
  <c r="D609" i="6" s="1"/>
  <c r="D610" i="6" s="1"/>
  <c r="D611" i="6" s="1"/>
  <c r="D612" i="6" s="1"/>
  <c r="D613" i="6" s="1"/>
  <c r="D614" i="6" s="1"/>
  <c r="D615" i="6" s="1"/>
  <c r="D616" i="6" s="1"/>
  <c r="D617" i="6" s="1"/>
  <c r="D618" i="6" s="1"/>
  <c r="D619" i="6" s="1"/>
  <c r="D620" i="6" s="1"/>
  <c r="D621" i="6" s="1"/>
  <c r="D622" i="6" s="1"/>
  <c r="D623" i="6" s="1"/>
  <c r="D624" i="6" s="1"/>
  <c r="D625" i="6" s="1"/>
  <c r="D626" i="6" s="1"/>
  <c r="D627" i="6" s="1"/>
  <c r="D628" i="6" s="1"/>
  <c r="D629" i="6" s="1"/>
  <c r="D630" i="6" s="1"/>
  <c r="D631" i="6" s="1"/>
  <c r="D632" i="6" s="1"/>
  <c r="D633" i="6" s="1"/>
  <c r="D634" i="6" s="1"/>
  <c r="D635" i="6" s="1"/>
  <c r="D636" i="6" s="1"/>
  <c r="D637" i="6" s="1"/>
  <c r="D638" i="6" s="1"/>
  <c r="D639" i="6" s="1"/>
  <c r="D640" i="6" s="1"/>
  <c r="D641" i="6" s="1"/>
  <c r="D642" i="6" s="1"/>
  <c r="D643" i="6" s="1"/>
  <c r="D644" i="6" s="1"/>
  <c r="D645" i="6" s="1"/>
  <c r="D646" i="6" s="1"/>
  <c r="D647" i="6" s="1"/>
  <c r="D648" i="6" s="1"/>
  <c r="D649" i="6" s="1"/>
  <c r="D650" i="6" s="1"/>
  <c r="D651" i="6" s="1"/>
  <c r="D652" i="6" s="1"/>
  <c r="D653" i="6" s="1"/>
  <c r="D654" i="6" s="1"/>
  <c r="D655" i="6" s="1"/>
  <c r="D656" i="6" s="1"/>
  <c r="D657" i="6" s="1"/>
  <c r="D658" i="6" s="1"/>
  <c r="D659" i="6" s="1"/>
  <c r="D660" i="6" s="1"/>
  <c r="D661" i="6" s="1"/>
  <c r="D662" i="6" s="1"/>
  <c r="D663" i="6" s="1"/>
  <c r="D664" i="6" s="1"/>
  <c r="D665" i="6" s="1"/>
  <c r="D666" i="6" s="1"/>
  <c r="D667" i="6" s="1"/>
  <c r="D668" i="6" s="1"/>
  <c r="D669" i="6" s="1"/>
  <c r="D670" i="6" s="1"/>
  <c r="D671" i="6" s="1"/>
  <c r="D672" i="6" s="1"/>
  <c r="D673" i="6" s="1"/>
  <c r="D674" i="6" s="1"/>
  <c r="D675" i="6" s="1"/>
  <c r="D676" i="6" s="1"/>
  <c r="D677" i="6" s="1"/>
  <c r="D678" i="6" s="1"/>
  <c r="D679" i="6" s="1"/>
  <c r="D680" i="6" s="1"/>
  <c r="D681" i="6" s="1"/>
  <c r="D682" i="6" s="1"/>
  <c r="D683" i="6" s="1"/>
  <c r="D684" i="6" s="1"/>
  <c r="D685" i="6" s="1"/>
  <c r="D686" i="6" s="1"/>
  <c r="D687" i="6" s="1"/>
  <c r="D688" i="6" s="1"/>
  <c r="D689" i="6" s="1"/>
  <c r="D690" i="6" s="1"/>
  <c r="D691" i="6" s="1"/>
  <c r="D692" i="6" s="1"/>
  <c r="D693" i="6" s="1"/>
  <c r="D694" i="6" s="1"/>
  <c r="D695" i="6" s="1"/>
  <c r="D696" i="6" s="1"/>
  <c r="D697" i="6" s="1"/>
  <c r="D698" i="6" s="1"/>
  <c r="D699" i="6" s="1"/>
  <c r="D700" i="6" s="1"/>
  <c r="D30" i="6"/>
  <c r="D31" i="6" s="1"/>
  <c r="D32" i="6" s="1"/>
  <c r="D33" i="6" s="1"/>
  <c r="D34" i="6" s="1"/>
  <c r="D35" i="6" s="1"/>
  <c r="D36" i="6" s="1"/>
  <c r="D37" i="6" s="1"/>
  <c r="D38" i="6" s="1"/>
  <c r="D39" i="6" s="1"/>
  <c r="D40" i="6" s="1"/>
  <c r="D41" i="6" s="1"/>
  <c r="D42" i="6" s="1"/>
  <c r="D43" i="6" s="1"/>
  <c r="D44" i="6" s="1"/>
  <c r="D45" i="6" s="1"/>
  <c r="D46" i="6" s="1"/>
  <c r="D47" i="6" s="1"/>
  <c r="D48" i="6" s="1"/>
  <c r="D49" i="6" s="1"/>
  <c r="D50" i="6" s="1"/>
  <c r="D51" i="6" s="1"/>
  <c r="D52" i="6" s="1"/>
  <c r="D53" i="6" s="1"/>
  <c r="D54" i="6" s="1"/>
  <c r="D55" i="6" s="1"/>
  <c r="D56" i="6" s="1"/>
  <c r="D57" i="6" s="1"/>
  <c r="D58" i="6" s="1"/>
  <c r="D59" i="6" s="1"/>
  <c r="D60" i="6" s="1"/>
  <c r="D61" i="6" s="1"/>
  <c r="D62" i="6" s="1"/>
  <c r="D63" i="6" s="1"/>
  <c r="D64" i="6" s="1"/>
  <c r="D65" i="6" s="1"/>
  <c r="D66" i="6" s="1"/>
  <c r="D67" i="6" s="1"/>
  <c r="D68" i="6" s="1"/>
  <c r="D69" i="6" s="1"/>
  <c r="D70" i="6" s="1"/>
  <c r="D71" i="6" s="1"/>
  <c r="D72" i="6" s="1"/>
  <c r="D73" i="6" s="1"/>
  <c r="D74" i="6" s="1"/>
  <c r="D75" i="6" s="1"/>
  <c r="D76" i="6" s="1"/>
  <c r="D77" i="6" s="1"/>
  <c r="D78" i="6" s="1"/>
  <c r="D79" i="6" s="1"/>
  <c r="D80" i="6" s="1"/>
  <c r="D81" i="6" s="1"/>
  <c r="D82" i="6" s="1"/>
  <c r="D83" i="6" s="1"/>
  <c r="D84" i="6" s="1"/>
  <c r="D85" i="6" s="1"/>
  <c r="D86" i="6" s="1"/>
  <c r="D87" i="6" s="1"/>
  <c r="D88" i="6" s="1"/>
  <c r="D89" i="6" s="1"/>
  <c r="D90" i="6" s="1"/>
  <c r="D91" i="6" s="1"/>
  <c r="D92" i="6" s="1"/>
  <c r="D93" i="6" s="1"/>
  <c r="D94" i="6" s="1"/>
  <c r="D95" i="6" s="1"/>
  <c r="D96" i="6" s="1"/>
  <c r="D97" i="6" s="1"/>
  <c r="D98" i="6" s="1"/>
  <c r="D99" i="6" s="1"/>
  <c r="D100" i="6" s="1"/>
  <c r="D101" i="6" s="1"/>
  <c r="D102" i="6" s="1"/>
  <c r="D103" i="6" s="1"/>
  <c r="D104" i="6" s="1"/>
  <c r="D105" i="6" s="1"/>
  <c r="D106" i="6" s="1"/>
  <c r="D107" i="6" s="1"/>
  <c r="D108" i="6" s="1"/>
  <c r="D109" i="6" s="1"/>
  <c r="D110" i="6" s="1"/>
  <c r="D111" i="6" s="1"/>
  <c r="D112" i="6" s="1"/>
  <c r="D113" i="6" s="1"/>
  <c r="D114" i="6" s="1"/>
  <c r="D115" i="6" s="1"/>
  <c r="D116" i="6" s="1"/>
  <c r="D117" i="6" s="1"/>
  <c r="D118" i="6" s="1"/>
  <c r="D119" i="6" s="1"/>
  <c r="D120" i="6" s="1"/>
  <c r="D121" i="6" s="1"/>
  <c r="D122" i="6" s="1"/>
  <c r="D123" i="6" s="1"/>
  <c r="D124" i="6" s="1"/>
  <c r="D125" i="6" s="1"/>
  <c r="D126" i="6" s="1"/>
  <c r="D127" i="6" s="1"/>
  <c r="D128" i="6" s="1"/>
  <c r="D129" i="6" s="1"/>
  <c r="D130" i="6" s="1"/>
  <c r="D131" i="6" s="1"/>
  <c r="D132" i="6" s="1"/>
  <c r="D133" i="6" s="1"/>
  <c r="D134" i="6" s="1"/>
  <c r="D135" i="6" s="1"/>
  <c r="D136" i="6" s="1"/>
  <c r="D137" i="6" s="1"/>
  <c r="D138" i="6" s="1"/>
  <c r="D139" i="6" s="1"/>
  <c r="D140" i="6" s="1"/>
  <c r="D141" i="6" s="1"/>
  <c r="D142" i="6" s="1"/>
  <c r="D143" i="6" s="1"/>
  <c r="D144" i="6" s="1"/>
  <c r="D145" i="6" s="1"/>
  <c r="D146" i="6" s="1"/>
  <c r="D147" i="6" s="1"/>
  <c r="D148" i="6" s="1"/>
  <c r="D149" i="6" s="1"/>
  <c r="D150" i="6" s="1"/>
  <c r="D151" i="6" s="1"/>
  <c r="D152" i="6" s="1"/>
  <c r="D153" i="6" s="1"/>
  <c r="D154" i="6" s="1"/>
  <c r="D155" i="6" s="1"/>
  <c r="D156" i="6" s="1"/>
  <c r="D157" i="6" s="1"/>
  <c r="D158" i="6" s="1"/>
  <c r="D159" i="6" s="1"/>
  <c r="D160" i="6" s="1"/>
  <c r="D161" i="6" s="1"/>
  <c r="D162" i="6" s="1"/>
  <c r="D163" i="6" s="1"/>
  <c r="D164" i="6" s="1"/>
  <c r="D165" i="6" s="1"/>
  <c r="D166" i="6" s="1"/>
  <c r="D167" i="6" s="1"/>
  <c r="D168" i="6" s="1"/>
  <c r="D169" i="6" s="1"/>
  <c r="D170" i="6" s="1"/>
  <c r="D171" i="6" s="1"/>
  <c r="D172" i="6" s="1"/>
  <c r="D173" i="6" s="1"/>
  <c r="D174" i="6" s="1"/>
  <c r="D175" i="6" s="1"/>
  <c r="D176" i="6" s="1"/>
  <c r="D177" i="6" s="1"/>
  <c r="D178" i="6" s="1"/>
  <c r="D179" i="6" s="1"/>
  <c r="D180" i="6" s="1"/>
  <c r="D181" i="6" s="1"/>
  <c r="D182" i="6" s="1"/>
  <c r="D183" i="6" s="1"/>
  <c r="D3" i="6"/>
  <c r="D4" i="6" s="1"/>
  <c r="D5" i="6" s="1"/>
  <c r="D6" i="6" s="1"/>
  <c r="D7" i="6" s="1"/>
  <c r="D8" i="6" s="1"/>
  <c r="D9" i="6" s="1"/>
  <c r="D10" i="6" s="1"/>
  <c r="D11" i="6" s="1"/>
  <c r="D12" i="6" s="1"/>
  <c r="D13" i="6" s="1"/>
  <c r="D14" i="6" s="1"/>
  <c r="D15" i="6" s="1"/>
  <c r="D16" i="6" s="1"/>
  <c r="D17" i="6" s="1"/>
  <c r="D18" i="6" s="1"/>
  <c r="D19" i="6" s="1"/>
  <c r="D20" i="6" s="1"/>
  <c r="D21" i="6" s="1"/>
  <c r="D22" i="6" s="1"/>
  <c r="D23" i="6" s="1"/>
  <c r="D24" i="6" s="1"/>
  <c r="D25" i="6" s="1"/>
  <c r="D26" i="6" s="1"/>
  <c r="D27" i="6" s="1"/>
  <c r="D28" i="6"/>
  <c r="D29" i="6" s="1"/>
  <c r="C2" i="6"/>
  <c r="H2" i="6"/>
  <c r="I3" i="6"/>
  <c r="I4" i="6" s="1"/>
  <c r="E29" i="6"/>
  <c r="E30" i="6"/>
  <c r="E31" i="6"/>
  <c r="E32" i="6"/>
  <c r="E58" i="6" s="1"/>
  <c r="E84" i="6" s="1"/>
  <c r="E33" i="6"/>
  <c r="E59" i="6" s="1"/>
  <c r="E34" i="6"/>
  <c r="E35" i="6"/>
  <c r="E36" i="6"/>
  <c r="E62" i="6" s="1"/>
  <c r="E37" i="6"/>
  <c r="E38" i="6"/>
  <c r="E39" i="6"/>
  <c r="E40" i="6"/>
  <c r="E41" i="6"/>
  <c r="E42" i="6"/>
  <c r="E68" i="6" s="1"/>
  <c r="E94" i="6" s="1"/>
  <c r="E43" i="6"/>
  <c r="E44" i="6"/>
  <c r="E70" i="6" s="1"/>
  <c r="E96" i="6" s="1"/>
  <c r="E45" i="6"/>
  <c r="E46" i="6"/>
  <c r="E72" i="6" s="1"/>
  <c r="E47" i="6"/>
  <c r="E48" i="6"/>
  <c r="E49" i="6"/>
  <c r="E50" i="6"/>
  <c r="E51" i="6"/>
  <c r="E52" i="6"/>
  <c r="E78" i="6" s="1"/>
  <c r="E104" i="6" s="1"/>
  <c r="E53" i="6"/>
  <c r="E56" i="6"/>
  <c r="E82" i="6" s="1"/>
  <c r="E60" i="6"/>
  <c r="E64" i="6"/>
  <c r="E67" i="6"/>
  <c r="E74" i="6"/>
  <c r="E28" i="6"/>
  <c r="C3" i="6"/>
  <c r="H288" i="1"/>
  <c r="H284" i="1"/>
  <c r="H33" i="1"/>
  <c r="H291" i="1"/>
  <c r="H292" i="1"/>
  <c r="H293" i="1"/>
  <c r="H296" i="1"/>
  <c r="H295" i="1"/>
  <c r="H8" i="1"/>
  <c r="H286" i="1"/>
  <c r="H289" i="1"/>
  <c r="H282" i="1"/>
  <c r="H290" i="1"/>
  <c r="H285" i="1"/>
  <c r="H287" i="1"/>
  <c r="H294" i="1"/>
  <c r="H22" i="1"/>
  <c r="H386" i="1"/>
  <c r="H2" i="1"/>
  <c r="H410" i="1"/>
  <c r="H394" i="1"/>
  <c r="H427" i="1"/>
  <c r="H431" i="1"/>
  <c r="H434" i="1"/>
  <c r="H424" i="1"/>
  <c r="H405" i="1"/>
  <c r="H391" i="1"/>
  <c r="H396" i="1"/>
  <c r="H390" i="1"/>
  <c r="H425" i="1"/>
  <c r="H407" i="1"/>
  <c r="H406" i="1"/>
  <c r="H37" i="1"/>
  <c r="H437" i="1"/>
  <c r="H23" i="1"/>
  <c r="H32" i="1"/>
  <c r="H439" i="1"/>
  <c r="H436" i="1"/>
  <c r="H441" i="1"/>
  <c r="H438" i="1"/>
  <c r="H440" i="1"/>
  <c r="H127" i="1"/>
  <c r="H471" i="1"/>
  <c r="H480" i="1"/>
  <c r="H120" i="1"/>
  <c r="H445" i="1"/>
  <c r="H481" i="1"/>
  <c r="H498" i="1"/>
  <c r="H442" i="1"/>
  <c r="H459" i="1"/>
  <c r="H499" i="1"/>
  <c r="H469" i="1"/>
  <c r="H446" i="1"/>
  <c r="H454" i="1"/>
  <c r="H39" i="1"/>
  <c r="H40" i="1"/>
  <c r="H16" i="1"/>
  <c r="H20" i="1"/>
  <c r="H383" i="1"/>
  <c r="H380" i="1"/>
  <c r="H384" i="1"/>
  <c r="H379" i="1"/>
  <c r="H381" i="1"/>
  <c r="H385" i="1"/>
  <c r="H382" i="1"/>
  <c r="H73" i="1"/>
  <c r="H74" i="1"/>
  <c r="H76" i="1"/>
  <c r="H165" i="1"/>
  <c r="H166" i="1"/>
  <c r="H174" i="1"/>
  <c r="H96" i="1"/>
  <c r="H97" i="1"/>
  <c r="H171" i="1"/>
  <c r="H167" i="1"/>
  <c r="H75" i="1"/>
  <c r="H175" i="1"/>
  <c r="H179" i="1"/>
  <c r="H173" i="1"/>
  <c r="H177" i="1"/>
  <c r="H168" i="1"/>
  <c r="H176" i="1"/>
  <c r="H172" i="1"/>
  <c r="H178" i="1"/>
  <c r="H164" i="1"/>
  <c r="H169" i="1"/>
  <c r="H170" i="1"/>
  <c r="H41" i="1"/>
  <c r="H308" i="1"/>
  <c r="H305" i="1"/>
  <c r="H306" i="1"/>
  <c r="H313" i="1"/>
  <c r="H300" i="1"/>
  <c r="H311" i="1"/>
  <c r="H312" i="1"/>
  <c r="H307" i="1"/>
  <c r="H310" i="1"/>
  <c r="H297" i="1"/>
  <c r="H303" i="1"/>
  <c r="H298" i="1"/>
  <c r="H301" i="1"/>
  <c r="H309" i="1"/>
  <c r="H299" i="1"/>
  <c r="H302" i="1"/>
  <c r="H304" i="1"/>
  <c r="H38" i="1"/>
  <c r="H502" i="1"/>
  <c r="H500" i="1"/>
  <c r="H134" i="1"/>
  <c r="H503" i="1"/>
  <c r="H126" i="1"/>
  <c r="H505" i="1"/>
  <c r="H504" i="1"/>
  <c r="H506" i="1"/>
  <c r="H501" i="1"/>
  <c r="H35" i="1"/>
  <c r="H36" i="1"/>
  <c r="H85" i="1"/>
  <c r="H187" i="1"/>
  <c r="H88" i="1"/>
  <c r="H189" i="1"/>
  <c r="H100" i="1"/>
  <c r="H84" i="1"/>
  <c r="H188" i="1"/>
  <c r="H101" i="1"/>
  <c r="H21" i="1"/>
  <c r="H412" i="1"/>
  <c r="H428" i="1"/>
  <c r="H46" i="1"/>
  <c r="H414" i="1"/>
  <c r="H401" i="1"/>
  <c r="H44" i="1"/>
  <c r="H389" i="1"/>
  <c r="H392" i="1"/>
  <c r="H415" i="1"/>
  <c r="H435" i="1"/>
  <c r="H430" i="1"/>
  <c r="H426" i="1"/>
  <c r="H416" i="1"/>
  <c r="H7" i="1"/>
  <c r="H5" i="1"/>
  <c r="H387" i="1"/>
  <c r="H6" i="1"/>
  <c r="H29" i="1"/>
  <c r="H24" i="1"/>
  <c r="H25" i="1"/>
  <c r="H12" i="1"/>
  <c r="H3" i="1"/>
  <c r="H388" i="1"/>
  <c r="H4" i="1"/>
  <c r="H13" i="1"/>
  <c r="H413" i="1"/>
  <c r="H14" i="1"/>
  <c r="H420" i="1"/>
  <c r="H393" i="1"/>
  <c r="H17" i="1"/>
  <c r="H15" i="1"/>
  <c r="H421" i="1"/>
  <c r="H402" i="1"/>
  <c r="H411" i="1"/>
  <c r="H9" i="1"/>
  <c r="H395" i="1"/>
  <c r="H422" i="1"/>
  <c r="H409" i="1"/>
  <c r="H11" i="1"/>
  <c r="H419" i="1"/>
  <c r="H398" i="1"/>
  <c r="H418" i="1"/>
  <c r="H51" i="1"/>
  <c r="H49" i="1"/>
  <c r="H50" i="1"/>
  <c r="H423" i="1"/>
  <c r="H432" i="1"/>
  <c r="H433" i="1"/>
  <c r="H400" i="1"/>
  <c r="H52" i="1"/>
  <c r="H399" i="1"/>
  <c r="H54" i="1"/>
  <c r="H53" i="1"/>
  <c r="H403" i="1"/>
  <c r="H417" i="1"/>
  <c r="H408" i="1"/>
  <c r="H429" i="1"/>
  <c r="H397" i="1"/>
  <c r="H404" i="1"/>
  <c r="H461" i="1"/>
  <c r="H460" i="1"/>
  <c r="H470" i="1"/>
  <c r="H452" i="1"/>
  <c r="H122" i="1"/>
  <c r="H123" i="1"/>
  <c r="H121" i="1"/>
  <c r="H484" i="1"/>
  <c r="H468" i="1"/>
  <c r="H456" i="1"/>
  <c r="H488" i="1"/>
  <c r="H467" i="1"/>
  <c r="H489" i="1"/>
  <c r="H482" i="1"/>
  <c r="H450" i="1"/>
  <c r="H449" i="1"/>
  <c r="H128" i="1"/>
  <c r="H129" i="1"/>
  <c r="H475" i="1"/>
  <c r="H474" i="1"/>
  <c r="H479" i="1"/>
  <c r="H109" i="1"/>
  <c r="H124" i="1"/>
  <c r="H472" i="1"/>
  <c r="H473" i="1"/>
  <c r="H462" i="1"/>
  <c r="H486" i="1"/>
  <c r="H496" i="1"/>
  <c r="H453" i="1"/>
  <c r="H492" i="1"/>
  <c r="H490" i="1"/>
  <c r="H110" i="1"/>
  <c r="H114" i="1"/>
  <c r="H113" i="1"/>
  <c r="H111" i="1"/>
  <c r="H112" i="1"/>
  <c r="H115" i="1"/>
  <c r="H478" i="1"/>
  <c r="H125" i="1"/>
  <c r="H493" i="1"/>
  <c r="H464" i="1"/>
  <c r="H131" i="1"/>
  <c r="H476" i="1"/>
  <c r="H477" i="1"/>
  <c r="H457" i="1"/>
  <c r="H463" i="1"/>
  <c r="H444" i="1"/>
  <c r="H497" i="1"/>
  <c r="H116" i="1"/>
  <c r="H465" i="1"/>
  <c r="H448" i="1"/>
  <c r="H495" i="1"/>
  <c r="H130" i="1"/>
  <c r="H117" i="1"/>
  <c r="H485" i="1"/>
  <c r="H458" i="1"/>
  <c r="H443" i="1"/>
  <c r="H118" i="1"/>
  <c r="H132" i="1"/>
  <c r="H487" i="1"/>
  <c r="H491" i="1"/>
  <c r="H483" i="1"/>
  <c r="H133" i="1"/>
  <c r="H494" i="1"/>
  <c r="H451" i="1"/>
  <c r="H455" i="1"/>
  <c r="H466" i="1"/>
  <c r="H119" i="1"/>
  <c r="H447" i="1"/>
  <c r="H191" i="1"/>
  <c r="H198" i="1"/>
  <c r="H192" i="1"/>
  <c r="H201" i="1"/>
  <c r="H203" i="1"/>
  <c r="H199" i="1"/>
  <c r="H210" i="1"/>
  <c r="H205" i="1"/>
  <c r="H194" i="1"/>
  <c r="H204" i="1"/>
  <c r="H196" i="1"/>
  <c r="H206" i="1"/>
  <c r="H211" i="1"/>
  <c r="H200" i="1"/>
  <c r="H193" i="1"/>
  <c r="H195" i="1"/>
  <c r="H197" i="1"/>
  <c r="H208" i="1"/>
  <c r="H209" i="1"/>
  <c r="H207" i="1"/>
  <c r="H190" i="1"/>
  <c r="H212" i="1"/>
  <c r="H202" i="1"/>
  <c r="H230" i="1"/>
  <c r="H231" i="1"/>
  <c r="H221" i="1"/>
  <c r="H222" i="1"/>
  <c r="H229" i="1"/>
  <c r="H224" i="1"/>
  <c r="H232" i="1"/>
  <c r="H225" i="1"/>
  <c r="H233" i="1"/>
  <c r="H219" i="1"/>
  <c r="H215" i="1"/>
  <c r="H226" i="1"/>
  <c r="H227" i="1"/>
  <c r="H223" i="1"/>
  <c r="H216" i="1"/>
  <c r="H214" i="1"/>
  <c r="H218" i="1"/>
  <c r="H213" i="1"/>
  <c r="H217" i="1"/>
  <c r="H228" i="1"/>
  <c r="H220" i="1"/>
  <c r="H238" i="1"/>
  <c r="H252" i="1"/>
  <c r="H245" i="1"/>
  <c r="H234" i="1"/>
  <c r="H235" i="1"/>
  <c r="H249" i="1"/>
  <c r="H47" i="1"/>
  <c r="H236" i="1"/>
  <c r="H48" i="1"/>
  <c r="H241" i="1"/>
  <c r="H239" i="1"/>
  <c r="H244" i="1"/>
  <c r="H240" i="1"/>
  <c r="H45" i="1"/>
  <c r="H248" i="1"/>
  <c r="H251" i="1"/>
  <c r="H242" i="1"/>
  <c r="H243" i="1"/>
  <c r="H237" i="1"/>
  <c r="H250" i="1"/>
  <c r="H246" i="1"/>
  <c r="H247" i="1"/>
  <c r="H42" i="1"/>
  <c r="H28" i="1"/>
  <c r="H102" i="1"/>
  <c r="H103" i="1"/>
  <c r="H27" i="1"/>
  <c r="H107" i="1"/>
  <c r="H43" i="1"/>
  <c r="H257" i="1"/>
  <c r="H34" i="1"/>
  <c r="H253" i="1"/>
  <c r="H106" i="1"/>
  <c r="H255" i="1"/>
  <c r="H256" i="1"/>
  <c r="H259" i="1"/>
  <c r="H254" i="1"/>
  <c r="H105" i="1"/>
  <c r="H108" i="1"/>
  <c r="H260" i="1"/>
  <c r="H104" i="1"/>
  <c r="H258" i="1"/>
  <c r="H263" i="1"/>
  <c r="H262" i="1"/>
  <c r="H261" i="1"/>
  <c r="H270" i="1"/>
  <c r="H272" i="1"/>
  <c r="H268" i="1"/>
  <c r="H271" i="1"/>
  <c r="H264" i="1"/>
  <c r="H274" i="1"/>
  <c r="H265" i="1"/>
  <c r="H279" i="1"/>
  <c r="H280" i="1"/>
  <c r="H266" i="1"/>
  <c r="H267" i="1"/>
  <c r="H269" i="1"/>
  <c r="H273" i="1"/>
  <c r="H275" i="1"/>
  <c r="H278" i="1"/>
  <c r="H281" i="1"/>
  <c r="H277" i="1"/>
  <c r="H276" i="1"/>
  <c r="H58" i="1"/>
  <c r="H59" i="1"/>
  <c r="H137" i="1"/>
  <c r="H56" i="1"/>
  <c r="H62" i="1"/>
  <c r="H55" i="1"/>
  <c r="H145" i="1"/>
  <c r="H57" i="1"/>
  <c r="H136" i="1"/>
  <c r="H89" i="1"/>
  <c r="H90" i="1"/>
  <c r="H86" i="1"/>
  <c r="H60" i="1"/>
  <c r="H61" i="1"/>
  <c r="H139" i="1"/>
  <c r="H141" i="1"/>
  <c r="H142" i="1"/>
  <c r="H144" i="1"/>
  <c r="H135" i="1"/>
  <c r="H138" i="1"/>
  <c r="H143" i="1"/>
  <c r="H140" i="1"/>
  <c r="H63" i="1"/>
  <c r="H66" i="1"/>
  <c r="H153" i="1"/>
  <c r="H64" i="1"/>
  <c r="H146" i="1"/>
  <c r="H67" i="1"/>
  <c r="H92" i="1"/>
  <c r="H68" i="1"/>
  <c r="H149" i="1"/>
  <c r="H65" i="1"/>
  <c r="H148" i="1"/>
  <c r="H147" i="1"/>
  <c r="H91" i="1"/>
  <c r="H93" i="1"/>
  <c r="H154" i="1"/>
  <c r="H152" i="1"/>
  <c r="H151" i="1"/>
  <c r="H150" i="1"/>
  <c r="H70" i="1"/>
  <c r="H71" i="1"/>
  <c r="H69" i="1"/>
  <c r="H95" i="1"/>
  <c r="H72" i="1"/>
  <c r="H159" i="1"/>
  <c r="H160" i="1"/>
  <c r="H158" i="1"/>
  <c r="H157" i="1"/>
  <c r="H94" i="1"/>
  <c r="H155" i="1"/>
  <c r="H156" i="1"/>
  <c r="H162" i="1"/>
  <c r="H163" i="1"/>
  <c r="H161" i="1"/>
  <c r="H77" i="1"/>
  <c r="H180" i="1"/>
  <c r="H81" i="1"/>
  <c r="H79" i="1"/>
  <c r="H183" i="1"/>
  <c r="H99" i="1"/>
  <c r="H82" i="1"/>
  <c r="H78" i="1"/>
  <c r="H83" i="1"/>
  <c r="H98" i="1"/>
  <c r="H185" i="1"/>
  <c r="H184" i="1"/>
  <c r="H80" i="1"/>
  <c r="H87" i="1"/>
  <c r="H182" i="1"/>
  <c r="H181" i="1"/>
  <c r="H186" i="1"/>
  <c r="H315" i="1"/>
  <c r="H323" i="1"/>
  <c r="H326" i="1"/>
  <c r="H316" i="1"/>
  <c r="H318" i="1"/>
  <c r="H327" i="1"/>
  <c r="H331" i="1"/>
  <c r="H325" i="1"/>
  <c r="H317" i="1"/>
  <c r="H329" i="1"/>
  <c r="H314" i="1"/>
  <c r="H320" i="1"/>
  <c r="H321" i="1"/>
  <c r="H319" i="1"/>
  <c r="H322" i="1"/>
  <c r="H324" i="1"/>
  <c r="H330" i="1"/>
  <c r="H328" i="1"/>
  <c r="H332" i="1"/>
  <c r="H342" i="1"/>
  <c r="H343" i="1"/>
  <c r="H344" i="1"/>
  <c r="H345" i="1"/>
  <c r="H347" i="1"/>
  <c r="H333" i="1"/>
  <c r="H338" i="1"/>
  <c r="H341" i="1"/>
  <c r="H346" i="1"/>
  <c r="H337" i="1"/>
  <c r="H340" i="1"/>
  <c r="H339" i="1"/>
  <c r="H335" i="1"/>
  <c r="H334" i="1"/>
  <c r="H336" i="1"/>
  <c r="H348" i="1"/>
  <c r="H349" i="1"/>
  <c r="H351" i="1"/>
  <c r="H362" i="1"/>
  <c r="H356" i="1"/>
  <c r="H359" i="1"/>
  <c r="H357" i="1"/>
  <c r="H358" i="1"/>
  <c r="H353" i="1"/>
  <c r="H360" i="1"/>
  <c r="H350" i="1"/>
  <c r="H354" i="1"/>
  <c r="H361" i="1"/>
  <c r="H355" i="1"/>
  <c r="H352" i="1"/>
  <c r="H30" i="1"/>
  <c r="H18" i="1"/>
  <c r="H19" i="1"/>
  <c r="H372" i="1"/>
  <c r="H10" i="1"/>
  <c r="H371" i="1"/>
  <c r="H31" i="1"/>
  <c r="H370" i="1"/>
  <c r="H367" i="1"/>
  <c r="H363" i="1"/>
  <c r="H368" i="1"/>
  <c r="H374" i="1"/>
  <c r="H366" i="1"/>
  <c r="H26" i="1"/>
  <c r="H376" i="1"/>
  <c r="H364" i="1"/>
  <c r="H369" i="1"/>
  <c r="H375" i="1"/>
  <c r="H365" i="1"/>
  <c r="H373" i="1"/>
  <c r="H378" i="1"/>
  <c r="H377" i="1"/>
  <c r="H283" i="1"/>
  <c r="F40" i="1"/>
  <c r="F16" i="1"/>
  <c r="F20" i="1"/>
  <c r="F383" i="1"/>
  <c r="F380" i="1"/>
  <c r="G380" i="1" s="1"/>
  <c r="F384" i="1"/>
  <c r="F379" i="1"/>
  <c r="F381" i="1"/>
  <c r="F385" i="1"/>
  <c r="F382" i="1"/>
  <c r="F41" i="1"/>
  <c r="G41" i="1" s="1"/>
  <c r="F308" i="1"/>
  <c r="G308" i="1" s="1"/>
  <c r="F305" i="1"/>
  <c r="G305" i="1" s="1"/>
  <c r="F306" i="1"/>
  <c r="G306" i="1" s="1"/>
  <c r="F313" i="1"/>
  <c r="G313" i="1" s="1"/>
  <c r="F300" i="1"/>
  <c r="G300" i="1" s="1"/>
  <c r="F311" i="1"/>
  <c r="G311" i="1" s="1"/>
  <c r="F312" i="1"/>
  <c r="G312" i="1" s="1"/>
  <c r="F307" i="1"/>
  <c r="G307" i="1" s="1"/>
  <c r="F310" i="1"/>
  <c r="G310" i="1" s="1"/>
  <c r="F297" i="1"/>
  <c r="G297" i="1" s="1"/>
  <c r="F303" i="1"/>
  <c r="G303" i="1" s="1"/>
  <c r="F298" i="1"/>
  <c r="G298" i="1" s="1"/>
  <c r="F301" i="1"/>
  <c r="G301" i="1" s="1"/>
  <c r="F309" i="1"/>
  <c r="G309" i="1" s="1"/>
  <c r="F299" i="1"/>
  <c r="G299" i="1" s="1"/>
  <c r="F302" i="1"/>
  <c r="G302" i="1" s="1"/>
  <c r="F304" i="1"/>
  <c r="G304" i="1" s="1"/>
  <c r="F315" i="1"/>
  <c r="G315" i="1" s="1"/>
  <c r="F323" i="1"/>
  <c r="G323" i="1" s="1"/>
  <c r="F326" i="1"/>
  <c r="G326" i="1" s="1"/>
  <c r="F316" i="1"/>
  <c r="G316" i="1" s="1"/>
  <c r="F318" i="1"/>
  <c r="G318" i="1" s="1"/>
  <c r="F327" i="1"/>
  <c r="G327" i="1" s="1"/>
  <c r="F331" i="1"/>
  <c r="G331" i="1" s="1"/>
  <c r="F325" i="1"/>
  <c r="G325" i="1" s="1"/>
  <c r="F317" i="1"/>
  <c r="G317" i="1" s="1"/>
  <c r="F329" i="1"/>
  <c r="G329" i="1" s="1"/>
  <c r="F314" i="1"/>
  <c r="G314" i="1" s="1"/>
  <c r="F320" i="1"/>
  <c r="G320" i="1" s="1"/>
  <c r="F321" i="1"/>
  <c r="G321" i="1" s="1"/>
  <c r="F319" i="1"/>
  <c r="G319" i="1" s="1"/>
  <c r="F322" i="1"/>
  <c r="G322" i="1" s="1"/>
  <c r="F324" i="1"/>
  <c r="G324" i="1" s="1"/>
  <c r="F330" i="1"/>
  <c r="G330" i="1" s="1"/>
  <c r="F328" i="1"/>
  <c r="G328" i="1" s="1"/>
  <c r="F332" i="1"/>
  <c r="G332" i="1" s="1"/>
  <c r="F342" i="1"/>
  <c r="G342" i="1" s="1"/>
  <c r="F343" i="1"/>
  <c r="G343" i="1" s="1"/>
  <c r="F344" i="1"/>
  <c r="G344" i="1" s="1"/>
  <c r="F345" i="1"/>
  <c r="G345" i="1" s="1"/>
  <c r="F347" i="1"/>
  <c r="G347" i="1" s="1"/>
  <c r="F333" i="1"/>
  <c r="G333" i="1" s="1"/>
  <c r="F338" i="1"/>
  <c r="G338" i="1" s="1"/>
  <c r="F341" i="1"/>
  <c r="G341" i="1" s="1"/>
  <c r="F346" i="1"/>
  <c r="G346" i="1" s="1"/>
  <c r="F337" i="1"/>
  <c r="G337" i="1" s="1"/>
  <c r="F340" i="1"/>
  <c r="G340" i="1" s="1"/>
  <c r="F339" i="1"/>
  <c r="G339" i="1" s="1"/>
  <c r="F335" i="1"/>
  <c r="G335" i="1" s="1"/>
  <c r="F334" i="1"/>
  <c r="G334" i="1" s="1"/>
  <c r="F336" i="1"/>
  <c r="G336" i="1" s="1"/>
  <c r="F348" i="1"/>
  <c r="G348" i="1" s="1"/>
  <c r="F349" i="1"/>
  <c r="G349" i="1" s="1"/>
  <c r="F351" i="1"/>
  <c r="G351" i="1" s="1"/>
  <c r="F362" i="1"/>
  <c r="G362" i="1" s="1"/>
  <c r="F356" i="1"/>
  <c r="G356" i="1" s="1"/>
  <c r="F359" i="1"/>
  <c r="G359" i="1" s="1"/>
  <c r="F357" i="1"/>
  <c r="G357" i="1" s="1"/>
  <c r="F358" i="1"/>
  <c r="G358" i="1" s="1"/>
  <c r="F353" i="1"/>
  <c r="G353" i="1" s="1"/>
  <c r="F360" i="1"/>
  <c r="G360" i="1" s="1"/>
  <c r="F350" i="1"/>
  <c r="G350" i="1" s="1"/>
  <c r="F354" i="1"/>
  <c r="G354" i="1" s="1"/>
  <c r="F361" i="1"/>
  <c r="G361" i="1" s="1"/>
  <c r="F355" i="1"/>
  <c r="G355" i="1" s="1"/>
  <c r="F352" i="1"/>
  <c r="G352" i="1" s="1"/>
  <c r="F30" i="1"/>
  <c r="G30" i="1" s="1"/>
  <c r="F18" i="1"/>
  <c r="G18" i="1" s="1"/>
  <c r="F19" i="1"/>
  <c r="G19" i="1" s="1"/>
  <c r="F372" i="1"/>
  <c r="G372" i="1" s="1"/>
  <c r="F10" i="1"/>
  <c r="G10" i="1" s="1"/>
  <c r="F371" i="1"/>
  <c r="G371" i="1" s="1"/>
  <c r="F31" i="1"/>
  <c r="G31" i="1" s="1"/>
  <c r="F370" i="1"/>
  <c r="G370" i="1" s="1"/>
  <c r="F367" i="1"/>
  <c r="G367" i="1" s="1"/>
  <c r="F363" i="1"/>
  <c r="G363" i="1" s="1"/>
  <c r="F368" i="1"/>
  <c r="G368" i="1" s="1"/>
  <c r="F374" i="1"/>
  <c r="G374" i="1" s="1"/>
  <c r="F366" i="1"/>
  <c r="G366" i="1" s="1"/>
  <c r="F26" i="1"/>
  <c r="G26" i="1" s="1"/>
  <c r="F376" i="1"/>
  <c r="G376" i="1" s="1"/>
  <c r="F364" i="1"/>
  <c r="G364" i="1" s="1"/>
  <c r="F369" i="1"/>
  <c r="G369" i="1" s="1"/>
  <c r="F375" i="1"/>
  <c r="G375" i="1" s="1"/>
  <c r="F365" i="1"/>
  <c r="G365" i="1" s="1"/>
  <c r="F373" i="1"/>
  <c r="G373" i="1" s="1"/>
  <c r="F378" i="1"/>
  <c r="G378" i="1" s="1"/>
  <c r="F377" i="1"/>
  <c r="G377" i="1" s="1"/>
  <c r="F35" i="1"/>
  <c r="G35" i="1" s="1"/>
  <c r="F36" i="1"/>
  <c r="F85" i="1"/>
  <c r="F187" i="1"/>
  <c r="F88" i="1"/>
  <c r="F189" i="1"/>
  <c r="F100" i="1"/>
  <c r="F84" i="1"/>
  <c r="F188" i="1"/>
  <c r="G188" i="1" s="1"/>
  <c r="F101" i="1"/>
  <c r="F58" i="1"/>
  <c r="G58" i="1" s="1"/>
  <c r="F59" i="1"/>
  <c r="G59" i="1" s="1"/>
  <c r="F137" i="1"/>
  <c r="G137" i="1" s="1"/>
  <c r="F56" i="1"/>
  <c r="G56" i="1" s="1"/>
  <c r="F62" i="1"/>
  <c r="G62" i="1" s="1"/>
  <c r="F55" i="1"/>
  <c r="G55" i="1" s="1"/>
  <c r="F145" i="1"/>
  <c r="G145" i="1" s="1"/>
  <c r="F57" i="1"/>
  <c r="G57" i="1" s="1"/>
  <c r="F136" i="1"/>
  <c r="G136" i="1" s="1"/>
  <c r="F89" i="1"/>
  <c r="G89" i="1" s="1"/>
  <c r="F90" i="1"/>
  <c r="G90" i="1" s="1"/>
  <c r="F86" i="1"/>
  <c r="G86" i="1" s="1"/>
  <c r="F60" i="1"/>
  <c r="G60" i="1" s="1"/>
  <c r="F61" i="1"/>
  <c r="G61" i="1" s="1"/>
  <c r="F139" i="1"/>
  <c r="G139" i="1" s="1"/>
  <c r="F141" i="1"/>
  <c r="G141" i="1" s="1"/>
  <c r="F142" i="1"/>
  <c r="G142" i="1" s="1"/>
  <c r="F144" i="1"/>
  <c r="G144" i="1" s="1"/>
  <c r="F135" i="1"/>
  <c r="G135" i="1" s="1"/>
  <c r="F138" i="1"/>
  <c r="G138" i="1" s="1"/>
  <c r="F143" i="1"/>
  <c r="G143" i="1" s="1"/>
  <c r="F140" i="1"/>
  <c r="G140" i="1" s="1"/>
  <c r="F63" i="1"/>
  <c r="G63" i="1" s="1"/>
  <c r="F66" i="1"/>
  <c r="G66" i="1" s="1"/>
  <c r="F153" i="1"/>
  <c r="G153" i="1" s="1"/>
  <c r="F64" i="1"/>
  <c r="G64" i="1" s="1"/>
  <c r="F146" i="1"/>
  <c r="G146" i="1" s="1"/>
  <c r="F67" i="1"/>
  <c r="G67" i="1" s="1"/>
  <c r="F92" i="1"/>
  <c r="G92" i="1" s="1"/>
  <c r="F68" i="1"/>
  <c r="G68" i="1" s="1"/>
  <c r="F149" i="1"/>
  <c r="G149" i="1" s="1"/>
  <c r="F65" i="1"/>
  <c r="G65" i="1" s="1"/>
  <c r="F148" i="1"/>
  <c r="G148" i="1" s="1"/>
  <c r="F147" i="1"/>
  <c r="G147" i="1" s="1"/>
  <c r="F91" i="1"/>
  <c r="G91" i="1" s="1"/>
  <c r="F93" i="1"/>
  <c r="G93" i="1" s="1"/>
  <c r="F154" i="1"/>
  <c r="G154" i="1" s="1"/>
  <c r="F152" i="1"/>
  <c r="G152" i="1" s="1"/>
  <c r="F151" i="1"/>
  <c r="G151" i="1" s="1"/>
  <c r="F150" i="1"/>
  <c r="G150" i="1" s="1"/>
  <c r="F70" i="1"/>
  <c r="G70" i="1" s="1"/>
  <c r="F71" i="1"/>
  <c r="G71" i="1" s="1"/>
  <c r="F69" i="1"/>
  <c r="G69" i="1" s="1"/>
  <c r="F95" i="1"/>
  <c r="G95" i="1" s="1"/>
  <c r="F72" i="1"/>
  <c r="G72" i="1" s="1"/>
  <c r="F159" i="1"/>
  <c r="G159" i="1" s="1"/>
  <c r="F160" i="1"/>
  <c r="G160" i="1" s="1"/>
  <c r="F158" i="1"/>
  <c r="G158" i="1" s="1"/>
  <c r="F157" i="1"/>
  <c r="G157" i="1" s="1"/>
  <c r="F94" i="1"/>
  <c r="G94" i="1" s="1"/>
  <c r="F155" i="1"/>
  <c r="G155" i="1" s="1"/>
  <c r="F156" i="1"/>
  <c r="G156" i="1" s="1"/>
  <c r="F162" i="1"/>
  <c r="G162" i="1" s="1"/>
  <c r="F163" i="1"/>
  <c r="G163" i="1" s="1"/>
  <c r="F161" i="1"/>
  <c r="G161" i="1" s="1"/>
  <c r="F73" i="1"/>
  <c r="G73" i="1" s="1"/>
  <c r="F74" i="1"/>
  <c r="G74" i="1" s="1"/>
  <c r="F76" i="1"/>
  <c r="G76" i="1" s="1"/>
  <c r="F165" i="1"/>
  <c r="G165" i="1" s="1"/>
  <c r="F166" i="1"/>
  <c r="G166" i="1" s="1"/>
  <c r="F174" i="1"/>
  <c r="G174" i="1" s="1"/>
  <c r="F96" i="1"/>
  <c r="G96" i="1" s="1"/>
  <c r="F97" i="1"/>
  <c r="G97" i="1" s="1"/>
  <c r="F171" i="1"/>
  <c r="G171" i="1" s="1"/>
  <c r="F167" i="1"/>
  <c r="G167" i="1" s="1"/>
  <c r="F75" i="1"/>
  <c r="G75" i="1" s="1"/>
  <c r="F175" i="1"/>
  <c r="G175" i="1" s="1"/>
  <c r="F179" i="1"/>
  <c r="G179" i="1" s="1"/>
  <c r="F173" i="1"/>
  <c r="G173" i="1" s="1"/>
  <c r="F177" i="1"/>
  <c r="G177" i="1" s="1"/>
  <c r="F168" i="1"/>
  <c r="G168" i="1" s="1"/>
  <c r="F176" i="1"/>
  <c r="G176" i="1" s="1"/>
  <c r="F172" i="1"/>
  <c r="G172" i="1" s="1"/>
  <c r="F178" i="1"/>
  <c r="G178" i="1" s="1"/>
  <c r="F164" i="1"/>
  <c r="G164" i="1" s="1"/>
  <c r="F169" i="1"/>
  <c r="G169" i="1" s="1"/>
  <c r="F170" i="1"/>
  <c r="G170" i="1" s="1"/>
  <c r="F77" i="1"/>
  <c r="G77" i="1" s="1"/>
  <c r="F180" i="1"/>
  <c r="G180" i="1" s="1"/>
  <c r="F81" i="1"/>
  <c r="G81" i="1" s="1"/>
  <c r="F79" i="1"/>
  <c r="G79" i="1" s="1"/>
  <c r="F183" i="1"/>
  <c r="G183" i="1" s="1"/>
  <c r="F99" i="1"/>
  <c r="G99" i="1" s="1"/>
  <c r="F82" i="1"/>
  <c r="G82" i="1" s="1"/>
  <c r="F78" i="1"/>
  <c r="G78" i="1" s="1"/>
  <c r="F83" i="1"/>
  <c r="G83" i="1" s="1"/>
  <c r="F98" i="1"/>
  <c r="G98" i="1" s="1"/>
  <c r="F185" i="1"/>
  <c r="G185" i="1" s="1"/>
  <c r="F184" i="1"/>
  <c r="G184" i="1" s="1"/>
  <c r="F80" i="1"/>
  <c r="G80" i="1" s="1"/>
  <c r="F87" i="1"/>
  <c r="G87" i="1" s="1"/>
  <c r="F182" i="1"/>
  <c r="G182" i="1" s="1"/>
  <c r="F181" i="1"/>
  <c r="G181" i="1" s="1"/>
  <c r="F186" i="1"/>
  <c r="G186" i="1" s="1"/>
  <c r="F283" i="1"/>
  <c r="F288" i="1"/>
  <c r="F284" i="1"/>
  <c r="F33" i="1"/>
  <c r="F291" i="1"/>
  <c r="G291" i="1" s="1"/>
  <c r="F292" i="1"/>
  <c r="F293" i="1"/>
  <c r="F296" i="1"/>
  <c r="F295" i="1"/>
  <c r="F8" i="1"/>
  <c r="F286" i="1"/>
  <c r="F289" i="1"/>
  <c r="F282" i="1"/>
  <c r="G282" i="1" s="1"/>
  <c r="F290" i="1"/>
  <c r="F285" i="1"/>
  <c r="F287" i="1"/>
  <c r="F294" i="1"/>
  <c r="F191" i="1"/>
  <c r="G191" i="1" s="1"/>
  <c r="F198" i="1"/>
  <c r="G198" i="1" s="1"/>
  <c r="F192" i="1"/>
  <c r="G192" i="1" s="1"/>
  <c r="F201" i="1"/>
  <c r="G201" i="1" s="1"/>
  <c r="F203" i="1"/>
  <c r="G203" i="1" s="1"/>
  <c r="F199" i="1"/>
  <c r="G199" i="1" s="1"/>
  <c r="F210" i="1"/>
  <c r="G210" i="1" s="1"/>
  <c r="F205" i="1"/>
  <c r="G205" i="1" s="1"/>
  <c r="F194" i="1"/>
  <c r="G194" i="1" s="1"/>
  <c r="F204" i="1"/>
  <c r="G204" i="1" s="1"/>
  <c r="F196" i="1"/>
  <c r="G196" i="1" s="1"/>
  <c r="F206" i="1"/>
  <c r="G206" i="1" s="1"/>
  <c r="F211" i="1"/>
  <c r="G211" i="1" s="1"/>
  <c r="F200" i="1"/>
  <c r="G200" i="1" s="1"/>
  <c r="F193" i="1"/>
  <c r="G193" i="1" s="1"/>
  <c r="F195" i="1"/>
  <c r="G195" i="1" s="1"/>
  <c r="F197" i="1"/>
  <c r="G197" i="1" s="1"/>
  <c r="F208" i="1"/>
  <c r="G208" i="1" s="1"/>
  <c r="F209" i="1"/>
  <c r="G209" i="1" s="1"/>
  <c r="F207" i="1"/>
  <c r="G207" i="1" s="1"/>
  <c r="F190" i="1"/>
  <c r="G190" i="1" s="1"/>
  <c r="F212" i="1"/>
  <c r="G212" i="1" s="1"/>
  <c r="F202" i="1"/>
  <c r="G202" i="1" s="1"/>
  <c r="F230" i="1"/>
  <c r="G230" i="1" s="1"/>
  <c r="F231" i="1"/>
  <c r="G231" i="1" s="1"/>
  <c r="F221" i="1"/>
  <c r="G221" i="1" s="1"/>
  <c r="F222" i="1"/>
  <c r="G222" i="1" s="1"/>
  <c r="F229" i="1"/>
  <c r="G229" i="1" s="1"/>
  <c r="F224" i="1"/>
  <c r="G224" i="1" s="1"/>
  <c r="F232" i="1"/>
  <c r="G232" i="1" s="1"/>
  <c r="F225" i="1"/>
  <c r="G225" i="1" s="1"/>
  <c r="F233" i="1"/>
  <c r="G233" i="1" s="1"/>
  <c r="F219" i="1"/>
  <c r="G219" i="1" s="1"/>
  <c r="F215" i="1"/>
  <c r="G215" i="1" s="1"/>
  <c r="F226" i="1"/>
  <c r="G226" i="1" s="1"/>
  <c r="F227" i="1"/>
  <c r="G227" i="1" s="1"/>
  <c r="F223" i="1"/>
  <c r="G223" i="1" s="1"/>
  <c r="F216" i="1"/>
  <c r="G216" i="1" s="1"/>
  <c r="F214" i="1"/>
  <c r="G214" i="1" s="1"/>
  <c r="F218" i="1"/>
  <c r="G218" i="1" s="1"/>
  <c r="F213" i="1"/>
  <c r="G213" i="1" s="1"/>
  <c r="F217" i="1"/>
  <c r="G217" i="1" s="1"/>
  <c r="F228" i="1"/>
  <c r="G228" i="1" s="1"/>
  <c r="F220" i="1"/>
  <c r="G220" i="1" s="1"/>
  <c r="F238" i="1"/>
  <c r="G238" i="1" s="1"/>
  <c r="F252" i="1"/>
  <c r="G252" i="1" s="1"/>
  <c r="F245" i="1"/>
  <c r="G245" i="1" s="1"/>
  <c r="F234" i="1"/>
  <c r="G234" i="1" s="1"/>
  <c r="F235" i="1"/>
  <c r="G235" i="1" s="1"/>
  <c r="F249" i="1"/>
  <c r="G249" i="1" s="1"/>
  <c r="F47" i="1"/>
  <c r="G47" i="1" s="1"/>
  <c r="F236" i="1"/>
  <c r="G236" i="1" s="1"/>
  <c r="F48" i="1"/>
  <c r="G48" i="1" s="1"/>
  <c r="F241" i="1"/>
  <c r="G241" i="1" s="1"/>
  <c r="F239" i="1"/>
  <c r="G239" i="1" s="1"/>
  <c r="F244" i="1"/>
  <c r="G244" i="1" s="1"/>
  <c r="F240" i="1"/>
  <c r="G240" i="1" s="1"/>
  <c r="F45" i="1"/>
  <c r="G45" i="1" s="1"/>
  <c r="F248" i="1"/>
  <c r="G248" i="1" s="1"/>
  <c r="F251" i="1"/>
  <c r="G251" i="1" s="1"/>
  <c r="F242" i="1"/>
  <c r="G242" i="1" s="1"/>
  <c r="F243" i="1"/>
  <c r="G243" i="1" s="1"/>
  <c r="F237" i="1"/>
  <c r="G237" i="1" s="1"/>
  <c r="F250" i="1"/>
  <c r="G250" i="1" s="1"/>
  <c r="F246" i="1"/>
  <c r="G246" i="1" s="1"/>
  <c r="F247" i="1"/>
  <c r="G247" i="1" s="1"/>
  <c r="F42" i="1"/>
  <c r="G42" i="1" s="1"/>
  <c r="F28" i="1"/>
  <c r="G28" i="1" s="1"/>
  <c r="F102" i="1"/>
  <c r="G102" i="1" s="1"/>
  <c r="F103" i="1"/>
  <c r="G103" i="1" s="1"/>
  <c r="F27" i="1"/>
  <c r="G27" i="1" s="1"/>
  <c r="F107" i="1"/>
  <c r="G107" i="1" s="1"/>
  <c r="F43" i="1"/>
  <c r="G43" i="1" s="1"/>
  <c r="F257" i="1"/>
  <c r="G257" i="1" s="1"/>
  <c r="F34" i="1"/>
  <c r="G34" i="1" s="1"/>
  <c r="F253" i="1"/>
  <c r="G253" i="1" s="1"/>
  <c r="F106" i="1"/>
  <c r="G106" i="1" s="1"/>
  <c r="F255" i="1"/>
  <c r="G255" i="1" s="1"/>
  <c r="F256" i="1"/>
  <c r="G256" i="1" s="1"/>
  <c r="F259" i="1"/>
  <c r="G259" i="1" s="1"/>
  <c r="F254" i="1"/>
  <c r="G254" i="1" s="1"/>
  <c r="F105" i="1"/>
  <c r="G105" i="1" s="1"/>
  <c r="F108" i="1"/>
  <c r="G108" i="1" s="1"/>
  <c r="F260" i="1"/>
  <c r="G260" i="1" s="1"/>
  <c r="F104" i="1"/>
  <c r="G104" i="1" s="1"/>
  <c r="F258" i="1"/>
  <c r="G258" i="1" s="1"/>
  <c r="F263" i="1"/>
  <c r="G263" i="1" s="1"/>
  <c r="F262" i="1"/>
  <c r="G262" i="1" s="1"/>
  <c r="F261" i="1"/>
  <c r="G261" i="1" s="1"/>
  <c r="F270" i="1"/>
  <c r="G270" i="1" s="1"/>
  <c r="F272" i="1"/>
  <c r="G272" i="1" s="1"/>
  <c r="F268" i="1"/>
  <c r="G268" i="1" s="1"/>
  <c r="F271" i="1"/>
  <c r="G271" i="1" s="1"/>
  <c r="F264" i="1"/>
  <c r="G264" i="1" s="1"/>
  <c r="F274" i="1"/>
  <c r="G274" i="1" s="1"/>
  <c r="F265" i="1"/>
  <c r="G265" i="1" s="1"/>
  <c r="F279" i="1"/>
  <c r="G279" i="1" s="1"/>
  <c r="F280" i="1"/>
  <c r="G280" i="1" s="1"/>
  <c r="F266" i="1"/>
  <c r="G266" i="1" s="1"/>
  <c r="F267" i="1"/>
  <c r="G267" i="1" s="1"/>
  <c r="F269" i="1"/>
  <c r="G269" i="1" s="1"/>
  <c r="F273" i="1"/>
  <c r="G273" i="1" s="1"/>
  <c r="F275" i="1"/>
  <c r="G275" i="1" s="1"/>
  <c r="F278" i="1"/>
  <c r="G278" i="1" s="1"/>
  <c r="F281" i="1"/>
  <c r="G281" i="1" s="1"/>
  <c r="F277" i="1"/>
  <c r="G277" i="1" s="1"/>
  <c r="F276" i="1"/>
  <c r="G276" i="1" s="1"/>
  <c r="F38" i="1"/>
  <c r="F502" i="1"/>
  <c r="F500" i="1"/>
  <c r="G500" i="1" s="1"/>
  <c r="F134" i="1"/>
  <c r="F503" i="1"/>
  <c r="F126" i="1"/>
  <c r="F505" i="1"/>
  <c r="F504" i="1"/>
  <c r="F506" i="1"/>
  <c r="F501" i="1"/>
  <c r="F127" i="1"/>
  <c r="G127" i="1" s="1"/>
  <c r="F471" i="1"/>
  <c r="G471" i="1" s="1"/>
  <c r="F480" i="1"/>
  <c r="G480" i="1" s="1"/>
  <c r="F120" i="1"/>
  <c r="G120" i="1" s="1"/>
  <c r="F445" i="1"/>
  <c r="G445" i="1" s="1"/>
  <c r="F481" i="1"/>
  <c r="G481" i="1" s="1"/>
  <c r="F498" i="1"/>
  <c r="G498" i="1" s="1"/>
  <c r="F442" i="1"/>
  <c r="G442" i="1" s="1"/>
  <c r="F459" i="1"/>
  <c r="G459" i="1" s="1"/>
  <c r="F499" i="1"/>
  <c r="G499" i="1" s="1"/>
  <c r="F469" i="1"/>
  <c r="G469" i="1" s="1"/>
  <c r="F446" i="1"/>
  <c r="G446" i="1" s="1"/>
  <c r="F454" i="1"/>
  <c r="G454" i="1" s="1"/>
  <c r="F461" i="1"/>
  <c r="G461" i="1" s="1"/>
  <c r="F460" i="1"/>
  <c r="G460" i="1" s="1"/>
  <c r="F470" i="1"/>
  <c r="G470" i="1" s="1"/>
  <c r="F452" i="1"/>
  <c r="G452" i="1" s="1"/>
  <c r="F122" i="1"/>
  <c r="G122" i="1" s="1"/>
  <c r="F123" i="1"/>
  <c r="G123" i="1" s="1"/>
  <c r="F121" i="1"/>
  <c r="G121" i="1" s="1"/>
  <c r="F484" i="1"/>
  <c r="G484" i="1" s="1"/>
  <c r="F468" i="1"/>
  <c r="G468" i="1" s="1"/>
  <c r="F456" i="1"/>
  <c r="G456" i="1" s="1"/>
  <c r="F488" i="1"/>
  <c r="G488" i="1" s="1"/>
  <c r="F467" i="1"/>
  <c r="G467" i="1" s="1"/>
  <c r="F489" i="1"/>
  <c r="G489" i="1" s="1"/>
  <c r="F482" i="1"/>
  <c r="G482" i="1" s="1"/>
  <c r="F450" i="1"/>
  <c r="G450" i="1" s="1"/>
  <c r="F449" i="1"/>
  <c r="G449" i="1" s="1"/>
  <c r="F128" i="1"/>
  <c r="G128" i="1" s="1"/>
  <c r="F129" i="1"/>
  <c r="G129" i="1" s="1"/>
  <c r="F475" i="1"/>
  <c r="G475" i="1" s="1"/>
  <c r="F474" i="1"/>
  <c r="G474" i="1" s="1"/>
  <c r="F479" i="1"/>
  <c r="G479" i="1" s="1"/>
  <c r="F109" i="1"/>
  <c r="G109" i="1" s="1"/>
  <c r="F124" i="1"/>
  <c r="G124" i="1" s="1"/>
  <c r="F472" i="1"/>
  <c r="G472" i="1" s="1"/>
  <c r="F473" i="1"/>
  <c r="G473" i="1" s="1"/>
  <c r="F462" i="1"/>
  <c r="G462" i="1" s="1"/>
  <c r="F486" i="1"/>
  <c r="G486" i="1" s="1"/>
  <c r="F496" i="1"/>
  <c r="G496" i="1" s="1"/>
  <c r="F453" i="1"/>
  <c r="G453" i="1" s="1"/>
  <c r="F492" i="1"/>
  <c r="G492" i="1" s="1"/>
  <c r="F490" i="1"/>
  <c r="G490" i="1" s="1"/>
  <c r="F110" i="1"/>
  <c r="G110" i="1" s="1"/>
  <c r="F114" i="1"/>
  <c r="G114" i="1" s="1"/>
  <c r="F113" i="1"/>
  <c r="G113" i="1" s="1"/>
  <c r="F111" i="1"/>
  <c r="G111" i="1" s="1"/>
  <c r="F112" i="1"/>
  <c r="G112" i="1" s="1"/>
  <c r="F115" i="1"/>
  <c r="G115" i="1" s="1"/>
  <c r="F478" i="1"/>
  <c r="G478" i="1" s="1"/>
  <c r="F125" i="1"/>
  <c r="G125" i="1" s="1"/>
  <c r="F493" i="1"/>
  <c r="G493" i="1" s="1"/>
  <c r="F464" i="1"/>
  <c r="G464" i="1" s="1"/>
  <c r="F131" i="1"/>
  <c r="G131" i="1" s="1"/>
  <c r="F476" i="1"/>
  <c r="G476" i="1" s="1"/>
  <c r="F477" i="1"/>
  <c r="G477" i="1" s="1"/>
  <c r="F457" i="1"/>
  <c r="G457" i="1" s="1"/>
  <c r="F463" i="1"/>
  <c r="G463" i="1" s="1"/>
  <c r="F444" i="1"/>
  <c r="G444" i="1" s="1"/>
  <c r="F497" i="1"/>
  <c r="G497" i="1" s="1"/>
  <c r="F116" i="1"/>
  <c r="G116" i="1" s="1"/>
  <c r="F465" i="1"/>
  <c r="G465" i="1" s="1"/>
  <c r="F448" i="1"/>
  <c r="G448" i="1" s="1"/>
  <c r="F495" i="1"/>
  <c r="G495" i="1" s="1"/>
  <c r="F130" i="1"/>
  <c r="G130" i="1" s="1"/>
  <c r="F117" i="1"/>
  <c r="G117" i="1" s="1"/>
  <c r="F485" i="1"/>
  <c r="G485" i="1" s="1"/>
  <c r="F458" i="1"/>
  <c r="G458" i="1" s="1"/>
  <c r="F443" i="1"/>
  <c r="G443" i="1" s="1"/>
  <c r="F118" i="1"/>
  <c r="G118" i="1" s="1"/>
  <c r="F132" i="1"/>
  <c r="G132" i="1" s="1"/>
  <c r="F487" i="1"/>
  <c r="G487" i="1" s="1"/>
  <c r="F491" i="1"/>
  <c r="G491" i="1" s="1"/>
  <c r="F483" i="1"/>
  <c r="G483" i="1" s="1"/>
  <c r="F133" i="1"/>
  <c r="G133" i="1" s="1"/>
  <c r="F494" i="1"/>
  <c r="G494" i="1" s="1"/>
  <c r="F451" i="1"/>
  <c r="G451" i="1" s="1"/>
  <c r="F455" i="1"/>
  <c r="G455" i="1" s="1"/>
  <c r="F466" i="1"/>
  <c r="G466" i="1" s="1"/>
  <c r="F119" i="1"/>
  <c r="G119" i="1" s="1"/>
  <c r="F447" i="1"/>
  <c r="G447" i="1" s="1"/>
  <c r="F37" i="1"/>
  <c r="F437" i="1"/>
  <c r="F23" i="1"/>
  <c r="F32" i="1"/>
  <c r="F439" i="1"/>
  <c r="F436" i="1"/>
  <c r="F441" i="1"/>
  <c r="F438" i="1"/>
  <c r="F440" i="1"/>
  <c r="F21" i="1"/>
  <c r="G21" i="1" s="1"/>
  <c r="F412" i="1"/>
  <c r="G412" i="1" s="1"/>
  <c r="F428" i="1"/>
  <c r="G428" i="1" s="1"/>
  <c r="F46" i="1"/>
  <c r="G46" i="1" s="1"/>
  <c r="F414" i="1"/>
  <c r="G414" i="1" s="1"/>
  <c r="F401" i="1"/>
  <c r="G401" i="1" s="1"/>
  <c r="F44" i="1"/>
  <c r="G44" i="1" s="1"/>
  <c r="F389" i="1"/>
  <c r="G389" i="1" s="1"/>
  <c r="F392" i="1"/>
  <c r="G392" i="1" s="1"/>
  <c r="F415" i="1"/>
  <c r="G415" i="1" s="1"/>
  <c r="F435" i="1"/>
  <c r="G435" i="1" s="1"/>
  <c r="F430" i="1"/>
  <c r="G430" i="1" s="1"/>
  <c r="F426" i="1"/>
  <c r="G426" i="1" s="1"/>
  <c r="F416" i="1"/>
  <c r="G416" i="1" s="1"/>
  <c r="F7" i="1"/>
  <c r="G7" i="1" s="1"/>
  <c r="F5" i="1"/>
  <c r="G5" i="1" s="1"/>
  <c r="F387" i="1"/>
  <c r="G387" i="1" s="1"/>
  <c r="F6" i="1"/>
  <c r="G6" i="1" s="1"/>
  <c r="F29" i="1"/>
  <c r="G29" i="1" s="1"/>
  <c r="F24" i="1"/>
  <c r="G24" i="1" s="1"/>
  <c r="F25" i="1"/>
  <c r="G25" i="1" s="1"/>
  <c r="F12" i="1"/>
  <c r="G12" i="1" s="1"/>
  <c r="F3" i="1"/>
  <c r="G3" i="1" s="1"/>
  <c r="F388" i="1"/>
  <c r="G388" i="1" s="1"/>
  <c r="F4" i="1"/>
  <c r="G4" i="1" s="1"/>
  <c r="F13" i="1"/>
  <c r="G13" i="1" s="1"/>
  <c r="F413" i="1"/>
  <c r="G413" i="1" s="1"/>
  <c r="F14" i="1"/>
  <c r="G14" i="1" s="1"/>
  <c r="F420" i="1"/>
  <c r="G420" i="1" s="1"/>
  <c r="F393" i="1"/>
  <c r="G393" i="1" s="1"/>
  <c r="F22" i="1"/>
  <c r="G22" i="1" s="1"/>
  <c r="F386" i="1"/>
  <c r="G386" i="1" s="1"/>
  <c r="F2" i="1"/>
  <c r="G2" i="1" s="1"/>
  <c r="F410" i="1"/>
  <c r="G410" i="1" s="1"/>
  <c r="F394" i="1"/>
  <c r="G394" i="1" s="1"/>
  <c r="F427" i="1"/>
  <c r="G427" i="1" s="1"/>
  <c r="F431" i="1"/>
  <c r="G431" i="1" s="1"/>
  <c r="F434" i="1"/>
  <c r="G434" i="1" s="1"/>
  <c r="F424" i="1"/>
  <c r="G424" i="1" s="1"/>
  <c r="F405" i="1"/>
  <c r="G405" i="1" s="1"/>
  <c r="F391" i="1"/>
  <c r="G391" i="1" s="1"/>
  <c r="F396" i="1"/>
  <c r="G396" i="1" s="1"/>
  <c r="F390" i="1"/>
  <c r="G390" i="1" s="1"/>
  <c r="F425" i="1"/>
  <c r="G425" i="1" s="1"/>
  <c r="F407" i="1"/>
  <c r="G407" i="1" s="1"/>
  <c r="F406" i="1"/>
  <c r="G406" i="1" s="1"/>
  <c r="F17" i="1"/>
  <c r="G17" i="1" s="1"/>
  <c r="F15" i="1"/>
  <c r="G15" i="1" s="1"/>
  <c r="F421" i="1"/>
  <c r="G421" i="1" s="1"/>
  <c r="F402" i="1"/>
  <c r="G402" i="1" s="1"/>
  <c r="F411" i="1"/>
  <c r="G411" i="1" s="1"/>
  <c r="F9" i="1"/>
  <c r="G9" i="1" s="1"/>
  <c r="F395" i="1"/>
  <c r="G395" i="1" s="1"/>
  <c r="F422" i="1"/>
  <c r="G422" i="1" s="1"/>
  <c r="F409" i="1"/>
  <c r="G409" i="1" s="1"/>
  <c r="F11" i="1"/>
  <c r="G11" i="1" s="1"/>
  <c r="F419" i="1"/>
  <c r="G419" i="1" s="1"/>
  <c r="F398" i="1"/>
  <c r="G398" i="1" s="1"/>
  <c r="F418" i="1"/>
  <c r="G418" i="1" s="1"/>
  <c r="F51" i="1"/>
  <c r="G51" i="1" s="1"/>
  <c r="F49" i="1"/>
  <c r="G49" i="1" s="1"/>
  <c r="F50" i="1"/>
  <c r="G50" i="1" s="1"/>
  <c r="F423" i="1"/>
  <c r="G423" i="1" s="1"/>
  <c r="F432" i="1"/>
  <c r="G432" i="1" s="1"/>
  <c r="F433" i="1"/>
  <c r="G433" i="1" s="1"/>
  <c r="F400" i="1"/>
  <c r="G400" i="1" s="1"/>
  <c r="F52" i="1"/>
  <c r="G52" i="1" s="1"/>
  <c r="F399" i="1"/>
  <c r="G399" i="1" s="1"/>
  <c r="F54" i="1"/>
  <c r="G54" i="1" s="1"/>
  <c r="F53" i="1"/>
  <c r="G53" i="1" s="1"/>
  <c r="F403" i="1"/>
  <c r="G403" i="1" s="1"/>
  <c r="F417" i="1"/>
  <c r="G417" i="1" s="1"/>
  <c r="F408" i="1"/>
  <c r="G408" i="1" s="1"/>
  <c r="F429" i="1"/>
  <c r="G429" i="1" s="1"/>
  <c r="F397" i="1"/>
  <c r="G397" i="1" s="1"/>
  <c r="F404" i="1"/>
  <c r="G404" i="1" s="1"/>
  <c r="F39" i="1"/>
  <c r="G84" i="4"/>
  <c r="G157" i="4"/>
  <c r="G158" i="4"/>
  <c r="G159" i="4"/>
  <c r="N163" i="4"/>
  <c r="G165" i="4"/>
  <c r="N169" i="4"/>
  <c r="N173" i="4"/>
  <c r="G175" i="4"/>
  <c r="G219" i="4"/>
  <c r="G220" i="4"/>
  <c r="G298" i="4"/>
  <c r="N360" i="4"/>
  <c r="G363" i="4"/>
  <c r="N455" i="4"/>
  <c r="G548" i="4"/>
  <c r="E3" i="3"/>
  <c r="E4" i="3"/>
  <c r="E5" i="3"/>
  <c r="E6" i="3"/>
  <c r="I6" i="3"/>
  <c r="B7" i="3"/>
  <c r="I7" i="3"/>
  <c r="B8" i="3"/>
  <c r="I8" i="3"/>
  <c r="E9" i="3"/>
  <c r="I9" i="3"/>
  <c r="E10" i="3"/>
  <c r="I10" i="3"/>
  <c r="I11" i="3"/>
  <c r="X5" i="2"/>
  <c r="Y5" i="2"/>
  <c r="Z5" i="2"/>
  <c r="AA5" i="2"/>
  <c r="AB5" i="2"/>
  <c r="AG5" i="2"/>
  <c r="X6" i="2"/>
  <c r="Y6" i="2"/>
  <c r="Z6" i="2"/>
  <c r="AA6" i="2"/>
  <c r="AB6" i="2"/>
  <c r="AG6" i="2"/>
  <c r="X7" i="2"/>
  <c r="Y7" i="2"/>
  <c r="Z7" i="2"/>
  <c r="AA7" i="2"/>
  <c r="AB7" i="2"/>
  <c r="AG7" i="2"/>
  <c r="X8" i="2"/>
  <c r="Y8" i="2"/>
  <c r="Z8" i="2"/>
  <c r="AA8" i="2"/>
  <c r="AB8" i="2"/>
  <c r="AG8" i="2"/>
  <c r="X9" i="2"/>
  <c r="Y9" i="2"/>
  <c r="Z9" i="2"/>
  <c r="AA9" i="2"/>
  <c r="AB9" i="2"/>
  <c r="AG9" i="2"/>
  <c r="AG10" i="2"/>
  <c r="AG11" i="2"/>
  <c r="AG12" i="2"/>
  <c r="AG13" i="2"/>
  <c r="AG14" i="2"/>
  <c r="AG15" i="2"/>
  <c r="AG16" i="2"/>
  <c r="AG17" i="2"/>
  <c r="AG18" i="2"/>
  <c r="AG19" i="2"/>
  <c r="AG20" i="2"/>
  <c r="AG21" i="2"/>
  <c r="AG22" i="2"/>
  <c r="AG23" i="2"/>
  <c r="AG24" i="2"/>
  <c r="AG25" i="2"/>
  <c r="AG26" i="2"/>
  <c r="AG27" i="2"/>
  <c r="AG28" i="2"/>
  <c r="AG29" i="2"/>
  <c r="AG30" i="2"/>
  <c r="T17" i="5"/>
  <c r="U17" i="5"/>
  <c r="S17" i="5"/>
  <c r="R17" i="5"/>
  <c r="Q17" i="5"/>
  <c r="G504" i="1" l="1"/>
  <c r="G8" i="1"/>
  <c r="G288" i="1"/>
  <c r="G440" i="1"/>
  <c r="G37" i="1"/>
  <c r="G382" i="1"/>
  <c r="G16" i="1"/>
  <c r="G189" i="1"/>
  <c r="L10" i="8"/>
  <c r="L17" i="8"/>
  <c r="L25" i="8"/>
  <c r="L9" i="8"/>
  <c r="L5" i="8"/>
  <c r="L13" i="8"/>
  <c r="L21" i="8"/>
  <c r="L8" i="8"/>
  <c r="L12" i="8"/>
  <c r="L16" i="8"/>
  <c r="L20" i="8"/>
  <c r="L24" i="8"/>
  <c r="L28" i="8"/>
  <c r="L4" i="8"/>
  <c r="L11" i="8"/>
  <c r="L15" i="8"/>
  <c r="L19" i="8"/>
  <c r="L23" i="8"/>
  <c r="L27" i="8"/>
  <c r="F9" i="7"/>
  <c r="F6" i="7"/>
  <c r="F24" i="7"/>
  <c r="F22" i="7"/>
  <c r="F38" i="7"/>
  <c r="F39" i="7"/>
  <c r="F18" i="7"/>
  <c r="F14" i="7"/>
  <c r="F29" i="7"/>
  <c r="F12" i="7"/>
  <c r="F26" i="7"/>
  <c r="F7" i="7"/>
  <c r="F46" i="7"/>
  <c r="F31" i="7"/>
  <c r="F43" i="7"/>
  <c r="F16" i="7"/>
  <c r="F45" i="7"/>
  <c r="F47" i="7"/>
  <c r="F34" i="7"/>
  <c r="F10" i="7"/>
  <c r="F4" i="7"/>
  <c r="F3" i="7"/>
  <c r="F42" i="7"/>
  <c r="F36" i="7"/>
  <c r="F17" i="7"/>
  <c r="F44" i="7"/>
  <c r="F28" i="7"/>
  <c r="F41" i="7"/>
  <c r="F11" i="7"/>
  <c r="F8" i="7"/>
  <c r="F5" i="7"/>
  <c r="F32" i="7"/>
  <c r="F37" i="7"/>
  <c r="F33" i="7"/>
  <c r="F25" i="7"/>
  <c r="F23" i="7"/>
  <c r="F35" i="7"/>
  <c r="F20" i="7"/>
  <c r="F30" i="7"/>
  <c r="F19" i="7"/>
  <c r="F15" i="7"/>
  <c r="F40" i="7"/>
  <c r="F13" i="7"/>
  <c r="F27" i="7"/>
  <c r="F21" i="7"/>
  <c r="F2" i="7"/>
  <c r="C28" i="6"/>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F28" i="6"/>
  <c r="F29" i="6"/>
  <c r="F44" i="6"/>
  <c r="F36" i="6"/>
  <c r="F42" i="6"/>
  <c r="F34" i="6"/>
  <c r="F53" i="6"/>
  <c r="F33" i="6"/>
  <c r="F48" i="6"/>
  <c r="F32" i="6"/>
  <c r="F37" i="6"/>
  <c r="F46" i="6"/>
  <c r="F30" i="6"/>
  <c r="E63" i="6"/>
  <c r="E89" i="6" s="1"/>
  <c r="E98" i="6"/>
  <c r="E124" i="6" s="1"/>
  <c r="E75" i="6"/>
  <c r="E108" i="6"/>
  <c r="E122" i="6"/>
  <c r="E90" i="6"/>
  <c r="E120" i="6"/>
  <c r="E86" i="6"/>
  <c r="E55" i="6"/>
  <c r="E148" i="6"/>
  <c r="E110" i="6"/>
  <c r="E101" i="6"/>
  <c r="E130" i="6"/>
  <c r="E71" i="6"/>
  <c r="E85" i="6"/>
  <c r="E79" i="6"/>
  <c r="E112" i="6"/>
  <c r="E100" i="6"/>
  <c r="E93" i="6"/>
  <c r="E88" i="6"/>
  <c r="E76" i="6"/>
  <c r="E54" i="6"/>
  <c r="E66" i="6"/>
  <c r="E81" i="6"/>
  <c r="E73" i="6"/>
  <c r="F47" i="6"/>
  <c r="E65" i="6"/>
  <c r="F39" i="6"/>
  <c r="E57" i="6"/>
  <c r="F31" i="6"/>
  <c r="E77" i="6"/>
  <c r="F51" i="6"/>
  <c r="E69" i="6"/>
  <c r="F43" i="6"/>
  <c r="E61" i="6"/>
  <c r="F35" i="6"/>
  <c r="C4" i="6"/>
  <c r="F3" i="6"/>
  <c r="F2" i="6"/>
  <c r="G286" i="1"/>
  <c r="G284" i="1"/>
  <c r="G437" i="1"/>
  <c r="G506" i="1"/>
  <c r="G38" i="1"/>
  <c r="G283" i="1"/>
  <c r="G289" i="1"/>
  <c r="G23" i="1"/>
  <c r="G84" i="1"/>
  <c r="G501" i="1"/>
  <c r="G502" i="1"/>
  <c r="G32" i="1"/>
  <c r="G33" i="1"/>
  <c r="G20" i="1"/>
  <c r="G100" i="1"/>
  <c r="G287" i="1"/>
  <c r="G296" i="1"/>
  <c r="G505" i="1"/>
  <c r="G294" i="1"/>
  <c r="G295" i="1"/>
  <c r="G438" i="1"/>
  <c r="G385" i="1"/>
  <c r="G40" i="1"/>
  <c r="G88" i="1"/>
  <c r="G187" i="1"/>
  <c r="G126" i="1"/>
  <c r="G441" i="1"/>
  <c r="G39" i="1"/>
  <c r="G381" i="1"/>
  <c r="G383" i="1"/>
  <c r="G101" i="1"/>
  <c r="G36" i="1"/>
  <c r="G134" i="1"/>
  <c r="G290" i="1"/>
  <c r="G292" i="1"/>
  <c r="G439" i="1"/>
  <c r="G384" i="1"/>
  <c r="G503" i="1"/>
  <c r="G285" i="1"/>
  <c r="G293" i="1"/>
  <c r="G436" i="1"/>
  <c r="G379" i="1"/>
  <c r="G85" i="1"/>
  <c r="F41" i="6" l="1"/>
  <c r="F52" i="6"/>
  <c r="F38" i="6"/>
  <c r="F49" i="6"/>
  <c r="F45" i="6"/>
  <c r="F40" i="6"/>
  <c r="F50" i="6"/>
  <c r="C80" i="6"/>
  <c r="C81" i="6" s="1"/>
  <c r="C82" i="6" s="1"/>
  <c r="F60" i="6"/>
  <c r="F58" i="6"/>
  <c r="F59" i="6"/>
  <c r="F62" i="6"/>
  <c r="F74" i="6"/>
  <c r="F64" i="6"/>
  <c r="F56" i="6"/>
  <c r="F67" i="6"/>
  <c r="F68" i="6"/>
  <c r="F55" i="6"/>
  <c r="F63" i="6"/>
  <c r="F75" i="6"/>
  <c r="F70" i="6"/>
  <c r="F78" i="6"/>
  <c r="F72" i="6"/>
  <c r="E116" i="6"/>
  <c r="E146" i="6"/>
  <c r="E134" i="6"/>
  <c r="E174" i="6"/>
  <c r="E103" i="6"/>
  <c r="F77" i="6"/>
  <c r="E107" i="6"/>
  <c r="E126" i="6"/>
  <c r="F66" i="6"/>
  <c r="E92" i="6"/>
  <c r="E138" i="6"/>
  <c r="F57" i="6"/>
  <c r="E83" i="6"/>
  <c r="F76" i="6"/>
  <c r="E102" i="6"/>
  <c r="E115" i="6"/>
  <c r="E87" i="6"/>
  <c r="F61" i="6"/>
  <c r="F65" i="6"/>
  <c r="E91" i="6"/>
  <c r="E114" i="6"/>
  <c r="E111" i="6"/>
  <c r="E127" i="6"/>
  <c r="E105" i="6"/>
  <c r="F79" i="6"/>
  <c r="E150" i="6"/>
  <c r="E97" i="6"/>
  <c r="F71" i="6"/>
  <c r="E136" i="6"/>
  <c r="E119" i="6"/>
  <c r="F54" i="6"/>
  <c r="E80" i="6"/>
  <c r="F69" i="6"/>
  <c r="E95" i="6"/>
  <c r="F73" i="6"/>
  <c r="E99" i="6"/>
  <c r="E156" i="6"/>
  <c r="E160" i="6"/>
  <c r="C5" i="6"/>
  <c r="F4" i="6"/>
  <c r="F81" i="6" l="1"/>
  <c r="C83" i="6"/>
  <c r="C84" i="6" s="1"/>
  <c r="F82" i="6"/>
  <c r="C106" i="6"/>
  <c r="C107" i="6" s="1"/>
  <c r="C108" i="6" s="1"/>
  <c r="E172" i="6"/>
  <c r="E142" i="6"/>
  <c r="E121" i="6"/>
  <c r="E123" i="6"/>
  <c r="E141" i="6"/>
  <c r="E137" i="6"/>
  <c r="E152" i="6"/>
  <c r="F160" i="6"/>
  <c r="E186" i="6"/>
  <c r="F80" i="6"/>
  <c r="E106" i="6"/>
  <c r="E176" i="6"/>
  <c r="E140" i="6"/>
  <c r="E118" i="6"/>
  <c r="E133" i="6"/>
  <c r="E117" i="6"/>
  <c r="E128" i="6"/>
  <c r="E145" i="6"/>
  <c r="E131" i="6"/>
  <c r="E129" i="6"/>
  <c r="E125" i="6"/>
  <c r="E162" i="6"/>
  <c r="E109" i="6"/>
  <c r="E164" i="6"/>
  <c r="E182" i="6"/>
  <c r="E153" i="6"/>
  <c r="E113" i="6"/>
  <c r="F174" i="6"/>
  <c r="E200" i="6"/>
  <c r="C6" i="6"/>
  <c r="F5" i="6"/>
  <c r="F107" i="6" l="1"/>
  <c r="F83" i="6"/>
  <c r="C109" i="6"/>
  <c r="C110" i="6" s="1"/>
  <c r="F108" i="6"/>
  <c r="C132" i="6"/>
  <c r="C133" i="6" s="1"/>
  <c r="C134" i="6" s="1"/>
  <c r="C85" i="6"/>
  <c r="F84" i="6"/>
  <c r="E168" i="6"/>
  <c r="F172" i="6"/>
  <c r="E198" i="6"/>
  <c r="E147" i="6"/>
  <c r="F182" i="6"/>
  <c r="E208" i="6"/>
  <c r="F162" i="6"/>
  <c r="E188" i="6"/>
  <c r="E157" i="6"/>
  <c r="F176" i="6"/>
  <c r="E202" i="6"/>
  <c r="F109" i="6"/>
  <c r="E135" i="6"/>
  <c r="E159" i="6"/>
  <c r="E163" i="6"/>
  <c r="E179" i="6"/>
  <c r="E151" i="6"/>
  <c r="F106" i="6"/>
  <c r="E132" i="6"/>
  <c r="E171" i="6"/>
  <c r="E167" i="6"/>
  <c r="F164" i="6"/>
  <c r="E190" i="6"/>
  <c r="E144" i="6"/>
  <c r="E154" i="6"/>
  <c r="F186" i="6"/>
  <c r="E212" i="6"/>
  <c r="E149" i="6"/>
  <c r="E143" i="6"/>
  <c r="E139" i="6"/>
  <c r="E155" i="6"/>
  <c r="F200" i="6"/>
  <c r="E226" i="6"/>
  <c r="E166" i="6"/>
  <c r="E178" i="6"/>
  <c r="F6" i="6"/>
  <c r="C7" i="6"/>
  <c r="C135" i="6" l="1"/>
  <c r="C136" i="6" s="1"/>
  <c r="F134" i="6"/>
  <c r="C86" i="6"/>
  <c r="F85" i="6"/>
  <c r="F133" i="6"/>
  <c r="C111" i="6"/>
  <c r="F110" i="6"/>
  <c r="F198" i="6"/>
  <c r="E224" i="6"/>
  <c r="F168" i="6"/>
  <c r="E194" i="6"/>
  <c r="E193" i="6"/>
  <c r="F167" i="6"/>
  <c r="E205" i="6"/>
  <c r="F179" i="6"/>
  <c r="E173" i="6"/>
  <c r="F226" i="6"/>
  <c r="E252" i="6"/>
  <c r="E175" i="6"/>
  <c r="E189" i="6"/>
  <c r="F163" i="6"/>
  <c r="E197" i="6"/>
  <c r="F171" i="6"/>
  <c r="E183" i="6"/>
  <c r="E170" i="6"/>
  <c r="F188" i="6"/>
  <c r="E214" i="6"/>
  <c r="E181" i="6"/>
  <c r="E185" i="6"/>
  <c r="F159" i="6"/>
  <c r="E169" i="6"/>
  <c r="F178" i="6"/>
  <c r="E204" i="6"/>
  <c r="F212" i="6"/>
  <c r="E238" i="6"/>
  <c r="F132" i="6"/>
  <c r="E158" i="6"/>
  <c r="F166" i="6"/>
  <c r="E192" i="6"/>
  <c r="F190" i="6"/>
  <c r="E216" i="6"/>
  <c r="E161" i="6"/>
  <c r="F135" i="6"/>
  <c r="F208" i="6"/>
  <c r="E234" i="6"/>
  <c r="E165" i="6"/>
  <c r="E177" i="6"/>
  <c r="E180" i="6"/>
  <c r="F202" i="6"/>
  <c r="E228" i="6"/>
  <c r="C8" i="6"/>
  <c r="F7" i="6"/>
  <c r="C112" i="6" l="1"/>
  <c r="F111" i="6"/>
  <c r="C87" i="6"/>
  <c r="F86" i="6"/>
  <c r="C137" i="6"/>
  <c r="F136" i="6"/>
  <c r="E220" i="6"/>
  <c r="F194" i="6"/>
  <c r="F224" i="6"/>
  <c r="E250" i="6"/>
  <c r="F216" i="6"/>
  <c r="E242" i="6"/>
  <c r="F238" i="6"/>
  <c r="E264" i="6"/>
  <c r="E207" i="6"/>
  <c r="F181" i="6"/>
  <c r="E278" i="6"/>
  <c r="F252" i="6"/>
  <c r="E203" i="6"/>
  <c r="F177" i="6"/>
  <c r="E223" i="6"/>
  <c r="F197" i="6"/>
  <c r="E254" i="6"/>
  <c r="F228" i="6"/>
  <c r="E191" i="6"/>
  <c r="F165" i="6"/>
  <c r="F204" i="6"/>
  <c r="E230" i="6"/>
  <c r="F214" i="6"/>
  <c r="E240" i="6"/>
  <c r="E215" i="6"/>
  <c r="F189" i="6"/>
  <c r="E199" i="6"/>
  <c r="F173" i="6"/>
  <c r="F180" i="6"/>
  <c r="E206" i="6"/>
  <c r="F234" i="6"/>
  <c r="E260" i="6"/>
  <c r="F192" i="6"/>
  <c r="E218" i="6"/>
  <c r="F170" i="6"/>
  <c r="E196" i="6"/>
  <c r="F169" i="6"/>
  <c r="E195" i="6"/>
  <c r="E231" i="6"/>
  <c r="F205" i="6"/>
  <c r="F158" i="6"/>
  <c r="E184" i="6"/>
  <c r="E187" i="6"/>
  <c r="F161" i="6"/>
  <c r="F185" i="6"/>
  <c r="E211" i="6"/>
  <c r="E209" i="6"/>
  <c r="F183" i="6"/>
  <c r="E201" i="6"/>
  <c r="F175" i="6"/>
  <c r="E219" i="6"/>
  <c r="F193" i="6"/>
  <c r="C9" i="6"/>
  <c r="F8" i="6"/>
  <c r="C88" i="6" l="1"/>
  <c r="F87" i="6"/>
  <c r="C138" i="6"/>
  <c r="F137" i="6"/>
  <c r="C113" i="6"/>
  <c r="F112" i="6"/>
  <c r="F250" i="6"/>
  <c r="E276" i="6"/>
  <c r="F220" i="6"/>
  <c r="E246" i="6"/>
  <c r="E237" i="6"/>
  <c r="F211" i="6"/>
  <c r="F218" i="6"/>
  <c r="E244" i="6"/>
  <c r="E257" i="6"/>
  <c r="F231" i="6"/>
  <c r="E241" i="6"/>
  <c r="F215" i="6"/>
  <c r="E217" i="6"/>
  <c r="F191" i="6"/>
  <c r="E304" i="6"/>
  <c r="F278" i="6"/>
  <c r="E286" i="6"/>
  <c r="F260" i="6"/>
  <c r="F240" i="6"/>
  <c r="E266" i="6"/>
  <c r="E245" i="6"/>
  <c r="F219" i="6"/>
  <c r="E213" i="6"/>
  <c r="F187" i="6"/>
  <c r="E280" i="6"/>
  <c r="F254" i="6"/>
  <c r="E233" i="6"/>
  <c r="F207" i="6"/>
  <c r="E221" i="6"/>
  <c r="F195" i="6"/>
  <c r="F206" i="6"/>
  <c r="E232" i="6"/>
  <c r="F230" i="6"/>
  <c r="E256" i="6"/>
  <c r="F264" i="6"/>
  <c r="E290" i="6"/>
  <c r="F201" i="6"/>
  <c r="E227" i="6"/>
  <c r="E249" i="6"/>
  <c r="F223" i="6"/>
  <c r="F184" i="6"/>
  <c r="E210" i="6"/>
  <c r="F196" i="6"/>
  <c r="E222" i="6"/>
  <c r="F242" i="6"/>
  <c r="E268" i="6"/>
  <c r="E235" i="6"/>
  <c r="F209" i="6"/>
  <c r="E225" i="6"/>
  <c r="F199" i="6"/>
  <c r="F203" i="6"/>
  <c r="E229" i="6"/>
  <c r="C10" i="6"/>
  <c r="F9" i="6"/>
  <c r="C114" i="6" l="1"/>
  <c r="F113" i="6"/>
  <c r="C139" i="6"/>
  <c r="F138" i="6"/>
  <c r="C89" i="6"/>
  <c r="F88" i="6"/>
  <c r="F246" i="6"/>
  <c r="E272" i="6"/>
  <c r="E302" i="6"/>
  <c r="F276" i="6"/>
  <c r="E294" i="6"/>
  <c r="F268" i="6"/>
  <c r="F256" i="6"/>
  <c r="E282" i="6"/>
  <c r="F266" i="6"/>
  <c r="E292" i="6"/>
  <c r="E275" i="6"/>
  <c r="F249" i="6"/>
  <c r="E306" i="6"/>
  <c r="F280" i="6"/>
  <c r="E267" i="6"/>
  <c r="F241" i="6"/>
  <c r="F229" i="6"/>
  <c r="E255" i="6"/>
  <c r="F232" i="6"/>
  <c r="E258" i="6"/>
  <c r="E312" i="6"/>
  <c r="F286" i="6"/>
  <c r="E283" i="6"/>
  <c r="F257" i="6"/>
  <c r="F222" i="6"/>
  <c r="E248" i="6"/>
  <c r="E253" i="6"/>
  <c r="F227" i="6"/>
  <c r="E270" i="6"/>
  <c r="F244" i="6"/>
  <c r="E251" i="6"/>
  <c r="F225" i="6"/>
  <c r="F221" i="6"/>
  <c r="E247" i="6"/>
  <c r="E239" i="6"/>
  <c r="F213" i="6"/>
  <c r="E330" i="6"/>
  <c r="F304" i="6"/>
  <c r="F210" i="6"/>
  <c r="E236" i="6"/>
  <c r="F290" i="6"/>
  <c r="E316" i="6"/>
  <c r="E261" i="6"/>
  <c r="F235" i="6"/>
  <c r="E259" i="6"/>
  <c r="F233" i="6"/>
  <c r="E271" i="6"/>
  <c r="F245" i="6"/>
  <c r="E243" i="6"/>
  <c r="F217" i="6"/>
  <c r="E263" i="6"/>
  <c r="F237" i="6"/>
  <c r="F10" i="6"/>
  <c r="C11" i="6"/>
  <c r="C140" i="6" l="1"/>
  <c r="F139" i="6"/>
  <c r="C90" i="6"/>
  <c r="F89" i="6"/>
  <c r="C115" i="6"/>
  <c r="F114" i="6"/>
  <c r="E328" i="6"/>
  <c r="F302" i="6"/>
  <c r="F272" i="6"/>
  <c r="E298" i="6"/>
  <c r="E285" i="6"/>
  <c r="F259" i="6"/>
  <c r="F330" i="6"/>
  <c r="E356" i="6"/>
  <c r="E296" i="6"/>
  <c r="F270" i="6"/>
  <c r="E338" i="6"/>
  <c r="F312" i="6"/>
  <c r="E301" i="6"/>
  <c r="F275" i="6"/>
  <c r="E281" i="6"/>
  <c r="F255" i="6"/>
  <c r="E318" i="6"/>
  <c r="F292" i="6"/>
  <c r="E289" i="6"/>
  <c r="F263" i="6"/>
  <c r="E287" i="6"/>
  <c r="F261" i="6"/>
  <c r="E265" i="6"/>
  <c r="F239" i="6"/>
  <c r="E279" i="6"/>
  <c r="F253" i="6"/>
  <c r="E342" i="6"/>
  <c r="F316" i="6"/>
  <c r="E273" i="6"/>
  <c r="F247" i="6"/>
  <c r="F248" i="6"/>
  <c r="E274" i="6"/>
  <c r="F258" i="6"/>
  <c r="E284" i="6"/>
  <c r="F282" i="6"/>
  <c r="E308" i="6"/>
  <c r="E269" i="6"/>
  <c r="F243" i="6"/>
  <c r="E293" i="6"/>
  <c r="F267" i="6"/>
  <c r="E262" i="6"/>
  <c r="F236" i="6"/>
  <c r="E297" i="6"/>
  <c r="F271" i="6"/>
  <c r="E277" i="6"/>
  <c r="F251" i="6"/>
  <c r="E309" i="6"/>
  <c r="F283" i="6"/>
  <c r="E332" i="6"/>
  <c r="F306" i="6"/>
  <c r="E320" i="6"/>
  <c r="F294" i="6"/>
  <c r="F11" i="6"/>
  <c r="C12" i="6"/>
  <c r="C116" i="6" l="1"/>
  <c r="F115" i="6"/>
  <c r="C91" i="6"/>
  <c r="F90" i="6"/>
  <c r="C141" i="6"/>
  <c r="F140" i="6"/>
  <c r="F298" i="6"/>
  <c r="E324" i="6"/>
  <c r="E354" i="6"/>
  <c r="F328" i="6"/>
  <c r="F274" i="6"/>
  <c r="E300" i="6"/>
  <c r="E335" i="6"/>
  <c r="F309" i="6"/>
  <c r="E319" i="6"/>
  <c r="F293" i="6"/>
  <c r="E305" i="6"/>
  <c r="F279" i="6"/>
  <c r="E344" i="6"/>
  <c r="F318" i="6"/>
  <c r="E322" i="6"/>
  <c r="F296" i="6"/>
  <c r="E382" i="6"/>
  <c r="F356" i="6"/>
  <c r="E346" i="6"/>
  <c r="F320" i="6"/>
  <c r="E303" i="6"/>
  <c r="F277" i="6"/>
  <c r="F269" i="6"/>
  <c r="E295" i="6"/>
  <c r="E299" i="6"/>
  <c r="F273" i="6"/>
  <c r="E291" i="6"/>
  <c r="F265" i="6"/>
  <c r="F281" i="6"/>
  <c r="E307" i="6"/>
  <c r="E334" i="6"/>
  <c r="F308" i="6"/>
  <c r="E358" i="6"/>
  <c r="F332" i="6"/>
  <c r="E323" i="6"/>
  <c r="F297" i="6"/>
  <c r="E368" i="6"/>
  <c r="F342" i="6"/>
  <c r="E313" i="6"/>
  <c r="F287" i="6"/>
  <c r="E327" i="6"/>
  <c r="F301" i="6"/>
  <c r="E311" i="6"/>
  <c r="F285" i="6"/>
  <c r="E310" i="6"/>
  <c r="F284" i="6"/>
  <c r="E288" i="6"/>
  <c r="F262" i="6"/>
  <c r="E315" i="6"/>
  <c r="F289" i="6"/>
  <c r="E364" i="6"/>
  <c r="F338" i="6"/>
  <c r="C13" i="6"/>
  <c r="F12" i="6"/>
  <c r="C92" i="6" l="1"/>
  <c r="F91" i="6"/>
  <c r="C142" i="6"/>
  <c r="F141" i="6"/>
  <c r="C117" i="6"/>
  <c r="F116" i="6"/>
  <c r="E380" i="6"/>
  <c r="F354" i="6"/>
  <c r="E350" i="6"/>
  <c r="F324" i="6"/>
  <c r="E337" i="6"/>
  <c r="F311" i="6"/>
  <c r="F323" i="6"/>
  <c r="E349" i="6"/>
  <c r="F291" i="6"/>
  <c r="E317" i="6"/>
  <c r="E372" i="6"/>
  <c r="F346" i="6"/>
  <c r="E331" i="6"/>
  <c r="F305" i="6"/>
  <c r="E314" i="6"/>
  <c r="F288" i="6"/>
  <c r="E353" i="6"/>
  <c r="F327" i="6"/>
  <c r="E384" i="6"/>
  <c r="F358" i="6"/>
  <c r="E325" i="6"/>
  <c r="F299" i="6"/>
  <c r="E408" i="6"/>
  <c r="F382" i="6"/>
  <c r="E345" i="6"/>
  <c r="F319" i="6"/>
  <c r="E321" i="6"/>
  <c r="F295" i="6"/>
  <c r="E390" i="6"/>
  <c r="F364" i="6"/>
  <c r="E336" i="6"/>
  <c r="F310" i="6"/>
  <c r="E339" i="6"/>
  <c r="F313" i="6"/>
  <c r="E360" i="6"/>
  <c r="F334" i="6"/>
  <c r="F322" i="6"/>
  <c r="E348" i="6"/>
  <c r="E361" i="6"/>
  <c r="F335" i="6"/>
  <c r="E333" i="6"/>
  <c r="F307" i="6"/>
  <c r="E326" i="6"/>
  <c r="F300" i="6"/>
  <c r="E341" i="6"/>
  <c r="F315" i="6"/>
  <c r="E394" i="6"/>
  <c r="F368" i="6"/>
  <c r="E329" i="6"/>
  <c r="F303" i="6"/>
  <c r="E370" i="6"/>
  <c r="F344" i="6"/>
  <c r="C14" i="6"/>
  <c r="F13" i="6"/>
  <c r="C143" i="6" l="1"/>
  <c r="F142" i="6"/>
  <c r="C118" i="6"/>
  <c r="F117" i="6"/>
  <c r="C93" i="6"/>
  <c r="F92" i="6"/>
  <c r="E376" i="6"/>
  <c r="F350" i="6"/>
  <c r="E406" i="6"/>
  <c r="F380" i="6"/>
  <c r="F317" i="6"/>
  <c r="E343" i="6"/>
  <c r="E387" i="6"/>
  <c r="F361" i="6"/>
  <c r="E362" i="6"/>
  <c r="F336" i="6"/>
  <c r="E434" i="6"/>
  <c r="F408" i="6"/>
  <c r="E340" i="6"/>
  <c r="F314" i="6"/>
  <c r="E374" i="6"/>
  <c r="F348" i="6"/>
  <c r="E375" i="6"/>
  <c r="F349" i="6"/>
  <c r="E351" i="6"/>
  <c r="F325" i="6"/>
  <c r="E367" i="6"/>
  <c r="F341" i="6"/>
  <c r="E416" i="6"/>
  <c r="F390" i="6"/>
  <c r="E355" i="6"/>
  <c r="F329" i="6"/>
  <c r="E352" i="6"/>
  <c r="F326" i="6"/>
  <c r="E386" i="6"/>
  <c r="F360" i="6"/>
  <c r="E347" i="6"/>
  <c r="F321" i="6"/>
  <c r="E410" i="6"/>
  <c r="F384" i="6"/>
  <c r="E357" i="6"/>
  <c r="F331" i="6"/>
  <c r="E363" i="6"/>
  <c r="F337" i="6"/>
  <c r="E396" i="6"/>
  <c r="F370" i="6"/>
  <c r="F394" i="6"/>
  <c r="E420" i="6"/>
  <c r="E359" i="6"/>
  <c r="F333" i="6"/>
  <c r="F339" i="6"/>
  <c r="E365" i="6"/>
  <c r="F345" i="6"/>
  <c r="E371" i="6"/>
  <c r="E379" i="6"/>
  <c r="F353" i="6"/>
  <c r="E398" i="6"/>
  <c r="F372" i="6"/>
  <c r="C15" i="6"/>
  <c r="F14" i="6"/>
  <c r="C94" i="6" l="1"/>
  <c r="F93" i="6"/>
  <c r="C119" i="6"/>
  <c r="F118" i="6"/>
  <c r="C144" i="6"/>
  <c r="F143" i="6"/>
  <c r="E432" i="6"/>
  <c r="F406" i="6"/>
  <c r="E402" i="6"/>
  <c r="F376" i="6"/>
  <c r="E397" i="6"/>
  <c r="F371" i="6"/>
  <c r="E422" i="6"/>
  <c r="F396" i="6"/>
  <c r="E373" i="6"/>
  <c r="F347" i="6"/>
  <c r="E442" i="6"/>
  <c r="F416" i="6"/>
  <c r="E401" i="6"/>
  <c r="F375" i="6"/>
  <c r="E388" i="6"/>
  <c r="F362" i="6"/>
  <c r="F365" i="6"/>
  <c r="E391" i="6"/>
  <c r="E389" i="6"/>
  <c r="F363" i="6"/>
  <c r="F386" i="6"/>
  <c r="E412" i="6"/>
  <c r="E393" i="6"/>
  <c r="F367" i="6"/>
  <c r="E400" i="6"/>
  <c r="F374" i="6"/>
  <c r="E413" i="6"/>
  <c r="F387" i="6"/>
  <c r="E369" i="6"/>
  <c r="F343" i="6"/>
  <c r="E424" i="6"/>
  <c r="F398" i="6"/>
  <c r="E385" i="6"/>
  <c r="F359" i="6"/>
  <c r="E383" i="6"/>
  <c r="F357" i="6"/>
  <c r="E378" i="6"/>
  <c r="F352" i="6"/>
  <c r="E366" i="6"/>
  <c r="F340" i="6"/>
  <c r="E446" i="6"/>
  <c r="F420" i="6"/>
  <c r="E405" i="6"/>
  <c r="F379" i="6"/>
  <c r="E436" i="6"/>
  <c r="F410" i="6"/>
  <c r="E381" i="6"/>
  <c r="F355" i="6"/>
  <c r="E377" i="6"/>
  <c r="F351" i="6"/>
  <c r="F434" i="6"/>
  <c r="E460" i="6"/>
  <c r="C16" i="6"/>
  <c r="F15" i="6"/>
  <c r="C145" i="6" l="1"/>
  <c r="F144" i="6"/>
  <c r="C120" i="6"/>
  <c r="F119" i="6"/>
  <c r="C95" i="6"/>
  <c r="F94" i="6"/>
  <c r="F402" i="6"/>
  <c r="E428" i="6"/>
  <c r="E458" i="6"/>
  <c r="F432" i="6"/>
  <c r="E462" i="6"/>
  <c r="F436" i="6"/>
  <c r="E392" i="6"/>
  <c r="F366" i="6"/>
  <c r="E450" i="6"/>
  <c r="F424" i="6"/>
  <c r="E426" i="6"/>
  <c r="F400" i="6"/>
  <c r="E468" i="6"/>
  <c r="F442" i="6"/>
  <c r="E486" i="6"/>
  <c r="F460" i="6"/>
  <c r="E417" i="6"/>
  <c r="F391" i="6"/>
  <c r="E431" i="6"/>
  <c r="F405" i="6"/>
  <c r="F378" i="6"/>
  <c r="E404" i="6"/>
  <c r="E395" i="6"/>
  <c r="F369" i="6"/>
  <c r="E419" i="6"/>
  <c r="F393" i="6"/>
  <c r="E399" i="6"/>
  <c r="F373" i="6"/>
  <c r="E438" i="6"/>
  <c r="F412" i="6"/>
  <c r="F377" i="6"/>
  <c r="E403" i="6"/>
  <c r="E409" i="6"/>
  <c r="F383" i="6"/>
  <c r="E414" i="6"/>
  <c r="F388" i="6"/>
  <c r="E448" i="6"/>
  <c r="F422" i="6"/>
  <c r="E407" i="6"/>
  <c r="F381" i="6"/>
  <c r="E472" i="6"/>
  <c r="F446" i="6"/>
  <c r="E411" i="6"/>
  <c r="F385" i="6"/>
  <c r="E439" i="6"/>
  <c r="F413" i="6"/>
  <c r="E415" i="6"/>
  <c r="F389" i="6"/>
  <c r="E427" i="6"/>
  <c r="F401" i="6"/>
  <c r="E423" i="6"/>
  <c r="F397" i="6"/>
  <c r="C17" i="6"/>
  <c r="F16" i="6"/>
  <c r="C96" i="6" l="1"/>
  <c r="F95" i="6"/>
  <c r="C121" i="6"/>
  <c r="F120" i="6"/>
  <c r="C146" i="6"/>
  <c r="F145" i="6"/>
  <c r="E484" i="6"/>
  <c r="F458" i="6"/>
  <c r="F428" i="6"/>
  <c r="E454" i="6"/>
  <c r="E465" i="6"/>
  <c r="F439" i="6"/>
  <c r="E474" i="6"/>
  <c r="F448" i="6"/>
  <c r="E445" i="6"/>
  <c r="F419" i="6"/>
  <c r="E443" i="6"/>
  <c r="F417" i="6"/>
  <c r="F426" i="6"/>
  <c r="E452" i="6"/>
  <c r="E429" i="6"/>
  <c r="F403" i="6"/>
  <c r="E449" i="6"/>
  <c r="F423" i="6"/>
  <c r="E437" i="6"/>
  <c r="F411" i="6"/>
  <c r="E440" i="6"/>
  <c r="F414" i="6"/>
  <c r="E421" i="6"/>
  <c r="F395" i="6"/>
  <c r="E512" i="6"/>
  <c r="F486" i="6"/>
  <c r="E476" i="6"/>
  <c r="F450" i="6"/>
  <c r="E430" i="6"/>
  <c r="F404" i="6"/>
  <c r="E453" i="6"/>
  <c r="F427" i="6"/>
  <c r="E498" i="6"/>
  <c r="F472" i="6"/>
  <c r="E464" i="6"/>
  <c r="F438" i="6"/>
  <c r="E494" i="6"/>
  <c r="F468" i="6"/>
  <c r="E418" i="6"/>
  <c r="F392" i="6"/>
  <c r="E441" i="6"/>
  <c r="F415" i="6"/>
  <c r="E433" i="6"/>
  <c r="F407" i="6"/>
  <c r="E435" i="6"/>
  <c r="F409" i="6"/>
  <c r="E425" i="6"/>
  <c r="F399" i="6"/>
  <c r="E457" i="6"/>
  <c r="F431" i="6"/>
  <c r="E488" i="6"/>
  <c r="F462" i="6"/>
  <c r="C18" i="6"/>
  <c r="F17" i="6"/>
  <c r="C147" i="6" l="1"/>
  <c r="F146" i="6"/>
  <c r="C122" i="6"/>
  <c r="F121" i="6"/>
  <c r="C97" i="6"/>
  <c r="F96" i="6"/>
  <c r="E480" i="6"/>
  <c r="F454" i="6"/>
  <c r="E510" i="6"/>
  <c r="F484" i="6"/>
  <c r="E451" i="6"/>
  <c r="F425" i="6"/>
  <c r="E444" i="6"/>
  <c r="F418" i="6"/>
  <c r="F498" i="6"/>
  <c r="E524" i="6"/>
  <c r="E538" i="6"/>
  <c r="F512" i="6"/>
  <c r="E475" i="6"/>
  <c r="F449" i="6"/>
  <c r="E471" i="6"/>
  <c r="F445" i="6"/>
  <c r="E514" i="6"/>
  <c r="F488" i="6"/>
  <c r="E461" i="6"/>
  <c r="F435" i="6"/>
  <c r="E520" i="6"/>
  <c r="F494" i="6"/>
  <c r="E479" i="6"/>
  <c r="F453" i="6"/>
  <c r="E447" i="6"/>
  <c r="F421" i="6"/>
  <c r="E455" i="6"/>
  <c r="F429" i="6"/>
  <c r="E500" i="6"/>
  <c r="F474" i="6"/>
  <c r="E478" i="6"/>
  <c r="F452" i="6"/>
  <c r="E459" i="6"/>
  <c r="F433" i="6"/>
  <c r="E490" i="6"/>
  <c r="F464" i="6"/>
  <c r="E456" i="6"/>
  <c r="F430" i="6"/>
  <c r="E466" i="6"/>
  <c r="F440" i="6"/>
  <c r="E491" i="6"/>
  <c r="F465" i="6"/>
  <c r="E483" i="6"/>
  <c r="F457" i="6"/>
  <c r="E467" i="6"/>
  <c r="F441" i="6"/>
  <c r="E502" i="6"/>
  <c r="F476" i="6"/>
  <c r="E463" i="6"/>
  <c r="F437" i="6"/>
  <c r="E469" i="6"/>
  <c r="F443" i="6"/>
  <c r="F18" i="6"/>
  <c r="C19" i="6"/>
  <c r="C98" i="6" l="1"/>
  <c r="F97" i="6"/>
  <c r="C123" i="6"/>
  <c r="F122" i="6"/>
  <c r="C148" i="6"/>
  <c r="F147" i="6"/>
  <c r="E536" i="6"/>
  <c r="F510" i="6"/>
  <c r="E506" i="6"/>
  <c r="F480" i="6"/>
  <c r="E517" i="6"/>
  <c r="F491" i="6"/>
  <c r="E485" i="6"/>
  <c r="F459" i="6"/>
  <c r="E481" i="6"/>
  <c r="F455" i="6"/>
  <c r="E487" i="6"/>
  <c r="F461" i="6"/>
  <c r="F538" i="6"/>
  <c r="E564" i="6"/>
  <c r="E550" i="6"/>
  <c r="F524" i="6"/>
  <c r="E495" i="6"/>
  <c r="F469" i="6"/>
  <c r="E493" i="6"/>
  <c r="F467" i="6"/>
  <c r="E492" i="6"/>
  <c r="F466" i="6"/>
  <c r="E473" i="6"/>
  <c r="F447" i="6"/>
  <c r="E540" i="6"/>
  <c r="F514" i="6"/>
  <c r="E489" i="6"/>
  <c r="F463" i="6"/>
  <c r="E509" i="6"/>
  <c r="F483" i="6"/>
  <c r="E482" i="6"/>
  <c r="F456" i="6"/>
  <c r="E504" i="6"/>
  <c r="F478" i="6"/>
  <c r="E505" i="6"/>
  <c r="F479" i="6"/>
  <c r="E497" i="6"/>
  <c r="F471" i="6"/>
  <c r="E470" i="6"/>
  <c r="F444" i="6"/>
  <c r="E528" i="6"/>
  <c r="F502" i="6"/>
  <c r="F490" i="6"/>
  <c r="E516" i="6"/>
  <c r="E526" i="6"/>
  <c r="F500" i="6"/>
  <c r="E546" i="6"/>
  <c r="F520" i="6"/>
  <c r="E501" i="6"/>
  <c r="F475" i="6"/>
  <c r="E477" i="6"/>
  <c r="F451" i="6"/>
  <c r="C20" i="6"/>
  <c r="F19" i="6"/>
  <c r="C149" i="6" l="1"/>
  <c r="F148" i="6"/>
  <c r="C124" i="6"/>
  <c r="F123" i="6"/>
  <c r="C99" i="6"/>
  <c r="F98" i="6"/>
  <c r="F506" i="6"/>
  <c r="E532" i="6"/>
  <c r="E562" i="6"/>
  <c r="F536" i="6"/>
  <c r="E552" i="6"/>
  <c r="F526" i="6"/>
  <c r="E496" i="6"/>
  <c r="F470" i="6"/>
  <c r="F482" i="6"/>
  <c r="E508" i="6"/>
  <c r="E499" i="6"/>
  <c r="F473" i="6"/>
  <c r="E521" i="6"/>
  <c r="F495" i="6"/>
  <c r="E507" i="6"/>
  <c r="F481" i="6"/>
  <c r="E542" i="6"/>
  <c r="F516" i="6"/>
  <c r="E503" i="6"/>
  <c r="F477" i="6"/>
  <c r="E523" i="6"/>
  <c r="F497" i="6"/>
  <c r="E535" i="6"/>
  <c r="F509" i="6"/>
  <c r="E576" i="6"/>
  <c r="F550" i="6"/>
  <c r="E511" i="6"/>
  <c r="F485" i="6"/>
  <c r="E590" i="6"/>
  <c r="F564" i="6"/>
  <c r="E527" i="6"/>
  <c r="F501" i="6"/>
  <c r="E531" i="6"/>
  <c r="F505" i="6"/>
  <c r="F489" i="6"/>
  <c r="E515" i="6"/>
  <c r="E518" i="6"/>
  <c r="F492" i="6"/>
  <c r="E543" i="6"/>
  <c r="F517" i="6"/>
  <c r="E572" i="6"/>
  <c r="F546" i="6"/>
  <c r="E554" i="6"/>
  <c r="F528" i="6"/>
  <c r="E530" i="6"/>
  <c r="F504" i="6"/>
  <c r="E566" i="6"/>
  <c r="F540" i="6"/>
  <c r="E519" i="6"/>
  <c r="F493" i="6"/>
  <c r="E513" i="6"/>
  <c r="F487" i="6"/>
  <c r="F20" i="6"/>
  <c r="C21" i="6"/>
  <c r="C100" i="6" l="1"/>
  <c r="F99" i="6"/>
  <c r="C125" i="6"/>
  <c r="F124" i="6"/>
  <c r="C150" i="6"/>
  <c r="F149" i="6"/>
  <c r="E588" i="6"/>
  <c r="F562" i="6"/>
  <c r="E558" i="6"/>
  <c r="F532" i="6"/>
  <c r="E592" i="6"/>
  <c r="F566" i="6"/>
  <c r="E569" i="6"/>
  <c r="F543" i="6"/>
  <c r="E553" i="6"/>
  <c r="F527" i="6"/>
  <c r="E602" i="6"/>
  <c r="F576" i="6"/>
  <c r="E529" i="6"/>
  <c r="F503" i="6"/>
  <c r="E525" i="6"/>
  <c r="F499" i="6"/>
  <c r="E534" i="6"/>
  <c r="F508" i="6"/>
  <c r="F530" i="6"/>
  <c r="E556" i="6"/>
  <c r="E544" i="6"/>
  <c r="F518" i="6"/>
  <c r="E616" i="6"/>
  <c r="F590" i="6"/>
  <c r="E568" i="6"/>
  <c r="F542" i="6"/>
  <c r="E541" i="6"/>
  <c r="F515" i="6"/>
  <c r="E539" i="6"/>
  <c r="F513" i="6"/>
  <c r="E580" i="6"/>
  <c r="F554" i="6"/>
  <c r="E561" i="6"/>
  <c r="F535" i="6"/>
  <c r="E533" i="6"/>
  <c r="F507" i="6"/>
  <c r="E522" i="6"/>
  <c r="F496" i="6"/>
  <c r="E545" i="6"/>
  <c r="F519" i="6"/>
  <c r="E598" i="6"/>
  <c r="F572" i="6"/>
  <c r="E557" i="6"/>
  <c r="F531" i="6"/>
  <c r="E537" i="6"/>
  <c r="F511" i="6"/>
  <c r="F523" i="6"/>
  <c r="E549" i="6"/>
  <c r="E547" i="6"/>
  <c r="F521" i="6"/>
  <c r="E578" i="6"/>
  <c r="F552" i="6"/>
  <c r="C22" i="6"/>
  <c r="F21" i="6"/>
  <c r="C151" i="6" l="1"/>
  <c r="F150" i="6"/>
  <c r="C126" i="6"/>
  <c r="F125" i="6"/>
  <c r="C101" i="6"/>
  <c r="F100" i="6"/>
  <c r="F558" i="6"/>
  <c r="E584" i="6"/>
  <c r="E614" i="6"/>
  <c r="F588" i="6"/>
  <c r="E563" i="6"/>
  <c r="F537" i="6"/>
  <c r="E548" i="6"/>
  <c r="F522" i="6"/>
  <c r="E606" i="6"/>
  <c r="F580" i="6"/>
  <c r="F602" i="6"/>
  <c r="E628" i="6"/>
  <c r="E604" i="6"/>
  <c r="F578" i="6"/>
  <c r="E583" i="6"/>
  <c r="F557" i="6"/>
  <c r="E559" i="6"/>
  <c r="F533" i="6"/>
  <c r="E565" i="6"/>
  <c r="F539" i="6"/>
  <c r="E642" i="6"/>
  <c r="F616" i="6"/>
  <c r="E560" i="6"/>
  <c r="F534" i="6"/>
  <c r="E579" i="6"/>
  <c r="F553" i="6"/>
  <c r="E573" i="6"/>
  <c r="F547" i="6"/>
  <c r="E624" i="6"/>
  <c r="F598" i="6"/>
  <c r="E587" i="6"/>
  <c r="F561" i="6"/>
  <c r="E567" i="6"/>
  <c r="F541" i="6"/>
  <c r="E570" i="6"/>
  <c r="F544" i="6"/>
  <c r="E551" i="6"/>
  <c r="F525" i="6"/>
  <c r="E595" i="6"/>
  <c r="F569" i="6"/>
  <c r="E575" i="6"/>
  <c r="F549" i="6"/>
  <c r="E582" i="6"/>
  <c r="F556" i="6"/>
  <c r="E571" i="6"/>
  <c r="F545" i="6"/>
  <c r="E594" i="6"/>
  <c r="F568" i="6"/>
  <c r="E555" i="6"/>
  <c r="F529" i="6"/>
  <c r="E618" i="6"/>
  <c r="F592" i="6"/>
  <c r="F22" i="6"/>
  <c r="C23" i="6"/>
  <c r="C102" i="6" l="1"/>
  <c r="F101" i="6"/>
  <c r="C127" i="6"/>
  <c r="F126" i="6"/>
  <c r="C152" i="6"/>
  <c r="F151" i="6"/>
  <c r="F614" i="6"/>
  <c r="E640" i="6"/>
  <c r="E610" i="6"/>
  <c r="F584" i="6"/>
  <c r="E621" i="6"/>
  <c r="F595" i="6"/>
  <c r="E613" i="6"/>
  <c r="F587" i="6"/>
  <c r="E586" i="6"/>
  <c r="F560" i="6"/>
  <c r="E609" i="6"/>
  <c r="F583" i="6"/>
  <c r="E644" i="6"/>
  <c r="F618" i="6"/>
  <c r="E597" i="6"/>
  <c r="F571" i="6"/>
  <c r="E577" i="6"/>
  <c r="F551" i="6"/>
  <c r="E650" i="6"/>
  <c r="F624" i="6"/>
  <c r="F642" i="6"/>
  <c r="E668" i="6"/>
  <c r="E630" i="6"/>
  <c r="F604" i="6"/>
  <c r="E632" i="6"/>
  <c r="F606" i="6"/>
  <c r="E654" i="6"/>
  <c r="F628" i="6"/>
  <c r="E581" i="6"/>
  <c r="F555" i="6"/>
  <c r="E608" i="6"/>
  <c r="F582" i="6"/>
  <c r="E596" i="6"/>
  <c r="F570" i="6"/>
  <c r="F573" i="6"/>
  <c r="E599" i="6"/>
  <c r="E591" i="6"/>
  <c r="F565" i="6"/>
  <c r="E574" i="6"/>
  <c r="F548" i="6"/>
  <c r="F594" i="6"/>
  <c r="E620" i="6"/>
  <c r="E601" i="6"/>
  <c r="F575" i="6"/>
  <c r="E593" i="6"/>
  <c r="F567" i="6"/>
  <c r="E605" i="6"/>
  <c r="F579" i="6"/>
  <c r="E585" i="6"/>
  <c r="F559" i="6"/>
  <c r="E589" i="6"/>
  <c r="F563" i="6"/>
  <c r="F23" i="6"/>
  <c r="C24" i="6"/>
  <c r="C153" i="6" l="1"/>
  <c r="F152" i="6"/>
  <c r="C128" i="6"/>
  <c r="F127" i="6"/>
  <c r="C103" i="6"/>
  <c r="F102" i="6"/>
  <c r="F610" i="6"/>
  <c r="E636" i="6"/>
  <c r="E666" i="6"/>
  <c r="F640" i="6"/>
  <c r="E619" i="6"/>
  <c r="F593" i="6"/>
  <c r="E600" i="6"/>
  <c r="F574" i="6"/>
  <c r="E634" i="6"/>
  <c r="F608" i="6"/>
  <c r="E656" i="6"/>
  <c r="F630" i="6"/>
  <c r="E623" i="6"/>
  <c r="F597" i="6"/>
  <c r="F586" i="6"/>
  <c r="E612" i="6"/>
  <c r="E694" i="6"/>
  <c r="F668" i="6"/>
  <c r="E615" i="6"/>
  <c r="F589" i="6"/>
  <c r="E627" i="6"/>
  <c r="F601" i="6"/>
  <c r="E617" i="6"/>
  <c r="F591" i="6"/>
  <c r="E607" i="6"/>
  <c r="F581" i="6"/>
  <c r="E670" i="6"/>
  <c r="F644" i="6"/>
  <c r="E639" i="6"/>
  <c r="F613" i="6"/>
  <c r="E646" i="6"/>
  <c r="F620" i="6"/>
  <c r="E625" i="6"/>
  <c r="F599" i="6"/>
  <c r="E611" i="6"/>
  <c r="F585" i="6"/>
  <c r="E680" i="6"/>
  <c r="F654" i="6"/>
  <c r="E676" i="6"/>
  <c r="F650" i="6"/>
  <c r="E647" i="6"/>
  <c r="F621" i="6"/>
  <c r="E631" i="6"/>
  <c r="F605" i="6"/>
  <c r="E622" i="6"/>
  <c r="F596" i="6"/>
  <c r="E658" i="6"/>
  <c r="F632" i="6"/>
  <c r="E603" i="6"/>
  <c r="F577" i="6"/>
  <c r="E635" i="6"/>
  <c r="F609" i="6"/>
  <c r="F24" i="6"/>
  <c r="C25" i="6"/>
  <c r="C104" i="6" l="1"/>
  <c r="F103" i="6"/>
  <c r="C129" i="6"/>
  <c r="F128" i="6"/>
  <c r="C154" i="6"/>
  <c r="F153" i="6"/>
  <c r="E692" i="6"/>
  <c r="F666" i="6"/>
  <c r="E662" i="6"/>
  <c r="F636" i="6"/>
  <c r="E684" i="6"/>
  <c r="F658" i="6"/>
  <c r="E673" i="6"/>
  <c r="F647" i="6"/>
  <c r="E637" i="6"/>
  <c r="F611" i="6"/>
  <c r="E696" i="6"/>
  <c r="F670" i="6"/>
  <c r="E641" i="6"/>
  <c r="F615" i="6"/>
  <c r="E682" i="6"/>
  <c r="F656" i="6"/>
  <c r="E648" i="6"/>
  <c r="F622" i="6"/>
  <c r="E651" i="6"/>
  <c r="F625" i="6"/>
  <c r="E633" i="6"/>
  <c r="F607" i="6"/>
  <c r="E720" i="6"/>
  <c r="F694" i="6"/>
  <c r="F634" i="6"/>
  <c r="E660" i="6"/>
  <c r="E638" i="6"/>
  <c r="F612" i="6"/>
  <c r="E661" i="6"/>
  <c r="F635" i="6"/>
  <c r="E702" i="6"/>
  <c r="F676" i="6"/>
  <c r="E672" i="6"/>
  <c r="F646" i="6"/>
  <c r="E643" i="6"/>
  <c r="F617" i="6"/>
  <c r="E626" i="6"/>
  <c r="F600" i="6"/>
  <c r="E629" i="6"/>
  <c r="F603" i="6"/>
  <c r="E657" i="6"/>
  <c r="F631" i="6"/>
  <c r="E706" i="6"/>
  <c r="F680" i="6"/>
  <c r="E665" i="6"/>
  <c r="F639" i="6"/>
  <c r="E653" i="6"/>
  <c r="F627" i="6"/>
  <c r="E649" i="6"/>
  <c r="F623" i="6"/>
  <c r="E645" i="6"/>
  <c r="F619" i="6"/>
  <c r="C26" i="6"/>
  <c r="F25" i="6"/>
  <c r="C155" i="6" l="1"/>
  <c r="F154" i="6"/>
  <c r="C130" i="6"/>
  <c r="F129" i="6"/>
  <c r="C105" i="6"/>
  <c r="F105" i="6" s="1"/>
  <c r="F104" i="6"/>
  <c r="E688" i="6"/>
  <c r="F662" i="6"/>
  <c r="E718" i="6"/>
  <c r="F692" i="6"/>
  <c r="E691" i="6"/>
  <c r="F665" i="6"/>
  <c r="E652" i="6"/>
  <c r="F626" i="6"/>
  <c r="E746" i="6"/>
  <c r="F720" i="6"/>
  <c r="E674" i="6"/>
  <c r="F648" i="6"/>
  <c r="E722" i="6"/>
  <c r="F696" i="6"/>
  <c r="E671" i="6"/>
  <c r="F645" i="6"/>
  <c r="F706" i="6"/>
  <c r="E732" i="6"/>
  <c r="E669" i="6"/>
  <c r="F643" i="6"/>
  <c r="E687" i="6"/>
  <c r="F661" i="6"/>
  <c r="E659" i="6"/>
  <c r="F633" i="6"/>
  <c r="E663" i="6"/>
  <c r="F637" i="6"/>
  <c r="E675" i="6"/>
  <c r="F649" i="6"/>
  <c r="E683" i="6"/>
  <c r="F657" i="6"/>
  <c r="E698" i="6"/>
  <c r="F672" i="6"/>
  <c r="E664" i="6"/>
  <c r="F638" i="6"/>
  <c r="E677" i="6"/>
  <c r="F651" i="6"/>
  <c r="E708" i="6"/>
  <c r="F682" i="6"/>
  <c r="E699" i="6"/>
  <c r="F673" i="6"/>
  <c r="E686" i="6"/>
  <c r="F660" i="6"/>
  <c r="E679" i="6"/>
  <c r="F653" i="6"/>
  <c r="E655" i="6"/>
  <c r="F629" i="6"/>
  <c r="E728" i="6"/>
  <c r="F702" i="6"/>
  <c r="E667" i="6"/>
  <c r="F641" i="6"/>
  <c r="E710" i="6"/>
  <c r="F684" i="6"/>
  <c r="F26" i="6"/>
  <c r="C27" i="6"/>
  <c r="F27" i="6" s="1"/>
  <c r="C131" i="6" l="1"/>
  <c r="F131" i="6" s="1"/>
  <c r="F130" i="6"/>
  <c r="C156" i="6"/>
  <c r="F155" i="6"/>
  <c r="E744" i="6"/>
  <c r="F718" i="6"/>
  <c r="E714" i="6"/>
  <c r="F688" i="6"/>
  <c r="E758" i="6"/>
  <c r="F732" i="6"/>
  <c r="E754" i="6"/>
  <c r="F728" i="6"/>
  <c r="E725" i="6"/>
  <c r="F699" i="6"/>
  <c r="F698" i="6"/>
  <c r="E724" i="6"/>
  <c r="F746" i="6"/>
  <c r="E772" i="6"/>
  <c r="E736" i="6"/>
  <c r="F710" i="6"/>
  <c r="E681" i="6"/>
  <c r="F655" i="6"/>
  <c r="E734" i="6"/>
  <c r="F708" i="6"/>
  <c r="F683" i="6"/>
  <c r="E709" i="6"/>
  <c r="E685" i="6"/>
  <c r="F659" i="6"/>
  <c r="E697" i="6"/>
  <c r="F671" i="6"/>
  <c r="F667" i="6"/>
  <c r="E693" i="6"/>
  <c r="E705" i="6"/>
  <c r="F679" i="6"/>
  <c r="E703" i="6"/>
  <c r="F677" i="6"/>
  <c r="E701" i="6"/>
  <c r="F675" i="6"/>
  <c r="E713" i="6"/>
  <c r="F687" i="6"/>
  <c r="F722" i="6"/>
  <c r="E748" i="6"/>
  <c r="E678" i="6"/>
  <c r="F652" i="6"/>
  <c r="E712" i="6"/>
  <c r="F686" i="6"/>
  <c r="E690" i="6"/>
  <c r="F664" i="6"/>
  <c r="E689" i="6"/>
  <c r="F663" i="6"/>
  <c r="E695" i="6"/>
  <c r="F669" i="6"/>
  <c r="E700" i="6"/>
  <c r="F674" i="6"/>
  <c r="E717" i="6"/>
  <c r="F691" i="6"/>
  <c r="C157" i="6" l="1"/>
  <c r="F157" i="6" s="1"/>
  <c r="F156" i="6"/>
  <c r="F714" i="6"/>
  <c r="E740" i="6"/>
  <c r="E770" i="6"/>
  <c r="F744" i="6"/>
  <c r="E750" i="6"/>
  <c r="F724" i="6"/>
  <c r="E715" i="6"/>
  <c r="F689" i="6"/>
  <c r="E704" i="6"/>
  <c r="F678" i="6"/>
  <c r="E729" i="6"/>
  <c r="F703" i="6"/>
  <c r="E711" i="6"/>
  <c r="F685" i="6"/>
  <c r="E762" i="6"/>
  <c r="F736" i="6"/>
  <c r="E774" i="6"/>
  <c r="F748" i="6"/>
  <c r="E735" i="6"/>
  <c r="F709" i="6"/>
  <c r="E743" i="6"/>
  <c r="F717" i="6"/>
  <c r="F690" i="6"/>
  <c r="E716" i="6"/>
  <c r="E731" i="6"/>
  <c r="F705" i="6"/>
  <c r="E751" i="6"/>
  <c r="F725" i="6"/>
  <c r="F693" i="6"/>
  <c r="E719" i="6"/>
  <c r="E798" i="6"/>
  <c r="F772" i="6"/>
  <c r="E726" i="6"/>
  <c r="F700" i="6"/>
  <c r="E738" i="6"/>
  <c r="F712" i="6"/>
  <c r="E739" i="6"/>
  <c r="F713" i="6"/>
  <c r="E760" i="6"/>
  <c r="F734" i="6"/>
  <c r="F754" i="6"/>
  <c r="E780" i="6"/>
  <c r="E721" i="6"/>
  <c r="F695" i="6"/>
  <c r="E727" i="6"/>
  <c r="F701" i="6"/>
  <c r="E723" i="6"/>
  <c r="F697" i="6"/>
  <c r="E707" i="6"/>
  <c r="F681" i="6"/>
  <c r="F758" i="6"/>
  <c r="E784" i="6"/>
  <c r="E796" i="6" l="1"/>
  <c r="F770" i="6"/>
  <c r="E766" i="6"/>
  <c r="F740" i="6"/>
  <c r="E806" i="6"/>
  <c r="F780" i="6"/>
  <c r="E749" i="6"/>
  <c r="F723" i="6"/>
  <c r="F726" i="6"/>
  <c r="E752" i="6"/>
  <c r="E761" i="6"/>
  <c r="F735" i="6"/>
  <c r="E755" i="6"/>
  <c r="F729" i="6"/>
  <c r="E810" i="6"/>
  <c r="F784" i="6"/>
  <c r="E753" i="6"/>
  <c r="F727" i="6"/>
  <c r="E786" i="6"/>
  <c r="F760" i="6"/>
  <c r="E824" i="6"/>
  <c r="F798" i="6"/>
  <c r="E757" i="6"/>
  <c r="F731" i="6"/>
  <c r="F774" i="6"/>
  <c r="E800" i="6"/>
  <c r="E730" i="6"/>
  <c r="F704" i="6"/>
  <c r="E745" i="6"/>
  <c r="F719" i="6"/>
  <c r="E742" i="6"/>
  <c r="F716" i="6"/>
  <c r="E765" i="6"/>
  <c r="F739" i="6"/>
  <c r="F762" i="6"/>
  <c r="E788" i="6"/>
  <c r="E741" i="6"/>
  <c r="F715" i="6"/>
  <c r="E733" i="6"/>
  <c r="F707" i="6"/>
  <c r="F721" i="6"/>
  <c r="E747" i="6"/>
  <c r="E764" i="6"/>
  <c r="F738" i="6"/>
  <c r="E777" i="6"/>
  <c r="F751" i="6"/>
  <c r="E769" i="6"/>
  <c r="F743" i="6"/>
  <c r="E737" i="6"/>
  <c r="F711" i="6"/>
  <c r="F750" i="6"/>
  <c r="E776" i="6"/>
  <c r="E792" i="6" l="1"/>
  <c r="F766" i="6"/>
  <c r="E822" i="6"/>
  <c r="F796" i="6"/>
  <c r="E826" i="6"/>
  <c r="F800" i="6"/>
  <c r="E803" i="6"/>
  <c r="F777" i="6"/>
  <c r="E767" i="6"/>
  <c r="F741" i="6"/>
  <c r="E779" i="6"/>
  <c r="F753" i="6"/>
  <c r="E802" i="6"/>
  <c r="F776" i="6"/>
  <c r="E814" i="6"/>
  <c r="F788" i="6"/>
  <c r="E778" i="6"/>
  <c r="F752" i="6"/>
  <c r="E790" i="6"/>
  <c r="F764" i="6"/>
  <c r="F742" i="6"/>
  <c r="E768" i="6"/>
  <c r="E783" i="6"/>
  <c r="F757" i="6"/>
  <c r="E836" i="6"/>
  <c r="F810" i="6"/>
  <c r="E773" i="6"/>
  <c r="F747" i="6"/>
  <c r="E763" i="6"/>
  <c r="F737" i="6"/>
  <c r="E791" i="6"/>
  <c r="F765" i="6"/>
  <c r="E771" i="6"/>
  <c r="F745" i="6"/>
  <c r="E850" i="6"/>
  <c r="F824" i="6"/>
  <c r="E781" i="6"/>
  <c r="F755" i="6"/>
  <c r="E775" i="6"/>
  <c r="F749" i="6"/>
  <c r="E795" i="6"/>
  <c r="F769" i="6"/>
  <c r="E759" i="6"/>
  <c r="F733" i="6"/>
  <c r="F730" i="6"/>
  <c r="E756" i="6"/>
  <c r="F786" i="6"/>
  <c r="E812" i="6"/>
  <c r="E787" i="6"/>
  <c r="F761" i="6"/>
  <c r="F806" i="6"/>
  <c r="E832" i="6"/>
  <c r="E848" i="6" l="1"/>
  <c r="F822" i="6"/>
  <c r="E818" i="6"/>
  <c r="F792" i="6"/>
  <c r="E782" i="6"/>
  <c r="F756" i="6"/>
  <c r="E801" i="6"/>
  <c r="F775" i="6"/>
  <c r="E817" i="6"/>
  <c r="F791" i="6"/>
  <c r="E809" i="6"/>
  <c r="F783" i="6"/>
  <c r="E840" i="6"/>
  <c r="F814" i="6"/>
  <c r="E858" i="6"/>
  <c r="F832" i="6"/>
  <c r="E794" i="6"/>
  <c r="F768" i="6"/>
  <c r="E807" i="6"/>
  <c r="F781" i="6"/>
  <c r="E789" i="6"/>
  <c r="F763" i="6"/>
  <c r="E828" i="6"/>
  <c r="F802" i="6"/>
  <c r="E793" i="6"/>
  <c r="F767" i="6"/>
  <c r="E813" i="6"/>
  <c r="F787" i="6"/>
  <c r="E785" i="6"/>
  <c r="F759" i="6"/>
  <c r="E876" i="6"/>
  <c r="F850" i="6"/>
  <c r="E799" i="6"/>
  <c r="F773" i="6"/>
  <c r="F790" i="6"/>
  <c r="E816" i="6"/>
  <c r="E829" i="6"/>
  <c r="F803" i="6"/>
  <c r="E838" i="6"/>
  <c r="F812" i="6"/>
  <c r="E821" i="6"/>
  <c r="F795" i="6"/>
  <c r="E797" i="6"/>
  <c r="F771" i="6"/>
  <c r="E862" i="6"/>
  <c r="F836" i="6"/>
  <c r="E804" i="6"/>
  <c r="F778" i="6"/>
  <c r="E805" i="6"/>
  <c r="F779" i="6"/>
  <c r="F826" i="6"/>
  <c r="E852" i="6"/>
  <c r="F818" i="6" l="1"/>
  <c r="E844" i="6"/>
  <c r="E874" i="6"/>
  <c r="F848" i="6"/>
  <c r="E855" i="6"/>
  <c r="F829" i="6"/>
  <c r="E878" i="6"/>
  <c r="F852" i="6"/>
  <c r="E842" i="6"/>
  <c r="F816" i="6"/>
  <c r="E811" i="6"/>
  <c r="F785" i="6"/>
  <c r="E823" i="6"/>
  <c r="F797" i="6"/>
  <c r="E839" i="6"/>
  <c r="F813" i="6"/>
  <c r="E815" i="6"/>
  <c r="F789" i="6"/>
  <c r="F858" i="6"/>
  <c r="E884" i="6"/>
  <c r="E843" i="6"/>
  <c r="F817" i="6"/>
  <c r="F794" i="6"/>
  <c r="E820" i="6"/>
  <c r="E835" i="6"/>
  <c r="F809" i="6"/>
  <c r="E831" i="6"/>
  <c r="F805" i="6"/>
  <c r="E847" i="6"/>
  <c r="F821" i="6"/>
  <c r="E825" i="6"/>
  <c r="F799" i="6"/>
  <c r="E833" i="6"/>
  <c r="F807" i="6"/>
  <c r="F801" i="6"/>
  <c r="E827" i="6"/>
  <c r="F862" i="6"/>
  <c r="E888" i="6"/>
  <c r="E854" i="6"/>
  <c r="F828" i="6"/>
  <c r="E830" i="6"/>
  <c r="F804" i="6"/>
  <c r="F838" i="6"/>
  <c r="E864" i="6"/>
  <c r="E902" i="6"/>
  <c r="F876" i="6"/>
  <c r="E819" i="6"/>
  <c r="F793" i="6"/>
  <c r="E866" i="6"/>
  <c r="F840" i="6"/>
  <c r="E808" i="6"/>
  <c r="F782" i="6"/>
  <c r="E900" i="6" l="1"/>
  <c r="F874" i="6"/>
  <c r="E870" i="6"/>
  <c r="F844" i="6"/>
  <c r="E910" i="6"/>
  <c r="F884" i="6"/>
  <c r="E857" i="6"/>
  <c r="F831" i="6"/>
  <c r="E914" i="6"/>
  <c r="F888" i="6"/>
  <c r="E845" i="6"/>
  <c r="F819" i="6"/>
  <c r="E837" i="6"/>
  <c r="F811" i="6"/>
  <c r="E861" i="6"/>
  <c r="F835" i="6"/>
  <c r="E841" i="6"/>
  <c r="F815" i="6"/>
  <c r="F842" i="6"/>
  <c r="E868" i="6"/>
  <c r="E859" i="6"/>
  <c r="F833" i="6"/>
  <c r="E834" i="6"/>
  <c r="F808" i="6"/>
  <c r="E890" i="6"/>
  <c r="F864" i="6"/>
  <c r="E853" i="6"/>
  <c r="F827" i="6"/>
  <c r="E846" i="6"/>
  <c r="F820" i="6"/>
  <c r="F854" i="6"/>
  <c r="E880" i="6"/>
  <c r="E892" i="6"/>
  <c r="F866" i="6"/>
  <c r="E851" i="6"/>
  <c r="F825" i="6"/>
  <c r="E865" i="6"/>
  <c r="F839" i="6"/>
  <c r="E904" i="6"/>
  <c r="F878" i="6"/>
  <c r="E928" i="6"/>
  <c r="F902" i="6"/>
  <c r="E856" i="6"/>
  <c r="F830" i="6"/>
  <c r="E873" i="6"/>
  <c r="F847" i="6"/>
  <c r="E869" i="6"/>
  <c r="F843" i="6"/>
  <c r="E849" i="6"/>
  <c r="F823" i="6"/>
  <c r="E881" i="6"/>
  <c r="F855" i="6"/>
  <c r="E896" i="6" l="1"/>
  <c r="F870" i="6"/>
  <c r="E926" i="6"/>
  <c r="F900" i="6"/>
  <c r="E899" i="6"/>
  <c r="F873" i="6"/>
  <c r="F880" i="6"/>
  <c r="E906" i="6"/>
  <c r="E871" i="6"/>
  <c r="F845" i="6"/>
  <c r="E907" i="6"/>
  <c r="F881" i="6"/>
  <c r="E930" i="6"/>
  <c r="F904" i="6"/>
  <c r="E860" i="6"/>
  <c r="F834" i="6"/>
  <c r="E887" i="6"/>
  <c r="F861" i="6"/>
  <c r="E940" i="6"/>
  <c r="F914" i="6"/>
  <c r="E954" i="6"/>
  <c r="F928" i="6"/>
  <c r="E867" i="6"/>
  <c r="F841" i="6"/>
  <c r="E875" i="6"/>
  <c r="F849" i="6"/>
  <c r="E882" i="6"/>
  <c r="F856" i="6"/>
  <c r="E891" i="6"/>
  <c r="F865" i="6"/>
  <c r="E872" i="6"/>
  <c r="F846" i="6"/>
  <c r="E885" i="6"/>
  <c r="F859" i="6"/>
  <c r="E883" i="6"/>
  <c r="F857" i="6"/>
  <c r="E916" i="6"/>
  <c r="F890" i="6"/>
  <c r="E894" i="6"/>
  <c r="F868" i="6"/>
  <c r="E918" i="6"/>
  <c r="F892" i="6"/>
  <c r="E895" i="6"/>
  <c r="F869" i="6"/>
  <c r="E877" i="6"/>
  <c r="F851" i="6"/>
  <c r="E879" i="6"/>
  <c r="F853" i="6"/>
  <c r="E863" i="6"/>
  <c r="F837" i="6"/>
  <c r="E936" i="6"/>
  <c r="F910" i="6"/>
  <c r="E952" i="6" l="1"/>
  <c r="F926" i="6"/>
  <c r="F896" i="6"/>
  <c r="E922" i="6"/>
  <c r="E903" i="6"/>
  <c r="F877" i="6"/>
  <c r="E920" i="6"/>
  <c r="F894" i="6"/>
  <c r="E911" i="6"/>
  <c r="F885" i="6"/>
  <c r="E901" i="6"/>
  <c r="F875" i="6"/>
  <c r="F887" i="6"/>
  <c r="E913" i="6"/>
  <c r="E933" i="6"/>
  <c r="F907" i="6"/>
  <c r="E962" i="6"/>
  <c r="F936" i="6"/>
  <c r="E942" i="6"/>
  <c r="F916" i="6"/>
  <c r="E898" i="6"/>
  <c r="F872" i="6"/>
  <c r="E893" i="6"/>
  <c r="F867" i="6"/>
  <c r="E886" i="6"/>
  <c r="F860" i="6"/>
  <c r="E897" i="6"/>
  <c r="F871" i="6"/>
  <c r="E932" i="6"/>
  <c r="F906" i="6"/>
  <c r="E889" i="6"/>
  <c r="F863" i="6"/>
  <c r="E921" i="6"/>
  <c r="F895" i="6"/>
  <c r="F883" i="6"/>
  <c r="E909" i="6"/>
  <c r="E917" i="6"/>
  <c r="F891" i="6"/>
  <c r="E980" i="6"/>
  <c r="F954" i="6"/>
  <c r="E956" i="6"/>
  <c r="F930" i="6"/>
  <c r="E905" i="6"/>
  <c r="F879" i="6"/>
  <c r="E944" i="6"/>
  <c r="F918" i="6"/>
  <c r="E908" i="6"/>
  <c r="F882" i="6"/>
  <c r="E966" i="6"/>
  <c r="F940" i="6"/>
  <c r="E925" i="6"/>
  <c r="F899" i="6"/>
  <c r="F922" i="6" l="1"/>
  <c r="E948" i="6"/>
  <c r="E978" i="6"/>
  <c r="F952" i="6"/>
  <c r="E982" i="6"/>
  <c r="F956" i="6"/>
  <c r="E947" i="6"/>
  <c r="F921" i="6"/>
  <c r="E912" i="6"/>
  <c r="F886" i="6"/>
  <c r="E927" i="6"/>
  <c r="F901" i="6"/>
  <c r="E951" i="6"/>
  <c r="F925" i="6"/>
  <c r="E970" i="6"/>
  <c r="F944" i="6"/>
  <c r="E1006" i="6"/>
  <c r="F980" i="6"/>
  <c r="E915" i="6"/>
  <c r="F889" i="6"/>
  <c r="E919" i="6"/>
  <c r="F893" i="6"/>
  <c r="E988" i="6"/>
  <c r="F962" i="6"/>
  <c r="E937" i="6"/>
  <c r="F911" i="6"/>
  <c r="F966" i="6"/>
  <c r="E992" i="6"/>
  <c r="F905" i="6"/>
  <c r="E931" i="6"/>
  <c r="E943" i="6"/>
  <c r="F917" i="6"/>
  <c r="E958" i="6"/>
  <c r="F932" i="6"/>
  <c r="F898" i="6"/>
  <c r="E924" i="6"/>
  <c r="E959" i="6"/>
  <c r="F933" i="6"/>
  <c r="E946" i="6"/>
  <c r="F920" i="6"/>
  <c r="E935" i="6"/>
  <c r="F909" i="6"/>
  <c r="E939" i="6"/>
  <c r="F913" i="6"/>
  <c r="E934" i="6"/>
  <c r="F908" i="6"/>
  <c r="E923" i="6"/>
  <c r="F897" i="6"/>
  <c r="E968" i="6"/>
  <c r="F942" i="6"/>
  <c r="E929" i="6"/>
  <c r="F903" i="6"/>
  <c r="E1004" i="6" l="1"/>
  <c r="F978" i="6"/>
  <c r="E974" i="6"/>
  <c r="F948" i="6"/>
  <c r="F912" i="6"/>
  <c r="E938" i="6"/>
  <c r="E957" i="6"/>
  <c r="F931" i="6"/>
  <c r="E972" i="6"/>
  <c r="F946" i="6"/>
  <c r="F929" i="6"/>
  <c r="E955" i="6"/>
  <c r="E960" i="6"/>
  <c r="F934" i="6"/>
  <c r="E985" i="6"/>
  <c r="F959" i="6"/>
  <c r="E945" i="6"/>
  <c r="F919" i="6"/>
  <c r="E977" i="6"/>
  <c r="F951" i="6"/>
  <c r="E973" i="6"/>
  <c r="F947" i="6"/>
  <c r="E1014" i="6"/>
  <c r="F988" i="6"/>
  <c r="E950" i="6"/>
  <c r="F924" i="6"/>
  <c r="E1018" i="6"/>
  <c r="F992" i="6"/>
  <c r="E969" i="6"/>
  <c r="F943" i="6"/>
  <c r="E994" i="6"/>
  <c r="F968" i="6"/>
  <c r="E965" i="6"/>
  <c r="F939" i="6"/>
  <c r="E941" i="6"/>
  <c r="F915" i="6"/>
  <c r="E953" i="6"/>
  <c r="F927" i="6"/>
  <c r="E1008" i="6"/>
  <c r="F982" i="6"/>
  <c r="E996" i="6"/>
  <c r="F970" i="6"/>
  <c r="E949" i="6"/>
  <c r="F923" i="6"/>
  <c r="E961" i="6"/>
  <c r="F935" i="6"/>
  <c r="E984" i="6"/>
  <c r="F958" i="6"/>
  <c r="E963" i="6"/>
  <c r="F937" i="6"/>
  <c r="E1032" i="6"/>
  <c r="F1006" i="6"/>
  <c r="E1000" i="6" l="1"/>
  <c r="F974" i="6"/>
  <c r="E1030" i="6"/>
  <c r="F1004" i="6"/>
  <c r="E981" i="6"/>
  <c r="F955" i="6"/>
  <c r="F984" i="6"/>
  <c r="E1010" i="6"/>
  <c r="E967" i="6"/>
  <c r="F941" i="6"/>
  <c r="E1044" i="6"/>
  <c r="F1018" i="6"/>
  <c r="E1003" i="6"/>
  <c r="F977" i="6"/>
  <c r="E991" i="6"/>
  <c r="F965" i="6"/>
  <c r="E971" i="6"/>
  <c r="F945" i="6"/>
  <c r="E987" i="6"/>
  <c r="F961" i="6"/>
  <c r="E976" i="6"/>
  <c r="F950" i="6"/>
  <c r="E998" i="6"/>
  <c r="F972" i="6"/>
  <c r="E1058" i="6"/>
  <c r="F1032" i="6"/>
  <c r="E975" i="6"/>
  <c r="F949" i="6"/>
  <c r="E1034" i="6"/>
  <c r="F1008" i="6"/>
  <c r="E1020" i="6"/>
  <c r="F994" i="6"/>
  <c r="E1040" i="6"/>
  <c r="F1014" i="6"/>
  <c r="E1011" i="6"/>
  <c r="F985" i="6"/>
  <c r="E983" i="6"/>
  <c r="F957" i="6"/>
  <c r="F938" i="6"/>
  <c r="E964" i="6"/>
  <c r="E989" i="6"/>
  <c r="F963" i="6"/>
  <c r="E1022" i="6"/>
  <c r="F996" i="6"/>
  <c r="F953" i="6"/>
  <c r="E979" i="6"/>
  <c r="E995" i="6"/>
  <c r="F969" i="6"/>
  <c r="E999" i="6"/>
  <c r="F973" i="6"/>
  <c r="E986" i="6"/>
  <c r="F960" i="6"/>
  <c r="F1030" i="6" l="1"/>
  <c r="E1056" i="6"/>
  <c r="E1026" i="6"/>
  <c r="F1000" i="6"/>
  <c r="E1005" i="6"/>
  <c r="F979" i="6"/>
  <c r="E1009" i="6"/>
  <c r="F983" i="6"/>
  <c r="E1060" i="6"/>
  <c r="F1034" i="6"/>
  <c r="E1002" i="6"/>
  <c r="F976" i="6"/>
  <c r="E993" i="6"/>
  <c r="F967" i="6"/>
  <c r="E1012" i="6"/>
  <c r="F986" i="6"/>
  <c r="E1048" i="6"/>
  <c r="F1022" i="6"/>
  <c r="E1037" i="6"/>
  <c r="F1011" i="6"/>
  <c r="F975" i="6"/>
  <c r="E1001" i="6"/>
  <c r="E1013" i="6"/>
  <c r="F987" i="6"/>
  <c r="E1036" i="6"/>
  <c r="F1010" i="6"/>
  <c r="E1025" i="6"/>
  <c r="F999" i="6"/>
  <c r="E1015" i="6"/>
  <c r="F989" i="6"/>
  <c r="E1066" i="6"/>
  <c r="F1040" i="6"/>
  <c r="E1084" i="6"/>
  <c r="F1058" i="6"/>
  <c r="E997" i="6"/>
  <c r="F971" i="6"/>
  <c r="E1029" i="6"/>
  <c r="F1003" i="6"/>
  <c r="E990" i="6"/>
  <c r="F964" i="6"/>
  <c r="E1021" i="6"/>
  <c r="F995" i="6"/>
  <c r="E1046" i="6"/>
  <c r="F1020" i="6"/>
  <c r="E1024" i="6"/>
  <c r="F998" i="6"/>
  <c r="E1017" i="6"/>
  <c r="F991" i="6"/>
  <c r="E1070" i="6"/>
  <c r="F1044" i="6"/>
  <c r="E1007" i="6"/>
  <c r="F981" i="6"/>
  <c r="F1026" i="6" l="1"/>
  <c r="E1052" i="6"/>
  <c r="E1082" i="6"/>
  <c r="F1056" i="6"/>
  <c r="E1050" i="6"/>
  <c r="F1024" i="6"/>
  <c r="E1055" i="6"/>
  <c r="F1029" i="6"/>
  <c r="E1041" i="6"/>
  <c r="F1015" i="6"/>
  <c r="E1074" i="6"/>
  <c r="F1048" i="6"/>
  <c r="E1086" i="6"/>
  <c r="F1060" i="6"/>
  <c r="E1033" i="6"/>
  <c r="F1007" i="6"/>
  <c r="E1072" i="6"/>
  <c r="F1046" i="6"/>
  <c r="E1023" i="6"/>
  <c r="F997" i="6"/>
  <c r="E1051" i="6"/>
  <c r="F1025" i="6"/>
  <c r="E1039" i="6"/>
  <c r="F1013" i="6"/>
  <c r="E1038" i="6"/>
  <c r="F1012" i="6"/>
  <c r="E1035" i="6"/>
  <c r="F1009" i="6"/>
  <c r="E1027" i="6"/>
  <c r="F1001" i="6"/>
  <c r="E1096" i="6"/>
  <c r="F1070" i="6"/>
  <c r="E1047" i="6"/>
  <c r="F1021" i="6"/>
  <c r="E1110" i="6"/>
  <c r="F1084" i="6"/>
  <c r="E1062" i="6"/>
  <c r="F1036" i="6"/>
  <c r="F993" i="6"/>
  <c r="E1019" i="6"/>
  <c r="E1043" i="6"/>
  <c r="F1017" i="6"/>
  <c r="E1016" i="6"/>
  <c r="F990" i="6"/>
  <c r="F1066" i="6"/>
  <c r="E1092" i="6"/>
  <c r="E1063" i="6"/>
  <c r="F1037" i="6"/>
  <c r="F1002" i="6"/>
  <c r="E1028" i="6"/>
  <c r="E1031" i="6"/>
  <c r="F1005" i="6"/>
  <c r="E1108" i="6" l="1"/>
  <c r="F1082" i="6"/>
  <c r="E1078" i="6"/>
  <c r="F1052" i="6"/>
  <c r="E1073" i="6"/>
  <c r="F1047" i="6"/>
  <c r="E1064" i="6"/>
  <c r="F1038" i="6"/>
  <c r="E1098" i="6"/>
  <c r="F1072" i="6"/>
  <c r="E1118" i="6"/>
  <c r="F1092" i="6"/>
  <c r="E1045" i="6"/>
  <c r="F1019" i="6"/>
  <c r="E1057" i="6"/>
  <c r="F1031" i="6"/>
  <c r="E1122" i="6"/>
  <c r="F1096" i="6"/>
  <c r="E1065" i="6"/>
  <c r="F1039" i="6"/>
  <c r="E1059" i="6"/>
  <c r="F1033" i="6"/>
  <c r="E1067" i="6"/>
  <c r="F1041" i="6"/>
  <c r="E1054" i="6"/>
  <c r="F1028" i="6"/>
  <c r="E1042" i="6"/>
  <c r="F1016" i="6"/>
  <c r="E1088" i="6"/>
  <c r="F1062" i="6"/>
  <c r="E1053" i="6"/>
  <c r="F1027" i="6"/>
  <c r="E1077" i="6"/>
  <c r="F1051" i="6"/>
  <c r="E1112" i="6"/>
  <c r="F1086" i="6"/>
  <c r="E1081" i="6"/>
  <c r="F1055" i="6"/>
  <c r="E1089" i="6"/>
  <c r="F1063" i="6"/>
  <c r="E1069" i="6"/>
  <c r="F1043" i="6"/>
  <c r="E1136" i="6"/>
  <c r="F1110" i="6"/>
  <c r="E1061" i="6"/>
  <c r="F1035" i="6"/>
  <c r="E1049" i="6"/>
  <c r="F1023" i="6"/>
  <c r="E1100" i="6"/>
  <c r="F1074" i="6"/>
  <c r="E1076" i="6"/>
  <c r="F1050" i="6"/>
  <c r="E1104" i="6" l="1"/>
  <c r="F1078" i="6"/>
  <c r="E1134" i="6"/>
  <c r="F1108" i="6"/>
  <c r="E1087" i="6"/>
  <c r="F1061" i="6"/>
  <c r="E1107" i="6"/>
  <c r="F1081" i="6"/>
  <c r="E1114" i="6"/>
  <c r="F1088" i="6"/>
  <c r="E1085" i="6"/>
  <c r="F1059" i="6"/>
  <c r="E1071" i="6"/>
  <c r="F1045" i="6"/>
  <c r="E1099" i="6"/>
  <c r="F1073" i="6"/>
  <c r="E1102" i="6"/>
  <c r="F1076" i="6"/>
  <c r="F1136" i="6"/>
  <c r="E1162" i="6"/>
  <c r="F1112" i="6"/>
  <c r="E1138" i="6"/>
  <c r="E1068" i="6"/>
  <c r="F1042" i="6"/>
  <c r="E1091" i="6"/>
  <c r="F1065" i="6"/>
  <c r="E1144" i="6"/>
  <c r="F1118" i="6"/>
  <c r="E1126" i="6"/>
  <c r="F1100" i="6"/>
  <c r="E1095" i="6"/>
  <c r="F1069" i="6"/>
  <c r="E1103" i="6"/>
  <c r="F1077" i="6"/>
  <c r="E1080" i="6"/>
  <c r="F1054" i="6"/>
  <c r="E1148" i="6"/>
  <c r="F1122" i="6"/>
  <c r="E1124" i="6"/>
  <c r="F1098" i="6"/>
  <c r="E1075" i="6"/>
  <c r="F1049" i="6"/>
  <c r="E1115" i="6"/>
  <c r="F1089" i="6"/>
  <c r="E1079" i="6"/>
  <c r="F1053" i="6"/>
  <c r="E1093" i="6"/>
  <c r="F1067" i="6"/>
  <c r="E1083" i="6"/>
  <c r="F1057" i="6"/>
  <c r="E1090" i="6"/>
  <c r="F1064" i="6"/>
  <c r="E1160" i="6" l="1"/>
  <c r="F1134" i="6"/>
  <c r="E1130" i="6"/>
  <c r="F1104" i="6"/>
  <c r="E1188" i="6"/>
  <c r="F1162" i="6"/>
  <c r="E1119" i="6"/>
  <c r="F1093" i="6"/>
  <c r="E1129" i="6"/>
  <c r="F1103" i="6"/>
  <c r="E1170" i="6"/>
  <c r="F1144" i="6"/>
  <c r="F1085" i="6"/>
  <c r="E1111" i="6"/>
  <c r="E1105" i="6"/>
  <c r="F1079" i="6"/>
  <c r="E1150" i="6"/>
  <c r="F1124" i="6"/>
  <c r="E1121" i="6"/>
  <c r="F1095" i="6"/>
  <c r="E1117" i="6"/>
  <c r="F1091" i="6"/>
  <c r="E1128" i="6"/>
  <c r="F1102" i="6"/>
  <c r="E1140" i="6"/>
  <c r="F1114" i="6"/>
  <c r="E1116" i="6"/>
  <c r="F1090" i="6"/>
  <c r="E1141" i="6"/>
  <c r="F1115" i="6"/>
  <c r="E1174" i="6"/>
  <c r="F1148" i="6"/>
  <c r="E1152" i="6"/>
  <c r="F1126" i="6"/>
  <c r="E1094" i="6"/>
  <c r="F1068" i="6"/>
  <c r="E1125" i="6"/>
  <c r="F1099" i="6"/>
  <c r="E1133" i="6"/>
  <c r="F1107" i="6"/>
  <c r="E1164" i="6"/>
  <c r="F1138" i="6"/>
  <c r="E1109" i="6"/>
  <c r="F1083" i="6"/>
  <c r="E1101" i="6"/>
  <c r="F1075" i="6"/>
  <c r="E1106" i="6"/>
  <c r="F1080" i="6"/>
  <c r="E1097" i="6"/>
  <c r="F1071" i="6"/>
  <c r="E1113" i="6"/>
  <c r="F1087" i="6"/>
  <c r="E1156" i="6" l="1"/>
  <c r="F1130" i="6"/>
  <c r="E1186" i="6"/>
  <c r="F1160" i="6"/>
  <c r="E1132" i="6"/>
  <c r="F1106" i="6"/>
  <c r="E1159" i="6"/>
  <c r="F1133" i="6"/>
  <c r="E1200" i="6"/>
  <c r="F1174" i="6"/>
  <c r="E1154" i="6"/>
  <c r="F1128" i="6"/>
  <c r="E1131" i="6"/>
  <c r="F1105" i="6"/>
  <c r="E1155" i="6"/>
  <c r="F1129" i="6"/>
  <c r="E1139" i="6"/>
  <c r="F1113" i="6"/>
  <c r="E1127" i="6"/>
  <c r="F1101" i="6"/>
  <c r="E1151" i="6"/>
  <c r="F1125" i="6"/>
  <c r="E1167" i="6"/>
  <c r="F1141" i="6"/>
  <c r="E1143" i="6"/>
  <c r="F1117" i="6"/>
  <c r="E1137" i="6"/>
  <c r="F1111" i="6"/>
  <c r="E1123" i="6"/>
  <c r="F1097" i="6"/>
  <c r="E1135" i="6"/>
  <c r="F1109" i="6"/>
  <c r="E1120" i="6"/>
  <c r="F1094" i="6"/>
  <c r="E1142" i="6"/>
  <c r="F1116" i="6"/>
  <c r="E1147" i="6"/>
  <c r="F1121" i="6"/>
  <c r="E1145" i="6"/>
  <c r="F1119" i="6"/>
  <c r="E1190" i="6"/>
  <c r="F1164" i="6"/>
  <c r="E1178" i="6"/>
  <c r="F1152" i="6"/>
  <c r="E1166" i="6"/>
  <c r="F1140" i="6"/>
  <c r="E1176" i="6"/>
  <c r="F1150" i="6"/>
  <c r="E1196" i="6"/>
  <c r="F1170" i="6"/>
  <c r="E1214" i="6"/>
  <c r="F1188" i="6"/>
  <c r="F1186" i="6" l="1"/>
  <c r="E1212" i="6"/>
  <c r="E1182" i="6"/>
  <c r="F1156" i="6"/>
  <c r="E1192" i="6"/>
  <c r="F1166" i="6"/>
  <c r="E1171" i="6"/>
  <c r="F1145" i="6"/>
  <c r="E1161" i="6"/>
  <c r="F1135" i="6"/>
  <c r="E1153" i="6"/>
  <c r="F1127" i="6"/>
  <c r="E1180" i="6"/>
  <c r="F1154" i="6"/>
  <c r="E1240" i="6"/>
  <c r="F1214" i="6"/>
  <c r="E1204" i="6"/>
  <c r="F1178" i="6"/>
  <c r="E1173" i="6"/>
  <c r="F1147" i="6"/>
  <c r="E1149" i="6"/>
  <c r="F1123" i="6"/>
  <c r="E1169" i="6"/>
  <c r="F1143" i="6"/>
  <c r="F1139" i="6"/>
  <c r="E1165" i="6"/>
  <c r="F1200" i="6"/>
  <c r="E1226" i="6"/>
  <c r="E1222" i="6"/>
  <c r="F1196" i="6"/>
  <c r="E1216" i="6"/>
  <c r="F1190" i="6"/>
  <c r="E1168" i="6"/>
  <c r="F1142" i="6"/>
  <c r="E1163" i="6"/>
  <c r="F1137" i="6"/>
  <c r="E1193" i="6"/>
  <c r="F1167" i="6"/>
  <c r="E1181" i="6"/>
  <c r="F1155" i="6"/>
  <c r="E1185" i="6"/>
  <c r="F1159" i="6"/>
  <c r="E1202" i="6"/>
  <c r="F1176" i="6"/>
  <c r="E1146" i="6"/>
  <c r="F1120" i="6"/>
  <c r="E1177" i="6"/>
  <c r="F1151" i="6"/>
  <c r="E1157" i="6"/>
  <c r="F1131" i="6"/>
  <c r="E1158" i="6"/>
  <c r="F1132" i="6"/>
  <c r="E1208" i="6" l="1"/>
  <c r="F1182" i="6"/>
  <c r="E1238" i="6"/>
  <c r="F1212" i="6"/>
  <c r="E1191" i="6"/>
  <c r="F1165" i="6"/>
  <c r="E1172" i="6"/>
  <c r="F1146" i="6"/>
  <c r="E1211" i="6"/>
  <c r="F1185" i="6"/>
  <c r="F1168" i="6"/>
  <c r="E1194" i="6"/>
  <c r="E1230" i="6"/>
  <c r="F1204" i="6"/>
  <c r="E1184" i="6"/>
  <c r="F1158" i="6"/>
  <c r="E1207" i="6"/>
  <c r="F1181" i="6"/>
  <c r="E1242" i="6"/>
  <c r="F1216" i="6"/>
  <c r="E1195" i="6"/>
  <c r="F1169" i="6"/>
  <c r="E1266" i="6"/>
  <c r="F1240" i="6"/>
  <c r="E1187" i="6"/>
  <c r="F1161" i="6"/>
  <c r="E1183" i="6"/>
  <c r="F1157" i="6"/>
  <c r="E1228" i="6"/>
  <c r="F1202" i="6"/>
  <c r="E1219" i="6"/>
  <c r="F1193" i="6"/>
  <c r="E1248" i="6"/>
  <c r="F1222" i="6"/>
  <c r="E1175" i="6"/>
  <c r="F1149" i="6"/>
  <c r="E1206" i="6"/>
  <c r="F1180" i="6"/>
  <c r="E1197" i="6"/>
  <c r="F1171" i="6"/>
  <c r="E1252" i="6"/>
  <c r="F1226" i="6"/>
  <c r="E1203" i="6"/>
  <c r="F1177" i="6"/>
  <c r="E1189" i="6"/>
  <c r="F1163" i="6"/>
  <c r="E1199" i="6"/>
  <c r="F1173" i="6"/>
  <c r="E1179" i="6"/>
  <c r="F1153" i="6"/>
  <c r="E1218" i="6"/>
  <c r="F1192" i="6"/>
  <c r="F1238" i="6" l="1"/>
  <c r="E1264" i="6"/>
  <c r="E1234" i="6"/>
  <c r="F1208" i="6"/>
  <c r="F1194" i="6"/>
  <c r="E1220" i="6"/>
  <c r="E1215" i="6"/>
  <c r="F1189" i="6"/>
  <c r="E1223" i="6"/>
  <c r="F1197" i="6"/>
  <c r="E1245" i="6"/>
  <c r="F1219" i="6"/>
  <c r="E1292" i="6"/>
  <c r="F1266" i="6"/>
  <c r="E1244" i="6"/>
  <c r="F1218" i="6"/>
  <c r="E1232" i="6"/>
  <c r="F1206" i="6"/>
  <c r="E1254" i="6"/>
  <c r="F1228" i="6"/>
  <c r="E1221" i="6"/>
  <c r="F1195" i="6"/>
  <c r="E1210" i="6"/>
  <c r="F1184" i="6"/>
  <c r="E1237" i="6"/>
  <c r="F1211" i="6"/>
  <c r="E1205" i="6"/>
  <c r="F1179" i="6"/>
  <c r="E1229" i="6"/>
  <c r="F1203" i="6"/>
  <c r="E1201" i="6"/>
  <c r="F1175" i="6"/>
  <c r="E1209" i="6"/>
  <c r="F1183" i="6"/>
  <c r="E1268" i="6"/>
  <c r="F1242" i="6"/>
  <c r="E1198" i="6"/>
  <c r="F1172" i="6"/>
  <c r="E1225" i="6"/>
  <c r="F1199" i="6"/>
  <c r="E1278" i="6"/>
  <c r="F1252" i="6"/>
  <c r="E1274" i="6"/>
  <c r="F1248" i="6"/>
  <c r="E1213" i="6"/>
  <c r="F1187" i="6"/>
  <c r="E1233" i="6"/>
  <c r="F1207" i="6"/>
  <c r="E1256" i="6"/>
  <c r="F1230" i="6"/>
  <c r="E1217" i="6"/>
  <c r="F1191" i="6"/>
  <c r="E1260" i="6" l="1"/>
  <c r="F1234" i="6"/>
  <c r="E1290" i="6"/>
  <c r="F1264" i="6"/>
  <c r="E1239" i="6"/>
  <c r="F1213" i="6"/>
  <c r="E1224" i="6"/>
  <c r="F1198" i="6"/>
  <c r="E1227" i="6"/>
  <c r="F1201" i="6"/>
  <c r="E1236" i="6"/>
  <c r="F1210" i="6"/>
  <c r="E1271" i="6"/>
  <c r="F1245" i="6"/>
  <c r="E1243" i="6"/>
  <c r="F1217" i="6"/>
  <c r="E1300" i="6"/>
  <c r="F1274" i="6"/>
  <c r="E1255" i="6"/>
  <c r="F1229" i="6"/>
  <c r="E1247" i="6"/>
  <c r="F1221" i="6"/>
  <c r="E1270" i="6"/>
  <c r="F1244" i="6"/>
  <c r="E1249" i="6"/>
  <c r="F1223" i="6"/>
  <c r="E1282" i="6"/>
  <c r="F1256" i="6"/>
  <c r="E1304" i="6"/>
  <c r="F1278" i="6"/>
  <c r="E1294" i="6"/>
  <c r="F1268" i="6"/>
  <c r="E1231" i="6"/>
  <c r="F1205" i="6"/>
  <c r="E1280" i="6"/>
  <c r="F1254" i="6"/>
  <c r="E1241" i="6"/>
  <c r="F1215" i="6"/>
  <c r="E1246" i="6"/>
  <c r="F1220" i="6"/>
  <c r="E1259" i="6"/>
  <c r="F1233" i="6"/>
  <c r="E1251" i="6"/>
  <c r="F1225" i="6"/>
  <c r="E1235" i="6"/>
  <c r="F1209" i="6"/>
  <c r="E1263" i="6"/>
  <c r="F1237" i="6"/>
  <c r="E1258" i="6"/>
  <c r="F1232" i="6"/>
  <c r="E1318" i="6"/>
  <c r="F1292" i="6"/>
  <c r="E1316" i="6" l="1"/>
  <c r="F1290" i="6"/>
  <c r="E1286" i="6"/>
  <c r="F1260" i="6"/>
  <c r="E1261" i="6"/>
  <c r="F1235" i="6"/>
  <c r="E1267" i="6"/>
  <c r="F1241" i="6"/>
  <c r="E1320" i="6"/>
  <c r="F1294" i="6"/>
  <c r="F1270" i="6"/>
  <c r="E1296" i="6"/>
  <c r="E1326" i="6"/>
  <c r="F1300" i="6"/>
  <c r="F1236" i="6"/>
  <c r="E1262" i="6"/>
  <c r="E1344" i="6"/>
  <c r="F1318" i="6"/>
  <c r="E1277" i="6"/>
  <c r="F1251" i="6"/>
  <c r="E1330" i="6"/>
  <c r="F1304" i="6"/>
  <c r="E1273" i="6"/>
  <c r="F1247" i="6"/>
  <c r="F1243" i="6"/>
  <c r="E1269" i="6"/>
  <c r="E1253" i="6"/>
  <c r="F1227" i="6"/>
  <c r="E1284" i="6"/>
  <c r="F1258" i="6"/>
  <c r="E1285" i="6"/>
  <c r="F1259" i="6"/>
  <c r="E1306" i="6"/>
  <c r="F1280" i="6"/>
  <c r="E1308" i="6"/>
  <c r="F1282" i="6"/>
  <c r="E1281" i="6"/>
  <c r="F1255" i="6"/>
  <c r="E1297" i="6"/>
  <c r="F1271" i="6"/>
  <c r="E1250" i="6"/>
  <c r="F1224" i="6"/>
  <c r="E1289" i="6"/>
  <c r="F1263" i="6"/>
  <c r="E1272" i="6"/>
  <c r="F1246" i="6"/>
  <c r="E1257" i="6"/>
  <c r="F1231" i="6"/>
  <c r="E1275" i="6"/>
  <c r="F1249" i="6"/>
  <c r="E1265" i="6"/>
  <c r="F1239" i="6"/>
  <c r="F1286" i="6" l="1"/>
  <c r="E1312" i="6"/>
  <c r="E1342" i="6"/>
  <c r="F1316" i="6"/>
  <c r="E1295" i="6"/>
  <c r="F1269" i="6"/>
  <c r="E1322" i="6"/>
  <c r="F1296" i="6"/>
  <c r="E1283" i="6"/>
  <c r="F1257" i="6"/>
  <c r="E1276" i="6"/>
  <c r="F1250" i="6"/>
  <c r="E1332" i="6"/>
  <c r="F1306" i="6"/>
  <c r="F1344" i="6"/>
  <c r="E1370" i="6"/>
  <c r="E1291" i="6"/>
  <c r="F1265" i="6"/>
  <c r="E1298" i="6"/>
  <c r="F1272" i="6"/>
  <c r="E1323" i="6"/>
  <c r="F1297" i="6"/>
  <c r="E1311" i="6"/>
  <c r="F1285" i="6"/>
  <c r="E1299" i="6"/>
  <c r="F1273" i="6"/>
  <c r="E1346" i="6"/>
  <c r="F1320" i="6"/>
  <c r="E1288" i="6"/>
  <c r="F1262" i="6"/>
  <c r="E1315" i="6"/>
  <c r="F1289" i="6"/>
  <c r="E1307" i="6"/>
  <c r="F1281" i="6"/>
  <c r="E1310" i="6"/>
  <c r="F1284" i="6"/>
  <c r="E1356" i="6"/>
  <c r="F1330" i="6"/>
  <c r="E1293" i="6"/>
  <c r="F1267" i="6"/>
  <c r="E1301" i="6"/>
  <c r="F1275" i="6"/>
  <c r="E1334" i="6"/>
  <c r="F1308" i="6"/>
  <c r="E1279" i="6"/>
  <c r="F1253" i="6"/>
  <c r="E1303" i="6"/>
  <c r="F1277" i="6"/>
  <c r="E1352" i="6"/>
  <c r="F1326" i="6"/>
  <c r="E1287" i="6"/>
  <c r="F1261" i="6"/>
  <c r="E1368" i="6" l="1"/>
  <c r="F1342" i="6"/>
  <c r="E1338" i="6"/>
  <c r="F1312" i="6"/>
  <c r="F1279" i="6"/>
  <c r="E1305" i="6"/>
  <c r="E1319" i="6"/>
  <c r="F1293" i="6"/>
  <c r="E1341" i="6"/>
  <c r="F1315" i="6"/>
  <c r="E1324" i="6"/>
  <c r="F1298" i="6"/>
  <c r="E1302" i="6"/>
  <c r="F1276" i="6"/>
  <c r="E1313" i="6"/>
  <c r="F1287" i="6"/>
  <c r="E1360" i="6"/>
  <c r="F1334" i="6"/>
  <c r="E1382" i="6"/>
  <c r="F1356" i="6"/>
  <c r="E1325" i="6"/>
  <c r="F1299" i="6"/>
  <c r="F1291" i="6"/>
  <c r="E1317" i="6"/>
  <c r="E1309" i="6"/>
  <c r="F1283" i="6"/>
  <c r="E1396" i="6"/>
  <c r="F1370" i="6"/>
  <c r="E1378" i="6"/>
  <c r="F1352" i="6"/>
  <c r="E1336" i="6"/>
  <c r="F1310" i="6"/>
  <c r="E1314" i="6"/>
  <c r="F1288" i="6"/>
  <c r="E1337" i="6"/>
  <c r="F1311" i="6"/>
  <c r="F1322" i="6"/>
  <c r="E1348" i="6"/>
  <c r="E1329" i="6"/>
  <c r="F1303" i="6"/>
  <c r="E1327" i="6"/>
  <c r="F1301" i="6"/>
  <c r="F1307" i="6"/>
  <c r="E1333" i="6"/>
  <c r="E1372" i="6"/>
  <c r="F1346" i="6"/>
  <c r="E1349" i="6"/>
  <c r="F1323" i="6"/>
  <c r="E1358" i="6"/>
  <c r="F1332" i="6"/>
  <c r="E1321" i="6"/>
  <c r="F1295" i="6"/>
  <c r="E1364" i="6" l="1"/>
  <c r="F1338" i="6"/>
  <c r="E1394" i="6"/>
  <c r="F1368" i="6"/>
  <c r="F1348" i="6"/>
  <c r="E1374" i="6"/>
  <c r="E1343" i="6"/>
  <c r="F1317" i="6"/>
  <c r="E1398" i="6"/>
  <c r="F1372" i="6"/>
  <c r="E1404" i="6"/>
  <c r="F1378" i="6"/>
  <c r="E1386" i="6"/>
  <c r="F1360" i="6"/>
  <c r="E1359" i="6"/>
  <c r="F1333" i="6"/>
  <c r="E1347" i="6"/>
  <c r="F1321" i="6"/>
  <c r="E1363" i="6"/>
  <c r="F1337" i="6"/>
  <c r="E1422" i="6"/>
  <c r="F1396" i="6"/>
  <c r="E1351" i="6"/>
  <c r="F1325" i="6"/>
  <c r="E1339" i="6"/>
  <c r="F1313" i="6"/>
  <c r="E1367" i="6"/>
  <c r="F1341" i="6"/>
  <c r="E1384" i="6"/>
  <c r="F1358" i="6"/>
  <c r="E1353" i="6"/>
  <c r="F1327" i="6"/>
  <c r="E1340" i="6"/>
  <c r="F1314" i="6"/>
  <c r="E1328" i="6"/>
  <c r="F1302" i="6"/>
  <c r="E1345" i="6"/>
  <c r="F1319" i="6"/>
  <c r="E1331" i="6"/>
  <c r="F1305" i="6"/>
  <c r="E1375" i="6"/>
  <c r="F1349" i="6"/>
  <c r="E1355" i="6"/>
  <c r="F1329" i="6"/>
  <c r="E1362" i="6"/>
  <c r="F1336" i="6"/>
  <c r="E1335" i="6"/>
  <c r="F1309" i="6"/>
  <c r="E1408" i="6"/>
  <c r="F1382" i="6"/>
  <c r="E1350" i="6"/>
  <c r="F1324" i="6"/>
  <c r="E1420" i="6" l="1"/>
  <c r="F1394" i="6"/>
  <c r="E1390" i="6"/>
  <c r="F1364" i="6"/>
  <c r="E1388" i="6"/>
  <c r="F1362" i="6"/>
  <c r="E1371" i="6"/>
  <c r="F1345" i="6"/>
  <c r="E1379" i="6"/>
  <c r="F1353" i="6"/>
  <c r="E1365" i="6"/>
  <c r="F1339" i="6"/>
  <c r="E1373" i="6"/>
  <c r="F1347" i="6"/>
  <c r="E1430" i="6"/>
  <c r="F1404" i="6"/>
  <c r="E1376" i="6"/>
  <c r="F1350" i="6"/>
  <c r="E1381" i="6"/>
  <c r="F1355" i="6"/>
  <c r="E1354" i="6"/>
  <c r="F1328" i="6"/>
  <c r="E1410" i="6"/>
  <c r="F1384" i="6"/>
  <c r="E1377" i="6"/>
  <c r="F1351" i="6"/>
  <c r="E1385" i="6"/>
  <c r="F1359" i="6"/>
  <c r="E1424" i="6"/>
  <c r="F1398" i="6"/>
  <c r="E1434" i="6"/>
  <c r="F1408" i="6"/>
  <c r="E1401" i="6"/>
  <c r="F1375" i="6"/>
  <c r="E1448" i="6"/>
  <c r="F1422" i="6"/>
  <c r="E1369" i="6"/>
  <c r="F1343" i="6"/>
  <c r="E1400" i="6"/>
  <c r="F1374" i="6"/>
  <c r="E1361" i="6"/>
  <c r="F1335" i="6"/>
  <c r="E1357" i="6"/>
  <c r="F1331" i="6"/>
  <c r="E1366" i="6"/>
  <c r="F1340" i="6"/>
  <c r="E1393" i="6"/>
  <c r="F1367" i="6"/>
  <c r="E1389" i="6"/>
  <c r="F1363" i="6"/>
  <c r="E1412" i="6"/>
  <c r="F1386" i="6"/>
  <c r="E1416" i="6" l="1"/>
  <c r="F1390" i="6"/>
  <c r="E1446" i="6"/>
  <c r="F1420" i="6"/>
  <c r="E1392" i="6"/>
  <c r="F1366" i="6"/>
  <c r="E1395" i="6"/>
  <c r="F1369" i="6"/>
  <c r="E1411" i="6"/>
  <c r="F1385" i="6"/>
  <c r="E1407" i="6"/>
  <c r="F1381" i="6"/>
  <c r="E1391" i="6"/>
  <c r="F1365" i="6"/>
  <c r="E1438" i="6"/>
  <c r="F1412" i="6"/>
  <c r="E1383" i="6"/>
  <c r="F1357" i="6"/>
  <c r="E1427" i="6"/>
  <c r="F1401" i="6"/>
  <c r="E1403" i="6"/>
  <c r="F1377" i="6"/>
  <c r="E1402" i="6"/>
  <c r="F1376" i="6"/>
  <c r="E1405" i="6"/>
  <c r="F1379" i="6"/>
  <c r="E1415" i="6"/>
  <c r="F1389" i="6"/>
  <c r="E1387" i="6"/>
  <c r="F1361" i="6"/>
  <c r="E1474" i="6"/>
  <c r="F1448" i="6"/>
  <c r="E1460" i="6"/>
  <c r="F1434" i="6"/>
  <c r="E1436" i="6"/>
  <c r="F1410" i="6"/>
  <c r="E1456" i="6"/>
  <c r="F1430" i="6"/>
  <c r="E1397" i="6"/>
  <c r="F1371" i="6"/>
  <c r="E1419" i="6"/>
  <c r="F1393" i="6"/>
  <c r="E1426" i="6"/>
  <c r="F1400" i="6"/>
  <c r="E1450" i="6"/>
  <c r="F1424" i="6"/>
  <c r="E1380" i="6"/>
  <c r="F1354" i="6"/>
  <c r="E1399" i="6"/>
  <c r="F1373" i="6"/>
  <c r="E1414" i="6"/>
  <c r="F1388" i="6"/>
  <c r="E1472" i="6" l="1"/>
  <c r="F1446" i="6"/>
  <c r="E1442" i="6"/>
  <c r="F1416" i="6"/>
  <c r="E1476" i="6"/>
  <c r="F1450" i="6"/>
  <c r="E1423" i="6"/>
  <c r="F1397" i="6"/>
  <c r="E1500" i="6"/>
  <c r="F1474" i="6"/>
  <c r="E1428" i="6"/>
  <c r="F1402" i="6"/>
  <c r="E1409" i="6"/>
  <c r="F1383" i="6"/>
  <c r="E1437" i="6"/>
  <c r="F1411" i="6"/>
  <c r="E1440" i="6"/>
  <c r="F1414" i="6"/>
  <c r="E1482" i="6"/>
  <c r="F1456" i="6"/>
  <c r="E1413" i="6"/>
  <c r="F1387" i="6"/>
  <c r="E1429" i="6"/>
  <c r="F1403" i="6"/>
  <c r="E1464" i="6"/>
  <c r="F1438" i="6"/>
  <c r="E1425" i="6"/>
  <c r="F1399" i="6"/>
  <c r="E1452" i="6"/>
  <c r="F1426" i="6"/>
  <c r="E1462" i="6"/>
  <c r="F1436" i="6"/>
  <c r="E1441" i="6"/>
  <c r="F1415" i="6"/>
  <c r="E1453" i="6"/>
  <c r="F1427" i="6"/>
  <c r="E1417" i="6"/>
  <c r="F1391" i="6"/>
  <c r="E1421" i="6"/>
  <c r="F1395" i="6"/>
  <c r="E1406" i="6"/>
  <c r="F1380" i="6"/>
  <c r="E1445" i="6"/>
  <c r="F1419" i="6"/>
  <c r="E1486" i="6"/>
  <c r="F1460" i="6"/>
  <c r="E1431" i="6"/>
  <c r="F1405" i="6"/>
  <c r="E1433" i="6"/>
  <c r="F1407" i="6"/>
  <c r="F1392" i="6"/>
  <c r="E1418" i="6"/>
  <c r="E1468" i="6" l="1"/>
  <c r="F1442" i="6"/>
  <c r="E1498" i="6"/>
  <c r="F1472" i="6"/>
  <c r="E1457" i="6"/>
  <c r="F1431" i="6"/>
  <c r="E1447" i="6"/>
  <c r="F1421" i="6"/>
  <c r="E1488" i="6"/>
  <c r="F1462" i="6"/>
  <c r="E1490" i="6"/>
  <c r="F1464" i="6"/>
  <c r="E1454" i="6"/>
  <c r="F1428" i="6"/>
  <c r="E1444" i="6"/>
  <c r="F1418" i="6"/>
  <c r="E1512" i="6"/>
  <c r="F1486" i="6"/>
  <c r="E1443" i="6"/>
  <c r="F1417" i="6"/>
  <c r="E1478" i="6"/>
  <c r="F1452" i="6"/>
  <c r="E1455" i="6"/>
  <c r="F1429" i="6"/>
  <c r="E1466" i="6"/>
  <c r="F1440" i="6"/>
  <c r="E1526" i="6"/>
  <c r="F1500" i="6"/>
  <c r="E1459" i="6"/>
  <c r="F1433" i="6"/>
  <c r="E1471" i="6"/>
  <c r="F1445" i="6"/>
  <c r="E1479" i="6"/>
  <c r="F1453" i="6"/>
  <c r="E1451" i="6"/>
  <c r="F1425" i="6"/>
  <c r="E1439" i="6"/>
  <c r="F1413" i="6"/>
  <c r="E1463" i="6"/>
  <c r="F1437" i="6"/>
  <c r="E1449" i="6"/>
  <c r="F1423" i="6"/>
  <c r="E1432" i="6"/>
  <c r="F1406" i="6"/>
  <c r="E1467" i="6"/>
  <c r="F1441" i="6"/>
  <c r="E1508" i="6"/>
  <c r="F1482" i="6"/>
  <c r="E1435" i="6"/>
  <c r="F1409" i="6"/>
  <c r="E1502" i="6"/>
  <c r="F1476" i="6"/>
  <c r="E1524" i="6" l="1"/>
  <c r="F1498" i="6"/>
  <c r="E1494" i="6"/>
  <c r="F1468" i="6"/>
  <c r="E1475" i="6"/>
  <c r="F1449" i="6"/>
  <c r="E1505" i="6"/>
  <c r="F1479" i="6"/>
  <c r="E1492" i="6"/>
  <c r="F1466" i="6"/>
  <c r="E1538" i="6"/>
  <c r="F1512" i="6"/>
  <c r="E1514" i="6"/>
  <c r="F1488" i="6"/>
  <c r="E1528" i="6"/>
  <c r="F1502" i="6"/>
  <c r="E1493" i="6"/>
  <c r="F1467" i="6"/>
  <c r="E1489" i="6"/>
  <c r="F1463" i="6"/>
  <c r="E1497" i="6"/>
  <c r="F1471" i="6"/>
  <c r="E1481" i="6"/>
  <c r="F1455" i="6"/>
  <c r="E1470" i="6"/>
  <c r="F1444" i="6"/>
  <c r="E1473" i="6"/>
  <c r="F1447" i="6"/>
  <c r="E1461" i="6"/>
  <c r="F1435" i="6"/>
  <c r="E1458" i="6"/>
  <c r="F1432" i="6"/>
  <c r="E1465" i="6"/>
  <c r="F1439" i="6"/>
  <c r="E1485" i="6"/>
  <c r="F1459" i="6"/>
  <c r="E1504" i="6"/>
  <c r="F1478" i="6"/>
  <c r="E1480" i="6"/>
  <c r="F1454" i="6"/>
  <c r="E1483" i="6"/>
  <c r="F1457" i="6"/>
  <c r="E1534" i="6"/>
  <c r="F1508" i="6"/>
  <c r="E1477" i="6"/>
  <c r="F1451" i="6"/>
  <c r="E1552" i="6"/>
  <c r="F1526" i="6"/>
  <c r="E1469" i="6"/>
  <c r="F1443" i="6"/>
  <c r="E1516" i="6"/>
  <c r="F1490" i="6"/>
  <c r="E1520" i="6" l="1"/>
  <c r="F1494" i="6"/>
  <c r="E1550" i="6"/>
  <c r="F1524" i="6"/>
  <c r="E1503" i="6"/>
  <c r="F1477" i="6"/>
  <c r="E1509" i="6"/>
  <c r="F1483" i="6"/>
  <c r="E1491" i="6"/>
  <c r="F1465" i="6"/>
  <c r="E1496" i="6"/>
  <c r="F1470" i="6"/>
  <c r="E1519" i="6"/>
  <c r="F1493" i="6"/>
  <c r="E1518" i="6"/>
  <c r="F1492" i="6"/>
  <c r="E1542" i="6"/>
  <c r="F1516" i="6"/>
  <c r="E1506" i="6"/>
  <c r="F1480" i="6"/>
  <c r="E1484" i="6"/>
  <c r="F1458" i="6"/>
  <c r="E1507" i="6"/>
  <c r="F1481" i="6"/>
  <c r="E1554" i="6"/>
  <c r="F1528" i="6"/>
  <c r="E1531" i="6"/>
  <c r="F1505" i="6"/>
  <c r="E1495" i="6"/>
  <c r="F1469" i="6"/>
  <c r="E1560" i="6"/>
  <c r="F1534" i="6"/>
  <c r="E1530" i="6"/>
  <c r="F1504" i="6"/>
  <c r="E1487" i="6"/>
  <c r="F1461" i="6"/>
  <c r="E1523" i="6"/>
  <c r="F1497" i="6"/>
  <c r="E1540" i="6"/>
  <c r="F1514" i="6"/>
  <c r="E1501" i="6"/>
  <c r="F1475" i="6"/>
  <c r="E1578" i="6"/>
  <c r="F1552" i="6"/>
  <c r="E1511" i="6"/>
  <c r="F1485" i="6"/>
  <c r="E1499" i="6"/>
  <c r="F1473" i="6"/>
  <c r="E1515" i="6"/>
  <c r="F1489" i="6"/>
  <c r="E1564" i="6"/>
  <c r="F1538" i="6"/>
  <c r="E1576" i="6" l="1"/>
  <c r="F1550" i="6"/>
  <c r="E1546" i="6"/>
  <c r="F1520" i="6"/>
  <c r="E1525" i="6"/>
  <c r="F1499" i="6"/>
  <c r="E1527" i="6"/>
  <c r="F1501" i="6"/>
  <c r="E1556" i="6"/>
  <c r="F1530" i="6"/>
  <c r="E1580" i="6"/>
  <c r="F1554" i="6"/>
  <c r="E1522" i="6"/>
  <c r="F1496" i="6"/>
  <c r="E1537" i="6"/>
  <c r="F1511" i="6"/>
  <c r="E1566" i="6"/>
  <c r="F1540" i="6"/>
  <c r="E1586" i="6"/>
  <c r="F1560" i="6"/>
  <c r="E1533" i="6"/>
  <c r="F1507" i="6"/>
  <c r="E1568" i="6"/>
  <c r="F1542" i="6"/>
  <c r="E1517" i="6"/>
  <c r="F1491" i="6"/>
  <c r="E1590" i="6"/>
  <c r="F1564" i="6"/>
  <c r="E1549" i="6"/>
  <c r="F1523" i="6"/>
  <c r="E1521" i="6"/>
  <c r="F1495" i="6"/>
  <c r="E1510" i="6"/>
  <c r="F1484" i="6"/>
  <c r="F1518" i="6"/>
  <c r="E1544" i="6"/>
  <c r="E1535" i="6"/>
  <c r="F1509" i="6"/>
  <c r="E1541" i="6"/>
  <c r="F1515" i="6"/>
  <c r="E1604" i="6"/>
  <c r="F1578" i="6"/>
  <c r="F1487" i="6"/>
  <c r="E1513" i="6"/>
  <c r="E1557" i="6"/>
  <c r="F1531" i="6"/>
  <c r="E1532" i="6"/>
  <c r="F1506" i="6"/>
  <c r="E1545" i="6"/>
  <c r="F1519" i="6"/>
  <c r="E1529" i="6"/>
  <c r="F1503" i="6"/>
  <c r="E1572" i="6" l="1"/>
  <c r="F1546" i="6"/>
  <c r="F1576" i="6"/>
  <c r="E1602" i="6"/>
  <c r="E1583" i="6"/>
  <c r="F1557" i="6"/>
  <c r="E1561" i="6"/>
  <c r="F1535" i="6"/>
  <c r="E1575" i="6"/>
  <c r="F1549" i="6"/>
  <c r="E1594" i="6"/>
  <c r="F1568" i="6"/>
  <c r="E1563" i="6"/>
  <c r="F1537" i="6"/>
  <c r="E1606" i="6"/>
  <c r="F1580" i="6"/>
  <c r="E1539" i="6"/>
  <c r="F1513" i="6"/>
  <c r="E1570" i="6"/>
  <c r="F1544" i="6"/>
  <c r="E1555" i="6"/>
  <c r="F1529" i="6"/>
  <c r="E1616" i="6"/>
  <c r="F1590" i="6"/>
  <c r="E1559" i="6"/>
  <c r="F1533" i="6"/>
  <c r="E1582" i="6"/>
  <c r="F1556" i="6"/>
  <c r="E1571" i="6"/>
  <c r="F1545" i="6"/>
  <c r="E1630" i="6"/>
  <c r="F1604" i="6"/>
  <c r="E1536" i="6"/>
  <c r="F1510" i="6"/>
  <c r="E1612" i="6"/>
  <c r="F1586" i="6"/>
  <c r="E1548" i="6"/>
  <c r="F1522" i="6"/>
  <c r="E1553" i="6"/>
  <c r="F1527" i="6"/>
  <c r="E1558" i="6"/>
  <c r="F1532" i="6"/>
  <c r="E1567" i="6"/>
  <c r="F1541" i="6"/>
  <c r="E1547" i="6"/>
  <c r="F1521" i="6"/>
  <c r="E1543" i="6"/>
  <c r="F1517" i="6"/>
  <c r="E1592" i="6"/>
  <c r="F1566" i="6"/>
  <c r="E1551" i="6"/>
  <c r="F1525" i="6"/>
  <c r="F1602" i="6" l="1"/>
  <c r="E1628" i="6"/>
  <c r="E1598" i="6"/>
  <c r="F1572" i="6"/>
  <c r="E1569" i="6"/>
  <c r="F1543" i="6"/>
  <c r="E1579" i="6"/>
  <c r="F1553" i="6"/>
  <c r="E1562" i="6"/>
  <c r="F1536" i="6"/>
  <c r="E1596" i="6"/>
  <c r="F1570" i="6"/>
  <c r="E1620" i="6"/>
  <c r="F1594" i="6"/>
  <c r="E1577" i="6"/>
  <c r="F1551" i="6"/>
  <c r="E1573" i="6"/>
  <c r="F1547" i="6"/>
  <c r="E1574" i="6"/>
  <c r="F1548" i="6"/>
  <c r="E1656" i="6"/>
  <c r="F1630" i="6"/>
  <c r="E1585" i="6"/>
  <c r="F1559" i="6"/>
  <c r="E1565" i="6"/>
  <c r="F1539" i="6"/>
  <c r="E1601" i="6"/>
  <c r="F1575" i="6"/>
  <c r="E1593" i="6"/>
  <c r="F1567" i="6"/>
  <c r="E1638" i="6"/>
  <c r="F1612" i="6"/>
  <c r="E1597" i="6"/>
  <c r="F1571" i="6"/>
  <c r="E1642" i="6"/>
  <c r="F1616" i="6"/>
  <c r="E1632" i="6"/>
  <c r="F1606" i="6"/>
  <c r="E1587" i="6"/>
  <c r="F1561" i="6"/>
  <c r="E1618" i="6"/>
  <c r="F1592" i="6"/>
  <c r="E1584" i="6"/>
  <c r="F1558" i="6"/>
  <c r="E1608" i="6"/>
  <c r="F1582" i="6"/>
  <c r="E1581" i="6"/>
  <c r="F1555" i="6"/>
  <c r="E1589" i="6"/>
  <c r="F1563" i="6"/>
  <c r="E1609" i="6"/>
  <c r="F1583" i="6"/>
  <c r="E1654" i="6" l="1"/>
  <c r="F1628" i="6"/>
  <c r="E1624" i="6"/>
  <c r="F1598" i="6"/>
  <c r="E1634" i="6"/>
  <c r="F1608" i="6"/>
  <c r="E1613" i="6"/>
  <c r="F1587" i="6"/>
  <c r="E1664" i="6"/>
  <c r="F1638" i="6"/>
  <c r="E1591" i="6"/>
  <c r="F1565" i="6"/>
  <c r="E1599" i="6"/>
  <c r="F1573" i="6"/>
  <c r="E1635" i="6"/>
  <c r="F1609" i="6"/>
  <c r="E1610" i="6"/>
  <c r="F1584" i="6"/>
  <c r="E1658" i="6"/>
  <c r="F1632" i="6"/>
  <c r="E1619" i="6"/>
  <c r="F1593" i="6"/>
  <c r="E1611" i="6"/>
  <c r="F1585" i="6"/>
  <c r="E1603" i="6"/>
  <c r="F1577" i="6"/>
  <c r="E1588" i="6"/>
  <c r="F1562" i="6"/>
  <c r="E1615" i="6"/>
  <c r="F1589" i="6"/>
  <c r="E1644" i="6"/>
  <c r="F1618" i="6"/>
  <c r="E1668" i="6"/>
  <c r="F1642" i="6"/>
  <c r="E1682" i="6"/>
  <c r="F1656" i="6"/>
  <c r="E1646" i="6"/>
  <c r="F1620" i="6"/>
  <c r="E1605" i="6"/>
  <c r="F1579" i="6"/>
  <c r="E1607" i="6"/>
  <c r="F1581" i="6"/>
  <c r="E1623" i="6"/>
  <c r="F1597" i="6"/>
  <c r="E1627" i="6"/>
  <c r="F1601" i="6"/>
  <c r="E1600" i="6"/>
  <c r="F1574" i="6"/>
  <c r="E1622" i="6"/>
  <c r="F1596" i="6"/>
  <c r="E1595" i="6"/>
  <c r="F1569" i="6"/>
  <c r="E1650" i="6" l="1"/>
  <c r="F1624" i="6"/>
  <c r="E1680" i="6"/>
  <c r="F1654" i="6"/>
  <c r="E1653" i="6"/>
  <c r="F1627" i="6"/>
  <c r="E1631" i="6"/>
  <c r="F1605" i="6"/>
  <c r="E1694" i="6"/>
  <c r="F1668" i="6"/>
  <c r="E1629" i="6"/>
  <c r="F1603" i="6"/>
  <c r="E1636" i="6"/>
  <c r="F1610" i="6"/>
  <c r="E1617" i="6"/>
  <c r="F1591" i="6"/>
  <c r="E1621" i="6"/>
  <c r="F1595" i="6"/>
  <c r="E1649" i="6"/>
  <c r="F1623" i="6"/>
  <c r="E1672" i="6"/>
  <c r="F1646" i="6"/>
  <c r="E1670" i="6"/>
  <c r="F1644" i="6"/>
  <c r="E1637" i="6"/>
  <c r="F1611" i="6"/>
  <c r="E1661" i="6"/>
  <c r="F1635" i="6"/>
  <c r="E1690" i="6"/>
  <c r="F1664" i="6"/>
  <c r="E1648" i="6"/>
  <c r="F1622" i="6"/>
  <c r="E1708" i="6"/>
  <c r="F1682" i="6"/>
  <c r="E1641" i="6"/>
  <c r="F1615" i="6"/>
  <c r="E1645" i="6"/>
  <c r="F1619" i="6"/>
  <c r="E1639" i="6"/>
  <c r="F1613" i="6"/>
  <c r="E1626" i="6"/>
  <c r="F1600" i="6"/>
  <c r="E1633" i="6"/>
  <c r="F1607" i="6"/>
  <c r="E1614" i="6"/>
  <c r="F1588" i="6"/>
  <c r="E1684" i="6"/>
  <c r="F1658" i="6"/>
  <c r="E1625" i="6"/>
  <c r="F1599" i="6"/>
  <c r="E1660" i="6"/>
  <c r="F1634" i="6"/>
  <c r="E1706" i="6" l="1"/>
  <c r="F1680" i="6"/>
  <c r="E1676" i="6"/>
  <c r="F1650" i="6"/>
  <c r="E1640" i="6"/>
  <c r="F1614" i="6"/>
  <c r="E1665" i="6"/>
  <c r="F1639" i="6"/>
  <c r="E1734" i="6"/>
  <c r="F1708" i="6"/>
  <c r="E1687" i="6"/>
  <c r="F1661" i="6"/>
  <c r="E1675" i="6"/>
  <c r="F1649" i="6"/>
  <c r="E1655" i="6"/>
  <c r="F1629" i="6"/>
  <c r="E1686" i="6"/>
  <c r="F1660" i="6"/>
  <c r="E1674" i="6"/>
  <c r="F1648" i="6"/>
  <c r="E1663" i="6"/>
  <c r="F1637" i="6"/>
  <c r="E1647" i="6"/>
  <c r="F1621" i="6"/>
  <c r="E1720" i="6"/>
  <c r="F1694" i="6"/>
  <c r="E1651" i="6"/>
  <c r="F1625" i="6"/>
  <c r="E1659" i="6"/>
  <c r="F1633" i="6"/>
  <c r="E1671" i="6"/>
  <c r="F1645" i="6"/>
  <c r="E1696" i="6"/>
  <c r="F1670" i="6"/>
  <c r="E1643" i="6"/>
  <c r="F1617" i="6"/>
  <c r="E1657" i="6"/>
  <c r="F1631" i="6"/>
  <c r="E1710" i="6"/>
  <c r="F1684" i="6"/>
  <c r="E1652" i="6"/>
  <c r="F1626" i="6"/>
  <c r="E1667" i="6"/>
  <c r="F1641" i="6"/>
  <c r="E1716" i="6"/>
  <c r="F1690" i="6"/>
  <c r="E1698" i="6"/>
  <c r="F1672" i="6"/>
  <c r="E1662" i="6"/>
  <c r="F1636" i="6"/>
  <c r="E1679" i="6"/>
  <c r="F1653" i="6"/>
  <c r="F1676" i="6" l="1"/>
  <c r="E1702" i="6"/>
  <c r="E1732" i="6"/>
  <c r="F1706" i="6"/>
  <c r="E1742" i="6"/>
  <c r="F1716" i="6"/>
  <c r="E1683" i="6"/>
  <c r="F1657" i="6"/>
  <c r="E1697" i="6"/>
  <c r="F1671" i="6"/>
  <c r="E1673" i="6"/>
  <c r="F1647" i="6"/>
  <c r="E1713" i="6"/>
  <c r="F1687" i="6"/>
  <c r="E1705" i="6"/>
  <c r="F1679" i="6"/>
  <c r="E1693" i="6"/>
  <c r="F1667" i="6"/>
  <c r="E1669" i="6"/>
  <c r="F1643" i="6"/>
  <c r="E1685" i="6"/>
  <c r="F1659" i="6"/>
  <c r="E1689" i="6"/>
  <c r="F1663" i="6"/>
  <c r="E1712" i="6"/>
  <c r="F1686" i="6"/>
  <c r="E1760" i="6"/>
  <c r="F1734" i="6"/>
  <c r="E1688" i="6"/>
  <c r="F1662" i="6"/>
  <c r="E1678" i="6"/>
  <c r="F1652" i="6"/>
  <c r="E1722" i="6"/>
  <c r="F1696" i="6"/>
  <c r="E1677" i="6"/>
  <c r="F1651" i="6"/>
  <c r="E1700" i="6"/>
  <c r="F1674" i="6"/>
  <c r="E1681" i="6"/>
  <c r="F1655" i="6"/>
  <c r="E1691" i="6"/>
  <c r="F1665" i="6"/>
  <c r="E1724" i="6"/>
  <c r="F1698" i="6"/>
  <c r="E1736" i="6"/>
  <c r="F1710" i="6"/>
  <c r="E1746" i="6"/>
  <c r="F1720" i="6"/>
  <c r="E1701" i="6"/>
  <c r="F1675" i="6"/>
  <c r="E1666" i="6"/>
  <c r="F1640" i="6"/>
  <c r="F1732" i="6" l="1"/>
  <c r="E1758" i="6"/>
  <c r="E1728" i="6"/>
  <c r="F1702" i="6"/>
  <c r="E1772" i="6"/>
  <c r="F1746" i="6"/>
  <c r="E1717" i="6"/>
  <c r="F1691" i="6"/>
  <c r="E1748" i="6"/>
  <c r="F1722" i="6"/>
  <c r="E1738" i="6"/>
  <c r="F1712" i="6"/>
  <c r="E1719" i="6"/>
  <c r="F1693" i="6"/>
  <c r="E1699" i="6"/>
  <c r="F1673" i="6"/>
  <c r="E1692" i="6"/>
  <c r="F1666" i="6"/>
  <c r="E1707" i="6"/>
  <c r="F1681" i="6"/>
  <c r="E1704" i="6"/>
  <c r="F1678" i="6"/>
  <c r="E1715" i="6"/>
  <c r="F1689" i="6"/>
  <c r="E1731" i="6"/>
  <c r="F1705" i="6"/>
  <c r="E1723" i="6"/>
  <c r="F1697" i="6"/>
  <c r="E1727" i="6"/>
  <c r="F1701" i="6"/>
  <c r="E1762" i="6"/>
  <c r="F1736" i="6"/>
  <c r="E1726" i="6"/>
  <c r="F1700" i="6"/>
  <c r="E1714" i="6"/>
  <c r="F1688" i="6"/>
  <c r="E1711" i="6"/>
  <c r="F1685" i="6"/>
  <c r="E1739" i="6"/>
  <c r="F1713" i="6"/>
  <c r="E1709" i="6"/>
  <c r="F1683" i="6"/>
  <c r="E1750" i="6"/>
  <c r="F1724" i="6"/>
  <c r="E1703" i="6"/>
  <c r="F1677" i="6"/>
  <c r="E1786" i="6"/>
  <c r="F1760" i="6"/>
  <c r="E1695" i="6"/>
  <c r="F1669" i="6"/>
  <c r="E1768" i="6"/>
  <c r="F1742" i="6"/>
  <c r="E1754" i="6" l="1"/>
  <c r="F1728" i="6"/>
  <c r="E1784" i="6"/>
  <c r="F1758" i="6"/>
  <c r="E1812" i="6"/>
  <c r="F1786" i="6"/>
  <c r="E1735" i="6"/>
  <c r="F1709" i="6"/>
  <c r="E1752" i="6"/>
  <c r="F1726" i="6"/>
  <c r="E1757" i="6"/>
  <c r="F1731" i="6"/>
  <c r="E1764" i="6"/>
  <c r="F1738" i="6"/>
  <c r="E1794" i="6"/>
  <c r="F1768" i="6"/>
  <c r="E1729" i="6"/>
  <c r="F1703" i="6"/>
  <c r="E1765" i="6"/>
  <c r="F1739" i="6"/>
  <c r="E1788" i="6"/>
  <c r="F1762" i="6"/>
  <c r="E1741" i="6"/>
  <c r="F1715" i="6"/>
  <c r="E1718" i="6"/>
  <c r="F1692" i="6"/>
  <c r="E1774" i="6"/>
  <c r="F1748" i="6"/>
  <c r="E1776" i="6"/>
  <c r="F1750" i="6"/>
  <c r="E1737" i="6"/>
  <c r="F1711" i="6"/>
  <c r="E1753" i="6"/>
  <c r="F1727" i="6"/>
  <c r="E1730" i="6"/>
  <c r="F1704" i="6"/>
  <c r="E1725" i="6"/>
  <c r="F1699" i="6"/>
  <c r="E1743" i="6"/>
  <c r="F1717" i="6"/>
  <c r="E1721" i="6"/>
  <c r="F1695" i="6"/>
  <c r="E1740" i="6"/>
  <c r="F1714" i="6"/>
  <c r="E1749" i="6"/>
  <c r="F1723" i="6"/>
  <c r="E1733" i="6"/>
  <c r="F1707" i="6"/>
  <c r="E1745" i="6"/>
  <c r="F1719" i="6"/>
  <c r="E1798" i="6"/>
  <c r="F1772" i="6"/>
  <c r="E1810" i="6" l="1"/>
  <c r="F1784" i="6"/>
  <c r="E1780" i="6"/>
  <c r="F1754" i="6"/>
  <c r="E1775" i="6"/>
  <c r="F1749" i="6"/>
  <c r="E1769" i="6"/>
  <c r="F1743" i="6"/>
  <c r="E1763" i="6"/>
  <c r="F1737" i="6"/>
  <c r="E1744" i="6"/>
  <c r="F1718" i="6"/>
  <c r="E1755" i="6"/>
  <c r="F1729" i="6"/>
  <c r="E1778" i="6"/>
  <c r="F1752" i="6"/>
  <c r="E1824" i="6"/>
  <c r="F1798" i="6"/>
  <c r="E1766" i="6"/>
  <c r="F1740" i="6"/>
  <c r="E1751" i="6"/>
  <c r="F1725" i="6"/>
  <c r="E1802" i="6"/>
  <c r="F1776" i="6"/>
  <c r="E1767" i="6"/>
  <c r="F1741" i="6"/>
  <c r="E1820" i="6"/>
  <c r="F1794" i="6"/>
  <c r="E1761" i="6"/>
  <c r="F1735" i="6"/>
  <c r="E1771" i="6"/>
  <c r="F1745" i="6"/>
  <c r="E1756" i="6"/>
  <c r="F1730" i="6"/>
  <c r="E1814" i="6"/>
  <c r="F1788" i="6"/>
  <c r="E1790" i="6"/>
  <c r="F1764" i="6"/>
  <c r="E1838" i="6"/>
  <c r="F1812" i="6"/>
  <c r="E1759" i="6"/>
  <c r="F1733" i="6"/>
  <c r="E1747" i="6"/>
  <c r="F1721" i="6"/>
  <c r="E1779" i="6"/>
  <c r="F1753" i="6"/>
  <c r="E1800" i="6"/>
  <c r="F1774" i="6"/>
  <c r="E1791" i="6"/>
  <c r="F1765" i="6"/>
  <c r="E1783" i="6"/>
  <c r="F1757" i="6"/>
  <c r="E1806" i="6" l="1"/>
  <c r="F1780" i="6"/>
  <c r="E1836" i="6"/>
  <c r="F1810" i="6"/>
  <c r="E1792" i="6"/>
  <c r="F1766" i="6"/>
  <c r="E1826" i="6"/>
  <c r="F1800" i="6"/>
  <c r="E1846" i="6"/>
  <c r="F1820" i="6"/>
  <c r="E1805" i="6"/>
  <c r="F1779" i="6"/>
  <c r="E1816" i="6"/>
  <c r="F1790" i="6"/>
  <c r="E1793" i="6"/>
  <c r="F1767" i="6"/>
  <c r="E1850" i="6"/>
  <c r="F1824" i="6"/>
  <c r="E1789" i="6"/>
  <c r="F1763" i="6"/>
  <c r="E1782" i="6"/>
  <c r="F1756" i="6"/>
  <c r="E1809" i="6"/>
  <c r="F1783" i="6"/>
  <c r="E1773" i="6"/>
  <c r="F1747" i="6"/>
  <c r="E1840" i="6"/>
  <c r="F1814" i="6"/>
  <c r="E1797" i="6"/>
  <c r="F1771" i="6"/>
  <c r="E1828" i="6"/>
  <c r="F1802" i="6"/>
  <c r="E1804" i="6"/>
  <c r="F1778" i="6"/>
  <c r="E1795" i="6"/>
  <c r="F1769" i="6"/>
  <c r="E1864" i="6"/>
  <c r="F1838" i="6"/>
  <c r="E1770" i="6"/>
  <c r="F1744" i="6"/>
  <c r="E1817" i="6"/>
  <c r="F1791" i="6"/>
  <c r="E1785" i="6"/>
  <c r="F1759" i="6"/>
  <c r="E1787" i="6"/>
  <c r="F1761" i="6"/>
  <c r="E1777" i="6"/>
  <c r="F1751" i="6"/>
  <c r="E1781" i="6"/>
  <c r="F1755" i="6"/>
  <c r="E1801" i="6"/>
  <c r="F1775" i="6"/>
  <c r="E1862" i="6" l="1"/>
  <c r="F1836" i="6"/>
  <c r="E1832" i="6"/>
  <c r="F1806" i="6"/>
  <c r="E1813" i="6"/>
  <c r="F1787" i="6"/>
  <c r="E1819" i="6"/>
  <c r="F1793" i="6"/>
  <c r="E1827" i="6"/>
  <c r="F1801" i="6"/>
  <c r="E1890" i="6"/>
  <c r="F1864" i="6"/>
  <c r="E1823" i="6"/>
  <c r="F1797" i="6"/>
  <c r="E1808" i="6"/>
  <c r="F1782" i="6"/>
  <c r="E1872" i="6"/>
  <c r="F1846" i="6"/>
  <c r="E1835" i="6"/>
  <c r="F1809" i="6"/>
  <c r="E1807" i="6"/>
  <c r="F1781" i="6"/>
  <c r="E1811" i="6"/>
  <c r="F1785" i="6"/>
  <c r="E1821" i="6"/>
  <c r="F1795" i="6"/>
  <c r="E1866" i="6"/>
  <c r="F1840" i="6"/>
  <c r="E1815" i="6"/>
  <c r="F1789" i="6"/>
  <c r="E1842" i="6"/>
  <c r="F1816" i="6"/>
  <c r="E1852" i="6"/>
  <c r="F1826" i="6"/>
  <c r="E1854" i="6"/>
  <c r="F1828" i="6"/>
  <c r="E1796" i="6"/>
  <c r="F1770" i="6"/>
  <c r="E1803" i="6"/>
  <c r="F1777" i="6"/>
  <c r="E1843" i="6"/>
  <c r="F1817" i="6"/>
  <c r="E1830" i="6"/>
  <c r="F1804" i="6"/>
  <c r="E1799" i="6"/>
  <c r="F1773" i="6"/>
  <c r="E1876" i="6"/>
  <c r="F1850" i="6"/>
  <c r="E1831" i="6"/>
  <c r="F1805" i="6"/>
  <c r="E1818" i="6"/>
  <c r="F1792" i="6"/>
  <c r="E1858" i="6" l="1"/>
  <c r="F1832" i="6"/>
  <c r="E1888" i="6"/>
  <c r="F1862" i="6"/>
  <c r="E1825" i="6"/>
  <c r="F1799" i="6"/>
  <c r="E1822" i="6"/>
  <c r="F1796" i="6"/>
  <c r="E1844" i="6"/>
  <c r="F1818" i="6"/>
  <c r="E1856" i="6"/>
  <c r="F1830" i="6"/>
  <c r="E1880" i="6"/>
  <c r="F1854" i="6"/>
  <c r="E1892" i="6"/>
  <c r="F1866" i="6"/>
  <c r="E1861" i="6"/>
  <c r="F1835" i="6"/>
  <c r="E1834" i="6"/>
  <c r="F1808" i="6"/>
  <c r="E1853" i="6"/>
  <c r="F1827" i="6"/>
  <c r="E1833" i="6"/>
  <c r="F1807" i="6"/>
  <c r="E1857" i="6"/>
  <c r="F1831" i="6"/>
  <c r="E1869" i="6"/>
  <c r="F1843" i="6"/>
  <c r="E1878" i="6"/>
  <c r="F1852" i="6"/>
  <c r="E1847" i="6"/>
  <c r="F1821" i="6"/>
  <c r="E1849" i="6"/>
  <c r="F1823" i="6"/>
  <c r="E1845" i="6"/>
  <c r="F1819" i="6"/>
  <c r="E1841" i="6"/>
  <c r="F1815" i="6"/>
  <c r="E1902" i="6"/>
  <c r="F1876" i="6"/>
  <c r="E1829" i="6"/>
  <c r="F1803" i="6"/>
  <c r="E1868" i="6"/>
  <c r="F1842" i="6"/>
  <c r="E1837" i="6"/>
  <c r="F1811" i="6"/>
  <c r="E1898" i="6"/>
  <c r="F1872" i="6"/>
  <c r="E1916" i="6"/>
  <c r="F1890" i="6"/>
  <c r="E1839" i="6"/>
  <c r="F1813" i="6"/>
  <c r="E1914" i="6" l="1"/>
  <c r="F1888" i="6"/>
  <c r="E1884" i="6"/>
  <c r="F1858" i="6"/>
  <c r="E1859" i="6"/>
  <c r="F1833" i="6"/>
  <c r="E1860" i="6"/>
  <c r="F1834" i="6"/>
  <c r="E1865" i="6"/>
  <c r="F1839" i="6"/>
  <c r="E1894" i="6"/>
  <c r="F1868" i="6"/>
  <c r="E1904" i="6"/>
  <c r="F1878" i="6"/>
  <c r="E1887" i="6"/>
  <c r="F1861" i="6"/>
  <c r="E1870" i="6"/>
  <c r="F1844" i="6"/>
  <c r="E1867" i="6"/>
  <c r="F1841" i="6"/>
  <c r="E1873" i="6"/>
  <c r="F1847" i="6"/>
  <c r="E1942" i="6"/>
  <c r="F1916" i="6"/>
  <c r="E1855" i="6"/>
  <c r="F1829" i="6"/>
  <c r="E1871" i="6"/>
  <c r="F1845" i="6"/>
  <c r="E1895" i="6"/>
  <c r="F1869" i="6"/>
  <c r="E1918" i="6"/>
  <c r="F1892" i="6"/>
  <c r="E1848" i="6"/>
  <c r="F1822" i="6"/>
  <c r="E1882" i="6"/>
  <c r="F1856" i="6"/>
  <c r="E1863" i="6"/>
  <c r="F1837" i="6"/>
  <c r="E1924" i="6"/>
  <c r="F1898" i="6"/>
  <c r="E1928" i="6"/>
  <c r="F1902" i="6"/>
  <c r="E1875" i="6"/>
  <c r="F1849" i="6"/>
  <c r="E1883" i="6"/>
  <c r="F1857" i="6"/>
  <c r="E1879" i="6"/>
  <c r="F1853" i="6"/>
  <c r="E1906" i="6"/>
  <c r="F1880" i="6"/>
  <c r="E1851" i="6"/>
  <c r="F1825" i="6"/>
  <c r="E1910" i="6" l="1"/>
  <c r="F1884" i="6"/>
  <c r="E1940" i="6"/>
  <c r="F1914" i="6"/>
  <c r="E1909" i="6"/>
  <c r="F1883" i="6"/>
  <c r="E1877" i="6"/>
  <c r="F1851" i="6"/>
  <c r="E1901" i="6"/>
  <c r="F1875" i="6"/>
  <c r="E1908" i="6"/>
  <c r="F1882" i="6"/>
  <c r="E1921" i="6"/>
  <c r="F1895" i="6"/>
  <c r="E1899" i="6"/>
  <c r="F1873" i="6"/>
  <c r="E1891" i="6"/>
  <c r="F1865" i="6"/>
  <c r="E1913" i="6"/>
  <c r="F1887" i="6"/>
  <c r="E1920" i="6"/>
  <c r="F1894" i="6"/>
  <c r="E1932" i="6"/>
  <c r="F1906" i="6"/>
  <c r="E1954" i="6"/>
  <c r="F1928" i="6"/>
  <c r="E1874" i="6"/>
  <c r="F1848" i="6"/>
  <c r="E1897" i="6"/>
  <c r="F1871" i="6"/>
  <c r="E1893" i="6"/>
  <c r="F1867" i="6"/>
  <c r="E1930" i="6"/>
  <c r="F1904" i="6"/>
  <c r="E1886" i="6"/>
  <c r="F1860" i="6"/>
  <c r="E1889" i="6"/>
  <c r="F1863" i="6"/>
  <c r="E1968" i="6"/>
  <c r="F1942" i="6"/>
  <c r="E1905" i="6"/>
  <c r="F1879" i="6"/>
  <c r="E1950" i="6"/>
  <c r="F1924" i="6"/>
  <c r="E1944" i="6"/>
  <c r="F1918" i="6"/>
  <c r="E1881" i="6"/>
  <c r="F1855" i="6"/>
  <c r="E1896" i="6"/>
  <c r="F1870" i="6"/>
  <c r="E1885" i="6"/>
  <c r="F1859" i="6"/>
  <c r="E1966" i="6" l="1"/>
  <c r="F1940" i="6"/>
  <c r="E1936" i="6"/>
  <c r="F1910" i="6"/>
  <c r="E1907" i="6"/>
  <c r="F1881" i="6"/>
  <c r="E1994" i="6"/>
  <c r="F1968" i="6"/>
  <c r="E1919" i="6"/>
  <c r="F1893" i="6"/>
  <c r="E1958" i="6"/>
  <c r="F1932" i="6"/>
  <c r="E1927" i="6"/>
  <c r="F1901" i="6"/>
  <c r="E1911" i="6"/>
  <c r="F1885" i="6"/>
  <c r="E1970" i="6"/>
  <c r="F1944" i="6"/>
  <c r="E1915" i="6"/>
  <c r="F1889" i="6"/>
  <c r="E1923" i="6"/>
  <c r="F1897" i="6"/>
  <c r="E1946" i="6"/>
  <c r="F1920" i="6"/>
  <c r="E1925" i="6"/>
  <c r="F1899" i="6"/>
  <c r="E1903" i="6"/>
  <c r="F1877" i="6"/>
  <c r="E1976" i="6"/>
  <c r="F1950" i="6"/>
  <c r="E1912" i="6"/>
  <c r="F1886" i="6"/>
  <c r="E1900" i="6"/>
  <c r="F1874" i="6"/>
  <c r="E1939" i="6"/>
  <c r="F1913" i="6"/>
  <c r="E1947" i="6"/>
  <c r="F1921" i="6"/>
  <c r="E1935" i="6"/>
  <c r="F1909" i="6"/>
  <c r="E1922" i="6"/>
  <c r="F1896" i="6"/>
  <c r="E1931" i="6"/>
  <c r="F1905" i="6"/>
  <c r="E1956" i="6"/>
  <c r="F1930" i="6"/>
  <c r="E1980" i="6"/>
  <c r="F1954" i="6"/>
  <c r="E1917" i="6"/>
  <c r="F1891" i="6"/>
  <c r="E1934" i="6"/>
  <c r="F1908" i="6"/>
  <c r="E1962" i="6" l="1"/>
  <c r="F1936" i="6"/>
  <c r="E1992" i="6"/>
  <c r="F1966" i="6"/>
  <c r="E2006" i="6"/>
  <c r="F1980" i="6"/>
  <c r="E1996" i="6"/>
  <c r="F1970" i="6"/>
  <c r="E1982" i="6"/>
  <c r="F1956" i="6"/>
  <c r="E1973" i="6"/>
  <c r="F1947" i="6"/>
  <c r="E2002" i="6"/>
  <c r="F1976" i="6"/>
  <c r="E1972" i="6"/>
  <c r="F1946" i="6"/>
  <c r="E1937" i="6"/>
  <c r="F1911" i="6"/>
  <c r="E1945" i="6"/>
  <c r="F1919" i="6"/>
  <c r="E1938" i="6"/>
  <c r="F1912" i="6"/>
  <c r="E1984" i="6"/>
  <c r="F1958" i="6"/>
  <c r="E1960" i="6"/>
  <c r="F1934" i="6"/>
  <c r="E1957" i="6"/>
  <c r="F1931" i="6"/>
  <c r="E1965" i="6"/>
  <c r="F1939" i="6"/>
  <c r="E1949" i="6"/>
  <c r="F1923" i="6"/>
  <c r="E1953" i="6"/>
  <c r="F1927" i="6"/>
  <c r="E2020" i="6"/>
  <c r="F1994" i="6"/>
  <c r="E1951" i="6"/>
  <c r="F1925" i="6"/>
  <c r="E1961" i="6"/>
  <c r="F1935" i="6"/>
  <c r="E1943" i="6"/>
  <c r="F1917" i="6"/>
  <c r="E1948" i="6"/>
  <c r="F1922" i="6"/>
  <c r="E1926" i="6"/>
  <c r="F1900" i="6"/>
  <c r="E1929" i="6"/>
  <c r="F1903" i="6"/>
  <c r="E1941" i="6"/>
  <c r="F1915" i="6"/>
  <c r="E1933" i="6"/>
  <c r="F1907" i="6"/>
  <c r="E2018" i="6" l="1"/>
  <c r="F1992" i="6"/>
  <c r="E1988" i="6"/>
  <c r="F1962" i="6"/>
  <c r="E1952" i="6"/>
  <c r="F1926" i="6"/>
  <c r="E1975" i="6"/>
  <c r="F1949" i="6"/>
  <c r="E1986" i="6"/>
  <c r="F1960" i="6"/>
  <c r="E1963" i="6"/>
  <c r="F1937" i="6"/>
  <c r="E2008" i="6"/>
  <c r="F1982" i="6"/>
  <c r="E1959" i="6"/>
  <c r="F1933" i="6"/>
  <c r="E1974" i="6"/>
  <c r="F1948" i="6"/>
  <c r="E1977" i="6"/>
  <c r="F1951" i="6"/>
  <c r="E2010" i="6"/>
  <c r="F1984" i="6"/>
  <c r="E1998" i="6"/>
  <c r="F1972" i="6"/>
  <c r="E1967" i="6"/>
  <c r="F1941" i="6"/>
  <c r="E1969" i="6"/>
  <c r="F1943" i="6"/>
  <c r="E2046" i="6"/>
  <c r="F2020" i="6"/>
  <c r="E1991" i="6"/>
  <c r="F1965" i="6"/>
  <c r="E1964" i="6"/>
  <c r="F1938" i="6"/>
  <c r="E2028" i="6"/>
  <c r="F2002" i="6"/>
  <c r="E2022" i="6"/>
  <c r="F1996" i="6"/>
  <c r="E1955" i="6"/>
  <c r="F1929" i="6"/>
  <c r="E1987" i="6"/>
  <c r="F1961" i="6"/>
  <c r="E1979" i="6"/>
  <c r="F1953" i="6"/>
  <c r="E1983" i="6"/>
  <c r="F1957" i="6"/>
  <c r="E1971" i="6"/>
  <c r="F1945" i="6"/>
  <c r="E1999" i="6"/>
  <c r="F1973" i="6"/>
  <c r="E2032" i="6"/>
  <c r="F2006" i="6"/>
  <c r="E2014" i="6" l="1"/>
  <c r="F1988" i="6"/>
  <c r="E2044" i="6"/>
  <c r="F2018" i="6"/>
  <c r="E2000" i="6"/>
  <c r="F1974" i="6"/>
  <c r="E2024" i="6"/>
  <c r="F1998" i="6"/>
  <c r="E2058" i="6"/>
  <c r="F2032" i="6"/>
  <c r="E2005" i="6"/>
  <c r="F1979" i="6"/>
  <c r="E2054" i="6"/>
  <c r="F2028" i="6"/>
  <c r="E1995" i="6"/>
  <c r="F1969" i="6"/>
  <c r="E2036" i="6"/>
  <c r="F2010" i="6"/>
  <c r="E1985" i="6"/>
  <c r="F1959" i="6"/>
  <c r="E2001" i="6"/>
  <c r="F1975" i="6"/>
  <c r="E2072" i="6"/>
  <c r="F2046" i="6"/>
  <c r="E2009" i="6"/>
  <c r="F1983" i="6"/>
  <c r="E2025" i="6"/>
  <c r="F1999" i="6"/>
  <c r="E2013" i="6"/>
  <c r="F1987" i="6"/>
  <c r="E1990" i="6"/>
  <c r="F1964" i="6"/>
  <c r="E1993" i="6"/>
  <c r="F1967" i="6"/>
  <c r="E2034" i="6"/>
  <c r="F2008" i="6"/>
  <c r="E2048" i="6"/>
  <c r="F2022" i="6"/>
  <c r="E2012" i="6"/>
  <c r="F1986" i="6"/>
  <c r="E1997" i="6"/>
  <c r="F1971" i="6"/>
  <c r="E1981" i="6"/>
  <c r="F1955" i="6"/>
  <c r="E2017" i="6"/>
  <c r="F1991" i="6"/>
  <c r="E2003" i="6"/>
  <c r="F1977" i="6"/>
  <c r="E1989" i="6"/>
  <c r="F1963" i="6"/>
  <c r="E1978" i="6"/>
  <c r="F1952" i="6"/>
  <c r="E2070" i="6" l="1"/>
  <c r="F2044" i="6"/>
  <c r="E2040" i="6"/>
  <c r="F2014" i="6"/>
  <c r="E2011" i="6"/>
  <c r="F1985" i="6"/>
  <c r="E2004" i="6"/>
  <c r="F1978" i="6"/>
  <c r="E2043" i="6"/>
  <c r="F2017" i="6"/>
  <c r="E2074" i="6"/>
  <c r="F2048" i="6"/>
  <c r="E2019" i="6"/>
  <c r="F1993" i="6"/>
  <c r="E2035" i="6"/>
  <c r="F2009" i="6"/>
  <c r="E2062" i="6"/>
  <c r="F2036" i="6"/>
  <c r="E2084" i="6"/>
  <c r="F2058" i="6"/>
  <c r="E2051" i="6"/>
  <c r="F2025" i="6"/>
  <c r="E2015" i="6"/>
  <c r="F1989" i="6"/>
  <c r="E2007" i="6"/>
  <c r="F1981" i="6"/>
  <c r="E2016" i="6"/>
  <c r="F1990" i="6"/>
  <c r="E2098" i="6"/>
  <c r="F2072" i="6"/>
  <c r="E2021" i="6"/>
  <c r="F1995" i="6"/>
  <c r="E2050" i="6"/>
  <c r="F2024" i="6"/>
  <c r="E2038" i="6"/>
  <c r="F2012" i="6"/>
  <c r="E2031" i="6"/>
  <c r="F2005" i="6"/>
  <c r="E2029" i="6"/>
  <c r="F2003" i="6"/>
  <c r="E2023" i="6"/>
  <c r="F1997" i="6"/>
  <c r="E2060" i="6"/>
  <c r="F2034" i="6"/>
  <c r="E2039" i="6"/>
  <c r="F2013" i="6"/>
  <c r="E2027" i="6"/>
  <c r="F2001" i="6"/>
  <c r="E2080" i="6"/>
  <c r="F2054" i="6"/>
  <c r="E2026" i="6"/>
  <c r="F2000" i="6"/>
  <c r="E2066" i="6" l="1"/>
  <c r="F2040" i="6"/>
  <c r="E2096" i="6"/>
  <c r="F2070" i="6"/>
  <c r="E2057" i="6"/>
  <c r="F2031" i="6"/>
  <c r="E2041" i="6"/>
  <c r="F2015" i="6"/>
  <c r="E2052" i="6"/>
  <c r="F2026" i="6"/>
  <c r="E2086" i="6"/>
  <c r="F2060" i="6"/>
  <c r="E2064" i="6"/>
  <c r="F2038" i="6"/>
  <c r="E2042" i="6"/>
  <c r="F2016" i="6"/>
  <c r="E2077" i="6"/>
  <c r="F2051" i="6"/>
  <c r="E2045" i="6"/>
  <c r="F2019" i="6"/>
  <c r="E2065" i="6"/>
  <c r="F2039" i="6"/>
  <c r="E2061" i="6"/>
  <c r="F2035" i="6"/>
  <c r="E2124" i="6"/>
  <c r="F2098" i="6"/>
  <c r="E2106" i="6"/>
  <c r="F2080" i="6"/>
  <c r="E2049" i="6"/>
  <c r="F2023" i="6"/>
  <c r="E2076" i="6"/>
  <c r="F2050" i="6"/>
  <c r="E2110" i="6"/>
  <c r="F2084" i="6"/>
  <c r="E2100" i="6"/>
  <c r="F2074" i="6"/>
  <c r="E2037" i="6"/>
  <c r="F2011" i="6"/>
  <c r="E2030" i="6"/>
  <c r="F2004" i="6"/>
  <c r="E2053" i="6"/>
  <c r="F2027" i="6"/>
  <c r="E2055" i="6"/>
  <c r="F2029" i="6"/>
  <c r="E2047" i="6"/>
  <c r="F2021" i="6"/>
  <c r="E2033" i="6"/>
  <c r="F2007" i="6"/>
  <c r="E2088" i="6"/>
  <c r="F2062" i="6"/>
  <c r="E2069" i="6"/>
  <c r="F2043" i="6"/>
  <c r="E2122" i="6" l="1"/>
  <c r="F2096" i="6"/>
  <c r="E2092" i="6"/>
  <c r="F2066" i="6"/>
  <c r="E2059" i="6"/>
  <c r="F2033" i="6"/>
  <c r="E2073" i="6"/>
  <c r="F2047" i="6"/>
  <c r="E2063" i="6"/>
  <c r="F2037" i="6"/>
  <c r="E2075" i="6"/>
  <c r="F2049" i="6"/>
  <c r="E2087" i="6"/>
  <c r="F2061" i="6"/>
  <c r="E2103" i="6"/>
  <c r="F2077" i="6"/>
  <c r="E2078" i="6"/>
  <c r="F2052" i="6"/>
  <c r="E2112" i="6"/>
  <c r="F2086" i="6"/>
  <c r="E2102" i="6"/>
  <c r="F2076" i="6"/>
  <c r="E2095" i="6"/>
  <c r="F2069" i="6"/>
  <c r="E2081" i="6"/>
  <c r="F2055" i="6"/>
  <c r="E2126" i="6"/>
  <c r="F2100" i="6"/>
  <c r="E2132" i="6"/>
  <c r="F2106" i="6"/>
  <c r="E2091" i="6"/>
  <c r="F2065" i="6"/>
  <c r="E2068" i="6"/>
  <c r="F2042" i="6"/>
  <c r="E2067" i="6"/>
  <c r="F2041" i="6"/>
  <c r="E2056" i="6"/>
  <c r="F2030" i="6"/>
  <c r="E2071" i="6"/>
  <c r="F2045" i="6"/>
  <c r="E2114" i="6"/>
  <c r="F2088" i="6"/>
  <c r="E2079" i="6"/>
  <c r="F2053" i="6"/>
  <c r="E2136" i="6"/>
  <c r="F2110" i="6"/>
  <c r="E2150" i="6"/>
  <c r="F2124" i="6"/>
  <c r="E2090" i="6"/>
  <c r="F2064" i="6"/>
  <c r="E2083" i="6"/>
  <c r="F2057" i="6"/>
  <c r="E2118" i="6" l="1"/>
  <c r="F2092" i="6"/>
  <c r="E2148" i="6"/>
  <c r="F2122" i="6"/>
  <c r="E2097" i="6"/>
  <c r="F2071" i="6"/>
  <c r="E2117" i="6"/>
  <c r="F2091" i="6"/>
  <c r="E2121" i="6"/>
  <c r="F2095" i="6"/>
  <c r="E2109" i="6"/>
  <c r="F2083" i="6"/>
  <c r="E2162" i="6"/>
  <c r="F2136" i="6"/>
  <c r="E2082" i="6"/>
  <c r="F2056" i="6"/>
  <c r="E2158" i="6"/>
  <c r="F2132" i="6"/>
  <c r="E2128" i="6"/>
  <c r="F2102" i="6"/>
  <c r="E2113" i="6"/>
  <c r="F2087" i="6"/>
  <c r="E2099" i="6"/>
  <c r="F2073" i="6"/>
  <c r="E2176" i="6"/>
  <c r="F2150" i="6"/>
  <c r="E2116" i="6"/>
  <c r="F2090" i="6"/>
  <c r="E2105" i="6"/>
  <c r="F2079" i="6"/>
  <c r="E2093" i="6"/>
  <c r="F2067" i="6"/>
  <c r="E2152" i="6"/>
  <c r="F2126" i="6"/>
  <c r="E2138" i="6"/>
  <c r="F2112" i="6"/>
  <c r="E2101" i="6"/>
  <c r="F2075" i="6"/>
  <c r="E2085" i="6"/>
  <c r="F2059" i="6"/>
  <c r="E2129" i="6"/>
  <c r="F2103" i="6"/>
  <c r="E2140" i="6"/>
  <c r="F2114" i="6"/>
  <c r="E2094" i="6"/>
  <c r="F2068" i="6"/>
  <c r="E2107" i="6"/>
  <c r="F2081" i="6"/>
  <c r="E2104" i="6"/>
  <c r="F2078" i="6"/>
  <c r="E2089" i="6"/>
  <c r="F2063" i="6"/>
  <c r="E2174" i="6" l="1"/>
  <c r="F2148" i="6"/>
  <c r="E2144" i="6"/>
  <c r="F2118" i="6"/>
  <c r="E2133" i="6"/>
  <c r="F2107" i="6"/>
  <c r="E2202" i="6"/>
  <c r="F2176" i="6"/>
  <c r="E2120" i="6"/>
  <c r="F2094" i="6"/>
  <c r="E2155" i="6"/>
  <c r="F2129" i="6"/>
  <c r="E2115" i="6"/>
  <c r="F2089" i="6"/>
  <c r="E2166" i="6"/>
  <c r="F2140" i="6"/>
  <c r="E2111" i="6"/>
  <c r="F2085" i="6"/>
  <c r="E2119" i="6"/>
  <c r="F2093" i="6"/>
  <c r="E2125" i="6"/>
  <c r="F2099" i="6"/>
  <c r="E2184" i="6"/>
  <c r="F2158" i="6"/>
  <c r="E2147" i="6"/>
  <c r="F2121" i="6"/>
  <c r="E2178" i="6"/>
  <c r="F2152" i="6"/>
  <c r="E2154" i="6"/>
  <c r="F2128" i="6"/>
  <c r="E2130" i="6"/>
  <c r="F2104" i="6"/>
  <c r="E2127" i="6"/>
  <c r="F2101" i="6"/>
  <c r="E2131" i="6"/>
  <c r="F2105" i="6"/>
  <c r="E2108" i="6"/>
  <c r="F2082" i="6"/>
  <c r="E2143" i="6"/>
  <c r="F2117" i="6"/>
  <c r="E2135" i="6"/>
  <c r="F2109" i="6"/>
  <c r="E2164" i="6"/>
  <c r="F2138" i="6"/>
  <c r="E2142" i="6"/>
  <c r="F2116" i="6"/>
  <c r="E2139" i="6"/>
  <c r="F2113" i="6"/>
  <c r="E2188" i="6"/>
  <c r="F2162" i="6"/>
  <c r="E2123" i="6"/>
  <c r="F2097" i="6"/>
  <c r="F2144" i="6" l="1"/>
  <c r="E2170" i="6"/>
  <c r="E2200" i="6"/>
  <c r="F2174" i="6"/>
  <c r="E2168" i="6"/>
  <c r="F2142" i="6"/>
  <c r="E2169" i="6"/>
  <c r="F2143" i="6"/>
  <c r="E2153" i="6"/>
  <c r="F2127" i="6"/>
  <c r="E2204" i="6"/>
  <c r="F2178" i="6"/>
  <c r="E2145" i="6"/>
  <c r="F2119" i="6"/>
  <c r="E2181" i="6"/>
  <c r="F2155" i="6"/>
  <c r="E2134" i="6"/>
  <c r="F2108" i="6"/>
  <c r="E2173" i="6"/>
  <c r="F2147" i="6"/>
  <c r="E2214" i="6"/>
  <c r="F2188" i="6"/>
  <c r="E2156" i="6"/>
  <c r="F2130" i="6"/>
  <c r="E2210" i="6"/>
  <c r="F2184" i="6"/>
  <c r="E2192" i="6"/>
  <c r="F2166" i="6"/>
  <c r="E2228" i="6"/>
  <c r="F2202" i="6"/>
  <c r="E2149" i="6"/>
  <c r="F2123" i="6"/>
  <c r="E2146" i="6"/>
  <c r="F2120" i="6"/>
  <c r="E2190" i="6"/>
  <c r="F2164" i="6"/>
  <c r="E2137" i="6"/>
  <c r="F2111" i="6"/>
  <c r="E2165" i="6"/>
  <c r="F2139" i="6"/>
  <c r="E2161" i="6"/>
  <c r="F2135" i="6"/>
  <c r="E2157" i="6"/>
  <c r="F2131" i="6"/>
  <c r="E2180" i="6"/>
  <c r="F2154" i="6"/>
  <c r="E2151" i="6"/>
  <c r="F2125" i="6"/>
  <c r="E2141" i="6"/>
  <c r="F2115" i="6"/>
  <c r="E2159" i="6"/>
  <c r="F2133" i="6"/>
  <c r="F2200" i="6" l="1"/>
  <c r="E2226" i="6"/>
  <c r="E2196" i="6"/>
  <c r="F2170" i="6"/>
  <c r="E2230" i="6"/>
  <c r="F2204" i="6"/>
  <c r="E2206" i="6"/>
  <c r="F2180" i="6"/>
  <c r="E2185" i="6"/>
  <c r="F2159" i="6"/>
  <c r="E2183" i="6"/>
  <c r="F2157" i="6"/>
  <c r="E2216" i="6"/>
  <c r="F2190" i="6"/>
  <c r="E2218" i="6"/>
  <c r="F2192" i="6"/>
  <c r="E2240" i="6"/>
  <c r="F2214" i="6"/>
  <c r="E2179" i="6"/>
  <c r="F2153" i="6"/>
  <c r="E2167" i="6"/>
  <c r="F2141" i="6"/>
  <c r="E2187" i="6"/>
  <c r="F2161" i="6"/>
  <c r="E2172" i="6"/>
  <c r="F2146" i="6"/>
  <c r="E2236" i="6"/>
  <c r="F2210" i="6"/>
  <c r="E2199" i="6"/>
  <c r="F2173" i="6"/>
  <c r="E2207" i="6"/>
  <c r="F2181" i="6"/>
  <c r="E2195" i="6"/>
  <c r="F2169" i="6"/>
  <c r="E2163" i="6"/>
  <c r="F2137" i="6"/>
  <c r="E2254" i="6"/>
  <c r="F2228" i="6"/>
  <c r="E2177" i="6"/>
  <c r="F2151" i="6"/>
  <c r="E2191" i="6"/>
  <c r="F2165" i="6"/>
  <c r="E2175" i="6"/>
  <c r="F2149" i="6"/>
  <c r="E2182" i="6"/>
  <c r="F2156" i="6"/>
  <c r="E2160" i="6"/>
  <c r="F2134" i="6"/>
  <c r="E2171" i="6"/>
  <c r="F2145" i="6"/>
  <c r="E2194" i="6"/>
  <c r="F2168" i="6"/>
  <c r="E2222" i="6" l="1"/>
  <c r="F2196" i="6"/>
  <c r="E2252" i="6"/>
  <c r="F2226" i="6"/>
  <c r="E2225" i="6"/>
  <c r="F2199" i="6"/>
  <c r="E2208" i="6"/>
  <c r="F2182" i="6"/>
  <c r="E2266" i="6"/>
  <c r="F2240" i="6"/>
  <c r="E2220" i="6"/>
  <c r="F2194" i="6"/>
  <c r="E2201" i="6"/>
  <c r="F2175" i="6"/>
  <c r="E2189" i="6"/>
  <c r="F2163" i="6"/>
  <c r="E2262" i="6"/>
  <c r="F2236" i="6"/>
  <c r="E2244" i="6"/>
  <c r="F2218" i="6"/>
  <c r="E2232" i="6"/>
  <c r="F2206" i="6"/>
  <c r="E2280" i="6"/>
  <c r="F2254" i="6"/>
  <c r="E2211" i="6"/>
  <c r="F2185" i="6"/>
  <c r="E2193" i="6"/>
  <c r="F2167" i="6"/>
  <c r="E2197" i="6"/>
  <c r="F2171" i="6"/>
  <c r="E2217" i="6"/>
  <c r="F2191" i="6"/>
  <c r="E2221" i="6"/>
  <c r="F2195" i="6"/>
  <c r="E2198" i="6"/>
  <c r="F2172" i="6"/>
  <c r="E2205" i="6"/>
  <c r="F2179" i="6"/>
  <c r="E2242" i="6"/>
  <c r="F2216" i="6"/>
  <c r="E2256" i="6"/>
  <c r="F2230" i="6"/>
  <c r="E2186" i="6"/>
  <c r="F2160" i="6"/>
  <c r="E2203" i="6"/>
  <c r="F2177" i="6"/>
  <c r="E2233" i="6"/>
  <c r="F2207" i="6"/>
  <c r="E2213" i="6"/>
  <c r="F2187" i="6"/>
  <c r="E2209" i="6"/>
  <c r="F2183" i="6"/>
  <c r="E2278" i="6" l="1"/>
  <c r="F2252" i="6"/>
  <c r="E2248" i="6"/>
  <c r="F2222" i="6"/>
  <c r="E2237" i="6"/>
  <c r="F2211" i="6"/>
  <c r="E2259" i="6"/>
  <c r="F2233" i="6"/>
  <c r="E2268" i="6"/>
  <c r="F2242" i="6"/>
  <c r="E2243" i="6"/>
  <c r="F2217" i="6"/>
  <c r="E2306" i="6"/>
  <c r="F2280" i="6"/>
  <c r="E2288" i="6"/>
  <c r="F2262" i="6"/>
  <c r="E2292" i="6"/>
  <c r="F2266" i="6"/>
  <c r="E2247" i="6"/>
  <c r="F2221" i="6"/>
  <c r="E2239" i="6"/>
  <c r="F2213" i="6"/>
  <c r="E2235" i="6"/>
  <c r="F2209" i="6"/>
  <c r="E2229" i="6"/>
  <c r="F2203" i="6"/>
  <c r="E2231" i="6"/>
  <c r="F2205" i="6"/>
  <c r="E2223" i="6"/>
  <c r="F2197" i="6"/>
  <c r="E2258" i="6"/>
  <c r="F2232" i="6"/>
  <c r="E2215" i="6"/>
  <c r="F2189" i="6"/>
  <c r="E2234" i="6"/>
  <c r="F2208" i="6"/>
  <c r="E2246" i="6"/>
  <c r="F2220" i="6"/>
  <c r="E2282" i="6"/>
  <c r="F2256" i="6"/>
  <c r="E2212" i="6"/>
  <c r="F2186" i="6"/>
  <c r="E2224" i="6"/>
  <c r="F2198" i="6"/>
  <c r="E2219" i="6"/>
  <c r="F2193" i="6"/>
  <c r="E2270" i="6"/>
  <c r="F2244" i="6"/>
  <c r="E2227" i="6"/>
  <c r="F2201" i="6"/>
  <c r="E2251" i="6"/>
  <c r="F2225" i="6"/>
  <c r="E2274" i="6" l="1"/>
  <c r="F2248" i="6"/>
  <c r="E2304" i="6"/>
  <c r="F2278" i="6"/>
  <c r="E2314" i="6"/>
  <c r="F2288" i="6"/>
  <c r="E2284" i="6"/>
  <c r="F2258" i="6"/>
  <c r="E2277" i="6"/>
  <c r="F2251" i="6"/>
  <c r="E2250" i="6"/>
  <c r="F2224" i="6"/>
  <c r="E2272" i="6"/>
  <c r="F2246" i="6"/>
  <c r="E2249" i="6"/>
  <c r="F2223" i="6"/>
  <c r="E2265" i="6"/>
  <c r="F2239" i="6"/>
  <c r="E2332" i="6"/>
  <c r="F2306" i="6"/>
  <c r="E2308" i="6"/>
  <c r="F2282" i="6"/>
  <c r="E2245" i="6"/>
  <c r="F2219" i="6"/>
  <c r="E2253" i="6"/>
  <c r="F2227" i="6"/>
  <c r="E2238" i="6"/>
  <c r="F2212" i="6"/>
  <c r="E2260" i="6"/>
  <c r="F2234" i="6"/>
  <c r="E2257" i="6"/>
  <c r="F2231" i="6"/>
  <c r="E2273" i="6"/>
  <c r="F2247" i="6"/>
  <c r="F2243" i="6"/>
  <c r="E2269" i="6"/>
  <c r="E2261" i="6"/>
  <c r="F2235" i="6"/>
  <c r="E2285" i="6"/>
  <c r="F2259" i="6"/>
  <c r="E2296" i="6"/>
  <c r="F2270" i="6"/>
  <c r="E2241" i="6"/>
  <c r="F2215" i="6"/>
  <c r="E2255" i="6"/>
  <c r="F2229" i="6"/>
  <c r="E2318" i="6"/>
  <c r="F2292" i="6"/>
  <c r="E2294" i="6"/>
  <c r="F2268" i="6"/>
  <c r="E2263" i="6"/>
  <c r="F2237" i="6"/>
  <c r="E2330" i="6" l="1"/>
  <c r="F2304" i="6"/>
  <c r="E2300" i="6"/>
  <c r="F2274" i="6"/>
  <c r="E2311" i="6"/>
  <c r="F2285" i="6"/>
  <c r="E2299" i="6"/>
  <c r="F2273" i="6"/>
  <c r="E2283" i="6"/>
  <c r="F2257" i="6"/>
  <c r="E2276" i="6"/>
  <c r="F2250" i="6"/>
  <c r="E2287" i="6"/>
  <c r="F2261" i="6"/>
  <c r="E2291" i="6"/>
  <c r="F2265" i="6"/>
  <c r="E2320" i="6"/>
  <c r="F2294" i="6"/>
  <c r="E2286" i="6"/>
  <c r="F2260" i="6"/>
  <c r="E2334" i="6"/>
  <c r="F2308" i="6"/>
  <c r="E2275" i="6"/>
  <c r="F2249" i="6"/>
  <c r="E2310" i="6"/>
  <c r="F2284" i="6"/>
  <c r="E2358" i="6"/>
  <c r="F2332" i="6"/>
  <c r="E2289" i="6"/>
  <c r="F2263" i="6"/>
  <c r="E2271" i="6"/>
  <c r="F2245" i="6"/>
  <c r="E2295" i="6"/>
  <c r="F2269" i="6"/>
  <c r="E2281" i="6"/>
  <c r="F2255" i="6"/>
  <c r="E2279" i="6"/>
  <c r="F2253" i="6"/>
  <c r="E2267" i="6"/>
  <c r="F2241" i="6"/>
  <c r="E2303" i="6"/>
  <c r="F2277" i="6"/>
  <c r="E2344" i="6"/>
  <c r="F2318" i="6"/>
  <c r="E2322" i="6"/>
  <c r="F2296" i="6"/>
  <c r="E2264" i="6"/>
  <c r="F2238" i="6"/>
  <c r="E2298" i="6"/>
  <c r="F2272" i="6"/>
  <c r="E2340" i="6"/>
  <c r="F2314" i="6"/>
  <c r="E2326" i="6" l="1"/>
  <c r="F2300" i="6"/>
  <c r="E2356" i="6"/>
  <c r="F2330" i="6"/>
  <c r="E2348" i="6"/>
  <c r="F2322" i="6"/>
  <c r="F2271" i="6"/>
  <c r="E2297" i="6"/>
  <c r="E2366" i="6"/>
  <c r="F2340" i="6"/>
  <c r="E2370" i="6"/>
  <c r="F2344" i="6"/>
  <c r="E2307" i="6"/>
  <c r="F2281" i="6"/>
  <c r="E2315" i="6"/>
  <c r="F2289" i="6"/>
  <c r="E2360" i="6"/>
  <c r="F2334" i="6"/>
  <c r="E2346" i="6"/>
  <c r="F2320" i="6"/>
  <c r="E2309" i="6"/>
  <c r="F2283" i="6"/>
  <c r="E2301" i="6"/>
  <c r="F2275" i="6"/>
  <c r="E2324" i="6"/>
  <c r="F2298" i="6"/>
  <c r="E2329" i="6"/>
  <c r="F2303" i="6"/>
  <c r="E2384" i="6"/>
  <c r="F2358" i="6"/>
  <c r="E2312" i="6"/>
  <c r="F2286" i="6"/>
  <c r="E2317" i="6"/>
  <c r="F2291" i="6"/>
  <c r="E2325" i="6"/>
  <c r="F2299" i="6"/>
  <c r="E2305" i="6"/>
  <c r="F2279" i="6"/>
  <c r="E2302" i="6"/>
  <c r="F2276" i="6"/>
  <c r="E2290" i="6"/>
  <c r="F2264" i="6"/>
  <c r="E2293" i="6"/>
  <c r="F2267" i="6"/>
  <c r="E2321" i="6"/>
  <c r="F2295" i="6"/>
  <c r="E2336" i="6"/>
  <c r="F2310" i="6"/>
  <c r="E2313" i="6"/>
  <c r="F2287" i="6"/>
  <c r="E2337" i="6"/>
  <c r="F2311" i="6"/>
  <c r="E2382" i="6" l="1"/>
  <c r="F2356" i="6"/>
  <c r="E2352" i="6"/>
  <c r="F2326" i="6"/>
  <c r="E2396" i="6"/>
  <c r="F2370" i="6"/>
  <c r="E2362" i="6"/>
  <c r="F2336" i="6"/>
  <c r="E2363" i="6"/>
  <c r="F2337" i="6"/>
  <c r="E2347" i="6"/>
  <c r="F2321" i="6"/>
  <c r="E2331" i="6"/>
  <c r="F2305" i="6"/>
  <c r="E2410" i="6"/>
  <c r="F2384" i="6"/>
  <c r="E2327" i="6"/>
  <c r="F2301" i="6"/>
  <c r="E2386" i="6"/>
  <c r="F2360" i="6"/>
  <c r="E2392" i="6"/>
  <c r="F2366" i="6"/>
  <c r="E2372" i="6"/>
  <c r="F2346" i="6"/>
  <c r="E2323" i="6"/>
  <c r="F2297" i="6"/>
  <c r="E2328" i="6"/>
  <c r="F2302" i="6"/>
  <c r="E2339" i="6"/>
  <c r="F2313" i="6"/>
  <c r="E2319" i="6"/>
  <c r="F2293" i="6"/>
  <c r="E2351" i="6"/>
  <c r="F2325" i="6"/>
  <c r="E2341" i="6"/>
  <c r="F2315" i="6"/>
  <c r="E2338" i="6"/>
  <c r="F2312" i="6"/>
  <c r="E2350" i="6"/>
  <c r="F2324" i="6"/>
  <c r="E2316" i="6"/>
  <c r="F2290" i="6"/>
  <c r="E2343" i="6"/>
  <c r="F2317" i="6"/>
  <c r="E2355" i="6"/>
  <c r="F2329" i="6"/>
  <c r="E2335" i="6"/>
  <c r="F2309" i="6"/>
  <c r="E2333" i="6"/>
  <c r="F2307" i="6"/>
  <c r="E2374" i="6"/>
  <c r="F2348" i="6"/>
  <c r="E2378" i="6" l="1"/>
  <c r="F2352" i="6"/>
  <c r="E2408" i="6"/>
  <c r="F2382" i="6"/>
  <c r="E2381" i="6"/>
  <c r="F2355" i="6"/>
  <c r="F2374" i="6"/>
  <c r="E2400" i="6"/>
  <c r="E2369" i="6"/>
  <c r="F2343" i="6"/>
  <c r="E2364" i="6"/>
  <c r="F2338" i="6"/>
  <c r="E2377" i="6"/>
  <c r="F2351" i="6"/>
  <c r="E2349" i="6"/>
  <c r="F2323" i="6"/>
  <c r="E2353" i="6"/>
  <c r="F2327" i="6"/>
  <c r="E2389" i="6"/>
  <c r="F2363" i="6"/>
  <c r="E2373" i="6"/>
  <c r="F2347" i="6"/>
  <c r="E2412" i="6"/>
  <c r="F2386" i="6"/>
  <c r="E2359" i="6"/>
  <c r="F2333" i="6"/>
  <c r="E2342" i="6"/>
  <c r="F2316" i="6"/>
  <c r="E2367" i="6"/>
  <c r="F2341" i="6"/>
  <c r="E2345" i="6"/>
  <c r="F2319" i="6"/>
  <c r="E2398" i="6"/>
  <c r="F2372" i="6"/>
  <c r="E2436" i="6"/>
  <c r="F2410" i="6"/>
  <c r="E2388" i="6"/>
  <c r="F2362" i="6"/>
  <c r="E2354" i="6"/>
  <c r="F2328" i="6"/>
  <c r="E2376" i="6"/>
  <c r="F2350" i="6"/>
  <c r="E2361" i="6"/>
  <c r="F2335" i="6"/>
  <c r="E2365" i="6"/>
  <c r="F2339" i="6"/>
  <c r="E2418" i="6"/>
  <c r="F2392" i="6"/>
  <c r="F2331" i="6"/>
  <c r="E2357" i="6"/>
  <c r="E2422" i="6"/>
  <c r="F2396" i="6"/>
  <c r="E2434" i="6" l="1"/>
  <c r="F2408" i="6"/>
  <c r="E2404" i="6"/>
  <c r="F2378" i="6"/>
  <c r="E2391" i="6"/>
  <c r="F2365" i="6"/>
  <c r="E2402" i="6"/>
  <c r="F2376" i="6"/>
  <c r="E2424" i="6"/>
  <c r="F2398" i="6"/>
  <c r="E2385" i="6"/>
  <c r="F2359" i="6"/>
  <c r="E2379" i="6"/>
  <c r="F2353" i="6"/>
  <c r="E2395" i="6"/>
  <c r="F2369" i="6"/>
  <c r="E2426" i="6"/>
  <c r="F2400" i="6"/>
  <c r="E2448" i="6"/>
  <c r="F2422" i="6"/>
  <c r="E2380" i="6"/>
  <c r="F2354" i="6"/>
  <c r="E2371" i="6"/>
  <c r="F2345" i="6"/>
  <c r="E2438" i="6"/>
  <c r="F2412" i="6"/>
  <c r="E2375" i="6"/>
  <c r="F2349" i="6"/>
  <c r="E2414" i="6"/>
  <c r="F2388" i="6"/>
  <c r="E2393" i="6"/>
  <c r="F2367" i="6"/>
  <c r="E2399" i="6"/>
  <c r="F2373" i="6"/>
  <c r="E2403" i="6"/>
  <c r="F2377" i="6"/>
  <c r="E2383" i="6"/>
  <c r="F2357" i="6"/>
  <c r="E2444" i="6"/>
  <c r="F2418" i="6"/>
  <c r="E2387" i="6"/>
  <c r="F2361" i="6"/>
  <c r="E2462" i="6"/>
  <c r="F2436" i="6"/>
  <c r="E2368" i="6"/>
  <c r="F2342" i="6"/>
  <c r="E2415" i="6"/>
  <c r="F2389" i="6"/>
  <c r="E2390" i="6"/>
  <c r="F2364" i="6"/>
  <c r="E2407" i="6"/>
  <c r="F2381" i="6"/>
  <c r="E2430" i="6" l="1"/>
  <c r="F2404" i="6"/>
  <c r="E2460" i="6"/>
  <c r="F2434" i="6"/>
  <c r="E2394" i="6"/>
  <c r="F2368" i="6"/>
  <c r="E2409" i="6"/>
  <c r="F2383" i="6"/>
  <c r="E2419" i="6"/>
  <c r="F2393" i="6"/>
  <c r="E2464" i="6"/>
  <c r="F2438" i="6"/>
  <c r="E2474" i="6"/>
  <c r="F2448" i="6"/>
  <c r="E2411" i="6"/>
  <c r="F2385" i="6"/>
  <c r="E2433" i="6"/>
  <c r="F2407" i="6"/>
  <c r="E2488" i="6"/>
  <c r="F2462" i="6"/>
  <c r="E2440" i="6"/>
  <c r="F2414" i="6"/>
  <c r="E2397" i="6"/>
  <c r="F2371" i="6"/>
  <c r="E2452" i="6"/>
  <c r="F2426" i="6"/>
  <c r="E2450" i="6"/>
  <c r="F2424" i="6"/>
  <c r="E2416" i="6"/>
  <c r="F2390" i="6"/>
  <c r="E2413" i="6"/>
  <c r="F2387" i="6"/>
  <c r="E2429" i="6"/>
  <c r="F2403" i="6"/>
  <c r="E2406" i="6"/>
  <c r="F2380" i="6"/>
  <c r="E2421" i="6"/>
  <c r="F2395" i="6"/>
  <c r="E2428" i="6"/>
  <c r="F2402" i="6"/>
  <c r="E2441" i="6"/>
  <c r="F2415" i="6"/>
  <c r="E2470" i="6"/>
  <c r="F2444" i="6"/>
  <c r="E2425" i="6"/>
  <c r="F2399" i="6"/>
  <c r="E2401" i="6"/>
  <c r="F2375" i="6"/>
  <c r="E2405" i="6"/>
  <c r="F2379" i="6"/>
  <c r="E2417" i="6"/>
  <c r="F2391" i="6"/>
  <c r="E2486" i="6" l="1"/>
  <c r="F2460" i="6"/>
  <c r="E2456" i="6"/>
  <c r="F2430" i="6"/>
  <c r="E2427" i="6"/>
  <c r="F2401" i="6"/>
  <c r="E2454" i="6"/>
  <c r="F2428" i="6"/>
  <c r="E2455" i="6"/>
  <c r="F2429" i="6"/>
  <c r="E2478" i="6"/>
  <c r="F2452" i="6"/>
  <c r="E2514" i="6"/>
  <c r="F2488" i="6"/>
  <c r="E2490" i="6"/>
  <c r="F2464" i="6"/>
  <c r="E2443" i="6"/>
  <c r="F2417" i="6"/>
  <c r="E2451" i="6"/>
  <c r="F2425" i="6"/>
  <c r="E2447" i="6"/>
  <c r="F2421" i="6"/>
  <c r="E2439" i="6"/>
  <c r="F2413" i="6"/>
  <c r="E2423" i="6"/>
  <c r="F2397" i="6"/>
  <c r="E2459" i="6"/>
  <c r="F2433" i="6"/>
  <c r="E2445" i="6"/>
  <c r="F2419" i="6"/>
  <c r="E2431" i="6"/>
  <c r="F2405" i="6"/>
  <c r="E2496" i="6"/>
  <c r="F2470" i="6"/>
  <c r="E2432" i="6"/>
  <c r="F2406" i="6"/>
  <c r="E2442" i="6"/>
  <c r="F2416" i="6"/>
  <c r="E2466" i="6"/>
  <c r="F2440" i="6"/>
  <c r="E2437" i="6"/>
  <c r="F2411" i="6"/>
  <c r="E2435" i="6"/>
  <c r="F2409" i="6"/>
  <c r="E2467" i="6"/>
  <c r="F2441" i="6"/>
  <c r="E2476" i="6"/>
  <c r="F2450" i="6"/>
  <c r="E2500" i="6"/>
  <c r="F2474" i="6"/>
  <c r="E2420" i="6"/>
  <c r="F2394" i="6"/>
  <c r="E2482" i="6" l="1"/>
  <c r="F2456" i="6"/>
  <c r="E2512" i="6"/>
  <c r="F2486" i="6"/>
  <c r="E2502" i="6"/>
  <c r="F2476" i="6"/>
  <c r="F2435" i="6"/>
  <c r="E2461" i="6"/>
  <c r="E2458" i="6"/>
  <c r="F2432" i="6"/>
  <c r="F2459" i="6"/>
  <c r="E2485" i="6"/>
  <c r="E2477" i="6"/>
  <c r="F2451" i="6"/>
  <c r="E2504" i="6"/>
  <c r="F2478" i="6"/>
  <c r="E2446" i="6"/>
  <c r="F2420" i="6"/>
  <c r="E2463" i="6"/>
  <c r="F2437" i="6"/>
  <c r="E2522" i="6"/>
  <c r="F2496" i="6"/>
  <c r="E2449" i="6"/>
  <c r="F2423" i="6"/>
  <c r="E2469" i="6"/>
  <c r="F2443" i="6"/>
  <c r="E2481" i="6"/>
  <c r="F2455" i="6"/>
  <c r="E2526" i="6"/>
  <c r="F2500" i="6"/>
  <c r="E2493" i="6"/>
  <c r="F2467" i="6"/>
  <c r="E2492" i="6"/>
  <c r="F2466" i="6"/>
  <c r="E2457" i="6"/>
  <c r="F2431" i="6"/>
  <c r="E2465" i="6"/>
  <c r="F2439" i="6"/>
  <c r="E2516" i="6"/>
  <c r="F2490" i="6"/>
  <c r="E2480" i="6"/>
  <c r="F2454" i="6"/>
  <c r="E2468" i="6"/>
  <c r="F2442" i="6"/>
  <c r="E2471" i="6"/>
  <c r="F2445" i="6"/>
  <c r="E2473" i="6"/>
  <c r="F2447" i="6"/>
  <c r="E2540" i="6"/>
  <c r="F2514" i="6"/>
  <c r="E2453" i="6"/>
  <c r="F2427" i="6"/>
  <c r="E2538" i="6" l="1"/>
  <c r="F2512" i="6"/>
  <c r="E2508" i="6"/>
  <c r="F2482" i="6"/>
  <c r="F2485" i="6"/>
  <c r="E2511" i="6"/>
  <c r="F2471" i="6"/>
  <c r="E2497" i="6"/>
  <c r="E2506" i="6"/>
  <c r="F2480" i="6"/>
  <c r="E2518" i="6"/>
  <c r="F2492" i="6"/>
  <c r="E2495" i="6"/>
  <c r="F2469" i="6"/>
  <c r="E2479" i="6"/>
  <c r="F2453" i="6"/>
  <c r="E2494" i="6"/>
  <c r="F2468" i="6"/>
  <c r="E2542" i="6"/>
  <c r="F2516" i="6"/>
  <c r="E2519" i="6"/>
  <c r="F2493" i="6"/>
  <c r="E2475" i="6"/>
  <c r="F2449" i="6"/>
  <c r="E2472" i="6"/>
  <c r="F2446" i="6"/>
  <c r="E2484" i="6"/>
  <c r="F2458" i="6"/>
  <c r="E2487" i="6"/>
  <c r="F2461" i="6"/>
  <c r="E2566" i="6"/>
  <c r="F2540" i="6"/>
  <c r="E2491" i="6"/>
  <c r="F2465" i="6"/>
  <c r="E2552" i="6"/>
  <c r="F2526" i="6"/>
  <c r="E2548" i="6"/>
  <c r="F2522" i="6"/>
  <c r="E2530" i="6"/>
  <c r="F2504" i="6"/>
  <c r="E2499" i="6"/>
  <c r="F2473" i="6"/>
  <c r="E2483" i="6"/>
  <c r="F2457" i="6"/>
  <c r="E2507" i="6"/>
  <c r="F2481" i="6"/>
  <c r="E2489" i="6"/>
  <c r="F2463" i="6"/>
  <c r="E2503" i="6"/>
  <c r="F2477" i="6"/>
  <c r="E2528" i="6"/>
  <c r="F2502" i="6"/>
  <c r="E2534" i="6" l="1"/>
  <c r="F2508" i="6"/>
  <c r="E2564" i="6"/>
  <c r="F2538" i="6"/>
  <c r="E2533" i="6"/>
  <c r="F2507" i="6"/>
  <c r="E2556" i="6"/>
  <c r="F2530" i="6"/>
  <c r="E2498" i="6"/>
  <c r="F2472" i="6"/>
  <c r="E2520" i="6"/>
  <c r="F2494" i="6"/>
  <c r="E2544" i="6"/>
  <c r="F2518" i="6"/>
  <c r="E2554" i="6"/>
  <c r="F2528" i="6"/>
  <c r="E2509" i="6"/>
  <c r="F2483" i="6"/>
  <c r="E2574" i="6"/>
  <c r="F2548" i="6"/>
  <c r="E2592" i="6"/>
  <c r="F2566" i="6"/>
  <c r="E2501" i="6"/>
  <c r="F2475" i="6"/>
  <c r="E2505" i="6"/>
  <c r="F2479" i="6"/>
  <c r="E2532" i="6"/>
  <c r="F2506" i="6"/>
  <c r="E2523" i="6"/>
  <c r="F2497" i="6"/>
  <c r="E2529" i="6"/>
  <c r="F2503" i="6"/>
  <c r="E2525" i="6"/>
  <c r="F2499" i="6"/>
  <c r="E2578" i="6"/>
  <c r="F2552" i="6"/>
  <c r="E2513" i="6"/>
  <c r="F2487" i="6"/>
  <c r="E2545" i="6"/>
  <c r="F2519" i="6"/>
  <c r="E2537" i="6"/>
  <c r="F2511" i="6"/>
  <c r="E2515" i="6"/>
  <c r="F2489" i="6"/>
  <c r="E2517" i="6"/>
  <c r="F2491" i="6"/>
  <c r="E2510" i="6"/>
  <c r="F2484" i="6"/>
  <c r="E2568" i="6"/>
  <c r="F2542" i="6"/>
  <c r="E2521" i="6"/>
  <c r="F2495" i="6"/>
  <c r="F2564" i="6" l="1"/>
  <c r="E2590" i="6"/>
  <c r="E2560" i="6"/>
  <c r="F2534" i="6"/>
  <c r="E2543" i="6"/>
  <c r="F2517" i="6"/>
  <c r="E2551" i="6"/>
  <c r="F2525" i="6"/>
  <c r="E2531" i="6"/>
  <c r="F2505" i="6"/>
  <c r="E2535" i="6"/>
  <c r="F2509" i="6"/>
  <c r="E2524" i="6"/>
  <c r="F2498" i="6"/>
  <c r="E2547" i="6"/>
  <c r="F2521" i="6"/>
  <c r="E2571" i="6"/>
  <c r="F2545" i="6"/>
  <c r="E2555" i="6"/>
  <c r="F2529" i="6"/>
  <c r="E2527" i="6"/>
  <c r="F2501" i="6"/>
  <c r="E2580" i="6"/>
  <c r="F2554" i="6"/>
  <c r="E2594" i="6"/>
  <c r="F2568" i="6"/>
  <c r="E2541" i="6"/>
  <c r="F2515" i="6"/>
  <c r="E2539" i="6"/>
  <c r="F2513" i="6"/>
  <c r="E2549" i="6"/>
  <c r="F2523" i="6"/>
  <c r="E2618" i="6"/>
  <c r="F2592" i="6"/>
  <c r="E2570" i="6"/>
  <c r="F2544" i="6"/>
  <c r="E2582" i="6"/>
  <c r="F2556" i="6"/>
  <c r="E2536" i="6"/>
  <c r="F2510" i="6"/>
  <c r="E2563" i="6"/>
  <c r="F2537" i="6"/>
  <c r="E2604" i="6"/>
  <c r="F2578" i="6"/>
  <c r="E2558" i="6"/>
  <c r="F2532" i="6"/>
  <c r="E2600" i="6"/>
  <c r="F2574" i="6"/>
  <c r="E2546" i="6"/>
  <c r="F2520" i="6"/>
  <c r="E2559" i="6"/>
  <c r="F2533" i="6"/>
  <c r="E2586" i="6" l="1"/>
  <c r="F2560" i="6"/>
  <c r="E2616" i="6"/>
  <c r="F2590" i="6"/>
  <c r="E2584" i="6"/>
  <c r="F2558" i="6"/>
  <c r="E2608" i="6"/>
  <c r="F2582" i="6"/>
  <c r="E2565" i="6"/>
  <c r="F2539" i="6"/>
  <c r="E2606" i="6"/>
  <c r="F2580" i="6"/>
  <c r="E2557" i="6"/>
  <c r="F2531" i="6"/>
  <c r="E2585" i="6"/>
  <c r="F2559" i="6"/>
  <c r="E2630" i="6"/>
  <c r="F2604" i="6"/>
  <c r="E2596" i="6"/>
  <c r="F2570" i="6"/>
  <c r="E2567" i="6"/>
  <c r="F2541" i="6"/>
  <c r="E2553" i="6"/>
  <c r="F2527" i="6"/>
  <c r="E2573" i="6"/>
  <c r="F2547" i="6"/>
  <c r="E2577" i="6"/>
  <c r="F2551" i="6"/>
  <c r="E2572" i="6"/>
  <c r="F2546" i="6"/>
  <c r="E2589" i="6"/>
  <c r="F2563" i="6"/>
  <c r="E2644" i="6"/>
  <c r="F2618" i="6"/>
  <c r="E2620" i="6"/>
  <c r="F2594" i="6"/>
  <c r="E2581" i="6"/>
  <c r="F2555" i="6"/>
  <c r="E2550" i="6"/>
  <c r="F2524" i="6"/>
  <c r="E2626" i="6"/>
  <c r="F2600" i="6"/>
  <c r="E2562" i="6"/>
  <c r="F2536" i="6"/>
  <c r="E2575" i="6"/>
  <c r="F2549" i="6"/>
  <c r="E2597" i="6"/>
  <c r="F2571" i="6"/>
  <c r="E2561" i="6"/>
  <c r="F2535" i="6"/>
  <c r="E2569" i="6"/>
  <c r="F2543" i="6"/>
  <c r="E2642" i="6" l="1"/>
  <c r="F2616" i="6"/>
  <c r="E2612" i="6"/>
  <c r="F2586" i="6"/>
  <c r="E2670" i="6"/>
  <c r="F2644" i="6"/>
  <c r="E2599" i="6"/>
  <c r="F2573" i="6"/>
  <c r="E2656" i="6"/>
  <c r="F2630" i="6"/>
  <c r="E2632" i="6"/>
  <c r="F2606" i="6"/>
  <c r="E2595" i="6"/>
  <c r="F2569" i="6"/>
  <c r="E2601" i="6"/>
  <c r="F2575" i="6"/>
  <c r="E2576" i="6"/>
  <c r="F2550" i="6"/>
  <c r="E2615" i="6"/>
  <c r="F2589" i="6"/>
  <c r="E2579" i="6"/>
  <c r="F2553" i="6"/>
  <c r="E2611" i="6"/>
  <c r="F2585" i="6"/>
  <c r="E2591" i="6"/>
  <c r="F2565" i="6"/>
  <c r="E2587" i="6"/>
  <c r="F2561" i="6"/>
  <c r="E2588" i="6"/>
  <c r="F2562" i="6"/>
  <c r="E2607" i="6"/>
  <c r="F2581" i="6"/>
  <c r="E2598" i="6"/>
  <c r="F2572" i="6"/>
  <c r="E2593" i="6"/>
  <c r="F2567" i="6"/>
  <c r="E2583" i="6"/>
  <c r="F2557" i="6"/>
  <c r="E2634" i="6"/>
  <c r="F2608" i="6"/>
  <c r="E2623" i="6"/>
  <c r="F2597" i="6"/>
  <c r="F2626" i="6"/>
  <c r="E2652" i="6"/>
  <c r="E2646" i="6"/>
  <c r="F2620" i="6"/>
  <c r="E2603" i="6"/>
  <c r="F2577" i="6"/>
  <c r="E2622" i="6"/>
  <c r="F2596" i="6"/>
  <c r="E2610" i="6"/>
  <c r="F2584" i="6"/>
  <c r="E2638" i="6" l="1"/>
  <c r="F2612" i="6"/>
  <c r="E2668" i="6"/>
  <c r="F2642" i="6"/>
  <c r="E2672" i="6"/>
  <c r="F2646" i="6"/>
  <c r="E2660" i="6"/>
  <c r="F2634" i="6"/>
  <c r="E2633" i="6"/>
  <c r="F2607" i="6"/>
  <c r="E2637" i="6"/>
  <c r="F2611" i="6"/>
  <c r="E2627" i="6"/>
  <c r="F2601" i="6"/>
  <c r="E2625" i="6"/>
  <c r="F2599" i="6"/>
  <c r="E2678" i="6"/>
  <c r="F2652" i="6"/>
  <c r="E2636" i="6"/>
  <c r="F2610" i="6"/>
  <c r="E2609" i="6"/>
  <c r="F2583" i="6"/>
  <c r="E2614" i="6"/>
  <c r="F2588" i="6"/>
  <c r="E2605" i="6"/>
  <c r="F2579" i="6"/>
  <c r="E2621" i="6"/>
  <c r="F2595" i="6"/>
  <c r="E2696" i="6"/>
  <c r="F2670" i="6"/>
  <c r="E2648" i="6"/>
  <c r="F2622" i="6"/>
  <c r="E2649" i="6"/>
  <c r="F2623" i="6"/>
  <c r="E2619" i="6"/>
  <c r="F2593" i="6"/>
  <c r="E2613" i="6"/>
  <c r="F2587" i="6"/>
  <c r="E2641" i="6"/>
  <c r="F2615" i="6"/>
  <c r="E2658" i="6"/>
  <c r="F2632" i="6"/>
  <c r="E2629" i="6"/>
  <c r="F2603" i="6"/>
  <c r="E2624" i="6"/>
  <c r="F2598" i="6"/>
  <c r="E2617" i="6"/>
  <c r="F2591" i="6"/>
  <c r="E2602" i="6"/>
  <c r="F2576" i="6"/>
  <c r="E2682" i="6"/>
  <c r="F2656" i="6"/>
  <c r="E2694" i="6" l="1"/>
  <c r="F2668" i="6"/>
  <c r="F2638" i="6"/>
  <c r="E2664" i="6"/>
  <c r="E2643" i="6"/>
  <c r="F2617" i="6"/>
  <c r="E2645" i="6"/>
  <c r="F2619" i="6"/>
  <c r="E2647" i="6"/>
  <c r="F2621" i="6"/>
  <c r="E2662" i="6"/>
  <c r="F2636" i="6"/>
  <c r="F2637" i="6"/>
  <c r="E2663" i="6"/>
  <c r="E2650" i="6"/>
  <c r="F2624" i="6"/>
  <c r="E2684" i="6"/>
  <c r="F2658" i="6"/>
  <c r="E2675" i="6"/>
  <c r="F2649" i="6"/>
  <c r="E2631" i="6"/>
  <c r="F2605" i="6"/>
  <c r="E2704" i="6"/>
  <c r="F2678" i="6"/>
  <c r="E2659" i="6"/>
  <c r="F2633" i="6"/>
  <c r="E2708" i="6"/>
  <c r="F2682" i="6"/>
  <c r="E2667" i="6"/>
  <c r="F2641" i="6"/>
  <c r="E2674" i="6"/>
  <c r="F2648" i="6"/>
  <c r="E2640" i="6"/>
  <c r="F2614" i="6"/>
  <c r="E2651" i="6"/>
  <c r="F2625" i="6"/>
  <c r="E2686" i="6"/>
  <c r="F2660" i="6"/>
  <c r="E2628" i="6"/>
  <c r="F2602" i="6"/>
  <c r="E2655" i="6"/>
  <c r="F2629" i="6"/>
  <c r="E2639" i="6"/>
  <c r="F2613" i="6"/>
  <c r="E2722" i="6"/>
  <c r="F2696" i="6"/>
  <c r="E2635" i="6"/>
  <c r="F2609" i="6"/>
  <c r="E2653" i="6"/>
  <c r="F2627" i="6"/>
  <c r="E2698" i="6"/>
  <c r="F2672" i="6"/>
  <c r="E2690" i="6" l="1"/>
  <c r="F2664" i="6"/>
  <c r="E2720" i="6"/>
  <c r="F2694" i="6"/>
  <c r="E2748" i="6"/>
  <c r="F2722" i="6"/>
  <c r="E2712" i="6"/>
  <c r="F2686" i="6"/>
  <c r="E2693" i="6"/>
  <c r="F2667" i="6"/>
  <c r="E2730" i="6"/>
  <c r="F2704" i="6"/>
  <c r="E2676" i="6"/>
  <c r="F2650" i="6"/>
  <c r="E2673" i="6"/>
  <c r="F2647" i="6"/>
  <c r="E2724" i="6"/>
  <c r="F2698" i="6"/>
  <c r="E2665" i="6"/>
  <c r="F2639" i="6"/>
  <c r="E2677" i="6"/>
  <c r="F2651" i="6"/>
  <c r="E2734" i="6"/>
  <c r="F2708" i="6"/>
  <c r="E2657" i="6"/>
  <c r="F2631" i="6"/>
  <c r="E2671" i="6"/>
  <c r="F2645" i="6"/>
  <c r="E2689" i="6"/>
  <c r="F2663" i="6"/>
  <c r="E2679" i="6"/>
  <c r="F2653" i="6"/>
  <c r="E2681" i="6"/>
  <c r="F2655" i="6"/>
  <c r="E2666" i="6"/>
  <c r="F2640" i="6"/>
  <c r="E2701" i="6"/>
  <c r="F2675" i="6"/>
  <c r="E2661" i="6"/>
  <c r="F2635" i="6"/>
  <c r="E2654" i="6"/>
  <c r="F2628" i="6"/>
  <c r="E2700" i="6"/>
  <c r="F2674" i="6"/>
  <c r="E2685" i="6"/>
  <c r="F2659" i="6"/>
  <c r="E2710" i="6"/>
  <c r="F2684" i="6"/>
  <c r="E2688" i="6"/>
  <c r="F2662" i="6"/>
  <c r="E2669" i="6"/>
  <c r="F2643" i="6"/>
  <c r="F2720" i="6" l="1"/>
  <c r="E2746" i="6"/>
  <c r="E2716" i="6"/>
  <c r="F2690" i="6"/>
  <c r="E2756" i="6"/>
  <c r="F2730" i="6"/>
  <c r="E2691" i="6"/>
  <c r="F2665" i="6"/>
  <c r="E2695" i="6"/>
  <c r="F2669" i="6"/>
  <c r="E2726" i="6"/>
  <c r="F2700" i="6"/>
  <c r="E2727" i="6"/>
  <c r="F2701" i="6"/>
  <c r="E2715" i="6"/>
  <c r="F2689" i="6"/>
  <c r="E2683" i="6"/>
  <c r="F2657" i="6"/>
  <c r="E2750" i="6"/>
  <c r="F2724" i="6"/>
  <c r="E2719" i="6"/>
  <c r="F2693" i="6"/>
  <c r="E2705" i="6"/>
  <c r="F2679" i="6"/>
  <c r="E2714" i="6"/>
  <c r="F2688" i="6"/>
  <c r="E2680" i="6"/>
  <c r="F2654" i="6"/>
  <c r="E2692" i="6"/>
  <c r="F2666" i="6"/>
  <c r="E2760" i="6"/>
  <c r="F2734" i="6"/>
  <c r="E2699" i="6"/>
  <c r="F2673" i="6"/>
  <c r="E2738" i="6"/>
  <c r="F2712" i="6"/>
  <c r="E2711" i="6"/>
  <c r="F2685" i="6"/>
  <c r="E2736" i="6"/>
  <c r="F2710" i="6"/>
  <c r="E2687" i="6"/>
  <c r="F2661" i="6"/>
  <c r="E2707" i="6"/>
  <c r="F2681" i="6"/>
  <c r="E2697" i="6"/>
  <c r="F2671" i="6"/>
  <c r="E2703" i="6"/>
  <c r="F2677" i="6"/>
  <c r="E2702" i="6"/>
  <c r="F2676" i="6"/>
  <c r="E2774" i="6"/>
  <c r="F2748" i="6"/>
  <c r="E2742" i="6" l="1"/>
  <c r="F2716" i="6"/>
  <c r="E2772" i="6"/>
  <c r="F2746" i="6"/>
  <c r="E2723" i="6"/>
  <c r="F2697" i="6"/>
  <c r="E2737" i="6"/>
  <c r="F2711" i="6"/>
  <c r="E2725" i="6"/>
  <c r="F2699" i="6"/>
  <c r="F2714" i="6"/>
  <c r="E2740" i="6"/>
  <c r="E2709" i="6"/>
  <c r="F2683" i="6"/>
  <c r="E2721" i="6"/>
  <c r="F2695" i="6"/>
  <c r="E2800" i="6"/>
  <c r="F2774" i="6"/>
  <c r="E2733" i="6"/>
  <c r="F2707" i="6"/>
  <c r="E2786" i="6"/>
  <c r="F2760" i="6"/>
  <c r="E2731" i="6"/>
  <c r="F2705" i="6"/>
  <c r="E2741" i="6"/>
  <c r="F2715" i="6"/>
  <c r="E2717" i="6"/>
  <c r="F2691" i="6"/>
  <c r="E2728" i="6"/>
  <c r="F2702" i="6"/>
  <c r="E2713" i="6"/>
  <c r="F2687" i="6"/>
  <c r="E2718" i="6"/>
  <c r="F2692" i="6"/>
  <c r="E2745" i="6"/>
  <c r="F2719" i="6"/>
  <c r="E2753" i="6"/>
  <c r="F2727" i="6"/>
  <c r="E2782" i="6"/>
  <c r="F2756" i="6"/>
  <c r="E2729" i="6"/>
  <c r="F2703" i="6"/>
  <c r="E2762" i="6"/>
  <c r="F2736" i="6"/>
  <c r="E2764" i="6"/>
  <c r="F2738" i="6"/>
  <c r="E2706" i="6"/>
  <c r="F2680" i="6"/>
  <c r="E2776" i="6"/>
  <c r="F2750" i="6"/>
  <c r="E2752" i="6"/>
  <c r="F2726" i="6"/>
  <c r="E2798" i="6" l="1"/>
  <c r="F2772" i="6"/>
  <c r="E2768" i="6"/>
  <c r="F2742" i="6"/>
  <c r="E2766" i="6"/>
  <c r="F2740" i="6"/>
  <c r="E2732" i="6"/>
  <c r="F2706" i="6"/>
  <c r="E2808" i="6"/>
  <c r="F2782" i="6"/>
  <c r="E2767" i="6"/>
  <c r="F2741" i="6"/>
  <c r="E2826" i="6"/>
  <c r="F2800" i="6"/>
  <c r="E2757" i="6"/>
  <c r="F2731" i="6"/>
  <c r="E2739" i="6"/>
  <c r="F2713" i="6"/>
  <c r="E2778" i="6"/>
  <c r="F2752" i="6"/>
  <c r="E2788" i="6"/>
  <c r="F2762" i="6"/>
  <c r="E2771" i="6"/>
  <c r="F2745" i="6"/>
  <c r="E2754" i="6"/>
  <c r="F2728" i="6"/>
  <c r="E2812" i="6"/>
  <c r="F2786" i="6"/>
  <c r="E2747" i="6"/>
  <c r="F2721" i="6"/>
  <c r="E2763" i="6"/>
  <c r="F2737" i="6"/>
  <c r="E2790" i="6"/>
  <c r="F2764" i="6"/>
  <c r="E2751" i="6"/>
  <c r="F2725" i="6"/>
  <c r="E2779" i="6"/>
  <c r="F2753" i="6"/>
  <c r="E2802" i="6"/>
  <c r="F2776" i="6"/>
  <c r="E2755" i="6"/>
  <c r="F2729" i="6"/>
  <c r="E2744" i="6"/>
  <c r="F2718" i="6"/>
  <c r="E2743" i="6"/>
  <c r="F2717" i="6"/>
  <c r="E2759" i="6"/>
  <c r="F2733" i="6"/>
  <c r="E2735" i="6"/>
  <c r="F2709" i="6"/>
  <c r="E2749" i="6"/>
  <c r="F2723" i="6"/>
  <c r="E2794" i="6" l="1"/>
  <c r="F2768" i="6"/>
  <c r="E2824" i="6"/>
  <c r="F2798" i="6"/>
  <c r="E2777" i="6"/>
  <c r="F2751" i="6"/>
  <c r="E2834" i="6"/>
  <c r="F2808" i="6"/>
  <c r="E2769" i="6"/>
  <c r="F2743" i="6"/>
  <c r="E2805" i="6"/>
  <c r="F2779" i="6"/>
  <c r="E2773" i="6"/>
  <c r="F2747" i="6"/>
  <c r="E2814" i="6"/>
  <c r="F2788" i="6"/>
  <c r="E2770" i="6"/>
  <c r="F2744" i="6"/>
  <c r="E2816" i="6"/>
  <c r="F2790" i="6"/>
  <c r="E2852" i="6"/>
  <c r="F2826" i="6"/>
  <c r="E2758" i="6"/>
  <c r="F2732" i="6"/>
  <c r="E2804" i="6"/>
  <c r="F2778" i="6"/>
  <c r="E2761" i="6"/>
  <c r="F2735" i="6"/>
  <c r="E2780" i="6"/>
  <c r="F2754" i="6"/>
  <c r="E2775" i="6"/>
  <c r="F2749" i="6"/>
  <c r="E2838" i="6"/>
  <c r="F2812" i="6"/>
  <c r="E2781" i="6"/>
  <c r="F2755" i="6"/>
  <c r="E2765" i="6"/>
  <c r="F2739" i="6"/>
  <c r="E2785" i="6"/>
  <c r="F2759" i="6"/>
  <c r="E2828" i="6"/>
  <c r="F2802" i="6"/>
  <c r="E2789" i="6"/>
  <c r="F2763" i="6"/>
  <c r="E2797" i="6"/>
  <c r="F2771" i="6"/>
  <c r="E2783" i="6"/>
  <c r="F2757" i="6"/>
  <c r="E2793" i="6"/>
  <c r="F2767" i="6"/>
  <c r="E2792" i="6"/>
  <c r="F2766" i="6"/>
  <c r="E2850" i="6" l="1"/>
  <c r="F2824" i="6"/>
  <c r="F2794" i="6"/>
  <c r="E2820" i="6"/>
  <c r="E2823" i="6"/>
  <c r="F2797" i="6"/>
  <c r="E2791" i="6"/>
  <c r="F2765" i="6"/>
  <c r="E2806" i="6"/>
  <c r="F2780" i="6"/>
  <c r="E2878" i="6"/>
  <c r="F2852" i="6"/>
  <c r="E2831" i="6"/>
  <c r="F2805" i="6"/>
  <c r="E2818" i="6"/>
  <c r="F2792" i="6"/>
  <c r="E2815" i="6"/>
  <c r="F2789" i="6"/>
  <c r="E2807" i="6"/>
  <c r="F2781" i="6"/>
  <c r="E2787" i="6"/>
  <c r="F2761" i="6"/>
  <c r="E2842" i="6"/>
  <c r="F2816" i="6"/>
  <c r="E2795" i="6"/>
  <c r="F2769" i="6"/>
  <c r="E2819" i="6"/>
  <c r="F2793" i="6"/>
  <c r="E2854" i="6"/>
  <c r="F2828" i="6"/>
  <c r="E2864" i="6"/>
  <c r="F2838" i="6"/>
  <c r="E2830" i="6"/>
  <c r="F2804" i="6"/>
  <c r="E2796" i="6"/>
  <c r="F2770" i="6"/>
  <c r="E2840" i="6"/>
  <c r="F2814" i="6"/>
  <c r="E2860" i="6"/>
  <c r="F2834" i="6"/>
  <c r="E2809" i="6"/>
  <c r="F2783" i="6"/>
  <c r="E2811" i="6"/>
  <c r="F2785" i="6"/>
  <c r="E2801" i="6"/>
  <c r="F2775" i="6"/>
  <c r="E2784" i="6"/>
  <c r="F2758" i="6"/>
  <c r="E2799" i="6"/>
  <c r="F2773" i="6"/>
  <c r="E2803" i="6"/>
  <c r="F2777" i="6"/>
  <c r="E2846" i="6" l="1"/>
  <c r="F2820" i="6"/>
  <c r="F2850" i="6"/>
  <c r="E2876" i="6"/>
  <c r="E2827" i="6"/>
  <c r="F2801" i="6"/>
  <c r="E2886" i="6"/>
  <c r="F2860" i="6"/>
  <c r="E2890" i="6"/>
  <c r="F2864" i="6"/>
  <c r="E2841" i="6"/>
  <c r="F2815" i="6"/>
  <c r="E2904" i="6"/>
  <c r="F2878" i="6"/>
  <c r="E2829" i="6"/>
  <c r="F2803" i="6"/>
  <c r="E2837" i="6"/>
  <c r="F2811" i="6"/>
  <c r="E2866" i="6"/>
  <c r="F2840" i="6"/>
  <c r="E2880" i="6"/>
  <c r="F2854" i="6"/>
  <c r="E2868" i="6"/>
  <c r="F2842" i="6"/>
  <c r="E2844" i="6"/>
  <c r="F2818" i="6"/>
  <c r="E2832" i="6"/>
  <c r="F2806" i="6"/>
  <c r="E2825" i="6"/>
  <c r="F2799" i="6"/>
  <c r="E2835" i="6"/>
  <c r="F2809" i="6"/>
  <c r="E2822" i="6"/>
  <c r="F2796" i="6"/>
  <c r="E2845" i="6"/>
  <c r="F2819" i="6"/>
  <c r="E2813" i="6"/>
  <c r="F2787" i="6"/>
  <c r="E2857" i="6"/>
  <c r="F2831" i="6"/>
  <c r="E2817" i="6"/>
  <c r="F2791" i="6"/>
  <c r="E2810" i="6"/>
  <c r="F2784" i="6"/>
  <c r="E2856" i="6"/>
  <c r="F2830" i="6"/>
  <c r="E2821" i="6"/>
  <c r="F2795" i="6"/>
  <c r="E2833" i="6"/>
  <c r="F2807" i="6"/>
  <c r="E2849" i="6"/>
  <c r="F2823" i="6"/>
  <c r="E2902" i="6" l="1"/>
  <c r="F2876" i="6"/>
  <c r="E2872" i="6"/>
  <c r="F2846" i="6"/>
  <c r="E2859" i="6"/>
  <c r="F2833" i="6"/>
  <c r="E2871" i="6"/>
  <c r="F2845" i="6"/>
  <c r="E2858" i="6"/>
  <c r="F2832" i="6"/>
  <c r="E2892" i="6"/>
  <c r="F2866" i="6"/>
  <c r="E2867" i="6"/>
  <c r="F2841" i="6"/>
  <c r="E2847" i="6"/>
  <c r="F2821" i="6"/>
  <c r="E2843" i="6"/>
  <c r="F2817" i="6"/>
  <c r="E2848" i="6"/>
  <c r="F2822" i="6"/>
  <c r="E2870" i="6"/>
  <c r="F2844" i="6"/>
  <c r="E2863" i="6"/>
  <c r="F2837" i="6"/>
  <c r="E2916" i="6"/>
  <c r="F2890" i="6"/>
  <c r="E2875" i="6"/>
  <c r="F2849" i="6"/>
  <c r="E2882" i="6"/>
  <c r="F2856" i="6"/>
  <c r="E2883" i="6"/>
  <c r="F2857" i="6"/>
  <c r="E2861" i="6"/>
  <c r="F2835" i="6"/>
  <c r="E2894" i="6"/>
  <c r="F2868" i="6"/>
  <c r="E2855" i="6"/>
  <c r="F2829" i="6"/>
  <c r="E2912" i="6"/>
  <c r="F2886" i="6"/>
  <c r="E2836" i="6"/>
  <c r="F2810" i="6"/>
  <c r="E2839" i="6"/>
  <c r="F2813" i="6"/>
  <c r="E2851" i="6"/>
  <c r="F2825" i="6"/>
  <c r="E2906" i="6"/>
  <c r="F2880" i="6"/>
  <c r="E2930" i="6"/>
  <c r="F2904" i="6"/>
  <c r="E2853" i="6"/>
  <c r="F2827" i="6"/>
  <c r="F2916" i="6" l="1"/>
  <c r="E2942" i="6"/>
  <c r="E2898" i="6"/>
  <c r="F2872" i="6"/>
  <c r="F2930" i="6"/>
  <c r="E2956" i="6"/>
  <c r="E2928" i="6"/>
  <c r="F2902" i="6"/>
  <c r="E2932" i="6"/>
  <c r="F2906" i="6"/>
  <c r="E2887" i="6"/>
  <c r="F2861" i="6"/>
  <c r="E2869" i="6"/>
  <c r="F2843" i="6"/>
  <c r="E2884" i="6"/>
  <c r="F2858" i="6"/>
  <c r="E2877" i="6"/>
  <c r="F2851" i="6"/>
  <c r="E2938" i="6"/>
  <c r="F2912" i="6"/>
  <c r="E2909" i="6"/>
  <c r="F2883" i="6"/>
  <c r="E2889" i="6"/>
  <c r="F2863" i="6"/>
  <c r="E2873" i="6"/>
  <c r="F2847" i="6"/>
  <c r="E2897" i="6"/>
  <c r="F2871" i="6"/>
  <c r="E2879" i="6"/>
  <c r="F2853" i="6"/>
  <c r="E2865" i="6"/>
  <c r="F2839" i="6"/>
  <c r="E2881" i="6"/>
  <c r="F2855" i="6"/>
  <c r="E2908" i="6"/>
  <c r="F2882" i="6"/>
  <c r="E2896" i="6"/>
  <c r="F2870" i="6"/>
  <c r="E2893" i="6"/>
  <c r="F2867" i="6"/>
  <c r="E2885" i="6"/>
  <c r="F2859" i="6"/>
  <c r="E2862" i="6"/>
  <c r="F2836" i="6"/>
  <c r="E2920" i="6"/>
  <c r="F2894" i="6"/>
  <c r="E2901" i="6"/>
  <c r="F2875" i="6"/>
  <c r="E2874" i="6"/>
  <c r="F2848" i="6"/>
  <c r="E2918" i="6"/>
  <c r="F2892" i="6"/>
  <c r="F2938" i="6" l="1"/>
  <c r="E2964" i="6"/>
  <c r="F2928" i="6"/>
  <c r="E2954" i="6"/>
  <c r="F2956" i="6"/>
  <c r="E2982" i="6"/>
  <c r="F2932" i="6"/>
  <c r="E2958" i="6"/>
  <c r="F2920" i="6"/>
  <c r="E2946" i="6"/>
  <c r="E2924" i="6"/>
  <c r="F2898" i="6"/>
  <c r="F2942" i="6"/>
  <c r="E2968" i="6"/>
  <c r="F2918" i="6"/>
  <c r="E2944" i="6"/>
  <c r="E2919" i="6"/>
  <c r="F2893" i="6"/>
  <c r="E2891" i="6"/>
  <c r="F2865" i="6"/>
  <c r="E2915" i="6"/>
  <c r="F2889" i="6"/>
  <c r="E2910" i="6"/>
  <c r="F2884" i="6"/>
  <c r="E2888" i="6"/>
  <c r="F2862" i="6"/>
  <c r="E2922" i="6"/>
  <c r="F2896" i="6"/>
  <c r="E2905" i="6"/>
  <c r="F2879" i="6"/>
  <c r="E2935" i="6"/>
  <c r="F2909" i="6"/>
  <c r="E2895" i="6"/>
  <c r="F2869" i="6"/>
  <c r="E2900" i="6"/>
  <c r="F2874" i="6"/>
  <c r="E2934" i="6"/>
  <c r="F2908" i="6"/>
  <c r="E2923" i="6"/>
  <c r="F2897" i="6"/>
  <c r="E2913" i="6"/>
  <c r="F2887" i="6"/>
  <c r="E2927" i="6"/>
  <c r="F2901" i="6"/>
  <c r="E2911" i="6"/>
  <c r="F2885" i="6"/>
  <c r="E2907" i="6"/>
  <c r="F2881" i="6"/>
  <c r="E2899" i="6"/>
  <c r="F2873" i="6"/>
  <c r="E2903" i="6"/>
  <c r="F2877" i="6"/>
  <c r="F2922" i="6" l="1"/>
  <c r="E2948" i="6"/>
  <c r="E2970" i="6"/>
  <c r="F2944" i="6"/>
  <c r="E2984" i="6"/>
  <c r="F2958" i="6"/>
  <c r="F2968" i="6"/>
  <c r="E2994" i="6"/>
  <c r="F2982" i="6"/>
  <c r="E3008" i="6"/>
  <c r="F2923" i="6"/>
  <c r="E2949" i="6"/>
  <c r="F2919" i="6"/>
  <c r="E2945" i="6"/>
  <c r="F2954" i="6"/>
  <c r="E2980" i="6"/>
  <c r="F2934" i="6"/>
  <c r="E2960" i="6"/>
  <c r="F2935" i="6"/>
  <c r="E2961" i="6"/>
  <c r="F2924" i="6"/>
  <c r="E2950" i="6"/>
  <c r="F2946" i="6"/>
  <c r="E2972" i="6"/>
  <c r="E2990" i="6"/>
  <c r="F2964" i="6"/>
  <c r="F2927" i="6"/>
  <c r="E2953" i="6"/>
  <c r="F2915" i="6"/>
  <c r="E2941" i="6"/>
  <c r="E2937" i="6"/>
  <c r="F2911" i="6"/>
  <c r="E2936" i="6"/>
  <c r="F2910" i="6"/>
  <c r="E2929" i="6"/>
  <c r="F2903" i="6"/>
  <c r="E2931" i="6"/>
  <c r="F2905" i="6"/>
  <c r="E2925" i="6"/>
  <c r="F2899" i="6"/>
  <c r="E2939" i="6"/>
  <c r="F2913" i="6"/>
  <c r="E2926" i="6"/>
  <c r="F2900" i="6"/>
  <c r="E2917" i="6"/>
  <c r="F2891" i="6"/>
  <c r="E2933" i="6"/>
  <c r="F2907" i="6"/>
  <c r="E2921" i="6"/>
  <c r="F2895" i="6"/>
  <c r="E2914" i="6"/>
  <c r="F2888" i="6"/>
  <c r="F2972" i="6" l="1"/>
  <c r="E2998" i="6"/>
  <c r="E3020" i="6"/>
  <c r="F2994" i="6"/>
  <c r="F2921" i="6"/>
  <c r="E2947" i="6"/>
  <c r="F2939" i="6"/>
  <c r="E2965" i="6"/>
  <c r="F2980" i="6"/>
  <c r="E3006" i="6"/>
  <c r="E2967" i="6"/>
  <c r="F2941" i="6"/>
  <c r="E2976" i="6"/>
  <c r="F2950" i="6"/>
  <c r="F2945" i="6"/>
  <c r="E2971" i="6"/>
  <c r="F2933" i="6"/>
  <c r="E2959" i="6"/>
  <c r="F2984" i="6"/>
  <c r="E3010" i="6"/>
  <c r="E2979" i="6"/>
  <c r="F2953" i="6"/>
  <c r="E2987" i="6"/>
  <c r="F2961" i="6"/>
  <c r="E2975" i="6"/>
  <c r="F2949" i="6"/>
  <c r="F2925" i="6"/>
  <c r="E2951" i="6"/>
  <c r="F2917" i="6"/>
  <c r="E2943" i="6"/>
  <c r="F2931" i="6"/>
  <c r="E2957" i="6"/>
  <c r="F2937" i="6"/>
  <c r="E2963" i="6"/>
  <c r="E2996" i="6"/>
  <c r="F2970" i="6"/>
  <c r="F2960" i="6"/>
  <c r="E2986" i="6"/>
  <c r="F3008" i="6"/>
  <c r="E3034" i="6"/>
  <c r="F2948" i="6"/>
  <c r="E2974" i="6"/>
  <c r="F2936" i="6"/>
  <c r="E2962" i="6"/>
  <c r="F2914" i="6"/>
  <c r="E2940" i="6"/>
  <c r="F2926" i="6"/>
  <c r="E2952" i="6"/>
  <c r="F2929" i="6"/>
  <c r="E2955" i="6"/>
  <c r="E3016" i="6"/>
  <c r="F2990" i="6"/>
  <c r="F2952" i="6" l="1"/>
  <c r="E2978" i="6"/>
  <c r="E3013" i="6"/>
  <c r="F2987" i="6"/>
  <c r="E3060" i="6"/>
  <c r="F3034" i="6"/>
  <c r="E2966" i="6"/>
  <c r="F2940" i="6"/>
  <c r="E3012" i="6"/>
  <c r="F2986" i="6"/>
  <c r="E2969" i="6"/>
  <c r="F2943" i="6"/>
  <c r="F2947" i="6"/>
  <c r="E2973" i="6"/>
  <c r="E3005" i="6"/>
  <c r="F2979" i="6"/>
  <c r="F2976" i="6"/>
  <c r="E3002" i="6"/>
  <c r="E2991" i="6"/>
  <c r="F2965" i="6"/>
  <c r="E2988" i="6"/>
  <c r="F2962" i="6"/>
  <c r="E2977" i="6"/>
  <c r="F2951" i="6"/>
  <c r="E3036" i="6"/>
  <c r="F3010" i="6"/>
  <c r="F2996" i="6"/>
  <c r="E3022" i="6"/>
  <c r="E2993" i="6"/>
  <c r="F2967" i="6"/>
  <c r="F3020" i="6"/>
  <c r="E3046" i="6"/>
  <c r="F2957" i="6"/>
  <c r="E2983" i="6"/>
  <c r="F2955" i="6"/>
  <c r="E2981" i="6"/>
  <c r="E3000" i="6"/>
  <c r="F2974" i="6"/>
  <c r="E2989" i="6"/>
  <c r="F2963" i="6"/>
  <c r="E2985" i="6"/>
  <c r="F2959" i="6"/>
  <c r="E3032" i="6"/>
  <c r="F3006" i="6"/>
  <c r="E3024" i="6"/>
  <c r="F2998" i="6"/>
  <c r="E2997" i="6"/>
  <c r="F2971" i="6"/>
  <c r="F3016" i="6"/>
  <c r="E3042" i="6"/>
  <c r="E3001" i="6"/>
  <c r="F2975" i="6"/>
  <c r="E3072" i="6" l="1"/>
  <c r="F3046" i="6"/>
  <c r="E3023" i="6"/>
  <c r="F2997" i="6"/>
  <c r="F2989" i="6"/>
  <c r="E3015" i="6"/>
  <c r="F2977" i="6"/>
  <c r="E3003" i="6"/>
  <c r="E3031" i="6"/>
  <c r="F3005" i="6"/>
  <c r="F2966" i="6"/>
  <c r="E2992" i="6"/>
  <c r="F2973" i="6"/>
  <c r="E2999" i="6"/>
  <c r="F3024" i="6"/>
  <c r="E3050" i="6"/>
  <c r="F3000" i="6"/>
  <c r="E3026" i="6"/>
  <c r="F2993" i="6"/>
  <c r="E3019" i="6"/>
  <c r="E3014" i="6"/>
  <c r="F2988" i="6"/>
  <c r="E3086" i="6"/>
  <c r="F3060" i="6"/>
  <c r="E3007" i="6"/>
  <c r="F2981" i="6"/>
  <c r="F3022" i="6"/>
  <c r="E3048" i="6"/>
  <c r="F3001" i="6"/>
  <c r="E3027" i="6"/>
  <c r="F3032" i="6"/>
  <c r="E3058" i="6"/>
  <c r="E3017" i="6"/>
  <c r="F2991" i="6"/>
  <c r="E2995" i="6"/>
  <c r="F2969" i="6"/>
  <c r="F3013" i="6"/>
  <c r="E3039" i="6"/>
  <c r="E3068" i="6"/>
  <c r="F3042" i="6"/>
  <c r="F2983" i="6"/>
  <c r="E3009" i="6"/>
  <c r="E3028" i="6"/>
  <c r="F3002" i="6"/>
  <c r="E3004" i="6"/>
  <c r="F2978" i="6"/>
  <c r="F2985" i="6"/>
  <c r="E3011" i="6"/>
  <c r="F3036" i="6"/>
  <c r="E3062" i="6"/>
  <c r="F3012" i="6"/>
  <c r="E3038" i="6"/>
  <c r="F3011" i="6" l="1"/>
  <c r="E3037" i="6"/>
  <c r="E3084" i="6"/>
  <c r="F3058" i="6"/>
  <c r="E3076" i="6"/>
  <c r="F3050" i="6"/>
  <c r="F3003" i="6"/>
  <c r="E3029" i="6"/>
  <c r="F3068" i="6"/>
  <c r="E3094" i="6"/>
  <c r="E3112" i="6"/>
  <c r="F3086" i="6"/>
  <c r="E3065" i="6"/>
  <c r="F3039" i="6"/>
  <c r="F3027" i="6"/>
  <c r="E3053" i="6"/>
  <c r="E3025" i="6"/>
  <c r="F2999" i="6"/>
  <c r="E3041" i="6"/>
  <c r="F3015" i="6"/>
  <c r="F3004" i="6"/>
  <c r="E3030" i="6"/>
  <c r="E3040" i="6"/>
  <c r="F3014" i="6"/>
  <c r="E3064" i="6"/>
  <c r="F3038" i="6"/>
  <c r="F3048" i="6"/>
  <c r="E3074" i="6"/>
  <c r="F3019" i="6"/>
  <c r="E3045" i="6"/>
  <c r="F2992" i="6"/>
  <c r="E3018" i="6"/>
  <c r="F3028" i="6"/>
  <c r="E3054" i="6"/>
  <c r="E3021" i="6"/>
  <c r="F2995" i="6"/>
  <c r="E3049" i="6"/>
  <c r="F3023" i="6"/>
  <c r="F3062" i="6"/>
  <c r="E3088" i="6"/>
  <c r="F3009" i="6"/>
  <c r="E3035" i="6"/>
  <c r="E3052" i="6"/>
  <c r="F3026" i="6"/>
  <c r="F3017" i="6"/>
  <c r="E3043" i="6"/>
  <c r="E3033" i="6"/>
  <c r="F3007" i="6"/>
  <c r="E3057" i="6"/>
  <c r="F3031" i="6"/>
  <c r="E3098" i="6"/>
  <c r="F3072" i="6"/>
  <c r="E3100" i="6" l="1"/>
  <c r="F3074" i="6"/>
  <c r="F3088" i="6"/>
  <c r="E3114" i="6"/>
  <c r="F3018" i="6"/>
  <c r="E3044" i="6"/>
  <c r="F3053" i="6"/>
  <c r="E3079" i="6"/>
  <c r="F3029" i="6"/>
  <c r="E3055" i="6"/>
  <c r="F3040" i="6"/>
  <c r="E3066" i="6"/>
  <c r="E3069" i="6"/>
  <c r="F3043" i="6"/>
  <c r="F3045" i="6"/>
  <c r="E3071" i="6"/>
  <c r="E3056" i="6"/>
  <c r="F3030" i="6"/>
  <c r="F3033" i="6"/>
  <c r="E3059" i="6"/>
  <c r="E3075" i="6"/>
  <c r="F3049" i="6"/>
  <c r="F3065" i="6"/>
  <c r="E3091" i="6"/>
  <c r="F3076" i="6"/>
  <c r="E3102" i="6"/>
  <c r="E3124" i="6"/>
  <c r="F3098" i="6"/>
  <c r="F3052" i="6"/>
  <c r="E3078" i="6"/>
  <c r="F3021" i="6"/>
  <c r="E3047" i="6"/>
  <c r="E3067" i="6"/>
  <c r="F3041" i="6"/>
  <c r="F3112" i="6"/>
  <c r="E3138" i="6"/>
  <c r="F3084" i="6"/>
  <c r="E3110" i="6"/>
  <c r="E3061" i="6"/>
  <c r="F3035" i="6"/>
  <c r="F3054" i="6"/>
  <c r="E3080" i="6"/>
  <c r="E3120" i="6"/>
  <c r="F3094" i="6"/>
  <c r="F3037" i="6"/>
  <c r="E3063" i="6"/>
  <c r="F3057" i="6"/>
  <c r="E3083" i="6"/>
  <c r="F3064" i="6"/>
  <c r="E3090" i="6"/>
  <c r="F3025" i="6"/>
  <c r="E3051" i="6"/>
  <c r="E3109" i="6" l="1"/>
  <c r="F3083" i="6"/>
  <c r="E3073" i="6"/>
  <c r="F3047" i="6"/>
  <c r="E3117" i="6"/>
  <c r="F3091" i="6"/>
  <c r="F3071" i="6"/>
  <c r="E3097" i="6"/>
  <c r="E3105" i="6"/>
  <c r="F3079" i="6"/>
  <c r="F3063" i="6"/>
  <c r="E3089" i="6"/>
  <c r="E3136" i="6"/>
  <c r="F3110" i="6"/>
  <c r="F3078" i="6"/>
  <c r="E3104" i="6"/>
  <c r="F3044" i="6"/>
  <c r="E3070" i="6"/>
  <c r="E3101" i="6"/>
  <c r="F3075" i="6"/>
  <c r="F3069" i="6"/>
  <c r="E3095" i="6"/>
  <c r="F3061" i="6"/>
  <c r="E3087" i="6"/>
  <c r="E3077" i="6"/>
  <c r="F3051" i="6"/>
  <c r="E3164" i="6"/>
  <c r="F3138" i="6"/>
  <c r="E3085" i="6"/>
  <c r="F3059" i="6"/>
  <c r="F3066" i="6"/>
  <c r="E3092" i="6"/>
  <c r="E3140" i="6"/>
  <c r="F3114" i="6"/>
  <c r="F3120" i="6"/>
  <c r="E3146" i="6"/>
  <c r="F3124" i="6"/>
  <c r="E3150" i="6"/>
  <c r="E3116" i="6"/>
  <c r="F3090" i="6"/>
  <c r="F3080" i="6"/>
  <c r="E3106" i="6"/>
  <c r="E3128" i="6"/>
  <c r="F3102" i="6"/>
  <c r="E3081" i="6"/>
  <c r="F3055" i="6"/>
  <c r="E3093" i="6"/>
  <c r="F3067" i="6"/>
  <c r="F3056" i="6"/>
  <c r="E3082" i="6"/>
  <c r="F3100" i="6"/>
  <c r="E3126" i="6"/>
  <c r="E3118" i="6" l="1"/>
  <c r="F3092" i="6"/>
  <c r="E3113" i="6"/>
  <c r="F3087" i="6"/>
  <c r="F3104" i="6"/>
  <c r="E3130" i="6"/>
  <c r="F3097" i="6"/>
  <c r="E3123" i="6"/>
  <c r="E3119" i="6"/>
  <c r="F3093" i="6"/>
  <c r="E3176" i="6"/>
  <c r="F3150" i="6"/>
  <c r="E3121" i="6"/>
  <c r="F3095" i="6"/>
  <c r="F3081" i="6"/>
  <c r="E3107" i="6"/>
  <c r="E3111" i="6"/>
  <c r="F3085" i="6"/>
  <c r="F3136" i="6"/>
  <c r="E3162" i="6"/>
  <c r="F3117" i="6"/>
  <c r="E3143" i="6"/>
  <c r="F3116" i="6"/>
  <c r="E3142" i="6"/>
  <c r="E3152" i="6"/>
  <c r="F3126" i="6"/>
  <c r="E3172" i="6"/>
  <c r="F3146" i="6"/>
  <c r="F3089" i="6"/>
  <c r="E3115" i="6"/>
  <c r="E3154" i="6"/>
  <c r="F3128" i="6"/>
  <c r="E3190" i="6"/>
  <c r="F3164" i="6"/>
  <c r="F3101" i="6"/>
  <c r="E3127" i="6"/>
  <c r="F3073" i="6"/>
  <c r="E3099" i="6"/>
  <c r="E3108" i="6"/>
  <c r="F3082" i="6"/>
  <c r="E3132" i="6"/>
  <c r="F3106" i="6"/>
  <c r="E3096" i="6"/>
  <c r="F3070" i="6"/>
  <c r="F3140" i="6"/>
  <c r="E3166" i="6"/>
  <c r="F3077" i="6"/>
  <c r="E3103" i="6"/>
  <c r="F3105" i="6"/>
  <c r="E3131" i="6"/>
  <c r="F3109" i="6"/>
  <c r="E3135" i="6"/>
  <c r="E3129" i="6" l="1"/>
  <c r="F3103" i="6"/>
  <c r="E3168" i="6"/>
  <c r="F3142" i="6"/>
  <c r="E3133" i="6"/>
  <c r="F3107" i="6"/>
  <c r="E3149" i="6"/>
  <c r="F3123" i="6"/>
  <c r="E3192" i="6"/>
  <c r="F3166" i="6"/>
  <c r="E3125" i="6"/>
  <c r="F3099" i="6"/>
  <c r="E3141" i="6"/>
  <c r="F3115" i="6"/>
  <c r="F3143" i="6"/>
  <c r="E3169" i="6"/>
  <c r="E3156" i="6"/>
  <c r="F3130" i="6"/>
  <c r="F3108" i="6"/>
  <c r="E3134" i="6"/>
  <c r="F3121" i="6"/>
  <c r="E3147" i="6"/>
  <c r="E3180" i="6"/>
  <c r="F3154" i="6"/>
  <c r="E3161" i="6"/>
  <c r="F3135" i="6"/>
  <c r="E3153" i="6"/>
  <c r="F3127" i="6"/>
  <c r="E3188" i="6"/>
  <c r="F3162" i="6"/>
  <c r="F3096" i="6"/>
  <c r="E3122" i="6"/>
  <c r="E3198" i="6"/>
  <c r="F3172" i="6"/>
  <c r="F3176" i="6"/>
  <c r="E3202" i="6"/>
  <c r="F3113" i="6"/>
  <c r="E3139" i="6"/>
  <c r="E3157" i="6"/>
  <c r="F3131" i="6"/>
  <c r="F3132" i="6"/>
  <c r="E3158" i="6"/>
  <c r="F3190" i="6"/>
  <c r="E3216" i="6"/>
  <c r="F3152" i="6"/>
  <c r="E3178" i="6"/>
  <c r="E3137" i="6"/>
  <c r="F3111" i="6"/>
  <c r="E3145" i="6"/>
  <c r="F3119" i="6"/>
  <c r="E3144" i="6"/>
  <c r="F3118" i="6"/>
  <c r="F3137" i="6" l="1"/>
  <c r="E3163" i="6"/>
  <c r="F3157" i="6"/>
  <c r="E3183" i="6"/>
  <c r="E3206" i="6"/>
  <c r="F3180" i="6"/>
  <c r="F3149" i="6"/>
  <c r="E3175" i="6"/>
  <c r="E3204" i="6"/>
  <c r="F3178" i="6"/>
  <c r="E3165" i="6"/>
  <c r="F3139" i="6"/>
  <c r="E3173" i="6"/>
  <c r="F3147" i="6"/>
  <c r="F3188" i="6"/>
  <c r="E3214" i="6"/>
  <c r="F3141" i="6"/>
  <c r="E3167" i="6"/>
  <c r="F3133" i="6"/>
  <c r="E3159" i="6"/>
  <c r="F3216" i="6"/>
  <c r="E3242" i="6"/>
  <c r="E3228" i="6"/>
  <c r="F3202" i="6"/>
  <c r="E3160" i="6"/>
  <c r="F3134" i="6"/>
  <c r="E3148" i="6"/>
  <c r="F3122" i="6"/>
  <c r="F3144" i="6"/>
  <c r="E3170" i="6"/>
  <c r="F3153" i="6"/>
  <c r="E3179" i="6"/>
  <c r="F3125" i="6"/>
  <c r="E3151" i="6"/>
  <c r="F3168" i="6"/>
  <c r="E3194" i="6"/>
  <c r="E3195" i="6"/>
  <c r="F3169" i="6"/>
  <c r="E3184" i="6"/>
  <c r="F3158" i="6"/>
  <c r="F3145" i="6"/>
  <c r="E3171" i="6"/>
  <c r="E3224" i="6"/>
  <c r="F3198" i="6"/>
  <c r="E3187" i="6"/>
  <c r="F3161" i="6"/>
  <c r="F3156" i="6"/>
  <c r="E3182" i="6"/>
  <c r="E3218" i="6"/>
  <c r="F3192" i="6"/>
  <c r="F3129" i="6"/>
  <c r="E3155" i="6"/>
  <c r="E3240" i="6" l="1"/>
  <c r="F3214" i="6"/>
  <c r="F3175" i="6"/>
  <c r="E3201" i="6"/>
  <c r="F3184" i="6"/>
  <c r="E3210" i="6"/>
  <c r="E3254" i="6"/>
  <c r="F3228" i="6"/>
  <c r="E3196" i="6"/>
  <c r="F3170" i="6"/>
  <c r="E3268" i="6"/>
  <c r="F3242" i="6"/>
  <c r="E3208" i="6"/>
  <c r="F3182" i="6"/>
  <c r="E3213" i="6"/>
  <c r="F3187" i="6"/>
  <c r="F3195" i="6"/>
  <c r="E3221" i="6"/>
  <c r="F3173" i="6"/>
  <c r="E3199" i="6"/>
  <c r="E3232" i="6"/>
  <c r="F3206" i="6"/>
  <c r="F3179" i="6"/>
  <c r="E3205" i="6"/>
  <c r="E3181" i="6"/>
  <c r="F3155" i="6"/>
  <c r="E3220" i="6"/>
  <c r="F3194" i="6"/>
  <c r="F3159" i="6"/>
  <c r="E3185" i="6"/>
  <c r="E3209" i="6"/>
  <c r="F3183" i="6"/>
  <c r="E3250" i="6"/>
  <c r="F3224" i="6"/>
  <c r="F3148" i="6"/>
  <c r="E3174" i="6"/>
  <c r="E3191" i="6"/>
  <c r="F3165" i="6"/>
  <c r="E3197" i="6"/>
  <c r="F3171" i="6"/>
  <c r="E3177" i="6"/>
  <c r="F3151" i="6"/>
  <c r="E3193" i="6"/>
  <c r="F3167" i="6"/>
  <c r="E3189" i="6"/>
  <c r="F3163" i="6"/>
  <c r="F3218" i="6"/>
  <c r="E3244" i="6"/>
  <c r="F3160" i="6"/>
  <c r="E3186" i="6"/>
  <c r="F3204" i="6"/>
  <c r="E3230" i="6"/>
  <c r="F3205" i="6" l="1"/>
  <c r="E3231" i="6"/>
  <c r="F3197" i="6"/>
  <c r="E3223" i="6"/>
  <c r="F3209" i="6"/>
  <c r="E3235" i="6"/>
  <c r="F3213" i="6"/>
  <c r="E3239" i="6"/>
  <c r="E3280" i="6"/>
  <c r="F3254" i="6"/>
  <c r="F3185" i="6"/>
  <c r="E3211" i="6"/>
  <c r="E3236" i="6"/>
  <c r="F3210" i="6"/>
  <c r="F3244" i="6"/>
  <c r="E3270" i="6"/>
  <c r="F3189" i="6"/>
  <c r="E3215" i="6"/>
  <c r="E3217" i="6"/>
  <c r="F3191" i="6"/>
  <c r="E3258" i="6"/>
  <c r="F3232" i="6"/>
  <c r="F3208" i="6"/>
  <c r="E3234" i="6"/>
  <c r="E3256" i="6"/>
  <c r="F3230" i="6"/>
  <c r="E3200" i="6"/>
  <c r="F3174" i="6"/>
  <c r="E3225" i="6"/>
  <c r="F3199" i="6"/>
  <c r="F3201" i="6"/>
  <c r="E3227" i="6"/>
  <c r="F3193" i="6"/>
  <c r="E3219" i="6"/>
  <c r="F3220" i="6"/>
  <c r="E3246" i="6"/>
  <c r="F3268" i="6"/>
  <c r="E3294" i="6"/>
  <c r="E3212" i="6"/>
  <c r="F3186" i="6"/>
  <c r="F3221" i="6"/>
  <c r="E3247" i="6"/>
  <c r="E3203" i="6"/>
  <c r="F3177" i="6"/>
  <c r="E3276" i="6"/>
  <c r="F3250" i="6"/>
  <c r="F3181" i="6"/>
  <c r="E3207" i="6"/>
  <c r="F3196" i="6"/>
  <c r="E3222" i="6"/>
  <c r="F3240" i="6"/>
  <c r="E3266" i="6"/>
  <c r="F3207" i="6" l="1"/>
  <c r="E3233" i="6"/>
  <c r="E3253" i="6"/>
  <c r="F3227" i="6"/>
  <c r="E3260" i="6"/>
  <c r="F3234" i="6"/>
  <c r="E3296" i="6"/>
  <c r="F3270" i="6"/>
  <c r="E3265" i="6"/>
  <c r="F3239" i="6"/>
  <c r="E3320" i="6"/>
  <c r="F3294" i="6"/>
  <c r="E3261" i="6"/>
  <c r="F3235" i="6"/>
  <c r="F3212" i="6"/>
  <c r="E3238" i="6"/>
  <c r="F3225" i="6"/>
  <c r="E3251" i="6"/>
  <c r="F3258" i="6"/>
  <c r="E3284" i="6"/>
  <c r="F3236" i="6"/>
  <c r="E3262" i="6"/>
  <c r="E3292" i="6"/>
  <c r="F3266" i="6"/>
  <c r="E3272" i="6"/>
  <c r="F3246" i="6"/>
  <c r="F3211" i="6"/>
  <c r="E3237" i="6"/>
  <c r="E3249" i="6"/>
  <c r="F3223" i="6"/>
  <c r="E3229" i="6"/>
  <c r="F3203" i="6"/>
  <c r="E3226" i="6"/>
  <c r="F3200" i="6"/>
  <c r="F3217" i="6"/>
  <c r="E3243" i="6"/>
  <c r="E3248" i="6"/>
  <c r="F3222" i="6"/>
  <c r="E3273" i="6"/>
  <c r="F3247" i="6"/>
  <c r="E3245" i="6"/>
  <c r="F3219" i="6"/>
  <c r="F3215" i="6"/>
  <c r="E3241" i="6"/>
  <c r="E3257" i="6"/>
  <c r="F3231" i="6"/>
  <c r="E3302" i="6"/>
  <c r="F3276" i="6"/>
  <c r="F3256" i="6"/>
  <c r="E3282" i="6"/>
  <c r="F3280" i="6"/>
  <c r="E3306" i="6"/>
  <c r="E3328" i="6" l="1"/>
  <c r="F3302" i="6"/>
  <c r="F3273" i="6"/>
  <c r="E3299" i="6"/>
  <c r="F3229" i="6"/>
  <c r="E3255" i="6"/>
  <c r="E3318" i="6"/>
  <c r="F3292" i="6"/>
  <c r="E3322" i="6"/>
  <c r="F3296" i="6"/>
  <c r="E3288" i="6"/>
  <c r="F3262" i="6"/>
  <c r="F3257" i="6"/>
  <c r="E3283" i="6"/>
  <c r="F3248" i="6"/>
  <c r="E3274" i="6"/>
  <c r="F3249" i="6"/>
  <c r="E3275" i="6"/>
  <c r="F3261" i="6"/>
  <c r="E3287" i="6"/>
  <c r="F3260" i="6"/>
  <c r="E3286" i="6"/>
  <c r="E3332" i="6"/>
  <c r="F3306" i="6"/>
  <c r="F3241" i="6"/>
  <c r="E3267" i="6"/>
  <c r="E3269" i="6"/>
  <c r="F3243" i="6"/>
  <c r="F3237" i="6"/>
  <c r="E3263" i="6"/>
  <c r="F3284" i="6"/>
  <c r="E3310" i="6"/>
  <c r="F3320" i="6"/>
  <c r="E3346" i="6"/>
  <c r="F3253" i="6"/>
  <c r="E3279" i="6"/>
  <c r="F3238" i="6"/>
  <c r="E3264" i="6"/>
  <c r="E3308" i="6"/>
  <c r="F3282" i="6"/>
  <c r="E3277" i="6"/>
  <c r="F3251" i="6"/>
  <c r="F3233" i="6"/>
  <c r="E3259" i="6"/>
  <c r="F3245" i="6"/>
  <c r="E3271" i="6"/>
  <c r="E3252" i="6"/>
  <c r="F3226" i="6"/>
  <c r="F3272" i="6"/>
  <c r="E3298" i="6"/>
  <c r="F3265" i="6"/>
  <c r="E3291" i="6"/>
  <c r="E3336" i="6" l="1"/>
  <c r="F3310" i="6"/>
  <c r="F3274" i="6"/>
  <c r="E3300" i="6"/>
  <c r="F3252" i="6"/>
  <c r="E3278" i="6"/>
  <c r="F3308" i="6"/>
  <c r="E3334" i="6"/>
  <c r="F3332" i="6"/>
  <c r="E3358" i="6"/>
  <c r="E3344" i="6"/>
  <c r="F3318" i="6"/>
  <c r="F3271" i="6"/>
  <c r="E3297" i="6"/>
  <c r="F3264" i="6"/>
  <c r="E3290" i="6"/>
  <c r="E3289" i="6"/>
  <c r="F3263" i="6"/>
  <c r="E3312" i="6"/>
  <c r="F3286" i="6"/>
  <c r="E3309" i="6"/>
  <c r="F3283" i="6"/>
  <c r="F3255" i="6"/>
  <c r="E3281" i="6"/>
  <c r="F3291" i="6"/>
  <c r="E3317" i="6"/>
  <c r="E3285" i="6"/>
  <c r="F3259" i="6"/>
  <c r="E3305" i="6"/>
  <c r="F3279" i="6"/>
  <c r="E3313" i="6"/>
  <c r="F3287" i="6"/>
  <c r="E3325" i="6"/>
  <c r="F3299" i="6"/>
  <c r="F3269" i="6"/>
  <c r="E3295" i="6"/>
  <c r="F3288" i="6"/>
  <c r="E3314" i="6"/>
  <c r="F3298" i="6"/>
  <c r="E3324" i="6"/>
  <c r="E3372" i="6"/>
  <c r="F3346" i="6"/>
  <c r="E3293" i="6"/>
  <c r="F3267" i="6"/>
  <c r="E3301" i="6"/>
  <c r="F3275" i="6"/>
  <c r="F3277" i="6"/>
  <c r="E3303" i="6"/>
  <c r="E3348" i="6"/>
  <c r="F3322" i="6"/>
  <c r="F3328" i="6"/>
  <c r="E3354" i="6"/>
  <c r="E3329" i="6" l="1"/>
  <c r="F3303" i="6"/>
  <c r="E3350" i="6"/>
  <c r="F3324" i="6"/>
  <c r="F3281" i="6"/>
  <c r="E3307" i="6"/>
  <c r="F3290" i="6"/>
  <c r="E3316" i="6"/>
  <c r="E3360" i="6"/>
  <c r="F3334" i="6"/>
  <c r="F3313" i="6"/>
  <c r="E3339" i="6"/>
  <c r="F3314" i="6"/>
  <c r="E3340" i="6"/>
  <c r="F3297" i="6"/>
  <c r="E3323" i="6"/>
  <c r="E3304" i="6"/>
  <c r="F3278" i="6"/>
  <c r="F3301" i="6"/>
  <c r="E3327" i="6"/>
  <c r="F3305" i="6"/>
  <c r="E3331" i="6"/>
  <c r="E3335" i="6"/>
  <c r="F3309" i="6"/>
  <c r="E3380" i="6"/>
  <c r="F3354" i="6"/>
  <c r="E3321" i="6"/>
  <c r="F3295" i="6"/>
  <c r="F3300" i="6"/>
  <c r="E3326" i="6"/>
  <c r="E3319" i="6"/>
  <c r="F3293" i="6"/>
  <c r="E3311" i="6"/>
  <c r="F3285" i="6"/>
  <c r="F3312" i="6"/>
  <c r="E3338" i="6"/>
  <c r="F3344" i="6"/>
  <c r="E3370" i="6"/>
  <c r="E3343" i="6"/>
  <c r="F3317" i="6"/>
  <c r="E3384" i="6"/>
  <c r="F3358" i="6"/>
  <c r="F3348" i="6"/>
  <c r="E3374" i="6"/>
  <c r="E3398" i="6"/>
  <c r="F3372" i="6"/>
  <c r="F3325" i="6"/>
  <c r="E3351" i="6"/>
  <c r="F3289" i="6"/>
  <c r="E3315" i="6"/>
  <c r="F3336" i="6"/>
  <c r="E3362" i="6"/>
  <c r="E3377" i="6" l="1"/>
  <c r="F3351" i="6"/>
  <c r="E3349" i="6"/>
  <c r="F3323" i="6"/>
  <c r="F3316" i="6"/>
  <c r="E3342" i="6"/>
  <c r="E3361" i="6"/>
  <c r="F3335" i="6"/>
  <c r="E3396" i="6"/>
  <c r="F3370" i="6"/>
  <c r="F3326" i="6"/>
  <c r="E3352" i="6"/>
  <c r="E3357" i="6"/>
  <c r="F3331" i="6"/>
  <c r="F3340" i="6"/>
  <c r="E3366" i="6"/>
  <c r="F3307" i="6"/>
  <c r="E3333" i="6"/>
  <c r="F3398" i="6"/>
  <c r="E3424" i="6"/>
  <c r="E3369" i="6"/>
  <c r="F3343" i="6"/>
  <c r="E3388" i="6"/>
  <c r="F3362" i="6"/>
  <c r="E3400" i="6"/>
  <c r="F3374" i="6"/>
  <c r="E3364" i="6"/>
  <c r="F3338" i="6"/>
  <c r="F3327" i="6"/>
  <c r="E3353" i="6"/>
  <c r="E3365" i="6"/>
  <c r="F3339" i="6"/>
  <c r="F3321" i="6"/>
  <c r="E3347" i="6"/>
  <c r="E3376" i="6"/>
  <c r="F3350" i="6"/>
  <c r="E3345" i="6"/>
  <c r="F3319" i="6"/>
  <c r="E3341" i="6"/>
  <c r="F3315" i="6"/>
  <c r="E3410" i="6"/>
  <c r="F3384" i="6"/>
  <c r="E3337" i="6"/>
  <c r="F3311" i="6"/>
  <c r="F3380" i="6"/>
  <c r="E3406" i="6"/>
  <c r="F3304" i="6"/>
  <c r="E3330" i="6"/>
  <c r="F3360" i="6"/>
  <c r="E3386" i="6"/>
  <c r="F3329" i="6"/>
  <c r="E3355" i="6"/>
  <c r="E3356" i="6" l="1"/>
  <c r="F3330" i="6"/>
  <c r="E3392" i="6"/>
  <c r="F3366" i="6"/>
  <c r="E3432" i="6"/>
  <c r="F3406" i="6"/>
  <c r="F3353" i="6"/>
  <c r="E3379" i="6"/>
  <c r="E3368" i="6"/>
  <c r="F3342" i="6"/>
  <c r="F3365" i="6"/>
  <c r="E3391" i="6"/>
  <c r="F3345" i="6"/>
  <c r="E3371" i="6"/>
  <c r="F3369" i="6"/>
  <c r="E3395" i="6"/>
  <c r="F3357" i="6"/>
  <c r="E3383" i="6"/>
  <c r="F3388" i="6"/>
  <c r="E3414" i="6"/>
  <c r="E3381" i="6"/>
  <c r="F3355" i="6"/>
  <c r="F3424" i="6"/>
  <c r="E3450" i="6"/>
  <c r="F3352" i="6"/>
  <c r="E3378" i="6"/>
  <c r="F3361" i="6"/>
  <c r="E3387" i="6"/>
  <c r="F3337" i="6"/>
  <c r="E3363" i="6"/>
  <c r="F3376" i="6"/>
  <c r="E3402" i="6"/>
  <c r="F3364" i="6"/>
  <c r="E3390" i="6"/>
  <c r="F3349" i="6"/>
  <c r="E3375" i="6"/>
  <c r="E3412" i="6"/>
  <c r="F3386" i="6"/>
  <c r="E3373" i="6"/>
  <c r="F3347" i="6"/>
  <c r="F3333" i="6"/>
  <c r="E3359" i="6"/>
  <c r="F3341" i="6"/>
  <c r="E3367" i="6"/>
  <c r="E3436" i="6"/>
  <c r="F3410" i="6"/>
  <c r="F3400" i="6"/>
  <c r="E3426" i="6"/>
  <c r="F3396" i="6"/>
  <c r="E3422" i="6"/>
  <c r="F3377" i="6"/>
  <c r="E3403" i="6"/>
  <c r="F3426" i="6" l="1"/>
  <c r="E3452" i="6"/>
  <c r="E3428" i="6"/>
  <c r="F3402" i="6"/>
  <c r="E3476" i="6"/>
  <c r="F3450" i="6"/>
  <c r="E3421" i="6"/>
  <c r="F3395" i="6"/>
  <c r="E3405" i="6"/>
  <c r="F3379" i="6"/>
  <c r="E3389" i="6"/>
  <c r="F3363" i="6"/>
  <c r="F3371" i="6"/>
  <c r="E3397" i="6"/>
  <c r="F3436" i="6"/>
  <c r="E3462" i="6"/>
  <c r="F3412" i="6"/>
  <c r="E3438" i="6"/>
  <c r="F3381" i="6"/>
  <c r="E3407" i="6"/>
  <c r="F3432" i="6"/>
  <c r="E3458" i="6"/>
  <c r="E3429" i="6"/>
  <c r="F3403" i="6"/>
  <c r="E3393" i="6"/>
  <c r="F3367" i="6"/>
  <c r="E3401" i="6"/>
  <c r="F3375" i="6"/>
  <c r="F3387" i="6"/>
  <c r="E3413" i="6"/>
  <c r="F3414" i="6"/>
  <c r="E3440" i="6"/>
  <c r="E3417" i="6"/>
  <c r="F3391" i="6"/>
  <c r="F3392" i="6"/>
  <c r="E3418" i="6"/>
  <c r="E3448" i="6"/>
  <c r="F3422" i="6"/>
  <c r="E3385" i="6"/>
  <c r="F3359" i="6"/>
  <c r="E3416" i="6"/>
  <c r="F3390" i="6"/>
  <c r="E3404" i="6"/>
  <c r="F3378" i="6"/>
  <c r="E3409" i="6"/>
  <c r="F3383" i="6"/>
  <c r="F3373" i="6"/>
  <c r="E3399" i="6"/>
  <c r="E3394" i="6"/>
  <c r="F3368" i="6"/>
  <c r="F3356" i="6"/>
  <c r="E3382" i="6"/>
  <c r="E3425" i="6" l="1"/>
  <c r="F3399" i="6"/>
  <c r="F3440" i="6"/>
  <c r="E3466" i="6"/>
  <c r="E3488" i="6"/>
  <c r="F3462" i="6"/>
  <c r="F3385" i="6"/>
  <c r="E3411" i="6"/>
  <c r="F3429" i="6"/>
  <c r="E3455" i="6"/>
  <c r="F3421" i="6"/>
  <c r="E3447" i="6"/>
  <c r="F3413" i="6"/>
  <c r="E3439" i="6"/>
  <c r="F3458" i="6"/>
  <c r="E3484" i="6"/>
  <c r="F3397" i="6"/>
  <c r="E3423" i="6"/>
  <c r="F3409" i="6"/>
  <c r="E3435" i="6"/>
  <c r="F3448" i="6"/>
  <c r="E3474" i="6"/>
  <c r="F3476" i="6"/>
  <c r="E3502" i="6"/>
  <c r="E3408" i="6"/>
  <c r="F3382" i="6"/>
  <c r="E3444" i="6"/>
  <c r="F3418" i="6"/>
  <c r="E3433" i="6"/>
  <c r="F3407" i="6"/>
  <c r="F3404" i="6"/>
  <c r="E3430" i="6"/>
  <c r="F3401" i="6"/>
  <c r="E3427" i="6"/>
  <c r="F3389" i="6"/>
  <c r="E3415" i="6"/>
  <c r="F3428" i="6"/>
  <c r="E3454" i="6"/>
  <c r="F3438" i="6"/>
  <c r="E3464" i="6"/>
  <c r="F3452" i="6"/>
  <c r="E3478" i="6"/>
  <c r="E3420" i="6"/>
  <c r="F3394" i="6"/>
  <c r="F3416" i="6"/>
  <c r="E3442" i="6"/>
  <c r="F3417" i="6"/>
  <c r="E3443" i="6"/>
  <c r="F3393" i="6"/>
  <c r="E3419" i="6"/>
  <c r="F3405" i="6"/>
  <c r="E3431" i="6"/>
  <c r="E3437" i="6" l="1"/>
  <c r="F3411" i="6"/>
  <c r="E3468" i="6"/>
  <c r="F3442" i="6"/>
  <c r="E3480" i="6"/>
  <c r="F3454" i="6"/>
  <c r="F3474" i="6"/>
  <c r="E3500" i="6"/>
  <c r="E3465" i="6"/>
  <c r="F3439" i="6"/>
  <c r="E3456" i="6"/>
  <c r="F3430" i="6"/>
  <c r="E3459" i="6"/>
  <c r="F3433" i="6"/>
  <c r="F3488" i="6"/>
  <c r="E3514" i="6"/>
  <c r="F3502" i="6"/>
  <c r="E3528" i="6"/>
  <c r="F3431" i="6"/>
  <c r="E3457" i="6"/>
  <c r="E3441" i="6"/>
  <c r="F3415" i="6"/>
  <c r="E3461" i="6"/>
  <c r="F3435" i="6"/>
  <c r="E3473" i="6"/>
  <c r="F3447" i="6"/>
  <c r="E3492" i="6"/>
  <c r="F3466" i="6"/>
  <c r="F3484" i="6"/>
  <c r="E3510" i="6"/>
  <c r="F3420" i="6"/>
  <c r="E3446" i="6"/>
  <c r="F3444" i="6"/>
  <c r="E3470" i="6"/>
  <c r="E3445" i="6"/>
  <c r="F3419" i="6"/>
  <c r="E3504" i="6"/>
  <c r="F3478" i="6"/>
  <c r="E3453" i="6"/>
  <c r="F3427" i="6"/>
  <c r="F3423" i="6"/>
  <c r="E3449" i="6"/>
  <c r="E3481" i="6"/>
  <c r="F3455" i="6"/>
  <c r="E3469" i="6"/>
  <c r="F3443" i="6"/>
  <c r="F3464" i="6"/>
  <c r="E3490" i="6"/>
  <c r="E3434" i="6"/>
  <c r="F3408" i="6"/>
  <c r="F3425" i="6"/>
  <c r="E3451" i="6"/>
  <c r="E3516" i="6" l="1"/>
  <c r="F3490" i="6"/>
  <c r="E3472" i="6"/>
  <c r="F3446" i="6"/>
  <c r="E3540" i="6"/>
  <c r="F3514" i="6"/>
  <c r="F3500" i="6"/>
  <c r="E3526" i="6"/>
  <c r="F3453" i="6"/>
  <c r="E3479" i="6"/>
  <c r="E3536" i="6"/>
  <c r="F3510" i="6"/>
  <c r="F3461" i="6"/>
  <c r="E3487" i="6"/>
  <c r="F3469" i="6"/>
  <c r="E3495" i="6"/>
  <c r="F3504" i="6"/>
  <c r="E3530" i="6"/>
  <c r="F3441" i="6"/>
  <c r="E3467" i="6"/>
  <c r="F3459" i="6"/>
  <c r="E3485" i="6"/>
  <c r="F3480" i="6"/>
  <c r="E3506" i="6"/>
  <c r="E3477" i="6"/>
  <c r="F3451" i="6"/>
  <c r="F3457" i="6"/>
  <c r="E3483" i="6"/>
  <c r="F3481" i="6"/>
  <c r="E3507" i="6"/>
  <c r="F3445" i="6"/>
  <c r="E3471" i="6"/>
  <c r="E3518" i="6"/>
  <c r="F3492" i="6"/>
  <c r="E3482" i="6"/>
  <c r="F3456" i="6"/>
  <c r="F3468" i="6"/>
  <c r="E3494" i="6"/>
  <c r="F3449" i="6"/>
  <c r="E3475" i="6"/>
  <c r="E3496" i="6"/>
  <c r="F3470" i="6"/>
  <c r="F3528" i="6"/>
  <c r="E3554" i="6"/>
  <c r="E3460" i="6"/>
  <c r="F3434" i="6"/>
  <c r="F3473" i="6"/>
  <c r="E3499" i="6"/>
  <c r="F3465" i="6"/>
  <c r="E3491" i="6"/>
  <c r="F3437" i="6"/>
  <c r="E3463" i="6"/>
  <c r="E3501" i="6" l="1"/>
  <c r="F3475" i="6"/>
  <c r="F3506" i="6"/>
  <c r="E3532" i="6"/>
  <c r="E3552" i="6"/>
  <c r="F3526" i="6"/>
  <c r="E3525" i="6"/>
  <c r="F3499" i="6"/>
  <c r="E3497" i="6"/>
  <c r="F3471" i="6"/>
  <c r="E3521" i="6"/>
  <c r="F3495" i="6"/>
  <c r="E3520" i="6"/>
  <c r="F3494" i="6"/>
  <c r="E3533" i="6"/>
  <c r="F3507" i="6"/>
  <c r="F3485" i="6"/>
  <c r="E3511" i="6"/>
  <c r="E3513" i="6"/>
  <c r="F3487" i="6"/>
  <c r="E3566" i="6"/>
  <c r="F3540" i="6"/>
  <c r="F3463" i="6"/>
  <c r="E3489" i="6"/>
  <c r="E3580" i="6"/>
  <c r="F3554" i="6"/>
  <c r="E3509" i="6"/>
  <c r="F3483" i="6"/>
  <c r="F3467" i="6"/>
  <c r="E3493" i="6"/>
  <c r="E3486" i="6"/>
  <c r="F3460" i="6"/>
  <c r="E3508" i="6"/>
  <c r="F3482" i="6"/>
  <c r="E3562" i="6"/>
  <c r="F3536" i="6"/>
  <c r="F3472" i="6"/>
  <c r="E3498" i="6"/>
  <c r="E3517" i="6"/>
  <c r="F3491" i="6"/>
  <c r="E3556" i="6"/>
  <c r="F3530" i="6"/>
  <c r="F3479" i="6"/>
  <c r="E3505" i="6"/>
  <c r="F3496" i="6"/>
  <c r="E3522" i="6"/>
  <c r="E3544" i="6"/>
  <c r="F3518" i="6"/>
  <c r="F3477" i="6"/>
  <c r="E3503" i="6"/>
  <c r="E3542" i="6"/>
  <c r="F3516" i="6"/>
  <c r="E3570" i="6" l="1"/>
  <c r="F3544" i="6"/>
  <c r="F3517" i="6"/>
  <c r="E3543" i="6"/>
  <c r="E3512" i="6"/>
  <c r="F3486" i="6"/>
  <c r="E3559" i="6"/>
  <c r="F3533" i="6"/>
  <c r="E3551" i="6"/>
  <c r="F3525" i="6"/>
  <c r="F3522" i="6"/>
  <c r="E3548" i="6"/>
  <c r="E3524" i="6"/>
  <c r="F3498" i="6"/>
  <c r="F3493" i="6"/>
  <c r="E3519" i="6"/>
  <c r="E3592" i="6"/>
  <c r="F3566" i="6"/>
  <c r="E3546" i="6"/>
  <c r="F3520" i="6"/>
  <c r="E3578" i="6"/>
  <c r="F3552" i="6"/>
  <c r="F3505" i="6"/>
  <c r="E3531" i="6"/>
  <c r="E3558" i="6"/>
  <c r="F3532" i="6"/>
  <c r="F3489" i="6"/>
  <c r="E3515" i="6"/>
  <c r="E3568" i="6"/>
  <c r="F3542" i="6"/>
  <c r="E3588" i="6"/>
  <c r="F3562" i="6"/>
  <c r="F3509" i="6"/>
  <c r="E3535" i="6"/>
  <c r="F3513" i="6"/>
  <c r="E3539" i="6"/>
  <c r="F3521" i="6"/>
  <c r="E3547" i="6"/>
  <c r="E3529" i="6"/>
  <c r="F3503" i="6"/>
  <c r="E3537" i="6"/>
  <c r="F3511" i="6"/>
  <c r="E3582" i="6"/>
  <c r="F3556" i="6"/>
  <c r="E3534" i="6"/>
  <c r="F3508" i="6"/>
  <c r="F3580" i="6"/>
  <c r="E3606" i="6"/>
  <c r="E3523" i="6"/>
  <c r="F3497" i="6"/>
  <c r="F3501" i="6"/>
  <c r="E3527" i="6"/>
  <c r="E3632" i="6" l="1"/>
  <c r="F3606" i="6"/>
  <c r="E3557" i="6"/>
  <c r="F3531" i="6"/>
  <c r="E3545" i="6"/>
  <c r="F3519" i="6"/>
  <c r="E3585" i="6"/>
  <c r="F3559" i="6"/>
  <c r="E3573" i="6"/>
  <c r="F3547" i="6"/>
  <c r="E3560" i="6"/>
  <c r="F3534" i="6"/>
  <c r="E3594" i="6"/>
  <c r="F3568" i="6"/>
  <c r="F3578" i="6"/>
  <c r="E3604" i="6"/>
  <c r="F3524" i="6"/>
  <c r="E3550" i="6"/>
  <c r="E3538" i="6"/>
  <c r="F3512" i="6"/>
  <c r="E3555" i="6"/>
  <c r="F3529" i="6"/>
  <c r="F3527" i="6"/>
  <c r="E3553" i="6"/>
  <c r="E3565" i="6"/>
  <c r="F3539" i="6"/>
  <c r="E3541" i="6"/>
  <c r="F3515" i="6"/>
  <c r="E3574" i="6"/>
  <c r="F3548" i="6"/>
  <c r="E3569" i="6"/>
  <c r="F3543" i="6"/>
  <c r="E3614" i="6"/>
  <c r="F3588" i="6"/>
  <c r="E3608" i="6"/>
  <c r="F3582" i="6"/>
  <c r="E3572" i="6"/>
  <c r="F3546" i="6"/>
  <c r="F3535" i="6"/>
  <c r="E3561" i="6"/>
  <c r="E3549" i="6"/>
  <c r="F3523" i="6"/>
  <c r="E3563" i="6"/>
  <c r="F3537" i="6"/>
  <c r="E3584" i="6"/>
  <c r="F3558" i="6"/>
  <c r="F3592" i="6"/>
  <c r="E3618" i="6"/>
  <c r="E3577" i="6"/>
  <c r="F3551" i="6"/>
  <c r="E3596" i="6"/>
  <c r="F3570" i="6"/>
  <c r="E3644" i="6" l="1"/>
  <c r="F3618" i="6"/>
  <c r="E3587" i="6"/>
  <c r="F3561" i="6"/>
  <c r="E3579" i="6"/>
  <c r="F3553" i="6"/>
  <c r="E3630" i="6"/>
  <c r="F3604" i="6"/>
  <c r="E3595" i="6"/>
  <c r="F3569" i="6"/>
  <c r="E3611" i="6"/>
  <c r="F3585" i="6"/>
  <c r="E3610" i="6"/>
  <c r="F3584" i="6"/>
  <c r="E3598" i="6"/>
  <c r="F3572" i="6"/>
  <c r="E3600" i="6"/>
  <c r="F3574" i="6"/>
  <c r="E3581" i="6"/>
  <c r="F3555" i="6"/>
  <c r="E3620" i="6"/>
  <c r="F3594" i="6"/>
  <c r="E3571" i="6"/>
  <c r="F3545" i="6"/>
  <c r="E3622" i="6"/>
  <c r="F3596" i="6"/>
  <c r="F3563" i="6"/>
  <c r="E3589" i="6"/>
  <c r="E3634" i="6"/>
  <c r="F3608" i="6"/>
  <c r="E3567" i="6"/>
  <c r="F3541" i="6"/>
  <c r="E3564" i="6"/>
  <c r="F3538" i="6"/>
  <c r="E3586" i="6"/>
  <c r="F3560" i="6"/>
  <c r="E3583" i="6"/>
  <c r="F3557" i="6"/>
  <c r="E3576" i="6"/>
  <c r="F3550" i="6"/>
  <c r="E3603" i="6"/>
  <c r="F3577" i="6"/>
  <c r="E3575" i="6"/>
  <c r="F3549" i="6"/>
  <c r="E3640" i="6"/>
  <c r="F3614" i="6"/>
  <c r="E3591" i="6"/>
  <c r="F3565" i="6"/>
  <c r="E3599" i="6"/>
  <c r="F3573" i="6"/>
  <c r="E3658" i="6"/>
  <c r="F3632" i="6"/>
  <c r="F3591" i="6" l="1"/>
  <c r="E3617" i="6"/>
  <c r="E3597" i="6"/>
  <c r="F3571" i="6"/>
  <c r="E3666" i="6"/>
  <c r="F3640" i="6"/>
  <c r="E3609" i="6"/>
  <c r="F3583" i="6"/>
  <c r="E3660" i="6"/>
  <c r="F3634" i="6"/>
  <c r="E3646" i="6"/>
  <c r="F3620" i="6"/>
  <c r="E3636" i="6"/>
  <c r="F3610" i="6"/>
  <c r="E3605" i="6"/>
  <c r="F3579" i="6"/>
  <c r="E3624" i="6"/>
  <c r="F3598" i="6"/>
  <c r="E3615" i="6"/>
  <c r="F3589" i="6"/>
  <c r="E3656" i="6"/>
  <c r="F3630" i="6"/>
  <c r="E3684" i="6"/>
  <c r="F3658" i="6"/>
  <c r="E3601" i="6"/>
  <c r="F3575" i="6"/>
  <c r="E3612" i="6"/>
  <c r="F3586" i="6"/>
  <c r="F3581" i="6"/>
  <c r="E3607" i="6"/>
  <c r="E3637" i="6"/>
  <c r="F3611" i="6"/>
  <c r="F3587" i="6"/>
  <c r="E3613" i="6"/>
  <c r="E3593" i="6"/>
  <c r="F3567" i="6"/>
  <c r="E3602" i="6"/>
  <c r="F3576" i="6"/>
  <c r="F3599" i="6"/>
  <c r="E3625" i="6"/>
  <c r="E3629" i="6"/>
  <c r="F3603" i="6"/>
  <c r="E3590" i="6"/>
  <c r="F3564" i="6"/>
  <c r="E3648" i="6"/>
  <c r="F3622" i="6"/>
  <c r="F3600" i="6"/>
  <c r="E3626" i="6"/>
  <c r="E3621" i="6"/>
  <c r="F3595" i="6"/>
  <c r="E3670" i="6"/>
  <c r="F3644" i="6"/>
  <c r="E3651" i="6" l="1"/>
  <c r="F3625" i="6"/>
  <c r="E3663" i="6"/>
  <c r="F3637" i="6"/>
  <c r="F3607" i="6"/>
  <c r="E3633" i="6"/>
  <c r="F3605" i="6"/>
  <c r="E3631" i="6"/>
  <c r="E3674" i="6"/>
  <c r="F3648" i="6"/>
  <c r="E3628" i="6"/>
  <c r="F3602" i="6"/>
  <c r="E3682" i="6"/>
  <c r="F3656" i="6"/>
  <c r="E3662" i="6"/>
  <c r="F3636" i="6"/>
  <c r="E3692" i="6"/>
  <c r="F3666" i="6"/>
  <c r="E3652" i="6"/>
  <c r="F3626" i="6"/>
  <c r="F3684" i="6"/>
  <c r="E3710" i="6"/>
  <c r="E3696" i="6"/>
  <c r="F3670" i="6"/>
  <c r="F3590" i="6"/>
  <c r="E3616" i="6"/>
  <c r="E3619" i="6"/>
  <c r="F3593" i="6"/>
  <c r="E3638" i="6"/>
  <c r="F3612" i="6"/>
  <c r="E3641" i="6"/>
  <c r="F3615" i="6"/>
  <c r="E3672" i="6"/>
  <c r="F3646" i="6"/>
  <c r="E3623" i="6"/>
  <c r="F3597" i="6"/>
  <c r="E3635" i="6"/>
  <c r="F3609" i="6"/>
  <c r="F3613" i="6"/>
  <c r="E3639" i="6"/>
  <c r="F3617" i="6"/>
  <c r="E3643" i="6"/>
  <c r="F3621" i="6"/>
  <c r="E3647" i="6"/>
  <c r="E3655" i="6"/>
  <c r="F3629" i="6"/>
  <c r="E3627" i="6"/>
  <c r="F3601" i="6"/>
  <c r="E3650" i="6"/>
  <c r="F3624" i="6"/>
  <c r="F3660" i="6"/>
  <c r="E3686" i="6"/>
  <c r="E3665" i="6" l="1"/>
  <c r="F3639" i="6"/>
  <c r="E3657" i="6"/>
  <c r="F3631" i="6"/>
  <c r="E3653" i="6"/>
  <c r="F3627" i="6"/>
  <c r="E3736" i="6"/>
  <c r="F3710" i="6"/>
  <c r="E3659" i="6"/>
  <c r="F3633" i="6"/>
  <c r="E3667" i="6"/>
  <c r="F3641" i="6"/>
  <c r="E3681" i="6"/>
  <c r="F3655" i="6"/>
  <c r="E3661" i="6"/>
  <c r="F3635" i="6"/>
  <c r="E3664" i="6"/>
  <c r="F3638" i="6"/>
  <c r="E3708" i="6"/>
  <c r="F3682" i="6"/>
  <c r="E3712" i="6"/>
  <c r="F3686" i="6"/>
  <c r="E3673" i="6"/>
  <c r="F3647" i="6"/>
  <c r="F3662" i="6"/>
  <c r="E3688" i="6"/>
  <c r="E3649" i="6"/>
  <c r="F3623" i="6"/>
  <c r="E3645" i="6"/>
  <c r="F3619" i="6"/>
  <c r="E3678" i="6"/>
  <c r="F3652" i="6"/>
  <c r="F3628" i="6"/>
  <c r="E3654" i="6"/>
  <c r="F3663" i="6"/>
  <c r="E3689" i="6"/>
  <c r="E3722" i="6"/>
  <c r="F3696" i="6"/>
  <c r="E3669" i="6"/>
  <c r="F3643" i="6"/>
  <c r="E3642" i="6"/>
  <c r="F3616" i="6"/>
  <c r="E3676" i="6"/>
  <c r="F3650" i="6"/>
  <c r="E3698" i="6"/>
  <c r="F3672" i="6"/>
  <c r="E3718" i="6"/>
  <c r="F3692" i="6"/>
  <c r="E3700" i="6"/>
  <c r="F3674" i="6"/>
  <c r="E3677" i="6"/>
  <c r="F3651" i="6"/>
  <c r="E3695" i="6" l="1"/>
  <c r="F3669" i="6"/>
  <c r="E3724" i="6"/>
  <c r="F3698" i="6"/>
  <c r="E3748" i="6"/>
  <c r="F3722" i="6"/>
  <c r="F3645" i="6"/>
  <c r="E3671" i="6"/>
  <c r="E3738" i="6"/>
  <c r="F3712" i="6"/>
  <c r="E3707" i="6"/>
  <c r="F3681" i="6"/>
  <c r="E3679" i="6"/>
  <c r="F3653" i="6"/>
  <c r="E3762" i="6"/>
  <c r="F3736" i="6"/>
  <c r="F3689" i="6"/>
  <c r="E3715" i="6"/>
  <c r="E3699" i="6"/>
  <c r="F3673" i="6"/>
  <c r="E3703" i="6"/>
  <c r="F3677" i="6"/>
  <c r="F3676" i="6"/>
  <c r="E3702" i="6"/>
  <c r="E3675" i="6"/>
  <c r="F3649" i="6"/>
  <c r="E3734" i="6"/>
  <c r="F3708" i="6"/>
  <c r="F3667" i="6"/>
  <c r="E3693" i="6"/>
  <c r="E3683" i="6"/>
  <c r="F3657" i="6"/>
  <c r="E3744" i="6"/>
  <c r="F3718" i="6"/>
  <c r="E3704" i="6"/>
  <c r="F3678" i="6"/>
  <c r="E3680" i="6"/>
  <c r="F3654" i="6"/>
  <c r="E3714" i="6"/>
  <c r="F3688" i="6"/>
  <c r="F3661" i="6"/>
  <c r="E3687" i="6"/>
  <c r="F3700" i="6"/>
  <c r="E3726" i="6"/>
  <c r="E3668" i="6"/>
  <c r="F3642" i="6"/>
  <c r="E3690" i="6"/>
  <c r="F3664" i="6"/>
  <c r="F3659" i="6"/>
  <c r="E3685" i="6"/>
  <c r="E3691" i="6"/>
  <c r="F3665" i="6"/>
  <c r="F3671" i="6" l="1"/>
  <c r="E3697" i="6"/>
  <c r="E3716" i="6"/>
  <c r="F3690" i="6"/>
  <c r="E3740" i="6"/>
  <c r="F3714" i="6"/>
  <c r="F3683" i="6"/>
  <c r="E3709" i="6"/>
  <c r="E3788" i="6"/>
  <c r="F3762" i="6"/>
  <c r="E3719" i="6"/>
  <c r="F3693" i="6"/>
  <c r="E3694" i="6"/>
  <c r="F3668" i="6"/>
  <c r="E3706" i="6"/>
  <c r="F3680" i="6"/>
  <c r="F3703" i="6"/>
  <c r="E3729" i="6"/>
  <c r="F3679" i="6"/>
  <c r="E3705" i="6"/>
  <c r="E3774" i="6"/>
  <c r="F3748" i="6"/>
  <c r="F3726" i="6"/>
  <c r="E3752" i="6"/>
  <c r="F3691" i="6"/>
  <c r="E3717" i="6"/>
  <c r="E3730" i="6"/>
  <c r="F3704" i="6"/>
  <c r="E3760" i="6"/>
  <c r="F3734" i="6"/>
  <c r="F3699" i="6"/>
  <c r="E3725" i="6"/>
  <c r="F3707" i="6"/>
  <c r="E3733" i="6"/>
  <c r="F3724" i="6"/>
  <c r="E3750" i="6"/>
  <c r="E3728" i="6"/>
  <c r="F3702" i="6"/>
  <c r="E3711" i="6"/>
  <c r="F3685" i="6"/>
  <c r="F3687" i="6"/>
  <c r="E3713" i="6"/>
  <c r="F3715" i="6"/>
  <c r="E3741" i="6"/>
  <c r="E3770" i="6"/>
  <c r="F3744" i="6"/>
  <c r="F3675" i="6"/>
  <c r="E3701" i="6"/>
  <c r="E3764" i="6"/>
  <c r="F3738" i="6"/>
  <c r="F3695" i="6"/>
  <c r="E3721" i="6"/>
  <c r="E3727" i="6" l="1"/>
  <c r="F3701" i="6"/>
  <c r="F3725" i="6"/>
  <c r="E3751" i="6"/>
  <c r="E3778" i="6"/>
  <c r="F3752" i="6"/>
  <c r="F3709" i="6"/>
  <c r="E3735" i="6"/>
  <c r="E3796" i="6"/>
  <c r="F3770" i="6"/>
  <c r="E3754" i="6"/>
  <c r="F3728" i="6"/>
  <c r="E3786" i="6"/>
  <c r="F3760" i="6"/>
  <c r="F3774" i="6"/>
  <c r="E3800" i="6"/>
  <c r="E3720" i="6"/>
  <c r="F3694" i="6"/>
  <c r="E3766" i="6"/>
  <c r="F3740" i="6"/>
  <c r="E3747" i="6"/>
  <c r="F3721" i="6"/>
  <c r="E3767" i="6"/>
  <c r="F3741" i="6"/>
  <c r="E3776" i="6"/>
  <c r="F3750" i="6"/>
  <c r="E3731" i="6"/>
  <c r="F3705" i="6"/>
  <c r="E3732" i="6"/>
  <c r="F3706" i="6"/>
  <c r="E3756" i="6"/>
  <c r="F3730" i="6"/>
  <c r="F3719" i="6"/>
  <c r="E3745" i="6"/>
  <c r="E3742" i="6"/>
  <c r="F3716" i="6"/>
  <c r="F3711" i="6"/>
  <c r="E3737" i="6"/>
  <c r="E3739" i="6"/>
  <c r="F3713" i="6"/>
  <c r="E3759" i="6"/>
  <c r="F3733" i="6"/>
  <c r="E3743" i="6"/>
  <c r="F3717" i="6"/>
  <c r="F3729" i="6"/>
  <c r="E3755" i="6"/>
  <c r="E3723" i="6"/>
  <c r="F3697" i="6"/>
  <c r="E3790" i="6"/>
  <c r="F3764" i="6"/>
  <c r="F3788" i="6"/>
  <c r="E3814" i="6"/>
  <c r="E3826" i="6" l="1"/>
  <c r="F3800" i="6"/>
  <c r="F3735" i="6"/>
  <c r="E3761" i="6"/>
  <c r="F3755" i="6"/>
  <c r="E3781" i="6"/>
  <c r="E3758" i="6"/>
  <c r="F3732" i="6"/>
  <c r="F3747" i="6"/>
  <c r="E3773" i="6"/>
  <c r="E3812" i="6"/>
  <c r="F3786" i="6"/>
  <c r="F3778" i="6"/>
  <c r="E3804" i="6"/>
  <c r="E3749" i="6"/>
  <c r="F3723" i="6"/>
  <c r="E3782" i="6"/>
  <c r="F3756" i="6"/>
  <c r="E3763" i="6"/>
  <c r="F3737" i="6"/>
  <c r="E3840" i="6"/>
  <c r="F3814" i="6"/>
  <c r="F3751" i="6"/>
  <c r="E3777" i="6"/>
  <c r="F3743" i="6"/>
  <c r="E3769" i="6"/>
  <c r="E3768" i="6"/>
  <c r="F3742" i="6"/>
  <c r="F3731" i="6"/>
  <c r="E3757" i="6"/>
  <c r="E3792" i="6"/>
  <c r="F3766" i="6"/>
  <c r="E3780" i="6"/>
  <c r="F3754" i="6"/>
  <c r="F3767" i="6"/>
  <c r="E3793" i="6"/>
  <c r="E3771" i="6"/>
  <c r="F3745" i="6"/>
  <c r="F3739" i="6"/>
  <c r="E3765" i="6"/>
  <c r="E3816" i="6"/>
  <c r="F3790" i="6"/>
  <c r="E3785" i="6"/>
  <c r="F3759" i="6"/>
  <c r="F3776" i="6"/>
  <c r="E3802" i="6"/>
  <c r="E3746" i="6"/>
  <c r="F3720" i="6"/>
  <c r="E3822" i="6"/>
  <c r="F3796" i="6"/>
  <c r="F3727" i="6"/>
  <c r="E3753" i="6"/>
  <c r="F3746" i="6" l="1"/>
  <c r="E3772" i="6"/>
  <c r="F3792" i="6"/>
  <c r="E3818" i="6"/>
  <c r="E3775" i="6"/>
  <c r="F3749" i="6"/>
  <c r="E3784" i="6"/>
  <c r="F3758" i="6"/>
  <c r="E3828" i="6"/>
  <c r="F3802" i="6"/>
  <c r="E3783" i="6"/>
  <c r="F3757" i="6"/>
  <c r="E3830" i="6"/>
  <c r="F3804" i="6"/>
  <c r="E3807" i="6"/>
  <c r="F3781" i="6"/>
  <c r="F3771" i="6"/>
  <c r="E3797" i="6"/>
  <c r="E3866" i="6"/>
  <c r="F3840" i="6"/>
  <c r="F3753" i="6"/>
  <c r="E3779" i="6"/>
  <c r="E3819" i="6"/>
  <c r="F3793" i="6"/>
  <c r="E3787" i="6"/>
  <c r="F3761" i="6"/>
  <c r="E3803" i="6"/>
  <c r="F3777" i="6"/>
  <c r="F3785" i="6"/>
  <c r="E3811" i="6"/>
  <c r="E3794" i="6"/>
  <c r="F3768" i="6"/>
  <c r="F3763" i="6"/>
  <c r="E3789" i="6"/>
  <c r="E3838" i="6"/>
  <c r="F3812" i="6"/>
  <c r="E3791" i="6"/>
  <c r="F3765" i="6"/>
  <c r="E3795" i="6"/>
  <c r="F3769" i="6"/>
  <c r="E3799" i="6"/>
  <c r="F3773" i="6"/>
  <c r="F3822" i="6"/>
  <c r="E3848" i="6"/>
  <c r="E3842" i="6"/>
  <c r="F3816" i="6"/>
  <c r="E3806" i="6"/>
  <c r="F3780" i="6"/>
  <c r="E3808" i="6"/>
  <c r="F3782" i="6"/>
  <c r="E3852" i="6"/>
  <c r="F3826" i="6"/>
  <c r="F3811" i="6" l="1"/>
  <c r="E3837" i="6"/>
  <c r="F3779" i="6"/>
  <c r="E3805" i="6"/>
  <c r="F3806" i="6"/>
  <c r="E3832" i="6"/>
  <c r="E3820" i="6"/>
  <c r="F3794" i="6"/>
  <c r="E3868" i="6"/>
  <c r="F3842" i="6"/>
  <c r="F3791" i="6"/>
  <c r="E3817" i="6"/>
  <c r="E3856" i="6"/>
  <c r="F3830" i="6"/>
  <c r="F3775" i="6"/>
  <c r="E3801" i="6"/>
  <c r="F3795" i="6"/>
  <c r="E3821" i="6"/>
  <c r="F3848" i="6"/>
  <c r="E3874" i="6"/>
  <c r="E3844" i="6"/>
  <c r="F3818" i="6"/>
  <c r="E3810" i="6"/>
  <c r="F3784" i="6"/>
  <c r="E3878" i="6"/>
  <c r="F3852" i="6"/>
  <c r="E3864" i="6"/>
  <c r="F3838" i="6"/>
  <c r="F3803" i="6"/>
  <c r="E3829" i="6"/>
  <c r="E3892" i="6"/>
  <c r="F3866" i="6"/>
  <c r="F3783" i="6"/>
  <c r="E3809" i="6"/>
  <c r="E3845" i="6"/>
  <c r="F3819" i="6"/>
  <c r="E3815" i="6"/>
  <c r="F3789" i="6"/>
  <c r="E3823" i="6"/>
  <c r="F3797" i="6"/>
  <c r="E3798" i="6"/>
  <c r="F3772" i="6"/>
  <c r="E3833" i="6"/>
  <c r="F3807" i="6"/>
  <c r="E3834" i="6"/>
  <c r="F3808" i="6"/>
  <c r="E3825" i="6"/>
  <c r="F3799" i="6"/>
  <c r="E3813" i="6"/>
  <c r="F3787" i="6"/>
  <c r="E3854" i="6"/>
  <c r="F3828" i="6"/>
  <c r="E3827" i="6" l="1"/>
  <c r="F3801" i="6"/>
  <c r="F3829" i="6"/>
  <c r="E3855" i="6"/>
  <c r="E3858" i="6"/>
  <c r="F3832" i="6"/>
  <c r="E3851" i="6"/>
  <c r="F3825" i="6"/>
  <c r="E3918" i="6"/>
  <c r="F3892" i="6"/>
  <c r="E3860" i="6"/>
  <c r="F3834" i="6"/>
  <c r="F3815" i="6"/>
  <c r="E3841" i="6"/>
  <c r="E3870" i="6"/>
  <c r="F3844" i="6"/>
  <c r="E3882" i="6"/>
  <c r="F3856" i="6"/>
  <c r="E3836" i="6"/>
  <c r="F3810" i="6"/>
  <c r="F3874" i="6"/>
  <c r="E3900" i="6"/>
  <c r="F3817" i="6"/>
  <c r="E3843" i="6"/>
  <c r="E3831" i="6"/>
  <c r="F3805" i="6"/>
  <c r="F3823" i="6"/>
  <c r="E3849" i="6"/>
  <c r="E3880" i="6"/>
  <c r="F3854" i="6"/>
  <c r="E3859" i="6"/>
  <c r="F3833" i="6"/>
  <c r="F3845" i="6"/>
  <c r="E3871" i="6"/>
  <c r="E3890" i="6"/>
  <c r="F3864" i="6"/>
  <c r="E3835" i="6"/>
  <c r="F3809" i="6"/>
  <c r="E3847" i="6"/>
  <c r="F3821" i="6"/>
  <c r="F3837" i="6"/>
  <c r="E3863" i="6"/>
  <c r="E3846" i="6"/>
  <c r="F3820" i="6"/>
  <c r="E3839" i="6"/>
  <c r="F3813" i="6"/>
  <c r="E3824" i="6"/>
  <c r="F3798" i="6"/>
  <c r="E3904" i="6"/>
  <c r="F3878" i="6"/>
  <c r="E3894" i="6"/>
  <c r="F3868" i="6"/>
  <c r="E3869" i="6" l="1"/>
  <c r="F3843" i="6"/>
  <c r="F3870" i="6"/>
  <c r="E3896" i="6"/>
  <c r="E3926" i="6"/>
  <c r="F3900" i="6"/>
  <c r="F3841" i="6"/>
  <c r="E3867" i="6"/>
  <c r="E3873" i="6"/>
  <c r="F3847" i="6"/>
  <c r="E3865" i="6"/>
  <c r="F3839" i="6"/>
  <c r="F3835" i="6"/>
  <c r="E3861" i="6"/>
  <c r="E3906" i="6"/>
  <c r="F3880" i="6"/>
  <c r="E3884" i="6"/>
  <c r="F3858" i="6"/>
  <c r="E3850" i="6"/>
  <c r="F3824" i="6"/>
  <c r="E3875" i="6"/>
  <c r="F3849" i="6"/>
  <c r="E3881" i="6"/>
  <c r="F3855" i="6"/>
  <c r="F3859" i="6"/>
  <c r="E3885" i="6"/>
  <c r="E3920" i="6"/>
  <c r="F3894" i="6"/>
  <c r="F3846" i="6"/>
  <c r="E3872" i="6"/>
  <c r="F3890" i="6"/>
  <c r="E3916" i="6"/>
  <c r="E3862" i="6"/>
  <c r="F3836" i="6"/>
  <c r="E3886" i="6"/>
  <c r="F3860" i="6"/>
  <c r="E3889" i="6"/>
  <c r="F3863" i="6"/>
  <c r="E3897" i="6"/>
  <c r="F3871" i="6"/>
  <c r="F3851" i="6"/>
  <c r="E3877" i="6"/>
  <c r="E3930" i="6"/>
  <c r="F3904" i="6"/>
  <c r="F3831" i="6"/>
  <c r="E3857" i="6"/>
  <c r="E3908" i="6"/>
  <c r="F3882" i="6"/>
  <c r="E3944" i="6"/>
  <c r="F3918" i="6"/>
  <c r="E3853" i="6"/>
  <c r="F3827" i="6"/>
  <c r="E3942" i="6" l="1"/>
  <c r="F3916" i="6"/>
  <c r="F3867" i="6"/>
  <c r="E3893" i="6"/>
  <c r="E3932" i="6"/>
  <c r="F3906" i="6"/>
  <c r="E3883" i="6"/>
  <c r="F3857" i="6"/>
  <c r="E3898" i="6"/>
  <c r="F3872" i="6"/>
  <c r="E3887" i="6"/>
  <c r="F3861" i="6"/>
  <c r="F3897" i="6"/>
  <c r="E3923" i="6"/>
  <c r="E3915" i="6"/>
  <c r="F3889" i="6"/>
  <c r="F3875" i="6"/>
  <c r="E3901" i="6"/>
  <c r="E3952" i="6"/>
  <c r="F3926" i="6"/>
  <c r="E3934" i="6"/>
  <c r="F3908" i="6"/>
  <c r="F3896" i="6"/>
  <c r="E3922" i="6"/>
  <c r="F3853" i="6"/>
  <c r="E3879" i="6"/>
  <c r="E3956" i="6"/>
  <c r="F3930" i="6"/>
  <c r="E3912" i="6"/>
  <c r="F3886" i="6"/>
  <c r="E3946" i="6"/>
  <c r="F3920" i="6"/>
  <c r="E3876" i="6"/>
  <c r="F3850" i="6"/>
  <c r="F3865" i="6"/>
  <c r="E3891" i="6"/>
  <c r="F3877" i="6"/>
  <c r="E3903" i="6"/>
  <c r="E3911" i="6"/>
  <c r="F3885" i="6"/>
  <c r="E3907" i="6"/>
  <c r="F3881" i="6"/>
  <c r="E3970" i="6"/>
  <c r="F3944" i="6"/>
  <c r="E3888" i="6"/>
  <c r="F3862" i="6"/>
  <c r="F3884" i="6"/>
  <c r="E3910" i="6"/>
  <c r="E3899" i="6"/>
  <c r="F3873" i="6"/>
  <c r="F3869" i="6"/>
  <c r="E3895" i="6"/>
  <c r="E3936" i="6" l="1"/>
  <c r="F3910" i="6"/>
  <c r="E3948" i="6"/>
  <c r="F3922" i="6"/>
  <c r="E3937" i="6"/>
  <c r="F3911" i="6"/>
  <c r="F3946" i="6"/>
  <c r="E3972" i="6"/>
  <c r="F3915" i="6"/>
  <c r="E3941" i="6"/>
  <c r="E3909" i="6"/>
  <c r="F3883" i="6"/>
  <c r="F3903" i="6"/>
  <c r="E3929" i="6"/>
  <c r="E3949" i="6"/>
  <c r="F3923" i="6"/>
  <c r="F3888" i="6"/>
  <c r="E3914" i="6"/>
  <c r="E3938" i="6"/>
  <c r="F3912" i="6"/>
  <c r="E3960" i="6"/>
  <c r="F3934" i="6"/>
  <c r="E3958" i="6"/>
  <c r="F3932" i="6"/>
  <c r="E3921" i="6"/>
  <c r="F3895" i="6"/>
  <c r="F3891" i="6"/>
  <c r="E3917" i="6"/>
  <c r="F3893" i="6"/>
  <c r="E3919" i="6"/>
  <c r="F3970" i="6"/>
  <c r="E3996" i="6"/>
  <c r="E3982" i="6"/>
  <c r="F3956" i="6"/>
  <c r="E3978" i="6"/>
  <c r="F3952" i="6"/>
  <c r="F3887" i="6"/>
  <c r="E3913" i="6"/>
  <c r="E3905" i="6"/>
  <c r="F3879" i="6"/>
  <c r="F3901" i="6"/>
  <c r="E3927" i="6"/>
  <c r="F3899" i="6"/>
  <c r="E3925" i="6"/>
  <c r="E3933" i="6"/>
  <c r="F3907" i="6"/>
  <c r="E3902" i="6"/>
  <c r="F3876" i="6"/>
  <c r="E3924" i="6"/>
  <c r="F3898" i="6"/>
  <c r="E3968" i="6"/>
  <c r="F3942" i="6"/>
  <c r="F3996" i="6" l="1"/>
  <c r="E4022" i="6"/>
  <c r="E3998" i="6"/>
  <c r="F3972" i="6"/>
  <c r="E3928" i="6"/>
  <c r="F3902" i="6"/>
  <c r="E3931" i="6"/>
  <c r="F3905" i="6"/>
  <c r="E3984" i="6"/>
  <c r="F3958" i="6"/>
  <c r="F3949" i="6"/>
  <c r="E3975" i="6"/>
  <c r="F3913" i="6"/>
  <c r="E3939" i="6"/>
  <c r="E3945" i="6"/>
  <c r="F3919" i="6"/>
  <c r="E3955" i="6"/>
  <c r="F3929" i="6"/>
  <c r="E3959" i="6"/>
  <c r="F3933" i="6"/>
  <c r="E3986" i="6"/>
  <c r="F3960" i="6"/>
  <c r="F3937" i="6"/>
  <c r="E3963" i="6"/>
  <c r="F3925" i="6"/>
  <c r="E3951" i="6"/>
  <c r="F3917" i="6"/>
  <c r="E3943" i="6"/>
  <c r="E3994" i="6"/>
  <c r="F3968" i="6"/>
  <c r="E4004" i="6"/>
  <c r="F3978" i="6"/>
  <c r="F3938" i="6"/>
  <c r="E3964" i="6"/>
  <c r="F3909" i="6"/>
  <c r="E3935" i="6"/>
  <c r="F3948" i="6"/>
  <c r="E3974" i="6"/>
  <c r="F3927" i="6"/>
  <c r="E3953" i="6"/>
  <c r="E3940" i="6"/>
  <c r="F3914" i="6"/>
  <c r="F3941" i="6"/>
  <c r="E3967" i="6"/>
  <c r="E3950" i="6"/>
  <c r="F3924" i="6"/>
  <c r="F3982" i="6"/>
  <c r="E4008" i="6"/>
  <c r="F3921" i="6"/>
  <c r="E3947" i="6"/>
  <c r="E3962" i="6"/>
  <c r="F3936" i="6"/>
  <c r="E4034" i="6" l="1"/>
  <c r="F4008" i="6"/>
  <c r="F3953" i="6"/>
  <c r="E3979" i="6"/>
  <c r="E3989" i="6"/>
  <c r="F3963" i="6"/>
  <c r="E3965" i="6"/>
  <c r="F3939" i="6"/>
  <c r="E3977" i="6"/>
  <c r="F3951" i="6"/>
  <c r="F4004" i="6"/>
  <c r="E4030" i="6"/>
  <c r="F3931" i="6"/>
  <c r="E3957" i="6"/>
  <c r="E4000" i="6"/>
  <c r="F3974" i="6"/>
  <c r="F3950" i="6"/>
  <c r="E3976" i="6"/>
  <c r="E4020" i="6"/>
  <c r="F3994" i="6"/>
  <c r="E4012" i="6"/>
  <c r="F3986" i="6"/>
  <c r="E3954" i="6"/>
  <c r="F3928" i="6"/>
  <c r="E3990" i="6"/>
  <c r="F3964" i="6"/>
  <c r="F3945" i="6"/>
  <c r="E3971" i="6"/>
  <c r="E3993" i="6"/>
  <c r="F3967" i="6"/>
  <c r="E3961" i="6"/>
  <c r="F3935" i="6"/>
  <c r="E3969" i="6"/>
  <c r="F3943" i="6"/>
  <c r="E4001" i="6"/>
  <c r="F3975" i="6"/>
  <c r="F3962" i="6"/>
  <c r="E3988" i="6"/>
  <c r="F3959" i="6"/>
  <c r="E3985" i="6"/>
  <c r="F3998" i="6"/>
  <c r="E4024" i="6"/>
  <c r="E3973" i="6"/>
  <c r="F3947" i="6"/>
  <c r="E4048" i="6"/>
  <c r="F4022" i="6"/>
  <c r="E3966" i="6"/>
  <c r="F3940" i="6"/>
  <c r="E3981" i="6"/>
  <c r="F3955" i="6"/>
  <c r="E4010" i="6"/>
  <c r="F3984" i="6"/>
  <c r="E4011" i="6" l="1"/>
  <c r="F3985" i="6"/>
  <c r="E4014" i="6"/>
  <c r="F3988" i="6"/>
  <c r="F3957" i="6"/>
  <c r="E3983" i="6"/>
  <c r="F3966" i="6"/>
  <c r="E3992" i="6"/>
  <c r="F3961" i="6"/>
  <c r="E3987" i="6"/>
  <c r="E4074" i="6"/>
  <c r="F4048" i="6"/>
  <c r="F3993" i="6"/>
  <c r="E4019" i="6"/>
  <c r="E4038" i="6"/>
  <c r="F4012" i="6"/>
  <c r="F3989" i="6"/>
  <c r="E4015" i="6"/>
  <c r="F3965" i="6"/>
  <c r="E3991" i="6"/>
  <c r="F3971" i="6"/>
  <c r="E3997" i="6"/>
  <c r="F4030" i="6"/>
  <c r="E4056" i="6"/>
  <c r="F3979" i="6"/>
  <c r="E4005" i="6"/>
  <c r="F4001" i="6"/>
  <c r="E4027" i="6"/>
  <c r="E3980" i="6"/>
  <c r="F3954" i="6"/>
  <c r="E4036" i="6"/>
  <c r="F4010" i="6"/>
  <c r="E4046" i="6"/>
  <c r="F4020" i="6"/>
  <c r="E4050" i="6"/>
  <c r="F4024" i="6"/>
  <c r="E4002" i="6"/>
  <c r="F3976" i="6"/>
  <c r="F4000" i="6"/>
  <c r="E4026" i="6"/>
  <c r="F3973" i="6"/>
  <c r="E3999" i="6"/>
  <c r="F3981" i="6"/>
  <c r="E4007" i="6"/>
  <c r="F3969" i="6"/>
  <c r="E3995" i="6"/>
  <c r="E4016" i="6"/>
  <c r="F3990" i="6"/>
  <c r="F3977" i="6"/>
  <c r="E4003" i="6"/>
  <c r="E4060" i="6"/>
  <c r="F4034" i="6"/>
  <c r="E4018" i="6" l="1"/>
  <c r="F3992" i="6"/>
  <c r="E4042" i="6"/>
  <c r="F4016" i="6"/>
  <c r="E4062" i="6"/>
  <c r="F4036" i="6"/>
  <c r="E4064" i="6"/>
  <c r="F4038" i="6"/>
  <c r="F4056" i="6"/>
  <c r="E4082" i="6"/>
  <c r="E4028" i="6"/>
  <c r="F4002" i="6"/>
  <c r="E4006" i="6"/>
  <c r="F3980" i="6"/>
  <c r="E4021" i="6"/>
  <c r="F3995" i="6"/>
  <c r="E4033" i="6"/>
  <c r="F4007" i="6"/>
  <c r="E4053" i="6"/>
  <c r="F4027" i="6"/>
  <c r="E4017" i="6"/>
  <c r="F3991" i="6"/>
  <c r="F3997" i="6"/>
  <c r="E4023" i="6"/>
  <c r="E4086" i="6"/>
  <c r="F4060" i="6"/>
  <c r="E4076" i="6"/>
  <c r="F4050" i="6"/>
  <c r="F4074" i="6"/>
  <c r="E4100" i="6"/>
  <c r="E4040" i="6"/>
  <c r="F4014" i="6"/>
  <c r="E4009" i="6"/>
  <c r="F3983" i="6"/>
  <c r="E4029" i="6"/>
  <c r="F4003" i="6"/>
  <c r="E4025" i="6"/>
  <c r="F3999" i="6"/>
  <c r="F4005" i="6"/>
  <c r="E4031" i="6"/>
  <c r="E4041" i="6"/>
  <c r="F4015" i="6"/>
  <c r="E4013" i="6"/>
  <c r="F3987" i="6"/>
  <c r="E4052" i="6"/>
  <c r="F4026" i="6"/>
  <c r="E4045" i="6"/>
  <c r="F4019" i="6"/>
  <c r="F4046" i="6"/>
  <c r="E4072" i="6"/>
  <c r="E4037" i="6"/>
  <c r="F4011" i="6"/>
  <c r="F4040" i="6" l="1"/>
  <c r="E4066" i="6"/>
  <c r="E4057" i="6"/>
  <c r="F4031" i="6"/>
  <c r="E4049" i="6"/>
  <c r="F4023" i="6"/>
  <c r="F4064" i="6"/>
  <c r="E4090" i="6"/>
  <c r="F4100" i="6"/>
  <c r="E4126" i="6"/>
  <c r="F4021" i="6"/>
  <c r="E4047" i="6"/>
  <c r="E4078" i="6"/>
  <c r="F4052" i="6"/>
  <c r="F4025" i="6"/>
  <c r="E4051" i="6"/>
  <c r="F4017" i="6"/>
  <c r="E4043" i="6"/>
  <c r="E4032" i="6"/>
  <c r="F4006" i="6"/>
  <c r="F4062" i="6"/>
  <c r="E4088" i="6"/>
  <c r="F4037" i="6"/>
  <c r="E4063" i="6"/>
  <c r="E4039" i="6"/>
  <c r="F4013" i="6"/>
  <c r="F4029" i="6"/>
  <c r="E4055" i="6"/>
  <c r="E4102" i="6"/>
  <c r="F4076" i="6"/>
  <c r="F4053" i="6"/>
  <c r="E4079" i="6"/>
  <c r="E4054" i="6"/>
  <c r="F4028" i="6"/>
  <c r="E4068" i="6"/>
  <c r="F4042" i="6"/>
  <c r="E4071" i="6"/>
  <c r="F4045" i="6"/>
  <c r="E4098" i="6"/>
  <c r="F4072" i="6"/>
  <c r="E4108" i="6"/>
  <c r="F4082" i="6"/>
  <c r="F4041" i="6"/>
  <c r="E4067" i="6"/>
  <c r="F4009" i="6"/>
  <c r="E4035" i="6"/>
  <c r="F4086" i="6"/>
  <c r="E4112" i="6"/>
  <c r="E4059" i="6"/>
  <c r="F4033" i="6"/>
  <c r="E4044" i="6"/>
  <c r="F4018" i="6"/>
  <c r="F4035" i="6" l="1"/>
  <c r="E4061" i="6"/>
  <c r="E4114" i="6"/>
  <c r="F4088" i="6"/>
  <c r="E4077" i="6"/>
  <c r="F4051" i="6"/>
  <c r="E4097" i="6"/>
  <c r="F4071" i="6"/>
  <c r="F4102" i="6"/>
  <c r="E4128" i="6"/>
  <c r="E4104" i="6"/>
  <c r="F4078" i="6"/>
  <c r="E4075" i="6"/>
  <c r="F4049" i="6"/>
  <c r="E4089" i="6"/>
  <c r="F4063" i="6"/>
  <c r="E4093" i="6"/>
  <c r="F4067" i="6"/>
  <c r="E4081" i="6"/>
  <c r="F4055" i="6"/>
  <c r="F4047" i="6"/>
  <c r="E4073" i="6"/>
  <c r="E4116" i="6"/>
  <c r="F4090" i="6"/>
  <c r="E4070" i="6"/>
  <c r="F4044" i="6"/>
  <c r="E4094" i="6"/>
  <c r="F4068" i="6"/>
  <c r="E4058" i="6"/>
  <c r="F4032" i="6"/>
  <c r="F4057" i="6"/>
  <c r="E4083" i="6"/>
  <c r="E4105" i="6"/>
  <c r="F4079" i="6"/>
  <c r="E4069" i="6"/>
  <c r="F4043" i="6"/>
  <c r="F4126" i="6"/>
  <c r="E4152" i="6"/>
  <c r="E4092" i="6"/>
  <c r="F4066" i="6"/>
  <c r="E4138" i="6"/>
  <c r="F4112" i="6"/>
  <c r="E4124" i="6"/>
  <c r="F4098" i="6"/>
  <c r="E4085" i="6"/>
  <c r="F4059" i="6"/>
  <c r="E4134" i="6"/>
  <c r="F4108" i="6"/>
  <c r="E4080" i="6"/>
  <c r="F4054" i="6"/>
  <c r="F4039" i="6"/>
  <c r="E4065" i="6"/>
  <c r="E4109" i="6" l="1"/>
  <c r="F4083" i="6"/>
  <c r="E4160" i="6"/>
  <c r="F4134" i="6"/>
  <c r="E4178" i="6"/>
  <c r="F4152" i="6"/>
  <c r="F4073" i="6"/>
  <c r="E4099" i="6"/>
  <c r="E4118" i="6"/>
  <c r="F4092" i="6"/>
  <c r="F4085" i="6"/>
  <c r="E4111" i="6"/>
  <c r="E4084" i="6"/>
  <c r="F4058" i="6"/>
  <c r="E4101" i="6"/>
  <c r="F4075" i="6"/>
  <c r="F4077" i="6"/>
  <c r="E4103" i="6"/>
  <c r="F4065" i="6"/>
  <c r="E4091" i="6"/>
  <c r="F4089" i="6"/>
  <c r="E4115" i="6"/>
  <c r="E4150" i="6"/>
  <c r="F4124" i="6"/>
  <c r="F4069" i="6"/>
  <c r="E4095" i="6"/>
  <c r="E4120" i="6"/>
  <c r="F4094" i="6"/>
  <c r="F4081" i="6"/>
  <c r="E4107" i="6"/>
  <c r="E4130" i="6"/>
  <c r="F4104" i="6"/>
  <c r="E4140" i="6"/>
  <c r="F4114" i="6"/>
  <c r="E4142" i="6"/>
  <c r="F4116" i="6"/>
  <c r="E4154" i="6"/>
  <c r="F4128" i="6"/>
  <c r="F4061" i="6"/>
  <c r="E4087" i="6"/>
  <c r="F4097" i="6"/>
  <c r="E4123" i="6"/>
  <c r="E4106" i="6"/>
  <c r="F4080" i="6"/>
  <c r="E4164" i="6"/>
  <c r="F4138" i="6"/>
  <c r="F4105" i="6"/>
  <c r="E4131" i="6"/>
  <c r="E4096" i="6"/>
  <c r="F4070" i="6"/>
  <c r="E4119" i="6"/>
  <c r="F4093" i="6"/>
  <c r="E4157" i="6" l="1"/>
  <c r="F4131" i="6"/>
  <c r="E4113" i="6"/>
  <c r="F4087" i="6"/>
  <c r="E4125" i="6"/>
  <c r="F4099" i="6"/>
  <c r="E4156" i="6"/>
  <c r="F4130" i="6"/>
  <c r="E4176" i="6"/>
  <c r="F4150" i="6"/>
  <c r="F4101" i="6"/>
  <c r="E4127" i="6"/>
  <c r="E4133" i="6"/>
  <c r="F4107" i="6"/>
  <c r="F4115" i="6"/>
  <c r="E4141" i="6"/>
  <c r="E4190" i="6"/>
  <c r="F4164" i="6"/>
  <c r="E4180" i="6"/>
  <c r="F4154" i="6"/>
  <c r="E4110" i="6"/>
  <c r="F4084" i="6"/>
  <c r="E4204" i="6"/>
  <c r="F4178" i="6"/>
  <c r="E4117" i="6"/>
  <c r="F4091" i="6"/>
  <c r="F4111" i="6"/>
  <c r="E4137" i="6"/>
  <c r="E4145" i="6"/>
  <c r="F4119" i="6"/>
  <c r="E4132" i="6"/>
  <c r="F4106" i="6"/>
  <c r="F4142" i="6"/>
  <c r="E4168" i="6"/>
  <c r="E4146" i="6"/>
  <c r="F4120" i="6"/>
  <c r="F4160" i="6"/>
  <c r="E4186" i="6"/>
  <c r="E4149" i="6"/>
  <c r="F4123" i="6"/>
  <c r="E4121" i="6"/>
  <c r="F4095" i="6"/>
  <c r="E4129" i="6"/>
  <c r="F4103" i="6"/>
  <c r="E4122" i="6"/>
  <c r="F4096" i="6"/>
  <c r="E4166" i="6"/>
  <c r="F4140" i="6"/>
  <c r="E4144" i="6"/>
  <c r="F4118" i="6"/>
  <c r="F4109" i="6"/>
  <c r="E4135" i="6"/>
  <c r="F4141" i="6" l="1"/>
  <c r="E4167" i="6"/>
  <c r="E4192" i="6"/>
  <c r="F4166" i="6"/>
  <c r="F4149" i="6"/>
  <c r="E4175" i="6"/>
  <c r="E4158" i="6"/>
  <c r="F4132" i="6"/>
  <c r="F4204" i="6"/>
  <c r="E4230" i="6"/>
  <c r="E4182" i="6"/>
  <c r="F4156" i="6"/>
  <c r="E4212" i="6"/>
  <c r="F4186" i="6"/>
  <c r="F4145" i="6"/>
  <c r="E4171" i="6"/>
  <c r="F4110" i="6"/>
  <c r="E4136" i="6"/>
  <c r="F4133" i="6"/>
  <c r="E4159" i="6"/>
  <c r="F4125" i="6"/>
  <c r="E4151" i="6"/>
  <c r="E4161" i="6"/>
  <c r="F4135" i="6"/>
  <c r="F4137" i="6"/>
  <c r="E4163" i="6"/>
  <c r="E4153" i="6"/>
  <c r="F4127" i="6"/>
  <c r="F4129" i="6"/>
  <c r="E4155" i="6"/>
  <c r="F4146" i="6"/>
  <c r="E4172" i="6"/>
  <c r="E4206" i="6"/>
  <c r="F4180" i="6"/>
  <c r="F4113" i="6"/>
  <c r="E4139" i="6"/>
  <c r="E4194" i="6"/>
  <c r="F4168" i="6"/>
  <c r="E4148" i="6"/>
  <c r="F4122" i="6"/>
  <c r="E4170" i="6"/>
  <c r="F4144" i="6"/>
  <c r="F4121" i="6"/>
  <c r="E4147" i="6"/>
  <c r="F4117" i="6"/>
  <c r="E4143" i="6"/>
  <c r="F4190" i="6"/>
  <c r="E4216" i="6"/>
  <c r="E4202" i="6"/>
  <c r="F4176" i="6"/>
  <c r="F4157" i="6"/>
  <c r="E4183" i="6"/>
  <c r="E4242" i="6" l="1"/>
  <c r="F4216" i="6"/>
  <c r="E4198" i="6"/>
  <c r="F4172" i="6"/>
  <c r="E4197" i="6"/>
  <c r="F4171" i="6"/>
  <c r="E4174" i="6"/>
  <c r="F4148" i="6"/>
  <c r="F4161" i="6"/>
  <c r="E4187" i="6"/>
  <c r="F4158" i="6"/>
  <c r="E4184" i="6"/>
  <c r="E4169" i="6"/>
  <c r="F4143" i="6"/>
  <c r="F4155" i="6"/>
  <c r="E4181" i="6"/>
  <c r="E4177" i="6"/>
  <c r="F4151" i="6"/>
  <c r="E4201" i="6"/>
  <c r="F4175" i="6"/>
  <c r="E4220" i="6"/>
  <c r="F4194" i="6"/>
  <c r="E4238" i="6"/>
  <c r="F4212" i="6"/>
  <c r="E4209" i="6"/>
  <c r="F4183" i="6"/>
  <c r="F4147" i="6"/>
  <c r="E4173" i="6"/>
  <c r="E4165" i="6"/>
  <c r="F4139" i="6"/>
  <c r="E4185" i="6"/>
  <c r="F4159" i="6"/>
  <c r="F4153" i="6"/>
  <c r="E4179" i="6"/>
  <c r="E4208" i="6"/>
  <c r="F4182" i="6"/>
  <c r="E4218" i="6"/>
  <c r="F4192" i="6"/>
  <c r="E4189" i="6"/>
  <c r="F4163" i="6"/>
  <c r="E4162" i="6"/>
  <c r="F4136" i="6"/>
  <c r="E4256" i="6"/>
  <c r="F4230" i="6"/>
  <c r="E4193" i="6"/>
  <c r="F4167" i="6"/>
  <c r="E4228" i="6"/>
  <c r="F4202" i="6"/>
  <c r="E4196" i="6"/>
  <c r="F4170" i="6"/>
  <c r="F4206" i="6"/>
  <c r="E4232" i="6"/>
  <c r="F4181" i="6" l="1"/>
  <c r="E4207" i="6"/>
  <c r="F4228" i="6"/>
  <c r="E4254" i="6"/>
  <c r="F4189" i="6"/>
  <c r="E4215" i="6"/>
  <c r="E4211" i="6"/>
  <c r="F4185" i="6"/>
  <c r="E4264" i="6"/>
  <c r="F4238" i="6"/>
  <c r="F4174" i="6"/>
  <c r="E4200" i="6"/>
  <c r="F4193" i="6"/>
  <c r="E4219" i="6"/>
  <c r="E4244" i="6"/>
  <c r="F4218" i="6"/>
  <c r="F4165" i="6"/>
  <c r="E4191" i="6"/>
  <c r="F4220" i="6"/>
  <c r="E4246" i="6"/>
  <c r="F4169" i="6"/>
  <c r="E4195" i="6"/>
  <c r="F4197" i="6"/>
  <c r="E4223" i="6"/>
  <c r="E4258" i="6"/>
  <c r="F4232" i="6"/>
  <c r="E4199" i="6"/>
  <c r="F4173" i="6"/>
  <c r="E4210" i="6"/>
  <c r="F4184" i="6"/>
  <c r="E4224" i="6"/>
  <c r="F4198" i="6"/>
  <c r="F4256" i="6"/>
  <c r="E4282" i="6"/>
  <c r="E4234" i="6"/>
  <c r="F4208" i="6"/>
  <c r="E4227" i="6"/>
  <c r="F4201" i="6"/>
  <c r="E4205" i="6"/>
  <c r="F4179" i="6"/>
  <c r="E4213" i="6"/>
  <c r="F4187" i="6"/>
  <c r="E4222" i="6"/>
  <c r="F4196" i="6"/>
  <c r="E4188" i="6"/>
  <c r="F4162" i="6"/>
  <c r="F4209" i="6"/>
  <c r="E4235" i="6"/>
  <c r="E4203" i="6"/>
  <c r="F4177" i="6"/>
  <c r="E4268" i="6"/>
  <c r="F4242" i="6"/>
  <c r="E4261" i="6" l="1"/>
  <c r="F4235" i="6"/>
  <c r="E4249" i="6"/>
  <c r="F4223" i="6"/>
  <c r="F4205" i="6"/>
  <c r="E4231" i="6"/>
  <c r="E4250" i="6"/>
  <c r="F4224" i="6"/>
  <c r="E4270" i="6"/>
  <c r="F4244" i="6"/>
  <c r="E4237" i="6"/>
  <c r="F4211" i="6"/>
  <c r="E4221" i="6"/>
  <c r="F4195" i="6"/>
  <c r="E4245" i="6"/>
  <c r="F4219" i="6"/>
  <c r="E4241" i="6"/>
  <c r="F4215" i="6"/>
  <c r="E4214" i="6"/>
  <c r="F4188" i="6"/>
  <c r="E4253" i="6"/>
  <c r="F4227" i="6"/>
  <c r="F4210" i="6"/>
  <c r="E4236" i="6"/>
  <c r="E4272" i="6"/>
  <c r="F4246" i="6"/>
  <c r="E4226" i="6"/>
  <c r="F4200" i="6"/>
  <c r="F4254" i="6"/>
  <c r="E4280" i="6"/>
  <c r="F4268" i="6"/>
  <c r="E4294" i="6"/>
  <c r="F4222" i="6"/>
  <c r="E4248" i="6"/>
  <c r="E4260" i="6"/>
  <c r="F4234" i="6"/>
  <c r="F4199" i="6"/>
  <c r="E4225" i="6"/>
  <c r="F4282" i="6"/>
  <c r="E4308" i="6"/>
  <c r="E4217" i="6"/>
  <c r="F4191" i="6"/>
  <c r="F4207" i="6"/>
  <c r="E4233" i="6"/>
  <c r="E4229" i="6"/>
  <c r="F4203" i="6"/>
  <c r="F4213" i="6"/>
  <c r="E4239" i="6"/>
  <c r="F4258" i="6"/>
  <c r="E4284" i="6"/>
  <c r="E4290" i="6"/>
  <c r="F4264" i="6"/>
  <c r="E4265" i="6" l="1"/>
  <c r="F4239" i="6"/>
  <c r="E4334" i="6"/>
  <c r="F4308" i="6"/>
  <c r="E4320" i="6"/>
  <c r="F4294" i="6"/>
  <c r="F4236" i="6"/>
  <c r="E4262" i="6"/>
  <c r="E4271" i="6"/>
  <c r="F4245" i="6"/>
  <c r="F4250" i="6"/>
  <c r="E4276" i="6"/>
  <c r="F4225" i="6"/>
  <c r="E4251" i="6"/>
  <c r="E4306" i="6"/>
  <c r="F4280" i="6"/>
  <c r="E4257" i="6"/>
  <c r="F4231" i="6"/>
  <c r="E4255" i="6"/>
  <c r="F4229" i="6"/>
  <c r="E4279" i="6"/>
  <c r="F4253" i="6"/>
  <c r="E4247" i="6"/>
  <c r="F4221" i="6"/>
  <c r="E4259" i="6"/>
  <c r="F4233" i="6"/>
  <c r="F4290" i="6"/>
  <c r="E4316" i="6"/>
  <c r="F4260" i="6"/>
  <c r="E4286" i="6"/>
  <c r="E4252" i="6"/>
  <c r="F4226" i="6"/>
  <c r="F4214" i="6"/>
  <c r="E4240" i="6"/>
  <c r="F4237" i="6"/>
  <c r="E4263" i="6"/>
  <c r="E4275" i="6"/>
  <c r="F4249" i="6"/>
  <c r="F4284" i="6"/>
  <c r="E4310" i="6"/>
  <c r="F4248" i="6"/>
  <c r="E4274" i="6"/>
  <c r="F4217" i="6"/>
  <c r="E4243" i="6"/>
  <c r="E4298" i="6"/>
  <c r="F4272" i="6"/>
  <c r="E4267" i="6"/>
  <c r="F4241" i="6"/>
  <c r="E4296" i="6"/>
  <c r="F4270" i="6"/>
  <c r="E4287" i="6"/>
  <c r="F4261" i="6"/>
  <c r="E4336" i="6" l="1"/>
  <c r="F4310" i="6"/>
  <c r="E4293" i="6"/>
  <c r="F4267" i="6"/>
  <c r="F4252" i="6"/>
  <c r="E4278" i="6"/>
  <c r="E4273" i="6"/>
  <c r="F4247" i="6"/>
  <c r="F4306" i="6"/>
  <c r="E4332" i="6"/>
  <c r="E4312" i="6"/>
  <c r="F4286" i="6"/>
  <c r="E4277" i="6"/>
  <c r="F4251" i="6"/>
  <c r="E4288" i="6"/>
  <c r="F4262" i="6"/>
  <c r="E4324" i="6"/>
  <c r="F4298" i="6"/>
  <c r="E4301" i="6"/>
  <c r="F4275" i="6"/>
  <c r="E4305" i="6"/>
  <c r="F4279" i="6"/>
  <c r="E4346" i="6"/>
  <c r="F4320" i="6"/>
  <c r="E4269" i="6"/>
  <c r="F4243" i="6"/>
  <c r="E4289" i="6"/>
  <c r="F4263" i="6"/>
  <c r="E4342" i="6"/>
  <c r="F4316" i="6"/>
  <c r="F4276" i="6"/>
  <c r="E4302" i="6"/>
  <c r="E4313" i="6"/>
  <c r="F4287" i="6"/>
  <c r="E4281" i="6"/>
  <c r="F4255" i="6"/>
  <c r="F4334" i="6"/>
  <c r="E4360" i="6"/>
  <c r="F4274" i="6"/>
  <c r="E4300" i="6"/>
  <c r="E4266" i="6"/>
  <c r="F4240" i="6"/>
  <c r="E4322" i="6"/>
  <c r="F4296" i="6"/>
  <c r="E4285" i="6"/>
  <c r="F4259" i="6"/>
  <c r="E4283" i="6"/>
  <c r="F4257" i="6"/>
  <c r="E4297" i="6"/>
  <c r="F4271" i="6"/>
  <c r="E4291" i="6"/>
  <c r="F4265" i="6"/>
  <c r="E4326" i="6" l="1"/>
  <c r="F4300" i="6"/>
  <c r="E4328" i="6"/>
  <c r="F4302" i="6"/>
  <c r="E4314" i="6"/>
  <c r="F4288" i="6"/>
  <c r="E4386" i="6"/>
  <c r="F4360" i="6"/>
  <c r="F4278" i="6"/>
  <c r="E4304" i="6"/>
  <c r="E4309" i="6"/>
  <c r="F4283" i="6"/>
  <c r="E4311" i="6"/>
  <c r="F4285" i="6"/>
  <c r="F4342" i="6"/>
  <c r="E4368" i="6"/>
  <c r="E4331" i="6"/>
  <c r="F4305" i="6"/>
  <c r="F4277" i="6"/>
  <c r="E4303" i="6"/>
  <c r="F4346" i="6"/>
  <c r="E4372" i="6"/>
  <c r="E4317" i="6"/>
  <c r="F4291" i="6"/>
  <c r="F4322" i="6"/>
  <c r="E4348" i="6"/>
  <c r="E4307" i="6"/>
  <c r="F4281" i="6"/>
  <c r="E4315" i="6"/>
  <c r="F4289" i="6"/>
  <c r="E4327" i="6"/>
  <c r="F4301" i="6"/>
  <c r="E4338" i="6"/>
  <c r="F4312" i="6"/>
  <c r="E4319" i="6"/>
  <c r="F4293" i="6"/>
  <c r="E4299" i="6"/>
  <c r="F4273" i="6"/>
  <c r="F4332" i="6"/>
  <c r="E4358" i="6"/>
  <c r="E4323" i="6"/>
  <c r="F4297" i="6"/>
  <c r="E4292" i="6"/>
  <c r="F4266" i="6"/>
  <c r="E4339" i="6"/>
  <c r="F4313" i="6"/>
  <c r="E4295" i="6"/>
  <c r="F4269" i="6"/>
  <c r="E4350" i="6"/>
  <c r="F4324" i="6"/>
  <c r="E4362" i="6"/>
  <c r="F4336" i="6"/>
  <c r="E4384" i="6" l="1"/>
  <c r="F4358" i="6"/>
  <c r="E4394" i="6"/>
  <c r="F4368" i="6"/>
  <c r="E4398" i="6"/>
  <c r="F4372" i="6"/>
  <c r="E4321" i="6"/>
  <c r="F4295" i="6"/>
  <c r="E4365" i="6"/>
  <c r="F4339" i="6"/>
  <c r="F4299" i="6"/>
  <c r="E4325" i="6"/>
  <c r="E4341" i="6"/>
  <c r="F4315" i="6"/>
  <c r="E4337" i="6"/>
  <c r="F4311" i="6"/>
  <c r="E4340" i="6"/>
  <c r="F4314" i="6"/>
  <c r="E4412" i="6"/>
  <c r="F4386" i="6"/>
  <c r="E4329" i="6"/>
  <c r="F4303" i="6"/>
  <c r="F4317" i="6"/>
  <c r="E4343" i="6"/>
  <c r="E4388" i="6"/>
  <c r="F4362" i="6"/>
  <c r="E4318" i="6"/>
  <c r="F4292" i="6"/>
  <c r="E4345" i="6"/>
  <c r="F4319" i="6"/>
  <c r="E4333" i="6"/>
  <c r="F4307" i="6"/>
  <c r="E4335" i="6"/>
  <c r="F4309" i="6"/>
  <c r="E4354" i="6"/>
  <c r="F4328" i="6"/>
  <c r="E4353" i="6"/>
  <c r="F4327" i="6"/>
  <c r="F4348" i="6"/>
  <c r="E4374" i="6"/>
  <c r="E4330" i="6"/>
  <c r="F4304" i="6"/>
  <c r="F4350" i="6"/>
  <c r="E4376" i="6"/>
  <c r="F4323" i="6"/>
  <c r="E4349" i="6"/>
  <c r="F4338" i="6"/>
  <c r="E4364" i="6"/>
  <c r="E4357" i="6"/>
  <c r="F4331" i="6"/>
  <c r="F4326" i="6"/>
  <c r="E4352" i="6"/>
  <c r="E4359" i="6" l="1"/>
  <c r="F4333" i="6"/>
  <c r="E4363" i="6"/>
  <c r="F4337" i="6"/>
  <c r="E4347" i="6"/>
  <c r="F4321" i="6"/>
  <c r="F4374" i="6"/>
  <c r="E4400" i="6"/>
  <c r="E4375" i="6"/>
  <c r="F4349" i="6"/>
  <c r="E4369" i="6"/>
  <c r="F4343" i="6"/>
  <c r="F4353" i="6"/>
  <c r="E4379" i="6"/>
  <c r="E4371" i="6"/>
  <c r="F4345" i="6"/>
  <c r="F4329" i="6"/>
  <c r="E4355" i="6"/>
  <c r="F4341" i="6"/>
  <c r="E4367" i="6"/>
  <c r="E4424" i="6"/>
  <c r="F4398" i="6"/>
  <c r="E4378" i="6"/>
  <c r="F4352" i="6"/>
  <c r="E4402" i="6"/>
  <c r="F4376" i="6"/>
  <c r="E4351" i="6"/>
  <c r="F4325" i="6"/>
  <c r="F4354" i="6"/>
  <c r="E4380" i="6"/>
  <c r="F4318" i="6"/>
  <c r="E4344" i="6"/>
  <c r="E4438" i="6"/>
  <c r="F4412" i="6"/>
  <c r="E4420" i="6"/>
  <c r="F4394" i="6"/>
  <c r="E4390" i="6"/>
  <c r="F4364" i="6"/>
  <c r="E4383" i="6"/>
  <c r="F4357" i="6"/>
  <c r="F4330" i="6"/>
  <c r="E4356" i="6"/>
  <c r="E4361" i="6"/>
  <c r="F4335" i="6"/>
  <c r="E4414" i="6"/>
  <c r="F4388" i="6"/>
  <c r="F4340" i="6"/>
  <c r="E4366" i="6"/>
  <c r="E4391" i="6"/>
  <c r="F4365" i="6"/>
  <c r="E4410" i="6"/>
  <c r="F4384" i="6"/>
  <c r="F4366" i="6" l="1"/>
  <c r="E4392" i="6"/>
  <c r="E4370" i="6"/>
  <c r="F4344" i="6"/>
  <c r="E4426" i="6"/>
  <c r="F4400" i="6"/>
  <c r="F4383" i="6"/>
  <c r="E4409" i="6"/>
  <c r="E4404" i="6"/>
  <c r="F4378" i="6"/>
  <c r="F4371" i="6"/>
  <c r="E4397" i="6"/>
  <c r="E4406" i="6"/>
  <c r="F4380" i="6"/>
  <c r="E4405" i="6"/>
  <c r="F4379" i="6"/>
  <c r="F4414" i="6"/>
  <c r="E4440" i="6"/>
  <c r="F4390" i="6"/>
  <c r="E4416" i="6"/>
  <c r="E4450" i="6"/>
  <c r="F4424" i="6"/>
  <c r="E4373" i="6"/>
  <c r="F4347" i="6"/>
  <c r="E4393" i="6"/>
  <c r="F4367" i="6"/>
  <c r="F4410" i="6"/>
  <c r="E4436" i="6"/>
  <c r="E4387" i="6"/>
  <c r="F4361" i="6"/>
  <c r="E4446" i="6"/>
  <c r="F4420" i="6"/>
  <c r="E4377" i="6"/>
  <c r="F4351" i="6"/>
  <c r="E4395" i="6"/>
  <c r="F4369" i="6"/>
  <c r="E4389" i="6"/>
  <c r="F4363" i="6"/>
  <c r="E4382" i="6"/>
  <c r="F4356" i="6"/>
  <c r="E4381" i="6"/>
  <c r="F4355" i="6"/>
  <c r="E4417" i="6"/>
  <c r="F4391" i="6"/>
  <c r="E4464" i="6"/>
  <c r="F4438" i="6"/>
  <c r="F4402" i="6"/>
  <c r="E4428" i="6"/>
  <c r="E4401" i="6"/>
  <c r="F4375" i="6"/>
  <c r="F4359" i="6"/>
  <c r="E4385" i="6"/>
  <c r="E4454" i="6" l="1"/>
  <c r="F4428" i="6"/>
  <c r="E4435" i="6"/>
  <c r="F4409" i="6"/>
  <c r="F4382" i="6"/>
  <c r="E4408" i="6"/>
  <c r="F4446" i="6"/>
  <c r="E4472" i="6"/>
  <c r="E4399" i="6"/>
  <c r="F4373" i="6"/>
  <c r="E4431" i="6"/>
  <c r="F4405" i="6"/>
  <c r="E4490" i="6"/>
  <c r="F4464" i="6"/>
  <c r="E4415" i="6"/>
  <c r="F4389" i="6"/>
  <c r="E4413" i="6"/>
  <c r="F4387" i="6"/>
  <c r="F4450" i="6"/>
  <c r="E4476" i="6"/>
  <c r="E4432" i="6"/>
  <c r="F4406" i="6"/>
  <c r="F4426" i="6"/>
  <c r="E4452" i="6"/>
  <c r="E4411" i="6"/>
  <c r="F4385" i="6"/>
  <c r="E4462" i="6"/>
  <c r="F4436" i="6"/>
  <c r="E4442" i="6"/>
  <c r="F4416" i="6"/>
  <c r="E4423" i="6"/>
  <c r="F4397" i="6"/>
  <c r="F4417" i="6"/>
  <c r="E4443" i="6"/>
  <c r="F4395" i="6"/>
  <c r="E4421" i="6"/>
  <c r="F4370" i="6"/>
  <c r="E4396" i="6"/>
  <c r="E4466" i="6"/>
  <c r="F4440" i="6"/>
  <c r="E4418" i="6"/>
  <c r="F4392" i="6"/>
  <c r="E4427" i="6"/>
  <c r="F4401" i="6"/>
  <c r="E4407" i="6"/>
  <c r="F4381" i="6"/>
  <c r="E4403" i="6"/>
  <c r="F4377" i="6"/>
  <c r="E4419" i="6"/>
  <c r="F4393" i="6"/>
  <c r="E4430" i="6"/>
  <c r="F4404" i="6"/>
  <c r="E4478" i="6" l="1"/>
  <c r="F4452" i="6"/>
  <c r="F4472" i="6"/>
  <c r="E4498" i="6"/>
  <c r="E4429" i="6"/>
  <c r="F4403" i="6"/>
  <c r="E4492" i="6"/>
  <c r="F4466" i="6"/>
  <c r="E4449" i="6"/>
  <c r="F4423" i="6"/>
  <c r="E4441" i="6"/>
  <c r="F4415" i="6"/>
  <c r="F4396" i="6"/>
  <c r="E4422" i="6"/>
  <c r="F4408" i="6"/>
  <c r="E4434" i="6"/>
  <c r="E4433" i="6"/>
  <c r="F4407" i="6"/>
  <c r="E4468" i="6"/>
  <c r="F4442" i="6"/>
  <c r="E4458" i="6"/>
  <c r="F4432" i="6"/>
  <c r="F4490" i="6"/>
  <c r="E4516" i="6"/>
  <c r="F4421" i="6"/>
  <c r="E4447" i="6"/>
  <c r="E4502" i="6"/>
  <c r="F4476" i="6"/>
  <c r="F4430" i="6"/>
  <c r="E4456" i="6"/>
  <c r="F4427" i="6"/>
  <c r="E4453" i="6"/>
  <c r="F4462" i="6"/>
  <c r="E4488" i="6"/>
  <c r="F4431" i="6"/>
  <c r="E4457" i="6"/>
  <c r="F4435" i="6"/>
  <c r="E4461" i="6"/>
  <c r="E4469" i="6"/>
  <c r="F4443" i="6"/>
  <c r="F4419" i="6"/>
  <c r="E4445" i="6"/>
  <c r="F4418" i="6"/>
  <c r="E4444" i="6"/>
  <c r="E4437" i="6"/>
  <c r="F4411" i="6"/>
  <c r="E4439" i="6"/>
  <c r="F4413" i="6"/>
  <c r="E4425" i="6"/>
  <c r="F4399" i="6"/>
  <c r="F4454" i="6"/>
  <c r="E4480" i="6"/>
  <c r="E4479" i="6" l="1"/>
  <c r="F4453" i="6"/>
  <c r="E4542" i="6"/>
  <c r="F4516" i="6"/>
  <c r="F4434" i="6"/>
  <c r="E4460" i="6"/>
  <c r="F4439" i="6"/>
  <c r="E4465" i="6"/>
  <c r="E4495" i="6"/>
  <c r="F4469" i="6"/>
  <c r="E4518" i="6"/>
  <c r="F4492" i="6"/>
  <c r="E4487" i="6"/>
  <c r="F4461" i="6"/>
  <c r="F4456" i="6"/>
  <c r="E4482" i="6"/>
  <c r="F4422" i="6"/>
  <c r="E4448" i="6"/>
  <c r="E4463" i="6"/>
  <c r="F4437" i="6"/>
  <c r="F4458" i="6"/>
  <c r="E4484" i="6"/>
  <c r="E4455" i="6"/>
  <c r="F4429" i="6"/>
  <c r="E4506" i="6"/>
  <c r="F4480" i="6"/>
  <c r="E4470" i="6"/>
  <c r="F4444" i="6"/>
  <c r="E4483" i="6"/>
  <c r="F4457" i="6"/>
  <c r="F4498" i="6"/>
  <c r="E4524" i="6"/>
  <c r="F4502" i="6"/>
  <c r="E4528" i="6"/>
  <c r="E4494" i="6"/>
  <c r="F4468" i="6"/>
  <c r="E4467" i="6"/>
  <c r="F4441" i="6"/>
  <c r="E4471" i="6"/>
  <c r="F4445" i="6"/>
  <c r="E4514" i="6"/>
  <c r="F4488" i="6"/>
  <c r="F4447" i="6"/>
  <c r="E4473" i="6"/>
  <c r="E4451" i="6"/>
  <c r="F4425" i="6"/>
  <c r="E4459" i="6"/>
  <c r="F4433" i="6"/>
  <c r="E4475" i="6"/>
  <c r="F4449" i="6"/>
  <c r="E4504" i="6"/>
  <c r="F4478" i="6"/>
  <c r="E4550" i="6" l="1"/>
  <c r="F4524" i="6"/>
  <c r="F4482" i="6"/>
  <c r="E4508" i="6"/>
  <c r="F4465" i="6"/>
  <c r="E4491" i="6"/>
  <c r="F4459" i="6"/>
  <c r="E4485" i="6"/>
  <c r="F4471" i="6"/>
  <c r="E4497" i="6"/>
  <c r="F4455" i="6"/>
  <c r="E4481" i="6"/>
  <c r="E4510" i="6"/>
  <c r="F4484" i="6"/>
  <c r="E4486" i="6"/>
  <c r="F4460" i="6"/>
  <c r="F4451" i="6"/>
  <c r="E4477" i="6"/>
  <c r="F4467" i="6"/>
  <c r="E4493" i="6"/>
  <c r="F4483" i="6"/>
  <c r="E4509" i="6"/>
  <c r="E4513" i="6"/>
  <c r="F4487" i="6"/>
  <c r="F4473" i="6"/>
  <c r="E4499" i="6"/>
  <c r="E4530" i="6"/>
  <c r="F4504" i="6"/>
  <c r="E4520" i="6"/>
  <c r="F4494" i="6"/>
  <c r="F4470" i="6"/>
  <c r="E4496" i="6"/>
  <c r="E4489" i="6"/>
  <c r="F4463" i="6"/>
  <c r="F4518" i="6"/>
  <c r="E4544" i="6"/>
  <c r="F4542" i="6"/>
  <c r="E4568" i="6"/>
  <c r="E4554" i="6"/>
  <c r="F4528" i="6"/>
  <c r="E4474" i="6"/>
  <c r="F4448" i="6"/>
  <c r="F4475" i="6"/>
  <c r="E4501" i="6"/>
  <c r="F4514" i="6"/>
  <c r="E4540" i="6"/>
  <c r="F4506" i="6"/>
  <c r="E4532" i="6"/>
  <c r="F4495" i="6"/>
  <c r="E4521" i="6"/>
  <c r="F4479" i="6"/>
  <c r="E4505" i="6"/>
  <c r="E4558" i="6" l="1"/>
  <c r="F4532" i="6"/>
  <c r="E4522" i="6"/>
  <c r="F4496" i="6"/>
  <c r="E4511" i="6"/>
  <c r="F4485" i="6"/>
  <c r="F4554" i="6"/>
  <c r="E4580" i="6"/>
  <c r="F4513" i="6"/>
  <c r="E4539" i="6"/>
  <c r="E4512" i="6"/>
  <c r="F4486" i="6"/>
  <c r="E4566" i="6"/>
  <c r="F4540" i="6"/>
  <c r="E4594" i="6"/>
  <c r="F4568" i="6"/>
  <c r="E4535" i="6"/>
  <c r="F4509" i="6"/>
  <c r="F4491" i="6"/>
  <c r="E4517" i="6"/>
  <c r="E4546" i="6"/>
  <c r="F4520" i="6"/>
  <c r="F4510" i="6"/>
  <c r="E4536" i="6"/>
  <c r="E4531" i="6"/>
  <c r="F4505" i="6"/>
  <c r="E4527" i="6"/>
  <c r="F4501" i="6"/>
  <c r="F4544" i="6"/>
  <c r="E4570" i="6"/>
  <c r="F4493" i="6"/>
  <c r="E4519" i="6"/>
  <c r="E4507" i="6"/>
  <c r="F4481" i="6"/>
  <c r="E4534" i="6"/>
  <c r="F4508" i="6"/>
  <c r="E4556" i="6"/>
  <c r="F4530" i="6"/>
  <c r="E4547" i="6"/>
  <c r="F4521" i="6"/>
  <c r="F4499" i="6"/>
  <c r="E4525" i="6"/>
  <c r="E4503" i="6"/>
  <c r="F4477" i="6"/>
  <c r="E4523" i="6"/>
  <c r="F4497" i="6"/>
  <c r="E4500" i="6"/>
  <c r="F4474" i="6"/>
  <c r="E4515" i="6"/>
  <c r="F4489" i="6"/>
  <c r="F4550" i="6"/>
  <c r="E4576" i="6"/>
  <c r="F4519" i="6" l="1"/>
  <c r="E4545" i="6"/>
  <c r="F4536" i="6"/>
  <c r="E4562" i="6"/>
  <c r="E4606" i="6"/>
  <c r="F4580" i="6"/>
  <c r="F4500" i="6"/>
  <c r="E4526" i="6"/>
  <c r="F4547" i="6"/>
  <c r="E4573" i="6"/>
  <c r="E4620" i="6"/>
  <c r="F4594" i="6"/>
  <c r="E4596" i="6"/>
  <c r="F4570" i="6"/>
  <c r="E4549" i="6"/>
  <c r="F4523" i="6"/>
  <c r="E4582" i="6"/>
  <c r="F4556" i="6"/>
  <c r="F4546" i="6"/>
  <c r="E4572" i="6"/>
  <c r="F4566" i="6"/>
  <c r="E4592" i="6"/>
  <c r="F4511" i="6"/>
  <c r="E4537" i="6"/>
  <c r="E4602" i="6"/>
  <c r="F4576" i="6"/>
  <c r="E4543" i="6"/>
  <c r="F4517" i="6"/>
  <c r="F4503" i="6"/>
  <c r="E4529" i="6"/>
  <c r="E4560" i="6"/>
  <c r="F4534" i="6"/>
  <c r="F4527" i="6"/>
  <c r="E4553" i="6"/>
  <c r="E4538" i="6"/>
  <c r="F4512" i="6"/>
  <c r="F4522" i="6"/>
  <c r="E4548" i="6"/>
  <c r="F4539" i="6"/>
  <c r="E4565" i="6"/>
  <c r="E4551" i="6"/>
  <c r="F4525" i="6"/>
  <c r="F4515" i="6"/>
  <c r="E4541" i="6"/>
  <c r="F4507" i="6"/>
  <c r="E4533" i="6"/>
  <c r="F4531" i="6"/>
  <c r="E4557" i="6"/>
  <c r="F4535" i="6"/>
  <c r="E4561" i="6"/>
  <c r="F4558" i="6"/>
  <c r="E4584" i="6"/>
  <c r="F4557" i="6" l="1"/>
  <c r="E4583" i="6"/>
  <c r="F4565" i="6"/>
  <c r="E4591" i="6"/>
  <c r="E4563" i="6"/>
  <c r="F4537" i="6"/>
  <c r="F4526" i="6"/>
  <c r="E4552" i="6"/>
  <c r="F4560" i="6"/>
  <c r="E4586" i="6"/>
  <c r="E4575" i="6"/>
  <c r="F4549" i="6"/>
  <c r="E4559" i="6"/>
  <c r="F4533" i="6"/>
  <c r="F4548" i="6"/>
  <c r="E4574" i="6"/>
  <c r="F4529" i="6"/>
  <c r="E4555" i="6"/>
  <c r="E4618" i="6"/>
  <c r="F4592" i="6"/>
  <c r="E4622" i="6"/>
  <c r="F4596" i="6"/>
  <c r="F4606" i="6"/>
  <c r="E4632" i="6"/>
  <c r="E4610" i="6"/>
  <c r="F4584" i="6"/>
  <c r="E4567" i="6"/>
  <c r="F4541" i="6"/>
  <c r="E4598" i="6"/>
  <c r="F4572" i="6"/>
  <c r="E4588" i="6"/>
  <c r="F4562" i="6"/>
  <c r="F4538" i="6"/>
  <c r="E4564" i="6"/>
  <c r="E4569" i="6"/>
  <c r="F4543" i="6"/>
  <c r="E4646" i="6"/>
  <c r="F4620" i="6"/>
  <c r="E4587" i="6"/>
  <c r="F4561" i="6"/>
  <c r="E4579" i="6"/>
  <c r="F4553" i="6"/>
  <c r="E4599" i="6"/>
  <c r="F4573" i="6"/>
  <c r="F4545" i="6"/>
  <c r="E4571" i="6"/>
  <c r="F4551" i="6"/>
  <c r="E4577" i="6"/>
  <c r="E4628" i="6"/>
  <c r="F4602" i="6"/>
  <c r="F4582" i="6"/>
  <c r="E4608" i="6"/>
  <c r="E4603" i="6" l="1"/>
  <c r="F4577" i="6"/>
  <c r="F4587" i="6"/>
  <c r="E4613" i="6"/>
  <c r="E4614" i="6"/>
  <c r="F4588" i="6"/>
  <c r="F4571" i="6"/>
  <c r="E4597" i="6"/>
  <c r="E4658" i="6"/>
  <c r="F4632" i="6"/>
  <c r="E4672" i="6"/>
  <c r="F4646" i="6"/>
  <c r="E4624" i="6"/>
  <c r="F4598" i="6"/>
  <c r="E4648" i="6"/>
  <c r="F4622" i="6"/>
  <c r="E4585" i="6"/>
  <c r="F4559" i="6"/>
  <c r="F4563" i="6"/>
  <c r="E4589" i="6"/>
  <c r="F4552" i="6"/>
  <c r="E4578" i="6"/>
  <c r="E4634" i="6"/>
  <c r="F4608" i="6"/>
  <c r="E4617" i="6"/>
  <c r="F4591" i="6"/>
  <c r="E4644" i="6"/>
  <c r="F4618" i="6"/>
  <c r="E4601" i="6"/>
  <c r="F4575" i="6"/>
  <c r="F4569" i="6"/>
  <c r="E4595" i="6"/>
  <c r="E4590" i="6"/>
  <c r="F4564" i="6"/>
  <c r="F4555" i="6"/>
  <c r="E4581" i="6"/>
  <c r="E4612" i="6"/>
  <c r="F4586" i="6"/>
  <c r="F4583" i="6"/>
  <c r="E4609" i="6"/>
  <c r="E4600" i="6"/>
  <c r="F4574" i="6"/>
  <c r="E4625" i="6"/>
  <c r="F4599" i="6"/>
  <c r="F4567" i="6"/>
  <c r="E4593" i="6"/>
  <c r="E4654" i="6"/>
  <c r="F4628" i="6"/>
  <c r="F4579" i="6"/>
  <c r="E4605" i="6"/>
  <c r="F4610" i="6"/>
  <c r="E4636" i="6"/>
  <c r="E4680" i="6" l="1"/>
  <c r="F4654" i="6"/>
  <c r="E4660" i="6"/>
  <c r="F4634" i="6"/>
  <c r="E4674" i="6"/>
  <c r="F4648" i="6"/>
  <c r="F4597" i="6"/>
  <c r="E4623" i="6"/>
  <c r="F4593" i="6"/>
  <c r="E4619" i="6"/>
  <c r="F4578" i="6"/>
  <c r="E4604" i="6"/>
  <c r="E4635" i="6"/>
  <c r="F4609" i="6"/>
  <c r="E4638" i="6"/>
  <c r="F4612" i="6"/>
  <c r="F4601" i="6"/>
  <c r="E4627" i="6"/>
  <c r="E4650" i="6"/>
  <c r="F4624" i="6"/>
  <c r="E4640" i="6"/>
  <c r="F4614" i="6"/>
  <c r="F4589" i="6"/>
  <c r="E4615" i="6"/>
  <c r="E4639" i="6"/>
  <c r="F4613" i="6"/>
  <c r="E4651" i="6"/>
  <c r="F4625" i="6"/>
  <c r="E4670" i="6"/>
  <c r="F4644" i="6"/>
  <c r="E4698" i="6"/>
  <c r="F4672" i="6"/>
  <c r="E4631" i="6"/>
  <c r="F4605" i="6"/>
  <c r="E4621" i="6"/>
  <c r="F4595" i="6"/>
  <c r="E4662" i="6"/>
  <c r="F4636" i="6"/>
  <c r="F4581" i="6"/>
  <c r="E4607" i="6"/>
  <c r="E4626" i="6"/>
  <c r="F4600" i="6"/>
  <c r="F4590" i="6"/>
  <c r="E4616" i="6"/>
  <c r="F4617" i="6"/>
  <c r="E4643" i="6"/>
  <c r="E4611" i="6"/>
  <c r="F4585" i="6"/>
  <c r="F4658" i="6"/>
  <c r="E4684" i="6"/>
  <c r="E4629" i="6"/>
  <c r="F4603" i="6"/>
  <c r="E4633" i="6" l="1"/>
  <c r="F4607" i="6"/>
  <c r="F4615" i="6"/>
  <c r="E4641" i="6"/>
  <c r="E4649" i="6"/>
  <c r="F4623" i="6"/>
  <c r="E4669" i="6"/>
  <c r="F4643" i="6"/>
  <c r="E4700" i="6"/>
  <c r="F4674" i="6"/>
  <c r="F4662" i="6"/>
  <c r="E4688" i="6"/>
  <c r="F4604" i="6"/>
  <c r="E4630" i="6"/>
  <c r="E4637" i="6"/>
  <c r="F4611" i="6"/>
  <c r="E4661" i="6"/>
  <c r="F4635" i="6"/>
  <c r="F4629" i="6"/>
  <c r="E4655" i="6"/>
  <c r="F4621" i="6"/>
  <c r="E4647" i="6"/>
  <c r="E4677" i="6"/>
  <c r="F4651" i="6"/>
  <c r="F4650" i="6"/>
  <c r="E4676" i="6"/>
  <c r="E4686" i="6"/>
  <c r="F4660" i="6"/>
  <c r="F4638" i="6"/>
  <c r="E4664" i="6"/>
  <c r="E4696" i="6"/>
  <c r="F4670" i="6"/>
  <c r="E4710" i="6"/>
  <c r="F4684" i="6"/>
  <c r="E4653" i="6"/>
  <c r="F4627" i="6"/>
  <c r="F4619" i="6"/>
  <c r="E4645" i="6"/>
  <c r="E4724" i="6"/>
  <c r="F4698" i="6"/>
  <c r="E4666" i="6"/>
  <c r="F4640" i="6"/>
  <c r="E4642" i="6"/>
  <c r="F4616" i="6"/>
  <c r="F4626" i="6"/>
  <c r="E4652" i="6"/>
  <c r="E4657" i="6"/>
  <c r="F4631" i="6"/>
  <c r="E4665" i="6"/>
  <c r="F4639" i="6"/>
  <c r="E4706" i="6"/>
  <c r="F4680" i="6"/>
  <c r="F4657" i="6" l="1"/>
  <c r="E4683" i="6"/>
  <c r="E4750" i="6"/>
  <c r="F4724" i="6"/>
  <c r="E4722" i="6"/>
  <c r="F4696" i="6"/>
  <c r="E4703" i="6"/>
  <c r="F4677" i="6"/>
  <c r="F4637" i="6"/>
  <c r="E4663" i="6"/>
  <c r="F4669" i="6"/>
  <c r="E4695" i="6"/>
  <c r="E4678" i="6"/>
  <c r="F4652" i="6"/>
  <c r="F4645" i="6"/>
  <c r="E4671" i="6"/>
  <c r="E4690" i="6"/>
  <c r="F4664" i="6"/>
  <c r="E4673" i="6"/>
  <c r="F4647" i="6"/>
  <c r="E4656" i="6"/>
  <c r="F4630" i="6"/>
  <c r="F4649" i="6"/>
  <c r="E4675" i="6"/>
  <c r="E4681" i="6"/>
  <c r="F4655" i="6"/>
  <c r="E4714" i="6"/>
  <c r="F4688" i="6"/>
  <c r="F4641" i="6"/>
  <c r="E4667" i="6"/>
  <c r="E4732" i="6"/>
  <c r="F4706" i="6"/>
  <c r="F4642" i="6"/>
  <c r="E4668" i="6"/>
  <c r="F4653" i="6"/>
  <c r="E4679" i="6"/>
  <c r="E4712" i="6"/>
  <c r="F4686" i="6"/>
  <c r="E4702" i="6"/>
  <c r="F4676" i="6"/>
  <c r="F4665" i="6"/>
  <c r="E4691" i="6"/>
  <c r="F4666" i="6"/>
  <c r="E4692" i="6"/>
  <c r="E4736" i="6"/>
  <c r="F4710" i="6"/>
  <c r="E4687" i="6"/>
  <c r="F4661" i="6"/>
  <c r="E4726" i="6"/>
  <c r="F4700" i="6"/>
  <c r="F4633" i="6"/>
  <c r="E4659" i="6"/>
  <c r="F4675" i="6" l="1"/>
  <c r="E4701" i="6"/>
  <c r="E4697" i="6"/>
  <c r="F4671" i="6"/>
  <c r="E4713" i="6"/>
  <c r="F4687" i="6"/>
  <c r="E4728" i="6"/>
  <c r="F4702" i="6"/>
  <c r="E4758" i="6"/>
  <c r="F4732" i="6"/>
  <c r="E4729" i="6"/>
  <c r="F4703" i="6"/>
  <c r="E4693" i="6"/>
  <c r="F4667" i="6"/>
  <c r="E4762" i="6"/>
  <c r="F4736" i="6"/>
  <c r="E4738" i="6"/>
  <c r="F4712" i="6"/>
  <c r="E4682" i="6"/>
  <c r="F4656" i="6"/>
  <c r="F4678" i="6"/>
  <c r="E4704" i="6"/>
  <c r="F4722" i="6"/>
  <c r="E4748" i="6"/>
  <c r="F4659" i="6"/>
  <c r="E4685" i="6"/>
  <c r="E4718" i="6"/>
  <c r="F4692" i="6"/>
  <c r="F4679" i="6"/>
  <c r="E4705" i="6"/>
  <c r="E4721" i="6"/>
  <c r="F4695" i="6"/>
  <c r="E4740" i="6"/>
  <c r="F4714" i="6"/>
  <c r="E4699" i="6"/>
  <c r="F4673" i="6"/>
  <c r="E4776" i="6"/>
  <c r="F4750" i="6"/>
  <c r="E4717" i="6"/>
  <c r="F4691" i="6"/>
  <c r="F4668" i="6"/>
  <c r="E4694" i="6"/>
  <c r="E4689" i="6"/>
  <c r="F4663" i="6"/>
  <c r="E4709" i="6"/>
  <c r="F4683" i="6"/>
  <c r="E4752" i="6"/>
  <c r="F4726" i="6"/>
  <c r="F4681" i="6"/>
  <c r="E4707" i="6"/>
  <c r="E4716" i="6"/>
  <c r="F4690" i="6"/>
  <c r="E4774" i="6" l="1"/>
  <c r="F4748" i="6"/>
  <c r="E4778" i="6"/>
  <c r="F4752" i="6"/>
  <c r="E4743" i="6"/>
  <c r="F4717" i="6"/>
  <c r="F4721" i="6"/>
  <c r="E4747" i="6"/>
  <c r="E4788" i="6"/>
  <c r="F4762" i="6"/>
  <c r="E4754" i="6"/>
  <c r="F4728" i="6"/>
  <c r="F4705" i="6"/>
  <c r="E4731" i="6"/>
  <c r="E4730" i="6"/>
  <c r="F4704" i="6"/>
  <c r="E4735" i="6"/>
  <c r="F4709" i="6"/>
  <c r="E4802" i="6"/>
  <c r="F4776" i="6"/>
  <c r="F4693" i="6"/>
  <c r="E4719" i="6"/>
  <c r="F4713" i="6"/>
  <c r="E4739" i="6"/>
  <c r="E4742" i="6"/>
  <c r="F4716" i="6"/>
  <c r="F4689" i="6"/>
  <c r="E4715" i="6"/>
  <c r="E4725" i="6"/>
  <c r="F4699" i="6"/>
  <c r="E4744" i="6"/>
  <c r="F4718" i="6"/>
  <c r="E4708" i="6"/>
  <c r="F4682" i="6"/>
  <c r="E4755" i="6"/>
  <c r="F4729" i="6"/>
  <c r="F4697" i="6"/>
  <c r="E4723" i="6"/>
  <c r="E4733" i="6"/>
  <c r="F4707" i="6"/>
  <c r="E4720" i="6"/>
  <c r="F4694" i="6"/>
  <c r="F4685" i="6"/>
  <c r="E4711" i="6"/>
  <c r="F4701" i="6"/>
  <c r="E4727" i="6"/>
  <c r="E4766" i="6"/>
  <c r="F4740" i="6"/>
  <c r="E4764" i="6"/>
  <c r="F4738" i="6"/>
  <c r="E4784" i="6"/>
  <c r="F4758" i="6"/>
  <c r="E4765" i="6" l="1"/>
  <c r="F4739" i="6"/>
  <c r="E4773" i="6"/>
  <c r="F4747" i="6"/>
  <c r="E4792" i="6"/>
  <c r="F4766" i="6"/>
  <c r="F4733" i="6"/>
  <c r="E4759" i="6"/>
  <c r="E4770" i="6"/>
  <c r="F4744" i="6"/>
  <c r="F4730" i="6"/>
  <c r="E4756" i="6"/>
  <c r="E4753" i="6"/>
  <c r="F4727" i="6"/>
  <c r="E4749" i="6"/>
  <c r="F4723" i="6"/>
  <c r="E4745" i="6"/>
  <c r="F4719" i="6"/>
  <c r="E4757" i="6"/>
  <c r="F4731" i="6"/>
  <c r="E4751" i="6"/>
  <c r="F4725" i="6"/>
  <c r="E4769" i="6"/>
  <c r="F4743" i="6"/>
  <c r="E4737" i="6"/>
  <c r="F4711" i="6"/>
  <c r="E4741" i="6"/>
  <c r="F4715" i="6"/>
  <c r="E4810" i="6"/>
  <c r="F4784" i="6"/>
  <c r="E4781" i="6"/>
  <c r="F4755" i="6"/>
  <c r="E4828" i="6"/>
  <c r="F4802" i="6"/>
  <c r="E4780" i="6"/>
  <c r="F4754" i="6"/>
  <c r="E4804" i="6"/>
  <c r="F4778" i="6"/>
  <c r="E4790" i="6"/>
  <c r="F4764" i="6"/>
  <c r="E4746" i="6"/>
  <c r="F4720" i="6"/>
  <c r="E4734" i="6"/>
  <c r="F4708" i="6"/>
  <c r="F4742" i="6"/>
  <c r="E4768" i="6"/>
  <c r="E4761" i="6"/>
  <c r="F4735" i="6"/>
  <c r="E4814" i="6"/>
  <c r="F4788" i="6"/>
  <c r="E4800" i="6"/>
  <c r="F4774" i="6"/>
  <c r="E4785" i="6" l="1"/>
  <c r="F4759" i="6"/>
  <c r="E4787" i="6"/>
  <c r="F4761" i="6"/>
  <c r="E4816" i="6"/>
  <c r="F4790" i="6"/>
  <c r="E4807" i="6"/>
  <c r="F4781" i="6"/>
  <c r="F4769" i="6"/>
  <c r="E4795" i="6"/>
  <c r="F4749" i="6"/>
  <c r="E4775" i="6"/>
  <c r="E4794" i="6"/>
  <c r="F4768" i="6"/>
  <c r="E4830" i="6"/>
  <c r="F4804" i="6"/>
  <c r="E4836" i="6"/>
  <c r="F4810" i="6"/>
  <c r="E4777" i="6"/>
  <c r="F4751" i="6"/>
  <c r="F4753" i="6"/>
  <c r="E4779" i="6"/>
  <c r="E4818" i="6"/>
  <c r="F4792" i="6"/>
  <c r="E4782" i="6"/>
  <c r="F4756" i="6"/>
  <c r="E4826" i="6"/>
  <c r="F4800" i="6"/>
  <c r="E4760" i="6"/>
  <c r="F4734" i="6"/>
  <c r="E4806" i="6"/>
  <c r="F4780" i="6"/>
  <c r="F4741" i="6"/>
  <c r="E4767" i="6"/>
  <c r="F4757" i="6"/>
  <c r="E4783" i="6"/>
  <c r="F4773" i="6"/>
  <c r="E4799" i="6"/>
  <c r="E4840" i="6"/>
  <c r="F4814" i="6"/>
  <c r="E4772" i="6"/>
  <c r="F4746" i="6"/>
  <c r="E4854" i="6"/>
  <c r="F4828" i="6"/>
  <c r="F4737" i="6"/>
  <c r="E4763" i="6"/>
  <c r="F4745" i="6"/>
  <c r="E4771" i="6"/>
  <c r="E4796" i="6"/>
  <c r="F4770" i="6"/>
  <c r="F4765" i="6"/>
  <c r="E4791" i="6"/>
  <c r="E4797" i="6" l="1"/>
  <c r="F4771" i="6"/>
  <c r="F4840" i="6"/>
  <c r="E4866" i="6"/>
  <c r="F4806" i="6"/>
  <c r="E4832" i="6"/>
  <c r="E4844" i="6"/>
  <c r="F4818" i="6"/>
  <c r="E4856" i="6"/>
  <c r="F4830" i="6"/>
  <c r="F4807" i="6"/>
  <c r="E4833" i="6"/>
  <c r="E4789" i="6"/>
  <c r="F4763" i="6"/>
  <c r="E4825" i="6"/>
  <c r="F4799" i="6"/>
  <c r="E4805" i="6"/>
  <c r="F4779" i="6"/>
  <c r="E4786" i="6"/>
  <c r="F4760" i="6"/>
  <c r="F4794" i="6"/>
  <c r="E4820" i="6"/>
  <c r="E4842" i="6"/>
  <c r="F4816" i="6"/>
  <c r="F4791" i="6"/>
  <c r="E4817" i="6"/>
  <c r="E4809" i="6"/>
  <c r="F4783" i="6"/>
  <c r="E4801" i="6"/>
  <c r="F4775" i="6"/>
  <c r="E4880" i="6"/>
  <c r="F4854" i="6"/>
  <c r="E4852" i="6"/>
  <c r="F4826" i="6"/>
  <c r="F4777" i="6"/>
  <c r="E4803" i="6"/>
  <c r="E4813" i="6"/>
  <c r="F4787" i="6"/>
  <c r="E4793" i="6"/>
  <c r="F4767" i="6"/>
  <c r="F4795" i="6"/>
  <c r="E4821" i="6"/>
  <c r="E4822" i="6"/>
  <c r="F4796" i="6"/>
  <c r="E4798" i="6"/>
  <c r="F4772" i="6"/>
  <c r="E4808" i="6"/>
  <c r="F4782" i="6"/>
  <c r="E4862" i="6"/>
  <c r="F4836" i="6"/>
  <c r="F4785" i="6"/>
  <c r="E4811" i="6"/>
  <c r="E4834" i="6" l="1"/>
  <c r="F4808" i="6"/>
  <c r="F4793" i="6"/>
  <c r="E4819" i="6"/>
  <c r="E4906" i="6"/>
  <c r="F4880" i="6"/>
  <c r="E4868" i="6"/>
  <c r="F4842" i="6"/>
  <c r="F4825" i="6"/>
  <c r="E4851" i="6"/>
  <c r="E4870" i="6"/>
  <c r="F4844" i="6"/>
  <c r="E4858" i="6"/>
  <c r="F4832" i="6"/>
  <c r="E4824" i="6"/>
  <c r="F4798" i="6"/>
  <c r="F4813" i="6"/>
  <c r="E4839" i="6"/>
  <c r="F4801" i="6"/>
  <c r="E4827" i="6"/>
  <c r="F4789" i="6"/>
  <c r="E4815" i="6"/>
  <c r="E4837" i="6"/>
  <c r="F4811" i="6"/>
  <c r="E4829" i="6"/>
  <c r="F4803" i="6"/>
  <c r="F4833" i="6"/>
  <c r="E4859" i="6"/>
  <c r="E4892" i="6"/>
  <c r="F4866" i="6"/>
  <c r="E4848" i="6"/>
  <c r="F4822" i="6"/>
  <c r="F4809" i="6"/>
  <c r="E4835" i="6"/>
  <c r="E4812" i="6"/>
  <c r="F4786" i="6"/>
  <c r="E4847" i="6"/>
  <c r="F4821" i="6"/>
  <c r="F4817" i="6"/>
  <c r="E4843" i="6"/>
  <c r="E4846" i="6"/>
  <c r="F4820" i="6"/>
  <c r="F4862" i="6"/>
  <c r="E4888" i="6"/>
  <c r="F4852" i="6"/>
  <c r="E4878" i="6"/>
  <c r="F4805" i="6"/>
  <c r="E4831" i="6"/>
  <c r="E4882" i="6"/>
  <c r="F4856" i="6"/>
  <c r="F4797" i="6"/>
  <c r="E4823" i="6"/>
  <c r="F4831" i="6" l="1"/>
  <c r="E4857" i="6"/>
  <c r="F4843" i="6"/>
  <c r="E4869" i="6"/>
  <c r="E4874" i="6"/>
  <c r="F4848" i="6"/>
  <c r="F4837" i="6"/>
  <c r="E4863" i="6"/>
  <c r="E4850" i="6"/>
  <c r="F4824" i="6"/>
  <c r="E4894" i="6"/>
  <c r="F4868" i="6"/>
  <c r="E4904" i="6"/>
  <c r="F4878" i="6"/>
  <c r="E4841" i="6"/>
  <c r="F4815" i="6"/>
  <c r="F4847" i="6"/>
  <c r="E4873" i="6"/>
  <c r="E4918" i="6"/>
  <c r="F4892" i="6"/>
  <c r="E4884" i="6"/>
  <c r="F4858" i="6"/>
  <c r="E4932" i="6"/>
  <c r="F4906" i="6"/>
  <c r="E4849" i="6"/>
  <c r="F4823" i="6"/>
  <c r="F4888" i="6"/>
  <c r="E4914" i="6"/>
  <c r="F4859" i="6"/>
  <c r="E4885" i="6"/>
  <c r="E4853" i="6"/>
  <c r="F4827" i="6"/>
  <c r="E4845" i="6"/>
  <c r="F4819" i="6"/>
  <c r="E4838" i="6"/>
  <c r="F4812" i="6"/>
  <c r="F4870" i="6"/>
  <c r="E4896" i="6"/>
  <c r="E4861" i="6"/>
  <c r="F4835" i="6"/>
  <c r="E4865" i="6"/>
  <c r="F4839" i="6"/>
  <c r="E4877" i="6"/>
  <c r="F4851" i="6"/>
  <c r="F4882" i="6"/>
  <c r="E4908" i="6"/>
  <c r="E4872" i="6"/>
  <c r="F4846" i="6"/>
  <c r="F4829" i="6"/>
  <c r="E4855" i="6"/>
  <c r="F4834" i="6"/>
  <c r="E4860" i="6"/>
  <c r="E4889" i="6" l="1"/>
  <c r="F4863" i="6"/>
  <c r="F4872" i="6"/>
  <c r="E4898" i="6"/>
  <c r="E4887" i="6"/>
  <c r="F4861" i="6"/>
  <c r="F4853" i="6"/>
  <c r="E4879" i="6"/>
  <c r="F4932" i="6"/>
  <c r="E4958" i="6"/>
  <c r="F4841" i="6"/>
  <c r="E4867" i="6"/>
  <c r="E4934" i="6"/>
  <c r="F4908" i="6"/>
  <c r="E4922" i="6"/>
  <c r="F4896" i="6"/>
  <c r="E4911" i="6"/>
  <c r="F4885" i="6"/>
  <c r="E4910" i="6"/>
  <c r="F4884" i="6"/>
  <c r="E4930" i="6"/>
  <c r="F4904" i="6"/>
  <c r="E4900" i="6"/>
  <c r="F4874" i="6"/>
  <c r="E4886" i="6"/>
  <c r="F4860" i="6"/>
  <c r="E4940" i="6"/>
  <c r="F4914" i="6"/>
  <c r="E4895" i="6"/>
  <c r="F4869" i="6"/>
  <c r="E4903" i="6"/>
  <c r="F4877" i="6"/>
  <c r="E4864" i="6"/>
  <c r="F4838" i="6"/>
  <c r="E4944" i="6"/>
  <c r="F4918" i="6"/>
  <c r="F4894" i="6"/>
  <c r="E4920" i="6"/>
  <c r="E4881" i="6"/>
  <c r="F4855" i="6"/>
  <c r="F4873" i="6"/>
  <c r="E4899" i="6"/>
  <c r="F4857" i="6"/>
  <c r="E4883" i="6"/>
  <c r="E4891" i="6"/>
  <c r="F4865" i="6"/>
  <c r="F4845" i="6"/>
  <c r="E4871" i="6"/>
  <c r="F4849" i="6"/>
  <c r="E4875" i="6"/>
  <c r="E4876" i="6"/>
  <c r="F4850" i="6"/>
  <c r="F4871" i="6" l="1"/>
  <c r="E4897" i="6"/>
  <c r="E4905" i="6"/>
  <c r="F4879" i="6"/>
  <c r="F4881" i="6"/>
  <c r="E4907" i="6"/>
  <c r="E4929" i="6"/>
  <c r="F4903" i="6"/>
  <c r="F4900" i="6"/>
  <c r="E4926" i="6"/>
  <c r="E4948" i="6"/>
  <c r="F4922" i="6"/>
  <c r="E4946" i="6"/>
  <c r="F4920" i="6"/>
  <c r="E4917" i="6"/>
  <c r="F4891" i="6"/>
  <c r="E4921" i="6"/>
  <c r="F4895" i="6"/>
  <c r="E4956" i="6"/>
  <c r="F4930" i="6"/>
  <c r="E4960" i="6"/>
  <c r="F4934" i="6"/>
  <c r="E4913" i="6"/>
  <c r="F4887" i="6"/>
  <c r="E4909" i="6"/>
  <c r="F4883" i="6"/>
  <c r="E4893" i="6"/>
  <c r="F4867" i="6"/>
  <c r="F4898" i="6"/>
  <c r="E4924" i="6"/>
  <c r="E4902" i="6"/>
  <c r="F4876" i="6"/>
  <c r="E4970" i="6"/>
  <c r="F4944" i="6"/>
  <c r="E4966" i="6"/>
  <c r="F4940" i="6"/>
  <c r="E4936" i="6"/>
  <c r="F4910" i="6"/>
  <c r="E4901" i="6"/>
  <c r="F4875" i="6"/>
  <c r="E4925" i="6"/>
  <c r="F4899" i="6"/>
  <c r="E4984" i="6"/>
  <c r="F4958" i="6"/>
  <c r="E4890" i="6"/>
  <c r="F4864" i="6"/>
  <c r="E4912" i="6"/>
  <c r="F4886" i="6"/>
  <c r="F4911" i="6"/>
  <c r="E4937" i="6"/>
  <c r="F4889" i="6"/>
  <c r="E4915" i="6"/>
  <c r="F4921" i="6" l="1"/>
  <c r="E4947" i="6"/>
  <c r="E4938" i="6"/>
  <c r="F4912" i="6"/>
  <c r="E4927" i="6"/>
  <c r="F4901" i="6"/>
  <c r="F4902" i="6"/>
  <c r="E4928" i="6"/>
  <c r="F4913" i="6"/>
  <c r="E4939" i="6"/>
  <c r="F4917" i="6"/>
  <c r="E4943" i="6"/>
  <c r="F4929" i="6"/>
  <c r="E4955" i="6"/>
  <c r="E4935" i="6"/>
  <c r="F4909" i="6"/>
  <c r="E4950" i="6"/>
  <c r="F4924" i="6"/>
  <c r="E4933" i="6"/>
  <c r="F4907" i="6"/>
  <c r="E4916" i="6"/>
  <c r="F4890" i="6"/>
  <c r="E4962" i="6"/>
  <c r="F4936" i="6"/>
  <c r="E4986" i="6"/>
  <c r="F4960" i="6"/>
  <c r="E4972" i="6"/>
  <c r="F4946" i="6"/>
  <c r="E4941" i="6"/>
  <c r="F4915" i="6"/>
  <c r="F4925" i="6"/>
  <c r="E4951" i="6"/>
  <c r="F4984" i="6"/>
  <c r="E5010" i="6"/>
  <c r="E4992" i="6"/>
  <c r="F4966" i="6"/>
  <c r="F4893" i="6"/>
  <c r="E4919" i="6"/>
  <c r="E4982" i="6"/>
  <c r="F4956" i="6"/>
  <c r="E4974" i="6"/>
  <c r="F4948" i="6"/>
  <c r="F4905" i="6"/>
  <c r="E4931" i="6"/>
  <c r="E4996" i="6"/>
  <c r="F4970" i="6"/>
  <c r="F4937" i="6"/>
  <c r="E4963" i="6"/>
  <c r="E4952" i="6"/>
  <c r="F4926" i="6"/>
  <c r="F4897" i="6"/>
  <c r="E4923" i="6"/>
  <c r="E4989" i="6" l="1"/>
  <c r="F4963" i="6"/>
  <c r="F4982" i="6"/>
  <c r="E5008" i="6"/>
  <c r="E4988" i="6"/>
  <c r="F4962" i="6"/>
  <c r="F4935" i="6"/>
  <c r="E4961" i="6"/>
  <c r="E4945" i="6"/>
  <c r="F4919" i="6"/>
  <c r="E4981" i="6"/>
  <c r="F4955" i="6"/>
  <c r="E4977" i="6"/>
  <c r="F4951" i="6"/>
  <c r="E5022" i="6"/>
  <c r="F4996" i="6"/>
  <c r="F4941" i="6"/>
  <c r="E4967" i="6"/>
  <c r="E4942" i="6"/>
  <c r="F4916" i="6"/>
  <c r="E4953" i="6"/>
  <c r="F4927" i="6"/>
  <c r="E4949" i="6"/>
  <c r="F4923" i="6"/>
  <c r="E4957" i="6"/>
  <c r="F4931" i="6"/>
  <c r="E4969" i="6"/>
  <c r="F4943" i="6"/>
  <c r="F4992" i="6"/>
  <c r="E5018" i="6"/>
  <c r="E4998" i="6"/>
  <c r="F4972" i="6"/>
  <c r="E4959" i="6"/>
  <c r="F4933" i="6"/>
  <c r="F4938" i="6"/>
  <c r="E4964" i="6"/>
  <c r="E5036" i="6"/>
  <c r="F5010" i="6"/>
  <c r="E4965" i="6"/>
  <c r="F4939" i="6"/>
  <c r="E4973" i="6"/>
  <c r="F4947" i="6"/>
  <c r="E4954" i="6"/>
  <c r="F4928" i="6"/>
  <c r="F4952" i="6"/>
  <c r="E4978" i="6"/>
  <c r="E5000" i="6"/>
  <c r="F4974" i="6"/>
  <c r="E5012" i="6"/>
  <c r="F4986" i="6"/>
  <c r="E4976" i="6"/>
  <c r="F4950" i="6"/>
  <c r="F5000" i="6" l="1"/>
  <c r="E5026" i="6"/>
  <c r="F4965" i="6"/>
  <c r="E4991" i="6"/>
  <c r="E5024" i="6"/>
  <c r="F4998" i="6"/>
  <c r="F4949" i="6"/>
  <c r="E4975" i="6"/>
  <c r="E5048" i="6"/>
  <c r="F5022" i="6"/>
  <c r="F4978" i="6"/>
  <c r="E5004" i="6"/>
  <c r="E5044" i="6"/>
  <c r="F5018" i="6"/>
  <c r="F5036" i="6"/>
  <c r="E5062" i="6"/>
  <c r="E4979" i="6"/>
  <c r="F4953" i="6"/>
  <c r="E5003" i="6"/>
  <c r="F4977" i="6"/>
  <c r="E5014" i="6"/>
  <c r="F4988" i="6"/>
  <c r="E4990" i="6"/>
  <c r="F4964" i="6"/>
  <c r="E5034" i="6"/>
  <c r="F5008" i="6"/>
  <c r="E5002" i="6"/>
  <c r="F4976" i="6"/>
  <c r="E4980" i="6"/>
  <c r="F4954" i="6"/>
  <c r="F4969" i="6"/>
  <c r="E4995" i="6"/>
  <c r="E4968" i="6"/>
  <c r="F4942" i="6"/>
  <c r="F4981" i="6"/>
  <c r="E5007" i="6"/>
  <c r="F4961" i="6"/>
  <c r="E4987" i="6"/>
  <c r="E4993" i="6"/>
  <c r="F4967" i="6"/>
  <c r="F5012" i="6"/>
  <c r="E5038" i="6"/>
  <c r="F4973" i="6"/>
  <c r="E4999" i="6"/>
  <c r="E4985" i="6"/>
  <c r="F4959" i="6"/>
  <c r="F4957" i="6"/>
  <c r="E4983" i="6"/>
  <c r="F4945" i="6"/>
  <c r="E4971" i="6"/>
  <c r="E5015" i="6"/>
  <c r="F4989" i="6"/>
  <c r="E5009" i="6" l="1"/>
  <c r="F4983" i="6"/>
  <c r="E5021" i="6"/>
  <c r="F4995" i="6"/>
  <c r="F5062" i="6"/>
  <c r="E5088" i="6"/>
  <c r="E5001" i="6"/>
  <c r="F4975" i="6"/>
  <c r="F4993" i="6"/>
  <c r="E5019" i="6"/>
  <c r="F4990" i="6"/>
  <c r="E5016" i="6"/>
  <c r="E5013" i="6"/>
  <c r="F4987" i="6"/>
  <c r="E5011" i="6"/>
  <c r="F4985" i="6"/>
  <c r="E5006" i="6"/>
  <c r="F4980" i="6"/>
  <c r="E5040" i="6"/>
  <c r="F5014" i="6"/>
  <c r="F5044" i="6"/>
  <c r="E5070" i="6"/>
  <c r="E5050" i="6"/>
  <c r="F5024" i="6"/>
  <c r="E5025" i="6"/>
  <c r="F4999" i="6"/>
  <c r="E5033" i="6"/>
  <c r="F5007" i="6"/>
  <c r="E5030" i="6"/>
  <c r="F5004" i="6"/>
  <c r="F4991" i="6"/>
  <c r="E5017" i="6"/>
  <c r="E5041" i="6"/>
  <c r="F5015" i="6"/>
  <c r="E5028" i="6"/>
  <c r="F5002" i="6"/>
  <c r="E5029" i="6"/>
  <c r="F5003" i="6"/>
  <c r="F4971" i="6"/>
  <c r="E4997" i="6"/>
  <c r="E5064" i="6"/>
  <c r="F5038" i="6"/>
  <c r="E5052" i="6"/>
  <c r="F5026" i="6"/>
  <c r="F4968" i="6"/>
  <c r="E4994" i="6"/>
  <c r="E5060" i="6"/>
  <c r="F5034" i="6"/>
  <c r="E5005" i="6"/>
  <c r="F4979" i="6"/>
  <c r="E5074" i="6"/>
  <c r="F5048" i="6"/>
  <c r="F4997" i="6" l="1"/>
  <c r="E5023" i="6"/>
  <c r="F5017" i="6"/>
  <c r="E5043" i="6"/>
  <c r="E5086" i="6"/>
  <c r="F5060" i="6"/>
  <c r="E5076" i="6"/>
  <c r="F5050" i="6"/>
  <c r="F5011" i="6"/>
  <c r="E5037" i="6"/>
  <c r="F5001" i="6"/>
  <c r="E5027" i="6"/>
  <c r="E5020" i="6"/>
  <c r="F4994" i="6"/>
  <c r="F5070" i="6"/>
  <c r="E5096" i="6"/>
  <c r="F5088" i="6"/>
  <c r="E5114" i="6"/>
  <c r="F5029" i="6"/>
  <c r="E5055" i="6"/>
  <c r="F5030" i="6"/>
  <c r="E5056" i="6"/>
  <c r="F5013" i="6"/>
  <c r="E5039" i="6"/>
  <c r="F5016" i="6"/>
  <c r="E5042" i="6"/>
  <c r="E5100" i="6"/>
  <c r="F5074" i="6"/>
  <c r="E5078" i="6"/>
  <c r="F5052" i="6"/>
  <c r="E5054" i="6"/>
  <c r="F5028" i="6"/>
  <c r="F5033" i="6"/>
  <c r="E5059" i="6"/>
  <c r="E5066" i="6"/>
  <c r="F5040" i="6"/>
  <c r="E5047" i="6"/>
  <c r="F5021" i="6"/>
  <c r="F5019" i="6"/>
  <c r="E5045" i="6"/>
  <c r="F5005" i="6"/>
  <c r="E5031" i="6"/>
  <c r="E5090" i="6"/>
  <c r="F5064" i="6"/>
  <c r="F5041" i="6"/>
  <c r="E5067" i="6"/>
  <c r="E5051" i="6"/>
  <c r="F5025" i="6"/>
  <c r="E5032" i="6"/>
  <c r="F5006" i="6"/>
  <c r="E5035" i="6"/>
  <c r="F5009" i="6"/>
  <c r="E5077" i="6" l="1"/>
  <c r="F5051" i="6"/>
  <c r="E5080" i="6"/>
  <c r="F5054" i="6"/>
  <c r="E5102" i="6"/>
  <c r="F5076" i="6"/>
  <c r="F5067" i="6"/>
  <c r="E5093" i="6"/>
  <c r="F5056" i="6"/>
  <c r="E5082" i="6"/>
  <c r="F5045" i="6"/>
  <c r="E5071" i="6"/>
  <c r="E5073" i="6"/>
  <c r="F5047" i="6"/>
  <c r="F5078" i="6"/>
  <c r="E5104" i="6"/>
  <c r="E5046" i="6"/>
  <c r="F5020" i="6"/>
  <c r="E5112" i="6"/>
  <c r="F5086" i="6"/>
  <c r="E5081" i="6"/>
  <c r="F5055" i="6"/>
  <c r="E5053" i="6"/>
  <c r="F5027" i="6"/>
  <c r="E5069" i="6"/>
  <c r="F5043" i="6"/>
  <c r="E5065" i="6"/>
  <c r="F5039" i="6"/>
  <c r="E5061" i="6"/>
  <c r="F5035" i="6"/>
  <c r="E5116" i="6"/>
  <c r="F5090" i="6"/>
  <c r="E5092" i="6"/>
  <c r="F5066" i="6"/>
  <c r="F5100" i="6"/>
  <c r="E5126" i="6"/>
  <c r="E5057" i="6"/>
  <c r="F5031" i="6"/>
  <c r="F5059" i="6"/>
  <c r="E5085" i="6"/>
  <c r="E5068" i="6"/>
  <c r="F5042" i="6"/>
  <c r="E5140" i="6"/>
  <c r="F5114" i="6"/>
  <c r="E5063" i="6"/>
  <c r="F5037" i="6"/>
  <c r="E5049" i="6"/>
  <c r="F5023" i="6"/>
  <c r="E5122" i="6"/>
  <c r="F5096" i="6"/>
  <c r="E5058" i="6"/>
  <c r="F5032" i="6"/>
  <c r="E5130" i="6" l="1"/>
  <c r="F5104" i="6"/>
  <c r="F5049" i="6"/>
  <c r="E5075" i="6"/>
  <c r="E5142" i="6"/>
  <c r="F5116" i="6"/>
  <c r="F5053" i="6"/>
  <c r="E5079" i="6"/>
  <c r="F5085" i="6"/>
  <c r="E5111" i="6"/>
  <c r="F5093" i="6"/>
  <c r="E5119" i="6"/>
  <c r="F5073" i="6"/>
  <c r="E5099" i="6"/>
  <c r="F5102" i="6"/>
  <c r="E5128" i="6"/>
  <c r="F5057" i="6"/>
  <c r="E5083" i="6"/>
  <c r="E5152" i="6"/>
  <c r="F5126" i="6"/>
  <c r="F5071" i="6"/>
  <c r="E5097" i="6"/>
  <c r="F5063" i="6"/>
  <c r="E5089" i="6"/>
  <c r="E5106" i="6"/>
  <c r="F5080" i="6"/>
  <c r="E5107" i="6"/>
  <c r="F5081" i="6"/>
  <c r="E5084" i="6"/>
  <c r="F5058" i="6"/>
  <c r="E5091" i="6"/>
  <c r="F5065" i="6"/>
  <c r="F5082" i="6"/>
  <c r="E5108" i="6"/>
  <c r="F5061" i="6"/>
  <c r="E5087" i="6"/>
  <c r="E5166" i="6"/>
  <c r="F5140" i="6"/>
  <c r="E5138" i="6"/>
  <c r="F5112" i="6"/>
  <c r="E5148" i="6"/>
  <c r="F5122" i="6"/>
  <c r="F5068" i="6"/>
  <c r="E5094" i="6"/>
  <c r="E5118" i="6"/>
  <c r="F5092" i="6"/>
  <c r="F5069" i="6"/>
  <c r="E5095" i="6"/>
  <c r="E5072" i="6"/>
  <c r="F5046" i="6"/>
  <c r="F5077" i="6"/>
  <c r="E5103" i="6"/>
  <c r="E5121" i="6" l="1"/>
  <c r="F5095" i="6"/>
  <c r="F5089" i="6"/>
  <c r="E5115" i="6"/>
  <c r="E5154" i="6"/>
  <c r="F5128" i="6"/>
  <c r="E5105" i="6"/>
  <c r="F5079" i="6"/>
  <c r="F5138" i="6"/>
  <c r="E5164" i="6"/>
  <c r="E5144" i="6"/>
  <c r="F5118" i="6"/>
  <c r="F5166" i="6"/>
  <c r="E5192" i="6"/>
  <c r="E5110" i="6"/>
  <c r="F5084" i="6"/>
  <c r="E5168" i="6"/>
  <c r="F5142" i="6"/>
  <c r="E5129" i="6"/>
  <c r="F5103" i="6"/>
  <c r="E5120" i="6"/>
  <c r="F5094" i="6"/>
  <c r="E5113" i="6"/>
  <c r="F5087" i="6"/>
  <c r="E5145" i="6"/>
  <c r="F5119" i="6"/>
  <c r="E5101" i="6"/>
  <c r="F5075" i="6"/>
  <c r="F5097" i="6"/>
  <c r="E5123" i="6"/>
  <c r="E5133" i="6"/>
  <c r="F5107" i="6"/>
  <c r="E5178" i="6"/>
  <c r="F5152" i="6"/>
  <c r="F5091" i="6"/>
  <c r="E5117" i="6"/>
  <c r="E5125" i="6"/>
  <c r="F5099" i="6"/>
  <c r="E5134" i="6"/>
  <c r="F5108" i="6"/>
  <c r="F5083" i="6"/>
  <c r="E5109" i="6"/>
  <c r="E5137" i="6"/>
  <c r="F5111" i="6"/>
  <c r="E5098" i="6"/>
  <c r="F5072" i="6"/>
  <c r="E5174" i="6"/>
  <c r="F5148" i="6"/>
  <c r="F5106" i="6"/>
  <c r="E5132" i="6"/>
  <c r="E5156" i="6"/>
  <c r="F5130" i="6"/>
  <c r="F5113" i="6" l="1"/>
  <c r="E5139" i="6"/>
  <c r="F5123" i="6"/>
  <c r="E5149" i="6"/>
  <c r="E5218" i="6"/>
  <c r="F5192" i="6"/>
  <c r="F5105" i="6"/>
  <c r="E5131" i="6"/>
  <c r="E5124" i="6"/>
  <c r="F5098" i="6"/>
  <c r="F5125" i="6"/>
  <c r="E5151" i="6"/>
  <c r="E5146" i="6"/>
  <c r="F5120" i="6"/>
  <c r="E5180" i="6"/>
  <c r="F5154" i="6"/>
  <c r="E5160" i="6"/>
  <c r="F5134" i="6"/>
  <c r="F5117" i="6"/>
  <c r="E5143" i="6"/>
  <c r="F5115" i="6"/>
  <c r="E5141" i="6"/>
  <c r="E5200" i="6"/>
  <c r="F5174" i="6"/>
  <c r="E5182" i="6"/>
  <c r="F5156" i="6"/>
  <c r="F5137" i="6"/>
  <c r="E5163" i="6"/>
  <c r="F5101" i="6"/>
  <c r="E5127" i="6"/>
  <c r="E5155" i="6"/>
  <c r="F5129" i="6"/>
  <c r="E5170" i="6"/>
  <c r="F5144" i="6"/>
  <c r="F5133" i="6"/>
  <c r="E5159" i="6"/>
  <c r="E5158" i="6"/>
  <c r="F5132" i="6"/>
  <c r="F5109" i="6"/>
  <c r="E5135" i="6"/>
  <c r="E5190" i="6"/>
  <c r="F5164" i="6"/>
  <c r="E5136" i="6"/>
  <c r="F5110" i="6"/>
  <c r="F5178" i="6"/>
  <c r="E5204" i="6"/>
  <c r="F5145" i="6"/>
  <c r="E5171" i="6"/>
  <c r="E5194" i="6"/>
  <c r="F5168" i="6"/>
  <c r="F5121" i="6"/>
  <c r="E5147" i="6"/>
  <c r="E5197" i="6" l="1"/>
  <c r="F5171" i="6"/>
  <c r="E5161" i="6"/>
  <c r="F5135" i="6"/>
  <c r="F5131" i="6"/>
  <c r="E5157" i="6"/>
  <c r="E5230" i="6"/>
  <c r="F5204" i="6"/>
  <c r="E5153" i="6"/>
  <c r="F5127" i="6"/>
  <c r="F5141" i="6"/>
  <c r="E5167" i="6"/>
  <c r="E5184" i="6"/>
  <c r="F5158" i="6"/>
  <c r="E5172" i="6"/>
  <c r="F5146" i="6"/>
  <c r="E5244" i="6"/>
  <c r="F5218" i="6"/>
  <c r="E5206" i="6"/>
  <c r="F5180" i="6"/>
  <c r="E5173" i="6"/>
  <c r="F5147" i="6"/>
  <c r="F5159" i="6"/>
  <c r="E5185" i="6"/>
  <c r="E5189" i="6"/>
  <c r="F5163" i="6"/>
  <c r="E5169" i="6"/>
  <c r="F5143" i="6"/>
  <c r="E5177" i="6"/>
  <c r="F5151" i="6"/>
  <c r="F5149" i="6"/>
  <c r="E5175" i="6"/>
  <c r="E5226" i="6"/>
  <c r="F5200" i="6"/>
  <c r="E5162" i="6"/>
  <c r="F5136" i="6"/>
  <c r="E5181" i="6"/>
  <c r="F5155" i="6"/>
  <c r="E5165" i="6"/>
  <c r="F5139" i="6"/>
  <c r="E5220" i="6"/>
  <c r="F5194" i="6"/>
  <c r="E5216" i="6"/>
  <c r="F5190" i="6"/>
  <c r="E5196" i="6"/>
  <c r="F5170" i="6"/>
  <c r="E5208" i="6"/>
  <c r="F5182" i="6"/>
  <c r="E5186" i="6"/>
  <c r="F5160" i="6"/>
  <c r="E5150" i="6"/>
  <c r="F5124" i="6"/>
  <c r="E5201" i="6" l="1"/>
  <c r="F5175" i="6"/>
  <c r="E5211" i="6"/>
  <c r="F5185" i="6"/>
  <c r="E5234" i="6"/>
  <c r="F5208" i="6"/>
  <c r="F5165" i="6"/>
  <c r="E5191" i="6"/>
  <c r="F5172" i="6"/>
  <c r="E5198" i="6"/>
  <c r="E5256" i="6"/>
  <c r="F5230" i="6"/>
  <c r="F5157" i="6"/>
  <c r="E5183" i="6"/>
  <c r="E5222" i="6"/>
  <c r="F5196" i="6"/>
  <c r="F5181" i="6"/>
  <c r="E5207" i="6"/>
  <c r="F5177" i="6"/>
  <c r="E5203" i="6"/>
  <c r="F5173" i="6"/>
  <c r="E5199" i="6"/>
  <c r="E5210" i="6"/>
  <c r="F5184" i="6"/>
  <c r="E5193" i="6"/>
  <c r="F5167" i="6"/>
  <c r="E5176" i="6"/>
  <c r="F5150" i="6"/>
  <c r="E5242" i="6"/>
  <c r="F5216" i="6"/>
  <c r="F5162" i="6"/>
  <c r="E5188" i="6"/>
  <c r="E5195" i="6"/>
  <c r="F5169" i="6"/>
  <c r="E5232" i="6"/>
  <c r="F5206" i="6"/>
  <c r="E5187" i="6"/>
  <c r="F5161" i="6"/>
  <c r="E5212" i="6"/>
  <c r="F5186" i="6"/>
  <c r="E5246" i="6"/>
  <c r="F5220" i="6"/>
  <c r="F5226" i="6"/>
  <c r="E5252" i="6"/>
  <c r="F5189" i="6"/>
  <c r="E5215" i="6"/>
  <c r="E5270" i="6"/>
  <c r="F5244" i="6"/>
  <c r="E5179" i="6"/>
  <c r="F5153" i="6"/>
  <c r="F5197" i="6"/>
  <c r="E5223" i="6"/>
  <c r="E5214" i="6" l="1"/>
  <c r="F5188" i="6"/>
  <c r="E5217" i="6"/>
  <c r="F5191" i="6"/>
  <c r="E5296" i="6"/>
  <c r="F5270" i="6"/>
  <c r="F5212" i="6"/>
  <c r="E5238" i="6"/>
  <c r="E5236" i="6"/>
  <c r="F5210" i="6"/>
  <c r="E5248" i="6"/>
  <c r="F5222" i="6"/>
  <c r="E5241" i="6"/>
  <c r="F5215" i="6"/>
  <c r="E5225" i="6"/>
  <c r="F5199" i="6"/>
  <c r="E5209" i="6"/>
  <c r="F5183" i="6"/>
  <c r="E5213" i="6"/>
  <c r="F5187" i="6"/>
  <c r="F5242" i="6"/>
  <c r="E5268" i="6"/>
  <c r="E5260" i="6"/>
  <c r="F5234" i="6"/>
  <c r="E5249" i="6"/>
  <c r="F5223" i="6"/>
  <c r="E5278" i="6"/>
  <c r="F5252" i="6"/>
  <c r="E5229" i="6"/>
  <c r="F5203" i="6"/>
  <c r="E5258" i="6"/>
  <c r="F5232" i="6"/>
  <c r="E5202" i="6"/>
  <c r="F5176" i="6"/>
  <c r="F5256" i="6"/>
  <c r="E5282" i="6"/>
  <c r="E5237" i="6"/>
  <c r="F5211" i="6"/>
  <c r="F5207" i="6"/>
  <c r="E5233" i="6"/>
  <c r="E5224" i="6"/>
  <c r="F5198" i="6"/>
  <c r="E5205" i="6"/>
  <c r="F5179" i="6"/>
  <c r="E5272" i="6"/>
  <c r="F5246" i="6"/>
  <c r="E5221" i="6"/>
  <c r="F5195" i="6"/>
  <c r="E5219" i="6"/>
  <c r="F5193" i="6"/>
  <c r="F5201" i="6"/>
  <c r="E5227" i="6"/>
  <c r="F5233" i="6" l="1"/>
  <c r="E5259" i="6"/>
  <c r="E5264" i="6"/>
  <c r="F5238" i="6"/>
  <c r="F5221" i="6"/>
  <c r="E5247" i="6"/>
  <c r="E5284" i="6"/>
  <c r="F5258" i="6"/>
  <c r="F5260" i="6"/>
  <c r="E5286" i="6"/>
  <c r="E5251" i="6"/>
  <c r="F5225" i="6"/>
  <c r="E5294" i="6"/>
  <c r="F5268" i="6"/>
  <c r="F5272" i="6"/>
  <c r="E5298" i="6"/>
  <c r="F5237" i="6"/>
  <c r="E5263" i="6"/>
  <c r="E5255" i="6"/>
  <c r="F5229" i="6"/>
  <c r="F5241" i="6"/>
  <c r="E5267" i="6"/>
  <c r="F5296" i="6"/>
  <c r="E5322" i="6"/>
  <c r="E5253" i="6"/>
  <c r="F5227" i="6"/>
  <c r="F5282" i="6"/>
  <c r="E5308" i="6"/>
  <c r="F5205" i="6"/>
  <c r="E5231" i="6"/>
  <c r="F5278" i="6"/>
  <c r="E5304" i="6"/>
  <c r="F5213" i="6"/>
  <c r="E5239" i="6"/>
  <c r="E5274" i="6"/>
  <c r="F5248" i="6"/>
  <c r="F5217" i="6"/>
  <c r="E5243" i="6"/>
  <c r="E5245" i="6"/>
  <c r="F5219" i="6"/>
  <c r="E5250" i="6"/>
  <c r="F5224" i="6"/>
  <c r="E5228" i="6"/>
  <c r="F5202" i="6"/>
  <c r="E5275" i="6"/>
  <c r="F5249" i="6"/>
  <c r="E5235" i="6"/>
  <c r="F5209" i="6"/>
  <c r="E5262" i="6"/>
  <c r="F5236" i="6"/>
  <c r="F5214" i="6"/>
  <c r="E5240" i="6"/>
  <c r="E5330" i="6" l="1"/>
  <c r="F5304" i="6"/>
  <c r="F5322" i="6"/>
  <c r="E5348" i="6"/>
  <c r="F5298" i="6"/>
  <c r="E5324" i="6"/>
  <c r="F5235" i="6"/>
  <c r="E5261" i="6"/>
  <c r="F5245" i="6"/>
  <c r="E5271" i="6"/>
  <c r="F5284" i="6"/>
  <c r="E5310" i="6"/>
  <c r="E5269" i="6"/>
  <c r="F5243" i="6"/>
  <c r="E5257" i="6"/>
  <c r="F5231" i="6"/>
  <c r="F5267" i="6"/>
  <c r="E5293" i="6"/>
  <c r="E5273" i="6"/>
  <c r="F5247" i="6"/>
  <c r="F5275" i="6"/>
  <c r="E5301" i="6"/>
  <c r="E5320" i="6"/>
  <c r="F5294" i="6"/>
  <c r="E5266" i="6"/>
  <c r="F5240" i="6"/>
  <c r="F5308" i="6"/>
  <c r="E5334" i="6"/>
  <c r="E5254" i="6"/>
  <c r="F5228" i="6"/>
  <c r="E5300" i="6"/>
  <c r="F5274" i="6"/>
  <c r="E5281" i="6"/>
  <c r="F5255" i="6"/>
  <c r="F5251" i="6"/>
  <c r="E5277" i="6"/>
  <c r="E5290" i="6"/>
  <c r="F5264" i="6"/>
  <c r="E5265" i="6"/>
  <c r="F5239" i="6"/>
  <c r="F5263" i="6"/>
  <c r="E5289" i="6"/>
  <c r="E5312" i="6"/>
  <c r="F5286" i="6"/>
  <c r="E5285" i="6"/>
  <c r="F5259" i="6"/>
  <c r="F5262" i="6"/>
  <c r="E5288" i="6"/>
  <c r="E5276" i="6"/>
  <c r="F5250" i="6"/>
  <c r="E5279" i="6"/>
  <c r="F5253" i="6"/>
  <c r="E5314" i="6" l="1"/>
  <c r="F5288" i="6"/>
  <c r="E5287" i="6"/>
  <c r="F5261" i="6"/>
  <c r="F5265" i="6"/>
  <c r="E5291" i="6"/>
  <c r="F5300" i="6"/>
  <c r="E5326" i="6"/>
  <c r="F5320" i="6"/>
  <c r="E5346" i="6"/>
  <c r="E5283" i="6"/>
  <c r="F5257" i="6"/>
  <c r="E5327" i="6"/>
  <c r="F5301" i="6"/>
  <c r="E5350" i="6"/>
  <c r="F5324" i="6"/>
  <c r="F5285" i="6"/>
  <c r="E5311" i="6"/>
  <c r="E5316" i="6"/>
  <c r="F5290" i="6"/>
  <c r="E5280" i="6"/>
  <c r="F5254" i="6"/>
  <c r="E5295" i="6"/>
  <c r="F5269" i="6"/>
  <c r="F5277" i="6"/>
  <c r="E5303" i="6"/>
  <c r="F5334" i="6"/>
  <c r="E5360" i="6"/>
  <c r="E5336" i="6"/>
  <c r="F5310" i="6"/>
  <c r="E5374" i="6"/>
  <c r="F5348" i="6"/>
  <c r="F5279" i="6"/>
  <c r="E5305" i="6"/>
  <c r="E5338" i="6"/>
  <c r="F5312" i="6"/>
  <c r="E5299" i="6"/>
  <c r="F5273" i="6"/>
  <c r="E5315" i="6"/>
  <c r="F5289" i="6"/>
  <c r="E5319" i="6"/>
  <c r="F5293" i="6"/>
  <c r="F5271" i="6"/>
  <c r="E5297" i="6"/>
  <c r="E5302" i="6"/>
  <c r="F5276" i="6"/>
  <c r="E5307" i="6"/>
  <c r="F5281" i="6"/>
  <c r="E5292" i="6"/>
  <c r="F5266" i="6"/>
  <c r="F5330" i="6"/>
  <c r="E5356" i="6"/>
  <c r="E5352" i="6" l="1"/>
  <c r="F5326" i="6"/>
  <c r="F5307" i="6"/>
  <c r="E5333" i="6"/>
  <c r="F5315" i="6"/>
  <c r="E5341" i="6"/>
  <c r="E5400" i="6"/>
  <c r="F5374" i="6"/>
  <c r="F5295" i="6"/>
  <c r="E5321" i="6"/>
  <c r="F5350" i="6"/>
  <c r="E5376" i="6"/>
  <c r="F5291" i="6"/>
  <c r="E5317" i="6"/>
  <c r="E5328" i="6"/>
  <c r="F5302" i="6"/>
  <c r="F5299" i="6"/>
  <c r="E5325" i="6"/>
  <c r="E5362" i="6"/>
  <c r="F5336" i="6"/>
  <c r="F5280" i="6"/>
  <c r="E5306" i="6"/>
  <c r="F5327" i="6"/>
  <c r="E5353" i="6"/>
  <c r="F5356" i="6"/>
  <c r="E5382" i="6"/>
  <c r="E5323" i="6"/>
  <c r="F5297" i="6"/>
  <c r="E5386" i="6"/>
  <c r="F5360" i="6"/>
  <c r="E5364" i="6"/>
  <c r="F5338" i="6"/>
  <c r="F5316" i="6"/>
  <c r="E5342" i="6"/>
  <c r="F5283" i="6"/>
  <c r="E5309" i="6"/>
  <c r="F5287" i="6"/>
  <c r="E5313" i="6"/>
  <c r="E5331" i="6"/>
  <c r="F5305" i="6"/>
  <c r="F5303" i="6"/>
  <c r="E5329" i="6"/>
  <c r="F5311" i="6"/>
  <c r="E5337" i="6"/>
  <c r="F5346" i="6"/>
  <c r="E5372" i="6"/>
  <c r="E5318" i="6"/>
  <c r="F5292" i="6"/>
  <c r="F5319" i="6"/>
  <c r="E5345" i="6"/>
  <c r="F5314" i="6"/>
  <c r="E5340" i="6"/>
  <c r="E5344" i="6" l="1"/>
  <c r="F5318" i="6"/>
  <c r="F5331" i="6"/>
  <c r="E5357" i="6"/>
  <c r="E5390" i="6"/>
  <c r="F5364" i="6"/>
  <c r="E5354" i="6"/>
  <c r="F5328" i="6"/>
  <c r="E5426" i="6"/>
  <c r="F5400" i="6"/>
  <c r="E5398" i="6"/>
  <c r="F5372" i="6"/>
  <c r="E5339" i="6"/>
  <c r="F5313" i="6"/>
  <c r="E5332" i="6"/>
  <c r="F5306" i="6"/>
  <c r="E5343" i="6"/>
  <c r="F5317" i="6"/>
  <c r="F5341" i="6"/>
  <c r="E5367" i="6"/>
  <c r="F5386" i="6"/>
  <c r="E5412" i="6"/>
  <c r="E5363" i="6"/>
  <c r="F5337" i="6"/>
  <c r="F5309" i="6"/>
  <c r="E5335" i="6"/>
  <c r="E5402" i="6"/>
  <c r="F5376" i="6"/>
  <c r="E5359" i="6"/>
  <c r="F5333" i="6"/>
  <c r="E5379" i="6"/>
  <c r="F5353" i="6"/>
  <c r="E5349" i="6"/>
  <c r="F5323" i="6"/>
  <c r="F5362" i="6"/>
  <c r="E5388" i="6"/>
  <c r="E5366" i="6"/>
  <c r="F5340" i="6"/>
  <c r="E5371" i="6"/>
  <c r="F5345" i="6"/>
  <c r="E5355" i="6"/>
  <c r="F5329" i="6"/>
  <c r="F5342" i="6"/>
  <c r="E5368" i="6"/>
  <c r="F5382" i="6"/>
  <c r="E5408" i="6"/>
  <c r="E5351" i="6"/>
  <c r="F5325" i="6"/>
  <c r="E5347" i="6"/>
  <c r="F5321" i="6"/>
  <c r="E5378" i="6"/>
  <c r="F5352" i="6"/>
  <c r="F5351" i="6" l="1"/>
  <c r="E5377" i="6"/>
  <c r="F5371" i="6"/>
  <c r="E5397" i="6"/>
  <c r="F5379" i="6"/>
  <c r="E5405" i="6"/>
  <c r="F5363" i="6"/>
  <c r="E5389" i="6"/>
  <c r="E5358" i="6"/>
  <c r="F5332" i="6"/>
  <c r="F5354" i="6"/>
  <c r="E5380" i="6"/>
  <c r="E5434" i="6"/>
  <c r="F5408" i="6"/>
  <c r="E5438" i="6"/>
  <c r="F5412" i="6"/>
  <c r="F5366" i="6"/>
  <c r="E5392" i="6"/>
  <c r="F5359" i="6"/>
  <c r="E5385" i="6"/>
  <c r="F5339" i="6"/>
  <c r="E5365" i="6"/>
  <c r="E5416" i="6"/>
  <c r="F5390" i="6"/>
  <c r="E5394" i="6"/>
  <c r="F5368" i="6"/>
  <c r="F5388" i="6"/>
  <c r="E5414" i="6"/>
  <c r="F5367" i="6"/>
  <c r="E5393" i="6"/>
  <c r="F5357" i="6"/>
  <c r="E5383" i="6"/>
  <c r="F5378" i="6"/>
  <c r="E5404" i="6"/>
  <c r="E5428" i="6"/>
  <c r="F5402" i="6"/>
  <c r="F5398" i="6"/>
  <c r="E5424" i="6"/>
  <c r="F5335" i="6"/>
  <c r="E5361" i="6"/>
  <c r="F5347" i="6"/>
  <c r="E5373" i="6"/>
  <c r="E5381" i="6"/>
  <c r="F5355" i="6"/>
  <c r="E5375" i="6"/>
  <c r="F5349" i="6"/>
  <c r="F5343" i="6"/>
  <c r="E5369" i="6"/>
  <c r="F5426" i="6"/>
  <c r="E5452" i="6"/>
  <c r="E5370" i="6"/>
  <c r="F5344" i="6"/>
  <c r="E5395" i="6" l="1"/>
  <c r="F5369" i="6"/>
  <c r="F5361" i="6"/>
  <c r="E5387" i="6"/>
  <c r="E5409" i="6"/>
  <c r="F5383" i="6"/>
  <c r="E5415" i="6"/>
  <c r="F5389" i="6"/>
  <c r="E5442" i="6"/>
  <c r="F5416" i="6"/>
  <c r="E5464" i="6"/>
  <c r="F5438" i="6"/>
  <c r="E5450" i="6"/>
  <c r="F5424" i="6"/>
  <c r="E5419" i="6"/>
  <c r="F5393" i="6"/>
  <c r="E5391" i="6"/>
  <c r="F5365" i="6"/>
  <c r="E5431" i="6"/>
  <c r="F5405" i="6"/>
  <c r="F5375" i="6"/>
  <c r="E5401" i="6"/>
  <c r="E5460" i="6"/>
  <c r="F5434" i="6"/>
  <c r="F5414" i="6"/>
  <c r="E5440" i="6"/>
  <c r="F5385" i="6"/>
  <c r="E5411" i="6"/>
  <c r="F5380" i="6"/>
  <c r="E5406" i="6"/>
  <c r="E5423" i="6"/>
  <c r="F5397" i="6"/>
  <c r="F5370" i="6"/>
  <c r="E5396" i="6"/>
  <c r="F5381" i="6"/>
  <c r="E5407" i="6"/>
  <c r="E5454" i="6"/>
  <c r="F5428" i="6"/>
  <c r="E5478" i="6"/>
  <c r="F5452" i="6"/>
  <c r="E5399" i="6"/>
  <c r="F5373" i="6"/>
  <c r="E5430" i="6"/>
  <c r="F5404" i="6"/>
  <c r="F5392" i="6"/>
  <c r="E5418" i="6"/>
  <c r="E5403" i="6"/>
  <c r="F5377" i="6"/>
  <c r="E5420" i="6"/>
  <c r="F5394" i="6"/>
  <c r="E5384" i="6"/>
  <c r="F5358" i="6"/>
  <c r="E5429" i="6" l="1"/>
  <c r="F5403" i="6"/>
  <c r="E5504" i="6"/>
  <c r="F5478" i="6"/>
  <c r="F5423" i="6"/>
  <c r="E5449" i="6"/>
  <c r="F5460" i="6"/>
  <c r="E5486" i="6"/>
  <c r="F5419" i="6"/>
  <c r="E5445" i="6"/>
  <c r="F5415" i="6"/>
  <c r="E5441" i="6"/>
  <c r="E5432" i="6"/>
  <c r="F5406" i="6"/>
  <c r="E5427" i="6"/>
  <c r="F5401" i="6"/>
  <c r="F5454" i="6"/>
  <c r="E5480" i="6"/>
  <c r="E5476" i="6"/>
  <c r="F5450" i="6"/>
  <c r="E5435" i="6"/>
  <c r="F5409" i="6"/>
  <c r="E5444" i="6"/>
  <c r="F5418" i="6"/>
  <c r="E5433" i="6"/>
  <c r="F5407" i="6"/>
  <c r="E5437" i="6"/>
  <c r="F5411" i="6"/>
  <c r="F5387" i="6"/>
  <c r="E5413" i="6"/>
  <c r="E5410" i="6"/>
  <c r="F5384" i="6"/>
  <c r="F5430" i="6"/>
  <c r="E5456" i="6"/>
  <c r="E5457" i="6"/>
  <c r="F5431" i="6"/>
  <c r="F5464" i="6"/>
  <c r="E5490" i="6"/>
  <c r="F5396" i="6"/>
  <c r="E5422" i="6"/>
  <c r="E5466" i="6"/>
  <c r="F5440" i="6"/>
  <c r="F5420" i="6"/>
  <c r="E5446" i="6"/>
  <c r="E5425" i="6"/>
  <c r="F5399" i="6"/>
  <c r="E5417" i="6"/>
  <c r="F5391" i="6"/>
  <c r="F5442" i="6"/>
  <c r="E5468" i="6"/>
  <c r="E5421" i="6"/>
  <c r="F5395" i="6"/>
  <c r="E5448" i="6" l="1"/>
  <c r="F5422" i="6"/>
  <c r="E5512" i="6"/>
  <c r="F5486" i="6"/>
  <c r="E5443" i="6"/>
  <c r="F5417" i="6"/>
  <c r="E5436" i="6"/>
  <c r="F5410" i="6"/>
  <c r="F5444" i="6"/>
  <c r="E5470" i="6"/>
  <c r="E5453" i="6"/>
  <c r="F5427" i="6"/>
  <c r="E5516" i="6"/>
  <c r="F5490" i="6"/>
  <c r="E5439" i="6"/>
  <c r="F5413" i="6"/>
  <c r="E5475" i="6"/>
  <c r="F5449" i="6"/>
  <c r="E5451" i="6"/>
  <c r="F5425" i="6"/>
  <c r="F5435" i="6"/>
  <c r="E5461" i="6"/>
  <c r="E5458" i="6"/>
  <c r="F5432" i="6"/>
  <c r="E5472" i="6"/>
  <c r="F5446" i="6"/>
  <c r="E5467" i="6"/>
  <c r="F5441" i="6"/>
  <c r="E5447" i="6"/>
  <c r="F5421" i="6"/>
  <c r="E5483" i="6"/>
  <c r="F5457" i="6"/>
  <c r="F5437" i="6"/>
  <c r="E5463" i="6"/>
  <c r="F5476" i="6"/>
  <c r="E5502" i="6"/>
  <c r="F5504" i="6"/>
  <c r="E5530" i="6"/>
  <c r="F5468" i="6"/>
  <c r="E5494" i="6"/>
  <c r="E5482" i="6"/>
  <c r="F5456" i="6"/>
  <c r="E5506" i="6"/>
  <c r="F5480" i="6"/>
  <c r="E5471" i="6"/>
  <c r="F5445" i="6"/>
  <c r="E5492" i="6"/>
  <c r="F5466" i="6"/>
  <c r="E5459" i="6"/>
  <c r="F5433" i="6"/>
  <c r="E5455" i="6"/>
  <c r="F5429" i="6"/>
  <c r="E5520" i="6" l="1"/>
  <c r="F5494" i="6"/>
  <c r="E5518" i="6"/>
  <c r="F5492" i="6"/>
  <c r="E5509" i="6"/>
  <c r="F5483" i="6"/>
  <c r="E5484" i="6"/>
  <c r="F5458" i="6"/>
  <c r="E5465" i="6"/>
  <c r="F5439" i="6"/>
  <c r="F5436" i="6"/>
  <c r="E5462" i="6"/>
  <c r="F5530" i="6"/>
  <c r="E5556" i="6"/>
  <c r="E5487" i="6"/>
  <c r="F5461" i="6"/>
  <c r="E5497" i="6"/>
  <c r="F5471" i="6"/>
  <c r="E5473" i="6"/>
  <c r="F5447" i="6"/>
  <c r="F5516" i="6"/>
  <c r="E5542" i="6"/>
  <c r="E5469" i="6"/>
  <c r="F5443" i="6"/>
  <c r="E5528" i="6"/>
  <c r="F5502" i="6"/>
  <c r="E5481" i="6"/>
  <c r="F5455" i="6"/>
  <c r="E5532" i="6"/>
  <c r="F5506" i="6"/>
  <c r="E5493" i="6"/>
  <c r="F5467" i="6"/>
  <c r="E5477" i="6"/>
  <c r="F5451" i="6"/>
  <c r="E5479" i="6"/>
  <c r="F5453" i="6"/>
  <c r="E5538" i="6"/>
  <c r="F5512" i="6"/>
  <c r="E5489" i="6"/>
  <c r="F5463" i="6"/>
  <c r="E5496" i="6"/>
  <c r="F5470" i="6"/>
  <c r="E5485" i="6"/>
  <c r="F5459" i="6"/>
  <c r="F5482" i="6"/>
  <c r="E5508" i="6"/>
  <c r="F5472" i="6"/>
  <c r="E5498" i="6"/>
  <c r="F5475" i="6"/>
  <c r="E5501" i="6"/>
  <c r="E5474" i="6"/>
  <c r="F5448" i="6"/>
  <c r="E5524" i="6" l="1"/>
  <c r="F5498" i="6"/>
  <c r="E5515" i="6"/>
  <c r="F5489" i="6"/>
  <c r="E5519" i="6"/>
  <c r="F5493" i="6"/>
  <c r="F5469" i="6"/>
  <c r="E5495" i="6"/>
  <c r="E5513" i="6"/>
  <c r="F5487" i="6"/>
  <c r="F5484" i="6"/>
  <c r="E5510" i="6"/>
  <c r="F5508" i="6"/>
  <c r="E5534" i="6"/>
  <c r="E5568" i="6"/>
  <c r="F5542" i="6"/>
  <c r="F5556" i="6"/>
  <c r="E5582" i="6"/>
  <c r="F5538" i="6"/>
  <c r="E5564" i="6"/>
  <c r="E5558" i="6"/>
  <c r="F5532" i="6"/>
  <c r="E5535" i="6"/>
  <c r="F5509" i="6"/>
  <c r="E5488" i="6"/>
  <c r="F5462" i="6"/>
  <c r="E5500" i="6"/>
  <c r="F5474" i="6"/>
  <c r="E5511" i="6"/>
  <c r="F5485" i="6"/>
  <c r="E5505" i="6"/>
  <c r="F5479" i="6"/>
  <c r="E5507" i="6"/>
  <c r="F5481" i="6"/>
  <c r="E5499" i="6"/>
  <c r="F5473" i="6"/>
  <c r="E5544" i="6"/>
  <c r="F5518" i="6"/>
  <c r="E5527" i="6"/>
  <c r="F5501" i="6"/>
  <c r="F5496" i="6"/>
  <c r="E5522" i="6"/>
  <c r="E5503" i="6"/>
  <c r="F5477" i="6"/>
  <c r="E5554" i="6"/>
  <c r="F5528" i="6"/>
  <c r="F5497" i="6"/>
  <c r="E5523" i="6"/>
  <c r="E5491" i="6"/>
  <c r="F5465" i="6"/>
  <c r="F5520" i="6"/>
  <c r="E5546" i="6"/>
  <c r="E5549" i="6" l="1"/>
  <c r="F5523" i="6"/>
  <c r="E5521" i="6"/>
  <c r="F5495" i="6"/>
  <c r="E5531" i="6"/>
  <c r="F5505" i="6"/>
  <c r="E5561" i="6"/>
  <c r="F5535" i="6"/>
  <c r="F5568" i="6"/>
  <c r="E5594" i="6"/>
  <c r="F5534" i="6"/>
  <c r="E5560" i="6"/>
  <c r="E5553" i="6"/>
  <c r="F5527" i="6"/>
  <c r="E5580" i="6"/>
  <c r="F5554" i="6"/>
  <c r="F5544" i="6"/>
  <c r="E5570" i="6"/>
  <c r="E5537" i="6"/>
  <c r="F5511" i="6"/>
  <c r="F5558" i="6"/>
  <c r="E5584" i="6"/>
  <c r="E5545" i="6"/>
  <c r="F5519" i="6"/>
  <c r="E5572" i="6"/>
  <c r="F5546" i="6"/>
  <c r="F5564" i="6"/>
  <c r="E5590" i="6"/>
  <c r="E5536" i="6"/>
  <c r="F5510" i="6"/>
  <c r="E5529" i="6"/>
  <c r="F5503" i="6"/>
  <c r="E5525" i="6"/>
  <c r="F5499" i="6"/>
  <c r="F5500" i="6"/>
  <c r="E5526" i="6"/>
  <c r="E5541" i="6"/>
  <c r="F5515" i="6"/>
  <c r="F5522" i="6"/>
  <c r="E5548" i="6"/>
  <c r="F5582" i="6"/>
  <c r="E5608" i="6"/>
  <c r="F5491" i="6"/>
  <c r="E5517" i="6"/>
  <c r="E5533" i="6"/>
  <c r="F5507" i="6"/>
  <c r="F5488" i="6"/>
  <c r="E5514" i="6"/>
  <c r="E5539" i="6"/>
  <c r="F5513" i="6"/>
  <c r="F5524" i="6"/>
  <c r="E5550" i="6"/>
  <c r="E5540" i="6" l="1"/>
  <c r="F5514" i="6"/>
  <c r="F5548" i="6"/>
  <c r="E5574" i="6"/>
  <c r="F5529" i="6"/>
  <c r="E5555" i="6"/>
  <c r="E5571" i="6"/>
  <c r="F5545" i="6"/>
  <c r="F5580" i="6"/>
  <c r="E5606" i="6"/>
  <c r="F5561" i="6"/>
  <c r="E5587" i="6"/>
  <c r="F5584" i="6"/>
  <c r="E5610" i="6"/>
  <c r="E5559" i="6"/>
  <c r="F5533" i="6"/>
  <c r="F5541" i="6"/>
  <c r="E5567" i="6"/>
  <c r="F5536" i="6"/>
  <c r="E5562" i="6"/>
  <c r="F5553" i="6"/>
  <c r="E5579" i="6"/>
  <c r="E5557" i="6"/>
  <c r="F5531" i="6"/>
  <c r="F5550" i="6"/>
  <c r="E5576" i="6"/>
  <c r="E5543" i="6"/>
  <c r="F5517" i="6"/>
  <c r="E5552" i="6"/>
  <c r="F5526" i="6"/>
  <c r="F5590" i="6"/>
  <c r="E5616" i="6"/>
  <c r="F5560" i="6"/>
  <c r="E5586" i="6"/>
  <c r="E5563" i="6"/>
  <c r="F5537" i="6"/>
  <c r="E5547" i="6"/>
  <c r="F5521" i="6"/>
  <c r="E5634" i="6"/>
  <c r="F5608" i="6"/>
  <c r="F5570" i="6"/>
  <c r="E5596" i="6"/>
  <c r="F5594" i="6"/>
  <c r="E5620" i="6"/>
  <c r="E5565" i="6"/>
  <c r="F5539" i="6"/>
  <c r="E5551" i="6"/>
  <c r="F5525" i="6"/>
  <c r="F5572" i="6"/>
  <c r="E5598" i="6"/>
  <c r="E5575" i="6"/>
  <c r="F5549" i="6"/>
  <c r="F5616" i="6" l="1"/>
  <c r="E5642" i="6"/>
  <c r="F5551" i="6"/>
  <c r="E5577" i="6"/>
  <c r="F5634" i="6"/>
  <c r="E5660" i="6"/>
  <c r="F5557" i="6"/>
  <c r="E5583" i="6"/>
  <c r="E5585" i="6"/>
  <c r="F5559" i="6"/>
  <c r="F5571" i="6"/>
  <c r="E5597" i="6"/>
  <c r="F5579" i="6"/>
  <c r="E5605" i="6"/>
  <c r="F5610" i="6"/>
  <c r="E5636" i="6"/>
  <c r="E5581" i="6"/>
  <c r="F5555" i="6"/>
  <c r="E5591" i="6"/>
  <c r="F5565" i="6"/>
  <c r="F5547" i="6"/>
  <c r="E5573" i="6"/>
  <c r="E5578" i="6"/>
  <c r="F5552" i="6"/>
  <c r="F5620" i="6"/>
  <c r="E5646" i="6"/>
  <c r="F5562" i="6"/>
  <c r="E5588" i="6"/>
  <c r="E5613" i="6"/>
  <c r="F5587" i="6"/>
  <c r="E5600" i="6"/>
  <c r="F5574" i="6"/>
  <c r="E5601" i="6"/>
  <c r="F5575" i="6"/>
  <c r="F5563" i="6"/>
  <c r="E5589" i="6"/>
  <c r="F5543" i="6"/>
  <c r="E5569" i="6"/>
  <c r="F5598" i="6"/>
  <c r="E5624" i="6"/>
  <c r="E5622" i="6"/>
  <c r="F5596" i="6"/>
  <c r="F5586" i="6"/>
  <c r="E5612" i="6"/>
  <c r="E5602" i="6"/>
  <c r="F5576" i="6"/>
  <c r="F5567" i="6"/>
  <c r="E5593" i="6"/>
  <c r="F5606" i="6"/>
  <c r="E5632" i="6"/>
  <c r="F5540" i="6"/>
  <c r="E5566" i="6"/>
  <c r="E5619" i="6" l="1"/>
  <c r="F5593" i="6"/>
  <c r="E5650" i="6"/>
  <c r="F5624" i="6"/>
  <c r="F5636" i="6"/>
  <c r="E5662" i="6"/>
  <c r="E5609" i="6"/>
  <c r="F5583" i="6"/>
  <c r="F5600" i="6"/>
  <c r="E5626" i="6"/>
  <c r="F5578" i="6"/>
  <c r="E5604" i="6"/>
  <c r="E5595" i="6"/>
  <c r="F5569" i="6"/>
  <c r="E5599" i="6"/>
  <c r="F5573" i="6"/>
  <c r="E5631" i="6"/>
  <c r="F5605" i="6"/>
  <c r="E5686" i="6"/>
  <c r="F5660" i="6"/>
  <c r="F5602" i="6"/>
  <c r="E5628" i="6"/>
  <c r="F5613" i="6"/>
  <c r="E5639" i="6"/>
  <c r="E5592" i="6"/>
  <c r="F5566" i="6"/>
  <c r="E5638" i="6"/>
  <c r="F5612" i="6"/>
  <c r="F5589" i="6"/>
  <c r="E5615" i="6"/>
  <c r="F5588" i="6"/>
  <c r="E5614" i="6"/>
  <c r="F5597" i="6"/>
  <c r="E5623" i="6"/>
  <c r="E5603" i="6"/>
  <c r="F5577" i="6"/>
  <c r="E5617" i="6"/>
  <c r="F5591" i="6"/>
  <c r="F5632" i="6"/>
  <c r="E5658" i="6"/>
  <c r="F5646" i="6"/>
  <c r="E5672" i="6"/>
  <c r="F5642" i="6"/>
  <c r="E5668" i="6"/>
  <c r="F5622" i="6"/>
  <c r="E5648" i="6"/>
  <c r="E5627" i="6"/>
  <c r="F5601" i="6"/>
  <c r="E5607" i="6"/>
  <c r="F5581" i="6"/>
  <c r="E5611" i="6"/>
  <c r="F5585" i="6"/>
  <c r="E5653" i="6" l="1"/>
  <c r="F5627" i="6"/>
  <c r="F5599" i="6"/>
  <c r="E5625" i="6"/>
  <c r="F5609" i="6"/>
  <c r="E5635" i="6"/>
  <c r="F5614" i="6"/>
  <c r="E5640" i="6"/>
  <c r="F5648" i="6"/>
  <c r="E5674" i="6"/>
  <c r="E5641" i="6"/>
  <c r="F5615" i="6"/>
  <c r="E5654" i="6"/>
  <c r="F5628" i="6"/>
  <c r="E5688" i="6"/>
  <c r="F5662" i="6"/>
  <c r="F5617" i="6"/>
  <c r="E5643" i="6"/>
  <c r="F5595" i="6"/>
  <c r="E5621" i="6"/>
  <c r="E5694" i="6"/>
  <c r="F5668" i="6"/>
  <c r="F5604" i="6"/>
  <c r="E5630" i="6"/>
  <c r="E5665" i="6"/>
  <c r="F5639" i="6"/>
  <c r="F5611" i="6"/>
  <c r="E5637" i="6"/>
  <c r="E5629" i="6"/>
  <c r="F5603" i="6"/>
  <c r="F5638" i="6"/>
  <c r="E5664" i="6"/>
  <c r="F5686" i="6"/>
  <c r="E5712" i="6"/>
  <c r="F5650" i="6"/>
  <c r="E5676" i="6"/>
  <c r="E5684" i="6"/>
  <c r="F5658" i="6"/>
  <c r="E5698" i="6"/>
  <c r="F5672" i="6"/>
  <c r="E5649" i="6"/>
  <c r="F5623" i="6"/>
  <c r="F5626" i="6"/>
  <c r="E5652" i="6"/>
  <c r="F5607" i="6"/>
  <c r="E5633" i="6"/>
  <c r="E5618" i="6"/>
  <c r="F5592" i="6"/>
  <c r="E5657" i="6"/>
  <c r="F5631" i="6"/>
  <c r="E5645" i="6"/>
  <c r="F5619" i="6"/>
  <c r="F5664" i="6" l="1"/>
  <c r="E5690" i="6"/>
  <c r="E5656" i="6"/>
  <c r="F5630" i="6"/>
  <c r="F5640" i="6"/>
  <c r="E5666" i="6"/>
  <c r="F5618" i="6"/>
  <c r="E5644" i="6"/>
  <c r="F5698" i="6"/>
  <c r="E5724" i="6"/>
  <c r="E5714" i="6"/>
  <c r="F5688" i="6"/>
  <c r="F5633" i="6"/>
  <c r="E5659" i="6"/>
  <c r="E5661" i="6"/>
  <c r="F5635" i="6"/>
  <c r="E5710" i="6"/>
  <c r="F5684" i="6"/>
  <c r="F5629" i="6"/>
  <c r="E5655" i="6"/>
  <c r="E5720" i="6"/>
  <c r="F5694" i="6"/>
  <c r="F5654" i="6"/>
  <c r="E5680" i="6"/>
  <c r="E5678" i="6"/>
  <c r="F5652" i="6"/>
  <c r="E5702" i="6"/>
  <c r="F5676" i="6"/>
  <c r="E5663" i="6"/>
  <c r="F5637" i="6"/>
  <c r="F5621" i="6"/>
  <c r="E5647" i="6"/>
  <c r="E5651" i="6"/>
  <c r="F5625" i="6"/>
  <c r="E5671" i="6"/>
  <c r="F5645" i="6"/>
  <c r="E5667" i="6"/>
  <c r="F5641" i="6"/>
  <c r="F5712" i="6"/>
  <c r="E5738" i="6"/>
  <c r="E5669" i="6"/>
  <c r="F5643" i="6"/>
  <c r="E5700" i="6"/>
  <c r="F5674" i="6"/>
  <c r="E5683" i="6"/>
  <c r="F5657" i="6"/>
  <c r="F5649" i="6"/>
  <c r="E5675" i="6"/>
  <c r="E5691" i="6"/>
  <c r="F5665" i="6"/>
  <c r="E5679" i="6"/>
  <c r="F5653" i="6"/>
  <c r="F5675" i="6" l="1"/>
  <c r="E5701" i="6"/>
  <c r="F5738" i="6"/>
  <c r="E5764" i="6"/>
  <c r="E5673" i="6"/>
  <c r="F5647" i="6"/>
  <c r="F5680" i="6"/>
  <c r="E5706" i="6"/>
  <c r="F5644" i="6"/>
  <c r="E5670" i="6"/>
  <c r="E5687" i="6"/>
  <c r="F5661" i="6"/>
  <c r="E5685" i="6"/>
  <c r="F5659" i="6"/>
  <c r="F5666" i="6"/>
  <c r="E5692" i="6"/>
  <c r="F5683" i="6"/>
  <c r="E5709" i="6"/>
  <c r="F5667" i="6"/>
  <c r="E5693" i="6"/>
  <c r="E5689" i="6"/>
  <c r="F5663" i="6"/>
  <c r="E5746" i="6"/>
  <c r="F5720" i="6"/>
  <c r="E5681" i="6"/>
  <c r="F5655" i="6"/>
  <c r="F5679" i="6"/>
  <c r="E5705" i="6"/>
  <c r="E5726" i="6"/>
  <c r="F5700" i="6"/>
  <c r="F5671" i="6"/>
  <c r="E5697" i="6"/>
  <c r="E5728" i="6"/>
  <c r="F5702" i="6"/>
  <c r="E5740" i="6"/>
  <c r="F5714" i="6"/>
  <c r="F5656" i="6"/>
  <c r="E5682" i="6"/>
  <c r="E5750" i="6"/>
  <c r="F5724" i="6"/>
  <c r="E5716" i="6"/>
  <c r="F5690" i="6"/>
  <c r="E5717" i="6"/>
  <c r="F5691" i="6"/>
  <c r="F5669" i="6"/>
  <c r="E5695" i="6"/>
  <c r="E5677" i="6"/>
  <c r="F5651" i="6"/>
  <c r="F5678" i="6"/>
  <c r="E5704" i="6"/>
  <c r="F5710" i="6"/>
  <c r="E5736" i="6"/>
  <c r="F5697" i="6" l="1"/>
  <c r="E5723" i="6"/>
  <c r="F5692" i="6"/>
  <c r="E5718" i="6"/>
  <c r="E5732" i="6"/>
  <c r="F5706" i="6"/>
  <c r="F5677" i="6"/>
  <c r="E5703" i="6"/>
  <c r="F5750" i="6"/>
  <c r="E5776" i="6"/>
  <c r="F5746" i="6"/>
  <c r="E5772" i="6"/>
  <c r="E5721" i="6"/>
  <c r="F5695" i="6"/>
  <c r="F5682" i="6"/>
  <c r="E5708" i="6"/>
  <c r="F5726" i="6"/>
  <c r="E5752" i="6"/>
  <c r="F5689" i="6"/>
  <c r="E5715" i="6"/>
  <c r="F5685" i="6"/>
  <c r="E5711" i="6"/>
  <c r="F5673" i="6"/>
  <c r="E5699" i="6"/>
  <c r="E5762" i="6"/>
  <c r="F5736" i="6"/>
  <c r="F5705" i="6"/>
  <c r="E5731" i="6"/>
  <c r="F5693" i="6"/>
  <c r="E5719" i="6"/>
  <c r="E5790" i="6"/>
  <c r="F5764" i="6"/>
  <c r="F5717" i="6"/>
  <c r="E5743" i="6"/>
  <c r="E5766" i="6"/>
  <c r="F5740" i="6"/>
  <c r="F5687" i="6"/>
  <c r="E5713" i="6"/>
  <c r="E5730" i="6"/>
  <c r="F5704" i="6"/>
  <c r="F5709" i="6"/>
  <c r="E5735" i="6"/>
  <c r="F5670" i="6"/>
  <c r="E5696" i="6"/>
  <c r="F5701" i="6"/>
  <c r="E5727" i="6"/>
  <c r="E5742" i="6"/>
  <c r="F5716" i="6"/>
  <c r="F5728" i="6"/>
  <c r="E5754" i="6"/>
  <c r="F5681" i="6"/>
  <c r="E5707" i="6"/>
  <c r="E5725" i="6" l="1"/>
  <c r="F5699" i="6"/>
  <c r="E5734" i="6"/>
  <c r="F5708" i="6"/>
  <c r="F5703" i="6"/>
  <c r="E5729" i="6"/>
  <c r="F5742" i="6"/>
  <c r="E5768" i="6"/>
  <c r="F5730" i="6"/>
  <c r="E5756" i="6"/>
  <c r="F5790" i="6"/>
  <c r="E5816" i="6"/>
  <c r="E5753" i="6"/>
  <c r="F5727" i="6"/>
  <c r="F5713" i="6"/>
  <c r="E5739" i="6"/>
  <c r="E5745" i="6"/>
  <c r="F5719" i="6"/>
  <c r="E5737" i="6"/>
  <c r="F5711" i="6"/>
  <c r="E5747" i="6"/>
  <c r="F5721" i="6"/>
  <c r="E5758" i="6"/>
  <c r="F5732" i="6"/>
  <c r="E5733" i="6"/>
  <c r="F5707" i="6"/>
  <c r="E5722" i="6"/>
  <c r="F5696" i="6"/>
  <c r="E5757" i="6"/>
  <c r="F5731" i="6"/>
  <c r="E5741" i="6"/>
  <c r="F5715" i="6"/>
  <c r="E5798" i="6"/>
  <c r="F5772" i="6"/>
  <c r="F5718" i="6"/>
  <c r="E5744" i="6"/>
  <c r="F5766" i="6"/>
  <c r="E5792" i="6"/>
  <c r="F5754" i="6"/>
  <c r="E5780" i="6"/>
  <c r="E5761" i="6"/>
  <c r="F5735" i="6"/>
  <c r="F5743" i="6"/>
  <c r="E5769" i="6"/>
  <c r="E5778" i="6"/>
  <c r="F5752" i="6"/>
  <c r="F5776" i="6"/>
  <c r="E5802" i="6"/>
  <c r="E5749" i="6"/>
  <c r="F5723" i="6"/>
  <c r="F5762" i="6"/>
  <c r="E5788" i="6"/>
  <c r="F5802" i="6" l="1"/>
  <c r="E5828" i="6"/>
  <c r="E5806" i="6"/>
  <c r="F5780" i="6"/>
  <c r="E5765" i="6"/>
  <c r="F5739" i="6"/>
  <c r="E5794" i="6"/>
  <c r="F5768" i="6"/>
  <c r="E5767" i="6"/>
  <c r="F5741" i="6"/>
  <c r="F5758" i="6"/>
  <c r="E5784" i="6"/>
  <c r="F5792" i="6"/>
  <c r="E5818" i="6"/>
  <c r="F5729" i="6"/>
  <c r="E5755" i="6"/>
  <c r="F5778" i="6"/>
  <c r="E5804" i="6"/>
  <c r="E5783" i="6"/>
  <c r="F5757" i="6"/>
  <c r="E5773" i="6"/>
  <c r="F5747" i="6"/>
  <c r="F5753" i="6"/>
  <c r="E5779" i="6"/>
  <c r="E5814" i="6"/>
  <c r="F5788" i="6"/>
  <c r="F5769" i="6"/>
  <c r="E5795" i="6"/>
  <c r="E5770" i="6"/>
  <c r="F5744" i="6"/>
  <c r="E5842" i="6"/>
  <c r="F5816" i="6"/>
  <c r="F5722" i="6"/>
  <c r="E5748" i="6"/>
  <c r="F5737" i="6"/>
  <c r="E5763" i="6"/>
  <c r="F5734" i="6"/>
  <c r="E5760" i="6"/>
  <c r="E5782" i="6"/>
  <c r="F5756" i="6"/>
  <c r="F5749" i="6"/>
  <c r="E5775" i="6"/>
  <c r="F5761" i="6"/>
  <c r="E5787" i="6"/>
  <c r="F5798" i="6"/>
  <c r="E5824" i="6"/>
  <c r="F5733" i="6"/>
  <c r="E5759" i="6"/>
  <c r="F5745" i="6"/>
  <c r="E5771" i="6"/>
  <c r="F5725" i="6"/>
  <c r="E5751" i="6"/>
  <c r="E5785" i="6" l="1"/>
  <c r="F5759" i="6"/>
  <c r="E5805" i="6"/>
  <c r="F5779" i="6"/>
  <c r="E5781" i="6"/>
  <c r="F5755" i="6"/>
  <c r="F5782" i="6"/>
  <c r="E5808" i="6"/>
  <c r="E5868" i="6"/>
  <c r="F5842" i="6"/>
  <c r="E5820" i="6"/>
  <c r="F5794" i="6"/>
  <c r="E5850" i="6"/>
  <c r="F5824" i="6"/>
  <c r="E5786" i="6"/>
  <c r="F5760" i="6"/>
  <c r="F5818" i="6"/>
  <c r="E5844" i="6"/>
  <c r="F5770" i="6"/>
  <c r="E5796" i="6"/>
  <c r="F5773" i="6"/>
  <c r="E5799" i="6"/>
  <c r="F5765" i="6"/>
  <c r="E5791" i="6"/>
  <c r="E5777" i="6"/>
  <c r="F5751" i="6"/>
  <c r="F5787" i="6"/>
  <c r="E5813" i="6"/>
  <c r="E5789" i="6"/>
  <c r="F5763" i="6"/>
  <c r="E5821" i="6"/>
  <c r="F5795" i="6"/>
  <c r="E5810" i="6"/>
  <c r="F5784" i="6"/>
  <c r="E5809" i="6"/>
  <c r="F5783" i="6"/>
  <c r="F5806" i="6"/>
  <c r="E5832" i="6"/>
  <c r="E5797" i="6"/>
  <c r="F5771" i="6"/>
  <c r="E5801" i="6"/>
  <c r="F5775" i="6"/>
  <c r="F5748" i="6"/>
  <c r="E5774" i="6"/>
  <c r="E5830" i="6"/>
  <c r="F5804" i="6"/>
  <c r="E5854" i="6"/>
  <c r="F5828" i="6"/>
  <c r="F5814" i="6"/>
  <c r="E5840" i="6"/>
  <c r="E5793" i="6"/>
  <c r="F5767" i="6"/>
  <c r="E5817" i="6" l="1"/>
  <c r="F5791" i="6"/>
  <c r="F5808" i="6"/>
  <c r="E5834" i="6"/>
  <c r="E5880" i="6"/>
  <c r="F5854" i="6"/>
  <c r="F5797" i="6"/>
  <c r="E5823" i="6"/>
  <c r="F5821" i="6"/>
  <c r="E5847" i="6"/>
  <c r="F5786" i="6"/>
  <c r="E5812" i="6"/>
  <c r="E5825" i="6"/>
  <c r="F5799" i="6"/>
  <c r="E5856" i="6"/>
  <c r="F5830" i="6"/>
  <c r="F5789" i="6"/>
  <c r="E5815" i="6"/>
  <c r="F5850" i="6"/>
  <c r="E5876" i="6"/>
  <c r="F5781" i="6"/>
  <c r="E5807" i="6"/>
  <c r="F5813" i="6"/>
  <c r="E5839" i="6"/>
  <c r="E5822" i="6"/>
  <c r="F5796" i="6"/>
  <c r="F5793" i="6"/>
  <c r="E5819" i="6"/>
  <c r="E5835" i="6"/>
  <c r="F5809" i="6"/>
  <c r="E5846" i="6"/>
  <c r="F5820" i="6"/>
  <c r="E5831" i="6"/>
  <c r="F5805" i="6"/>
  <c r="F5774" i="6"/>
  <c r="E5800" i="6"/>
  <c r="F5840" i="6"/>
  <c r="E5866" i="6"/>
  <c r="E5870" i="6"/>
  <c r="F5844" i="6"/>
  <c r="E5858" i="6"/>
  <c r="F5832" i="6"/>
  <c r="F5801" i="6"/>
  <c r="E5827" i="6"/>
  <c r="F5810" i="6"/>
  <c r="E5836" i="6"/>
  <c r="F5777" i="6"/>
  <c r="E5803" i="6"/>
  <c r="F5868" i="6"/>
  <c r="E5894" i="6"/>
  <c r="F5785" i="6"/>
  <c r="E5811" i="6"/>
  <c r="E5829" i="6" l="1"/>
  <c r="F5803" i="6"/>
  <c r="F5839" i="6"/>
  <c r="E5865" i="6"/>
  <c r="E5849" i="6"/>
  <c r="F5823" i="6"/>
  <c r="E5862" i="6"/>
  <c r="F5836" i="6"/>
  <c r="F5866" i="6"/>
  <c r="E5892" i="6"/>
  <c r="E5833" i="6"/>
  <c r="F5807" i="6"/>
  <c r="F5870" i="6"/>
  <c r="E5896" i="6"/>
  <c r="E5861" i="6"/>
  <c r="F5835" i="6"/>
  <c r="E5851" i="6"/>
  <c r="F5825" i="6"/>
  <c r="E5906" i="6"/>
  <c r="F5880" i="6"/>
  <c r="E5837" i="6"/>
  <c r="F5811" i="6"/>
  <c r="F5827" i="6"/>
  <c r="E5853" i="6"/>
  <c r="E5826" i="6"/>
  <c r="F5800" i="6"/>
  <c r="E5845" i="6"/>
  <c r="F5819" i="6"/>
  <c r="F5876" i="6"/>
  <c r="E5902" i="6"/>
  <c r="E5838" i="6"/>
  <c r="F5812" i="6"/>
  <c r="F5834" i="6"/>
  <c r="E5860" i="6"/>
  <c r="F5846" i="6"/>
  <c r="E5872" i="6"/>
  <c r="F5894" i="6"/>
  <c r="E5920" i="6"/>
  <c r="E5841" i="6"/>
  <c r="F5815" i="6"/>
  <c r="E5873" i="6"/>
  <c r="F5847" i="6"/>
  <c r="E5882" i="6"/>
  <c r="F5856" i="6"/>
  <c r="F5858" i="6"/>
  <c r="E5884" i="6"/>
  <c r="F5831" i="6"/>
  <c r="E5857" i="6"/>
  <c r="F5822" i="6"/>
  <c r="E5848" i="6"/>
  <c r="F5817" i="6"/>
  <c r="E5843" i="6"/>
  <c r="F5841" i="6" l="1"/>
  <c r="E5867" i="6"/>
  <c r="F5884" i="6"/>
  <c r="E5910" i="6"/>
  <c r="F5857" i="6"/>
  <c r="E5883" i="6"/>
  <c r="E5879" i="6"/>
  <c r="F5853" i="6"/>
  <c r="F5862" i="6"/>
  <c r="E5888" i="6"/>
  <c r="F5902" i="6"/>
  <c r="E5928" i="6"/>
  <c r="E5863" i="6"/>
  <c r="F5837" i="6"/>
  <c r="F5849" i="6"/>
  <c r="E5875" i="6"/>
  <c r="F5861" i="6"/>
  <c r="E5887" i="6"/>
  <c r="F5896" i="6"/>
  <c r="E5922" i="6"/>
  <c r="E5869" i="6"/>
  <c r="F5843" i="6"/>
  <c r="F5872" i="6"/>
  <c r="E5898" i="6"/>
  <c r="F5865" i="6"/>
  <c r="E5891" i="6"/>
  <c r="E5908" i="6"/>
  <c r="F5882" i="6"/>
  <c r="F5845" i="6"/>
  <c r="E5871" i="6"/>
  <c r="E5932" i="6"/>
  <c r="F5906" i="6"/>
  <c r="F5833" i="6"/>
  <c r="E5859" i="6"/>
  <c r="F5838" i="6"/>
  <c r="E5864" i="6"/>
  <c r="F5860" i="6"/>
  <c r="E5886" i="6"/>
  <c r="E5918" i="6"/>
  <c r="F5892" i="6"/>
  <c r="F5920" i="6"/>
  <c r="E5946" i="6"/>
  <c r="E5874" i="6"/>
  <c r="F5848" i="6"/>
  <c r="F5873" i="6"/>
  <c r="E5899" i="6"/>
  <c r="F5826" i="6"/>
  <c r="E5852" i="6"/>
  <c r="E5877" i="6"/>
  <c r="F5851" i="6"/>
  <c r="F5829" i="6"/>
  <c r="E5855" i="6"/>
  <c r="E5878" i="6" l="1"/>
  <c r="F5852" i="6"/>
  <c r="E5924" i="6"/>
  <c r="F5898" i="6"/>
  <c r="F5875" i="6"/>
  <c r="E5901" i="6"/>
  <c r="F5899" i="6"/>
  <c r="E5925" i="6"/>
  <c r="E5912" i="6"/>
  <c r="F5886" i="6"/>
  <c r="F5871" i="6"/>
  <c r="E5897" i="6"/>
  <c r="F5883" i="6"/>
  <c r="E5909" i="6"/>
  <c r="F5918" i="6"/>
  <c r="E5944" i="6"/>
  <c r="F5869" i="6"/>
  <c r="E5895" i="6"/>
  <c r="F5863" i="6"/>
  <c r="E5889" i="6"/>
  <c r="E5881" i="6"/>
  <c r="F5855" i="6"/>
  <c r="F5864" i="6"/>
  <c r="E5890" i="6"/>
  <c r="E5948" i="6"/>
  <c r="F5922" i="6"/>
  <c r="E5954" i="6"/>
  <c r="F5928" i="6"/>
  <c r="E5936" i="6"/>
  <c r="F5910" i="6"/>
  <c r="F5879" i="6"/>
  <c r="E5905" i="6"/>
  <c r="F5874" i="6"/>
  <c r="E5900" i="6"/>
  <c r="E5934" i="6"/>
  <c r="F5908" i="6"/>
  <c r="E5958" i="6"/>
  <c r="F5932" i="6"/>
  <c r="E5972" i="6"/>
  <c r="F5946" i="6"/>
  <c r="F5859" i="6"/>
  <c r="E5885" i="6"/>
  <c r="F5891" i="6"/>
  <c r="E5917" i="6"/>
  <c r="F5887" i="6"/>
  <c r="E5913" i="6"/>
  <c r="E5914" i="6"/>
  <c r="F5888" i="6"/>
  <c r="F5867" i="6"/>
  <c r="E5893" i="6"/>
  <c r="F5877" i="6"/>
  <c r="E5903" i="6"/>
  <c r="E5931" i="6" l="1"/>
  <c r="F5905" i="6"/>
  <c r="F5890" i="6"/>
  <c r="E5916" i="6"/>
  <c r="E5970" i="6"/>
  <c r="F5944" i="6"/>
  <c r="F5925" i="6"/>
  <c r="E5951" i="6"/>
  <c r="E5940" i="6"/>
  <c r="F5914" i="6"/>
  <c r="E5935" i="6"/>
  <c r="F5909" i="6"/>
  <c r="E5927" i="6"/>
  <c r="F5901" i="6"/>
  <c r="E5984" i="6"/>
  <c r="F5958" i="6"/>
  <c r="E5907" i="6"/>
  <c r="F5881" i="6"/>
  <c r="E5998" i="6"/>
  <c r="F5972" i="6"/>
  <c r="E5915" i="6"/>
  <c r="F5889" i="6"/>
  <c r="E5923" i="6"/>
  <c r="F5897" i="6"/>
  <c r="E5939" i="6"/>
  <c r="F5913" i="6"/>
  <c r="F5903" i="6"/>
  <c r="E5929" i="6"/>
  <c r="E5960" i="6"/>
  <c r="F5934" i="6"/>
  <c r="E5980" i="6"/>
  <c r="F5954" i="6"/>
  <c r="F5924" i="6"/>
  <c r="E5950" i="6"/>
  <c r="E5943" i="6"/>
  <c r="F5917" i="6"/>
  <c r="F5893" i="6"/>
  <c r="E5919" i="6"/>
  <c r="F5895" i="6"/>
  <c r="E5921" i="6"/>
  <c r="E5962" i="6"/>
  <c r="F5936" i="6"/>
  <c r="E5911" i="6"/>
  <c r="F5885" i="6"/>
  <c r="F5900" i="6"/>
  <c r="E5926" i="6"/>
  <c r="F5948" i="6"/>
  <c r="E5974" i="6"/>
  <c r="E5938" i="6"/>
  <c r="F5912" i="6"/>
  <c r="F5878" i="6"/>
  <c r="E5904" i="6"/>
  <c r="E6000" i="6" l="1"/>
  <c r="F5974" i="6"/>
  <c r="F5921" i="6"/>
  <c r="E5947" i="6"/>
  <c r="F5951" i="6"/>
  <c r="E5977" i="6"/>
  <c r="E6010" i="6"/>
  <c r="F5984" i="6"/>
  <c r="F5926" i="6"/>
  <c r="E5952" i="6"/>
  <c r="F5919" i="6"/>
  <c r="E5945" i="6"/>
  <c r="E5986" i="6"/>
  <c r="F5960" i="6"/>
  <c r="F5915" i="6"/>
  <c r="E5941" i="6"/>
  <c r="E5953" i="6"/>
  <c r="F5927" i="6"/>
  <c r="E5996" i="6"/>
  <c r="F5970" i="6"/>
  <c r="F5923" i="6"/>
  <c r="E5949" i="6"/>
  <c r="F5904" i="6"/>
  <c r="E5930" i="6"/>
  <c r="E5955" i="6"/>
  <c r="F5929" i="6"/>
  <c r="E5942" i="6"/>
  <c r="F5916" i="6"/>
  <c r="E6006" i="6"/>
  <c r="F5980" i="6"/>
  <c r="E5937" i="6"/>
  <c r="F5911" i="6"/>
  <c r="F5943" i="6"/>
  <c r="E5969" i="6"/>
  <c r="E6024" i="6"/>
  <c r="F5998" i="6"/>
  <c r="F5935" i="6"/>
  <c r="E5961" i="6"/>
  <c r="E5976" i="6"/>
  <c r="F5950" i="6"/>
  <c r="E5964" i="6"/>
  <c r="F5938" i="6"/>
  <c r="E5988" i="6"/>
  <c r="F5962" i="6"/>
  <c r="F5939" i="6"/>
  <c r="E5965" i="6"/>
  <c r="E5933" i="6"/>
  <c r="F5907" i="6"/>
  <c r="F5940" i="6"/>
  <c r="E5966" i="6"/>
  <c r="F5931" i="6"/>
  <c r="E5957" i="6"/>
  <c r="E5956" i="6" l="1"/>
  <c r="F5930" i="6"/>
  <c r="E5967" i="6"/>
  <c r="F5941" i="6"/>
  <c r="E5991" i="6"/>
  <c r="F5965" i="6"/>
  <c r="E5975" i="6"/>
  <c r="F5949" i="6"/>
  <c r="E6032" i="6"/>
  <c r="F6006" i="6"/>
  <c r="E6012" i="6"/>
  <c r="F5986" i="6"/>
  <c r="E5971" i="6"/>
  <c r="F5945" i="6"/>
  <c r="F5947" i="6"/>
  <c r="E5973" i="6"/>
  <c r="E6002" i="6"/>
  <c r="F5976" i="6"/>
  <c r="E6014" i="6"/>
  <c r="F5988" i="6"/>
  <c r="F6024" i="6"/>
  <c r="E6050" i="6"/>
  <c r="E5968" i="6"/>
  <c r="F5942" i="6"/>
  <c r="E6022" i="6"/>
  <c r="F5996" i="6"/>
  <c r="E5959" i="6"/>
  <c r="F5933" i="6"/>
  <c r="E6036" i="6"/>
  <c r="F6010" i="6"/>
  <c r="E5983" i="6"/>
  <c r="F5957" i="6"/>
  <c r="F5952" i="6"/>
  <c r="E5978" i="6"/>
  <c r="E5963" i="6"/>
  <c r="F5937" i="6"/>
  <c r="E5987" i="6"/>
  <c r="F5961" i="6"/>
  <c r="E6003" i="6"/>
  <c r="F5977" i="6"/>
  <c r="E5992" i="6"/>
  <c r="F5966" i="6"/>
  <c r="E5995" i="6"/>
  <c r="F5969" i="6"/>
  <c r="E5990" i="6"/>
  <c r="F5964" i="6"/>
  <c r="F5955" i="6"/>
  <c r="E5981" i="6"/>
  <c r="E5979" i="6"/>
  <c r="F5953" i="6"/>
  <c r="E6026" i="6"/>
  <c r="F6000" i="6"/>
  <c r="F6003" i="6" l="1"/>
  <c r="E6029" i="6"/>
  <c r="E5994" i="6"/>
  <c r="F5968" i="6"/>
  <c r="F5975" i="6"/>
  <c r="E6001" i="6"/>
  <c r="E6076" i="6"/>
  <c r="F6050" i="6"/>
  <c r="E6007" i="6"/>
  <c r="F5981" i="6"/>
  <c r="F5983" i="6"/>
  <c r="E6009" i="6"/>
  <c r="F5987" i="6"/>
  <c r="E6013" i="6"/>
  <c r="F5971" i="6"/>
  <c r="E5997" i="6"/>
  <c r="F5991" i="6"/>
  <c r="E6017" i="6"/>
  <c r="E6016" i="6"/>
  <c r="F5990" i="6"/>
  <c r="E5999" i="6"/>
  <c r="F5973" i="6"/>
  <c r="F5959" i="6"/>
  <c r="E5985" i="6"/>
  <c r="E6040" i="6"/>
  <c r="F6014" i="6"/>
  <c r="E6038" i="6"/>
  <c r="F6012" i="6"/>
  <c r="F5967" i="6"/>
  <c r="E5993" i="6"/>
  <c r="E6062" i="6"/>
  <c r="F6036" i="6"/>
  <c r="F5995" i="6"/>
  <c r="E6021" i="6"/>
  <c r="E6052" i="6"/>
  <c r="F6026" i="6"/>
  <c r="F5963" i="6"/>
  <c r="E5989" i="6"/>
  <c r="E6004" i="6"/>
  <c r="F5978" i="6"/>
  <c r="F5979" i="6"/>
  <c r="E6005" i="6"/>
  <c r="E6018" i="6"/>
  <c r="F5992" i="6"/>
  <c r="F6022" i="6"/>
  <c r="E6048" i="6"/>
  <c r="E6028" i="6"/>
  <c r="F6002" i="6"/>
  <c r="E6058" i="6"/>
  <c r="F6032" i="6"/>
  <c r="E5982" i="6"/>
  <c r="F5956" i="6"/>
  <c r="E6102" i="6" l="1"/>
  <c r="F6076" i="6"/>
  <c r="E6054" i="6"/>
  <c r="F6028" i="6"/>
  <c r="E6019" i="6"/>
  <c r="F5993" i="6"/>
  <c r="E6039" i="6"/>
  <c r="F6013" i="6"/>
  <c r="E6027" i="6"/>
  <c r="F6001" i="6"/>
  <c r="E6088" i="6"/>
  <c r="F6062" i="6"/>
  <c r="F5999" i="6"/>
  <c r="E6025" i="6"/>
  <c r="E6011" i="6"/>
  <c r="F5985" i="6"/>
  <c r="E6015" i="6"/>
  <c r="F5989" i="6"/>
  <c r="E6035" i="6"/>
  <c r="F6009" i="6"/>
  <c r="E6044" i="6"/>
  <c r="F6018" i="6"/>
  <c r="E6078" i="6"/>
  <c r="F6052" i="6"/>
  <c r="E6064" i="6"/>
  <c r="F6038" i="6"/>
  <c r="F6016" i="6"/>
  <c r="E6042" i="6"/>
  <c r="E6020" i="6"/>
  <c r="F5994" i="6"/>
  <c r="E6030" i="6"/>
  <c r="F6004" i="6"/>
  <c r="E6008" i="6"/>
  <c r="F5982" i="6"/>
  <c r="E6031" i="6"/>
  <c r="F6005" i="6"/>
  <c r="E6047" i="6"/>
  <c r="F6021" i="6"/>
  <c r="E6043" i="6"/>
  <c r="F6017" i="6"/>
  <c r="E6055" i="6"/>
  <c r="F6029" i="6"/>
  <c r="E6023" i="6"/>
  <c r="F5997" i="6"/>
  <c r="E6074" i="6"/>
  <c r="F6048" i="6"/>
  <c r="E6084" i="6"/>
  <c r="F6058" i="6"/>
  <c r="E6066" i="6"/>
  <c r="F6040" i="6"/>
  <c r="F6007" i="6"/>
  <c r="E6033" i="6"/>
  <c r="E6051" i="6" l="1"/>
  <c r="F6025" i="6"/>
  <c r="F6011" i="6"/>
  <c r="E6037" i="6"/>
  <c r="E6046" i="6"/>
  <c r="F6020" i="6"/>
  <c r="F6044" i="6"/>
  <c r="E6070" i="6"/>
  <c r="F6019" i="6"/>
  <c r="E6045" i="6"/>
  <c r="E6056" i="6"/>
  <c r="F6030" i="6"/>
  <c r="F6047" i="6"/>
  <c r="E6073" i="6"/>
  <c r="E6068" i="6"/>
  <c r="F6042" i="6"/>
  <c r="E6110" i="6"/>
  <c r="F6084" i="6"/>
  <c r="E6104" i="6"/>
  <c r="F6078" i="6"/>
  <c r="F6074" i="6"/>
  <c r="E6100" i="6"/>
  <c r="F6035" i="6"/>
  <c r="E6061" i="6"/>
  <c r="E6114" i="6"/>
  <c r="F6088" i="6"/>
  <c r="E6080" i="6"/>
  <c r="F6054" i="6"/>
  <c r="F6043" i="6"/>
  <c r="E6069" i="6"/>
  <c r="E6059" i="6"/>
  <c r="F6033" i="6"/>
  <c r="F6023" i="6"/>
  <c r="E6049" i="6"/>
  <c r="F6039" i="6"/>
  <c r="E6065" i="6"/>
  <c r="F6031" i="6"/>
  <c r="E6057" i="6"/>
  <c r="E6092" i="6"/>
  <c r="F6066" i="6"/>
  <c r="F6055" i="6"/>
  <c r="E6081" i="6"/>
  <c r="E6034" i="6"/>
  <c r="F6008" i="6"/>
  <c r="E6090" i="6"/>
  <c r="F6064" i="6"/>
  <c r="F6015" i="6"/>
  <c r="E6041" i="6"/>
  <c r="F6027" i="6"/>
  <c r="E6053" i="6"/>
  <c r="F6102" i="6"/>
  <c r="E6128" i="6"/>
  <c r="E6087" i="6" l="1"/>
  <c r="F6061" i="6"/>
  <c r="E6096" i="6"/>
  <c r="F6070" i="6"/>
  <c r="E6083" i="6"/>
  <c r="F6057" i="6"/>
  <c r="E6095" i="6"/>
  <c r="F6069" i="6"/>
  <c r="E6126" i="6"/>
  <c r="F6100" i="6"/>
  <c r="E6099" i="6"/>
  <c r="F6073" i="6"/>
  <c r="F6092" i="6"/>
  <c r="E6118" i="6"/>
  <c r="E6072" i="6"/>
  <c r="F6046" i="6"/>
  <c r="E6091" i="6"/>
  <c r="F6065" i="6"/>
  <c r="F6037" i="6"/>
  <c r="E6063" i="6"/>
  <c r="E6094" i="6"/>
  <c r="F6068" i="6"/>
  <c r="E6116" i="6"/>
  <c r="F6090" i="6"/>
  <c r="F6128" i="6"/>
  <c r="E6154" i="6"/>
  <c r="E6060" i="6"/>
  <c r="F6034" i="6"/>
  <c r="E6106" i="6"/>
  <c r="F6080" i="6"/>
  <c r="F6104" i="6"/>
  <c r="E6130" i="6"/>
  <c r="E6082" i="6"/>
  <c r="F6056" i="6"/>
  <c r="F6059" i="6"/>
  <c r="E6085" i="6"/>
  <c r="E6079" i="6"/>
  <c r="F6053" i="6"/>
  <c r="E6107" i="6"/>
  <c r="F6081" i="6"/>
  <c r="E6075" i="6"/>
  <c r="F6049" i="6"/>
  <c r="E6071" i="6"/>
  <c r="F6045" i="6"/>
  <c r="F6041" i="6"/>
  <c r="E6067" i="6"/>
  <c r="E6140" i="6"/>
  <c r="F6114" i="6"/>
  <c r="E6136" i="6"/>
  <c r="F6110" i="6"/>
  <c r="F6051" i="6"/>
  <c r="E6077" i="6"/>
  <c r="E6156" i="6" l="1"/>
  <c r="F6130" i="6"/>
  <c r="F6140" i="6"/>
  <c r="E6166" i="6"/>
  <c r="F6107" i="6"/>
  <c r="E6133" i="6"/>
  <c r="E6142" i="6"/>
  <c r="F6116" i="6"/>
  <c r="E6098" i="6"/>
  <c r="F6072" i="6"/>
  <c r="F6095" i="6"/>
  <c r="E6121" i="6"/>
  <c r="F6067" i="6"/>
  <c r="E6093" i="6"/>
  <c r="E6144" i="6"/>
  <c r="F6118" i="6"/>
  <c r="E6109" i="6"/>
  <c r="F6083" i="6"/>
  <c r="F6063" i="6"/>
  <c r="E6089" i="6"/>
  <c r="E6132" i="6"/>
  <c r="F6106" i="6"/>
  <c r="F6071" i="6"/>
  <c r="E6097" i="6"/>
  <c r="F6060" i="6"/>
  <c r="E6086" i="6"/>
  <c r="F6099" i="6"/>
  <c r="E6125" i="6"/>
  <c r="E6122" i="6"/>
  <c r="F6096" i="6"/>
  <c r="E6105" i="6"/>
  <c r="F6079" i="6"/>
  <c r="E6103" i="6"/>
  <c r="F6077" i="6"/>
  <c r="E6111" i="6"/>
  <c r="F6085" i="6"/>
  <c r="E6180" i="6"/>
  <c r="F6154" i="6"/>
  <c r="E6120" i="6"/>
  <c r="F6094" i="6"/>
  <c r="E6162" i="6"/>
  <c r="F6136" i="6"/>
  <c r="F6075" i="6"/>
  <c r="E6101" i="6"/>
  <c r="F6082" i="6"/>
  <c r="E6108" i="6"/>
  <c r="F6091" i="6"/>
  <c r="E6117" i="6"/>
  <c r="E6152" i="6"/>
  <c r="F6126" i="6"/>
  <c r="F6087" i="6"/>
  <c r="E6113" i="6"/>
  <c r="E6123" i="6" l="1"/>
  <c r="F6097" i="6"/>
  <c r="E6146" i="6"/>
  <c r="F6120" i="6"/>
  <c r="E6131" i="6"/>
  <c r="F6105" i="6"/>
  <c r="F6144" i="6"/>
  <c r="E6170" i="6"/>
  <c r="E6168" i="6"/>
  <c r="F6142" i="6"/>
  <c r="F6108" i="6"/>
  <c r="E6134" i="6"/>
  <c r="E6119" i="6"/>
  <c r="F6093" i="6"/>
  <c r="E6159" i="6"/>
  <c r="F6133" i="6"/>
  <c r="F6132" i="6"/>
  <c r="E6158" i="6"/>
  <c r="E6206" i="6"/>
  <c r="F6180" i="6"/>
  <c r="E6151" i="6"/>
  <c r="F6125" i="6"/>
  <c r="E6115" i="6"/>
  <c r="F6089" i="6"/>
  <c r="E6147" i="6"/>
  <c r="F6121" i="6"/>
  <c r="E6192" i="6"/>
  <c r="F6166" i="6"/>
  <c r="F6111" i="6"/>
  <c r="E6137" i="6"/>
  <c r="E6148" i="6"/>
  <c r="F6122" i="6"/>
  <c r="E6127" i="6"/>
  <c r="F6101" i="6"/>
  <c r="F6117" i="6"/>
  <c r="E6143" i="6"/>
  <c r="E6139" i="6"/>
  <c r="F6113" i="6"/>
  <c r="E6112" i="6"/>
  <c r="F6086" i="6"/>
  <c r="F6152" i="6"/>
  <c r="E6178" i="6"/>
  <c r="E6188" i="6"/>
  <c r="F6162" i="6"/>
  <c r="F6103" i="6"/>
  <c r="E6129" i="6"/>
  <c r="E6135" i="6"/>
  <c r="F6109" i="6"/>
  <c r="E6124" i="6"/>
  <c r="F6098" i="6"/>
  <c r="E6182" i="6"/>
  <c r="F6156" i="6"/>
  <c r="F6170" i="6" l="1"/>
  <c r="E6196" i="6"/>
  <c r="E6161" i="6"/>
  <c r="F6135" i="6"/>
  <c r="E6138" i="6"/>
  <c r="F6112" i="6"/>
  <c r="E6174" i="6"/>
  <c r="F6148" i="6"/>
  <c r="F6115" i="6"/>
  <c r="E6141" i="6"/>
  <c r="F6159" i="6"/>
  <c r="E6185" i="6"/>
  <c r="F6129" i="6"/>
  <c r="E6155" i="6"/>
  <c r="E6163" i="6"/>
  <c r="F6137" i="6"/>
  <c r="F6139" i="6"/>
  <c r="E6165" i="6"/>
  <c r="E6177" i="6"/>
  <c r="F6151" i="6"/>
  <c r="F6119" i="6"/>
  <c r="E6145" i="6"/>
  <c r="E6157" i="6"/>
  <c r="F6131" i="6"/>
  <c r="F6143" i="6"/>
  <c r="E6169" i="6"/>
  <c r="E6160" i="6"/>
  <c r="F6134" i="6"/>
  <c r="E6208" i="6"/>
  <c r="F6182" i="6"/>
  <c r="F6188" i="6"/>
  <c r="E6214" i="6"/>
  <c r="F6192" i="6"/>
  <c r="E6218" i="6"/>
  <c r="E6232" i="6"/>
  <c r="F6206" i="6"/>
  <c r="F6146" i="6"/>
  <c r="E6172" i="6"/>
  <c r="E6204" i="6"/>
  <c r="F6178" i="6"/>
  <c r="E6184" i="6"/>
  <c r="F6158" i="6"/>
  <c r="F6124" i="6"/>
  <c r="E6150" i="6"/>
  <c r="F6127" i="6"/>
  <c r="E6153" i="6"/>
  <c r="F6147" i="6"/>
  <c r="E6173" i="6"/>
  <c r="E6194" i="6"/>
  <c r="F6168" i="6"/>
  <c r="F6123" i="6"/>
  <c r="E6149" i="6"/>
  <c r="F6204" i="6" l="1"/>
  <c r="E6230" i="6"/>
  <c r="E6183" i="6"/>
  <c r="F6157" i="6"/>
  <c r="F6163" i="6"/>
  <c r="E6189" i="6"/>
  <c r="E6200" i="6"/>
  <c r="F6174" i="6"/>
  <c r="E6179" i="6"/>
  <c r="F6153" i="6"/>
  <c r="F6172" i="6"/>
  <c r="E6198" i="6"/>
  <c r="E6171" i="6"/>
  <c r="F6145" i="6"/>
  <c r="F6155" i="6"/>
  <c r="E6181" i="6"/>
  <c r="E6199" i="6"/>
  <c r="F6173" i="6"/>
  <c r="F6208" i="6"/>
  <c r="E6234" i="6"/>
  <c r="E6211" i="6"/>
  <c r="F6185" i="6"/>
  <c r="E6164" i="6"/>
  <c r="F6138" i="6"/>
  <c r="E6175" i="6"/>
  <c r="F6149" i="6"/>
  <c r="F6232" i="6"/>
  <c r="E6258" i="6"/>
  <c r="F6160" i="6"/>
  <c r="E6186" i="6"/>
  <c r="E6203" i="6"/>
  <c r="F6177" i="6"/>
  <c r="E6187" i="6"/>
  <c r="F6161" i="6"/>
  <c r="E6240" i="6"/>
  <c r="F6214" i="6"/>
  <c r="E6176" i="6"/>
  <c r="F6150" i="6"/>
  <c r="E6191" i="6"/>
  <c r="F6165" i="6"/>
  <c r="F6196" i="6"/>
  <c r="E6222" i="6"/>
  <c r="E6244" i="6"/>
  <c r="F6218" i="6"/>
  <c r="E6195" i="6"/>
  <c r="F6169" i="6"/>
  <c r="E6167" i="6"/>
  <c r="F6141" i="6"/>
  <c r="E6220" i="6"/>
  <c r="F6194" i="6"/>
  <c r="F6184" i="6"/>
  <c r="E6210" i="6"/>
  <c r="E6207" i="6" l="1"/>
  <c r="F6181" i="6"/>
  <c r="E6226" i="6"/>
  <c r="F6200" i="6"/>
  <c r="E6212" i="6"/>
  <c r="F6186" i="6"/>
  <c r="E6215" i="6"/>
  <c r="F6189" i="6"/>
  <c r="F6191" i="6"/>
  <c r="E6217" i="6"/>
  <c r="F6176" i="6"/>
  <c r="E6202" i="6"/>
  <c r="F6211" i="6"/>
  <c r="E6237" i="6"/>
  <c r="F6171" i="6"/>
  <c r="E6197" i="6"/>
  <c r="F6258" i="6"/>
  <c r="E6284" i="6"/>
  <c r="F6234" i="6"/>
  <c r="E6260" i="6"/>
  <c r="E6224" i="6"/>
  <c r="F6198" i="6"/>
  <c r="E6193" i="6"/>
  <c r="F6167" i="6"/>
  <c r="E6236" i="6"/>
  <c r="F6210" i="6"/>
  <c r="F6244" i="6"/>
  <c r="E6270" i="6"/>
  <c r="F6183" i="6"/>
  <c r="E6209" i="6"/>
  <c r="F6164" i="6"/>
  <c r="E6190" i="6"/>
  <c r="F6240" i="6"/>
  <c r="E6266" i="6"/>
  <c r="E6248" i="6"/>
  <c r="F6222" i="6"/>
  <c r="F6230" i="6"/>
  <c r="E6256" i="6"/>
  <c r="F6203" i="6"/>
  <c r="E6229" i="6"/>
  <c r="F6195" i="6"/>
  <c r="E6221" i="6"/>
  <c r="F6220" i="6"/>
  <c r="E6246" i="6"/>
  <c r="E6213" i="6"/>
  <c r="F6187" i="6"/>
  <c r="F6175" i="6"/>
  <c r="E6201" i="6"/>
  <c r="F6199" i="6"/>
  <c r="E6225" i="6"/>
  <c r="E6205" i="6"/>
  <c r="F6179" i="6"/>
  <c r="E6227" i="6" l="1"/>
  <c r="F6201" i="6"/>
  <c r="F6193" i="6"/>
  <c r="E6219" i="6"/>
  <c r="E6241" i="6"/>
  <c r="F6215" i="6"/>
  <c r="F6229" i="6"/>
  <c r="E6255" i="6"/>
  <c r="F6256" i="6"/>
  <c r="E6282" i="6"/>
  <c r="E6235" i="6"/>
  <c r="F6209" i="6"/>
  <c r="E6263" i="6"/>
  <c r="F6237" i="6"/>
  <c r="E6223" i="6"/>
  <c r="F6197" i="6"/>
  <c r="E6239" i="6"/>
  <c r="F6213" i="6"/>
  <c r="F6224" i="6"/>
  <c r="E6250" i="6"/>
  <c r="F6212" i="6"/>
  <c r="E6238" i="6"/>
  <c r="F6246" i="6"/>
  <c r="E6272" i="6"/>
  <c r="E6296" i="6"/>
  <c r="F6270" i="6"/>
  <c r="F6260" i="6"/>
  <c r="E6286" i="6"/>
  <c r="E6228" i="6"/>
  <c r="F6202" i="6"/>
  <c r="E6252" i="6"/>
  <c r="F6226" i="6"/>
  <c r="E6247" i="6"/>
  <c r="F6221" i="6"/>
  <c r="F6284" i="6"/>
  <c r="E6310" i="6"/>
  <c r="E6243" i="6"/>
  <c r="F6217" i="6"/>
  <c r="E6216" i="6"/>
  <c r="F6190" i="6"/>
  <c r="E6231" i="6"/>
  <c r="F6205" i="6"/>
  <c r="F6248" i="6"/>
  <c r="E6274" i="6"/>
  <c r="F6225" i="6"/>
  <c r="E6251" i="6"/>
  <c r="F6266" i="6"/>
  <c r="E6292" i="6"/>
  <c r="E6262" i="6"/>
  <c r="F6236" i="6"/>
  <c r="E6233" i="6"/>
  <c r="F6207" i="6"/>
  <c r="E6278" i="6" l="1"/>
  <c r="F6252" i="6"/>
  <c r="E6249" i="6"/>
  <c r="F6223" i="6"/>
  <c r="F6292" i="6"/>
  <c r="E6318" i="6"/>
  <c r="F6238" i="6"/>
  <c r="E6264" i="6"/>
  <c r="E6289" i="6"/>
  <c r="F6263" i="6"/>
  <c r="E6267" i="6"/>
  <c r="F6241" i="6"/>
  <c r="F6272" i="6"/>
  <c r="E6298" i="6"/>
  <c r="F6243" i="6"/>
  <c r="E6269" i="6"/>
  <c r="F6274" i="6"/>
  <c r="E6300" i="6"/>
  <c r="F6310" i="6"/>
  <c r="E6336" i="6"/>
  <c r="F6286" i="6"/>
  <c r="E6312" i="6"/>
  <c r="F6250" i="6"/>
  <c r="E6276" i="6"/>
  <c r="E6245" i="6"/>
  <c r="F6219" i="6"/>
  <c r="E6281" i="6"/>
  <c r="F6255" i="6"/>
  <c r="F6228" i="6"/>
  <c r="E6254" i="6"/>
  <c r="E6261" i="6"/>
  <c r="F6235" i="6"/>
  <c r="E6277" i="6"/>
  <c r="F6251" i="6"/>
  <c r="F6233" i="6"/>
  <c r="E6259" i="6"/>
  <c r="E6308" i="6"/>
  <c r="F6282" i="6"/>
  <c r="F6216" i="6"/>
  <c r="E6242" i="6"/>
  <c r="F6262" i="6"/>
  <c r="E6288" i="6"/>
  <c r="E6257" i="6"/>
  <c r="F6231" i="6"/>
  <c r="F6247" i="6"/>
  <c r="E6273" i="6"/>
  <c r="F6296" i="6"/>
  <c r="E6322" i="6"/>
  <c r="E6265" i="6"/>
  <c r="F6239" i="6"/>
  <c r="F6227" i="6"/>
  <c r="E6253" i="6"/>
  <c r="F6322" i="6" l="1"/>
  <c r="E6348" i="6"/>
  <c r="F6242" i="6"/>
  <c r="E6268" i="6"/>
  <c r="F6298" i="6"/>
  <c r="E6324" i="6"/>
  <c r="F6318" i="6"/>
  <c r="E6344" i="6"/>
  <c r="F6254" i="6"/>
  <c r="E6280" i="6"/>
  <c r="F6336" i="6"/>
  <c r="E6362" i="6"/>
  <c r="F6276" i="6"/>
  <c r="E6302" i="6"/>
  <c r="F6312" i="6"/>
  <c r="E6338" i="6"/>
  <c r="F6253" i="6"/>
  <c r="E6279" i="6"/>
  <c r="F6257" i="6"/>
  <c r="E6283" i="6"/>
  <c r="F6281" i="6"/>
  <c r="E6307" i="6"/>
  <c r="E6293" i="6"/>
  <c r="F6267" i="6"/>
  <c r="F6249" i="6"/>
  <c r="E6275" i="6"/>
  <c r="F6269" i="6"/>
  <c r="E6295" i="6"/>
  <c r="F6261" i="6"/>
  <c r="E6287" i="6"/>
  <c r="F6300" i="6"/>
  <c r="E6326" i="6"/>
  <c r="F6264" i="6"/>
  <c r="E6290" i="6"/>
  <c r="F6273" i="6"/>
  <c r="E6299" i="6"/>
  <c r="F6308" i="6"/>
  <c r="E6334" i="6"/>
  <c r="E6285" i="6"/>
  <c r="F6259" i="6"/>
  <c r="F6288" i="6"/>
  <c r="E6314" i="6"/>
  <c r="F6265" i="6"/>
  <c r="E6291" i="6"/>
  <c r="F6277" i="6"/>
  <c r="E6303" i="6"/>
  <c r="F6245" i="6"/>
  <c r="E6271" i="6"/>
  <c r="F6289" i="6"/>
  <c r="E6315" i="6"/>
  <c r="E6304" i="6"/>
  <c r="F6278" i="6"/>
  <c r="E6297" i="6" l="1"/>
  <c r="F6271" i="6"/>
  <c r="F6326" i="6"/>
  <c r="E6352" i="6"/>
  <c r="F6338" i="6"/>
  <c r="E6364" i="6"/>
  <c r="F6344" i="6"/>
  <c r="E6370" i="6"/>
  <c r="E6329" i="6"/>
  <c r="F6303" i="6"/>
  <c r="F6334" i="6"/>
  <c r="E6360" i="6"/>
  <c r="E6313" i="6"/>
  <c r="F6287" i="6"/>
  <c r="E6333" i="6"/>
  <c r="F6307" i="6"/>
  <c r="F6302" i="6"/>
  <c r="E6328" i="6"/>
  <c r="F6324" i="6"/>
  <c r="E6350" i="6"/>
  <c r="F6285" i="6"/>
  <c r="E6311" i="6"/>
  <c r="E6317" i="6"/>
  <c r="F6291" i="6"/>
  <c r="E6325" i="6"/>
  <c r="F6299" i="6"/>
  <c r="E6321" i="6"/>
  <c r="F6295" i="6"/>
  <c r="E6309" i="6"/>
  <c r="F6283" i="6"/>
  <c r="E6388" i="6"/>
  <c r="F6362" i="6"/>
  <c r="F6268" i="6"/>
  <c r="E6294" i="6"/>
  <c r="F6293" i="6"/>
  <c r="E6319" i="6"/>
  <c r="F6304" i="6"/>
  <c r="E6330" i="6"/>
  <c r="E6341" i="6"/>
  <c r="F6315" i="6"/>
  <c r="F6314" i="6"/>
  <c r="E6340" i="6"/>
  <c r="F6290" i="6"/>
  <c r="E6316" i="6"/>
  <c r="E6301" i="6"/>
  <c r="F6275" i="6"/>
  <c r="E6305" i="6"/>
  <c r="F6279" i="6"/>
  <c r="F6280" i="6"/>
  <c r="E6306" i="6"/>
  <c r="F6348" i="6"/>
  <c r="E6374" i="6"/>
  <c r="F6388" i="6" l="1"/>
  <c r="E6414" i="6"/>
  <c r="F6330" i="6"/>
  <c r="E6356" i="6"/>
  <c r="E6337" i="6"/>
  <c r="F6311" i="6"/>
  <c r="F6364" i="6"/>
  <c r="E6390" i="6"/>
  <c r="F6305" i="6"/>
  <c r="E6331" i="6"/>
  <c r="E6335" i="6"/>
  <c r="F6309" i="6"/>
  <c r="F6313" i="6"/>
  <c r="E6339" i="6"/>
  <c r="F6370" i="6"/>
  <c r="E6396" i="6"/>
  <c r="E6343" i="6"/>
  <c r="F6317" i="6"/>
  <c r="E6327" i="6"/>
  <c r="F6301" i="6"/>
  <c r="E6345" i="6"/>
  <c r="F6319" i="6"/>
  <c r="F6350" i="6"/>
  <c r="E6376" i="6"/>
  <c r="F6360" i="6"/>
  <c r="E6386" i="6"/>
  <c r="F6352" i="6"/>
  <c r="E6378" i="6"/>
  <c r="E6367" i="6"/>
  <c r="F6341" i="6"/>
  <c r="F6316" i="6"/>
  <c r="E6342" i="6"/>
  <c r="E6359" i="6"/>
  <c r="F6333" i="6"/>
  <c r="F6374" i="6"/>
  <c r="E6400" i="6"/>
  <c r="F6321" i="6"/>
  <c r="E6347" i="6"/>
  <c r="F6306" i="6"/>
  <c r="E6332" i="6"/>
  <c r="F6340" i="6"/>
  <c r="E6366" i="6"/>
  <c r="F6294" i="6"/>
  <c r="E6320" i="6"/>
  <c r="F6328" i="6"/>
  <c r="E6354" i="6"/>
  <c r="E6351" i="6"/>
  <c r="F6325" i="6"/>
  <c r="F6329" i="6"/>
  <c r="E6355" i="6"/>
  <c r="F6297" i="6"/>
  <c r="E6323" i="6"/>
  <c r="F6332" i="6" l="1"/>
  <c r="E6358" i="6"/>
  <c r="F6342" i="6"/>
  <c r="E6368" i="6"/>
  <c r="F6376" i="6"/>
  <c r="E6402" i="6"/>
  <c r="F6396" i="6"/>
  <c r="E6422" i="6"/>
  <c r="E6416" i="6"/>
  <c r="F6390" i="6"/>
  <c r="E6377" i="6"/>
  <c r="F6351" i="6"/>
  <c r="F6354" i="6"/>
  <c r="E6380" i="6"/>
  <c r="E6373" i="6"/>
  <c r="F6347" i="6"/>
  <c r="E6365" i="6"/>
  <c r="F6339" i="6"/>
  <c r="F6345" i="6"/>
  <c r="E6371" i="6"/>
  <c r="F6337" i="6"/>
  <c r="E6363" i="6"/>
  <c r="E6349" i="6"/>
  <c r="F6323" i="6"/>
  <c r="F6320" i="6"/>
  <c r="E6346" i="6"/>
  <c r="F6400" i="6"/>
  <c r="E6426" i="6"/>
  <c r="F6378" i="6"/>
  <c r="E6404" i="6"/>
  <c r="F6356" i="6"/>
  <c r="E6382" i="6"/>
  <c r="F6327" i="6"/>
  <c r="E6353" i="6"/>
  <c r="E6361" i="6"/>
  <c r="F6335" i="6"/>
  <c r="F6355" i="6"/>
  <c r="E6381" i="6"/>
  <c r="F6366" i="6"/>
  <c r="E6392" i="6"/>
  <c r="E6412" i="6"/>
  <c r="F6386" i="6"/>
  <c r="F6331" i="6"/>
  <c r="E6357" i="6"/>
  <c r="E6440" i="6"/>
  <c r="F6414" i="6"/>
  <c r="F6367" i="6"/>
  <c r="E6393" i="6"/>
  <c r="E6385" i="6"/>
  <c r="F6359" i="6"/>
  <c r="E6369" i="6"/>
  <c r="F6343" i="6"/>
  <c r="F6393" i="6" l="1"/>
  <c r="E6419" i="6"/>
  <c r="F6392" i="6"/>
  <c r="E6418" i="6"/>
  <c r="F6382" i="6"/>
  <c r="E6408" i="6"/>
  <c r="F6422" i="6"/>
  <c r="E6448" i="6"/>
  <c r="F6381" i="6"/>
  <c r="E6407" i="6"/>
  <c r="F6363" i="6"/>
  <c r="E6389" i="6"/>
  <c r="F6380" i="6"/>
  <c r="E6406" i="6"/>
  <c r="E6428" i="6"/>
  <c r="F6402" i="6"/>
  <c r="F6373" i="6"/>
  <c r="E6399" i="6"/>
  <c r="E6452" i="6"/>
  <c r="F6426" i="6"/>
  <c r="F6371" i="6"/>
  <c r="E6397" i="6"/>
  <c r="F6368" i="6"/>
  <c r="E6394" i="6"/>
  <c r="F6404" i="6"/>
  <c r="E6430" i="6"/>
  <c r="F6369" i="6"/>
  <c r="E6395" i="6"/>
  <c r="F6377" i="6"/>
  <c r="E6403" i="6"/>
  <c r="E6375" i="6"/>
  <c r="F6349" i="6"/>
  <c r="E6383" i="6"/>
  <c r="F6357" i="6"/>
  <c r="F6353" i="6"/>
  <c r="E6379" i="6"/>
  <c r="F6346" i="6"/>
  <c r="E6372" i="6"/>
  <c r="F6358" i="6"/>
  <c r="E6384" i="6"/>
  <c r="E6466" i="6"/>
  <c r="F6440" i="6"/>
  <c r="E6387" i="6"/>
  <c r="F6361" i="6"/>
  <c r="E6411" i="6"/>
  <c r="F6385" i="6"/>
  <c r="F6412" i="6"/>
  <c r="E6438" i="6"/>
  <c r="E6391" i="6"/>
  <c r="F6365" i="6"/>
  <c r="F6416" i="6"/>
  <c r="E6442" i="6"/>
  <c r="F6438" i="6" l="1"/>
  <c r="E6464" i="6"/>
  <c r="F6384" i="6"/>
  <c r="E6410" i="6"/>
  <c r="E6420" i="6"/>
  <c r="F6394" i="6"/>
  <c r="E6474" i="6"/>
  <c r="F6448" i="6"/>
  <c r="E6454" i="6"/>
  <c r="F6428" i="6"/>
  <c r="F6397" i="6"/>
  <c r="E6423" i="6"/>
  <c r="F6406" i="6"/>
  <c r="E6432" i="6"/>
  <c r="F6408" i="6"/>
  <c r="E6434" i="6"/>
  <c r="F6372" i="6"/>
  <c r="E6398" i="6"/>
  <c r="E6405" i="6"/>
  <c r="F6379" i="6"/>
  <c r="E6421" i="6"/>
  <c r="F6395" i="6"/>
  <c r="F6389" i="6"/>
  <c r="E6415" i="6"/>
  <c r="F6418" i="6"/>
  <c r="E6444" i="6"/>
  <c r="F6375" i="6"/>
  <c r="E6401" i="6"/>
  <c r="E6429" i="6"/>
  <c r="F6403" i="6"/>
  <c r="F6387" i="6"/>
  <c r="E6413" i="6"/>
  <c r="E6478" i="6"/>
  <c r="F6452" i="6"/>
  <c r="F6430" i="6"/>
  <c r="E6456" i="6"/>
  <c r="E6425" i="6"/>
  <c r="F6399" i="6"/>
  <c r="E6433" i="6"/>
  <c r="F6407" i="6"/>
  <c r="E6445" i="6"/>
  <c r="F6419" i="6"/>
  <c r="F6411" i="6"/>
  <c r="E6437" i="6"/>
  <c r="E6468" i="6"/>
  <c r="F6442" i="6"/>
  <c r="F6391" i="6"/>
  <c r="E6417" i="6"/>
  <c r="E6492" i="6"/>
  <c r="F6466" i="6"/>
  <c r="F6383" i="6"/>
  <c r="E6409" i="6"/>
  <c r="E6443" i="6" l="1"/>
  <c r="F6417" i="6"/>
  <c r="F6413" i="6"/>
  <c r="E6439" i="6"/>
  <c r="F6415" i="6"/>
  <c r="E6441" i="6"/>
  <c r="E6460" i="6"/>
  <c r="F6434" i="6"/>
  <c r="F6474" i="6"/>
  <c r="E6500" i="6"/>
  <c r="E6458" i="6"/>
  <c r="F6432" i="6"/>
  <c r="F6425" i="6"/>
  <c r="E6451" i="6"/>
  <c r="F6429" i="6"/>
  <c r="E6455" i="6"/>
  <c r="F6421" i="6"/>
  <c r="E6447" i="6"/>
  <c r="F6420" i="6"/>
  <c r="E6446" i="6"/>
  <c r="F6433" i="6"/>
  <c r="E6459" i="6"/>
  <c r="E6427" i="6"/>
  <c r="F6401" i="6"/>
  <c r="E6449" i="6"/>
  <c r="F6423" i="6"/>
  <c r="E6436" i="6"/>
  <c r="F6410" i="6"/>
  <c r="E6494" i="6"/>
  <c r="F6468" i="6"/>
  <c r="E6431" i="6"/>
  <c r="F6405" i="6"/>
  <c r="E6435" i="6"/>
  <c r="F6409" i="6"/>
  <c r="E6482" i="6"/>
  <c r="F6456" i="6"/>
  <c r="E6470" i="6"/>
  <c r="F6444" i="6"/>
  <c r="F6398" i="6"/>
  <c r="E6424" i="6"/>
  <c r="E6490" i="6"/>
  <c r="F6464" i="6"/>
  <c r="F6437" i="6"/>
  <c r="E6463" i="6"/>
  <c r="E6518" i="6"/>
  <c r="F6492" i="6"/>
  <c r="F6445" i="6"/>
  <c r="E6471" i="6"/>
  <c r="E6504" i="6"/>
  <c r="F6478" i="6"/>
  <c r="E6480" i="6"/>
  <c r="F6454" i="6"/>
  <c r="E6481" i="6" l="1"/>
  <c r="F6455" i="6"/>
  <c r="E6497" i="6"/>
  <c r="F6471" i="6"/>
  <c r="E6457" i="6"/>
  <c r="F6431" i="6"/>
  <c r="E6453" i="6"/>
  <c r="F6427" i="6"/>
  <c r="E6486" i="6"/>
  <c r="F6460" i="6"/>
  <c r="F6459" i="6"/>
  <c r="E6485" i="6"/>
  <c r="E6477" i="6"/>
  <c r="F6451" i="6"/>
  <c r="F6441" i="6"/>
  <c r="E6467" i="6"/>
  <c r="E6450" i="6"/>
  <c r="F6424" i="6"/>
  <c r="F6470" i="6"/>
  <c r="E6496" i="6"/>
  <c r="F6494" i="6"/>
  <c r="E6520" i="6"/>
  <c r="E6472" i="6"/>
  <c r="F6446" i="6"/>
  <c r="E6465" i="6"/>
  <c r="F6439" i="6"/>
  <c r="E6506" i="6"/>
  <c r="F6480" i="6"/>
  <c r="F6482" i="6"/>
  <c r="E6508" i="6"/>
  <c r="E6484" i="6"/>
  <c r="F6458" i="6"/>
  <c r="E6462" i="6"/>
  <c r="F6436" i="6"/>
  <c r="F6447" i="6"/>
  <c r="E6473" i="6"/>
  <c r="E6526" i="6"/>
  <c r="F6500" i="6"/>
  <c r="F6518" i="6"/>
  <c r="E6544" i="6"/>
  <c r="E6489" i="6"/>
  <c r="F6463" i="6"/>
  <c r="E6530" i="6"/>
  <c r="F6504" i="6"/>
  <c r="E6516" i="6"/>
  <c r="F6490" i="6"/>
  <c r="E6461" i="6"/>
  <c r="F6435" i="6"/>
  <c r="F6449" i="6"/>
  <c r="E6475" i="6"/>
  <c r="E6469" i="6"/>
  <c r="F6443" i="6"/>
  <c r="E6570" i="6" l="1"/>
  <c r="F6544" i="6"/>
  <c r="F6453" i="6"/>
  <c r="E6479" i="6"/>
  <c r="E6534" i="6"/>
  <c r="F6508" i="6"/>
  <c r="E6546" i="6"/>
  <c r="F6520" i="6"/>
  <c r="E6510" i="6"/>
  <c r="F6484" i="6"/>
  <c r="F6526" i="6"/>
  <c r="E6552" i="6"/>
  <c r="F6477" i="6"/>
  <c r="E6503" i="6"/>
  <c r="F6457" i="6"/>
  <c r="E6483" i="6"/>
  <c r="E6493" i="6"/>
  <c r="F6467" i="6"/>
  <c r="F6461" i="6"/>
  <c r="E6487" i="6"/>
  <c r="F6473" i="6"/>
  <c r="E6499" i="6"/>
  <c r="E6522" i="6"/>
  <c r="F6496" i="6"/>
  <c r="F6485" i="6"/>
  <c r="E6511" i="6"/>
  <c r="F6469" i="6"/>
  <c r="E6495" i="6"/>
  <c r="E6556" i="6"/>
  <c r="F6530" i="6"/>
  <c r="F6506" i="6"/>
  <c r="E6532" i="6"/>
  <c r="F6497" i="6"/>
  <c r="E6523" i="6"/>
  <c r="E6498" i="6"/>
  <c r="F6472" i="6"/>
  <c r="E6542" i="6"/>
  <c r="F6516" i="6"/>
  <c r="E6501" i="6"/>
  <c r="F6475" i="6"/>
  <c r="F6489" i="6"/>
  <c r="E6515" i="6"/>
  <c r="F6462" i="6"/>
  <c r="E6488" i="6"/>
  <c r="F6465" i="6"/>
  <c r="E6491" i="6"/>
  <c r="F6450" i="6"/>
  <c r="E6476" i="6"/>
  <c r="F6486" i="6"/>
  <c r="E6512" i="6"/>
  <c r="F6481" i="6"/>
  <c r="E6507" i="6"/>
  <c r="F6493" i="6" l="1"/>
  <c r="E6519" i="6"/>
  <c r="F6476" i="6"/>
  <c r="E6502" i="6"/>
  <c r="E6558" i="6"/>
  <c r="F6532" i="6"/>
  <c r="E6509" i="6"/>
  <c r="F6483" i="6"/>
  <c r="F6546" i="6"/>
  <c r="E6572" i="6"/>
  <c r="E6517" i="6"/>
  <c r="F6491" i="6"/>
  <c r="E6525" i="6"/>
  <c r="F6499" i="6"/>
  <c r="E6529" i="6"/>
  <c r="F6503" i="6"/>
  <c r="F6501" i="6"/>
  <c r="E6527" i="6"/>
  <c r="E6582" i="6"/>
  <c r="F6556" i="6"/>
  <c r="F6534" i="6"/>
  <c r="E6560" i="6"/>
  <c r="E6568" i="6"/>
  <c r="F6542" i="6"/>
  <c r="E6533" i="6"/>
  <c r="F6507" i="6"/>
  <c r="E6514" i="6"/>
  <c r="F6488" i="6"/>
  <c r="E6521" i="6"/>
  <c r="F6495" i="6"/>
  <c r="E6513" i="6"/>
  <c r="F6487" i="6"/>
  <c r="E6578" i="6"/>
  <c r="F6552" i="6"/>
  <c r="E6505" i="6"/>
  <c r="F6479" i="6"/>
  <c r="F6522" i="6"/>
  <c r="E6548" i="6"/>
  <c r="F6498" i="6"/>
  <c r="E6524" i="6"/>
  <c r="E6538" i="6"/>
  <c r="F6512" i="6"/>
  <c r="E6541" i="6"/>
  <c r="F6515" i="6"/>
  <c r="E6549" i="6"/>
  <c r="F6523" i="6"/>
  <c r="E6537" i="6"/>
  <c r="F6511" i="6"/>
  <c r="E6536" i="6"/>
  <c r="F6510" i="6"/>
  <c r="E6596" i="6"/>
  <c r="F6570" i="6"/>
  <c r="E6594" i="6" l="1"/>
  <c r="F6568" i="6"/>
  <c r="F6529" i="6"/>
  <c r="E6555" i="6"/>
  <c r="F6509" i="6"/>
  <c r="E6535" i="6"/>
  <c r="E6574" i="6"/>
  <c r="F6548" i="6"/>
  <c r="E6586" i="6"/>
  <c r="F6560" i="6"/>
  <c r="F6521" i="6"/>
  <c r="E6547" i="6"/>
  <c r="F6525" i="6"/>
  <c r="E6551" i="6"/>
  <c r="E6584" i="6"/>
  <c r="F6558" i="6"/>
  <c r="E6550" i="6"/>
  <c r="F6524" i="6"/>
  <c r="F6513" i="6"/>
  <c r="E6539" i="6"/>
  <c r="F6502" i="6"/>
  <c r="E6528" i="6"/>
  <c r="F6541" i="6"/>
  <c r="E6567" i="6"/>
  <c r="F6505" i="6"/>
  <c r="E6531" i="6"/>
  <c r="F6514" i="6"/>
  <c r="E6540" i="6"/>
  <c r="F6582" i="6"/>
  <c r="E6608" i="6"/>
  <c r="F6517" i="6"/>
  <c r="E6543" i="6"/>
  <c r="F6537" i="6"/>
  <c r="E6563" i="6"/>
  <c r="E6553" i="6"/>
  <c r="F6527" i="6"/>
  <c r="E6598" i="6"/>
  <c r="F6572" i="6"/>
  <c r="E6545" i="6"/>
  <c r="F6519" i="6"/>
  <c r="F6549" i="6"/>
  <c r="E6575" i="6"/>
  <c r="F6596" i="6"/>
  <c r="E6622" i="6"/>
  <c r="E6562" i="6"/>
  <c r="F6536" i="6"/>
  <c r="F6538" i="6"/>
  <c r="E6564" i="6"/>
  <c r="E6604" i="6"/>
  <c r="F6578" i="6"/>
  <c r="F6533" i="6"/>
  <c r="E6559" i="6"/>
  <c r="F6543" i="6" l="1"/>
  <c r="E6569" i="6"/>
  <c r="E6593" i="6"/>
  <c r="F6567" i="6"/>
  <c r="F6608" i="6"/>
  <c r="E6634" i="6"/>
  <c r="E6554" i="6"/>
  <c r="F6528" i="6"/>
  <c r="E6577" i="6"/>
  <c r="F6551" i="6"/>
  <c r="E6561" i="6"/>
  <c r="F6535" i="6"/>
  <c r="F6562" i="6"/>
  <c r="E6588" i="6"/>
  <c r="F6598" i="6"/>
  <c r="E6624" i="6"/>
  <c r="E6566" i="6"/>
  <c r="F6540" i="6"/>
  <c r="E6565" i="6"/>
  <c r="F6539" i="6"/>
  <c r="E6573" i="6"/>
  <c r="F6547" i="6"/>
  <c r="E6581" i="6"/>
  <c r="F6555" i="6"/>
  <c r="E6610" i="6"/>
  <c r="F6584" i="6"/>
  <c r="E6585" i="6"/>
  <c r="F6559" i="6"/>
  <c r="F6553" i="6"/>
  <c r="E6579" i="6"/>
  <c r="F6545" i="6"/>
  <c r="E6571" i="6"/>
  <c r="E6601" i="6"/>
  <c r="F6575" i="6"/>
  <c r="E6589" i="6"/>
  <c r="F6563" i="6"/>
  <c r="E6557" i="6"/>
  <c r="F6531" i="6"/>
  <c r="E6590" i="6"/>
  <c r="F6564" i="6"/>
  <c r="E6600" i="6"/>
  <c r="F6574" i="6"/>
  <c r="F6622" i="6"/>
  <c r="E6648" i="6"/>
  <c r="F6604" i="6"/>
  <c r="E6630" i="6"/>
  <c r="E6576" i="6"/>
  <c r="F6550" i="6"/>
  <c r="E6612" i="6"/>
  <c r="F6586" i="6"/>
  <c r="F6594" i="6"/>
  <c r="E6620" i="6"/>
  <c r="E6607" i="6" l="1"/>
  <c r="F6581" i="6"/>
  <c r="F6554" i="6"/>
  <c r="E6580" i="6"/>
  <c r="E6614" i="6"/>
  <c r="F6588" i="6"/>
  <c r="E6660" i="6"/>
  <c r="F6634" i="6"/>
  <c r="E6599" i="6"/>
  <c r="F6573" i="6"/>
  <c r="E6597" i="6"/>
  <c r="F6571" i="6"/>
  <c r="E6602" i="6"/>
  <c r="F6576" i="6"/>
  <c r="E6605" i="6"/>
  <c r="F6579" i="6"/>
  <c r="E6646" i="6"/>
  <c r="F6620" i="6"/>
  <c r="E6615" i="6"/>
  <c r="F6589" i="6"/>
  <c r="F6585" i="6"/>
  <c r="E6611" i="6"/>
  <c r="F6565" i="6"/>
  <c r="E6591" i="6"/>
  <c r="F6561" i="6"/>
  <c r="E6587" i="6"/>
  <c r="E6619" i="6"/>
  <c r="F6593" i="6"/>
  <c r="F6590" i="6"/>
  <c r="E6616" i="6"/>
  <c r="E6674" i="6"/>
  <c r="F6648" i="6"/>
  <c r="E6595" i="6"/>
  <c r="F6569" i="6"/>
  <c r="E6650" i="6"/>
  <c r="F6624" i="6"/>
  <c r="E6656" i="6"/>
  <c r="F6630" i="6"/>
  <c r="F6557" i="6"/>
  <c r="E6583" i="6"/>
  <c r="E6638" i="6"/>
  <c r="F6612" i="6"/>
  <c r="E6626" i="6"/>
  <c r="F6600" i="6"/>
  <c r="E6627" i="6"/>
  <c r="F6601" i="6"/>
  <c r="E6636" i="6"/>
  <c r="F6610" i="6"/>
  <c r="E6592" i="6"/>
  <c r="F6566" i="6"/>
  <c r="E6603" i="6"/>
  <c r="F6577" i="6"/>
  <c r="E6609" i="6" l="1"/>
  <c r="F6583" i="6"/>
  <c r="E6617" i="6"/>
  <c r="F6591" i="6"/>
  <c r="E6700" i="6"/>
  <c r="F6674" i="6"/>
  <c r="E6631" i="6"/>
  <c r="F6605" i="6"/>
  <c r="F6660" i="6"/>
  <c r="E6686" i="6"/>
  <c r="E6642" i="6"/>
  <c r="F6616" i="6"/>
  <c r="E6637" i="6"/>
  <c r="F6611" i="6"/>
  <c r="E6653" i="6"/>
  <c r="F6627" i="6"/>
  <c r="F6656" i="6"/>
  <c r="E6682" i="6"/>
  <c r="E6628" i="6"/>
  <c r="F6602" i="6"/>
  <c r="F6614" i="6"/>
  <c r="E6640" i="6"/>
  <c r="E6662" i="6"/>
  <c r="F6636" i="6"/>
  <c r="E6606" i="6"/>
  <c r="F6580" i="6"/>
  <c r="E6629" i="6"/>
  <c r="F6603" i="6"/>
  <c r="F6626" i="6"/>
  <c r="E6652" i="6"/>
  <c r="F6650" i="6"/>
  <c r="E6676" i="6"/>
  <c r="E6645" i="6"/>
  <c r="F6619" i="6"/>
  <c r="E6641" i="6"/>
  <c r="F6615" i="6"/>
  <c r="F6597" i="6"/>
  <c r="E6623" i="6"/>
  <c r="E6613" i="6"/>
  <c r="F6587" i="6"/>
  <c r="E6618" i="6"/>
  <c r="F6592" i="6"/>
  <c r="E6664" i="6"/>
  <c r="F6638" i="6"/>
  <c r="E6621" i="6"/>
  <c r="F6595" i="6"/>
  <c r="F6646" i="6"/>
  <c r="E6672" i="6"/>
  <c r="E6625" i="6"/>
  <c r="F6599" i="6"/>
  <c r="E6633" i="6"/>
  <c r="F6607" i="6"/>
  <c r="F6676" i="6" l="1"/>
  <c r="E6702" i="6"/>
  <c r="F6613" i="6"/>
  <c r="E6639" i="6"/>
  <c r="E6649" i="6"/>
  <c r="F6623" i="6"/>
  <c r="E6678" i="6"/>
  <c r="F6652" i="6"/>
  <c r="F6640" i="6"/>
  <c r="E6666" i="6"/>
  <c r="F6637" i="6"/>
  <c r="E6663" i="6"/>
  <c r="F6700" i="6"/>
  <c r="E6726" i="6"/>
  <c r="E6657" i="6"/>
  <c r="F6631" i="6"/>
  <c r="F6672" i="6"/>
  <c r="E6698" i="6"/>
  <c r="E6679" i="6"/>
  <c r="F6653" i="6"/>
  <c r="E6690" i="6"/>
  <c r="F6664" i="6"/>
  <c r="F6641" i="6"/>
  <c r="E6667" i="6"/>
  <c r="F6629" i="6"/>
  <c r="E6655" i="6"/>
  <c r="F6628" i="6"/>
  <c r="E6654" i="6"/>
  <c r="E6668" i="6"/>
  <c r="F6642" i="6"/>
  <c r="E6643" i="6"/>
  <c r="F6617" i="6"/>
  <c r="E6688" i="6"/>
  <c r="F6662" i="6"/>
  <c r="E6659" i="6"/>
  <c r="F6633" i="6"/>
  <c r="F6682" i="6"/>
  <c r="E6708" i="6"/>
  <c r="F6686" i="6"/>
  <c r="E6712" i="6"/>
  <c r="E6647" i="6"/>
  <c r="F6621" i="6"/>
  <c r="E6651" i="6"/>
  <c r="F6625" i="6"/>
  <c r="F6618" i="6"/>
  <c r="E6644" i="6"/>
  <c r="F6645" i="6"/>
  <c r="E6671" i="6"/>
  <c r="E6632" i="6"/>
  <c r="F6606" i="6"/>
  <c r="F6609" i="6"/>
  <c r="E6635" i="6"/>
  <c r="E6697" i="6" l="1"/>
  <c r="F6671" i="6"/>
  <c r="E6738" i="6"/>
  <c r="F6712" i="6"/>
  <c r="E6693" i="6"/>
  <c r="F6667" i="6"/>
  <c r="E6752" i="6"/>
  <c r="F6726" i="6"/>
  <c r="F6668" i="6"/>
  <c r="E6694" i="6"/>
  <c r="F6690" i="6"/>
  <c r="E6716" i="6"/>
  <c r="F6649" i="6"/>
  <c r="E6675" i="6"/>
  <c r="F6678" i="6"/>
  <c r="E6704" i="6"/>
  <c r="F6654" i="6"/>
  <c r="E6680" i="6"/>
  <c r="E6689" i="6"/>
  <c r="F6663" i="6"/>
  <c r="E6665" i="6"/>
  <c r="F6639" i="6"/>
  <c r="E6669" i="6"/>
  <c r="F6643" i="6"/>
  <c r="E6734" i="6"/>
  <c r="F6708" i="6"/>
  <c r="E6661" i="6"/>
  <c r="F6635" i="6"/>
  <c r="E6685" i="6"/>
  <c r="F6659" i="6"/>
  <c r="E6705" i="6"/>
  <c r="F6679" i="6"/>
  <c r="E6670" i="6"/>
  <c r="F6644" i="6"/>
  <c r="E6677" i="6"/>
  <c r="F6651" i="6"/>
  <c r="E6681" i="6"/>
  <c r="F6655" i="6"/>
  <c r="E6724" i="6"/>
  <c r="F6698" i="6"/>
  <c r="E6692" i="6"/>
  <c r="F6666" i="6"/>
  <c r="E6728" i="6"/>
  <c r="F6702" i="6"/>
  <c r="E6683" i="6"/>
  <c r="F6657" i="6"/>
  <c r="E6658" i="6"/>
  <c r="F6632" i="6"/>
  <c r="E6673" i="6"/>
  <c r="F6647" i="6"/>
  <c r="E6714" i="6"/>
  <c r="F6688" i="6"/>
  <c r="F6704" i="6" l="1"/>
  <c r="E6730" i="6"/>
  <c r="E6701" i="6"/>
  <c r="F6675" i="6"/>
  <c r="E6778" i="6"/>
  <c r="F6752" i="6"/>
  <c r="E6711" i="6"/>
  <c r="F6685" i="6"/>
  <c r="F6693" i="6"/>
  <c r="E6719" i="6"/>
  <c r="F6724" i="6"/>
  <c r="E6750" i="6"/>
  <c r="E6707" i="6"/>
  <c r="F6681" i="6"/>
  <c r="E6742" i="6"/>
  <c r="F6716" i="6"/>
  <c r="F6658" i="6"/>
  <c r="E6684" i="6"/>
  <c r="F6669" i="6"/>
  <c r="E6695" i="6"/>
  <c r="E6709" i="6"/>
  <c r="F6683" i="6"/>
  <c r="E6703" i="6"/>
  <c r="F6677" i="6"/>
  <c r="E6764" i="6"/>
  <c r="F6738" i="6"/>
  <c r="F6665" i="6"/>
  <c r="E6691" i="6"/>
  <c r="F6714" i="6"/>
  <c r="E6740" i="6"/>
  <c r="E6687" i="6"/>
  <c r="F6661" i="6"/>
  <c r="E6706" i="6"/>
  <c r="F6680" i="6"/>
  <c r="E6720" i="6"/>
  <c r="F6694" i="6"/>
  <c r="F6705" i="6"/>
  <c r="E6731" i="6"/>
  <c r="F6728" i="6"/>
  <c r="E6754" i="6"/>
  <c r="E6715" i="6"/>
  <c r="F6689" i="6"/>
  <c r="F6673" i="6"/>
  <c r="E6699" i="6"/>
  <c r="F6692" i="6"/>
  <c r="E6718" i="6"/>
  <c r="E6696" i="6"/>
  <c r="F6670" i="6"/>
  <c r="E6760" i="6"/>
  <c r="F6734" i="6"/>
  <c r="E6723" i="6"/>
  <c r="F6697" i="6"/>
  <c r="E6780" i="6" l="1"/>
  <c r="F6754" i="6"/>
  <c r="E6729" i="6"/>
  <c r="F6703" i="6"/>
  <c r="F6709" i="6"/>
  <c r="E6735" i="6"/>
  <c r="E6733" i="6"/>
  <c r="F6707" i="6"/>
  <c r="F6778" i="6"/>
  <c r="E6804" i="6"/>
  <c r="E6737" i="6"/>
  <c r="F6711" i="6"/>
  <c r="E6717" i="6"/>
  <c r="F6691" i="6"/>
  <c r="F6695" i="6"/>
  <c r="E6721" i="6"/>
  <c r="F6750" i="6"/>
  <c r="E6776" i="6"/>
  <c r="F6696" i="6"/>
  <c r="E6722" i="6"/>
  <c r="F6731" i="6"/>
  <c r="E6757" i="6"/>
  <c r="F6701" i="6"/>
  <c r="E6727" i="6"/>
  <c r="F6742" i="6"/>
  <c r="E6768" i="6"/>
  <c r="E6710" i="6"/>
  <c r="F6684" i="6"/>
  <c r="F6719" i="6"/>
  <c r="E6745" i="6"/>
  <c r="F6730" i="6"/>
  <c r="E6756" i="6"/>
  <c r="F6687" i="6"/>
  <c r="E6713" i="6"/>
  <c r="F6718" i="6"/>
  <c r="E6744" i="6"/>
  <c r="F6740" i="6"/>
  <c r="E6766" i="6"/>
  <c r="E6725" i="6"/>
  <c r="F6699" i="6"/>
  <c r="F6723" i="6"/>
  <c r="E6749" i="6"/>
  <c r="E6746" i="6"/>
  <c r="F6720" i="6"/>
  <c r="F6760" i="6"/>
  <c r="E6786" i="6"/>
  <c r="E6741" i="6"/>
  <c r="F6715" i="6"/>
  <c r="E6732" i="6"/>
  <c r="F6706" i="6"/>
  <c r="F6764" i="6"/>
  <c r="E6790" i="6"/>
  <c r="F6756" i="6" l="1"/>
  <c r="E6782" i="6"/>
  <c r="F6727" i="6"/>
  <c r="E6753" i="6"/>
  <c r="E6747" i="6"/>
  <c r="F6721" i="6"/>
  <c r="E6767" i="6"/>
  <c r="F6741" i="6"/>
  <c r="F6733" i="6"/>
  <c r="E6759" i="6"/>
  <c r="E6792" i="6"/>
  <c r="F6766" i="6"/>
  <c r="E6761" i="6"/>
  <c r="F6735" i="6"/>
  <c r="F6745" i="6"/>
  <c r="E6771" i="6"/>
  <c r="E6743" i="6"/>
  <c r="F6717" i="6"/>
  <c r="E6783" i="6"/>
  <c r="F6757" i="6"/>
  <c r="F6722" i="6"/>
  <c r="E6748" i="6"/>
  <c r="E6751" i="6"/>
  <c r="F6725" i="6"/>
  <c r="F6746" i="6"/>
  <c r="E6772" i="6"/>
  <c r="E6736" i="6"/>
  <c r="F6710" i="6"/>
  <c r="F6737" i="6"/>
  <c r="E6763" i="6"/>
  <c r="E6755" i="6"/>
  <c r="F6729" i="6"/>
  <c r="E6816" i="6"/>
  <c r="F6790" i="6"/>
  <c r="E6770" i="6"/>
  <c r="F6744" i="6"/>
  <c r="E6775" i="6"/>
  <c r="F6749" i="6"/>
  <c r="F6713" i="6"/>
  <c r="E6739" i="6"/>
  <c r="F6768" i="6"/>
  <c r="E6794" i="6"/>
  <c r="E6802" i="6"/>
  <c r="F6776" i="6"/>
  <c r="E6830" i="6"/>
  <c r="F6804" i="6"/>
  <c r="F6786" i="6"/>
  <c r="E6812" i="6"/>
  <c r="F6732" i="6"/>
  <c r="E6758" i="6"/>
  <c r="E6806" i="6"/>
  <c r="F6780" i="6"/>
  <c r="F6812" i="6" l="1"/>
  <c r="E6838" i="6"/>
  <c r="E6765" i="6"/>
  <c r="F6739" i="6"/>
  <c r="E6797" i="6"/>
  <c r="F6771" i="6"/>
  <c r="E6781" i="6"/>
  <c r="F6755" i="6"/>
  <c r="E6777" i="6"/>
  <c r="F6751" i="6"/>
  <c r="E6793" i="6"/>
  <c r="F6767" i="6"/>
  <c r="E6774" i="6"/>
  <c r="F6748" i="6"/>
  <c r="E6773" i="6"/>
  <c r="F6747" i="6"/>
  <c r="E6779" i="6"/>
  <c r="F6753" i="6"/>
  <c r="F6763" i="6"/>
  <c r="E6789" i="6"/>
  <c r="E6801" i="6"/>
  <c r="F6775" i="6"/>
  <c r="F6806" i="6"/>
  <c r="E6832" i="6"/>
  <c r="E6796" i="6"/>
  <c r="F6770" i="6"/>
  <c r="F6736" i="6"/>
  <c r="E6762" i="6"/>
  <c r="E6809" i="6"/>
  <c r="F6783" i="6"/>
  <c r="F6792" i="6"/>
  <c r="E6818" i="6"/>
  <c r="E6784" i="6"/>
  <c r="F6758" i="6"/>
  <c r="F6794" i="6"/>
  <c r="E6820" i="6"/>
  <c r="E6798" i="6"/>
  <c r="F6772" i="6"/>
  <c r="E6785" i="6"/>
  <c r="F6759" i="6"/>
  <c r="F6782" i="6"/>
  <c r="E6808" i="6"/>
  <c r="F6830" i="6"/>
  <c r="E6856" i="6"/>
  <c r="E6787" i="6"/>
  <c r="F6761" i="6"/>
  <c r="F6802" i="6"/>
  <c r="E6828" i="6"/>
  <c r="E6842" i="6"/>
  <c r="F6816" i="6"/>
  <c r="E6769" i="6"/>
  <c r="F6743" i="6"/>
  <c r="F6796" i="6" l="1"/>
  <c r="E6822" i="6"/>
  <c r="F6773" i="6"/>
  <c r="E6799" i="6"/>
  <c r="E6807" i="6"/>
  <c r="F6781" i="6"/>
  <c r="E6810" i="6"/>
  <c r="F6784" i="6"/>
  <c r="F6828" i="6"/>
  <c r="E6854" i="6"/>
  <c r="F6842" i="6"/>
  <c r="E6868" i="6"/>
  <c r="E6805" i="6"/>
  <c r="F6779" i="6"/>
  <c r="F6832" i="6"/>
  <c r="E6858" i="6"/>
  <c r="E6813" i="6"/>
  <c r="F6787" i="6"/>
  <c r="E6835" i="6"/>
  <c r="F6809" i="6"/>
  <c r="F6801" i="6"/>
  <c r="E6827" i="6"/>
  <c r="F6774" i="6"/>
  <c r="E6800" i="6"/>
  <c r="F6797" i="6"/>
  <c r="E6823" i="6"/>
  <c r="E6844" i="6"/>
  <c r="F6818" i="6"/>
  <c r="E6882" i="6"/>
  <c r="F6856" i="6"/>
  <c r="F6820" i="6"/>
  <c r="E6846" i="6"/>
  <c r="E6788" i="6"/>
  <c r="F6762" i="6"/>
  <c r="E6815" i="6"/>
  <c r="F6789" i="6"/>
  <c r="F6777" i="6"/>
  <c r="E6803" i="6"/>
  <c r="E6824" i="6"/>
  <c r="F6798" i="6"/>
  <c r="E6819" i="6"/>
  <c r="F6793" i="6"/>
  <c r="F6765" i="6"/>
  <c r="E6791" i="6"/>
  <c r="E6811" i="6"/>
  <c r="F6785" i="6"/>
  <c r="F6769" i="6"/>
  <c r="E6795" i="6"/>
  <c r="F6808" i="6"/>
  <c r="E6834" i="6"/>
  <c r="F6838" i="6"/>
  <c r="E6864" i="6"/>
  <c r="E6884" i="6" l="1"/>
  <c r="F6858" i="6"/>
  <c r="F6810" i="6"/>
  <c r="E6836" i="6"/>
  <c r="F6846" i="6"/>
  <c r="E6872" i="6"/>
  <c r="E6850" i="6"/>
  <c r="F6824" i="6"/>
  <c r="E6837" i="6"/>
  <c r="F6811" i="6"/>
  <c r="F6805" i="6"/>
  <c r="E6831" i="6"/>
  <c r="E6833" i="6"/>
  <c r="F6807" i="6"/>
  <c r="E6821" i="6"/>
  <c r="F6795" i="6"/>
  <c r="E6829" i="6"/>
  <c r="F6803" i="6"/>
  <c r="E6853" i="6"/>
  <c r="F6827" i="6"/>
  <c r="E6890" i="6"/>
  <c r="F6864" i="6"/>
  <c r="E6894" i="6"/>
  <c r="F6868" i="6"/>
  <c r="E6825" i="6"/>
  <c r="F6799" i="6"/>
  <c r="F6800" i="6"/>
  <c r="E6826" i="6"/>
  <c r="F6882" i="6"/>
  <c r="E6908" i="6"/>
  <c r="E6817" i="6"/>
  <c r="F6791" i="6"/>
  <c r="E6841" i="6"/>
  <c r="F6815" i="6"/>
  <c r="E6870" i="6"/>
  <c r="F6844" i="6"/>
  <c r="E6861" i="6"/>
  <c r="F6835" i="6"/>
  <c r="E6860" i="6"/>
  <c r="F6834" i="6"/>
  <c r="E6849" i="6"/>
  <c r="F6823" i="6"/>
  <c r="F6854" i="6"/>
  <c r="E6880" i="6"/>
  <c r="F6822" i="6"/>
  <c r="E6848" i="6"/>
  <c r="E6845" i="6"/>
  <c r="F6819" i="6"/>
  <c r="F6788" i="6"/>
  <c r="E6814" i="6"/>
  <c r="F6813" i="6"/>
  <c r="E6839" i="6"/>
  <c r="E6847" i="6" l="1"/>
  <c r="F6821" i="6"/>
  <c r="E6934" i="6"/>
  <c r="F6908" i="6"/>
  <c r="E6898" i="6"/>
  <c r="F6872" i="6"/>
  <c r="F6817" i="6"/>
  <c r="E6843" i="6"/>
  <c r="E6887" i="6"/>
  <c r="F6861" i="6"/>
  <c r="E6916" i="6"/>
  <c r="F6890" i="6"/>
  <c r="F6833" i="6"/>
  <c r="E6859" i="6"/>
  <c r="E6876" i="6"/>
  <c r="F6850" i="6"/>
  <c r="E6865" i="6"/>
  <c r="F6839" i="6"/>
  <c r="E6857" i="6"/>
  <c r="F6831" i="6"/>
  <c r="F6836" i="6"/>
  <c r="E6862" i="6"/>
  <c r="F6894" i="6"/>
  <c r="E6920" i="6"/>
  <c r="E6874" i="6"/>
  <c r="F6848" i="6"/>
  <c r="F6870" i="6"/>
  <c r="E6896" i="6"/>
  <c r="F6853" i="6"/>
  <c r="E6879" i="6"/>
  <c r="F6845" i="6"/>
  <c r="E6871" i="6"/>
  <c r="F6826" i="6"/>
  <c r="E6852" i="6"/>
  <c r="F6860" i="6"/>
  <c r="E6886" i="6"/>
  <c r="F6880" i="6"/>
  <c r="E6906" i="6"/>
  <c r="F6814" i="6"/>
  <c r="E6840" i="6"/>
  <c r="F6849" i="6"/>
  <c r="E6875" i="6"/>
  <c r="F6841" i="6"/>
  <c r="E6867" i="6"/>
  <c r="E6851" i="6"/>
  <c r="F6825" i="6"/>
  <c r="F6829" i="6"/>
  <c r="E6855" i="6"/>
  <c r="F6837" i="6"/>
  <c r="E6863" i="6"/>
  <c r="F6884" i="6"/>
  <c r="E6910" i="6"/>
  <c r="E6897" i="6" l="1"/>
  <c r="F6871" i="6"/>
  <c r="E6869" i="6"/>
  <c r="F6843" i="6"/>
  <c r="F6876" i="6"/>
  <c r="E6902" i="6"/>
  <c r="F6906" i="6"/>
  <c r="E6932" i="6"/>
  <c r="E6905" i="6"/>
  <c r="F6879" i="6"/>
  <c r="E6888" i="6"/>
  <c r="F6862" i="6"/>
  <c r="E6885" i="6"/>
  <c r="F6859" i="6"/>
  <c r="E6881" i="6"/>
  <c r="F6855" i="6"/>
  <c r="F6898" i="6"/>
  <c r="E6924" i="6"/>
  <c r="F6920" i="6"/>
  <c r="E6946" i="6"/>
  <c r="E6912" i="6"/>
  <c r="F6886" i="6"/>
  <c r="E6893" i="6"/>
  <c r="F6867" i="6"/>
  <c r="E6883" i="6"/>
  <c r="F6857" i="6"/>
  <c r="F6916" i="6"/>
  <c r="E6942" i="6"/>
  <c r="F6934" i="6"/>
  <c r="E6960" i="6"/>
  <c r="E6877" i="6"/>
  <c r="F6851" i="6"/>
  <c r="E6878" i="6"/>
  <c r="F6852" i="6"/>
  <c r="F6840" i="6"/>
  <c r="E6866" i="6"/>
  <c r="F6910" i="6"/>
  <c r="E6936" i="6"/>
  <c r="F6896" i="6"/>
  <c r="E6922" i="6"/>
  <c r="E6889" i="6"/>
  <c r="F6863" i="6"/>
  <c r="E6901" i="6"/>
  <c r="F6875" i="6"/>
  <c r="E6900" i="6"/>
  <c r="F6874" i="6"/>
  <c r="F6865" i="6"/>
  <c r="E6891" i="6"/>
  <c r="E6913" i="6"/>
  <c r="F6887" i="6"/>
  <c r="E6873" i="6"/>
  <c r="F6847" i="6"/>
  <c r="E6917" i="6" l="1"/>
  <c r="F6891" i="6"/>
  <c r="E6958" i="6"/>
  <c r="F6932" i="6"/>
  <c r="F6877" i="6"/>
  <c r="E6903" i="6"/>
  <c r="E6962" i="6"/>
  <c r="F6936" i="6"/>
  <c r="E6986" i="6"/>
  <c r="F6960" i="6"/>
  <c r="F6902" i="6"/>
  <c r="E6928" i="6"/>
  <c r="E6926" i="6"/>
  <c r="F6900" i="6"/>
  <c r="E6938" i="6"/>
  <c r="F6912" i="6"/>
  <c r="E6911" i="6"/>
  <c r="F6885" i="6"/>
  <c r="E6907" i="6"/>
  <c r="F6881" i="6"/>
  <c r="E6892" i="6"/>
  <c r="F6866" i="6"/>
  <c r="E6914" i="6"/>
  <c r="F6888" i="6"/>
  <c r="F6869" i="6"/>
  <c r="E6895" i="6"/>
  <c r="F6893" i="6"/>
  <c r="E6919" i="6"/>
  <c r="F6946" i="6"/>
  <c r="E6972" i="6"/>
  <c r="F6873" i="6"/>
  <c r="E6899" i="6"/>
  <c r="E6950" i="6"/>
  <c r="F6924" i="6"/>
  <c r="F6922" i="6"/>
  <c r="E6948" i="6"/>
  <c r="F6942" i="6"/>
  <c r="E6968" i="6"/>
  <c r="E6927" i="6"/>
  <c r="F6901" i="6"/>
  <c r="F6913" i="6"/>
  <c r="E6939" i="6"/>
  <c r="F6889" i="6"/>
  <c r="E6915" i="6"/>
  <c r="F6878" i="6"/>
  <c r="E6904" i="6"/>
  <c r="E6909" i="6"/>
  <c r="F6883" i="6"/>
  <c r="E6931" i="6"/>
  <c r="F6905" i="6"/>
  <c r="E6923" i="6"/>
  <c r="F6897" i="6"/>
  <c r="E6940" i="6" l="1"/>
  <c r="F6914" i="6"/>
  <c r="F6938" i="6"/>
  <c r="E6964" i="6"/>
  <c r="E6988" i="6"/>
  <c r="F6962" i="6"/>
  <c r="E6930" i="6"/>
  <c r="F6904" i="6"/>
  <c r="E6994" i="6"/>
  <c r="F6968" i="6"/>
  <c r="E6998" i="6"/>
  <c r="F6972" i="6"/>
  <c r="E6929" i="6"/>
  <c r="F6903" i="6"/>
  <c r="E6925" i="6"/>
  <c r="F6899" i="6"/>
  <c r="E6935" i="6"/>
  <c r="F6909" i="6"/>
  <c r="F6892" i="6"/>
  <c r="E6918" i="6"/>
  <c r="F6926" i="6"/>
  <c r="E6952" i="6"/>
  <c r="E6941" i="6"/>
  <c r="F6915" i="6"/>
  <c r="E6974" i="6"/>
  <c r="F6948" i="6"/>
  <c r="F6919" i="6"/>
  <c r="E6945" i="6"/>
  <c r="E6954" i="6"/>
  <c r="F6928" i="6"/>
  <c r="F6923" i="6"/>
  <c r="E6949" i="6"/>
  <c r="F6907" i="6"/>
  <c r="E6933" i="6"/>
  <c r="F6958" i="6"/>
  <c r="E6984" i="6"/>
  <c r="F6927" i="6"/>
  <c r="E6953" i="6"/>
  <c r="F6939" i="6"/>
  <c r="E6965" i="6"/>
  <c r="E6921" i="6"/>
  <c r="F6895" i="6"/>
  <c r="F6931" i="6"/>
  <c r="E6957" i="6"/>
  <c r="E6976" i="6"/>
  <c r="F6950" i="6"/>
  <c r="F6911" i="6"/>
  <c r="E6937" i="6"/>
  <c r="F6986" i="6"/>
  <c r="E7012" i="6"/>
  <c r="E6943" i="6"/>
  <c r="F6917" i="6"/>
  <c r="F6941" i="6" l="1"/>
  <c r="E6967" i="6"/>
  <c r="F6925" i="6"/>
  <c r="E6951" i="6"/>
  <c r="E6956" i="6"/>
  <c r="F6930" i="6"/>
  <c r="E7014" i="6"/>
  <c r="F6988" i="6"/>
  <c r="F6949" i="6"/>
  <c r="E6975" i="6"/>
  <c r="F6953" i="6"/>
  <c r="E6979" i="6"/>
  <c r="E7002" i="6"/>
  <c r="F6976" i="6"/>
  <c r="F6954" i="6"/>
  <c r="E6980" i="6"/>
  <c r="F6957" i="6"/>
  <c r="E6983" i="6"/>
  <c r="F6945" i="6"/>
  <c r="E6971" i="6"/>
  <c r="F6918" i="6"/>
  <c r="E6944" i="6"/>
  <c r="E6990" i="6"/>
  <c r="F6964" i="6"/>
  <c r="F6965" i="6"/>
  <c r="E6991" i="6"/>
  <c r="F6998" i="6"/>
  <c r="E7024" i="6"/>
  <c r="F6937" i="6"/>
  <c r="E6963" i="6"/>
  <c r="F6929" i="6"/>
  <c r="E6955" i="6"/>
  <c r="F6943" i="6"/>
  <c r="E6969" i="6"/>
  <c r="E7038" i="6"/>
  <c r="F7012" i="6"/>
  <c r="F6933" i="6"/>
  <c r="E6959" i="6"/>
  <c r="E6978" i="6"/>
  <c r="F6952" i="6"/>
  <c r="E7010" i="6"/>
  <c r="F6984" i="6"/>
  <c r="F6921" i="6"/>
  <c r="E6947" i="6"/>
  <c r="E7000" i="6"/>
  <c r="F6974" i="6"/>
  <c r="F6935" i="6"/>
  <c r="E6961" i="6"/>
  <c r="F6994" i="6"/>
  <c r="E7020" i="6"/>
  <c r="E6966" i="6"/>
  <c r="F6940" i="6"/>
  <c r="F6955" i="6" l="1"/>
  <c r="E6981" i="6"/>
  <c r="E7006" i="6"/>
  <c r="F6980" i="6"/>
  <c r="F7014" i="6"/>
  <c r="E7040" i="6"/>
  <c r="E6989" i="6"/>
  <c r="F6963" i="6"/>
  <c r="E6970" i="6"/>
  <c r="F6944" i="6"/>
  <c r="F7002" i="6"/>
  <c r="E7028" i="6"/>
  <c r="E6982" i="6"/>
  <c r="F6956" i="6"/>
  <c r="F6959" i="6"/>
  <c r="E6985" i="6"/>
  <c r="F6947" i="6"/>
  <c r="E6973" i="6"/>
  <c r="E7050" i="6"/>
  <c r="F7024" i="6"/>
  <c r="F6971" i="6"/>
  <c r="E6997" i="6"/>
  <c r="F6979" i="6"/>
  <c r="E7005" i="6"/>
  <c r="F6951" i="6"/>
  <c r="E6977" i="6"/>
  <c r="F6961" i="6"/>
  <c r="E6987" i="6"/>
  <c r="E7026" i="6"/>
  <c r="F7000" i="6"/>
  <c r="F6966" i="6"/>
  <c r="E6992" i="6"/>
  <c r="E7064" i="6"/>
  <c r="F7038" i="6"/>
  <c r="F6967" i="6"/>
  <c r="E6993" i="6"/>
  <c r="E7004" i="6"/>
  <c r="F6978" i="6"/>
  <c r="E7016" i="6"/>
  <c r="F6990" i="6"/>
  <c r="E7046" i="6"/>
  <c r="F7020" i="6"/>
  <c r="E6995" i="6"/>
  <c r="F6969" i="6"/>
  <c r="F6991" i="6"/>
  <c r="E7017" i="6"/>
  <c r="F6983" i="6"/>
  <c r="E7009" i="6"/>
  <c r="F6975" i="6"/>
  <c r="E7001" i="6"/>
  <c r="E7036" i="6"/>
  <c r="F7010" i="6"/>
  <c r="E7035" i="6" l="1"/>
  <c r="F7009" i="6"/>
  <c r="E7018" i="6"/>
  <c r="F6992" i="6"/>
  <c r="E7031" i="6"/>
  <c r="F7005" i="6"/>
  <c r="E7011" i="6"/>
  <c r="F6985" i="6"/>
  <c r="E7043" i="6"/>
  <c r="F7017" i="6"/>
  <c r="E7023" i="6"/>
  <c r="F6997" i="6"/>
  <c r="E7066" i="6"/>
  <c r="F7040" i="6"/>
  <c r="F7026" i="6"/>
  <c r="E7052" i="6"/>
  <c r="F6982" i="6"/>
  <c r="E7008" i="6"/>
  <c r="E7019" i="6"/>
  <c r="F6993" i="6"/>
  <c r="E7015" i="6"/>
  <c r="F6989" i="6"/>
  <c r="E7054" i="6"/>
  <c r="F7028" i="6"/>
  <c r="F6995" i="6"/>
  <c r="E7021" i="6"/>
  <c r="F7050" i="6"/>
  <c r="E7076" i="6"/>
  <c r="E7032" i="6"/>
  <c r="F7006" i="6"/>
  <c r="E7042" i="6"/>
  <c r="F7016" i="6"/>
  <c r="E7030" i="6"/>
  <c r="F7004" i="6"/>
  <c r="E7027" i="6"/>
  <c r="F7001" i="6"/>
  <c r="E7003" i="6"/>
  <c r="F6977" i="6"/>
  <c r="E6999" i="6"/>
  <c r="F6973" i="6"/>
  <c r="E7007" i="6"/>
  <c r="F6981" i="6"/>
  <c r="F6987" i="6"/>
  <c r="E7013" i="6"/>
  <c r="E7062" i="6"/>
  <c r="F7036" i="6"/>
  <c r="F7046" i="6"/>
  <c r="E7072" i="6"/>
  <c r="E7090" i="6"/>
  <c r="F7064" i="6"/>
  <c r="F6970" i="6"/>
  <c r="E6996" i="6"/>
  <c r="E7098" i="6" l="1"/>
  <c r="F7072" i="6"/>
  <c r="E7078" i="6"/>
  <c r="F7052" i="6"/>
  <c r="E7080" i="6"/>
  <c r="F7054" i="6"/>
  <c r="F7015" i="6"/>
  <c r="E7041" i="6"/>
  <c r="E7092" i="6"/>
  <c r="F7066" i="6"/>
  <c r="F7031" i="6"/>
  <c r="E7057" i="6"/>
  <c r="E7022" i="6"/>
  <c r="F6996" i="6"/>
  <c r="E7058" i="6"/>
  <c r="F7032" i="6"/>
  <c r="E7039" i="6"/>
  <c r="F7013" i="6"/>
  <c r="E7102" i="6"/>
  <c r="F7076" i="6"/>
  <c r="F7027" i="6"/>
  <c r="E7053" i="6"/>
  <c r="F7019" i="6"/>
  <c r="E7045" i="6"/>
  <c r="E7049" i="6"/>
  <c r="F7023" i="6"/>
  <c r="F7018" i="6"/>
  <c r="E7044" i="6"/>
  <c r="F6999" i="6"/>
  <c r="E7025" i="6"/>
  <c r="F7011" i="6"/>
  <c r="E7037" i="6"/>
  <c r="E7088" i="6"/>
  <c r="F7062" i="6"/>
  <c r="E7047" i="6"/>
  <c r="F7021" i="6"/>
  <c r="E7034" i="6"/>
  <c r="F7008" i="6"/>
  <c r="F7042" i="6"/>
  <c r="E7068" i="6"/>
  <c r="F7003" i="6"/>
  <c r="E7029" i="6"/>
  <c r="F7090" i="6"/>
  <c r="E7116" i="6"/>
  <c r="F7007" i="6"/>
  <c r="E7033" i="6"/>
  <c r="F7030" i="6"/>
  <c r="E7056" i="6"/>
  <c r="F7043" i="6"/>
  <c r="E7069" i="6"/>
  <c r="E7061" i="6"/>
  <c r="F7035" i="6"/>
  <c r="E7082" i="6" l="1"/>
  <c r="F7056" i="6"/>
  <c r="E7094" i="6"/>
  <c r="F7068" i="6"/>
  <c r="E7063" i="6"/>
  <c r="F7037" i="6"/>
  <c r="E7071" i="6"/>
  <c r="F7045" i="6"/>
  <c r="E7067" i="6"/>
  <c r="F7041" i="6"/>
  <c r="F7058" i="6"/>
  <c r="E7084" i="6"/>
  <c r="E7079" i="6"/>
  <c r="F7053" i="6"/>
  <c r="E7048" i="6"/>
  <c r="F7022" i="6"/>
  <c r="E7106" i="6"/>
  <c r="F7080" i="6"/>
  <c r="E7051" i="6"/>
  <c r="F7025" i="6"/>
  <c r="E7142" i="6"/>
  <c r="F7116" i="6"/>
  <c r="E7083" i="6"/>
  <c r="F7057" i="6"/>
  <c r="E7087" i="6"/>
  <c r="F7061" i="6"/>
  <c r="F7102" i="6"/>
  <c r="E7128" i="6"/>
  <c r="E7104" i="6"/>
  <c r="F7078" i="6"/>
  <c r="E7059" i="6"/>
  <c r="F7033" i="6"/>
  <c r="F7034" i="6"/>
  <c r="E7060" i="6"/>
  <c r="F7047" i="6"/>
  <c r="E7073" i="6"/>
  <c r="F7069" i="6"/>
  <c r="E7095" i="6"/>
  <c r="E7055" i="6"/>
  <c r="F7029" i="6"/>
  <c r="E7070" i="6"/>
  <c r="F7044" i="6"/>
  <c r="E7114" i="6"/>
  <c r="F7088" i="6"/>
  <c r="E7075" i="6"/>
  <c r="F7049" i="6"/>
  <c r="F7039" i="6"/>
  <c r="E7065" i="6"/>
  <c r="E7118" i="6"/>
  <c r="F7092" i="6"/>
  <c r="E7124" i="6"/>
  <c r="F7098" i="6"/>
  <c r="F7065" i="6" l="1"/>
  <c r="E7091" i="6"/>
  <c r="F7071" i="6"/>
  <c r="E7097" i="6"/>
  <c r="E7121" i="6"/>
  <c r="F7095" i="6"/>
  <c r="E7130" i="6"/>
  <c r="F7104" i="6"/>
  <c r="E7168" i="6"/>
  <c r="F7142" i="6"/>
  <c r="E7105" i="6"/>
  <c r="F7079" i="6"/>
  <c r="F7063" i="6"/>
  <c r="E7089" i="6"/>
  <c r="E7074" i="6"/>
  <c r="F7048" i="6"/>
  <c r="E7099" i="6"/>
  <c r="F7073" i="6"/>
  <c r="E7154" i="6"/>
  <c r="F7128" i="6"/>
  <c r="E7110" i="6"/>
  <c r="F7084" i="6"/>
  <c r="F7059" i="6"/>
  <c r="E7085" i="6"/>
  <c r="E7150" i="6"/>
  <c r="F7124" i="6"/>
  <c r="F7094" i="6"/>
  <c r="E7120" i="6"/>
  <c r="F7083" i="6"/>
  <c r="E7109" i="6"/>
  <c r="E7086" i="6"/>
  <c r="F7060" i="6"/>
  <c r="E7081" i="6"/>
  <c r="F7055" i="6"/>
  <c r="F7075" i="6"/>
  <c r="E7101" i="6"/>
  <c r="F7114" i="6"/>
  <c r="E7140" i="6"/>
  <c r="E7077" i="6"/>
  <c r="F7051" i="6"/>
  <c r="E7144" i="6"/>
  <c r="F7118" i="6"/>
  <c r="E7096" i="6"/>
  <c r="F7070" i="6"/>
  <c r="E7113" i="6"/>
  <c r="F7087" i="6"/>
  <c r="F7106" i="6"/>
  <c r="E7132" i="6"/>
  <c r="F7067" i="6"/>
  <c r="E7093" i="6"/>
  <c r="F7082" i="6"/>
  <c r="E7108" i="6"/>
  <c r="E7158" i="6" l="1"/>
  <c r="F7132" i="6"/>
  <c r="F7085" i="6"/>
  <c r="E7111" i="6"/>
  <c r="F7130" i="6"/>
  <c r="E7156" i="6"/>
  <c r="E7166" i="6"/>
  <c r="F7140" i="6"/>
  <c r="F7109" i="6"/>
  <c r="E7135" i="6"/>
  <c r="E7115" i="6"/>
  <c r="F7089" i="6"/>
  <c r="E7147" i="6"/>
  <c r="F7121" i="6"/>
  <c r="F7074" i="6"/>
  <c r="E7100" i="6"/>
  <c r="F7108" i="6"/>
  <c r="E7134" i="6"/>
  <c r="E7146" i="6"/>
  <c r="F7120" i="6"/>
  <c r="E7123" i="6"/>
  <c r="F7097" i="6"/>
  <c r="F7077" i="6"/>
  <c r="E7103" i="6"/>
  <c r="F7101" i="6"/>
  <c r="E7127" i="6"/>
  <c r="E7122" i="6"/>
  <c r="F7096" i="6"/>
  <c r="E7112" i="6"/>
  <c r="F7086" i="6"/>
  <c r="E7136" i="6"/>
  <c r="F7110" i="6"/>
  <c r="E7180" i="6"/>
  <c r="F7154" i="6"/>
  <c r="E7117" i="6"/>
  <c r="F7091" i="6"/>
  <c r="E7139" i="6"/>
  <c r="F7113" i="6"/>
  <c r="F7105" i="6"/>
  <c r="E7131" i="6"/>
  <c r="E7119" i="6"/>
  <c r="F7093" i="6"/>
  <c r="E7170" i="6"/>
  <c r="F7144" i="6"/>
  <c r="F7081" i="6"/>
  <c r="E7107" i="6"/>
  <c r="F7150" i="6"/>
  <c r="E7176" i="6"/>
  <c r="F7099" i="6"/>
  <c r="E7125" i="6"/>
  <c r="E7194" i="6"/>
  <c r="F7168" i="6"/>
  <c r="E7157" i="6" l="1"/>
  <c r="F7131" i="6"/>
  <c r="E7129" i="6"/>
  <c r="F7103" i="6"/>
  <c r="F7100" i="6"/>
  <c r="E7126" i="6"/>
  <c r="E7202" i="6"/>
  <c r="F7176" i="6"/>
  <c r="E7192" i="6"/>
  <c r="F7166" i="6"/>
  <c r="E7133" i="6"/>
  <c r="F7107" i="6"/>
  <c r="E7182" i="6"/>
  <c r="F7156" i="6"/>
  <c r="E7138" i="6"/>
  <c r="F7112" i="6"/>
  <c r="E7149" i="6"/>
  <c r="F7123" i="6"/>
  <c r="E7173" i="6"/>
  <c r="F7147" i="6"/>
  <c r="E7162" i="6"/>
  <c r="F7136" i="6"/>
  <c r="E7137" i="6"/>
  <c r="F7111" i="6"/>
  <c r="E7165" i="6"/>
  <c r="F7139" i="6"/>
  <c r="E7196" i="6"/>
  <c r="F7170" i="6"/>
  <c r="F7146" i="6"/>
  <c r="E7172" i="6"/>
  <c r="E7141" i="6"/>
  <c r="F7115" i="6"/>
  <c r="F7122" i="6"/>
  <c r="E7148" i="6"/>
  <c r="E7153" i="6"/>
  <c r="F7127" i="6"/>
  <c r="E7160" i="6"/>
  <c r="F7134" i="6"/>
  <c r="E7161" i="6"/>
  <c r="F7135" i="6"/>
  <c r="E7220" i="6"/>
  <c r="F7194" i="6"/>
  <c r="E7143" i="6"/>
  <c r="F7117" i="6"/>
  <c r="E7151" i="6"/>
  <c r="F7125" i="6"/>
  <c r="E7145" i="6"/>
  <c r="F7119" i="6"/>
  <c r="E7206" i="6"/>
  <c r="F7180" i="6"/>
  <c r="E7184" i="6"/>
  <c r="F7158" i="6"/>
  <c r="E7167" i="6" l="1"/>
  <c r="F7141" i="6"/>
  <c r="E7152" i="6"/>
  <c r="F7126" i="6"/>
  <c r="E7163" i="6"/>
  <c r="F7137" i="6"/>
  <c r="E7186" i="6"/>
  <c r="F7160" i="6"/>
  <c r="E7188" i="6"/>
  <c r="F7162" i="6"/>
  <c r="F7182" i="6"/>
  <c r="E7208" i="6"/>
  <c r="E7228" i="6"/>
  <c r="F7202" i="6"/>
  <c r="F7138" i="6"/>
  <c r="E7164" i="6"/>
  <c r="E7179" i="6"/>
  <c r="F7153" i="6"/>
  <c r="E7222" i="6"/>
  <c r="F7196" i="6"/>
  <c r="E7199" i="6"/>
  <c r="F7173" i="6"/>
  <c r="E7159" i="6"/>
  <c r="F7133" i="6"/>
  <c r="E7155" i="6"/>
  <c r="F7129" i="6"/>
  <c r="E7187" i="6"/>
  <c r="F7161" i="6"/>
  <c r="E7177" i="6"/>
  <c r="F7151" i="6"/>
  <c r="E7169" i="6"/>
  <c r="F7143" i="6"/>
  <c r="E7174" i="6"/>
  <c r="F7148" i="6"/>
  <c r="E7171" i="6"/>
  <c r="F7145" i="6"/>
  <c r="E7198" i="6"/>
  <c r="F7172" i="6"/>
  <c r="E7210" i="6"/>
  <c r="F7184" i="6"/>
  <c r="E7232" i="6"/>
  <c r="F7206" i="6"/>
  <c r="E7246" i="6"/>
  <c r="F7220" i="6"/>
  <c r="F7165" i="6"/>
  <c r="E7191" i="6"/>
  <c r="F7149" i="6"/>
  <c r="E7175" i="6"/>
  <c r="E7218" i="6"/>
  <c r="F7192" i="6"/>
  <c r="E7183" i="6"/>
  <c r="F7157" i="6"/>
  <c r="E7190" i="6" l="1"/>
  <c r="F7164" i="6"/>
  <c r="E7201" i="6"/>
  <c r="F7175" i="6"/>
  <c r="E7195" i="6"/>
  <c r="F7169" i="6"/>
  <c r="E7244" i="6"/>
  <c r="F7218" i="6"/>
  <c r="E7185" i="6"/>
  <c r="F7159" i="6"/>
  <c r="E7217" i="6"/>
  <c r="F7191" i="6"/>
  <c r="E7225" i="6"/>
  <c r="F7199" i="6"/>
  <c r="E7254" i="6"/>
  <c r="F7228" i="6"/>
  <c r="E7189" i="6"/>
  <c r="F7163" i="6"/>
  <c r="E7258" i="6"/>
  <c r="F7232" i="6"/>
  <c r="E7236" i="6"/>
  <c r="F7210" i="6"/>
  <c r="F7198" i="6"/>
  <c r="E7224" i="6"/>
  <c r="E7234" i="6"/>
  <c r="F7208" i="6"/>
  <c r="E7200" i="6"/>
  <c r="F7174" i="6"/>
  <c r="E7212" i="6"/>
  <c r="F7186" i="6"/>
  <c r="E7209" i="6"/>
  <c r="F7183" i="6"/>
  <c r="E7272" i="6"/>
  <c r="F7246" i="6"/>
  <c r="E7197" i="6"/>
  <c r="F7171" i="6"/>
  <c r="E7213" i="6"/>
  <c r="F7187" i="6"/>
  <c r="E7248" i="6"/>
  <c r="F7222" i="6"/>
  <c r="E7178" i="6"/>
  <c r="F7152" i="6"/>
  <c r="E7181" i="6"/>
  <c r="F7155" i="6"/>
  <c r="F7177" i="6"/>
  <c r="E7203" i="6"/>
  <c r="E7205" i="6"/>
  <c r="F7179" i="6"/>
  <c r="E7214" i="6"/>
  <c r="F7188" i="6"/>
  <c r="E7193" i="6"/>
  <c r="F7167" i="6"/>
  <c r="F7214" i="6" l="1"/>
  <c r="E7240" i="6"/>
  <c r="E7204" i="6"/>
  <c r="F7178" i="6"/>
  <c r="E7250" i="6"/>
  <c r="F7224" i="6"/>
  <c r="E7274" i="6"/>
  <c r="F7248" i="6"/>
  <c r="E7270" i="6"/>
  <c r="F7244" i="6"/>
  <c r="E7229" i="6"/>
  <c r="F7203" i="6"/>
  <c r="E7239" i="6"/>
  <c r="F7213" i="6"/>
  <c r="E7238" i="6"/>
  <c r="F7212" i="6"/>
  <c r="E7262" i="6"/>
  <c r="F7236" i="6"/>
  <c r="F7225" i="6"/>
  <c r="E7251" i="6"/>
  <c r="E7221" i="6"/>
  <c r="F7195" i="6"/>
  <c r="F7209" i="6"/>
  <c r="E7235" i="6"/>
  <c r="E7231" i="6"/>
  <c r="F7205" i="6"/>
  <c r="E7280" i="6"/>
  <c r="F7254" i="6"/>
  <c r="F7193" i="6"/>
  <c r="E7219" i="6"/>
  <c r="F7181" i="6"/>
  <c r="E7207" i="6"/>
  <c r="F7197" i="6"/>
  <c r="E7223" i="6"/>
  <c r="E7226" i="6"/>
  <c r="F7200" i="6"/>
  <c r="E7284" i="6"/>
  <c r="F7258" i="6"/>
  <c r="E7243" i="6"/>
  <c r="F7217" i="6"/>
  <c r="E7227" i="6"/>
  <c r="F7201" i="6"/>
  <c r="E7298" i="6"/>
  <c r="F7272" i="6"/>
  <c r="E7260" i="6"/>
  <c r="F7234" i="6"/>
  <c r="E7215" i="6"/>
  <c r="F7189" i="6"/>
  <c r="E7211" i="6"/>
  <c r="F7185" i="6"/>
  <c r="E7216" i="6"/>
  <c r="F7190" i="6"/>
  <c r="E7261" i="6" l="1"/>
  <c r="F7235" i="6"/>
  <c r="E7245" i="6"/>
  <c r="F7219" i="6"/>
  <c r="E7286" i="6"/>
  <c r="F7260" i="6"/>
  <c r="E7310" i="6"/>
  <c r="F7284" i="6"/>
  <c r="E7247" i="6"/>
  <c r="F7221" i="6"/>
  <c r="F7239" i="6"/>
  <c r="E7265" i="6"/>
  <c r="E7276" i="6"/>
  <c r="F7250" i="6"/>
  <c r="E7269" i="6"/>
  <c r="F7243" i="6"/>
  <c r="E7277" i="6"/>
  <c r="F7251" i="6"/>
  <c r="E7252" i="6"/>
  <c r="F7226" i="6"/>
  <c r="E7255" i="6"/>
  <c r="F7229" i="6"/>
  <c r="E7230" i="6"/>
  <c r="F7204" i="6"/>
  <c r="E7233" i="6"/>
  <c r="F7207" i="6"/>
  <c r="E7300" i="6"/>
  <c r="F7274" i="6"/>
  <c r="E7324" i="6"/>
  <c r="F7298" i="6"/>
  <c r="E7249" i="6"/>
  <c r="F7223" i="6"/>
  <c r="E7266" i="6"/>
  <c r="F7240" i="6"/>
  <c r="E7241" i="6"/>
  <c r="F7215" i="6"/>
  <c r="E7264" i="6"/>
  <c r="F7238" i="6"/>
  <c r="E7242" i="6"/>
  <c r="F7216" i="6"/>
  <c r="E7306" i="6"/>
  <c r="F7280" i="6"/>
  <c r="E7237" i="6"/>
  <c r="F7211" i="6"/>
  <c r="E7253" i="6"/>
  <c r="F7227" i="6"/>
  <c r="E7257" i="6"/>
  <c r="F7231" i="6"/>
  <c r="E7288" i="6"/>
  <c r="F7262" i="6"/>
  <c r="E7296" i="6"/>
  <c r="F7270" i="6"/>
  <c r="E7336" i="6" l="1"/>
  <c r="F7310" i="6"/>
  <c r="E7295" i="6"/>
  <c r="F7269" i="6"/>
  <c r="E7279" i="6"/>
  <c r="F7253" i="6"/>
  <c r="E7290" i="6"/>
  <c r="F7264" i="6"/>
  <c r="E7350" i="6"/>
  <c r="F7324" i="6"/>
  <c r="E7281" i="6"/>
  <c r="F7255" i="6"/>
  <c r="E7302" i="6"/>
  <c r="F7276" i="6"/>
  <c r="E7312" i="6"/>
  <c r="F7286" i="6"/>
  <c r="E7291" i="6"/>
  <c r="F7265" i="6"/>
  <c r="F7249" i="6"/>
  <c r="E7275" i="6"/>
  <c r="F7241" i="6"/>
  <c r="E7267" i="6"/>
  <c r="E7278" i="6"/>
  <c r="F7252" i="6"/>
  <c r="F7245" i="6"/>
  <c r="E7271" i="6"/>
  <c r="E7268" i="6"/>
  <c r="F7242" i="6"/>
  <c r="E7322" i="6"/>
  <c r="F7296" i="6"/>
  <c r="E7326" i="6"/>
  <c r="F7300" i="6"/>
  <c r="F7257" i="6"/>
  <c r="E7283" i="6"/>
  <c r="E7256" i="6"/>
  <c r="F7230" i="6"/>
  <c r="F7237" i="6"/>
  <c r="E7263" i="6"/>
  <c r="E7314" i="6"/>
  <c r="F7288" i="6"/>
  <c r="F7306" i="6"/>
  <c r="E7332" i="6"/>
  <c r="E7292" i="6"/>
  <c r="F7266" i="6"/>
  <c r="E7259" i="6"/>
  <c r="F7233" i="6"/>
  <c r="E7303" i="6"/>
  <c r="F7277" i="6"/>
  <c r="E7273" i="6"/>
  <c r="F7247" i="6"/>
  <c r="E7287" i="6"/>
  <c r="F7261" i="6"/>
  <c r="E7329" i="6" l="1"/>
  <c r="F7303" i="6"/>
  <c r="E7304" i="6"/>
  <c r="F7278" i="6"/>
  <c r="E7352" i="6"/>
  <c r="F7326" i="6"/>
  <c r="E7293" i="6"/>
  <c r="F7267" i="6"/>
  <c r="E7328" i="6"/>
  <c r="F7302" i="6"/>
  <c r="E7301" i="6"/>
  <c r="F7275" i="6"/>
  <c r="E7294" i="6"/>
  <c r="F7268" i="6"/>
  <c r="E7307" i="6"/>
  <c r="F7281" i="6"/>
  <c r="E7321" i="6"/>
  <c r="F7295" i="6"/>
  <c r="E7338" i="6"/>
  <c r="F7312" i="6"/>
  <c r="E7285" i="6"/>
  <c r="F7259" i="6"/>
  <c r="E7313" i="6"/>
  <c r="F7287" i="6"/>
  <c r="E7282" i="6"/>
  <c r="F7256" i="6"/>
  <c r="E7358" i="6"/>
  <c r="F7332" i="6"/>
  <c r="F7283" i="6"/>
  <c r="E7309" i="6"/>
  <c r="E7297" i="6"/>
  <c r="F7271" i="6"/>
  <c r="E7340" i="6"/>
  <c r="F7314" i="6"/>
  <c r="E7316" i="6"/>
  <c r="F7290" i="6"/>
  <c r="E7289" i="6"/>
  <c r="F7263" i="6"/>
  <c r="E7348" i="6"/>
  <c r="F7322" i="6"/>
  <c r="E7305" i="6"/>
  <c r="F7279" i="6"/>
  <c r="E7318" i="6"/>
  <c r="F7292" i="6"/>
  <c r="F7273" i="6"/>
  <c r="E7299" i="6"/>
  <c r="E7317" i="6"/>
  <c r="F7291" i="6"/>
  <c r="E7376" i="6"/>
  <c r="F7350" i="6"/>
  <c r="E7362" i="6"/>
  <c r="F7336" i="6"/>
  <c r="E7333" i="6" l="1"/>
  <c r="F7307" i="6"/>
  <c r="E7335" i="6"/>
  <c r="F7309" i="6"/>
  <c r="F7317" i="6"/>
  <c r="E7343" i="6"/>
  <c r="E7325" i="6"/>
  <c r="F7299" i="6"/>
  <c r="E7320" i="6"/>
  <c r="F7294" i="6"/>
  <c r="E7378" i="6"/>
  <c r="F7352" i="6"/>
  <c r="E7374" i="6"/>
  <c r="F7348" i="6"/>
  <c r="F7313" i="6"/>
  <c r="E7339" i="6"/>
  <c r="F7285" i="6"/>
  <c r="E7311" i="6"/>
  <c r="E7388" i="6"/>
  <c r="F7362" i="6"/>
  <c r="E7364" i="6"/>
  <c r="F7338" i="6"/>
  <c r="F7304" i="6"/>
  <c r="E7330" i="6"/>
  <c r="E7319" i="6"/>
  <c r="F7293" i="6"/>
  <c r="E7315" i="6"/>
  <c r="F7289" i="6"/>
  <c r="E7344" i="6"/>
  <c r="F7318" i="6"/>
  <c r="E7384" i="6"/>
  <c r="F7358" i="6"/>
  <c r="F7297" i="6"/>
  <c r="E7323" i="6"/>
  <c r="E7342" i="6"/>
  <c r="F7316" i="6"/>
  <c r="E7327" i="6"/>
  <c r="F7301" i="6"/>
  <c r="E7402" i="6"/>
  <c r="F7376" i="6"/>
  <c r="F7305" i="6"/>
  <c r="E7331" i="6"/>
  <c r="E7366" i="6"/>
  <c r="F7340" i="6"/>
  <c r="E7308" i="6"/>
  <c r="F7282" i="6"/>
  <c r="E7347" i="6"/>
  <c r="F7321" i="6"/>
  <c r="E7354" i="6"/>
  <c r="F7328" i="6"/>
  <c r="F7329" i="6"/>
  <c r="E7355" i="6"/>
  <c r="E7410" i="6" l="1"/>
  <c r="F7384" i="6"/>
  <c r="E7369" i="6"/>
  <c r="F7343" i="6"/>
  <c r="E7353" i="6"/>
  <c r="F7327" i="6"/>
  <c r="E7370" i="6"/>
  <c r="F7344" i="6"/>
  <c r="E7390" i="6"/>
  <c r="F7364" i="6"/>
  <c r="E7400" i="6"/>
  <c r="F7374" i="6"/>
  <c r="E7356" i="6"/>
  <c r="F7330" i="6"/>
  <c r="E7428" i="6"/>
  <c r="F7402" i="6"/>
  <c r="E7341" i="6"/>
  <c r="F7315" i="6"/>
  <c r="E7404" i="6"/>
  <c r="F7378" i="6"/>
  <c r="E7361" i="6"/>
  <c r="F7335" i="6"/>
  <c r="F7366" i="6"/>
  <c r="E7392" i="6"/>
  <c r="E7365" i="6"/>
  <c r="F7339" i="6"/>
  <c r="E7373" i="6"/>
  <c r="F7347" i="6"/>
  <c r="E7351" i="6"/>
  <c r="F7325" i="6"/>
  <c r="E7334" i="6"/>
  <c r="F7308" i="6"/>
  <c r="E7381" i="6"/>
  <c r="F7355" i="6"/>
  <c r="E7368" i="6"/>
  <c r="F7342" i="6"/>
  <c r="E7414" i="6"/>
  <c r="F7388" i="6"/>
  <c r="E7357" i="6"/>
  <c r="F7331" i="6"/>
  <c r="E7349" i="6"/>
  <c r="F7323" i="6"/>
  <c r="E7337" i="6"/>
  <c r="F7311" i="6"/>
  <c r="E7380" i="6"/>
  <c r="F7354" i="6"/>
  <c r="E7345" i="6"/>
  <c r="F7319" i="6"/>
  <c r="E7346" i="6"/>
  <c r="F7320" i="6"/>
  <c r="E7359" i="6"/>
  <c r="F7333" i="6"/>
  <c r="E7418" i="6" l="1"/>
  <c r="F7392" i="6"/>
  <c r="F7345" i="6"/>
  <c r="E7371" i="6"/>
  <c r="E7360" i="6"/>
  <c r="F7334" i="6"/>
  <c r="E7440" i="6"/>
  <c r="F7414" i="6"/>
  <c r="E7377" i="6"/>
  <c r="F7351" i="6"/>
  <c r="F7361" i="6"/>
  <c r="E7387" i="6"/>
  <c r="E7382" i="6"/>
  <c r="F7356" i="6"/>
  <c r="E7379" i="6"/>
  <c r="F7353" i="6"/>
  <c r="E7454" i="6"/>
  <c r="F7428" i="6"/>
  <c r="E7383" i="6"/>
  <c r="F7357" i="6"/>
  <c r="E7385" i="6"/>
  <c r="F7359" i="6"/>
  <c r="E7394" i="6"/>
  <c r="F7368" i="6"/>
  <c r="E7399" i="6"/>
  <c r="F7373" i="6"/>
  <c r="E7430" i="6"/>
  <c r="F7404" i="6"/>
  <c r="E7426" i="6"/>
  <c r="F7400" i="6"/>
  <c r="F7369" i="6"/>
  <c r="E7395" i="6"/>
  <c r="E7396" i="6"/>
  <c r="F7370" i="6"/>
  <c r="E7406" i="6"/>
  <c r="F7380" i="6"/>
  <c r="F7337" i="6"/>
  <c r="E7363" i="6"/>
  <c r="E7372" i="6"/>
  <c r="F7346" i="6"/>
  <c r="F7349" i="6"/>
  <c r="E7375" i="6"/>
  <c r="E7407" i="6"/>
  <c r="F7381" i="6"/>
  <c r="E7391" i="6"/>
  <c r="F7365" i="6"/>
  <c r="E7367" i="6"/>
  <c r="F7341" i="6"/>
  <c r="E7416" i="6"/>
  <c r="F7390" i="6"/>
  <c r="E7436" i="6"/>
  <c r="F7410" i="6"/>
  <c r="E7466" i="6" l="1"/>
  <c r="F7440" i="6"/>
  <c r="E7421" i="6"/>
  <c r="F7395" i="6"/>
  <c r="E7405" i="6"/>
  <c r="F7379" i="6"/>
  <c r="E7389" i="6"/>
  <c r="F7363" i="6"/>
  <c r="E7452" i="6"/>
  <c r="F7426" i="6"/>
  <c r="F7385" i="6"/>
  <c r="E7411" i="6"/>
  <c r="E7408" i="6"/>
  <c r="F7382" i="6"/>
  <c r="F7360" i="6"/>
  <c r="E7386" i="6"/>
  <c r="E7393" i="6"/>
  <c r="F7367" i="6"/>
  <c r="E7413" i="6"/>
  <c r="F7387" i="6"/>
  <c r="E7397" i="6"/>
  <c r="F7371" i="6"/>
  <c r="E7398" i="6"/>
  <c r="F7372" i="6"/>
  <c r="E7462" i="6"/>
  <c r="F7436" i="6"/>
  <c r="E7409" i="6"/>
  <c r="F7383" i="6"/>
  <c r="E7433" i="6"/>
  <c r="F7407" i="6"/>
  <c r="E7420" i="6"/>
  <c r="F7394" i="6"/>
  <c r="E7417" i="6"/>
  <c r="F7391" i="6"/>
  <c r="E7432" i="6"/>
  <c r="F7406" i="6"/>
  <c r="E7456" i="6"/>
  <c r="F7430" i="6"/>
  <c r="E7401" i="6"/>
  <c r="F7375" i="6"/>
  <c r="E7442" i="6"/>
  <c r="F7416" i="6"/>
  <c r="E7422" i="6"/>
  <c r="F7396" i="6"/>
  <c r="E7425" i="6"/>
  <c r="F7399" i="6"/>
  <c r="E7480" i="6"/>
  <c r="F7454" i="6"/>
  <c r="F7377" i="6"/>
  <c r="E7403" i="6"/>
  <c r="E7444" i="6"/>
  <c r="F7418" i="6"/>
  <c r="E7446" i="6" l="1"/>
  <c r="F7420" i="6"/>
  <c r="E7412" i="6"/>
  <c r="F7386" i="6"/>
  <c r="F7401" i="6"/>
  <c r="E7427" i="6"/>
  <c r="E7424" i="6"/>
  <c r="F7398" i="6"/>
  <c r="F7425" i="6"/>
  <c r="E7451" i="6"/>
  <c r="E7482" i="6"/>
  <c r="F7456" i="6"/>
  <c r="E7459" i="6"/>
  <c r="F7433" i="6"/>
  <c r="E7423" i="6"/>
  <c r="F7397" i="6"/>
  <c r="E7434" i="6"/>
  <c r="F7408" i="6"/>
  <c r="F7405" i="6"/>
  <c r="E7431" i="6"/>
  <c r="E7437" i="6"/>
  <c r="F7411" i="6"/>
  <c r="E7470" i="6"/>
  <c r="F7444" i="6"/>
  <c r="E7448" i="6"/>
  <c r="F7422" i="6"/>
  <c r="E7458" i="6"/>
  <c r="F7432" i="6"/>
  <c r="F7409" i="6"/>
  <c r="E7435" i="6"/>
  <c r="E7439" i="6"/>
  <c r="F7413" i="6"/>
  <c r="F7421" i="6"/>
  <c r="E7447" i="6"/>
  <c r="E7506" i="6"/>
  <c r="F7480" i="6"/>
  <c r="E7415" i="6"/>
  <c r="F7389" i="6"/>
  <c r="E7429" i="6"/>
  <c r="F7403" i="6"/>
  <c r="E7468" i="6"/>
  <c r="F7442" i="6"/>
  <c r="E7443" i="6"/>
  <c r="F7417" i="6"/>
  <c r="E7488" i="6"/>
  <c r="F7462" i="6"/>
  <c r="F7393" i="6"/>
  <c r="E7419" i="6"/>
  <c r="E7478" i="6"/>
  <c r="F7452" i="6"/>
  <c r="E7492" i="6"/>
  <c r="F7466" i="6"/>
  <c r="E7455" i="6" l="1"/>
  <c r="F7429" i="6"/>
  <c r="E7453" i="6"/>
  <c r="F7427" i="6"/>
  <c r="E7445" i="6"/>
  <c r="F7419" i="6"/>
  <c r="E7465" i="6"/>
  <c r="F7439" i="6"/>
  <c r="E7514" i="6"/>
  <c r="F7488" i="6"/>
  <c r="E7463" i="6"/>
  <c r="F7437" i="6"/>
  <c r="F7459" i="6"/>
  <c r="E7485" i="6"/>
  <c r="E7449" i="6"/>
  <c r="F7423" i="6"/>
  <c r="F7435" i="6"/>
  <c r="E7461" i="6"/>
  <c r="E7457" i="6"/>
  <c r="F7431" i="6"/>
  <c r="E7441" i="6"/>
  <c r="F7415" i="6"/>
  <c r="E7532" i="6"/>
  <c r="F7506" i="6"/>
  <c r="F7458" i="6"/>
  <c r="E7484" i="6"/>
  <c r="E7508" i="6"/>
  <c r="F7482" i="6"/>
  <c r="E7438" i="6"/>
  <c r="F7412" i="6"/>
  <c r="E7450" i="6"/>
  <c r="F7424" i="6"/>
  <c r="E7518" i="6"/>
  <c r="F7492" i="6"/>
  <c r="E7473" i="6"/>
  <c r="F7447" i="6"/>
  <c r="E7477" i="6"/>
  <c r="F7451" i="6"/>
  <c r="E7496" i="6"/>
  <c r="F7470" i="6"/>
  <c r="E7469" i="6"/>
  <c r="F7443" i="6"/>
  <c r="E7504" i="6"/>
  <c r="F7478" i="6"/>
  <c r="E7494" i="6"/>
  <c r="F7468" i="6"/>
  <c r="E7474" i="6"/>
  <c r="F7448" i="6"/>
  <c r="E7460" i="6"/>
  <c r="F7434" i="6"/>
  <c r="E7472" i="6"/>
  <c r="F7446" i="6"/>
  <c r="E7500" i="6" l="1"/>
  <c r="F7474" i="6"/>
  <c r="E7511" i="6"/>
  <c r="F7485" i="6"/>
  <c r="E7491" i="6"/>
  <c r="F7465" i="6"/>
  <c r="E7503" i="6"/>
  <c r="F7477" i="6"/>
  <c r="E7467" i="6"/>
  <c r="F7441" i="6"/>
  <c r="E7471" i="6"/>
  <c r="F7445" i="6"/>
  <c r="E7476" i="6"/>
  <c r="F7450" i="6"/>
  <c r="E7520" i="6"/>
  <c r="F7494" i="6"/>
  <c r="E7475" i="6"/>
  <c r="F7449" i="6"/>
  <c r="E7464" i="6"/>
  <c r="F7438" i="6"/>
  <c r="E7530" i="6"/>
  <c r="F7504" i="6"/>
  <c r="E7534" i="6"/>
  <c r="F7508" i="6"/>
  <c r="E7483" i="6"/>
  <c r="F7457" i="6"/>
  <c r="E7489" i="6"/>
  <c r="F7463" i="6"/>
  <c r="E7479" i="6"/>
  <c r="F7453" i="6"/>
  <c r="E7558" i="6"/>
  <c r="F7532" i="6"/>
  <c r="E7487" i="6"/>
  <c r="F7461" i="6"/>
  <c r="E7522" i="6"/>
  <c r="F7496" i="6"/>
  <c r="E7498" i="6"/>
  <c r="F7472" i="6"/>
  <c r="E7499" i="6"/>
  <c r="F7473" i="6"/>
  <c r="E7510" i="6"/>
  <c r="F7484" i="6"/>
  <c r="E7486" i="6"/>
  <c r="F7460" i="6"/>
  <c r="E7495" i="6"/>
  <c r="F7469" i="6"/>
  <c r="E7544" i="6"/>
  <c r="F7518" i="6"/>
  <c r="E7540" i="6"/>
  <c r="F7514" i="6"/>
  <c r="E7481" i="6"/>
  <c r="F7455" i="6"/>
  <c r="E7525" i="6" l="1"/>
  <c r="F7499" i="6"/>
  <c r="E7560" i="6"/>
  <c r="F7534" i="6"/>
  <c r="E7546" i="6"/>
  <c r="F7520" i="6"/>
  <c r="E7529" i="6"/>
  <c r="F7503" i="6"/>
  <c r="E7505" i="6"/>
  <c r="F7479" i="6"/>
  <c r="E7556" i="6"/>
  <c r="F7530" i="6"/>
  <c r="E7502" i="6"/>
  <c r="F7476" i="6"/>
  <c r="E7517" i="6"/>
  <c r="F7491" i="6"/>
  <c r="E7584" i="6"/>
  <c r="F7558" i="6"/>
  <c r="E7524" i="6"/>
  <c r="F7498" i="6"/>
  <c r="E7512" i="6"/>
  <c r="F7486" i="6"/>
  <c r="E7490" i="6"/>
  <c r="F7464" i="6"/>
  <c r="E7497" i="6"/>
  <c r="F7471" i="6"/>
  <c r="E7537" i="6"/>
  <c r="F7511" i="6"/>
  <c r="F7544" i="6"/>
  <c r="E7570" i="6"/>
  <c r="E7521" i="6"/>
  <c r="F7495" i="6"/>
  <c r="E7507" i="6"/>
  <c r="F7481" i="6"/>
  <c r="E7515" i="6"/>
  <c r="F7489" i="6"/>
  <c r="E7548" i="6"/>
  <c r="F7522" i="6"/>
  <c r="E7566" i="6"/>
  <c r="F7540" i="6"/>
  <c r="E7536" i="6"/>
  <c r="F7510" i="6"/>
  <c r="E7513" i="6"/>
  <c r="F7487" i="6"/>
  <c r="E7509" i="6"/>
  <c r="F7483" i="6"/>
  <c r="E7501" i="6"/>
  <c r="F7475" i="6"/>
  <c r="E7493" i="6"/>
  <c r="F7467" i="6"/>
  <c r="E7526" i="6"/>
  <c r="F7500" i="6"/>
  <c r="E7516" i="6" l="1"/>
  <c r="F7490" i="6"/>
  <c r="E7543" i="6"/>
  <c r="F7517" i="6"/>
  <c r="E7555" i="6"/>
  <c r="F7529" i="6"/>
  <c r="E7596" i="6"/>
  <c r="F7570" i="6"/>
  <c r="F7548" i="6"/>
  <c r="E7574" i="6"/>
  <c r="E7538" i="6"/>
  <c r="F7512" i="6"/>
  <c r="E7528" i="6"/>
  <c r="F7502" i="6"/>
  <c r="E7572" i="6"/>
  <c r="F7546" i="6"/>
  <c r="E7592" i="6"/>
  <c r="F7566" i="6"/>
  <c r="E7552" i="6"/>
  <c r="F7526" i="6"/>
  <c r="E7539" i="6"/>
  <c r="F7513" i="6"/>
  <c r="E7541" i="6"/>
  <c r="F7515" i="6"/>
  <c r="F7537" i="6"/>
  <c r="E7563" i="6"/>
  <c r="E7550" i="6"/>
  <c r="F7524" i="6"/>
  <c r="E7582" i="6"/>
  <c r="F7556" i="6"/>
  <c r="F7560" i="6"/>
  <c r="E7586" i="6"/>
  <c r="E7547" i="6"/>
  <c r="F7521" i="6"/>
  <c r="E7527" i="6"/>
  <c r="F7501" i="6"/>
  <c r="F7509" i="6"/>
  <c r="E7535" i="6"/>
  <c r="E7519" i="6"/>
  <c r="F7493" i="6"/>
  <c r="F7536" i="6"/>
  <c r="E7562" i="6"/>
  <c r="E7533" i="6"/>
  <c r="F7507" i="6"/>
  <c r="E7523" i="6"/>
  <c r="F7497" i="6"/>
  <c r="E7610" i="6"/>
  <c r="F7584" i="6"/>
  <c r="E7531" i="6"/>
  <c r="F7505" i="6"/>
  <c r="E7551" i="6"/>
  <c r="F7525" i="6"/>
  <c r="E7612" i="6" l="1"/>
  <c r="F7586" i="6"/>
  <c r="F7596" i="6"/>
  <c r="E7622" i="6"/>
  <c r="E7545" i="6"/>
  <c r="F7519" i="6"/>
  <c r="E7549" i="6"/>
  <c r="F7523" i="6"/>
  <c r="E7565" i="6"/>
  <c r="F7539" i="6"/>
  <c r="E7554" i="6"/>
  <c r="F7528" i="6"/>
  <c r="E7581" i="6"/>
  <c r="F7555" i="6"/>
  <c r="E7636" i="6"/>
  <c r="F7610" i="6"/>
  <c r="F7541" i="6"/>
  <c r="E7567" i="6"/>
  <c r="E7561" i="6"/>
  <c r="F7535" i="6"/>
  <c r="E7608" i="6"/>
  <c r="F7582" i="6"/>
  <c r="E7559" i="6"/>
  <c r="F7533" i="6"/>
  <c r="E7576" i="6"/>
  <c r="F7550" i="6"/>
  <c r="E7578" i="6"/>
  <c r="F7552" i="6"/>
  <c r="E7564" i="6"/>
  <c r="F7538" i="6"/>
  <c r="E7569" i="6"/>
  <c r="F7543" i="6"/>
  <c r="E7598" i="6"/>
  <c r="F7572" i="6"/>
  <c r="E7589" i="6"/>
  <c r="F7563" i="6"/>
  <c r="E7600" i="6"/>
  <c r="F7574" i="6"/>
  <c r="E7577" i="6"/>
  <c r="F7551" i="6"/>
  <c r="E7553" i="6"/>
  <c r="F7527" i="6"/>
  <c r="E7588" i="6"/>
  <c r="F7562" i="6"/>
  <c r="E7557" i="6"/>
  <c r="F7531" i="6"/>
  <c r="E7573" i="6"/>
  <c r="F7547" i="6"/>
  <c r="F7592" i="6"/>
  <c r="E7618" i="6"/>
  <c r="E7542" i="6"/>
  <c r="F7516" i="6"/>
  <c r="E7595" i="6" l="1"/>
  <c r="F7569" i="6"/>
  <c r="E7575" i="6"/>
  <c r="F7549" i="6"/>
  <c r="E7662" i="6"/>
  <c r="F7636" i="6"/>
  <c r="F7581" i="6"/>
  <c r="E7607" i="6"/>
  <c r="E7571" i="6"/>
  <c r="F7545" i="6"/>
  <c r="E7585" i="6"/>
  <c r="F7559" i="6"/>
  <c r="E7626" i="6"/>
  <c r="F7600" i="6"/>
  <c r="F7622" i="6"/>
  <c r="E7648" i="6"/>
  <c r="E7603" i="6"/>
  <c r="F7577" i="6"/>
  <c r="F7557" i="6"/>
  <c r="E7583" i="6"/>
  <c r="E7634" i="6"/>
  <c r="F7608" i="6"/>
  <c r="F7589" i="6"/>
  <c r="E7615" i="6"/>
  <c r="F7578" i="6"/>
  <c r="E7604" i="6"/>
  <c r="E7587" i="6"/>
  <c r="F7561" i="6"/>
  <c r="E7580" i="6"/>
  <c r="F7554" i="6"/>
  <c r="F7573" i="6"/>
  <c r="E7599" i="6"/>
  <c r="E7590" i="6"/>
  <c r="F7564" i="6"/>
  <c r="E7614" i="6"/>
  <c r="F7588" i="6"/>
  <c r="E7593" i="6"/>
  <c r="F7567" i="6"/>
  <c r="E7568" i="6"/>
  <c r="F7542" i="6"/>
  <c r="E7644" i="6"/>
  <c r="F7618" i="6"/>
  <c r="F7553" i="6"/>
  <c r="E7579" i="6"/>
  <c r="E7624" i="6"/>
  <c r="F7598" i="6"/>
  <c r="F7576" i="6"/>
  <c r="E7602" i="6"/>
  <c r="E7591" i="6"/>
  <c r="F7565" i="6"/>
  <c r="E7638" i="6"/>
  <c r="F7612" i="6"/>
  <c r="E7625" i="6" l="1"/>
  <c r="F7599" i="6"/>
  <c r="F7615" i="6"/>
  <c r="E7641" i="6"/>
  <c r="E7674" i="6"/>
  <c r="F7648" i="6"/>
  <c r="F7607" i="6"/>
  <c r="E7633" i="6"/>
  <c r="F7568" i="6"/>
  <c r="E7594" i="6"/>
  <c r="E7660" i="6"/>
  <c r="F7634" i="6"/>
  <c r="E7652" i="6"/>
  <c r="F7626" i="6"/>
  <c r="E7688" i="6"/>
  <c r="F7662" i="6"/>
  <c r="E7619" i="6"/>
  <c r="F7593" i="6"/>
  <c r="F7579" i="6"/>
  <c r="E7605" i="6"/>
  <c r="F7583" i="6"/>
  <c r="E7609" i="6"/>
  <c r="E7650" i="6"/>
  <c r="F7624" i="6"/>
  <c r="E7640" i="6"/>
  <c r="F7614" i="6"/>
  <c r="F7587" i="6"/>
  <c r="E7613" i="6"/>
  <c r="F7585" i="6"/>
  <c r="E7611" i="6"/>
  <c r="E7601" i="6"/>
  <c r="F7575" i="6"/>
  <c r="E7628" i="6"/>
  <c r="F7602" i="6"/>
  <c r="E7606" i="6"/>
  <c r="F7580" i="6"/>
  <c r="E7630" i="6"/>
  <c r="F7604" i="6"/>
  <c r="F7638" i="6"/>
  <c r="E7664" i="6"/>
  <c r="E7617" i="6"/>
  <c r="F7591" i="6"/>
  <c r="E7670" i="6"/>
  <c r="F7644" i="6"/>
  <c r="F7590" i="6"/>
  <c r="E7616" i="6"/>
  <c r="F7603" i="6"/>
  <c r="E7629" i="6"/>
  <c r="E7597" i="6"/>
  <c r="F7571" i="6"/>
  <c r="F7595" i="6"/>
  <c r="E7621" i="6"/>
  <c r="E7659" i="6" l="1"/>
  <c r="F7633" i="6"/>
  <c r="E7690" i="6"/>
  <c r="F7664" i="6"/>
  <c r="F7611" i="6"/>
  <c r="E7637" i="6"/>
  <c r="F7629" i="6"/>
  <c r="E7655" i="6"/>
  <c r="E7678" i="6"/>
  <c r="F7652" i="6"/>
  <c r="E7700" i="6"/>
  <c r="F7674" i="6"/>
  <c r="E7676" i="6"/>
  <c r="F7650" i="6"/>
  <c r="E7656" i="6"/>
  <c r="F7630" i="6"/>
  <c r="F7613" i="6"/>
  <c r="E7639" i="6"/>
  <c r="E7631" i="6"/>
  <c r="F7605" i="6"/>
  <c r="E7667" i="6"/>
  <c r="F7641" i="6"/>
  <c r="E7627" i="6"/>
  <c r="F7601" i="6"/>
  <c r="E7635" i="6"/>
  <c r="F7609" i="6"/>
  <c r="F7670" i="6"/>
  <c r="E7696" i="6"/>
  <c r="E7686" i="6"/>
  <c r="F7660" i="6"/>
  <c r="E7642" i="6"/>
  <c r="F7616" i="6"/>
  <c r="F7606" i="6"/>
  <c r="E7632" i="6"/>
  <c r="F7594" i="6"/>
  <c r="E7620" i="6"/>
  <c r="E7714" i="6"/>
  <c r="F7688" i="6"/>
  <c r="E7647" i="6"/>
  <c r="F7621" i="6"/>
  <c r="F7597" i="6"/>
  <c r="E7623" i="6"/>
  <c r="E7643" i="6"/>
  <c r="F7617" i="6"/>
  <c r="E7654" i="6"/>
  <c r="F7628" i="6"/>
  <c r="E7666" i="6"/>
  <c r="F7640" i="6"/>
  <c r="F7619" i="6"/>
  <c r="E7645" i="6"/>
  <c r="E7651" i="6"/>
  <c r="F7625" i="6"/>
  <c r="F7655" i="6" l="1"/>
  <c r="E7681" i="6"/>
  <c r="E7668" i="6"/>
  <c r="F7642" i="6"/>
  <c r="E7682" i="6"/>
  <c r="F7656" i="6"/>
  <c r="E7692" i="6"/>
  <c r="F7666" i="6"/>
  <c r="E7663" i="6"/>
  <c r="F7637" i="6"/>
  <c r="F7635" i="6"/>
  <c r="E7661" i="6"/>
  <c r="F7647" i="6"/>
  <c r="E7673" i="6"/>
  <c r="F7686" i="6"/>
  <c r="E7712" i="6"/>
  <c r="F7667" i="6"/>
  <c r="E7693" i="6"/>
  <c r="E7702" i="6"/>
  <c r="F7676" i="6"/>
  <c r="F7654" i="6"/>
  <c r="E7680" i="6"/>
  <c r="E7646" i="6"/>
  <c r="F7620" i="6"/>
  <c r="E7722" i="6"/>
  <c r="F7696" i="6"/>
  <c r="F7631" i="6"/>
  <c r="E7657" i="6"/>
  <c r="E7726" i="6"/>
  <c r="F7700" i="6"/>
  <c r="E7716" i="6"/>
  <c r="F7690" i="6"/>
  <c r="F7627" i="6"/>
  <c r="E7653" i="6"/>
  <c r="E7740" i="6"/>
  <c r="F7714" i="6"/>
  <c r="F7651" i="6"/>
  <c r="E7677" i="6"/>
  <c r="F7643" i="6"/>
  <c r="E7669" i="6"/>
  <c r="F7645" i="6"/>
  <c r="E7671" i="6"/>
  <c r="F7623" i="6"/>
  <c r="E7649" i="6"/>
  <c r="E7658" i="6"/>
  <c r="F7632" i="6"/>
  <c r="F7639" i="6"/>
  <c r="E7665" i="6"/>
  <c r="E7704" i="6"/>
  <c r="F7678" i="6"/>
  <c r="F7659" i="6"/>
  <c r="E7685" i="6"/>
  <c r="E7738" i="6" l="1"/>
  <c r="F7712" i="6"/>
  <c r="E7718" i="6"/>
  <c r="F7692" i="6"/>
  <c r="E7706" i="6"/>
  <c r="F7680" i="6"/>
  <c r="E7672" i="6"/>
  <c r="F7646" i="6"/>
  <c r="E7708" i="6"/>
  <c r="F7682" i="6"/>
  <c r="E7691" i="6"/>
  <c r="F7665" i="6"/>
  <c r="F7677" i="6"/>
  <c r="E7703" i="6"/>
  <c r="E7699" i="6"/>
  <c r="F7673" i="6"/>
  <c r="E7683" i="6"/>
  <c r="F7657" i="6"/>
  <c r="F7661" i="6"/>
  <c r="E7687" i="6"/>
  <c r="E7684" i="6"/>
  <c r="F7658" i="6"/>
  <c r="E7711" i="6"/>
  <c r="F7685" i="6"/>
  <c r="F7702" i="6"/>
  <c r="E7728" i="6"/>
  <c r="E7694" i="6"/>
  <c r="F7668" i="6"/>
  <c r="E7695" i="6"/>
  <c r="F7669" i="6"/>
  <c r="E7675" i="6"/>
  <c r="F7649" i="6"/>
  <c r="E7766" i="6"/>
  <c r="F7740" i="6"/>
  <c r="F7671" i="6"/>
  <c r="E7697" i="6"/>
  <c r="E7679" i="6"/>
  <c r="F7653" i="6"/>
  <c r="F7693" i="6"/>
  <c r="E7719" i="6"/>
  <c r="E7707" i="6"/>
  <c r="F7681" i="6"/>
  <c r="E7742" i="6"/>
  <c r="F7716" i="6"/>
  <c r="E7752" i="6"/>
  <c r="F7726" i="6"/>
  <c r="E7730" i="6"/>
  <c r="F7704" i="6"/>
  <c r="E7748" i="6"/>
  <c r="F7722" i="6"/>
  <c r="F7663" i="6"/>
  <c r="E7689" i="6"/>
  <c r="F7675" i="6" l="1"/>
  <c r="E7701" i="6"/>
  <c r="E7698" i="6"/>
  <c r="F7672" i="6"/>
  <c r="F7703" i="6"/>
  <c r="E7729" i="6"/>
  <c r="F7711" i="6"/>
  <c r="E7737" i="6"/>
  <c r="F7695" i="6"/>
  <c r="E7721" i="6"/>
  <c r="E7732" i="6"/>
  <c r="F7706" i="6"/>
  <c r="E7756" i="6"/>
  <c r="F7730" i="6"/>
  <c r="F7687" i="6"/>
  <c r="E7713" i="6"/>
  <c r="F7719" i="6"/>
  <c r="E7745" i="6"/>
  <c r="F7679" i="6"/>
  <c r="E7705" i="6"/>
  <c r="E7768" i="6"/>
  <c r="F7742" i="6"/>
  <c r="F7691" i="6"/>
  <c r="E7717" i="6"/>
  <c r="F7718" i="6"/>
  <c r="E7744" i="6"/>
  <c r="E7710" i="6"/>
  <c r="F7684" i="6"/>
  <c r="E7720" i="6"/>
  <c r="F7694" i="6"/>
  <c r="E7754" i="6"/>
  <c r="F7728" i="6"/>
  <c r="F7699" i="6"/>
  <c r="E7725" i="6"/>
  <c r="E7778" i="6"/>
  <c r="F7752" i="6"/>
  <c r="E7715" i="6"/>
  <c r="F7689" i="6"/>
  <c r="E7723" i="6"/>
  <c r="F7697" i="6"/>
  <c r="E7774" i="6"/>
  <c r="F7748" i="6"/>
  <c r="F7707" i="6"/>
  <c r="E7733" i="6"/>
  <c r="F7766" i="6"/>
  <c r="E7792" i="6"/>
  <c r="F7683" i="6"/>
  <c r="E7709" i="6"/>
  <c r="E7734" i="6"/>
  <c r="F7708" i="6"/>
  <c r="E7764" i="6"/>
  <c r="F7738" i="6"/>
  <c r="E7743" i="6" l="1"/>
  <c r="F7717" i="6"/>
  <c r="E7739" i="6"/>
  <c r="F7713" i="6"/>
  <c r="E7763" i="6"/>
  <c r="F7737" i="6"/>
  <c r="E7755" i="6"/>
  <c r="F7729" i="6"/>
  <c r="E7746" i="6"/>
  <c r="F7720" i="6"/>
  <c r="E7782" i="6"/>
  <c r="F7756" i="6"/>
  <c r="E7780" i="6"/>
  <c r="F7754" i="6"/>
  <c r="E7731" i="6"/>
  <c r="F7705" i="6"/>
  <c r="F7723" i="6"/>
  <c r="E7749" i="6"/>
  <c r="F7715" i="6"/>
  <c r="E7741" i="6"/>
  <c r="E7804" i="6"/>
  <c r="F7778" i="6"/>
  <c r="E7758" i="6"/>
  <c r="F7732" i="6"/>
  <c r="E7724" i="6"/>
  <c r="F7698" i="6"/>
  <c r="F7709" i="6"/>
  <c r="E7735" i="6"/>
  <c r="E7794" i="6"/>
  <c r="F7768" i="6"/>
  <c r="E7759" i="6"/>
  <c r="F7733" i="6"/>
  <c r="E7790" i="6"/>
  <c r="F7764" i="6"/>
  <c r="F7725" i="6"/>
  <c r="E7751" i="6"/>
  <c r="E7770" i="6"/>
  <c r="F7744" i="6"/>
  <c r="E7771" i="6"/>
  <c r="F7745" i="6"/>
  <c r="E7747" i="6"/>
  <c r="F7721" i="6"/>
  <c r="E7727" i="6"/>
  <c r="F7701" i="6"/>
  <c r="E7818" i="6"/>
  <c r="F7792" i="6"/>
  <c r="E7736" i="6"/>
  <c r="F7710" i="6"/>
  <c r="F7734" i="6"/>
  <c r="E7760" i="6"/>
  <c r="E7800" i="6"/>
  <c r="F7774" i="6"/>
  <c r="F7759" i="6" l="1"/>
  <c r="E7785" i="6"/>
  <c r="E7784" i="6"/>
  <c r="F7758" i="6"/>
  <c r="F7755" i="6"/>
  <c r="E7781" i="6"/>
  <c r="E7762" i="6"/>
  <c r="F7736" i="6"/>
  <c r="F7731" i="6"/>
  <c r="E7757" i="6"/>
  <c r="E7830" i="6"/>
  <c r="F7804" i="6"/>
  <c r="E7806" i="6"/>
  <c r="F7780" i="6"/>
  <c r="F7763" i="6"/>
  <c r="E7789" i="6"/>
  <c r="E7844" i="6"/>
  <c r="F7818" i="6"/>
  <c r="F7751" i="6"/>
  <c r="E7777" i="6"/>
  <c r="F7741" i="6"/>
  <c r="E7767" i="6"/>
  <c r="F7771" i="6"/>
  <c r="E7797" i="6"/>
  <c r="E7820" i="6"/>
  <c r="F7794" i="6"/>
  <c r="F7782" i="6"/>
  <c r="E7808" i="6"/>
  <c r="F7739" i="6"/>
  <c r="E7765" i="6"/>
  <c r="E7796" i="6"/>
  <c r="F7770" i="6"/>
  <c r="F7735" i="6"/>
  <c r="E7761" i="6"/>
  <c r="F7727" i="6"/>
  <c r="E7753" i="6"/>
  <c r="E7775" i="6"/>
  <c r="F7749" i="6"/>
  <c r="E7826" i="6"/>
  <c r="F7800" i="6"/>
  <c r="E7786" i="6"/>
  <c r="F7760" i="6"/>
  <c r="F7747" i="6"/>
  <c r="E7773" i="6"/>
  <c r="E7816" i="6"/>
  <c r="F7790" i="6"/>
  <c r="E7750" i="6"/>
  <c r="F7724" i="6"/>
  <c r="E7772" i="6"/>
  <c r="F7746" i="6"/>
  <c r="F7743" i="6"/>
  <c r="E7769" i="6"/>
  <c r="E7823" i="6" l="1"/>
  <c r="F7797" i="6"/>
  <c r="F7789" i="6"/>
  <c r="E7815" i="6"/>
  <c r="E7788" i="6"/>
  <c r="F7762" i="6"/>
  <c r="F7767" i="6"/>
  <c r="E7793" i="6"/>
  <c r="F7781" i="6"/>
  <c r="E7807" i="6"/>
  <c r="F7750" i="6"/>
  <c r="E7776" i="6"/>
  <c r="E7822" i="6"/>
  <c r="F7796" i="6"/>
  <c r="F7775" i="6"/>
  <c r="E7801" i="6"/>
  <c r="E7795" i="6"/>
  <c r="F7769" i="6"/>
  <c r="E7779" i="6"/>
  <c r="F7753" i="6"/>
  <c r="E7834" i="6"/>
  <c r="F7808" i="6"/>
  <c r="E7803" i="6"/>
  <c r="F7777" i="6"/>
  <c r="E7852" i="6"/>
  <c r="F7826" i="6"/>
  <c r="E7791" i="6"/>
  <c r="F7765" i="6"/>
  <c r="E7832" i="6"/>
  <c r="F7806" i="6"/>
  <c r="F7830" i="6"/>
  <c r="E7856" i="6"/>
  <c r="E7810" i="6"/>
  <c r="F7784" i="6"/>
  <c r="E7787" i="6"/>
  <c r="F7761" i="6"/>
  <c r="F7757" i="6"/>
  <c r="E7783" i="6"/>
  <c r="E7811" i="6"/>
  <c r="F7785" i="6"/>
  <c r="E7842" i="6"/>
  <c r="F7816" i="6"/>
  <c r="F7773" i="6"/>
  <c r="E7799" i="6"/>
  <c r="E7798" i="6"/>
  <c r="F7772" i="6"/>
  <c r="E7812" i="6"/>
  <c r="F7786" i="6"/>
  <c r="E7846" i="6"/>
  <c r="F7820" i="6"/>
  <c r="E7870" i="6"/>
  <c r="F7844" i="6"/>
  <c r="E7882" i="6" l="1"/>
  <c r="F7856" i="6"/>
  <c r="E7827" i="6"/>
  <c r="F7801" i="6"/>
  <c r="F7793" i="6"/>
  <c r="E7819" i="6"/>
  <c r="F7803" i="6"/>
  <c r="E7829" i="6"/>
  <c r="E7838" i="6"/>
  <c r="F7812" i="6"/>
  <c r="F7783" i="6"/>
  <c r="E7809" i="6"/>
  <c r="F7798" i="6"/>
  <c r="E7824" i="6"/>
  <c r="E7860" i="6"/>
  <c r="F7834" i="6"/>
  <c r="E7848" i="6"/>
  <c r="F7822" i="6"/>
  <c r="E7814" i="6"/>
  <c r="F7788" i="6"/>
  <c r="E7802" i="6"/>
  <c r="F7776" i="6"/>
  <c r="F7815" i="6"/>
  <c r="E7841" i="6"/>
  <c r="F7799" i="6"/>
  <c r="E7825" i="6"/>
  <c r="F7787" i="6"/>
  <c r="E7813" i="6"/>
  <c r="F7779" i="6"/>
  <c r="E7805" i="6"/>
  <c r="F7811" i="6"/>
  <c r="E7837" i="6"/>
  <c r="F7807" i="6"/>
  <c r="E7833" i="6"/>
  <c r="E7858" i="6"/>
  <c r="F7832" i="6"/>
  <c r="E7896" i="6"/>
  <c r="F7870" i="6"/>
  <c r="F7791" i="6"/>
  <c r="E7817" i="6"/>
  <c r="F7846" i="6"/>
  <c r="E7872" i="6"/>
  <c r="E7868" i="6"/>
  <c r="F7842" i="6"/>
  <c r="E7836" i="6"/>
  <c r="F7810" i="6"/>
  <c r="E7878" i="6"/>
  <c r="F7852" i="6"/>
  <c r="F7795" i="6"/>
  <c r="E7821" i="6"/>
  <c r="F7823" i="6"/>
  <c r="E7849" i="6"/>
  <c r="F7837" i="6" l="1"/>
  <c r="E7863" i="6"/>
  <c r="E7867" i="6"/>
  <c r="F7841" i="6"/>
  <c r="E7855" i="6"/>
  <c r="F7829" i="6"/>
  <c r="F7878" i="6"/>
  <c r="E7904" i="6"/>
  <c r="E7843" i="6"/>
  <c r="F7817" i="6"/>
  <c r="E7850" i="6"/>
  <c r="F7824" i="6"/>
  <c r="F7819" i="6"/>
  <c r="E7845" i="6"/>
  <c r="F7805" i="6"/>
  <c r="E7831" i="6"/>
  <c r="E7862" i="6"/>
  <c r="F7836" i="6"/>
  <c r="E7875" i="6"/>
  <c r="F7849" i="6"/>
  <c r="E7839" i="6"/>
  <c r="F7813" i="6"/>
  <c r="E7835" i="6"/>
  <c r="F7809" i="6"/>
  <c r="E7828" i="6"/>
  <c r="F7802" i="6"/>
  <c r="F7827" i="6"/>
  <c r="E7853" i="6"/>
  <c r="E7922" i="6"/>
  <c r="F7896" i="6"/>
  <c r="E7884" i="6"/>
  <c r="F7858" i="6"/>
  <c r="F7821" i="6"/>
  <c r="E7847" i="6"/>
  <c r="E7859" i="6"/>
  <c r="F7833" i="6"/>
  <c r="E7851" i="6"/>
  <c r="F7825" i="6"/>
  <c r="E7886" i="6"/>
  <c r="F7860" i="6"/>
  <c r="E7894" i="6"/>
  <c r="F7868" i="6"/>
  <c r="F7814" i="6"/>
  <c r="E7840" i="6"/>
  <c r="E7898" i="6"/>
  <c r="F7872" i="6"/>
  <c r="E7874" i="6"/>
  <c r="F7848" i="6"/>
  <c r="E7864" i="6"/>
  <c r="F7838" i="6"/>
  <c r="E7908" i="6"/>
  <c r="F7882" i="6"/>
  <c r="F7831" i="6" l="1"/>
  <c r="E7857" i="6"/>
  <c r="E7930" i="6"/>
  <c r="F7904" i="6"/>
  <c r="E7910" i="6"/>
  <c r="F7884" i="6"/>
  <c r="E7871" i="6"/>
  <c r="F7845" i="6"/>
  <c r="E7900" i="6"/>
  <c r="F7874" i="6"/>
  <c r="F7839" i="6"/>
  <c r="E7865" i="6"/>
  <c r="F7855" i="6"/>
  <c r="E7881" i="6"/>
  <c r="F7835" i="6"/>
  <c r="E7861" i="6"/>
  <c r="E7948" i="6"/>
  <c r="F7922" i="6"/>
  <c r="F7853" i="6"/>
  <c r="E7879" i="6"/>
  <c r="E7934" i="6"/>
  <c r="F7908" i="6"/>
  <c r="F7859" i="6"/>
  <c r="E7885" i="6"/>
  <c r="F7875" i="6"/>
  <c r="E7901" i="6"/>
  <c r="F7867" i="6"/>
  <c r="E7893" i="6"/>
  <c r="F7886" i="6"/>
  <c r="E7912" i="6"/>
  <c r="E7924" i="6"/>
  <c r="F7898" i="6"/>
  <c r="E7866" i="6"/>
  <c r="F7840" i="6"/>
  <c r="F7847" i="6"/>
  <c r="E7873" i="6"/>
  <c r="F7863" i="6"/>
  <c r="E7889" i="6"/>
  <c r="F7851" i="6"/>
  <c r="E7877" i="6"/>
  <c r="E7876" i="6"/>
  <c r="F7850" i="6"/>
  <c r="E7890" i="6"/>
  <c r="F7864" i="6"/>
  <c r="F7894" i="6"/>
  <c r="E7920" i="6"/>
  <c r="E7854" i="6"/>
  <c r="F7828" i="6"/>
  <c r="F7862" i="6"/>
  <c r="E7888" i="6"/>
  <c r="F7843" i="6"/>
  <c r="E7869" i="6"/>
  <c r="F7885" i="6" l="1"/>
  <c r="E7911" i="6"/>
  <c r="E7887" i="6"/>
  <c r="F7861" i="6"/>
  <c r="E7880" i="6"/>
  <c r="F7854" i="6"/>
  <c r="F7871" i="6"/>
  <c r="E7897" i="6"/>
  <c r="F7910" i="6"/>
  <c r="E7936" i="6"/>
  <c r="E7915" i="6"/>
  <c r="F7889" i="6"/>
  <c r="E7919" i="6"/>
  <c r="F7893" i="6"/>
  <c r="F7879" i="6"/>
  <c r="E7905" i="6"/>
  <c r="E7891" i="6"/>
  <c r="F7865" i="6"/>
  <c r="E7950" i="6"/>
  <c r="F7924" i="6"/>
  <c r="E7946" i="6"/>
  <c r="F7920" i="6"/>
  <c r="E7899" i="6"/>
  <c r="F7873" i="6"/>
  <c r="E7956" i="6"/>
  <c r="F7930" i="6"/>
  <c r="F7881" i="6"/>
  <c r="E7907" i="6"/>
  <c r="F7869" i="6"/>
  <c r="E7895" i="6"/>
  <c r="E7916" i="6"/>
  <c r="F7890" i="6"/>
  <c r="F7901" i="6"/>
  <c r="E7927" i="6"/>
  <c r="E7883" i="6"/>
  <c r="F7857" i="6"/>
  <c r="E7903" i="6"/>
  <c r="F7877" i="6"/>
  <c r="E7938" i="6"/>
  <c r="F7912" i="6"/>
  <c r="F7934" i="6"/>
  <c r="E7960" i="6"/>
  <c r="E7914" i="6"/>
  <c r="F7888" i="6"/>
  <c r="E7902" i="6"/>
  <c r="F7876" i="6"/>
  <c r="E7892" i="6"/>
  <c r="F7866" i="6"/>
  <c r="E7974" i="6"/>
  <c r="F7948" i="6"/>
  <c r="E7926" i="6"/>
  <c r="F7900" i="6"/>
  <c r="E7931" i="6" l="1"/>
  <c r="F7905" i="6"/>
  <c r="E7923" i="6"/>
  <c r="F7897" i="6"/>
  <c r="F7899" i="6"/>
  <c r="E7925" i="6"/>
  <c r="E7972" i="6"/>
  <c r="F7946" i="6"/>
  <c r="F7919" i="6"/>
  <c r="E7945" i="6"/>
  <c r="E7906" i="6"/>
  <c r="F7880" i="6"/>
  <c r="E7942" i="6"/>
  <c r="F7916" i="6"/>
  <c r="E7928" i="6"/>
  <c r="F7902" i="6"/>
  <c r="E7933" i="6"/>
  <c r="F7907" i="6"/>
  <c r="E7918" i="6"/>
  <c r="F7892" i="6"/>
  <c r="F7903" i="6"/>
  <c r="E7929" i="6"/>
  <c r="F7883" i="6"/>
  <c r="E7909" i="6"/>
  <c r="E7976" i="6"/>
  <c r="F7950" i="6"/>
  <c r="F7915" i="6"/>
  <c r="E7941" i="6"/>
  <c r="F7887" i="6"/>
  <c r="E7913" i="6"/>
  <c r="F7895" i="6"/>
  <c r="E7921" i="6"/>
  <c r="F7926" i="6"/>
  <c r="E7952" i="6"/>
  <c r="E7986" i="6"/>
  <c r="F7960" i="6"/>
  <c r="F7927" i="6"/>
  <c r="E7953" i="6"/>
  <c r="E7962" i="6"/>
  <c r="F7936" i="6"/>
  <c r="F7911" i="6"/>
  <c r="E7937" i="6"/>
  <c r="E7964" i="6"/>
  <c r="F7938" i="6"/>
  <c r="E7940" i="6"/>
  <c r="F7914" i="6"/>
  <c r="F7974" i="6"/>
  <c r="E8000" i="6"/>
  <c r="E7982" i="6"/>
  <c r="F7956" i="6"/>
  <c r="F7891" i="6"/>
  <c r="E7917" i="6"/>
  <c r="E7947" i="6" l="1"/>
  <c r="F7921" i="6"/>
  <c r="E7935" i="6"/>
  <c r="F7909" i="6"/>
  <c r="E7998" i="6"/>
  <c r="F7972" i="6"/>
  <c r="E8026" i="6"/>
  <c r="F8000" i="6"/>
  <c r="F7953" i="6"/>
  <c r="E7979" i="6"/>
  <c r="E7951" i="6"/>
  <c r="F7925" i="6"/>
  <c r="E7966" i="6"/>
  <c r="F7940" i="6"/>
  <c r="F7942" i="6"/>
  <c r="E7968" i="6"/>
  <c r="E7955" i="6"/>
  <c r="F7929" i="6"/>
  <c r="E7988" i="6"/>
  <c r="F7962" i="6"/>
  <c r="E7939" i="6"/>
  <c r="F7913" i="6"/>
  <c r="E7944" i="6"/>
  <c r="F7918" i="6"/>
  <c r="E7932" i="6"/>
  <c r="F7906" i="6"/>
  <c r="F7923" i="6"/>
  <c r="E7949" i="6"/>
  <c r="E7954" i="6"/>
  <c r="F7928" i="6"/>
  <c r="E8012" i="6"/>
  <c r="F7986" i="6"/>
  <c r="E7963" i="6"/>
  <c r="F7937" i="6"/>
  <c r="E7978" i="6"/>
  <c r="F7952" i="6"/>
  <c r="F7945" i="6"/>
  <c r="E7971" i="6"/>
  <c r="F7917" i="6"/>
  <c r="E7943" i="6"/>
  <c r="E7967" i="6"/>
  <c r="F7941" i="6"/>
  <c r="E7990" i="6"/>
  <c r="F7964" i="6"/>
  <c r="E8008" i="6"/>
  <c r="F7982" i="6"/>
  <c r="E8002" i="6"/>
  <c r="F7976" i="6"/>
  <c r="F7933" i="6"/>
  <c r="E7959" i="6"/>
  <c r="F7931" i="6"/>
  <c r="E7957" i="6"/>
  <c r="E7994" i="6" l="1"/>
  <c r="F7968" i="6"/>
  <c r="F8026" i="6"/>
  <c r="E8052" i="6"/>
  <c r="E7970" i="6"/>
  <c r="F7944" i="6"/>
  <c r="F7943" i="6"/>
  <c r="E7969" i="6"/>
  <c r="E7992" i="6"/>
  <c r="F7966" i="6"/>
  <c r="E8024" i="6"/>
  <c r="F7998" i="6"/>
  <c r="F7971" i="6"/>
  <c r="E7997" i="6"/>
  <c r="E8034" i="6"/>
  <c r="F8008" i="6"/>
  <c r="E8038" i="6"/>
  <c r="F8012" i="6"/>
  <c r="F7939" i="6"/>
  <c r="E7965" i="6"/>
  <c r="E7983" i="6"/>
  <c r="F7957" i="6"/>
  <c r="F7988" i="6"/>
  <c r="E8014" i="6"/>
  <c r="F7951" i="6"/>
  <c r="E7977" i="6"/>
  <c r="F7935" i="6"/>
  <c r="E7961" i="6"/>
  <c r="E8004" i="6"/>
  <c r="F7978" i="6"/>
  <c r="F7959" i="6"/>
  <c r="E7985" i="6"/>
  <c r="F7979" i="6"/>
  <c r="E8005" i="6"/>
  <c r="E8028" i="6"/>
  <c r="F8002" i="6"/>
  <c r="E7980" i="6"/>
  <c r="F7954" i="6"/>
  <c r="F7949" i="6"/>
  <c r="E7975" i="6"/>
  <c r="F7990" i="6"/>
  <c r="E8016" i="6"/>
  <c r="F7967" i="6"/>
  <c r="E7993" i="6"/>
  <c r="F7963" i="6"/>
  <c r="E7989" i="6"/>
  <c r="E7958" i="6"/>
  <c r="F7932" i="6"/>
  <c r="F7955" i="6"/>
  <c r="E7981" i="6"/>
  <c r="F7947" i="6"/>
  <c r="E7973" i="6"/>
  <c r="E8011" i="6" l="1"/>
  <c r="F7985" i="6"/>
  <c r="E8040" i="6"/>
  <c r="F8014" i="6"/>
  <c r="E7995" i="6"/>
  <c r="F7969" i="6"/>
  <c r="F7958" i="6"/>
  <c r="E7984" i="6"/>
  <c r="F7989" i="6"/>
  <c r="E8015" i="6"/>
  <c r="F7997" i="6"/>
  <c r="E8023" i="6"/>
  <c r="E7996" i="6"/>
  <c r="F7970" i="6"/>
  <c r="E7999" i="6"/>
  <c r="F7973" i="6"/>
  <c r="F7961" i="6"/>
  <c r="E7987" i="6"/>
  <c r="F7965" i="6"/>
  <c r="E7991" i="6"/>
  <c r="E8078" i="6"/>
  <c r="F8052" i="6"/>
  <c r="F7975" i="6"/>
  <c r="E8001" i="6"/>
  <c r="E8030" i="6"/>
  <c r="F8004" i="6"/>
  <c r="E8050" i="6"/>
  <c r="F8024" i="6"/>
  <c r="E8060" i="6"/>
  <c r="F8034" i="6"/>
  <c r="E8006" i="6"/>
  <c r="F7980" i="6"/>
  <c r="E8019" i="6"/>
  <c r="F7993" i="6"/>
  <c r="E8054" i="6"/>
  <c r="F8028" i="6"/>
  <c r="F8016" i="6"/>
  <c r="E8042" i="6"/>
  <c r="E8031" i="6"/>
  <c r="F8005" i="6"/>
  <c r="E8003" i="6"/>
  <c r="F7977" i="6"/>
  <c r="F7983" i="6"/>
  <c r="E8009" i="6"/>
  <c r="F7981" i="6"/>
  <c r="E8007" i="6"/>
  <c r="F8038" i="6"/>
  <c r="E8064" i="6"/>
  <c r="E8018" i="6"/>
  <c r="F7992" i="6"/>
  <c r="E8020" i="6"/>
  <c r="F7994" i="6"/>
  <c r="F8001" i="6" l="1"/>
  <c r="E8027" i="6"/>
  <c r="E8010" i="6"/>
  <c r="F7984" i="6"/>
  <c r="F7999" i="6"/>
  <c r="E8025" i="6"/>
  <c r="E8057" i="6"/>
  <c r="F8031" i="6"/>
  <c r="E8104" i="6"/>
  <c r="F8078" i="6"/>
  <c r="E8022" i="6"/>
  <c r="F7996" i="6"/>
  <c r="F7995" i="6"/>
  <c r="E8021" i="6"/>
  <c r="E8068" i="6"/>
  <c r="F8042" i="6"/>
  <c r="F7991" i="6"/>
  <c r="E8017" i="6"/>
  <c r="E8049" i="6"/>
  <c r="F8023" i="6"/>
  <c r="E8032" i="6"/>
  <c r="F8006" i="6"/>
  <c r="E8033" i="6"/>
  <c r="F8007" i="6"/>
  <c r="E8086" i="6"/>
  <c r="F8060" i="6"/>
  <c r="E8046" i="6"/>
  <c r="F8020" i="6"/>
  <c r="E8076" i="6"/>
  <c r="F8050" i="6"/>
  <c r="F8040" i="6"/>
  <c r="E8066" i="6"/>
  <c r="F7987" i="6"/>
  <c r="E8013" i="6"/>
  <c r="F8015" i="6"/>
  <c r="E8041" i="6"/>
  <c r="E8090" i="6"/>
  <c r="F8064" i="6"/>
  <c r="E8035" i="6"/>
  <c r="F8009" i="6"/>
  <c r="F8054" i="6"/>
  <c r="E8080" i="6"/>
  <c r="F8018" i="6"/>
  <c r="E8044" i="6"/>
  <c r="F8003" i="6"/>
  <c r="E8029" i="6"/>
  <c r="F8019" i="6"/>
  <c r="E8045" i="6"/>
  <c r="F8030" i="6"/>
  <c r="E8056" i="6"/>
  <c r="F8011" i="6"/>
  <c r="E8037" i="6"/>
  <c r="E8071" i="6" l="1"/>
  <c r="F8045" i="6"/>
  <c r="F8066" i="6"/>
  <c r="E8092" i="6"/>
  <c r="E8059" i="6"/>
  <c r="F8033" i="6"/>
  <c r="E8094" i="6"/>
  <c r="F8068" i="6"/>
  <c r="E8083" i="6"/>
  <c r="F8057" i="6"/>
  <c r="E8047" i="6"/>
  <c r="F8021" i="6"/>
  <c r="F8025" i="6"/>
  <c r="E8051" i="6"/>
  <c r="F8029" i="6"/>
  <c r="E8055" i="6"/>
  <c r="E8058" i="6"/>
  <c r="F8032" i="6"/>
  <c r="E8067" i="6"/>
  <c r="F8041" i="6"/>
  <c r="E8063" i="6"/>
  <c r="F8037" i="6"/>
  <c r="E8072" i="6"/>
  <c r="F8046" i="6"/>
  <c r="E8075" i="6"/>
  <c r="F8049" i="6"/>
  <c r="F8022" i="6"/>
  <c r="E8048" i="6"/>
  <c r="E8036" i="6"/>
  <c r="F8010" i="6"/>
  <c r="F8035" i="6"/>
  <c r="E8061" i="6"/>
  <c r="E8102" i="6"/>
  <c r="F8076" i="6"/>
  <c r="E8082" i="6"/>
  <c r="F8056" i="6"/>
  <c r="F8013" i="6"/>
  <c r="E8039" i="6"/>
  <c r="E8043" i="6"/>
  <c r="F8017" i="6"/>
  <c r="F8027" i="6"/>
  <c r="E8053" i="6"/>
  <c r="F8090" i="6"/>
  <c r="E8116" i="6"/>
  <c r="E8070" i="6"/>
  <c r="F8044" i="6"/>
  <c r="E8106" i="6"/>
  <c r="F8080" i="6"/>
  <c r="F8086" i="6"/>
  <c r="E8112" i="6"/>
  <c r="E8130" i="6"/>
  <c r="F8104" i="6"/>
  <c r="F8043" i="6" l="1"/>
  <c r="E8069" i="6"/>
  <c r="E8098" i="6"/>
  <c r="F8072" i="6"/>
  <c r="E8120" i="6"/>
  <c r="F8094" i="6"/>
  <c r="F8055" i="6"/>
  <c r="E8081" i="6"/>
  <c r="F8063" i="6"/>
  <c r="E8089" i="6"/>
  <c r="F8059" i="6"/>
  <c r="E8085" i="6"/>
  <c r="E8074" i="6"/>
  <c r="F8048" i="6"/>
  <c r="E8118" i="6"/>
  <c r="F8092" i="6"/>
  <c r="F8061" i="6"/>
  <c r="E8087" i="6"/>
  <c r="E8142" i="6"/>
  <c r="F8116" i="6"/>
  <c r="E8156" i="6"/>
  <c r="F8130" i="6"/>
  <c r="F8067" i="6"/>
  <c r="E8093" i="6"/>
  <c r="F8047" i="6"/>
  <c r="E8073" i="6"/>
  <c r="F8039" i="6"/>
  <c r="E8065" i="6"/>
  <c r="E8096" i="6"/>
  <c r="F8070" i="6"/>
  <c r="F8053" i="6"/>
  <c r="E8079" i="6"/>
  <c r="E8132" i="6"/>
  <c r="F8106" i="6"/>
  <c r="F8051" i="6"/>
  <c r="E8077" i="6"/>
  <c r="E8062" i="6"/>
  <c r="F8036" i="6"/>
  <c r="F8082" i="6"/>
  <c r="E8108" i="6"/>
  <c r="E8138" i="6"/>
  <c r="F8112" i="6"/>
  <c r="E8128" i="6"/>
  <c r="F8102" i="6"/>
  <c r="F8075" i="6"/>
  <c r="E8101" i="6"/>
  <c r="F8058" i="6"/>
  <c r="E8084" i="6"/>
  <c r="F8083" i="6"/>
  <c r="E8109" i="6"/>
  <c r="F8071" i="6"/>
  <c r="E8097" i="6"/>
  <c r="E8134" i="6" l="1"/>
  <c r="F8108" i="6"/>
  <c r="E8144" i="6"/>
  <c r="F8118" i="6"/>
  <c r="E8107" i="6"/>
  <c r="F8081" i="6"/>
  <c r="E8127" i="6"/>
  <c r="F8101" i="6"/>
  <c r="E8088" i="6"/>
  <c r="F8062" i="6"/>
  <c r="E8122" i="6"/>
  <c r="F8096" i="6"/>
  <c r="E8182" i="6"/>
  <c r="F8156" i="6"/>
  <c r="F8074" i="6"/>
  <c r="E8100" i="6"/>
  <c r="E8146" i="6"/>
  <c r="F8120" i="6"/>
  <c r="E8111" i="6"/>
  <c r="F8085" i="6"/>
  <c r="E8110" i="6"/>
  <c r="F8084" i="6"/>
  <c r="E8168" i="6"/>
  <c r="F8142" i="6"/>
  <c r="E8124" i="6"/>
  <c r="F8098" i="6"/>
  <c r="E8119" i="6"/>
  <c r="F8093" i="6"/>
  <c r="E8103" i="6"/>
  <c r="F8077" i="6"/>
  <c r="E8091" i="6"/>
  <c r="F8065" i="6"/>
  <c r="E8135" i="6"/>
  <c r="F8109" i="6"/>
  <c r="E8099" i="6"/>
  <c r="F8073" i="6"/>
  <c r="F8087" i="6"/>
  <c r="E8113" i="6"/>
  <c r="E8115" i="6"/>
  <c r="F8089" i="6"/>
  <c r="E8095" i="6"/>
  <c r="F8069" i="6"/>
  <c r="F8079" i="6"/>
  <c r="E8105" i="6"/>
  <c r="E8123" i="6"/>
  <c r="F8097" i="6"/>
  <c r="E8154" i="6"/>
  <c r="F8128" i="6"/>
  <c r="E8164" i="6"/>
  <c r="F8138" i="6"/>
  <c r="E8158" i="6"/>
  <c r="F8132" i="6"/>
  <c r="E8180" i="6" l="1"/>
  <c r="F8154" i="6"/>
  <c r="F8127" i="6"/>
  <c r="E8153" i="6"/>
  <c r="E8126" i="6"/>
  <c r="F8100" i="6"/>
  <c r="F8103" i="6"/>
  <c r="E8129" i="6"/>
  <c r="F8110" i="6"/>
  <c r="E8136" i="6"/>
  <c r="F8182" i="6"/>
  <c r="E8208" i="6"/>
  <c r="F8107" i="6"/>
  <c r="E8133" i="6"/>
  <c r="F8115" i="6"/>
  <c r="E8141" i="6"/>
  <c r="E8184" i="6"/>
  <c r="F8158" i="6"/>
  <c r="F8099" i="6"/>
  <c r="E8125" i="6"/>
  <c r="F8119" i="6"/>
  <c r="E8145" i="6"/>
  <c r="F8111" i="6"/>
  <c r="E8137" i="6"/>
  <c r="E8148" i="6"/>
  <c r="F8122" i="6"/>
  <c r="E8170" i="6"/>
  <c r="F8144" i="6"/>
  <c r="E8194" i="6"/>
  <c r="F8168" i="6"/>
  <c r="E8131" i="6"/>
  <c r="F8105" i="6"/>
  <c r="F8091" i="6"/>
  <c r="E8117" i="6"/>
  <c r="E8139" i="6"/>
  <c r="F8113" i="6"/>
  <c r="F8123" i="6"/>
  <c r="E8149" i="6"/>
  <c r="E8190" i="6"/>
  <c r="F8164" i="6"/>
  <c r="F8095" i="6"/>
  <c r="E8121" i="6"/>
  <c r="F8135" i="6"/>
  <c r="E8161" i="6"/>
  <c r="E8150" i="6"/>
  <c r="F8124" i="6"/>
  <c r="E8172" i="6"/>
  <c r="F8146" i="6"/>
  <c r="E8114" i="6"/>
  <c r="F8088" i="6"/>
  <c r="E8160" i="6"/>
  <c r="F8134" i="6"/>
  <c r="E8163" i="6" l="1"/>
  <c r="F8137" i="6"/>
  <c r="E8167" i="6"/>
  <c r="F8141" i="6"/>
  <c r="E8155" i="6"/>
  <c r="F8129" i="6"/>
  <c r="F8131" i="6"/>
  <c r="E8157" i="6"/>
  <c r="E8171" i="6"/>
  <c r="F8145" i="6"/>
  <c r="E8159" i="6"/>
  <c r="F8133" i="6"/>
  <c r="F8190" i="6"/>
  <c r="E8216" i="6"/>
  <c r="F8194" i="6"/>
  <c r="E8220" i="6"/>
  <c r="E8152" i="6"/>
  <c r="F8126" i="6"/>
  <c r="E8175" i="6"/>
  <c r="F8149" i="6"/>
  <c r="E8151" i="6"/>
  <c r="F8125" i="6"/>
  <c r="E8234" i="6"/>
  <c r="F8208" i="6"/>
  <c r="E8179" i="6"/>
  <c r="F8153" i="6"/>
  <c r="E8198" i="6"/>
  <c r="F8172" i="6"/>
  <c r="E8196" i="6"/>
  <c r="F8170" i="6"/>
  <c r="E8176" i="6"/>
  <c r="F8150" i="6"/>
  <c r="E8187" i="6"/>
  <c r="F8161" i="6"/>
  <c r="F8139" i="6"/>
  <c r="E8165" i="6"/>
  <c r="E8147" i="6"/>
  <c r="F8121" i="6"/>
  <c r="E8162" i="6"/>
  <c r="F8136" i="6"/>
  <c r="E8186" i="6"/>
  <c r="F8160" i="6"/>
  <c r="E8143" i="6"/>
  <c r="F8117" i="6"/>
  <c r="E8140" i="6"/>
  <c r="F8114" i="6"/>
  <c r="E8174" i="6"/>
  <c r="F8148" i="6"/>
  <c r="E8210" i="6"/>
  <c r="F8184" i="6"/>
  <c r="E8206" i="6"/>
  <c r="F8180" i="6"/>
  <c r="E8246" i="6" l="1"/>
  <c r="F8220" i="6"/>
  <c r="E8183" i="6"/>
  <c r="F8157" i="6"/>
  <c r="E8202" i="6"/>
  <c r="F8176" i="6"/>
  <c r="E8188" i="6"/>
  <c r="F8162" i="6"/>
  <c r="E8222" i="6"/>
  <c r="F8196" i="6"/>
  <c r="F8155" i="6"/>
  <c r="E8181" i="6"/>
  <c r="E8166" i="6"/>
  <c r="F8140" i="6"/>
  <c r="F8234" i="6"/>
  <c r="E8260" i="6"/>
  <c r="E8242" i="6"/>
  <c r="F8216" i="6"/>
  <c r="E8191" i="6"/>
  <c r="F8165" i="6"/>
  <c r="F8143" i="6"/>
  <c r="E8169" i="6"/>
  <c r="E8224" i="6"/>
  <c r="F8198" i="6"/>
  <c r="F8175" i="6"/>
  <c r="E8201" i="6"/>
  <c r="F8159" i="6"/>
  <c r="E8185" i="6"/>
  <c r="F8167" i="6"/>
  <c r="E8193" i="6"/>
  <c r="F8151" i="6"/>
  <c r="E8177" i="6"/>
  <c r="E8200" i="6"/>
  <c r="F8174" i="6"/>
  <c r="F8147" i="6"/>
  <c r="E8173" i="6"/>
  <c r="F8206" i="6"/>
  <c r="E8232" i="6"/>
  <c r="F8210" i="6"/>
  <c r="E8236" i="6"/>
  <c r="F8186" i="6"/>
  <c r="E8212" i="6"/>
  <c r="E8213" i="6"/>
  <c r="F8187" i="6"/>
  <c r="F8179" i="6"/>
  <c r="E8205" i="6"/>
  <c r="E8178" i="6"/>
  <c r="F8152" i="6"/>
  <c r="F8171" i="6"/>
  <c r="E8197" i="6"/>
  <c r="F8163" i="6"/>
  <c r="E8189" i="6"/>
  <c r="E8203" i="6" l="1"/>
  <c r="F8177" i="6"/>
  <c r="F8260" i="6"/>
  <c r="E8286" i="6"/>
  <c r="E8214" i="6"/>
  <c r="F8188" i="6"/>
  <c r="E8195" i="6"/>
  <c r="F8169" i="6"/>
  <c r="E8262" i="6"/>
  <c r="F8236" i="6"/>
  <c r="E8258" i="6"/>
  <c r="F8232" i="6"/>
  <c r="E8192" i="6"/>
  <c r="F8166" i="6"/>
  <c r="F8202" i="6"/>
  <c r="E8228" i="6"/>
  <c r="E8204" i="6"/>
  <c r="F8178" i="6"/>
  <c r="E8219" i="6"/>
  <c r="F8193" i="6"/>
  <c r="E8211" i="6"/>
  <c r="F8185" i="6"/>
  <c r="E8207" i="6"/>
  <c r="F8181" i="6"/>
  <c r="E8250" i="6"/>
  <c r="F8224" i="6"/>
  <c r="E8199" i="6"/>
  <c r="F8173" i="6"/>
  <c r="F8183" i="6"/>
  <c r="E8209" i="6"/>
  <c r="E8215" i="6"/>
  <c r="F8189" i="6"/>
  <c r="E8239" i="6"/>
  <c r="F8213" i="6"/>
  <c r="E8217" i="6"/>
  <c r="F8191" i="6"/>
  <c r="E8223" i="6"/>
  <c r="F8197" i="6"/>
  <c r="E8238" i="6"/>
  <c r="F8212" i="6"/>
  <c r="E8227" i="6"/>
  <c r="F8201" i="6"/>
  <c r="E8231" i="6"/>
  <c r="F8205" i="6"/>
  <c r="E8226" i="6"/>
  <c r="F8200" i="6"/>
  <c r="E8268" i="6"/>
  <c r="F8242" i="6"/>
  <c r="E8248" i="6"/>
  <c r="F8222" i="6"/>
  <c r="E8272" i="6"/>
  <c r="F8246" i="6"/>
  <c r="E8254" i="6" l="1"/>
  <c r="F8228" i="6"/>
  <c r="F8207" i="6"/>
  <c r="E8233" i="6"/>
  <c r="F8195" i="6"/>
  <c r="E8221" i="6"/>
  <c r="F8238" i="6"/>
  <c r="E8264" i="6"/>
  <c r="F8268" i="6"/>
  <c r="E8294" i="6"/>
  <c r="F8211" i="6"/>
  <c r="E8237" i="6"/>
  <c r="E8218" i="6"/>
  <c r="F8192" i="6"/>
  <c r="E8240" i="6"/>
  <c r="F8214" i="6"/>
  <c r="F8215" i="6"/>
  <c r="E8241" i="6"/>
  <c r="E8235" i="6"/>
  <c r="F8209" i="6"/>
  <c r="F8286" i="6"/>
  <c r="E8312" i="6"/>
  <c r="F8223" i="6"/>
  <c r="E8249" i="6"/>
  <c r="F8272" i="6"/>
  <c r="E8298" i="6"/>
  <c r="F8199" i="6"/>
  <c r="E8225" i="6"/>
  <c r="F8258" i="6"/>
  <c r="E8284" i="6"/>
  <c r="E8243" i="6"/>
  <c r="F8217" i="6"/>
  <c r="F8226" i="6"/>
  <c r="E8252" i="6"/>
  <c r="F8231" i="6"/>
  <c r="E8257" i="6"/>
  <c r="E8245" i="6"/>
  <c r="F8219" i="6"/>
  <c r="F8248" i="6"/>
  <c r="E8274" i="6"/>
  <c r="F8227" i="6"/>
  <c r="E8253" i="6"/>
  <c r="F8239" i="6"/>
  <c r="E8265" i="6"/>
  <c r="F8250" i="6"/>
  <c r="E8276" i="6"/>
  <c r="E8230" i="6"/>
  <c r="F8204" i="6"/>
  <c r="F8262" i="6"/>
  <c r="E8288" i="6"/>
  <c r="E8229" i="6"/>
  <c r="F8203" i="6"/>
  <c r="F8274" i="6" l="1"/>
  <c r="E8300" i="6"/>
  <c r="F8249" i="6"/>
  <c r="E8275" i="6"/>
  <c r="F8264" i="6"/>
  <c r="E8290" i="6"/>
  <c r="E8266" i="6"/>
  <c r="F8240" i="6"/>
  <c r="F8276" i="6"/>
  <c r="E8302" i="6"/>
  <c r="F8284" i="6"/>
  <c r="E8310" i="6"/>
  <c r="E8247" i="6"/>
  <c r="F8221" i="6"/>
  <c r="F8218" i="6"/>
  <c r="E8244" i="6"/>
  <c r="F8312" i="6"/>
  <c r="E8338" i="6"/>
  <c r="F8265" i="6"/>
  <c r="E8291" i="6"/>
  <c r="E8283" i="6"/>
  <c r="F8257" i="6"/>
  <c r="E8251" i="6"/>
  <c r="F8225" i="6"/>
  <c r="E8263" i="6"/>
  <c r="F8237" i="6"/>
  <c r="E8259" i="6"/>
  <c r="F8233" i="6"/>
  <c r="E8256" i="6"/>
  <c r="F8230" i="6"/>
  <c r="E8271" i="6"/>
  <c r="F8245" i="6"/>
  <c r="F8288" i="6"/>
  <c r="E8314" i="6"/>
  <c r="E8279" i="6"/>
  <c r="F8253" i="6"/>
  <c r="E8278" i="6"/>
  <c r="F8252" i="6"/>
  <c r="F8298" i="6"/>
  <c r="E8324" i="6"/>
  <c r="E8267" i="6"/>
  <c r="F8241" i="6"/>
  <c r="F8294" i="6"/>
  <c r="E8320" i="6"/>
  <c r="F8243" i="6"/>
  <c r="E8269" i="6"/>
  <c r="E8255" i="6"/>
  <c r="F8229" i="6"/>
  <c r="E8261" i="6"/>
  <c r="F8235" i="6"/>
  <c r="E8280" i="6"/>
  <c r="F8254" i="6"/>
  <c r="F8324" i="6" l="1"/>
  <c r="E8350" i="6"/>
  <c r="E8270" i="6"/>
  <c r="F8244" i="6"/>
  <c r="F8255" i="6"/>
  <c r="E8281" i="6"/>
  <c r="F8251" i="6"/>
  <c r="E8277" i="6"/>
  <c r="F8266" i="6"/>
  <c r="E8292" i="6"/>
  <c r="F8290" i="6"/>
  <c r="E8316" i="6"/>
  <c r="F8278" i="6"/>
  <c r="E8304" i="6"/>
  <c r="F8283" i="6"/>
  <c r="E8309" i="6"/>
  <c r="F8247" i="6"/>
  <c r="E8273" i="6"/>
  <c r="F8291" i="6"/>
  <c r="E8317" i="6"/>
  <c r="F8310" i="6"/>
  <c r="E8336" i="6"/>
  <c r="F8275" i="6"/>
  <c r="E8301" i="6"/>
  <c r="F8271" i="6"/>
  <c r="E8297" i="6"/>
  <c r="F8256" i="6"/>
  <c r="E8282" i="6"/>
  <c r="F8280" i="6"/>
  <c r="E8306" i="6"/>
  <c r="F8320" i="6"/>
  <c r="E8346" i="6"/>
  <c r="F8314" i="6"/>
  <c r="E8340" i="6"/>
  <c r="F8338" i="6"/>
  <c r="E8364" i="6"/>
  <c r="F8302" i="6"/>
  <c r="E8328" i="6"/>
  <c r="F8300" i="6"/>
  <c r="E8326" i="6"/>
  <c r="E8295" i="6"/>
  <c r="F8269" i="6"/>
  <c r="F8279" i="6"/>
  <c r="E8305" i="6"/>
  <c r="F8259" i="6"/>
  <c r="E8285" i="6"/>
  <c r="E8287" i="6"/>
  <c r="F8261" i="6"/>
  <c r="E8293" i="6"/>
  <c r="F8267" i="6"/>
  <c r="F8263" i="6"/>
  <c r="E8289" i="6"/>
  <c r="F8326" i="6" l="1"/>
  <c r="E8352" i="6"/>
  <c r="E8372" i="6"/>
  <c r="F8346" i="6"/>
  <c r="E8327" i="6"/>
  <c r="F8301" i="6"/>
  <c r="E8335" i="6"/>
  <c r="F8309" i="6"/>
  <c r="E8303" i="6"/>
  <c r="F8277" i="6"/>
  <c r="F8328" i="6"/>
  <c r="E8354" i="6"/>
  <c r="F8306" i="6"/>
  <c r="E8332" i="6"/>
  <c r="F8336" i="6"/>
  <c r="E8362" i="6"/>
  <c r="F8304" i="6"/>
  <c r="E8330" i="6"/>
  <c r="E8307" i="6"/>
  <c r="F8281" i="6"/>
  <c r="E8315" i="6"/>
  <c r="F8289" i="6"/>
  <c r="F8364" i="6"/>
  <c r="E8390" i="6"/>
  <c r="F8282" i="6"/>
  <c r="E8308" i="6"/>
  <c r="E8343" i="6"/>
  <c r="F8317" i="6"/>
  <c r="F8316" i="6"/>
  <c r="E8342" i="6"/>
  <c r="F8270" i="6"/>
  <c r="E8296" i="6"/>
  <c r="E8331" i="6"/>
  <c r="F8305" i="6"/>
  <c r="F8340" i="6"/>
  <c r="E8366" i="6"/>
  <c r="E8323" i="6"/>
  <c r="F8297" i="6"/>
  <c r="E8299" i="6"/>
  <c r="F8273" i="6"/>
  <c r="F8292" i="6"/>
  <c r="E8318" i="6"/>
  <c r="F8350" i="6"/>
  <c r="E8376" i="6"/>
  <c r="F8287" i="6"/>
  <c r="E8313" i="6"/>
  <c r="E8311" i="6"/>
  <c r="F8285" i="6"/>
  <c r="F8293" i="6"/>
  <c r="E8319" i="6"/>
  <c r="F8295" i="6"/>
  <c r="E8321" i="6"/>
  <c r="F8296" i="6" l="1"/>
  <c r="E8322" i="6"/>
  <c r="F8390" i="6"/>
  <c r="E8416" i="6"/>
  <c r="F8362" i="6"/>
  <c r="E8388" i="6"/>
  <c r="F8335" i="6"/>
  <c r="E8361" i="6"/>
  <c r="F8332" i="6"/>
  <c r="E8358" i="6"/>
  <c r="F8323" i="6"/>
  <c r="E8349" i="6"/>
  <c r="F8327" i="6"/>
  <c r="E8353" i="6"/>
  <c r="F8299" i="6"/>
  <c r="E8325" i="6"/>
  <c r="F8376" i="6"/>
  <c r="E8402" i="6"/>
  <c r="F8366" i="6"/>
  <c r="E8392" i="6"/>
  <c r="F8354" i="6"/>
  <c r="E8380" i="6"/>
  <c r="F8311" i="6"/>
  <c r="E8337" i="6"/>
  <c r="E8339" i="6"/>
  <c r="F8313" i="6"/>
  <c r="F8343" i="6"/>
  <c r="E8369" i="6"/>
  <c r="F8307" i="6"/>
  <c r="E8333" i="6"/>
  <c r="F8372" i="6"/>
  <c r="E8398" i="6"/>
  <c r="F8315" i="6"/>
  <c r="E8341" i="6"/>
  <c r="F8319" i="6"/>
  <c r="E8345" i="6"/>
  <c r="F8318" i="6"/>
  <c r="E8344" i="6"/>
  <c r="F8308" i="6"/>
  <c r="E8334" i="6"/>
  <c r="F8330" i="6"/>
  <c r="E8356" i="6"/>
  <c r="F8352" i="6"/>
  <c r="E8378" i="6"/>
  <c r="F8342" i="6"/>
  <c r="E8368" i="6"/>
  <c r="E8347" i="6"/>
  <c r="F8321" i="6"/>
  <c r="F8331" i="6"/>
  <c r="E8357" i="6"/>
  <c r="F8303" i="6"/>
  <c r="E8329" i="6"/>
  <c r="F8334" i="6" l="1"/>
  <c r="E8360" i="6"/>
  <c r="F8398" i="6"/>
  <c r="E8424" i="6"/>
  <c r="E8363" i="6"/>
  <c r="F8337" i="6"/>
  <c r="E8351" i="6"/>
  <c r="F8325" i="6"/>
  <c r="E8387" i="6"/>
  <c r="F8361" i="6"/>
  <c r="F8368" i="6"/>
  <c r="E8394" i="6"/>
  <c r="E8359" i="6"/>
  <c r="F8333" i="6"/>
  <c r="F8380" i="6"/>
  <c r="E8406" i="6"/>
  <c r="E8379" i="6"/>
  <c r="F8353" i="6"/>
  <c r="F8388" i="6"/>
  <c r="E8414" i="6"/>
  <c r="F8347" i="6"/>
  <c r="E8373" i="6"/>
  <c r="F8344" i="6"/>
  <c r="E8370" i="6"/>
  <c r="E8371" i="6"/>
  <c r="F8345" i="6"/>
  <c r="E8395" i="6"/>
  <c r="F8369" i="6"/>
  <c r="F8392" i="6"/>
  <c r="E8418" i="6"/>
  <c r="E8375" i="6"/>
  <c r="F8349" i="6"/>
  <c r="F8416" i="6"/>
  <c r="E8442" i="6"/>
  <c r="F8356" i="6"/>
  <c r="E8382" i="6"/>
  <c r="E8367" i="6"/>
  <c r="F8341" i="6"/>
  <c r="F8402" i="6"/>
  <c r="E8428" i="6"/>
  <c r="F8358" i="6"/>
  <c r="E8384" i="6"/>
  <c r="F8322" i="6"/>
  <c r="E8348" i="6"/>
  <c r="E8355" i="6"/>
  <c r="F8329" i="6"/>
  <c r="F8378" i="6"/>
  <c r="E8404" i="6"/>
  <c r="E8383" i="6"/>
  <c r="F8357" i="6"/>
  <c r="F8339" i="6"/>
  <c r="E8365" i="6"/>
  <c r="F8404" i="6" l="1"/>
  <c r="E8430" i="6"/>
  <c r="F8428" i="6"/>
  <c r="E8454" i="6"/>
  <c r="F8370" i="6"/>
  <c r="E8396" i="6"/>
  <c r="E8432" i="6"/>
  <c r="F8406" i="6"/>
  <c r="F8351" i="6"/>
  <c r="E8377" i="6"/>
  <c r="E8399" i="6"/>
  <c r="F8373" i="6"/>
  <c r="F8359" i="6"/>
  <c r="E8385" i="6"/>
  <c r="F8363" i="6"/>
  <c r="E8389" i="6"/>
  <c r="F8418" i="6"/>
  <c r="E8444" i="6"/>
  <c r="F8348" i="6"/>
  <c r="E8374" i="6"/>
  <c r="F8382" i="6"/>
  <c r="E8408" i="6"/>
  <c r="F8414" i="6"/>
  <c r="E8440" i="6"/>
  <c r="F8394" i="6"/>
  <c r="E8420" i="6"/>
  <c r="F8424" i="6"/>
  <c r="E8450" i="6"/>
  <c r="F8367" i="6"/>
  <c r="E8393" i="6"/>
  <c r="E8391" i="6"/>
  <c r="F8365" i="6"/>
  <c r="F8395" i="6"/>
  <c r="E8421" i="6"/>
  <c r="F8384" i="6"/>
  <c r="E8410" i="6"/>
  <c r="F8442" i="6"/>
  <c r="E8468" i="6"/>
  <c r="F8360" i="6"/>
  <c r="E8386" i="6"/>
  <c r="F8375" i="6"/>
  <c r="E8401" i="6"/>
  <c r="F8355" i="6"/>
  <c r="E8381" i="6"/>
  <c r="F8383" i="6"/>
  <c r="E8409" i="6"/>
  <c r="F8371" i="6"/>
  <c r="E8397" i="6"/>
  <c r="F8379" i="6"/>
  <c r="E8405" i="6"/>
  <c r="F8387" i="6"/>
  <c r="E8413" i="6"/>
  <c r="F8386" i="6" l="1"/>
  <c r="E8412" i="6"/>
  <c r="F8440" i="6"/>
  <c r="E8466" i="6"/>
  <c r="E8415" i="6"/>
  <c r="F8389" i="6"/>
  <c r="F8432" i="6"/>
  <c r="E8458" i="6"/>
  <c r="E8419" i="6"/>
  <c r="F8393" i="6"/>
  <c r="E8411" i="6"/>
  <c r="F8385" i="6"/>
  <c r="F8396" i="6"/>
  <c r="E8422" i="6"/>
  <c r="F8468" i="6"/>
  <c r="E8494" i="6"/>
  <c r="F8408" i="6"/>
  <c r="E8434" i="6"/>
  <c r="E8407" i="6"/>
  <c r="F8381" i="6"/>
  <c r="F8374" i="6"/>
  <c r="E8400" i="6"/>
  <c r="E8480" i="6"/>
  <c r="F8454" i="6"/>
  <c r="E8423" i="6"/>
  <c r="F8397" i="6"/>
  <c r="E8435" i="6"/>
  <c r="F8409" i="6"/>
  <c r="E8439" i="6"/>
  <c r="F8413" i="6"/>
  <c r="F8410" i="6"/>
  <c r="E8436" i="6"/>
  <c r="F8391" i="6"/>
  <c r="E8417" i="6"/>
  <c r="F8399" i="6"/>
  <c r="E8425" i="6"/>
  <c r="E8431" i="6"/>
  <c r="F8405" i="6"/>
  <c r="E8427" i="6"/>
  <c r="F8401" i="6"/>
  <c r="E8447" i="6"/>
  <c r="F8421" i="6"/>
  <c r="F8420" i="6"/>
  <c r="E8446" i="6"/>
  <c r="F8444" i="6"/>
  <c r="E8470" i="6"/>
  <c r="E8403" i="6"/>
  <c r="F8377" i="6"/>
  <c r="F8430" i="6"/>
  <c r="E8456" i="6"/>
  <c r="F8450" i="6"/>
  <c r="E8476" i="6"/>
  <c r="F8436" i="6" l="1"/>
  <c r="E8462" i="6"/>
  <c r="F8494" i="6"/>
  <c r="E8520" i="6"/>
  <c r="F8458" i="6"/>
  <c r="E8484" i="6"/>
  <c r="F8427" i="6"/>
  <c r="E8453" i="6"/>
  <c r="F8400" i="6"/>
  <c r="E8426" i="6"/>
  <c r="F8422" i="6"/>
  <c r="E8448" i="6"/>
  <c r="F8470" i="6"/>
  <c r="E8496" i="6"/>
  <c r="F8439" i="6"/>
  <c r="E8465" i="6"/>
  <c r="E8441" i="6"/>
  <c r="F8415" i="6"/>
  <c r="E8449" i="6"/>
  <c r="F8423" i="6"/>
  <c r="F8480" i="6"/>
  <c r="E8506" i="6"/>
  <c r="F8476" i="6"/>
  <c r="E8502" i="6"/>
  <c r="F8446" i="6"/>
  <c r="E8472" i="6"/>
  <c r="E8451" i="6"/>
  <c r="F8425" i="6"/>
  <c r="F8466" i="6"/>
  <c r="E8492" i="6"/>
  <c r="F8447" i="6"/>
  <c r="E8473" i="6"/>
  <c r="F8403" i="6"/>
  <c r="E8429" i="6"/>
  <c r="F8431" i="6"/>
  <c r="E8457" i="6"/>
  <c r="F8435" i="6"/>
  <c r="E8461" i="6"/>
  <c r="F8407" i="6"/>
  <c r="E8433" i="6"/>
  <c r="F8411" i="6"/>
  <c r="E8437" i="6"/>
  <c r="F8456" i="6"/>
  <c r="E8482" i="6"/>
  <c r="E8443" i="6"/>
  <c r="F8417" i="6"/>
  <c r="F8434" i="6"/>
  <c r="E8460" i="6"/>
  <c r="F8412" i="6"/>
  <c r="E8438" i="6"/>
  <c r="F8419" i="6"/>
  <c r="E8445" i="6"/>
  <c r="F8460" i="6" l="1"/>
  <c r="E8486" i="6"/>
  <c r="E8459" i="6"/>
  <c r="F8433" i="6"/>
  <c r="E8499" i="6"/>
  <c r="F8473" i="6"/>
  <c r="F8502" i="6"/>
  <c r="E8528" i="6"/>
  <c r="E8491" i="6"/>
  <c r="F8465" i="6"/>
  <c r="E8479" i="6"/>
  <c r="F8453" i="6"/>
  <c r="E8487" i="6"/>
  <c r="F8461" i="6"/>
  <c r="F8506" i="6"/>
  <c r="E8532" i="6"/>
  <c r="F8496" i="6"/>
  <c r="E8522" i="6"/>
  <c r="F8484" i="6"/>
  <c r="E8510" i="6"/>
  <c r="E8483" i="6"/>
  <c r="F8457" i="6"/>
  <c r="F8448" i="6"/>
  <c r="E8474" i="6"/>
  <c r="F8520" i="6"/>
  <c r="E8546" i="6"/>
  <c r="F8451" i="6"/>
  <c r="E8477" i="6"/>
  <c r="F8443" i="6"/>
  <c r="E8469" i="6"/>
  <c r="E8471" i="6"/>
  <c r="F8445" i="6"/>
  <c r="E8475" i="6"/>
  <c r="F8449" i="6"/>
  <c r="F8438" i="6"/>
  <c r="E8464" i="6"/>
  <c r="E8463" i="6"/>
  <c r="F8437" i="6"/>
  <c r="E8455" i="6"/>
  <c r="F8429" i="6"/>
  <c r="F8472" i="6"/>
  <c r="E8498" i="6"/>
  <c r="F8426" i="6"/>
  <c r="E8452" i="6"/>
  <c r="F8462" i="6"/>
  <c r="E8488" i="6"/>
  <c r="F8492" i="6"/>
  <c r="E8518" i="6"/>
  <c r="F8482" i="6"/>
  <c r="E8508" i="6"/>
  <c r="E8467" i="6"/>
  <c r="F8441" i="6"/>
  <c r="F8474" i="6" l="1"/>
  <c r="E8500" i="6"/>
  <c r="F8532" i="6"/>
  <c r="E8558" i="6"/>
  <c r="F8528" i="6"/>
  <c r="E8554" i="6"/>
  <c r="F8463" i="6"/>
  <c r="E8489" i="6"/>
  <c r="F8483" i="6"/>
  <c r="E8509" i="6"/>
  <c r="F8487" i="6"/>
  <c r="E8513" i="6"/>
  <c r="F8499" i="6"/>
  <c r="E8525" i="6"/>
  <c r="F8471" i="6"/>
  <c r="E8497" i="6"/>
  <c r="E8495" i="6"/>
  <c r="F8469" i="6"/>
  <c r="F8452" i="6"/>
  <c r="E8478" i="6"/>
  <c r="E8503" i="6"/>
  <c r="F8477" i="6"/>
  <c r="F8510" i="6"/>
  <c r="E8536" i="6"/>
  <c r="F8455" i="6"/>
  <c r="E8481" i="6"/>
  <c r="F8488" i="6"/>
  <c r="E8514" i="6"/>
  <c r="F8467" i="6"/>
  <c r="E8493" i="6"/>
  <c r="F8479" i="6"/>
  <c r="E8505" i="6"/>
  <c r="F8459" i="6"/>
  <c r="E8485" i="6"/>
  <c r="F8464" i="6"/>
  <c r="E8490" i="6"/>
  <c r="F8498" i="6"/>
  <c r="E8524" i="6"/>
  <c r="F8546" i="6"/>
  <c r="E8572" i="6"/>
  <c r="E8548" i="6"/>
  <c r="F8522" i="6"/>
  <c r="F8486" i="6"/>
  <c r="E8512" i="6"/>
  <c r="F8518" i="6"/>
  <c r="E8544" i="6"/>
  <c r="F8508" i="6"/>
  <c r="E8534" i="6"/>
  <c r="F8475" i="6"/>
  <c r="E8501" i="6"/>
  <c r="F8491" i="6"/>
  <c r="E8517" i="6"/>
  <c r="F8572" i="6" l="1"/>
  <c r="E8598" i="6"/>
  <c r="E8531" i="6"/>
  <c r="F8505" i="6"/>
  <c r="F8536" i="6"/>
  <c r="E8562" i="6"/>
  <c r="E8523" i="6"/>
  <c r="F8497" i="6"/>
  <c r="E8515" i="6"/>
  <c r="F8489" i="6"/>
  <c r="E8551" i="6"/>
  <c r="F8525" i="6"/>
  <c r="F8554" i="6"/>
  <c r="E8580" i="6"/>
  <c r="E8519" i="6"/>
  <c r="F8493" i="6"/>
  <c r="F8503" i="6"/>
  <c r="E8529" i="6"/>
  <c r="F8490" i="6"/>
  <c r="E8516" i="6"/>
  <c r="F8514" i="6"/>
  <c r="E8540" i="6"/>
  <c r="F8478" i="6"/>
  <c r="E8504" i="6"/>
  <c r="E8539" i="6"/>
  <c r="F8513" i="6"/>
  <c r="F8558" i="6"/>
  <c r="E8584" i="6"/>
  <c r="F8534" i="6"/>
  <c r="E8560" i="6"/>
  <c r="F8544" i="6"/>
  <c r="E8570" i="6"/>
  <c r="F8512" i="6"/>
  <c r="E8538" i="6"/>
  <c r="F8524" i="6"/>
  <c r="E8550" i="6"/>
  <c r="E8527" i="6"/>
  <c r="F8501" i="6"/>
  <c r="E8511" i="6"/>
  <c r="F8485" i="6"/>
  <c r="E8507" i="6"/>
  <c r="F8481" i="6"/>
  <c r="E8535" i="6"/>
  <c r="F8509" i="6"/>
  <c r="F8500" i="6"/>
  <c r="E8526" i="6"/>
  <c r="E8543" i="6"/>
  <c r="F8517" i="6"/>
  <c r="F8548" i="6"/>
  <c r="E8574" i="6"/>
  <c r="F8495" i="6"/>
  <c r="E8521" i="6"/>
  <c r="F8570" i="6" l="1"/>
  <c r="E8596" i="6"/>
  <c r="F8504" i="6"/>
  <c r="E8530" i="6"/>
  <c r="F8519" i="6"/>
  <c r="E8545" i="6"/>
  <c r="F8523" i="6"/>
  <c r="E8549" i="6"/>
  <c r="F8540" i="6"/>
  <c r="E8566" i="6"/>
  <c r="F8580" i="6"/>
  <c r="E8606" i="6"/>
  <c r="F8562" i="6"/>
  <c r="E8588" i="6"/>
  <c r="F8526" i="6"/>
  <c r="E8552" i="6"/>
  <c r="F8550" i="6"/>
  <c r="E8576" i="6"/>
  <c r="F8584" i="6"/>
  <c r="E8610" i="6"/>
  <c r="F8516" i="6"/>
  <c r="E8542" i="6"/>
  <c r="F8543" i="6"/>
  <c r="E8569" i="6"/>
  <c r="F8560" i="6"/>
  <c r="E8586" i="6"/>
  <c r="F8527" i="6"/>
  <c r="E8553" i="6"/>
  <c r="F8551" i="6"/>
  <c r="E8577" i="6"/>
  <c r="F8531" i="6"/>
  <c r="E8557" i="6"/>
  <c r="F8511" i="6"/>
  <c r="E8537" i="6"/>
  <c r="F8574" i="6"/>
  <c r="E8600" i="6"/>
  <c r="F8538" i="6"/>
  <c r="E8564" i="6"/>
  <c r="E8555" i="6"/>
  <c r="F8529" i="6"/>
  <c r="F8598" i="6"/>
  <c r="E8624" i="6"/>
  <c r="E8547" i="6"/>
  <c r="F8521" i="6"/>
  <c r="F8535" i="6"/>
  <c r="E8561" i="6"/>
  <c r="F8507" i="6"/>
  <c r="E8533" i="6"/>
  <c r="F8539" i="6"/>
  <c r="E8565" i="6"/>
  <c r="F8515" i="6"/>
  <c r="E8541" i="6"/>
  <c r="E8595" i="6" l="1"/>
  <c r="F8569" i="6"/>
  <c r="F8552" i="6"/>
  <c r="E8578" i="6"/>
  <c r="E8575" i="6"/>
  <c r="F8549" i="6"/>
  <c r="E8559" i="6"/>
  <c r="F8533" i="6"/>
  <c r="E8587" i="6"/>
  <c r="F8561" i="6"/>
  <c r="F8542" i="6"/>
  <c r="E8568" i="6"/>
  <c r="F8588" i="6"/>
  <c r="E8614" i="6"/>
  <c r="E8571" i="6"/>
  <c r="F8545" i="6"/>
  <c r="E8583" i="6"/>
  <c r="F8557" i="6"/>
  <c r="F8564" i="6"/>
  <c r="E8590" i="6"/>
  <c r="F8600" i="6"/>
  <c r="E8626" i="6"/>
  <c r="E8579" i="6"/>
  <c r="F8553" i="6"/>
  <c r="F8610" i="6"/>
  <c r="E8636" i="6"/>
  <c r="F8606" i="6"/>
  <c r="E8632" i="6"/>
  <c r="F8530" i="6"/>
  <c r="E8556" i="6"/>
  <c r="F8547" i="6"/>
  <c r="E8573" i="6"/>
  <c r="E8591" i="6"/>
  <c r="F8565" i="6"/>
  <c r="F8624" i="6"/>
  <c r="E8650" i="6"/>
  <c r="E8563" i="6"/>
  <c r="F8537" i="6"/>
  <c r="F8586" i="6"/>
  <c r="E8612" i="6"/>
  <c r="F8576" i="6"/>
  <c r="E8602" i="6"/>
  <c r="F8566" i="6"/>
  <c r="E8592" i="6"/>
  <c r="F8596" i="6"/>
  <c r="E8622" i="6"/>
  <c r="F8555" i="6"/>
  <c r="E8581" i="6"/>
  <c r="E8603" i="6"/>
  <c r="F8577" i="6"/>
  <c r="E8567" i="6"/>
  <c r="F8541" i="6"/>
  <c r="E8599" i="6" l="1"/>
  <c r="F8573" i="6"/>
  <c r="F8559" i="6"/>
  <c r="E8585" i="6"/>
  <c r="F8556" i="6"/>
  <c r="E8582" i="6"/>
  <c r="F8614" i="6"/>
  <c r="E8640" i="6"/>
  <c r="F8579" i="6"/>
  <c r="E8605" i="6"/>
  <c r="E8589" i="6"/>
  <c r="F8563" i="6"/>
  <c r="E8601" i="6"/>
  <c r="F8575" i="6"/>
  <c r="F8612" i="6"/>
  <c r="E8638" i="6"/>
  <c r="F8592" i="6"/>
  <c r="E8618" i="6"/>
  <c r="F8650" i="6"/>
  <c r="E8676" i="6"/>
  <c r="F8632" i="6"/>
  <c r="E8658" i="6"/>
  <c r="F8590" i="6"/>
  <c r="E8616" i="6"/>
  <c r="F8568" i="6"/>
  <c r="E8594" i="6"/>
  <c r="F8578" i="6"/>
  <c r="E8604" i="6"/>
  <c r="E8597" i="6"/>
  <c r="F8571" i="6"/>
  <c r="F8567" i="6"/>
  <c r="E8593" i="6"/>
  <c r="F8602" i="6"/>
  <c r="E8628" i="6"/>
  <c r="F8636" i="6"/>
  <c r="E8662" i="6"/>
  <c r="E8607" i="6"/>
  <c r="F8581" i="6"/>
  <c r="F8622" i="6"/>
  <c r="E8648" i="6"/>
  <c r="F8626" i="6"/>
  <c r="E8652" i="6"/>
  <c r="F8603" i="6"/>
  <c r="E8629" i="6"/>
  <c r="F8591" i="6"/>
  <c r="E8617" i="6"/>
  <c r="F8583" i="6"/>
  <c r="E8609" i="6"/>
  <c r="F8587" i="6"/>
  <c r="E8613" i="6"/>
  <c r="F8595" i="6"/>
  <c r="E8621" i="6"/>
  <c r="F8648" i="6" l="1"/>
  <c r="E8674" i="6"/>
  <c r="F8616" i="6"/>
  <c r="E8642" i="6"/>
  <c r="F8638" i="6"/>
  <c r="E8664" i="6"/>
  <c r="F8640" i="6"/>
  <c r="E8666" i="6"/>
  <c r="E8635" i="6"/>
  <c r="F8609" i="6"/>
  <c r="F8582" i="6"/>
  <c r="E8608" i="6"/>
  <c r="E8619" i="6"/>
  <c r="F8593" i="6"/>
  <c r="E8623" i="6"/>
  <c r="F8597" i="6"/>
  <c r="E8627" i="6"/>
  <c r="F8601" i="6"/>
  <c r="E8655" i="6"/>
  <c r="F8629" i="6"/>
  <c r="F8662" i="6"/>
  <c r="E8688" i="6"/>
  <c r="F8604" i="6"/>
  <c r="E8630" i="6"/>
  <c r="F8676" i="6"/>
  <c r="E8702" i="6"/>
  <c r="E8611" i="6"/>
  <c r="F8585" i="6"/>
  <c r="E8615" i="6"/>
  <c r="F8589" i="6"/>
  <c r="E8643" i="6"/>
  <c r="F8617" i="6"/>
  <c r="F8607" i="6"/>
  <c r="E8633" i="6"/>
  <c r="E8639" i="6"/>
  <c r="F8613" i="6"/>
  <c r="F8628" i="6"/>
  <c r="E8654" i="6"/>
  <c r="F8618" i="6"/>
  <c r="E8644" i="6"/>
  <c r="E8631" i="6"/>
  <c r="F8605" i="6"/>
  <c r="F8658" i="6"/>
  <c r="E8684" i="6"/>
  <c r="E8647" i="6"/>
  <c r="F8621" i="6"/>
  <c r="F8652" i="6"/>
  <c r="E8678" i="6"/>
  <c r="F8594" i="6"/>
  <c r="E8620" i="6"/>
  <c r="F8599" i="6"/>
  <c r="E8625" i="6"/>
  <c r="F8644" i="6" l="1"/>
  <c r="E8670" i="6"/>
  <c r="F8630" i="6"/>
  <c r="E8656" i="6"/>
  <c r="F8666" i="6"/>
  <c r="E8692" i="6"/>
  <c r="F8678" i="6"/>
  <c r="E8704" i="6"/>
  <c r="F8664" i="6"/>
  <c r="E8690" i="6"/>
  <c r="F8619" i="6"/>
  <c r="E8645" i="6"/>
  <c r="F8688" i="6"/>
  <c r="E8714" i="6"/>
  <c r="E8651" i="6"/>
  <c r="F8625" i="6"/>
  <c r="F8608" i="6"/>
  <c r="E8634" i="6"/>
  <c r="F8642" i="6"/>
  <c r="E8668" i="6"/>
  <c r="F8623" i="6"/>
  <c r="E8649" i="6"/>
  <c r="F8639" i="6"/>
  <c r="E8665" i="6"/>
  <c r="F8655" i="6"/>
  <c r="E8681" i="6"/>
  <c r="F8647" i="6"/>
  <c r="E8673" i="6"/>
  <c r="F8684" i="6"/>
  <c r="E8710" i="6"/>
  <c r="F8611" i="6"/>
  <c r="E8637" i="6"/>
  <c r="F8620" i="6"/>
  <c r="E8646" i="6"/>
  <c r="E8659" i="6"/>
  <c r="F8633" i="6"/>
  <c r="F8702" i="6"/>
  <c r="E8728" i="6"/>
  <c r="F8674" i="6"/>
  <c r="E8700" i="6"/>
  <c r="F8643" i="6"/>
  <c r="E8669" i="6"/>
  <c r="F8654" i="6"/>
  <c r="E8680" i="6"/>
  <c r="F8615" i="6"/>
  <c r="E8641" i="6"/>
  <c r="F8631" i="6"/>
  <c r="E8657" i="6"/>
  <c r="F8627" i="6"/>
  <c r="E8653" i="6"/>
  <c r="F8635" i="6"/>
  <c r="E8661" i="6"/>
  <c r="E8754" i="6" l="1"/>
  <c r="F8728" i="6"/>
  <c r="E8683" i="6"/>
  <c r="F8657" i="6"/>
  <c r="E8726" i="6"/>
  <c r="F8700" i="6"/>
  <c r="E8663" i="6"/>
  <c r="F8637" i="6"/>
  <c r="E8691" i="6"/>
  <c r="F8665" i="6"/>
  <c r="F8704" i="6"/>
  <c r="E8730" i="6"/>
  <c r="F8651" i="6"/>
  <c r="E8677" i="6"/>
  <c r="E8667" i="6"/>
  <c r="F8641" i="6"/>
  <c r="E8675" i="6"/>
  <c r="F8649" i="6"/>
  <c r="F8714" i="6"/>
  <c r="E8740" i="6"/>
  <c r="F8692" i="6"/>
  <c r="E8718" i="6"/>
  <c r="E8687" i="6"/>
  <c r="F8661" i="6"/>
  <c r="E8699" i="6"/>
  <c r="F8673" i="6"/>
  <c r="F8668" i="6"/>
  <c r="E8694" i="6"/>
  <c r="E8671" i="6"/>
  <c r="F8645" i="6"/>
  <c r="F8656" i="6"/>
  <c r="E8682" i="6"/>
  <c r="E8706" i="6"/>
  <c r="F8680" i="6"/>
  <c r="F8659" i="6"/>
  <c r="E8685" i="6"/>
  <c r="E8679" i="6"/>
  <c r="F8653" i="6"/>
  <c r="E8695" i="6"/>
  <c r="F8669" i="6"/>
  <c r="F8646" i="6"/>
  <c r="E8672" i="6"/>
  <c r="E8707" i="6"/>
  <c r="F8681" i="6"/>
  <c r="F8634" i="6"/>
  <c r="E8660" i="6"/>
  <c r="E8716" i="6"/>
  <c r="F8690" i="6"/>
  <c r="F8670" i="6"/>
  <c r="E8696" i="6"/>
  <c r="F8710" i="6"/>
  <c r="E8736" i="6"/>
  <c r="E8708" i="6" l="1"/>
  <c r="F8682" i="6"/>
  <c r="E8742" i="6"/>
  <c r="F8716" i="6"/>
  <c r="F8667" i="6"/>
  <c r="E8693" i="6"/>
  <c r="F8663" i="6"/>
  <c r="E8689" i="6"/>
  <c r="E8703" i="6"/>
  <c r="F8677" i="6"/>
  <c r="F8726" i="6"/>
  <c r="E8752" i="6"/>
  <c r="F8695" i="6"/>
  <c r="E8721" i="6"/>
  <c r="F8718" i="6"/>
  <c r="E8744" i="6"/>
  <c r="E8711" i="6"/>
  <c r="F8685" i="6"/>
  <c r="F8694" i="6"/>
  <c r="E8720" i="6"/>
  <c r="E8766" i="6"/>
  <c r="F8740" i="6"/>
  <c r="F8730" i="6"/>
  <c r="E8756" i="6"/>
  <c r="E8686" i="6"/>
  <c r="F8660" i="6"/>
  <c r="F8671" i="6"/>
  <c r="E8697" i="6"/>
  <c r="F8683" i="6"/>
  <c r="E8709" i="6"/>
  <c r="E8762" i="6"/>
  <c r="F8736" i="6"/>
  <c r="F8687" i="6"/>
  <c r="E8713" i="6"/>
  <c r="F8679" i="6"/>
  <c r="E8705" i="6"/>
  <c r="F8707" i="6"/>
  <c r="E8733" i="6"/>
  <c r="E8722" i="6"/>
  <c r="F8696" i="6"/>
  <c r="E8698" i="6"/>
  <c r="F8672" i="6"/>
  <c r="F8706" i="6"/>
  <c r="E8732" i="6"/>
  <c r="F8699" i="6"/>
  <c r="E8725" i="6"/>
  <c r="F8675" i="6"/>
  <c r="E8701" i="6"/>
  <c r="F8691" i="6"/>
  <c r="E8717" i="6"/>
  <c r="F8754" i="6"/>
  <c r="E8780" i="6"/>
  <c r="F8756" i="6" l="1"/>
  <c r="E8782" i="6"/>
  <c r="F8744" i="6"/>
  <c r="E8770" i="6"/>
  <c r="E8715" i="6"/>
  <c r="F8689" i="6"/>
  <c r="E8751" i="6"/>
  <c r="F8725" i="6"/>
  <c r="E8735" i="6"/>
  <c r="F8709" i="6"/>
  <c r="F8721" i="6"/>
  <c r="E8747" i="6"/>
  <c r="E8719" i="6"/>
  <c r="F8693" i="6"/>
  <c r="F8722" i="6"/>
  <c r="E8748" i="6"/>
  <c r="E8731" i="6"/>
  <c r="F8705" i="6"/>
  <c r="E8723" i="6"/>
  <c r="F8697" i="6"/>
  <c r="E8746" i="6"/>
  <c r="F8720" i="6"/>
  <c r="F8752" i="6"/>
  <c r="E8778" i="6"/>
  <c r="F8762" i="6"/>
  <c r="E8788" i="6"/>
  <c r="F8732" i="6"/>
  <c r="E8758" i="6"/>
  <c r="F8742" i="6"/>
  <c r="E8768" i="6"/>
  <c r="F8780" i="6"/>
  <c r="E8806" i="6"/>
  <c r="E8743" i="6"/>
  <c r="F8717" i="6"/>
  <c r="E8739" i="6"/>
  <c r="F8713" i="6"/>
  <c r="E8727" i="6"/>
  <c r="F8701" i="6"/>
  <c r="F8733" i="6"/>
  <c r="E8759" i="6"/>
  <c r="F8766" i="6"/>
  <c r="E8792" i="6"/>
  <c r="F8698" i="6"/>
  <c r="E8724" i="6"/>
  <c r="F8686" i="6"/>
  <c r="E8712" i="6"/>
  <c r="F8711" i="6"/>
  <c r="E8737" i="6"/>
  <c r="F8703" i="6"/>
  <c r="E8729" i="6"/>
  <c r="F8708" i="6"/>
  <c r="E8734" i="6"/>
  <c r="E8785" i="6" l="1"/>
  <c r="F8759" i="6"/>
  <c r="F8806" i="6"/>
  <c r="E8832" i="6"/>
  <c r="F8778" i="6"/>
  <c r="E8804" i="6"/>
  <c r="F8748" i="6"/>
  <c r="E8774" i="6"/>
  <c r="E8777" i="6"/>
  <c r="F8751" i="6"/>
  <c r="F8737" i="6"/>
  <c r="E8763" i="6"/>
  <c r="F8712" i="6"/>
  <c r="E8738" i="6"/>
  <c r="E8753" i="6"/>
  <c r="F8727" i="6"/>
  <c r="F8746" i="6"/>
  <c r="E8772" i="6"/>
  <c r="E8745" i="6"/>
  <c r="F8719" i="6"/>
  <c r="F8715" i="6"/>
  <c r="E8741" i="6"/>
  <c r="E8760" i="6"/>
  <c r="F8734" i="6"/>
  <c r="F8758" i="6"/>
  <c r="E8784" i="6"/>
  <c r="F8747" i="6"/>
  <c r="E8773" i="6"/>
  <c r="F8770" i="6"/>
  <c r="E8796" i="6"/>
  <c r="E8750" i="6"/>
  <c r="F8724" i="6"/>
  <c r="E8765" i="6"/>
  <c r="F8739" i="6"/>
  <c r="E8818" i="6"/>
  <c r="F8792" i="6"/>
  <c r="F8788" i="6"/>
  <c r="E8814" i="6"/>
  <c r="F8782" i="6"/>
  <c r="E8808" i="6"/>
  <c r="F8768" i="6"/>
  <c r="E8794" i="6"/>
  <c r="E8749" i="6"/>
  <c r="F8723" i="6"/>
  <c r="E8755" i="6"/>
  <c r="F8729" i="6"/>
  <c r="E8769" i="6"/>
  <c r="F8743" i="6"/>
  <c r="F8731" i="6"/>
  <c r="E8757" i="6"/>
  <c r="F8735" i="6"/>
  <c r="E8761" i="6"/>
  <c r="F8774" i="6" l="1"/>
  <c r="E8800" i="6"/>
  <c r="F8769" i="6"/>
  <c r="E8795" i="6"/>
  <c r="F8753" i="6"/>
  <c r="E8779" i="6"/>
  <c r="F8796" i="6"/>
  <c r="E8822" i="6"/>
  <c r="E8764" i="6"/>
  <c r="F8738" i="6"/>
  <c r="F8804" i="6"/>
  <c r="E8830" i="6"/>
  <c r="F8760" i="6"/>
  <c r="E8786" i="6"/>
  <c r="F8773" i="6"/>
  <c r="E8799" i="6"/>
  <c r="E8789" i="6"/>
  <c r="F8763" i="6"/>
  <c r="F8832" i="6"/>
  <c r="E8858" i="6"/>
  <c r="F8814" i="6"/>
  <c r="E8840" i="6"/>
  <c r="F8761" i="6"/>
  <c r="E8787" i="6"/>
  <c r="F8818" i="6"/>
  <c r="E8844" i="6"/>
  <c r="F8808" i="6"/>
  <c r="E8834" i="6"/>
  <c r="E8781" i="6"/>
  <c r="F8755" i="6"/>
  <c r="F8745" i="6"/>
  <c r="E8771" i="6"/>
  <c r="F8757" i="6"/>
  <c r="E8783" i="6"/>
  <c r="F8794" i="6"/>
  <c r="E8820" i="6"/>
  <c r="F8784" i="6"/>
  <c r="E8810" i="6"/>
  <c r="F8772" i="6"/>
  <c r="E8798" i="6"/>
  <c r="F8750" i="6"/>
  <c r="E8776" i="6"/>
  <c r="F8741" i="6"/>
  <c r="E8767" i="6"/>
  <c r="F8749" i="6"/>
  <c r="E8775" i="6"/>
  <c r="E8791" i="6"/>
  <c r="F8765" i="6"/>
  <c r="F8777" i="6"/>
  <c r="E8803" i="6"/>
  <c r="E8811" i="6"/>
  <c r="F8785" i="6"/>
  <c r="F8798" i="6" l="1"/>
  <c r="E8824" i="6"/>
  <c r="E8797" i="6"/>
  <c r="F8771" i="6"/>
  <c r="E8813" i="6"/>
  <c r="F8787" i="6"/>
  <c r="E8825" i="6"/>
  <c r="F8799" i="6"/>
  <c r="F8822" i="6"/>
  <c r="E8848" i="6"/>
  <c r="F8840" i="6"/>
  <c r="E8866" i="6"/>
  <c r="F8786" i="6"/>
  <c r="E8812" i="6"/>
  <c r="E8805" i="6"/>
  <c r="F8779" i="6"/>
  <c r="E8817" i="6"/>
  <c r="F8791" i="6"/>
  <c r="E8801" i="6"/>
  <c r="F8775" i="6"/>
  <c r="F8820" i="6"/>
  <c r="E8846" i="6"/>
  <c r="F8834" i="6"/>
  <c r="E8860" i="6"/>
  <c r="F8858" i="6"/>
  <c r="E8884" i="6"/>
  <c r="F8830" i="6"/>
  <c r="E8856" i="6"/>
  <c r="E8821" i="6"/>
  <c r="F8795" i="6"/>
  <c r="F8810" i="6"/>
  <c r="E8836" i="6"/>
  <c r="E8837" i="6"/>
  <c r="F8811" i="6"/>
  <c r="F8781" i="6"/>
  <c r="E8807" i="6"/>
  <c r="E8829" i="6"/>
  <c r="F8803" i="6"/>
  <c r="F8776" i="6"/>
  <c r="E8802" i="6"/>
  <c r="E8809" i="6"/>
  <c r="F8783" i="6"/>
  <c r="F8844" i="6"/>
  <c r="E8870" i="6"/>
  <c r="F8800" i="6"/>
  <c r="E8826" i="6"/>
  <c r="E8793" i="6"/>
  <c r="F8767" i="6"/>
  <c r="F8789" i="6"/>
  <c r="E8815" i="6"/>
  <c r="F8764" i="6"/>
  <c r="E8790" i="6"/>
  <c r="F8802" i="6" l="1"/>
  <c r="E8828" i="6"/>
  <c r="F8836" i="6"/>
  <c r="E8862" i="6"/>
  <c r="F8860" i="6"/>
  <c r="E8886" i="6"/>
  <c r="F8793" i="6"/>
  <c r="E8819" i="6"/>
  <c r="F8805" i="6"/>
  <c r="E8831" i="6"/>
  <c r="F8825" i="6"/>
  <c r="E8851" i="6"/>
  <c r="F8846" i="6"/>
  <c r="E8872" i="6"/>
  <c r="F8812" i="6"/>
  <c r="E8838" i="6"/>
  <c r="F8826" i="6"/>
  <c r="E8852" i="6"/>
  <c r="F8813" i="6"/>
  <c r="E8839" i="6"/>
  <c r="E8847" i="6"/>
  <c r="F8821" i="6"/>
  <c r="F8870" i="6"/>
  <c r="E8896" i="6"/>
  <c r="E8833" i="6"/>
  <c r="F8807" i="6"/>
  <c r="F8856" i="6"/>
  <c r="E8882" i="6"/>
  <c r="F8866" i="6"/>
  <c r="E8892" i="6"/>
  <c r="F8801" i="6"/>
  <c r="E8827" i="6"/>
  <c r="F8797" i="6"/>
  <c r="E8823" i="6"/>
  <c r="E8855" i="6"/>
  <c r="F8829" i="6"/>
  <c r="E8841" i="6"/>
  <c r="F8815" i="6"/>
  <c r="F8884" i="6"/>
  <c r="E8910" i="6"/>
  <c r="F8848" i="6"/>
  <c r="E8874" i="6"/>
  <c r="F8824" i="6"/>
  <c r="E8850" i="6"/>
  <c r="F8790" i="6"/>
  <c r="E8816" i="6"/>
  <c r="F8809" i="6"/>
  <c r="E8835" i="6"/>
  <c r="F8837" i="6"/>
  <c r="E8863" i="6"/>
  <c r="F8817" i="6"/>
  <c r="E8843" i="6"/>
  <c r="F8910" i="6" l="1"/>
  <c r="E8936" i="6"/>
  <c r="E8853" i="6"/>
  <c r="F8827" i="6"/>
  <c r="F8896" i="6"/>
  <c r="E8922" i="6"/>
  <c r="F8838" i="6"/>
  <c r="E8864" i="6"/>
  <c r="E8845" i="6"/>
  <c r="F8819" i="6"/>
  <c r="E8918" i="6"/>
  <c r="F8892" i="6"/>
  <c r="F8872" i="6"/>
  <c r="E8898" i="6"/>
  <c r="E8912" i="6"/>
  <c r="F8886" i="6"/>
  <c r="E8869" i="6"/>
  <c r="F8843" i="6"/>
  <c r="F8882" i="6"/>
  <c r="E8908" i="6"/>
  <c r="E8865" i="6"/>
  <c r="F8839" i="6"/>
  <c r="E8877" i="6"/>
  <c r="F8851" i="6"/>
  <c r="F8862" i="6"/>
  <c r="E8888" i="6"/>
  <c r="E8873" i="6"/>
  <c r="F8847" i="6"/>
  <c r="E8861" i="6"/>
  <c r="F8835" i="6"/>
  <c r="F8816" i="6"/>
  <c r="E8842" i="6"/>
  <c r="F8841" i="6"/>
  <c r="E8867" i="6"/>
  <c r="F8850" i="6"/>
  <c r="E8876" i="6"/>
  <c r="E8889" i="6"/>
  <c r="F8863" i="6"/>
  <c r="F8874" i="6"/>
  <c r="E8900" i="6"/>
  <c r="E8849" i="6"/>
  <c r="F8823" i="6"/>
  <c r="F8852" i="6"/>
  <c r="E8878" i="6"/>
  <c r="E8857" i="6"/>
  <c r="F8831" i="6"/>
  <c r="F8828" i="6"/>
  <c r="E8854" i="6"/>
  <c r="E8881" i="6"/>
  <c r="F8855" i="6"/>
  <c r="F8833" i="6"/>
  <c r="E8859" i="6"/>
  <c r="E8926" i="6" l="1"/>
  <c r="F8900" i="6"/>
  <c r="E8890" i="6"/>
  <c r="F8864" i="6"/>
  <c r="F8912" i="6"/>
  <c r="E8938" i="6"/>
  <c r="F8922" i="6"/>
  <c r="E8948" i="6"/>
  <c r="F8857" i="6"/>
  <c r="E8883" i="6"/>
  <c r="F8898" i="6"/>
  <c r="E8924" i="6"/>
  <c r="F8859" i="6"/>
  <c r="E8885" i="6"/>
  <c r="F8876" i="6"/>
  <c r="E8902" i="6"/>
  <c r="F8908" i="6"/>
  <c r="E8934" i="6"/>
  <c r="F8854" i="6"/>
  <c r="E8880" i="6"/>
  <c r="F8877" i="6"/>
  <c r="E8903" i="6"/>
  <c r="F8861" i="6"/>
  <c r="E8887" i="6"/>
  <c r="E8944" i="6"/>
  <c r="F8918" i="6"/>
  <c r="F8853" i="6"/>
  <c r="E8879" i="6"/>
  <c r="E8868" i="6"/>
  <c r="F8842" i="6"/>
  <c r="F8889" i="6"/>
  <c r="E8915" i="6"/>
  <c r="F8878" i="6"/>
  <c r="E8904" i="6"/>
  <c r="E8893" i="6"/>
  <c r="F8867" i="6"/>
  <c r="F8888" i="6"/>
  <c r="E8914" i="6"/>
  <c r="E8962" i="6"/>
  <c r="F8936" i="6"/>
  <c r="F8865" i="6"/>
  <c r="E8891" i="6"/>
  <c r="F8873" i="6"/>
  <c r="E8899" i="6"/>
  <c r="F8881" i="6"/>
  <c r="E8907" i="6"/>
  <c r="F8849" i="6"/>
  <c r="E8875" i="6"/>
  <c r="F8869" i="6"/>
  <c r="E8895" i="6"/>
  <c r="E8871" i="6"/>
  <c r="F8845" i="6"/>
  <c r="E8941" i="6" l="1"/>
  <c r="F8915" i="6"/>
  <c r="E8913" i="6"/>
  <c r="F8887" i="6"/>
  <c r="F8902" i="6"/>
  <c r="E8928" i="6"/>
  <c r="F8948" i="6"/>
  <c r="E8974" i="6"/>
  <c r="E8933" i="6"/>
  <c r="F8907" i="6"/>
  <c r="E8929" i="6"/>
  <c r="F8903" i="6"/>
  <c r="F8885" i="6"/>
  <c r="E8911" i="6"/>
  <c r="F8938" i="6"/>
  <c r="E8964" i="6"/>
  <c r="F8962" i="6"/>
  <c r="E8988" i="6"/>
  <c r="E8905" i="6"/>
  <c r="F8879" i="6"/>
  <c r="F8880" i="6"/>
  <c r="E8906" i="6"/>
  <c r="F8924" i="6"/>
  <c r="E8950" i="6"/>
  <c r="F8914" i="6"/>
  <c r="E8940" i="6"/>
  <c r="E8894" i="6"/>
  <c r="F8868" i="6"/>
  <c r="F8890" i="6"/>
  <c r="E8916" i="6"/>
  <c r="E8925" i="6"/>
  <c r="F8899" i="6"/>
  <c r="E8917" i="6"/>
  <c r="F8891" i="6"/>
  <c r="E8960" i="6"/>
  <c r="F8934" i="6"/>
  <c r="E8909" i="6"/>
  <c r="F8883" i="6"/>
  <c r="E8901" i="6"/>
  <c r="F8875" i="6"/>
  <c r="E8897" i="6"/>
  <c r="F8871" i="6"/>
  <c r="F8893" i="6"/>
  <c r="E8919" i="6"/>
  <c r="E8921" i="6"/>
  <c r="F8895" i="6"/>
  <c r="F8904" i="6"/>
  <c r="E8930" i="6"/>
  <c r="F8944" i="6"/>
  <c r="E8970" i="6"/>
  <c r="F8926" i="6"/>
  <c r="E8952" i="6"/>
  <c r="F8950" i="6" l="1"/>
  <c r="E8976" i="6"/>
  <c r="F8964" i="6"/>
  <c r="E8990" i="6"/>
  <c r="F8974" i="6"/>
  <c r="E9000" i="6"/>
  <c r="F8916" i="6"/>
  <c r="E8942" i="6"/>
  <c r="E8937" i="6"/>
  <c r="F8911" i="6"/>
  <c r="F8928" i="6"/>
  <c r="E8954" i="6"/>
  <c r="F8930" i="6"/>
  <c r="E8956" i="6"/>
  <c r="F8906" i="6"/>
  <c r="E8932" i="6"/>
  <c r="E8945" i="6"/>
  <c r="F8919" i="6"/>
  <c r="F8909" i="6"/>
  <c r="E8935" i="6"/>
  <c r="F8960" i="6"/>
  <c r="E8986" i="6"/>
  <c r="E8920" i="6"/>
  <c r="F8894" i="6"/>
  <c r="F8905" i="6"/>
  <c r="E8931" i="6"/>
  <c r="F8929" i="6"/>
  <c r="E8955" i="6"/>
  <c r="F8913" i="6"/>
  <c r="E8939" i="6"/>
  <c r="F8925" i="6"/>
  <c r="E8951" i="6"/>
  <c r="E9014" i="6"/>
  <c r="F8988" i="6"/>
  <c r="F8901" i="6"/>
  <c r="E8927" i="6"/>
  <c r="E8947" i="6"/>
  <c r="F8921" i="6"/>
  <c r="F8952" i="6"/>
  <c r="E8978" i="6"/>
  <c r="F8970" i="6"/>
  <c r="E8996" i="6"/>
  <c r="F8940" i="6"/>
  <c r="E8966" i="6"/>
  <c r="F8897" i="6"/>
  <c r="E8923" i="6"/>
  <c r="F8917" i="6"/>
  <c r="E8943" i="6"/>
  <c r="F8933" i="6"/>
  <c r="E8959" i="6"/>
  <c r="F8941" i="6"/>
  <c r="E8967" i="6"/>
  <c r="F8978" i="6" l="1"/>
  <c r="E9004" i="6"/>
  <c r="E8977" i="6"/>
  <c r="F8951" i="6"/>
  <c r="F8932" i="6"/>
  <c r="E8958" i="6"/>
  <c r="F8942" i="6"/>
  <c r="E8968" i="6"/>
  <c r="F8920" i="6"/>
  <c r="E8946" i="6"/>
  <c r="E8969" i="6"/>
  <c r="F8943" i="6"/>
  <c r="E8949" i="6"/>
  <c r="F8923" i="6"/>
  <c r="E8965" i="6"/>
  <c r="F8939" i="6"/>
  <c r="F8986" i="6"/>
  <c r="E9012" i="6"/>
  <c r="F8956" i="6"/>
  <c r="E8982" i="6"/>
  <c r="F9000" i="6"/>
  <c r="E9026" i="6"/>
  <c r="F8967" i="6"/>
  <c r="E8993" i="6"/>
  <c r="E8953" i="6"/>
  <c r="F8927" i="6"/>
  <c r="E8981" i="6"/>
  <c r="F8955" i="6"/>
  <c r="E8961" i="6"/>
  <c r="F8935" i="6"/>
  <c r="F8954" i="6"/>
  <c r="E8980" i="6"/>
  <c r="F8990" i="6"/>
  <c r="E9016" i="6"/>
  <c r="E8973" i="6"/>
  <c r="F8947" i="6"/>
  <c r="E8985" i="6"/>
  <c r="F8959" i="6"/>
  <c r="F8996" i="6"/>
  <c r="E9022" i="6"/>
  <c r="E8957" i="6"/>
  <c r="F8931" i="6"/>
  <c r="F8976" i="6"/>
  <c r="E9002" i="6"/>
  <c r="F8966" i="6"/>
  <c r="E8992" i="6"/>
  <c r="E9040" i="6"/>
  <c r="F9014" i="6"/>
  <c r="E8971" i="6"/>
  <c r="F8945" i="6"/>
  <c r="F8937" i="6"/>
  <c r="E8963" i="6"/>
  <c r="F9022" i="6" l="1"/>
  <c r="E9048" i="6"/>
  <c r="F8980" i="6"/>
  <c r="E9006" i="6"/>
  <c r="E9019" i="6"/>
  <c r="F8993" i="6"/>
  <c r="F8968" i="6"/>
  <c r="E8994" i="6"/>
  <c r="F8992" i="6"/>
  <c r="E9018" i="6"/>
  <c r="F9026" i="6"/>
  <c r="E9052" i="6"/>
  <c r="F8958" i="6"/>
  <c r="E8984" i="6"/>
  <c r="F8961" i="6"/>
  <c r="E8987" i="6"/>
  <c r="E8991" i="6"/>
  <c r="F8965" i="6"/>
  <c r="F8949" i="6"/>
  <c r="E8975" i="6"/>
  <c r="F8982" i="6"/>
  <c r="E9008" i="6"/>
  <c r="F9040" i="6"/>
  <c r="E9066" i="6"/>
  <c r="E9011" i="6"/>
  <c r="F8985" i="6"/>
  <c r="E8989" i="6"/>
  <c r="F8963" i="6"/>
  <c r="F8973" i="6"/>
  <c r="E8999" i="6"/>
  <c r="F8969" i="6"/>
  <c r="E8995" i="6"/>
  <c r="E9003" i="6"/>
  <c r="F8977" i="6"/>
  <c r="E9042" i="6"/>
  <c r="F9016" i="6"/>
  <c r="E9038" i="6"/>
  <c r="F9012" i="6"/>
  <c r="F8946" i="6"/>
  <c r="E8972" i="6"/>
  <c r="F9004" i="6"/>
  <c r="E9030" i="6"/>
  <c r="F9002" i="6"/>
  <c r="E9028" i="6"/>
  <c r="F8981" i="6"/>
  <c r="E9007" i="6"/>
  <c r="E8997" i="6"/>
  <c r="F8971" i="6"/>
  <c r="E8983" i="6"/>
  <c r="F8957" i="6"/>
  <c r="F8953" i="6"/>
  <c r="E8979" i="6"/>
  <c r="F8972" i="6" l="1"/>
  <c r="E8998" i="6"/>
  <c r="E9021" i="6"/>
  <c r="F8995" i="6"/>
  <c r="F9066" i="6"/>
  <c r="E9092" i="6"/>
  <c r="E9013" i="6"/>
  <c r="F8987" i="6"/>
  <c r="F8994" i="6"/>
  <c r="E9020" i="6"/>
  <c r="E9033" i="6"/>
  <c r="F9007" i="6"/>
  <c r="F9008" i="6"/>
  <c r="E9034" i="6"/>
  <c r="E9010" i="6"/>
  <c r="F8984" i="6"/>
  <c r="F9038" i="6"/>
  <c r="E9064" i="6"/>
  <c r="F9019" i="6"/>
  <c r="E9045" i="6"/>
  <c r="F8997" i="6"/>
  <c r="E9023" i="6"/>
  <c r="E9025" i="6"/>
  <c r="F8999" i="6"/>
  <c r="F9028" i="6"/>
  <c r="E9054" i="6"/>
  <c r="F8975" i="6"/>
  <c r="E9001" i="6"/>
  <c r="F9052" i="6"/>
  <c r="E9078" i="6"/>
  <c r="F9006" i="6"/>
  <c r="E9032" i="6"/>
  <c r="E9005" i="6"/>
  <c r="F8979" i="6"/>
  <c r="E9015" i="6"/>
  <c r="F8989" i="6"/>
  <c r="F9030" i="6"/>
  <c r="E9056" i="6"/>
  <c r="F9018" i="6"/>
  <c r="E9044" i="6"/>
  <c r="F9048" i="6"/>
  <c r="E9074" i="6"/>
  <c r="F9042" i="6"/>
  <c r="E9068" i="6"/>
  <c r="F8983" i="6"/>
  <c r="E9009" i="6"/>
  <c r="F9003" i="6"/>
  <c r="E9029" i="6"/>
  <c r="E9037" i="6"/>
  <c r="F9011" i="6"/>
  <c r="F8991" i="6"/>
  <c r="E9017" i="6"/>
  <c r="F9029" i="6" l="1"/>
  <c r="E9055" i="6"/>
  <c r="F9010" i="6"/>
  <c r="E9036" i="6"/>
  <c r="F9013" i="6"/>
  <c r="E9039" i="6"/>
  <c r="F9044" i="6"/>
  <c r="E9070" i="6"/>
  <c r="F9056" i="6"/>
  <c r="E9082" i="6"/>
  <c r="F9034" i="6"/>
  <c r="E9060" i="6"/>
  <c r="E9118" i="6"/>
  <c r="F9092" i="6"/>
  <c r="F9001" i="6"/>
  <c r="E9027" i="6"/>
  <c r="E9071" i="6"/>
  <c r="F9045" i="6"/>
  <c r="F9032" i="6"/>
  <c r="E9058" i="6"/>
  <c r="F9009" i="6"/>
  <c r="E9035" i="6"/>
  <c r="E9104" i="6"/>
  <c r="F9078" i="6"/>
  <c r="F9068" i="6"/>
  <c r="E9094" i="6"/>
  <c r="E9041" i="6"/>
  <c r="F9015" i="6"/>
  <c r="F9033" i="6"/>
  <c r="E9059" i="6"/>
  <c r="E9047" i="6"/>
  <c r="F9021" i="6"/>
  <c r="F9023" i="6"/>
  <c r="E9049" i="6"/>
  <c r="F9017" i="6"/>
  <c r="E9043" i="6"/>
  <c r="F9074" i="6"/>
  <c r="E9100" i="6"/>
  <c r="F9054" i="6"/>
  <c r="E9080" i="6"/>
  <c r="F9064" i="6"/>
  <c r="E9090" i="6"/>
  <c r="F9020" i="6"/>
  <c r="E9046" i="6"/>
  <c r="F8998" i="6"/>
  <c r="E9024" i="6"/>
  <c r="F9025" i="6"/>
  <c r="E9051" i="6"/>
  <c r="F9037" i="6"/>
  <c r="E9063" i="6"/>
  <c r="F9005" i="6"/>
  <c r="E9031" i="6"/>
  <c r="E9053" i="6" l="1"/>
  <c r="F9027" i="6"/>
  <c r="E9096" i="6"/>
  <c r="F9070" i="6"/>
  <c r="F9104" i="6"/>
  <c r="E9130" i="6"/>
  <c r="E9061" i="6"/>
  <c r="F9035" i="6"/>
  <c r="E9065" i="6"/>
  <c r="F9039" i="6"/>
  <c r="E9077" i="6"/>
  <c r="F9051" i="6"/>
  <c r="E9144" i="6"/>
  <c r="F9118" i="6"/>
  <c r="F9059" i="6"/>
  <c r="E9085" i="6"/>
  <c r="E9057" i="6"/>
  <c r="F9031" i="6"/>
  <c r="E9069" i="6"/>
  <c r="F9043" i="6"/>
  <c r="F9058" i="6"/>
  <c r="E9084" i="6"/>
  <c r="F9060" i="6"/>
  <c r="E9086" i="6"/>
  <c r="F9036" i="6"/>
  <c r="E9062" i="6"/>
  <c r="F9024" i="6"/>
  <c r="E9050" i="6"/>
  <c r="E9073" i="6"/>
  <c r="F9047" i="6"/>
  <c r="F9041" i="6"/>
  <c r="E9067" i="6"/>
  <c r="F9063" i="6"/>
  <c r="E9089" i="6"/>
  <c r="F9090" i="6"/>
  <c r="E9116" i="6"/>
  <c r="F9049" i="6"/>
  <c r="E9075" i="6"/>
  <c r="E9120" i="6"/>
  <c r="F9094" i="6"/>
  <c r="E9108" i="6"/>
  <c r="F9082" i="6"/>
  <c r="E9081" i="6"/>
  <c r="F9055" i="6"/>
  <c r="F9080" i="6"/>
  <c r="E9106" i="6"/>
  <c r="F9100" i="6"/>
  <c r="E9126" i="6"/>
  <c r="E9072" i="6"/>
  <c r="F9046" i="6"/>
  <c r="E9097" i="6"/>
  <c r="F9071" i="6"/>
  <c r="E9152" i="6" l="1"/>
  <c r="F9126" i="6"/>
  <c r="E9112" i="6"/>
  <c r="F9086" i="6"/>
  <c r="F9085" i="6"/>
  <c r="E9111" i="6"/>
  <c r="F9061" i="6"/>
  <c r="E9087" i="6"/>
  <c r="E9093" i="6"/>
  <c r="F9067" i="6"/>
  <c r="F9084" i="6"/>
  <c r="E9110" i="6"/>
  <c r="E9156" i="6"/>
  <c r="F9130" i="6"/>
  <c r="F9106" i="6"/>
  <c r="E9132" i="6"/>
  <c r="F9144" i="6"/>
  <c r="E9170" i="6"/>
  <c r="F9120" i="6"/>
  <c r="E9146" i="6"/>
  <c r="F9050" i="6"/>
  <c r="E9076" i="6"/>
  <c r="F9097" i="6"/>
  <c r="E9123" i="6"/>
  <c r="F9069" i="6"/>
  <c r="E9095" i="6"/>
  <c r="F9077" i="6"/>
  <c r="E9103" i="6"/>
  <c r="E9122" i="6"/>
  <c r="F9096" i="6"/>
  <c r="F9081" i="6"/>
  <c r="E9107" i="6"/>
  <c r="F9089" i="6"/>
  <c r="E9115" i="6"/>
  <c r="F9062" i="6"/>
  <c r="E9088" i="6"/>
  <c r="E9101" i="6"/>
  <c r="F9075" i="6"/>
  <c r="F9073" i="6"/>
  <c r="E9099" i="6"/>
  <c r="F9116" i="6"/>
  <c r="E9142" i="6"/>
  <c r="F9072" i="6"/>
  <c r="E9098" i="6"/>
  <c r="F9108" i="6"/>
  <c r="E9134" i="6"/>
  <c r="F9057" i="6"/>
  <c r="E9083" i="6"/>
  <c r="E9091" i="6"/>
  <c r="F9065" i="6"/>
  <c r="F9053" i="6"/>
  <c r="E9079" i="6"/>
  <c r="E9109" i="6" l="1"/>
  <c r="F9083" i="6"/>
  <c r="E9125" i="6"/>
  <c r="F9099" i="6"/>
  <c r="F9107" i="6"/>
  <c r="E9133" i="6"/>
  <c r="F9123" i="6"/>
  <c r="E9149" i="6"/>
  <c r="E9158" i="6"/>
  <c r="F9132" i="6"/>
  <c r="E9113" i="6"/>
  <c r="F9087" i="6"/>
  <c r="F9076" i="6"/>
  <c r="E9102" i="6"/>
  <c r="F9111" i="6"/>
  <c r="E9137" i="6"/>
  <c r="E9160" i="6"/>
  <c r="F9134" i="6"/>
  <c r="F9156" i="6"/>
  <c r="E9182" i="6"/>
  <c r="F9101" i="6"/>
  <c r="E9127" i="6"/>
  <c r="F9088" i="6"/>
  <c r="E9114" i="6"/>
  <c r="F9103" i="6"/>
  <c r="E9129" i="6"/>
  <c r="E9172" i="6"/>
  <c r="F9146" i="6"/>
  <c r="E9136" i="6"/>
  <c r="F9110" i="6"/>
  <c r="E9138" i="6"/>
  <c r="F9112" i="6"/>
  <c r="F9122" i="6"/>
  <c r="E9148" i="6"/>
  <c r="F9079" i="6"/>
  <c r="E9105" i="6"/>
  <c r="E9168" i="6"/>
  <c r="F9142" i="6"/>
  <c r="E9141" i="6"/>
  <c r="F9115" i="6"/>
  <c r="F9095" i="6"/>
  <c r="E9121" i="6"/>
  <c r="F9170" i="6"/>
  <c r="E9196" i="6"/>
  <c r="E9124" i="6"/>
  <c r="F9098" i="6"/>
  <c r="E9117" i="6"/>
  <c r="F9091" i="6"/>
  <c r="F9093" i="6"/>
  <c r="E9119" i="6"/>
  <c r="F9152" i="6"/>
  <c r="E9178" i="6"/>
  <c r="E9140" i="6" l="1"/>
  <c r="F9114" i="6"/>
  <c r="E9163" i="6"/>
  <c r="F9137" i="6"/>
  <c r="F9149" i="6"/>
  <c r="E9175" i="6"/>
  <c r="F9102" i="6"/>
  <c r="E9128" i="6"/>
  <c r="E9159" i="6"/>
  <c r="F9133" i="6"/>
  <c r="E9164" i="6"/>
  <c r="F9138" i="6"/>
  <c r="F9136" i="6"/>
  <c r="E9162" i="6"/>
  <c r="F9105" i="6"/>
  <c r="E9131" i="6"/>
  <c r="F9182" i="6"/>
  <c r="E9208" i="6"/>
  <c r="E9143" i="6"/>
  <c r="F9117" i="6"/>
  <c r="F9168" i="6"/>
  <c r="E9194" i="6"/>
  <c r="F9113" i="6"/>
  <c r="E9139" i="6"/>
  <c r="E9151" i="6"/>
  <c r="F9125" i="6"/>
  <c r="F9141" i="6"/>
  <c r="E9167" i="6"/>
  <c r="E9153" i="6"/>
  <c r="F9127" i="6"/>
  <c r="E9204" i="6"/>
  <c r="F9178" i="6"/>
  <c r="F9119" i="6"/>
  <c r="E9145" i="6"/>
  <c r="F9148" i="6"/>
  <c r="E9174" i="6"/>
  <c r="E9155" i="6"/>
  <c r="F9129" i="6"/>
  <c r="E9150" i="6"/>
  <c r="F9124" i="6"/>
  <c r="E9222" i="6"/>
  <c r="F9196" i="6"/>
  <c r="F9172" i="6"/>
  <c r="E9198" i="6"/>
  <c r="F9121" i="6"/>
  <c r="E9147" i="6"/>
  <c r="E9186" i="6"/>
  <c r="F9160" i="6"/>
  <c r="E9184" i="6"/>
  <c r="F9158" i="6"/>
  <c r="F9109" i="6"/>
  <c r="E9135" i="6"/>
  <c r="E9165" i="6" l="1"/>
  <c r="F9139" i="6"/>
  <c r="E9157" i="6"/>
  <c r="F9131" i="6"/>
  <c r="F9128" i="6"/>
  <c r="E9154" i="6"/>
  <c r="E9176" i="6"/>
  <c r="F9150" i="6"/>
  <c r="E9220" i="6"/>
  <c r="F9194" i="6"/>
  <c r="E9188" i="6"/>
  <c r="F9162" i="6"/>
  <c r="E9201" i="6"/>
  <c r="F9175" i="6"/>
  <c r="F9186" i="6"/>
  <c r="E9212" i="6"/>
  <c r="F9147" i="6"/>
  <c r="E9173" i="6"/>
  <c r="E9179" i="6"/>
  <c r="F9153" i="6"/>
  <c r="E9181" i="6"/>
  <c r="F9155" i="6"/>
  <c r="E9193" i="6"/>
  <c r="F9167" i="6"/>
  <c r="F9143" i="6"/>
  <c r="E9169" i="6"/>
  <c r="F9164" i="6"/>
  <c r="E9190" i="6"/>
  <c r="E9189" i="6"/>
  <c r="F9163" i="6"/>
  <c r="E9200" i="6"/>
  <c r="F9174" i="6"/>
  <c r="F9145" i="6"/>
  <c r="E9171" i="6"/>
  <c r="F9208" i="6"/>
  <c r="E9234" i="6"/>
  <c r="F9204" i="6"/>
  <c r="E9230" i="6"/>
  <c r="E9161" i="6"/>
  <c r="F9135" i="6"/>
  <c r="F9198" i="6"/>
  <c r="E9224" i="6"/>
  <c r="F9184" i="6"/>
  <c r="E9210" i="6"/>
  <c r="F9222" i="6"/>
  <c r="E9248" i="6"/>
  <c r="E9177" i="6"/>
  <c r="F9151" i="6"/>
  <c r="E9185" i="6"/>
  <c r="F9159" i="6"/>
  <c r="E9166" i="6"/>
  <c r="F9140" i="6"/>
  <c r="F9212" i="6" l="1"/>
  <c r="E9238" i="6"/>
  <c r="E9202" i="6"/>
  <c r="F9176" i="6"/>
  <c r="F9200" i="6"/>
  <c r="E9226" i="6"/>
  <c r="F9154" i="6"/>
  <c r="E9180" i="6"/>
  <c r="F9177" i="6"/>
  <c r="E9203" i="6"/>
  <c r="E9227" i="6"/>
  <c r="F9201" i="6"/>
  <c r="E9256" i="6"/>
  <c r="F9230" i="6"/>
  <c r="F9189" i="6"/>
  <c r="E9215" i="6"/>
  <c r="E9260" i="6"/>
  <c r="F9234" i="6"/>
  <c r="E9216" i="6"/>
  <c r="F9190" i="6"/>
  <c r="E9187" i="6"/>
  <c r="F9161" i="6"/>
  <c r="E9205" i="6"/>
  <c r="F9179" i="6"/>
  <c r="F9188" i="6"/>
  <c r="E9214" i="6"/>
  <c r="E9183" i="6"/>
  <c r="F9157" i="6"/>
  <c r="F9248" i="6"/>
  <c r="E9274" i="6"/>
  <c r="E9207" i="6"/>
  <c r="F9181" i="6"/>
  <c r="E9192" i="6"/>
  <c r="F9166" i="6"/>
  <c r="E9250" i="6"/>
  <c r="F9224" i="6"/>
  <c r="E9197" i="6"/>
  <c r="F9171" i="6"/>
  <c r="E9195" i="6"/>
  <c r="F9169" i="6"/>
  <c r="E9199" i="6"/>
  <c r="F9173" i="6"/>
  <c r="E9219" i="6"/>
  <c r="F9193" i="6"/>
  <c r="E9236" i="6"/>
  <c r="F9210" i="6"/>
  <c r="E9211" i="6"/>
  <c r="F9185" i="6"/>
  <c r="F9220" i="6"/>
  <c r="E9246" i="6"/>
  <c r="E9191" i="6"/>
  <c r="F9165" i="6"/>
  <c r="E9241" i="6" l="1"/>
  <c r="F9215" i="6"/>
  <c r="F9180" i="6"/>
  <c r="E9206" i="6"/>
  <c r="F9226" i="6"/>
  <c r="E9252" i="6"/>
  <c r="E9213" i="6"/>
  <c r="F9187" i="6"/>
  <c r="F9256" i="6"/>
  <c r="E9282" i="6"/>
  <c r="E9237" i="6"/>
  <c r="F9211" i="6"/>
  <c r="E9223" i="6"/>
  <c r="F9197" i="6"/>
  <c r="E9231" i="6"/>
  <c r="F9205" i="6"/>
  <c r="E9276" i="6"/>
  <c r="F9250" i="6"/>
  <c r="E9242" i="6"/>
  <c r="F9216" i="6"/>
  <c r="E9253" i="6"/>
  <c r="F9227" i="6"/>
  <c r="F9202" i="6"/>
  <c r="E9228" i="6"/>
  <c r="E9233" i="6"/>
  <c r="F9207" i="6"/>
  <c r="E9300" i="6"/>
  <c r="F9274" i="6"/>
  <c r="E9217" i="6"/>
  <c r="F9191" i="6"/>
  <c r="F9183" i="6"/>
  <c r="E9209" i="6"/>
  <c r="E9240" i="6"/>
  <c r="F9214" i="6"/>
  <c r="E9229" i="6"/>
  <c r="F9203" i="6"/>
  <c r="F9238" i="6"/>
  <c r="E9264" i="6"/>
  <c r="E9221" i="6"/>
  <c r="F9195" i="6"/>
  <c r="F9236" i="6"/>
  <c r="E9262" i="6"/>
  <c r="E9245" i="6"/>
  <c r="F9219" i="6"/>
  <c r="E9272" i="6"/>
  <c r="F9246" i="6"/>
  <c r="E9225" i="6"/>
  <c r="F9199" i="6"/>
  <c r="F9192" i="6"/>
  <c r="E9218" i="6"/>
  <c r="F9260" i="6"/>
  <c r="E9286" i="6"/>
  <c r="E9235" i="6" l="1"/>
  <c r="F9209" i="6"/>
  <c r="F9228" i="6"/>
  <c r="E9254" i="6"/>
  <c r="F9231" i="6"/>
  <c r="E9257" i="6"/>
  <c r="E9239" i="6"/>
  <c r="F9213" i="6"/>
  <c r="F9252" i="6"/>
  <c r="E9278" i="6"/>
  <c r="E9243" i="6"/>
  <c r="F9217" i="6"/>
  <c r="F9253" i="6"/>
  <c r="E9279" i="6"/>
  <c r="E9249" i="6"/>
  <c r="F9223" i="6"/>
  <c r="F9272" i="6"/>
  <c r="E9298" i="6"/>
  <c r="E9232" i="6"/>
  <c r="F9206" i="6"/>
  <c r="E9247" i="6"/>
  <c r="F9221" i="6"/>
  <c r="E9290" i="6"/>
  <c r="F9264" i="6"/>
  <c r="E9268" i="6"/>
  <c r="F9242" i="6"/>
  <c r="E9263" i="6"/>
  <c r="F9237" i="6"/>
  <c r="E9312" i="6"/>
  <c r="F9286" i="6"/>
  <c r="F9300" i="6"/>
  <c r="E9326" i="6"/>
  <c r="E9308" i="6"/>
  <c r="F9282" i="6"/>
  <c r="E9251" i="6"/>
  <c r="F9225" i="6"/>
  <c r="E9271" i="6"/>
  <c r="F9245" i="6"/>
  <c r="E9255" i="6"/>
  <c r="F9229" i="6"/>
  <c r="E9244" i="6"/>
  <c r="F9218" i="6"/>
  <c r="E9288" i="6"/>
  <c r="F9262" i="6"/>
  <c r="E9266" i="6"/>
  <c r="F9240" i="6"/>
  <c r="F9233" i="6"/>
  <c r="E9259" i="6"/>
  <c r="F9276" i="6"/>
  <c r="E9302" i="6"/>
  <c r="E9267" i="6"/>
  <c r="F9241" i="6"/>
  <c r="E9352" i="6" l="1"/>
  <c r="F9326" i="6"/>
  <c r="E9281" i="6"/>
  <c r="F9255" i="6"/>
  <c r="E9275" i="6"/>
  <c r="F9249" i="6"/>
  <c r="E9265" i="6"/>
  <c r="F9239" i="6"/>
  <c r="F9279" i="6"/>
  <c r="E9305" i="6"/>
  <c r="E9283" i="6"/>
  <c r="F9257" i="6"/>
  <c r="E9292" i="6"/>
  <c r="F9266" i="6"/>
  <c r="E9285" i="6"/>
  <c r="F9259" i="6"/>
  <c r="E9297" i="6"/>
  <c r="F9271" i="6"/>
  <c r="E9280" i="6"/>
  <c r="F9254" i="6"/>
  <c r="F9312" i="6"/>
  <c r="E9338" i="6"/>
  <c r="E9277" i="6"/>
  <c r="F9251" i="6"/>
  <c r="F9232" i="6"/>
  <c r="E9258" i="6"/>
  <c r="F9243" i="6"/>
  <c r="E9269" i="6"/>
  <c r="F9288" i="6"/>
  <c r="E9314" i="6"/>
  <c r="E9324" i="6"/>
  <c r="F9298" i="6"/>
  <c r="E9304" i="6"/>
  <c r="F9278" i="6"/>
  <c r="E9316" i="6"/>
  <c r="F9290" i="6"/>
  <c r="E9273" i="6"/>
  <c r="F9247" i="6"/>
  <c r="E9293" i="6"/>
  <c r="F9267" i="6"/>
  <c r="E9289" i="6"/>
  <c r="F9263" i="6"/>
  <c r="E9328" i="6"/>
  <c r="F9302" i="6"/>
  <c r="F9244" i="6"/>
  <c r="E9270" i="6"/>
  <c r="F9308" i="6"/>
  <c r="E9334" i="6"/>
  <c r="F9268" i="6"/>
  <c r="E9294" i="6"/>
  <c r="E9261" i="6"/>
  <c r="F9235" i="6"/>
  <c r="E9303" i="6" l="1"/>
  <c r="F9277" i="6"/>
  <c r="E9311" i="6"/>
  <c r="F9285" i="6"/>
  <c r="E9291" i="6"/>
  <c r="F9265" i="6"/>
  <c r="E9364" i="6"/>
  <c r="F9338" i="6"/>
  <c r="F9324" i="6"/>
  <c r="E9350" i="6"/>
  <c r="F9292" i="6"/>
  <c r="E9318" i="6"/>
  <c r="E9301" i="6"/>
  <c r="F9275" i="6"/>
  <c r="E9319" i="6"/>
  <c r="F9293" i="6"/>
  <c r="E9295" i="6"/>
  <c r="F9269" i="6"/>
  <c r="E9360" i="6"/>
  <c r="F9334" i="6"/>
  <c r="E9340" i="6"/>
  <c r="F9314" i="6"/>
  <c r="E9299" i="6"/>
  <c r="F9273" i="6"/>
  <c r="E9287" i="6"/>
  <c r="F9261" i="6"/>
  <c r="E9354" i="6"/>
  <c r="F9328" i="6"/>
  <c r="F9316" i="6"/>
  <c r="E9342" i="6"/>
  <c r="F9280" i="6"/>
  <c r="E9306" i="6"/>
  <c r="F9283" i="6"/>
  <c r="E9309" i="6"/>
  <c r="E9307" i="6"/>
  <c r="F9281" i="6"/>
  <c r="E9296" i="6"/>
  <c r="F9270" i="6"/>
  <c r="E9320" i="6"/>
  <c r="F9294" i="6"/>
  <c r="E9284" i="6"/>
  <c r="F9258" i="6"/>
  <c r="E9331" i="6"/>
  <c r="F9305" i="6"/>
  <c r="F9289" i="6"/>
  <c r="E9315" i="6"/>
  <c r="F9304" i="6"/>
  <c r="E9330" i="6"/>
  <c r="E9323" i="6"/>
  <c r="F9297" i="6"/>
  <c r="F9352" i="6"/>
  <c r="E9378" i="6"/>
  <c r="E9332" i="6" l="1"/>
  <c r="F9306" i="6"/>
  <c r="E9325" i="6"/>
  <c r="F9299" i="6"/>
  <c r="E9390" i="6"/>
  <c r="F9364" i="6"/>
  <c r="E9356" i="6"/>
  <c r="F9330" i="6"/>
  <c r="E9345" i="6"/>
  <c r="F9319" i="6"/>
  <c r="F9296" i="6"/>
  <c r="E9322" i="6"/>
  <c r="E9327" i="6"/>
  <c r="F9301" i="6"/>
  <c r="E9317" i="6"/>
  <c r="F9291" i="6"/>
  <c r="E9344" i="6"/>
  <c r="F9318" i="6"/>
  <c r="F9320" i="6"/>
  <c r="E9346" i="6"/>
  <c r="E9368" i="6"/>
  <c r="F9342" i="6"/>
  <c r="F9378" i="6"/>
  <c r="E9404" i="6"/>
  <c r="E9357" i="6"/>
  <c r="F9331" i="6"/>
  <c r="E9380" i="6"/>
  <c r="F9354" i="6"/>
  <c r="F9360" i="6"/>
  <c r="E9386" i="6"/>
  <c r="E9337" i="6"/>
  <c r="F9311" i="6"/>
  <c r="E9341" i="6"/>
  <c r="F9315" i="6"/>
  <c r="F9340" i="6"/>
  <c r="E9366" i="6"/>
  <c r="E9335" i="6"/>
  <c r="F9309" i="6"/>
  <c r="F9350" i="6"/>
  <c r="E9376" i="6"/>
  <c r="F9307" i="6"/>
  <c r="E9333" i="6"/>
  <c r="E9349" i="6"/>
  <c r="F9323" i="6"/>
  <c r="E9310" i="6"/>
  <c r="F9284" i="6"/>
  <c r="F9287" i="6"/>
  <c r="E9313" i="6"/>
  <c r="F9295" i="6"/>
  <c r="E9321" i="6"/>
  <c r="E9329" i="6"/>
  <c r="F9303" i="6"/>
  <c r="E9339" i="6" l="1"/>
  <c r="F9313" i="6"/>
  <c r="F9404" i="6"/>
  <c r="E9430" i="6"/>
  <c r="E9382" i="6"/>
  <c r="F9356" i="6"/>
  <c r="F9376" i="6"/>
  <c r="E9402" i="6"/>
  <c r="E9412" i="6"/>
  <c r="F9386" i="6"/>
  <c r="F9368" i="6"/>
  <c r="E9394" i="6"/>
  <c r="E9353" i="6"/>
  <c r="F9327" i="6"/>
  <c r="E9416" i="6"/>
  <c r="F9390" i="6"/>
  <c r="E9392" i="6"/>
  <c r="F9366" i="6"/>
  <c r="E9372" i="6"/>
  <c r="F9346" i="6"/>
  <c r="E9348" i="6"/>
  <c r="F9322" i="6"/>
  <c r="E9363" i="6"/>
  <c r="F9337" i="6"/>
  <c r="E9375" i="6"/>
  <c r="F9349" i="6"/>
  <c r="E9351" i="6"/>
  <c r="F9325" i="6"/>
  <c r="E9361" i="6"/>
  <c r="F9335" i="6"/>
  <c r="F9329" i="6"/>
  <c r="E9355" i="6"/>
  <c r="F9380" i="6"/>
  <c r="E9406" i="6"/>
  <c r="E9347" i="6"/>
  <c r="F9321" i="6"/>
  <c r="E9343" i="6"/>
  <c r="F9317" i="6"/>
  <c r="F9310" i="6"/>
  <c r="E9336" i="6"/>
  <c r="E9359" i="6"/>
  <c r="F9333" i="6"/>
  <c r="F9341" i="6"/>
  <c r="E9367" i="6"/>
  <c r="E9383" i="6"/>
  <c r="F9357" i="6"/>
  <c r="F9344" i="6"/>
  <c r="E9370" i="6"/>
  <c r="E9371" i="6"/>
  <c r="F9345" i="6"/>
  <c r="E9358" i="6"/>
  <c r="F9332" i="6"/>
  <c r="F9370" i="6" l="1"/>
  <c r="E9396" i="6"/>
  <c r="E9428" i="6"/>
  <c r="F9402" i="6"/>
  <c r="E9389" i="6"/>
  <c r="F9363" i="6"/>
  <c r="F9416" i="6"/>
  <c r="E9442" i="6"/>
  <c r="F9361" i="6"/>
  <c r="E9387" i="6"/>
  <c r="F9348" i="6"/>
  <c r="E9374" i="6"/>
  <c r="E9379" i="6"/>
  <c r="F9353" i="6"/>
  <c r="E9408" i="6"/>
  <c r="F9382" i="6"/>
  <c r="E9409" i="6"/>
  <c r="F9383" i="6"/>
  <c r="F9394" i="6"/>
  <c r="E9420" i="6"/>
  <c r="E9456" i="6"/>
  <c r="F9430" i="6"/>
  <c r="E9381" i="6"/>
  <c r="F9355" i="6"/>
  <c r="E9369" i="6"/>
  <c r="F9343" i="6"/>
  <c r="E9384" i="6"/>
  <c r="F9358" i="6"/>
  <c r="E9377" i="6"/>
  <c r="F9351" i="6"/>
  <c r="F9336" i="6"/>
  <c r="E9362" i="6"/>
  <c r="E9373" i="6"/>
  <c r="F9347" i="6"/>
  <c r="E9432" i="6"/>
  <c r="F9406" i="6"/>
  <c r="E9393" i="6"/>
  <c r="F9367" i="6"/>
  <c r="F9372" i="6"/>
  <c r="E9398" i="6"/>
  <c r="E9397" i="6"/>
  <c r="F9371" i="6"/>
  <c r="E9385" i="6"/>
  <c r="F9359" i="6"/>
  <c r="E9401" i="6"/>
  <c r="F9375" i="6"/>
  <c r="E9418" i="6"/>
  <c r="F9392" i="6"/>
  <c r="F9412" i="6"/>
  <c r="E9438" i="6"/>
  <c r="E9365" i="6"/>
  <c r="F9339" i="6"/>
  <c r="E9424" i="6" l="1"/>
  <c r="F9398" i="6"/>
  <c r="E9468" i="6"/>
  <c r="F9442" i="6"/>
  <c r="F9408" i="6"/>
  <c r="E9434" i="6"/>
  <c r="E9388" i="6"/>
  <c r="F9362" i="6"/>
  <c r="E9403" i="6"/>
  <c r="F9377" i="6"/>
  <c r="F9456" i="6"/>
  <c r="E9482" i="6"/>
  <c r="E9405" i="6"/>
  <c r="F9379" i="6"/>
  <c r="E9415" i="6"/>
  <c r="F9389" i="6"/>
  <c r="E9444" i="6"/>
  <c r="F9418" i="6"/>
  <c r="E9427" i="6"/>
  <c r="F9401" i="6"/>
  <c r="F9420" i="6"/>
  <c r="E9446" i="6"/>
  <c r="E9400" i="6"/>
  <c r="F9374" i="6"/>
  <c r="E9419" i="6"/>
  <c r="F9393" i="6"/>
  <c r="F9432" i="6"/>
  <c r="E9458" i="6"/>
  <c r="F9428" i="6"/>
  <c r="E9454" i="6"/>
  <c r="E9391" i="6"/>
  <c r="F9365" i="6"/>
  <c r="E9464" i="6"/>
  <c r="F9438" i="6"/>
  <c r="E9413" i="6"/>
  <c r="F9387" i="6"/>
  <c r="F9396" i="6"/>
  <c r="E9422" i="6"/>
  <c r="F9381" i="6"/>
  <c r="E9407" i="6"/>
  <c r="E9411" i="6"/>
  <c r="F9385" i="6"/>
  <c r="F9384" i="6"/>
  <c r="E9410" i="6"/>
  <c r="E9423" i="6"/>
  <c r="F9397" i="6"/>
  <c r="E9399" i="6"/>
  <c r="F9373" i="6"/>
  <c r="E9395" i="6"/>
  <c r="F9369" i="6"/>
  <c r="E9435" i="6"/>
  <c r="F9409" i="6"/>
  <c r="E9425" i="6" l="1"/>
  <c r="F9399" i="6"/>
  <c r="E9441" i="6"/>
  <c r="F9415" i="6"/>
  <c r="F9388" i="6"/>
  <c r="E9414" i="6"/>
  <c r="E9433" i="6"/>
  <c r="F9407" i="6"/>
  <c r="E9472" i="6"/>
  <c r="F9446" i="6"/>
  <c r="E9460" i="6"/>
  <c r="F9434" i="6"/>
  <c r="E9426" i="6"/>
  <c r="F9400" i="6"/>
  <c r="E9449" i="6"/>
  <c r="F9423" i="6"/>
  <c r="F9405" i="6"/>
  <c r="E9431" i="6"/>
  <c r="E9448" i="6"/>
  <c r="F9422" i="6"/>
  <c r="E9508" i="6"/>
  <c r="F9482" i="6"/>
  <c r="E9436" i="6"/>
  <c r="F9410" i="6"/>
  <c r="E9439" i="6"/>
  <c r="F9413" i="6"/>
  <c r="F9468" i="6"/>
  <c r="E9494" i="6"/>
  <c r="E9480" i="6"/>
  <c r="F9454" i="6"/>
  <c r="E9453" i="6"/>
  <c r="F9427" i="6"/>
  <c r="E9417" i="6"/>
  <c r="F9391" i="6"/>
  <c r="E9484" i="6"/>
  <c r="F9458" i="6"/>
  <c r="E9461" i="6"/>
  <c r="F9435" i="6"/>
  <c r="F9395" i="6"/>
  <c r="E9421" i="6"/>
  <c r="F9411" i="6"/>
  <c r="E9437" i="6"/>
  <c r="F9464" i="6"/>
  <c r="E9490" i="6"/>
  <c r="E9445" i="6"/>
  <c r="F9419" i="6"/>
  <c r="F9444" i="6"/>
  <c r="E9470" i="6"/>
  <c r="E9429" i="6"/>
  <c r="F9403" i="6"/>
  <c r="F9424" i="6"/>
  <c r="E9450" i="6"/>
  <c r="E9447" i="6" l="1"/>
  <c r="F9421" i="6"/>
  <c r="E9479" i="6"/>
  <c r="F9453" i="6"/>
  <c r="E9475" i="6"/>
  <c r="F9449" i="6"/>
  <c r="E9459" i="6"/>
  <c r="F9433" i="6"/>
  <c r="E9496" i="6"/>
  <c r="F9470" i="6"/>
  <c r="E9440" i="6"/>
  <c r="F9414" i="6"/>
  <c r="F9461" i="6"/>
  <c r="E9487" i="6"/>
  <c r="F9426" i="6"/>
  <c r="E9452" i="6"/>
  <c r="F9494" i="6"/>
  <c r="E9520" i="6"/>
  <c r="E9471" i="6"/>
  <c r="F9445" i="6"/>
  <c r="F9450" i="6"/>
  <c r="E9476" i="6"/>
  <c r="E9474" i="6"/>
  <c r="F9448" i="6"/>
  <c r="F9460" i="6"/>
  <c r="E9486" i="6"/>
  <c r="F9441" i="6"/>
  <c r="E9467" i="6"/>
  <c r="F9436" i="6"/>
  <c r="E9462" i="6"/>
  <c r="F9480" i="6"/>
  <c r="E9506" i="6"/>
  <c r="E9516" i="6"/>
  <c r="F9490" i="6"/>
  <c r="E9457" i="6"/>
  <c r="F9431" i="6"/>
  <c r="F9508" i="6"/>
  <c r="E9534" i="6"/>
  <c r="E9510" i="6"/>
  <c r="F9484" i="6"/>
  <c r="E9463" i="6"/>
  <c r="F9437" i="6"/>
  <c r="F9429" i="6"/>
  <c r="E9455" i="6"/>
  <c r="F9417" i="6"/>
  <c r="E9443" i="6"/>
  <c r="F9439" i="6"/>
  <c r="E9465" i="6"/>
  <c r="F9472" i="6"/>
  <c r="E9498" i="6"/>
  <c r="E9451" i="6"/>
  <c r="F9425" i="6"/>
  <c r="E9532" i="6" l="1"/>
  <c r="F9506" i="6"/>
  <c r="F9452" i="6"/>
  <c r="E9478" i="6"/>
  <c r="E9485" i="6"/>
  <c r="F9459" i="6"/>
  <c r="F9443" i="6"/>
  <c r="E9469" i="6"/>
  <c r="E9513" i="6"/>
  <c r="F9487" i="6"/>
  <c r="E9501" i="6"/>
  <c r="F9475" i="6"/>
  <c r="E9491" i="6"/>
  <c r="F9465" i="6"/>
  <c r="E9560" i="6"/>
  <c r="F9534" i="6"/>
  <c r="F9476" i="6"/>
  <c r="E9502" i="6"/>
  <c r="E9536" i="6"/>
  <c r="F9510" i="6"/>
  <c r="E9488" i="6"/>
  <c r="F9462" i="6"/>
  <c r="E9481" i="6"/>
  <c r="F9455" i="6"/>
  <c r="E9497" i="6"/>
  <c r="F9471" i="6"/>
  <c r="F9440" i="6"/>
  <c r="E9466" i="6"/>
  <c r="E9505" i="6"/>
  <c r="F9479" i="6"/>
  <c r="E9500" i="6"/>
  <c r="F9474" i="6"/>
  <c r="F9486" i="6"/>
  <c r="E9512" i="6"/>
  <c r="F9520" i="6"/>
  <c r="E9546" i="6"/>
  <c r="E9493" i="6"/>
  <c r="F9467" i="6"/>
  <c r="E9477" i="6"/>
  <c r="F9451" i="6"/>
  <c r="E9483" i="6"/>
  <c r="F9457" i="6"/>
  <c r="E9524" i="6"/>
  <c r="F9498" i="6"/>
  <c r="F9463" i="6"/>
  <c r="E9489" i="6"/>
  <c r="E9542" i="6"/>
  <c r="F9516" i="6"/>
  <c r="F9496" i="6"/>
  <c r="E9522" i="6"/>
  <c r="E9473" i="6"/>
  <c r="F9447" i="6"/>
  <c r="E9495" i="6" l="1"/>
  <c r="F9469" i="6"/>
  <c r="F9481" i="6"/>
  <c r="E9507" i="6"/>
  <c r="F9489" i="6"/>
  <c r="E9515" i="6"/>
  <c r="E9568" i="6"/>
  <c r="F9542" i="6"/>
  <c r="E9519" i="6"/>
  <c r="F9493" i="6"/>
  <c r="E9514" i="6"/>
  <c r="F9488" i="6"/>
  <c r="E9517" i="6"/>
  <c r="F9491" i="6"/>
  <c r="E9511" i="6"/>
  <c r="F9485" i="6"/>
  <c r="F9477" i="6"/>
  <c r="E9503" i="6"/>
  <c r="E9572" i="6"/>
  <c r="F9546" i="6"/>
  <c r="F9478" i="6"/>
  <c r="E9504" i="6"/>
  <c r="F9505" i="6"/>
  <c r="E9531" i="6"/>
  <c r="E9499" i="6"/>
  <c r="F9473" i="6"/>
  <c r="E9527" i="6"/>
  <c r="F9501" i="6"/>
  <c r="F9560" i="6"/>
  <c r="E9586" i="6"/>
  <c r="E9492" i="6"/>
  <c r="F9466" i="6"/>
  <c r="F9512" i="6"/>
  <c r="E9538" i="6"/>
  <c r="E9528" i="6"/>
  <c r="F9502" i="6"/>
  <c r="F9500" i="6"/>
  <c r="E9526" i="6"/>
  <c r="F9524" i="6"/>
  <c r="E9550" i="6"/>
  <c r="F9536" i="6"/>
  <c r="E9562" i="6"/>
  <c r="E9548" i="6"/>
  <c r="F9522" i="6"/>
  <c r="E9509" i="6"/>
  <c r="F9483" i="6"/>
  <c r="E9523" i="6"/>
  <c r="F9497" i="6"/>
  <c r="E9539" i="6"/>
  <c r="F9513" i="6"/>
  <c r="E9558" i="6"/>
  <c r="F9532" i="6"/>
  <c r="F9531" i="6" l="1"/>
  <c r="E9557" i="6"/>
  <c r="E9594" i="6"/>
  <c r="F9568" i="6"/>
  <c r="F9515" i="6"/>
  <c r="E9541" i="6"/>
  <c r="F9492" i="6"/>
  <c r="E9518" i="6"/>
  <c r="E9543" i="6"/>
  <c r="F9517" i="6"/>
  <c r="F9550" i="6"/>
  <c r="E9576" i="6"/>
  <c r="F9504" i="6"/>
  <c r="E9530" i="6"/>
  <c r="E9533" i="6"/>
  <c r="F9507" i="6"/>
  <c r="E9612" i="6"/>
  <c r="F9586" i="6"/>
  <c r="E9554" i="6"/>
  <c r="F9528" i="6"/>
  <c r="E9540" i="6"/>
  <c r="F9514" i="6"/>
  <c r="E9549" i="6"/>
  <c r="F9523" i="6"/>
  <c r="E9552" i="6"/>
  <c r="F9526" i="6"/>
  <c r="E9535" i="6"/>
  <c r="F9509" i="6"/>
  <c r="E9574" i="6"/>
  <c r="F9548" i="6"/>
  <c r="F9527" i="6"/>
  <c r="E9553" i="6"/>
  <c r="E9588" i="6"/>
  <c r="F9562" i="6"/>
  <c r="E9564" i="6"/>
  <c r="F9538" i="6"/>
  <c r="F9503" i="6"/>
  <c r="E9529" i="6"/>
  <c r="F9511" i="6"/>
  <c r="E9537" i="6"/>
  <c r="E9584" i="6"/>
  <c r="F9558" i="6"/>
  <c r="F9572" i="6"/>
  <c r="E9598" i="6"/>
  <c r="F9539" i="6"/>
  <c r="E9565" i="6"/>
  <c r="F9499" i="6"/>
  <c r="E9525" i="6"/>
  <c r="F9519" i="6"/>
  <c r="E9545" i="6"/>
  <c r="E9521" i="6"/>
  <c r="F9495" i="6"/>
  <c r="E9563" i="6" l="1"/>
  <c r="F9537" i="6"/>
  <c r="E9579" i="6"/>
  <c r="F9553" i="6"/>
  <c r="E9544" i="6"/>
  <c r="F9518" i="6"/>
  <c r="F9529" i="6"/>
  <c r="E9555" i="6"/>
  <c r="E9556" i="6"/>
  <c r="F9530" i="6"/>
  <c r="F9541" i="6"/>
  <c r="E9567" i="6"/>
  <c r="E9600" i="6"/>
  <c r="F9574" i="6"/>
  <c r="F9540" i="6"/>
  <c r="E9566" i="6"/>
  <c r="E9559" i="6"/>
  <c r="F9533" i="6"/>
  <c r="E9602" i="6"/>
  <c r="F9576" i="6"/>
  <c r="E9575" i="6"/>
  <c r="F9549" i="6"/>
  <c r="F9535" i="6"/>
  <c r="E9561" i="6"/>
  <c r="E9580" i="6"/>
  <c r="F9554" i="6"/>
  <c r="F9594" i="6"/>
  <c r="E9620" i="6"/>
  <c r="E9591" i="6"/>
  <c r="F9565" i="6"/>
  <c r="E9547" i="6"/>
  <c r="F9521" i="6"/>
  <c r="E9571" i="6"/>
  <c r="F9545" i="6"/>
  <c r="E9583" i="6"/>
  <c r="F9557" i="6"/>
  <c r="F9525" i="6"/>
  <c r="E9551" i="6"/>
  <c r="E9624" i="6"/>
  <c r="F9598" i="6"/>
  <c r="E9590" i="6"/>
  <c r="F9564" i="6"/>
  <c r="E9610" i="6"/>
  <c r="F9584" i="6"/>
  <c r="F9588" i="6"/>
  <c r="E9614" i="6"/>
  <c r="F9552" i="6"/>
  <c r="E9578" i="6"/>
  <c r="E9638" i="6"/>
  <c r="F9612" i="6"/>
  <c r="E9569" i="6"/>
  <c r="F9543" i="6"/>
  <c r="E9604" i="6" l="1"/>
  <c r="F9578" i="6"/>
  <c r="E9587" i="6"/>
  <c r="F9561" i="6"/>
  <c r="E9592" i="6"/>
  <c r="F9566" i="6"/>
  <c r="E9581" i="6"/>
  <c r="F9555" i="6"/>
  <c r="E9577" i="6"/>
  <c r="F9551" i="6"/>
  <c r="E9617" i="6"/>
  <c r="F9591" i="6"/>
  <c r="F9575" i="6"/>
  <c r="E9601" i="6"/>
  <c r="F9600" i="6"/>
  <c r="E9626" i="6"/>
  <c r="E9570" i="6"/>
  <c r="F9544" i="6"/>
  <c r="F9547" i="6"/>
  <c r="E9573" i="6"/>
  <c r="F9620" i="6"/>
  <c r="E9646" i="6"/>
  <c r="F9567" i="6"/>
  <c r="E9593" i="6"/>
  <c r="F9624" i="6"/>
  <c r="E9650" i="6"/>
  <c r="E9595" i="6"/>
  <c r="F9569" i="6"/>
  <c r="E9636" i="6"/>
  <c r="F9610" i="6"/>
  <c r="F9602" i="6"/>
  <c r="E9628" i="6"/>
  <c r="F9579" i="6"/>
  <c r="E9605" i="6"/>
  <c r="F9583" i="6"/>
  <c r="E9609" i="6"/>
  <c r="E9640" i="6"/>
  <c r="F9614" i="6"/>
  <c r="F9638" i="6"/>
  <c r="E9664" i="6"/>
  <c r="F9590" i="6"/>
  <c r="E9616" i="6"/>
  <c r="E9597" i="6"/>
  <c r="F9571" i="6"/>
  <c r="F9580" i="6"/>
  <c r="E9606" i="6"/>
  <c r="E9585" i="6"/>
  <c r="F9559" i="6"/>
  <c r="F9556" i="6"/>
  <c r="E9582" i="6"/>
  <c r="E9589" i="6"/>
  <c r="F9563" i="6"/>
  <c r="F9628" i="6" l="1"/>
  <c r="E9654" i="6"/>
  <c r="E9619" i="6"/>
  <c r="F9593" i="6"/>
  <c r="F9626" i="6"/>
  <c r="E9652" i="6"/>
  <c r="E9607" i="6"/>
  <c r="F9581" i="6"/>
  <c r="E9690" i="6"/>
  <c r="F9664" i="6"/>
  <c r="F9601" i="6"/>
  <c r="E9627" i="6"/>
  <c r="E9618" i="6"/>
  <c r="F9592" i="6"/>
  <c r="E9611" i="6"/>
  <c r="F9585" i="6"/>
  <c r="E9662" i="6"/>
  <c r="F9636" i="6"/>
  <c r="F9573" i="6"/>
  <c r="E9599" i="6"/>
  <c r="F9609" i="6"/>
  <c r="E9635" i="6"/>
  <c r="E9623" i="6"/>
  <c r="F9597" i="6"/>
  <c r="F9617" i="6"/>
  <c r="E9643" i="6"/>
  <c r="F9587" i="6"/>
  <c r="E9613" i="6"/>
  <c r="E9632" i="6"/>
  <c r="F9606" i="6"/>
  <c r="E9666" i="6"/>
  <c r="F9640" i="6"/>
  <c r="F9616" i="6"/>
  <c r="E9642" i="6"/>
  <c r="E9631" i="6"/>
  <c r="F9605" i="6"/>
  <c r="E9676" i="6"/>
  <c r="F9650" i="6"/>
  <c r="E9672" i="6"/>
  <c r="F9646" i="6"/>
  <c r="E9615" i="6"/>
  <c r="F9589" i="6"/>
  <c r="F9595" i="6"/>
  <c r="E9621" i="6"/>
  <c r="E9608" i="6"/>
  <c r="F9582" i="6"/>
  <c r="E9596" i="6"/>
  <c r="F9570" i="6"/>
  <c r="F9577" i="6"/>
  <c r="E9603" i="6"/>
  <c r="F9604" i="6"/>
  <c r="E9630" i="6"/>
  <c r="E9692" i="6" l="1"/>
  <c r="F9666" i="6"/>
  <c r="F9611" i="6"/>
  <c r="E9637" i="6"/>
  <c r="E9633" i="6"/>
  <c r="F9607" i="6"/>
  <c r="F9652" i="6"/>
  <c r="E9678" i="6"/>
  <c r="F9672" i="6"/>
  <c r="E9698" i="6"/>
  <c r="F9618" i="6"/>
  <c r="E9644" i="6"/>
  <c r="F9632" i="6"/>
  <c r="E9658" i="6"/>
  <c r="E9647" i="6"/>
  <c r="F9621" i="6"/>
  <c r="F9613" i="6"/>
  <c r="E9639" i="6"/>
  <c r="E9625" i="6"/>
  <c r="F9599" i="6"/>
  <c r="E9653" i="6"/>
  <c r="F9627" i="6"/>
  <c r="F9623" i="6"/>
  <c r="E9649" i="6"/>
  <c r="E9702" i="6"/>
  <c r="F9676" i="6"/>
  <c r="E9656" i="6"/>
  <c r="F9630" i="6"/>
  <c r="E9657" i="6"/>
  <c r="F9631" i="6"/>
  <c r="F9619" i="6"/>
  <c r="E9645" i="6"/>
  <c r="F9608" i="6"/>
  <c r="E9634" i="6"/>
  <c r="E9668" i="6"/>
  <c r="F9642" i="6"/>
  <c r="E9669" i="6"/>
  <c r="F9643" i="6"/>
  <c r="E9680" i="6"/>
  <c r="F9654" i="6"/>
  <c r="E9622" i="6"/>
  <c r="F9596" i="6"/>
  <c r="F9635" i="6"/>
  <c r="E9661" i="6"/>
  <c r="F9603" i="6"/>
  <c r="E9629" i="6"/>
  <c r="E9641" i="6"/>
  <c r="F9615" i="6"/>
  <c r="F9662" i="6"/>
  <c r="E9688" i="6"/>
  <c r="E9716" i="6"/>
  <c r="F9690" i="6"/>
  <c r="E9671" i="6" l="1"/>
  <c r="F9645" i="6"/>
  <c r="E9675" i="6"/>
  <c r="F9649" i="6"/>
  <c r="F9678" i="6"/>
  <c r="E9704" i="6"/>
  <c r="F9647" i="6"/>
  <c r="E9673" i="6"/>
  <c r="E9667" i="6"/>
  <c r="F9641" i="6"/>
  <c r="E9684" i="6"/>
  <c r="F9658" i="6"/>
  <c r="E9659" i="6"/>
  <c r="F9633" i="6"/>
  <c r="E9695" i="6"/>
  <c r="F9669" i="6"/>
  <c r="E9670" i="6"/>
  <c r="F9644" i="6"/>
  <c r="F9637" i="6"/>
  <c r="E9663" i="6"/>
  <c r="E9679" i="6"/>
  <c r="F9653" i="6"/>
  <c r="E9687" i="6"/>
  <c r="F9661" i="6"/>
  <c r="F9625" i="6"/>
  <c r="E9651" i="6"/>
  <c r="F9716" i="6"/>
  <c r="E9742" i="6"/>
  <c r="E9682" i="6"/>
  <c r="F9656" i="6"/>
  <c r="F9634" i="6"/>
  <c r="E9660" i="6"/>
  <c r="E9665" i="6"/>
  <c r="F9639" i="6"/>
  <c r="E9724" i="6"/>
  <c r="F9698" i="6"/>
  <c r="E9706" i="6"/>
  <c r="F9680" i="6"/>
  <c r="E9655" i="6"/>
  <c r="F9629" i="6"/>
  <c r="E9683" i="6"/>
  <c r="F9657" i="6"/>
  <c r="F9668" i="6"/>
  <c r="E9694" i="6"/>
  <c r="F9688" i="6"/>
  <c r="E9714" i="6"/>
  <c r="F9622" i="6"/>
  <c r="E9648" i="6"/>
  <c r="E9728" i="6"/>
  <c r="F9702" i="6"/>
  <c r="F9692" i="6"/>
  <c r="E9718" i="6"/>
  <c r="F9673" i="6" l="1"/>
  <c r="E9699" i="6"/>
  <c r="F9655" i="6"/>
  <c r="E9681" i="6"/>
  <c r="F9695" i="6"/>
  <c r="E9721" i="6"/>
  <c r="F9704" i="6"/>
  <c r="E9730" i="6"/>
  <c r="E9740" i="6"/>
  <c r="F9714" i="6"/>
  <c r="E9708" i="6"/>
  <c r="F9682" i="6"/>
  <c r="F9659" i="6"/>
  <c r="E9685" i="6"/>
  <c r="F9660" i="6"/>
  <c r="E9686" i="6"/>
  <c r="E9732" i="6"/>
  <c r="F9706" i="6"/>
  <c r="F9694" i="6"/>
  <c r="E9720" i="6"/>
  <c r="E9768" i="6"/>
  <c r="F9742" i="6"/>
  <c r="F9663" i="6"/>
  <c r="E9689" i="6"/>
  <c r="F9679" i="6"/>
  <c r="E9705" i="6"/>
  <c r="F9684" i="6"/>
  <c r="E9710" i="6"/>
  <c r="F9675" i="6"/>
  <c r="E9701" i="6"/>
  <c r="F9648" i="6"/>
  <c r="E9674" i="6"/>
  <c r="F9651" i="6"/>
  <c r="E9677" i="6"/>
  <c r="F9687" i="6"/>
  <c r="E9713" i="6"/>
  <c r="E9744" i="6"/>
  <c r="F9718" i="6"/>
  <c r="F9724" i="6"/>
  <c r="E9750" i="6"/>
  <c r="F9728" i="6"/>
  <c r="E9754" i="6"/>
  <c r="F9683" i="6"/>
  <c r="E9709" i="6"/>
  <c r="E9691" i="6"/>
  <c r="F9665" i="6"/>
  <c r="E9696" i="6"/>
  <c r="F9670" i="6"/>
  <c r="F9667" i="6"/>
  <c r="E9693" i="6"/>
  <c r="E9697" i="6"/>
  <c r="F9671" i="6"/>
  <c r="E9700" i="6" l="1"/>
  <c r="F9674" i="6"/>
  <c r="E9715" i="6"/>
  <c r="F9689" i="6"/>
  <c r="E9712" i="6"/>
  <c r="F9686" i="6"/>
  <c r="E9756" i="6"/>
  <c r="F9730" i="6"/>
  <c r="E9727" i="6"/>
  <c r="F9701" i="6"/>
  <c r="E9711" i="6"/>
  <c r="F9685" i="6"/>
  <c r="E9747" i="6"/>
  <c r="F9721" i="6"/>
  <c r="E9739" i="6"/>
  <c r="F9713" i="6"/>
  <c r="E9736" i="6"/>
  <c r="F9710" i="6"/>
  <c r="E9746" i="6"/>
  <c r="F9720" i="6"/>
  <c r="E9707" i="6"/>
  <c r="F9681" i="6"/>
  <c r="E9776" i="6"/>
  <c r="F9750" i="6"/>
  <c r="F9768" i="6"/>
  <c r="E9794" i="6"/>
  <c r="F9708" i="6"/>
  <c r="E9734" i="6"/>
  <c r="F9744" i="6"/>
  <c r="E9770" i="6"/>
  <c r="E9735" i="6"/>
  <c r="F9709" i="6"/>
  <c r="E9719" i="6"/>
  <c r="F9693" i="6"/>
  <c r="E9780" i="6"/>
  <c r="F9754" i="6"/>
  <c r="E9703" i="6"/>
  <c r="F9677" i="6"/>
  <c r="E9731" i="6"/>
  <c r="F9705" i="6"/>
  <c r="F9699" i="6"/>
  <c r="E9725" i="6"/>
  <c r="F9696" i="6"/>
  <c r="E9722" i="6"/>
  <c r="F9691" i="6"/>
  <c r="E9717" i="6"/>
  <c r="E9723" i="6"/>
  <c r="F9697" i="6"/>
  <c r="F9732" i="6"/>
  <c r="E9758" i="6"/>
  <c r="F9740" i="6"/>
  <c r="E9766" i="6"/>
  <c r="E9782" i="6" l="1"/>
  <c r="F9756" i="6"/>
  <c r="E9743" i="6"/>
  <c r="F9717" i="6"/>
  <c r="F9731" i="6"/>
  <c r="E9757" i="6"/>
  <c r="E9796" i="6"/>
  <c r="F9770" i="6"/>
  <c r="F9707" i="6"/>
  <c r="E9733" i="6"/>
  <c r="F9747" i="6"/>
  <c r="E9773" i="6"/>
  <c r="F9712" i="6"/>
  <c r="E9738" i="6"/>
  <c r="F9735" i="6"/>
  <c r="E9761" i="6"/>
  <c r="E9792" i="6"/>
  <c r="F9766" i="6"/>
  <c r="E9760" i="6"/>
  <c r="F9734" i="6"/>
  <c r="E9802" i="6"/>
  <c r="F9776" i="6"/>
  <c r="F9780" i="6"/>
  <c r="E9806" i="6"/>
  <c r="E9772" i="6"/>
  <c r="F9746" i="6"/>
  <c r="F9711" i="6"/>
  <c r="E9737" i="6"/>
  <c r="F9715" i="6"/>
  <c r="E9741" i="6"/>
  <c r="F9739" i="6"/>
  <c r="E9765" i="6"/>
  <c r="F9703" i="6"/>
  <c r="E9729" i="6"/>
  <c r="E9784" i="6"/>
  <c r="F9758" i="6"/>
  <c r="E9820" i="6"/>
  <c r="F9794" i="6"/>
  <c r="F9723" i="6"/>
  <c r="E9749" i="6"/>
  <c r="E9748" i="6"/>
  <c r="F9722" i="6"/>
  <c r="E9751" i="6"/>
  <c r="F9725" i="6"/>
  <c r="F9719" i="6"/>
  <c r="E9745" i="6"/>
  <c r="F9736" i="6"/>
  <c r="E9762" i="6"/>
  <c r="E9753" i="6"/>
  <c r="F9727" i="6"/>
  <c r="E9726" i="6"/>
  <c r="F9700" i="6"/>
  <c r="E9775" i="6" l="1"/>
  <c r="F9749" i="6"/>
  <c r="E9791" i="6"/>
  <c r="F9765" i="6"/>
  <c r="E9832" i="6"/>
  <c r="F9806" i="6"/>
  <c r="E9787" i="6"/>
  <c r="F9761" i="6"/>
  <c r="F9796" i="6"/>
  <c r="E9822" i="6"/>
  <c r="E9764" i="6"/>
  <c r="F9738" i="6"/>
  <c r="E9783" i="6"/>
  <c r="F9757" i="6"/>
  <c r="E9788" i="6"/>
  <c r="F9762" i="6"/>
  <c r="E9846" i="6"/>
  <c r="F9820" i="6"/>
  <c r="E9828" i="6"/>
  <c r="F9802" i="6"/>
  <c r="F9737" i="6"/>
  <c r="E9763" i="6"/>
  <c r="E9799" i="6"/>
  <c r="F9773" i="6"/>
  <c r="F9745" i="6"/>
  <c r="E9771" i="6"/>
  <c r="F9760" i="6"/>
  <c r="E9786" i="6"/>
  <c r="F9743" i="6"/>
  <c r="E9769" i="6"/>
  <c r="E9752" i="6"/>
  <c r="F9726" i="6"/>
  <c r="F9784" i="6"/>
  <c r="E9810" i="6"/>
  <c r="E9755" i="6"/>
  <c r="F9729" i="6"/>
  <c r="E9759" i="6"/>
  <c r="F9733" i="6"/>
  <c r="E9767" i="6"/>
  <c r="F9741" i="6"/>
  <c r="F9751" i="6"/>
  <c r="E9777" i="6"/>
  <c r="F9753" i="6"/>
  <c r="E9779" i="6"/>
  <c r="E9774" i="6"/>
  <c r="F9748" i="6"/>
  <c r="F9772" i="6"/>
  <c r="E9798" i="6"/>
  <c r="F9792" i="6"/>
  <c r="E9818" i="6"/>
  <c r="E9808" i="6"/>
  <c r="F9782" i="6"/>
  <c r="F9799" i="6" l="1"/>
  <c r="E9825" i="6"/>
  <c r="F9787" i="6"/>
  <c r="E9813" i="6"/>
  <c r="F9767" i="6"/>
  <c r="E9793" i="6"/>
  <c r="E9824" i="6"/>
  <c r="F9798" i="6"/>
  <c r="F9783" i="6"/>
  <c r="E9809" i="6"/>
  <c r="F9832" i="6"/>
  <c r="E9858" i="6"/>
  <c r="F9759" i="6"/>
  <c r="E9785" i="6"/>
  <c r="F9779" i="6"/>
  <c r="E9805" i="6"/>
  <c r="F9786" i="6"/>
  <c r="E9812" i="6"/>
  <c r="F9752" i="6"/>
  <c r="E9778" i="6"/>
  <c r="F9763" i="6"/>
  <c r="E9789" i="6"/>
  <c r="F9828" i="6"/>
  <c r="E9854" i="6"/>
  <c r="E9790" i="6"/>
  <c r="F9764" i="6"/>
  <c r="F9791" i="6"/>
  <c r="E9817" i="6"/>
  <c r="E9814" i="6"/>
  <c r="F9788" i="6"/>
  <c r="F9808" i="6"/>
  <c r="E9834" i="6"/>
  <c r="E9844" i="6"/>
  <c r="F9818" i="6"/>
  <c r="E9803" i="6"/>
  <c r="F9777" i="6"/>
  <c r="E9836" i="6"/>
  <c r="F9810" i="6"/>
  <c r="E9797" i="6"/>
  <c r="F9771" i="6"/>
  <c r="E9848" i="6"/>
  <c r="F9822" i="6"/>
  <c r="E9795" i="6"/>
  <c r="F9769" i="6"/>
  <c r="F9774" i="6"/>
  <c r="E9800" i="6"/>
  <c r="F9755" i="6"/>
  <c r="E9781" i="6"/>
  <c r="E9872" i="6"/>
  <c r="F9846" i="6"/>
  <c r="F9775" i="6"/>
  <c r="E9801" i="6"/>
  <c r="E9807" i="6" l="1"/>
  <c r="F9781" i="6"/>
  <c r="E9860" i="6"/>
  <c r="F9834" i="6"/>
  <c r="E9880" i="6"/>
  <c r="F9854" i="6"/>
  <c r="E9831" i="6"/>
  <c r="F9805" i="6"/>
  <c r="F9824" i="6"/>
  <c r="E9850" i="6"/>
  <c r="E9826" i="6"/>
  <c r="F9800" i="6"/>
  <c r="E9811" i="6"/>
  <c r="F9785" i="6"/>
  <c r="E9819" i="6"/>
  <c r="F9793" i="6"/>
  <c r="E9843" i="6"/>
  <c r="F9817" i="6"/>
  <c r="E9804" i="6"/>
  <c r="F9778" i="6"/>
  <c r="E9884" i="6"/>
  <c r="F9858" i="6"/>
  <c r="E9839" i="6"/>
  <c r="F9813" i="6"/>
  <c r="E9840" i="6"/>
  <c r="F9814" i="6"/>
  <c r="E9823" i="6"/>
  <c r="F9797" i="6"/>
  <c r="E9815" i="6"/>
  <c r="F9789" i="6"/>
  <c r="F9803" i="6"/>
  <c r="E9829" i="6"/>
  <c r="F9812" i="6"/>
  <c r="E9838" i="6"/>
  <c r="E9835" i="6"/>
  <c r="F9809" i="6"/>
  <c r="E9851" i="6"/>
  <c r="F9825" i="6"/>
  <c r="E9862" i="6"/>
  <c r="F9836" i="6"/>
  <c r="E9827" i="6"/>
  <c r="F9801" i="6"/>
  <c r="F9795" i="6"/>
  <c r="E9821" i="6"/>
  <c r="F9872" i="6"/>
  <c r="E9898" i="6"/>
  <c r="F9848" i="6"/>
  <c r="E9874" i="6"/>
  <c r="E9870" i="6"/>
  <c r="F9844" i="6"/>
  <c r="E9816" i="6"/>
  <c r="F9790" i="6"/>
  <c r="E9855" i="6" l="1"/>
  <c r="F9829" i="6"/>
  <c r="F9839" i="6"/>
  <c r="E9865" i="6"/>
  <c r="F9831" i="6"/>
  <c r="E9857" i="6"/>
  <c r="F9851" i="6"/>
  <c r="E9877" i="6"/>
  <c r="F9811" i="6"/>
  <c r="E9837" i="6"/>
  <c r="E9906" i="6"/>
  <c r="F9880" i="6"/>
  <c r="E9924" i="6"/>
  <c r="F9898" i="6"/>
  <c r="F9815" i="6"/>
  <c r="E9841" i="6"/>
  <c r="F9874" i="6"/>
  <c r="E9900" i="6"/>
  <c r="F9884" i="6"/>
  <c r="E9910" i="6"/>
  <c r="E9861" i="6"/>
  <c r="F9835" i="6"/>
  <c r="E9849" i="6"/>
  <c r="F9823" i="6"/>
  <c r="E9830" i="6"/>
  <c r="F9804" i="6"/>
  <c r="E9852" i="6"/>
  <c r="F9826" i="6"/>
  <c r="F9860" i="6"/>
  <c r="E9886" i="6"/>
  <c r="E9845" i="6"/>
  <c r="F9819" i="6"/>
  <c r="E9847" i="6"/>
  <c r="F9821" i="6"/>
  <c r="E9864" i="6"/>
  <c r="F9838" i="6"/>
  <c r="E9876" i="6"/>
  <c r="F9850" i="6"/>
  <c r="E9888" i="6"/>
  <c r="F9862" i="6"/>
  <c r="F9816" i="6"/>
  <c r="E9842" i="6"/>
  <c r="F9870" i="6"/>
  <c r="E9896" i="6"/>
  <c r="F9827" i="6"/>
  <c r="E9853" i="6"/>
  <c r="F9840" i="6"/>
  <c r="E9866" i="6"/>
  <c r="E9869" i="6"/>
  <c r="F9843" i="6"/>
  <c r="F9807" i="6"/>
  <c r="E9833" i="6"/>
  <c r="E9867" i="6" l="1"/>
  <c r="F9841" i="6"/>
  <c r="E9903" i="6"/>
  <c r="F9877" i="6"/>
  <c r="F9866" i="6"/>
  <c r="E9892" i="6"/>
  <c r="E9883" i="6"/>
  <c r="F9857" i="6"/>
  <c r="F9924" i="6"/>
  <c r="E9950" i="6"/>
  <c r="F9896" i="6"/>
  <c r="E9922" i="6"/>
  <c r="F9910" i="6"/>
  <c r="E9936" i="6"/>
  <c r="E9891" i="6"/>
  <c r="F9865" i="6"/>
  <c r="E9871" i="6"/>
  <c r="F9845" i="6"/>
  <c r="E9879" i="6"/>
  <c r="F9853" i="6"/>
  <c r="E9859" i="6"/>
  <c r="F9833" i="6"/>
  <c r="E9878" i="6"/>
  <c r="F9852" i="6"/>
  <c r="E9932" i="6"/>
  <c r="F9906" i="6"/>
  <c r="F9888" i="6"/>
  <c r="E9914" i="6"/>
  <c r="E9912" i="6"/>
  <c r="F9886" i="6"/>
  <c r="F9876" i="6"/>
  <c r="E9902" i="6"/>
  <c r="F9864" i="6"/>
  <c r="E9890" i="6"/>
  <c r="F9900" i="6"/>
  <c r="E9926" i="6"/>
  <c r="F9837" i="6"/>
  <c r="E9863" i="6"/>
  <c r="E9875" i="6"/>
  <c r="F9849" i="6"/>
  <c r="E9887" i="6"/>
  <c r="F9861" i="6"/>
  <c r="E9868" i="6"/>
  <c r="F9842" i="6"/>
  <c r="E9895" i="6"/>
  <c r="F9869" i="6"/>
  <c r="F9847" i="6"/>
  <c r="E9873" i="6"/>
  <c r="F9830" i="6"/>
  <c r="E9856" i="6"/>
  <c r="E9881" i="6"/>
  <c r="F9855" i="6"/>
  <c r="E9899" i="6" l="1"/>
  <c r="F9873" i="6"/>
  <c r="E9904" i="6"/>
  <c r="F9878" i="6"/>
  <c r="F9891" i="6"/>
  <c r="E9917" i="6"/>
  <c r="E9909" i="6"/>
  <c r="F9883" i="6"/>
  <c r="F9892" i="6"/>
  <c r="E9918" i="6"/>
  <c r="F9859" i="6"/>
  <c r="E9885" i="6"/>
  <c r="E9928" i="6"/>
  <c r="F9902" i="6"/>
  <c r="F9895" i="6"/>
  <c r="E9921" i="6"/>
  <c r="E9940" i="6"/>
  <c r="F9914" i="6"/>
  <c r="F9922" i="6"/>
  <c r="E9948" i="6"/>
  <c r="E9907" i="6"/>
  <c r="F9881" i="6"/>
  <c r="E9905" i="6"/>
  <c r="F9879" i="6"/>
  <c r="F9903" i="6"/>
  <c r="E9929" i="6"/>
  <c r="F9875" i="6"/>
  <c r="E9901" i="6"/>
  <c r="F9936" i="6"/>
  <c r="E9962" i="6"/>
  <c r="F9868" i="6"/>
  <c r="E9894" i="6"/>
  <c r="E9976" i="6"/>
  <c r="F9950" i="6"/>
  <c r="F9863" i="6"/>
  <c r="E9889" i="6"/>
  <c r="F9912" i="6"/>
  <c r="E9938" i="6"/>
  <c r="F9926" i="6"/>
  <c r="E9952" i="6"/>
  <c r="F9856" i="6"/>
  <c r="E9882" i="6"/>
  <c r="F9890" i="6"/>
  <c r="E9916" i="6"/>
  <c r="F9887" i="6"/>
  <c r="E9913" i="6"/>
  <c r="F9932" i="6"/>
  <c r="E9958" i="6"/>
  <c r="F9871" i="6"/>
  <c r="E9897" i="6"/>
  <c r="F9867" i="6"/>
  <c r="E9893" i="6"/>
  <c r="E9920" i="6" l="1"/>
  <c r="F9894" i="6"/>
  <c r="E9947" i="6"/>
  <c r="F9921" i="6"/>
  <c r="E9935" i="6"/>
  <c r="F9909" i="6"/>
  <c r="F9962" i="6"/>
  <c r="E9988" i="6"/>
  <c r="E9943" i="6"/>
  <c r="F9917" i="6"/>
  <c r="F9928" i="6"/>
  <c r="E9954" i="6"/>
  <c r="E9931" i="6"/>
  <c r="F9905" i="6"/>
  <c r="F9916" i="6"/>
  <c r="E9942" i="6"/>
  <c r="E9915" i="6"/>
  <c r="F9889" i="6"/>
  <c r="E9927" i="6"/>
  <c r="F9901" i="6"/>
  <c r="E9974" i="6"/>
  <c r="F9948" i="6"/>
  <c r="E9911" i="6"/>
  <c r="F9885" i="6"/>
  <c r="F9952" i="6"/>
  <c r="E9978" i="6"/>
  <c r="F9938" i="6"/>
  <c r="E9964" i="6"/>
  <c r="F9904" i="6"/>
  <c r="E9930" i="6"/>
  <c r="F9958" i="6"/>
  <c r="E9984" i="6"/>
  <c r="E9939" i="6"/>
  <c r="F9913" i="6"/>
  <c r="F9907" i="6"/>
  <c r="E9933" i="6"/>
  <c r="F9897" i="6"/>
  <c r="E9923" i="6"/>
  <c r="E9908" i="6"/>
  <c r="F9882" i="6"/>
  <c r="F9929" i="6"/>
  <c r="E9955" i="6"/>
  <c r="E9944" i="6"/>
  <c r="F9918" i="6"/>
  <c r="E9919" i="6"/>
  <c r="F9893" i="6"/>
  <c r="F9976" i="6"/>
  <c r="E10002" i="6"/>
  <c r="E9966" i="6"/>
  <c r="F9940" i="6"/>
  <c r="F9899" i="6"/>
  <c r="E9925" i="6"/>
  <c r="F9984" i="6" l="1"/>
  <c r="E10010" i="6"/>
  <c r="F9942" i="6"/>
  <c r="E9968" i="6"/>
  <c r="E10014" i="6"/>
  <c r="F9988" i="6"/>
  <c r="F9911" i="6"/>
  <c r="E9937" i="6"/>
  <c r="E9956" i="6"/>
  <c r="F9930" i="6"/>
  <c r="E10000" i="6"/>
  <c r="F9974" i="6"/>
  <c r="F9931" i="6"/>
  <c r="E9957" i="6"/>
  <c r="F9935" i="6"/>
  <c r="E9961" i="6"/>
  <c r="F10002" i="6"/>
  <c r="E10028" i="6"/>
  <c r="F9919" i="6"/>
  <c r="E9945" i="6"/>
  <c r="E9959" i="6"/>
  <c r="F9933" i="6"/>
  <c r="F9964" i="6"/>
  <c r="E9990" i="6"/>
  <c r="F9954" i="6"/>
  <c r="E9980" i="6"/>
  <c r="E9934" i="6"/>
  <c r="F9908" i="6"/>
  <c r="E9951" i="6"/>
  <c r="F9925" i="6"/>
  <c r="F9927" i="6"/>
  <c r="E9953" i="6"/>
  <c r="E9973" i="6"/>
  <c r="F9947" i="6"/>
  <c r="E10004" i="6"/>
  <c r="F9978" i="6"/>
  <c r="F9923" i="6"/>
  <c r="E9949" i="6"/>
  <c r="F9944" i="6"/>
  <c r="E9970" i="6"/>
  <c r="F9955" i="6"/>
  <c r="E9981" i="6"/>
  <c r="F9966" i="6"/>
  <c r="E9992" i="6"/>
  <c r="F9939" i="6"/>
  <c r="E9965" i="6"/>
  <c r="E9941" i="6"/>
  <c r="F9915" i="6"/>
  <c r="F9943" i="6"/>
  <c r="E9969" i="6"/>
  <c r="F9920" i="6"/>
  <c r="E9946" i="6"/>
  <c r="E9996" i="6" l="1"/>
  <c r="F9970" i="6"/>
  <c r="E9979" i="6"/>
  <c r="F9953" i="6"/>
  <c r="F9990" i="6"/>
  <c r="E10016" i="6"/>
  <c r="F9961" i="6"/>
  <c r="E9987" i="6"/>
  <c r="E9963" i="6"/>
  <c r="F9937" i="6"/>
  <c r="E9967" i="6"/>
  <c r="F9941" i="6"/>
  <c r="E9975" i="6"/>
  <c r="F9949" i="6"/>
  <c r="E9983" i="6"/>
  <c r="F9957" i="6"/>
  <c r="F10014" i="6"/>
  <c r="E10040" i="6"/>
  <c r="F9951" i="6"/>
  <c r="E9977" i="6"/>
  <c r="E9971" i="6"/>
  <c r="F9945" i="6"/>
  <c r="F9968" i="6"/>
  <c r="E9994" i="6"/>
  <c r="F9959" i="6"/>
  <c r="E9985" i="6"/>
  <c r="F9946" i="6"/>
  <c r="E9972" i="6"/>
  <c r="E10030" i="6"/>
  <c r="F10004" i="6"/>
  <c r="E10026" i="6"/>
  <c r="F10000" i="6"/>
  <c r="F9992" i="6"/>
  <c r="E10018" i="6"/>
  <c r="E9995" i="6"/>
  <c r="F9969" i="6"/>
  <c r="E10007" i="6"/>
  <c r="F9981" i="6"/>
  <c r="F9980" i="6"/>
  <c r="E10006" i="6"/>
  <c r="F10028" i="6"/>
  <c r="E10054" i="6"/>
  <c r="E10036" i="6"/>
  <c r="F10010" i="6"/>
  <c r="E9991" i="6"/>
  <c r="F9965" i="6"/>
  <c r="F9934" i="6"/>
  <c r="E9960" i="6"/>
  <c r="E9999" i="6"/>
  <c r="F9973" i="6"/>
  <c r="F9956" i="6"/>
  <c r="E9982" i="6"/>
  <c r="F9960" i="6" l="1"/>
  <c r="E9986" i="6"/>
  <c r="E10032" i="6"/>
  <c r="F10006" i="6"/>
  <c r="F9994" i="6"/>
  <c r="E10020" i="6"/>
  <c r="F9987" i="6"/>
  <c r="E10013" i="6"/>
  <c r="E10042" i="6"/>
  <c r="F10016" i="6"/>
  <c r="F10026" i="6"/>
  <c r="E10052" i="6"/>
  <c r="F10030" i="6"/>
  <c r="E10056" i="6"/>
  <c r="F9971" i="6"/>
  <c r="E9997" i="6"/>
  <c r="F9975" i="6"/>
  <c r="E10001" i="6"/>
  <c r="F9982" i="6"/>
  <c r="E10008" i="6"/>
  <c r="F9972" i="6"/>
  <c r="E9998" i="6"/>
  <c r="F9977" i="6"/>
  <c r="E10003" i="6"/>
  <c r="F10007" i="6"/>
  <c r="E10033" i="6"/>
  <c r="F10036" i="6"/>
  <c r="E10062" i="6"/>
  <c r="F9967" i="6"/>
  <c r="E9993" i="6"/>
  <c r="F9979" i="6"/>
  <c r="E10005" i="6"/>
  <c r="F9995" i="6"/>
  <c r="E10021" i="6"/>
  <c r="F10054" i="6"/>
  <c r="E10080" i="6"/>
  <c r="F10018" i="6"/>
  <c r="E10044" i="6"/>
  <c r="F9985" i="6"/>
  <c r="E10011" i="6"/>
  <c r="F10040" i="6"/>
  <c r="E10066" i="6"/>
  <c r="F9983" i="6"/>
  <c r="E10009" i="6"/>
  <c r="F9991" i="6"/>
  <c r="E10017" i="6"/>
  <c r="F9999" i="6"/>
  <c r="E10025" i="6"/>
  <c r="F9963" i="6"/>
  <c r="E9989" i="6"/>
  <c r="F9996" i="6"/>
  <c r="E10022" i="6"/>
  <c r="E10051" i="6" l="1"/>
  <c r="F10025" i="6"/>
  <c r="F10011" i="6"/>
  <c r="E10037" i="6"/>
  <c r="F10005" i="6"/>
  <c r="E10031" i="6"/>
  <c r="F10003" i="6"/>
  <c r="E10029" i="6"/>
  <c r="F9997" i="6"/>
  <c r="E10023" i="6"/>
  <c r="E10039" i="6"/>
  <c r="F10013" i="6"/>
  <c r="E10019" i="6"/>
  <c r="F9993" i="6"/>
  <c r="E10024" i="6"/>
  <c r="F9998" i="6"/>
  <c r="F10056" i="6"/>
  <c r="E10082" i="6"/>
  <c r="F10020" i="6"/>
  <c r="E10046" i="6"/>
  <c r="E10043" i="6"/>
  <c r="F10017" i="6"/>
  <c r="E10035" i="6"/>
  <c r="F10009" i="6"/>
  <c r="E10106" i="6"/>
  <c r="F10080" i="6"/>
  <c r="F10062" i="6"/>
  <c r="E10088" i="6"/>
  <c r="F10008" i="6"/>
  <c r="E10034" i="6"/>
  <c r="E10078" i="6"/>
  <c r="F10052" i="6"/>
  <c r="F10022" i="6"/>
  <c r="E10048" i="6"/>
  <c r="F10032" i="6"/>
  <c r="E10058" i="6"/>
  <c r="F10044" i="6"/>
  <c r="E10070" i="6"/>
  <c r="F9989" i="6"/>
  <c r="E10015" i="6"/>
  <c r="E10092" i="6"/>
  <c r="F10066" i="6"/>
  <c r="F10021" i="6"/>
  <c r="E10047" i="6"/>
  <c r="E10059" i="6"/>
  <c r="F10033" i="6"/>
  <c r="E10027" i="6"/>
  <c r="F10001" i="6"/>
  <c r="F9986" i="6"/>
  <c r="E10012" i="6"/>
  <c r="E10068" i="6"/>
  <c r="F10042" i="6"/>
  <c r="E10055" i="6" l="1"/>
  <c r="F10029" i="6"/>
  <c r="F10024" i="6"/>
  <c r="E10050" i="6"/>
  <c r="F10015" i="6"/>
  <c r="E10041" i="6"/>
  <c r="F10070" i="6"/>
  <c r="E10096" i="6"/>
  <c r="F10031" i="6"/>
  <c r="E10057" i="6"/>
  <c r="F10078" i="6"/>
  <c r="E10104" i="6"/>
  <c r="F10019" i="6"/>
  <c r="E10045" i="6"/>
  <c r="F10035" i="6"/>
  <c r="E10061" i="6"/>
  <c r="E10084" i="6"/>
  <c r="F10058" i="6"/>
  <c r="F10088" i="6"/>
  <c r="E10114" i="6"/>
  <c r="E10072" i="6"/>
  <c r="F10046" i="6"/>
  <c r="F10037" i="6"/>
  <c r="E10063" i="6"/>
  <c r="E10060" i="6"/>
  <c r="F10034" i="6"/>
  <c r="F10043" i="6"/>
  <c r="E10069" i="6"/>
  <c r="F10039" i="6"/>
  <c r="E10065" i="6"/>
  <c r="F10059" i="6"/>
  <c r="E10085" i="6"/>
  <c r="F10047" i="6"/>
  <c r="E10073" i="6"/>
  <c r="F10012" i="6"/>
  <c r="E10038" i="6"/>
  <c r="E10108" i="6"/>
  <c r="F10082" i="6"/>
  <c r="F10023" i="6"/>
  <c r="E10049" i="6"/>
  <c r="E10053" i="6"/>
  <c r="F10027" i="6"/>
  <c r="F10068" i="6"/>
  <c r="E10094" i="6"/>
  <c r="F10048" i="6"/>
  <c r="E10074" i="6"/>
  <c r="E10118" i="6"/>
  <c r="F10092" i="6"/>
  <c r="F10106" i="6"/>
  <c r="E10132" i="6"/>
  <c r="E10077" i="6"/>
  <c r="F10051" i="6"/>
  <c r="F10049" i="6" l="1"/>
  <c r="E10075" i="6"/>
  <c r="F10085" i="6"/>
  <c r="E10111" i="6"/>
  <c r="F10063" i="6"/>
  <c r="E10089" i="6"/>
  <c r="E10087" i="6"/>
  <c r="F10061" i="6"/>
  <c r="E10122" i="6"/>
  <c r="F10096" i="6"/>
  <c r="F10118" i="6"/>
  <c r="E10144" i="6"/>
  <c r="E10071" i="6"/>
  <c r="F10045" i="6"/>
  <c r="F10041" i="6"/>
  <c r="E10067" i="6"/>
  <c r="F10094" i="6"/>
  <c r="E10120" i="6"/>
  <c r="E10095" i="6"/>
  <c r="F10069" i="6"/>
  <c r="E10140" i="6"/>
  <c r="F10114" i="6"/>
  <c r="E10130" i="6"/>
  <c r="F10104" i="6"/>
  <c r="F10050" i="6"/>
  <c r="E10076" i="6"/>
  <c r="F10072" i="6"/>
  <c r="E10098" i="6"/>
  <c r="E10100" i="6"/>
  <c r="F10074" i="6"/>
  <c r="E10134" i="6"/>
  <c r="F10108" i="6"/>
  <c r="E10064" i="6"/>
  <c r="F10038" i="6"/>
  <c r="E10158" i="6"/>
  <c r="F10132" i="6"/>
  <c r="F10073" i="6"/>
  <c r="E10099" i="6"/>
  <c r="F10057" i="6"/>
  <c r="E10083" i="6"/>
  <c r="F10065" i="6"/>
  <c r="E10091" i="6"/>
  <c r="E10103" i="6"/>
  <c r="F10077" i="6"/>
  <c r="E10079" i="6"/>
  <c r="F10053" i="6"/>
  <c r="F10060" i="6"/>
  <c r="E10086" i="6"/>
  <c r="F10084" i="6"/>
  <c r="E10110" i="6"/>
  <c r="F10055" i="6"/>
  <c r="E10081" i="6"/>
  <c r="E10109" i="6" l="1"/>
  <c r="F10083" i="6"/>
  <c r="F10067" i="6"/>
  <c r="E10093" i="6"/>
  <c r="F10134" i="6"/>
  <c r="E10160" i="6"/>
  <c r="F10087" i="6"/>
  <c r="E10113" i="6"/>
  <c r="F10086" i="6"/>
  <c r="E10112" i="6"/>
  <c r="F10089" i="6"/>
  <c r="E10115" i="6"/>
  <c r="E10125" i="6"/>
  <c r="F10099" i="6"/>
  <c r="F10071" i="6"/>
  <c r="E10097" i="6"/>
  <c r="F10079" i="6"/>
  <c r="E10105" i="6"/>
  <c r="E10124" i="6"/>
  <c r="F10098" i="6"/>
  <c r="F10144" i="6"/>
  <c r="E10170" i="6"/>
  <c r="F10111" i="6"/>
  <c r="E10137" i="6"/>
  <c r="E10126" i="6"/>
  <c r="F10100" i="6"/>
  <c r="F10081" i="6"/>
  <c r="E10107" i="6"/>
  <c r="F10103" i="6"/>
  <c r="E10129" i="6"/>
  <c r="E10121" i="6"/>
  <c r="F10095" i="6"/>
  <c r="F10130" i="6"/>
  <c r="E10156" i="6"/>
  <c r="E10102" i="6"/>
  <c r="F10076" i="6"/>
  <c r="E10146" i="6"/>
  <c r="F10120" i="6"/>
  <c r="F10075" i="6"/>
  <c r="E10101" i="6"/>
  <c r="F10140" i="6"/>
  <c r="E10166" i="6"/>
  <c r="F10158" i="6"/>
  <c r="E10184" i="6"/>
  <c r="F10110" i="6"/>
  <c r="E10136" i="6"/>
  <c r="E10117" i="6"/>
  <c r="F10091" i="6"/>
  <c r="F10064" i="6"/>
  <c r="E10090" i="6"/>
  <c r="E10148" i="6"/>
  <c r="F10122" i="6"/>
  <c r="F10101" i="6" l="1"/>
  <c r="E10127" i="6"/>
  <c r="F10137" i="6"/>
  <c r="E10163" i="6"/>
  <c r="E10123" i="6"/>
  <c r="F10097" i="6"/>
  <c r="F10113" i="6"/>
  <c r="E10139" i="6"/>
  <c r="E10155" i="6"/>
  <c r="F10129" i="6"/>
  <c r="F10170" i="6"/>
  <c r="E10196" i="6"/>
  <c r="F10160" i="6"/>
  <c r="E10186" i="6"/>
  <c r="F10146" i="6"/>
  <c r="E10172" i="6"/>
  <c r="E10151" i="6"/>
  <c r="F10125" i="6"/>
  <c r="F10117" i="6"/>
  <c r="E10143" i="6"/>
  <c r="F10184" i="6"/>
  <c r="E10210" i="6"/>
  <c r="E10133" i="6"/>
  <c r="F10107" i="6"/>
  <c r="E10141" i="6"/>
  <c r="F10115" i="6"/>
  <c r="F10093" i="6"/>
  <c r="E10119" i="6"/>
  <c r="F10148" i="6"/>
  <c r="E10174" i="6"/>
  <c r="F10102" i="6"/>
  <c r="E10128" i="6"/>
  <c r="F10090" i="6"/>
  <c r="E10116" i="6"/>
  <c r="F10166" i="6"/>
  <c r="E10192" i="6"/>
  <c r="F10156" i="6"/>
  <c r="E10182" i="6"/>
  <c r="E10131" i="6"/>
  <c r="F10105" i="6"/>
  <c r="F10112" i="6"/>
  <c r="E10138" i="6"/>
  <c r="F10121" i="6"/>
  <c r="E10147" i="6"/>
  <c r="F10136" i="6"/>
  <c r="E10162" i="6"/>
  <c r="E10150" i="6"/>
  <c r="F10124" i="6"/>
  <c r="F10126" i="6"/>
  <c r="E10152" i="6"/>
  <c r="E10135" i="6"/>
  <c r="F10109" i="6"/>
  <c r="E10154" i="6" l="1"/>
  <c r="F10128" i="6"/>
  <c r="F10172" i="6"/>
  <c r="E10198" i="6"/>
  <c r="F10139" i="6"/>
  <c r="E10165" i="6"/>
  <c r="E10159" i="6"/>
  <c r="F10133" i="6"/>
  <c r="F10182" i="6"/>
  <c r="E10208" i="6"/>
  <c r="F10210" i="6"/>
  <c r="E10236" i="6"/>
  <c r="F10186" i="6"/>
  <c r="E10212" i="6"/>
  <c r="E10176" i="6"/>
  <c r="F10150" i="6"/>
  <c r="E10149" i="6"/>
  <c r="F10123" i="6"/>
  <c r="F10174" i="6"/>
  <c r="E10200" i="6"/>
  <c r="E10173" i="6"/>
  <c r="F10147" i="6"/>
  <c r="F10192" i="6"/>
  <c r="E10218" i="6"/>
  <c r="F10119" i="6"/>
  <c r="E10145" i="6"/>
  <c r="E10169" i="6"/>
  <c r="F10143" i="6"/>
  <c r="F10196" i="6"/>
  <c r="E10222" i="6"/>
  <c r="E10189" i="6"/>
  <c r="F10163" i="6"/>
  <c r="F10162" i="6"/>
  <c r="E10188" i="6"/>
  <c r="E10161" i="6"/>
  <c r="F10135" i="6"/>
  <c r="E10153" i="6"/>
  <c r="F10127" i="6"/>
  <c r="E10157" i="6"/>
  <c r="F10131" i="6"/>
  <c r="E10178" i="6"/>
  <c r="F10152" i="6"/>
  <c r="F10138" i="6"/>
  <c r="E10164" i="6"/>
  <c r="F10116" i="6"/>
  <c r="E10142" i="6"/>
  <c r="E10167" i="6"/>
  <c r="F10141" i="6"/>
  <c r="E10177" i="6"/>
  <c r="F10151" i="6"/>
  <c r="F10155" i="6"/>
  <c r="E10181" i="6"/>
  <c r="F10218" i="6" l="1"/>
  <c r="E10244" i="6"/>
  <c r="E10183" i="6"/>
  <c r="F10157" i="6"/>
  <c r="E10185" i="6"/>
  <c r="F10159" i="6"/>
  <c r="F10222" i="6"/>
  <c r="E10248" i="6"/>
  <c r="F10212" i="6"/>
  <c r="E10238" i="6"/>
  <c r="E10191" i="6"/>
  <c r="F10165" i="6"/>
  <c r="E10215" i="6"/>
  <c r="F10189" i="6"/>
  <c r="E10193" i="6"/>
  <c r="F10167" i="6"/>
  <c r="F10142" i="6"/>
  <c r="E10168" i="6"/>
  <c r="E10179" i="6"/>
  <c r="F10153" i="6"/>
  <c r="F10200" i="6"/>
  <c r="E10226" i="6"/>
  <c r="F10236" i="6"/>
  <c r="E10262" i="6"/>
  <c r="E10224" i="6"/>
  <c r="F10198" i="6"/>
  <c r="F10176" i="6"/>
  <c r="E10202" i="6"/>
  <c r="E10195" i="6"/>
  <c r="F10169" i="6"/>
  <c r="E10207" i="6"/>
  <c r="F10181" i="6"/>
  <c r="F10164" i="6"/>
  <c r="E10190" i="6"/>
  <c r="F10188" i="6"/>
  <c r="E10214" i="6"/>
  <c r="F10145" i="6"/>
  <c r="E10171" i="6"/>
  <c r="F10208" i="6"/>
  <c r="E10234" i="6"/>
  <c r="F10173" i="6"/>
  <c r="E10199" i="6"/>
  <c r="F10161" i="6"/>
  <c r="E10187" i="6"/>
  <c r="F10177" i="6"/>
  <c r="E10203" i="6"/>
  <c r="F10178" i="6"/>
  <c r="E10204" i="6"/>
  <c r="E10175" i="6"/>
  <c r="F10149" i="6"/>
  <c r="F10154" i="6"/>
  <c r="E10180" i="6"/>
  <c r="F10204" i="6" l="1"/>
  <c r="E10230" i="6"/>
  <c r="F10234" i="6"/>
  <c r="E10260" i="6"/>
  <c r="F10262" i="6"/>
  <c r="E10288" i="6"/>
  <c r="F10248" i="6"/>
  <c r="E10274" i="6"/>
  <c r="F10171" i="6"/>
  <c r="E10197" i="6"/>
  <c r="E10219" i="6"/>
  <c r="F10193" i="6"/>
  <c r="E10241" i="6"/>
  <c r="F10215" i="6"/>
  <c r="F10185" i="6"/>
  <c r="E10211" i="6"/>
  <c r="E10213" i="6"/>
  <c r="F10187" i="6"/>
  <c r="E10221" i="6"/>
  <c r="F10195" i="6"/>
  <c r="F10179" i="6"/>
  <c r="E10205" i="6"/>
  <c r="E10217" i="6"/>
  <c r="F10191" i="6"/>
  <c r="E10209" i="6"/>
  <c r="F10183" i="6"/>
  <c r="F10226" i="6"/>
  <c r="E10252" i="6"/>
  <c r="F10180" i="6"/>
  <c r="E10206" i="6"/>
  <c r="F10202" i="6"/>
  <c r="E10228" i="6"/>
  <c r="F10199" i="6"/>
  <c r="E10225" i="6"/>
  <c r="F10190" i="6"/>
  <c r="E10216" i="6"/>
  <c r="F10168" i="6"/>
  <c r="E10194" i="6"/>
  <c r="E10264" i="6"/>
  <c r="F10238" i="6"/>
  <c r="F10244" i="6"/>
  <c r="E10270" i="6"/>
  <c r="E10233" i="6"/>
  <c r="F10207" i="6"/>
  <c r="F10203" i="6"/>
  <c r="E10229" i="6"/>
  <c r="F10214" i="6"/>
  <c r="E10240" i="6"/>
  <c r="E10201" i="6"/>
  <c r="F10175" i="6"/>
  <c r="F10224" i="6"/>
  <c r="E10250" i="6"/>
  <c r="F10228" i="6" l="1"/>
  <c r="E10254" i="6"/>
  <c r="F10211" i="6"/>
  <c r="E10237" i="6"/>
  <c r="F10274" i="6"/>
  <c r="E10300" i="6"/>
  <c r="F10194" i="6"/>
  <c r="E10220" i="6"/>
  <c r="E10231" i="6"/>
  <c r="F10205" i="6"/>
  <c r="F10288" i="6"/>
  <c r="E10314" i="6"/>
  <c r="F10264" i="6"/>
  <c r="E10290" i="6"/>
  <c r="F10241" i="6"/>
  <c r="E10267" i="6"/>
  <c r="F10216" i="6"/>
  <c r="E10242" i="6"/>
  <c r="F10252" i="6"/>
  <c r="E10278" i="6"/>
  <c r="F10260" i="6"/>
  <c r="E10286" i="6"/>
  <c r="E10243" i="6"/>
  <c r="F10217" i="6"/>
  <c r="E10247" i="6"/>
  <c r="F10221" i="6"/>
  <c r="F10219" i="6"/>
  <c r="E10245" i="6"/>
  <c r="F10206" i="6"/>
  <c r="E10232" i="6"/>
  <c r="F10250" i="6"/>
  <c r="E10276" i="6"/>
  <c r="F10233" i="6"/>
  <c r="E10259" i="6"/>
  <c r="E10296" i="6"/>
  <c r="F10270" i="6"/>
  <c r="F10225" i="6"/>
  <c r="E10251" i="6"/>
  <c r="E10223" i="6"/>
  <c r="F10197" i="6"/>
  <c r="E10256" i="6"/>
  <c r="F10230" i="6"/>
  <c r="F10240" i="6"/>
  <c r="E10266" i="6"/>
  <c r="E10255" i="6"/>
  <c r="F10229" i="6"/>
  <c r="F10201" i="6"/>
  <c r="E10227" i="6"/>
  <c r="F10209" i="6"/>
  <c r="E10235" i="6"/>
  <c r="E10239" i="6"/>
  <c r="F10213" i="6"/>
  <c r="F10276" i="6" l="1"/>
  <c r="E10302" i="6"/>
  <c r="F10267" i="6"/>
  <c r="E10293" i="6"/>
  <c r="F10220" i="6"/>
  <c r="E10246" i="6"/>
  <c r="F10243" i="6"/>
  <c r="E10269" i="6"/>
  <c r="F10251" i="6"/>
  <c r="E10277" i="6"/>
  <c r="F10290" i="6"/>
  <c r="E10316" i="6"/>
  <c r="F10300" i="6"/>
  <c r="E10326" i="6"/>
  <c r="F10255" i="6"/>
  <c r="E10281" i="6"/>
  <c r="F10314" i="6"/>
  <c r="E10340" i="6"/>
  <c r="F10237" i="6"/>
  <c r="E10263" i="6"/>
  <c r="E10265" i="6"/>
  <c r="F10239" i="6"/>
  <c r="E10253" i="6"/>
  <c r="F10227" i="6"/>
  <c r="E10312" i="6"/>
  <c r="F10286" i="6"/>
  <c r="F10245" i="6"/>
  <c r="E10271" i="6"/>
  <c r="F10242" i="6"/>
  <c r="E10268" i="6"/>
  <c r="F10254" i="6"/>
  <c r="E10280" i="6"/>
  <c r="E10249" i="6"/>
  <c r="F10223" i="6"/>
  <c r="F10232" i="6"/>
  <c r="E10258" i="6"/>
  <c r="E10292" i="6"/>
  <c r="F10266" i="6"/>
  <c r="F10278" i="6"/>
  <c r="E10304" i="6"/>
  <c r="F10296" i="6"/>
  <c r="E10322" i="6"/>
  <c r="F10235" i="6"/>
  <c r="E10261" i="6"/>
  <c r="F10259" i="6"/>
  <c r="E10285" i="6"/>
  <c r="F10256" i="6"/>
  <c r="E10282" i="6"/>
  <c r="F10247" i="6"/>
  <c r="E10273" i="6"/>
  <c r="F10231" i="6"/>
  <c r="E10257" i="6"/>
  <c r="F10304" i="6" l="1"/>
  <c r="E10330" i="6"/>
  <c r="F10280" i="6"/>
  <c r="E10306" i="6"/>
  <c r="E10307" i="6"/>
  <c r="F10281" i="6"/>
  <c r="E10295" i="6"/>
  <c r="F10269" i="6"/>
  <c r="E10311" i="6"/>
  <c r="F10285" i="6"/>
  <c r="F10326" i="6"/>
  <c r="E10352" i="6"/>
  <c r="F10246" i="6"/>
  <c r="E10272" i="6"/>
  <c r="F10292" i="6"/>
  <c r="E10318" i="6"/>
  <c r="E10291" i="6"/>
  <c r="F10265" i="6"/>
  <c r="E10287" i="6"/>
  <c r="F10261" i="6"/>
  <c r="F10258" i="6"/>
  <c r="E10284" i="6"/>
  <c r="F10271" i="6"/>
  <c r="E10297" i="6"/>
  <c r="F10263" i="6"/>
  <c r="E10289" i="6"/>
  <c r="E10342" i="6"/>
  <c r="F10316" i="6"/>
  <c r="E10319" i="6"/>
  <c r="F10293" i="6"/>
  <c r="E10279" i="6"/>
  <c r="F10253" i="6"/>
  <c r="E10294" i="6"/>
  <c r="F10268" i="6"/>
  <c r="E10283" i="6"/>
  <c r="F10257" i="6"/>
  <c r="F10282" i="6"/>
  <c r="E10308" i="6"/>
  <c r="E10299" i="6"/>
  <c r="F10273" i="6"/>
  <c r="F10322" i="6"/>
  <c r="E10348" i="6"/>
  <c r="F10340" i="6"/>
  <c r="E10366" i="6"/>
  <c r="F10277" i="6"/>
  <c r="E10303" i="6"/>
  <c r="F10302" i="6"/>
  <c r="E10328" i="6"/>
  <c r="E10275" i="6"/>
  <c r="F10249" i="6"/>
  <c r="F10312" i="6"/>
  <c r="E10338" i="6"/>
  <c r="E10323" i="6" l="1"/>
  <c r="F10297" i="6"/>
  <c r="F10318" i="6"/>
  <c r="E10344" i="6"/>
  <c r="F10295" i="6"/>
  <c r="E10321" i="6"/>
  <c r="F10272" i="6"/>
  <c r="E10298" i="6"/>
  <c r="F10308" i="6"/>
  <c r="E10334" i="6"/>
  <c r="F10319" i="6"/>
  <c r="E10345" i="6"/>
  <c r="E10333" i="6"/>
  <c r="F10307" i="6"/>
  <c r="F10328" i="6"/>
  <c r="E10354" i="6"/>
  <c r="F10303" i="6"/>
  <c r="E10329" i="6"/>
  <c r="F10366" i="6"/>
  <c r="E10392" i="6"/>
  <c r="F10352" i="6"/>
  <c r="E10378" i="6"/>
  <c r="F10306" i="6"/>
  <c r="E10332" i="6"/>
  <c r="F10299" i="6"/>
  <c r="E10325" i="6"/>
  <c r="F10284" i="6"/>
  <c r="E10310" i="6"/>
  <c r="F10283" i="6"/>
  <c r="E10309" i="6"/>
  <c r="F10287" i="6"/>
  <c r="E10313" i="6"/>
  <c r="F10338" i="6"/>
  <c r="E10364" i="6"/>
  <c r="E10315" i="6"/>
  <c r="F10289" i="6"/>
  <c r="E10356" i="6"/>
  <c r="F10330" i="6"/>
  <c r="F10279" i="6"/>
  <c r="E10305" i="6"/>
  <c r="F10342" i="6"/>
  <c r="E10368" i="6"/>
  <c r="F10348" i="6"/>
  <c r="E10374" i="6"/>
  <c r="F10275" i="6"/>
  <c r="E10301" i="6"/>
  <c r="F10294" i="6"/>
  <c r="E10320" i="6"/>
  <c r="F10291" i="6"/>
  <c r="E10317" i="6"/>
  <c r="F10311" i="6"/>
  <c r="E10337" i="6"/>
  <c r="E10331" i="6" l="1"/>
  <c r="F10305" i="6"/>
  <c r="E10339" i="6"/>
  <c r="F10313" i="6"/>
  <c r="F10332" i="6"/>
  <c r="E10358" i="6"/>
  <c r="F10354" i="6"/>
  <c r="E10380" i="6"/>
  <c r="F10298" i="6"/>
  <c r="E10324" i="6"/>
  <c r="F10378" i="6"/>
  <c r="E10404" i="6"/>
  <c r="E10347" i="6"/>
  <c r="F10321" i="6"/>
  <c r="E10359" i="6"/>
  <c r="F10333" i="6"/>
  <c r="F10320" i="6"/>
  <c r="E10346" i="6"/>
  <c r="E10327" i="6"/>
  <c r="F10301" i="6"/>
  <c r="F10356" i="6"/>
  <c r="E10382" i="6"/>
  <c r="E10400" i="6"/>
  <c r="F10374" i="6"/>
  <c r="F10310" i="6"/>
  <c r="E10336" i="6"/>
  <c r="F10392" i="6"/>
  <c r="E10418" i="6"/>
  <c r="E10371" i="6"/>
  <c r="F10345" i="6"/>
  <c r="F10344" i="6"/>
  <c r="E10370" i="6"/>
  <c r="E10335" i="6"/>
  <c r="F10309" i="6"/>
  <c r="E10363" i="6"/>
  <c r="F10337" i="6"/>
  <c r="F10315" i="6"/>
  <c r="E10341" i="6"/>
  <c r="F10317" i="6"/>
  <c r="E10343" i="6"/>
  <c r="F10368" i="6"/>
  <c r="E10394" i="6"/>
  <c r="F10364" i="6"/>
  <c r="E10390" i="6"/>
  <c r="F10325" i="6"/>
  <c r="E10351" i="6"/>
  <c r="E10355" i="6"/>
  <c r="F10329" i="6"/>
  <c r="F10334" i="6"/>
  <c r="E10360" i="6"/>
  <c r="F10323" i="6"/>
  <c r="E10349" i="6"/>
  <c r="F10380" i="6" l="1"/>
  <c r="E10406" i="6"/>
  <c r="F10400" i="6"/>
  <c r="E10426" i="6"/>
  <c r="F10382" i="6"/>
  <c r="E10408" i="6"/>
  <c r="F10358" i="6"/>
  <c r="E10384" i="6"/>
  <c r="F10370" i="6"/>
  <c r="E10396" i="6"/>
  <c r="E10367" i="6"/>
  <c r="F10341" i="6"/>
  <c r="F10347" i="6"/>
  <c r="E10373" i="6"/>
  <c r="E10381" i="6"/>
  <c r="F10355" i="6"/>
  <c r="F10371" i="6"/>
  <c r="E10397" i="6"/>
  <c r="F10418" i="6"/>
  <c r="E10444" i="6"/>
  <c r="F10404" i="6"/>
  <c r="E10430" i="6"/>
  <c r="F10349" i="6"/>
  <c r="E10375" i="6"/>
  <c r="F10363" i="6"/>
  <c r="E10389" i="6"/>
  <c r="F10327" i="6"/>
  <c r="E10353" i="6"/>
  <c r="F10339" i="6"/>
  <c r="E10365" i="6"/>
  <c r="E10385" i="6"/>
  <c r="F10359" i="6"/>
  <c r="F10390" i="6"/>
  <c r="E10416" i="6"/>
  <c r="F10360" i="6"/>
  <c r="E10386" i="6"/>
  <c r="F10394" i="6"/>
  <c r="E10420" i="6"/>
  <c r="F10336" i="6"/>
  <c r="E10362" i="6"/>
  <c r="F10346" i="6"/>
  <c r="E10372" i="6"/>
  <c r="F10324" i="6"/>
  <c r="E10350" i="6"/>
  <c r="F10343" i="6"/>
  <c r="E10369" i="6"/>
  <c r="F10351" i="6"/>
  <c r="E10377" i="6"/>
  <c r="F10335" i="6"/>
  <c r="E10361" i="6"/>
  <c r="F10331" i="6"/>
  <c r="E10357" i="6"/>
  <c r="F10375" i="6" l="1"/>
  <c r="E10401" i="6"/>
  <c r="E10410" i="6"/>
  <c r="F10384" i="6"/>
  <c r="E10407" i="6"/>
  <c r="F10381" i="6"/>
  <c r="E10403" i="6"/>
  <c r="F10377" i="6"/>
  <c r="E10395" i="6"/>
  <c r="F10369" i="6"/>
  <c r="F10420" i="6"/>
  <c r="E10446" i="6"/>
  <c r="E10391" i="6"/>
  <c r="F10365" i="6"/>
  <c r="F10430" i="6"/>
  <c r="E10456" i="6"/>
  <c r="F10373" i="6"/>
  <c r="E10399" i="6"/>
  <c r="F10408" i="6"/>
  <c r="E10434" i="6"/>
  <c r="F10362" i="6"/>
  <c r="E10388" i="6"/>
  <c r="E10379" i="6"/>
  <c r="F10353" i="6"/>
  <c r="F10426" i="6"/>
  <c r="E10452" i="6"/>
  <c r="F10350" i="6"/>
  <c r="E10376" i="6"/>
  <c r="E10412" i="6"/>
  <c r="F10386" i="6"/>
  <c r="F10367" i="6"/>
  <c r="E10393" i="6"/>
  <c r="E10387" i="6"/>
  <c r="F10361" i="6"/>
  <c r="F10372" i="6"/>
  <c r="E10398" i="6"/>
  <c r="F10416" i="6"/>
  <c r="E10442" i="6"/>
  <c r="E10415" i="6"/>
  <c r="F10389" i="6"/>
  <c r="E10423" i="6"/>
  <c r="F10397" i="6"/>
  <c r="F10396" i="6"/>
  <c r="E10422" i="6"/>
  <c r="F10406" i="6"/>
  <c r="E10432" i="6"/>
  <c r="E10411" i="6"/>
  <c r="F10385" i="6"/>
  <c r="E10383" i="6"/>
  <c r="F10357" i="6"/>
  <c r="F10444" i="6"/>
  <c r="E10470" i="6"/>
  <c r="E10419" i="6" l="1"/>
  <c r="F10393" i="6"/>
  <c r="F10456" i="6"/>
  <c r="E10482" i="6"/>
  <c r="F10379" i="6"/>
  <c r="E10405" i="6"/>
  <c r="F10403" i="6"/>
  <c r="E10429" i="6"/>
  <c r="E10417" i="6"/>
  <c r="F10391" i="6"/>
  <c r="F10407" i="6"/>
  <c r="E10433" i="6"/>
  <c r="E10441" i="6"/>
  <c r="F10415" i="6"/>
  <c r="F10388" i="6"/>
  <c r="E10414" i="6"/>
  <c r="F10470" i="6"/>
  <c r="E10496" i="6"/>
  <c r="F10398" i="6"/>
  <c r="E10424" i="6"/>
  <c r="F10376" i="6"/>
  <c r="E10402" i="6"/>
  <c r="F10434" i="6"/>
  <c r="E10460" i="6"/>
  <c r="F10446" i="6"/>
  <c r="E10472" i="6"/>
  <c r="F10422" i="6"/>
  <c r="E10448" i="6"/>
  <c r="F10410" i="6"/>
  <c r="E10436" i="6"/>
  <c r="E10437" i="6"/>
  <c r="F10411" i="6"/>
  <c r="F10432" i="6"/>
  <c r="E10458" i="6"/>
  <c r="F10412" i="6"/>
  <c r="E10438" i="6"/>
  <c r="F10452" i="6"/>
  <c r="E10478" i="6"/>
  <c r="F10399" i="6"/>
  <c r="E10425" i="6"/>
  <c r="E10427" i="6"/>
  <c r="F10401" i="6"/>
  <c r="F10442" i="6"/>
  <c r="E10468" i="6"/>
  <c r="F10383" i="6"/>
  <c r="E10409" i="6"/>
  <c r="F10423" i="6"/>
  <c r="E10449" i="6"/>
  <c r="F10387" i="6"/>
  <c r="E10413" i="6"/>
  <c r="F10395" i="6"/>
  <c r="E10421" i="6"/>
  <c r="F10460" i="6" l="1"/>
  <c r="E10486" i="6"/>
  <c r="E10440" i="6"/>
  <c r="F10414" i="6"/>
  <c r="E10455" i="6"/>
  <c r="F10429" i="6"/>
  <c r="E10463" i="6"/>
  <c r="F10437" i="6"/>
  <c r="F10449" i="6"/>
  <c r="E10475" i="6"/>
  <c r="F10478" i="6"/>
  <c r="E10504" i="6"/>
  <c r="F10405" i="6"/>
  <c r="E10431" i="6"/>
  <c r="F10425" i="6"/>
  <c r="E10451" i="6"/>
  <c r="F10436" i="6"/>
  <c r="E10462" i="6"/>
  <c r="F10441" i="6"/>
  <c r="E10467" i="6"/>
  <c r="F10402" i="6"/>
  <c r="E10428" i="6"/>
  <c r="F10468" i="6"/>
  <c r="E10494" i="6"/>
  <c r="F10438" i="6"/>
  <c r="E10464" i="6"/>
  <c r="F10448" i="6"/>
  <c r="E10474" i="6"/>
  <c r="F10424" i="6"/>
  <c r="E10450" i="6"/>
  <c r="E10459" i="6"/>
  <c r="F10433" i="6"/>
  <c r="F10482" i="6"/>
  <c r="E10508" i="6"/>
  <c r="E10435" i="6"/>
  <c r="F10409" i="6"/>
  <c r="F10413" i="6"/>
  <c r="E10439" i="6"/>
  <c r="F10458" i="6"/>
  <c r="E10484" i="6"/>
  <c r="F10472" i="6"/>
  <c r="E10498" i="6"/>
  <c r="F10496" i="6"/>
  <c r="E10522" i="6"/>
  <c r="F10421" i="6"/>
  <c r="E10447" i="6"/>
  <c r="F10427" i="6"/>
  <c r="E10453" i="6"/>
  <c r="E10443" i="6"/>
  <c r="F10417" i="6"/>
  <c r="F10419" i="6"/>
  <c r="E10445" i="6"/>
  <c r="E10479" i="6" l="1"/>
  <c r="F10453" i="6"/>
  <c r="F10484" i="6"/>
  <c r="E10510" i="6"/>
  <c r="E10520" i="6"/>
  <c r="F10494" i="6"/>
  <c r="E10477" i="6"/>
  <c r="F10451" i="6"/>
  <c r="F10463" i="6"/>
  <c r="E10489" i="6"/>
  <c r="F10447" i="6"/>
  <c r="E10473" i="6"/>
  <c r="F10431" i="6"/>
  <c r="E10457" i="6"/>
  <c r="F10439" i="6"/>
  <c r="E10465" i="6"/>
  <c r="E10481" i="6"/>
  <c r="F10455" i="6"/>
  <c r="E10471" i="6"/>
  <c r="F10445" i="6"/>
  <c r="E10500" i="6"/>
  <c r="F10474" i="6"/>
  <c r="F10467" i="6"/>
  <c r="E10493" i="6"/>
  <c r="E10530" i="6"/>
  <c r="F10504" i="6"/>
  <c r="F10450" i="6"/>
  <c r="E10476" i="6"/>
  <c r="F10440" i="6"/>
  <c r="E10466" i="6"/>
  <c r="F10428" i="6"/>
  <c r="E10454" i="6"/>
  <c r="F10498" i="6"/>
  <c r="E10524" i="6"/>
  <c r="F10508" i="6"/>
  <c r="E10534" i="6"/>
  <c r="F10464" i="6"/>
  <c r="E10490" i="6"/>
  <c r="F10462" i="6"/>
  <c r="E10488" i="6"/>
  <c r="F10475" i="6"/>
  <c r="E10501" i="6"/>
  <c r="F10486" i="6"/>
  <c r="E10512" i="6"/>
  <c r="F10459" i="6"/>
  <c r="E10485" i="6"/>
  <c r="F10522" i="6"/>
  <c r="E10548" i="6"/>
  <c r="F10435" i="6"/>
  <c r="E10461" i="6"/>
  <c r="F10443" i="6"/>
  <c r="E10469" i="6"/>
  <c r="F10493" i="6" l="1"/>
  <c r="E10519" i="6"/>
  <c r="E10491" i="6"/>
  <c r="F10465" i="6"/>
  <c r="F10477" i="6"/>
  <c r="E10503" i="6"/>
  <c r="F10488" i="6"/>
  <c r="E10514" i="6"/>
  <c r="F10490" i="6"/>
  <c r="E10516" i="6"/>
  <c r="F10454" i="6"/>
  <c r="E10480" i="6"/>
  <c r="F10500" i="6"/>
  <c r="E10526" i="6"/>
  <c r="F10520" i="6"/>
  <c r="E10546" i="6"/>
  <c r="E10511" i="6"/>
  <c r="F10485" i="6"/>
  <c r="E10483" i="6"/>
  <c r="F10457" i="6"/>
  <c r="F10512" i="6"/>
  <c r="E10538" i="6"/>
  <c r="F10476" i="6"/>
  <c r="E10502" i="6"/>
  <c r="F10473" i="6"/>
  <c r="E10499" i="6"/>
  <c r="E10536" i="6"/>
  <c r="F10510" i="6"/>
  <c r="F10466" i="6"/>
  <c r="E10492" i="6"/>
  <c r="E10560" i="6"/>
  <c r="F10534" i="6"/>
  <c r="E10487" i="6"/>
  <c r="F10461" i="6"/>
  <c r="E10527" i="6"/>
  <c r="F10501" i="6"/>
  <c r="F10524" i="6"/>
  <c r="E10550" i="6"/>
  <c r="E10515" i="6"/>
  <c r="F10489" i="6"/>
  <c r="F10548" i="6"/>
  <c r="E10574" i="6"/>
  <c r="E10495" i="6"/>
  <c r="F10469" i="6"/>
  <c r="F10471" i="6"/>
  <c r="E10497" i="6"/>
  <c r="F10530" i="6"/>
  <c r="E10556" i="6"/>
  <c r="E10507" i="6"/>
  <c r="F10481" i="6"/>
  <c r="F10479" i="6"/>
  <c r="E10505" i="6"/>
  <c r="E10528" i="6" l="1"/>
  <c r="F10502" i="6"/>
  <c r="F10546" i="6"/>
  <c r="E10572" i="6"/>
  <c r="E10540" i="6"/>
  <c r="F10514" i="6"/>
  <c r="F10515" i="6"/>
  <c r="E10541" i="6"/>
  <c r="F10556" i="6"/>
  <c r="E10582" i="6"/>
  <c r="E10523" i="6"/>
  <c r="F10497" i="6"/>
  <c r="F10538" i="6"/>
  <c r="E10564" i="6"/>
  <c r="F10526" i="6"/>
  <c r="E10552" i="6"/>
  <c r="F10503" i="6"/>
  <c r="E10529" i="6"/>
  <c r="F10560" i="6"/>
  <c r="E10586" i="6"/>
  <c r="F10480" i="6"/>
  <c r="E10506" i="6"/>
  <c r="F10495" i="6"/>
  <c r="E10521" i="6"/>
  <c r="F10483" i="6"/>
  <c r="E10509" i="6"/>
  <c r="F10491" i="6"/>
  <c r="E10517" i="6"/>
  <c r="F10492" i="6"/>
  <c r="E10518" i="6"/>
  <c r="E10531" i="6"/>
  <c r="F10505" i="6"/>
  <c r="E10525" i="6"/>
  <c r="F10499" i="6"/>
  <c r="F10516" i="6"/>
  <c r="E10542" i="6"/>
  <c r="F10519" i="6"/>
  <c r="E10545" i="6"/>
  <c r="F10550" i="6"/>
  <c r="E10576" i="6"/>
  <c r="E10553" i="6"/>
  <c r="F10527" i="6"/>
  <c r="E10562" i="6"/>
  <c r="F10536" i="6"/>
  <c r="F10574" i="6"/>
  <c r="E10600" i="6"/>
  <c r="F10507" i="6"/>
  <c r="E10533" i="6"/>
  <c r="F10487" i="6"/>
  <c r="E10513" i="6"/>
  <c r="F10511" i="6"/>
  <c r="E10537" i="6"/>
  <c r="E10559" i="6" l="1"/>
  <c r="F10533" i="6"/>
  <c r="F10576" i="6"/>
  <c r="E10602" i="6"/>
  <c r="E10547" i="6"/>
  <c r="F10521" i="6"/>
  <c r="F10552" i="6"/>
  <c r="E10578" i="6"/>
  <c r="F10541" i="6"/>
  <c r="E10567" i="6"/>
  <c r="F10564" i="6"/>
  <c r="E10590" i="6"/>
  <c r="F10518" i="6"/>
  <c r="E10544" i="6"/>
  <c r="F10540" i="6"/>
  <c r="E10566" i="6"/>
  <c r="F10506" i="6"/>
  <c r="E10532" i="6"/>
  <c r="E10563" i="6"/>
  <c r="F10537" i="6"/>
  <c r="F10542" i="6"/>
  <c r="E10568" i="6"/>
  <c r="E10543" i="6"/>
  <c r="F10517" i="6"/>
  <c r="F10586" i="6"/>
  <c r="E10612" i="6"/>
  <c r="F10572" i="6"/>
  <c r="E10598" i="6"/>
  <c r="F10531" i="6"/>
  <c r="E10557" i="6"/>
  <c r="E10571" i="6"/>
  <c r="F10545" i="6"/>
  <c r="E10549" i="6"/>
  <c r="F10523" i="6"/>
  <c r="E10535" i="6"/>
  <c r="F10509" i="6"/>
  <c r="F10529" i="6"/>
  <c r="E10555" i="6"/>
  <c r="F10582" i="6"/>
  <c r="E10608" i="6"/>
  <c r="F10600" i="6"/>
  <c r="E10626" i="6"/>
  <c r="F10562" i="6"/>
  <c r="E10588" i="6"/>
  <c r="E10539" i="6"/>
  <c r="F10513" i="6"/>
  <c r="E10579" i="6"/>
  <c r="F10553" i="6"/>
  <c r="E10551" i="6"/>
  <c r="F10525" i="6"/>
  <c r="E10554" i="6"/>
  <c r="F10528" i="6"/>
  <c r="F10566" i="6" l="1"/>
  <c r="E10592" i="6"/>
  <c r="E10604" i="6"/>
  <c r="F10578" i="6"/>
  <c r="E10570" i="6"/>
  <c r="F10544" i="6"/>
  <c r="F10579" i="6"/>
  <c r="E10605" i="6"/>
  <c r="E10573" i="6"/>
  <c r="F10547" i="6"/>
  <c r="F10608" i="6"/>
  <c r="E10634" i="6"/>
  <c r="F10571" i="6"/>
  <c r="E10597" i="6"/>
  <c r="E10583" i="6"/>
  <c r="F10557" i="6"/>
  <c r="F10598" i="6"/>
  <c r="E10624" i="6"/>
  <c r="E10616" i="6"/>
  <c r="F10590" i="6"/>
  <c r="F10602" i="6"/>
  <c r="E10628" i="6"/>
  <c r="E10581" i="6"/>
  <c r="F10555" i="6"/>
  <c r="F10539" i="6"/>
  <c r="E10565" i="6"/>
  <c r="F10588" i="6"/>
  <c r="E10614" i="6"/>
  <c r="E10561" i="6"/>
  <c r="F10535" i="6"/>
  <c r="F10554" i="6"/>
  <c r="E10580" i="6"/>
  <c r="F10626" i="6"/>
  <c r="E10652" i="6"/>
  <c r="F10612" i="6"/>
  <c r="E10638" i="6"/>
  <c r="F10532" i="6"/>
  <c r="E10558" i="6"/>
  <c r="F10567" i="6"/>
  <c r="E10593" i="6"/>
  <c r="E10569" i="6"/>
  <c r="F10543" i="6"/>
  <c r="F10568" i="6"/>
  <c r="E10594" i="6"/>
  <c r="F10563" i="6"/>
  <c r="E10589" i="6"/>
  <c r="F10551" i="6"/>
  <c r="E10577" i="6"/>
  <c r="E10575" i="6"/>
  <c r="F10549" i="6"/>
  <c r="F10559" i="6"/>
  <c r="E10585" i="6"/>
  <c r="E10619" i="6" l="1"/>
  <c r="F10593" i="6"/>
  <c r="E10631" i="6"/>
  <c r="F10605" i="6"/>
  <c r="F10583" i="6"/>
  <c r="E10609" i="6"/>
  <c r="F10580" i="6"/>
  <c r="E10606" i="6"/>
  <c r="E10623" i="6"/>
  <c r="F10597" i="6"/>
  <c r="F10570" i="6"/>
  <c r="E10596" i="6"/>
  <c r="F10628" i="6"/>
  <c r="E10654" i="6"/>
  <c r="E10611" i="6"/>
  <c r="F10585" i="6"/>
  <c r="F10638" i="6"/>
  <c r="E10664" i="6"/>
  <c r="F10614" i="6"/>
  <c r="E10640" i="6"/>
  <c r="F10634" i="6"/>
  <c r="E10660" i="6"/>
  <c r="E10607" i="6"/>
  <c r="F10581" i="6"/>
  <c r="F10594" i="6"/>
  <c r="E10620" i="6"/>
  <c r="E10630" i="6"/>
  <c r="F10604" i="6"/>
  <c r="E10603" i="6"/>
  <c r="F10577" i="6"/>
  <c r="E10615" i="6"/>
  <c r="F10589" i="6"/>
  <c r="F10652" i="6"/>
  <c r="E10678" i="6"/>
  <c r="E10591" i="6"/>
  <c r="F10565" i="6"/>
  <c r="F10624" i="6"/>
  <c r="E10650" i="6"/>
  <c r="F10592" i="6"/>
  <c r="E10618" i="6"/>
  <c r="F10558" i="6"/>
  <c r="E10584" i="6"/>
  <c r="E10587" i="6"/>
  <c r="F10561" i="6"/>
  <c r="F10616" i="6"/>
  <c r="E10642" i="6"/>
  <c r="F10575" i="6"/>
  <c r="E10601" i="6"/>
  <c r="E10595" i="6"/>
  <c r="F10569" i="6"/>
  <c r="E10599" i="6"/>
  <c r="F10573" i="6"/>
  <c r="F10606" i="6" l="1"/>
  <c r="E10632" i="6"/>
  <c r="F10601" i="6"/>
  <c r="E10627" i="6"/>
  <c r="F10654" i="6"/>
  <c r="E10680" i="6"/>
  <c r="E10635" i="6"/>
  <c r="F10609" i="6"/>
  <c r="F10611" i="6"/>
  <c r="E10637" i="6"/>
  <c r="F10660" i="6"/>
  <c r="E10686" i="6"/>
  <c r="F10640" i="6"/>
  <c r="E10666" i="6"/>
  <c r="F10596" i="6"/>
  <c r="E10622" i="6"/>
  <c r="F10615" i="6"/>
  <c r="E10641" i="6"/>
  <c r="F10650" i="6"/>
  <c r="E10676" i="6"/>
  <c r="F10599" i="6"/>
  <c r="E10625" i="6"/>
  <c r="F10591" i="6"/>
  <c r="E10617" i="6"/>
  <c r="F10631" i="6"/>
  <c r="E10657" i="6"/>
  <c r="F10618" i="6"/>
  <c r="E10644" i="6"/>
  <c r="F10642" i="6"/>
  <c r="E10668" i="6"/>
  <c r="F10603" i="6"/>
  <c r="E10629" i="6"/>
  <c r="F10587" i="6"/>
  <c r="E10613" i="6"/>
  <c r="F10630" i="6"/>
  <c r="E10656" i="6"/>
  <c r="F10584" i="6"/>
  <c r="E10610" i="6"/>
  <c r="F10678" i="6"/>
  <c r="E10704" i="6"/>
  <c r="F10620" i="6"/>
  <c r="E10646" i="6"/>
  <c r="E10690" i="6"/>
  <c r="F10664" i="6"/>
  <c r="E10633" i="6"/>
  <c r="F10607" i="6"/>
  <c r="F10595" i="6"/>
  <c r="E10621" i="6"/>
  <c r="F10623" i="6"/>
  <c r="E10649" i="6"/>
  <c r="F10619" i="6"/>
  <c r="E10645" i="6"/>
  <c r="E10730" i="6" l="1"/>
  <c r="F10704" i="6"/>
  <c r="E10655" i="6"/>
  <c r="F10629" i="6"/>
  <c r="E10643" i="6"/>
  <c r="F10617" i="6"/>
  <c r="F10622" i="6"/>
  <c r="E10648" i="6"/>
  <c r="F10635" i="6"/>
  <c r="E10661" i="6"/>
  <c r="E10651" i="6"/>
  <c r="F10625" i="6"/>
  <c r="F10666" i="6"/>
  <c r="E10692" i="6"/>
  <c r="F10680" i="6"/>
  <c r="E10706" i="6"/>
  <c r="E10647" i="6"/>
  <c r="F10621" i="6"/>
  <c r="E10682" i="6"/>
  <c r="F10656" i="6"/>
  <c r="F10644" i="6"/>
  <c r="E10670" i="6"/>
  <c r="F10676" i="6"/>
  <c r="E10702" i="6"/>
  <c r="F10686" i="6"/>
  <c r="E10712" i="6"/>
  <c r="E10653" i="6"/>
  <c r="F10627" i="6"/>
  <c r="E10716" i="6"/>
  <c r="F10690" i="6"/>
  <c r="E10694" i="6"/>
  <c r="F10668" i="6"/>
  <c r="F10649" i="6"/>
  <c r="E10675" i="6"/>
  <c r="F10646" i="6"/>
  <c r="E10672" i="6"/>
  <c r="E10639" i="6"/>
  <c r="F10613" i="6"/>
  <c r="E10683" i="6"/>
  <c r="F10657" i="6"/>
  <c r="E10667" i="6"/>
  <c r="F10641" i="6"/>
  <c r="E10663" i="6"/>
  <c r="F10637" i="6"/>
  <c r="F10632" i="6"/>
  <c r="E10658" i="6"/>
  <c r="F10610" i="6"/>
  <c r="E10636" i="6"/>
  <c r="E10659" i="6"/>
  <c r="F10633" i="6"/>
  <c r="E10671" i="6"/>
  <c r="F10645" i="6"/>
  <c r="F10702" i="6" l="1"/>
  <c r="E10728" i="6"/>
  <c r="F10706" i="6"/>
  <c r="E10732" i="6"/>
  <c r="F10648" i="6"/>
  <c r="E10674" i="6"/>
  <c r="F10670" i="6"/>
  <c r="E10696" i="6"/>
  <c r="F10692" i="6"/>
  <c r="E10718" i="6"/>
  <c r="F10639" i="6"/>
  <c r="E10665" i="6"/>
  <c r="F10643" i="6"/>
  <c r="E10669" i="6"/>
  <c r="F10683" i="6"/>
  <c r="E10709" i="6"/>
  <c r="E10708" i="6"/>
  <c r="F10682" i="6"/>
  <c r="F10651" i="6"/>
  <c r="E10677" i="6"/>
  <c r="F10655" i="6"/>
  <c r="E10681" i="6"/>
  <c r="F10694" i="6"/>
  <c r="E10720" i="6"/>
  <c r="F10671" i="6"/>
  <c r="E10697" i="6"/>
  <c r="E10679" i="6"/>
  <c r="F10653" i="6"/>
  <c r="F10675" i="6"/>
  <c r="E10701" i="6"/>
  <c r="F10712" i="6"/>
  <c r="E10738" i="6"/>
  <c r="E10687" i="6"/>
  <c r="F10661" i="6"/>
  <c r="E10662" i="6"/>
  <c r="F10636" i="6"/>
  <c r="F10658" i="6"/>
  <c r="E10684" i="6"/>
  <c r="F10716" i="6"/>
  <c r="E10742" i="6"/>
  <c r="E10698" i="6"/>
  <c r="F10672" i="6"/>
  <c r="F10663" i="6"/>
  <c r="E10689" i="6"/>
  <c r="F10659" i="6"/>
  <c r="E10685" i="6"/>
  <c r="F10667" i="6"/>
  <c r="E10693" i="6"/>
  <c r="F10647" i="6"/>
  <c r="E10673" i="6"/>
  <c r="F10730" i="6"/>
  <c r="E10756" i="6"/>
  <c r="F10693" i="6" l="1"/>
  <c r="E10719" i="6"/>
  <c r="F10742" i="6"/>
  <c r="E10768" i="6"/>
  <c r="F10738" i="6"/>
  <c r="E10764" i="6"/>
  <c r="E10746" i="6"/>
  <c r="F10720" i="6"/>
  <c r="E10735" i="6"/>
  <c r="F10709" i="6"/>
  <c r="E10722" i="6"/>
  <c r="F10696" i="6"/>
  <c r="F10701" i="6"/>
  <c r="E10727" i="6"/>
  <c r="E10695" i="6"/>
  <c r="F10669" i="6"/>
  <c r="F10674" i="6"/>
  <c r="E10700" i="6"/>
  <c r="F10689" i="6"/>
  <c r="E10715" i="6"/>
  <c r="E10703" i="6"/>
  <c r="F10677" i="6"/>
  <c r="F10665" i="6"/>
  <c r="E10691" i="6"/>
  <c r="F10732" i="6"/>
  <c r="E10758" i="6"/>
  <c r="F10685" i="6"/>
  <c r="E10711" i="6"/>
  <c r="F10662" i="6"/>
  <c r="E10688" i="6"/>
  <c r="E10707" i="6"/>
  <c r="F10681" i="6"/>
  <c r="F10756" i="6"/>
  <c r="E10782" i="6"/>
  <c r="E10705" i="6"/>
  <c r="F10679" i="6"/>
  <c r="E10699" i="6"/>
  <c r="F10673" i="6"/>
  <c r="E10723" i="6"/>
  <c r="F10697" i="6"/>
  <c r="F10718" i="6"/>
  <c r="E10744" i="6"/>
  <c r="F10728" i="6"/>
  <c r="E10754" i="6"/>
  <c r="F10684" i="6"/>
  <c r="E10710" i="6"/>
  <c r="F10698" i="6"/>
  <c r="E10724" i="6"/>
  <c r="F10687" i="6"/>
  <c r="E10713" i="6"/>
  <c r="F10708" i="6"/>
  <c r="E10734" i="6"/>
  <c r="F10724" i="6" l="1"/>
  <c r="E10750" i="6"/>
  <c r="E10717" i="6"/>
  <c r="F10691" i="6"/>
  <c r="E10733" i="6"/>
  <c r="F10707" i="6"/>
  <c r="E10721" i="6"/>
  <c r="F10695" i="6"/>
  <c r="F10746" i="6"/>
  <c r="E10772" i="6"/>
  <c r="E10736" i="6"/>
  <c r="F10710" i="6"/>
  <c r="F10727" i="6"/>
  <c r="E10753" i="6"/>
  <c r="F10764" i="6"/>
  <c r="E10790" i="6"/>
  <c r="F10703" i="6"/>
  <c r="E10729" i="6"/>
  <c r="E10749" i="6"/>
  <c r="F10723" i="6"/>
  <c r="F10699" i="6"/>
  <c r="E10725" i="6"/>
  <c r="F10711" i="6"/>
  <c r="E10737" i="6"/>
  <c r="F10715" i="6"/>
  <c r="E10741" i="6"/>
  <c r="F10768" i="6"/>
  <c r="E10794" i="6"/>
  <c r="E10731" i="6"/>
  <c r="F10705" i="6"/>
  <c r="F10722" i="6"/>
  <c r="E10748" i="6"/>
  <c r="F10713" i="6"/>
  <c r="E10739" i="6"/>
  <c r="F10782" i="6"/>
  <c r="E10808" i="6"/>
  <c r="F10758" i="6"/>
  <c r="E10784" i="6"/>
  <c r="F10700" i="6"/>
  <c r="E10726" i="6"/>
  <c r="E10745" i="6"/>
  <c r="F10719" i="6"/>
  <c r="F10688" i="6"/>
  <c r="E10714" i="6"/>
  <c r="F10734" i="6"/>
  <c r="E10760" i="6"/>
  <c r="E10780" i="6"/>
  <c r="F10754" i="6"/>
  <c r="F10744" i="6"/>
  <c r="E10770" i="6"/>
  <c r="F10735" i="6"/>
  <c r="E10761" i="6"/>
  <c r="E10763" i="6" l="1"/>
  <c r="F10737" i="6"/>
  <c r="F10790" i="6"/>
  <c r="E10816" i="6"/>
  <c r="F10780" i="6"/>
  <c r="E10806" i="6"/>
  <c r="E10747" i="6"/>
  <c r="F10721" i="6"/>
  <c r="F10725" i="6"/>
  <c r="E10751" i="6"/>
  <c r="F10733" i="6"/>
  <c r="E10759" i="6"/>
  <c r="F10726" i="6"/>
  <c r="E10752" i="6"/>
  <c r="E10786" i="6"/>
  <c r="F10760" i="6"/>
  <c r="E10779" i="6"/>
  <c r="F10753" i="6"/>
  <c r="F10808" i="6"/>
  <c r="E10834" i="6"/>
  <c r="F10794" i="6"/>
  <c r="E10820" i="6"/>
  <c r="E10774" i="6"/>
  <c r="F10748" i="6"/>
  <c r="F10736" i="6"/>
  <c r="E10762" i="6"/>
  <c r="F10717" i="6"/>
  <c r="E10743" i="6"/>
  <c r="F10784" i="6"/>
  <c r="E10810" i="6"/>
  <c r="F10731" i="6"/>
  <c r="E10757" i="6"/>
  <c r="F10714" i="6"/>
  <c r="E10740" i="6"/>
  <c r="F10739" i="6"/>
  <c r="E10765" i="6"/>
  <c r="F10741" i="6"/>
  <c r="E10767" i="6"/>
  <c r="F10729" i="6"/>
  <c r="E10755" i="6"/>
  <c r="F10772" i="6"/>
  <c r="E10798" i="6"/>
  <c r="F10750" i="6"/>
  <c r="E10776" i="6"/>
  <c r="E10787" i="6"/>
  <c r="F10761" i="6"/>
  <c r="F10749" i="6"/>
  <c r="E10775" i="6"/>
  <c r="F10770" i="6"/>
  <c r="E10796" i="6"/>
  <c r="E10771" i="6"/>
  <c r="F10745" i="6"/>
  <c r="E10773" i="6" l="1"/>
  <c r="F10747" i="6"/>
  <c r="E10836" i="6"/>
  <c r="F10810" i="6"/>
  <c r="F10752" i="6"/>
  <c r="E10778" i="6"/>
  <c r="F10806" i="6"/>
  <c r="E10832" i="6"/>
  <c r="E10783" i="6"/>
  <c r="F10757" i="6"/>
  <c r="E10800" i="6"/>
  <c r="F10774" i="6"/>
  <c r="F10775" i="6"/>
  <c r="E10801" i="6"/>
  <c r="E10812" i="6"/>
  <c r="F10786" i="6"/>
  <c r="E10769" i="6"/>
  <c r="F10743" i="6"/>
  <c r="F10834" i="6"/>
  <c r="E10860" i="6"/>
  <c r="E10785" i="6"/>
  <c r="F10759" i="6"/>
  <c r="F10816" i="6"/>
  <c r="E10842" i="6"/>
  <c r="F10767" i="6"/>
  <c r="E10793" i="6"/>
  <c r="F10820" i="6"/>
  <c r="E10846" i="6"/>
  <c r="F10765" i="6"/>
  <c r="E10791" i="6"/>
  <c r="F10771" i="6"/>
  <c r="E10797" i="6"/>
  <c r="F10796" i="6"/>
  <c r="E10822" i="6"/>
  <c r="F10798" i="6"/>
  <c r="E10824" i="6"/>
  <c r="F10740" i="6"/>
  <c r="E10766" i="6"/>
  <c r="F10762" i="6"/>
  <c r="E10788" i="6"/>
  <c r="F10751" i="6"/>
  <c r="E10777" i="6"/>
  <c r="E10781" i="6"/>
  <c r="F10755" i="6"/>
  <c r="F10787" i="6"/>
  <c r="E10813" i="6"/>
  <c r="F10776" i="6"/>
  <c r="E10802" i="6"/>
  <c r="F10779" i="6"/>
  <c r="E10805" i="6"/>
  <c r="F10763" i="6"/>
  <c r="E10789" i="6"/>
  <c r="F10802" i="6" l="1"/>
  <c r="E10828" i="6"/>
  <c r="E10823" i="6"/>
  <c r="F10797" i="6"/>
  <c r="F10842" i="6"/>
  <c r="E10868" i="6"/>
  <c r="E10858" i="6"/>
  <c r="F10832" i="6"/>
  <c r="E10827" i="6"/>
  <c r="F10801" i="6"/>
  <c r="F10778" i="6"/>
  <c r="E10804" i="6"/>
  <c r="F10788" i="6"/>
  <c r="E10814" i="6"/>
  <c r="E10839" i="6"/>
  <c r="F10813" i="6"/>
  <c r="F10791" i="6"/>
  <c r="E10817" i="6"/>
  <c r="F10785" i="6"/>
  <c r="E10811" i="6"/>
  <c r="F10824" i="6"/>
  <c r="E10850" i="6"/>
  <c r="F10846" i="6"/>
  <c r="E10872" i="6"/>
  <c r="F10860" i="6"/>
  <c r="E10886" i="6"/>
  <c r="E10807" i="6"/>
  <c r="F10781" i="6"/>
  <c r="F10800" i="6"/>
  <c r="E10826" i="6"/>
  <c r="E10862" i="6"/>
  <c r="F10836" i="6"/>
  <c r="F10812" i="6"/>
  <c r="E10838" i="6"/>
  <c r="F10789" i="6"/>
  <c r="E10815" i="6"/>
  <c r="E10831" i="6"/>
  <c r="F10805" i="6"/>
  <c r="F10777" i="6"/>
  <c r="E10803" i="6"/>
  <c r="F10822" i="6"/>
  <c r="E10848" i="6"/>
  <c r="E10819" i="6"/>
  <c r="F10793" i="6"/>
  <c r="E10792" i="6"/>
  <c r="F10766" i="6"/>
  <c r="E10795" i="6"/>
  <c r="F10769" i="6"/>
  <c r="E10809" i="6"/>
  <c r="F10783" i="6"/>
  <c r="E10799" i="6"/>
  <c r="F10773" i="6"/>
  <c r="E10898" i="6" l="1"/>
  <c r="F10872" i="6"/>
  <c r="F10858" i="6"/>
  <c r="E10884" i="6"/>
  <c r="F10803" i="6"/>
  <c r="E10829" i="6"/>
  <c r="F10826" i="6"/>
  <c r="E10852" i="6"/>
  <c r="F10814" i="6"/>
  <c r="E10840" i="6"/>
  <c r="F10868" i="6"/>
  <c r="E10894" i="6"/>
  <c r="F10795" i="6"/>
  <c r="E10821" i="6"/>
  <c r="F10862" i="6"/>
  <c r="E10888" i="6"/>
  <c r="F10815" i="6"/>
  <c r="E10841" i="6"/>
  <c r="F10811" i="6"/>
  <c r="E10837" i="6"/>
  <c r="E10830" i="6"/>
  <c r="F10804" i="6"/>
  <c r="F10850" i="6"/>
  <c r="E10876" i="6"/>
  <c r="F10819" i="6"/>
  <c r="E10845" i="6"/>
  <c r="F10807" i="6"/>
  <c r="E10833" i="6"/>
  <c r="F10823" i="6"/>
  <c r="E10849" i="6"/>
  <c r="E10857" i="6"/>
  <c r="F10831" i="6"/>
  <c r="E10825" i="6"/>
  <c r="F10799" i="6"/>
  <c r="E10874" i="6"/>
  <c r="F10848" i="6"/>
  <c r="F10838" i="6"/>
  <c r="E10864" i="6"/>
  <c r="E10912" i="6"/>
  <c r="F10886" i="6"/>
  <c r="F10817" i="6"/>
  <c r="E10843" i="6"/>
  <c r="F10828" i="6"/>
  <c r="E10854" i="6"/>
  <c r="E10865" i="6"/>
  <c r="F10839" i="6"/>
  <c r="E10818" i="6"/>
  <c r="F10792" i="6"/>
  <c r="F10809" i="6"/>
  <c r="E10835" i="6"/>
  <c r="F10827" i="6"/>
  <c r="E10853" i="6"/>
  <c r="E10902" i="6" l="1"/>
  <c r="F10876" i="6"/>
  <c r="F10888" i="6"/>
  <c r="E10914" i="6"/>
  <c r="F10852" i="6"/>
  <c r="E10878" i="6"/>
  <c r="F10857" i="6"/>
  <c r="E10883" i="6"/>
  <c r="F10818" i="6"/>
  <c r="E10844" i="6"/>
  <c r="E10847" i="6"/>
  <c r="F10821" i="6"/>
  <c r="F10829" i="6"/>
  <c r="E10855" i="6"/>
  <c r="F10912" i="6"/>
  <c r="E10938" i="6"/>
  <c r="F10865" i="6"/>
  <c r="E10891" i="6"/>
  <c r="E10890" i="6"/>
  <c r="F10864" i="6"/>
  <c r="F10849" i="6"/>
  <c r="E10875" i="6"/>
  <c r="F10854" i="6"/>
  <c r="E10880" i="6"/>
  <c r="F10833" i="6"/>
  <c r="E10859" i="6"/>
  <c r="F10837" i="6"/>
  <c r="E10863" i="6"/>
  <c r="F10894" i="6"/>
  <c r="E10920" i="6"/>
  <c r="E10910" i="6"/>
  <c r="F10884" i="6"/>
  <c r="F10853" i="6"/>
  <c r="E10879" i="6"/>
  <c r="F10874" i="6"/>
  <c r="E10900" i="6"/>
  <c r="F10830" i="6"/>
  <c r="E10856" i="6"/>
  <c r="F10835" i="6"/>
  <c r="E10861" i="6"/>
  <c r="E10869" i="6"/>
  <c r="F10843" i="6"/>
  <c r="F10845" i="6"/>
  <c r="E10871" i="6"/>
  <c r="F10841" i="6"/>
  <c r="E10867" i="6"/>
  <c r="E10866" i="6"/>
  <c r="F10840" i="6"/>
  <c r="F10825" i="6"/>
  <c r="E10851" i="6"/>
  <c r="E10924" i="6"/>
  <c r="F10898" i="6"/>
  <c r="F10880" i="6" l="1"/>
  <c r="E10906" i="6"/>
  <c r="E10964" i="6"/>
  <c r="F10938" i="6"/>
  <c r="E10909" i="6"/>
  <c r="F10883" i="6"/>
  <c r="F10866" i="6"/>
  <c r="E10892" i="6"/>
  <c r="F10920" i="6"/>
  <c r="E10946" i="6"/>
  <c r="E10881" i="6"/>
  <c r="F10855" i="6"/>
  <c r="F10878" i="6"/>
  <c r="E10904" i="6"/>
  <c r="E10893" i="6"/>
  <c r="F10867" i="6"/>
  <c r="F10900" i="6"/>
  <c r="E10926" i="6"/>
  <c r="F10863" i="6"/>
  <c r="E10889" i="6"/>
  <c r="F10914" i="6"/>
  <c r="E10940" i="6"/>
  <c r="F10856" i="6"/>
  <c r="E10882" i="6"/>
  <c r="F10924" i="6"/>
  <c r="E10950" i="6"/>
  <c r="E10873" i="6"/>
  <c r="F10847" i="6"/>
  <c r="F10861" i="6"/>
  <c r="E10887" i="6"/>
  <c r="E10897" i="6"/>
  <c r="F10871" i="6"/>
  <c r="E10877" i="6"/>
  <c r="F10851" i="6"/>
  <c r="E10905" i="6"/>
  <c r="F10879" i="6"/>
  <c r="F10859" i="6"/>
  <c r="E10885" i="6"/>
  <c r="E10917" i="6"/>
  <c r="F10891" i="6"/>
  <c r="F10844" i="6"/>
  <c r="E10870" i="6"/>
  <c r="F10910" i="6"/>
  <c r="E10936" i="6"/>
  <c r="E10901" i="6"/>
  <c r="F10875" i="6"/>
  <c r="F10890" i="6"/>
  <c r="E10916" i="6"/>
  <c r="F10869" i="6"/>
  <c r="E10895" i="6"/>
  <c r="F10902" i="6"/>
  <c r="E10928" i="6"/>
  <c r="E10908" i="6" l="1"/>
  <c r="F10882" i="6"/>
  <c r="F10892" i="6"/>
  <c r="E10918" i="6"/>
  <c r="F10893" i="6"/>
  <c r="E10919" i="6"/>
  <c r="E10913" i="6"/>
  <c r="F10887" i="6"/>
  <c r="F10904" i="6"/>
  <c r="E10930" i="6"/>
  <c r="F10885" i="6"/>
  <c r="E10911" i="6"/>
  <c r="F10909" i="6"/>
  <c r="E10935" i="6"/>
  <c r="F10917" i="6"/>
  <c r="E10943" i="6"/>
  <c r="F10940" i="6"/>
  <c r="E10966" i="6"/>
  <c r="E10962" i="6"/>
  <c r="F10936" i="6"/>
  <c r="F10889" i="6"/>
  <c r="E10915" i="6"/>
  <c r="F10873" i="6"/>
  <c r="E10899" i="6"/>
  <c r="F10881" i="6"/>
  <c r="E10907" i="6"/>
  <c r="E10990" i="6"/>
  <c r="F10964" i="6"/>
  <c r="E10942" i="6"/>
  <c r="F10916" i="6"/>
  <c r="F10901" i="6"/>
  <c r="E10927" i="6"/>
  <c r="E10931" i="6"/>
  <c r="F10905" i="6"/>
  <c r="E10921" i="6"/>
  <c r="F10895" i="6"/>
  <c r="F10870" i="6"/>
  <c r="E10896" i="6"/>
  <c r="F10950" i="6"/>
  <c r="E10976" i="6"/>
  <c r="F10926" i="6"/>
  <c r="E10952" i="6"/>
  <c r="F10946" i="6"/>
  <c r="E10972" i="6"/>
  <c r="F10906" i="6"/>
  <c r="E10932" i="6"/>
  <c r="E10923" i="6"/>
  <c r="F10897" i="6"/>
  <c r="F10928" i="6"/>
  <c r="E10954" i="6"/>
  <c r="F10877" i="6"/>
  <c r="E10903" i="6"/>
  <c r="E10953" i="6" l="1"/>
  <c r="F10927" i="6"/>
  <c r="E10925" i="6"/>
  <c r="F10899" i="6"/>
  <c r="E10969" i="6"/>
  <c r="F10943" i="6"/>
  <c r="E10939" i="6"/>
  <c r="F10913" i="6"/>
  <c r="E11002" i="6"/>
  <c r="F10976" i="6"/>
  <c r="F10896" i="6"/>
  <c r="E10922" i="6"/>
  <c r="E10941" i="6"/>
  <c r="F10915" i="6"/>
  <c r="E10961" i="6"/>
  <c r="F10935" i="6"/>
  <c r="F10919" i="6"/>
  <c r="E10945" i="6"/>
  <c r="E10949" i="6"/>
  <c r="F10923" i="6"/>
  <c r="E10998" i="6"/>
  <c r="F10972" i="6"/>
  <c r="E10937" i="6"/>
  <c r="F10911" i="6"/>
  <c r="E10944" i="6"/>
  <c r="F10918" i="6"/>
  <c r="F10990" i="6"/>
  <c r="E11016" i="6"/>
  <c r="E10968" i="6"/>
  <c r="F10942" i="6"/>
  <c r="E10947" i="6"/>
  <c r="F10921" i="6"/>
  <c r="F10954" i="6"/>
  <c r="E10980" i="6"/>
  <c r="E10933" i="6"/>
  <c r="F10907" i="6"/>
  <c r="E10992" i="6"/>
  <c r="F10966" i="6"/>
  <c r="F10930" i="6"/>
  <c r="E10956" i="6"/>
  <c r="F10932" i="6"/>
  <c r="E10958" i="6"/>
  <c r="F10903" i="6"/>
  <c r="E10929" i="6"/>
  <c r="E10988" i="6"/>
  <c r="F10962" i="6"/>
  <c r="F10952" i="6"/>
  <c r="E10978" i="6"/>
  <c r="E10957" i="6"/>
  <c r="F10931" i="6"/>
  <c r="F10908" i="6"/>
  <c r="E10934" i="6"/>
  <c r="F10956" i="6" l="1"/>
  <c r="E10982" i="6"/>
  <c r="F10978" i="6"/>
  <c r="E11004" i="6"/>
  <c r="F10961" i="6"/>
  <c r="E10987" i="6"/>
  <c r="E10965" i="6"/>
  <c r="F10939" i="6"/>
  <c r="F10968" i="6"/>
  <c r="E10994" i="6"/>
  <c r="F10941" i="6"/>
  <c r="E10967" i="6"/>
  <c r="F10969" i="6"/>
  <c r="E10995" i="6"/>
  <c r="F10947" i="6"/>
  <c r="E10973" i="6"/>
  <c r="F11016" i="6"/>
  <c r="E11042" i="6"/>
  <c r="F10922" i="6"/>
  <c r="E10948" i="6"/>
  <c r="E11018" i="6"/>
  <c r="F10992" i="6"/>
  <c r="E10960" i="6"/>
  <c r="F10934" i="6"/>
  <c r="F10925" i="6"/>
  <c r="E10951" i="6"/>
  <c r="F10937" i="6"/>
  <c r="E10963" i="6"/>
  <c r="F10998" i="6"/>
  <c r="E11024" i="6"/>
  <c r="F10949" i="6"/>
  <c r="E10975" i="6"/>
  <c r="F10958" i="6"/>
  <c r="E10984" i="6"/>
  <c r="F10980" i="6"/>
  <c r="E11006" i="6"/>
  <c r="F10945" i="6"/>
  <c r="E10971" i="6"/>
  <c r="E11014" i="6"/>
  <c r="F10988" i="6"/>
  <c r="F10929" i="6"/>
  <c r="E10955" i="6"/>
  <c r="F10933" i="6"/>
  <c r="E10959" i="6"/>
  <c r="F10957" i="6"/>
  <c r="E10983" i="6"/>
  <c r="F10944" i="6"/>
  <c r="E10970" i="6"/>
  <c r="F11002" i="6"/>
  <c r="E11028" i="6"/>
  <c r="E10979" i="6"/>
  <c r="F10953" i="6"/>
  <c r="E11001" i="6" l="1"/>
  <c r="F10975" i="6"/>
  <c r="F10973" i="6"/>
  <c r="E10999" i="6"/>
  <c r="F10965" i="6"/>
  <c r="E10991" i="6"/>
  <c r="E10996" i="6"/>
  <c r="F10970" i="6"/>
  <c r="F10983" i="6"/>
  <c r="E11009" i="6"/>
  <c r="E11021" i="6"/>
  <c r="F10995" i="6"/>
  <c r="E11013" i="6"/>
  <c r="F10987" i="6"/>
  <c r="F10960" i="6"/>
  <c r="E10986" i="6"/>
  <c r="E10985" i="6"/>
  <c r="F10959" i="6"/>
  <c r="F11006" i="6"/>
  <c r="E11032" i="6"/>
  <c r="E10989" i="6"/>
  <c r="F10963" i="6"/>
  <c r="F10948" i="6"/>
  <c r="E10974" i="6"/>
  <c r="E10993" i="6"/>
  <c r="F10967" i="6"/>
  <c r="F11004" i="6"/>
  <c r="E11030" i="6"/>
  <c r="F11024" i="6"/>
  <c r="E11050" i="6"/>
  <c r="F11018" i="6"/>
  <c r="E11044" i="6"/>
  <c r="E11005" i="6"/>
  <c r="F10979" i="6"/>
  <c r="E11054" i="6"/>
  <c r="F11028" i="6"/>
  <c r="E10981" i="6"/>
  <c r="F10955" i="6"/>
  <c r="F10984" i="6"/>
  <c r="E11010" i="6"/>
  <c r="E10977" i="6"/>
  <c r="F10951" i="6"/>
  <c r="F11042" i="6"/>
  <c r="E11068" i="6"/>
  <c r="F10994" i="6"/>
  <c r="E11020" i="6"/>
  <c r="F10982" i="6"/>
  <c r="E11008" i="6"/>
  <c r="E11040" i="6"/>
  <c r="F11014" i="6"/>
  <c r="E10997" i="6"/>
  <c r="F10971" i="6"/>
  <c r="E11036" i="6" l="1"/>
  <c r="F11010" i="6"/>
  <c r="F11044" i="6"/>
  <c r="E11070" i="6"/>
  <c r="F10974" i="6"/>
  <c r="E11000" i="6"/>
  <c r="F10986" i="6"/>
  <c r="E11012" i="6"/>
  <c r="F10996" i="6"/>
  <c r="E11022" i="6"/>
  <c r="E11076" i="6"/>
  <c r="F11050" i="6"/>
  <c r="E11017" i="6"/>
  <c r="F10991" i="6"/>
  <c r="F11013" i="6"/>
  <c r="E11039" i="6"/>
  <c r="F11030" i="6"/>
  <c r="E11056" i="6"/>
  <c r="E11058" i="6"/>
  <c r="F11032" i="6"/>
  <c r="F10999" i="6"/>
  <c r="E11025" i="6"/>
  <c r="F10989" i="6"/>
  <c r="E11015" i="6"/>
  <c r="F10997" i="6"/>
  <c r="E11023" i="6"/>
  <c r="E11034" i="6"/>
  <c r="F11008" i="6"/>
  <c r="F11020" i="6"/>
  <c r="E11046" i="6"/>
  <c r="F10981" i="6"/>
  <c r="E11007" i="6"/>
  <c r="F11068" i="6"/>
  <c r="E11094" i="6"/>
  <c r="F11009" i="6"/>
  <c r="E11035" i="6"/>
  <c r="F11054" i="6"/>
  <c r="E11080" i="6"/>
  <c r="E11047" i="6"/>
  <c r="F11021" i="6"/>
  <c r="F11040" i="6"/>
  <c r="E11066" i="6"/>
  <c r="E11003" i="6"/>
  <c r="F10977" i="6"/>
  <c r="E11031" i="6"/>
  <c r="F11005" i="6"/>
  <c r="E11019" i="6"/>
  <c r="F10993" i="6"/>
  <c r="F10985" i="6"/>
  <c r="E11011" i="6"/>
  <c r="F11001" i="6"/>
  <c r="E11027" i="6"/>
  <c r="E11033" i="6" l="1"/>
  <c r="F11007" i="6"/>
  <c r="E11041" i="6"/>
  <c r="F11015" i="6"/>
  <c r="E11065" i="6"/>
  <c r="F11039" i="6"/>
  <c r="F11012" i="6"/>
  <c r="E11038" i="6"/>
  <c r="E11073" i="6"/>
  <c r="F11047" i="6"/>
  <c r="F11025" i="6"/>
  <c r="E11051" i="6"/>
  <c r="E11026" i="6"/>
  <c r="F11000" i="6"/>
  <c r="E11106" i="6"/>
  <c r="F11080" i="6"/>
  <c r="F11017" i="6"/>
  <c r="E11043" i="6"/>
  <c r="F11046" i="6"/>
  <c r="E11072" i="6"/>
  <c r="E11053" i="6"/>
  <c r="F11027" i="6"/>
  <c r="F11070" i="6"/>
  <c r="E11096" i="6"/>
  <c r="E11029" i="6"/>
  <c r="F11003" i="6"/>
  <c r="F11058" i="6"/>
  <c r="E11084" i="6"/>
  <c r="F11019" i="6"/>
  <c r="E11045" i="6"/>
  <c r="E11061" i="6"/>
  <c r="F11035" i="6"/>
  <c r="F11076" i="6"/>
  <c r="E11102" i="6"/>
  <c r="E11037" i="6"/>
  <c r="F11011" i="6"/>
  <c r="F11066" i="6"/>
  <c r="E11092" i="6"/>
  <c r="F11094" i="6"/>
  <c r="E11120" i="6"/>
  <c r="E11049" i="6"/>
  <c r="F11023" i="6"/>
  <c r="F11056" i="6"/>
  <c r="E11082" i="6"/>
  <c r="F11022" i="6"/>
  <c r="E11048" i="6"/>
  <c r="E11057" i="6"/>
  <c r="F11031" i="6"/>
  <c r="F11034" i="6"/>
  <c r="E11060" i="6"/>
  <c r="F11036" i="6"/>
  <c r="E11062" i="6"/>
  <c r="F11096" i="6" l="1"/>
  <c r="E11122" i="6"/>
  <c r="F11038" i="6"/>
  <c r="E11064" i="6"/>
  <c r="F11092" i="6"/>
  <c r="E11118" i="6"/>
  <c r="F11061" i="6"/>
  <c r="E11087" i="6"/>
  <c r="F11053" i="6"/>
  <c r="E11079" i="6"/>
  <c r="F11026" i="6"/>
  <c r="E11052" i="6"/>
  <c r="F11065" i="6"/>
  <c r="E11091" i="6"/>
  <c r="F11045" i="6"/>
  <c r="E11071" i="6"/>
  <c r="F11082" i="6"/>
  <c r="E11108" i="6"/>
  <c r="F11084" i="6"/>
  <c r="E11110" i="6"/>
  <c r="F11072" i="6"/>
  <c r="E11098" i="6"/>
  <c r="E11077" i="6"/>
  <c r="F11051" i="6"/>
  <c r="F11120" i="6"/>
  <c r="E11146" i="6"/>
  <c r="F11048" i="6"/>
  <c r="E11074" i="6"/>
  <c r="F11037" i="6"/>
  <c r="E11063" i="6"/>
  <c r="F11041" i="6"/>
  <c r="E11067" i="6"/>
  <c r="F11106" i="6"/>
  <c r="E11132" i="6"/>
  <c r="F11102" i="6"/>
  <c r="E11128" i="6"/>
  <c r="F11043" i="6"/>
  <c r="E11069" i="6"/>
  <c r="F11057" i="6"/>
  <c r="E11083" i="6"/>
  <c r="F11062" i="6"/>
  <c r="E11088" i="6"/>
  <c r="F11060" i="6"/>
  <c r="E11086" i="6"/>
  <c r="F11049" i="6"/>
  <c r="E11075" i="6"/>
  <c r="E11055" i="6"/>
  <c r="F11029" i="6"/>
  <c r="F11073" i="6"/>
  <c r="E11099" i="6"/>
  <c r="F11033" i="6"/>
  <c r="E11059" i="6"/>
  <c r="E11109" i="6" l="1"/>
  <c r="F11083" i="6"/>
  <c r="E11093" i="6"/>
  <c r="F11067" i="6"/>
  <c r="F11071" i="6"/>
  <c r="E11097" i="6"/>
  <c r="F11087" i="6"/>
  <c r="E11113" i="6"/>
  <c r="F11077" i="6"/>
  <c r="E11103" i="6"/>
  <c r="E11089" i="6"/>
  <c r="F11063" i="6"/>
  <c r="F11098" i="6"/>
  <c r="E11124" i="6"/>
  <c r="E11117" i="6"/>
  <c r="F11091" i="6"/>
  <c r="F11118" i="6"/>
  <c r="E11144" i="6"/>
  <c r="E11112" i="6"/>
  <c r="F11086" i="6"/>
  <c r="F11128" i="6"/>
  <c r="E11154" i="6"/>
  <c r="F11074" i="6"/>
  <c r="E11100" i="6"/>
  <c r="F11110" i="6"/>
  <c r="E11136" i="6"/>
  <c r="F11052" i="6"/>
  <c r="E11078" i="6"/>
  <c r="E11090" i="6"/>
  <c r="F11064" i="6"/>
  <c r="E11081" i="6"/>
  <c r="F11055" i="6"/>
  <c r="E11101" i="6"/>
  <c r="F11075" i="6"/>
  <c r="F11099" i="6"/>
  <c r="E11125" i="6"/>
  <c r="F11088" i="6"/>
  <c r="E11114" i="6"/>
  <c r="F11132" i="6"/>
  <c r="E11158" i="6"/>
  <c r="F11146" i="6"/>
  <c r="E11172" i="6"/>
  <c r="E11134" i="6"/>
  <c r="F11108" i="6"/>
  <c r="E11105" i="6"/>
  <c r="F11079" i="6"/>
  <c r="E11148" i="6"/>
  <c r="F11122" i="6"/>
  <c r="F11069" i="6"/>
  <c r="E11095" i="6"/>
  <c r="E11085" i="6"/>
  <c r="F11059" i="6"/>
  <c r="E11126" i="6" l="1"/>
  <c r="F11100" i="6"/>
  <c r="F11113" i="6"/>
  <c r="E11139" i="6"/>
  <c r="F11148" i="6"/>
  <c r="E11174" i="6"/>
  <c r="E11140" i="6"/>
  <c r="F11114" i="6"/>
  <c r="F11154" i="6"/>
  <c r="E11180" i="6"/>
  <c r="F11124" i="6"/>
  <c r="E11150" i="6"/>
  <c r="F11097" i="6"/>
  <c r="E11123" i="6"/>
  <c r="F11105" i="6"/>
  <c r="E11131" i="6"/>
  <c r="E11107" i="6"/>
  <c r="F11081" i="6"/>
  <c r="F11125" i="6"/>
  <c r="E11151" i="6"/>
  <c r="F11134" i="6"/>
  <c r="E11160" i="6"/>
  <c r="F11112" i="6"/>
  <c r="E11138" i="6"/>
  <c r="F11089" i="6"/>
  <c r="E11115" i="6"/>
  <c r="F11093" i="6"/>
  <c r="E11119" i="6"/>
  <c r="F11158" i="6"/>
  <c r="E11184" i="6"/>
  <c r="F11090" i="6"/>
  <c r="E11116" i="6"/>
  <c r="E11121" i="6"/>
  <c r="F11095" i="6"/>
  <c r="F11172" i="6"/>
  <c r="E11198" i="6"/>
  <c r="F11136" i="6"/>
  <c r="E11162" i="6"/>
  <c r="F11144" i="6"/>
  <c r="E11170" i="6"/>
  <c r="E11129" i="6"/>
  <c r="F11103" i="6"/>
  <c r="F11117" i="6"/>
  <c r="E11143" i="6"/>
  <c r="E11104" i="6"/>
  <c r="F11078" i="6"/>
  <c r="F11085" i="6"/>
  <c r="E11111" i="6"/>
  <c r="F11101" i="6"/>
  <c r="E11127" i="6"/>
  <c r="F11109" i="6"/>
  <c r="E11135" i="6"/>
  <c r="F11170" i="6" l="1"/>
  <c r="E11196" i="6"/>
  <c r="F11116" i="6"/>
  <c r="E11142" i="6"/>
  <c r="F11138" i="6"/>
  <c r="E11164" i="6"/>
  <c r="E11157" i="6"/>
  <c r="F11131" i="6"/>
  <c r="E11166" i="6"/>
  <c r="F11140" i="6"/>
  <c r="F11111" i="6"/>
  <c r="E11137" i="6"/>
  <c r="F11184" i="6"/>
  <c r="E11210" i="6"/>
  <c r="F11160" i="6"/>
  <c r="E11186" i="6"/>
  <c r="E11149" i="6"/>
  <c r="F11123" i="6"/>
  <c r="F11174" i="6"/>
  <c r="E11200" i="6"/>
  <c r="F11104" i="6"/>
  <c r="E11130" i="6"/>
  <c r="F11198" i="6"/>
  <c r="E11224" i="6"/>
  <c r="F11119" i="6"/>
  <c r="E11145" i="6"/>
  <c r="E11177" i="6"/>
  <c r="F11151" i="6"/>
  <c r="E11176" i="6"/>
  <c r="F11150" i="6"/>
  <c r="E11165" i="6"/>
  <c r="F11139" i="6"/>
  <c r="E11169" i="6"/>
  <c r="F11143" i="6"/>
  <c r="F11162" i="6"/>
  <c r="E11188" i="6"/>
  <c r="E11161" i="6"/>
  <c r="F11135" i="6"/>
  <c r="E11141" i="6"/>
  <c r="F11115" i="6"/>
  <c r="F11180" i="6"/>
  <c r="E11206" i="6"/>
  <c r="E11153" i="6"/>
  <c r="F11127" i="6"/>
  <c r="F11129" i="6"/>
  <c r="E11155" i="6"/>
  <c r="F11121" i="6"/>
  <c r="E11147" i="6"/>
  <c r="E11133" i="6"/>
  <c r="F11107" i="6"/>
  <c r="E11152" i="6"/>
  <c r="F11126" i="6"/>
  <c r="F11224" i="6" l="1"/>
  <c r="E11250" i="6"/>
  <c r="F11186" i="6"/>
  <c r="E11212" i="6"/>
  <c r="F11157" i="6"/>
  <c r="E11183" i="6"/>
  <c r="F11210" i="6"/>
  <c r="E11236" i="6"/>
  <c r="F11164" i="6"/>
  <c r="E11190" i="6"/>
  <c r="E11173" i="6"/>
  <c r="F11147" i="6"/>
  <c r="E11191" i="6"/>
  <c r="F11165" i="6"/>
  <c r="F11161" i="6"/>
  <c r="E11187" i="6"/>
  <c r="F11130" i="6"/>
  <c r="E11156" i="6"/>
  <c r="F11200" i="6"/>
  <c r="E11226" i="6"/>
  <c r="E11163" i="6"/>
  <c r="F11137" i="6"/>
  <c r="F11142" i="6"/>
  <c r="E11168" i="6"/>
  <c r="E11178" i="6"/>
  <c r="F11152" i="6"/>
  <c r="F11206" i="6"/>
  <c r="E11232" i="6"/>
  <c r="F11145" i="6"/>
  <c r="E11171" i="6"/>
  <c r="F11196" i="6"/>
  <c r="E11222" i="6"/>
  <c r="F11141" i="6"/>
  <c r="E11167" i="6"/>
  <c r="F11155" i="6"/>
  <c r="E11181" i="6"/>
  <c r="F11176" i="6"/>
  <c r="E11202" i="6"/>
  <c r="F11188" i="6"/>
  <c r="E11214" i="6"/>
  <c r="F11153" i="6"/>
  <c r="E11179" i="6"/>
  <c r="F11177" i="6"/>
  <c r="E11203" i="6"/>
  <c r="E11159" i="6"/>
  <c r="F11133" i="6"/>
  <c r="F11169" i="6"/>
  <c r="E11195" i="6"/>
  <c r="E11175" i="6"/>
  <c r="F11149" i="6"/>
  <c r="F11166" i="6"/>
  <c r="E11192" i="6"/>
  <c r="E11221" i="6" l="1"/>
  <c r="F11195" i="6"/>
  <c r="F11214" i="6"/>
  <c r="E11240" i="6"/>
  <c r="E11248" i="6"/>
  <c r="F11222" i="6"/>
  <c r="F11168" i="6"/>
  <c r="E11194" i="6"/>
  <c r="F11187" i="6"/>
  <c r="E11213" i="6"/>
  <c r="E11262" i="6"/>
  <c r="F11236" i="6"/>
  <c r="E11209" i="6"/>
  <c r="F11183" i="6"/>
  <c r="E11217" i="6"/>
  <c r="F11191" i="6"/>
  <c r="E11197" i="6"/>
  <c r="F11171" i="6"/>
  <c r="F11203" i="6"/>
  <c r="E11229" i="6"/>
  <c r="E11258" i="6"/>
  <c r="F11232" i="6"/>
  <c r="F11226" i="6"/>
  <c r="E11252" i="6"/>
  <c r="E11238" i="6"/>
  <c r="F11212" i="6"/>
  <c r="F11202" i="6"/>
  <c r="E11228" i="6"/>
  <c r="F11181" i="6"/>
  <c r="E11207" i="6"/>
  <c r="F11173" i="6"/>
  <c r="E11199" i="6"/>
  <c r="E11185" i="6"/>
  <c r="F11159" i="6"/>
  <c r="E11218" i="6"/>
  <c r="F11192" i="6"/>
  <c r="E11205" i="6"/>
  <c r="F11179" i="6"/>
  <c r="E11193" i="6"/>
  <c r="F11167" i="6"/>
  <c r="F11156" i="6"/>
  <c r="E11182" i="6"/>
  <c r="F11190" i="6"/>
  <c r="E11216" i="6"/>
  <c r="F11250" i="6"/>
  <c r="E11276" i="6"/>
  <c r="E11189" i="6"/>
  <c r="F11163" i="6"/>
  <c r="E11201" i="6"/>
  <c r="F11175" i="6"/>
  <c r="F11178" i="6"/>
  <c r="E11204" i="6"/>
  <c r="E11278" i="6" l="1"/>
  <c r="F11252" i="6"/>
  <c r="F11194" i="6"/>
  <c r="E11220" i="6"/>
  <c r="F11193" i="6"/>
  <c r="E11219" i="6"/>
  <c r="E11233" i="6"/>
  <c r="F11207" i="6"/>
  <c r="E11225" i="6"/>
  <c r="F11199" i="6"/>
  <c r="F11258" i="6"/>
  <c r="E11284" i="6"/>
  <c r="F11209" i="6"/>
  <c r="E11235" i="6"/>
  <c r="F11248" i="6"/>
  <c r="E11274" i="6"/>
  <c r="F11276" i="6"/>
  <c r="E11302" i="6"/>
  <c r="F11205" i="6"/>
  <c r="E11231" i="6"/>
  <c r="E11254" i="6"/>
  <c r="F11228" i="6"/>
  <c r="F11229" i="6"/>
  <c r="E11255" i="6"/>
  <c r="E11266" i="6"/>
  <c r="F11240" i="6"/>
  <c r="F11189" i="6"/>
  <c r="E11215" i="6"/>
  <c r="E11243" i="6"/>
  <c r="F11217" i="6"/>
  <c r="F11216" i="6"/>
  <c r="E11242" i="6"/>
  <c r="F11218" i="6"/>
  <c r="E11244" i="6"/>
  <c r="F11262" i="6"/>
  <c r="E11288" i="6"/>
  <c r="F11204" i="6"/>
  <c r="E11230" i="6"/>
  <c r="F11182" i="6"/>
  <c r="E11208" i="6"/>
  <c r="F11213" i="6"/>
  <c r="E11239" i="6"/>
  <c r="F11201" i="6"/>
  <c r="E11227" i="6"/>
  <c r="F11185" i="6"/>
  <c r="E11211" i="6"/>
  <c r="F11238" i="6"/>
  <c r="E11264" i="6"/>
  <c r="F11197" i="6"/>
  <c r="E11223" i="6"/>
  <c r="F11221" i="6"/>
  <c r="E11247" i="6"/>
  <c r="F11264" i="6" l="1"/>
  <c r="E11290" i="6"/>
  <c r="E11268" i="6"/>
  <c r="F11242" i="6"/>
  <c r="E11281" i="6"/>
  <c r="F11255" i="6"/>
  <c r="F11274" i="6"/>
  <c r="E11300" i="6"/>
  <c r="F11233" i="6"/>
  <c r="E11259" i="6"/>
  <c r="E11261" i="6"/>
  <c r="F11235" i="6"/>
  <c r="E11245" i="6"/>
  <c r="F11219" i="6"/>
  <c r="F11254" i="6"/>
  <c r="E11280" i="6"/>
  <c r="E11234" i="6"/>
  <c r="F11208" i="6"/>
  <c r="F11230" i="6"/>
  <c r="E11256" i="6"/>
  <c r="E11269" i="6"/>
  <c r="F11243" i="6"/>
  <c r="F11288" i="6"/>
  <c r="E11314" i="6"/>
  <c r="F11215" i="6"/>
  <c r="E11241" i="6"/>
  <c r="E11257" i="6"/>
  <c r="F11231" i="6"/>
  <c r="F11284" i="6"/>
  <c r="E11310" i="6"/>
  <c r="E11246" i="6"/>
  <c r="F11220" i="6"/>
  <c r="E11273" i="6"/>
  <c r="F11247" i="6"/>
  <c r="E11253" i="6"/>
  <c r="F11227" i="6"/>
  <c r="E11265" i="6"/>
  <c r="F11239" i="6"/>
  <c r="F11244" i="6"/>
  <c r="E11270" i="6"/>
  <c r="F11302" i="6"/>
  <c r="E11328" i="6"/>
  <c r="F11211" i="6"/>
  <c r="E11237" i="6"/>
  <c r="F11223" i="6"/>
  <c r="E11249" i="6"/>
  <c r="F11266" i="6"/>
  <c r="E11292" i="6"/>
  <c r="F11225" i="6"/>
  <c r="E11251" i="6"/>
  <c r="E11304" i="6"/>
  <c r="F11278" i="6"/>
  <c r="F11280" i="6" l="1"/>
  <c r="E11306" i="6"/>
  <c r="F11300" i="6"/>
  <c r="E11326" i="6"/>
  <c r="F11246" i="6"/>
  <c r="E11272" i="6"/>
  <c r="F11310" i="6"/>
  <c r="E11336" i="6"/>
  <c r="F11269" i="6"/>
  <c r="E11295" i="6"/>
  <c r="F11245" i="6"/>
  <c r="E11271" i="6"/>
  <c r="E11307" i="6"/>
  <c r="F11281" i="6"/>
  <c r="F11265" i="6"/>
  <c r="E11291" i="6"/>
  <c r="F11256" i="6"/>
  <c r="E11282" i="6"/>
  <c r="F11270" i="6"/>
  <c r="E11296" i="6"/>
  <c r="F11237" i="6"/>
  <c r="E11263" i="6"/>
  <c r="F11261" i="6"/>
  <c r="E11287" i="6"/>
  <c r="F11268" i="6"/>
  <c r="E11294" i="6"/>
  <c r="F11304" i="6"/>
  <c r="E11330" i="6"/>
  <c r="F11253" i="6"/>
  <c r="E11279" i="6"/>
  <c r="F11241" i="6"/>
  <c r="E11267" i="6"/>
  <c r="E11285" i="6"/>
  <c r="F11259" i="6"/>
  <c r="F11290" i="6"/>
  <c r="E11316" i="6"/>
  <c r="F11292" i="6"/>
  <c r="E11318" i="6"/>
  <c r="E11340" i="6"/>
  <c r="F11314" i="6"/>
  <c r="F11249" i="6"/>
  <c r="E11275" i="6"/>
  <c r="F11257" i="6"/>
  <c r="E11283" i="6"/>
  <c r="E11277" i="6"/>
  <c r="F11251" i="6"/>
  <c r="F11328" i="6"/>
  <c r="E11354" i="6"/>
  <c r="F11273" i="6"/>
  <c r="E11299" i="6"/>
  <c r="F11234" i="6"/>
  <c r="E11260" i="6"/>
  <c r="E11293" i="6" l="1"/>
  <c r="F11267" i="6"/>
  <c r="E11313" i="6"/>
  <c r="F11287" i="6"/>
  <c r="E11317" i="6"/>
  <c r="F11291" i="6"/>
  <c r="F11336" i="6"/>
  <c r="E11362" i="6"/>
  <c r="E11298" i="6"/>
  <c r="F11272" i="6"/>
  <c r="F11354" i="6"/>
  <c r="E11380" i="6"/>
  <c r="E11305" i="6"/>
  <c r="F11279" i="6"/>
  <c r="E11333" i="6"/>
  <c r="F11307" i="6"/>
  <c r="F11340" i="6"/>
  <c r="E11366" i="6"/>
  <c r="F11263" i="6"/>
  <c r="E11289" i="6"/>
  <c r="F11260" i="6"/>
  <c r="E11286" i="6"/>
  <c r="F11316" i="6"/>
  <c r="E11342" i="6"/>
  <c r="F11330" i="6"/>
  <c r="E11356" i="6"/>
  <c r="F11296" i="6"/>
  <c r="E11322" i="6"/>
  <c r="E11297" i="6"/>
  <c r="F11271" i="6"/>
  <c r="F11326" i="6"/>
  <c r="E11352" i="6"/>
  <c r="F11318" i="6"/>
  <c r="E11344" i="6"/>
  <c r="F11277" i="6"/>
  <c r="E11303" i="6"/>
  <c r="E11309" i="6"/>
  <c r="F11283" i="6"/>
  <c r="E11325" i="6"/>
  <c r="F11299" i="6"/>
  <c r="E11301" i="6"/>
  <c r="F11275" i="6"/>
  <c r="F11294" i="6"/>
  <c r="E11320" i="6"/>
  <c r="F11282" i="6"/>
  <c r="E11308" i="6"/>
  <c r="E11321" i="6"/>
  <c r="F11295" i="6"/>
  <c r="F11306" i="6"/>
  <c r="E11332" i="6"/>
  <c r="F11285" i="6"/>
  <c r="E11311" i="6"/>
  <c r="F11352" i="6" l="1"/>
  <c r="E11378" i="6"/>
  <c r="F11342" i="6"/>
  <c r="E11368" i="6"/>
  <c r="F11362" i="6"/>
  <c r="E11388" i="6"/>
  <c r="E11334" i="6"/>
  <c r="F11308" i="6"/>
  <c r="F11305" i="6"/>
  <c r="E11331" i="6"/>
  <c r="F11317" i="6"/>
  <c r="E11343" i="6"/>
  <c r="F11309" i="6"/>
  <c r="E11335" i="6"/>
  <c r="E11346" i="6"/>
  <c r="F11320" i="6"/>
  <c r="E11329" i="6"/>
  <c r="F11303" i="6"/>
  <c r="E11348" i="6"/>
  <c r="F11322" i="6"/>
  <c r="F11289" i="6"/>
  <c r="E11315" i="6"/>
  <c r="F11380" i="6"/>
  <c r="E11406" i="6"/>
  <c r="F11321" i="6"/>
  <c r="E11347" i="6"/>
  <c r="F11297" i="6"/>
  <c r="E11323" i="6"/>
  <c r="F11313" i="6"/>
  <c r="E11339" i="6"/>
  <c r="F11325" i="6"/>
  <c r="E11351" i="6"/>
  <c r="F11286" i="6"/>
  <c r="E11312" i="6"/>
  <c r="E11337" i="6"/>
  <c r="F11311" i="6"/>
  <c r="F11332" i="6"/>
  <c r="E11358" i="6"/>
  <c r="E11370" i="6"/>
  <c r="F11344" i="6"/>
  <c r="F11356" i="6"/>
  <c r="E11382" i="6"/>
  <c r="F11366" i="6"/>
  <c r="E11392" i="6"/>
  <c r="F11333" i="6"/>
  <c r="E11359" i="6"/>
  <c r="E11327" i="6"/>
  <c r="F11301" i="6"/>
  <c r="F11298" i="6"/>
  <c r="E11324" i="6"/>
  <c r="F11293" i="6"/>
  <c r="E11319" i="6"/>
  <c r="E11377" i="6" l="1"/>
  <c r="F11351" i="6"/>
  <c r="F11406" i="6"/>
  <c r="E11432" i="6"/>
  <c r="F11346" i="6"/>
  <c r="E11372" i="6"/>
  <c r="F11334" i="6"/>
  <c r="E11360" i="6"/>
  <c r="E11353" i="6"/>
  <c r="F11327" i="6"/>
  <c r="E11365" i="6"/>
  <c r="F11339" i="6"/>
  <c r="E11341" i="6"/>
  <c r="F11315" i="6"/>
  <c r="E11361" i="6"/>
  <c r="F11335" i="6"/>
  <c r="F11388" i="6"/>
  <c r="E11414" i="6"/>
  <c r="E11369" i="6"/>
  <c r="F11343" i="6"/>
  <c r="F11368" i="6"/>
  <c r="E11394" i="6"/>
  <c r="E11385" i="6"/>
  <c r="F11359" i="6"/>
  <c r="F11348" i="6"/>
  <c r="E11374" i="6"/>
  <c r="F11370" i="6"/>
  <c r="E11396" i="6"/>
  <c r="E11345" i="6"/>
  <c r="F11319" i="6"/>
  <c r="E11349" i="6"/>
  <c r="F11323" i="6"/>
  <c r="F11324" i="6"/>
  <c r="E11350" i="6"/>
  <c r="E11408" i="6"/>
  <c r="F11382" i="6"/>
  <c r="F11312" i="6"/>
  <c r="E11338" i="6"/>
  <c r="E11373" i="6"/>
  <c r="F11347" i="6"/>
  <c r="F11331" i="6"/>
  <c r="E11357" i="6"/>
  <c r="F11378" i="6"/>
  <c r="E11404" i="6"/>
  <c r="F11358" i="6"/>
  <c r="E11384" i="6"/>
  <c r="F11392" i="6"/>
  <c r="E11418" i="6"/>
  <c r="F11337" i="6"/>
  <c r="E11363" i="6"/>
  <c r="F11329" i="6"/>
  <c r="E11355" i="6"/>
  <c r="F11360" i="6" l="1"/>
  <c r="E11386" i="6"/>
  <c r="F11361" i="6"/>
  <c r="E11387" i="6"/>
  <c r="F11418" i="6"/>
  <c r="E11444" i="6"/>
  <c r="F11394" i="6"/>
  <c r="E11420" i="6"/>
  <c r="E11398" i="6"/>
  <c r="F11372" i="6"/>
  <c r="E11399" i="6"/>
  <c r="F11373" i="6"/>
  <c r="F11341" i="6"/>
  <c r="E11367" i="6"/>
  <c r="F11349" i="6"/>
  <c r="E11375" i="6"/>
  <c r="F11432" i="6"/>
  <c r="E11458" i="6"/>
  <c r="F11385" i="6"/>
  <c r="E11411" i="6"/>
  <c r="E11381" i="6"/>
  <c r="F11355" i="6"/>
  <c r="F11365" i="6"/>
  <c r="E11391" i="6"/>
  <c r="F11338" i="6"/>
  <c r="E11364" i="6"/>
  <c r="F11404" i="6"/>
  <c r="E11430" i="6"/>
  <c r="F11408" i="6"/>
  <c r="E11434" i="6"/>
  <c r="F11369" i="6"/>
  <c r="E11395" i="6"/>
  <c r="F11357" i="6"/>
  <c r="E11383" i="6"/>
  <c r="F11350" i="6"/>
  <c r="E11376" i="6"/>
  <c r="F11374" i="6"/>
  <c r="E11400" i="6"/>
  <c r="F11414" i="6"/>
  <c r="E11440" i="6"/>
  <c r="F11384" i="6"/>
  <c r="E11410" i="6"/>
  <c r="F11345" i="6"/>
  <c r="E11371" i="6"/>
  <c r="F11396" i="6"/>
  <c r="E11422" i="6"/>
  <c r="E11389" i="6"/>
  <c r="F11363" i="6"/>
  <c r="F11353" i="6"/>
  <c r="E11379" i="6"/>
  <c r="F11377" i="6"/>
  <c r="E11403" i="6"/>
  <c r="F11440" i="6" l="1"/>
  <c r="E11466" i="6"/>
  <c r="E11417" i="6"/>
  <c r="F11391" i="6"/>
  <c r="E11401" i="6"/>
  <c r="F11375" i="6"/>
  <c r="F11420" i="6"/>
  <c r="E11446" i="6"/>
  <c r="F11422" i="6"/>
  <c r="E11448" i="6"/>
  <c r="F11444" i="6"/>
  <c r="E11470" i="6"/>
  <c r="E11421" i="6"/>
  <c r="F11395" i="6"/>
  <c r="F11381" i="6"/>
  <c r="E11407" i="6"/>
  <c r="F11389" i="6"/>
  <c r="E11415" i="6"/>
  <c r="F11400" i="6"/>
  <c r="E11426" i="6"/>
  <c r="E11397" i="6"/>
  <c r="F11371" i="6"/>
  <c r="F11430" i="6"/>
  <c r="E11456" i="6"/>
  <c r="E11437" i="6"/>
  <c r="F11411" i="6"/>
  <c r="E11413" i="6"/>
  <c r="F11387" i="6"/>
  <c r="F11434" i="6"/>
  <c r="E11460" i="6"/>
  <c r="E11425" i="6"/>
  <c r="F11399" i="6"/>
  <c r="E11405" i="6"/>
  <c r="F11379" i="6"/>
  <c r="E11436" i="6"/>
  <c r="F11410" i="6"/>
  <c r="E11409" i="6"/>
  <c r="F11383" i="6"/>
  <c r="F11364" i="6"/>
  <c r="E11390" i="6"/>
  <c r="F11458" i="6"/>
  <c r="E11484" i="6"/>
  <c r="F11386" i="6"/>
  <c r="E11412" i="6"/>
  <c r="E11393" i="6"/>
  <c r="F11367" i="6"/>
  <c r="E11429" i="6"/>
  <c r="F11403" i="6"/>
  <c r="F11376" i="6"/>
  <c r="E11402" i="6"/>
  <c r="F11398" i="6"/>
  <c r="E11424" i="6"/>
  <c r="E11482" i="6" l="1"/>
  <c r="F11456" i="6"/>
  <c r="E11433" i="6"/>
  <c r="F11407" i="6"/>
  <c r="F11446" i="6"/>
  <c r="E11472" i="6"/>
  <c r="F11390" i="6"/>
  <c r="E11416" i="6"/>
  <c r="F11397" i="6"/>
  <c r="E11423" i="6"/>
  <c r="F11421" i="6"/>
  <c r="E11447" i="6"/>
  <c r="F11401" i="6"/>
  <c r="E11427" i="6"/>
  <c r="F11426" i="6"/>
  <c r="E11452" i="6"/>
  <c r="E11496" i="6"/>
  <c r="F11470" i="6"/>
  <c r="F11409" i="6"/>
  <c r="E11435" i="6"/>
  <c r="F11413" i="6"/>
  <c r="E11439" i="6"/>
  <c r="F11417" i="6"/>
  <c r="E11443" i="6"/>
  <c r="F11429" i="6"/>
  <c r="E11455" i="6"/>
  <c r="E11486" i="6"/>
  <c r="F11460" i="6"/>
  <c r="F11412" i="6"/>
  <c r="E11438" i="6"/>
  <c r="F11402" i="6"/>
  <c r="E11428" i="6"/>
  <c r="F11484" i="6"/>
  <c r="E11510" i="6"/>
  <c r="F11415" i="6"/>
  <c r="E11441" i="6"/>
  <c r="F11448" i="6"/>
  <c r="E11474" i="6"/>
  <c r="F11466" i="6"/>
  <c r="E11492" i="6"/>
  <c r="F11425" i="6"/>
  <c r="E11451" i="6"/>
  <c r="F11393" i="6"/>
  <c r="E11419" i="6"/>
  <c r="F11424" i="6"/>
  <c r="E11450" i="6"/>
  <c r="F11436" i="6"/>
  <c r="E11462" i="6"/>
  <c r="F11405" i="6"/>
  <c r="E11431" i="6"/>
  <c r="F11437" i="6"/>
  <c r="E11463" i="6"/>
  <c r="E11488" i="6" l="1"/>
  <c r="F11462" i="6"/>
  <c r="F11428" i="6"/>
  <c r="E11454" i="6"/>
  <c r="E11469" i="6"/>
  <c r="F11443" i="6"/>
  <c r="E11478" i="6"/>
  <c r="F11452" i="6"/>
  <c r="F11416" i="6"/>
  <c r="E11442" i="6"/>
  <c r="F11450" i="6"/>
  <c r="E11476" i="6"/>
  <c r="E11465" i="6"/>
  <c r="F11439" i="6"/>
  <c r="F11427" i="6"/>
  <c r="E11453" i="6"/>
  <c r="F11472" i="6"/>
  <c r="E11498" i="6"/>
  <c r="F11441" i="6"/>
  <c r="E11467" i="6"/>
  <c r="E11461" i="6"/>
  <c r="F11435" i="6"/>
  <c r="E11473" i="6"/>
  <c r="F11447" i="6"/>
  <c r="F11438" i="6"/>
  <c r="E11464" i="6"/>
  <c r="E11489" i="6"/>
  <c r="F11463" i="6"/>
  <c r="F11433" i="6"/>
  <c r="E11459" i="6"/>
  <c r="E11518" i="6"/>
  <c r="F11492" i="6"/>
  <c r="F11486" i="6"/>
  <c r="E11512" i="6"/>
  <c r="F11431" i="6"/>
  <c r="E11457" i="6"/>
  <c r="E11477" i="6"/>
  <c r="F11451" i="6"/>
  <c r="F11510" i="6"/>
  <c r="E11536" i="6"/>
  <c r="E11481" i="6"/>
  <c r="F11455" i="6"/>
  <c r="E11449" i="6"/>
  <c r="F11423" i="6"/>
  <c r="F11474" i="6"/>
  <c r="E11500" i="6"/>
  <c r="F11419" i="6"/>
  <c r="E11445" i="6"/>
  <c r="F11496" i="6"/>
  <c r="E11522" i="6"/>
  <c r="F11482" i="6"/>
  <c r="E11508" i="6"/>
  <c r="F11453" i="6" l="1"/>
  <c r="E11479" i="6"/>
  <c r="E11504" i="6"/>
  <c r="F11478" i="6"/>
  <c r="F11445" i="6"/>
  <c r="E11471" i="6"/>
  <c r="F11473" i="6"/>
  <c r="E11499" i="6"/>
  <c r="F11461" i="6"/>
  <c r="E11487" i="6"/>
  <c r="F11465" i="6"/>
  <c r="E11491" i="6"/>
  <c r="F11469" i="6"/>
  <c r="E11495" i="6"/>
  <c r="E11483" i="6"/>
  <c r="F11457" i="6"/>
  <c r="E11493" i="6"/>
  <c r="F11467" i="6"/>
  <c r="F11476" i="6"/>
  <c r="E11502" i="6"/>
  <c r="F11454" i="6"/>
  <c r="E11480" i="6"/>
  <c r="F11500" i="6"/>
  <c r="E11526" i="6"/>
  <c r="F11477" i="6"/>
  <c r="E11503" i="6"/>
  <c r="F11449" i="6"/>
  <c r="E11475" i="6"/>
  <c r="E11515" i="6"/>
  <c r="F11489" i="6"/>
  <c r="F11536" i="6"/>
  <c r="E11562" i="6"/>
  <c r="E11485" i="6"/>
  <c r="F11459" i="6"/>
  <c r="E11548" i="6"/>
  <c r="F11522" i="6"/>
  <c r="E11538" i="6"/>
  <c r="F11512" i="6"/>
  <c r="F11464" i="6"/>
  <c r="E11490" i="6"/>
  <c r="E11524" i="6"/>
  <c r="F11498" i="6"/>
  <c r="F11442" i="6"/>
  <c r="E11468" i="6"/>
  <c r="F11518" i="6"/>
  <c r="E11544" i="6"/>
  <c r="E11534" i="6"/>
  <c r="F11508" i="6"/>
  <c r="F11481" i="6"/>
  <c r="E11507" i="6"/>
  <c r="F11488" i="6"/>
  <c r="E11514" i="6"/>
  <c r="F11490" i="6" l="1"/>
  <c r="E11516" i="6"/>
  <c r="E11588" i="6"/>
  <c r="F11562" i="6"/>
  <c r="F11526" i="6"/>
  <c r="E11552" i="6"/>
  <c r="E11525" i="6"/>
  <c r="F11499" i="6"/>
  <c r="E11560" i="6"/>
  <c r="F11534" i="6"/>
  <c r="F11480" i="6"/>
  <c r="E11506" i="6"/>
  <c r="E11521" i="6"/>
  <c r="F11495" i="6"/>
  <c r="E11497" i="6"/>
  <c r="F11471" i="6"/>
  <c r="F11544" i="6"/>
  <c r="E11570" i="6"/>
  <c r="F11538" i="6"/>
  <c r="E11564" i="6"/>
  <c r="F11468" i="6"/>
  <c r="E11494" i="6"/>
  <c r="E11501" i="6"/>
  <c r="F11475" i="6"/>
  <c r="E11528" i="6"/>
  <c r="F11502" i="6"/>
  <c r="F11491" i="6"/>
  <c r="E11517" i="6"/>
  <c r="F11548" i="6"/>
  <c r="E11574" i="6"/>
  <c r="F11504" i="6"/>
  <c r="E11530" i="6"/>
  <c r="F11515" i="6"/>
  <c r="E11541" i="6"/>
  <c r="F11503" i="6"/>
  <c r="E11529" i="6"/>
  <c r="F11487" i="6"/>
  <c r="E11513" i="6"/>
  <c r="E11505" i="6"/>
  <c r="F11479" i="6"/>
  <c r="E11509" i="6"/>
  <c r="F11483" i="6"/>
  <c r="E11540" i="6"/>
  <c r="F11514" i="6"/>
  <c r="E11533" i="6"/>
  <c r="F11507" i="6"/>
  <c r="F11524" i="6"/>
  <c r="E11550" i="6"/>
  <c r="F11485" i="6"/>
  <c r="E11511" i="6"/>
  <c r="F11493" i="6"/>
  <c r="E11519" i="6"/>
  <c r="F11530" i="6" l="1"/>
  <c r="E11556" i="6"/>
  <c r="F11497" i="6"/>
  <c r="E11523" i="6"/>
  <c r="F11525" i="6"/>
  <c r="E11551" i="6"/>
  <c r="F11494" i="6"/>
  <c r="E11520" i="6"/>
  <c r="F11552" i="6"/>
  <c r="E11578" i="6"/>
  <c r="F11550" i="6"/>
  <c r="E11576" i="6"/>
  <c r="E11527" i="6"/>
  <c r="F11501" i="6"/>
  <c r="F11521" i="6"/>
  <c r="E11547" i="6"/>
  <c r="F11513" i="6"/>
  <c r="E11539" i="6"/>
  <c r="F11517" i="6"/>
  <c r="E11543" i="6"/>
  <c r="F11564" i="6"/>
  <c r="E11590" i="6"/>
  <c r="F11506" i="6"/>
  <c r="E11532" i="6"/>
  <c r="E11600" i="6"/>
  <c r="F11574" i="6"/>
  <c r="F11533" i="6"/>
  <c r="E11559" i="6"/>
  <c r="E11545" i="6"/>
  <c r="F11519" i="6"/>
  <c r="F11540" i="6"/>
  <c r="E11566" i="6"/>
  <c r="F11588" i="6"/>
  <c r="E11614" i="6"/>
  <c r="F11529" i="6"/>
  <c r="E11555" i="6"/>
  <c r="E11537" i="6"/>
  <c r="F11511" i="6"/>
  <c r="F11541" i="6"/>
  <c r="E11567" i="6"/>
  <c r="F11570" i="6"/>
  <c r="E11596" i="6"/>
  <c r="E11542" i="6"/>
  <c r="F11516" i="6"/>
  <c r="F11505" i="6"/>
  <c r="E11531" i="6"/>
  <c r="F11509" i="6"/>
  <c r="E11535" i="6"/>
  <c r="F11528" i="6"/>
  <c r="E11554" i="6"/>
  <c r="F11560" i="6"/>
  <c r="E11586" i="6"/>
  <c r="E11593" i="6" l="1"/>
  <c r="F11567" i="6"/>
  <c r="F11566" i="6"/>
  <c r="E11592" i="6"/>
  <c r="F11532" i="6"/>
  <c r="E11558" i="6"/>
  <c r="E11573" i="6"/>
  <c r="F11547" i="6"/>
  <c r="F11520" i="6"/>
  <c r="E11546" i="6"/>
  <c r="E11577" i="6"/>
  <c r="F11551" i="6"/>
  <c r="E11557" i="6"/>
  <c r="F11531" i="6"/>
  <c r="F11537" i="6"/>
  <c r="E11563" i="6"/>
  <c r="E11553" i="6"/>
  <c r="F11527" i="6"/>
  <c r="F11590" i="6"/>
  <c r="E11616" i="6"/>
  <c r="F11555" i="6"/>
  <c r="E11581" i="6"/>
  <c r="E11585" i="6"/>
  <c r="F11559" i="6"/>
  <c r="F11543" i="6"/>
  <c r="E11569" i="6"/>
  <c r="F11576" i="6"/>
  <c r="E11602" i="6"/>
  <c r="F11523" i="6"/>
  <c r="E11549" i="6"/>
  <c r="F11554" i="6"/>
  <c r="E11580" i="6"/>
  <c r="F11596" i="6"/>
  <c r="E11622" i="6"/>
  <c r="F11614" i="6"/>
  <c r="E11640" i="6"/>
  <c r="E11565" i="6"/>
  <c r="F11539" i="6"/>
  <c r="F11578" i="6"/>
  <c r="E11604" i="6"/>
  <c r="E11582" i="6"/>
  <c r="F11556" i="6"/>
  <c r="E11561" i="6"/>
  <c r="F11535" i="6"/>
  <c r="F11545" i="6"/>
  <c r="E11571" i="6"/>
  <c r="E11612" i="6"/>
  <c r="F11586" i="6"/>
  <c r="F11542" i="6"/>
  <c r="E11568" i="6"/>
  <c r="F11600" i="6"/>
  <c r="E11626" i="6"/>
  <c r="F11604" i="6" l="1"/>
  <c r="E11630" i="6"/>
  <c r="F11580" i="6"/>
  <c r="E11606" i="6"/>
  <c r="F11563" i="6"/>
  <c r="E11589" i="6"/>
  <c r="F11612" i="6"/>
  <c r="E11638" i="6"/>
  <c r="F11581" i="6"/>
  <c r="E11607" i="6"/>
  <c r="F11558" i="6"/>
  <c r="E11584" i="6"/>
  <c r="F11573" i="6"/>
  <c r="E11599" i="6"/>
  <c r="F11557" i="6"/>
  <c r="E11583" i="6"/>
  <c r="F11585" i="6"/>
  <c r="E11611" i="6"/>
  <c r="E11575" i="6"/>
  <c r="F11549" i="6"/>
  <c r="F11640" i="6"/>
  <c r="E11666" i="6"/>
  <c r="F11602" i="6"/>
  <c r="E11628" i="6"/>
  <c r="F11616" i="6"/>
  <c r="E11642" i="6"/>
  <c r="F11592" i="6"/>
  <c r="E11618" i="6"/>
  <c r="E11597" i="6"/>
  <c r="F11571" i="6"/>
  <c r="E11591" i="6"/>
  <c r="F11565" i="6"/>
  <c r="F11561" i="6"/>
  <c r="E11587" i="6"/>
  <c r="F11577" i="6"/>
  <c r="E11603" i="6"/>
  <c r="F11568" i="6"/>
  <c r="E11594" i="6"/>
  <c r="F11622" i="6"/>
  <c r="E11648" i="6"/>
  <c r="F11569" i="6"/>
  <c r="E11595" i="6"/>
  <c r="F11546" i="6"/>
  <c r="E11572" i="6"/>
  <c r="F11626" i="6"/>
  <c r="E11652" i="6"/>
  <c r="E11608" i="6"/>
  <c r="F11582" i="6"/>
  <c r="F11553" i="6"/>
  <c r="E11579" i="6"/>
  <c r="F11593" i="6"/>
  <c r="E11619" i="6"/>
  <c r="F11628" i="6" l="1"/>
  <c r="E11654" i="6"/>
  <c r="E11609" i="6"/>
  <c r="F11583" i="6"/>
  <c r="F11638" i="6"/>
  <c r="E11664" i="6"/>
  <c r="F11591" i="6"/>
  <c r="E11617" i="6"/>
  <c r="E11678" i="6"/>
  <c r="F11652" i="6"/>
  <c r="E11692" i="6"/>
  <c r="F11666" i="6"/>
  <c r="E11625" i="6"/>
  <c r="F11599" i="6"/>
  <c r="F11589" i="6"/>
  <c r="E11615" i="6"/>
  <c r="F11597" i="6"/>
  <c r="E11623" i="6"/>
  <c r="F11648" i="6"/>
  <c r="E11674" i="6"/>
  <c r="F11594" i="6"/>
  <c r="E11620" i="6"/>
  <c r="E11645" i="6"/>
  <c r="F11619" i="6"/>
  <c r="F11572" i="6"/>
  <c r="E11598" i="6"/>
  <c r="E11629" i="6"/>
  <c r="F11603" i="6"/>
  <c r="E11644" i="6"/>
  <c r="F11618" i="6"/>
  <c r="F11584" i="6"/>
  <c r="E11610" i="6"/>
  <c r="F11606" i="6"/>
  <c r="E11632" i="6"/>
  <c r="E11601" i="6"/>
  <c r="F11575" i="6"/>
  <c r="E11605" i="6"/>
  <c r="F11579" i="6"/>
  <c r="F11595" i="6"/>
  <c r="E11621" i="6"/>
  <c r="E11613" i="6"/>
  <c r="F11587" i="6"/>
  <c r="F11642" i="6"/>
  <c r="E11668" i="6"/>
  <c r="E11637" i="6"/>
  <c r="F11611" i="6"/>
  <c r="F11607" i="6"/>
  <c r="E11633" i="6"/>
  <c r="F11630" i="6"/>
  <c r="E11656" i="6"/>
  <c r="F11608" i="6"/>
  <c r="E11634" i="6"/>
  <c r="F11610" i="6" l="1"/>
  <c r="E11636" i="6"/>
  <c r="F11620" i="6"/>
  <c r="E11646" i="6"/>
  <c r="F11664" i="6"/>
  <c r="E11690" i="6"/>
  <c r="F11645" i="6"/>
  <c r="E11671" i="6"/>
  <c r="F11625" i="6"/>
  <c r="E11651" i="6"/>
  <c r="F11633" i="6"/>
  <c r="E11659" i="6"/>
  <c r="E11694" i="6"/>
  <c r="F11668" i="6"/>
  <c r="F11617" i="6"/>
  <c r="E11643" i="6"/>
  <c r="F11637" i="6"/>
  <c r="E11663" i="6"/>
  <c r="F11601" i="6"/>
  <c r="E11627" i="6"/>
  <c r="E11655" i="6"/>
  <c r="F11629" i="6"/>
  <c r="F11692" i="6"/>
  <c r="E11718" i="6"/>
  <c r="E11635" i="6"/>
  <c r="F11609" i="6"/>
  <c r="E11647" i="6"/>
  <c r="F11621" i="6"/>
  <c r="F11644" i="6"/>
  <c r="E11670" i="6"/>
  <c r="F11656" i="6"/>
  <c r="E11682" i="6"/>
  <c r="E11658" i="6"/>
  <c r="F11632" i="6"/>
  <c r="F11598" i="6"/>
  <c r="E11624" i="6"/>
  <c r="E11649" i="6"/>
  <c r="F11623" i="6"/>
  <c r="F11654" i="6"/>
  <c r="E11680" i="6"/>
  <c r="F11615" i="6"/>
  <c r="E11641" i="6"/>
  <c r="F11605" i="6"/>
  <c r="E11631" i="6"/>
  <c r="F11634" i="6"/>
  <c r="E11660" i="6"/>
  <c r="F11674" i="6"/>
  <c r="E11700" i="6"/>
  <c r="F11613" i="6"/>
  <c r="E11639" i="6"/>
  <c r="F11678" i="6"/>
  <c r="E11704" i="6"/>
  <c r="F11700" i="6" l="1"/>
  <c r="E11726" i="6"/>
  <c r="F11690" i="6"/>
  <c r="E11716" i="6"/>
  <c r="F11680" i="6"/>
  <c r="E11706" i="6"/>
  <c r="F11660" i="6"/>
  <c r="E11686" i="6"/>
  <c r="F11649" i="6"/>
  <c r="E11675" i="6"/>
  <c r="E11681" i="6"/>
  <c r="F11655" i="6"/>
  <c r="F11694" i="6"/>
  <c r="E11720" i="6"/>
  <c r="E11669" i="6"/>
  <c r="F11643" i="6"/>
  <c r="E11696" i="6"/>
  <c r="F11670" i="6"/>
  <c r="F11624" i="6"/>
  <c r="E11650" i="6"/>
  <c r="E11653" i="6"/>
  <c r="F11627" i="6"/>
  <c r="E11685" i="6"/>
  <c r="F11659" i="6"/>
  <c r="F11646" i="6"/>
  <c r="E11672" i="6"/>
  <c r="F11718" i="6"/>
  <c r="E11744" i="6"/>
  <c r="E11657" i="6"/>
  <c r="F11631" i="6"/>
  <c r="F11647" i="6"/>
  <c r="E11673" i="6"/>
  <c r="F11682" i="6"/>
  <c r="E11708" i="6"/>
  <c r="E11730" i="6"/>
  <c r="F11704" i="6"/>
  <c r="F11639" i="6"/>
  <c r="E11665" i="6"/>
  <c r="E11667" i="6"/>
  <c r="F11641" i="6"/>
  <c r="E11689" i="6"/>
  <c r="F11663" i="6"/>
  <c r="E11677" i="6"/>
  <c r="F11651" i="6"/>
  <c r="F11636" i="6"/>
  <c r="E11662" i="6"/>
  <c r="E11697" i="6"/>
  <c r="F11671" i="6"/>
  <c r="E11684" i="6"/>
  <c r="F11658" i="6"/>
  <c r="E11661" i="6"/>
  <c r="F11635" i="6"/>
  <c r="E11693" i="6" l="1"/>
  <c r="F11667" i="6"/>
  <c r="F11685" i="6"/>
  <c r="E11711" i="6"/>
  <c r="F11669" i="6"/>
  <c r="E11695" i="6"/>
  <c r="F11686" i="6"/>
  <c r="E11712" i="6"/>
  <c r="F11720" i="6"/>
  <c r="E11746" i="6"/>
  <c r="E11732" i="6"/>
  <c r="F11706" i="6"/>
  <c r="F11665" i="6"/>
  <c r="E11691" i="6"/>
  <c r="F11657" i="6"/>
  <c r="E11683" i="6"/>
  <c r="F11653" i="6"/>
  <c r="E11679" i="6"/>
  <c r="E11770" i="6"/>
  <c r="F11744" i="6"/>
  <c r="F11650" i="6"/>
  <c r="E11676" i="6"/>
  <c r="F11716" i="6"/>
  <c r="E11742" i="6"/>
  <c r="F11697" i="6"/>
  <c r="E11723" i="6"/>
  <c r="F11677" i="6"/>
  <c r="E11703" i="6"/>
  <c r="F11681" i="6"/>
  <c r="E11707" i="6"/>
  <c r="F11673" i="6"/>
  <c r="E11699" i="6"/>
  <c r="E11756" i="6"/>
  <c r="F11730" i="6"/>
  <c r="F11708" i="6"/>
  <c r="E11734" i="6"/>
  <c r="E11701" i="6"/>
  <c r="F11675" i="6"/>
  <c r="F11726" i="6"/>
  <c r="E11752" i="6"/>
  <c r="F11662" i="6"/>
  <c r="E11688" i="6"/>
  <c r="F11661" i="6"/>
  <c r="E11687" i="6"/>
  <c r="E11698" i="6"/>
  <c r="F11672" i="6"/>
  <c r="F11684" i="6"/>
  <c r="E11710" i="6"/>
  <c r="F11689" i="6"/>
  <c r="E11715" i="6"/>
  <c r="F11696" i="6"/>
  <c r="E11722" i="6"/>
  <c r="F11710" i="6" l="1"/>
  <c r="E11736" i="6"/>
  <c r="E11778" i="6"/>
  <c r="F11752" i="6"/>
  <c r="E11725" i="6"/>
  <c r="F11699" i="6"/>
  <c r="E11768" i="6"/>
  <c r="F11742" i="6"/>
  <c r="E11709" i="6"/>
  <c r="F11683" i="6"/>
  <c r="F11712" i="6"/>
  <c r="E11738" i="6"/>
  <c r="F11707" i="6"/>
  <c r="E11733" i="6"/>
  <c r="F11676" i="6"/>
  <c r="E11702" i="6"/>
  <c r="E11717" i="6"/>
  <c r="F11691" i="6"/>
  <c r="E11721" i="6"/>
  <c r="F11695" i="6"/>
  <c r="F11722" i="6"/>
  <c r="E11748" i="6"/>
  <c r="E11760" i="6"/>
  <c r="F11734" i="6"/>
  <c r="E11729" i="6"/>
  <c r="F11703" i="6"/>
  <c r="F11711" i="6"/>
  <c r="E11737" i="6"/>
  <c r="E11724" i="6"/>
  <c r="F11698" i="6"/>
  <c r="E11796" i="6"/>
  <c r="F11770" i="6"/>
  <c r="E11758" i="6"/>
  <c r="F11732" i="6"/>
  <c r="F11688" i="6"/>
  <c r="E11714" i="6"/>
  <c r="F11723" i="6"/>
  <c r="E11749" i="6"/>
  <c r="F11679" i="6"/>
  <c r="E11705" i="6"/>
  <c r="E11772" i="6"/>
  <c r="F11746" i="6"/>
  <c r="F11701" i="6"/>
  <c r="E11727" i="6"/>
  <c r="E11713" i="6"/>
  <c r="F11687" i="6"/>
  <c r="F11715" i="6"/>
  <c r="E11741" i="6"/>
  <c r="E11782" i="6"/>
  <c r="F11756" i="6"/>
  <c r="F11693" i="6"/>
  <c r="E11719" i="6"/>
  <c r="E11786" i="6" l="1"/>
  <c r="F11760" i="6"/>
  <c r="E11794" i="6"/>
  <c r="F11768" i="6"/>
  <c r="E11759" i="6"/>
  <c r="F11733" i="6"/>
  <c r="E11728" i="6"/>
  <c r="F11702" i="6"/>
  <c r="F11724" i="6"/>
  <c r="E11750" i="6"/>
  <c r="F11725" i="6"/>
  <c r="E11751" i="6"/>
  <c r="E11731" i="6"/>
  <c r="F11705" i="6"/>
  <c r="E11822" i="6"/>
  <c r="F11796" i="6"/>
  <c r="F11713" i="6"/>
  <c r="E11739" i="6"/>
  <c r="F11719" i="6"/>
  <c r="E11745" i="6"/>
  <c r="F11727" i="6"/>
  <c r="E11753" i="6"/>
  <c r="F11714" i="6"/>
  <c r="E11740" i="6"/>
  <c r="E11763" i="6"/>
  <c r="F11737" i="6"/>
  <c r="E11764" i="6"/>
  <c r="F11738" i="6"/>
  <c r="E11775" i="6"/>
  <c r="F11749" i="6"/>
  <c r="F11721" i="6"/>
  <c r="E11747" i="6"/>
  <c r="E11804" i="6"/>
  <c r="F11778" i="6"/>
  <c r="E11767" i="6"/>
  <c r="F11741" i="6"/>
  <c r="E11762" i="6"/>
  <c r="F11736" i="6"/>
  <c r="E11774" i="6"/>
  <c r="F11748" i="6"/>
  <c r="E11808" i="6"/>
  <c r="F11782" i="6"/>
  <c r="E11798" i="6"/>
  <c r="F11772" i="6"/>
  <c r="E11784" i="6"/>
  <c r="F11758" i="6"/>
  <c r="E11755" i="6"/>
  <c r="F11729" i="6"/>
  <c r="F11717" i="6"/>
  <c r="E11743" i="6"/>
  <c r="F11709" i="6"/>
  <c r="E11735" i="6"/>
  <c r="E11773" i="6" l="1"/>
  <c r="F11747" i="6"/>
  <c r="E11766" i="6"/>
  <c r="F11740" i="6"/>
  <c r="E11754" i="6"/>
  <c r="F11728" i="6"/>
  <c r="E11779" i="6"/>
  <c r="F11753" i="6"/>
  <c r="E11801" i="6"/>
  <c r="F11775" i="6"/>
  <c r="E11757" i="6"/>
  <c r="F11731" i="6"/>
  <c r="E11785" i="6"/>
  <c r="F11759" i="6"/>
  <c r="E11781" i="6"/>
  <c r="F11755" i="6"/>
  <c r="E11761" i="6"/>
  <c r="F11735" i="6"/>
  <c r="E11771" i="6"/>
  <c r="F11745" i="6"/>
  <c r="E11777" i="6"/>
  <c r="F11751" i="6"/>
  <c r="E11848" i="6"/>
  <c r="F11822" i="6"/>
  <c r="E11810" i="6"/>
  <c r="F11784" i="6"/>
  <c r="E11790" i="6"/>
  <c r="F11764" i="6"/>
  <c r="E11820" i="6"/>
  <c r="F11794" i="6"/>
  <c r="E11793" i="6"/>
  <c r="F11767" i="6"/>
  <c r="E11769" i="6"/>
  <c r="F11743" i="6"/>
  <c r="E11765" i="6"/>
  <c r="F11739" i="6"/>
  <c r="E11776" i="6"/>
  <c r="F11750" i="6"/>
  <c r="E11800" i="6"/>
  <c r="F11774" i="6"/>
  <c r="E11788" i="6"/>
  <c r="F11762" i="6"/>
  <c r="E11824" i="6"/>
  <c r="F11798" i="6"/>
  <c r="E11834" i="6"/>
  <c r="F11808" i="6"/>
  <c r="E11830" i="6"/>
  <c r="F11804" i="6"/>
  <c r="E11789" i="6"/>
  <c r="F11763" i="6"/>
  <c r="E11812" i="6"/>
  <c r="F11786" i="6"/>
  <c r="E11819" i="6" l="1"/>
  <c r="F11793" i="6"/>
  <c r="E11805" i="6"/>
  <c r="F11779" i="6"/>
  <c r="E11856" i="6"/>
  <c r="F11830" i="6"/>
  <c r="E11807" i="6"/>
  <c r="F11781" i="6"/>
  <c r="E11846" i="6"/>
  <c r="F11820" i="6"/>
  <c r="E11803" i="6"/>
  <c r="F11777" i="6"/>
  <c r="E11811" i="6"/>
  <c r="F11785" i="6"/>
  <c r="E11780" i="6"/>
  <c r="F11754" i="6"/>
  <c r="E11826" i="6"/>
  <c r="F11800" i="6"/>
  <c r="E11874" i="6"/>
  <c r="F11848" i="6"/>
  <c r="E11860" i="6"/>
  <c r="F11834" i="6"/>
  <c r="E11802" i="6"/>
  <c r="F11776" i="6"/>
  <c r="E11850" i="6"/>
  <c r="F11824" i="6"/>
  <c r="E11816" i="6"/>
  <c r="F11790" i="6"/>
  <c r="E11797" i="6"/>
  <c r="F11771" i="6"/>
  <c r="E11783" i="6"/>
  <c r="F11757" i="6"/>
  <c r="E11792" i="6"/>
  <c r="F11766" i="6"/>
  <c r="E11791" i="6"/>
  <c r="F11765" i="6"/>
  <c r="E11838" i="6"/>
  <c r="F11812" i="6"/>
  <c r="E11815" i="6"/>
  <c r="F11789" i="6"/>
  <c r="E11814" i="6"/>
  <c r="F11788" i="6"/>
  <c r="E11795" i="6"/>
  <c r="F11769" i="6"/>
  <c r="E11836" i="6"/>
  <c r="F11810" i="6"/>
  <c r="E11787" i="6"/>
  <c r="F11761" i="6"/>
  <c r="E11827" i="6"/>
  <c r="F11801" i="6"/>
  <c r="E11799" i="6"/>
  <c r="F11773" i="6"/>
  <c r="E11813" i="6" l="1"/>
  <c r="F11787" i="6"/>
  <c r="E11833" i="6"/>
  <c r="F11807" i="6"/>
  <c r="E11828" i="6"/>
  <c r="F11802" i="6"/>
  <c r="E11862" i="6"/>
  <c r="F11836" i="6"/>
  <c r="E11886" i="6"/>
  <c r="F11860" i="6"/>
  <c r="E11837" i="6"/>
  <c r="F11811" i="6"/>
  <c r="E11882" i="6"/>
  <c r="F11856" i="6"/>
  <c r="E11809" i="6"/>
  <c r="F11783" i="6"/>
  <c r="E11841" i="6"/>
  <c r="F11815" i="6"/>
  <c r="E11817" i="6"/>
  <c r="F11791" i="6"/>
  <c r="E11900" i="6"/>
  <c r="F11874" i="6"/>
  <c r="E11829" i="6"/>
  <c r="F11803" i="6"/>
  <c r="E11831" i="6"/>
  <c r="F11805" i="6"/>
  <c r="E11823" i="6"/>
  <c r="F11797" i="6"/>
  <c r="E11825" i="6"/>
  <c r="F11799" i="6"/>
  <c r="E11842" i="6"/>
  <c r="F11816" i="6"/>
  <c r="E11806" i="6"/>
  <c r="F11780" i="6"/>
  <c r="E11864" i="6"/>
  <c r="F11838" i="6"/>
  <c r="E11821" i="6"/>
  <c r="F11795" i="6"/>
  <c r="E11853" i="6"/>
  <c r="F11827" i="6"/>
  <c r="E11840" i="6"/>
  <c r="F11814" i="6"/>
  <c r="E11818" i="6"/>
  <c r="F11792" i="6"/>
  <c r="E11876" i="6"/>
  <c r="F11850" i="6"/>
  <c r="E11852" i="6"/>
  <c r="F11826" i="6"/>
  <c r="E11872" i="6"/>
  <c r="F11846" i="6"/>
  <c r="E11845" i="6"/>
  <c r="F11819" i="6"/>
  <c r="E11855" i="6" l="1"/>
  <c r="F11829" i="6"/>
  <c r="E11888" i="6"/>
  <c r="F11862" i="6"/>
  <c r="E11868" i="6"/>
  <c r="F11842" i="6"/>
  <c r="E11902" i="6"/>
  <c r="F11876" i="6"/>
  <c r="E11926" i="6"/>
  <c r="F11900" i="6"/>
  <c r="E11908" i="6"/>
  <c r="F11882" i="6"/>
  <c r="E11854" i="6"/>
  <c r="F11828" i="6"/>
  <c r="E11879" i="6"/>
  <c r="F11853" i="6"/>
  <c r="E11878" i="6"/>
  <c r="F11852" i="6"/>
  <c r="E11844" i="6"/>
  <c r="F11818" i="6"/>
  <c r="E11849" i="6"/>
  <c r="F11823" i="6"/>
  <c r="E11843" i="6"/>
  <c r="F11817" i="6"/>
  <c r="E11863" i="6"/>
  <c r="F11837" i="6"/>
  <c r="E11859" i="6"/>
  <c r="F11833" i="6"/>
  <c r="E11847" i="6"/>
  <c r="F11821" i="6"/>
  <c r="E11835" i="6"/>
  <c r="F11809" i="6"/>
  <c r="E11851" i="6"/>
  <c r="F11825" i="6"/>
  <c r="E11871" i="6"/>
  <c r="F11845" i="6"/>
  <c r="E11890" i="6"/>
  <c r="F11864" i="6"/>
  <c r="E11898" i="6"/>
  <c r="F11872" i="6"/>
  <c r="E11866" i="6"/>
  <c r="F11840" i="6"/>
  <c r="E11832" i="6"/>
  <c r="F11806" i="6"/>
  <c r="E11857" i="6"/>
  <c r="F11831" i="6"/>
  <c r="E11867" i="6"/>
  <c r="F11841" i="6"/>
  <c r="E11912" i="6"/>
  <c r="F11886" i="6"/>
  <c r="E11839" i="6"/>
  <c r="F11813" i="6"/>
  <c r="E11928" i="6" l="1"/>
  <c r="F11902" i="6"/>
  <c r="E11893" i="6"/>
  <c r="F11867" i="6"/>
  <c r="E11873" i="6"/>
  <c r="F11847" i="6"/>
  <c r="E11880" i="6"/>
  <c r="F11854" i="6"/>
  <c r="E11894" i="6"/>
  <c r="F11868" i="6"/>
  <c r="E11869" i="6"/>
  <c r="F11843" i="6"/>
  <c r="E11924" i="6"/>
  <c r="F11898" i="6"/>
  <c r="E11883" i="6"/>
  <c r="F11857" i="6"/>
  <c r="E11858" i="6"/>
  <c r="F11832" i="6"/>
  <c r="E11870" i="6"/>
  <c r="F11844" i="6"/>
  <c r="E11934" i="6"/>
  <c r="F11908" i="6"/>
  <c r="E11914" i="6"/>
  <c r="F11888" i="6"/>
  <c r="E11905" i="6"/>
  <c r="F11879" i="6"/>
  <c r="E11916" i="6"/>
  <c r="F11890" i="6"/>
  <c r="E11897" i="6"/>
  <c r="F11871" i="6"/>
  <c r="E11861" i="6"/>
  <c r="F11835" i="6"/>
  <c r="E11875" i="6"/>
  <c r="F11849" i="6"/>
  <c r="E11865" i="6"/>
  <c r="F11839" i="6"/>
  <c r="E11885" i="6"/>
  <c r="F11859" i="6"/>
  <c r="E11938" i="6"/>
  <c r="F11912" i="6"/>
  <c r="E11892" i="6"/>
  <c r="F11866" i="6"/>
  <c r="E11877" i="6"/>
  <c r="F11851" i="6"/>
  <c r="E11889" i="6"/>
  <c r="F11863" i="6"/>
  <c r="E11904" i="6"/>
  <c r="F11878" i="6"/>
  <c r="E11952" i="6"/>
  <c r="F11926" i="6"/>
  <c r="E11881" i="6"/>
  <c r="F11855" i="6"/>
  <c r="E11940" i="6" l="1"/>
  <c r="F11914" i="6"/>
  <c r="E11906" i="6"/>
  <c r="F11880" i="6"/>
  <c r="E11960" i="6"/>
  <c r="F11934" i="6"/>
  <c r="E11950" i="6"/>
  <c r="F11924" i="6"/>
  <c r="E11899" i="6"/>
  <c r="F11873" i="6"/>
  <c r="E11930" i="6"/>
  <c r="F11904" i="6"/>
  <c r="E11964" i="6"/>
  <c r="F11938" i="6"/>
  <c r="E11923" i="6"/>
  <c r="F11897" i="6"/>
  <c r="E11907" i="6"/>
  <c r="F11881" i="6"/>
  <c r="E11942" i="6"/>
  <c r="F11916" i="6"/>
  <c r="E11896" i="6"/>
  <c r="F11870" i="6"/>
  <c r="E11895" i="6"/>
  <c r="F11869" i="6"/>
  <c r="E11919" i="6"/>
  <c r="F11893" i="6"/>
  <c r="E11887" i="6"/>
  <c r="F11861" i="6"/>
  <c r="E11909" i="6"/>
  <c r="F11883" i="6"/>
  <c r="E11915" i="6"/>
  <c r="F11889" i="6"/>
  <c r="E11903" i="6"/>
  <c r="F11877" i="6"/>
  <c r="E11911" i="6"/>
  <c r="F11885" i="6"/>
  <c r="E11891" i="6"/>
  <c r="F11865" i="6"/>
  <c r="E11978" i="6"/>
  <c r="F11952" i="6"/>
  <c r="E11918" i="6"/>
  <c r="F11892" i="6"/>
  <c r="E11901" i="6"/>
  <c r="F11875" i="6"/>
  <c r="E11931" i="6"/>
  <c r="F11905" i="6"/>
  <c r="E11884" i="6"/>
  <c r="F11858" i="6"/>
  <c r="E11920" i="6"/>
  <c r="F11894" i="6"/>
  <c r="E11954" i="6"/>
  <c r="F11928" i="6"/>
  <c r="E11921" i="6" l="1"/>
  <c r="F11895" i="6"/>
  <c r="E11976" i="6"/>
  <c r="F11950" i="6"/>
  <c r="E12004" i="6"/>
  <c r="F11978" i="6"/>
  <c r="E11949" i="6"/>
  <c r="F11923" i="6"/>
  <c r="E11922" i="6"/>
  <c r="F11896" i="6"/>
  <c r="E11990" i="6"/>
  <c r="F11964" i="6"/>
  <c r="E11986" i="6"/>
  <c r="F11960" i="6"/>
  <c r="E11917" i="6"/>
  <c r="F11891" i="6"/>
  <c r="E11910" i="6"/>
  <c r="F11884" i="6"/>
  <c r="E11957" i="6"/>
  <c r="F11931" i="6"/>
  <c r="E11927" i="6"/>
  <c r="F11901" i="6"/>
  <c r="E11937" i="6"/>
  <c r="F11911" i="6"/>
  <c r="E11913" i="6"/>
  <c r="F11887" i="6"/>
  <c r="E11968" i="6"/>
  <c r="F11942" i="6"/>
  <c r="E11956" i="6"/>
  <c r="F11930" i="6"/>
  <c r="E11932" i="6"/>
  <c r="F11906" i="6"/>
  <c r="E11941" i="6"/>
  <c r="F11915" i="6"/>
  <c r="E11980" i="6"/>
  <c r="F11954" i="6"/>
  <c r="E11935" i="6"/>
  <c r="F11909" i="6"/>
  <c r="E11946" i="6"/>
  <c r="F11920" i="6"/>
  <c r="E11944" i="6"/>
  <c r="F11918" i="6"/>
  <c r="E11929" i="6"/>
  <c r="F11903" i="6"/>
  <c r="E11945" i="6"/>
  <c r="F11919" i="6"/>
  <c r="E11933" i="6"/>
  <c r="F11907" i="6"/>
  <c r="E11925" i="6"/>
  <c r="F11899" i="6"/>
  <c r="E11966" i="6"/>
  <c r="F11940" i="6"/>
  <c r="E11963" i="6" l="1"/>
  <c r="F11937" i="6"/>
  <c r="E11975" i="6"/>
  <c r="F11949" i="6"/>
  <c r="E11943" i="6"/>
  <c r="F11917" i="6"/>
  <c r="E11961" i="6"/>
  <c r="F11935" i="6"/>
  <c r="E11953" i="6"/>
  <c r="F11927" i="6"/>
  <c r="E12012" i="6"/>
  <c r="F11986" i="6"/>
  <c r="E12030" i="6"/>
  <c r="F12004" i="6"/>
  <c r="E11959" i="6"/>
  <c r="F11933" i="6"/>
  <c r="E11971" i="6"/>
  <c r="F11945" i="6"/>
  <c r="E11972" i="6"/>
  <c r="F11946" i="6"/>
  <c r="E11955" i="6"/>
  <c r="F11929" i="6"/>
  <c r="E12006" i="6"/>
  <c r="F11980" i="6"/>
  <c r="E11994" i="6"/>
  <c r="F11968" i="6"/>
  <c r="E11983" i="6"/>
  <c r="F11957" i="6"/>
  <c r="E12016" i="6"/>
  <c r="F11990" i="6"/>
  <c r="E12002" i="6"/>
  <c r="F11976" i="6"/>
  <c r="E11958" i="6"/>
  <c r="F11932" i="6"/>
  <c r="E11982" i="6"/>
  <c r="F11956" i="6"/>
  <c r="E11992" i="6"/>
  <c r="F11966" i="6"/>
  <c r="E11951" i="6"/>
  <c r="F11925" i="6"/>
  <c r="E11970" i="6"/>
  <c r="F11944" i="6"/>
  <c r="E11967" i="6"/>
  <c r="F11941" i="6"/>
  <c r="E11939" i="6"/>
  <c r="F11913" i="6"/>
  <c r="E11936" i="6"/>
  <c r="F11910" i="6"/>
  <c r="E11948" i="6"/>
  <c r="F11922" i="6"/>
  <c r="E11947" i="6"/>
  <c r="F11921" i="6"/>
  <c r="E11962" i="6" l="1"/>
  <c r="F11936" i="6"/>
  <c r="E12032" i="6"/>
  <c r="F12006" i="6"/>
  <c r="E11985" i="6"/>
  <c r="F11959" i="6"/>
  <c r="E11987" i="6"/>
  <c r="F11961" i="6"/>
  <c r="E12028" i="6"/>
  <c r="F12002" i="6"/>
  <c r="E11965" i="6"/>
  <c r="F11939" i="6"/>
  <c r="E12042" i="6"/>
  <c r="F12016" i="6"/>
  <c r="E11981" i="6"/>
  <c r="F11955" i="6"/>
  <c r="E12056" i="6"/>
  <c r="F12030" i="6"/>
  <c r="E11969" i="6"/>
  <c r="F11943" i="6"/>
  <c r="E11977" i="6"/>
  <c r="F11951" i="6"/>
  <c r="E11993" i="6"/>
  <c r="F11967" i="6"/>
  <c r="E12008" i="6"/>
  <c r="F11982" i="6"/>
  <c r="E12009" i="6"/>
  <c r="F11983" i="6"/>
  <c r="E11998" i="6"/>
  <c r="F11972" i="6"/>
  <c r="E12038" i="6"/>
  <c r="F12012" i="6"/>
  <c r="E12001" i="6"/>
  <c r="F11975" i="6"/>
  <c r="E12018" i="6"/>
  <c r="F11992" i="6"/>
  <c r="E11973" i="6"/>
  <c r="F11947" i="6"/>
  <c r="E11974" i="6"/>
  <c r="F11948" i="6"/>
  <c r="E11996" i="6"/>
  <c r="F11970" i="6"/>
  <c r="E11984" i="6"/>
  <c r="F11958" i="6"/>
  <c r="E12020" i="6"/>
  <c r="F11994" i="6"/>
  <c r="E11997" i="6"/>
  <c r="F11971" i="6"/>
  <c r="E11979" i="6"/>
  <c r="F11953" i="6"/>
  <c r="E11989" i="6"/>
  <c r="F11963" i="6"/>
  <c r="E12019" i="6" l="1"/>
  <c r="F11993" i="6"/>
  <c r="E12007" i="6"/>
  <c r="F11981" i="6"/>
  <c r="E12013" i="6"/>
  <c r="F11987" i="6"/>
  <c r="E12000" i="6"/>
  <c r="F11974" i="6"/>
  <c r="E11999" i="6"/>
  <c r="F11973" i="6"/>
  <c r="E12003" i="6"/>
  <c r="F11977" i="6"/>
  <c r="E12068" i="6"/>
  <c r="F12042" i="6"/>
  <c r="E12011" i="6"/>
  <c r="F11985" i="6"/>
  <c r="E12064" i="6"/>
  <c r="F12038" i="6"/>
  <c r="E12046" i="6"/>
  <c r="F12020" i="6"/>
  <c r="E12024" i="6"/>
  <c r="F11998" i="6"/>
  <c r="E12015" i="6"/>
  <c r="F11989" i="6"/>
  <c r="E12044" i="6"/>
  <c r="F12018" i="6"/>
  <c r="E12035" i="6"/>
  <c r="F12009" i="6"/>
  <c r="E11995" i="6"/>
  <c r="F11969" i="6"/>
  <c r="E11991" i="6"/>
  <c r="F11965" i="6"/>
  <c r="E12058" i="6"/>
  <c r="F12032" i="6"/>
  <c r="E12010" i="6"/>
  <c r="F11984" i="6"/>
  <c r="E12023" i="6"/>
  <c r="F11997" i="6"/>
  <c r="E12005" i="6"/>
  <c r="F11979" i="6"/>
  <c r="E12022" i="6"/>
  <c r="F11996" i="6"/>
  <c r="E12027" i="6"/>
  <c r="F12001" i="6"/>
  <c r="E12034" i="6"/>
  <c r="F12008" i="6"/>
  <c r="E12082" i="6"/>
  <c r="F12056" i="6"/>
  <c r="E12054" i="6"/>
  <c r="F12028" i="6"/>
  <c r="E11988" i="6"/>
  <c r="F11962" i="6"/>
  <c r="E12041" i="6" l="1"/>
  <c r="F12015" i="6"/>
  <c r="E12026" i="6"/>
  <c r="F12000" i="6"/>
  <c r="E12031" i="6"/>
  <c r="F12005" i="6"/>
  <c r="E12049" i="6"/>
  <c r="F12023" i="6"/>
  <c r="E12021" i="6"/>
  <c r="F11995" i="6"/>
  <c r="E12050" i="6"/>
  <c r="F12024" i="6"/>
  <c r="E12094" i="6"/>
  <c r="F12068" i="6"/>
  <c r="E12039" i="6"/>
  <c r="F12013" i="6"/>
  <c r="E12108" i="6"/>
  <c r="F12082" i="6"/>
  <c r="E12037" i="6"/>
  <c r="F12011" i="6"/>
  <c r="E12014" i="6"/>
  <c r="F11988" i="6"/>
  <c r="E12053" i="6"/>
  <c r="F12027" i="6"/>
  <c r="E12036" i="6"/>
  <c r="F12010" i="6"/>
  <c r="E12061" i="6"/>
  <c r="F12035" i="6"/>
  <c r="E12072" i="6"/>
  <c r="F12046" i="6"/>
  <c r="E12029" i="6"/>
  <c r="F12003" i="6"/>
  <c r="E12033" i="6"/>
  <c r="F12007" i="6"/>
  <c r="E12017" i="6"/>
  <c r="F11991" i="6"/>
  <c r="E12060" i="6"/>
  <c r="F12034" i="6"/>
  <c r="E12080" i="6"/>
  <c r="F12054" i="6"/>
  <c r="E12048" i="6"/>
  <c r="F12022" i="6"/>
  <c r="E12084" i="6"/>
  <c r="F12058" i="6"/>
  <c r="E12070" i="6"/>
  <c r="F12044" i="6"/>
  <c r="E12090" i="6"/>
  <c r="F12064" i="6"/>
  <c r="E12025" i="6"/>
  <c r="F11999" i="6"/>
  <c r="E12045" i="6"/>
  <c r="F12019" i="6"/>
  <c r="E12106" i="6" l="1"/>
  <c r="F12080" i="6"/>
  <c r="E12065" i="6"/>
  <c r="F12039" i="6"/>
  <c r="E12075" i="6"/>
  <c r="F12049" i="6"/>
  <c r="E12116" i="6"/>
  <c r="F12090" i="6"/>
  <c r="E12055" i="6"/>
  <c r="F12029" i="6"/>
  <c r="E12086" i="6"/>
  <c r="F12060" i="6"/>
  <c r="E12098" i="6"/>
  <c r="F12072" i="6"/>
  <c r="E12040" i="6"/>
  <c r="F12014" i="6"/>
  <c r="E12120" i="6"/>
  <c r="F12094" i="6"/>
  <c r="E12057" i="6"/>
  <c r="F12031" i="6"/>
  <c r="E12079" i="6"/>
  <c r="F12053" i="6"/>
  <c r="E12096" i="6"/>
  <c r="F12070" i="6"/>
  <c r="E12071" i="6"/>
  <c r="F12045" i="6"/>
  <c r="E12087" i="6"/>
  <c r="F12061" i="6"/>
  <c r="E12063" i="6"/>
  <c r="F12037" i="6"/>
  <c r="E12076" i="6"/>
  <c r="F12050" i="6"/>
  <c r="E12052" i="6"/>
  <c r="F12026" i="6"/>
  <c r="E12110" i="6"/>
  <c r="F12084" i="6"/>
  <c r="E12043" i="6"/>
  <c r="F12017" i="6"/>
  <c r="E12051" i="6"/>
  <c r="F12025" i="6"/>
  <c r="E12074" i="6"/>
  <c r="F12048" i="6"/>
  <c r="E12059" i="6"/>
  <c r="F12033" i="6"/>
  <c r="E12062" i="6"/>
  <c r="F12036" i="6"/>
  <c r="E12134" i="6"/>
  <c r="F12108" i="6"/>
  <c r="E12047" i="6"/>
  <c r="F12021" i="6"/>
  <c r="E12067" i="6"/>
  <c r="F12041" i="6"/>
  <c r="E12066" i="6" l="1"/>
  <c r="F12040" i="6"/>
  <c r="E12142" i="6"/>
  <c r="F12116" i="6"/>
  <c r="E12102" i="6"/>
  <c r="F12076" i="6"/>
  <c r="E12122" i="6"/>
  <c r="F12096" i="6"/>
  <c r="E12124" i="6"/>
  <c r="F12098" i="6"/>
  <c r="E12101" i="6"/>
  <c r="F12075" i="6"/>
  <c r="E12160" i="6"/>
  <c r="F12134" i="6"/>
  <c r="E12105" i="6"/>
  <c r="F12079" i="6"/>
  <c r="E12077" i="6"/>
  <c r="F12051" i="6"/>
  <c r="E12069" i="6"/>
  <c r="F12043" i="6"/>
  <c r="E12136" i="6"/>
  <c r="F12110" i="6"/>
  <c r="E12083" i="6"/>
  <c r="F12057" i="6"/>
  <c r="E12112" i="6"/>
  <c r="F12086" i="6"/>
  <c r="E12091" i="6"/>
  <c r="F12065" i="6"/>
  <c r="E12088" i="6"/>
  <c r="F12062" i="6"/>
  <c r="E12085" i="6"/>
  <c r="F12059" i="6"/>
  <c r="E12089" i="6"/>
  <c r="F12063" i="6"/>
  <c r="E12093" i="6"/>
  <c r="F12067" i="6"/>
  <c r="E12113" i="6"/>
  <c r="F12087" i="6"/>
  <c r="E12073" i="6"/>
  <c r="F12047" i="6"/>
  <c r="E12100" i="6"/>
  <c r="F12074" i="6"/>
  <c r="E12078" i="6"/>
  <c r="F12052" i="6"/>
  <c r="E12097" i="6"/>
  <c r="F12071" i="6"/>
  <c r="E12146" i="6"/>
  <c r="F12120" i="6"/>
  <c r="E12081" i="6"/>
  <c r="F12055" i="6"/>
  <c r="E12132" i="6"/>
  <c r="F12106" i="6"/>
  <c r="E12172" i="6" l="1"/>
  <c r="F12146" i="6"/>
  <c r="E12131" i="6"/>
  <c r="F12105" i="6"/>
  <c r="E12148" i="6"/>
  <c r="F12122" i="6"/>
  <c r="E12114" i="6"/>
  <c r="F12088" i="6"/>
  <c r="E12186" i="6"/>
  <c r="F12160" i="6"/>
  <c r="E12128" i="6"/>
  <c r="F12102" i="6"/>
  <c r="E12109" i="6"/>
  <c r="F12083" i="6"/>
  <c r="E12162" i="6"/>
  <c r="F12136" i="6"/>
  <c r="E12158" i="6"/>
  <c r="F12132" i="6"/>
  <c r="E12119" i="6"/>
  <c r="F12093" i="6"/>
  <c r="E12117" i="6"/>
  <c r="F12091" i="6"/>
  <c r="E12095" i="6"/>
  <c r="F12069" i="6"/>
  <c r="E12127" i="6"/>
  <c r="F12101" i="6"/>
  <c r="E12168" i="6"/>
  <c r="F12142" i="6"/>
  <c r="E12099" i="6"/>
  <c r="F12073" i="6"/>
  <c r="E12123" i="6"/>
  <c r="F12097" i="6"/>
  <c r="E12104" i="6"/>
  <c r="F12078" i="6"/>
  <c r="E12111" i="6"/>
  <c r="F12085" i="6"/>
  <c r="E12139" i="6"/>
  <c r="F12113" i="6"/>
  <c r="E12107" i="6"/>
  <c r="F12081" i="6"/>
  <c r="E12126" i="6"/>
  <c r="F12100" i="6"/>
  <c r="E12115" i="6"/>
  <c r="F12089" i="6"/>
  <c r="E12138" i="6"/>
  <c r="F12112" i="6"/>
  <c r="E12103" i="6"/>
  <c r="F12077" i="6"/>
  <c r="E12150" i="6"/>
  <c r="F12124" i="6"/>
  <c r="E12092" i="6"/>
  <c r="F12066" i="6"/>
  <c r="E12121" i="6" l="1"/>
  <c r="F12095" i="6"/>
  <c r="E12140" i="6"/>
  <c r="F12114" i="6"/>
  <c r="E12125" i="6"/>
  <c r="F12099" i="6"/>
  <c r="E12143" i="6"/>
  <c r="F12117" i="6"/>
  <c r="E12135" i="6"/>
  <c r="F12109" i="6"/>
  <c r="E12174" i="6"/>
  <c r="F12148" i="6"/>
  <c r="E12149" i="6"/>
  <c r="F12123" i="6"/>
  <c r="E12118" i="6"/>
  <c r="F12092" i="6"/>
  <c r="E12137" i="6"/>
  <c r="F12111" i="6"/>
  <c r="E12194" i="6"/>
  <c r="F12168" i="6"/>
  <c r="E12145" i="6"/>
  <c r="F12119" i="6"/>
  <c r="E12154" i="6"/>
  <c r="F12128" i="6"/>
  <c r="E12157" i="6"/>
  <c r="F12131" i="6"/>
  <c r="E12129" i="6"/>
  <c r="F12103" i="6"/>
  <c r="E12164" i="6"/>
  <c r="F12138" i="6"/>
  <c r="E12141" i="6"/>
  <c r="F12115" i="6"/>
  <c r="E12133" i="6"/>
  <c r="F12107" i="6"/>
  <c r="E12188" i="6"/>
  <c r="F12162" i="6"/>
  <c r="E12165" i="6"/>
  <c r="F12139" i="6"/>
  <c r="E12176" i="6"/>
  <c r="F12150" i="6"/>
  <c r="E12152" i="6"/>
  <c r="F12126" i="6"/>
  <c r="E12130" i="6"/>
  <c r="F12104" i="6"/>
  <c r="E12153" i="6"/>
  <c r="F12127" i="6"/>
  <c r="E12184" i="6"/>
  <c r="F12158" i="6"/>
  <c r="E12212" i="6"/>
  <c r="F12186" i="6"/>
  <c r="E12198" i="6"/>
  <c r="F12172" i="6"/>
  <c r="E12202" i="6" l="1"/>
  <c r="F12176" i="6"/>
  <c r="E12144" i="6"/>
  <c r="F12118" i="6"/>
  <c r="E12169" i="6"/>
  <c r="F12143" i="6"/>
  <c r="E12167" i="6"/>
  <c r="F12141" i="6"/>
  <c r="E12210" i="6"/>
  <c r="F12184" i="6"/>
  <c r="E12180" i="6"/>
  <c r="F12154" i="6"/>
  <c r="E12191" i="6"/>
  <c r="F12165" i="6"/>
  <c r="E12190" i="6"/>
  <c r="F12164" i="6"/>
  <c r="E12171" i="6"/>
  <c r="F12145" i="6"/>
  <c r="E12175" i="6"/>
  <c r="F12149" i="6"/>
  <c r="E12151" i="6"/>
  <c r="F12125" i="6"/>
  <c r="E12179" i="6"/>
  <c r="F12153" i="6"/>
  <c r="E12224" i="6"/>
  <c r="F12198" i="6"/>
  <c r="E12155" i="6"/>
  <c r="F12129" i="6"/>
  <c r="E12200" i="6"/>
  <c r="F12174" i="6"/>
  <c r="E12166" i="6"/>
  <c r="F12140" i="6"/>
  <c r="E12156" i="6"/>
  <c r="F12130" i="6"/>
  <c r="E12214" i="6"/>
  <c r="F12188" i="6"/>
  <c r="E12220" i="6"/>
  <c r="F12194" i="6"/>
  <c r="E12238" i="6"/>
  <c r="F12212" i="6"/>
  <c r="E12178" i="6"/>
  <c r="F12152" i="6"/>
  <c r="E12159" i="6"/>
  <c r="F12133" i="6"/>
  <c r="E12183" i="6"/>
  <c r="F12157" i="6"/>
  <c r="E12163" i="6"/>
  <c r="F12137" i="6"/>
  <c r="E12161" i="6"/>
  <c r="F12135" i="6"/>
  <c r="E12147" i="6"/>
  <c r="F12121" i="6"/>
  <c r="E12192" i="6" l="1"/>
  <c r="F12166" i="6"/>
  <c r="E12216" i="6"/>
  <c r="F12190" i="6"/>
  <c r="E12193" i="6"/>
  <c r="F12167" i="6"/>
  <c r="E12189" i="6"/>
  <c r="F12163" i="6"/>
  <c r="E12209" i="6"/>
  <c r="F12183" i="6"/>
  <c r="E12226" i="6"/>
  <c r="F12200" i="6"/>
  <c r="E12177" i="6"/>
  <c r="F12151" i="6"/>
  <c r="E12217" i="6"/>
  <c r="F12191" i="6"/>
  <c r="E12195" i="6"/>
  <c r="F12169" i="6"/>
  <c r="E12205" i="6"/>
  <c r="F12179" i="6"/>
  <c r="E12185" i="6"/>
  <c r="F12159" i="6"/>
  <c r="E12181" i="6"/>
  <c r="F12155" i="6"/>
  <c r="E12206" i="6"/>
  <c r="F12180" i="6"/>
  <c r="E12170" i="6"/>
  <c r="F12144" i="6"/>
  <c r="E12246" i="6"/>
  <c r="F12220" i="6"/>
  <c r="E12173" i="6"/>
  <c r="F12147" i="6"/>
  <c r="E12201" i="6"/>
  <c r="F12175" i="6"/>
  <c r="E12264" i="6"/>
  <c r="F12238" i="6"/>
  <c r="E12240" i="6"/>
  <c r="F12214" i="6"/>
  <c r="E12187" i="6"/>
  <c r="F12161" i="6"/>
  <c r="E12204" i="6"/>
  <c r="F12178" i="6"/>
  <c r="E12182" i="6"/>
  <c r="F12156" i="6"/>
  <c r="E12250" i="6"/>
  <c r="F12224" i="6"/>
  <c r="E12197" i="6"/>
  <c r="F12171" i="6"/>
  <c r="E12236" i="6"/>
  <c r="F12210" i="6"/>
  <c r="E12228" i="6"/>
  <c r="F12202" i="6"/>
  <c r="E12213" i="6" l="1"/>
  <c r="F12187" i="6"/>
  <c r="E12243" i="6"/>
  <c r="F12217" i="6"/>
  <c r="E12215" i="6"/>
  <c r="F12189" i="6"/>
  <c r="E12223" i="6"/>
  <c r="F12197" i="6"/>
  <c r="E12266" i="6"/>
  <c r="F12240" i="6"/>
  <c r="E12203" i="6"/>
  <c r="F12177" i="6"/>
  <c r="E12219" i="6"/>
  <c r="F12193" i="6"/>
  <c r="E12276" i="6"/>
  <c r="F12250" i="6"/>
  <c r="E12199" i="6"/>
  <c r="F12173" i="6"/>
  <c r="E12208" i="6"/>
  <c r="F12182" i="6"/>
  <c r="E12196" i="6"/>
  <c r="F12170" i="6"/>
  <c r="E12231" i="6"/>
  <c r="F12205" i="6"/>
  <c r="E12252" i="6"/>
  <c r="F12226" i="6"/>
  <c r="E12242" i="6"/>
  <c r="F12216" i="6"/>
  <c r="E12272" i="6"/>
  <c r="F12246" i="6"/>
  <c r="E12207" i="6"/>
  <c r="F12181" i="6"/>
  <c r="E12211" i="6"/>
  <c r="F12185" i="6"/>
  <c r="E12254" i="6"/>
  <c r="F12228" i="6"/>
  <c r="E12290" i="6"/>
  <c r="F12264" i="6"/>
  <c r="E12262" i="6"/>
  <c r="F12236" i="6"/>
  <c r="E12230" i="6"/>
  <c r="F12204" i="6"/>
  <c r="E12227" i="6"/>
  <c r="F12201" i="6"/>
  <c r="E12232" i="6"/>
  <c r="F12206" i="6"/>
  <c r="E12221" i="6"/>
  <c r="F12195" i="6"/>
  <c r="E12235" i="6"/>
  <c r="F12209" i="6"/>
  <c r="E12218" i="6"/>
  <c r="F12192" i="6"/>
  <c r="E12302" i="6" l="1"/>
  <c r="F12276" i="6"/>
  <c r="E12249" i="6"/>
  <c r="F12223" i="6"/>
  <c r="E12288" i="6"/>
  <c r="F12262" i="6"/>
  <c r="E12257" i="6"/>
  <c r="F12231" i="6"/>
  <c r="E12316" i="6"/>
  <c r="F12290" i="6"/>
  <c r="E12222" i="6"/>
  <c r="F12196" i="6"/>
  <c r="E12245" i="6"/>
  <c r="F12219" i="6"/>
  <c r="E12241" i="6"/>
  <c r="F12215" i="6"/>
  <c r="E12247" i="6"/>
  <c r="F12221" i="6"/>
  <c r="E12298" i="6"/>
  <c r="F12272" i="6"/>
  <c r="E12280" i="6"/>
  <c r="F12254" i="6"/>
  <c r="E12229" i="6"/>
  <c r="F12203" i="6"/>
  <c r="E12269" i="6"/>
  <c r="F12243" i="6"/>
  <c r="E12258" i="6"/>
  <c r="F12232" i="6"/>
  <c r="E12253" i="6"/>
  <c r="F12227" i="6"/>
  <c r="E12234" i="6"/>
  <c r="F12208" i="6"/>
  <c r="E12233" i="6"/>
  <c r="F12207" i="6"/>
  <c r="E12244" i="6"/>
  <c r="F12218" i="6"/>
  <c r="E12268" i="6"/>
  <c r="F12242" i="6"/>
  <c r="E12261" i="6"/>
  <c r="F12235" i="6"/>
  <c r="E12256" i="6"/>
  <c r="F12230" i="6"/>
  <c r="E12237" i="6"/>
  <c r="F12211" i="6"/>
  <c r="E12278" i="6"/>
  <c r="F12252" i="6"/>
  <c r="E12225" i="6"/>
  <c r="F12199" i="6"/>
  <c r="E12292" i="6"/>
  <c r="F12266" i="6"/>
  <c r="E12239" i="6"/>
  <c r="F12213" i="6"/>
  <c r="E12255" i="6" l="1"/>
  <c r="F12229" i="6"/>
  <c r="E12283" i="6"/>
  <c r="F12257" i="6"/>
  <c r="E12260" i="6"/>
  <c r="F12234" i="6"/>
  <c r="E12294" i="6"/>
  <c r="F12268" i="6"/>
  <c r="E12279" i="6"/>
  <c r="F12253" i="6"/>
  <c r="E12306" i="6"/>
  <c r="F12280" i="6"/>
  <c r="E12271" i="6"/>
  <c r="F12245" i="6"/>
  <c r="E12314" i="6"/>
  <c r="F12288" i="6"/>
  <c r="E12251" i="6"/>
  <c r="F12225" i="6"/>
  <c r="E12263" i="6"/>
  <c r="F12237" i="6"/>
  <c r="E12270" i="6"/>
  <c r="F12244" i="6"/>
  <c r="E12284" i="6"/>
  <c r="F12258" i="6"/>
  <c r="E12324" i="6"/>
  <c r="F12298" i="6"/>
  <c r="E12248" i="6"/>
  <c r="F12222" i="6"/>
  <c r="E12275" i="6"/>
  <c r="F12249" i="6"/>
  <c r="E12267" i="6"/>
  <c r="F12241" i="6"/>
  <c r="E12304" i="6"/>
  <c r="F12278" i="6"/>
  <c r="E12287" i="6"/>
  <c r="F12261" i="6"/>
  <c r="E12265" i="6"/>
  <c r="F12239" i="6"/>
  <c r="E12318" i="6"/>
  <c r="F12292" i="6"/>
  <c r="E12282" i="6"/>
  <c r="F12256" i="6"/>
  <c r="E12259" i="6"/>
  <c r="F12233" i="6"/>
  <c r="E12295" i="6"/>
  <c r="F12269" i="6"/>
  <c r="E12273" i="6"/>
  <c r="F12247" i="6"/>
  <c r="E12342" i="6"/>
  <c r="F12316" i="6"/>
  <c r="E12328" i="6"/>
  <c r="F12302" i="6"/>
  <c r="E12293" i="6" l="1"/>
  <c r="F12267" i="6"/>
  <c r="E12340" i="6"/>
  <c r="F12314" i="6"/>
  <c r="E12320" i="6"/>
  <c r="F12294" i="6"/>
  <c r="E12291" i="6"/>
  <c r="F12265" i="6"/>
  <c r="E12301" i="6"/>
  <c r="F12275" i="6"/>
  <c r="E12296" i="6"/>
  <c r="F12270" i="6"/>
  <c r="E12297" i="6"/>
  <c r="F12271" i="6"/>
  <c r="E12286" i="6"/>
  <c r="F12260" i="6"/>
  <c r="E12299" i="6"/>
  <c r="F12273" i="6"/>
  <c r="E12313" i="6"/>
  <c r="F12287" i="6"/>
  <c r="E12289" i="6"/>
  <c r="F12263" i="6"/>
  <c r="E12332" i="6"/>
  <c r="F12306" i="6"/>
  <c r="E12309" i="6"/>
  <c r="F12283" i="6"/>
  <c r="E12344" i="6"/>
  <c r="F12318" i="6"/>
  <c r="E12321" i="6"/>
  <c r="F12295" i="6"/>
  <c r="E12354" i="6"/>
  <c r="F12328" i="6"/>
  <c r="E12274" i="6"/>
  <c r="F12248" i="6"/>
  <c r="E12310" i="6"/>
  <c r="F12284" i="6"/>
  <c r="E12285" i="6"/>
  <c r="F12259" i="6"/>
  <c r="E12368" i="6"/>
  <c r="F12342" i="6"/>
  <c r="E12308" i="6"/>
  <c r="F12282" i="6"/>
  <c r="E12330" i="6"/>
  <c r="F12304" i="6"/>
  <c r="E12350" i="6"/>
  <c r="F12324" i="6"/>
  <c r="E12277" i="6"/>
  <c r="F12251" i="6"/>
  <c r="E12305" i="6"/>
  <c r="F12279" i="6"/>
  <c r="E12281" i="6"/>
  <c r="F12255" i="6"/>
  <c r="E12358" i="6" l="1"/>
  <c r="F12332" i="6"/>
  <c r="E12317" i="6"/>
  <c r="F12291" i="6"/>
  <c r="E12303" i="6"/>
  <c r="F12277" i="6"/>
  <c r="E12347" i="6"/>
  <c r="F12321" i="6"/>
  <c r="E12315" i="6"/>
  <c r="F12289" i="6"/>
  <c r="E12323" i="6"/>
  <c r="F12297" i="6"/>
  <c r="E12346" i="6"/>
  <c r="F12320" i="6"/>
  <c r="E12311" i="6"/>
  <c r="F12285" i="6"/>
  <c r="E12312" i="6"/>
  <c r="F12286" i="6"/>
  <c r="E12376" i="6"/>
  <c r="F12350" i="6"/>
  <c r="E12356" i="6"/>
  <c r="F12330" i="6"/>
  <c r="E12370" i="6"/>
  <c r="F12344" i="6"/>
  <c r="E12339" i="6"/>
  <c r="F12313" i="6"/>
  <c r="E12322" i="6"/>
  <c r="F12296" i="6"/>
  <c r="E12366" i="6"/>
  <c r="F12340" i="6"/>
  <c r="E12380" i="6"/>
  <c r="F12354" i="6"/>
  <c r="E12307" i="6"/>
  <c r="F12281" i="6"/>
  <c r="E12394" i="6"/>
  <c r="F12368" i="6"/>
  <c r="E12336" i="6"/>
  <c r="F12310" i="6"/>
  <c r="E12331" i="6"/>
  <c r="F12305" i="6"/>
  <c r="E12334" i="6"/>
  <c r="F12308" i="6"/>
  <c r="E12300" i="6"/>
  <c r="F12274" i="6"/>
  <c r="E12335" i="6"/>
  <c r="F12309" i="6"/>
  <c r="E12325" i="6"/>
  <c r="F12299" i="6"/>
  <c r="E12327" i="6"/>
  <c r="F12301" i="6"/>
  <c r="E12319" i="6"/>
  <c r="F12293" i="6"/>
  <c r="E12351" i="6" l="1"/>
  <c r="F12325" i="6"/>
  <c r="E12396" i="6"/>
  <c r="F12370" i="6"/>
  <c r="E12373" i="6"/>
  <c r="F12347" i="6"/>
  <c r="E12337" i="6"/>
  <c r="F12311" i="6"/>
  <c r="E12362" i="6"/>
  <c r="F12336" i="6"/>
  <c r="E12392" i="6"/>
  <c r="F12366" i="6"/>
  <c r="E12382" i="6"/>
  <c r="F12356" i="6"/>
  <c r="E12372" i="6"/>
  <c r="F12346" i="6"/>
  <c r="E12329" i="6"/>
  <c r="F12303" i="6"/>
  <c r="E12406" i="6"/>
  <c r="F12380" i="6"/>
  <c r="E12326" i="6"/>
  <c r="F12300" i="6"/>
  <c r="E12402" i="6"/>
  <c r="F12376" i="6"/>
  <c r="E12349" i="6"/>
  <c r="F12323" i="6"/>
  <c r="E12343" i="6"/>
  <c r="F12317" i="6"/>
  <c r="E12357" i="6"/>
  <c r="F12331" i="6"/>
  <c r="E12361" i="6"/>
  <c r="F12335" i="6"/>
  <c r="E12345" i="6"/>
  <c r="F12319" i="6"/>
  <c r="E12348" i="6"/>
  <c r="F12322" i="6"/>
  <c r="E12420" i="6"/>
  <c r="F12394" i="6"/>
  <c r="E12353" i="6"/>
  <c r="F12327" i="6"/>
  <c r="E12360" i="6"/>
  <c r="F12334" i="6"/>
  <c r="E12333" i="6"/>
  <c r="F12307" i="6"/>
  <c r="E12365" i="6"/>
  <c r="F12339" i="6"/>
  <c r="E12338" i="6"/>
  <c r="F12312" i="6"/>
  <c r="E12341" i="6"/>
  <c r="F12315" i="6"/>
  <c r="E12384" i="6"/>
  <c r="F12358" i="6"/>
  <c r="E12387" i="6" l="1"/>
  <c r="F12361" i="6"/>
  <c r="E12398" i="6"/>
  <c r="F12372" i="6"/>
  <c r="E12363" i="6"/>
  <c r="F12337" i="6"/>
  <c r="E12379" i="6"/>
  <c r="F12353" i="6"/>
  <c r="E12446" i="6"/>
  <c r="F12420" i="6"/>
  <c r="E12352" i="6"/>
  <c r="F12326" i="6"/>
  <c r="E12408" i="6"/>
  <c r="F12382" i="6"/>
  <c r="E12399" i="6"/>
  <c r="F12373" i="6"/>
  <c r="E12364" i="6"/>
  <c r="F12338" i="6"/>
  <c r="E12359" i="6"/>
  <c r="F12333" i="6"/>
  <c r="E12369" i="6"/>
  <c r="F12343" i="6"/>
  <c r="E12432" i="6"/>
  <c r="F12406" i="6"/>
  <c r="E12418" i="6"/>
  <c r="F12392" i="6"/>
  <c r="E12422" i="6"/>
  <c r="F12396" i="6"/>
  <c r="E12428" i="6"/>
  <c r="F12402" i="6"/>
  <c r="E12383" i="6"/>
  <c r="F12357" i="6"/>
  <c r="E12410" i="6"/>
  <c r="F12384" i="6"/>
  <c r="E12391" i="6"/>
  <c r="F12365" i="6"/>
  <c r="E12374" i="6"/>
  <c r="F12348" i="6"/>
  <c r="E12367" i="6"/>
  <c r="F12341" i="6"/>
  <c r="E12386" i="6"/>
  <c r="F12360" i="6"/>
  <c r="E12371" i="6"/>
  <c r="F12345" i="6"/>
  <c r="E12375" i="6"/>
  <c r="F12349" i="6"/>
  <c r="E12355" i="6"/>
  <c r="F12329" i="6"/>
  <c r="E12388" i="6"/>
  <c r="F12362" i="6"/>
  <c r="E12377" i="6"/>
  <c r="F12351" i="6"/>
  <c r="E12458" i="6" l="1"/>
  <c r="F12432" i="6"/>
  <c r="E12425" i="6"/>
  <c r="F12399" i="6"/>
  <c r="E12405" i="6"/>
  <c r="F12379" i="6"/>
  <c r="E12409" i="6"/>
  <c r="F12383" i="6"/>
  <c r="E12454" i="6"/>
  <c r="F12428" i="6"/>
  <c r="E12395" i="6"/>
  <c r="F12369" i="6"/>
  <c r="E12434" i="6"/>
  <c r="F12408" i="6"/>
  <c r="E12389" i="6"/>
  <c r="F12363" i="6"/>
  <c r="E12400" i="6"/>
  <c r="F12374" i="6"/>
  <c r="E12381" i="6"/>
  <c r="F12355" i="6"/>
  <c r="E12401" i="6"/>
  <c r="F12375" i="6"/>
  <c r="E12397" i="6"/>
  <c r="F12371" i="6"/>
  <c r="E12448" i="6"/>
  <c r="F12422" i="6"/>
  <c r="E12378" i="6"/>
  <c r="F12352" i="6"/>
  <c r="E12424" i="6"/>
  <c r="F12398" i="6"/>
  <c r="E12393" i="6"/>
  <c r="F12367" i="6"/>
  <c r="E12403" i="6"/>
  <c r="F12377" i="6"/>
  <c r="E12417" i="6"/>
  <c r="F12391" i="6"/>
  <c r="E12385" i="6"/>
  <c r="F12359" i="6"/>
  <c r="E12414" i="6"/>
  <c r="F12388" i="6"/>
  <c r="E12412" i="6"/>
  <c r="F12386" i="6"/>
  <c r="E12436" i="6"/>
  <c r="F12410" i="6"/>
  <c r="E12444" i="6"/>
  <c r="F12418" i="6"/>
  <c r="E12390" i="6"/>
  <c r="F12364" i="6"/>
  <c r="E12472" i="6"/>
  <c r="F12446" i="6"/>
  <c r="E12413" i="6"/>
  <c r="F12387" i="6"/>
  <c r="E12423" i="6" l="1"/>
  <c r="F12397" i="6"/>
  <c r="E12415" i="6"/>
  <c r="F12389" i="6"/>
  <c r="E12435" i="6"/>
  <c r="F12409" i="6"/>
  <c r="E12416" i="6"/>
  <c r="F12390" i="6"/>
  <c r="E12411" i="6"/>
  <c r="F12385" i="6"/>
  <c r="E12450" i="6"/>
  <c r="F12424" i="6"/>
  <c r="E12427" i="6"/>
  <c r="F12401" i="6"/>
  <c r="E12460" i="6"/>
  <c r="F12434" i="6"/>
  <c r="E12431" i="6"/>
  <c r="F12405" i="6"/>
  <c r="E12440" i="6"/>
  <c r="F12414" i="6"/>
  <c r="E12462" i="6"/>
  <c r="F12436" i="6"/>
  <c r="E12443" i="6"/>
  <c r="F12417" i="6"/>
  <c r="E12404" i="6"/>
  <c r="F12378" i="6"/>
  <c r="E12407" i="6"/>
  <c r="F12381" i="6"/>
  <c r="E12421" i="6"/>
  <c r="F12395" i="6"/>
  <c r="E12451" i="6"/>
  <c r="F12425" i="6"/>
  <c r="E12470" i="6"/>
  <c r="F12444" i="6"/>
  <c r="E12439" i="6"/>
  <c r="F12413" i="6"/>
  <c r="E12419" i="6"/>
  <c r="F12393" i="6"/>
  <c r="E12498" i="6"/>
  <c r="F12472" i="6"/>
  <c r="E12438" i="6"/>
  <c r="F12412" i="6"/>
  <c r="E12429" i="6"/>
  <c r="F12403" i="6"/>
  <c r="E12474" i="6"/>
  <c r="F12448" i="6"/>
  <c r="E12426" i="6"/>
  <c r="F12400" i="6"/>
  <c r="E12480" i="6"/>
  <c r="F12454" i="6"/>
  <c r="E12484" i="6"/>
  <c r="F12458" i="6"/>
  <c r="E12477" i="6" l="1"/>
  <c r="F12451" i="6"/>
  <c r="E12442" i="6"/>
  <c r="F12416" i="6"/>
  <c r="E12452" i="6"/>
  <c r="F12426" i="6"/>
  <c r="E12486" i="6"/>
  <c r="F12460" i="6"/>
  <c r="E12445" i="6"/>
  <c r="F12419" i="6"/>
  <c r="E12447" i="6"/>
  <c r="F12421" i="6"/>
  <c r="E12488" i="6"/>
  <c r="F12462" i="6"/>
  <c r="E12453" i="6"/>
  <c r="F12427" i="6"/>
  <c r="E12461" i="6"/>
  <c r="F12435" i="6"/>
  <c r="E12469" i="6"/>
  <c r="F12443" i="6"/>
  <c r="E12500" i="6"/>
  <c r="F12474" i="6"/>
  <c r="E12465" i="6"/>
  <c r="F12439" i="6"/>
  <c r="E12466" i="6"/>
  <c r="F12440" i="6"/>
  <c r="E12441" i="6"/>
  <c r="F12415" i="6"/>
  <c r="E12524" i="6"/>
  <c r="F12498" i="6"/>
  <c r="E12510" i="6"/>
  <c r="F12484" i="6"/>
  <c r="E12433" i="6"/>
  <c r="F12407" i="6"/>
  <c r="E12455" i="6"/>
  <c r="F12429" i="6"/>
  <c r="E12476" i="6"/>
  <c r="F12450" i="6"/>
  <c r="E12506" i="6"/>
  <c r="F12480" i="6"/>
  <c r="E12464" i="6"/>
  <c r="F12438" i="6"/>
  <c r="E12496" i="6"/>
  <c r="F12470" i="6"/>
  <c r="E12430" i="6"/>
  <c r="F12404" i="6"/>
  <c r="E12457" i="6"/>
  <c r="F12431" i="6"/>
  <c r="E12437" i="6"/>
  <c r="F12411" i="6"/>
  <c r="E12449" i="6"/>
  <c r="F12423" i="6"/>
  <c r="E12536" i="6" l="1"/>
  <c r="F12510" i="6"/>
  <c r="E12479" i="6"/>
  <c r="F12453" i="6"/>
  <c r="E12512" i="6"/>
  <c r="F12486" i="6"/>
  <c r="E12483" i="6"/>
  <c r="F12457" i="6"/>
  <c r="E12491" i="6"/>
  <c r="F12465" i="6"/>
  <c r="E12502" i="6"/>
  <c r="F12476" i="6"/>
  <c r="E12526" i="6"/>
  <c r="F12500" i="6"/>
  <c r="E12514" i="6"/>
  <c r="F12488" i="6"/>
  <c r="E12478" i="6"/>
  <c r="F12452" i="6"/>
  <c r="E12550" i="6"/>
  <c r="F12524" i="6"/>
  <c r="E12475" i="6"/>
  <c r="F12449" i="6"/>
  <c r="E12467" i="6"/>
  <c r="F12441" i="6"/>
  <c r="E12495" i="6"/>
  <c r="F12469" i="6"/>
  <c r="E12473" i="6"/>
  <c r="F12447" i="6"/>
  <c r="E12468" i="6"/>
  <c r="F12442" i="6"/>
  <c r="E12522" i="6"/>
  <c r="F12496" i="6"/>
  <c r="E12532" i="6"/>
  <c r="F12506" i="6"/>
  <c r="E12456" i="6"/>
  <c r="F12430" i="6"/>
  <c r="E12481" i="6"/>
  <c r="F12455" i="6"/>
  <c r="E12463" i="6"/>
  <c r="F12437" i="6"/>
  <c r="E12490" i="6"/>
  <c r="F12464" i="6"/>
  <c r="E12459" i="6"/>
  <c r="F12433" i="6"/>
  <c r="E12492" i="6"/>
  <c r="F12466" i="6"/>
  <c r="E12487" i="6"/>
  <c r="F12461" i="6"/>
  <c r="E12471" i="6"/>
  <c r="F12445" i="6"/>
  <c r="E12503" i="6"/>
  <c r="F12477" i="6"/>
  <c r="E12548" i="6" l="1"/>
  <c r="F12522" i="6"/>
  <c r="E12509" i="6"/>
  <c r="F12483" i="6"/>
  <c r="E12493" i="6"/>
  <c r="F12467" i="6"/>
  <c r="E12507" i="6"/>
  <c r="F12481" i="6"/>
  <c r="E12494" i="6"/>
  <c r="F12468" i="6"/>
  <c r="E12501" i="6"/>
  <c r="F12475" i="6"/>
  <c r="E12552" i="6"/>
  <c r="F12526" i="6"/>
  <c r="E12538" i="6"/>
  <c r="F12512" i="6"/>
  <c r="E12489" i="6"/>
  <c r="F12463" i="6"/>
  <c r="E12518" i="6"/>
  <c r="F12492" i="6"/>
  <c r="E12540" i="6"/>
  <c r="F12514" i="6"/>
  <c r="E12485" i="6"/>
  <c r="F12459" i="6"/>
  <c r="E12576" i="6"/>
  <c r="F12550" i="6"/>
  <c r="E12528" i="6"/>
  <c r="F12502" i="6"/>
  <c r="E12505" i="6"/>
  <c r="F12479" i="6"/>
  <c r="E12529" i="6"/>
  <c r="F12503" i="6"/>
  <c r="E12499" i="6"/>
  <c r="F12473" i="6"/>
  <c r="E12513" i="6"/>
  <c r="F12487" i="6"/>
  <c r="E12482" i="6"/>
  <c r="F12456" i="6"/>
  <c r="E12497" i="6"/>
  <c r="F12471" i="6"/>
  <c r="E12516" i="6"/>
  <c r="F12490" i="6"/>
  <c r="E12558" i="6"/>
  <c r="F12532" i="6"/>
  <c r="E12521" i="6"/>
  <c r="F12495" i="6"/>
  <c r="E12504" i="6"/>
  <c r="F12478" i="6"/>
  <c r="E12517" i="6"/>
  <c r="F12491" i="6"/>
  <c r="E12562" i="6"/>
  <c r="F12536" i="6"/>
  <c r="E12555" i="6" l="1"/>
  <c r="F12529" i="6"/>
  <c r="E12533" i="6"/>
  <c r="F12507" i="6"/>
  <c r="E12511" i="6"/>
  <c r="F12485" i="6"/>
  <c r="E12564" i="6"/>
  <c r="F12538" i="6"/>
  <c r="E12547" i="6"/>
  <c r="F12521" i="6"/>
  <c r="E12531" i="6"/>
  <c r="F12505" i="6"/>
  <c r="E12566" i="6"/>
  <c r="F12540" i="6"/>
  <c r="E12578" i="6"/>
  <c r="F12552" i="6"/>
  <c r="E12519" i="6"/>
  <c r="F12493" i="6"/>
  <c r="E12530" i="6"/>
  <c r="F12504" i="6"/>
  <c r="E12523" i="6"/>
  <c r="F12497" i="6"/>
  <c r="E12554" i="6"/>
  <c r="F12528" i="6"/>
  <c r="E12544" i="6"/>
  <c r="F12518" i="6"/>
  <c r="E12527" i="6"/>
  <c r="F12501" i="6"/>
  <c r="E12535" i="6"/>
  <c r="F12509" i="6"/>
  <c r="E12508" i="6"/>
  <c r="F12482" i="6"/>
  <c r="E12588" i="6"/>
  <c r="F12562" i="6"/>
  <c r="E12584" i="6"/>
  <c r="F12558" i="6"/>
  <c r="E12539" i="6"/>
  <c r="F12513" i="6"/>
  <c r="E12543" i="6"/>
  <c r="F12517" i="6"/>
  <c r="E12542" i="6"/>
  <c r="F12516" i="6"/>
  <c r="E12525" i="6"/>
  <c r="F12499" i="6"/>
  <c r="E12602" i="6"/>
  <c r="F12576" i="6"/>
  <c r="E12515" i="6"/>
  <c r="F12489" i="6"/>
  <c r="E12520" i="6"/>
  <c r="F12494" i="6"/>
  <c r="E12574" i="6"/>
  <c r="F12548" i="6"/>
  <c r="E12569" i="6" l="1"/>
  <c r="F12543" i="6"/>
  <c r="E12580" i="6"/>
  <c r="F12554" i="6"/>
  <c r="E12604" i="6"/>
  <c r="F12578" i="6"/>
  <c r="E12590" i="6"/>
  <c r="F12564" i="6"/>
  <c r="E12534" i="6"/>
  <c r="F12508" i="6"/>
  <c r="E12628" i="6"/>
  <c r="F12602" i="6"/>
  <c r="E12561" i="6"/>
  <c r="F12535" i="6"/>
  <c r="E12549" i="6"/>
  <c r="F12523" i="6"/>
  <c r="E12592" i="6"/>
  <c r="F12566" i="6"/>
  <c r="E12537" i="6"/>
  <c r="F12511" i="6"/>
  <c r="E12541" i="6"/>
  <c r="F12515" i="6"/>
  <c r="E12565" i="6"/>
  <c r="F12539" i="6"/>
  <c r="E12600" i="6"/>
  <c r="F12574" i="6"/>
  <c r="E12610" i="6"/>
  <c r="F12584" i="6"/>
  <c r="E12553" i="6"/>
  <c r="F12527" i="6"/>
  <c r="E12556" i="6"/>
  <c r="F12530" i="6"/>
  <c r="E12557" i="6"/>
  <c r="F12531" i="6"/>
  <c r="E12559" i="6"/>
  <c r="F12533" i="6"/>
  <c r="E12551" i="6"/>
  <c r="F12525" i="6"/>
  <c r="E12546" i="6"/>
  <c r="F12520" i="6"/>
  <c r="E12568" i="6"/>
  <c r="F12542" i="6"/>
  <c r="E12614" i="6"/>
  <c r="F12588" i="6"/>
  <c r="E12570" i="6"/>
  <c r="F12544" i="6"/>
  <c r="E12545" i="6"/>
  <c r="F12519" i="6"/>
  <c r="E12573" i="6"/>
  <c r="F12547" i="6"/>
  <c r="E12581" i="6"/>
  <c r="F12555" i="6"/>
  <c r="E12575" i="6" l="1"/>
  <c r="F12549" i="6"/>
  <c r="E12616" i="6"/>
  <c r="F12590" i="6"/>
  <c r="E12572" i="6"/>
  <c r="F12546" i="6"/>
  <c r="E12579" i="6"/>
  <c r="F12553" i="6"/>
  <c r="E12567" i="6"/>
  <c r="F12541" i="6"/>
  <c r="E12587" i="6"/>
  <c r="F12561" i="6"/>
  <c r="E12630" i="6"/>
  <c r="F12604" i="6"/>
  <c r="E12582" i="6"/>
  <c r="F12556" i="6"/>
  <c r="E12577" i="6"/>
  <c r="F12551" i="6"/>
  <c r="E12571" i="6"/>
  <c r="F12545" i="6"/>
  <c r="E12636" i="6"/>
  <c r="F12610" i="6"/>
  <c r="E12654" i="6"/>
  <c r="F12628" i="6"/>
  <c r="E12606" i="6"/>
  <c r="F12580" i="6"/>
  <c r="E12591" i="6"/>
  <c r="F12565" i="6"/>
  <c r="E12596" i="6"/>
  <c r="F12570" i="6"/>
  <c r="E12640" i="6"/>
  <c r="F12614" i="6"/>
  <c r="E12563" i="6"/>
  <c r="F12537" i="6"/>
  <c r="E12607" i="6"/>
  <c r="F12581" i="6"/>
  <c r="E12585" i="6"/>
  <c r="F12559" i="6"/>
  <c r="E12599" i="6"/>
  <c r="F12573" i="6"/>
  <c r="E12594" i="6"/>
  <c r="F12568" i="6"/>
  <c r="E12583" i="6"/>
  <c r="F12557" i="6"/>
  <c r="E12626" i="6"/>
  <c r="F12600" i="6"/>
  <c r="E12618" i="6"/>
  <c r="F12592" i="6"/>
  <c r="E12560" i="6"/>
  <c r="F12534" i="6"/>
  <c r="E12595" i="6"/>
  <c r="F12569" i="6"/>
  <c r="E12680" i="6" l="1"/>
  <c r="F12654" i="6"/>
  <c r="E12605" i="6"/>
  <c r="F12579" i="6"/>
  <c r="E12662" i="6"/>
  <c r="F12636" i="6"/>
  <c r="E12656" i="6"/>
  <c r="F12630" i="6"/>
  <c r="E12598" i="6"/>
  <c r="F12572" i="6"/>
  <c r="E12666" i="6"/>
  <c r="F12640" i="6"/>
  <c r="E12622" i="6"/>
  <c r="F12596" i="6"/>
  <c r="E12652" i="6"/>
  <c r="F12626" i="6"/>
  <c r="E12621" i="6"/>
  <c r="F12595" i="6"/>
  <c r="E12617" i="6"/>
  <c r="F12591" i="6"/>
  <c r="E12597" i="6"/>
  <c r="F12571" i="6"/>
  <c r="E12613" i="6"/>
  <c r="F12587" i="6"/>
  <c r="E12642" i="6"/>
  <c r="F12616" i="6"/>
  <c r="E12644" i="6"/>
  <c r="F12618" i="6"/>
  <c r="E12609" i="6"/>
  <c r="F12583" i="6"/>
  <c r="E12625" i="6"/>
  <c r="F12599" i="6"/>
  <c r="E12608" i="6"/>
  <c r="F12582" i="6"/>
  <c r="E12611" i="6"/>
  <c r="F12585" i="6"/>
  <c r="E12633" i="6"/>
  <c r="F12607" i="6"/>
  <c r="E12586" i="6"/>
  <c r="F12560" i="6"/>
  <c r="E12620" i="6"/>
  <c r="F12594" i="6"/>
  <c r="E12589" i="6"/>
  <c r="F12563" i="6"/>
  <c r="E12632" i="6"/>
  <c r="F12606" i="6"/>
  <c r="E12603" i="6"/>
  <c r="F12577" i="6"/>
  <c r="E12593" i="6"/>
  <c r="F12567" i="6"/>
  <c r="E12601" i="6"/>
  <c r="F12575" i="6"/>
  <c r="E12651" i="6" l="1"/>
  <c r="F12625" i="6"/>
  <c r="E12682" i="6"/>
  <c r="F12656" i="6"/>
  <c r="E12635" i="6"/>
  <c r="F12609" i="6"/>
  <c r="E12623" i="6"/>
  <c r="F12597" i="6"/>
  <c r="E12648" i="6"/>
  <c r="F12622" i="6"/>
  <c r="E12688" i="6"/>
  <c r="F12662" i="6"/>
  <c r="E12612" i="6"/>
  <c r="F12586" i="6"/>
  <c r="E12615" i="6"/>
  <c r="F12589" i="6"/>
  <c r="E12637" i="6"/>
  <c r="F12611" i="6"/>
  <c r="E12670" i="6"/>
  <c r="F12644" i="6"/>
  <c r="E12643" i="6"/>
  <c r="F12617" i="6"/>
  <c r="E12692" i="6"/>
  <c r="F12666" i="6"/>
  <c r="E12631" i="6"/>
  <c r="F12605" i="6"/>
  <c r="E12678" i="6"/>
  <c r="F12652" i="6"/>
  <c r="E12659" i="6"/>
  <c r="F12633" i="6"/>
  <c r="E12627" i="6"/>
  <c r="F12601" i="6"/>
  <c r="E12629" i="6"/>
  <c r="F12603" i="6"/>
  <c r="E12639" i="6"/>
  <c r="F12613" i="6"/>
  <c r="E12658" i="6"/>
  <c r="F12632" i="6"/>
  <c r="E12619" i="6"/>
  <c r="F12593" i="6"/>
  <c r="E12646" i="6"/>
  <c r="F12620" i="6"/>
  <c r="E12634" i="6"/>
  <c r="F12608" i="6"/>
  <c r="E12668" i="6"/>
  <c r="F12642" i="6"/>
  <c r="E12647" i="6"/>
  <c r="F12621" i="6"/>
  <c r="E12624" i="6"/>
  <c r="F12598" i="6"/>
  <c r="E12706" i="6"/>
  <c r="F12680" i="6"/>
  <c r="E12641" i="6" l="1"/>
  <c r="F12615" i="6"/>
  <c r="E12649" i="6"/>
  <c r="F12623" i="6"/>
  <c r="E12645" i="6"/>
  <c r="F12619" i="6"/>
  <c r="E12673" i="6"/>
  <c r="F12647" i="6"/>
  <c r="E12685" i="6"/>
  <c r="F12659" i="6"/>
  <c r="E12669" i="6"/>
  <c r="F12643" i="6"/>
  <c r="E12638" i="6"/>
  <c r="F12612" i="6"/>
  <c r="E12661" i="6"/>
  <c r="F12635" i="6"/>
  <c r="E12653" i="6"/>
  <c r="F12627" i="6"/>
  <c r="E12660" i="6"/>
  <c r="F12634" i="6"/>
  <c r="E12696" i="6"/>
  <c r="F12670" i="6"/>
  <c r="E12714" i="6"/>
  <c r="F12688" i="6"/>
  <c r="E12708" i="6"/>
  <c r="F12682" i="6"/>
  <c r="E12684" i="6"/>
  <c r="F12658" i="6"/>
  <c r="E12732" i="6"/>
  <c r="F12706" i="6"/>
  <c r="E12704" i="6"/>
  <c r="F12678" i="6"/>
  <c r="E12718" i="6"/>
  <c r="F12692" i="6"/>
  <c r="E12694" i="6"/>
  <c r="F12668" i="6"/>
  <c r="E12665" i="6"/>
  <c r="F12639" i="6"/>
  <c r="E12650" i="6"/>
  <c r="F12624" i="6"/>
  <c r="E12672" i="6"/>
  <c r="F12646" i="6"/>
  <c r="E12655" i="6"/>
  <c r="F12629" i="6"/>
  <c r="E12657" i="6"/>
  <c r="F12631" i="6"/>
  <c r="E12663" i="6"/>
  <c r="F12637" i="6"/>
  <c r="E12674" i="6"/>
  <c r="F12648" i="6"/>
  <c r="E12677" i="6"/>
  <c r="F12651" i="6"/>
  <c r="E12699" i="6" l="1"/>
  <c r="F12673" i="6"/>
  <c r="E12740" i="6"/>
  <c r="F12714" i="6"/>
  <c r="E12758" i="6"/>
  <c r="F12732" i="6"/>
  <c r="E12722" i="6"/>
  <c r="F12696" i="6"/>
  <c r="E12664" i="6"/>
  <c r="F12638" i="6"/>
  <c r="E12671" i="6"/>
  <c r="F12645" i="6"/>
  <c r="E12676" i="6"/>
  <c r="F12650" i="6"/>
  <c r="E12689" i="6"/>
  <c r="F12663" i="6"/>
  <c r="E12691" i="6"/>
  <c r="F12665" i="6"/>
  <c r="E12681" i="6"/>
  <c r="F12655" i="6"/>
  <c r="E12710" i="6"/>
  <c r="F12684" i="6"/>
  <c r="E12695" i="6"/>
  <c r="F12669" i="6"/>
  <c r="E12675" i="6"/>
  <c r="F12649" i="6"/>
  <c r="E12720" i="6"/>
  <c r="F12694" i="6"/>
  <c r="E12730" i="6"/>
  <c r="F12704" i="6"/>
  <c r="E12687" i="6"/>
  <c r="F12661" i="6"/>
  <c r="E12683" i="6"/>
  <c r="F12657" i="6"/>
  <c r="E12703" i="6"/>
  <c r="F12677" i="6"/>
  <c r="E12686" i="6"/>
  <c r="F12660" i="6"/>
  <c r="E12700" i="6"/>
  <c r="F12674" i="6"/>
  <c r="E12698" i="6"/>
  <c r="F12672" i="6"/>
  <c r="E12744" i="6"/>
  <c r="F12718" i="6"/>
  <c r="E12734" i="6"/>
  <c r="F12708" i="6"/>
  <c r="E12679" i="6"/>
  <c r="F12653" i="6"/>
  <c r="E12711" i="6"/>
  <c r="F12685" i="6"/>
  <c r="E12667" i="6"/>
  <c r="F12641" i="6"/>
  <c r="E12726" i="6" l="1"/>
  <c r="F12700" i="6"/>
  <c r="E12715" i="6"/>
  <c r="F12689" i="6"/>
  <c r="E12748" i="6"/>
  <c r="F12722" i="6"/>
  <c r="E12713" i="6"/>
  <c r="F12687" i="6"/>
  <c r="E12712" i="6"/>
  <c r="F12686" i="6"/>
  <c r="E12736" i="6"/>
  <c r="F12710" i="6"/>
  <c r="E12702" i="6"/>
  <c r="F12676" i="6"/>
  <c r="E12784" i="6"/>
  <c r="F12758" i="6"/>
  <c r="E12693" i="6"/>
  <c r="F12667" i="6"/>
  <c r="E12746" i="6"/>
  <c r="F12720" i="6"/>
  <c r="E12697" i="6"/>
  <c r="F12671" i="6"/>
  <c r="E12766" i="6"/>
  <c r="F12740" i="6"/>
  <c r="E12705" i="6"/>
  <c r="F12679" i="6"/>
  <c r="E12721" i="6"/>
  <c r="F12695" i="6"/>
  <c r="E12756" i="6"/>
  <c r="F12730" i="6"/>
  <c r="E12770" i="6"/>
  <c r="F12744" i="6"/>
  <c r="E12707" i="6"/>
  <c r="F12681" i="6"/>
  <c r="E12760" i="6"/>
  <c r="F12734" i="6"/>
  <c r="E12729" i="6"/>
  <c r="F12703" i="6"/>
  <c r="E12737" i="6"/>
  <c r="F12711" i="6"/>
  <c r="E12724" i="6"/>
  <c r="F12698" i="6"/>
  <c r="E12709" i="6"/>
  <c r="F12683" i="6"/>
  <c r="E12701" i="6"/>
  <c r="F12675" i="6"/>
  <c r="E12717" i="6"/>
  <c r="F12691" i="6"/>
  <c r="E12690" i="6"/>
  <c r="F12664" i="6"/>
  <c r="E12725" i="6"/>
  <c r="F12699" i="6"/>
  <c r="E12743" i="6" l="1"/>
  <c r="F12717" i="6"/>
  <c r="E12739" i="6"/>
  <c r="F12713" i="6"/>
  <c r="E12792" i="6"/>
  <c r="F12766" i="6"/>
  <c r="E12755" i="6"/>
  <c r="F12729" i="6"/>
  <c r="E12723" i="6"/>
  <c r="F12697" i="6"/>
  <c r="E12728" i="6"/>
  <c r="F12702" i="6"/>
  <c r="E12774" i="6"/>
  <c r="F12748" i="6"/>
  <c r="E12810" i="6"/>
  <c r="F12784" i="6"/>
  <c r="E12727" i="6"/>
  <c r="F12701" i="6"/>
  <c r="E12796" i="6"/>
  <c r="F12770" i="6"/>
  <c r="E12782" i="6"/>
  <c r="F12756" i="6"/>
  <c r="E12751" i="6"/>
  <c r="F12725" i="6"/>
  <c r="E12786" i="6"/>
  <c r="F12760" i="6"/>
  <c r="E12747" i="6"/>
  <c r="F12721" i="6"/>
  <c r="E12772" i="6"/>
  <c r="F12746" i="6"/>
  <c r="E12762" i="6"/>
  <c r="F12736" i="6"/>
  <c r="E12741" i="6"/>
  <c r="F12715" i="6"/>
  <c r="E12763" i="6"/>
  <c r="F12737" i="6"/>
  <c r="E12735" i="6"/>
  <c r="F12709" i="6"/>
  <c r="E12716" i="6"/>
  <c r="F12690" i="6"/>
  <c r="E12750" i="6"/>
  <c r="F12724" i="6"/>
  <c r="E12733" i="6"/>
  <c r="F12707" i="6"/>
  <c r="E12731" i="6"/>
  <c r="F12705" i="6"/>
  <c r="E12719" i="6"/>
  <c r="F12693" i="6"/>
  <c r="E12738" i="6"/>
  <c r="F12712" i="6"/>
  <c r="E12752" i="6"/>
  <c r="F12726" i="6"/>
  <c r="E12777" i="6" l="1"/>
  <c r="F12751" i="6"/>
  <c r="E12781" i="6"/>
  <c r="F12755" i="6"/>
  <c r="E12761" i="6"/>
  <c r="F12735" i="6"/>
  <c r="E12808" i="6"/>
  <c r="F12782" i="6"/>
  <c r="E12800" i="6"/>
  <c r="F12774" i="6"/>
  <c r="E12818" i="6"/>
  <c r="F12792" i="6"/>
  <c r="E12742" i="6"/>
  <c r="F12716" i="6"/>
  <c r="E12788" i="6"/>
  <c r="F12762" i="6"/>
  <c r="E12798" i="6"/>
  <c r="F12772" i="6"/>
  <c r="E12778" i="6"/>
  <c r="F12752" i="6"/>
  <c r="E12773" i="6"/>
  <c r="F12747" i="6"/>
  <c r="E12822" i="6"/>
  <c r="F12796" i="6"/>
  <c r="E12754" i="6"/>
  <c r="F12728" i="6"/>
  <c r="E12765" i="6"/>
  <c r="F12739" i="6"/>
  <c r="E12759" i="6"/>
  <c r="F12733" i="6"/>
  <c r="E12745" i="6"/>
  <c r="F12719" i="6"/>
  <c r="E12836" i="6"/>
  <c r="F12810" i="6"/>
  <c r="E12757" i="6"/>
  <c r="F12731" i="6"/>
  <c r="E12789" i="6"/>
  <c r="F12763" i="6"/>
  <c r="E12764" i="6"/>
  <c r="F12738" i="6"/>
  <c r="E12776" i="6"/>
  <c r="F12750" i="6"/>
  <c r="E12767" i="6"/>
  <c r="F12741" i="6"/>
  <c r="E12812" i="6"/>
  <c r="F12786" i="6"/>
  <c r="E12753" i="6"/>
  <c r="F12727" i="6"/>
  <c r="E12749" i="6"/>
  <c r="F12723" i="6"/>
  <c r="E12769" i="6"/>
  <c r="F12743" i="6"/>
  <c r="E12790" i="6" l="1"/>
  <c r="F12764" i="6"/>
  <c r="E12834" i="6"/>
  <c r="F12808" i="6"/>
  <c r="E12779" i="6"/>
  <c r="F12753" i="6"/>
  <c r="E12814" i="6"/>
  <c r="F12788" i="6"/>
  <c r="E12815" i="6"/>
  <c r="F12789" i="6"/>
  <c r="E12799" i="6"/>
  <c r="F12773" i="6"/>
  <c r="E12768" i="6"/>
  <c r="F12742" i="6"/>
  <c r="E12787" i="6"/>
  <c r="F12761" i="6"/>
  <c r="E12771" i="6"/>
  <c r="F12745" i="6"/>
  <c r="E12848" i="6"/>
  <c r="F12822" i="6"/>
  <c r="E12793" i="6"/>
  <c r="F12767" i="6"/>
  <c r="E12804" i="6"/>
  <c r="F12778" i="6"/>
  <c r="E12844" i="6"/>
  <c r="F12818" i="6"/>
  <c r="E12807" i="6"/>
  <c r="F12781" i="6"/>
  <c r="E12838" i="6"/>
  <c r="F12812" i="6"/>
  <c r="E12783" i="6"/>
  <c r="F12757" i="6"/>
  <c r="E12785" i="6"/>
  <c r="F12759" i="6"/>
  <c r="E12795" i="6"/>
  <c r="F12769" i="6"/>
  <c r="E12791" i="6"/>
  <c r="F12765" i="6"/>
  <c r="E12775" i="6"/>
  <c r="F12749" i="6"/>
  <c r="E12802" i="6"/>
  <c r="F12776" i="6"/>
  <c r="E12862" i="6"/>
  <c r="F12836" i="6"/>
  <c r="E12780" i="6"/>
  <c r="F12754" i="6"/>
  <c r="E12824" i="6"/>
  <c r="F12798" i="6"/>
  <c r="E12826" i="6"/>
  <c r="F12800" i="6"/>
  <c r="E12803" i="6"/>
  <c r="F12777" i="6"/>
  <c r="E12801" i="6" l="1"/>
  <c r="F12775" i="6"/>
  <c r="E12813" i="6"/>
  <c r="F12787" i="6"/>
  <c r="E12840" i="6"/>
  <c r="F12814" i="6"/>
  <c r="E12809" i="6"/>
  <c r="F12783" i="6"/>
  <c r="E12806" i="6"/>
  <c r="F12780" i="6"/>
  <c r="E12819" i="6"/>
  <c r="F12793" i="6"/>
  <c r="E12794" i="6"/>
  <c r="F12768" i="6"/>
  <c r="E12805" i="6"/>
  <c r="F12779" i="6"/>
  <c r="E12864" i="6"/>
  <c r="F12838" i="6"/>
  <c r="E12888" i="6"/>
  <c r="F12862" i="6"/>
  <c r="E12874" i="6"/>
  <c r="F12848" i="6"/>
  <c r="E12825" i="6"/>
  <c r="F12799" i="6"/>
  <c r="E12860" i="6"/>
  <c r="F12834" i="6"/>
  <c r="E12830" i="6"/>
  <c r="F12804" i="6"/>
  <c r="E12817" i="6"/>
  <c r="F12791" i="6"/>
  <c r="E12833" i="6"/>
  <c r="F12807" i="6"/>
  <c r="E12850" i="6"/>
  <c r="F12824" i="6"/>
  <c r="E12829" i="6"/>
  <c r="F12803" i="6"/>
  <c r="E12821" i="6"/>
  <c r="F12795" i="6"/>
  <c r="E12852" i="6"/>
  <c r="F12826" i="6"/>
  <c r="E12828" i="6"/>
  <c r="F12802" i="6"/>
  <c r="E12811" i="6"/>
  <c r="F12785" i="6"/>
  <c r="E12870" i="6"/>
  <c r="F12844" i="6"/>
  <c r="E12797" i="6"/>
  <c r="F12771" i="6"/>
  <c r="E12841" i="6"/>
  <c r="F12815" i="6"/>
  <c r="E12816" i="6"/>
  <c r="F12790" i="6"/>
  <c r="E12851" i="6" l="1"/>
  <c r="F12825" i="6"/>
  <c r="E12835" i="6"/>
  <c r="F12809" i="6"/>
  <c r="E12823" i="6"/>
  <c r="F12797" i="6"/>
  <c r="E12900" i="6"/>
  <c r="F12874" i="6"/>
  <c r="E12820" i="6"/>
  <c r="F12794" i="6"/>
  <c r="E12866" i="6"/>
  <c r="F12840" i="6"/>
  <c r="E12878" i="6"/>
  <c r="F12852" i="6"/>
  <c r="E12847" i="6"/>
  <c r="F12821" i="6"/>
  <c r="E12843" i="6"/>
  <c r="F12817" i="6"/>
  <c r="E12842" i="6"/>
  <c r="F12816" i="6"/>
  <c r="E12914" i="6"/>
  <c r="F12888" i="6"/>
  <c r="E12845" i="6"/>
  <c r="F12819" i="6"/>
  <c r="E12839" i="6"/>
  <c r="F12813" i="6"/>
  <c r="E12859" i="6"/>
  <c r="F12833" i="6"/>
  <c r="E12896" i="6"/>
  <c r="F12870" i="6"/>
  <c r="E12837" i="6"/>
  <c r="F12811" i="6"/>
  <c r="E12856" i="6"/>
  <c r="F12830" i="6"/>
  <c r="E12831" i="6"/>
  <c r="F12805" i="6"/>
  <c r="E12855" i="6"/>
  <c r="F12829" i="6"/>
  <c r="E12867" i="6"/>
  <c r="F12841" i="6"/>
  <c r="E12854" i="6"/>
  <c r="F12828" i="6"/>
  <c r="E12876" i="6"/>
  <c r="F12850" i="6"/>
  <c r="E12886" i="6"/>
  <c r="F12860" i="6"/>
  <c r="E12890" i="6"/>
  <c r="F12864" i="6"/>
  <c r="E12832" i="6"/>
  <c r="F12806" i="6"/>
  <c r="E12827" i="6"/>
  <c r="F12801" i="6"/>
  <c r="E12873" i="6" l="1"/>
  <c r="F12847" i="6"/>
  <c r="F12900" i="6"/>
  <c r="E12926" i="6"/>
  <c r="E12916" i="6"/>
  <c r="F12890" i="6"/>
  <c r="E12881" i="6"/>
  <c r="F12855" i="6"/>
  <c r="E12922" i="6"/>
  <c r="F12896" i="6"/>
  <c r="E12940" i="6"/>
  <c r="F12914" i="6"/>
  <c r="E12904" i="6"/>
  <c r="F12878" i="6"/>
  <c r="E12849" i="6"/>
  <c r="F12823" i="6"/>
  <c r="E12893" i="6"/>
  <c r="F12867" i="6"/>
  <c r="E12871" i="6"/>
  <c r="F12845" i="6"/>
  <c r="E12912" i="6"/>
  <c r="F12886" i="6"/>
  <c r="E12853" i="6"/>
  <c r="F12827" i="6"/>
  <c r="E12902" i="6"/>
  <c r="F12876" i="6"/>
  <c r="E12857" i="6"/>
  <c r="F12831" i="6"/>
  <c r="E12885" i="6"/>
  <c r="F12859" i="6"/>
  <c r="E12868" i="6"/>
  <c r="F12842" i="6"/>
  <c r="E12892" i="6"/>
  <c r="F12866" i="6"/>
  <c r="E12861" i="6"/>
  <c r="F12835" i="6"/>
  <c r="E12863" i="6"/>
  <c r="F12837" i="6"/>
  <c r="E12858" i="6"/>
  <c r="F12832" i="6"/>
  <c r="E12880" i="6"/>
  <c r="F12854" i="6"/>
  <c r="E12882" i="6"/>
  <c r="F12856" i="6"/>
  <c r="E12865" i="6"/>
  <c r="F12839" i="6"/>
  <c r="E12869" i="6"/>
  <c r="F12843" i="6"/>
  <c r="E12846" i="6"/>
  <c r="F12820" i="6"/>
  <c r="E12877" i="6"/>
  <c r="F12851" i="6"/>
  <c r="E12895" i="6" l="1"/>
  <c r="F12869" i="6"/>
  <c r="E12879" i="6"/>
  <c r="F12853" i="6"/>
  <c r="E12907" i="6"/>
  <c r="F12881" i="6"/>
  <c r="E12894" i="6"/>
  <c r="F12868" i="6"/>
  <c r="E12889" i="6"/>
  <c r="F12863" i="6"/>
  <c r="E12911" i="6"/>
  <c r="F12885" i="6"/>
  <c r="E12938" i="6"/>
  <c r="F12912" i="6"/>
  <c r="E12930" i="6"/>
  <c r="F12904" i="6"/>
  <c r="E12942" i="6"/>
  <c r="F12916" i="6"/>
  <c r="E12952" i="6"/>
  <c r="F12926" i="6"/>
  <c r="E12884" i="6"/>
  <c r="F12858" i="6"/>
  <c r="E12875" i="6"/>
  <c r="F12849" i="6"/>
  <c r="E12891" i="6"/>
  <c r="F12865" i="6"/>
  <c r="E12903" i="6"/>
  <c r="F12877" i="6"/>
  <c r="E12897" i="6"/>
  <c r="F12871" i="6"/>
  <c r="E12966" i="6"/>
  <c r="F12940" i="6"/>
  <c r="E12883" i="6"/>
  <c r="F12857" i="6"/>
  <c r="E12908" i="6"/>
  <c r="F12882" i="6"/>
  <c r="E12887" i="6"/>
  <c r="F12861" i="6"/>
  <c r="E12872" i="6"/>
  <c r="F12846" i="6"/>
  <c r="E12906" i="6"/>
  <c r="F12880" i="6"/>
  <c r="E12918" i="6"/>
  <c r="F12892" i="6"/>
  <c r="E12928" i="6"/>
  <c r="F12902" i="6"/>
  <c r="E12919" i="6"/>
  <c r="F12893" i="6"/>
  <c r="E12948" i="6"/>
  <c r="F12922" i="6"/>
  <c r="E12899" i="6"/>
  <c r="F12873" i="6"/>
  <c r="E12898" i="6" l="1"/>
  <c r="F12872" i="6"/>
  <c r="E12956" i="6"/>
  <c r="F12930" i="6"/>
  <c r="E12920" i="6"/>
  <c r="F12894" i="6"/>
  <c r="E12913" i="6"/>
  <c r="F12887" i="6"/>
  <c r="E12910" i="6"/>
  <c r="F12884" i="6"/>
  <c r="E12964" i="6"/>
  <c r="F12938" i="6"/>
  <c r="E12933" i="6"/>
  <c r="F12907" i="6"/>
  <c r="E12992" i="6"/>
  <c r="F12966" i="6"/>
  <c r="E12923" i="6"/>
  <c r="F12897" i="6"/>
  <c r="E12945" i="6"/>
  <c r="F12919" i="6"/>
  <c r="E12934" i="6"/>
  <c r="F12908" i="6"/>
  <c r="E12929" i="6"/>
  <c r="F12903" i="6"/>
  <c r="E12937" i="6"/>
  <c r="F12911" i="6"/>
  <c r="E12905" i="6"/>
  <c r="F12879" i="6"/>
  <c r="E12925" i="6"/>
  <c r="F12899" i="6"/>
  <c r="E12901" i="6"/>
  <c r="F12875" i="6"/>
  <c r="E12954" i="6"/>
  <c r="F12928" i="6"/>
  <c r="E12944" i="6"/>
  <c r="F12918" i="6"/>
  <c r="E12978" i="6"/>
  <c r="F12952" i="6"/>
  <c r="E12974" i="6"/>
  <c r="F12948" i="6"/>
  <c r="E12932" i="6"/>
  <c r="F12906" i="6"/>
  <c r="E12909" i="6"/>
  <c r="F12883" i="6"/>
  <c r="E12917" i="6"/>
  <c r="F12891" i="6"/>
  <c r="E12968" i="6"/>
  <c r="F12942" i="6"/>
  <c r="E12915" i="6"/>
  <c r="F12889" i="6"/>
  <c r="E12921" i="6"/>
  <c r="F12895" i="6"/>
  <c r="E12927" i="6" l="1"/>
  <c r="F12901" i="6"/>
  <c r="E12939" i="6"/>
  <c r="F12913" i="6"/>
  <c r="E12960" i="6"/>
  <c r="F12934" i="6"/>
  <c r="E12959" i="6"/>
  <c r="F12933" i="6"/>
  <c r="E12946" i="6"/>
  <c r="F12920" i="6"/>
  <c r="E12951" i="6"/>
  <c r="F12925" i="6"/>
  <c r="E13000" i="6"/>
  <c r="F12974" i="6"/>
  <c r="E12970" i="6"/>
  <c r="F12944" i="6"/>
  <c r="E12990" i="6"/>
  <c r="F12964" i="6"/>
  <c r="E12982" i="6"/>
  <c r="F12956" i="6"/>
  <c r="E12994" i="6"/>
  <c r="F12968" i="6"/>
  <c r="E12955" i="6"/>
  <c r="F12929" i="6"/>
  <c r="E12943" i="6"/>
  <c r="F12917" i="6"/>
  <c r="E12935" i="6"/>
  <c r="F12909" i="6"/>
  <c r="E12971" i="6"/>
  <c r="F12945" i="6"/>
  <c r="E13018" i="6"/>
  <c r="F12992" i="6"/>
  <c r="E13004" i="6"/>
  <c r="F12978" i="6"/>
  <c r="E12947" i="6"/>
  <c r="F12921" i="6"/>
  <c r="E12931" i="6"/>
  <c r="F12905" i="6"/>
  <c r="E12941" i="6"/>
  <c r="F12915" i="6"/>
  <c r="E12958" i="6"/>
  <c r="F12932" i="6"/>
  <c r="E12980" i="6"/>
  <c r="F12954" i="6"/>
  <c r="E12963" i="6"/>
  <c r="F12937" i="6"/>
  <c r="E12949" i="6"/>
  <c r="F12923" i="6"/>
  <c r="E12936" i="6"/>
  <c r="F12910" i="6"/>
  <c r="E12924" i="6"/>
  <c r="F12898" i="6"/>
  <c r="E13044" i="6" l="1"/>
  <c r="F13018" i="6"/>
  <c r="E12985" i="6"/>
  <c r="F12959" i="6"/>
  <c r="E13020" i="6"/>
  <c r="F12994" i="6"/>
  <c r="E13026" i="6"/>
  <c r="F13000" i="6"/>
  <c r="E12986" i="6"/>
  <c r="F12960" i="6"/>
  <c r="E12996" i="6"/>
  <c r="F12970" i="6"/>
  <c r="E12997" i="6"/>
  <c r="F12971" i="6"/>
  <c r="E12967" i="6"/>
  <c r="F12941" i="6"/>
  <c r="E12989" i="6"/>
  <c r="F12963" i="6"/>
  <c r="E12973" i="6"/>
  <c r="F12947" i="6"/>
  <c r="E13008" i="6"/>
  <c r="F12982" i="6"/>
  <c r="E12977" i="6"/>
  <c r="F12951" i="6"/>
  <c r="E12965" i="6"/>
  <c r="F12939" i="6"/>
  <c r="E12975" i="6"/>
  <c r="F12949" i="6"/>
  <c r="E12950" i="6"/>
  <c r="F12924" i="6"/>
  <c r="E12981" i="6"/>
  <c r="F12955" i="6"/>
  <c r="E12957" i="6"/>
  <c r="F12931" i="6"/>
  <c r="E13006" i="6"/>
  <c r="F12980" i="6"/>
  <c r="E12961" i="6"/>
  <c r="F12935" i="6"/>
  <c r="E12962" i="6"/>
  <c r="F12936" i="6"/>
  <c r="E12984" i="6"/>
  <c r="F12958" i="6"/>
  <c r="E13030" i="6"/>
  <c r="F13004" i="6"/>
  <c r="E12969" i="6"/>
  <c r="F12943" i="6"/>
  <c r="E13016" i="6"/>
  <c r="F12990" i="6"/>
  <c r="E12972" i="6"/>
  <c r="F12946" i="6"/>
  <c r="E12953" i="6"/>
  <c r="F12927" i="6"/>
  <c r="E12988" i="6" l="1"/>
  <c r="F12962" i="6"/>
  <c r="E12993" i="6"/>
  <c r="F12967" i="6"/>
  <c r="E13052" i="6"/>
  <c r="F13026" i="6"/>
  <c r="E13042" i="6"/>
  <c r="F13016" i="6"/>
  <c r="E13003" i="6"/>
  <c r="F12977" i="6"/>
  <c r="E12987" i="6"/>
  <c r="F12961" i="6"/>
  <c r="E13034" i="6"/>
  <c r="F13008" i="6"/>
  <c r="E13023" i="6"/>
  <c r="F12997" i="6"/>
  <c r="E13046" i="6"/>
  <c r="F13020" i="6"/>
  <c r="E13056" i="6"/>
  <c r="F13030" i="6"/>
  <c r="E13001" i="6"/>
  <c r="F12975" i="6"/>
  <c r="E12999" i="6"/>
  <c r="F12973" i="6"/>
  <c r="E13022" i="6"/>
  <c r="F12996" i="6"/>
  <c r="E13011" i="6"/>
  <c r="F12985" i="6"/>
  <c r="E12995" i="6"/>
  <c r="F12969" i="6"/>
  <c r="E13032" i="6"/>
  <c r="F13006" i="6"/>
  <c r="E13007" i="6"/>
  <c r="F12981" i="6"/>
  <c r="E12976" i="6"/>
  <c r="F12950" i="6"/>
  <c r="E12979" i="6"/>
  <c r="F12953" i="6"/>
  <c r="E12998" i="6"/>
  <c r="F12972" i="6"/>
  <c r="E13010" i="6"/>
  <c r="F12984" i="6"/>
  <c r="E12983" i="6"/>
  <c r="F12957" i="6"/>
  <c r="E12991" i="6"/>
  <c r="F12965" i="6"/>
  <c r="E13015" i="6"/>
  <c r="F12989" i="6"/>
  <c r="E13012" i="6"/>
  <c r="F12986" i="6"/>
  <c r="E13070" i="6"/>
  <c r="F13044" i="6"/>
  <c r="E13068" i="6" l="1"/>
  <c r="F13042" i="6"/>
  <c r="E13049" i="6"/>
  <c r="F13023" i="6"/>
  <c r="E13025" i="6"/>
  <c r="F12999" i="6"/>
  <c r="E13017" i="6"/>
  <c r="F12991" i="6"/>
  <c r="E13027" i="6"/>
  <c r="F13001" i="6"/>
  <c r="E13060" i="6"/>
  <c r="F13034" i="6"/>
  <c r="E13078" i="6"/>
  <c r="F13052" i="6"/>
  <c r="E13024" i="6"/>
  <c r="F12998" i="6"/>
  <c r="E13005" i="6"/>
  <c r="F12979" i="6"/>
  <c r="E13021" i="6"/>
  <c r="F12995" i="6"/>
  <c r="E13096" i="6"/>
  <c r="F13070" i="6"/>
  <c r="E13037" i="6"/>
  <c r="F13011" i="6"/>
  <c r="E13082" i="6"/>
  <c r="F13056" i="6"/>
  <c r="E13013" i="6"/>
  <c r="F12987" i="6"/>
  <c r="E13019" i="6"/>
  <c r="F12993" i="6"/>
  <c r="E13058" i="6"/>
  <c r="F13032" i="6"/>
  <c r="E13002" i="6"/>
  <c r="F12976" i="6"/>
  <c r="E13041" i="6"/>
  <c r="F13015" i="6"/>
  <c r="E13009" i="6"/>
  <c r="F12983" i="6"/>
  <c r="E13038" i="6"/>
  <c r="F13012" i="6"/>
  <c r="E13036" i="6"/>
  <c r="F13010" i="6"/>
  <c r="E13033" i="6"/>
  <c r="F13007" i="6"/>
  <c r="E13048" i="6"/>
  <c r="F13022" i="6"/>
  <c r="E13072" i="6"/>
  <c r="F13046" i="6"/>
  <c r="E13029" i="6"/>
  <c r="F13003" i="6"/>
  <c r="E13014" i="6"/>
  <c r="F12988" i="6"/>
  <c r="E13064" i="6" l="1"/>
  <c r="F13038" i="6"/>
  <c r="E13050" i="6"/>
  <c r="F13024" i="6"/>
  <c r="E13043" i="6"/>
  <c r="F13017" i="6"/>
  <c r="E13063" i="6"/>
  <c r="F13037" i="6"/>
  <c r="E13074" i="6"/>
  <c r="F13048" i="6"/>
  <c r="E13045" i="6"/>
  <c r="F13019" i="6"/>
  <c r="E13122" i="6"/>
  <c r="F13096" i="6"/>
  <c r="E13104" i="6"/>
  <c r="F13078" i="6"/>
  <c r="E13051" i="6"/>
  <c r="F13025" i="6"/>
  <c r="E13084" i="6"/>
  <c r="F13058" i="6"/>
  <c r="E13035" i="6"/>
  <c r="F13009" i="6"/>
  <c r="E13040" i="6"/>
  <c r="F13014" i="6"/>
  <c r="E13039" i="6"/>
  <c r="F13013" i="6"/>
  <c r="E13047" i="6"/>
  <c r="F13021" i="6"/>
  <c r="E13086" i="6"/>
  <c r="F13060" i="6"/>
  <c r="E13075" i="6"/>
  <c r="F13049" i="6"/>
  <c r="E13067" i="6"/>
  <c r="F13041" i="6"/>
  <c r="E13098" i="6"/>
  <c r="F13072" i="6"/>
  <c r="E13059" i="6"/>
  <c r="F13033" i="6"/>
  <c r="E13055" i="6"/>
  <c r="F13029" i="6"/>
  <c r="E13062" i="6"/>
  <c r="F13036" i="6"/>
  <c r="E13028" i="6"/>
  <c r="F13002" i="6"/>
  <c r="E13108" i="6"/>
  <c r="F13082" i="6"/>
  <c r="E13031" i="6"/>
  <c r="F13005" i="6"/>
  <c r="E13053" i="6"/>
  <c r="F13027" i="6"/>
  <c r="E13094" i="6"/>
  <c r="F13068" i="6"/>
  <c r="E13089" i="6" l="1"/>
  <c r="F13063" i="6"/>
  <c r="E13130" i="6"/>
  <c r="F13104" i="6"/>
  <c r="E13134" i="6"/>
  <c r="F13108" i="6"/>
  <c r="E13112" i="6"/>
  <c r="F13086" i="6"/>
  <c r="E13061" i="6"/>
  <c r="F13035" i="6"/>
  <c r="E13148" i="6"/>
  <c r="F13122" i="6"/>
  <c r="E13069" i="6"/>
  <c r="F13043" i="6"/>
  <c r="E13081" i="6"/>
  <c r="F13055" i="6"/>
  <c r="E13057" i="6"/>
  <c r="F13031" i="6"/>
  <c r="E13124" i="6"/>
  <c r="F13098" i="6"/>
  <c r="E13073" i="6"/>
  <c r="F13047" i="6"/>
  <c r="E13110" i="6"/>
  <c r="F13084" i="6"/>
  <c r="E13071" i="6"/>
  <c r="F13045" i="6"/>
  <c r="E13076" i="6"/>
  <c r="F13050" i="6"/>
  <c r="E13101" i="6"/>
  <c r="F13075" i="6"/>
  <c r="E13085" i="6"/>
  <c r="F13059" i="6"/>
  <c r="E13054" i="6"/>
  <c r="F13028" i="6"/>
  <c r="E13066" i="6"/>
  <c r="F13040" i="6"/>
  <c r="E13120" i="6"/>
  <c r="F13094" i="6"/>
  <c r="E13079" i="6"/>
  <c r="F13053" i="6"/>
  <c r="E13088" i="6"/>
  <c r="F13062" i="6"/>
  <c r="E13093" i="6"/>
  <c r="F13067" i="6"/>
  <c r="E13065" i="6"/>
  <c r="F13039" i="6"/>
  <c r="E13077" i="6"/>
  <c r="F13051" i="6"/>
  <c r="E13100" i="6"/>
  <c r="F13074" i="6"/>
  <c r="E13090" i="6"/>
  <c r="F13064" i="6"/>
  <c r="E13136" i="6" l="1"/>
  <c r="F13110" i="6"/>
  <c r="E13138" i="6"/>
  <c r="F13112" i="6"/>
  <c r="E13103" i="6"/>
  <c r="F13077" i="6"/>
  <c r="E13146" i="6"/>
  <c r="F13120" i="6"/>
  <c r="E13127" i="6"/>
  <c r="F13101" i="6"/>
  <c r="E13099" i="6"/>
  <c r="F13073" i="6"/>
  <c r="E13095" i="6"/>
  <c r="F13069" i="6"/>
  <c r="E13160" i="6"/>
  <c r="F13134" i="6"/>
  <c r="E13107" i="6"/>
  <c r="F13081" i="6"/>
  <c r="E13091" i="6"/>
  <c r="F13065" i="6"/>
  <c r="E13111" i="6"/>
  <c r="F13085" i="6"/>
  <c r="E13119" i="6"/>
  <c r="F13093" i="6"/>
  <c r="E13150" i="6"/>
  <c r="F13124" i="6"/>
  <c r="E13174" i="6"/>
  <c r="F13148" i="6"/>
  <c r="E13156" i="6"/>
  <c r="F13130" i="6"/>
  <c r="E13116" i="6"/>
  <c r="F13090" i="6"/>
  <c r="E13102" i="6"/>
  <c r="F13076" i="6"/>
  <c r="E13105" i="6"/>
  <c r="F13079" i="6"/>
  <c r="E13092" i="6"/>
  <c r="F13066" i="6"/>
  <c r="E13126" i="6"/>
  <c r="F13100" i="6"/>
  <c r="E13114" i="6"/>
  <c r="F13088" i="6"/>
  <c r="E13080" i="6"/>
  <c r="F13054" i="6"/>
  <c r="E13097" i="6"/>
  <c r="F13071" i="6"/>
  <c r="E13083" i="6"/>
  <c r="F13057" i="6"/>
  <c r="E13087" i="6"/>
  <c r="F13061" i="6"/>
  <c r="E13115" i="6"/>
  <c r="F13089" i="6"/>
  <c r="E13142" i="6" l="1"/>
  <c r="F13116" i="6"/>
  <c r="E13172" i="6"/>
  <c r="F13146" i="6"/>
  <c r="E13152" i="6"/>
  <c r="F13126" i="6"/>
  <c r="E13182" i="6"/>
  <c r="F13156" i="6"/>
  <c r="E13137" i="6"/>
  <c r="F13111" i="6"/>
  <c r="E13121" i="6"/>
  <c r="F13095" i="6"/>
  <c r="E13129" i="6"/>
  <c r="F13103" i="6"/>
  <c r="E13109" i="6"/>
  <c r="F13083" i="6"/>
  <c r="E13145" i="6"/>
  <c r="F13119" i="6"/>
  <c r="E13131" i="6"/>
  <c r="F13105" i="6"/>
  <c r="E13117" i="6"/>
  <c r="F13091" i="6"/>
  <c r="E13125" i="6"/>
  <c r="F13099" i="6"/>
  <c r="E13164" i="6"/>
  <c r="F13138" i="6"/>
  <c r="E13186" i="6"/>
  <c r="F13160" i="6"/>
  <c r="E13123" i="6"/>
  <c r="F13097" i="6"/>
  <c r="E13106" i="6"/>
  <c r="F13080" i="6"/>
  <c r="E13118" i="6"/>
  <c r="F13092" i="6"/>
  <c r="E13141" i="6"/>
  <c r="F13115" i="6"/>
  <c r="E13200" i="6"/>
  <c r="F13174" i="6"/>
  <c r="E13113" i="6"/>
  <c r="F13087" i="6"/>
  <c r="E13140" i="6"/>
  <c r="F13114" i="6"/>
  <c r="E13128" i="6"/>
  <c r="F13102" i="6"/>
  <c r="E13176" i="6"/>
  <c r="F13150" i="6"/>
  <c r="E13133" i="6"/>
  <c r="F13107" i="6"/>
  <c r="E13153" i="6"/>
  <c r="F13127" i="6"/>
  <c r="E13162" i="6"/>
  <c r="F13136" i="6"/>
  <c r="E13132" i="6" l="1"/>
  <c r="F13106" i="6"/>
  <c r="E13208" i="6"/>
  <c r="F13182" i="6"/>
  <c r="E13151" i="6"/>
  <c r="F13125" i="6"/>
  <c r="E13202" i="6"/>
  <c r="F13176" i="6"/>
  <c r="E13149" i="6"/>
  <c r="F13123" i="6"/>
  <c r="E13143" i="6"/>
  <c r="F13117" i="6"/>
  <c r="E13155" i="6"/>
  <c r="F13129" i="6"/>
  <c r="E13178" i="6"/>
  <c r="F13152" i="6"/>
  <c r="E13139" i="6"/>
  <c r="F13113" i="6"/>
  <c r="E13135" i="6"/>
  <c r="F13109" i="6"/>
  <c r="E13226" i="6"/>
  <c r="F13200" i="6"/>
  <c r="E13188" i="6"/>
  <c r="F13162" i="6"/>
  <c r="E13167" i="6"/>
  <c r="F13141" i="6"/>
  <c r="E13157" i="6"/>
  <c r="F13131" i="6"/>
  <c r="E13147" i="6"/>
  <c r="F13121" i="6"/>
  <c r="E13198" i="6"/>
  <c r="F13172" i="6"/>
  <c r="E13212" i="6"/>
  <c r="F13186" i="6"/>
  <c r="E13159" i="6"/>
  <c r="F13133" i="6"/>
  <c r="E13154" i="6"/>
  <c r="F13128" i="6"/>
  <c r="E13179" i="6"/>
  <c r="F13153" i="6"/>
  <c r="E13166" i="6"/>
  <c r="F13140" i="6"/>
  <c r="E13144" i="6"/>
  <c r="F13118" i="6"/>
  <c r="E13190" i="6"/>
  <c r="F13164" i="6"/>
  <c r="E13171" i="6"/>
  <c r="F13145" i="6"/>
  <c r="E13163" i="6"/>
  <c r="F13137" i="6"/>
  <c r="E13168" i="6"/>
  <c r="F13142" i="6"/>
  <c r="E13197" i="6" l="1"/>
  <c r="F13171" i="6"/>
  <c r="E13204" i="6"/>
  <c r="F13178" i="6"/>
  <c r="E13228" i="6"/>
  <c r="F13202" i="6"/>
  <c r="E13224" i="6"/>
  <c r="F13198" i="6"/>
  <c r="E13180" i="6"/>
  <c r="F13154" i="6"/>
  <c r="E13173" i="6"/>
  <c r="F13147" i="6"/>
  <c r="E13252" i="6"/>
  <c r="F13226" i="6"/>
  <c r="E13181" i="6"/>
  <c r="F13155" i="6"/>
  <c r="E13177" i="6"/>
  <c r="F13151" i="6"/>
  <c r="E13205" i="6"/>
  <c r="F13179" i="6"/>
  <c r="E13194" i="6"/>
  <c r="F13168" i="6"/>
  <c r="E13185" i="6"/>
  <c r="F13159" i="6"/>
  <c r="E13169" i="6"/>
  <c r="F13143" i="6"/>
  <c r="E13234" i="6"/>
  <c r="F13208" i="6"/>
  <c r="E13214" i="6"/>
  <c r="F13188" i="6"/>
  <c r="E13216" i="6"/>
  <c r="F13190" i="6"/>
  <c r="E13170" i="6"/>
  <c r="F13144" i="6"/>
  <c r="E13161" i="6"/>
  <c r="F13135" i="6"/>
  <c r="E13183" i="6"/>
  <c r="F13157" i="6"/>
  <c r="E13189" i="6"/>
  <c r="F13163" i="6"/>
  <c r="E13192" i="6"/>
  <c r="F13166" i="6"/>
  <c r="E13238" i="6"/>
  <c r="F13212" i="6"/>
  <c r="E13193" i="6"/>
  <c r="F13167" i="6"/>
  <c r="E13165" i="6"/>
  <c r="F13139" i="6"/>
  <c r="E13175" i="6"/>
  <c r="F13149" i="6"/>
  <c r="E13158" i="6"/>
  <c r="F13132" i="6"/>
  <c r="E13242" i="6" l="1"/>
  <c r="F13216" i="6"/>
  <c r="E13250" i="6"/>
  <c r="F13224" i="6"/>
  <c r="E13211" i="6"/>
  <c r="F13185" i="6"/>
  <c r="E13219" i="6"/>
  <c r="F13193" i="6"/>
  <c r="E13278" i="6"/>
  <c r="F13252" i="6"/>
  <c r="E13254" i="6"/>
  <c r="F13228" i="6"/>
  <c r="E13215" i="6"/>
  <c r="F13189" i="6"/>
  <c r="E13191" i="6"/>
  <c r="F13165" i="6"/>
  <c r="E13209" i="6"/>
  <c r="F13183" i="6"/>
  <c r="E13264" i="6"/>
  <c r="F13238" i="6"/>
  <c r="E13260" i="6"/>
  <c r="F13234" i="6"/>
  <c r="E13199" i="6"/>
  <c r="F13173" i="6"/>
  <c r="E13230" i="6"/>
  <c r="F13204" i="6"/>
  <c r="E13207" i="6"/>
  <c r="F13181" i="6"/>
  <c r="E13220" i="6"/>
  <c r="F13194" i="6"/>
  <c r="E13187" i="6"/>
  <c r="F13161" i="6"/>
  <c r="E13240" i="6"/>
  <c r="F13214" i="6"/>
  <c r="E13184" i="6"/>
  <c r="F13158" i="6"/>
  <c r="E13231" i="6"/>
  <c r="F13205" i="6"/>
  <c r="E13201" i="6"/>
  <c r="F13175" i="6"/>
  <c r="E13218" i="6"/>
  <c r="F13192" i="6"/>
  <c r="E13196" i="6"/>
  <c r="F13170" i="6"/>
  <c r="E13195" i="6"/>
  <c r="F13169" i="6"/>
  <c r="E13203" i="6"/>
  <c r="F13177" i="6"/>
  <c r="E13206" i="6"/>
  <c r="F13180" i="6"/>
  <c r="E13223" i="6"/>
  <c r="F13197" i="6"/>
  <c r="E13217" i="6" l="1"/>
  <c r="F13191" i="6"/>
  <c r="E13245" i="6"/>
  <c r="F13219" i="6"/>
  <c r="E13227" i="6"/>
  <c r="F13201" i="6"/>
  <c r="E13221" i="6"/>
  <c r="F13195" i="6"/>
  <c r="E13246" i="6"/>
  <c r="F13220" i="6"/>
  <c r="E13286" i="6"/>
  <c r="F13260" i="6"/>
  <c r="E13241" i="6"/>
  <c r="F13215" i="6"/>
  <c r="E13237" i="6"/>
  <c r="F13211" i="6"/>
  <c r="E13213" i="6"/>
  <c r="F13187" i="6"/>
  <c r="E13257" i="6"/>
  <c r="F13231" i="6"/>
  <c r="E13225" i="6"/>
  <c r="F13199" i="6"/>
  <c r="E13210" i="6"/>
  <c r="F13184" i="6"/>
  <c r="E13290" i="6"/>
  <c r="F13264" i="6"/>
  <c r="E13280" i="6"/>
  <c r="F13254" i="6"/>
  <c r="E13276" i="6"/>
  <c r="F13250" i="6"/>
  <c r="E13249" i="6"/>
  <c r="F13223" i="6"/>
  <c r="E13229" i="6"/>
  <c r="F13203" i="6"/>
  <c r="E13222" i="6"/>
  <c r="F13196" i="6"/>
  <c r="E13233" i="6"/>
  <c r="F13207" i="6"/>
  <c r="E13232" i="6"/>
  <c r="F13206" i="6"/>
  <c r="E13244" i="6"/>
  <c r="F13218" i="6"/>
  <c r="E13266" i="6"/>
  <c r="F13240" i="6"/>
  <c r="E13256" i="6"/>
  <c r="F13230" i="6"/>
  <c r="E13235" i="6"/>
  <c r="F13209" i="6"/>
  <c r="E13304" i="6"/>
  <c r="F13278" i="6"/>
  <c r="E13268" i="6"/>
  <c r="F13242" i="6"/>
  <c r="E13236" i="6" l="1"/>
  <c r="F13210" i="6"/>
  <c r="E13247" i="6"/>
  <c r="F13221" i="6"/>
  <c r="E13275" i="6"/>
  <c r="F13249" i="6"/>
  <c r="E13263" i="6"/>
  <c r="F13237" i="6"/>
  <c r="E13302" i="6"/>
  <c r="F13276" i="6"/>
  <c r="E13251" i="6"/>
  <c r="F13225" i="6"/>
  <c r="E13267" i="6"/>
  <c r="F13241" i="6"/>
  <c r="E13253" i="6"/>
  <c r="F13227" i="6"/>
  <c r="E13261" i="6"/>
  <c r="F13235" i="6"/>
  <c r="E13282" i="6"/>
  <c r="F13256" i="6"/>
  <c r="E13258" i="6"/>
  <c r="F13232" i="6"/>
  <c r="E13294" i="6"/>
  <c r="F13268" i="6"/>
  <c r="E13248" i="6"/>
  <c r="F13222" i="6"/>
  <c r="E13283" i="6"/>
  <c r="F13257" i="6"/>
  <c r="E13312" i="6"/>
  <c r="F13286" i="6"/>
  <c r="E13271" i="6"/>
  <c r="F13245" i="6"/>
  <c r="E13292" i="6"/>
  <c r="F13266" i="6"/>
  <c r="E13306" i="6"/>
  <c r="F13280" i="6"/>
  <c r="E13259" i="6"/>
  <c r="F13233" i="6"/>
  <c r="E13330" i="6"/>
  <c r="F13304" i="6"/>
  <c r="E13270" i="6"/>
  <c r="F13244" i="6"/>
  <c r="E13255" i="6"/>
  <c r="F13229" i="6"/>
  <c r="E13316" i="6"/>
  <c r="F13290" i="6"/>
  <c r="E13239" i="6"/>
  <c r="F13213" i="6"/>
  <c r="E13272" i="6"/>
  <c r="F13246" i="6"/>
  <c r="E13243" i="6"/>
  <c r="F13217" i="6"/>
  <c r="E13297" i="6" l="1"/>
  <c r="F13271" i="6"/>
  <c r="E13289" i="6"/>
  <c r="F13263" i="6"/>
  <c r="E13265" i="6"/>
  <c r="F13239" i="6"/>
  <c r="E13279" i="6"/>
  <c r="F13253" i="6"/>
  <c r="E13285" i="6"/>
  <c r="F13259" i="6"/>
  <c r="E13284" i="6"/>
  <c r="F13258" i="6"/>
  <c r="F13267" i="6"/>
  <c r="E13293" i="6"/>
  <c r="E13301" i="6"/>
  <c r="F13275" i="6"/>
  <c r="E13320" i="6"/>
  <c r="F13294" i="6"/>
  <c r="E13342" i="6"/>
  <c r="F13316" i="6"/>
  <c r="E13332" i="6"/>
  <c r="F13306" i="6"/>
  <c r="E13308" i="6"/>
  <c r="F13282" i="6"/>
  <c r="F13251" i="6"/>
  <c r="E13277" i="6"/>
  <c r="E13273" i="6"/>
  <c r="F13247" i="6"/>
  <c r="E13338" i="6"/>
  <c r="F13312" i="6"/>
  <c r="E13269" i="6"/>
  <c r="F13243" i="6"/>
  <c r="E13309" i="6"/>
  <c r="F13283" i="6"/>
  <c r="E13356" i="6"/>
  <c r="F13330" i="6"/>
  <c r="E13281" i="6"/>
  <c r="F13255" i="6"/>
  <c r="E13298" i="6"/>
  <c r="F13272" i="6"/>
  <c r="E13296" i="6"/>
  <c r="F13270" i="6"/>
  <c r="E13318" i="6"/>
  <c r="F13292" i="6"/>
  <c r="E13274" i="6"/>
  <c r="F13248" i="6"/>
  <c r="E13287" i="6"/>
  <c r="F13261" i="6"/>
  <c r="E13328" i="6"/>
  <c r="F13302" i="6"/>
  <c r="E13262" i="6"/>
  <c r="F13236" i="6"/>
  <c r="F13269" i="6" l="1"/>
  <c r="E13295" i="6"/>
  <c r="E13327" i="6"/>
  <c r="F13301" i="6"/>
  <c r="E13305" i="6"/>
  <c r="F13279" i="6"/>
  <c r="E13313" i="6"/>
  <c r="F13287" i="6"/>
  <c r="E13319" i="6"/>
  <c r="F13293" i="6"/>
  <c r="E13324" i="6"/>
  <c r="F13298" i="6"/>
  <c r="E13307" i="6"/>
  <c r="F13281" i="6"/>
  <c r="E13358" i="6"/>
  <c r="F13332" i="6"/>
  <c r="E13291" i="6"/>
  <c r="F13265" i="6"/>
  <c r="E13334" i="6"/>
  <c r="F13308" i="6"/>
  <c r="E13364" i="6"/>
  <c r="F13338" i="6"/>
  <c r="E13382" i="6"/>
  <c r="F13356" i="6"/>
  <c r="E13299" i="6"/>
  <c r="F13273" i="6"/>
  <c r="E13368" i="6"/>
  <c r="F13342" i="6"/>
  <c r="E13310" i="6"/>
  <c r="F13284" i="6"/>
  <c r="E13315" i="6"/>
  <c r="F13289" i="6"/>
  <c r="E13300" i="6"/>
  <c r="F13274" i="6"/>
  <c r="E13303" i="6"/>
  <c r="F13277" i="6"/>
  <c r="E13288" i="6"/>
  <c r="F13262" i="6"/>
  <c r="E13344" i="6"/>
  <c r="F13318" i="6"/>
  <c r="E13354" i="6"/>
  <c r="F13328" i="6"/>
  <c r="E13322" i="6"/>
  <c r="F13296" i="6"/>
  <c r="E13335" i="6"/>
  <c r="F13309" i="6"/>
  <c r="E13346" i="6"/>
  <c r="F13320" i="6"/>
  <c r="E13311" i="6"/>
  <c r="F13285" i="6"/>
  <c r="E13323" i="6"/>
  <c r="F13297" i="6"/>
  <c r="E13339" i="6" l="1"/>
  <c r="F13313" i="6"/>
  <c r="E13390" i="6"/>
  <c r="F13364" i="6"/>
  <c r="E13333" i="6"/>
  <c r="F13307" i="6"/>
  <c r="E13331" i="6"/>
  <c r="F13305" i="6"/>
  <c r="E13370" i="6"/>
  <c r="F13344" i="6"/>
  <c r="E13384" i="6"/>
  <c r="F13358" i="6"/>
  <c r="E13314" i="6"/>
  <c r="F13288" i="6"/>
  <c r="E13372" i="6"/>
  <c r="F13346" i="6"/>
  <c r="E13361" i="6"/>
  <c r="F13335" i="6"/>
  <c r="F13323" i="6"/>
  <c r="E13349" i="6"/>
  <c r="E13329" i="6"/>
  <c r="F13303" i="6"/>
  <c r="E13360" i="6"/>
  <c r="F13334" i="6"/>
  <c r="E13350" i="6"/>
  <c r="F13324" i="6"/>
  <c r="E13353" i="6"/>
  <c r="F13327" i="6"/>
  <c r="E13341" i="6"/>
  <c r="F13315" i="6"/>
  <c r="E13348" i="6"/>
  <c r="F13322" i="6"/>
  <c r="E13321" i="6"/>
  <c r="F13295" i="6"/>
  <c r="E13408" i="6"/>
  <c r="F13382" i="6"/>
  <c r="E13336" i="6"/>
  <c r="F13310" i="6"/>
  <c r="E13394" i="6"/>
  <c r="F13368" i="6"/>
  <c r="E13337" i="6"/>
  <c r="F13311" i="6"/>
  <c r="E13380" i="6"/>
  <c r="F13354" i="6"/>
  <c r="E13326" i="6"/>
  <c r="F13300" i="6"/>
  <c r="E13325" i="6"/>
  <c r="F13299" i="6"/>
  <c r="E13317" i="6"/>
  <c r="F13291" i="6"/>
  <c r="F13319" i="6"/>
  <c r="E13345" i="6"/>
  <c r="E13351" i="6" l="1"/>
  <c r="F13325" i="6"/>
  <c r="E13357" i="6"/>
  <c r="F13331" i="6"/>
  <c r="E13386" i="6"/>
  <c r="F13360" i="6"/>
  <c r="E13367" i="6"/>
  <c r="F13341" i="6"/>
  <c r="E13355" i="6"/>
  <c r="F13329" i="6"/>
  <c r="E13340" i="6"/>
  <c r="F13314" i="6"/>
  <c r="E13359" i="6"/>
  <c r="F13333" i="6"/>
  <c r="E13398" i="6"/>
  <c r="F13372" i="6"/>
  <c r="E13352" i="6"/>
  <c r="F13326" i="6"/>
  <c r="F13349" i="6"/>
  <c r="E13375" i="6"/>
  <c r="E13420" i="6"/>
  <c r="F13394" i="6"/>
  <c r="E13362" i="6"/>
  <c r="F13336" i="6"/>
  <c r="E13371" i="6"/>
  <c r="F13345" i="6"/>
  <c r="E13406" i="6"/>
  <c r="F13380" i="6"/>
  <c r="E13410" i="6"/>
  <c r="F13384" i="6"/>
  <c r="E13416" i="6"/>
  <c r="F13390" i="6"/>
  <c r="E13374" i="6"/>
  <c r="F13348" i="6"/>
  <c r="E13434" i="6"/>
  <c r="F13408" i="6"/>
  <c r="E13379" i="6"/>
  <c r="F13353" i="6"/>
  <c r="E13343" i="6"/>
  <c r="F13317" i="6"/>
  <c r="E13363" i="6"/>
  <c r="F13337" i="6"/>
  <c r="E13347" i="6"/>
  <c r="F13321" i="6"/>
  <c r="E13376" i="6"/>
  <c r="F13350" i="6"/>
  <c r="E13387" i="6"/>
  <c r="F13361" i="6"/>
  <c r="E13396" i="6"/>
  <c r="F13370" i="6"/>
  <c r="E13365" i="6"/>
  <c r="F13339" i="6"/>
  <c r="E13388" i="6" l="1"/>
  <c r="F13362" i="6"/>
  <c r="E13393" i="6"/>
  <c r="F13367" i="6"/>
  <c r="E13413" i="6"/>
  <c r="F13387" i="6"/>
  <c r="E13436" i="6"/>
  <c r="F13410" i="6"/>
  <c r="E13385" i="6"/>
  <c r="F13359" i="6"/>
  <c r="E13412" i="6"/>
  <c r="F13386" i="6"/>
  <c r="E13442" i="6"/>
  <c r="F13416" i="6"/>
  <c r="E13401" i="6"/>
  <c r="F13375" i="6"/>
  <c r="E13424" i="6"/>
  <c r="F13398" i="6"/>
  <c r="E13402" i="6"/>
  <c r="F13376" i="6"/>
  <c r="E13446" i="6"/>
  <c r="F13420" i="6"/>
  <c r="E13391" i="6"/>
  <c r="F13365" i="6"/>
  <c r="E13432" i="6"/>
  <c r="F13406" i="6"/>
  <c r="E13366" i="6"/>
  <c r="F13340" i="6"/>
  <c r="E13383" i="6"/>
  <c r="F13357" i="6"/>
  <c r="E13460" i="6"/>
  <c r="F13434" i="6"/>
  <c r="E13369" i="6"/>
  <c r="F13343" i="6"/>
  <c r="E13405" i="6"/>
  <c r="F13379" i="6"/>
  <c r="E13373" i="6"/>
  <c r="F13347" i="6"/>
  <c r="E13422" i="6"/>
  <c r="F13396" i="6"/>
  <c r="E13389" i="6"/>
  <c r="F13363" i="6"/>
  <c r="E13400" i="6"/>
  <c r="F13374" i="6"/>
  <c r="E13397" i="6"/>
  <c r="F13371" i="6"/>
  <c r="E13378" i="6"/>
  <c r="F13352" i="6"/>
  <c r="E13381" i="6"/>
  <c r="F13355" i="6"/>
  <c r="E13377" i="6"/>
  <c r="F13351" i="6"/>
  <c r="E13417" i="6" l="1"/>
  <c r="F13391" i="6"/>
  <c r="E13462" i="6"/>
  <c r="F13436" i="6"/>
  <c r="E13404" i="6"/>
  <c r="F13378" i="6"/>
  <c r="E13472" i="6"/>
  <c r="F13446" i="6"/>
  <c r="E13468" i="6"/>
  <c r="F13442" i="6"/>
  <c r="E13439" i="6"/>
  <c r="F13413" i="6"/>
  <c r="E13448" i="6"/>
  <c r="F13422" i="6"/>
  <c r="E13399" i="6"/>
  <c r="F13373" i="6"/>
  <c r="E13409" i="6"/>
  <c r="F13383" i="6"/>
  <c r="E13426" i="6"/>
  <c r="F13400" i="6"/>
  <c r="E13428" i="6"/>
  <c r="F13402" i="6"/>
  <c r="E13438" i="6"/>
  <c r="F13412" i="6"/>
  <c r="E13419" i="6"/>
  <c r="F13393" i="6"/>
  <c r="E13427" i="6"/>
  <c r="F13401" i="6"/>
  <c r="E13392" i="6"/>
  <c r="F13366" i="6"/>
  <c r="E13486" i="6"/>
  <c r="F13460" i="6"/>
  <c r="E13423" i="6"/>
  <c r="F13397" i="6"/>
  <c r="E13403" i="6"/>
  <c r="F13377" i="6"/>
  <c r="E13431" i="6"/>
  <c r="F13405" i="6"/>
  <c r="E13407" i="6"/>
  <c r="F13381" i="6"/>
  <c r="E13415" i="6"/>
  <c r="F13389" i="6"/>
  <c r="E13395" i="6"/>
  <c r="F13369" i="6"/>
  <c r="E13458" i="6"/>
  <c r="F13432" i="6"/>
  <c r="E13450" i="6"/>
  <c r="F13424" i="6"/>
  <c r="E13411" i="6"/>
  <c r="F13385" i="6"/>
  <c r="E13414" i="6"/>
  <c r="F13388" i="6"/>
  <c r="E13512" i="6" l="1"/>
  <c r="F13486" i="6"/>
  <c r="E13425" i="6"/>
  <c r="F13399" i="6"/>
  <c r="E13498" i="6"/>
  <c r="F13472" i="6"/>
  <c r="E13457" i="6"/>
  <c r="F13431" i="6"/>
  <c r="E13454" i="6"/>
  <c r="F13428" i="6"/>
  <c r="E13474" i="6"/>
  <c r="F13448" i="6"/>
  <c r="E13430" i="6"/>
  <c r="F13404" i="6"/>
  <c r="E13433" i="6"/>
  <c r="F13407" i="6"/>
  <c r="E13418" i="6"/>
  <c r="F13392" i="6"/>
  <c r="E13440" i="6"/>
  <c r="F13414" i="6"/>
  <c r="E13429" i="6"/>
  <c r="F13403" i="6"/>
  <c r="E13452" i="6"/>
  <c r="F13426" i="6"/>
  <c r="E13465" i="6"/>
  <c r="F13439" i="6"/>
  <c r="E13488" i="6"/>
  <c r="F13462" i="6"/>
  <c r="E13476" i="6"/>
  <c r="F13450" i="6"/>
  <c r="E13421" i="6"/>
  <c r="F13395" i="6"/>
  <c r="E13464" i="6"/>
  <c r="F13438" i="6"/>
  <c r="E13484" i="6"/>
  <c r="F13458" i="6"/>
  <c r="E13453" i="6"/>
  <c r="F13427" i="6"/>
  <c r="F13411" i="6"/>
  <c r="E13437" i="6"/>
  <c r="E13441" i="6"/>
  <c r="F13415" i="6"/>
  <c r="E13449" i="6"/>
  <c r="F13423" i="6"/>
  <c r="E13445" i="6"/>
  <c r="F13419" i="6"/>
  <c r="E13435" i="6"/>
  <c r="F13409" i="6"/>
  <c r="E13494" i="6"/>
  <c r="F13468" i="6"/>
  <c r="E13443" i="6"/>
  <c r="F13417" i="6"/>
  <c r="E13447" i="6" l="1"/>
  <c r="F13421" i="6"/>
  <c r="E13459" i="6"/>
  <c r="F13433" i="6"/>
  <c r="E13483" i="6"/>
  <c r="F13457" i="6"/>
  <c r="E13479" i="6"/>
  <c r="F13453" i="6"/>
  <c r="E13455" i="6"/>
  <c r="F13429" i="6"/>
  <c r="E13456" i="6"/>
  <c r="F13430" i="6"/>
  <c r="E13524" i="6"/>
  <c r="F13498" i="6"/>
  <c r="E13463" i="6"/>
  <c r="F13437" i="6"/>
  <c r="E13478" i="6"/>
  <c r="F13452" i="6"/>
  <c r="E13471" i="6"/>
  <c r="F13445" i="6"/>
  <c r="E13510" i="6"/>
  <c r="F13484" i="6"/>
  <c r="E13514" i="6"/>
  <c r="F13488" i="6"/>
  <c r="E13466" i="6"/>
  <c r="F13440" i="6"/>
  <c r="E13500" i="6"/>
  <c r="F13474" i="6"/>
  <c r="E13451" i="6"/>
  <c r="F13425" i="6"/>
  <c r="E13502" i="6"/>
  <c r="F13476" i="6"/>
  <c r="E13469" i="6"/>
  <c r="F13443" i="6"/>
  <c r="E13461" i="6"/>
  <c r="F13435" i="6"/>
  <c r="E13475" i="6"/>
  <c r="F13449" i="6"/>
  <c r="E13520" i="6"/>
  <c r="F13494" i="6"/>
  <c r="E13467" i="6"/>
  <c r="F13441" i="6"/>
  <c r="E13490" i="6"/>
  <c r="F13464" i="6"/>
  <c r="E13491" i="6"/>
  <c r="F13465" i="6"/>
  <c r="E13444" i="6"/>
  <c r="F13418" i="6"/>
  <c r="E13480" i="6"/>
  <c r="F13454" i="6"/>
  <c r="E13538" i="6"/>
  <c r="F13512" i="6"/>
  <c r="E13489" i="6" l="1"/>
  <c r="F13463" i="6"/>
  <c r="E13505" i="6"/>
  <c r="F13479" i="6"/>
  <c r="E13501" i="6"/>
  <c r="F13475" i="6"/>
  <c r="E13477" i="6"/>
  <c r="F13451" i="6"/>
  <c r="E13536" i="6"/>
  <c r="F13510" i="6"/>
  <c r="E13550" i="6"/>
  <c r="F13524" i="6"/>
  <c r="E13509" i="6"/>
  <c r="F13483" i="6"/>
  <c r="E13528" i="6"/>
  <c r="F13502" i="6"/>
  <c r="E13470" i="6"/>
  <c r="F13444" i="6"/>
  <c r="E13540" i="6"/>
  <c r="F13514" i="6"/>
  <c r="E13516" i="6"/>
  <c r="F13490" i="6"/>
  <c r="E13526" i="6"/>
  <c r="F13500" i="6"/>
  <c r="E13497" i="6"/>
  <c r="F13471" i="6"/>
  <c r="E13482" i="6"/>
  <c r="F13456" i="6"/>
  <c r="E13485" i="6"/>
  <c r="F13459" i="6"/>
  <c r="E13546" i="6"/>
  <c r="F13520" i="6"/>
  <c r="E13517" i="6"/>
  <c r="F13491" i="6"/>
  <c r="E13564" i="6"/>
  <c r="F13538" i="6"/>
  <c r="E13487" i="6"/>
  <c r="F13461" i="6"/>
  <c r="E13506" i="6"/>
  <c r="F13480" i="6"/>
  <c r="E13493" i="6"/>
  <c r="F13467" i="6"/>
  <c r="E13495" i="6"/>
  <c r="F13469" i="6"/>
  <c r="E13492" i="6"/>
  <c r="F13466" i="6"/>
  <c r="E13504" i="6"/>
  <c r="F13478" i="6"/>
  <c r="E13481" i="6"/>
  <c r="F13455" i="6"/>
  <c r="E13473" i="6"/>
  <c r="F13447" i="6"/>
  <c r="E13552" i="6" l="1"/>
  <c r="F13526" i="6"/>
  <c r="E13554" i="6"/>
  <c r="F13528" i="6"/>
  <c r="F13477" i="6"/>
  <c r="E13503" i="6"/>
  <c r="E13530" i="6"/>
  <c r="F13504" i="6"/>
  <c r="E13518" i="6"/>
  <c r="F13492" i="6"/>
  <c r="E13513" i="6"/>
  <c r="F13487" i="6"/>
  <c r="E13511" i="6"/>
  <c r="F13485" i="6"/>
  <c r="E13542" i="6"/>
  <c r="F13516" i="6"/>
  <c r="E13535" i="6"/>
  <c r="F13509" i="6"/>
  <c r="E13527" i="6"/>
  <c r="F13501" i="6"/>
  <c r="E13499" i="6"/>
  <c r="F13473" i="6"/>
  <c r="E13508" i="6"/>
  <c r="F13482" i="6"/>
  <c r="E13566" i="6"/>
  <c r="F13540" i="6"/>
  <c r="E13576" i="6"/>
  <c r="F13550" i="6"/>
  <c r="F13505" i="6"/>
  <c r="E13531" i="6"/>
  <c r="E13572" i="6"/>
  <c r="F13546" i="6"/>
  <c r="E13521" i="6"/>
  <c r="F13495" i="6"/>
  <c r="E13532" i="6"/>
  <c r="F13506" i="6"/>
  <c r="E13590" i="6"/>
  <c r="F13564" i="6"/>
  <c r="E13507" i="6"/>
  <c r="F13481" i="6"/>
  <c r="E13519" i="6"/>
  <c r="F13493" i="6"/>
  <c r="E13543" i="6"/>
  <c r="F13517" i="6"/>
  <c r="E13523" i="6"/>
  <c r="F13497" i="6"/>
  <c r="E13496" i="6"/>
  <c r="F13470" i="6"/>
  <c r="E13562" i="6"/>
  <c r="F13536" i="6"/>
  <c r="E13515" i="6"/>
  <c r="F13489" i="6"/>
  <c r="E13598" i="6" l="1"/>
  <c r="F13572" i="6"/>
  <c r="E13534" i="6"/>
  <c r="F13508" i="6"/>
  <c r="E13568" i="6"/>
  <c r="F13542" i="6"/>
  <c r="E13556" i="6"/>
  <c r="F13530" i="6"/>
  <c r="E13533" i="6"/>
  <c r="F13507" i="6"/>
  <c r="E13529" i="6"/>
  <c r="F13503" i="6"/>
  <c r="E13616" i="6"/>
  <c r="F13590" i="6"/>
  <c r="E13525" i="6"/>
  <c r="F13499" i="6"/>
  <c r="E13537" i="6"/>
  <c r="F13511" i="6"/>
  <c r="E13549" i="6"/>
  <c r="F13523" i="6"/>
  <c r="E13569" i="6"/>
  <c r="F13543" i="6"/>
  <c r="E13558" i="6"/>
  <c r="F13532" i="6"/>
  <c r="E13602" i="6"/>
  <c r="F13576" i="6"/>
  <c r="E13553" i="6"/>
  <c r="F13527" i="6"/>
  <c r="E13539" i="6"/>
  <c r="F13513" i="6"/>
  <c r="E13580" i="6"/>
  <c r="F13554" i="6"/>
  <c r="E13522" i="6"/>
  <c r="F13496" i="6"/>
  <c r="E13557" i="6"/>
  <c r="F13531" i="6"/>
  <c r="E13541" i="6"/>
  <c r="F13515" i="6"/>
  <c r="E13588" i="6"/>
  <c r="F13562" i="6"/>
  <c r="E13545" i="6"/>
  <c r="F13519" i="6"/>
  <c r="E13547" i="6"/>
  <c r="F13521" i="6"/>
  <c r="E13592" i="6"/>
  <c r="F13566" i="6"/>
  <c r="E13561" i="6"/>
  <c r="F13535" i="6"/>
  <c r="E13544" i="6"/>
  <c r="F13518" i="6"/>
  <c r="E13578" i="6"/>
  <c r="F13552" i="6"/>
  <c r="E13582" i="6" l="1"/>
  <c r="F13556" i="6"/>
  <c r="E13587" i="6"/>
  <c r="F13561" i="6"/>
  <c r="E13584" i="6"/>
  <c r="F13558" i="6"/>
  <c r="E13565" i="6"/>
  <c r="F13539" i="6"/>
  <c r="E13595" i="6"/>
  <c r="F13569" i="6"/>
  <c r="E13642" i="6"/>
  <c r="F13616" i="6"/>
  <c r="E13594" i="6"/>
  <c r="F13568" i="6"/>
  <c r="E13614" i="6"/>
  <c r="F13588" i="6"/>
  <c r="E13618" i="6"/>
  <c r="F13592" i="6"/>
  <c r="E13606" i="6"/>
  <c r="F13580" i="6"/>
  <c r="E13573" i="6"/>
  <c r="F13547" i="6"/>
  <c r="F13557" i="6"/>
  <c r="E13583" i="6"/>
  <c r="E13579" i="6"/>
  <c r="F13553" i="6"/>
  <c r="E13575" i="6"/>
  <c r="F13549" i="6"/>
  <c r="E13555" i="6"/>
  <c r="F13529" i="6"/>
  <c r="E13560" i="6"/>
  <c r="F13534" i="6"/>
  <c r="E13551" i="6"/>
  <c r="F13525" i="6"/>
  <c r="E13567" i="6"/>
  <c r="F13541" i="6"/>
  <c r="E13604" i="6"/>
  <c r="F13578" i="6"/>
  <c r="E13570" i="6"/>
  <c r="F13544" i="6"/>
  <c r="E13571" i="6"/>
  <c r="F13545" i="6"/>
  <c r="E13548" i="6"/>
  <c r="F13522" i="6"/>
  <c r="E13628" i="6"/>
  <c r="F13602" i="6"/>
  <c r="E13563" i="6"/>
  <c r="F13537" i="6"/>
  <c r="E13559" i="6"/>
  <c r="F13533" i="6"/>
  <c r="E13624" i="6"/>
  <c r="F13598" i="6"/>
  <c r="E13609" i="6" l="1"/>
  <c r="F13583" i="6"/>
  <c r="E13640" i="6"/>
  <c r="F13614" i="6"/>
  <c r="F13565" i="6"/>
  <c r="E13591" i="6"/>
  <c r="E13581" i="6"/>
  <c r="F13555" i="6"/>
  <c r="E13620" i="6"/>
  <c r="F13594" i="6"/>
  <c r="E13610" i="6"/>
  <c r="F13584" i="6"/>
  <c r="E13596" i="6"/>
  <c r="F13570" i="6"/>
  <c r="E13586" i="6"/>
  <c r="F13560" i="6"/>
  <c r="E13654" i="6"/>
  <c r="F13628" i="6"/>
  <c r="F13573" i="6"/>
  <c r="E13599" i="6"/>
  <c r="E13574" i="6"/>
  <c r="F13548" i="6"/>
  <c r="E13632" i="6"/>
  <c r="F13606" i="6"/>
  <c r="E13668" i="6"/>
  <c r="F13642" i="6"/>
  <c r="E13613" i="6"/>
  <c r="F13587" i="6"/>
  <c r="E13630" i="6"/>
  <c r="F13604" i="6"/>
  <c r="F13567" i="6"/>
  <c r="E13593" i="6"/>
  <c r="F13563" i="6"/>
  <c r="E13589" i="6"/>
  <c r="E13650" i="6"/>
  <c r="F13624" i="6"/>
  <c r="E13601" i="6"/>
  <c r="F13575" i="6"/>
  <c r="E13585" i="6"/>
  <c r="F13559" i="6"/>
  <c r="E13597" i="6"/>
  <c r="F13571" i="6"/>
  <c r="E13577" i="6"/>
  <c r="F13551" i="6"/>
  <c r="E13605" i="6"/>
  <c r="F13579" i="6"/>
  <c r="E13644" i="6"/>
  <c r="F13618" i="6"/>
  <c r="E13621" i="6"/>
  <c r="F13595" i="6"/>
  <c r="E13608" i="6"/>
  <c r="F13582" i="6"/>
  <c r="E13670" i="6" l="1"/>
  <c r="F13644" i="6"/>
  <c r="E13612" i="6"/>
  <c r="F13586" i="6"/>
  <c r="E13607" i="6"/>
  <c r="F13581" i="6"/>
  <c r="E13617" i="6"/>
  <c r="F13591" i="6"/>
  <c r="E13658" i="6"/>
  <c r="F13632" i="6"/>
  <c r="E13656" i="6"/>
  <c r="F13630" i="6"/>
  <c r="E13622" i="6"/>
  <c r="F13596" i="6"/>
  <c r="E13627" i="6"/>
  <c r="F13601" i="6"/>
  <c r="E13625" i="6"/>
  <c r="F13599" i="6"/>
  <c r="E13619" i="6"/>
  <c r="F13593" i="6"/>
  <c r="E13631" i="6"/>
  <c r="F13605" i="6"/>
  <c r="E13603" i="6"/>
  <c r="F13577" i="6"/>
  <c r="E13636" i="6"/>
  <c r="F13610" i="6"/>
  <c r="E13666" i="6"/>
  <c r="F13640" i="6"/>
  <c r="E13676" i="6"/>
  <c r="F13650" i="6"/>
  <c r="E13615" i="6"/>
  <c r="F13589" i="6"/>
  <c r="E13611" i="6"/>
  <c r="F13585" i="6"/>
  <c r="E13600" i="6"/>
  <c r="F13574" i="6"/>
  <c r="E13634" i="6"/>
  <c r="F13608" i="6"/>
  <c r="E13639" i="6"/>
  <c r="F13613" i="6"/>
  <c r="E13647" i="6"/>
  <c r="F13621" i="6"/>
  <c r="E13623" i="6"/>
  <c r="F13597" i="6"/>
  <c r="E13694" i="6"/>
  <c r="F13668" i="6"/>
  <c r="E13680" i="6"/>
  <c r="F13654" i="6"/>
  <c r="E13646" i="6"/>
  <c r="F13620" i="6"/>
  <c r="E13635" i="6"/>
  <c r="F13609" i="6"/>
  <c r="E13665" i="6" l="1"/>
  <c r="F13639" i="6"/>
  <c r="E13653" i="6"/>
  <c r="F13627" i="6"/>
  <c r="E13643" i="6"/>
  <c r="F13617" i="6"/>
  <c r="E13702" i="6"/>
  <c r="F13676" i="6"/>
  <c r="E13657" i="6"/>
  <c r="F13631" i="6"/>
  <c r="E13648" i="6"/>
  <c r="F13622" i="6"/>
  <c r="E13633" i="6"/>
  <c r="F13607" i="6"/>
  <c r="E13629" i="6"/>
  <c r="F13603" i="6"/>
  <c r="E13720" i="6"/>
  <c r="F13694" i="6"/>
  <c r="E13641" i="6"/>
  <c r="F13615" i="6"/>
  <c r="E13626" i="6"/>
  <c r="F13600" i="6"/>
  <c r="E13645" i="6"/>
  <c r="F13619" i="6"/>
  <c r="E13682" i="6"/>
  <c r="F13656" i="6"/>
  <c r="E13638" i="6"/>
  <c r="F13612" i="6"/>
  <c r="E13649" i="6"/>
  <c r="F13623" i="6"/>
  <c r="E13706" i="6"/>
  <c r="F13680" i="6"/>
  <c r="E13660" i="6"/>
  <c r="F13634" i="6"/>
  <c r="E13661" i="6"/>
  <c r="F13635" i="6"/>
  <c r="E13692" i="6"/>
  <c r="F13666" i="6"/>
  <c r="E13672" i="6"/>
  <c r="F13646" i="6"/>
  <c r="E13673" i="6"/>
  <c r="F13647" i="6"/>
  <c r="E13637" i="6"/>
  <c r="F13611" i="6"/>
  <c r="E13662" i="6"/>
  <c r="F13636" i="6"/>
  <c r="E13651" i="6"/>
  <c r="F13625" i="6"/>
  <c r="E13684" i="6"/>
  <c r="F13658" i="6"/>
  <c r="E13696" i="6"/>
  <c r="F13670" i="6"/>
  <c r="F13651" i="6" l="1"/>
  <c r="E13677" i="6"/>
  <c r="E13728" i="6"/>
  <c r="F13702" i="6"/>
  <c r="E13698" i="6"/>
  <c r="F13672" i="6"/>
  <c r="E13688" i="6"/>
  <c r="F13662" i="6"/>
  <c r="E13718" i="6"/>
  <c r="F13692" i="6"/>
  <c r="E13675" i="6"/>
  <c r="F13649" i="6"/>
  <c r="E13652" i="6"/>
  <c r="F13626" i="6"/>
  <c r="E13659" i="6"/>
  <c r="F13633" i="6"/>
  <c r="E13669" i="6"/>
  <c r="F13643" i="6"/>
  <c r="E13655" i="6"/>
  <c r="F13629" i="6"/>
  <c r="E13671" i="6"/>
  <c r="F13645" i="6"/>
  <c r="E13687" i="6"/>
  <c r="F13661" i="6"/>
  <c r="E13667" i="6"/>
  <c r="F13641" i="6"/>
  <c r="E13674" i="6"/>
  <c r="F13648" i="6"/>
  <c r="E13679" i="6"/>
  <c r="F13653" i="6"/>
  <c r="E13722" i="6"/>
  <c r="F13696" i="6"/>
  <c r="E13664" i="6"/>
  <c r="F13638" i="6"/>
  <c r="E13732" i="6"/>
  <c r="F13706" i="6"/>
  <c r="E13663" i="6"/>
  <c r="F13637" i="6"/>
  <c r="E13710" i="6"/>
  <c r="F13684" i="6"/>
  <c r="E13699" i="6"/>
  <c r="F13673" i="6"/>
  <c r="E13686" i="6"/>
  <c r="F13660" i="6"/>
  <c r="E13708" i="6"/>
  <c r="F13682" i="6"/>
  <c r="E13746" i="6"/>
  <c r="F13720" i="6"/>
  <c r="E13683" i="6"/>
  <c r="F13657" i="6"/>
  <c r="E13691" i="6"/>
  <c r="F13665" i="6"/>
  <c r="E13685" i="6" l="1"/>
  <c r="F13659" i="6"/>
  <c r="E13714" i="6"/>
  <c r="F13688" i="6"/>
  <c r="E13736" i="6"/>
  <c r="F13710" i="6"/>
  <c r="E13724" i="6"/>
  <c r="F13698" i="6"/>
  <c r="E13734" i="6"/>
  <c r="F13708" i="6"/>
  <c r="E13705" i="6"/>
  <c r="F13679" i="6"/>
  <c r="E13713" i="6"/>
  <c r="F13687" i="6"/>
  <c r="E13689" i="6"/>
  <c r="F13663" i="6"/>
  <c r="E13758" i="6"/>
  <c r="F13732" i="6"/>
  <c r="E13681" i="6"/>
  <c r="F13655" i="6"/>
  <c r="E13701" i="6"/>
  <c r="F13675" i="6"/>
  <c r="E13754" i="6"/>
  <c r="F13728" i="6"/>
  <c r="E13748" i="6"/>
  <c r="F13722" i="6"/>
  <c r="E13697" i="6"/>
  <c r="F13671" i="6"/>
  <c r="E13717" i="6"/>
  <c r="F13691" i="6"/>
  <c r="E13703" i="6"/>
  <c r="F13677" i="6"/>
  <c r="E13772" i="6"/>
  <c r="F13746" i="6"/>
  <c r="E13678" i="6"/>
  <c r="F13652" i="6"/>
  <c r="E13712" i="6"/>
  <c r="F13686" i="6"/>
  <c r="E13700" i="6"/>
  <c r="F13674" i="6"/>
  <c r="E13709" i="6"/>
  <c r="F13683" i="6"/>
  <c r="E13725" i="6"/>
  <c r="F13699" i="6"/>
  <c r="E13690" i="6"/>
  <c r="F13664" i="6"/>
  <c r="E13693" i="6"/>
  <c r="F13667" i="6"/>
  <c r="E13695" i="6"/>
  <c r="F13669" i="6"/>
  <c r="E13744" i="6"/>
  <c r="F13718" i="6"/>
  <c r="E13719" i="6" l="1"/>
  <c r="F13693" i="6"/>
  <c r="E13750" i="6"/>
  <c r="F13724" i="6"/>
  <c r="E13726" i="6"/>
  <c r="F13700" i="6"/>
  <c r="E13715" i="6"/>
  <c r="F13689" i="6"/>
  <c r="E13743" i="6"/>
  <c r="F13717" i="6"/>
  <c r="E13739" i="6"/>
  <c r="F13713" i="6"/>
  <c r="E13762" i="6"/>
  <c r="F13736" i="6"/>
  <c r="E13780" i="6"/>
  <c r="F13754" i="6"/>
  <c r="E13729" i="6"/>
  <c r="F13703" i="6"/>
  <c r="E13727" i="6"/>
  <c r="F13701" i="6"/>
  <c r="E13770" i="6"/>
  <c r="F13744" i="6"/>
  <c r="E13704" i="6"/>
  <c r="F13678" i="6"/>
  <c r="E13723" i="6"/>
  <c r="F13697" i="6"/>
  <c r="E13707" i="6"/>
  <c r="F13681" i="6"/>
  <c r="E13731" i="6"/>
  <c r="F13705" i="6"/>
  <c r="E13740" i="6"/>
  <c r="F13714" i="6"/>
  <c r="E13738" i="6"/>
  <c r="F13712" i="6"/>
  <c r="E13716" i="6"/>
  <c r="F13690" i="6"/>
  <c r="F13725" i="6"/>
  <c r="E13751" i="6"/>
  <c r="E13721" i="6"/>
  <c r="F13695" i="6"/>
  <c r="E13735" i="6"/>
  <c r="F13709" i="6"/>
  <c r="E13798" i="6"/>
  <c r="F13772" i="6"/>
  <c r="E13774" i="6"/>
  <c r="F13748" i="6"/>
  <c r="E13784" i="6"/>
  <c r="F13758" i="6"/>
  <c r="E13760" i="6"/>
  <c r="F13734" i="6"/>
  <c r="E13711" i="6"/>
  <c r="F13685" i="6"/>
  <c r="E13806" i="6" l="1"/>
  <c r="F13780" i="6"/>
  <c r="E13741" i="6"/>
  <c r="F13715" i="6"/>
  <c r="E13810" i="6"/>
  <c r="F13784" i="6"/>
  <c r="E13777" i="6"/>
  <c r="F13751" i="6"/>
  <c r="E13757" i="6"/>
  <c r="F13731" i="6"/>
  <c r="E13796" i="6"/>
  <c r="F13770" i="6"/>
  <c r="E13788" i="6"/>
  <c r="F13762" i="6"/>
  <c r="E13752" i="6"/>
  <c r="F13726" i="6"/>
  <c r="E13766" i="6"/>
  <c r="F13740" i="6"/>
  <c r="E13800" i="6"/>
  <c r="F13774" i="6"/>
  <c r="E13730" i="6"/>
  <c r="F13704" i="6"/>
  <c r="E13824" i="6"/>
  <c r="F13798" i="6"/>
  <c r="E13742" i="6"/>
  <c r="F13716" i="6"/>
  <c r="E13733" i="6"/>
  <c r="F13707" i="6"/>
  <c r="E13753" i="6"/>
  <c r="F13727" i="6"/>
  <c r="E13765" i="6"/>
  <c r="F13739" i="6"/>
  <c r="E13776" i="6"/>
  <c r="F13750" i="6"/>
  <c r="E13747" i="6"/>
  <c r="F13721" i="6"/>
  <c r="E13737" i="6"/>
  <c r="F13711" i="6"/>
  <c r="E13786" i="6"/>
  <c r="F13760" i="6"/>
  <c r="E13761" i="6"/>
  <c r="F13735" i="6"/>
  <c r="E13764" i="6"/>
  <c r="F13738" i="6"/>
  <c r="E13749" i="6"/>
  <c r="F13723" i="6"/>
  <c r="E13755" i="6"/>
  <c r="F13729" i="6"/>
  <c r="E13769" i="6"/>
  <c r="F13743" i="6"/>
  <c r="E13745" i="6"/>
  <c r="F13719" i="6"/>
  <c r="E13812" i="6" l="1"/>
  <c r="F13786" i="6"/>
  <c r="E13778" i="6"/>
  <c r="F13752" i="6"/>
  <c r="E13803" i="6"/>
  <c r="F13777" i="6"/>
  <c r="E13791" i="6"/>
  <c r="F13765" i="6"/>
  <c r="E13779" i="6"/>
  <c r="F13753" i="6"/>
  <c r="E13814" i="6"/>
  <c r="F13788" i="6"/>
  <c r="E13836" i="6"/>
  <c r="F13810" i="6"/>
  <c r="E13850" i="6"/>
  <c r="F13824" i="6"/>
  <c r="E13775" i="6"/>
  <c r="F13749" i="6"/>
  <c r="E13781" i="6"/>
  <c r="F13755" i="6"/>
  <c r="E13773" i="6"/>
  <c r="F13747" i="6"/>
  <c r="E13759" i="6"/>
  <c r="F13733" i="6"/>
  <c r="E13826" i="6"/>
  <c r="F13800" i="6"/>
  <c r="E13822" i="6"/>
  <c r="F13796" i="6"/>
  <c r="E13767" i="6"/>
  <c r="F13741" i="6"/>
  <c r="E13756" i="6"/>
  <c r="F13730" i="6"/>
  <c r="E13771" i="6"/>
  <c r="F13745" i="6"/>
  <c r="E13763" i="6"/>
  <c r="F13737" i="6"/>
  <c r="E13790" i="6"/>
  <c r="F13764" i="6"/>
  <c r="E13795" i="6"/>
  <c r="F13769" i="6"/>
  <c r="F13761" i="6"/>
  <c r="E13787" i="6"/>
  <c r="E13802" i="6"/>
  <c r="F13776" i="6"/>
  <c r="E13768" i="6"/>
  <c r="F13742" i="6"/>
  <c r="E13792" i="6"/>
  <c r="F13766" i="6"/>
  <c r="E13783" i="6"/>
  <c r="F13757" i="6"/>
  <c r="E13832" i="6"/>
  <c r="F13806" i="6"/>
  <c r="E13876" i="6" l="1"/>
  <c r="F13850" i="6"/>
  <c r="E13817" i="6"/>
  <c r="F13791" i="6"/>
  <c r="E13818" i="6"/>
  <c r="F13792" i="6"/>
  <c r="E13782" i="6"/>
  <c r="F13756" i="6"/>
  <c r="E13793" i="6"/>
  <c r="F13767" i="6"/>
  <c r="E13799" i="6"/>
  <c r="F13773" i="6"/>
  <c r="E13862" i="6"/>
  <c r="F13836" i="6"/>
  <c r="E13829" i="6"/>
  <c r="F13803" i="6"/>
  <c r="E13816" i="6"/>
  <c r="F13790" i="6"/>
  <c r="E13821" i="6"/>
  <c r="F13795" i="6"/>
  <c r="E13789" i="6"/>
  <c r="F13763" i="6"/>
  <c r="E13840" i="6"/>
  <c r="F13814" i="6"/>
  <c r="E13804" i="6"/>
  <c r="F13778" i="6"/>
  <c r="E13828" i="6"/>
  <c r="F13802" i="6"/>
  <c r="E13807" i="6"/>
  <c r="F13781" i="6"/>
  <c r="E13785" i="6"/>
  <c r="F13759" i="6"/>
  <c r="E13794" i="6"/>
  <c r="F13768" i="6"/>
  <c r="E13858" i="6"/>
  <c r="F13832" i="6"/>
  <c r="E13848" i="6"/>
  <c r="F13822" i="6"/>
  <c r="E13813" i="6"/>
  <c r="F13787" i="6"/>
  <c r="E13809" i="6"/>
  <c r="F13783" i="6"/>
  <c r="E13797" i="6"/>
  <c r="F13771" i="6"/>
  <c r="E13852" i="6"/>
  <c r="F13826" i="6"/>
  <c r="E13801" i="6"/>
  <c r="F13775" i="6"/>
  <c r="E13805" i="6"/>
  <c r="F13779" i="6"/>
  <c r="E13838" i="6"/>
  <c r="F13812" i="6"/>
  <c r="E13839" i="6" l="1"/>
  <c r="F13813" i="6"/>
  <c r="E13855" i="6"/>
  <c r="F13829" i="6"/>
  <c r="E13808" i="6"/>
  <c r="F13782" i="6"/>
  <c r="E13811" i="6"/>
  <c r="F13785" i="6"/>
  <c r="E13874" i="6"/>
  <c r="F13848" i="6"/>
  <c r="E13815" i="6"/>
  <c r="F13789" i="6"/>
  <c r="E13888" i="6"/>
  <c r="F13862" i="6"/>
  <c r="E13844" i="6"/>
  <c r="F13818" i="6"/>
  <c r="E13833" i="6"/>
  <c r="F13807" i="6"/>
  <c r="E13866" i="6"/>
  <c r="F13840" i="6"/>
  <c r="E13878" i="6"/>
  <c r="F13852" i="6"/>
  <c r="E13864" i="6"/>
  <c r="F13838" i="6"/>
  <c r="E13854" i="6"/>
  <c r="F13828" i="6"/>
  <c r="E13847" i="6"/>
  <c r="F13821" i="6"/>
  <c r="E13825" i="6"/>
  <c r="F13799" i="6"/>
  <c r="E13843" i="6"/>
  <c r="F13817" i="6"/>
  <c r="E13827" i="6"/>
  <c r="F13801" i="6"/>
  <c r="E13823" i="6"/>
  <c r="F13797" i="6"/>
  <c r="E13884" i="6"/>
  <c r="F13858" i="6"/>
  <c r="E13831" i="6"/>
  <c r="F13805" i="6"/>
  <c r="E13835" i="6"/>
  <c r="F13809" i="6"/>
  <c r="E13820" i="6"/>
  <c r="F13794" i="6"/>
  <c r="E13830" i="6"/>
  <c r="F13804" i="6"/>
  <c r="E13842" i="6"/>
  <c r="F13816" i="6"/>
  <c r="E13819" i="6"/>
  <c r="F13793" i="6"/>
  <c r="E13902" i="6"/>
  <c r="F13876" i="6"/>
  <c r="E13857" i="6" l="1"/>
  <c r="F13831" i="6"/>
  <c r="E13890" i="6"/>
  <c r="F13864" i="6"/>
  <c r="E13870" i="6"/>
  <c r="F13844" i="6"/>
  <c r="E13837" i="6"/>
  <c r="F13811" i="6"/>
  <c r="E13868" i="6"/>
  <c r="F13842" i="6"/>
  <c r="E13856" i="6"/>
  <c r="F13830" i="6"/>
  <c r="E13910" i="6"/>
  <c r="F13884" i="6"/>
  <c r="E13851" i="6"/>
  <c r="F13825" i="6"/>
  <c r="E13904" i="6"/>
  <c r="F13878" i="6"/>
  <c r="E13914" i="6"/>
  <c r="F13888" i="6"/>
  <c r="E13834" i="6"/>
  <c r="F13808" i="6"/>
  <c r="E13869" i="6"/>
  <c r="F13843" i="6"/>
  <c r="E13928" i="6"/>
  <c r="F13902" i="6"/>
  <c r="E13849" i="6"/>
  <c r="F13823" i="6"/>
  <c r="E13841" i="6"/>
  <c r="F13815" i="6"/>
  <c r="E13846" i="6"/>
  <c r="F13820" i="6"/>
  <c r="E13873" i="6"/>
  <c r="F13847" i="6"/>
  <c r="E13892" i="6"/>
  <c r="F13866" i="6"/>
  <c r="E13881" i="6"/>
  <c r="F13855" i="6"/>
  <c r="E13845" i="6"/>
  <c r="F13819" i="6"/>
  <c r="E13861" i="6"/>
  <c r="F13835" i="6"/>
  <c r="E13853" i="6"/>
  <c r="F13827" i="6"/>
  <c r="E13880" i="6"/>
  <c r="F13854" i="6"/>
  <c r="E13859" i="6"/>
  <c r="F13833" i="6"/>
  <c r="E13900" i="6"/>
  <c r="F13874" i="6"/>
  <c r="E13865" i="6"/>
  <c r="F13839" i="6"/>
  <c r="E13926" i="6" l="1"/>
  <c r="F13900" i="6"/>
  <c r="E13887" i="6"/>
  <c r="F13861" i="6"/>
  <c r="E13885" i="6"/>
  <c r="F13859" i="6"/>
  <c r="E13895" i="6"/>
  <c r="F13869" i="6"/>
  <c r="E13906" i="6"/>
  <c r="F13880" i="6"/>
  <c r="E13907" i="6"/>
  <c r="F13881" i="6"/>
  <c r="E13867" i="6"/>
  <c r="F13841" i="6"/>
  <c r="E13860" i="6"/>
  <c r="F13834" i="6"/>
  <c r="E13936" i="6"/>
  <c r="F13910" i="6"/>
  <c r="E13896" i="6"/>
  <c r="F13870" i="6"/>
  <c r="E13871" i="6"/>
  <c r="F13845" i="6"/>
  <c r="F13837" i="6"/>
  <c r="E13863" i="6"/>
  <c r="E13879" i="6"/>
  <c r="F13853" i="6"/>
  <c r="E13918" i="6"/>
  <c r="F13892" i="6"/>
  <c r="E13875" i="6"/>
  <c r="F13849" i="6"/>
  <c r="E13940" i="6"/>
  <c r="F13914" i="6"/>
  <c r="E13882" i="6"/>
  <c r="F13856" i="6"/>
  <c r="E13916" i="6"/>
  <c r="F13890" i="6"/>
  <c r="E13872" i="6"/>
  <c r="F13846" i="6"/>
  <c r="E13877" i="6"/>
  <c r="F13851" i="6"/>
  <c r="E13891" i="6"/>
  <c r="F13865" i="6"/>
  <c r="E13899" i="6"/>
  <c r="F13873" i="6"/>
  <c r="E13954" i="6"/>
  <c r="F13928" i="6"/>
  <c r="E13930" i="6"/>
  <c r="F13904" i="6"/>
  <c r="E13894" i="6"/>
  <c r="F13868" i="6"/>
  <c r="E13883" i="6"/>
  <c r="F13857" i="6"/>
  <c r="E13889" i="6" l="1"/>
  <c r="F13863" i="6"/>
  <c r="E13903" i="6"/>
  <c r="F13877" i="6"/>
  <c r="E13921" i="6"/>
  <c r="F13895" i="6"/>
  <c r="E13898" i="6"/>
  <c r="F13872" i="6"/>
  <c r="E13901" i="6"/>
  <c r="F13875" i="6"/>
  <c r="E13897" i="6"/>
  <c r="F13871" i="6"/>
  <c r="E13893" i="6"/>
  <c r="F13867" i="6"/>
  <c r="E13911" i="6"/>
  <c r="F13885" i="6"/>
  <c r="E13980" i="6"/>
  <c r="F13954" i="6"/>
  <c r="E13886" i="6"/>
  <c r="F13860" i="6"/>
  <c r="E13925" i="6"/>
  <c r="F13899" i="6"/>
  <c r="E13942" i="6"/>
  <c r="F13916" i="6"/>
  <c r="E13944" i="6"/>
  <c r="F13918" i="6"/>
  <c r="E13922" i="6"/>
  <c r="F13896" i="6"/>
  <c r="E13933" i="6"/>
  <c r="F13907" i="6"/>
  <c r="E13913" i="6"/>
  <c r="F13887" i="6"/>
  <c r="E13966" i="6"/>
  <c r="F13940" i="6"/>
  <c r="E13956" i="6"/>
  <c r="F13930" i="6"/>
  <c r="E13909" i="6"/>
  <c r="F13883" i="6"/>
  <c r="E13920" i="6"/>
  <c r="F13894" i="6"/>
  <c r="E13917" i="6"/>
  <c r="F13891" i="6"/>
  <c r="E13908" i="6"/>
  <c r="F13882" i="6"/>
  <c r="E13905" i="6"/>
  <c r="F13879" i="6"/>
  <c r="E13962" i="6"/>
  <c r="F13936" i="6"/>
  <c r="E13932" i="6"/>
  <c r="F13906" i="6"/>
  <c r="E13952" i="6"/>
  <c r="F13926" i="6"/>
  <c r="E13988" i="6" l="1"/>
  <c r="F13962" i="6"/>
  <c r="E13946" i="6"/>
  <c r="F13920" i="6"/>
  <c r="E13939" i="6"/>
  <c r="F13913" i="6"/>
  <c r="E13968" i="6"/>
  <c r="F13942" i="6"/>
  <c r="E13937" i="6"/>
  <c r="F13911" i="6"/>
  <c r="E13924" i="6"/>
  <c r="F13898" i="6"/>
  <c r="E13958" i="6"/>
  <c r="F13932" i="6"/>
  <c r="E13931" i="6"/>
  <c r="F13905" i="6"/>
  <c r="E13935" i="6"/>
  <c r="F13909" i="6"/>
  <c r="E13959" i="6"/>
  <c r="F13933" i="6"/>
  <c r="E13951" i="6"/>
  <c r="F13925" i="6"/>
  <c r="F13893" i="6"/>
  <c r="E13919" i="6"/>
  <c r="E13947" i="6"/>
  <c r="F13921" i="6"/>
  <c r="E13943" i="6"/>
  <c r="F13917" i="6"/>
  <c r="E13978" i="6"/>
  <c r="F13952" i="6"/>
  <c r="E13934" i="6"/>
  <c r="F13908" i="6"/>
  <c r="E13982" i="6"/>
  <c r="F13956" i="6"/>
  <c r="E13948" i="6"/>
  <c r="F13922" i="6"/>
  <c r="E13912" i="6"/>
  <c r="F13886" i="6"/>
  <c r="E13923" i="6"/>
  <c r="F13897" i="6"/>
  <c r="E13929" i="6"/>
  <c r="F13903" i="6"/>
  <c r="E13992" i="6"/>
  <c r="F13966" i="6"/>
  <c r="E13970" i="6"/>
  <c r="F13944" i="6"/>
  <c r="E14006" i="6"/>
  <c r="F13980" i="6"/>
  <c r="E13927" i="6"/>
  <c r="F13901" i="6"/>
  <c r="E13915" i="6"/>
  <c r="F13889" i="6"/>
  <c r="E13955" i="6" l="1"/>
  <c r="F13929" i="6"/>
  <c r="E13973" i="6"/>
  <c r="F13947" i="6"/>
  <c r="E13945" i="6"/>
  <c r="F13919" i="6"/>
  <c r="E13960" i="6"/>
  <c r="F13934" i="6"/>
  <c r="E13953" i="6"/>
  <c r="F13927" i="6"/>
  <c r="E14032" i="6"/>
  <c r="F14006" i="6"/>
  <c r="E13957" i="6"/>
  <c r="F13931" i="6"/>
  <c r="E13996" i="6"/>
  <c r="F13970" i="6"/>
  <c r="E13938" i="6"/>
  <c r="F13912" i="6"/>
  <c r="E14004" i="6"/>
  <c r="F13978" i="6"/>
  <c r="E13977" i="6"/>
  <c r="F13951" i="6"/>
  <c r="E13984" i="6"/>
  <c r="F13958" i="6"/>
  <c r="E13965" i="6"/>
  <c r="F13939" i="6"/>
  <c r="E13949" i="6"/>
  <c r="F13923" i="6"/>
  <c r="E13994" i="6"/>
  <c r="F13968" i="6"/>
  <c r="E14008" i="6"/>
  <c r="F13982" i="6"/>
  <c r="E14018" i="6"/>
  <c r="F13992" i="6"/>
  <c r="E13974" i="6"/>
  <c r="F13948" i="6"/>
  <c r="E13969" i="6"/>
  <c r="F13943" i="6"/>
  <c r="E13985" i="6"/>
  <c r="F13959" i="6"/>
  <c r="E13950" i="6"/>
  <c r="F13924" i="6"/>
  <c r="E13972" i="6"/>
  <c r="F13946" i="6"/>
  <c r="E13941" i="6"/>
  <c r="F13915" i="6"/>
  <c r="E13961" i="6"/>
  <c r="F13935" i="6"/>
  <c r="E13963" i="6"/>
  <c r="F13937" i="6"/>
  <c r="E14014" i="6"/>
  <c r="F13988" i="6"/>
  <c r="E14010" i="6" l="1"/>
  <c r="F13984" i="6"/>
  <c r="E14003" i="6"/>
  <c r="F13977" i="6"/>
  <c r="E13983" i="6"/>
  <c r="F13957" i="6"/>
  <c r="E13971" i="6"/>
  <c r="F13945" i="6"/>
  <c r="E14034" i="6"/>
  <c r="F14008" i="6"/>
  <c r="E13995" i="6"/>
  <c r="F13969" i="6"/>
  <c r="E13987" i="6"/>
  <c r="F13961" i="6"/>
  <c r="E14022" i="6"/>
  <c r="F13996" i="6"/>
  <c r="E13975" i="6"/>
  <c r="F13949" i="6"/>
  <c r="E14030" i="6"/>
  <c r="F14004" i="6"/>
  <c r="E14058" i="6"/>
  <c r="F14032" i="6"/>
  <c r="F13973" i="6"/>
  <c r="E13999" i="6"/>
  <c r="E14011" i="6"/>
  <c r="F13985" i="6"/>
  <c r="E13967" i="6"/>
  <c r="F13941" i="6"/>
  <c r="E13998" i="6"/>
  <c r="F13972" i="6"/>
  <c r="E13986" i="6"/>
  <c r="F13960" i="6"/>
  <c r="E14020" i="6"/>
  <c r="F13994" i="6"/>
  <c r="E14040" i="6"/>
  <c r="F14014" i="6"/>
  <c r="E14000" i="6"/>
  <c r="F13974" i="6"/>
  <c r="E13989" i="6"/>
  <c r="F13963" i="6"/>
  <c r="E13976" i="6"/>
  <c r="F13950" i="6"/>
  <c r="E14044" i="6"/>
  <c r="F14018" i="6"/>
  <c r="E13991" i="6"/>
  <c r="F13965" i="6"/>
  <c r="E13964" i="6"/>
  <c r="F13938" i="6"/>
  <c r="E13979" i="6"/>
  <c r="F13953" i="6"/>
  <c r="E13981" i="6"/>
  <c r="F13955" i="6"/>
  <c r="E14025" i="6" l="1"/>
  <c r="F13999" i="6"/>
  <c r="E14012" i="6"/>
  <c r="F13986" i="6"/>
  <c r="E13997" i="6"/>
  <c r="F13971" i="6"/>
  <c r="E14026" i="6"/>
  <c r="F14000" i="6"/>
  <c r="E14084" i="6"/>
  <c r="F14058" i="6"/>
  <c r="E14013" i="6"/>
  <c r="F13987" i="6"/>
  <c r="E14009" i="6"/>
  <c r="F13983" i="6"/>
  <c r="E14015" i="6"/>
  <c r="F13989" i="6"/>
  <c r="E13990" i="6"/>
  <c r="F13964" i="6"/>
  <c r="E14024" i="6"/>
  <c r="F13998" i="6"/>
  <c r="E14007" i="6"/>
  <c r="F13981" i="6"/>
  <c r="E13993" i="6"/>
  <c r="F13967" i="6"/>
  <c r="E14056" i="6"/>
  <c r="F14030" i="6"/>
  <c r="E14021" i="6"/>
  <c r="F13995" i="6"/>
  <c r="E14029" i="6"/>
  <c r="F14003" i="6"/>
  <c r="E14048" i="6"/>
  <c r="F14022" i="6"/>
  <c r="E14066" i="6"/>
  <c r="F14040" i="6"/>
  <c r="E14017" i="6"/>
  <c r="F13991" i="6"/>
  <c r="E14070" i="6"/>
  <c r="F14044" i="6"/>
  <c r="E14005" i="6"/>
  <c r="F13979" i="6"/>
  <c r="E14002" i="6"/>
  <c r="F13976" i="6"/>
  <c r="F14020" i="6"/>
  <c r="E14046" i="6"/>
  <c r="E14037" i="6"/>
  <c r="F14011" i="6"/>
  <c r="E14001" i="6"/>
  <c r="F13975" i="6"/>
  <c r="E14060" i="6"/>
  <c r="F14034" i="6"/>
  <c r="E14036" i="6"/>
  <c r="F14010" i="6"/>
  <c r="E14031" i="6" l="1"/>
  <c r="F14005" i="6"/>
  <c r="E14027" i="6"/>
  <c r="F14001" i="6"/>
  <c r="E14055" i="6"/>
  <c r="F14029" i="6"/>
  <c r="E14033" i="6"/>
  <c r="F14007" i="6"/>
  <c r="E14035" i="6"/>
  <c r="F14009" i="6"/>
  <c r="E14023" i="6"/>
  <c r="F13997" i="6"/>
  <c r="E14052" i="6"/>
  <c r="F14026" i="6"/>
  <c r="E14063" i="6"/>
  <c r="F14037" i="6"/>
  <c r="E14041" i="6"/>
  <c r="F14015" i="6"/>
  <c r="E14096" i="6"/>
  <c r="F14070" i="6"/>
  <c r="E14043" i="6"/>
  <c r="F14017" i="6"/>
  <c r="E14050" i="6"/>
  <c r="F14024" i="6"/>
  <c r="E14039" i="6"/>
  <c r="F14013" i="6"/>
  <c r="E14038" i="6"/>
  <c r="F14012" i="6"/>
  <c r="E14019" i="6"/>
  <c r="F13993" i="6"/>
  <c r="E14074" i="6"/>
  <c r="F14048" i="6"/>
  <c r="E14072" i="6"/>
  <c r="F14046" i="6"/>
  <c r="E14062" i="6"/>
  <c r="F14036" i="6"/>
  <c r="E14047" i="6"/>
  <c r="F14021" i="6"/>
  <c r="F14060" i="6"/>
  <c r="E14086" i="6"/>
  <c r="E14028" i="6"/>
  <c r="F14002" i="6"/>
  <c r="E14092" i="6"/>
  <c r="F14066" i="6"/>
  <c r="E14082" i="6"/>
  <c r="F14056" i="6"/>
  <c r="E14016" i="6"/>
  <c r="F13990" i="6"/>
  <c r="E14110" i="6"/>
  <c r="F14084" i="6"/>
  <c r="E14051" i="6"/>
  <c r="F14025" i="6"/>
  <c r="E14112" i="6" l="1"/>
  <c r="F14086" i="6"/>
  <c r="E14100" i="6"/>
  <c r="F14074" i="6"/>
  <c r="F14082" i="6"/>
  <c r="E14108" i="6"/>
  <c r="E14073" i="6"/>
  <c r="F14047" i="6"/>
  <c r="E14045" i="6"/>
  <c r="F14019" i="6"/>
  <c r="E14069" i="6"/>
  <c r="F14043" i="6"/>
  <c r="E14078" i="6"/>
  <c r="F14052" i="6"/>
  <c r="E14081" i="6"/>
  <c r="F14055" i="6"/>
  <c r="E14089" i="6"/>
  <c r="F14063" i="6"/>
  <c r="E14076" i="6"/>
  <c r="F14050" i="6"/>
  <c r="E14064" i="6"/>
  <c r="F14038" i="6"/>
  <c r="E14122" i="6"/>
  <c r="F14096" i="6"/>
  <c r="E14049" i="6"/>
  <c r="F14023" i="6"/>
  <c r="E14053" i="6"/>
  <c r="F14027" i="6"/>
  <c r="E14059" i="6"/>
  <c r="F14033" i="6"/>
  <c r="E14077" i="6"/>
  <c r="F14051" i="6"/>
  <c r="E14088" i="6"/>
  <c r="F14062" i="6"/>
  <c r="E14042" i="6"/>
  <c r="F14016" i="6"/>
  <c r="E14118" i="6"/>
  <c r="F14092" i="6"/>
  <c r="F14110" i="6"/>
  <c r="E14136" i="6"/>
  <c r="E14054" i="6"/>
  <c r="F14028" i="6"/>
  <c r="E14098" i="6"/>
  <c r="F14072" i="6"/>
  <c r="E14065" i="6"/>
  <c r="F14039" i="6"/>
  <c r="E14067" i="6"/>
  <c r="F14041" i="6"/>
  <c r="E14061" i="6"/>
  <c r="F14035" i="6"/>
  <c r="E14057" i="6"/>
  <c r="F14031" i="6"/>
  <c r="E14162" i="6" l="1"/>
  <c r="F14136" i="6"/>
  <c r="E14093" i="6"/>
  <c r="F14067" i="6"/>
  <c r="E14134" i="6"/>
  <c r="F14108" i="6"/>
  <c r="F14122" i="6"/>
  <c r="E14148" i="6"/>
  <c r="F14065" i="6"/>
  <c r="E14091" i="6"/>
  <c r="E14090" i="6"/>
  <c r="F14064" i="6"/>
  <c r="E14104" i="6"/>
  <c r="F14078" i="6"/>
  <c r="E14103" i="6"/>
  <c r="F14077" i="6"/>
  <c r="E14068" i="6"/>
  <c r="F14042" i="6"/>
  <c r="E14079" i="6"/>
  <c r="F14053" i="6"/>
  <c r="E14102" i="6"/>
  <c r="F14076" i="6"/>
  <c r="E14095" i="6"/>
  <c r="F14069" i="6"/>
  <c r="F14100" i="6"/>
  <c r="E14126" i="6"/>
  <c r="E14107" i="6"/>
  <c r="F14081" i="6"/>
  <c r="E14085" i="6"/>
  <c r="F14059" i="6"/>
  <c r="E14083" i="6"/>
  <c r="F14057" i="6"/>
  <c r="E14099" i="6"/>
  <c r="F14073" i="6"/>
  <c r="E14144" i="6"/>
  <c r="F14118" i="6"/>
  <c r="E14124" i="6"/>
  <c r="F14098" i="6"/>
  <c r="E14087" i="6"/>
  <c r="F14061" i="6"/>
  <c r="E14080" i="6"/>
  <c r="F14054" i="6"/>
  <c r="E14114" i="6"/>
  <c r="F14088" i="6"/>
  <c r="E14075" i="6"/>
  <c r="F14049" i="6"/>
  <c r="E14115" i="6"/>
  <c r="F14089" i="6"/>
  <c r="E14071" i="6"/>
  <c r="F14045" i="6"/>
  <c r="E14138" i="6"/>
  <c r="F14112" i="6"/>
  <c r="E14141" i="6" l="1"/>
  <c r="F14115" i="6"/>
  <c r="E14121" i="6"/>
  <c r="F14095" i="6"/>
  <c r="E14174" i="6"/>
  <c r="F14148" i="6"/>
  <c r="E14128" i="6"/>
  <c r="F14102" i="6"/>
  <c r="E14130" i="6"/>
  <c r="F14104" i="6"/>
  <c r="E14160" i="6"/>
  <c r="F14134" i="6"/>
  <c r="E14111" i="6"/>
  <c r="F14085" i="6"/>
  <c r="E14109" i="6"/>
  <c r="F14083" i="6"/>
  <c r="E14101" i="6"/>
  <c r="F14075" i="6"/>
  <c r="E14164" i="6"/>
  <c r="F14138" i="6"/>
  <c r="E14140" i="6"/>
  <c r="F14114" i="6"/>
  <c r="E14170" i="6"/>
  <c r="F14144" i="6"/>
  <c r="E14133" i="6"/>
  <c r="F14107" i="6"/>
  <c r="E14105" i="6"/>
  <c r="F14079" i="6"/>
  <c r="E14116" i="6"/>
  <c r="F14090" i="6"/>
  <c r="E14119" i="6"/>
  <c r="F14093" i="6"/>
  <c r="E14113" i="6"/>
  <c r="F14087" i="6"/>
  <c r="E14129" i="6"/>
  <c r="F14103" i="6"/>
  <c r="E14150" i="6"/>
  <c r="F14124" i="6"/>
  <c r="E14152" i="6"/>
  <c r="F14126" i="6"/>
  <c r="E14117" i="6"/>
  <c r="F14091" i="6"/>
  <c r="E14097" i="6"/>
  <c r="F14071" i="6"/>
  <c r="E14106" i="6"/>
  <c r="F14080" i="6"/>
  <c r="E14125" i="6"/>
  <c r="F14099" i="6"/>
  <c r="E14094" i="6"/>
  <c r="F14068" i="6"/>
  <c r="E14188" i="6"/>
  <c r="F14162" i="6"/>
  <c r="E14145" i="6" l="1"/>
  <c r="F14119" i="6"/>
  <c r="E14176" i="6"/>
  <c r="F14150" i="6"/>
  <c r="E14166" i="6"/>
  <c r="F14140" i="6"/>
  <c r="E14137" i="6"/>
  <c r="F14111" i="6"/>
  <c r="E14200" i="6"/>
  <c r="F14174" i="6"/>
  <c r="E14178" i="6"/>
  <c r="F14152" i="6"/>
  <c r="F14125" i="6"/>
  <c r="E14151" i="6"/>
  <c r="E14135" i="6"/>
  <c r="F14109" i="6"/>
  <c r="E14214" i="6"/>
  <c r="F14188" i="6"/>
  <c r="E14123" i="6"/>
  <c r="F14097" i="6"/>
  <c r="E14155" i="6"/>
  <c r="F14129" i="6"/>
  <c r="E14131" i="6"/>
  <c r="F14105" i="6"/>
  <c r="E14190" i="6"/>
  <c r="F14164" i="6"/>
  <c r="F14160" i="6"/>
  <c r="E14186" i="6"/>
  <c r="E14147" i="6"/>
  <c r="F14121" i="6"/>
  <c r="E14196" i="6"/>
  <c r="F14170" i="6"/>
  <c r="E14132" i="6"/>
  <c r="F14106" i="6"/>
  <c r="E14154" i="6"/>
  <c r="F14128" i="6"/>
  <c r="E14142" i="6"/>
  <c r="F14116" i="6"/>
  <c r="E14120" i="6"/>
  <c r="F14094" i="6"/>
  <c r="E14143" i="6"/>
  <c r="F14117" i="6"/>
  <c r="E14139" i="6"/>
  <c r="F14113" i="6"/>
  <c r="E14159" i="6"/>
  <c r="F14133" i="6"/>
  <c r="E14127" i="6"/>
  <c r="F14101" i="6"/>
  <c r="E14156" i="6"/>
  <c r="F14130" i="6"/>
  <c r="E14167" i="6"/>
  <c r="F14141" i="6"/>
  <c r="E14153" i="6" l="1"/>
  <c r="F14127" i="6"/>
  <c r="E14146" i="6"/>
  <c r="F14120" i="6"/>
  <c r="E14222" i="6"/>
  <c r="F14196" i="6"/>
  <c r="E14157" i="6"/>
  <c r="F14131" i="6"/>
  <c r="E14161" i="6"/>
  <c r="F14135" i="6"/>
  <c r="E14163" i="6"/>
  <c r="F14137" i="6"/>
  <c r="E14168" i="6"/>
  <c r="F14142" i="6"/>
  <c r="E14177" i="6"/>
  <c r="F14151" i="6"/>
  <c r="E14181" i="6"/>
  <c r="F14155" i="6"/>
  <c r="E14165" i="6"/>
  <c r="F14139" i="6"/>
  <c r="E14180" i="6"/>
  <c r="F14154" i="6"/>
  <c r="E14149" i="6"/>
  <c r="F14123" i="6"/>
  <c r="E14204" i="6"/>
  <c r="F14178" i="6"/>
  <c r="E14202" i="6"/>
  <c r="F14176" i="6"/>
  <c r="E14173" i="6"/>
  <c r="F14147" i="6"/>
  <c r="E14185" i="6"/>
  <c r="F14159" i="6"/>
  <c r="E14192" i="6"/>
  <c r="F14166" i="6"/>
  <c r="E14212" i="6"/>
  <c r="F14186" i="6"/>
  <c r="E14193" i="6"/>
  <c r="F14167" i="6"/>
  <c r="E14182" i="6"/>
  <c r="F14156" i="6"/>
  <c r="F14143" i="6"/>
  <c r="E14169" i="6"/>
  <c r="E14158" i="6"/>
  <c r="F14132" i="6"/>
  <c r="E14216" i="6"/>
  <c r="F14190" i="6"/>
  <c r="E14240" i="6"/>
  <c r="F14214" i="6"/>
  <c r="E14226" i="6"/>
  <c r="F14200" i="6"/>
  <c r="E14171" i="6"/>
  <c r="F14145" i="6"/>
  <c r="E14266" i="6" l="1"/>
  <c r="F14240" i="6"/>
  <c r="E14208" i="6"/>
  <c r="F14182" i="6"/>
  <c r="E14211" i="6"/>
  <c r="F14185" i="6"/>
  <c r="E14175" i="6"/>
  <c r="F14149" i="6"/>
  <c r="E14203" i="6"/>
  <c r="F14177" i="6"/>
  <c r="E14183" i="6"/>
  <c r="F14157" i="6"/>
  <c r="E14219" i="6"/>
  <c r="F14193" i="6"/>
  <c r="E14194" i="6"/>
  <c r="F14168" i="6"/>
  <c r="E14197" i="6"/>
  <c r="F14171" i="6"/>
  <c r="E14184" i="6"/>
  <c r="F14158" i="6"/>
  <c r="E14238" i="6"/>
  <c r="F14212" i="6"/>
  <c r="E14228" i="6"/>
  <c r="F14202" i="6"/>
  <c r="E14191" i="6"/>
  <c r="F14165" i="6"/>
  <c r="E14189" i="6"/>
  <c r="F14163" i="6"/>
  <c r="F14146" i="6"/>
  <c r="E14172" i="6"/>
  <c r="E14199" i="6"/>
  <c r="F14173" i="6"/>
  <c r="E14248" i="6"/>
  <c r="F14222" i="6"/>
  <c r="E14195" i="6"/>
  <c r="F14169" i="6"/>
  <c r="E14242" i="6"/>
  <c r="F14216" i="6"/>
  <c r="E14206" i="6"/>
  <c r="F14180" i="6"/>
  <c r="E14252" i="6"/>
  <c r="F14226" i="6"/>
  <c r="E14218" i="6"/>
  <c r="F14192" i="6"/>
  <c r="E14230" i="6"/>
  <c r="F14204" i="6"/>
  <c r="E14207" i="6"/>
  <c r="F14181" i="6"/>
  <c r="E14187" i="6"/>
  <c r="F14161" i="6"/>
  <c r="E14179" i="6"/>
  <c r="F14153" i="6"/>
  <c r="E14225" i="6" l="1"/>
  <c r="F14199" i="6"/>
  <c r="F14206" i="6"/>
  <c r="E14232" i="6"/>
  <c r="E14245" i="6"/>
  <c r="F14219" i="6"/>
  <c r="E14237" i="6"/>
  <c r="F14211" i="6"/>
  <c r="E14220" i="6"/>
  <c r="F14194" i="6"/>
  <c r="E14264" i="6"/>
  <c r="F14238" i="6"/>
  <c r="E14254" i="6"/>
  <c r="F14228" i="6"/>
  <c r="E14244" i="6"/>
  <c r="F14218" i="6"/>
  <c r="E14215" i="6"/>
  <c r="F14189" i="6"/>
  <c r="F14184" i="6"/>
  <c r="E14210" i="6"/>
  <c r="E14209" i="6"/>
  <c r="F14183" i="6"/>
  <c r="E14234" i="6"/>
  <c r="F14208" i="6"/>
  <c r="E14233" i="6"/>
  <c r="F14207" i="6"/>
  <c r="E14201" i="6"/>
  <c r="F14175" i="6"/>
  <c r="E14198" i="6"/>
  <c r="F14172" i="6"/>
  <c r="E14256" i="6"/>
  <c r="F14230" i="6"/>
  <c r="E14268" i="6"/>
  <c r="F14242" i="6"/>
  <c r="F14179" i="6"/>
  <c r="E14205" i="6"/>
  <c r="E14221" i="6"/>
  <c r="F14195" i="6"/>
  <c r="E14213" i="6"/>
  <c r="F14187" i="6"/>
  <c r="E14278" i="6"/>
  <c r="F14252" i="6"/>
  <c r="E14274" i="6"/>
  <c r="F14248" i="6"/>
  <c r="E14217" i="6"/>
  <c r="F14191" i="6"/>
  <c r="E14223" i="6"/>
  <c r="F14197" i="6"/>
  <c r="E14229" i="6"/>
  <c r="F14203" i="6"/>
  <c r="E14292" i="6"/>
  <c r="F14266" i="6"/>
  <c r="E14260" i="6" l="1"/>
  <c r="F14234" i="6"/>
  <c r="E14249" i="6"/>
  <c r="F14223" i="6"/>
  <c r="F14221" i="6"/>
  <c r="E14247" i="6"/>
  <c r="E14224" i="6"/>
  <c r="F14198" i="6"/>
  <c r="E14235" i="6"/>
  <c r="F14209" i="6"/>
  <c r="F14254" i="6"/>
  <c r="E14280" i="6"/>
  <c r="E14271" i="6"/>
  <c r="F14245" i="6"/>
  <c r="E14282" i="6"/>
  <c r="F14256" i="6"/>
  <c r="E14231" i="6"/>
  <c r="F14205" i="6"/>
  <c r="E14236" i="6"/>
  <c r="F14210" i="6"/>
  <c r="E14258" i="6"/>
  <c r="F14232" i="6"/>
  <c r="E14263" i="6"/>
  <c r="F14237" i="6"/>
  <c r="E14318" i="6"/>
  <c r="F14292" i="6"/>
  <c r="E14227" i="6"/>
  <c r="F14201" i="6"/>
  <c r="E14290" i="6"/>
  <c r="F14264" i="6"/>
  <c r="E14239" i="6"/>
  <c r="F14213" i="6"/>
  <c r="E14270" i="6"/>
  <c r="F14244" i="6"/>
  <c r="E14243" i="6"/>
  <c r="F14217" i="6"/>
  <c r="E14300" i="6"/>
  <c r="F14274" i="6"/>
  <c r="E14255" i="6"/>
  <c r="F14229" i="6"/>
  <c r="E14304" i="6"/>
  <c r="F14278" i="6"/>
  <c r="E14294" i="6"/>
  <c r="F14268" i="6"/>
  <c r="E14259" i="6"/>
  <c r="F14233" i="6"/>
  <c r="E14241" i="6"/>
  <c r="F14215" i="6"/>
  <c r="E14246" i="6"/>
  <c r="F14220" i="6"/>
  <c r="E14251" i="6"/>
  <c r="F14225" i="6"/>
  <c r="E14267" i="6" l="1"/>
  <c r="F14241" i="6"/>
  <c r="E14273" i="6"/>
  <c r="F14247" i="6"/>
  <c r="E14289" i="6"/>
  <c r="F14263" i="6"/>
  <c r="E14284" i="6"/>
  <c r="F14258" i="6"/>
  <c r="F14271" i="6"/>
  <c r="E14297" i="6"/>
  <c r="E14250" i="6"/>
  <c r="F14224" i="6"/>
  <c r="E14316" i="6"/>
  <c r="F14290" i="6"/>
  <c r="E14306" i="6"/>
  <c r="F14280" i="6"/>
  <c r="E14281" i="6"/>
  <c r="F14255" i="6"/>
  <c r="F14294" i="6"/>
  <c r="E14320" i="6"/>
  <c r="E14253" i="6"/>
  <c r="F14227" i="6"/>
  <c r="E14262" i="6"/>
  <c r="F14236" i="6"/>
  <c r="E14275" i="6"/>
  <c r="F14249" i="6"/>
  <c r="E14308" i="6"/>
  <c r="F14282" i="6"/>
  <c r="E14285" i="6"/>
  <c r="F14259" i="6"/>
  <c r="E14277" i="6"/>
  <c r="F14251" i="6"/>
  <c r="E14265" i="6"/>
  <c r="F14239" i="6"/>
  <c r="E14326" i="6"/>
  <c r="F14300" i="6"/>
  <c r="E14269" i="6"/>
  <c r="F14243" i="6"/>
  <c r="E14272" i="6"/>
  <c r="F14246" i="6"/>
  <c r="E14330" i="6"/>
  <c r="F14304" i="6"/>
  <c r="E14296" i="6"/>
  <c r="F14270" i="6"/>
  <c r="E14344" i="6"/>
  <c r="F14318" i="6"/>
  <c r="F14231" i="6"/>
  <c r="E14257" i="6"/>
  <c r="E14261" i="6"/>
  <c r="F14235" i="6"/>
  <c r="E14286" i="6"/>
  <c r="F14260" i="6"/>
  <c r="E14283" i="6" l="1"/>
  <c r="F14257" i="6"/>
  <c r="E14298" i="6"/>
  <c r="F14272" i="6"/>
  <c r="E14295" i="6"/>
  <c r="F14269" i="6"/>
  <c r="E14311" i="6"/>
  <c r="F14285" i="6"/>
  <c r="E14279" i="6"/>
  <c r="F14253" i="6"/>
  <c r="E14342" i="6"/>
  <c r="F14316" i="6"/>
  <c r="E14315" i="6"/>
  <c r="F14289" i="6"/>
  <c r="E14332" i="6"/>
  <c r="F14306" i="6"/>
  <c r="E14346" i="6"/>
  <c r="F14320" i="6"/>
  <c r="E14288" i="6"/>
  <c r="F14262" i="6"/>
  <c r="E14370" i="6"/>
  <c r="F14344" i="6"/>
  <c r="E14312" i="6"/>
  <c r="F14286" i="6"/>
  <c r="E14322" i="6"/>
  <c r="F14296" i="6"/>
  <c r="E14352" i="6"/>
  <c r="F14326" i="6"/>
  <c r="E14334" i="6"/>
  <c r="F14308" i="6"/>
  <c r="E14276" i="6"/>
  <c r="F14250" i="6"/>
  <c r="E14299" i="6"/>
  <c r="F14273" i="6"/>
  <c r="E14310" i="6"/>
  <c r="F14284" i="6"/>
  <c r="E14323" i="6"/>
  <c r="F14297" i="6"/>
  <c r="E14303" i="6"/>
  <c r="F14277" i="6"/>
  <c r="E14287" i="6"/>
  <c r="F14261" i="6"/>
  <c r="E14356" i="6"/>
  <c r="F14330" i="6"/>
  <c r="E14291" i="6"/>
  <c r="F14265" i="6"/>
  <c r="E14301" i="6"/>
  <c r="F14275" i="6"/>
  <c r="E14307" i="6"/>
  <c r="F14281" i="6"/>
  <c r="E14293" i="6"/>
  <c r="F14267" i="6"/>
  <c r="F14332" i="6" l="1"/>
  <c r="E14358" i="6"/>
  <c r="E14327" i="6"/>
  <c r="F14301" i="6"/>
  <c r="E14360" i="6"/>
  <c r="F14334" i="6"/>
  <c r="E14396" i="6"/>
  <c r="F14370" i="6"/>
  <c r="E14341" i="6"/>
  <c r="F14315" i="6"/>
  <c r="E14321" i="6"/>
  <c r="F14295" i="6"/>
  <c r="E14337" i="6"/>
  <c r="F14311" i="6"/>
  <c r="E14349" i="6"/>
  <c r="F14323" i="6"/>
  <c r="E14329" i="6"/>
  <c r="F14303" i="6"/>
  <c r="E14319" i="6"/>
  <c r="F14293" i="6"/>
  <c r="F14356" i="6"/>
  <c r="E14382" i="6"/>
  <c r="E14336" i="6"/>
  <c r="F14310" i="6"/>
  <c r="E14378" i="6"/>
  <c r="F14352" i="6"/>
  <c r="E14314" i="6"/>
  <c r="F14288" i="6"/>
  <c r="E14368" i="6"/>
  <c r="F14342" i="6"/>
  <c r="E14324" i="6"/>
  <c r="F14298" i="6"/>
  <c r="E14338" i="6"/>
  <c r="F14312" i="6"/>
  <c r="E14317" i="6"/>
  <c r="F14291" i="6"/>
  <c r="E14302" i="6"/>
  <c r="F14276" i="6"/>
  <c r="E14333" i="6"/>
  <c r="F14307" i="6"/>
  <c r="E14313" i="6"/>
  <c r="F14287" i="6"/>
  <c r="E14325" i="6"/>
  <c r="F14299" i="6"/>
  <c r="E14348" i="6"/>
  <c r="F14322" i="6"/>
  <c r="E14372" i="6"/>
  <c r="F14346" i="6"/>
  <c r="E14305" i="6"/>
  <c r="F14279" i="6"/>
  <c r="E14309" i="6"/>
  <c r="F14283" i="6"/>
  <c r="E14359" i="6" l="1"/>
  <c r="F14333" i="6"/>
  <c r="E14350" i="6"/>
  <c r="F14324" i="6"/>
  <c r="E14362" i="6"/>
  <c r="F14336" i="6"/>
  <c r="E14375" i="6"/>
  <c r="F14349" i="6"/>
  <c r="E14422" i="6"/>
  <c r="F14396" i="6"/>
  <c r="E14398" i="6"/>
  <c r="F14372" i="6"/>
  <c r="E14408" i="6"/>
  <c r="F14382" i="6"/>
  <c r="E14363" i="6"/>
  <c r="F14337" i="6"/>
  <c r="F14360" i="6"/>
  <c r="E14386" i="6"/>
  <c r="E14374" i="6"/>
  <c r="F14348" i="6"/>
  <c r="F14368" i="6"/>
  <c r="E14394" i="6"/>
  <c r="E14335" i="6"/>
  <c r="F14309" i="6"/>
  <c r="E14343" i="6"/>
  <c r="F14317" i="6"/>
  <c r="E14340" i="6"/>
  <c r="F14314" i="6"/>
  <c r="E14345" i="6"/>
  <c r="F14319" i="6"/>
  <c r="E14347" i="6"/>
  <c r="F14321" i="6"/>
  <c r="E14353" i="6"/>
  <c r="F14327" i="6"/>
  <c r="E14328" i="6"/>
  <c r="F14302" i="6"/>
  <c r="E14384" i="6"/>
  <c r="F14358" i="6"/>
  <c r="E14351" i="6"/>
  <c r="F14325" i="6"/>
  <c r="F14305" i="6"/>
  <c r="E14331" i="6"/>
  <c r="E14339" i="6"/>
  <c r="F14313" i="6"/>
  <c r="E14364" i="6"/>
  <c r="F14338" i="6"/>
  <c r="E14404" i="6"/>
  <c r="F14378" i="6"/>
  <c r="E14355" i="6"/>
  <c r="F14329" i="6"/>
  <c r="E14367" i="6"/>
  <c r="F14341" i="6"/>
  <c r="E14361" i="6" l="1"/>
  <c r="F14335" i="6"/>
  <c r="F14384" i="6"/>
  <c r="E14410" i="6"/>
  <c r="E14434" i="6"/>
  <c r="F14408" i="6"/>
  <c r="F14362" i="6"/>
  <c r="E14388" i="6"/>
  <c r="E14373" i="6"/>
  <c r="F14347" i="6"/>
  <c r="E14377" i="6"/>
  <c r="F14351" i="6"/>
  <c r="E14401" i="6"/>
  <c r="F14375" i="6"/>
  <c r="E14371" i="6"/>
  <c r="F14345" i="6"/>
  <c r="E14393" i="6"/>
  <c r="F14367" i="6"/>
  <c r="E14365" i="6"/>
  <c r="F14339" i="6"/>
  <c r="E14354" i="6"/>
  <c r="F14328" i="6"/>
  <c r="E14366" i="6"/>
  <c r="F14340" i="6"/>
  <c r="E14400" i="6"/>
  <c r="F14374" i="6"/>
  <c r="E14424" i="6"/>
  <c r="F14398" i="6"/>
  <c r="E14376" i="6"/>
  <c r="F14350" i="6"/>
  <c r="E14412" i="6"/>
  <c r="F14386" i="6"/>
  <c r="E14430" i="6"/>
  <c r="F14404" i="6"/>
  <c r="E14389" i="6"/>
  <c r="F14363" i="6"/>
  <c r="E14420" i="6"/>
  <c r="F14394" i="6"/>
  <c r="E14390" i="6"/>
  <c r="F14364" i="6"/>
  <c r="E14357" i="6"/>
  <c r="F14331" i="6"/>
  <c r="E14381" i="6"/>
  <c r="F14355" i="6"/>
  <c r="E14379" i="6"/>
  <c r="F14353" i="6"/>
  <c r="E14369" i="6"/>
  <c r="F14343" i="6"/>
  <c r="E14448" i="6"/>
  <c r="F14422" i="6"/>
  <c r="E14385" i="6"/>
  <c r="F14359" i="6"/>
  <c r="E14395" i="6" l="1"/>
  <c r="F14369" i="6"/>
  <c r="E14392" i="6"/>
  <c r="F14366" i="6"/>
  <c r="E14414" i="6"/>
  <c r="F14388" i="6"/>
  <c r="E14427" i="6"/>
  <c r="F14401" i="6"/>
  <c r="E14460" i="6"/>
  <c r="F14434" i="6"/>
  <c r="E14438" i="6"/>
  <c r="F14412" i="6"/>
  <c r="E14405" i="6"/>
  <c r="F14379" i="6"/>
  <c r="E14436" i="6"/>
  <c r="F14410" i="6"/>
  <c r="E14402" i="6"/>
  <c r="F14376" i="6"/>
  <c r="E14411" i="6"/>
  <c r="F14385" i="6"/>
  <c r="E14407" i="6"/>
  <c r="F14381" i="6"/>
  <c r="E14415" i="6"/>
  <c r="F14389" i="6"/>
  <c r="E14450" i="6"/>
  <c r="F14424" i="6"/>
  <c r="E14391" i="6"/>
  <c r="F14365" i="6"/>
  <c r="E14403" i="6"/>
  <c r="F14377" i="6"/>
  <c r="F14390" i="6"/>
  <c r="E14416" i="6"/>
  <c r="E14380" i="6"/>
  <c r="F14354" i="6"/>
  <c r="E14397" i="6"/>
  <c r="F14371" i="6"/>
  <c r="E14446" i="6"/>
  <c r="F14420" i="6"/>
  <c r="E14474" i="6"/>
  <c r="F14448" i="6"/>
  <c r="E14383" i="6"/>
  <c r="F14357" i="6"/>
  <c r="E14456" i="6"/>
  <c r="F14430" i="6"/>
  <c r="E14426" i="6"/>
  <c r="F14400" i="6"/>
  <c r="E14419" i="6"/>
  <c r="F14393" i="6"/>
  <c r="E14399" i="6"/>
  <c r="F14373" i="6"/>
  <c r="E14387" i="6"/>
  <c r="F14361" i="6"/>
  <c r="E14441" i="6" l="1"/>
  <c r="F14415" i="6"/>
  <c r="E14442" i="6"/>
  <c r="F14416" i="6"/>
  <c r="E14453" i="6"/>
  <c r="F14427" i="6"/>
  <c r="E14472" i="6"/>
  <c r="F14446" i="6"/>
  <c r="E14429" i="6"/>
  <c r="F14403" i="6"/>
  <c r="E14433" i="6"/>
  <c r="F14407" i="6"/>
  <c r="E14431" i="6"/>
  <c r="F14405" i="6"/>
  <c r="E14440" i="6"/>
  <c r="F14414" i="6"/>
  <c r="F14474" i="6"/>
  <c r="E14500" i="6"/>
  <c r="E14445" i="6"/>
  <c r="F14419" i="6"/>
  <c r="E14452" i="6"/>
  <c r="F14426" i="6"/>
  <c r="E14413" i="6"/>
  <c r="F14387" i="6"/>
  <c r="E14482" i="6"/>
  <c r="F14456" i="6"/>
  <c r="E14423" i="6"/>
  <c r="F14397" i="6"/>
  <c r="E14417" i="6"/>
  <c r="F14391" i="6"/>
  <c r="E14437" i="6"/>
  <c r="F14411" i="6"/>
  <c r="F14438" i="6"/>
  <c r="E14464" i="6"/>
  <c r="E14418" i="6"/>
  <c r="F14392" i="6"/>
  <c r="E14462" i="6"/>
  <c r="F14436" i="6"/>
  <c r="E14425" i="6"/>
  <c r="F14399" i="6"/>
  <c r="E14409" i="6"/>
  <c r="F14383" i="6"/>
  <c r="F14380" i="6"/>
  <c r="E14406" i="6"/>
  <c r="E14476" i="6"/>
  <c r="F14450" i="6"/>
  <c r="E14428" i="6"/>
  <c r="F14402" i="6"/>
  <c r="E14486" i="6"/>
  <c r="F14460" i="6"/>
  <c r="E14421" i="6"/>
  <c r="F14395" i="6"/>
  <c r="E14454" i="6" l="1"/>
  <c r="F14428" i="6"/>
  <c r="E14498" i="6"/>
  <c r="F14472" i="6"/>
  <c r="E14488" i="6"/>
  <c r="F14462" i="6"/>
  <c r="E14478" i="6"/>
  <c r="F14452" i="6"/>
  <c r="E14457" i="6"/>
  <c r="F14431" i="6"/>
  <c r="E14479" i="6"/>
  <c r="F14453" i="6"/>
  <c r="E14451" i="6"/>
  <c r="F14425" i="6"/>
  <c r="E14439" i="6"/>
  <c r="F14413" i="6"/>
  <c r="E14502" i="6"/>
  <c r="F14476" i="6"/>
  <c r="E14432" i="6"/>
  <c r="F14406" i="6"/>
  <c r="E14447" i="6"/>
  <c r="F14421" i="6"/>
  <c r="E14444" i="6"/>
  <c r="F14418" i="6"/>
  <c r="E14449" i="6"/>
  <c r="F14423" i="6"/>
  <c r="E14471" i="6"/>
  <c r="F14445" i="6"/>
  <c r="E14459" i="6"/>
  <c r="F14433" i="6"/>
  <c r="E14468" i="6"/>
  <c r="F14442" i="6"/>
  <c r="E14463" i="6"/>
  <c r="F14437" i="6"/>
  <c r="E14443" i="6"/>
  <c r="F14417" i="6"/>
  <c r="E14490" i="6"/>
  <c r="F14464" i="6"/>
  <c r="E14526" i="6"/>
  <c r="F14500" i="6"/>
  <c r="E14466" i="6"/>
  <c r="F14440" i="6"/>
  <c r="E14512" i="6"/>
  <c r="F14486" i="6"/>
  <c r="E14435" i="6"/>
  <c r="F14409" i="6"/>
  <c r="E14508" i="6"/>
  <c r="F14482" i="6"/>
  <c r="E14455" i="6"/>
  <c r="F14429" i="6"/>
  <c r="E14467" i="6"/>
  <c r="F14441" i="6"/>
  <c r="E14534" i="6" l="1"/>
  <c r="F14508" i="6"/>
  <c r="E14504" i="6"/>
  <c r="F14478" i="6"/>
  <c r="E14485" i="6"/>
  <c r="F14459" i="6"/>
  <c r="E14473" i="6"/>
  <c r="F14447" i="6"/>
  <c r="E14477" i="6"/>
  <c r="F14451" i="6"/>
  <c r="E14514" i="6"/>
  <c r="F14488" i="6"/>
  <c r="E14470" i="6"/>
  <c r="F14444" i="6"/>
  <c r="F14526" i="6"/>
  <c r="E14552" i="6"/>
  <c r="E14461" i="6"/>
  <c r="F14435" i="6"/>
  <c r="E14493" i="6"/>
  <c r="F14467" i="6"/>
  <c r="E14538" i="6"/>
  <c r="F14512" i="6"/>
  <c r="E14469" i="6"/>
  <c r="F14443" i="6"/>
  <c r="E14497" i="6"/>
  <c r="F14471" i="6"/>
  <c r="E14458" i="6"/>
  <c r="F14432" i="6"/>
  <c r="E14505" i="6"/>
  <c r="F14479" i="6"/>
  <c r="E14524" i="6"/>
  <c r="F14498" i="6"/>
  <c r="E14465" i="6"/>
  <c r="F14439" i="6"/>
  <c r="E14516" i="6"/>
  <c r="F14490" i="6"/>
  <c r="E14494" i="6"/>
  <c r="F14468" i="6"/>
  <c r="E14481" i="6"/>
  <c r="F14455" i="6"/>
  <c r="E14492" i="6"/>
  <c r="F14466" i="6"/>
  <c r="E14489" i="6"/>
  <c r="F14463" i="6"/>
  <c r="E14475" i="6"/>
  <c r="F14449" i="6"/>
  <c r="E14528" i="6"/>
  <c r="F14502" i="6"/>
  <c r="E14483" i="6"/>
  <c r="F14457" i="6"/>
  <c r="E14480" i="6"/>
  <c r="F14454" i="6"/>
  <c r="E14507" i="6" l="1"/>
  <c r="F14481" i="6"/>
  <c r="E14495" i="6"/>
  <c r="F14469" i="6"/>
  <c r="E14499" i="6"/>
  <c r="F14473" i="6"/>
  <c r="E14554" i="6"/>
  <c r="F14528" i="6"/>
  <c r="E14550" i="6"/>
  <c r="F14524" i="6"/>
  <c r="E14520" i="6"/>
  <c r="F14494" i="6"/>
  <c r="E14564" i="6"/>
  <c r="F14538" i="6"/>
  <c r="E14496" i="6"/>
  <c r="F14470" i="6"/>
  <c r="E14511" i="6"/>
  <c r="F14485" i="6"/>
  <c r="E14578" i="6"/>
  <c r="F14552" i="6"/>
  <c r="E14531" i="6"/>
  <c r="F14505" i="6"/>
  <c r="E14515" i="6"/>
  <c r="F14489" i="6"/>
  <c r="E14484" i="6"/>
  <c r="F14458" i="6"/>
  <c r="E14519" i="6"/>
  <c r="F14493" i="6"/>
  <c r="E14540" i="6"/>
  <c r="F14514" i="6"/>
  <c r="F14504" i="6"/>
  <c r="E14530" i="6"/>
  <c r="E14501" i="6"/>
  <c r="F14475" i="6"/>
  <c r="F14516" i="6"/>
  <c r="E14542" i="6"/>
  <c r="E14506" i="6"/>
  <c r="F14480" i="6"/>
  <c r="F14483" i="6"/>
  <c r="E14509" i="6"/>
  <c r="E14518" i="6"/>
  <c r="F14492" i="6"/>
  <c r="E14491" i="6"/>
  <c r="F14465" i="6"/>
  <c r="E14523" i="6"/>
  <c r="F14497" i="6"/>
  <c r="E14487" i="6"/>
  <c r="F14461" i="6"/>
  <c r="E14503" i="6"/>
  <c r="F14477" i="6"/>
  <c r="F14534" i="6"/>
  <c r="E14560" i="6"/>
  <c r="F14509" i="6" l="1"/>
  <c r="E14535" i="6"/>
  <c r="E14556" i="6"/>
  <c r="F14530" i="6"/>
  <c r="E14541" i="6"/>
  <c r="F14515" i="6"/>
  <c r="E14522" i="6"/>
  <c r="F14496" i="6"/>
  <c r="E14580" i="6"/>
  <c r="F14554" i="6"/>
  <c r="E14566" i="6"/>
  <c r="F14540" i="6"/>
  <c r="E14557" i="6"/>
  <c r="F14531" i="6"/>
  <c r="E14590" i="6"/>
  <c r="F14564" i="6"/>
  <c r="E14525" i="6"/>
  <c r="F14499" i="6"/>
  <c r="E14532" i="6"/>
  <c r="F14506" i="6"/>
  <c r="E14568" i="6"/>
  <c r="F14542" i="6"/>
  <c r="E14586" i="6"/>
  <c r="F14560" i="6"/>
  <c r="E14604" i="6"/>
  <c r="F14578" i="6"/>
  <c r="E14546" i="6"/>
  <c r="F14520" i="6"/>
  <c r="E14521" i="6"/>
  <c r="F14495" i="6"/>
  <c r="E14513" i="6"/>
  <c r="F14487" i="6"/>
  <c r="E14549" i="6"/>
  <c r="F14523" i="6"/>
  <c r="E14517" i="6"/>
  <c r="F14491" i="6"/>
  <c r="E14545" i="6"/>
  <c r="F14519" i="6"/>
  <c r="E14529" i="6"/>
  <c r="F14503" i="6"/>
  <c r="E14544" i="6"/>
  <c r="F14518" i="6"/>
  <c r="E14527" i="6"/>
  <c r="F14501" i="6"/>
  <c r="E14510" i="6"/>
  <c r="F14484" i="6"/>
  <c r="E14537" i="6"/>
  <c r="F14511" i="6"/>
  <c r="E14576" i="6"/>
  <c r="F14550" i="6"/>
  <c r="E14533" i="6"/>
  <c r="F14507" i="6"/>
  <c r="E14539" i="6" l="1"/>
  <c r="F14513" i="6"/>
  <c r="E14616" i="6"/>
  <c r="F14590" i="6"/>
  <c r="E14548" i="6"/>
  <c r="F14522" i="6"/>
  <c r="E14555" i="6"/>
  <c r="F14529" i="6"/>
  <c r="E14536" i="6"/>
  <c r="F14510" i="6"/>
  <c r="E14583" i="6"/>
  <c r="F14557" i="6"/>
  <c r="E14567" i="6"/>
  <c r="F14541" i="6"/>
  <c r="E14594" i="6"/>
  <c r="F14568" i="6"/>
  <c r="E14563" i="6"/>
  <c r="F14537" i="6"/>
  <c r="E14553" i="6"/>
  <c r="F14527" i="6"/>
  <c r="E14572" i="6"/>
  <c r="F14546" i="6"/>
  <c r="E14558" i="6"/>
  <c r="F14532" i="6"/>
  <c r="E14592" i="6"/>
  <c r="F14566" i="6"/>
  <c r="E14582" i="6"/>
  <c r="F14556" i="6"/>
  <c r="E14612" i="6"/>
  <c r="F14586" i="6"/>
  <c r="F14521" i="6"/>
  <c r="E14547" i="6"/>
  <c r="E14559" i="6"/>
  <c r="F14533" i="6"/>
  <c r="E14561" i="6"/>
  <c r="F14535" i="6"/>
  <c r="E14571" i="6"/>
  <c r="F14545" i="6"/>
  <c r="E14543" i="6"/>
  <c r="F14517" i="6"/>
  <c r="E14602" i="6"/>
  <c r="F14576" i="6"/>
  <c r="E14570" i="6"/>
  <c r="F14544" i="6"/>
  <c r="E14575" i="6"/>
  <c r="F14549" i="6"/>
  <c r="E14630" i="6"/>
  <c r="F14604" i="6"/>
  <c r="E14551" i="6"/>
  <c r="F14525" i="6"/>
  <c r="E14606" i="6"/>
  <c r="F14580" i="6"/>
  <c r="E14573" i="6" l="1"/>
  <c r="F14547" i="6"/>
  <c r="E14581" i="6"/>
  <c r="F14555" i="6"/>
  <c r="E14620" i="6"/>
  <c r="F14594" i="6"/>
  <c r="E14638" i="6"/>
  <c r="F14612" i="6"/>
  <c r="E14593" i="6"/>
  <c r="F14567" i="6"/>
  <c r="E14574" i="6"/>
  <c r="F14548" i="6"/>
  <c r="E14598" i="6"/>
  <c r="F14572" i="6"/>
  <c r="E14569" i="6"/>
  <c r="F14543" i="6"/>
  <c r="E14632" i="6"/>
  <c r="F14606" i="6"/>
  <c r="E14608" i="6"/>
  <c r="F14582" i="6"/>
  <c r="E14609" i="6"/>
  <c r="F14583" i="6"/>
  <c r="E14642" i="6"/>
  <c r="F14616" i="6"/>
  <c r="E14584" i="6"/>
  <c r="F14558" i="6"/>
  <c r="E14597" i="6"/>
  <c r="F14571" i="6"/>
  <c r="F14561" i="6"/>
  <c r="E14587" i="6"/>
  <c r="E14656" i="6"/>
  <c r="F14630" i="6"/>
  <c r="E14601" i="6"/>
  <c r="F14575" i="6"/>
  <c r="F14570" i="6"/>
  <c r="E14596" i="6"/>
  <c r="E14579" i="6"/>
  <c r="F14553" i="6"/>
  <c r="E14577" i="6"/>
  <c r="F14551" i="6"/>
  <c r="E14628" i="6"/>
  <c r="F14602" i="6"/>
  <c r="E14585" i="6"/>
  <c r="F14559" i="6"/>
  <c r="E14618" i="6"/>
  <c r="F14592" i="6"/>
  <c r="E14589" i="6"/>
  <c r="F14563" i="6"/>
  <c r="E14562" i="6"/>
  <c r="F14536" i="6"/>
  <c r="E14565" i="6"/>
  <c r="F14539" i="6"/>
  <c r="E14682" i="6" l="1"/>
  <c r="F14656" i="6"/>
  <c r="E14595" i="6"/>
  <c r="F14569" i="6"/>
  <c r="E14664" i="6"/>
  <c r="F14638" i="6"/>
  <c r="E14615" i="6"/>
  <c r="F14589" i="6"/>
  <c r="F14609" i="6"/>
  <c r="E14635" i="6"/>
  <c r="E14624" i="6"/>
  <c r="F14598" i="6"/>
  <c r="E14646" i="6"/>
  <c r="F14620" i="6"/>
  <c r="E14603" i="6"/>
  <c r="F14577" i="6"/>
  <c r="E14613" i="6"/>
  <c r="F14587" i="6"/>
  <c r="E14605" i="6"/>
  <c r="F14579" i="6"/>
  <c r="E14623" i="6"/>
  <c r="F14597" i="6"/>
  <c r="E14634" i="6"/>
  <c r="F14608" i="6"/>
  <c r="E14600" i="6"/>
  <c r="F14574" i="6"/>
  <c r="E14607" i="6"/>
  <c r="F14581" i="6"/>
  <c r="E14668" i="6"/>
  <c r="F14642" i="6"/>
  <c r="E14644" i="6"/>
  <c r="F14618" i="6"/>
  <c r="E14622" i="6"/>
  <c r="F14596" i="6"/>
  <c r="E14591" i="6"/>
  <c r="F14565" i="6"/>
  <c r="E14611" i="6"/>
  <c r="F14585" i="6"/>
  <c r="E14588" i="6"/>
  <c r="F14562" i="6"/>
  <c r="E14654" i="6"/>
  <c r="F14628" i="6"/>
  <c r="E14627" i="6"/>
  <c r="F14601" i="6"/>
  <c r="E14610" i="6"/>
  <c r="F14584" i="6"/>
  <c r="E14658" i="6"/>
  <c r="F14632" i="6"/>
  <c r="E14619" i="6"/>
  <c r="F14593" i="6"/>
  <c r="E14599" i="6"/>
  <c r="F14573" i="6"/>
  <c r="E14660" i="6" l="1"/>
  <c r="F14634" i="6"/>
  <c r="E14629" i="6"/>
  <c r="F14603" i="6"/>
  <c r="E14641" i="6"/>
  <c r="F14615" i="6"/>
  <c r="E14636" i="6"/>
  <c r="F14610" i="6"/>
  <c r="E14694" i="6"/>
  <c r="F14668" i="6"/>
  <c r="E14649" i="6"/>
  <c r="F14623" i="6"/>
  <c r="E14672" i="6"/>
  <c r="F14646" i="6"/>
  <c r="E14690" i="6"/>
  <c r="F14664" i="6"/>
  <c r="E14614" i="6"/>
  <c r="F14588" i="6"/>
  <c r="E14637" i="6"/>
  <c r="F14611" i="6"/>
  <c r="E14625" i="6"/>
  <c r="F14599" i="6"/>
  <c r="E14617" i="6"/>
  <c r="F14591" i="6"/>
  <c r="E14631" i="6"/>
  <c r="F14605" i="6"/>
  <c r="E14650" i="6"/>
  <c r="F14624" i="6"/>
  <c r="E14621" i="6"/>
  <c r="F14595" i="6"/>
  <c r="E14670" i="6"/>
  <c r="F14644" i="6"/>
  <c r="E14653" i="6"/>
  <c r="F14627" i="6"/>
  <c r="E14661" i="6"/>
  <c r="F14635" i="6"/>
  <c r="E14684" i="6"/>
  <c r="F14658" i="6"/>
  <c r="E14633" i="6"/>
  <c r="F14607" i="6"/>
  <c r="F14619" i="6"/>
  <c r="E14645" i="6"/>
  <c r="E14680" i="6"/>
  <c r="F14654" i="6"/>
  <c r="E14648" i="6"/>
  <c r="F14622" i="6"/>
  <c r="E14626" i="6"/>
  <c r="F14600" i="6"/>
  <c r="E14639" i="6"/>
  <c r="F14613" i="6"/>
  <c r="E14708" i="6"/>
  <c r="F14682" i="6"/>
  <c r="E14652" i="6" l="1"/>
  <c r="F14626" i="6"/>
  <c r="E14716" i="6"/>
  <c r="F14690" i="6"/>
  <c r="E14662" i="6"/>
  <c r="F14636" i="6"/>
  <c r="E14659" i="6"/>
  <c r="F14633" i="6"/>
  <c r="E14710" i="6"/>
  <c r="F14684" i="6"/>
  <c r="E14647" i="6"/>
  <c r="F14621" i="6"/>
  <c r="E14651" i="6"/>
  <c r="F14625" i="6"/>
  <c r="E14698" i="6"/>
  <c r="F14672" i="6"/>
  <c r="E14667" i="6"/>
  <c r="F14641" i="6"/>
  <c r="E14643" i="6"/>
  <c r="F14617" i="6"/>
  <c r="E14674" i="6"/>
  <c r="F14648" i="6"/>
  <c r="E14696" i="6"/>
  <c r="F14670" i="6"/>
  <c r="E14706" i="6"/>
  <c r="F14680" i="6"/>
  <c r="E14687" i="6"/>
  <c r="F14661" i="6"/>
  <c r="E14676" i="6"/>
  <c r="F14650" i="6"/>
  <c r="E14663" i="6"/>
  <c r="F14637" i="6"/>
  <c r="E14675" i="6"/>
  <c r="F14649" i="6"/>
  <c r="E14655" i="6"/>
  <c r="F14629" i="6"/>
  <c r="E14734" i="6"/>
  <c r="F14708" i="6"/>
  <c r="E14671" i="6"/>
  <c r="F14645" i="6"/>
  <c r="E14665" i="6"/>
  <c r="F14639" i="6"/>
  <c r="E14679" i="6"/>
  <c r="F14653" i="6"/>
  <c r="E14657" i="6"/>
  <c r="F14631" i="6"/>
  <c r="F14614" i="6"/>
  <c r="E14640" i="6"/>
  <c r="E14720" i="6"/>
  <c r="F14694" i="6"/>
  <c r="E14686" i="6"/>
  <c r="F14660" i="6"/>
  <c r="E14722" i="6" l="1"/>
  <c r="F14696" i="6"/>
  <c r="E14724" i="6"/>
  <c r="F14698" i="6"/>
  <c r="E14685" i="6"/>
  <c r="F14659" i="6"/>
  <c r="E14689" i="6"/>
  <c r="F14663" i="6"/>
  <c r="E14760" i="6"/>
  <c r="F14734" i="6"/>
  <c r="E14700" i="6"/>
  <c r="F14674" i="6"/>
  <c r="E14677" i="6"/>
  <c r="F14651" i="6"/>
  <c r="E14688" i="6"/>
  <c r="F14662" i="6"/>
  <c r="E14681" i="6"/>
  <c r="F14655" i="6"/>
  <c r="E14669" i="6"/>
  <c r="F14643" i="6"/>
  <c r="E14673" i="6"/>
  <c r="F14647" i="6"/>
  <c r="F14716" i="6"/>
  <c r="E14742" i="6"/>
  <c r="E14683" i="6"/>
  <c r="F14657" i="6"/>
  <c r="E14705" i="6"/>
  <c r="F14679" i="6"/>
  <c r="E14666" i="6"/>
  <c r="F14640" i="6"/>
  <c r="E14697" i="6"/>
  <c r="F14671" i="6"/>
  <c r="E14702" i="6"/>
  <c r="F14676" i="6"/>
  <c r="E14712" i="6"/>
  <c r="F14686" i="6"/>
  <c r="E14713" i="6"/>
  <c r="F14687" i="6"/>
  <c r="E14746" i="6"/>
  <c r="F14720" i="6"/>
  <c r="E14691" i="6"/>
  <c r="F14665" i="6"/>
  <c r="E14701" i="6"/>
  <c r="F14675" i="6"/>
  <c r="E14732" i="6"/>
  <c r="F14706" i="6"/>
  <c r="E14693" i="6"/>
  <c r="F14667" i="6"/>
  <c r="E14736" i="6"/>
  <c r="F14710" i="6"/>
  <c r="E14678" i="6"/>
  <c r="F14652" i="6"/>
  <c r="E14768" i="6" l="1"/>
  <c r="F14742" i="6"/>
  <c r="E14772" i="6"/>
  <c r="F14746" i="6"/>
  <c r="E14714" i="6"/>
  <c r="F14688" i="6"/>
  <c r="E14715" i="6"/>
  <c r="F14689" i="6"/>
  <c r="E14719" i="6"/>
  <c r="F14693" i="6"/>
  <c r="E14699" i="6"/>
  <c r="F14673" i="6"/>
  <c r="E14703" i="6"/>
  <c r="F14677" i="6"/>
  <c r="E14711" i="6"/>
  <c r="F14685" i="6"/>
  <c r="E14758" i="6"/>
  <c r="F14732" i="6"/>
  <c r="E14704" i="6"/>
  <c r="F14678" i="6"/>
  <c r="E14731" i="6"/>
  <c r="F14705" i="6"/>
  <c r="E14695" i="6"/>
  <c r="F14669" i="6"/>
  <c r="F14700" i="6"/>
  <c r="E14726" i="6"/>
  <c r="E14750" i="6"/>
  <c r="F14724" i="6"/>
  <c r="E14723" i="6"/>
  <c r="F14697" i="6"/>
  <c r="E14739" i="6"/>
  <c r="F14713" i="6"/>
  <c r="F14701" i="6"/>
  <c r="E14727" i="6"/>
  <c r="E14692" i="6"/>
  <c r="F14666" i="6"/>
  <c r="E14738" i="6"/>
  <c r="F14712" i="6"/>
  <c r="E14762" i="6"/>
  <c r="F14736" i="6"/>
  <c r="E14717" i="6"/>
  <c r="F14691" i="6"/>
  <c r="E14728" i="6"/>
  <c r="F14702" i="6"/>
  <c r="F14683" i="6"/>
  <c r="E14709" i="6"/>
  <c r="E14707" i="6"/>
  <c r="F14681" i="6"/>
  <c r="E14786" i="6"/>
  <c r="F14760" i="6"/>
  <c r="E14748" i="6"/>
  <c r="F14722" i="6"/>
  <c r="E14721" i="6" l="1"/>
  <c r="F14695" i="6"/>
  <c r="E14737" i="6"/>
  <c r="F14711" i="6"/>
  <c r="E14741" i="6"/>
  <c r="F14715" i="6"/>
  <c r="E14757" i="6"/>
  <c r="F14731" i="6"/>
  <c r="E14729" i="6"/>
  <c r="F14703" i="6"/>
  <c r="E14740" i="6"/>
  <c r="F14714" i="6"/>
  <c r="E14733" i="6"/>
  <c r="F14707" i="6"/>
  <c r="E14765" i="6"/>
  <c r="F14739" i="6"/>
  <c r="E14776" i="6"/>
  <c r="F14750" i="6"/>
  <c r="E14725" i="6"/>
  <c r="F14699" i="6"/>
  <c r="E14798" i="6"/>
  <c r="F14772" i="6"/>
  <c r="E14788" i="6"/>
  <c r="F14762" i="6"/>
  <c r="E14735" i="6"/>
  <c r="F14709" i="6"/>
  <c r="E14749" i="6"/>
  <c r="F14723" i="6"/>
  <c r="E14774" i="6"/>
  <c r="F14748" i="6"/>
  <c r="E14754" i="6"/>
  <c r="F14728" i="6"/>
  <c r="E14753" i="6"/>
  <c r="F14727" i="6"/>
  <c r="E14752" i="6"/>
  <c r="F14726" i="6"/>
  <c r="E14764" i="6"/>
  <c r="F14738" i="6"/>
  <c r="E14718" i="6"/>
  <c r="F14692" i="6"/>
  <c r="E14730" i="6"/>
  <c r="F14704" i="6"/>
  <c r="E14812" i="6"/>
  <c r="F14786" i="6"/>
  <c r="E14743" i="6"/>
  <c r="F14717" i="6"/>
  <c r="E14784" i="6"/>
  <c r="F14758" i="6"/>
  <c r="E14745" i="6"/>
  <c r="F14719" i="6"/>
  <c r="E14794" i="6"/>
  <c r="F14768" i="6"/>
  <c r="E14780" i="6" l="1"/>
  <c r="F14754" i="6"/>
  <c r="E14791" i="6"/>
  <c r="F14765" i="6"/>
  <c r="F14757" i="6"/>
  <c r="E14783" i="6"/>
  <c r="E14810" i="6"/>
  <c r="F14784" i="6"/>
  <c r="E14790" i="6"/>
  <c r="F14764" i="6"/>
  <c r="E14824" i="6"/>
  <c r="F14798" i="6"/>
  <c r="E14759" i="6"/>
  <c r="F14733" i="6"/>
  <c r="E14767" i="6"/>
  <c r="F14741" i="6"/>
  <c r="E14814" i="6"/>
  <c r="F14788" i="6"/>
  <c r="E14769" i="6"/>
  <c r="F14743" i="6"/>
  <c r="E14775" i="6"/>
  <c r="F14749" i="6"/>
  <c r="E14751" i="6"/>
  <c r="F14725" i="6"/>
  <c r="E14766" i="6"/>
  <c r="F14740" i="6"/>
  <c r="E14763" i="6"/>
  <c r="F14737" i="6"/>
  <c r="E14744" i="6"/>
  <c r="F14718" i="6"/>
  <c r="E14800" i="6"/>
  <c r="F14774" i="6"/>
  <c r="E14820" i="6"/>
  <c r="F14794" i="6"/>
  <c r="E14778" i="6"/>
  <c r="F14752" i="6"/>
  <c r="F14812" i="6"/>
  <c r="E14838" i="6"/>
  <c r="E14771" i="6"/>
  <c r="F14745" i="6"/>
  <c r="E14756" i="6"/>
  <c r="F14730" i="6"/>
  <c r="E14779" i="6"/>
  <c r="F14753" i="6"/>
  <c r="E14761" i="6"/>
  <c r="F14735" i="6"/>
  <c r="E14802" i="6"/>
  <c r="F14776" i="6"/>
  <c r="E14755" i="6"/>
  <c r="F14729" i="6"/>
  <c r="E14747" i="6"/>
  <c r="F14721" i="6"/>
  <c r="E14793" i="6" l="1"/>
  <c r="F14767" i="6"/>
  <c r="E14836" i="6"/>
  <c r="F14810" i="6"/>
  <c r="F14783" i="6"/>
  <c r="E14809" i="6"/>
  <c r="E14828" i="6"/>
  <c r="F14802" i="6"/>
  <c r="E14801" i="6"/>
  <c r="F14775" i="6"/>
  <c r="E14785" i="6"/>
  <c r="F14759" i="6"/>
  <c r="E14826" i="6"/>
  <c r="F14800" i="6"/>
  <c r="E14805" i="6"/>
  <c r="F14779" i="6"/>
  <c r="E14789" i="6"/>
  <c r="F14763" i="6"/>
  <c r="E14795" i="6"/>
  <c r="F14769" i="6"/>
  <c r="E14850" i="6"/>
  <c r="F14824" i="6"/>
  <c r="E14817" i="6"/>
  <c r="F14791" i="6"/>
  <c r="E14777" i="6"/>
  <c r="F14751" i="6"/>
  <c r="E14787" i="6"/>
  <c r="F14761" i="6"/>
  <c r="E14770" i="6"/>
  <c r="F14744" i="6"/>
  <c r="E14773" i="6"/>
  <c r="F14747" i="6"/>
  <c r="E14797" i="6"/>
  <c r="F14771" i="6"/>
  <c r="E14864" i="6"/>
  <c r="F14838" i="6"/>
  <c r="E14804" i="6"/>
  <c r="F14778" i="6"/>
  <c r="F14755" i="6"/>
  <c r="E14781" i="6"/>
  <c r="E14782" i="6"/>
  <c r="F14756" i="6"/>
  <c r="E14846" i="6"/>
  <c r="F14820" i="6"/>
  <c r="E14792" i="6"/>
  <c r="F14766" i="6"/>
  <c r="E14840" i="6"/>
  <c r="F14814" i="6"/>
  <c r="E14816" i="6"/>
  <c r="F14790" i="6"/>
  <c r="E14806" i="6"/>
  <c r="F14780" i="6"/>
  <c r="E14807" i="6" l="1"/>
  <c r="F14781" i="6"/>
  <c r="E14831" i="6"/>
  <c r="F14805" i="6"/>
  <c r="F14828" i="6"/>
  <c r="E14854" i="6"/>
  <c r="F14809" i="6"/>
  <c r="E14835" i="6"/>
  <c r="E14843" i="6"/>
  <c r="F14817" i="6"/>
  <c r="E14796" i="6"/>
  <c r="F14770" i="6"/>
  <c r="E14876" i="6"/>
  <c r="F14850" i="6"/>
  <c r="E14852" i="6"/>
  <c r="F14826" i="6"/>
  <c r="F14773" i="6"/>
  <c r="E14799" i="6"/>
  <c r="E14818" i="6"/>
  <c r="F14792" i="6"/>
  <c r="E14872" i="6"/>
  <c r="F14846" i="6"/>
  <c r="E14821" i="6"/>
  <c r="F14795" i="6"/>
  <c r="E14811" i="6"/>
  <c r="F14785" i="6"/>
  <c r="E14862" i="6"/>
  <c r="F14836" i="6"/>
  <c r="E14830" i="6"/>
  <c r="F14804" i="6"/>
  <c r="F14864" i="6"/>
  <c r="E14890" i="6"/>
  <c r="E14866" i="6"/>
  <c r="F14840" i="6"/>
  <c r="E14832" i="6"/>
  <c r="F14806" i="6"/>
  <c r="F14787" i="6"/>
  <c r="E14813" i="6"/>
  <c r="E14842" i="6"/>
  <c r="F14816" i="6"/>
  <c r="E14808" i="6"/>
  <c r="F14782" i="6"/>
  <c r="E14823" i="6"/>
  <c r="F14797" i="6"/>
  <c r="E14803" i="6"/>
  <c r="F14777" i="6"/>
  <c r="E14815" i="6"/>
  <c r="F14789" i="6"/>
  <c r="E14827" i="6"/>
  <c r="F14801" i="6"/>
  <c r="E14819" i="6"/>
  <c r="F14793" i="6"/>
  <c r="E14916" i="6" l="1"/>
  <c r="F14890" i="6"/>
  <c r="F14835" i="6"/>
  <c r="E14861" i="6"/>
  <c r="E14841" i="6"/>
  <c r="F14815" i="6"/>
  <c r="E14868" i="6"/>
  <c r="F14842" i="6"/>
  <c r="E14880" i="6"/>
  <c r="F14854" i="6"/>
  <c r="F14876" i="6"/>
  <c r="E14902" i="6"/>
  <c r="F14852" i="6"/>
  <c r="E14878" i="6"/>
  <c r="E14898" i="6"/>
  <c r="F14872" i="6"/>
  <c r="E14849" i="6"/>
  <c r="F14823" i="6"/>
  <c r="F14862" i="6"/>
  <c r="E14888" i="6"/>
  <c r="E14844" i="6"/>
  <c r="F14818" i="6"/>
  <c r="F14796" i="6"/>
  <c r="E14822" i="6"/>
  <c r="E14857" i="6"/>
  <c r="F14831" i="6"/>
  <c r="E14847" i="6"/>
  <c r="F14821" i="6"/>
  <c r="F14803" i="6"/>
  <c r="E14829" i="6"/>
  <c r="E14845" i="6"/>
  <c r="F14819" i="6"/>
  <c r="E14825" i="6"/>
  <c r="F14799" i="6"/>
  <c r="E14839" i="6"/>
  <c r="F14813" i="6"/>
  <c r="E14856" i="6"/>
  <c r="F14830" i="6"/>
  <c r="E14858" i="6"/>
  <c r="F14832" i="6"/>
  <c r="F14827" i="6"/>
  <c r="E14853" i="6"/>
  <c r="E14834" i="6"/>
  <c r="F14808" i="6"/>
  <c r="E14892" i="6"/>
  <c r="F14866" i="6"/>
  <c r="E14837" i="6"/>
  <c r="F14811" i="6"/>
  <c r="E14869" i="6"/>
  <c r="F14843" i="6"/>
  <c r="E14833" i="6"/>
  <c r="F14807" i="6"/>
  <c r="E14848" i="6" l="1"/>
  <c r="F14822" i="6"/>
  <c r="E14884" i="6"/>
  <c r="F14858" i="6"/>
  <c r="E14924" i="6"/>
  <c r="F14898" i="6"/>
  <c r="E14894" i="6"/>
  <c r="F14868" i="6"/>
  <c r="E14904" i="6"/>
  <c r="F14878" i="6"/>
  <c r="E14863" i="6"/>
  <c r="F14837" i="6"/>
  <c r="E14870" i="6"/>
  <c r="F14844" i="6"/>
  <c r="E14867" i="6"/>
  <c r="F14841" i="6"/>
  <c r="E14914" i="6"/>
  <c r="F14888" i="6"/>
  <c r="F14902" i="6"/>
  <c r="E14928" i="6"/>
  <c r="E14887" i="6"/>
  <c r="F14861" i="6"/>
  <c r="F14892" i="6"/>
  <c r="E14918" i="6"/>
  <c r="E14873" i="6"/>
  <c r="F14847" i="6"/>
  <c r="E14882" i="6"/>
  <c r="F14856" i="6"/>
  <c r="E14859" i="6"/>
  <c r="F14833" i="6"/>
  <c r="E14871" i="6"/>
  <c r="F14845" i="6"/>
  <c r="E14855" i="6"/>
  <c r="F14829" i="6"/>
  <c r="E14860" i="6"/>
  <c r="F14834" i="6"/>
  <c r="F14839" i="6"/>
  <c r="E14865" i="6"/>
  <c r="E14879" i="6"/>
  <c r="F14853" i="6"/>
  <c r="E14895" i="6"/>
  <c r="F14869" i="6"/>
  <c r="E14851" i="6"/>
  <c r="F14825" i="6"/>
  <c r="E14883" i="6"/>
  <c r="F14857" i="6"/>
  <c r="E14875" i="6"/>
  <c r="F14849" i="6"/>
  <c r="E14906" i="6"/>
  <c r="F14880" i="6"/>
  <c r="F14916" i="6"/>
  <c r="E14942" i="6"/>
  <c r="E14944" i="6" l="1"/>
  <c r="F14918" i="6"/>
  <c r="F14894" i="6"/>
  <c r="E14920" i="6"/>
  <c r="F14879" i="6"/>
  <c r="E14905" i="6"/>
  <c r="F14875" i="6"/>
  <c r="E14901" i="6"/>
  <c r="E14891" i="6"/>
  <c r="F14865" i="6"/>
  <c r="E14885" i="6"/>
  <c r="F14859" i="6"/>
  <c r="E14913" i="6"/>
  <c r="F14887" i="6"/>
  <c r="E14896" i="6"/>
  <c r="F14870" i="6"/>
  <c r="F14924" i="6"/>
  <c r="E14950" i="6"/>
  <c r="F14867" i="6"/>
  <c r="E14893" i="6"/>
  <c r="E14954" i="6"/>
  <c r="F14928" i="6"/>
  <c r="F14851" i="6"/>
  <c r="E14877" i="6"/>
  <c r="F14863" i="6"/>
  <c r="E14889" i="6"/>
  <c r="E14910" i="6"/>
  <c r="F14884" i="6"/>
  <c r="E14909" i="6"/>
  <c r="F14883" i="6"/>
  <c r="F14860" i="6"/>
  <c r="E14886" i="6"/>
  <c r="E14897" i="6"/>
  <c r="F14871" i="6"/>
  <c r="E14968" i="6"/>
  <c r="F14942" i="6"/>
  <c r="E14908" i="6"/>
  <c r="F14882" i="6"/>
  <c r="E14932" i="6"/>
  <c r="F14906" i="6"/>
  <c r="E14921" i="6"/>
  <c r="F14895" i="6"/>
  <c r="E14881" i="6"/>
  <c r="F14855" i="6"/>
  <c r="E14899" i="6"/>
  <c r="F14873" i="6"/>
  <c r="F14914" i="6"/>
  <c r="E14940" i="6"/>
  <c r="E14930" i="6"/>
  <c r="F14904" i="6"/>
  <c r="E14874" i="6"/>
  <c r="F14848" i="6"/>
  <c r="E14966" i="6" l="1"/>
  <c r="F14940" i="6"/>
  <c r="E14912" i="6"/>
  <c r="F14886" i="6"/>
  <c r="E14903" i="6"/>
  <c r="F14877" i="6"/>
  <c r="E14927" i="6"/>
  <c r="F14901" i="6"/>
  <c r="E14922" i="6"/>
  <c r="F14896" i="6"/>
  <c r="E14931" i="6"/>
  <c r="F14905" i="6"/>
  <c r="F14932" i="6"/>
  <c r="E14958" i="6"/>
  <c r="E14934" i="6"/>
  <c r="F14908" i="6"/>
  <c r="F14913" i="6"/>
  <c r="E14939" i="6"/>
  <c r="E14919" i="6"/>
  <c r="F14893" i="6"/>
  <c r="E14946" i="6"/>
  <c r="F14920" i="6"/>
  <c r="E14935" i="6"/>
  <c r="F14909" i="6"/>
  <c r="F14968" i="6"/>
  <c r="E14994" i="6"/>
  <c r="E14911" i="6"/>
  <c r="F14885" i="6"/>
  <c r="F14954" i="6"/>
  <c r="E14980" i="6"/>
  <c r="E14907" i="6"/>
  <c r="F14881" i="6"/>
  <c r="E14915" i="6"/>
  <c r="F14889" i="6"/>
  <c r="F14950" i="6"/>
  <c r="E14976" i="6"/>
  <c r="F14899" i="6"/>
  <c r="E14925" i="6"/>
  <c r="E14900" i="6"/>
  <c r="F14874" i="6"/>
  <c r="E14936" i="6"/>
  <c r="F14910" i="6"/>
  <c r="E14956" i="6"/>
  <c r="F14930" i="6"/>
  <c r="E14947" i="6"/>
  <c r="F14921" i="6"/>
  <c r="E14923" i="6"/>
  <c r="F14897" i="6"/>
  <c r="F14891" i="6"/>
  <c r="E14917" i="6"/>
  <c r="E14970" i="6"/>
  <c r="F14944" i="6"/>
  <c r="E14953" i="6" l="1"/>
  <c r="F14927" i="6"/>
  <c r="F14980" i="6"/>
  <c r="E15006" i="6"/>
  <c r="E14984" i="6"/>
  <c r="F14958" i="6"/>
  <c r="E14949" i="6"/>
  <c r="F14923" i="6"/>
  <c r="E14960" i="6"/>
  <c r="F14934" i="6"/>
  <c r="F14903" i="6"/>
  <c r="E14929" i="6"/>
  <c r="F14900" i="6"/>
  <c r="E14926" i="6"/>
  <c r="E14951" i="6"/>
  <c r="F14925" i="6"/>
  <c r="F14947" i="6"/>
  <c r="E14973" i="6"/>
  <c r="F14946" i="6"/>
  <c r="E14972" i="6"/>
  <c r="E14982" i="6"/>
  <c r="F14956" i="6"/>
  <c r="E14937" i="6"/>
  <c r="F14911" i="6"/>
  <c r="E14945" i="6"/>
  <c r="F14919" i="6"/>
  <c r="E14957" i="6"/>
  <c r="F14931" i="6"/>
  <c r="E14938" i="6"/>
  <c r="F14912" i="6"/>
  <c r="E14961" i="6"/>
  <c r="F14935" i="6"/>
  <c r="E15002" i="6"/>
  <c r="F14976" i="6"/>
  <c r="F14970" i="6"/>
  <c r="E14996" i="6"/>
  <c r="E14943" i="6"/>
  <c r="F14917" i="6"/>
  <c r="E15020" i="6"/>
  <c r="F14994" i="6"/>
  <c r="E14965" i="6"/>
  <c r="F14939" i="6"/>
  <c r="E14933" i="6"/>
  <c r="F14907" i="6"/>
  <c r="F14936" i="6"/>
  <c r="E14962" i="6"/>
  <c r="F14915" i="6"/>
  <c r="E14941" i="6"/>
  <c r="F14922" i="6"/>
  <c r="E14948" i="6"/>
  <c r="E14992" i="6"/>
  <c r="F14966" i="6"/>
  <c r="F15020" i="6" l="1"/>
  <c r="E15046" i="6"/>
  <c r="E14977" i="6"/>
  <c r="F14951" i="6"/>
  <c r="E14975" i="6"/>
  <c r="F14949" i="6"/>
  <c r="E14967" i="6"/>
  <c r="F14941" i="6"/>
  <c r="E14988" i="6"/>
  <c r="F14962" i="6"/>
  <c r="F14926" i="6"/>
  <c r="E14952" i="6"/>
  <c r="E15008" i="6"/>
  <c r="F14982" i="6"/>
  <c r="E15010" i="6"/>
  <c r="F14984" i="6"/>
  <c r="E14987" i="6"/>
  <c r="F14961" i="6"/>
  <c r="E14998" i="6"/>
  <c r="F14972" i="6"/>
  <c r="E14955" i="6"/>
  <c r="F14929" i="6"/>
  <c r="E15032" i="6"/>
  <c r="F15006" i="6"/>
  <c r="E14964" i="6"/>
  <c r="F14938" i="6"/>
  <c r="E15018" i="6"/>
  <c r="F14992" i="6"/>
  <c r="E14963" i="6"/>
  <c r="F14937" i="6"/>
  <c r="E14969" i="6"/>
  <c r="F14943" i="6"/>
  <c r="F14996" i="6"/>
  <c r="E15022" i="6"/>
  <c r="E14959" i="6"/>
  <c r="F14933" i="6"/>
  <c r="E14983" i="6"/>
  <c r="F14957" i="6"/>
  <c r="F14948" i="6"/>
  <c r="E14974" i="6"/>
  <c r="E14999" i="6"/>
  <c r="F14973" i="6"/>
  <c r="F14965" i="6"/>
  <c r="E14991" i="6"/>
  <c r="F15002" i="6"/>
  <c r="E15028" i="6"/>
  <c r="E14971" i="6"/>
  <c r="F14945" i="6"/>
  <c r="E14986" i="6"/>
  <c r="F14960" i="6"/>
  <c r="F14953" i="6"/>
  <c r="E14979" i="6"/>
  <c r="E14993" i="6" l="1"/>
  <c r="F14967" i="6"/>
  <c r="E14995" i="6"/>
  <c r="F14969" i="6"/>
  <c r="E15000" i="6"/>
  <c r="F14974" i="6"/>
  <c r="E14989" i="6"/>
  <c r="F14963" i="6"/>
  <c r="F14955" i="6"/>
  <c r="E14981" i="6"/>
  <c r="F15008" i="6"/>
  <c r="E15034" i="6"/>
  <c r="E15001" i="6"/>
  <c r="F14975" i="6"/>
  <c r="E15017" i="6"/>
  <c r="F14991" i="6"/>
  <c r="E14978" i="6"/>
  <c r="F14952" i="6"/>
  <c r="E15036" i="6"/>
  <c r="F15010" i="6"/>
  <c r="F15018" i="6"/>
  <c r="E15044" i="6"/>
  <c r="E15024" i="6"/>
  <c r="F14998" i="6"/>
  <c r="F14977" i="6"/>
  <c r="E15003" i="6"/>
  <c r="E14997" i="6"/>
  <c r="F14971" i="6"/>
  <c r="F15028" i="6"/>
  <c r="E15054" i="6"/>
  <c r="E15009" i="6"/>
  <c r="F14983" i="6"/>
  <c r="E15048" i="6"/>
  <c r="F15022" i="6"/>
  <c r="E15072" i="6"/>
  <c r="F15046" i="6"/>
  <c r="F15032" i="6"/>
  <c r="E15058" i="6"/>
  <c r="F14979" i="6"/>
  <c r="E15005" i="6"/>
  <c r="E14985" i="6"/>
  <c r="F14959" i="6"/>
  <c r="F14986" i="6"/>
  <c r="E15012" i="6"/>
  <c r="F14999" i="6"/>
  <c r="E15025" i="6"/>
  <c r="F14964" i="6"/>
  <c r="E14990" i="6"/>
  <c r="F14987" i="6"/>
  <c r="E15013" i="6"/>
  <c r="F14988" i="6"/>
  <c r="E15014" i="6"/>
  <c r="E15016" i="6" l="1"/>
  <c r="F14990" i="6"/>
  <c r="E15043" i="6"/>
  <c r="F15017" i="6"/>
  <c r="F14989" i="6"/>
  <c r="E15015" i="6"/>
  <c r="E15051" i="6"/>
  <c r="F15025" i="6"/>
  <c r="E15027" i="6"/>
  <c r="F15001" i="6"/>
  <c r="E15026" i="6"/>
  <c r="F15000" i="6"/>
  <c r="E15035" i="6"/>
  <c r="F15009" i="6"/>
  <c r="F15034" i="6"/>
  <c r="E15060" i="6"/>
  <c r="E15050" i="6"/>
  <c r="F15024" i="6"/>
  <c r="E15023" i="6"/>
  <c r="F14997" i="6"/>
  <c r="E15021" i="6"/>
  <c r="F14995" i="6"/>
  <c r="E15031" i="6"/>
  <c r="F15005" i="6"/>
  <c r="F15044" i="6"/>
  <c r="E15070" i="6"/>
  <c r="F15012" i="6"/>
  <c r="E15038" i="6"/>
  <c r="F15072" i="6"/>
  <c r="E15098" i="6"/>
  <c r="E15039" i="6"/>
  <c r="F15013" i="6"/>
  <c r="E15029" i="6"/>
  <c r="F15003" i="6"/>
  <c r="E15007" i="6"/>
  <c r="F14981" i="6"/>
  <c r="E15084" i="6"/>
  <c r="F15058" i="6"/>
  <c r="E15080" i="6"/>
  <c r="F15054" i="6"/>
  <c r="E15040" i="6"/>
  <c r="F15014" i="6"/>
  <c r="E15062" i="6"/>
  <c r="F15036" i="6"/>
  <c r="E15011" i="6"/>
  <c r="F14985" i="6"/>
  <c r="E15074" i="6"/>
  <c r="F15048" i="6"/>
  <c r="E15004" i="6"/>
  <c r="F14978" i="6"/>
  <c r="E15019" i="6"/>
  <c r="F14993" i="6"/>
  <c r="E15086" i="6" l="1"/>
  <c r="F15060" i="6"/>
  <c r="F15051" i="6"/>
  <c r="E15077" i="6"/>
  <c r="E15041" i="6"/>
  <c r="F15015" i="6"/>
  <c r="E15065" i="6"/>
  <c r="F15039" i="6"/>
  <c r="F15084" i="6"/>
  <c r="E15110" i="6"/>
  <c r="E15047" i="6"/>
  <c r="F15021" i="6"/>
  <c r="E15061" i="6"/>
  <c r="F15035" i="6"/>
  <c r="E15057" i="6"/>
  <c r="F15031" i="6"/>
  <c r="E15064" i="6"/>
  <c r="F15038" i="6"/>
  <c r="E15106" i="6"/>
  <c r="F15080" i="6"/>
  <c r="F15011" i="6"/>
  <c r="E15037" i="6"/>
  <c r="E15033" i="6"/>
  <c r="F15007" i="6"/>
  <c r="F15023" i="6"/>
  <c r="E15049" i="6"/>
  <c r="E15052" i="6"/>
  <c r="F15026" i="6"/>
  <c r="E15069" i="6"/>
  <c r="F15043" i="6"/>
  <c r="F15098" i="6"/>
  <c r="E15124" i="6"/>
  <c r="E15088" i="6"/>
  <c r="F15062" i="6"/>
  <c r="E15096" i="6"/>
  <c r="F15070" i="6"/>
  <c r="F15074" i="6"/>
  <c r="E15100" i="6"/>
  <c r="F15019" i="6"/>
  <c r="E15045" i="6"/>
  <c r="E15030" i="6"/>
  <c r="F15004" i="6"/>
  <c r="F15040" i="6"/>
  <c r="E15066" i="6"/>
  <c r="E15055" i="6"/>
  <c r="F15029" i="6"/>
  <c r="F15050" i="6"/>
  <c r="E15076" i="6"/>
  <c r="E15053" i="6"/>
  <c r="F15027" i="6"/>
  <c r="E15042" i="6"/>
  <c r="F15016" i="6"/>
  <c r="F15124" i="6" l="1"/>
  <c r="E15150" i="6"/>
  <c r="E15059" i="6"/>
  <c r="F15033" i="6"/>
  <c r="E15083" i="6"/>
  <c r="F15057" i="6"/>
  <c r="E15091" i="6"/>
  <c r="F15065" i="6"/>
  <c r="E15126" i="6"/>
  <c r="F15100" i="6"/>
  <c r="F15055" i="6"/>
  <c r="E15081" i="6"/>
  <c r="E15087" i="6"/>
  <c r="F15061" i="6"/>
  <c r="E15067" i="6"/>
  <c r="F15041" i="6"/>
  <c r="E15095" i="6"/>
  <c r="F15069" i="6"/>
  <c r="E15103" i="6"/>
  <c r="F15077" i="6"/>
  <c r="F15106" i="6"/>
  <c r="E15132" i="6"/>
  <c r="E15073" i="6"/>
  <c r="F15047" i="6"/>
  <c r="E15071" i="6"/>
  <c r="F15045" i="6"/>
  <c r="F15066" i="6"/>
  <c r="E15092" i="6"/>
  <c r="E15122" i="6"/>
  <c r="F15096" i="6"/>
  <c r="E15075" i="6"/>
  <c r="F15049" i="6"/>
  <c r="E15136" i="6"/>
  <c r="F15110" i="6"/>
  <c r="F15076" i="6"/>
  <c r="E15102" i="6"/>
  <c r="E15063" i="6"/>
  <c r="F15037" i="6"/>
  <c r="E15068" i="6"/>
  <c r="F15042" i="6"/>
  <c r="E15078" i="6"/>
  <c r="F15052" i="6"/>
  <c r="E15079" i="6"/>
  <c r="F15053" i="6"/>
  <c r="E15056" i="6"/>
  <c r="F15030" i="6"/>
  <c r="F15088" i="6"/>
  <c r="E15114" i="6"/>
  <c r="E15090" i="6"/>
  <c r="F15064" i="6"/>
  <c r="E15112" i="6"/>
  <c r="F15086" i="6"/>
  <c r="E15101" i="6" l="1"/>
  <c r="F15075" i="6"/>
  <c r="E15093" i="6"/>
  <c r="F15067" i="6"/>
  <c r="E15117" i="6"/>
  <c r="F15091" i="6"/>
  <c r="E15158" i="6"/>
  <c r="F15132" i="6"/>
  <c r="E15148" i="6"/>
  <c r="F15122" i="6"/>
  <c r="E15113" i="6"/>
  <c r="F15087" i="6"/>
  <c r="F15083" i="6"/>
  <c r="E15109" i="6"/>
  <c r="E15094" i="6"/>
  <c r="F15068" i="6"/>
  <c r="F15056" i="6"/>
  <c r="E15082" i="6"/>
  <c r="E15128" i="6"/>
  <c r="F15102" i="6"/>
  <c r="F15092" i="6"/>
  <c r="E15118" i="6"/>
  <c r="E15107" i="6"/>
  <c r="F15081" i="6"/>
  <c r="E15089" i="6"/>
  <c r="F15063" i="6"/>
  <c r="E15138" i="6"/>
  <c r="F15112" i="6"/>
  <c r="E15085" i="6"/>
  <c r="F15059" i="6"/>
  <c r="E15176" i="6"/>
  <c r="F15150" i="6"/>
  <c r="E15140" i="6"/>
  <c r="F15114" i="6"/>
  <c r="E15099" i="6"/>
  <c r="F15073" i="6"/>
  <c r="E15105" i="6"/>
  <c r="F15079" i="6"/>
  <c r="E15129" i="6"/>
  <c r="F15103" i="6"/>
  <c r="E15116" i="6"/>
  <c r="F15090" i="6"/>
  <c r="E15104" i="6"/>
  <c r="F15078" i="6"/>
  <c r="F15136" i="6"/>
  <c r="E15162" i="6"/>
  <c r="E15097" i="6"/>
  <c r="F15071" i="6"/>
  <c r="E15121" i="6"/>
  <c r="F15095" i="6"/>
  <c r="E15152" i="6"/>
  <c r="F15126" i="6"/>
  <c r="E15120" i="6" l="1"/>
  <c r="F15094" i="6"/>
  <c r="E15184" i="6"/>
  <c r="F15158" i="6"/>
  <c r="E15144" i="6"/>
  <c r="F15118" i="6"/>
  <c r="F15109" i="6"/>
  <c r="E15135" i="6"/>
  <c r="E15143" i="6"/>
  <c r="F15117" i="6"/>
  <c r="E15155" i="6"/>
  <c r="F15129" i="6"/>
  <c r="E15131" i="6"/>
  <c r="F15105" i="6"/>
  <c r="F15107" i="6"/>
  <c r="E15133" i="6"/>
  <c r="F15152" i="6"/>
  <c r="E15178" i="6"/>
  <c r="E15125" i="6"/>
  <c r="F15099" i="6"/>
  <c r="E15154" i="6"/>
  <c r="F15128" i="6"/>
  <c r="E15139" i="6"/>
  <c r="F15113" i="6"/>
  <c r="E15119" i="6"/>
  <c r="F15093" i="6"/>
  <c r="E15123" i="6"/>
  <c r="F15097" i="6"/>
  <c r="F15162" i="6"/>
  <c r="E15188" i="6"/>
  <c r="E15111" i="6"/>
  <c r="F15085" i="6"/>
  <c r="E15130" i="6"/>
  <c r="F15104" i="6"/>
  <c r="E15108" i="6"/>
  <c r="F15082" i="6"/>
  <c r="E15202" i="6"/>
  <c r="F15176" i="6"/>
  <c r="E15164" i="6"/>
  <c r="F15138" i="6"/>
  <c r="E15147" i="6"/>
  <c r="F15121" i="6"/>
  <c r="F15116" i="6"/>
  <c r="E15142" i="6"/>
  <c r="F15140" i="6"/>
  <c r="E15166" i="6"/>
  <c r="E15115" i="6"/>
  <c r="F15089" i="6"/>
  <c r="E15174" i="6"/>
  <c r="F15148" i="6"/>
  <c r="E15127" i="6"/>
  <c r="F15101" i="6"/>
  <c r="E15159" i="6" l="1"/>
  <c r="F15133" i="6"/>
  <c r="F15135" i="6"/>
  <c r="E15161" i="6"/>
  <c r="E15190" i="6"/>
  <c r="F15164" i="6"/>
  <c r="F15139" i="6"/>
  <c r="E15165" i="6"/>
  <c r="E15137" i="6"/>
  <c r="F15111" i="6"/>
  <c r="E15192" i="6"/>
  <c r="F15166" i="6"/>
  <c r="F15188" i="6"/>
  <c r="E15214" i="6"/>
  <c r="F15202" i="6"/>
  <c r="E15228" i="6"/>
  <c r="E15180" i="6"/>
  <c r="F15154" i="6"/>
  <c r="E15157" i="6"/>
  <c r="F15131" i="6"/>
  <c r="E15170" i="6"/>
  <c r="F15144" i="6"/>
  <c r="E15168" i="6"/>
  <c r="F15142" i="6"/>
  <c r="F15178" i="6"/>
  <c r="E15204" i="6"/>
  <c r="F15115" i="6"/>
  <c r="E15141" i="6"/>
  <c r="F15127" i="6"/>
  <c r="E15153" i="6"/>
  <c r="E15134" i="6"/>
  <c r="F15108" i="6"/>
  <c r="E15149" i="6"/>
  <c r="F15123" i="6"/>
  <c r="E15151" i="6"/>
  <c r="F15125" i="6"/>
  <c r="E15181" i="6"/>
  <c r="F15155" i="6"/>
  <c r="F15184" i="6"/>
  <c r="E15210" i="6"/>
  <c r="E15200" i="6"/>
  <c r="F15174" i="6"/>
  <c r="E15173" i="6"/>
  <c r="F15147" i="6"/>
  <c r="E15156" i="6"/>
  <c r="F15130" i="6"/>
  <c r="F15119" i="6"/>
  <c r="E15145" i="6"/>
  <c r="E15169" i="6"/>
  <c r="F15143" i="6"/>
  <c r="E15146" i="6"/>
  <c r="F15120" i="6"/>
  <c r="E15171" i="6" l="1"/>
  <c r="F15145" i="6"/>
  <c r="E15236" i="6"/>
  <c r="F15210" i="6"/>
  <c r="E15254" i="6"/>
  <c r="F15228" i="6"/>
  <c r="E15191" i="6"/>
  <c r="F15165" i="6"/>
  <c r="E15240" i="6"/>
  <c r="F15214" i="6"/>
  <c r="E15160" i="6"/>
  <c r="F15134" i="6"/>
  <c r="E15182" i="6"/>
  <c r="F15156" i="6"/>
  <c r="F15170" i="6"/>
  <c r="E15196" i="6"/>
  <c r="E15216" i="6"/>
  <c r="F15190" i="6"/>
  <c r="F15161" i="6"/>
  <c r="E15187" i="6"/>
  <c r="E15207" i="6"/>
  <c r="F15181" i="6"/>
  <c r="E15172" i="6"/>
  <c r="F15146" i="6"/>
  <c r="F15151" i="6"/>
  <c r="E15177" i="6"/>
  <c r="E15183" i="6"/>
  <c r="F15157" i="6"/>
  <c r="F15192" i="6"/>
  <c r="E15218" i="6"/>
  <c r="E15194" i="6"/>
  <c r="F15168" i="6"/>
  <c r="E15230" i="6"/>
  <c r="F15204" i="6"/>
  <c r="E15179" i="6"/>
  <c r="F15153" i="6"/>
  <c r="E15167" i="6"/>
  <c r="F15141" i="6"/>
  <c r="E15199" i="6"/>
  <c r="F15173" i="6"/>
  <c r="F15169" i="6"/>
  <c r="E15195" i="6"/>
  <c r="E15226" i="6"/>
  <c r="F15200" i="6"/>
  <c r="E15175" i="6"/>
  <c r="F15149" i="6"/>
  <c r="F15180" i="6"/>
  <c r="E15206" i="6"/>
  <c r="E15163" i="6"/>
  <c r="F15137" i="6"/>
  <c r="F15159" i="6"/>
  <c r="E15185" i="6"/>
  <c r="E15222" i="6" l="1"/>
  <c r="F15196" i="6"/>
  <c r="F15191" i="6"/>
  <c r="E15217" i="6"/>
  <c r="F15199" i="6"/>
  <c r="E15225" i="6"/>
  <c r="E15233" i="6"/>
  <c r="F15207" i="6"/>
  <c r="F15182" i="6"/>
  <c r="E15208" i="6"/>
  <c r="E15280" i="6"/>
  <c r="F15254" i="6"/>
  <c r="E15232" i="6"/>
  <c r="F15206" i="6"/>
  <c r="E15213" i="6"/>
  <c r="F15187" i="6"/>
  <c r="E15220" i="6"/>
  <c r="F15194" i="6"/>
  <c r="E15244" i="6"/>
  <c r="F15218" i="6"/>
  <c r="F15183" i="6"/>
  <c r="E15209" i="6"/>
  <c r="F15160" i="6"/>
  <c r="E15186" i="6"/>
  <c r="E15262" i="6"/>
  <c r="F15236" i="6"/>
  <c r="E15198" i="6"/>
  <c r="F15172" i="6"/>
  <c r="F15167" i="6"/>
  <c r="E15193" i="6"/>
  <c r="E15211" i="6"/>
  <c r="F15185" i="6"/>
  <c r="E15205" i="6"/>
  <c r="F15179" i="6"/>
  <c r="F15195" i="6"/>
  <c r="E15221" i="6"/>
  <c r="E15203" i="6"/>
  <c r="F15177" i="6"/>
  <c r="E15201" i="6"/>
  <c r="F15175" i="6"/>
  <c r="F15226" i="6"/>
  <c r="E15252" i="6"/>
  <c r="E15189" i="6"/>
  <c r="F15163" i="6"/>
  <c r="E15256" i="6"/>
  <c r="F15230" i="6"/>
  <c r="F15216" i="6"/>
  <c r="E15242" i="6"/>
  <c r="E15266" i="6"/>
  <c r="F15240" i="6"/>
  <c r="F15171" i="6"/>
  <c r="E15197" i="6"/>
  <c r="F15242" i="6" l="1"/>
  <c r="E15268" i="6"/>
  <c r="E15212" i="6"/>
  <c r="F15186" i="6"/>
  <c r="F15213" i="6"/>
  <c r="E15239" i="6"/>
  <c r="E15259" i="6"/>
  <c r="F15233" i="6"/>
  <c r="E15251" i="6"/>
  <c r="F15225" i="6"/>
  <c r="E15227" i="6"/>
  <c r="F15201" i="6"/>
  <c r="E15282" i="6"/>
  <c r="F15256" i="6"/>
  <c r="E15258" i="6"/>
  <c r="F15232" i="6"/>
  <c r="E15247" i="6"/>
  <c r="F15221" i="6"/>
  <c r="E15243" i="6"/>
  <c r="F15217" i="6"/>
  <c r="E15235" i="6"/>
  <c r="F15209" i="6"/>
  <c r="E15224" i="6"/>
  <c r="F15198" i="6"/>
  <c r="F15244" i="6"/>
  <c r="E15270" i="6"/>
  <c r="E15306" i="6"/>
  <c r="F15280" i="6"/>
  <c r="F15211" i="6"/>
  <c r="E15237" i="6"/>
  <c r="F15193" i="6"/>
  <c r="E15219" i="6"/>
  <c r="E15234" i="6"/>
  <c r="F15208" i="6"/>
  <c r="E15229" i="6"/>
  <c r="F15203" i="6"/>
  <c r="E15223" i="6"/>
  <c r="F15197" i="6"/>
  <c r="E15215" i="6"/>
  <c r="F15189" i="6"/>
  <c r="F15252" i="6"/>
  <c r="E15278" i="6"/>
  <c r="E15292" i="6"/>
  <c r="F15266" i="6"/>
  <c r="E15231" i="6"/>
  <c r="F15205" i="6"/>
  <c r="E15288" i="6"/>
  <c r="F15262" i="6"/>
  <c r="F15220" i="6"/>
  <c r="E15246" i="6"/>
  <c r="E15248" i="6"/>
  <c r="F15222" i="6"/>
  <c r="E15245" i="6" l="1"/>
  <c r="F15219" i="6"/>
  <c r="F15224" i="6"/>
  <c r="E15250" i="6"/>
  <c r="F15258" i="6"/>
  <c r="E15284" i="6"/>
  <c r="E15285" i="6"/>
  <c r="F15259" i="6"/>
  <c r="F15288" i="6"/>
  <c r="E15314" i="6"/>
  <c r="E15263" i="6"/>
  <c r="F15237" i="6"/>
  <c r="E15265" i="6"/>
  <c r="F15239" i="6"/>
  <c r="F15223" i="6"/>
  <c r="E15249" i="6"/>
  <c r="E15308" i="6"/>
  <c r="F15282" i="6"/>
  <c r="F15235" i="6"/>
  <c r="E15261" i="6"/>
  <c r="F15215" i="6"/>
  <c r="E15241" i="6"/>
  <c r="E15255" i="6"/>
  <c r="F15229" i="6"/>
  <c r="E15253" i="6"/>
  <c r="F15227" i="6"/>
  <c r="E15238" i="6"/>
  <c r="F15212" i="6"/>
  <c r="F15231" i="6"/>
  <c r="E15257" i="6"/>
  <c r="E15318" i="6"/>
  <c r="F15292" i="6"/>
  <c r="F15243" i="6"/>
  <c r="E15269" i="6"/>
  <c r="E15304" i="6"/>
  <c r="F15278" i="6"/>
  <c r="E15296" i="6"/>
  <c r="F15270" i="6"/>
  <c r="E15294" i="6"/>
  <c r="F15268" i="6"/>
  <c r="E15274" i="6"/>
  <c r="F15248" i="6"/>
  <c r="F15306" i="6"/>
  <c r="E15332" i="6"/>
  <c r="E15272" i="6"/>
  <c r="F15246" i="6"/>
  <c r="F15234" i="6"/>
  <c r="E15260" i="6"/>
  <c r="F15247" i="6"/>
  <c r="E15273" i="6"/>
  <c r="E15277" i="6"/>
  <c r="F15251" i="6"/>
  <c r="E15275" i="6" l="1"/>
  <c r="F15249" i="6"/>
  <c r="E15311" i="6"/>
  <c r="F15285" i="6"/>
  <c r="E15267" i="6"/>
  <c r="F15241" i="6"/>
  <c r="E15310" i="6"/>
  <c r="F15284" i="6"/>
  <c r="E15291" i="6"/>
  <c r="F15265" i="6"/>
  <c r="F15255" i="6"/>
  <c r="E15281" i="6"/>
  <c r="E15322" i="6"/>
  <c r="F15296" i="6"/>
  <c r="E15287" i="6"/>
  <c r="F15261" i="6"/>
  <c r="E15276" i="6"/>
  <c r="F15250" i="6"/>
  <c r="E15320" i="6"/>
  <c r="F15294" i="6"/>
  <c r="E15298" i="6"/>
  <c r="F15272" i="6"/>
  <c r="E15330" i="6"/>
  <c r="F15304" i="6"/>
  <c r="E15289" i="6"/>
  <c r="F15263" i="6"/>
  <c r="E15344" i="6"/>
  <c r="F15318" i="6"/>
  <c r="E15340" i="6"/>
  <c r="F15314" i="6"/>
  <c r="E15286" i="6"/>
  <c r="F15260" i="6"/>
  <c r="E15283" i="6"/>
  <c r="F15257" i="6"/>
  <c r="E15358" i="6"/>
  <c r="F15332" i="6"/>
  <c r="E15303" i="6"/>
  <c r="F15277" i="6"/>
  <c r="E15264" i="6"/>
  <c r="F15238" i="6"/>
  <c r="E15299" i="6"/>
  <c r="F15273" i="6"/>
  <c r="E15295" i="6"/>
  <c r="F15269" i="6"/>
  <c r="E15300" i="6"/>
  <c r="F15274" i="6"/>
  <c r="E15279" i="6"/>
  <c r="F15253" i="6"/>
  <c r="F15308" i="6"/>
  <c r="E15334" i="6"/>
  <c r="E15271" i="6"/>
  <c r="F15245" i="6"/>
  <c r="F15287" i="6" l="1"/>
  <c r="E15313" i="6"/>
  <c r="E15336" i="6"/>
  <c r="F15310" i="6"/>
  <c r="E15312" i="6"/>
  <c r="F15286" i="6"/>
  <c r="E15326" i="6"/>
  <c r="F15300" i="6"/>
  <c r="E15324" i="6"/>
  <c r="F15298" i="6"/>
  <c r="F15322" i="6"/>
  <c r="E15348" i="6"/>
  <c r="E15293" i="6"/>
  <c r="F15267" i="6"/>
  <c r="E15290" i="6"/>
  <c r="F15264" i="6"/>
  <c r="E15307" i="6"/>
  <c r="F15281" i="6"/>
  <c r="F15340" i="6"/>
  <c r="E15366" i="6"/>
  <c r="E15297" i="6"/>
  <c r="F15271" i="6"/>
  <c r="E15370" i="6"/>
  <c r="F15344" i="6"/>
  <c r="F15320" i="6"/>
  <c r="E15346" i="6"/>
  <c r="F15311" i="6"/>
  <c r="E15337" i="6"/>
  <c r="E15305" i="6"/>
  <c r="F15279" i="6"/>
  <c r="F15295" i="6"/>
  <c r="E15321" i="6"/>
  <c r="E15360" i="6"/>
  <c r="F15334" i="6"/>
  <c r="E15356" i="6"/>
  <c r="F15330" i="6"/>
  <c r="E15329" i="6"/>
  <c r="F15303" i="6"/>
  <c r="E15384" i="6"/>
  <c r="F15358" i="6"/>
  <c r="F15299" i="6"/>
  <c r="E15325" i="6"/>
  <c r="E15309" i="6"/>
  <c r="F15283" i="6"/>
  <c r="F15289" i="6"/>
  <c r="E15315" i="6"/>
  <c r="F15276" i="6"/>
  <c r="E15302" i="6"/>
  <c r="E15317" i="6"/>
  <c r="F15291" i="6"/>
  <c r="E15301" i="6"/>
  <c r="F15275" i="6"/>
  <c r="E15347" i="6" l="1"/>
  <c r="F15321" i="6"/>
  <c r="F15384" i="6"/>
  <c r="E15410" i="6"/>
  <c r="F15290" i="6"/>
  <c r="E15316" i="6"/>
  <c r="E15352" i="6"/>
  <c r="F15326" i="6"/>
  <c r="E15341" i="6"/>
  <c r="F15315" i="6"/>
  <c r="E15355" i="6"/>
  <c r="F15329" i="6"/>
  <c r="E15319" i="6"/>
  <c r="F15293" i="6"/>
  <c r="F15312" i="6"/>
  <c r="E15338" i="6"/>
  <c r="F15337" i="6"/>
  <c r="E15363" i="6"/>
  <c r="E15392" i="6"/>
  <c r="F15366" i="6"/>
  <c r="F15348" i="6"/>
  <c r="E15374" i="6"/>
  <c r="F15370" i="6"/>
  <c r="E15396" i="6"/>
  <c r="F15297" i="6"/>
  <c r="E15323" i="6"/>
  <c r="E15335" i="6"/>
  <c r="F15309" i="6"/>
  <c r="F15336" i="6"/>
  <c r="E15362" i="6"/>
  <c r="E15331" i="6"/>
  <c r="F15305" i="6"/>
  <c r="E15327" i="6"/>
  <c r="F15301" i="6"/>
  <c r="E15372" i="6"/>
  <c r="F15346" i="6"/>
  <c r="E15339" i="6"/>
  <c r="F15313" i="6"/>
  <c r="E15328" i="6"/>
  <c r="F15302" i="6"/>
  <c r="E15382" i="6"/>
  <c r="F15356" i="6"/>
  <c r="E15351" i="6"/>
  <c r="F15325" i="6"/>
  <c r="E15343" i="6"/>
  <c r="F15317" i="6"/>
  <c r="F15360" i="6"/>
  <c r="E15386" i="6"/>
  <c r="F15307" i="6"/>
  <c r="E15333" i="6"/>
  <c r="F15324" i="6"/>
  <c r="E15350" i="6"/>
  <c r="E15412" i="6" l="1"/>
  <c r="F15386" i="6"/>
  <c r="F15396" i="6"/>
  <c r="E15422" i="6"/>
  <c r="E15364" i="6"/>
  <c r="F15338" i="6"/>
  <c r="F15352" i="6"/>
  <c r="E15378" i="6"/>
  <c r="E15400" i="6"/>
  <c r="F15374" i="6"/>
  <c r="E15342" i="6"/>
  <c r="F15316" i="6"/>
  <c r="F15343" i="6"/>
  <c r="E15369" i="6"/>
  <c r="F15319" i="6"/>
  <c r="E15345" i="6"/>
  <c r="E15354" i="6"/>
  <c r="F15328" i="6"/>
  <c r="F15362" i="6"/>
  <c r="E15388" i="6"/>
  <c r="E15376" i="6"/>
  <c r="F15350" i="6"/>
  <c r="F15410" i="6"/>
  <c r="E15436" i="6"/>
  <c r="F15339" i="6"/>
  <c r="E15365" i="6"/>
  <c r="E15398" i="6"/>
  <c r="F15372" i="6"/>
  <c r="E15418" i="6"/>
  <c r="F15392" i="6"/>
  <c r="E15381" i="6"/>
  <c r="F15355" i="6"/>
  <c r="F15331" i="6"/>
  <c r="E15357" i="6"/>
  <c r="F15351" i="6"/>
  <c r="E15377" i="6"/>
  <c r="E15361" i="6"/>
  <c r="F15335" i="6"/>
  <c r="E15359" i="6"/>
  <c r="F15333" i="6"/>
  <c r="E15349" i="6"/>
  <c r="F15323" i="6"/>
  <c r="F15363" i="6"/>
  <c r="E15389" i="6"/>
  <c r="F15382" i="6"/>
  <c r="E15408" i="6"/>
  <c r="F15327" i="6"/>
  <c r="E15353" i="6"/>
  <c r="E15367" i="6"/>
  <c r="F15341" i="6"/>
  <c r="E15373" i="6"/>
  <c r="F15347" i="6"/>
  <c r="F15436" i="6" l="1"/>
  <c r="E15462" i="6"/>
  <c r="E15371" i="6"/>
  <c r="F15345" i="6"/>
  <c r="F15378" i="6"/>
  <c r="E15404" i="6"/>
  <c r="E15379" i="6"/>
  <c r="F15353" i="6"/>
  <c r="F15369" i="6"/>
  <c r="E15395" i="6"/>
  <c r="E15402" i="6"/>
  <c r="F15376" i="6"/>
  <c r="F15364" i="6"/>
  <c r="E15390" i="6"/>
  <c r="E15415" i="6"/>
  <c r="F15389" i="6"/>
  <c r="E15414" i="6"/>
  <c r="F15388" i="6"/>
  <c r="E15448" i="6"/>
  <c r="F15422" i="6"/>
  <c r="F15359" i="6"/>
  <c r="E15385" i="6"/>
  <c r="F15373" i="6"/>
  <c r="E15399" i="6"/>
  <c r="E15424" i="6"/>
  <c r="F15398" i="6"/>
  <c r="E15368" i="6"/>
  <c r="F15342" i="6"/>
  <c r="E15407" i="6"/>
  <c r="F15381" i="6"/>
  <c r="F15408" i="6"/>
  <c r="E15434" i="6"/>
  <c r="E15387" i="6"/>
  <c r="F15361" i="6"/>
  <c r="E15403" i="6"/>
  <c r="F15377" i="6"/>
  <c r="E15383" i="6"/>
  <c r="F15357" i="6"/>
  <c r="E15391" i="6"/>
  <c r="F15365" i="6"/>
  <c r="F15418" i="6"/>
  <c r="E15444" i="6"/>
  <c r="E15393" i="6"/>
  <c r="F15367" i="6"/>
  <c r="E15375" i="6"/>
  <c r="F15349" i="6"/>
  <c r="F15354" i="6"/>
  <c r="E15380" i="6"/>
  <c r="F15400" i="6"/>
  <c r="E15426" i="6"/>
  <c r="E15438" i="6"/>
  <c r="F15412" i="6"/>
  <c r="F15434" i="6" l="1"/>
  <c r="E15460" i="6"/>
  <c r="E15425" i="6"/>
  <c r="F15399" i="6"/>
  <c r="E15441" i="6"/>
  <c r="F15415" i="6"/>
  <c r="E15405" i="6"/>
  <c r="F15379" i="6"/>
  <c r="E15411" i="6"/>
  <c r="F15385" i="6"/>
  <c r="E15416" i="6"/>
  <c r="F15390" i="6"/>
  <c r="F15404" i="6"/>
  <c r="E15430" i="6"/>
  <c r="E15417" i="6"/>
  <c r="F15391" i="6"/>
  <c r="F15383" i="6"/>
  <c r="E15409" i="6"/>
  <c r="E15401" i="6"/>
  <c r="F15375" i="6"/>
  <c r="E15464" i="6"/>
  <c r="F15438" i="6"/>
  <c r="F15368" i="6"/>
  <c r="E15394" i="6"/>
  <c r="F15448" i="6"/>
  <c r="E15474" i="6"/>
  <c r="E15428" i="6"/>
  <c r="F15402" i="6"/>
  <c r="E15397" i="6"/>
  <c r="F15371" i="6"/>
  <c r="F15393" i="6"/>
  <c r="E15419" i="6"/>
  <c r="E15470" i="6"/>
  <c r="F15444" i="6"/>
  <c r="F15395" i="6"/>
  <c r="E15421" i="6"/>
  <c r="E15488" i="6"/>
  <c r="F15462" i="6"/>
  <c r="F15380" i="6"/>
  <c r="E15406" i="6"/>
  <c r="E15433" i="6"/>
  <c r="F15407" i="6"/>
  <c r="F15403" i="6"/>
  <c r="E15429" i="6"/>
  <c r="F15426" i="6"/>
  <c r="E15452" i="6"/>
  <c r="E15413" i="6"/>
  <c r="F15387" i="6"/>
  <c r="F15424" i="6"/>
  <c r="E15450" i="6"/>
  <c r="E15440" i="6"/>
  <c r="F15414" i="6"/>
  <c r="E15445" i="6" l="1"/>
  <c r="F15419" i="6"/>
  <c r="F15394" i="6"/>
  <c r="E15420" i="6"/>
  <c r="E15431" i="6"/>
  <c r="F15405" i="6"/>
  <c r="F15452" i="6"/>
  <c r="E15478" i="6"/>
  <c r="E15456" i="6"/>
  <c r="F15430" i="6"/>
  <c r="F15406" i="6"/>
  <c r="E15432" i="6"/>
  <c r="F15441" i="6"/>
  <c r="E15467" i="6"/>
  <c r="F15488" i="6"/>
  <c r="E15514" i="6"/>
  <c r="F15417" i="6"/>
  <c r="E15443" i="6"/>
  <c r="F15440" i="6"/>
  <c r="E15466" i="6"/>
  <c r="E15454" i="6"/>
  <c r="F15428" i="6"/>
  <c r="E15427" i="6"/>
  <c r="F15401" i="6"/>
  <c r="F15416" i="6"/>
  <c r="E15442" i="6"/>
  <c r="F15425" i="6"/>
  <c r="E15451" i="6"/>
  <c r="F15413" i="6"/>
  <c r="E15439" i="6"/>
  <c r="E15423" i="6"/>
  <c r="F15397" i="6"/>
  <c r="E15447" i="6"/>
  <c r="F15421" i="6"/>
  <c r="E15500" i="6"/>
  <c r="F15474" i="6"/>
  <c r="E15435" i="6"/>
  <c r="F15409" i="6"/>
  <c r="F15460" i="6"/>
  <c r="E15486" i="6"/>
  <c r="F15464" i="6"/>
  <c r="E15490" i="6"/>
  <c r="E15455" i="6"/>
  <c r="F15429" i="6"/>
  <c r="E15476" i="6"/>
  <c r="F15450" i="6"/>
  <c r="F15433" i="6"/>
  <c r="E15459" i="6"/>
  <c r="E15496" i="6"/>
  <c r="F15470" i="6"/>
  <c r="E15437" i="6"/>
  <c r="F15411" i="6"/>
  <c r="E15512" i="6" l="1"/>
  <c r="F15486" i="6"/>
  <c r="E15540" i="6"/>
  <c r="F15514" i="6"/>
  <c r="E15504" i="6"/>
  <c r="F15478" i="6"/>
  <c r="E15485" i="6"/>
  <c r="F15459" i="6"/>
  <c r="F15439" i="6"/>
  <c r="E15465" i="6"/>
  <c r="E15453" i="6"/>
  <c r="F15427" i="6"/>
  <c r="E15457" i="6"/>
  <c r="F15431" i="6"/>
  <c r="E15449" i="6"/>
  <c r="F15423" i="6"/>
  <c r="E15493" i="6"/>
  <c r="F15467" i="6"/>
  <c r="E15477" i="6"/>
  <c r="F15451" i="6"/>
  <c r="F15466" i="6"/>
  <c r="E15492" i="6"/>
  <c r="F15432" i="6"/>
  <c r="E15458" i="6"/>
  <c r="E15446" i="6"/>
  <c r="F15420" i="6"/>
  <c r="E15480" i="6"/>
  <c r="F15454" i="6"/>
  <c r="E15461" i="6"/>
  <c r="F15435" i="6"/>
  <c r="F15500" i="6"/>
  <c r="E15526" i="6"/>
  <c r="F15490" i="6"/>
  <c r="E15516" i="6"/>
  <c r="E15468" i="6"/>
  <c r="F15442" i="6"/>
  <c r="E15469" i="6"/>
  <c r="F15443" i="6"/>
  <c r="F15476" i="6"/>
  <c r="E15502" i="6"/>
  <c r="E15463" i="6"/>
  <c r="F15437" i="6"/>
  <c r="E15481" i="6"/>
  <c r="F15455" i="6"/>
  <c r="F15496" i="6"/>
  <c r="E15522" i="6"/>
  <c r="E15473" i="6"/>
  <c r="F15447" i="6"/>
  <c r="F15456" i="6"/>
  <c r="E15482" i="6"/>
  <c r="E15471" i="6"/>
  <c r="F15445" i="6"/>
  <c r="E15528" i="6" l="1"/>
  <c r="F15502" i="6"/>
  <c r="E15552" i="6"/>
  <c r="F15526" i="6"/>
  <c r="F15458" i="6"/>
  <c r="E15484" i="6"/>
  <c r="E15511" i="6"/>
  <c r="F15485" i="6"/>
  <c r="F15473" i="6"/>
  <c r="E15499" i="6"/>
  <c r="F15522" i="6"/>
  <c r="E15548" i="6"/>
  <c r="E15518" i="6"/>
  <c r="F15492" i="6"/>
  <c r="F15449" i="6"/>
  <c r="E15475" i="6"/>
  <c r="F15457" i="6"/>
  <c r="E15483" i="6"/>
  <c r="E15530" i="6"/>
  <c r="F15504" i="6"/>
  <c r="E15495" i="6"/>
  <c r="F15469" i="6"/>
  <c r="F15481" i="6"/>
  <c r="E15507" i="6"/>
  <c r="E15503" i="6"/>
  <c r="F15477" i="6"/>
  <c r="E15479" i="6"/>
  <c r="F15453" i="6"/>
  <c r="F15540" i="6"/>
  <c r="E15566" i="6"/>
  <c r="E15487" i="6"/>
  <c r="F15461" i="6"/>
  <c r="F15468" i="6"/>
  <c r="E15494" i="6"/>
  <c r="E15508" i="6"/>
  <c r="F15482" i="6"/>
  <c r="E15542" i="6"/>
  <c r="F15516" i="6"/>
  <c r="F15465" i="6"/>
  <c r="E15491" i="6"/>
  <c r="E15497" i="6"/>
  <c r="F15471" i="6"/>
  <c r="F15480" i="6"/>
  <c r="E15506" i="6"/>
  <c r="E15489" i="6"/>
  <c r="F15463" i="6"/>
  <c r="E15472" i="6"/>
  <c r="F15446" i="6"/>
  <c r="E15519" i="6"/>
  <c r="F15493" i="6"/>
  <c r="F15512" i="6"/>
  <c r="E15538" i="6"/>
  <c r="F15491" i="6" l="1"/>
  <c r="E15517" i="6"/>
  <c r="E15533" i="6"/>
  <c r="F15507" i="6"/>
  <c r="E15501" i="6"/>
  <c r="F15475" i="6"/>
  <c r="F15511" i="6"/>
  <c r="E15537" i="6"/>
  <c r="E15510" i="6"/>
  <c r="F15484" i="6"/>
  <c r="E15568" i="6"/>
  <c r="F15542" i="6"/>
  <c r="E15544" i="6"/>
  <c r="F15518" i="6"/>
  <c r="E15532" i="6"/>
  <c r="F15506" i="6"/>
  <c r="F15548" i="6"/>
  <c r="E15574" i="6"/>
  <c r="E15521" i="6"/>
  <c r="F15495" i="6"/>
  <c r="E15505" i="6"/>
  <c r="F15479" i="6"/>
  <c r="E15556" i="6"/>
  <c r="F15530" i="6"/>
  <c r="F15552" i="6"/>
  <c r="E15578" i="6"/>
  <c r="F15578" i="6" s="1"/>
  <c r="F15472" i="6"/>
  <c r="E15498" i="6"/>
  <c r="F15489" i="6"/>
  <c r="E15515" i="6"/>
  <c r="E15520" i="6"/>
  <c r="F15494" i="6"/>
  <c r="E15509" i="6"/>
  <c r="F15483" i="6"/>
  <c r="E15525" i="6"/>
  <c r="F15499" i="6"/>
  <c r="E15513" i="6"/>
  <c r="F15487" i="6"/>
  <c r="E15592" i="6"/>
  <c r="F15592" i="6" s="1"/>
  <c r="F15566" i="6"/>
  <c r="F15538" i="6"/>
  <c r="E15564" i="6"/>
  <c r="F15508" i="6"/>
  <c r="E15534" i="6"/>
  <c r="E15545" i="6"/>
  <c r="F15519" i="6"/>
  <c r="F15497" i="6"/>
  <c r="E15523" i="6"/>
  <c r="E15529" i="6"/>
  <c r="F15503" i="6"/>
  <c r="F15528" i="6"/>
  <c r="E15554" i="6"/>
  <c r="F15537" i="6" l="1"/>
  <c r="E15563" i="6"/>
  <c r="F15532" i="6"/>
  <c r="E15558" i="6"/>
  <c r="E15549" i="6"/>
  <c r="F15523" i="6"/>
  <c r="F15520" i="6"/>
  <c r="E15546" i="6"/>
  <c r="F15515" i="6"/>
  <c r="E15541" i="6"/>
  <c r="F15544" i="6"/>
  <c r="E15570" i="6"/>
  <c r="E15527" i="6"/>
  <c r="F15501" i="6"/>
  <c r="F15513" i="6"/>
  <c r="E15539" i="6"/>
  <c r="E15560" i="6"/>
  <c r="F15534" i="6"/>
  <c r="F15498" i="6"/>
  <c r="E15524" i="6"/>
  <c r="F15545" i="6"/>
  <c r="E15571" i="6"/>
  <c r="F15521" i="6"/>
  <c r="E15547" i="6"/>
  <c r="F15568" i="6"/>
  <c r="E15594" i="6"/>
  <c r="F15594" i="6" s="1"/>
  <c r="E15559" i="6"/>
  <c r="F15533" i="6"/>
  <c r="E15582" i="6"/>
  <c r="F15582" i="6" s="1"/>
  <c r="F15556" i="6"/>
  <c r="F15505" i="6"/>
  <c r="E15531" i="6"/>
  <c r="E15551" i="6"/>
  <c r="F15525" i="6"/>
  <c r="F15564" i="6"/>
  <c r="E15590" i="6"/>
  <c r="F15590" i="6" s="1"/>
  <c r="F15574" i="6"/>
  <c r="E15600" i="6"/>
  <c r="F15600" i="6" s="1"/>
  <c r="E15543" i="6"/>
  <c r="F15517" i="6"/>
  <c r="E15580" i="6"/>
  <c r="F15580" i="6" s="1"/>
  <c r="F15554" i="6"/>
  <c r="F15529" i="6"/>
  <c r="E15555" i="6"/>
  <c r="E15535" i="6"/>
  <c r="F15509" i="6"/>
  <c r="E15536" i="6"/>
  <c r="F15510" i="6"/>
  <c r="E15557" i="6" l="1"/>
  <c r="F15531" i="6"/>
  <c r="E15573" i="6"/>
  <c r="F15547" i="6"/>
  <c r="E15565" i="6"/>
  <c r="F15539" i="6"/>
  <c r="E15572" i="6"/>
  <c r="F15546" i="6"/>
  <c r="E15553" i="6"/>
  <c r="F15527" i="6"/>
  <c r="E15575" i="6"/>
  <c r="F15549" i="6"/>
  <c r="E15569" i="6"/>
  <c r="F15543" i="6"/>
  <c r="F15524" i="6"/>
  <c r="E15550" i="6"/>
  <c r="E15596" i="6"/>
  <c r="F15596" i="6" s="1"/>
  <c r="F15570" i="6"/>
  <c r="E15584" i="6"/>
  <c r="F15584" i="6" s="1"/>
  <c r="F15558" i="6"/>
  <c r="E15567" i="6"/>
  <c r="F15541" i="6"/>
  <c r="F15563" i="6"/>
  <c r="E15589" i="6"/>
  <c r="F15589" i="6" s="1"/>
  <c r="F15536" i="6"/>
  <c r="E15562" i="6"/>
  <c r="E15597" i="6"/>
  <c r="F15597" i="6" s="1"/>
  <c r="F15571" i="6"/>
  <c r="F15535" i="6"/>
  <c r="E15561" i="6"/>
  <c r="E15581" i="6"/>
  <c r="F15581" i="6" s="1"/>
  <c r="F15555" i="6"/>
  <c r="E15585" i="6"/>
  <c r="F15585" i="6" s="1"/>
  <c r="F15559" i="6"/>
  <c r="E15577" i="6"/>
  <c r="F15577" i="6" s="1"/>
  <c r="F15551" i="6"/>
  <c r="F15560" i="6"/>
  <c r="E15586" i="6"/>
  <c r="F15586" i="6" s="1"/>
  <c r="E15576" i="6" l="1"/>
  <c r="F15576" i="6" s="1"/>
  <c r="F15550" i="6"/>
  <c r="F15572" i="6"/>
  <c r="E15598" i="6"/>
  <c r="F15598" i="6" s="1"/>
  <c r="F15567" i="6"/>
  <c r="E15593" i="6"/>
  <c r="F15593" i="6" s="1"/>
  <c r="F15569" i="6"/>
  <c r="E15595" i="6"/>
  <c r="F15595" i="6" s="1"/>
  <c r="E15591" i="6"/>
  <c r="F15591" i="6" s="1"/>
  <c r="F15565" i="6"/>
  <c r="F15575" i="6"/>
  <c r="E15601" i="6"/>
  <c r="F15601" i="6" s="1"/>
  <c r="E15599" i="6"/>
  <c r="F15599" i="6" s="1"/>
  <c r="F15573" i="6"/>
  <c r="F15562" i="6"/>
  <c r="E15588" i="6"/>
  <c r="F15588" i="6" s="1"/>
  <c r="F15561" i="6"/>
  <c r="E15587" i="6"/>
  <c r="F15587" i="6" s="1"/>
  <c r="F15553" i="6"/>
  <c r="E15579" i="6"/>
  <c r="F15579" i="6" s="1"/>
  <c r="E15583" i="6"/>
  <c r="F15583" i="6" s="1"/>
  <c r="F15557" i="6"/>
</calcChain>
</file>

<file path=xl/sharedStrings.xml><?xml version="1.0" encoding="utf-8"?>
<sst xmlns="http://schemas.openxmlformats.org/spreadsheetml/2006/main" count="14953" uniqueCount="3338">
  <si>
    <t>Type</t>
  </si>
  <si>
    <t>Name</t>
  </si>
  <si>
    <t>Cost</t>
  </si>
  <si>
    <t>Keywords</t>
  </si>
  <si>
    <t>Duration</t>
  </si>
  <si>
    <t>Description</t>
  </si>
  <si>
    <t>Page #</t>
  </si>
  <si>
    <t>Ability</t>
  </si>
  <si>
    <t>Abil. Min</t>
  </si>
  <si>
    <t>Ess. Min</t>
  </si>
  <si>
    <t>Aspect Space</t>
  </si>
  <si>
    <t>Prerequisites</t>
  </si>
  <si>
    <t>Prereq Spec.</t>
  </si>
  <si>
    <t>Solar</t>
  </si>
  <si>
    <t>Wise Arrow</t>
  </si>
  <si>
    <t>1m</t>
  </si>
  <si>
    <t>Supplemental</t>
  </si>
  <si>
    <t>Uniform</t>
  </si>
  <si>
    <t>Instant</t>
  </si>
  <si>
    <t>Reduce cover by -1, including no cover. After aiming, can hit around full cover, at only +3 defense.</t>
  </si>
  <si>
    <t>Archery</t>
  </si>
  <si>
    <t>Sight Without Eyes</t>
  </si>
  <si>
    <t>Reflexive</t>
  </si>
  <si>
    <t>None</t>
  </si>
  <si>
    <t>One Tick</t>
  </si>
  <si>
    <t>Can fire without penalty due to visual conditions. at 3ess can see through cover.</t>
  </si>
  <si>
    <t>Trance of Unhesitating Speed</t>
  </si>
  <si>
    <t>4m, 1wp</t>
  </si>
  <si>
    <t>Simple</t>
  </si>
  <si>
    <t>Decisive-only</t>
  </si>
  <si>
    <t>Spread init over many attacks, on single or multiple targets. Each 10 on attack gives +1 base damage. Doesn't need to aim.</t>
  </si>
  <si>
    <t>Phantom Arrow Technique</t>
  </si>
  <si>
    <t>Fire without ammo. Imbue ammo with an intimacy. At 3ess, arrows are stuck.</t>
  </si>
  <si>
    <t>Blood Without Balance</t>
  </si>
  <si>
    <t>3m</t>
  </si>
  <si>
    <t>After gaining the benefit of a distract gambit and if your new initiative allows you to act immediately, you may fire up to long range without aiming. If &lt;7 initiative, +ess dice base damage.</t>
  </si>
  <si>
    <t>Force Without Fire</t>
  </si>
  <si>
    <t>Withering-Only</t>
  </si>
  <si>
    <t>If damge is at least as much as the target's stamina, don't gain initiative, but target is knocked down and back 1 range band. Can end a rush.</t>
  </si>
  <si>
    <t>Fiery Arrow Attack</t>
  </si>
  <si>
    <t>2m</t>
  </si>
  <si>
    <t>Set ammo on fire, gives +1 succ to damage. If it does at least 3HL, target is on fire.</t>
  </si>
  <si>
    <t>Immaculate Golden Bow</t>
  </si>
  <si>
    <t>5m, 1wp</t>
  </si>
  <si>
    <t>Scene</t>
  </si>
  <si>
    <t>Create a glowing powerbow from essence. 4m to make heavy cover. Rebuy for evocations.</t>
  </si>
  <si>
    <t>Hanging Judgment Arc</t>
  </si>
  <si>
    <t>6m</t>
  </si>
  <si>
    <t>MotSE 5</t>
  </si>
  <si>
    <t>There Is No Wind</t>
  </si>
  <si>
    <t>Dual</t>
  </si>
  <si>
    <t>Ignore non-visual penalties. Wither accuracy is set to short range. With Awarenesss, can attack from extreme long range.</t>
  </si>
  <si>
    <t>Accuracy Without Distance</t>
  </si>
  <si>
    <t>1m, 1wp</t>
  </si>
  <si>
    <t>Aim instantly, the +3 bonus is converted into non-charm succ.</t>
  </si>
  <si>
    <t>Arrow Storm Technique</t>
  </si>
  <si>
    <t>Hit 3x ess targets within medium range of target.</t>
  </si>
  <si>
    <t>Flashing Vengeance Draw</t>
  </si>
  <si>
    <t>Add ess succ to Join Battle, if attacking before target, it's unblockable.</t>
  </si>
  <si>
    <t>Hunter's Swift Answer</t>
  </si>
  <si>
    <t>Extra short or close ranged attack if win a disengage.</t>
  </si>
  <si>
    <t>Dazzling Flare Attack</t>
  </si>
  <si>
    <t>Strengthens ammo from FAA. Creates a bright flare, disrupting shadow cover.</t>
  </si>
  <si>
    <t>Seven Omens Shot</t>
  </si>
  <si>
    <t>3m, 1wp</t>
  </si>
  <si>
    <t>Aim for 3 rounds to convert the +3 into non-charm succ and extra succ add to raw damage. AWD shortens it by 1 round. Killing gives 1 WP.</t>
  </si>
  <si>
    <t>Revolving Bow Discipline</t>
  </si>
  <si>
    <t>6m, 1wp</t>
  </si>
  <si>
    <t>Perilous, Withering-Only</t>
  </si>
  <si>
    <t>Keeping hitting the same target within short range, until you miss or they crash.</t>
  </si>
  <si>
    <t>Finishing Snipe</t>
  </si>
  <si>
    <t>7m</t>
  </si>
  <si>
    <t>Free attack on someone within range if they crash.</t>
  </si>
  <si>
    <t>Rain of Feathered Death</t>
  </si>
  <si>
    <t>3m/copy, 1wp</t>
  </si>
  <si>
    <t>Make (Dex) hits against a target.</t>
  </si>
  <si>
    <t>Shadow-Seeking Arrow</t>
  </si>
  <si>
    <t>3m, 2i</t>
  </si>
  <si>
    <t>Free attack when spotting someone, without needing to aim.</t>
  </si>
  <si>
    <t>Searing Sunfire Interdiction</t>
  </si>
  <si>
    <t>4m, 1i, 1wp</t>
  </si>
  <si>
    <t>Diff 3 gambit without needing to aim. Forces target to delay their turn. Rebuy for lots of extra stuff.</t>
  </si>
  <si>
    <t>Searing Sunfire Interdiction x2</t>
  </si>
  <si>
    <t>Lowers diff of gambit to 2, don't lose Init on succ</t>
  </si>
  <si>
    <t>Solar Spike</t>
  </si>
  <si>
    <t>If higher initiative than target, can hit from medium or long without aiming, and can hit from extreme with an aim. Raw damage is WP or Intimacy.</t>
  </si>
  <si>
    <t>Heart-Eating Incineration</t>
  </si>
  <si>
    <t>3m, 3a</t>
  </si>
  <si>
    <t>When using SS and anima is at bonfire, fires anima to add initiative to SS's raw damage.</t>
  </si>
  <si>
    <t>Nova Arrow Attack</t>
  </si>
  <si>
    <t>MotSE 6</t>
  </si>
  <si>
    <t>Searing Sunfire Interdiction x3</t>
  </si>
  <si>
    <t>Resets attack if you drop target from high Init to lower</t>
  </si>
  <si>
    <t>Dust and Ash Sleight</t>
  </si>
  <si>
    <t>Shortens the aim action of SOS by 1 round, giving up the non charm successes. Rebuy to gain the succ again.</t>
  </si>
  <si>
    <t>Heavens Crash Down</t>
  </si>
  <si>
    <t>6m, 2i, 1wp</t>
  </si>
  <si>
    <t>Clash, Perilous, Withering-Only</t>
  </si>
  <si>
    <t>If in -4 HLs, may clash within short range. Gains ess succ and damage roll uses double 9s. Rebuy to use while crashed.</t>
  </si>
  <si>
    <t>Streaming Arrow Stance</t>
  </si>
  <si>
    <t>Can shoot a crashed target at medium or long range without aiming.</t>
  </si>
  <si>
    <t>Hell-Heeling Arrow</t>
  </si>
  <si>
    <t>13m, 1wp</t>
  </si>
  <si>
    <t>Nova Arrow Attack, Searing Sunfire Interdiction</t>
  </si>
  <si>
    <t>Accuracy Without Distance x2</t>
  </si>
  <si>
    <t>Can use with withering on a crashed target. Roll damage even if no succ.</t>
  </si>
  <si>
    <t>Searing Sunfire Interdiction x4</t>
  </si>
  <si>
    <t>Can use twice consecutively on the same target, no wp cost on 2nd shot.</t>
  </si>
  <si>
    <t>Dust and Ash Sleight x2</t>
  </si>
  <si>
    <t>Adds back loss succ to the attack.</t>
  </si>
  <si>
    <t>Heavens Crash Down x2</t>
  </si>
  <si>
    <t>Clash, Withering-Only</t>
  </si>
  <si>
    <t>Can spend 2i cost even when crashed going into further negatives.</t>
  </si>
  <si>
    <t>Whispered Prayer of Judgment</t>
  </si>
  <si>
    <t>After aiming, add ess damage to the attack.</t>
  </si>
  <si>
    <t>Solar Judgment Flare</t>
  </si>
  <si>
    <t>3m, 1wp and 1m/die</t>
  </si>
  <si>
    <t>Heart-Eating Incineration, Nova Arrow Attack</t>
  </si>
  <si>
    <t>Searing Sunfire Interdiction x5</t>
  </si>
  <si>
    <t>Can use repeatedly on same target if you keep hitting. Ends with miss or when target loses a turn. Gain 1wp if target loses turn.</t>
  </si>
  <si>
    <t>Searing Sunfire Interdiction x6</t>
  </si>
  <si>
    <t>Can target new opponent if you drop someone to tick 0 or lower.</t>
  </si>
  <si>
    <t>Graceful Crane Stance</t>
  </si>
  <si>
    <t>Stand with great balance on unstable or narrow surfaces.</t>
  </si>
  <si>
    <t>Athletics</t>
  </si>
  <si>
    <t>Monkey Leap Technique</t>
  </si>
  <si>
    <t>Leap up or forward 1 range band. Cheaper if used again.</t>
  </si>
  <si>
    <t>Foe-Vaulting Method</t>
  </si>
  <si>
    <t>3i</t>
  </si>
  <si>
    <t>Jump over target to give a surprise attack.</t>
  </si>
  <si>
    <t>Graceful Crane Stance, Monkey Leap Technique</t>
  </si>
  <si>
    <t>Soaring Crane Leap</t>
  </si>
  <si>
    <t>Glide down 2 range bands without taking damage. Use movement to glide forward 1 range band while falling. Thrust helps.</t>
  </si>
  <si>
    <t>Lightning Speed</t>
  </si>
  <si>
    <t>Add 1 suc and reroll recurring 5s and 6s for a rush or test of speed.</t>
  </si>
  <si>
    <t>Increasing Strength Exercise</t>
  </si>
  <si>
    <t>3m/dot or 3i/dot</t>
  </si>
  <si>
    <t>Spend 3m or 3i per 1 extra dot of strength, and +1 base decisive damage. Up by ess or to double strength.</t>
  </si>
  <si>
    <t>Thunderbolt Attack Prana</t>
  </si>
  <si>
    <t>Leap at a target within short range, doubling damage after roll. If target was aerial, may fall 1 range without damage.</t>
  </si>
  <si>
    <t>Increasing Strength Exercise, Monkey Leap Technique</t>
  </si>
  <si>
    <t>Feather Foot Style</t>
  </si>
  <si>
    <t>Mute</t>
  </si>
  <si>
    <t>One Run</t>
  </si>
  <si>
    <t>Can run on water or other weak surfaces. At full speed won't be harmed by lava or acid. At 2ess can pause and go slower for the length of 1 stunt. Still need to run to not be hurt by lava or acid.</t>
  </si>
  <si>
    <t>Graceful Crane Stance, Lightning Speed</t>
  </si>
  <si>
    <t>Winning Stride Discipline</t>
  </si>
  <si>
    <t>-</t>
  </si>
  <si>
    <t>Permanent</t>
  </si>
  <si>
    <t>Each interval where you're the fastest, gain 2m for athletics charms or 2i.</t>
  </si>
  <si>
    <t>Spider Foot Style</t>
  </si>
  <si>
    <t>Ess+1 Turns</t>
  </si>
  <si>
    <t>Walk on walls, ceilings and other sufraces defying gravity.</t>
  </si>
  <si>
    <t>Strength-Hying Heave</t>
  </si>
  <si>
    <t>4m</t>
  </si>
  <si>
    <t>MotSE 7</t>
  </si>
  <si>
    <t>Ten Ox Meditation</t>
  </si>
  <si>
    <t>2m, 3 sux/dot</t>
  </si>
  <si>
    <t>One Feat</t>
  </si>
  <si>
    <t>Roll strength+athletics to add 1 dot of strength per 3succ, for a feat of strength's requirements.</t>
  </si>
  <si>
    <t>Onrush Burst Method</t>
  </si>
  <si>
    <t>After rushing, gain 3 motes for athletics charms this turn.</t>
  </si>
  <si>
    <t>Armor-Eating Strike</t>
  </si>
  <si>
    <t>Close range decisive ignores (Strength) hardness.</t>
  </si>
  <si>
    <t>Unbound Eagle Approach</t>
  </si>
  <si>
    <t>- (2m)</t>
  </si>
  <si>
    <t>Add 2m to SCL to glide without thrust.</t>
  </si>
  <si>
    <t>Racing Hare Method</t>
  </si>
  <si>
    <t>One Hour</t>
  </si>
  <si>
    <t>Move 3 range bands per turn. In battle only 1 per turn, but double 9s on rush.</t>
  </si>
  <si>
    <t>Leaping Tiger Attack</t>
  </si>
  <si>
    <t>Leap toward a target up to medium range and attack. Doubling post-soak damage dice and adding ess to base decisive damage.</t>
  </si>
  <si>
    <t>Arete-Driven Marathon Stride</t>
  </si>
  <si>
    <t>If behind in a test of speed or a rush, enemy 10s give you 1 succ.</t>
  </si>
  <si>
    <t>Thunder's Might</t>
  </si>
  <si>
    <t>5m</t>
  </si>
  <si>
    <t>Reroll all non-successes for a feat of strength.</t>
  </si>
  <si>
    <t>Mountain-Crossing Leap Technique</t>
  </si>
  <si>
    <t>7m, 1wp</t>
  </si>
  <si>
    <t>Leaping</t>
  </si>
  <si>
    <t>Leap up to 4 range bands forward or 3 upward, but no less than 3.</t>
  </si>
  <si>
    <t>Eagle-Wing Style</t>
  </si>
  <si>
    <t>Indefinite</t>
  </si>
  <si>
    <t>Leap uo 2 range bands and fly 1 range band per turn by paying 2m or 2i. Attacking keeps you airborne.</t>
  </si>
  <si>
    <t>Demon-Wasting Rush</t>
  </si>
  <si>
    <t>Can rush from medium range, if succesful, get extra moves toward target.</t>
  </si>
  <si>
    <t>Hurricane Spirit Speed</t>
  </si>
  <si>
    <t>1i/sux</t>
  </si>
  <si>
    <t>Spend 1i per succ for a rush or a test of speed.</t>
  </si>
  <si>
    <t>Godspeed Steps</t>
  </si>
  <si>
    <t>Can rush up to 3 range bands away. Removes flurry penalty for attacking after rush.</t>
  </si>
  <si>
    <t>Arete-Driven Marathon Stride, Racing Hare Method</t>
  </si>
  <si>
    <t>Power Suffusing Form Technique</t>
  </si>
  <si>
    <t>Add (strength) non-charm dice to a feat of strength.</t>
  </si>
  <si>
    <t>Legion Aurochs Method</t>
  </si>
  <si>
    <t>For feats of strength, athletics excellency is half price.</t>
  </si>
  <si>
    <t>Triumph-Forged God-Body</t>
  </si>
  <si>
    <t>Every athletics roll gains double 9s.</t>
  </si>
  <si>
    <t>Arete-Driven Marathon Stride, Ten Ox Meditation, Unbound Eagle Approach</t>
  </si>
  <si>
    <t>One Extra Step</t>
  </si>
  <si>
    <t>Once per scene, take a 2nd movement action on your turn.</t>
  </si>
  <si>
    <t>Bonfire Anima Wings</t>
  </si>
  <si>
    <t>When using EWS and anima is at bonfire, your attacks benefit from OBM.</t>
  </si>
  <si>
    <t>Eagle-Wing Style, Onrush Burst Method</t>
  </si>
  <si>
    <t>Aegis of Unstoppable Force</t>
  </si>
  <si>
    <t>Feats of strength lower difficulty by 2.</t>
  </si>
  <si>
    <t>Living Wind Approach</t>
  </si>
  <si>
    <t>Once per scene, autowin at a rush, or gain 1 more success than enemy in a test of speed interval.</t>
  </si>
  <si>
    <t>Nine Aeons Thew</t>
  </si>
  <si>
    <t>Gain double 7s for feats of strength, and meet the requirements for all feats of strength.</t>
  </si>
  <si>
    <t>Faster than Self Technique</t>
  </si>
  <si>
    <t>10m, 1wp (+1m/rnd)</t>
  </si>
  <si>
    <t>Perilous</t>
  </si>
  <si>
    <t>MotSE 8</t>
  </si>
  <si>
    <t>Living Wind Approach, Hurricane Spirit Speed</t>
  </si>
  <si>
    <t>Sensory Acuity Prana</t>
  </si>
  <si>
    <t>Double 9s, if using Unsurpassed (Sense) Discipline, reroll recurring 6s.</t>
  </si>
  <si>
    <t>Awareness</t>
  </si>
  <si>
    <t>Surprise Anticipation Method</t>
  </si>
  <si>
    <t>Every 9 gives 1m, 10 gives 2m for Awarenesss charms, can lower cost retroactively. Also can use Awarenesss charms in sleep.</t>
  </si>
  <si>
    <t>Keen Sight Technique</t>
  </si>
  <si>
    <t>3m or 6m, 1wp</t>
  </si>
  <si>
    <t>Diff 2 or 3 sight actions don't need a roll. +2 dice to notice hidden things. See clearly in dim light. -1 to fog.</t>
  </si>
  <si>
    <t>Keen Taste and Smell Technique</t>
  </si>
  <si>
    <t>Add scent library and taste index.</t>
  </si>
  <si>
    <t>Genius Palate Summation</t>
  </si>
  <si>
    <t>Autowin read intentions on chef when they made your food.</t>
  </si>
  <si>
    <t>Keen Hearing and Touch Technique</t>
  </si>
  <si>
    <t>Diff 2 sound or touch actions don't need a roll. -1 to harder actions, +1 succ.</t>
  </si>
  <si>
    <t>Studied Ear Espial</t>
  </si>
  <si>
    <t>When someone moves in stealth +3dice to spot them.</t>
  </si>
  <si>
    <t>Eyeless Harbinger Awareness</t>
  </si>
  <si>
    <t>If stealthed character moves within short range on surface touching you, -2 to their roll.</t>
  </si>
  <si>
    <t>Unswerving Eye Method</t>
  </si>
  <si>
    <t>Against stealth, stealing or cheating, -ess of enemy's double successses after they've rolled.</t>
  </si>
  <si>
    <t>Foe-Scenting Method</t>
  </si>
  <si>
    <t>0m or 2m</t>
  </si>
  <si>
    <t>Smell how many people are within medium range. Can tell type of creature.</t>
  </si>
  <si>
    <t>Awakening Eye</t>
  </si>
  <si>
    <t>For Join Battle, add free full excellency and cascading 10s reroll. Each non-succ that became a succ adds +1succ to be used on Awarenesss in this scene.</t>
  </si>
  <si>
    <t>Knowing Beyond Silence</t>
  </si>
  <si>
    <t>Against stealth, enemy's 1s are 10s to you, and their 2s are 9s after they rolled.</t>
  </si>
  <si>
    <t>Living Pulse Perception</t>
  </si>
  <si>
    <t>Add +1 succ against hidden character within an enclosed space.</t>
  </si>
  <si>
    <t>Inner Eye Focus</t>
  </si>
  <si>
    <t>Against stealth or larceny, reroll ess non-successes cascading.</t>
  </si>
  <si>
    <t>Scent-Honing Prana</t>
  </si>
  <si>
    <t>When detecting intimacies, add +1 succ for minor, +2 for major and +3 for defining.</t>
  </si>
  <si>
    <t>Roused Dragon Detection</t>
  </si>
  <si>
    <t>Hit hidden enemy within range, forces them to move to a new hiding place.</t>
  </si>
  <si>
    <t>Knowing Beyond Silence, Living Pulse Perception</t>
  </si>
  <si>
    <t>Unsurpassed Sight Discipline</t>
  </si>
  <si>
    <t>Any sight-based charm costs 1m less, minimum 1m.</t>
  </si>
  <si>
    <t>Blink</t>
  </si>
  <si>
    <t>1wp</t>
  </si>
  <si>
    <t>Reroll any Awarenesss roll, keeping charm effects and allowing new ones.</t>
  </si>
  <si>
    <t>Unsurpassed Taste and Smell Discipline</t>
  </si>
  <si>
    <t>Autowin read intention to smell mood. Expand library and index. Smell bleeding characters.</t>
  </si>
  <si>
    <t>Unsurpassed Hearing and Touch Discipline</t>
  </si>
  <si>
    <t>Hear loud noises up to 5x ess miles. Also extra techniques.</t>
  </si>
  <si>
    <t>Dedicated Unerring Ear</t>
  </si>
  <si>
    <t>3m/exchange</t>
  </si>
  <si>
    <t>Hear anyone on your plane talking to you. One-way only.</t>
  </si>
  <si>
    <t>Eye of the Unconquered Sun</t>
  </si>
  <si>
    <t>10m, 1wp</t>
  </si>
  <si>
    <t>One Turn</t>
  </si>
  <si>
    <t>I CAN SEE FOREVER.</t>
  </si>
  <si>
    <t>Fists of Iron Technique</t>
  </si>
  <si>
    <t>Parry lethal with hands. Unarmed does lethal, withering ignores (ess+intimacy) soak.</t>
  </si>
  <si>
    <t>Brawl</t>
  </si>
  <si>
    <t>Iron Battle Focus</t>
  </si>
  <si>
    <t>Immune to further onslaught penalties until next action.</t>
  </si>
  <si>
    <t>Ferocious Jab</t>
  </si>
  <si>
    <t>Add your opponent's onslaught as damage dice to your attack.</t>
  </si>
  <si>
    <t>Heaven Thunder Hammer</t>
  </si>
  <si>
    <t>Knock enemies down or further away depending on succ.</t>
  </si>
  <si>
    <t>Vicious Lunge</t>
  </si>
  <si>
    <t>Add 1 succ to grapple attack and (ess or 3) dice to initiative roll.</t>
  </si>
  <si>
    <t>Unbreakable Grasp</t>
  </si>
  <si>
    <t>2m/round pres.</t>
  </si>
  <si>
    <t>Pay 2m when hit to conserve grapple control rounds.</t>
  </si>
  <si>
    <t>Thunderclap Rush Attack</t>
  </si>
  <si>
    <t>Free move and attack. Uses up turn.</t>
  </si>
  <si>
    <t>Wind and Stones Defense</t>
  </si>
  <si>
    <t>Add enemy's onslaught to your evasion or parry.</t>
  </si>
  <si>
    <t>Crashing Wave Throw</t>
  </si>
  <si>
    <t>When ending a grapple to throw, +2 damage per round forfeited. Throw up to short range.</t>
  </si>
  <si>
    <t>Falling Hammer Strike</t>
  </si>
  <si>
    <t>Enemy's onslaught is extended and builds until they aren't hit by you for 1 round.</t>
  </si>
  <si>
    <t>Swift Strike Prana</t>
  </si>
  <si>
    <t>Ferocious Jab, Thunderclap Rush Attack</t>
  </si>
  <si>
    <t>Devil-Strangling Attitude</t>
  </si>
  <si>
    <t>- (3m)</t>
  </si>
  <si>
    <t>Use Strength+Brawl to grapple.</t>
  </si>
  <si>
    <t>Ox-Stunning Blow</t>
  </si>
  <si>
    <t>Add 1 succ to attack and ess dice to damage. Only soaked by stamina.</t>
  </si>
  <si>
    <t>Reckless Fury Discard</t>
  </si>
  <si>
    <t>3m, 1i</t>
  </si>
  <si>
    <t>After enemy rolls attack, add their 1s to your parry or evasion. Precedence over charms that reroll 1s.</t>
  </si>
  <si>
    <t>Burning Fist Burial</t>
  </si>
  <si>
    <t>4m +1m/die</t>
  </si>
  <si>
    <t>Convert extra succ from decisive attack to its damage, 1m each.</t>
  </si>
  <si>
    <t>Force-Rending Strike</t>
  </si>
  <si>
    <t>Clash, Decisive-only</t>
  </si>
  <si>
    <t>Free clash against a decisive attack.</t>
  </si>
  <si>
    <t>Sledgehammer Fist Punch</t>
  </si>
  <si>
    <t>Add strength succ to a (strength + athletics) attack on an object. Speeds it up and is reflexive if it doesn't directly cause harm.</t>
  </si>
  <si>
    <t>Oak-Curling Clinch</t>
  </si>
  <si>
    <t>Convert extra succ from grapple attack into dice for control roll.</t>
  </si>
  <si>
    <t>Burning Proof of Authority</t>
  </si>
  <si>
    <t>Release grapple target with 2 rounds left to mark them. Reflexively grapple them again without a roll to continue the rounds left.</t>
  </si>
  <si>
    <t>Solar Cross-Counter</t>
  </si>
  <si>
    <t>3m, 1i, 1wp</t>
  </si>
  <si>
    <t>Counterattack, Decisive-only, Perilous</t>
  </si>
  <si>
    <t>After being hit by a close-range wither, counter with decisive with base damage equal to the damage you took.</t>
  </si>
  <si>
    <t>Blade-Rebuking Wrath</t>
  </si>
  <si>
    <t>4m, 1i</t>
  </si>
  <si>
    <t>Clash, Uniform</t>
  </si>
  <si>
    <t>Clash to disarm instead of damage.</t>
  </si>
  <si>
    <t>Hammer on Iron Technique</t>
  </si>
  <si>
    <t>Make ((strength or stamina/2) rounded up +1) attacks against a target.</t>
  </si>
  <si>
    <t>One With Violence</t>
  </si>
  <si>
    <t>Add ess initiative, up to 5, to the initiative break bonus for crashing someone with brawl or martial arts.</t>
  </si>
  <si>
    <t>Ox-Stunning Blow x2</t>
  </si>
  <si>
    <t>Can gain Init on top of penalizing target.</t>
  </si>
  <si>
    <t>Dancing With Strife Technique</t>
  </si>
  <si>
    <t>If defend against attack with 5+ succ, gain 1 wp. Once per scene.</t>
  </si>
  <si>
    <t>Knockout Blow</t>
  </si>
  <si>
    <t>5m,1wp,+1m,1i/die</t>
  </si>
  <si>
    <t>Double 9s and if they crash they're ko'd. Pay 1m 1i per damage added, up to the initiative gained.</t>
  </si>
  <si>
    <t>Cancel the Apocalypse</t>
  </si>
  <si>
    <t>Upong crashing a target, deactive one of their ongoing combat charms. Except permanent.</t>
  </si>
  <si>
    <t>Adamantine Fists of Battle</t>
  </si>
  <si>
    <t>When withering unarmed, add strength to overwhelming. For decisive, lethal double 10s and reroll 10s.</t>
  </si>
  <si>
    <t>Adamantine Fists of Battle x2</t>
  </si>
  <si>
    <t>5m,1wp (2m,1wp)</t>
  </si>
  <si>
    <t>Can activate scene-long reflexively for altered cost if Supp. version is used to damage opponent.</t>
  </si>
  <si>
    <t>Intercepting Fury Smite</t>
  </si>
  <si>
    <t>FRS is 4m and 1wp cheaper with improvised weapons. Drops current weapon.</t>
  </si>
  <si>
    <t>Fire-Eating Fist</t>
  </si>
  <si>
    <t>On a clash, enemy's 1s give you succ. Punching energy gives buffs.</t>
  </si>
  <si>
    <t>River-Binding Wrath</t>
  </si>
  <si>
    <t>2m or 4m</t>
  </si>
  <si>
    <t>2m to reroll recurring 5s and 6s on a grapple attack or control. 4m for both.</t>
  </si>
  <si>
    <t>Wicked Dissolve Dust</t>
  </si>
  <si>
    <t>When controlling a grapple, block attack using victim with a dexterity+brawl clash.</t>
  </si>
  <si>
    <t>River-Binding Wrath, Intercepting Fury Smite</t>
  </si>
  <si>
    <t>Rapturous Cradle</t>
  </si>
  <si>
    <t>May grab target marked by BPoA up to long range.</t>
  </si>
  <si>
    <t>Dragon Coil Technique</t>
  </si>
  <si>
    <t>Add ess succ to grapple attack and enemy's 10s add succ to your control roll.</t>
  </si>
  <si>
    <t>Ten Calamities Technique</t>
  </si>
  <si>
    <t>Grapple</t>
  </si>
  <si>
    <t>Choke out enemy in grapple as savaging attack.  Add +2 damage per round for wither, or +1 for decisive, ignoring hardness.</t>
  </si>
  <si>
    <t>Titan-Straightening Method</t>
  </si>
  <si>
    <t>Expend remaining control rounds for equal amount of withering savage attacks. Permanently allows DCT to grapple huge enemies for this charm.</t>
  </si>
  <si>
    <t>Shockwave Technique</t>
  </si>
  <si>
    <t>Throw grappled enemy at enemies. +4 damage dice per round left. Knocking them prone.</t>
  </si>
  <si>
    <t>Lightning Strikes Twice</t>
  </si>
  <si>
    <t>Make an extra attack after using CWT or HTH.</t>
  </si>
  <si>
    <t>Crashing Wave Throw, Heaven Thunder Hammer</t>
  </si>
  <si>
    <t>Fivefold Fury Onslaught</t>
  </si>
  <si>
    <t>Upgrades HoIT to use (strength or stamina)+1 attacks and bonus damage to each successful hit +1 then +2 etc.</t>
  </si>
  <si>
    <t>Striving Aftershock Method</t>
  </si>
  <si>
    <t>After making a decisive attack and resetting to base, add +2 to initiative.</t>
  </si>
  <si>
    <t>Superior Violent Knowledge</t>
  </si>
  <si>
    <t>At any time, store up to stamina initiative. When making a decisive attack, convert the initiative into raw damage.</t>
  </si>
  <si>
    <t>Inevitable Victory Meditation</t>
  </si>
  <si>
    <t>Roll wits+brawl and store the result. Use this result instead of a new brawl roll at any time.</t>
  </si>
  <si>
    <t>Incarnated Fury Attack</t>
  </si>
  <si>
    <t>10m, 3a, 1wp</t>
  </si>
  <si>
    <t>On a crashed target, make an unblockable and undodgeable withering attack with double 7s damage.</t>
  </si>
  <si>
    <t>Orichalcum Fists of Battle</t>
  </si>
  <si>
    <t>8m,3a,1wp,+1m a turn</t>
  </si>
  <si>
    <t>While using scene-long AFoB, eat anima to make decisive attacks ignore hardness and other bonuses for the scene.</t>
  </si>
  <si>
    <t>Raging Wrath Repeated</t>
  </si>
  <si>
    <t>After crashing a grapple target, reset combat action and restore all spent control rounds.</t>
  </si>
  <si>
    <t>Rampage-Berserker Attack</t>
  </si>
  <si>
    <t>7m, 3i, 1wp</t>
  </si>
  <si>
    <t>Make a withering brawl attack, with instead of being used for damage, extra successes determine extra attacks and repeated damage.</t>
  </si>
  <si>
    <t>Supremacy of War Meditation</t>
  </si>
  <si>
    <t>Each time reaching iconic anima from dim, use free full brawl excellency.</t>
  </si>
  <si>
    <t>Apocalypse Flare Attack</t>
  </si>
  <si>
    <t>Throw essence with damage equal to damage gathered using FEF. May add 3 anima for 3 succ and ess damage.</t>
  </si>
  <si>
    <t>Heaven Fury Smite</t>
  </si>
  <si>
    <t>After crashing target, reset attack to hit again instantly with a decisive attack against them. Using any combat ability.</t>
  </si>
  <si>
    <t>Ascendant Battle Visage</t>
  </si>
  <si>
    <t>15m, 3a, 1wp</t>
  </si>
  <si>
    <t>Go super saiyan. Rush with double 7s and can use strength instead. Use combat action to clash without delay, moving close to the enemy. Withering can't crash you unless close range. Can reflexively use OFoB cheaper. Store damage from any clash using FEF. May use AFA without spending anima.</t>
  </si>
  <si>
    <t>Heart-Eating Fist</t>
  </si>
  <si>
    <t>3a, 1wp</t>
  </si>
  <si>
    <t>Burning Sky Apocalypse Strike</t>
  </si>
  <si>
    <t>15m, 1wp</t>
  </si>
  <si>
    <t>MotSE 9</t>
  </si>
  <si>
    <t>Frugal Merchant Method</t>
  </si>
  <si>
    <t>Detect quality of a good.</t>
  </si>
  <si>
    <t>Bureaucr.</t>
  </si>
  <si>
    <t>Deft Official's Way</t>
  </si>
  <si>
    <t>Scenelong - add Bureaucracy to a Read Intentions roll, sometimes.</t>
  </si>
  <si>
    <t>Measuring Glance</t>
  </si>
  <si>
    <t>Unfailingly sense people's Intimacies towards an organization.</t>
  </si>
  <si>
    <t>Insightful Buyer Technique</t>
  </si>
  <si>
    <t>Know how much you can sell a thing for.</t>
  </si>
  <si>
    <t>Consumer-Evaluating Glance</t>
  </si>
  <si>
    <t>Know someone's budget and whether he plans to cheat you.</t>
  </si>
  <si>
    <t>Enlightened Discourse Method</t>
  </si>
  <si>
    <t>Scenelong – add half Bureaucracy to social influence or bureaucratic ends.</t>
  </si>
  <si>
    <t>Deft Official's Way, Frugal Merchant Method</t>
  </si>
  <si>
    <t>All-Seeing Master Procurer</t>
  </si>
  <si>
    <t>People can feel how great a merchant you are.</t>
  </si>
  <si>
    <t>Enigmatic Bureau Understanding</t>
  </si>
  <si>
    <t>Sense when someone tries to turn a member of an organization against it.</t>
  </si>
  <si>
    <t>Illimitable Master Fence</t>
  </si>
  <si>
    <t>Know what Bureaucracy specialties the people around you have.</t>
  </si>
  <si>
    <t>Speed the Wheels</t>
  </si>
  <si>
    <t>8m</t>
  </si>
  <si>
    <t>Task</t>
  </si>
  <si>
    <t>Accelerate granting bureaucratic requests.</t>
  </si>
  <si>
    <t>Bureau-Rectifying Method</t>
  </si>
  <si>
    <t>Investigation</t>
  </si>
  <si>
    <t>Scenelong - add Bureaucracy to Socialize and Investigate in a bureau; all members of the bureau trust you.</t>
  </si>
  <si>
    <t>Irresistible Salesman Spirit</t>
  </si>
  <si>
    <t>Bargain with double-7s.</t>
  </si>
  <si>
    <t>Consumer-Evaluating Glance, Insightful Buyer Technique</t>
  </si>
  <si>
    <t>Ungoverned Market Awareness</t>
  </si>
  <si>
    <t>Sense deals being made around you via Bureaucracy or Larceny.</t>
  </si>
  <si>
    <t>Bureau-Reforming Kata</t>
  </si>
  <si>
    <t>Remove corruption, with unclear results.</t>
  </si>
  <si>
    <t>Bureau-Rectifying Method, Enigmatic Bureau Understanding</t>
  </si>
  <si>
    <t>Indolent Official Charm</t>
  </si>
  <si>
    <t>Stackable</t>
  </si>
  <si>
    <t>Induce corruption, slowing bureaucratic process.</t>
  </si>
  <si>
    <t>Semantic Argument Technique</t>
  </si>
  <si>
    <t>Add half Bureaucracy to social influence to follow The Rewlz.</t>
  </si>
  <si>
    <t>Honor-Instilling Mantra</t>
  </si>
  <si>
    <t>Empowered Barter Stance</t>
  </si>
  <si>
    <t>Recover willpower for doing Bureaucracy.</t>
  </si>
  <si>
    <t>Soul-Snaring Pitch</t>
  </si>
  <si>
    <t>Mute, Psyche</t>
  </si>
  <si>
    <t>Sell anything to anyone.</t>
  </si>
  <si>
    <t>Woe-Capturing Web</t>
  </si>
  <si>
    <t>Sense magic targeting your organization; stop it, if necessary.</t>
  </si>
  <si>
    <t>Omen-Spawning Beast</t>
  </si>
  <si>
    <t>Profile the person using magic on your organization.</t>
  </si>
  <si>
    <t>Foul Air of Argument Technique</t>
  </si>
  <si>
    <t>Kill a project.</t>
  </si>
  <si>
    <t>Eclectic Verbiage of Law</t>
  </si>
  <si>
    <t>Free bureaucracy Excellency, once per season.</t>
  </si>
  <si>
    <t>Infinitely-Efficient Register</t>
  </si>
  <si>
    <t>Finish a project, without actually undertaking it.</t>
  </si>
  <si>
    <t>Pattern-Exploiting Commerce Spirit</t>
  </si>
  <si>
    <t>Taboo-Inflicting Diatribe</t>
  </si>
  <si>
    <t>Your bureaucracy may no longer _____.</t>
  </si>
  <si>
    <t>Subject-Hailing Ideology</t>
  </si>
  <si>
    <t>Compel a person to act in his official capacity.</t>
  </si>
  <si>
    <t>Creation of Adamant Specie</t>
  </si>
  <si>
    <t>MotSE 10</t>
  </si>
  <si>
    <t>Spectacle-Inciting Order</t>
  </si>
  <si>
    <t>MotSE 11</t>
  </si>
  <si>
    <t>Order-Conferring Action</t>
  </si>
  <si>
    <t>One week</t>
  </si>
  <si>
    <t>Enhance an organization's die pools; make it a bulwark against the Wyld.</t>
  </si>
  <si>
    <t>Flawless Handiwork Method</t>
  </si>
  <si>
    <t>Reroll 10s until they disappear.</t>
  </si>
  <si>
    <t>Craft</t>
  </si>
  <si>
    <t>Tireless Workhorse Method</t>
  </si>
  <si>
    <t>(2*Essence) free Major slots.</t>
  </si>
  <si>
    <t>Triumph-Forging Eye</t>
  </si>
  <si>
    <t>Free full Craft Excellency once a week.</t>
  </si>
  <si>
    <t>Efficient Craftsman Technique</t>
  </si>
  <si>
    <t>Reduce cost of making a Major slot.</t>
  </si>
  <si>
    <t>Brass Scales Falling</t>
  </si>
  <si>
    <t>When you roll for a project with no Excellency, gain sxp for each 10.</t>
  </si>
  <si>
    <t>Brass Scales Falling x2</t>
  </si>
  <si>
    <t>Increases cap to (Ess * 3)</t>
  </si>
  <si>
    <t>Craftsman Needs No Tools</t>
  </si>
  <si>
    <t>One task</t>
  </si>
  <si>
    <t>Finish a Basic or Major project in moments, with your bare hands.</t>
  </si>
  <si>
    <t>Crack-Mending Technique</t>
  </si>
  <si>
    <t>Repair a nearly destroyed thing.</t>
  </si>
  <si>
    <t>Flawless Handiwork Method x2</t>
  </si>
  <si>
    <t>Reroll 6s until they fail to appear.</t>
  </si>
  <si>
    <t>Supreme Masterwork Focus</t>
  </si>
  <si>
    <t>Basic and Major projects get double 9s.</t>
  </si>
  <si>
    <t>Arete-Shifting Prana</t>
  </si>
  <si>
    <t>Convert dots from one Craft Ability to a related one.</t>
  </si>
  <si>
    <t>Red Anvils Ringing</t>
  </si>
  <si>
    <t>Chains Fall Away</t>
  </si>
  <si>
    <t>Peerless Paragon of Craft</t>
  </si>
  <si>
    <t>Roll dice every story, gain sxp or gxp for roll.</t>
  </si>
  <si>
    <t>Chains Fall Away, Craftsman Needs No Tools</t>
  </si>
  <si>
    <t>Shattering Grasp</t>
  </si>
  <si>
    <t>Break stuff.</t>
  </si>
  <si>
    <t>Durability-Enhancing Technique</t>
  </si>
  <si>
    <t>Make a mundane object permanently durable.</t>
  </si>
  <si>
    <t>Time Heals Nothing</t>
  </si>
  <si>
    <t>Create a major slot for repairs only.</t>
  </si>
  <si>
    <t>Blood Diamond Sweat</t>
  </si>
  <si>
    <t>Extra craft points for repairs.</t>
  </si>
  <si>
    <t>Bright-Forging Prana</t>
  </si>
  <si>
    <t>Act as if you had three more Craft Charms than you did; you can switch up which ones.</t>
  </si>
  <si>
    <t>Experiential Conjuring of True Void</t>
  </si>
  <si>
    <t>Salient</t>
  </si>
  <si>
    <t>Bonus non-Charm successes/dice on non-Basic projects. (Why both?)</t>
  </si>
  <si>
    <t>Design Beyond Limit</t>
  </si>
  <si>
    <t>Add Evocations to a weapon.</t>
  </si>
  <si>
    <t>Crack-Mending Technique, Craftsman Needs No Tools</t>
  </si>
  <si>
    <t>Unbroken Image Focus</t>
  </si>
  <si>
    <t>Spend craft points for bonus non-Charm successes.</t>
  </si>
  <si>
    <t>First Movement of the Demiurge</t>
  </si>
  <si>
    <t>Convert non-successes to 10s, for every three of a kind success you roll.</t>
  </si>
  <si>
    <t>Supreme Celestial Focus</t>
  </si>
  <si>
    <t>Spend gxp to raise a new Craft Ability.</t>
  </si>
  <si>
    <t>Sublime Transference</t>
  </si>
  <si>
    <t>Convert 4sxp &lt;-&gt; 2gxp &lt;-&gt; 1wxp</t>
  </si>
  <si>
    <t>Ages-Echoing Wisdom</t>
  </si>
  <si>
    <t>Gain (Major Slots) gp at the end of every story.</t>
  </si>
  <si>
    <t>Efficient Craftsman Technique, Sublime Transference</t>
  </si>
  <si>
    <t>Dragon Soul Emergence</t>
  </si>
  <si>
    <t>Gain one Superior slot.</t>
  </si>
  <si>
    <t>Supreme Perfection of Craft</t>
  </si>
  <si>
    <t>Gain sxp and gxp for each Craft Ability at 5, once a day.</t>
  </si>
  <si>
    <t>Peerless Paragon of Craft, Supreme Celestial Focus</t>
  </si>
  <si>
    <t>Thousand-Forge Hands</t>
  </si>
  <si>
    <t>Accelerate Superior or Legendary projects to weeks/months.</t>
  </si>
  <si>
    <t>Object-Strengthening Touch</t>
  </si>
  <si>
    <t>Make an object temporarily nigh-invulnerable.</t>
  </si>
  <si>
    <t>Chaos-Resistance Preparation</t>
  </si>
  <si>
    <t>An object – and anyone nearby – can resist the Wyld for extended periods.</t>
  </si>
  <si>
    <t>Breach-Healing Method</t>
  </si>
  <si>
    <t>You and allies gain (Essence) dice to rolls using smarty-pants Abilities.</t>
  </si>
  <si>
    <t>Supreme Masterwork Focus x2</t>
  </si>
  <si>
    <t>5m, 1wp, 1gxp</t>
  </si>
  <si>
    <t>Basic, Major, or Superior get double 8s.</t>
  </si>
  <si>
    <t>Copper Spider Conception</t>
  </si>
  <si>
    <t>Reduce cost of making a Superior slot.</t>
  </si>
  <si>
    <t>Clay and Breath Practice</t>
  </si>
  <si>
    <t>Earn sxp while making a Superior project.</t>
  </si>
  <si>
    <t>Spirit-Gathering Industry</t>
  </si>
  <si>
    <t>Finish a Superior project at lower cost.</t>
  </si>
  <si>
    <t>Summit-Piercing Touch</t>
  </si>
  <si>
    <t>Build Superior projects in Major slots.</t>
  </si>
  <si>
    <t>Vice-Miracle Technique</t>
  </si>
  <si>
    <t>Once a season, whip out a free 2-dot Artifact.</t>
  </si>
  <si>
    <t>Divine Transcendence of Craft</t>
  </si>
  <si>
    <t>Gain 3 wxp/story.</t>
  </si>
  <si>
    <t>Words-as-Workshop Method</t>
  </si>
  <si>
    <t>Mute, Stackable</t>
  </si>
  <si>
    <t>Invent artifact tools out of the air for a temporary purpose.</t>
  </si>
  <si>
    <t>Craftsman Needs No Tools, Vice-Miracle Technique</t>
  </si>
  <si>
    <t>Time Heals Nothing x2</t>
  </si>
  <si>
    <t>Create a superior slot for repairs only.</t>
  </si>
  <si>
    <t>The Art of Permanence</t>
  </si>
  <si>
    <t>Make an object that lasts forever – an ever-burning candle, say.</t>
  </si>
  <si>
    <t>Realizing the Form Supernal</t>
  </si>
  <si>
    <t>Bonus successes to repair an object.</t>
  </si>
  <si>
    <t>Celestial Reforging Technique</t>
  </si>
  <si>
    <t>Switch up which Evocations in a weapon are live.</t>
  </si>
  <si>
    <t>Add Evocations to a weapon again.</t>
  </si>
  <si>
    <t>Supreme Masterwork Focus x3</t>
  </si>
  <si>
    <t>2m, 1wxp</t>
  </si>
  <si>
    <t>Any Craft roll gets double 7s.</t>
  </si>
  <si>
    <t>Essence-Forging Kata</t>
  </si>
  <si>
    <t>One day</t>
  </si>
  <si>
    <t>Infinite Craft Mastery. Like, literally, exactly that, except daylong.</t>
  </si>
  <si>
    <t>Mind-Expanding Meditation</t>
  </si>
  <si>
    <t>Spend sxp to raise the limit of your Excellency.</t>
  </si>
  <si>
    <t>Inspiration-Renewing Vision</t>
  </si>
  <si>
    <t>Roll once for a Superior or Legendary project; this doesn't count against the maximum allowed rolls.</t>
  </si>
  <si>
    <t>Essence-Forging Kata, Supreme Masterwork Focus x2</t>
  </si>
  <si>
    <t>Divine Inspiration Technique</t>
  </si>
  <si>
    <t>Roll an extra die for every three successes on a Craft roll.</t>
  </si>
  <si>
    <t>First Movement of the Demiurge, Supreme Masterwork Focus x2</t>
  </si>
  <si>
    <t>Ever-Ready Innovation Discipline</t>
  </si>
  <si>
    <t>Unwinding Gyre Meditation</t>
  </si>
  <si>
    <t>Chain the gxp from one Superior project into the next, making it easier and more rewarding.</t>
  </si>
  <si>
    <t>God-Forge Within</t>
  </si>
  <si>
    <t>Gain two Legendary slots.</t>
  </si>
  <si>
    <t>Free Evocations.</t>
  </si>
  <si>
    <t>Horizon-Unveiling Insight</t>
  </si>
  <si>
    <t>Get an extra roll before the end of Superior/Legendary projects.</t>
  </si>
  <si>
    <t>Holistic Miracle Understanding</t>
  </si>
  <si>
    <t>If DIT produces 3+ more successes, add 3 more dice.</t>
  </si>
  <si>
    <t>Exegesis of the Distilled Form</t>
  </si>
  <si>
    <t>Convert all wxp into real experience points.</t>
  </si>
  <si>
    <t>Spirit-Stoking Elevation</t>
  </si>
  <si>
    <t>Spend wxp 5:1 in place of real experience points for Lore Charms and similar effects.</t>
  </si>
  <si>
    <t>Sun-Heart Tenacity</t>
  </si>
  <si>
    <t>On finishing a Legendary project, gain bonus successes to your next Superior/Legendary.</t>
  </si>
  <si>
    <t>Wonder-Forging Genius</t>
  </si>
  <si>
    <t>While building 10 Artifacts of the same level simultaneously, immediately finish one of them at no cost.</t>
  </si>
  <si>
    <t>God-Forge Within, Vice-Miracle Technique</t>
  </si>
  <si>
    <t>Dual Magnus Prana</t>
  </si>
  <si>
    <t>On death, reveal that the you that died was really a magic-robot-clone, and the real you has been elsewhere the whole time.</t>
  </si>
  <si>
    <t>5*</t>
  </si>
  <si>
    <t>Terrestrial Circle Sorcery, Wonder-Forging Genius</t>
  </si>
  <si>
    <t>Drifting Leaf Elusion</t>
  </si>
  <si>
    <t>Your Evasion wins ties, rather than losing them.</t>
  </si>
  <si>
    <t>Dodge</t>
  </si>
  <si>
    <t>Reed in the Wind</t>
  </si>
  <si>
    <t>Spend Initiative to raise Dodge, breaking the cap.</t>
  </si>
  <si>
    <t>Reflex Sidestep Technique</t>
  </si>
  <si>
    <t>Have Evasion 2+ when ambushed.</t>
  </si>
  <si>
    <t>Leaping Dodge Method</t>
  </si>
  <si>
    <t>After dodging an effect, move one range band.</t>
  </si>
  <si>
    <t>Shadow Over Water</t>
  </si>
  <si>
    <t>Remove any penalties to Evasion.</t>
  </si>
  <si>
    <t>Dust Motes Whirling</t>
  </si>
  <si>
    <t>Disengage with double-9s.</t>
  </si>
  <si>
    <t>Searing Quicksilver Flight</t>
  </si>
  <si>
    <t>When you dodge, the enemy loses 1i.</t>
  </si>
  <si>
    <t>Shadow Dancer Method</t>
  </si>
  <si>
    <t>- (1m)</t>
  </si>
  <si>
    <t>Keep the Initiative for Disengaging (or even earn it back, if you close again).</t>
  </si>
  <si>
    <t>Drifting Shadow Focus</t>
  </si>
  <si>
    <t>One turn</t>
  </si>
  <si>
    <t>On a successful dodge, redirect the attack to anyone at close range.</t>
  </si>
  <si>
    <t>Fourfold Shiver Binding</t>
  </si>
  <si>
    <t>Flow Like Blood</t>
  </si>
  <si>
    <t>Ignore all Evasion penalties against enemies with lower Initiative. Cut cost of RitW in half. Gain 1i each round you are at close range and not struck.</t>
  </si>
  <si>
    <t>Fleet Dreaming Image</t>
  </si>
  <si>
    <t>Disengage while at short range, rather than close.</t>
  </si>
  <si>
    <t>Force-Stealing Feint</t>
  </si>
  <si>
    <t>Gain the 1i lost by the opponent from SQF.</t>
  </si>
  <si>
    <t>Seven Shadow Evasion</t>
  </si>
  <si>
    <t>Perfectly dodge any attack.</t>
  </si>
  <si>
    <t>Safety Between Heartbeats</t>
  </si>
  <si>
    <t>Opponent loses 1i for each 1 rolled on the attack.</t>
  </si>
  <si>
    <t>Rumor of Form</t>
  </si>
  <si>
    <t>Convert enemy 1s into -1 successes.</t>
  </si>
  <si>
    <t>Way of Whispers Technique</t>
  </si>
  <si>
    <t>DLE and RoF don't count as Charms for the purpose of UWM.</t>
  </si>
  <si>
    <t>Vaporous Division</t>
  </si>
  <si>
    <t>Cancel damage at 4m/success.</t>
  </si>
  <si>
    <t>Sunlight Bleeding Away</t>
  </si>
  <si>
    <t>Retreat twice after disengaging instead of once.</t>
  </si>
  <si>
    <t>Thousand Steps' Stillness</t>
  </si>
  <si>
    <t>On a successful dodge, gain 1i per 1 or 2 enemy rolls.</t>
  </si>
  <si>
    <t>Unbowed Willow Meditation</t>
  </si>
  <si>
    <t>On a successful dodge without Charms, crash the enemy and steal his Initiative.</t>
  </si>
  <si>
    <t>Hundred Shadow Ways</t>
  </si>
  <si>
    <t>Learn an enemy Charm and become immune to its effects.</t>
  </si>
  <si>
    <t>Living Bonds Unburdened</t>
  </si>
  <si>
    <t>Create extra -0 health levels; if hit by an attack that only damages these levels, you count as dodging it.</t>
  </si>
  <si>
    <t>Unbridled Shade Attitude</t>
  </si>
  <si>
    <t>Gain 1i for every -0 health level you lose.</t>
  </si>
  <si>
    <t>Harm-Dismissing Meditation</t>
  </si>
  <si>
    <t>Stand still for a round, and heal health levels.</t>
  </si>
  <si>
    <t>Refinement of Flowing Shadows</t>
  </si>
  <si>
    <t>After using SSE, gain 1i/round until you are struck or move too far away.</t>
  </si>
  <si>
    <t>Enduring Mental Toughness</t>
  </si>
  <si>
    <t>Bridge</t>
  </si>
  <si>
    <t>Ignore penalties from injuries and other harm to your Resolve and Guile.</t>
  </si>
  <si>
    <t>Integrity</t>
  </si>
  <si>
    <t>Destiny-Manifesting Method</t>
  </si>
  <si>
    <t>Magic can alter you, but it cannot immediately render you unable to be who you are. (“Turn into a duck” becomes “Become duck-ish, but continue to daiklave things just fine; also, you can break this curse.”)</t>
  </si>
  <si>
    <t>Stubborn Boar Defense</t>
  </si>
  <si>
    <t>Gain +2 Resolve against issues you've resisted in the past.</t>
  </si>
  <si>
    <t>Enduring Mental Toughness x2</t>
  </si>
  <si>
    <t>Integrity-Protecting Prana</t>
  </si>
  <si>
    <t>- (5m, 1wp)</t>
  </si>
  <si>
    <t>Resist the natural twisting power of the Charm.</t>
  </si>
  <si>
    <t>Legend-Soul Revival</t>
  </si>
  <si>
    <t>Become immune to any curse you've broken via DMM.</t>
  </si>
  <si>
    <t>Spirit-Maintaining Maneuver</t>
  </si>
  <si>
    <t>Spend 5m for 1wp when resisting social influence or magic.</t>
  </si>
  <si>
    <t>Temptation-Resisting Stance</t>
  </si>
  <si>
    <t>Undying Solar Resolve</t>
  </si>
  <si>
    <t>Gain 1m for every 1 or 2 rolled on social influence or curses.</t>
  </si>
  <si>
    <t>Mind-Cleansing Prana</t>
  </si>
  <si>
    <t>Bridge, Mute</t>
  </si>
  <si>
    <t>Meditate for an hour; gain +2 successes on a concentration-based roll.</t>
  </si>
  <si>
    <t>Steel Heart Stance</t>
  </si>
  <si>
    <t>Reject influence even after being persuaded.</t>
  </si>
  <si>
    <t>Clear Mind Discipline</t>
  </si>
  <si>
    <t>1/day MCP only takes seconds.</t>
  </si>
  <si>
    <t>Energy Restoration Prana</t>
  </si>
  <si>
    <t>Treat a use of MCP as a full night's sleep, also restoring 20m and resetting 1/day Charms.</t>
  </si>
  <si>
    <t>Righteous Lion Defense</t>
  </si>
  <si>
    <t>Make one of your Principles (nearly) inviolable.</t>
  </si>
  <si>
    <t>Watchful Eyes of Heaven</t>
  </si>
  <si>
    <t>Sense when someone nearby is considering acting against a Principle you like.</t>
  </si>
  <si>
    <t>Accord of the Unbreakable Spirit</t>
  </si>
  <si>
    <t>One hour</t>
  </si>
  <si>
    <t>Pray with your followers for an hour; for the duration, they can resist the Wyld, disease, and hardship.</t>
  </si>
  <si>
    <t>Phoenix Renewal Tactic</t>
  </si>
  <si>
    <t>Use your Willpower to resist an attack with no clear means of defense.</t>
  </si>
  <si>
    <t>Phoenix Renewal Tactic x2</t>
  </si>
  <si>
    <t>Grants 1 non-Charm succ, can convert 2wp dice to 3 succ.</t>
  </si>
  <si>
    <t>Sun King Radiance</t>
  </si>
  <si>
    <t>Your followers gain Intimacies and bonus dice when they see you succeed socially.</t>
  </si>
  <si>
    <t>Soul-Nourishing Technique</t>
  </si>
  <si>
    <t>Your sermons feed your followers.</t>
  </si>
  <si>
    <t>Enduring Mental Toughness x3</t>
  </si>
  <si>
    <t>8m, 1wp</t>
  </si>
  <si>
    <t>Day</t>
  </si>
  <si>
    <t>Spirit-Tempering Practice</t>
  </si>
  <si>
    <t>Outside combat, turn motes into Willpower.</t>
  </si>
  <si>
    <t>Empowered Soul Technique</t>
  </si>
  <si>
    <t>1/day, raise your Resolve at 1m/point instead of 2m/point.</t>
  </si>
  <si>
    <t>Transcendent Hero's Meditation</t>
  </si>
  <si>
    <t>After being forced to act against an Intimacy, shatter the effect controlling you.</t>
  </si>
  <si>
    <t>Righteous Soul Judgment</t>
  </si>
  <si>
    <t>When your Intimacies are challenged, ignore the cost of three Charms to resist harm or influence.</t>
  </si>
  <si>
    <t>Barque of Transcendent Vision</t>
  </si>
  <si>
    <t>While using MCP, you cannot be influenced, but you also can't react to others.</t>
  </si>
  <si>
    <t>Unhesitating Dedication</t>
  </si>
  <si>
    <t>Steal successes from your enemy's social influence.</t>
  </si>
  <si>
    <t>Invincible Solar Aegis</t>
  </si>
  <si>
    <t>Use a Defining Principle to shake off major contradictory magical effects.</t>
  </si>
  <si>
    <t>Eminent Paragon Approach</t>
  </si>
  <si>
    <t>Everyone around you realizes you have a particular Defining Principle.</t>
  </si>
  <si>
    <t>Divine Mantle</t>
  </si>
  <si>
    <t>Learn a bunch of non-Eclipse-tagged Spirit Charms, as long as they fit your Principles and Charms.</t>
  </si>
  <si>
    <t>Eminent Paragon Approach, Invincible Solar Aegis</t>
  </si>
  <si>
    <t>Empathic Aegis Discipline</t>
  </si>
  <si>
    <t>MotSE 12</t>
  </si>
  <si>
    <t>Strength From Conviction Stance</t>
  </si>
  <si>
    <t>MotSE 13</t>
  </si>
  <si>
    <t>Body-Restoring Benison</t>
  </si>
  <si>
    <t>When using MCP, heal and avoid the need for food.</t>
  </si>
  <si>
    <t>Inviolable Essence-Merging</t>
  </si>
  <si>
    <t>While using MCP, become immune to harm.</t>
  </si>
  <si>
    <t>Body-Restoring Benison, Energy Restoration Prana</t>
  </si>
  <si>
    <t>Fetich-Tracing Eye</t>
  </si>
  <si>
    <t>MotSE 14</t>
  </si>
  <si>
    <t>Investig.</t>
  </si>
  <si>
    <t>Crafty Observation Method</t>
  </si>
  <si>
    <t>Truth-Rendering Attitude</t>
  </si>
  <si>
    <t>One Action</t>
  </si>
  <si>
    <t>Judge's Ear Technique</t>
  </si>
  <si>
    <t>Watchman's Infallible Eye</t>
  </si>
  <si>
    <t>Auto-detect “There's something fishy here; roll to try to notice it.” Nice!</t>
  </si>
  <si>
    <t>Inquisitor's Unfailing Notice</t>
  </si>
  <si>
    <t>Auto-detect “Larceny is being used nearby.”</t>
  </si>
  <si>
    <t>Case a scene in seconds, with bonuses.</t>
  </si>
  <si>
    <t>Divine Induction Technique</t>
  </si>
  <si>
    <t>1/scene, free full Excellency.</t>
  </si>
  <si>
    <t>Tell whether one statement is true or false.</t>
  </si>
  <si>
    <t>Evidence-Discerning Method</t>
  </si>
  <si>
    <t>2m, 1wp</t>
  </si>
  <si>
    <t>Profile criminal based on crime scene; auto-detect characters matching profile.</t>
  </si>
  <si>
    <t>Miraculous Stunning Insight</t>
  </si>
  <si>
    <t>1/scene, roll Investigation with double-8s.</t>
  </si>
  <si>
    <t>Watchful Justiciar's Eye</t>
  </si>
  <si>
    <t>Get an alert (and an explanation) when a character acts against your profile of him.</t>
  </si>
  <si>
    <t>Irresistible Questioning Technique</t>
  </si>
  <si>
    <t>Compel a character to honestly answer questions.</t>
  </si>
  <si>
    <t>Dauntless Inquisitor Attitude</t>
  </si>
  <si>
    <t>Infinite Investigation Mastery, roughly.</t>
  </si>
  <si>
    <t>Evidence-Restoring Prana</t>
  </si>
  <si>
    <t>Varies</t>
  </si>
  <si>
    <t>Momentarily restore destroyed evidence.</t>
  </si>
  <si>
    <t>Ten Magistrate Eyes</t>
  </si>
  <si>
    <t>Auto-succeed on a case scene action. Make Holmes-style logical connections between objects and events.</t>
  </si>
  <si>
    <t>Evidence-Discerning Method, Judge's Ear Technique</t>
  </si>
  <si>
    <t>Unknown Wisdom Epiphany</t>
  </si>
  <si>
    <t>Reenact the events of the crime from the perspective of one of the participants.</t>
  </si>
  <si>
    <t>Enlightened Touch Insight</t>
  </si>
  <si>
    <t>Sense the emotions of the person who left behind a piece of evidence.</t>
  </si>
  <si>
    <t>Judge-General's Stance</t>
  </si>
  <si>
    <t>10m</t>
  </si>
  <si>
    <t>Reset any Investigation Charms with limited use frequency (DIT, MSI, IQT, and MMM).</t>
  </si>
  <si>
    <t>Empathic Recall Discipline</t>
  </si>
  <si>
    <t>Understand the perpetrator's motivations, as per read intentions.</t>
  </si>
  <si>
    <t>Mind Manse Meditation</t>
  </si>
  <si>
    <t>12m, 1wp</t>
  </si>
  <si>
    <t>Enter your “Mind Manse” and solve some piece of the mystery.</t>
  </si>
  <si>
    <t>Empathic Recall Discipline, Evidence-Restoring Prana</t>
  </si>
  <si>
    <t>Seasoned Criminal Method</t>
  </si>
  <si>
    <t>You can attract criminals, avoid the attention of magistrates, or appear to be involved in any crimes in the area.</t>
  </si>
  <si>
    <t>Larceny</t>
  </si>
  <si>
    <t>Spurious Presence</t>
  </si>
  <si>
    <t>Appear to belong, wherever you are; boost your Guile to resist detection.</t>
  </si>
  <si>
    <t>Flawless Pickpocketing Technique</t>
  </si>
  <si>
    <t>Infallibly steal a thing.</t>
  </si>
  <si>
    <t>Lock-Opening Touch</t>
  </si>
  <si>
    <t>Automatically pick a lock.</t>
  </si>
  <si>
    <t>Preying on Uncertainty Approach</t>
  </si>
  <si>
    <t>Treat another's uncertainty as a Minor Intimacy.</t>
  </si>
  <si>
    <t>Clever Bandit's Rook</t>
  </si>
  <si>
    <t>Claim ownership of a thing.</t>
  </si>
  <si>
    <t>Swift Gambler's Eye</t>
  </si>
  <si>
    <t>Read Intentions better against someone while gambling.</t>
  </si>
  <si>
    <t>Lightning-Hand Sleight</t>
  </si>
  <si>
    <t>Cheat at a board game or poison a drink.</t>
  </si>
  <si>
    <t>Flawlessly Impenetrable Disguise</t>
  </si>
  <si>
    <t>Until the Exalt sleeps</t>
  </si>
  <si>
    <t>Create a perfect disguise.</t>
  </si>
  <si>
    <t>Phantom Hood Technique</t>
  </si>
  <si>
    <t>1/scene, mute five motes.</t>
  </si>
  <si>
    <t>Living Shadow Preparedness</t>
  </si>
  <si>
    <t>Bank successes for future Larceny or Stealth actions.</t>
  </si>
  <si>
    <t>Criminal Seduction Method</t>
  </si>
  <si>
    <t>Doubt-Sealing Heist</t>
  </si>
  <si>
    <t>Convince a target you've always owned something you steal from him.</t>
  </si>
  <si>
    <t>Unshakable Rogue's Spirit</t>
  </si>
  <si>
    <t>Add successes to a Larceny or Stealth roll, at the cost of future Initiative.</t>
  </si>
  <si>
    <t>Proof-Eating Palm</t>
  </si>
  <si>
    <t>Perfectly palm an object.</t>
  </si>
  <si>
    <t>Stealing From Plain Sight Spirit</t>
  </si>
  <si>
    <t>Steal someone's pants. Or, well, something else in plain sight, but probably pants.</t>
  </si>
  <si>
    <t>Master Plan Meditation</t>
  </si>
  <si>
    <t>Build points to spend on retroactive(?) larceny actions.</t>
  </si>
  <si>
    <t>Magpie's Invisible Talon</t>
  </si>
  <si>
    <t>Steal from several yards away, even with obstacles in the way.</t>
  </si>
  <si>
    <t>Stealing from Plain Sight Spirit</t>
  </si>
  <si>
    <t>Perfect Mirror</t>
  </si>
  <si>
    <t>Pretend to be another person, including special effects.</t>
  </si>
  <si>
    <t>Reversal of Fortune</t>
  </si>
  <si>
    <t>Steal from someone trying to pickpocket you.</t>
  </si>
  <si>
    <t>Door-Evading Technique</t>
  </si>
  <si>
    <t>Teleport through a door. But, like, skillfully, not with magic.</t>
  </si>
  <si>
    <t>Fate-Shifting Solar Arete</t>
  </si>
  <si>
    <t>Treat some number from 2-5 as a 10.</t>
  </si>
  <si>
    <t>Lightning-Hand Sleight, Unshakable Rogue's Spirit</t>
  </si>
  <si>
    <t>Skillful Reappropriation (Phantom Sting Search)</t>
  </si>
  <si>
    <t>Plant evidence on a target.</t>
  </si>
  <si>
    <t>Iron Wolves' Grasp</t>
  </si>
  <si>
    <t>Steal your enemy's weapon mid fight.</t>
  </si>
  <si>
    <t>Stealing from Plain Sight Spirit, Reversal of Fortune</t>
  </si>
  <si>
    <t>Flashing Ruse Prana</t>
  </si>
  <si>
    <t>Adopt a disguise instantly.</t>
  </si>
  <si>
    <t>Split Deception Method</t>
  </si>
  <si>
    <t>Wear two disguises at once.</t>
  </si>
  <si>
    <t>Sun-Stealing Shadow Spirit</t>
  </si>
  <si>
    <t>MotSE 15</t>
  </si>
  <si>
    <t>Fate-Shifting Solar Arete x2</t>
  </si>
  <si>
    <t>Can treat 2 numbers from 2-5 as 10s.</t>
  </si>
  <si>
    <t>Null Anima Gloves</t>
  </si>
  <si>
    <t>Prevent criminals and creatures of darkness from attacking you, briefly; enable a number of weird theft possibilities (dreams, Initiative, etc.).</t>
  </si>
  <si>
    <t>Iron Wolves' Grasp, Proof-Eating Palm, Skillful Reappropriation (Phantom Sting Search)</t>
  </si>
  <si>
    <t>Night's Eye Meditation</t>
  </si>
  <si>
    <t>Make your disguises “retroactively harder to pierce.”</t>
  </si>
  <si>
    <t>Unbroken Darkness Approach</t>
  </si>
  <si>
    <t>1/scene, free full Larceny Excellency.</t>
  </si>
  <si>
    <t>Whirling Brush Method</t>
  </si>
  <si>
    <t>Mute, Written-only</t>
  </si>
  <si>
    <t>Copy a book in seconds.</t>
  </si>
  <si>
    <t>Linguistics</t>
  </si>
  <si>
    <t>Flawless Brush Discipline</t>
  </si>
  <si>
    <t>Written-only</t>
  </si>
  <si>
    <t>Forge handwriting; render a perfect copy.</t>
  </si>
  <si>
    <t>Letter-Within-A-Letter Technique</t>
  </si>
  <si>
    <t>Hide a message to a specific individual in another written message.</t>
  </si>
  <si>
    <t>Subtle Speech Method</t>
  </si>
  <si>
    <t>One idea conveyed</t>
  </si>
  <si>
    <t>As LWALT, but spoken instead of written.</t>
  </si>
  <si>
    <t>Flowing Elegant Hand</t>
  </si>
  <si>
    <t>Double 9s on written works.</t>
  </si>
  <si>
    <t>Strange Tongue Understanding</t>
  </si>
  <si>
    <t>Interpret one statement in a foreign language, or parse “abstruse language.”</t>
  </si>
  <si>
    <t>Poetic Expression Style</t>
  </si>
  <si>
    <t>Communicate via body language.</t>
  </si>
  <si>
    <t>Sagacious Reading of Intent</t>
  </si>
  <si>
    <t>Automatically sense the Intimacies behind a written work.</t>
  </si>
  <si>
    <t>Mingled Tongue Technique</t>
  </si>
  <si>
    <t>Fuse two languages into a new language that speakers of either tongue can understand.</t>
  </si>
  <si>
    <t>Word-Shield Invocation</t>
  </si>
  <si>
    <t>After using SRoI, raise Resolve by Linguistics/2.</t>
  </si>
  <si>
    <t>Stolen Voice Technique</t>
  </si>
  <si>
    <t>Write in the style of another person.</t>
  </si>
  <si>
    <t>Essence-Laden Missive</t>
  </si>
  <si>
    <t>Mute, Psyche, Written-only</t>
  </si>
  <si>
    <t>Compel the reader to announce the contents of the message.</t>
  </si>
  <si>
    <t>Moving the Unseen Hand</t>
  </si>
  <si>
    <t>Write an anonymous letter, which readers will assume was written by a specific person.</t>
  </si>
  <si>
    <t>Voice-Caging Calligraphy</t>
  </si>
  <si>
    <t>Prevent the reader from repeating the contents of the letter.</t>
  </si>
  <si>
    <t>Single Voice Kata</t>
  </si>
  <si>
    <t>Speak a language that everyone can understand.</t>
  </si>
  <si>
    <t>Vanishing Immersion Style</t>
  </si>
  <si>
    <t>The character's Guile cannot be pierced while she's reading.</t>
  </si>
  <si>
    <t>Discerning Savant's Eye</t>
  </si>
  <si>
    <t>Read faded scripts.</t>
  </si>
  <si>
    <t>Flowing Elegant Hand x2</t>
  </si>
  <si>
    <t>Double 8s on written works.</t>
  </si>
  <si>
    <t>Power-Snaring Image</t>
  </si>
  <si>
    <t>Copy any magic embedded in a document.</t>
  </si>
  <si>
    <t>Flashing Quill Atemi</t>
  </si>
  <si>
    <t>One minute</t>
  </si>
  <si>
    <t>Edit a document without trace.</t>
  </si>
  <si>
    <t>Mind-Swallowing Missive</t>
  </si>
  <si>
    <t>Psyche, Written-only</t>
  </si>
  <si>
    <t>Target forgets all known languages.</t>
  </si>
  <si>
    <t>Cup Boils Over</t>
  </si>
  <si>
    <t>Kill someone who has no sensible Intimacies.</t>
  </si>
  <si>
    <t>Mind-Swallowing Missive, Voice-Caging Calligraphy</t>
  </si>
  <si>
    <t>Twisted Words Technique</t>
  </si>
  <si>
    <t>Psyche</t>
  </si>
  <si>
    <t>Convince someone of the truth of an assertion – but then have them do the opposite of that.</t>
  </si>
  <si>
    <t>Flowing Elegant Hand, Letter-Within-A-Letter Technique, Subtle Speech Method</t>
  </si>
  <si>
    <t>Excellent Emissary's Tongue</t>
  </si>
  <si>
    <t>Learn a new language.</t>
  </si>
  <si>
    <t>Single Voice Kata, Strange Tongue Understanding</t>
  </si>
  <si>
    <t>Perfect Recollection Discipline</t>
  </si>
  <si>
    <t>Maintain a perfect memory of a written work.</t>
  </si>
  <si>
    <t>Swift Sage's Eye</t>
  </si>
  <si>
    <t>One text</t>
  </si>
  <si>
    <t>Read a book at superhuman speed.</t>
  </si>
  <si>
    <t>Mind-Scribing Method</t>
  </si>
  <si>
    <t>Write a book in your miiiiiiiiiiind.</t>
  </si>
  <si>
    <t>Heaven-Drawing Discipline</t>
  </si>
  <si>
    <t>Reduce time required to compose a work, though not the time to write it.</t>
  </si>
  <si>
    <t>Soul-Drawing Pattern</t>
  </si>
  <si>
    <t>Indelible Spoken Script</t>
  </si>
  <si>
    <t>5m (+1wp)</t>
  </si>
  <si>
    <t>Heaven-Drawing Discipline x2</t>
  </si>
  <si>
    <t>Reduce time required by two units to compose, but not write.</t>
  </si>
  <si>
    <t>Perfect Celestial Author</t>
  </si>
  <si>
    <t>Combine Simple Charms on a single work.</t>
  </si>
  <si>
    <t>Unbreakable Fascination Method</t>
  </si>
  <si>
    <t>Hold people spellbound as long as you speak (or as long as they read what you have written).</t>
  </si>
  <si>
    <t>Flowing Elegant Hand x3</t>
  </si>
  <si>
    <t>Double 7s on written works.</t>
  </si>
  <si>
    <t>Heaven-Drawing Discipline x3</t>
  </si>
  <si>
    <t>Reduce time required by three units to compose, but not write.</t>
  </si>
  <si>
    <t>Essence-Lending Method</t>
  </si>
  <si>
    <t>Transfer motes to an ally.</t>
  </si>
  <si>
    <t>Lore</t>
  </si>
  <si>
    <t>Wyld-Dispelling Prana</t>
  </si>
  <si>
    <t>Protect an object or character from Wyld-twisting.</t>
  </si>
  <si>
    <t>Will-Bolstering Method</t>
  </si>
  <si>
    <t>Transfer Willpower to an ally.</t>
  </si>
  <si>
    <t>Chaos-Repelling Pattern</t>
  </si>
  <si>
    <t>Characters within short range are protected from the Wyld.</t>
  </si>
  <si>
    <t>Harmonious Academic Methodology</t>
  </si>
  <si>
    <t>Get ALL the Lore Specialties, and get bonuses when they apply.</t>
  </si>
  <si>
    <t>First Knowledge's Grace</t>
  </si>
  <si>
    <t>Teach the unteachable. Row row, fight da powa.</t>
  </si>
  <si>
    <t>Flowing Mind Prana</t>
  </si>
  <si>
    <t>Spend your XP to train someone else. Roll XP as dice at end of story; recover successes.</t>
  </si>
  <si>
    <t>Bottomless Wellspring Approach</t>
  </si>
  <si>
    <t>Gain bonuses when introducing/challenging facts.</t>
  </si>
  <si>
    <t>Wound-Accepting Technique</t>
  </si>
  <si>
    <t>Accept wounds from an ally.</t>
  </si>
  <si>
    <t>Essence Font Technique</t>
  </si>
  <si>
    <t>Make ELM and WBM Reflexive, with bonuses.</t>
  </si>
  <si>
    <t>Hidden Wisdom Bestowal</t>
  </si>
  <si>
    <t>Hide one lesson inside another.</t>
  </si>
  <si>
    <t>Tireless Learner Method</t>
  </si>
  <si>
    <t>Reroll nonsuccesses when using FMP.</t>
  </si>
  <si>
    <t>Lore-Inducing Concentration</t>
  </si>
  <si>
    <t>Reroll 6s when introducing/challenging facts.</t>
  </si>
  <si>
    <t>Truth-Rendering Gaze</t>
  </si>
  <si>
    <t>Reveal the function of an object.</t>
  </si>
  <si>
    <t>Soul-Light Spreading Discipline</t>
  </si>
  <si>
    <t>MotSE 16</t>
  </si>
  <si>
    <t>Legendary Scholar's Curriculum</t>
  </si>
  <si>
    <t>Use FMP to train many people at once.</t>
  </si>
  <si>
    <t>Selfsame Master Instructor</t>
  </si>
  <si>
    <t>Use FMP to teach spells or Charms.</t>
  </si>
  <si>
    <t>Sacred Relic Understanding</t>
  </si>
  <si>
    <t>Receive a vision of how to use an artifact.</t>
  </si>
  <si>
    <t>Wake the Sleeper</t>
  </si>
  <si>
    <t>Gain Evocations for free.</t>
  </si>
  <si>
    <t>Heaven-Turning Calculations</t>
  </si>
  <si>
    <t>Add non-Charm dice to thinky problems, permanently.</t>
  </si>
  <si>
    <t>Injury-Forcing Technique</t>
  </si>
  <si>
    <t>Push wounds onto a target.</t>
  </si>
  <si>
    <t>Essence-Draining Touch</t>
  </si>
  <si>
    <t>Drain motes from the target.</t>
  </si>
  <si>
    <t>Essence-Twining Method</t>
  </si>
  <si>
    <t>Convert the target's personal motes to peripheral or vice-versa.</t>
  </si>
  <si>
    <t>Force-Draining Whisper</t>
  </si>
  <si>
    <t>Steal damage from an attack through your mystic mumblings.</t>
  </si>
  <si>
    <t>Immanent Solar Glory</t>
  </si>
  <si>
    <t>Regain 1m when you roll a 10 on a Lore roll.</t>
  </si>
  <si>
    <t>Flowing Essence Conversion</t>
  </si>
  <si>
    <t>10m, 3a</t>
  </si>
  <si>
    <t>Reset your anima to dim.</t>
  </si>
  <si>
    <t>Power-Restoring Invocation</t>
  </si>
  <si>
    <t>2i, 3a</t>
  </si>
  <si>
    <t>Burn out your anima, restoring motes to allies.</t>
  </si>
  <si>
    <t>Surging Essence Flow</t>
  </si>
  <si>
    <t>Allow ELM and WBM to be used at range.</t>
  </si>
  <si>
    <t>Order-Affirming Blow</t>
  </si>
  <si>
    <t>Destroy Wyld-twisting effects.</t>
  </si>
  <si>
    <t>Wyld-Shaping Technique</t>
  </si>
  <si>
    <t>TEAR NEW REALITY FROM THE LAUGHING TEETH OF MADNESS.</t>
  </si>
  <si>
    <t>Chaos-Repelling Pattern, Order-Affirming Blow, Truth-Rendering Gaze</t>
  </si>
  <si>
    <t>Hero-Induction Method</t>
  </si>
  <si>
    <t>When using WST, create specialist workers.</t>
  </si>
  <si>
    <t>Wyld Cauldron Mastery</t>
  </si>
  <si>
    <t>When using WST, gain bonus successes.</t>
  </si>
  <si>
    <t>Wyld-Called Weapon</t>
  </si>
  <si>
    <t>Make artifact weapons using WST.</t>
  </si>
  <si>
    <t>Wyld-Forging Focus</t>
  </si>
  <si>
    <t>Skip a roll when using WST.</t>
  </si>
  <si>
    <t>Cloud-Wreathed Scholar</t>
  </si>
  <si>
    <t>Hundred Sages Focus</t>
  </si>
  <si>
    <t>Legend-Spirit Convocation</t>
  </si>
  <si>
    <t>MotSE 17</t>
  </si>
  <si>
    <t>Tome-Rearing Gesture</t>
  </si>
  <si>
    <t>Make a book you thought up using Mind-Scribing Method.</t>
  </si>
  <si>
    <t>Wyld-Shaping Technique, Mind-Scribing Method</t>
  </si>
  <si>
    <t>Power-Awarding Prana</t>
  </si>
  <si>
    <t>Grant Charms you don't know to a character (maybe you!).</t>
  </si>
  <si>
    <t>Essence Font Technique, Selfsame Master Instructor</t>
  </si>
  <si>
    <t>Prophet of Seventeen Cycles</t>
  </si>
  <si>
    <t>Predict the future, granting bonuses to those who follow your predictions and penalties to those who don't.</t>
  </si>
  <si>
    <t>Will-Shattering Illusion</t>
  </si>
  <si>
    <t>Steal Willpower and Initiative by posing a riddle.</t>
  </si>
  <si>
    <t>Chaos-Repelling Pattern, Force-Draining Whisper</t>
  </si>
  <si>
    <t>Surging Inner Fire</t>
  </si>
  <si>
    <t>Recover extra motes.</t>
  </si>
  <si>
    <t>Seal of Infinite Wisdom</t>
  </si>
  <si>
    <t>Boost the effect of ISG to 8s, 9s, and 10s for one roll.</t>
  </si>
  <si>
    <t>Sevenfold Savant Mantle</t>
  </si>
  <si>
    <t>Reduce cost of one use of WST.</t>
  </si>
  <si>
    <t>Power Beyond Reason</t>
  </si>
  <si>
    <t>Gain double-8s on one use of WST.</t>
  </si>
  <si>
    <t>Manse-Raising Method</t>
  </si>
  <si>
    <t>Build a manse using WST.</t>
  </si>
  <si>
    <t>Demiurgic Suspiration</t>
  </si>
  <si>
    <t>Regenerate motes while using WST.</t>
  </si>
  <si>
    <t>All-Knowing Enlightened Sovereign</t>
  </si>
  <si>
    <t>Power Beyond Reason x2</t>
  </si>
  <si>
    <t>Can use again on another phase to get double 7s.</t>
  </si>
  <si>
    <t>God-King's Shrike (Dogstar Ruminations)</t>
  </si>
  <si>
    <t>30m, 1wp</t>
  </si>
  <si>
    <t>Drop a nuke on an enemy nation from your basement. Yes, really.</t>
  </si>
  <si>
    <t>Incalculable Flowing Mind</t>
  </si>
  <si>
    <t>Gain 3wp.</t>
  </si>
  <si>
    <t>Unstoppable Magnus Approach</t>
  </si>
  <si>
    <t>Trade motes and Initiative for Willpower.</t>
  </si>
  <si>
    <t>Incalculable Flowing Mind, Surging Inner Fire</t>
  </si>
  <si>
    <t>Savant of Nine Glories</t>
  </si>
  <si>
    <t>Reduce cost of WST.</t>
  </si>
  <si>
    <t>Ailment-Rectifying Method</t>
  </si>
  <si>
    <t>Grant target bonuses to resist disease.</t>
  </si>
  <si>
    <t>Medicine</t>
  </si>
  <si>
    <t>Flawless Diagnosis Technique</t>
  </si>
  <si>
    <t>Perfectly diagnose an illness.</t>
  </si>
  <si>
    <t>Plague-Banishing Incitation</t>
  </si>
  <si>
    <t>Cure disease immediately.</t>
  </si>
  <si>
    <t>Wound-Mending Care Technique</t>
  </si>
  <si>
    <t>Restore health levels immediately.</t>
  </si>
  <si>
    <t>Wound-Cleansing Meditation</t>
  </si>
  <si>
    <t>Convert target's aggravated damage to lethal.</t>
  </si>
  <si>
    <t>Touch of Blissful Release</t>
  </si>
  <si>
    <t>Negate the target's wound penalties, though target cannot be active.</t>
  </si>
  <si>
    <t>Contagion-Curing Touch</t>
  </si>
  <si>
    <t>Gain bonuses to treat illness, permanently.</t>
  </si>
  <si>
    <t>Instant Treatment Methodology</t>
  </si>
  <si>
    <t>Perform an hour of treatment in seconds.</t>
  </si>
  <si>
    <t>Feit of Imparted Nature</t>
  </si>
  <si>
    <t>Grant temporary -0 health levels.</t>
  </si>
  <si>
    <t>Wound-Banishing Strike</t>
  </si>
  <si>
    <t>Remove a magical crippling injury mid-combat.</t>
  </si>
  <si>
    <t>Body-Purifying Admonitions</t>
  </si>
  <si>
    <t>Cause a poison to disperse after its next interval.</t>
  </si>
  <si>
    <t>Anointment of Miraculous Health</t>
  </si>
  <si>
    <t>Convert aggravated damage, or cure bashing/lethal, instantly.</t>
  </si>
  <si>
    <t>Body-Sculpting Essence Method</t>
  </si>
  <si>
    <t>As ITM, but the patient also recovers on their feet in seconds.</t>
  </si>
  <si>
    <t>Wholeness-Restoring Meditation</t>
  </si>
  <si>
    <t>Restore missing limbs, regrow eyes, or treat madness.</t>
  </si>
  <si>
    <t>Healing Trance Meditation</t>
  </si>
  <si>
    <t>Regenerate motes and willpower, and continue to do while making Medicine rolls.</t>
  </si>
  <si>
    <t>Contagion-Curing Touch, Wholeness-Restoring Meditation</t>
  </si>
  <si>
    <t>Life-Exchanging Prana</t>
  </si>
  <si>
    <t>Spend health levels for motes for Medicine Charms.</t>
  </si>
  <si>
    <t>Anodyne of Celestial Dreaming</t>
  </si>
  <si>
    <t>Remove target's wound penalties; if target is active, doctor takes -1 penalties.</t>
  </si>
  <si>
    <t>Master Chirurgeon Meditation</t>
  </si>
  <si>
    <t>Medicine Excellency is permanently 1m/2 dice.</t>
  </si>
  <si>
    <t>Any Medicine Charm</t>
  </si>
  <si>
    <t>Benison of Celestial Healing</t>
  </si>
  <si>
    <t>Use a Medicine Charm without paying its cost.</t>
  </si>
  <si>
    <t>Life-Sculpting Hands Technique</t>
  </si>
  <si>
    <t>1/scene free full Excellency.</t>
  </si>
  <si>
    <t>Healer's Unerring Hands</t>
  </si>
  <si>
    <t>Reroll non-successes in Medicine.</t>
  </si>
  <si>
    <t>Immaculate Solar Physician</t>
  </si>
  <si>
    <t>1/day, double Medicine successes.</t>
  </si>
  <si>
    <t>Perfect Celestial Chirurgeon</t>
  </si>
  <si>
    <t>1/story, double-7s on a Medicine roll.</t>
  </si>
  <si>
    <t>Time-Halting Flow</t>
  </si>
  <si>
    <t>MotSE 18</t>
  </si>
  <si>
    <t>Dipping Swallow Defense</t>
  </si>
  <si>
    <t>Ignore Defense penalties; gain 1i for parrying.</t>
  </si>
  <si>
    <t>Melee</t>
  </si>
  <si>
    <t>Call the Blade</t>
  </si>
  <si>
    <t>Call your weapon to hand with a successful roll.</t>
  </si>
  <si>
    <t>Nimble Reaving Wind</t>
  </si>
  <si>
    <t>Excellent Strike</t>
  </si>
  <si>
    <t>Gain a success and recurring 1s.</t>
  </si>
  <si>
    <t>One Weapon Two Blows</t>
  </si>
  <si>
    <t>After reducing an enemy from Initiative above yours to Init below yours, make a Reflexive attack.</t>
  </si>
  <si>
    <t>Fire and Stones Strike</t>
  </si>
  <si>
    <t>Add post-soak damage or transfer extra attack successes to a Decisive damage roll.</t>
  </si>
  <si>
    <t>Peony Blossom Technique</t>
  </si>
  <si>
    <t>Spend your anima to make an extra attack.</t>
  </si>
  <si>
    <t>Bulwark Stance</t>
  </si>
  <si>
    <t>Until next turn</t>
  </si>
  <si>
    <t>Ignore Defense penalties for one turn; opponent does reduced damage.</t>
  </si>
  <si>
    <t>Summoning the Loyal Steel</t>
  </si>
  <si>
    <t>Store a weapon in Elsewhere.</t>
  </si>
  <si>
    <t>Arc Shedding Rain Technique</t>
  </si>
  <si>
    <t>War Lion Stance</t>
  </si>
  <si>
    <t>Defend another reflexively.</t>
  </si>
  <si>
    <t>Solar Counterattack</t>
  </si>
  <si>
    <t>Counterattack, Decisive-only</t>
  </si>
  <si>
    <t>Counterattack before damage is rolled against you.</t>
  </si>
  <si>
    <t>Gleaming Sever</t>
  </si>
  <si>
    <t>1m, 1i</t>
  </si>
  <si>
    <t>MotSE 19</t>
  </si>
  <si>
    <t>Guard-Breaking Technique</t>
  </si>
  <si>
    <t>When Defending Other, grant extra Initiative to your charge with a Distract Gambit.</t>
  </si>
  <si>
    <t>Hail-Shattering Practice</t>
  </si>
  <si>
    <t>Attacker loses 1 success for each 1 or 2 rolled.</t>
  </si>
  <si>
    <t>Glorious Solar Saber</t>
  </si>
  <si>
    <t>Summon a magical glowing sword.</t>
  </si>
  <si>
    <t>Rising Sun Slash</t>
  </si>
  <si>
    <t>Add bonus successes if you roll a straight.</t>
  </si>
  <si>
    <t>Calm and Ready Focus</t>
  </si>
  <si>
    <t>Gain 1i when parrying as part of a Defend Other.</t>
  </si>
  <si>
    <t>Iron Raptor Technique</t>
  </si>
  <si>
    <t>Mute, Uniform</t>
  </si>
  <si>
    <t>Make a Melee attack at Medium range.</t>
  </si>
  <si>
    <t>Call the Blade, Excellent Strike</t>
  </si>
  <si>
    <t>Sandstorm-Wind Attack</t>
  </si>
  <si>
    <t>5m, 2i</t>
  </si>
  <si>
    <t>Make a Decisive attack at Short range, ignoring hardness and cover.</t>
  </si>
  <si>
    <t>Edge of Morning Sunlight</t>
  </si>
  <si>
    <t>Roll Decisive damage dice against Creatures of Darkness on a hit, even if that hit was Withering(!).</t>
  </si>
  <si>
    <t>Stark Truth of Steel Method</t>
  </si>
  <si>
    <t>2m, 1i</t>
  </si>
  <si>
    <t>Agile Dragonfly Blade</t>
  </si>
  <si>
    <t>Treat your Initiative as being three higher for the purposes of OWTB.</t>
  </si>
  <si>
    <t>Iron Whirlwind Attack</t>
  </si>
  <si>
    <t>Make a big magical flurry. Can chain off of PBT.</t>
  </si>
  <si>
    <t>Fivefold Bulwark Stance</t>
  </si>
  <si>
    <t>Ignore “certain” penalties to Defense.</t>
  </si>
  <si>
    <t>Heavenly Guardian Defense</t>
  </si>
  <si>
    <t>Perilous, Decisive-only</t>
  </si>
  <si>
    <t>Parry the unparryable.</t>
  </si>
  <si>
    <t>Unassailable Guardian Posture</t>
  </si>
  <si>
    <t>Attacks may not be applied to the character you're defending.</t>
  </si>
  <si>
    <t>Ready in Eight Directions Stance</t>
  </si>
  <si>
    <t>Counterattack every attack for the next round.</t>
  </si>
  <si>
    <t>Foe-Cleaving Focus</t>
  </si>
  <si>
    <t>Gain 1m for every 10 rolled when using RSS.</t>
  </si>
  <si>
    <t>Hungry Tiger Technique</t>
  </si>
  <si>
    <t>Dual, Perilous</t>
  </si>
  <si>
    <t>Do extra damage to a Crashed opponent.</t>
  </si>
  <si>
    <t>Invincible Fury of the Dawn</t>
  </si>
  <si>
    <t>Gain extra attacks with IWA.</t>
  </si>
  <si>
    <t>Perfect Strike Discipline</t>
  </si>
  <si>
    <t>Free full Excellency.</t>
  </si>
  <si>
    <t>Dipping Swallow Defense, Excellent Strike</t>
  </si>
  <si>
    <t>Flashing Edge of Dawn</t>
  </si>
  <si>
    <t>Counterattack, Withering-only</t>
  </si>
  <si>
    <t>Make a Withering counterattack, turning any stolen damage into Decisive dice.</t>
  </si>
  <si>
    <t>One Weapon Two Blows, Solar Counterattack</t>
  </si>
  <si>
    <t>Fervent Blow</t>
  </si>
  <si>
    <t>Reflexively Clash with an attack.</t>
  </si>
  <si>
    <t>Over-and-Under Method</t>
  </si>
  <si>
    <t>Combine FEoD and FB.</t>
  </si>
  <si>
    <t>Immortal Blade Triumphant</t>
  </si>
  <si>
    <t>Extra damage on all attacks for the rest of the scene.</t>
  </si>
  <si>
    <t>Corona of Radiance</t>
  </si>
  <si>
    <t>Raise defense against creatures of darkness; burn them if they touch you.</t>
  </si>
  <si>
    <t>Sharp Light of Judgment Stance</t>
  </si>
  <si>
    <t>Gain extra damage against creatures of darkness; treat people you hate as creatures of darkness.</t>
  </si>
  <si>
    <t>Blazing Solar Bolt</t>
  </si>
  <si>
    <t>Shoot a bolt of energy at an enemy; works better against creatures of darkness.</t>
  </si>
  <si>
    <t>Victorious Wreath (Against the World Stance)</t>
  </si>
  <si>
    <t>6m, 1wp (+1i/rnd)</t>
  </si>
  <si>
    <t>Fivefold Bulwark Stance, Ready in Eight Directions Stance</t>
  </si>
  <si>
    <t>Whirlwind-Tempest Deflection</t>
  </si>
  <si>
    <t>Flashing Edge of Dawn, Heavenly Guardian Defense</t>
  </si>
  <si>
    <t>Shattering Clash</t>
  </si>
  <si>
    <t>MotSE 20</t>
  </si>
  <si>
    <t>Omniscient Focus Attack</t>
  </si>
  <si>
    <t>Decisive-only, clash</t>
  </si>
  <si>
    <t>MotSE 21</t>
  </si>
  <si>
    <t>All-Sundering Strike</t>
  </si>
  <si>
    <t>Clash</t>
  </si>
  <si>
    <t>Fervent Blow, Hail-Shattering Practice</t>
  </si>
  <si>
    <t>Divine Executioner Stance</t>
  </si>
  <si>
    <t>6m(+1m)</t>
  </si>
  <si>
    <t>Heaven Sword Flash</t>
  </si>
  <si>
    <t>Decisive-only, Perilous</t>
  </si>
  <si>
    <t>Decisively strike all opponents at close range.</t>
  </si>
  <si>
    <t>Circle of Bright Reaving</t>
  </si>
  <si>
    <t>Withering-only, Perilous</t>
  </si>
  <si>
    <t>If you kill anyone with HSF, make a withering strike against all opponents at close range. If you Crash anyone, you can pop HSF again.</t>
  </si>
  <si>
    <t>Protection of Celestial Bliss</t>
  </si>
  <si>
    <t>When you use HGD, accumulate extra Initiative for later uses of HGD.</t>
  </si>
  <si>
    <t>Spirit-Detecting Glance</t>
  </si>
  <si>
    <t>See spirits.</t>
  </si>
  <si>
    <t>Occult</t>
  </si>
  <si>
    <t>Uncanny Perception Technique</t>
  </si>
  <si>
    <t>A mental alarm goes off when there's a spirit nearby.</t>
  </si>
  <si>
    <t>Spirit-Cutting Attack</t>
  </si>
  <si>
    <t>Strike a spirit.</t>
  </si>
  <si>
    <t>Spirit-Manifesting Word</t>
  </si>
  <si>
    <t>Allow a spirit ally to materialize for 1m.</t>
  </si>
  <si>
    <t>Keen Unnatural Eye</t>
  </si>
  <si>
    <t>Permanent bonus dice on attempts to investigate or follow spirits.</t>
  </si>
  <si>
    <t>Spirit-Draining Stance</t>
  </si>
  <si>
    <t>Do extra damage to spirits for the scene.</t>
  </si>
  <si>
    <t>Ghost-Eating Technique</t>
  </si>
  <si>
    <t>Do aggravated damage to spirits, and steal motes from them. Permanently destroy spirits and, uh, imordials-Pray. (Shhh, don't mention them by name!)</t>
  </si>
  <si>
    <t>Uncanny Shroud Defense</t>
  </si>
  <si>
    <t>An attack that would kill you doesn't. You need to heal before using this again, though.</t>
  </si>
  <si>
    <t>Ancient Tongue Understanding</t>
  </si>
  <si>
    <t>Speak Old Realm and other spirit language. Bonus successes to shaping actions for the scene(!).</t>
  </si>
  <si>
    <t>Terrestrial Circle Sorcery</t>
  </si>
  <si>
    <t>Terrestrial Circle Sorcery.</t>
  </si>
  <si>
    <t>Ivory Circle Necromancy</t>
  </si>
  <si>
    <t>Phantom-Seizing Strike</t>
  </si>
  <si>
    <t>An immaterial enemy becomes material when you strike him.</t>
  </si>
  <si>
    <t>Spirit-Slaying Stance</t>
  </si>
  <si>
    <t>Scenelong bonus dice to attacks vs. spirits. Very cheap Infinite Occult Mastery.</t>
  </si>
  <si>
    <t>Supernal Control Method</t>
  </si>
  <si>
    <t>Free full Occult Excellency.</t>
  </si>
  <si>
    <t>Spirit-Repelling Diagram</t>
  </si>
  <si>
    <t>Spirits at short range must materialize or retreat.</t>
  </si>
  <si>
    <t>Breath-Drinker Method</t>
  </si>
  <si>
    <t>Steal motes equal to damage done to a spirit.</t>
  </si>
  <si>
    <t>Nine Specters Ban</t>
  </si>
  <si>
    <t>Immaterial beings must pay Willpower to attack you.</t>
  </si>
  <si>
    <t>Spirit-Repelling Diagram, Uncanny Shroud Defense</t>
  </si>
  <si>
    <t>Spirit-Caging Mandala</t>
  </si>
  <si>
    <t>Trap and materialize a spirit for a few rounds.</t>
  </si>
  <si>
    <t>Material Exegesis Prana</t>
  </si>
  <si>
    <t>Materialize several spirit allies.</t>
  </si>
  <si>
    <t>Dark-Minder's Observances</t>
  </si>
  <si>
    <t>Learn several thaumaturgical rituals. Er, what's a thaumaturgical ritual?</t>
  </si>
  <si>
    <t>All-Encompassing Sorcerer's Sight</t>
  </si>
  <si>
    <t>Detect shaping actions, sorcery, Evocations, and spirit sanctums for one instant.</t>
  </si>
  <si>
    <t>Carnal Spirit Rending</t>
  </si>
  <si>
    <t>Temporarily absorb the powers of a spirit killed via GET.</t>
  </si>
  <si>
    <t>Burning Exorcism Technique</t>
  </si>
  <si>
    <t>Force a spirit or spiritual disease(?) from its host.</t>
  </si>
  <si>
    <t>Six Eternities' Travail</t>
  </si>
  <si>
    <t>MotSE 22</t>
  </si>
  <si>
    <t>Celestial Circle Sorcery</t>
  </si>
  <si>
    <t>Celestial Circle Sorcery.</t>
  </si>
  <si>
    <t>Burning Eye of the Deliverer</t>
  </si>
  <si>
    <t>Notice disguises and shapeshifting with AESS.</t>
  </si>
  <si>
    <t>Soul Projection Method</t>
  </si>
  <si>
    <t>Spiritually enter another's body to do battle with possessing forces (or to inflict possessing forces on the target).</t>
  </si>
  <si>
    <t>Wyld-Binding Prana</t>
  </si>
  <si>
    <t>SCM works on unshaped fair folk and similar beings.</t>
  </si>
  <si>
    <t>Spirit-Draining Mudra</t>
  </si>
  <si>
    <t>Fuel your Charms and spells with motes stolen from a spirit trapped via SCM.</t>
  </si>
  <si>
    <t>Demon-Compelling Noose</t>
  </si>
  <si>
    <t>Gain social influence bonuses against a spirit trapped via SCM.</t>
  </si>
  <si>
    <t>All Souls Benediction</t>
  </si>
  <si>
    <t>Spirits to an enormous distance are forced to materialize and remain material.</t>
  </si>
  <si>
    <t>Gloaming Eye Understanding</t>
  </si>
  <si>
    <t>Commit motes to learn spirit Charms.</t>
  </si>
  <si>
    <t>Anima-Suffused Spirit</t>
  </si>
  <si>
    <t>1m+2m,1a/hl</t>
  </si>
  <si>
    <t>What Light Reveals (Living Specter's Flame)</t>
  </si>
  <si>
    <t>Sorcerer's Burning Chakra</t>
  </si>
  <si>
    <t>When at full anima, AESS automatically activates.</t>
  </si>
  <si>
    <t>Immortal Soul Vigil</t>
  </si>
  <si>
    <t>When using SPM, detect signs of past spiritual predation; come to subject's aid if such predation recurs.</t>
  </si>
  <si>
    <t>Spirit-Shredding Exorcism</t>
  </si>
  <si>
    <t>Reduce Essence of a target trapped via SCM.</t>
  </si>
  <si>
    <t>Spirit-Drawing Oculus</t>
  </si>
  <si>
    <t>1wp, 3a</t>
  </si>
  <si>
    <t>Spend your anima to gather motes to spend on thinky-actions.</t>
  </si>
  <si>
    <t>Ephemeral Induction Technique</t>
  </si>
  <si>
    <t>20m, 1wp</t>
  </si>
  <si>
    <t>Create a spirit.</t>
  </si>
  <si>
    <t>Carnal Spirit Rending, Gloaming Eye Understanding, Wyld-Binding Prana</t>
  </si>
  <si>
    <t>Solar Circle Sorcery</t>
  </si>
  <si>
    <t>Solar Circle Sorcery.</t>
  </si>
  <si>
    <t>Respect-Commanding Attitude</t>
  </si>
  <si>
    <t>One Performance action</t>
  </si>
  <si>
    <t>People must pay WP to leave or interrupt your performance.</t>
  </si>
  <si>
    <t>Perform.</t>
  </si>
  <si>
    <t>Masterful Performance Exercise</t>
  </si>
  <si>
    <t>Bonus success + recurring 1s.</t>
  </si>
  <si>
    <t>Impassioned Orator Technique</t>
  </si>
  <si>
    <t>Double-9s, on oratory.</t>
  </si>
  <si>
    <t>Perfect Harmony Technique</t>
  </si>
  <si>
    <t>Double-9s, on music. Hang on, that seems familiar…</t>
  </si>
  <si>
    <t>Graceful Reed Dancing</t>
  </si>
  <si>
    <t>Gain double-9s while dancing.</t>
  </si>
  <si>
    <t>Cunning Mimicry Technique</t>
  </si>
  <si>
    <t>Mimic a voice perfectly. For ten seconds, after an hour of warming up.</t>
  </si>
  <si>
    <t>Thousand Courtesan Ways</t>
  </si>
  <si>
    <t>Mood-Inducing Music</t>
  </si>
  <si>
    <t>One song</t>
  </si>
  <si>
    <t>Grant or remove dice to attempts to create social influence, depending on whether it fits with the mood of your music.</t>
  </si>
  <si>
    <t>Battle-Dancer Method</t>
  </si>
  <si>
    <t>Add (Performance/2) to your Defense.</t>
  </si>
  <si>
    <t>Shining Expression Style</t>
  </si>
  <si>
    <t>Your dance inspires people to talk about their Ties.</t>
  </si>
  <si>
    <t>Voice-Hurling Method</t>
  </si>
  <si>
    <t>Ventriloquism.</t>
  </si>
  <si>
    <t>Splendid Magpie Approach</t>
  </si>
  <si>
    <t>Mimic an animal.</t>
  </si>
  <si>
    <t>Celestial Bliss Trick</t>
  </si>
  <si>
    <t>Defining Tie of Lust. (Essence) auto-successes. “World-shaking climax.” … Stay classy, Exalted.</t>
  </si>
  <si>
    <t>Soul-Firing Performance</t>
  </si>
  <si>
    <t>Inflict emotion on a group; all those affected reconsider a past decision in that emotional context.</t>
  </si>
  <si>
    <t>Most Excellent Mockingbird</t>
  </si>
  <si>
    <t>Mimic a voice perfectly for a scene.</t>
  </si>
  <si>
    <t>Stillness-Drawing Meditation</t>
  </si>
  <si>
    <t>Recover motes when you influence a group.</t>
  </si>
  <si>
    <t>Phantom-Conjuring Performance</t>
  </si>
  <si>
    <t>Create illustrative illusions.</t>
  </si>
  <si>
    <t>Masterful Performance Exercise, Respect-Commanding Attitude</t>
  </si>
  <si>
    <t>Fury Inciting Speech</t>
  </si>
  <si>
    <t>Incite a mob to action.</t>
  </si>
  <si>
    <t>Heart-Compelling Method</t>
  </si>
  <si>
    <t>Appeal to an emotionally-charged Intimacy, creating Storyteller-defined action.</t>
  </si>
  <si>
    <t>Master Thespian Style</t>
  </si>
  <si>
    <t>Gain +1 Guile as long as you stay in character. Characters who fail to pierce your Guile read Intimacies for the character you're playing.</t>
  </si>
  <si>
    <t>Divine Instrument</t>
  </si>
  <si>
    <t>1m or 2m</t>
  </si>
  <si>
    <t>MotSE 23</t>
  </si>
  <si>
    <t>Drama-Fueling Ardor</t>
  </si>
  <si>
    <t>MotSE 24</t>
  </si>
  <si>
    <t>Dogmatic Contagion Discipline</t>
  </si>
  <si>
    <t>On inspiring a crowd, grant bonus dice to those affected.</t>
  </si>
  <si>
    <t>Battle Anthem (of the Solar Exalted)</t>
  </si>
  <si>
    <t>Grant bonus dice to battle groups.</t>
  </si>
  <si>
    <t>Plectral Harbinger's Approach</t>
  </si>
  <si>
    <t>Grant bonus dice to a social influence.</t>
  </si>
  <si>
    <t>Soul-Stirring Cantata</t>
  </si>
  <si>
    <t>Allies regenerate extra motes while listening to your music.</t>
  </si>
  <si>
    <t>Winding Sinuous Motion</t>
  </si>
  <si>
    <t>Reduce target's Resolve or Guile by 2 vs. your next social influence.</t>
  </si>
  <si>
    <t>Trance of Fugue Vision</t>
  </si>
  <si>
    <t>Gain motes for rolling 10s or attempting performance, but only with scenelong Charms up.</t>
  </si>
  <si>
    <t>Penultimate Unity of Form</t>
  </si>
  <si>
    <t>One Performance Action</t>
  </si>
  <si>
    <t>Non-supplemental Performance Charms can be used with other performance types.</t>
  </si>
  <si>
    <t>Soul-Bracing Momentous Power</t>
  </si>
  <si>
    <t>Spend ~25% of your Willpower to make an influence roll more successful and harder to resist.</t>
  </si>
  <si>
    <t>Memory-Reweaving Discipline</t>
  </si>
  <si>
    <t>A group accepts a false memory. Announcing “Lelouch vi Britannia commands you!” optional.</t>
  </si>
  <si>
    <t>Demon Wracking Shout</t>
  </si>
  <si>
    <t>Vaporize creatures of darkness to long range with an extremely potent Decisive.</t>
  </si>
  <si>
    <t>Infectious Zealotry Approach</t>
  </si>
  <si>
    <t>Convince another character to attempt social influence now, forgoing all other purposes.</t>
  </si>
  <si>
    <t>Heroism-Encouraging Ballad</t>
  </si>
  <si>
    <t>Either the Solar and an ally are immune to fear, or a larger group (or battle group) gain courage bonuses.</t>
  </si>
  <si>
    <t>Monk-Seducing Demon Dance</t>
  </si>
  <si>
    <t>Inspire characters to lust after or admire you.</t>
  </si>
  <si>
    <t>Thousand Courtesan Ways, Winding Sinuous Motion</t>
  </si>
  <si>
    <t>Seventeen Cycles Symphony</t>
  </si>
  <si>
    <t>Heart-Compelling Method, Plectral Harbinger's Approach</t>
  </si>
  <si>
    <t>Divinely-Inspired Performance</t>
  </si>
  <si>
    <t>Seven Thunders Voice</t>
  </si>
  <si>
    <t>5m, 1wp (6m, 1wp)</t>
  </si>
  <si>
    <t>Unmatched Showmanship Style</t>
  </si>
  <si>
    <t>1/scene, free full muted Excellency.</t>
  </si>
  <si>
    <t>Memory-Reweaving Discipline x2</t>
  </si>
  <si>
    <t>May only target a single character.</t>
  </si>
  <si>
    <t>Soul Voice</t>
  </si>
  <si>
    <t>1/day, for the next performance, your Performance Charms cost no motes.</t>
  </si>
  <si>
    <t>Pivotal Encore Performance</t>
  </si>
  <si>
    <t>1wp, 1lhl</t>
  </si>
  <si>
    <t>Reset USS and SV.</t>
  </si>
  <si>
    <t>Harmonious Presence Meditation</t>
  </si>
  <si>
    <t>Gain bonus dice to social rolls for a scene; social Charms are 1m cheaper.</t>
  </si>
  <si>
    <t>Presence</t>
  </si>
  <si>
    <t>Listener-Swaying Argument</t>
  </si>
  <si>
    <t>Gain bonuses to Instill or Persuade – bigger bonuses, if the target boosts his Resolve.</t>
  </si>
  <si>
    <t>Tiger's Dread Symmetry</t>
  </si>
  <si>
    <t>Permanent bonus to Presence and intimidate. With MRP, auto-intimidate anyone who tries to ambush you.</t>
  </si>
  <si>
    <t>Poised Lion Attitude</t>
  </si>
  <si>
    <t>MotSE 25</t>
  </si>
  <si>
    <t>Excellent Friend Approach</t>
  </si>
  <si>
    <t>Anyone with Defining Ties to you will perform inconvenient tasks without a roll.</t>
  </si>
  <si>
    <t>Harmonious Presence Meditation, Listener-Swaying Argument</t>
  </si>
  <si>
    <t>Impassioned Discourse Technique</t>
  </si>
  <si>
    <t>Gain bonuses to persuasion in line with your Intimacies.</t>
  </si>
  <si>
    <t>Majestic Radiant Presence</t>
  </si>
  <si>
    <t>Enemies must pay 1wp the first time they speak or act against you.</t>
  </si>
  <si>
    <t>Threefold Magnetic Ardor</t>
  </si>
  <si>
    <t>Turn your high-Appearance bonus dice into bonus successes.</t>
  </si>
  <si>
    <t>Empowering Shout</t>
  </si>
  <si>
    <t>Grant an ally +1 to one Attribute and one Ability.</t>
  </si>
  <si>
    <t>Underling-Promoting Touch</t>
  </si>
  <si>
    <t>Anyone with Intimacies for the Solar also has Intimacies for the target; the target can act with the Solar's authority.</t>
  </si>
  <si>
    <t>Awakened Carnal Demiurge</t>
  </si>
  <si>
    <t>Increase your Appearance by 1; lower the target's Resolve if this is seduction.</t>
  </si>
  <si>
    <t>Enemy-Castigating Solar Judgment</t>
  </si>
  <si>
    <t>A Decisive attack on creatures of darkness does agg, or a social influence attempt lowers their resolve. Treat people you hate as CoDs, for this one attack.</t>
  </si>
  <si>
    <t>Impassioned Discourse Technique, Majestic Radiant Presence</t>
  </si>
  <si>
    <t>Fulminating Word</t>
  </si>
  <si>
    <t>Increase the cost of a Decision Point (i.e., reject successful Persuade) by 1wp.</t>
  </si>
  <si>
    <t>Authority-Radiating Stance</t>
  </si>
  <si>
    <t>Allies to Medium range are immune to fear penalties. Have we seen fear penalties, so far?</t>
  </si>
  <si>
    <t>Terrifying Apparition of Glory</t>
  </si>
  <si>
    <t>Threaten everyone out to Long range. Also, inflict a fear penalty on battle groups – well, that answers that.</t>
  </si>
  <si>
    <t>Blazing Glorious Icon</t>
  </si>
  <si>
    <t>Bonus dice to threaten, persuade, or instill.</t>
  </si>
  <si>
    <t>Mind-Wiping Gaze</t>
  </si>
  <si>
    <t>Target forgets one piece of social influence he was about to carry out.</t>
  </si>
  <si>
    <t>Hypnotic Tongue Technique</t>
  </si>
  <si>
    <t>Psyche, Mute</t>
  </si>
  <si>
    <t>Program the target with a series of short commands. Really wishing I hadn't made a Code Geass joke already.</t>
  </si>
  <si>
    <t>Mind-Wiping Gaze, Fulminating Word</t>
  </si>
  <si>
    <t>Worshipful Lackey Acquisition</t>
  </si>
  <si>
    <t>On succeeding at a major task, your enemies must grovel before you for the next few days.</t>
  </si>
  <si>
    <t>Prophet-Uplifting Evocation</t>
  </si>
  <si>
    <t>Grant a follower motes and a Resolve bonus to act as your prophet.</t>
  </si>
  <si>
    <t>Shedding Infinite Radiance</t>
  </si>
  <si>
    <t>Grant three bonus successes to a follower.</t>
  </si>
  <si>
    <t>Rose-Lipped Seduction Style</t>
  </si>
  <si>
    <t>Double-9s on seduction. Seduce even people who can't be seduced.</t>
  </si>
  <si>
    <t>Holy Touch</t>
  </si>
  <si>
    <t>God-Heeling Gesture</t>
  </si>
  <si>
    <t>Unnerving Solar Presence</t>
  </si>
  <si>
    <t>MotSE 26</t>
  </si>
  <si>
    <t>Crowned King of Eternity</t>
  </si>
  <si>
    <t>1/scene, free Presence, Performance, or Socialize Excellency.</t>
  </si>
  <si>
    <t>Favor-Conferring Prana</t>
  </si>
  <si>
    <t>As per ES, but stacking with that bonus and of Indefinite duration.</t>
  </si>
  <si>
    <t>Empowering Shout, Underling-Promoting Touch</t>
  </si>
  <si>
    <t>Countenance of Vast Wrath</t>
  </si>
  <si>
    <t>Burn your anima for extra Intimidation dice. Enemies who don't attack you lose 1i/turn.</t>
  </si>
  <si>
    <t>Voice-Empowering Aspect (Aspect-Imbued Voice)</t>
  </si>
  <si>
    <t>6m (1m, 1wp)</t>
  </si>
  <si>
    <t>Divinity-Conferring Touch (Celestial Exaltation Method)</t>
  </si>
  <si>
    <t>MotSE 27</t>
  </si>
  <si>
    <t>Ox-Body Technique</t>
  </si>
  <si>
    <t>Extra health levels.</t>
  </si>
  <si>
    <t>Resistan.</t>
  </si>
  <si>
    <t>Whirlwind Armor-Donning Prana</t>
  </si>
  <si>
    <t>Put on armor in a handful of turns. Er, how long does it take normally?</t>
  </si>
  <si>
    <t>Armed and Ready Discipline</t>
  </si>
  <si>
    <t>Durability of Oak Meditation</t>
  </si>
  <si>
    <t>One tick</t>
  </si>
  <si>
    <t>4 Hardness, -2 damage to all attacks for one tick.</t>
  </si>
  <si>
    <t>Spirit Strengthens the Skin</t>
  </si>
  <si>
    <t>1m/soak or 2m/sux</t>
  </si>
  <si>
    <t>Withering-only</t>
  </si>
  <si>
    <t>Post-hit soak booster. Upgrades to remove damage successes.</t>
  </si>
  <si>
    <t>Body-Mending Meditation</t>
  </si>
  <si>
    <t>Heal fast. (Recommended with lots of OBT.)</t>
  </si>
  <si>
    <t>Iron Skin Concentration</t>
  </si>
  <si>
    <t>Instant or Indefinite</t>
  </si>
  <si>
    <t>Soak unsoakable withering damage; against a Decisive attack, create extra health levels.</t>
  </si>
  <si>
    <t>Front-Line Warrior's Stamina</t>
  </si>
  <si>
    <t>Gain [~.25*your health levels]i.</t>
  </si>
  <si>
    <t>Armored Scout's Invigoration</t>
  </si>
  <si>
    <t>Once your armor is on, its Mobility penalty is 0.</t>
  </si>
  <si>
    <t>Poison-Resisting Meditation</t>
  </si>
  <si>
    <t>Scenelong bonus dice vs. poison.</t>
  </si>
  <si>
    <t>Essence-Gathering Temper</t>
  </si>
  <si>
    <t>1i</t>
  </si>
  <si>
    <t>Perilous, Withering-only</t>
  </si>
  <si>
    <t>When struck by a Withering attack, pay 1i to recover (damage dice/2)m.</t>
  </si>
  <si>
    <t>Hauberk-Summoning Gesture</t>
  </si>
  <si>
    <t>Store your armor in Elsewhere.</t>
  </si>
  <si>
    <t>Diamond-Body Prana</t>
  </si>
  <si>
    <t>Become immune to minor scenery damage, from brambles(?) to bonfires. Gain soak or hardness. Can't be used in armor.</t>
  </si>
  <si>
    <t>Iron Kettle Body</t>
  </si>
  <si>
    <t>Halve (or more) post-soak damage of a Withering attack.</t>
  </si>
  <si>
    <t>Illness-Resisting Meditation</t>
  </si>
  <si>
    <t>Bonus successes vs. illness.</t>
  </si>
  <si>
    <t>Willpower-Enhancing Spirit</t>
  </si>
  <si>
    <t>1/fight, when struck by a Decisive, pay 2i to gain 1wp.</t>
  </si>
  <si>
    <t>Adamant Skin Technique</t>
  </si>
  <si>
    <t>Apply soak to a Decisive attack(!). Perfect soak vs. uncountable damage.</t>
  </si>
  <si>
    <t>Diamond-Body Prana, Iron Kettle Body</t>
  </si>
  <si>
    <t>Tiger Warrior's Endurance</t>
  </si>
  <si>
    <t>1/fight, heal when you recover from Crash.</t>
  </si>
  <si>
    <t>Body-Mending Meditation, Front-Line Warrior's Stamina</t>
  </si>
  <si>
    <t>Battle Fury Focus</t>
  </si>
  <si>
    <t>Go into a berserk rage. Gain +1 die to combat pools; reduce wound penalties by 1.</t>
  </si>
  <si>
    <t>Glorious Solar Plate</t>
  </si>
  <si>
    <t>Summon magical glowing sun-armor. (Still not a technique!)</t>
  </si>
  <si>
    <t>Wound-Knitting Exercise</t>
  </si>
  <si>
    <t>Until fully healed</t>
  </si>
  <si>
    <t>Heal your -0 health levels gradually, but in combat time.</t>
  </si>
  <si>
    <t>Unbreakable Warrior's Mastery</t>
  </si>
  <si>
    <t>Reduce the penalty and duration of a crippling attack. (What's a crippling attack?)</t>
  </si>
  <si>
    <t>Ruin-Abasing Shrug</t>
  </si>
  <si>
    <t>1/scene, force attacker to reroll successful damage dice.</t>
  </si>
  <si>
    <t>Immunity to Everything Technique</t>
  </si>
  <si>
    <t>Gain immunity to any poison or disease you've encountered before, and resistance to the rest.</t>
  </si>
  <si>
    <t>Fury-Fed Ardor</t>
  </si>
  <si>
    <t>When struck by a Decisive attack, gain (half the non-successful damage dice)i.</t>
  </si>
  <si>
    <t>Bloodthirsty Sword-Dancer Spirit</t>
  </si>
  <si>
    <t>While under BFF, go into a more-berserk (berserker?) rage. Gain +3 dice to combat pools; ignore wound penalties; recover 1m/turn.</t>
  </si>
  <si>
    <t>Fortress-Body Discipline</t>
  </si>
  <si>
    <t>MotSE 28</t>
  </si>
  <si>
    <t>Aegis of Invincible Might</t>
  </si>
  <si>
    <t>Gain 20 Hardness, bonus soak, and post-soak damage negation, but only as long as you make big attacks every turn.</t>
  </si>
  <si>
    <t>Master Horseman's Techniques</t>
  </si>
  <si>
    <t>Gain a number of minor mount-enhancing Abilities – prevent fatigue, call it to you, etc.</t>
  </si>
  <si>
    <t>Ride</t>
  </si>
  <si>
    <t>Flashing Thunderbolt Steed</t>
  </si>
  <si>
    <t>Mount resists fatigue, gains a movement success, and can use Graceful Crane Stance/Monkey Leap Technique.</t>
  </si>
  <si>
    <t>Seasoned Beast-Rider's Approach</t>
  </si>
  <si>
    <t>Your mount gains its own move and attack actions, as well as its own Initiative track.</t>
  </si>
  <si>
    <t>Elusive Mount Technique</t>
  </si>
  <si>
    <t>Reflexively Disengage while you are mounted.</t>
  </si>
  <si>
    <t>Wind-Racing Essence Infusion</t>
  </si>
  <si>
    <t>Your mount moves at greater speeds while outside combat. (How fast does it normally move, outside combat?)</t>
  </si>
  <si>
    <t>Single Spirit Method</t>
  </si>
  <si>
    <t>Mount can rise from prone for 1m.</t>
  </si>
  <si>
    <t>Worthy Mount Technique</t>
  </si>
  <si>
    <t>Your mount can reflexively Defend Other on you.</t>
  </si>
  <si>
    <t>Mount Preservation Method</t>
  </si>
  <si>
    <t>Spend your health levels on behalf of your mount, at a reduced rate.</t>
  </si>
  <si>
    <t>Storm-Racing Destrier</t>
  </si>
  <si>
    <t>One Day</t>
  </si>
  <si>
    <t>Flashing Thunderbolt Steed, Hardship-Surviving Mendicant Spirit</t>
  </si>
  <si>
    <t>Harmonious Tacking Technique</t>
  </si>
  <si>
    <t>Tack and bard a mount in 1-4 rounds.</t>
  </si>
  <si>
    <t>Immortal Rider's Advantage</t>
  </si>
  <si>
    <t>Transfer half your Initiative to your mount, or vice-versa.</t>
  </si>
  <si>
    <t>Untouchable Horseman's Attitude</t>
  </si>
  <si>
    <t>Automatically succeed at a Disengage as long as only one enemy is at close range.</t>
  </si>
  <si>
    <t>Immortal Charger's Gallop</t>
  </si>
  <si>
    <t>Convert mount's speed bonus to successes.</t>
  </si>
  <si>
    <t>Saddle-Staying Courses</t>
  </si>
  <si>
    <t>Recover instantly from an unhorse Gambit.</t>
  </si>
  <si>
    <t>Rousing Backlash Assault</t>
  </si>
  <si>
    <t>While using WMT and SBR, your mount may Decisively counterattack for attacks on you.</t>
  </si>
  <si>
    <t>Woe and Storm Evasion</t>
  </si>
  <si>
    <t>Your mount (barely) avoids Crash or death, as long as it had at least 2i or 2 HLs to begin with.</t>
  </si>
  <si>
    <t>Supernal Lash Discipline</t>
  </si>
  <si>
    <t>Double mount's speed for the scene.</t>
  </si>
  <si>
    <t>Speed-Fury Focus</t>
  </si>
  <si>
    <t>ICG can be used to enhance a Join Battle roll.</t>
  </si>
  <si>
    <t>Inexhaustible Destrier's Gait</t>
  </si>
  <si>
    <t>Your mount ignores wound penalties.</t>
  </si>
  <si>
    <t>Coursing Firebolt Flash</t>
  </si>
  <si>
    <t>Recurring 1s on a mounted movement roll; leave a trail of bonfire flames in your wake.</t>
  </si>
  <si>
    <t>Horse-Stealing Leap</t>
  </si>
  <si>
    <t>Unhorse someone and steal his mount.</t>
  </si>
  <si>
    <t>Horse-Healing Technique</t>
  </si>
  <si>
    <t>Over a scene of treatment, absorb and reduce your mount's wounds.</t>
  </si>
  <si>
    <t>Resilience of the Chosen Mount</t>
  </si>
  <si>
    <t>An attack on your mount loses 1 damage per 1 or 2 rolled.</t>
  </si>
  <si>
    <t>Wrathful Mount Invigoration</t>
  </si>
  <si>
    <t>Your mount gains 1i/turn, plus bonuses when you outrace an enemy.</t>
  </si>
  <si>
    <t>Phantom Steed</t>
  </si>
  <si>
    <t>Summon an Essence-horse. But it's an expression of skill, and no one would try to label this a… yeah, you get the joke.</t>
  </si>
  <si>
    <t>Hero Rides Away</t>
  </si>
  <si>
    <t>Ride off into the sunset. Recover motes and Willpower, and remove a point of Limit.</t>
  </si>
  <si>
    <t>Phantom Rider's Approach</t>
  </si>
  <si>
    <t>If someone approaches you after a Disengage, retreat two range bands.</t>
  </si>
  <si>
    <t>Fierce Charger's Pulse</t>
  </si>
  <si>
    <t>For each 10 the enemy rolls, gain 1m for use on Ride Charms next turn.</t>
  </si>
  <si>
    <t>Grizzled Cataphract's Way</t>
  </si>
  <si>
    <t>Substitute Ride for Awarenesss in Join Battle.</t>
  </si>
  <si>
    <t>Rapid Cavalry Approach</t>
  </si>
  <si>
    <t>Move three range bands a turn at extreme range from all enemies, or two bands/turn at closer ranges.</t>
  </si>
  <si>
    <t>Sometimes Horses Fly Approach</t>
  </si>
  <si>
    <t>Your mount runs on water or air for one turn.</t>
  </si>
  <si>
    <t>Soaring Pegasus Style</t>
  </si>
  <si>
    <t>Rush an enemy in the air.</t>
  </si>
  <si>
    <t>Whirlwind Horse-Armoring Prana</t>
  </si>
  <si>
    <t>Summon your mount's tack, barding, and weapons from Elsewhere.</t>
  </si>
  <si>
    <t>Bard-Lightening Prana</t>
  </si>
  <si>
    <t>Mount armor has no Mobility penalty.</t>
  </si>
  <si>
    <t>Untouchable Solar Steed</t>
  </si>
  <si>
    <t>Activate “attack-evasive Dodge Charms” on behalf of your mount.</t>
  </si>
  <si>
    <t>Seven Cyclones Rearing</t>
  </si>
  <si>
    <t>While using WMT and SBR, your mount may (reflexively?) Decisively Clash with attacks aimed at you.</t>
  </si>
  <si>
    <t>Iron Simhata Style</t>
  </si>
  <si>
    <t>Your mount gains bonus soak for the scene.</t>
  </si>
  <si>
    <t>Salty Dog Method</t>
  </si>
  <si>
    <t>Permanent benefits: recurring 6s on Sail; add Sail/2 to Resolve vs. supernatural fear; recover instantly from a fall; find your way to anywhere you've been before.</t>
  </si>
  <si>
    <t>Sail</t>
  </si>
  <si>
    <t>Shipwreck-Surviving Stamina</t>
  </si>
  <si>
    <t>Permanently +2 Stamina for resisting deprivation (food, oxygen, etc.).</t>
  </si>
  <si>
    <t>Safe Bearing Technique</t>
  </si>
  <si>
    <t>Until the hazard has passed</t>
  </si>
  <si>
    <t>Ship-Claiming Stance</t>
  </si>
  <si>
    <t>Anyone on your ship without permission takes -1 die. You can pull 5m from the ship.</t>
  </si>
  <si>
    <t>Ship-Sleeking Technique</t>
  </si>
  <si>
    <t>Ship's Speed +1.</t>
  </si>
  <si>
    <t>Skiff-To-Scow Method</t>
  </si>
  <si>
    <t>Fathoms-Fed Spirit</t>
  </si>
  <si>
    <t>Permanent bonus: if you wake up on a ship, you can ignore the WP cost to resist one social influence that day.</t>
  </si>
  <si>
    <t>Orichalcum Letters of Marque</t>
  </si>
  <si>
    <t>Creatures of darkness in your crew don't count as such for the purpose of social magic, your anima, or your area-of-effect attacks.</t>
  </si>
  <si>
    <t>Immortal Mariner's Advantage</t>
  </si>
  <si>
    <t>Double-9s or recurring 1s on a Sail roll, after the roll is made (!).</t>
  </si>
  <si>
    <t>Legendary Captain's Signature</t>
  </si>
  <si>
    <t>Pilot</t>
  </si>
  <si>
    <t>Double ship's Maneuverability and add 1 to its Speed for one maneuver.</t>
  </si>
  <si>
    <t>Sea Ambush Technique</t>
  </si>
  <si>
    <t>Deck-Sweeping Fusillade</t>
  </si>
  <si>
    <t>Ship-Breaker Method</t>
  </si>
  <si>
    <t>Superior Positioning Technique</t>
  </si>
  <si>
    <t>In a Positioning maneuver, treat enemy 1s as your 10s. Cancel the enemy's Ram maneuver.</t>
  </si>
  <si>
    <t>Ship-Imperiled Vigor</t>
  </si>
  <si>
    <t>Permanently gain X dice to your ship-defending actions, where -X is your ship's hull penalty.</t>
  </si>
  <si>
    <t>Weather-Anticipating Intuition</t>
  </si>
  <si>
    <t>Predict the weather for the next day or so.</t>
  </si>
  <si>
    <t>Tide-Cutting Essence Infusion</t>
  </si>
  <si>
    <t>Ship's Speed +1 for one day. Incompatible with WRD.</t>
  </si>
  <si>
    <t>Wave-Riding Discipline</t>
  </si>
  <si>
    <t>Double ship's Speed bonus for sails, but reduce any rower bonus to +1. No bonus for being dragged by sea monsters. Incompatible with TCE.</t>
  </si>
  <si>
    <t>Hull-Preserving Technique</t>
  </si>
  <si>
    <t>Negate all damage to the ship for one turn.</t>
  </si>
  <si>
    <t>Hull-Taming Transfusion</t>
  </si>
  <si>
    <t>Spend 3HL to heal one level of damage to your ship.</t>
  </si>
  <si>
    <t>Ship-Leavening Meditation</t>
  </si>
  <si>
    <t>Negate your ship's hull penalty.</t>
  </si>
  <si>
    <t>Indomitable Voyager's Perseverance</t>
  </si>
  <si>
    <t>Reroll all nonsuccesses on a Sail action.</t>
  </si>
  <si>
    <t>Immortal Mariner's Advantage or Salty Dog Method</t>
  </si>
  <si>
    <t>Ocean-Conquering Avatar</t>
  </si>
  <si>
    <t>1/scene, free full Sail Excellency.</t>
  </si>
  <si>
    <t>Wind-Defying Course Technique</t>
  </si>
  <si>
    <t>Reduce wind-based penalties (are those a thing, prior to now?) by 3.</t>
  </si>
  <si>
    <t>Current-Cutting Technique</t>
  </si>
  <si>
    <t>Reduce curret-based penalties to speed by 2 and from sea monsters.</t>
  </si>
  <si>
    <t>Implacable Sea Wolf Spirit</t>
  </si>
  <si>
    <t>-2 Momentum to the cost of all maneuvers for the rest of the scene.</t>
  </si>
  <si>
    <t>Deadly Ichneumon Assault</t>
  </si>
  <si>
    <t>On a successful ram, also shock and board.</t>
  </si>
  <si>
    <t>Rail-Storming Fervor</t>
  </si>
  <si>
    <t>Sea Serpent Flash</t>
  </si>
  <si>
    <t>Double Momentum gained via a Positioning maneuver.</t>
  </si>
  <si>
    <t>Tide-Carried Omens</t>
  </si>
  <si>
    <t>Sense danger (Essence) minutes early, apparently whether on a boat or not. Bonus successes to Awarenesss on a boat.</t>
  </si>
  <si>
    <t>Chaos-Cutting Galley</t>
  </si>
  <si>
    <t>Render the ship and crew immune to the Wyld.</t>
  </si>
  <si>
    <t>Blood and Salt Bondage</t>
  </si>
  <si>
    <t>Gain extra health levels equal to the ship's current hull.</t>
  </si>
  <si>
    <t>Ship-Sustaining Spirit</t>
  </si>
  <si>
    <t>Commit motes to keep your ship from falling apart at 0 health.</t>
  </si>
  <si>
    <t>Burning Anima Sails</t>
  </si>
  <si>
    <t>6m, 1wp, 3a</t>
  </si>
  <si>
    <t>Expend your anima to make SWEET BURNING SUN-SAILS that terrify creatures of darkness.</t>
  </si>
  <si>
    <t>Blood and Salt Bondage,</t>
  </si>
  <si>
    <t>Storm-Weathering Essence Infusion</t>
  </si>
  <si>
    <t>Invincible Admiral Method</t>
  </si>
  <si>
    <t>Give bonus dice to your fleet, when maneuvering.</t>
  </si>
  <si>
    <t>Sea Devil Training Technique</t>
  </si>
  <si>
    <t>Permanently enhance your sailors' stats.</t>
  </si>
  <si>
    <t>Ship-Rolling Juggernaut Method</t>
  </si>
  <si>
    <t>On incapacitating another ship with a maneuver, you keep all your existing Momentum (and gain more!) instead of losing it.</t>
  </si>
  <si>
    <t>Ship-Razing Renewal</t>
  </si>
  <si>
    <t>On incapacitating another ship with a maneuver, gain motes and Willpower.</t>
  </si>
  <si>
    <t>Black Fathoms Blessed</t>
  </si>
  <si>
    <t>Add your ship's Speed to your personal movement, and its Maneuverability to your Defense. Speak an ancient ocean language. Become immune to drowning.</t>
  </si>
  <si>
    <t>Any ten Sail Charms</t>
  </si>
  <si>
    <t>Ash and Storm Aegis</t>
  </si>
  <si>
    <t>Hull-Preserving Technique, Element-Resisting Prana</t>
  </si>
  <si>
    <t>Perfect Reckoning Technique</t>
  </si>
  <si>
    <t>MotSE 29</t>
  </si>
  <si>
    <t>Mast of Everything Situation</t>
  </si>
  <si>
    <t>Apocryphal</t>
  </si>
  <si>
    <t>Death-Daring Maneuver</t>
  </si>
  <si>
    <t>Apocryphal, Pilot</t>
  </si>
  <si>
    <t>Any five Sail Charms</t>
  </si>
  <si>
    <t>Master and Commander Method</t>
  </si>
  <si>
    <t>MotSE 30</t>
  </si>
  <si>
    <t>Mastery of Small Manners</t>
  </si>
  <si>
    <t>You are incapable of faux pas. People with Ties to the local culture have Minor Ties to you.</t>
  </si>
  <si>
    <t>Socialize</t>
  </si>
  <si>
    <t>Motive-Discerning Technique</t>
  </si>
  <si>
    <t>Read intentions with double-9s.</t>
  </si>
  <si>
    <t>Quicksilver Falcon's Eye</t>
  </si>
  <si>
    <t>Sense any application of Resolve or Guile in the next turn.</t>
  </si>
  <si>
    <t>Shadow Over Day</t>
  </si>
  <si>
    <t>1m for +1 Guile, or 2m for +2 Guile.</t>
  </si>
  <si>
    <t>Motive-Discerning Technique x2</t>
  </si>
  <si>
    <t>Player can guess at a related Intimacy, if correct character knows it.</t>
  </si>
  <si>
    <t>Humble Servant Approach</t>
  </si>
  <si>
    <t>After Reading Intentions of the target while he was talking to someone else, he takes -2 Guile when you Read Intentions while he's talking to you.</t>
  </si>
  <si>
    <t>Night Passes Over</t>
  </si>
  <si>
    <t>Ignore all penalties to Guile, except wound penalties and the penalty for thinking you're alone.</t>
  </si>
  <si>
    <t>Viper-Scenting Method</t>
  </si>
  <si>
    <t>Energic Influence Technique</t>
  </si>
  <si>
    <t>MotSE 31</t>
  </si>
  <si>
    <t>Motive-Discerning Technique x3</t>
  </si>
  <si>
    <t>If player is incorrect on guess, they may guess again for a second Intimacy.</t>
  </si>
  <si>
    <t>Umbral Eyes Focus</t>
  </si>
  <si>
    <t>Know the intensity of all Intimacies you've Instilled yourself in the target.</t>
  </si>
  <si>
    <t>Intent-Tracing Stare</t>
  </si>
  <si>
    <t>Detect when an NPC Reads Intentions on someone else nearby.</t>
  </si>
  <si>
    <t>Motive-Discerning Technique, Shadow Over Day</t>
  </si>
  <si>
    <t>Rancor-Raising Spirit</t>
  </si>
  <si>
    <t>Culture Hero Approach</t>
  </si>
  <si>
    <t>On observing a ritual, discern its significance. Bonus successes if you have to perform the rite.</t>
  </si>
  <si>
    <t>Unimpeachable Discourse Technique</t>
  </si>
  <si>
    <t>Recurring 1s any time MoSM would apply. (Always?)</t>
  </si>
  <si>
    <t>Indecent Proposal Method</t>
  </si>
  <si>
    <t>Intimacies towards you will not drop as a result of any Persuade attempt you make, unless characters pay 1wp.</t>
  </si>
  <si>
    <t>Dauntless Assayer Method</t>
  </si>
  <si>
    <t>Retry a Read Intentions action on the same target.</t>
  </si>
  <si>
    <t>Preeminent Gala Knife</t>
  </si>
  <si>
    <t>Gain 2m when you succeed at a Socialize action, to a max of the Socialize motes you've spent this scene.</t>
  </si>
  <si>
    <t>Wise-Eyed Courtier Method</t>
  </si>
  <si>
    <t>Read Intentions on everyone in the scene.</t>
  </si>
  <si>
    <t>Discretionary Gesture</t>
  </si>
  <si>
    <t>Boost an ally's Guile. By glaring daggers at him. Awesome.</t>
  </si>
  <si>
    <t>Deep-Eyed Soul Gazing</t>
  </si>
  <si>
    <t>Bonus dice when Reading Intentions on someone who failed to do the same to you.</t>
  </si>
  <si>
    <t>Easily-Discarded Presence Method</t>
  </si>
  <si>
    <t>After defending against Read Intentions, pretend you failed, the target will disregard you.</t>
  </si>
  <si>
    <t>Guarded Thoughts Meditation</t>
  </si>
  <si>
    <t>Infinite Socialize Mastery; only applies to boosting Guile.</t>
  </si>
  <si>
    <t>Penumbra Self Meditation</t>
  </si>
  <si>
    <t>Perfectly conceal an Intimacy.</t>
  </si>
  <si>
    <t>Inverted Ego Mask</t>
  </si>
  <si>
    <t>If an Intimacy would be detected, you can change it to something else to fool the person looking. If you Limit Break, though, your pretend Intimacy might become real!</t>
  </si>
  <si>
    <t>Soul-Testing Method</t>
  </si>
  <si>
    <t>MotSE 32</t>
  </si>
  <si>
    <t>Cunning Insight Technique</t>
  </si>
  <si>
    <t>Witnessing a social action, you may guess at the Intimacy behind it. If correct, you discern an Intimacy without having to roll Read Intentions.</t>
  </si>
  <si>
    <t>Doubt-Sowing Contention Method</t>
  </si>
  <si>
    <t>Preempt a target about to perform social influence; that influence is treated as if it had already been tried and failed.</t>
  </si>
  <si>
    <t>Effective Counterargument</t>
  </si>
  <si>
    <t>Counterattack</t>
  </si>
  <si>
    <t>1/scene, intervene after social influence to boost the target's Resolve with a counterargument.</t>
  </si>
  <si>
    <t>Wise Counsel (Flashing Soul Reform)</t>
  </si>
  <si>
    <t>Advise another to grant bonus successes for use on future social actions. Target gains an Intimacy for you.</t>
  </si>
  <si>
    <t>Endless Obsession Feint</t>
  </si>
  <si>
    <t>Anyone you defeat socially becomes obsessed with you, taking die penalties and coming to love or hate you.</t>
  </si>
  <si>
    <t>Aspersions Cast Aside</t>
  </si>
  <si>
    <t>Got a pencil handy? Okay, take your 1s and 2s, and give them to someone else nearby. He rolls; find his lowest success number, and for each 2 you have, cancel one of those. Find his next success number (i.e., 8 if the first one was 7), and for each 1 you have, cancel one of those. You gain successes equal to those canceled for him; if he doesn't roll well enough, he looks ridiculous.</t>
  </si>
  <si>
    <t>Asp Bites Its Tail</t>
  </si>
  <si>
    <t>Counterattack, Mute</t>
  </si>
  <si>
    <t>If a target tries to turn a third party against you, the aspersions fall back on the target instead.</t>
  </si>
  <si>
    <t>Aspersions Cast Aside, Effective Counterargument</t>
  </si>
  <si>
    <t>Fete-Watcher Stance</t>
  </si>
  <si>
    <t>Bonus dice to Join Battle and Awarenesss if you sense hostility in the room.</t>
  </si>
  <si>
    <t>Seen and Seeing Method</t>
  </si>
  <si>
    <t>When you block another's Read Intentions, you may reply with one of your own.</t>
  </si>
  <si>
    <t>Seen and Seeing Method x2</t>
  </si>
  <si>
    <t>Can notice a Read Intentions from a hidden source.</t>
  </si>
  <si>
    <t>Face-Charming Prana</t>
  </si>
  <si>
    <t>Compel another to Read Intentions on you.</t>
  </si>
  <si>
    <t>Selfsame Master Procurer</t>
  </si>
  <si>
    <t>If a target fails to Read Intentions on you, he believes he can use you to accomplish some aim.</t>
  </si>
  <si>
    <t>Soul-Void Kata</t>
  </si>
  <si>
    <t>Hypnotize a character who fails to read your Guile.</t>
  </si>
  <si>
    <t>Face-Charming Prana, Inverted Ego Mask</t>
  </si>
  <si>
    <t>Knowing the Soul's Price</t>
  </si>
  <si>
    <t>Know what it would take to persuade someone to take a particular action.</t>
  </si>
  <si>
    <t>Seen and Seeing Method, Wise-Eyed Courtier Method</t>
  </si>
  <si>
    <t>Understanding the Court</t>
  </si>
  <si>
    <t>Sense the Ties, mannerisms, and behavior of everyone involved in court, including those currently absent.</t>
  </si>
  <si>
    <t>Culture Hero Approach, Knowing the Soul's Price</t>
  </si>
  <si>
    <t>Unbound Social Mastery</t>
  </si>
  <si>
    <t>1/scene, free full Socialize Excellency. This Charm references “venting a point of Limit” by achieving a legendary social goal – is that a thing mentioned anywhere else?</t>
  </si>
  <si>
    <t>Heart-Eclipsing Shroud</t>
  </si>
  <si>
    <t>- (10m, 1wp)</t>
  </si>
  <si>
    <t>Over the course of a few hours, shift into a different persona with its own Intimacies.</t>
  </si>
  <si>
    <t>Hundred-Faced Stranger</t>
  </si>
  <si>
    <t>Your personas have some of your Ability dots + ½ your total XP to spend on more.</t>
  </si>
  <si>
    <t>Legend Mask Methodology</t>
  </si>
  <si>
    <t>Your personas may learn Charms.</t>
  </si>
  <si>
    <t>Friend of a Friend Approach</t>
  </si>
  <si>
    <t>Someone who loves someone who loves you also has a Minor Tie for you.</t>
  </si>
  <si>
    <t>Seen and Seeing Method x3</t>
  </si>
  <si>
    <t>Can response with a Read Intentions even if theirs piereces your Guile.</t>
  </si>
  <si>
    <t>Venomous Rumors Technique</t>
  </si>
  <si>
    <t>Curse someone to be hated by a social group.</t>
  </si>
  <si>
    <t>Even-Touched Prophet</t>
  </si>
  <si>
    <t>1/scene, double-8s on a Socialize roll.</t>
  </si>
  <si>
    <t>Elusive Dream Defense</t>
  </si>
  <si>
    <t>1/story, add your Guile to your Resolve or vice-versa. Ignore effect of Intimacies on Resolve.</t>
  </si>
  <si>
    <t>Draw the Curtain</t>
  </si>
  <si>
    <t>One persona has 75% of your total XP, plus 2/3 of any future XP. (What?)</t>
  </si>
  <si>
    <t>At Your Service</t>
  </si>
  <si>
    <t>Craft a custom persona to meet someone's needs.</t>
  </si>
  <si>
    <t>Draw the Curtain, Knowing the Soul's Price</t>
  </si>
  <si>
    <t>Fugue-Empowered Other</t>
  </si>
  <si>
    <t>Access a persona's Abilities and Charms for one tick. On Limit Break, shuffle your Intimacies with the persona's Intimacies.</t>
  </si>
  <si>
    <t>Soul Reprisal</t>
  </si>
  <si>
    <t>On death, you regenerate into a persona as per Doctor Who. Like, blatantly as per Doctor Who.</t>
  </si>
  <si>
    <t>Perfect Shadow Stillness</t>
  </si>
  <si>
    <t>Reroll all dice other than 10s on a Stealth action.</t>
  </si>
  <si>
    <t>Stealth</t>
  </si>
  <si>
    <t>Invisible Statue Spirit</t>
  </si>
  <si>
    <t>Perfect immunity to sight-based detection as long as you don't move.</t>
  </si>
  <si>
    <t>Easily-Overlooked Presence Method</t>
  </si>
  <si>
    <t>Blend perfectly in the crowd. Checkpoints or magic actively opposing your cause may still detect you.</t>
  </si>
  <si>
    <t>Blinding Battle Feint</t>
  </si>
  <si>
    <t>Join Battle using Stealth; if you act first, you're also hidden.</t>
  </si>
  <si>
    <t>Guardian Fog Approach</t>
  </si>
  <si>
    <t>Hide someone else.</t>
  </si>
  <si>
    <t>Stalking Wolf Attitude</t>
  </si>
  <si>
    <t>Ignore the -3 penalty to moving in stealth. Gain Initiative while you remain hidden.</t>
  </si>
  <si>
    <t>Stalking Shadow Spirit</t>
  </si>
  <si>
    <t>Blurred Form Style</t>
  </si>
  <si>
    <t>Infinite Stealth Mastery. You can hide in plain sight, but moving range bands automatically reveals you.</t>
  </si>
  <si>
    <t>Mental Invisibility Technique</t>
  </si>
  <si>
    <t>Roll Stealth against target's Resolve; if you succeed, you're imperceptible to him until you Join Battle or try to steal something the target cares about.</t>
  </si>
  <si>
    <t>Shadow Victor's Repose</t>
  </si>
  <si>
    <t>Reroll Join Battle mid-fight and add the Initiative to your pool.</t>
  </si>
  <si>
    <t>Dark Sentinel's Way</t>
  </si>
  <si>
    <t>Defend Other from concealment.</t>
  </si>
  <si>
    <t>Flash-Eyed Killer's Insight</t>
  </si>
  <si>
    <t>Reset SVR after incapacitating an enemy.</t>
  </si>
  <si>
    <t>Hidden Snake Recoil</t>
  </si>
  <si>
    <t>Enter stealth reflexively after incapacitating an enemy.</t>
  </si>
  <si>
    <t>Smoke and Shadow Cover</t>
  </si>
  <si>
    <t>Concealment counts as cover.</t>
  </si>
  <si>
    <t>Killing Shroud Technique</t>
  </si>
  <si>
    <t>Sun Swallowing Practice</t>
  </si>
  <si>
    <t>Commit motes to temporarily hide anima levels.</t>
  </si>
  <si>
    <t>Vanishing From Mind's Eye Method</t>
  </si>
  <si>
    <t>Hide so well that everyone forgets about you.</t>
  </si>
  <si>
    <t>Sound and Scent Banishing Attitude</t>
  </si>
  <si>
    <t>Render yourself proof against detection from one sense (except sight).</t>
  </si>
  <si>
    <t>Blurred Form Style, Vanishing From Mind's Eye Method</t>
  </si>
  <si>
    <t>Ten Whispers Silence Meditation</t>
  </si>
  <si>
    <t>Attempts to detect you by hearing alone take -1 success for each 1 or 2 rolled.</t>
  </si>
  <si>
    <t>Mind Shroud Meditation</t>
  </si>
  <si>
    <t>On using SVR, everyone forgets you were there for (Essence) rounds.</t>
  </si>
  <si>
    <t>Shadow Replacement Technique</t>
  </si>
  <si>
    <t>Perilous, Mute</t>
  </si>
  <si>
    <t>Hide in a target's shadow, controlling his body.</t>
  </si>
  <si>
    <t>Shadow-Crossing Leap Technique</t>
  </si>
  <si>
    <t>Move one range band in stealth without penalty; incompatible with BFS.</t>
  </si>
  <si>
    <t>Shadow-Striking Way</t>
  </si>
  <si>
    <t>Decisive-only, Mute</t>
  </si>
  <si>
    <t>MotSE 33</t>
  </si>
  <si>
    <t>Hidden Snake Recoil, Killing Shroud Technique</t>
  </si>
  <si>
    <t>Fivefold Shadow Burial</t>
  </si>
  <si>
    <t>Enemies permanently take -2 successes for each 1 rolled on Awarenesss rolls.</t>
  </si>
  <si>
    <t>False Image Feint</t>
  </si>
  <si>
    <t>Still got that pencil? So the attacker rolls and hits you Decisively, and then he rolls damage. Between the two, he rolls six 1s and 2s. You roll Stealth against his Awarenesss; if you succeed, he misses, and if you roll a 10, you enter stealth.</t>
  </si>
  <si>
    <t>Hidden Snake Recoil, Vanishing From Mind's Eye Method</t>
  </si>
  <si>
    <t>Food-Gathering Exercise, Friendship with Animals Approach, Hardship-Surviving Mendicant Spirit</t>
  </si>
  <si>
    <t>Teleport back to a chosen hiding place.</t>
  </si>
  <si>
    <t>Food-Gathering Exercise</t>
  </si>
  <si>
    <t>Gather enough food for one or more people in any environment.</t>
  </si>
  <si>
    <t>Survival</t>
  </si>
  <si>
    <t>Friendship with Animals Approach</t>
  </si>
  <si>
    <t>Wild animals are friendly, or at least won't attack.</t>
  </si>
  <si>
    <t>Hardship-Surviving Mendicant Spirit</t>
  </si>
  <si>
    <t>Remove penalties and minor troubles for rough environment. Does not resist environmental damage.</t>
  </si>
  <si>
    <t>Harmony with Nature Approach</t>
  </si>
  <si>
    <t>MotSE 34</t>
  </si>
  <si>
    <t>Food-Gathering Exercise, Friend-ship with Animals Approach, Hardship-Surviving Men-dicant Spirit</t>
  </si>
  <si>
    <t>Spirit-Tied Pet</t>
  </si>
  <si>
    <t>10m, 1wp, 1xp</t>
  </si>
  <si>
    <t>Your familiar is unshakably loyal and produces motes and willpower. You can see through its senses.</t>
  </si>
  <si>
    <t>Familiar-Honing Instruction</t>
  </si>
  <si>
    <t>Command your familiar, granting it bonus dice on its attacks.</t>
  </si>
  <si>
    <t>Ambush Predator Style</t>
  </si>
  <si>
    <t>Your familiar gets to use your Join Battle roll, with bonus successes. Bonus dice granted to this action by FHI gain recurring successes.</t>
  </si>
  <si>
    <t>Trackless Region Navigation</t>
  </si>
  <si>
    <t>Lead a small group safely through the wilderness at 20 miles/day. (How fast is normal?)</t>
  </si>
  <si>
    <t>Beast-Mastering Behavior</t>
  </si>
  <si>
    <t>Train a new familiar, or train an existing familiar to use its latent, magical, or blatantly supernatural powers.</t>
  </si>
  <si>
    <t>Bestial Traits Technique</t>
  </si>
  <si>
    <t>10m, 1wp, 2xp</t>
  </si>
  <si>
    <t>Recurring 1s on a training roll. Grant a familiar bonus stats with an XP investment.</t>
  </si>
  <si>
    <t>Unshakeable Bloodhound Technique</t>
  </si>
  <si>
    <t>When tracking another, you have recurring 5s and 6s and his 1s count as 10s for you.</t>
  </si>
  <si>
    <t>Deadly Onslaught Coordination</t>
  </si>
  <si>
    <t>Call your familiar to attack alongside you.</t>
  </si>
  <si>
    <t>Hide-Hardening Practice</t>
  </si>
  <si>
    <t>Permanent soak/hardness boost for your familiar.</t>
  </si>
  <si>
    <t>Life of the Aurochs</t>
  </si>
  <si>
    <t>Extra health levels for your familiar.</t>
  </si>
  <si>
    <t>Spirit-Hunting Hound</t>
  </si>
  <si>
    <t>Your familiar can see dematerialized spirits.</t>
  </si>
  <si>
    <t>Force-Building Predator Style</t>
  </si>
  <si>
    <t>Your familiar permanently generates 1i/turn, except when DPM is active.</t>
  </si>
  <si>
    <t>Element-Resisting Prana</t>
  </si>
  <si>
    <t>Ignore drowning and toxic gas; reduce all environmental damage by your Resistance.</t>
  </si>
  <si>
    <t>Traceless Passage</t>
  </si>
  <si>
    <t>Bonuses to your attempts to leave no tracks with a small group. Mundane tracking automatically fails.</t>
  </si>
  <si>
    <t>Eye-Deceiving Camouflage</t>
  </si>
  <si>
    <t>Perfectly conceal yourself or your stash against mundane senses.</t>
  </si>
  <si>
    <t>Red-Toothed Execution Order</t>
  </si>
  <si>
    <t>1/scene, your Familiar's Decisive attacks roll over extra successes into damage.</t>
  </si>
  <si>
    <t>Ghost Panther Slinking</t>
  </si>
  <si>
    <t>Use your Stealth Charms while possessing your familiar.</t>
  </si>
  <si>
    <t>Beast-Mastering Behavior, Bestial Traits Technique</t>
  </si>
  <si>
    <t>Saga Beast Virtue</t>
  </si>
  <si>
    <t>Your familiar grows, gains stat boosts, and develops beneficial mutations. (Wings!)</t>
  </si>
  <si>
    <t>Hide-Hardening Practice, Life of the Aurochs</t>
  </si>
  <si>
    <t>Phantom-Rending Fangs</t>
  </si>
  <si>
    <t>Your familiar grapples spirits, making them vulnerable to you. Cheaper in conjunction with FHI.</t>
  </si>
  <si>
    <t>Crimson Talon Vigor</t>
  </si>
  <si>
    <t>When you land a Withering attack, your familiar gains half as much Initiative as you do.</t>
  </si>
  <si>
    <t>Deadly Predator Method</t>
  </si>
  <si>
    <t>Your familiar becomes huge and intimidating. It can attempt huge feats of strength and gains major bonuses to movement actions. Its attacks will hit. Its Initiative does not reset. It CANNOT DIE, or even be wounded by Decisive attacks. If it Crashes, the Charm ends.</t>
  </si>
  <si>
    <t>Crimson Talon Vigor, Red-Toothed Execution Order, Saga Beast Virtue</t>
  </si>
  <si>
    <t>Food-Gathering Exercise, Friend-ship with Animals Approach, Element-Resisting Prana</t>
  </si>
  <si>
    <t>Riotous Cry of the Beast</t>
  </si>
  <si>
    <t>Colossal Rampaging Beast</t>
  </si>
  <si>
    <t>7m, 3a, 1wp</t>
  </si>
  <si>
    <t>MotSE 35</t>
  </si>
  <si>
    <t>Baara-Unleashing Technique</t>
  </si>
  <si>
    <t>Precision of the Striking Raptor</t>
  </si>
  <si>
    <t>Calculate Accuracy on a Withering attack as if you were at Close range. At Close range, subtract 1 from target's Defense.</t>
  </si>
  <si>
    <t>Thrown</t>
  </si>
  <si>
    <t>Steel Storm Descending</t>
  </si>
  <si>
    <t>Cheap Excellency on your first attack if you roll the highest Join Battle. At E3, doesn't reset your Initiative.</t>
  </si>
  <si>
    <t>Flashing Draw Mastery</t>
  </si>
  <si>
    <t>Take your first turn earlier, even though you don't gain extra Initiative. Works cross-Ability.</t>
  </si>
  <si>
    <t>Joint-Wounding Attack</t>
  </si>
  <si>
    <t>Decisive-only, Stackable</t>
  </si>
  <si>
    <t>If your Decisive deals 3HL, the target takes -3 to all die pools for the scene.</t>
  </si>
  <si>
    <t>Triple Distance Attack Technique</t>
  </si>
  <si>
    <t>Make Thrown attacks from Long range.</t>
  </si>
  <si>
    <t>Spitting Hand Technique</t>
  </si>
  <si>
    <t>MotSE 36</t>
  </si>
  <si>
    <t>Angle-Tracing Edge</t>
  </si>
  <si>
    <t>Negate the target's cover.</t>
  </si>
  <si>
    <t>Cascade of Cutting Terror</t>
  </si>
  <si>
    <t>1/scene, make an undodgeable attack with a full Excellency that also strikes all targets nearby.</t>
  </si>
  <si>
    <t>Diving Hawk Discipline</t>
  </si>
  <si>
    <t>Thunder-Quelling Gesture</t>
  </si>
  <si>
    <t>Swarm-Culling Instinct</t>
  </si>
  <si>
    <t>Reroll one nonsuccess for each 10 on a Join Battle. If you roll highest, attack (Dexterity) opponents.</t>
  </si>
  <si>
    <t>Mist on Water Attack</t>
  </si>
  <si>
    <t>Target struck by a Decisive attack can make no sound for several rounds.</t>
  </si>
  <si>
    <t>Observer-Deceiving Attack</t>
  </si>
  <si>
    <t>A thrown attack appears to come from a different direction. At E3, make thrown attacks from stealth without revealing yourself.</t>
  </si>
  <si>
    <t>Flying Steel Ruse</t>
  </si>
  <si>
    <t>“Reroll 6s equal to your 7s” on a Distract or Disarm gambit, + bonus successes.</t>
  </si>
  <si>
    <t>Empty Palm Technique</t>
  </si>
  <si>
    <t>1/scene, keep your Initiative after disarming the target.</t>
  </si>
  <si>
    <t>Fallen Weapon Deflection</t>
  </si>
  <si>
    <t>Knock a dropped weapon one range band.</t>
  </si>
  <si>
    <t>Fallen Weapon Deflection x2</t>
  </si>
  <si>
    <t>Allows you to target an already fallen or dropped weapon.</t>
  </si>
  <si>
    <t>Mist-Gathering Practice</t>
  </si>
  <si>
    <t>Bonus Initiative when you Aim to make a Decisive from cover or stealth.</t>
  </si>
  <si>
    <t>Shower of Deadly Blades</t>
  </si>
  <si>
    <t>Your Withering attack strikes all enemies within short range of the target.</t>
  </si>
  <si>
    <t>Death-Dealing Diffusion</t>
  </si>
  <si>
    <t>Whirlwind Hand of the Striker</t>
  </si>
  <si>
    <t>MotSE 37</t>
  </si>
  <si>
    <t>Shrike Saving Discretion</t>
  </si>
  <si>
    <t>When you use SCI to strike a target Decisively, you may retain extra Initiative equal to the 9s and 10s rolled.</t>
  </si>
  <si>
    <t>Crimson Razor Wind</t>
  </si>
  <si>
    <t>When you fool an opponent with ODA, you can make a Decisive ambush attack</t>
  </si>
  <si>
    <t>Sharp Hand Feint</t>
  </si>
  <si>
    <t>Automatically hit with a Distract attack.</t>
  </si>
  <si>
    <t>Shadow Wind Slash (Shadow Wind Kill)</t>
  </si>
  <si>
    <t>Roll a Decisive attack or Disarm gambit twice, taking the better result.</t>
  </si>
  <si>
    <t>Shadow Thrust Spark</t>
  </si>
  <si>
    <t>When you hit with SHF, you also Disarm the target.</t>
  </si>
  <si>
    <t>Savage Wolf Attack</t>
  </si>
  <si>
    <t>When someone tries to recover a weapon you've Disarmed from him, you get a free unblockable, undodgeable Withering attack on him.</t>
  </si>
  <si>
    <t>Falling Icicle Strike</t>
  </si>
  <si>
    <t>Double damage on an ambush attack.</t>
  </si>
  <si>
    <t>Fiery Solar Chakram</t>
  </si>
  <si>
    <t>Throw an accurate, extra-damaging Kamehameha.</t>
  </si>
  <si>
    <t>Dancing Steel Symphony</t>
  </si>
  <si>
    <t>9m, 1wp</t>
  </si>
  <si>
    <t>Death-Dealing Diffusion, Shower of Deadly Blades</t>
  </si>
  <si>
    <t>Cutting Circle of Destruction</t>
  </si>
  <si>
    <t>Throw an attack that strikes multiple enemies with Withering blows before reaching a final enemy with a Decisive.</t>
  </si>
  <si>
    <t>War God Descendent</t>
  </si>
  <si>
    <t>Your army has +1 Size and ignores the penalty for poor drill troops.</t>
  </si>
  <si>
    <t>War</t>
  </si>
  <si>
    <t>Immortal Commander's Presence</t>
  </si>
  <si>
    <t>Train a crew to reroll nonsuccesses on an artillery weapon.</t>
  </si>
  <si>
    <t>Holistic Battle Understanding</t>
  </si>
  <si>
    <t>When rolling for a stratagem, ignore penalties for unfamiliarity with the enemy general or army.</t>
  </si>
  <si>
    <t>Ideal Battle Knowledge Prana</t>
  </si>
  <si>
    <t>Double-9s or double-8s on an Order.</t>
  </si>
  <si>
    <t>League of Iron Preparation</t>
  </si>
  <si>
    <t>Your troops are immune to mundane demoralization (as per the maneuver), as well as penalties for weather, food, etc.</t>
  </si>
  <si>
    <t>Rout-Stemming Gesture</t>
  </si>
  <si>
    <t>Make a reflexive rally action with bonus successes.</t>
  </si>
  <si>
    <t>Unstoppable Solar Conqueror</t>
  </si>
  <si>
    <t>MotSE 38</t>
  </si>
  <si>
    <t>Redoubt-Raising Gesture</t>
  </si>
  <si>
    <t>Finish a strategic maneuver with one less success.</t>
  </si>
  <si>
    <t>Tiger Warrior Training Technique</t>
  </si>
  <si>
    <t>Grant your unit improved stats and drill; spend XP to grant them bonuses against select enemies or perfect morale.</t>
  </si>
  <si>
    <t>Magnanimity of the Unstoppable Icon</t>
  </si>
  <si>
    <t>Recover points of Magnitude equal to the 1s and 2s on an enemy rally for numbers roll.</t>
  </si>
  <si>
    <t>General of the All-Seeing Sun</t>
  </si>
  <si>
    <t>Excellency discount on a Strategic Maneuver; with sufficient successes, pull several maneuvers at once.</t>
  </si>
  <si>
    <t>Immortal Warlord's Tactic</t>
  </si>
  <si>
    <t>Enact an uncounterable Strategic Maneuver with double-7s.</t>
  </si>
  <si>
    <t>Battle Path Ascendant</t>
  </si>
  <si>
    <t>When your army empties the Magnitude of another army, you can roll Join Battle.</t>
  </si>
  <si>
    <t>March of the Returner</t>
  </si>
  <si>
    <t>1/scene, make an automatically successful rally action.</t>
  </si>
  <si>
    <t>Supremacy of the Divine Army</t>
  </si>
  <si>
    <t>Make a reflexive rally for numbers action, recruiting animals or nature itself to your side.</t>
  </si>
  <si>
    <t>Four Glories Meditation</t>
  </si>
  <si>
    <t>Permanently, recurring 6s on a War roll.</t>
  </si>
  <si>
    <t>Transcendent Warlord's Genius</t>
  </si>
  <si>
    <t>When activating BPA, you can perform a maneuver with successes no higher than half the Initiative gained.</t>
  </si>
  <si>
    <t>Battle-Visionary's Foresight</t>
  </si>
  <si>
    <t>Choose two maneuvers; if the enemy chooses one of them, you automatically win the maneuver roll and can enact a stratagem of equal or fewer successes.</t>
  </si>
  <si>
    <t>General of the All-Seeing Sun, Transcendent Warlord's Genius</t>
  </si>
  <si>
    <t>One with Five Forces</t>
  </si>
  <si>
    <t>Generalized Ammunition Technique</t>
  </si>
  <si>
    <t>Five Seasons Approach</t>
  </si>
  <si>
    <t>Opportune Shot</t>
  </si>
  <si>
    <t>Inexorable Advance</t>
  </si>
  <si>
    <t>Forgotten Earth</t>
  </si>
  <si>
    <t>Hungry Touch</t>
  </si>
  <si>
    <t>Burn Life</t>
  </si>
  <si>
    <t>Invisible Motion</t>
  </si>
  <si>
    <t>Prior Warning</t>
  </si>
  <si>
    <t>Expected Pain</t>
  </si>
  <si>
    <t>Inevitable Pursuit</t>
  </si>
  <si>
    <t>Wise Choice</t>
  </si>
  <si>
    <t>Tolerant Strife</t>
  </si>
  <si>
    <t>Unobstructed Blow</t>
  </si>
  <si>
    <t>Crimson Palm Counterstrike</t>
  </si>
  <si>
    <t>Weak-Spine Sense</t>
  </si>
  <si>
    <t>Horrific Wreath</t>
  </si>
  <si>
    <t>Knuckle-Cracking Stance</t>
  </si>
  <si>
    <t>3m, 3i, 1wp</t>
  </si>
  <si>
    <t>World-Shaping Artistic Vision</t>
  </si>
  <si>
    <t>Elemental Vision</t>
  </si>
  <si>
    <t>Elegant Patterns of Fate</t>
  </si>
  <si>
    <t>Destiny-Knitting Entanglement</t>
  </si>
  <si>
    <t>Excellent Implementation of Objectives</t>
  </si>
  <si>
    <t>Song of Spirit Persuasion</t>
  </si>
  <si>
    <t>Godly Companion</t>
  </si>
  <si>
    <t>3m (1wp)</t>
  </si>
  <si>
    <t>Implicit Construction Methodology</t>
  </si>
  <si>
    <t>Trouble Reduction Strategy</t>
  </si>
  <si>
    <t>Snappy Banter Approach</t>
  </si>
  <si>
    <t>Sweet Flirtation Smile</t>
  </si>
  <si>
    <t>Tears of the Blade</t>
  </si>
  <si>
    <t>Smiling at the Damned</t>
  </si>
  <si>
    <t>Terminate Illness</t>
  </si>
  <si>
    <t>Efficient Secretary Technique</t>
  </si>
  <si>
    <t>Marvelous Inclusion of Details</t>
  </si>
  <si>
    <t>Embracing Life Method</t>
  </si>
  <si>
    <t>One project</t>
  </si>
  <si>
    <t>Conning Chaos Technique</t>
  </si>
  <si>
    <t>Equitable Partnership</t>
  </si>
  <si>
    <t>Comforting Matriarch Embrace</t>
  </si>
  <si>
    <t>Systematic Understanding of Everything</t>
  </si>
  <si>
    <t>One dream</t>
  </si>
  <si>
    <t>Of the Shape of the World</t>
  </si>
  <si>
    <t>Of Horrors Best Unknown</t>
  </si>
  <si>
    <t>Of Truths Best Unspoken</t>
  </si>
  <si>
    <t>Of Secrets Yet Untold</t>
  </si>
  <si>
    <t>Of Things Desired and Feared</t>
  </si>
  <si>
    <t>Transcendent Hatchet of Fate</t>
  </si>
  <si>
    <t>Smooth Transition</t>
  </si>
  <si>
    <t>Icy Hand</t>
  </si>
  <si>
    <t>Shield of Mars</t>
  </si>
  <si>
    <t>Impeding the Flow</t>
  </si>
  <si>
    <t>Orchestration of Conflict</t>
  </si>
  <si>
    <t>Serenity in Blood</t>
  </si>
  <si>
    <t>Harmony of Blows</t>
  </si>
  <si>
    <t>Perfection of the Visionary Warrior</t>
  </si>
  <si>
    <t>Mark of Exaltation</t>
  </si>
  <si>
    <t>Innocuous Maneuver</t>
  </si>
  <si>
    <t>Unweaving Method</t>
  </si>
  <si>
    <t>Terminal Sanction</t>
  </si>
  <si>
    <t>Willing Assumption of Chains</t>
  </si>
  <si>
    <t>Strange Days</t>
  </si>
  <si>
    <t>Faultless Ceremony</t>
  </si>
  <si>
    <t>Impossible-to-Remember Party Approach</t>
  </si>
  <si>
    <t>Defense of Shining Joy</t>
  </si>
  <si>
    <t>Perfection in Life</t>
  </si>
  <si>
    <t>10m (1wp)</t>
  </si>
  <si>
    <t>Harmonic Completion</t>
  </si>
  <si>
    <t>Force Decision</t>
  </si>
  <si>
    <t>Wounded Lion Strength</t>
  </si>
  <si>
    <t>Water and Fire Treaty</t>
  </si>
  <si>
    <t>Optimistic Security Practice</t>
  </si>
  <si>
    <t>Red Haze</t>
  </si>
  <si>
    <t>Aspect of the Bear</t>
  </si>
  <si>
    <t>Water and Fire Legion</t>
  </si>
  <si>
    <t>Strength of the Mast</t>
  </si>
  <si>
    <t>Invisible at the Center</t>
  </si>
  <si>
    <t>Unwavering Well-Being Meditation</t>
  </si>
  <si>
    <t>Heartless Maiden Trance</t>
  </si>
  <si>
    <t>Unswerving Juggernaut Principle</t>
  </si>
  <si>
    <t>Ordained Bridle of Mercury</t>
  </si>
  <si>
    <t>Yellow Path</t>
  </si>
  <si>
    <t>Glory Path</t>
  </si>
  <si>
    <t>Superior-Entreating Memorial Style</t>
  </si>
  <si>
    <t>Riding the Dragon</t>
  </si>
  <si>
    <t>1m or 3m, 1wp</t>
  </si>
  <si>
    <t>Iron Drill Exercise</t>
  </si>
  <si>
    <t>Handsome Boy Eyes</t>
  </si>
  <si>
    <t>Cash and Murder Games</t>
  </si>
  <si>
    <t>Breaking the Wild Mortal</t>
  </si>
  <si>
    <t>Shun the Smiling Lady</t>
  </si>
  <si>
    <t>Hot-Eyed Snake Whispering</t>
  </si>
  <si>
    <t>Life Without Compunction</t>
  </si>
  <si>
    <t>Wanting and Fearing Prayer</t>
  </si>
  <si>
    <t>Soft Presence Practice</t>
  </si>
  <si>
    <t>Sidereal Shell Games</t>
  </si>
  <si>
    <t>Blinding the Boar</t>
  </si>
  <si>
    <t>Masque of the Uncanny</t>
  </si>
  <si>
    <t>Duck Fate</t>
  </si>
  <si>
    <t>Sky Spirit Demand</t>
  </si>
  <si>
    <t>Willful Weapon Method</t>
  </si>
  <si>
    <t>Dual, Mute</t>
  </si>
  <si>
    <t>Bold Filcher</t>
  </si>
  <si>
    <t>Thought-Swiping Distraction</t>
  </si>
  <si>
    <t>Unrelenting Torment Technique</t>
  </si>
  <si>
    <t>Auspicious Recruitment Drive</t>
  </si>
  <si>
    <t>Battle-Fellow Attitude</t>
  </si>
  <si>
    <t>Predestined Triumph Practice</t>
  </si>
  <si>
    <t>Uniform, Perilous</t>
  </si>
  <si>
    <t>One scene</t>
  </si>
  <si>
    <t>4m, 2i</t>
  </si>
  <si>
    <t>10m, 1wp, 1ahl</t>
  </si>
  <si>
    <t>Perilous, Uniform</t>
  </si>
  <si>
    <t>- (+3m)</t>
  </si>
  <si>
    <t>- (+2m)</t>
  </si>
  <si>
    <t>- (5m)</t>
  </si>
  <si>
    <t>8m, 3i, 1wp</t>
  </si>
  <si>
    <t>5m, 5i, 1wp</t>
  </si>
  <si>
    <t>One story</t>
  </si>
  <si>
    <t>(Essence) days</t>
  </si>
  <si>
    <t>One investigation</t>
  </si>
  <si>
    <t>Until completed</t>
  </si>
  <si>
    <t>- (+1wp)</t>
  </si>
  <si>
    <t>1ahl</t>
  </si>
  <si>
    <t>5m, 3i, 1wp</t>
  </si>
  <si>
    <t>One performance</t>
  </si>
  <si>
    <t>Aggravated, Decisive-only</t>
  </si>
  <si>
    <t>Aggravated</t>
  </si>
  <si>
    <t>- (+1m)</t>
  </si>
  <si>
    <t>4m (+1wp)</t>
  </si>
  <si>
    <t>20m, 2wp</t>
  </si>
  <si>
    <t>- (+4m)</t>
  </si>
  <si>
    <t>- (2i)</t>
  </si>
  <si>
    <t>Mute, Perilous, Uniform</t>
  </si>
  <si>
    <t>- (+5m)</t>
  </si>
  <si>
    <t>2m per level of anima, 1wp</t>
  </si>
  <si>
    <t>(Essence + Perception) days</t>
  </si>
  <si>
    <t>3m per Charm</t>
  </si>
  <si>
    <t>Until grapple is released</t>
  </si>
  <si>
    <t>10m, 1wp (5m, 1wp)</t>
  </si>
  <si>
    <t>5m, 1wp (1m, 1wp)</t>
  </si>
  <si>
    <t>Sidereal</t>
  </si>
  <si>
    <t>Ascending Journeys Horoscope</t>
  </si>
  <si>
    <t>Mute, Shaping (Fate), Stackable</t>
  </si>
  <si>
    <t>Sid 156</t>
  </si>
  <si>
    <t>Journeys</t>
  </si>
  <si>
    <t>Any three Journeys Charms</t>
  </si>
  <si>
    <t>Descending Journeys Horoscope</t>
  </si>
  <si>
    <t>Sid 158</t>
  </si>
  <si>
    <t>Honest Face Spirit</t>
  </si>
  <si>
    <t>Any Journeys Charm</t>
  </si>
  <si>
    <t>Good Worker Spirit</t>
  </si>
  <si>
    <t>Mysterious Wanderer Wisdom</t>
  </si>
  <si>
    <t>Sid 159</t>
  </si>
  <si>
    <t>Fellow Traveler Rapport</t>
  </si>
  <si>
    <t>Predestined Escort Coincidence</t>
  </si>
  <si>
    <t>Auspicious Voyage Omen</t>
  </si>
  <si>
    <t>Sid 160</t>
  </si>
  <si>
    <t>Ascending Journeys Horoscope or Descending Journeys Horoscope</t>
  </si>
  <si>
    <t>Joyous Grasshopper Spirit</t>
  </si>
  <si>
    <t>Satisfaction in Emptiness</t>
  </si>
  <si>
    <t>Legitimate Ownership Benefit</t>
  </si>
  <si>
    <t>10m, 3wp</t>
  </si>
  <si>
    <t>Any ten Journeys Charms</t>
  </si>
  <si>
    <t>Sid 161</t>
  </si>
  <si>
    <t>The Mast Sways</t>
  </si>
  <si>
    <t>Sid 162</t>
  </si>
  <si>
    <t>Yeddim-Hauling Wage</t>
  </si>
  <si>
    <t>Mute, Shaping (Fate)</t>
  </si>
  <si>
    <t>Sid 163</t>
  </si>
  <si>
    <t>The Center Must Hold</t>
  </si>
  <si>
    <t>Optimistic Security Practice, Unwavering Well-Being</t>
  </si>
  <si>
    <t>Unbroken Weave Deflection</t>
  </si>
  <si>
    <t>Forward-Thinking Technique</t>
  </si>
  <si>
    <t>One Way Forward</t>
  </si>
  <si>
    <t>Sid 164</t>
  </si>
  <si>
    <t>Optimistic Security Practice, Unwavering Well-Being Meditation</t>
  </si>
  <si>
    <t>Loom-Shifting Nudge</t>
  </si>
  <si>
    <t>The Mast Upholds All</t>
  </si>
  <si>
    <t>Invisible at the Center, The Mast Sways</t>
  </si>
  <si>
    <t>Inevitability Without Finesse</t>
  </si>
  <si>
    <t>Forward-Thinking Technique, Strength of the Mast</t>
  </si>
  <si>
    <t>Maiden Sheds No Tears</t>
  </si>
  <si>
    <t>Sid 165</t>
  </si>
  <si>
    <t>One-Direction Invocation</t>
  </si>
  <si>
    <t>Any ten Resistance Charms</t>
  </si>
  <si>
    <t>Blow-Wind-Blow Style</t>
  </si>
  <si>
    <t>Sid 166</t>
  </si>
  <si>
    <t>Iron Heart, Iron Horse</t>
  </si>
  <si>
    <t>Until the bridle is presented</t>
  </si>
  <si>
    <t>Sid 167</t>
  </si>
  <si>
    <t>Field Mouse Rider</t>
  </si>
  <si>
    <t>Plausible Stabling Arrangement</t>
  </si>
  <si>
    <t>3m (10m, 1wp)</t>
  </si>
  <si>
    <t>Sid 168</t>
  </si>
  <si>
    <t>One journey</t>
  </si>
  <si>
    <t>Messenger’s Oath</t>
  </si>
  <si>
    <t>Desirable Maiden’s Bargain</t>
  </si>
  <si>
    <t>Messenger’s Oath, Yellow Path</t>
  </si>
  <si>
    <t>Spirit-Shape Companion</t>
  </si>
  <si>
    <t>Sid 169</t>
  </si>
  <si>
    <t>Acquaintance-Improving Dressage</t>
  </si>
  <si>
    <t>Sid 170</t>
  </si>
  <si>
    <t>Blow-Wind-Blow Style, Iron Heart, Iron Horse, Yellow Path</t>
  </si>
  <si>
    <t>Fiend-Humbling Horsemanship</t>
  </si>
  <si>
    <t>Decisive-only, Psyche, Shaping (Body)</t>
  </si>
  <si>
    <t>Breaking the Wild Mortal, Godly Companion</t>
  </si>
  <si>
    <t>Invisible Spirit Rider</t>
  </si>
  <si>
    <t>Sid 171</t>
  </si>
  <si>
    <t>Godly Companion, Yellow Path</t>
  </si>
  <si>
    <t>Message-Without-Messenger Pact</t>
  </si>
  <si>
    <t>- (+1ahl)</t>
  </si>
  <si>
    <t>Without Temptation</t>
  </si>
  <si>
    <t>Sid 172</t>
  </si>
  <si>
    <t>Any ten Ride Charms</t>
  </si>
  <si>
    <t>Certain Peril Preparation</t>
  </si>
  <si>
    <t>Salt-Into-Ash Sleight</t>
  </si>
  <si>
    <t>Sid 173</t>
  </si>
  <si>
    <t>Serendipitous Voyage</t>
  </si>
  <si>
    <t>Ship-Commanding Attitude</t>
  </si>
  <si>
    <t>Stone-Skipping Spirit</t>
  </si>
  <si>
    <t>Yellow Sky Augury</t>
  </si>
  <si>
    <t>Divination</t>
  </si>
  <si>
    <t>Sid 174</t>
  </si>
  <si>
    <t>Choosing for Fangs</t>
  </si>
  <si>
    <t>Omen of Mutiny</t>
  </si>
  <si>
    <t>Mute, Pilot</t>
  </si>
  <si>
    <t>Sid 175</t>
  </si>
  <si>
    <t>Walls of Salt and Ash</t>
  </si>
  <si>
    <t>Implicit Admiralty Assumption</t>
  </si>
  <si>
    <t>Mirror-Shattering Method</t>
  </si>
  <si>
    <t>Serendipitous Voyage, Stone-Skipping Spirit</t>
  </si>
  <si>
    <t>Meticulous Disaster Agenda</t>
  </si>
  <si>
    <t>Sid 176</t>
  </si>
  <si>
    <t>Mirror-Shattering Method, Yellow Sky Augury</t>
  </si>
  <si>
    <t>Disaster-Accelerating Expedience</t>
  </si>
  <si>
    <t>Sid 177</t>
  </si>
  <si>
    <t>Dire Squall Forewarning</t>
  </si>
  <si>
    <t>Until the disaster occurs</t>
  </si>
  <si>
    <t>Five Ordeals Odyssey</t>
  </si>
  <si>
    <t>Until the challenge is overcome</t>
  </si>
  <si>
    <t>Adopting the Untamed Face</t>
  </si>
  <si>
    <t>Sid 178</t>
  </si>
  <si>
    <t>Becoming the Wilderness</t>
  </si>
  <si>
    <t>Creation’s Subtle Whisper</t>
  </si>
  <si>
    <t>Sid 179</t>
  </si>
  <si>
    <t>World-Witness Concentration</t>
  </si>
  <si>
    <t>Poetic Sacrifice Insurance</t>
  </si>
  <si>
    <t>Stronger Than This Job</t>
  </si>
  <si>
    <t>Sky-and-Rain Mantra</t>
  </si>
  <si>
    <t>Sid 180</t>
  </si>
  <si>
    <t>Entombed Soul Monument</t>
  </si>
  <si>
    <t>Tomb-Parole Sanction</t>
  </si>
  <si>
    <t>(Essence + Charisma) days</t>
  </si>
  <si>
    <t>Adopting the Untamed Face, Sky Spirit Demand</t>
  </si>
  <si>
    <t>Beloved World Embrace</t>
  </si>
  <si>
    <t>Sid 181</t>
  </si>
  <si>
    <t>Becoming the Wilderness, Poetic Sacrifice Insurance</t>
  </si>
  <si>
    <t>Marshalling Infinite Strength</t>
  </si>
  <si>
    <t>5m, 1wp (5m per round/hour)</t>
  </si>
  <si>
    <t>Wilderness-Commanding Practice</t>
  </si>
  <si>
    <t>Becoming the Wilderness, Sky-and-Rain Mantra</t>
  </si>
  <si>
    <t>Oar-Cracking Exertion</t>
  </si>
  <si>
    <t>Sid 182</t>
  </si>
  <si>
    <t>Dreaming the Wild Lands</t>
  </si>
  <si>
    <t>(Perception) days</t>
  </si>
  <si>
    <t>Any ten Survival Charms</t>
  </si>
  <si>
    <t>Insatiable Weapon Wanderlust</t>
  </si>
  <si>
    <t>Uniform, Versatile</t>
  </si>
  <si>
    <t>Sid 183</t>
  </si>
  <si>
    <t>Returning Swallow Flight</t>
  </si>
  <si>
    <t>Decisive-only, Versatile</t>
  </si>
  <si>
    <t>Shrike-Roosting Gesture</t>
  </si>
  <si>
    <t>3m (1m)</t>
  </si>
  <si>
    <t>Pelican Aloft Departure</t>
  </si>
  <si>
    <t>Versatile</t>
  </si>
  <si>
    <t>Shadow-Piercing Needle</t>
  </si>
  <si>
    <t>Dual, Versatile</t>
  </si>
  <si>
    <t>Pain Amplification Stratagem</t>
  </si>
  <si>
    <t>Sid 184</t>
  </si>
  <si>
    <t>Maiden-and-Shadow Form</t>
  </si>
  <si>
    <t>Aggravated, Dual, Form</t>
  </si>
  <si>
    <t>Any four Thrown Charms</t>
  </si>
  <si>
    <t>Impromptu Betrayal Trick</t>
  </si>
  <si>
    <t>Willful Weapon Technique</t>
  </si>
  <si>
    <t>Careless Surveillance Tactic</t>
  </si>
  <si>
    <t>Life-Gets-Worse Approach</t>
  </si>
  <si>
    <t>Sid 185</t>
  </si>
  <si>
    <t>Shining Flock of Adversities</t>
  </si>
  <si>
    <t>Frayed Skein Entanglement</t>
  </si>
  <si>
    <t>Magpie’s Favorite Bauble</t>
  </si>
  <si>
    <t>Sid 186</t>
  </si>
  <si>
    <t>Unmoved Mover Principle</t>
  </si>
  <si>
    <t>Essence Thorn Practice</t>
  </si>
  <si>
    <t>Maiden-and-Shadow Enlightenment</t>
  </si>
  <si>
    <t>Maiden-and-Shadow Form, any five Thrown Charms</t>
  </si>
  <si>
    <t>Three-Body Trilemma</t>
  </si>
  <si>
    <t>10m, 1i, 1wp</t>
  </si>
  <si>
    <t>Flown Beyond the World</t>
  </si>
  <si>
    <t>Sid 187</t>
  </si>
  <si>
    <t>Shadow Migration Tactic</t>
  </si>
  <si>
    <t>Essence Thorn Practice, Willful Weapon Method</t>
  </si>
  <si>
    <t>Wandering Axe Foresight</t>
  </si>
  <si>
    <t>Insatiable Weapon Wanderlust, Life-Gets-Worse Approach, Magpie’s Favorite Baublee</t>
  </si>
  <si>
    <t>Decisive-only, Psyche</t>
  </si>
  <si>
    <t>Sid 188</t>
  </si>
  <si>
    <t>Any ten Thrown Charms</t>
  </si>
  <si>
    <t>Ascending Serenity Horoscope</t>
  </si>
  <si>
    <t>Sid 189</t>
  </si>
  <si>
    <t>Serenities</t>
  </si>
  <si>
    <t>Any three Serenity Charms</t>
  </si>
  <si>
    <t>Descending Serenity Horoscope</t>
  </si>
  <si>
    <t>1 or 3m, 1wp</t>
  </si>
  <si>
    <t>Celestial Union Understanding</t>
  </si>
  <si>
    <t>Sid 190</t>
  </si>
  <si>
    <t>Spouse-Saving Grace</t>
  </si>
  <si>
    <t>Worthy Cause Demonstration</t>
  </si>
  <si>
    <t>Worthy Cause Demonstration (x2)</t>
  </si>
  <si>
    <t>Sway of Unseen Stars</t>
  </si>
  <si>
    <t>Any five Serenity Charms</t>
  </si>
  <si>
    <t>Abandoned Words Curse</t>
  </si>
  <si>
    <t>8m, 1wp (3m, 1wp)</t>
  </si>
  <si>
    <t>Sid 191</t>
  </si>
  <si>
    <t>Tyrannous Majority Mirror</t>
  </si>
  <si>
    <t>Without Words, Without the Wordless</t>
  </si>
  <si>
    <t>Sid 192</t>
  </si>
  <si>
    <t>Forge-and-Spindle Marriage</t>
  </si>
  <si>
    <t>Creation of Beauty</t>
  </si>
  <si>
    <t>2m per die</t>
  </si>
  <si>
    <t>Sid 193</t>
  </si>
  <si>
    <t>Warp-and-Weft Handiwork</t>
  </si>
  <si>
    <t>5m, 2s/g/wxp</t>
  </si>
  <si>
    <t>Atelier-and-Embassy Auspice</t>
  </si>
  <si>
    <t>One social interaction or event</t>
  </si>
  <si>
    <t>Wife-Procuring Tailfeathers</t>
  </si>
  <si>
    <t>Shaping (Fate), Stackable</t>
  </si>
  <si>
    <t>Sid 194</t>
  </si>
  <si>
    <t>Mending Warped Designs</t>
  </si>
  <si>
    <t>Untangling Snarled Strands</t>
  </si>
  <si>
    <t>Shaping (Fate)</t>
  </si>
  <si>
    <t>Sid 195</t>
  </si>
  <si>
    <t>Predestined Delivery Shaping</t>
  </si>
  <si>
    <t>Until the object arrives</t>
  </si>
  <si>
    <t>Sword-Queen’s Foretold Blade</t>
  </si>
  <si>
    <t>Elegant Patterns of Fate, Excellent Implementation of Objectives</t>
  </si>
  <si>
    <t>Heaven-and-Hell Embassy</t>
  </si>
  <si>
    <t>Sid 196</t>
  </si>
  <si>
    <t>Proper Plumage</t>
  </si>
  <si>
    <t>Until the Sidereal removes her outfit</t>
  </si>
  <si>
    <t>Sid 197</t>
  </si>
  <si>
    <t>Swan-and-Duckling Parable</t>
  </si>
  <si>
    <t>Unraveled Skein Insight</t>
  </si>
  <si>
    <t>Cosmos-Sustaining Demiurge</t>
  </si>
  <si>
    <t>Fortuitous Fellowship</t>
  </si>
  <si>
    <t>Sid 198</t>
  </si>
  <si>
    <t>Unassuming Vizier Wisdom</t>
  </si>
  <si>
    <t>10m, 1wp, 1wxp per dot</t>
  </si>
  <si>
    <t>Sid 199</t>
  </si>
  <si>
    <t>Any ten Craft Charms</t>
  </si>
  <si>
    <t>Absent Self</t>
  </si>
  <si>
    <t>Elusive Object of Desire</t>
  </si>
  <si>
    <t>Counterattack, Mute, Uniform</t>
  </si>
  <si>
    <t>Sid 200</t>
  </si>
  <si>
    <t>Avoidance</t>
  </si>
  <si>
    <t>Perilous, Shaping (Mind)</t>
  </si>
  <si>
    <t>Delighted Maiden Mien</t>
  </si>
  <si>
    <t>Empty Sky Tranquility</t>
  </si>
  <si>
    <t>Sid 201</t>
  </si>
  <si>
    <t>Frenzied Courtship Dodge</t>
  </si>
  <si>
    <t>Enticing Mystery Elopement</t>
  </si>
  <si>
    <t>Sid 202</t>
  </si>
  <si>
    <t>Distant Worries Dismissed</t>
  </si>
  <si>
    <t>Auspicious Sidestep Serendipity</t>
  </si>
  <si>
    <t>Unwelcome Courtship Interception</t>
  </si>
  <si>
    <t>Suitor-Deflecting Sidestep</t>
  </si>
  <si>
    <t>Sid 203</t>
  </si>
  <si>
    <t>Nemesis Evasion Smile</t>
  </si>
  <si>
    <t>Neighborhood Relocation Scheme</t>
  </si>
  <si>
    <t>Shaping (Fate, Mind)</t>
  </si>
  <si>
    <t>Until the Sidereal stops moving</t>
  </si>
  <si>
    <t>Any ten Dodge Charms</t>
  </si>
  <si>
    <t>Blue Vervain Binding</t>
  </si>
  <si>
    <t>Sid 205</t>
  </si>
  <si>
    <t>Favorable Inflection Procedure</t>
  </si>
  <si>
    <t>Best Friend’s Couch Invitation</t>
  </si>
  <si>
    <t>Ice-and-Fire Binding</t>
  </si>
  <si>
    <t>Sid 206</t>
  </si>
  <si>
    <t>Knot of Destiny</t>
  </si>
  <si>
    <t>Sid 207</t>
  </si>
  <si>
    <t>Equitable Partnership (x2)</t>
  </si>
  <si>
    <t>Enduring Companionship Affirmation</t>
  </si>
  <si>
    <t>Sid 208</t>
  </si>
  <si>
    <t>Aster Petal Covenant</t>
  </si>
  <si>
    <t>Ice-and-Fire Binding, Knot of Destiny</t>
  </si>
  <si>
    <t>Beloved Maiden’s Bride</t>
  </si>
  <si>
    <t>Circumstance-Contriving Resplendency</t>
  </si>
  <si>
    <t>Sid 209</t>
  </si>
  <si>
    <t>Remembering the Best Times</t>
  </si>
  <si>
    <t>Secret Bloodline Revelation</t>
  </si>
  <si>
    <t>Aster Petal Covenant, Enduring Companionship Affirmation, Favorable Inflection Procedure</t>
  </si>
  <si>
    <t>Lover’s Oath</t>
  </si>
  <si>
    <t>Sid 210</t>
  </si>
  <si>
    <t>Any ten Linguistics Charms</t>
  </si>
  <si>
    <t>Sid 211</t>
  </si>
  <si>
    <t>Beauty in Misfortune</t>
  </si>
  <si>
    <t>Beauty in Misfortune (x2)</t>
  </si>
  <si>
    <t>1/story when sidereal fulfills an auspicious prospect according to charm requirements, end a Psyche effect she suffers</t>
  </si>
  <si>
    <t>Missed Step Enlightenment</t>
  </si>
  <si>
    <t>Sid 212</t>
  </si>
  <si>
    <t>Compassionate Essence Replenishment</t>
  </si>
  <si>
    <t>Easygoing Friend Approach</t>
  </si>
  <si>
    <t>Brigand-and-Carouser Attracting Style</t>
  </si>
  <si>
    <t>Sid 213</t>
  </si>
  <si>
    <t>Heart-Brightening Presentation Style</t>
  </si>
  <si>
    <t>Serenity Beyond Fear</t>
  </si>
  <si>
    <t>Heart-Brightening Presentation Style, Perfection in Life</t>
  </si>
  <si>
    <t>Unnoticed Virtuoso Encore</t>
  </si>
  <si>
    <t>5m (5m or 5i per round/minute)</t>
  </si>
  <si>
    <t>Mute, Shaping (Mind)</t>
  </si>
  <si>
    <t>Listen to the Heart</t>
  </si>
  <si>
    <t>Sid 214</t>
  </si>
  <si>
    <t>Fivefold Maiden Harmony</t>
  </si>
  <si>
    <t>Sid 215</t>
  </si>
  <si>
    <t>Lining the Road With Sugar and Wine</t>
  </si>
  <si>
    <t>Listen to the Heart, Serenity Beyond Fear</t>
  </si>
  <si>
    <t>The Maiden Stumbles</t>
  </si>
  <si>
    <t>Beauty in Misfortune, Faultless Ceremony, Perfection in Life</t>
  </si>
  <si>
    <t>Apocalypse-Soothing Psalm</t>
  </si>
  <si>
    <t>Lining the Road with Sugar and Wine</t>
  </si>
  <si>
    <t>Freeing the Fettered Dancer</t>
  </si>
  <si>
    <t>Sid 216</t>
  </si>
  <si>
    <t>Beauty in Misfortune (x2), Missed Step Enlightenment</t>
  </si>
  <si>
    <t>Any ten Performance Charms</t>
  </si>
  <si>
    <t>Follow the Blue String</t>
  </si>
  <si>
    <t>Sid 217</t>
  </si>
  <si>
    <t>Cantarella Kiss Intrigue</t>
  </si>
  <si>
    <t>Sid 218</t>
  </si>
  <si>
    <t>Gilded Cage Entrapment</t>
  </si>
  <si>
    <t>Psyche, Shaping (Fate)</t>
  </si>
  <si>
    <t>Stern Essence Replenishment</t>
  </si>
  <si>
    <t>Sid 219</t>
  </si>
  <si>
    <t>You-and-Yours Stance</t>
  </si>
  <si>
    <t>Ubiquitous Paramour Daydream</t>
  </si>
  <si>
    <t>Sid 220</t>
  </si>
  <si>
    <t>Idle Pillow Talk Approach</t>
  </si>
  <si>
    <t>Leash-and-Collar Wisdom</t>
  </si>
  <si>
    <t>Gilded Cage Entrapment, You-and-Yours Stance</t>
  </si>
  <si>
    <t>Coercion By Any Means</t>
  </si>
  <si>
    <t>Freedom in Chains</t>
  </si>
  <si>
    <t>Sid 221</t>
  </si>
  <si>
    <t>Faceless Idol Obsession</t>
  </si>
  <si>
    <t>Psyche, Shaping (Mind)</t>
  </si>
  <si>
    <t>Handsome Boy Eyes, Idle Pillow Talk Approach, Leash-and-Collar Wisdom</t>
  </si>
  <si>
    <t>Any ten Socialize Charms</t>
  </si>
  <si>
    <t>Ascending Battles Horoscope</t>
  </si>
  <si>
    <t>Mute, Shaping (Fate), Stackable, Uniform</t>
  </si>
  <si>
    <t>Sid 222</t>
  </si>
  <si>
    <t>Battles</t>
  </si>
  <si>
    <t>Any three Battles Charms</t>
  </si>
  <si>
    <t>Descending Battles Horoscope</t>
  </si>
  <si>
    <t>Mute, Shaping (Fate), Uniform</t>
  </si>
  <si>
    <t>Auspicious Implement for Strife</t>
  </si>
  <si>
    <t>Sid 223</t>
  </si>
  <si>
    <t>Holistic Arsenal Methodology</t>
  </si>
  <si>
    <t>Judicious Application of Force</t>
  </si>
  <si>
    <t>Sheathing the Crimson Blade</t>
  </si>
  <si>
    <t>Sid 224</t>
  </si>
  <si>
    <t>Wearing Red to a Wedding</t>
  </si>
  <si>
    <t>Unyielding Tenacity</t>
  </si>
  <si>
    <t>Someone’s Son Style</t>
  </si>
  <si>
    <t>Battlefield Genius Style</t>
  </si>
  <si>
    <t>Sid 225</t>
  </si>
  <si>
    <t>Eye for Strife</t>
  </si>
  <si>
    <t>Angry Maiden Mantle</t>
  </si>
  <si>
    <t>Hero-Supporting Performance</t>
  </si>
  <si>
    <t>Sid 226</t>
  </si>
  <si>
    <t>Any three Battles Charm</t>
  </si>
  <si>
    <t>Battle-Carrying Presence</t>
  </si>
  <si>
    <t>Conquering Star Command</t>
  </si>
  <si>
    <t>Any five Battles Charms</t>
  </si>
  <si>
    <t>Understanding Ecstatic Ways</t>
  </si>
  <si>
    <t>Conquering Star Command, Wearing Red to a Wedding</t>
  </si>
  <si>
    <t>Any-Direction Arrow</t>
  </si>
  <si>
    <t>Sid 227</t>
  </si>
  <si>
    <t>Flaw-Revealing Tactic</t>
  </si>
  <si>
    <t>Apologetic Feint</t>
  </si>
  <si>
    <t>Ill-Omened Quarrel</t>
  </si>
  <si>
    <t>Mirrored Fate Shot</t>
  </si>
  <si>
    <t>Sid 228</t>
  </si>
  <si>
    <t>Strange Quiver Trick</t>
  </si>
  <si>
    <t>Clay Maiden Form</t>
  </si>
  <si>
    <t>Form</t>
  </si>
  <si>
    <t>Any four Archery Charms</t>
  </si>
  <si>
    <t>Misdirected Wisdom Trick</t>
  </si>
  <si>
    <t>Sid 229</t>
  </si>
  <si>
    <t>Every-Direction Arrow</t>
  </si>
  <si>
    <t>Parallax Strafing Methodology</t>
  </si>
  <si>
    <t>Strategy Without Commitment</t>
  </si>
  <si>
    <t>Hidden Arrow Tactic</t>
  </si>
  <si>
    <t>Clay Maiden Enlightenment</t>
  </si>
  <si>
    <t>Sid 230</t>
  </si>
  <si>
    <t>Clay Maiden Form, any five Archery Charms</t>
  </si>
  <si>
    <t>Empty Quiver Ruse</t>
  </si>
  <si>
    <t>Perilous, Uniform, Versatile</t>
  </si>
  <si>
    <t>Every-Direction Arrow, Generalized Ammunition Technique, Opportune Shot</t>
  </si>
  <si>
    <t>Several Arrows of Reason</t>
  </si>
  <si>
    <t>Aggravated, Dual, Versatile</t>
  </si>
  <si>
    <t>Shooting Star Flare</t>
  </si>
  <si>
    <t>Quiver-Filling Requisition</t>
  </si>
  <si>
    <t>Clash, Decisive-only, Stackable</t>
  </si>
  <si>
    <t>Sid 231</t>
  </si>
  <si>
    <t>Ally-Concealing Arrow</t>
  </si>
  <si>
    <t>Empty Quiver Ruse, Hidden Arrow Tactic, Misdirected Wisdom Trick</t>
  </si>
  <si>
    <t>Unburdened Soul Arrow</t>
  </si>
  <si>
    <t>Many-Missiles Bow Technique</t>
  </si>
  <si>
    <t>Any ten Archery Charms</t>
  </si>
  <si>
    <t>Sid 233</t>
  </si>
  <si>
    <t>Aggravated, Dual</t>
  </si>
  <si>
    <t>Hostility Acceptance Technique</t>
  </si>
  <si>
    <t>Versatile, Withering-only</t>
  </si>
  <si>
    <t>Speared Boar Struggle</t>
  </si>
  <si>
    <t>Counterattack, Decisive-only, Versatile</t>
  </si>
  <si>
    <t>Sid 234</t>
  </si>
  <si>
    <t>Iron Brute Fist</t>
  </si>
  <si>
    <t>Lady-or-Tiger Tactic</t>
  </si>
  <si>
    <t>Wrapped Fly Embrace</t>
  </si>
  <si>
    <t>Lady-or-Tiger Embrace</t>
  </si>
  <si>
    <t>Drowning Maiden Form</t>
  </si>
  <si>
    <t>Dual, Form</t>
  </si>
  <si>
    <t>Sid 235</t>
  </si>
  <si>
    <t>Any four Brawl Charms</t>
  </si>
  <si>
    <t>Breath-Seizing Grasp</t>
  </si>
  <si>
    <t>Sacrifice Without Regret</t>
  </si>
  <si>
    <t>Decisive-only, Perilous, Versatile</t>
  </si>
  <si>
    <t>Sever the Thread</t>
  </si>
  <si>
    <t>Horrific Wreath, Iron Brute Fist</t>
  </si>
  <si>
    <t>Indiscriminate Doom Betrayal</t>
  </si>
  <si>
    <t>Sid 236</t>
  </si>
  <si>
    <t>Hostility Acceptance Technique, Unobstructed Blow</t>
  </si>
  <si>
    <t>Blood Bought With Blood</t>
  </si>
  <si>
    <t>Drowning Maiden Enlightenment</t>
  </si>
  <si>
    <t>Drowning Maiden Form, any five Brawl Charms</t>
  </si>
  <si>
    <t>Battlefield Decimation Technique</t>
  </si>
  <si>
    <t>Dead Spouse Defense</t>
  </si>
  <si>
    <t>Sid 237</t>
  </si>
  <si>
    <t>Someone Dies Strike</t>
  </si>
  <si>
    <t>Easily-Accepted Proposition Stance</t>
  </si>
  <si>
    <t>Any ten Brawl Charms</t>
  </si>
  <si>
    <t>Impeding the flow</t>
  </si>
  <si>
    <t>Watchful Maiden Mien</t>
  </si>
  <si>
    <t>Sid 238</t>
  </si>
  <si>
    <t>Meditation on Violence</t>
  </si>
  <si>
    <t>1m per point of penalty/die</t>
  </si>
  <si>
    <t>Doom-Seeking Stroke</t>
  </si>
  <si>
    <t>Dusty Shelf Restraint</t>
  </si>
  <si>
    <t>Sid 239</t>
  </si>
  <si>
    <t>Fateful Exchange</t>
  </si>
  <si>
    <t>Instructive Riposte</t>
  </si>
  <si>
    <t>Indomitable Shieldbearer Expertise</t>
  </si>
  <si>
    <t>3m (2m)</t>
  </si>
  <si>
    <t>Maiden-on-the-Shelf Form</t>
  </si>
  <si>
    <t>Any four Melee Charms</t>
  </si>
  <si>
    <t>Inner Eye Strike</t>
  </si>
  <si>
    <t>Sid 240</t>
  </si>
  <si>
    <t>Serenity in Blood (x2)</t>
  </si>
  <si>
    <t>The Spear Not Held</t>
  </si>
  <si>
    <t>Sid 241</t>
  </si>
  <si>
    <t>Maiden-and-Gambler Stance</t>
  </si>
  <si>
    <t>6m, 1wp (1i per round)</t>
  </si>
  <si>
    <t>Maiden-on-the-Shelf Enlightenment</t>
  </si>
  <si>
    <t>Maiden-on-the-Shelf Form, any five Melee Charms</t>
  </si>
  <si>
    <t>Forceful Demonstration of Error</t>
  </si>
  <si>
    <t>Fateful Exchange, Instructive Riposte</t>
  </si>
  <si>
    <t>Temperate Blade Meditation</t>
  </si>
  <si>
    <t>2m, 2i, 1wp</t>
  </si>
  <si>
    <t>Simple or Supplemental</t>
  </si>
  <si>
    <t>Sid 242</t>
  </si>
  <si>
    <t>Ninth Direction Slash</t>
  </si>
  <si>
    <t>15m, 1wp (5m)</t>
  </si>
  <si>
    <t>Clash, Dual</t>
  </si>
  <si>
    <t>Any ten Melee Charms</t>
  </si>
  <si>
    <t>Hero’s Iron Skin</t>
  </si>
  <si>
    <t>Impose Nature</t>
  </si>
  <si>
    <t>Sid 243</t>
  </si>
  <si>
    <t>Caught in the Heart’s Wake</t>
  </si>
  <si>
    <t>Presence-in-Absence Technique</t>
  </si>
  <si>
    <t>Until the condition is met</t>
  </si>
  <si>
    <t>1m, 1ahl</t>
  </si>
  <si>
    <t>Sid 244</t>
  </si>
  <si>
    <t>Heroic Essence Replenishment</t>
  </si>
  <si>
    <t>Someone Else’s Destiny</t>
  </si>
  <si>
    <t>Sword-Tongue Intensity</t>
  </si>
  <si>
    <t>Sid 245</t>
  </si>
  <si>
    <t>Instructive Conviction Aura</t>
  </si>
  <si>
    <t>3m (2i per level)</t>
  </si>
  <si>
    <t>Hero’s Iron Skin, Someone Else’s Destiny</t>
  </si>
  <si>
    <t>5m, 1lhl</t>
  </si>
  <si>
    <t>Sid 246</t>
  </si>
  <si>
    <t>Baleful Slaughter Omen</t>
  </si>
  <si>
    <t>Ego-Shattering Reminiscence</t>
  </si>
  <si>
    <t>Seizing the Heart</t>
  </si>
  <si>
    <t>Sid 247</t>
  </si>
  <si>
    <t>Beyond the Shattered Wall</t>
  </si>
  <si>
    <t>Ego-Shattering Reminiscence, Force Decision, Presence-in-Absence Technique</t>
  </si>
  <si>
    <t>Storm’s Eye Stance</t>
  </si>
  <si>
    <t>10m (5m, 1wp)</t>
  </si>
  <si>
    <t>Sid 248</t>
  </si>
  <si>
    <t>Any ten Presence Charms</t>
  </si>
  <si>
    <t>Battalion-Bureau Leadership</t>
  </si>
  <si>
    <t>Sid 249</t>
  </si>
  <si>
    <t>Heroic General Presence</t>
  </si>
  <si>
    <t>Foretold Strategy Technique</t>
  </si>
  <si>
    <t>Knowing the Enemy</t>
  </si>
  <si>
    <t>Sid 250</t>
  </si>
  <si>
    <t>Bestowing the Crimson Banner</t>
  </si>
  <si>
    <t>Sagacious Formulation of Strategy</t>
  </si>
  <si>
    <t>Bestowing the Crimson Banner, Foretold Strategy Technique</t>
  </si>
  <si>
    <t>Dread Harbinger of Strife</t>
  </si>
  <si>
    <t>Sid 251</t>
  </si>
  <si>
    <t>Training Mandate of Auspicious Battle</t>
  </si>
  <si>
    <t>Training Mandate of Celestial Empowerment</t>
  </si>
  <si>
    <t>Essence-Draining Battle Pattern</t>
  </si>
  <si>
    <t>Sid 252</t>
  </si>
  <si>
    <t>Fiend-Blocking Battle Pattern</t>
  </si>
  <si>
    <t>Heroic Exploit Propagation</t>
  </si>
  <si>
    <t>Sid 253</t>
  </si>
  <si>
    <t>Preordained Arrival of Victory</t>
  </si>
  <si>
    <t>Seven Apocalypses Commander</t>
  </si>
  <si>
    <t>Tide of History</t>
  </si>
  <si>
    <t>Sid 254</t>
  </si>
  <si>
    <t>Training Mandate of War-God Puissance</t>
  </si>
  <si>
    <t>Tattered Standard Denigration</t>
  </si>
  <si>
    <t>Dread Harbinger of Strife, Heroic Exploit Propagation, Knowing the Enemy</t>
  </si>
  <si>
    <t>Spirit-Binding Battle Pattern</t>
  </si>
  <si>
    <t>Form, Psyche</t>
  </si>
  <si>
    <t>Sid 255</t>
  </si>
  <si>
    <t>Any ten War Charms</t>
  </si>
  <si>
    <t>Ascending Secrets Horoscope</t>
  </si>
  <si>
    <t>Secrets</t>
  </si>
  <si>
    <t>Any three Secrets Charms</t>
  </si>
  <si>
    <t>Descending Secrets Horoscope</t>
  </si>
  <si>
    <t>Sid 256</t>
  </si>
  <si>
    <t>Ascending Destiny Mien</t>
  </si>
  <si>
    <t>Sid 257</t>
  </si>
  <si>
    <t>Enticing Puzzle Exculpation</t>
  </si>
  <si>
    <t>Infallible Broker’s Confidences</t>
  </si>
  <si>
    <t>Never Cease Moving</t>
  </si>
  <si>
    <t>Oracular Wisdom</t>
  </si>
  <si>
    <t>Sid 258</t>
  </si>
  <si>
    <t>Oldest Secret Revealed</t>
  </si>
  <si>
    <t>Any Ascending (Caste) Horoscope or Descending (Caste) Horoscope</t>
  </si>
  <si>
    <t>Unsolved Problem Obsession</t>
  </si>
  <si>
    <t>Any five Secrets Charms</t>
  </si>
  <si>
    <t>Birthing the Maiden of Wisdom</t>
  </si>
  <si>
    <t>Any ten Secrets Charms</t>
  </si>
  <si>
    <t>Divination, Mute</t>
  </si>
  <si>
    <t>Sid 259</t>
  </si>
  <si>
    <t>Sid 260</t>
  </si>
  <si>
    <t>Provable Location of the Gate</t>
  </si>
  <si>
    <t>Unwritten Words Revelation</t>
  </si>
  <si>
    <t>Broken Silence Happenstance</t>
  </si>
  <si>
    <t>Sid 261</t>
  </si>
  <si>
    <t>Research Assistant Invocation</t>
  </si>
  <si>
    <t>Wilting Petal Witness</t>
  </si>
  <si>
    <t>Sid 262</t>
  </si>
  <si>
    <t>Bending the Mirror</t>
  </si>
  <si>
    <t>Guilty Conscience Expiation</t>
  </si>
  <si>
    <t>Witness Invention Technique</t>
  </si>
  <si>
    <t>Sid 263</t>
  </si>
  <si>
    <t>Lucid Enigma Labyrinth</t>
  </si>
  <si>
    <t>Ceaseless Pursuit of Truth</t>
  </si>
  <si>
    <t>Broken Silence Happenstance, Lucid Enigma Labyrinth, Wilting Petal Witness</t>
  </si>
  <si>
    <t>Sid 264</t>
  </si>
  <si>
    <t>Any ten Investigation Charms</t>
  </si>
  <si>
    <t>Honorable Thief Spirit</t>
  </si>
  <si>
    <t>Hayseed Eye</t>
  </si>
  <si>
    <t>Sid 265</t>
  </si>
  <si>
    <t>Maiden-in-the-Pot Escape</t>
  </si>
  <si>
    <t>Creation-Smuggling Procedures</t>
  </si>
  <si>
    <t>Sid 266</t>
  </si>
  <si>
    <t>Name-Pilfering Practice</t>
  </si>
  <si>
    <t>Mute, Shaping (Fate, Mind), Stackable</t>
  </si>
  <si>
    <t>Sid 267</t>
  </si>
  <si>
    <t>Dream Confiscation Approach</t>
  </si>
  <si>
    <t>Aggravated, Mute, Psyche</t>
  </si>
  <si>
    <t>One story or Instant</t>
  </si>
  <si>
    <t>Mute, Perilous, Shaping (Fate)</t>
  </si>
  <si>
    <t>Legitimate Pseudonym Trick</t>
  </si>
  <si>
    <t>Expedited Approval of Justice</t>
  </si>
  <si>
    <t>Sid 268</t>
  </si>
  <si>
    <t>Talisman Forgery Technique</t>
  </si>
  <si>
    <t>Lazy Works Smart</t>
  </si>
  <si>
    <t>Sid 269</t>
  </si>
  <si>
    <t>Sanctum-Breaching Heist</t>
  </si>
  <si>
    <t>Contraband Miracle Confiscation</t>
  </si>
  <si>
    <t>Sidereal Shell Games, Thought-Swiping Distraction</t>
  </si>
  <si>
    <t>Sid 270</t>
  </si>
  <si>
    <t>Any ten Larceny Charms</t>
  </si>
  <si>
    <t>The Methodology of Secrets</t>
  </si>
  <si>
    <t>Sid 271</t>
  </si>
  <si>
    <t>Professorial Mien</t>
  </si>
  <si>
    <t>Avoiding-the-Truth Technique</t>
  </si>
  <si>
    <t>Sid 272</t>
  </si>
  <si>
    <t>Sid 273</t>
  </si>
  <si>
    <t>Horoscope Revision Technique</t>
  </si>
  <si>
    <t>Stab the Seer’s Eye</t>
  </si>
  <si>
    <t>Sid 274</t>
  </si>
  <si>
    <t>Well-Schooled Pedant Defense</t>
  </si>
  <si>
    <t>Dismissive Scholar’s Sniff</t>
  </si>
  <si>
    <t>Unreliable Source Dismissal</t>
  </si>
  <si>
    <t>Avoiding-the-Truth Technique, Dismissive Scholar’s Sniff, Systematic Understanding of Everything</t>
  </si>
  <si>
    <t>(Victim’s Integrity + 5) days</t>
  </si>
  <si>
    <t>Sid 275</t>
  </si>
  <si>
    <t>Any ten Lore Charms</t>
  </si>
  <si>
    <t>Incite Decorum</t>
  </si>
  <si>
    <t>Sid 276</t>
  </si>
  <si>
    <t>Prince-of-the-Earth Attitude</t>
  </si>
  <si>
    <t>Light of Celestial Revelation</t>
  </si>
  <si>
    <t>Manifestation-Haling Summons</t>
  </si>
  <si>
    <t>Sid 277</t>
  </si>
  <si>
    <t>Tell-Tale Symphony</t>
  </si>
  <si>
    <t>Panoply of Fallen Stars</t>
  </si>
  <si>
    <t>Seer’s Starry Eye</t>
  </si>
  <si>
    <t>Invincible Essence Mantle</t>
  </si>
  <si>
    <t>1wp or 3a</t>
  </si>
  <si>
    <t>Sid 278</t>
  </si>
  <si>
    <t>Unimpeachable Divinity Credentials</t>
  </si>
  <si>
    <t>Official Notice of Alienation</t>
  </si>
  <si>
    <t>Sid 279</t>
  </si>
  <si>
    <t>Incite Decorum, Mark of Exaltation, Unweaving Method</t>
  </si>
  <si>
    <t>Official Notice of Alienation (x2)</t>
  </si>
  <si>
    <t>3m, 1wp (5m)</t>
  </si>
  <si>
    <t>Fate is All Things</t>
  </si>
  <si>
    <t>Incite Decorum, Tell-Tale Symphony</t>
  </si>
  <si>
    <t>Bound in Ivy Fetters</t>
  </si>
  <si>
    <t>Innocuous Maneuver, Invincible Essence Mantle, Official Notice of Alienation (×2)</t>
  </si>
  <si>
    <t>Sid 281</t>
  </si>
  <si>
    <t>Any ten Occult Charms</t>
  </si>
  <si>
    <t>Any four Secrets Charms</t>
  </si>
  <si>
    <t>Cloaked in Enigma</t>
  </si>
  <si>
    <t>Weaver of Mystery</t>
  </si>
  <si>
    <t>Sid 282</t>
  </si>
  <si>
    <t>Terrestrial Circle Sorcery, any five Terrestrial Circle</t>
  </si>
  <si>
    <t>Legend-Dimming Obscurity</t>
  </si>
  <si>
    <t>Foot Treads No Twig</t>
  </si>
  <si>
    <t>Privacy-Enhancing Gesture</t>
  </si>
  <si>
    <t>Mute,</t>
  </si>
  <si>
    <t>Sid 283</t>
  </si>
  <si>
    <t>Extinguished Stars Constellation</t>
  </si>
  <si>
    <t>1m per character, 1wp</t>
  </si>
  <si>
    <t>Subordinate Inspiration Technique</t>
  </si>
  <si>
    <t>Unbreakable Silence</t>
  </si>
  <si>
    <t>Self-Annihilating Discretion</t>
  </si>
  <si>
    <t>Sid 284</t>
  </si>
  <si>
    <t>Gift of a Broken Mask</t>
  </si>
  <si>
    <t>Shaping (Mind)</t>
  </si>
  <si>
    <t>Extinguished Stars Constellation, Legend-Dimming Obscurity</t>
  </si>
  <si>
    <t>Walking Outside Fate</t>
  </si>
  <si>
    <t>Cracked Mask Sacrifice</t>
  </si>
  <si>
    <t>Self-Annihilating Discretion, Walking Outside Fate</t>
  </si>
  <si>
    <t>Everywhere-and-Nowhere Technique</t>
  </si>
  <si>
    <t>Until the Sidereal leaves concealment</t>
  </si>
  <si>
    <t>Sid 285</t>
  </si>
  <si>
    <t>Lamp-Covering Shroud</t>
  </si>
  <si>
    <t>Unfettered by Law</t>
  </si>
  <si>
    <t>Blinding the Boar, Privacy-Enhancing Gesture, Walking Outside Fate</t>
  </si>
  <si>
    <t>Ceasing-to-Exist Approach</t>
  </si>
  <si>
    <t>Sid 286</t>
  </si>
  <si>
    <t>Any ten Stealth Charms</t>
  </si>
  <si>
    <t>Ascending Endings Horoscope</t>
  </si>
  <si>
    <t>Sid 287</t>
  </si>
  <si>
    <t>Endings</t>
  </si>
  <si>
    <t>Any three Endings Charms</t>
  </si>
  <si>
    <t>Descending Endings Horoscope</t>
  </si>
  <si>
    <t>Sid 288</t>
  </si>
  <si>
    <t>Any Endings Charm</t>
  </si>
  <si>
    <t>Borrowed Coffin Ploy</t>
  </si>
  <si>
    <t>Morbid Premonition</t>
  </si>
  <si>
    <t>Sid 289</t>
  </si>
  <si>
    <t>Crossing Plutonian Shores</t>
  </si>
  <si>
    <t>5m (+1m)</t>
  </si>
  <si>
    <t>Any five Endings Charms</t>
  </si>
  <si>
    <t>Fivefold Omen of Doom</t>
  </si>
  <si>
    <t>Decisive-only, Shaping (Fate)</t>
  </si>
  <si>
    <t>Shroud of Death’s Allure</t>
  </si>
  <si>
    <t>Sid 290</t>
  </si>
  <si>
    <t>Crossing Plutonian Shores, Tears of the Blade</t>
  </si>
  <si>
    <t>Sid 291</t>
  </si>
  <si>
    <t>Refused Burden</t>
  </si>
  <si>
    <t>3m per dot, 1ahl (+1wp)</t>
  </si>
  <si>
    <t>Distance-Severing Stride</t>
  </si>
  <si>
    <t>Step-Silencing Exercise</t>
  </si>
  <si>
    <t>Sid 292</t>
  </si>
  <si>
    <t>Cage-Shattering Grasp</t>
  </si>
  <si>
    <t>1m (+1wp)</t>
  </si>
  <si>
    <t>Chains of Adorjan</t>
  </si>
  <si>
    <t>5m, 4i, 1wp, 1ahl</t>
  </si>
  <si>
    <t>Aggravated, Perilous</t>
  </si>
  <si>
    <t>Sid 293</t>
  </si>
  <si>
    <t>Cage-Shattering Grasp, Step-Silencing Exercise</t>
  </si>
  <si>
    <t>Inner Flame Purification</t>
  </si>
  <si>
    <t>Unexpected Delay</t>
  </si>
  <si>
    <t>Shattered Stepping-Stone Advance</t>
  </si>
  <si>
    <t>Forgotten Earth, Hungry Touch, Inexorable Advance</t>
  </si>
  <si>
    <t>Pull Down the Sky</t>
  </si>
  <si>
    <t>15m, 1wp, 1ahl</t>
  </si>
  <si>
    <t>Sid 294</t>
  </si>
  <si>
    <t>Any ten Athletics Charms</t>
  </si>
  <si>
    <t>Divination, Mute, Uniform</t>
  </si>
  <si>
    <t>Sid 295</t>
  </si>
  <si>
    <t>Anticipated Betrayal</t>
  </si>
  <si>
    <t>Heavenly Sentinel Eye</t>
  </si>
  <si>
    <t>Sid 296</t>
  </si>
  <si>
    <t>Supernal Awareness</t>
  </si>
  <si>
    <t>Supernal Awareness (x2)</t>
  </si>
  <si>
    <t>5m (5m, 1wp)</t>
  </si>
  <si>
    <t>Feathered Cloak Trick</t>
  </si>
  <si>
    <t>Sid 297</t>
  </si>
  <si>
    <t>Reading Dead Eyes</t>
  </si>
  <si>
    <t>Sid 298</t>
  </si>
  <si>
    <t>Dark-Winged Watcher</t>
  </si>
  <si>
    <t>Feathered Cloak Trick, Supernal Awareness</t>
  </si>
  <si>
    <t>Illusion-Piercing Vigilance</t>
  </si>
  <si>
    <t>Old Sorrows Reminiscence</t>
  </si>
  <si>
    <t>Prior Warning, Reading Dead Eyes</t>
  </si>
  <si>
    <t>Marked for the Gallows</t>
  </si>
  <si>
    <t>Divination, Dual</t>
  </si>
  <si>
    <t>Sid 299</t>
  </si>
  <si>
    <t>Expected Pain, Supernal Awareness, Wise Choice</t>
  </si>
  <si>
    <t>Conclusive Wisdom</t>
  </si>
  <si>
    <t>Divination, Psyche</t>
  </si>
  <si>
    <t>Any ten Awareness Charms</t>
  </si>
  <si>
    <t>Sid 300</t>
  </si>
  <si>
    <t>Terminal Sanction (x2)</t>
  </si>
  <si>
    <t>Harvest Ripe Wheat, Father Falling Hay</t>
  </si>
  <si>
    <t>Corruption Elimination Agenda</t>
  </si>
  <si>
    <t>Sid 301</t>
  </si>
  <si>
    <t>Record-Obtaining Inquiry</t>
  </si>
  <si>
    <t>Slick Essence Replenishment</t>
  </si>
  <si>
    <t>Underling Invisibility Practice</t>
  </si>
  <si>
    <t>Old Fellows Society Luncheon</t>
  </si>
  <si>
    <t>Sid 302</t>
  </si>
  <si>
    <t>Employment Termination Venom</t>
  </si>
  <si>
    <t>Celestial Intervention Appeal</t>
  </si>
  <si>
    <t>Crisis-Weathering Insurance</t>
  </si>
  <si>
    <t>Sid 303</t>
  </si>
  <si>
    <t>Calamity-Stalling Patience</t>
  </si>
  <si>
    <t>As long as the Sidereal opposes the crisis</t>
  </si>
  <si>
    <t>Paralyzed Committee Infliction</t>
  </si>
  <si>
    <t>Sid 304</t>
  </si>
  <si>
    <t>Fallow Field Invites Flame</t>
  </si>
  <si>
    <t>Corruption Elimination Agenda, Employment Termination Venom</t>
  </si>
  <si>
    <t>End Debate</t>
  </si>
  <si>
    <t>Sid 305</t>
  </si>
  <si>
    <t>Any ten Bureaucracy Charms</t>
  </si>
  <si>
    <t>Until Hope’s End</t>
  </si>
  <si>
    <t>Promise of Tomorrow</t>
  </si>
  <si>
    <t>Sid 306</t>
  </si>
  <si>
    <t>Until Hope's End</t>
  </si>
  <si>
    <t>Necessary Betrayal Attitude</t>
  </si>
  <si>
    <t>Dream-Sacrificing Maneuver</t>
  </si>
  <si>
    <t>Hope-Ending Bluntness</t>
  </si>
  <si>
    <t>Minimum Legal Defense Competence</t>
  </si>
  <si>
    <t>Sid 307</t>
  </si>
  <si>
    <t>Creation-Preserving Will</t>
  </si>
  <si>
    <t>Oath of the Sword</t>
  </si>
  <si>
    <t>1lhl+</t>
  </si>
  <si>
    <t>Gift of Forsaken Hope</t>
  </si>
  <si>
    <t>Dream-Sacrificing Maneuver, Until Hope’s End</t>
  </si>
  <si>
    <t>In Destiny’s Service</t>
  </si>
  <si>
    <t>Sid 308</t>
  </si>
  <si>
    <t>Loyalty-Sacrificing Sidestep</t>
  </si>
  <si>
    <t>Dream-Sacrificing Maneuver, Oath of the Sword</t>
  </si>
  <si>
    <t>Death-of-Self Meditation</t>
  </si>
  <si>
    <t>Sid 309</t>
  </si>
  <si>
    <t>Last Hope Salvation</t>
  </si>
  <si>
    <t>Any ten Integrity Charms</t>
  </si>
  <si>
    <t>Sid 310</t>
  </si>
  <si>
    <t>Peaceable Conclusion</t>
  </si>
  <si>
    <t>Rising Butterfly Prayer</t>
  </si>
  <si>
    <t>Sid 311</t>
  </si>
  <si>
    <t>Obituary Composition Technique</t>
  </si>
  <si>
    <t>Solemn Psychopomp Duty</t>
  </si>
  <si>
    <t>Soul-Reviving Eulogy</t>
  </si>
  <si>
    <t>Sid 312</t>
  </si>
  <si>
    <t>Dignity of the Dead</t>
  </si>
  <si>
    <t>1m per point of penalty</t>
  </si>
  <si>
    <t>Deferred Wounds</t>
  </si>
  <si>
    <t>Denature Venom</t>
  </si>
  <si>
    <t>Sid 313</t>
  </si>
  <si>
    <t>Embracing the Mortal Coil</t>
  </si>
  <si>
    <t>Any two of Deferred Wounds, Denature Venom, or Terminate Illness</t>
  </si>
  <si>
    <t>Dutiful Dead Conscription</t>
  </si>
  <si>
    <t>Invocation of the Storm-Following Silence</t>
  </si>
  <si>
    <t>Sid 314</t>
  </si>
  <si>
    <t>Foretold Epitaph Epiphany</t>
  </si>
  <si>
    <t>Shadow of the Reaper</t>
  </si>
  <si>
    <t>Embracing the Mortal Coil, Peaceable Conclusion</t>
  </si>
  <si>
    <t>Dead Man’s Stand</t>
  </si>
  <si>
    <t>Decisive-only, Mute, Perilous</t>
  </si>
  <si>
    <t>Dignity of the Dead, Embracing the Mortal Coil</t>
  </si>
  <si>
    <t>Earth-and-Sky Bargain</t>
  </si>
  <si>
    <t>15m, 1wp (3m per Charm)</t>
  </si>
  <si>
    <t>Sid 315</t>
  </si>
  <si>
    <t>Any ten Medicine Charms</t>
  </si>
  <si>
    <t>Общий итог</t>
  </si>
  <si>
    <t>dawn, zenith</t>
  </si>
  <si>
    <t>dawn</t>
  </si>
  <si>
    <t>eclipse</t>
  </si>
  <si>
    <t>zenith</t>
  </si>
  <si>
    <t>night, eclipse</t>
  </si>
  <si>
    <t>night</t>
  </si>
  <si>
    <t>twilight, night</t>
  </si>
  <si>
    <t>twilight, eclipse</t>
  </si>
  <si>
    <t>zenith, eclipse</t>
  </si>
  <si>
    <t>twilight</t>
  </si>
  <si>
    <t>Martial Arts</t>
  </si>
  <si>
    <t>zenith, night</t>
  </si>
  <si>
    <t>zenith, twilight</t>
  </si>
  <si>
    <t>dawn, night</t>
  </si>
  <si>
    <t>Количество по полю Name</t>
  </si>
  <si>
    <t>Названия строк</t>
  </si>
  <si>
    <t>(Все)</t>
  </si>
  <si>
    <t>Present</t>
  </si>
  <si>
    <t>Realm Begins</t>
  </si>
  <si>
    <t>Чейоп Кеджак</t>
  </si>
  <si>
    <t>shogunate</t>
  </si>
  <si>
    <t>Левиафан</t>
  </si>
  <si>
    <t>usurpation</t>
  </si>
  <si>
    <t>ДР Ингоша СебКогти</t>
  </si>
  <si>
    <t>The "present" for Dreams of the First Age campaigns</t>
  </si>
  <si>
    <t>прошло</t>
  </si>
  <si>
    <t>что</t>
  </si>
  <si>
    <t>End of Time of Cascading Years</t>
  </si>
  <si>
    <t>Start of Time of Cascading Years</t>
  </si>
  <si>
    <t>Autochthon leaves Creation</t>
  </si>
  <si>
    <t>History begins</t>
  </si>
  <si>
    <t>Realm</t>
  </si>
  <si>
    <t>Autochthonia</t>
  </si>
  <si>
    <t>First Age</t>
  </si>
  <si>
    <t>Event</t>
  </si>
  <si>
    <t xml:space="preserve">10m, 1wp </t>
  </si>
  <si>
    <t xml:space="preserve">1m </t>
  </si>
  <si>
    <t xml:space="preserve">5m </t>
  </si>
  <si>
    <t xml:space="preserve">4m, 4i, 1wp </t>
  </si>
  <si>
    <t xml:space="preserve">4m </t>
  </si>
  <si>
    <t xml:space="preserve">3m, 1wp </t>
  </si>
  <si>
    <t xml:space="preserve">3m </t>
  </si>
  <si>
    <t xml:space="preserve">2m </t>
  </si>
  <si>
    <t xml:space="preserve">5m, 1wp </t>
  </si>
  <si>
    <t xml:space="preserve">5m, 1wp, 1+a </t>
  </si>
  <si>
    <t xml:space="preserve">6m </t>
  </si>
  <si>
    <t xml:space="preserve">2m or 1m, 1wp </t>
  </si>
  <si>
    <t xml:space="preserve">1m, 1wp </t>
  </si>
  <si>
    <t xml:space="preserve">6m, 1wp </t>
  </si>
  <si>
    <t xml:space="preserve">3m, 2i </t>
  </si>
  <si>
    <t xml:space="preserve">2m/turn </t>
  </si>
  <si>
    <t xml:space="preserve">10m, 1wp, 2xp </t>
  </si>
  <si>
    <t xml:space="preserve">10m, 1wp, 1xp </t>
  </si>
  <si>
    <t>Food-Gathering Exercise, Friendship with Animals Approach, Element-Resisting Prana</t>
  </si>
  <si>
    <t xml:space="preserve">15m, 1wp </t>
  </si>
  <si>
    <t xml:space="preserve">-(6m) </t>
  </si>
  <si>
    <t xml:space="preserve">12m, 1wp </t>
  </si>
  <si>
    <t xml:space="preserve">10m </t>
  </si>
  <si>
    <t xml:space="preserve">-(4m, 1wp) </t>
  </si>
  <si>
    <t xml:space="preserve">2m, 1wp </t>
  </si>
  <si>
    <t xml:space="preserve">7m, 1wp </t>
  </si>
  <si>
    <t xml:space="preserve">1wp or 2i </t>
  </si>
  <si>
    <t xml:space="preserve">8m, 1wp </t>
  </si>
  <si>
    <t xml:space="preserve">2m/anima level </t>
  </si>
  <si>
    <t xml:space="preserve">6m, 3a </t>
  </si>
  <si>
    <t xml:space="preserve">5m or 7m </t>
  </si>
  <si>
    <t xml:space="preserve">4m, 1wp, 2xp </t>
  </si>
  <si>
    <t xml:space="preserve">1wp </t>
  </si>
  <si>
    <t xml:space="preserve">4m, 1wp </t>
  </si>
  <si>
    <t xml:space="preserve">-(7m) </t>
  </si>
  <si>
    <t xml:space="preserve">7m or 12m </t>
  </si>
  <si>
    <t xml:space="preserve">-(3m) </t>
  </si>
  <si>
    <t xml:space="preserve">-(1i) </t>
  </si>
  <si>
    <t xml:space="preserve">1m or 2m or 3m or 5m, 1wp </t>
  </si>
  <si>
    <t xml:space="preserve">7m </t>
  </si>
  <si>
    <t xml:space="preserve">4m, 1hl or 4m, 1lhl </t>
  </si>
  <si>
    <t xml:space="preserve">3m or 4m, 1a </t>
  </si>
  <si>
    <t xml:space="preserve">4m, 3i, 1wp </t>
  </si>
  <si>
    <t xml:space="preserve">3m, 2i, 1wp </t>
  </si>
  <si>
    <t xml:space="preserve">2m to 6m </t>
  </si>
  <si>
    <t xml:space="preserve">1hl/three successes </t>
  </si>
  <si>
    <t xml:space="preserve">2m, 1wp or 4m, 1wp </t>
  </si>
  <si>
    <t xml:space="preserve">1m/-0 health level </t>
  </si>
  <si>
    <t xml:space="preserve">2m or 6m </t>
  </si>
  <si>
    <t xml:space="preserve">8m </t>
  </si>
  <si>
    <t xml:space="preserve">2i </t>
  </si>
  <si>
    <t xml:space="preserve">1i </t>
  </si>
  <si>
    <t xml:space="preserve">4m or 6m </t>
  </si>
  <si>
    <t>-(1wp)</t>
  </si>
  <si>
    <t xml:space="preserve">20m, 1wp </t>
  </si>
  <si>
    <t xml:space="preserve">16m, 1wp </t>
  </si>
  <si>
    <t xml:space="preserve">4i </t>
  </si>
  <si>
    <t xml:space="preserve">3m/Charm </t>
  </si>
  <si>
    <t xml:space="preserve">4m, 1wp, +3m/language </t>
  </si>
  <si>
    <t xml:space="preserve">-(1m) </t>
  </si>
  <si>
    <t xml:space="preserve">Varies </t>
  </si>
  <si>
    <t xml:space="preserve">-(1m, 1wp) </t>
  </si>
  <si>
    <t xml:space="preserve">1m/work </t>
  </si>
  <si>
    <t xml:space="preserve">-(Varies) </t>
  </si>
  <si>
    <t xml:space="preserve">- (4m, 1wp) </t>
  </si>
  <si>
    <t>-(7m, 1wp)</t>
  </si>
  <si>
    <t xml:space="preserve">6m, 1a, 2i </t>
  </si>
  <si>
    <t xml:space="preserve">5m, 2i, 1wp </t>
  </si>
  <si>
    <t xml:space="preserve">4m, 1i/sux or 4m or 4m, 1wp </t>
  </si>
  <si>
    <t xml:space="preserve">5m, 2i </t>
  </si>
  <si>
    <t xml:space="preserve">1m/success </t>
  </si>
  <si>
    <t xml:space="preserve">1m, 1wp, 3a </t>
  </si>
  <si>
    <t xml:space="preserve">1m/die or 1m/success </t>
  </si>
  <si>
    <t xml:space="preserve">1lhl/3m </t>
  </si>
  <si>
    <t xml:space="preserve">5m, 1wp or 5i, 1wp </t>
  </si>
  <si>
    <t xml:space="preserve">5m, 10i </t>
  </si>
  <si>
    <t xml:space="preserve">30m, 1wp </t>
  </si>
  <si>
    <t xml:space="preserve">10m, 1wp, 10xp </t>
  </si>
  <si>
    <t xml:space="preserve">7m, 1wp, 8xp </t>
  </si>
  <si>
    <t xml:space="preserve">15m, 1wp, 2xp </t>
  </si>
  <si>
    <t xml:space="preserve">5m/hl, 1wp </t>
  </si>
  <si>
    <t xml:space="preserve">1xp </t>
  </si>
  <si>
    <t xml:space="preserve">3m/health level, 1wp </t>
  </si>
  <si>
    <t xml:space="preserve">1xp+ </t>
  </si>
  <si>
    <t xml:space="preserve">5m + 1m/1xp </t>
  </si>
  <si>
    <t xml:space="preserve">13m, 1wp </t>
  </si>
  <si>
    <t xml:space="preserve">-(5m, 1wp) </t>
  </si>
  <si>
    <t xml:space="preserve">3m, 4i </t>
  </si>
  <si>
    <t xml:space="preserve">-1 Initiative/success </t>
  </si>
  <si>
    <t xml:space="preserve">1m or 5m </t>
  </si>
  <si>
    <t xml:space="preserve">5m/disguise </t>
  </si>
  <si>
    <t xml:space="preserve">-(10m, 1wp) </t>
  </si>
  <si>
    <t xml:space="preserve">16m, 1wp, 20xp </t>
  </si>
  <si>
    <t xml:space="preserve">1 Limit </t>
  </si>
  <si>
    <t xml:space="preserve">- (5m, 1wp) </t>
  </si>
  <si>
    <t xml:space="preserve">- (3m, 1wp) </t>
  </si>
  <si>
    <t xml:space="preserve">5m/1wp </t>
  </si>
  <si>
    <t xml:space="preserve">2m/mote, 1wp </t>
  </si>
  <si>
    <t xml:space="preserve">30wxp </t>
  </si>
  <si>
    <t xml:space="preserve">25sxp, 15gxp, 10wxp + all remaining wxp </t>
  </si>
  <si>
    <t xml:space="preserve">15m, 1wp, 4xp, 4wxp </t>
  </si>
  <si>
    <t xml:space="preserve">12m, 1wp, 2wxp </t>
  </si>
  <si>
    <t xml:space="preserve">1sxp/cap increase, 1wxp </t>
  </si>
  <si>
    <t xml:space="preserve">10m, 1wp, 3xp </t>
  </si>
  <si>
    <t xml:space="preserve">6m, 1wxp </t>
  </si>
  <si>
    <t xml:space="preserve">3m + 1s/g/wxp/success </t>
  </si>
  <si>
    <t xml:space="preserve">4m, 4s/g/wxp </t>
  </si>
  <si>
    <t xml:space="preserve">4m, 1sxp, 1wp </t>
  </si>
  <si>
    <t xml:space="preserve">2m, 3hls/1hul </t>
  </si>
  <si>
    <t xml:space="preserve">1m or 2m </t>
  </si>
  <si>
    <t xml:space="preserve">3m/Intimacy </t>
  </si>
  <si>
    <t xml:space="preserve">3m, 3i +1m, 1i/hl </t>
  </si>
  <si>
    <t xml:space="preserve">Permanent </t>
  </si>
  <si>
    <t xml:space="preserve">4m/damage removed </t>
  </si>
  <si>
    <t xml:space="preserve">3m/-1 </t>
  </si>
  <si>
    <t xml:space="preserve">1m, 2i </t>
  </si>
  <si>
    <t xml:space="preserve">2i/1 Evasion </t>
  </si>
  <si>
    <t>w</t>
  </si>
  <si>
    <t xml:space="preserve"> C/F   </t>
  </si>
  <si>
    <t xml:space="preserve"> Ability          </t>
  </si>
  <si>
    <t xml:space="preserve"> Навык                </t>
  </si>
  <si>
    <t xml:space="preserve">               </t>
  </si>
  <si>
    <t xml:space="preserve">       </t>
  </si>
  <si>
    <t xml:space="preserve"> Сопротивление        </t>
  </si>
  <si>
    <t xml:space="preserve"> Верховая езда        </t>
  </si>
  <si>
    <t xml:space="preserve"> Парус. плавание      </t>
  </si>
  <si>
    <t xml:space="preserve"> Выживание            </t>
  </si>
  <si>
    <t xml:space="preserve"> Стрельба             </t>
  </si>
  <si>
    <t xml:space="preserve"> Драка                </t>
  </si>
  <si>
    <t xml:space="preserve"> Ближний бой          </t>
  </si>
  <si>
    <t xml:space="preserve"> Война                </t>
  </si>
  <si>
    <t xml:space="preserve"> Расследование        </t>
  </si>
  <si>
    <t xml:space="preserve"> Кража                </t>
  </si>
  <si>
    <t xml:space="preserve"> Скрытность           </t>
  </si>
  <si>
    <t xml:space="preserve"> Атлетика             </t>
  </si>
  <si>
    <t xml:space="preserve"> Бдительность         </t>
  </si>
  <si>
    <t xml:space="preserve"> Медицина             </t>
  </si>
  <si>
    <t xml:space="preserve"> зел</t>
  </si>
  <si>
    <t>син</t>
  </si>
  <si>
    <t xml:space="preserve">оранж </t>
  </si>
  <si>
    <t>Дом/Созвездие</t>
  </si>
  <si>
    <t>☿Мачта</t>
  </si>
  <si>
    <t>☿Посланник</t>
  </si>
  <si>
    <t>☿Капитан</t>
  </si>
  <si>
    <t>☿Штурвал</t>
  </si>
  <si>
    <t>☿Чайка</t>
  </si>
  <si>
    <t>♀Павлин</t>
  </si>
  <si>
    <t>♀Кувшин</t>
  </si>
  <si>
    <t>♀Колонна</t>
  </si>
  <si>
    <t>♀Музыкант</t>
  </si>
  <si>
    <t>♀Любовники</t>
  </si>
  <si>
    <t>Колчан♂</t>
  </si>
  <si>
    <t>Перчатка♂</t>
  </si>
  <si>
    <t>Копье♂</t>
  </si>
  <si>
    <t>Щит♂</t>
  </si>
  <si>
    <t>Знамя♂</t>
  </si>
  <si>
    <t>Ключ♃</t>
  </si>
  <si>
    <t>Стражи♃</t>
  </si>
  <si>
    <t>Сокровищница♃</t>
  </si>
  <si>
    <t>Чародей♃</t>
  </si>
  <si>
    <t>Маска♃</t>
  </si>
  <si>
    <t>♄Ворон</t>
  </si>
  <si>
    <t>♄Меч</t>
  </si>
  <si>
    <t>♄Труп</t>
  </si>
  <si>
    <t>♄Телега с сеном</t>
  </si>
  <si>
    <t>♄Восходящий Дым</t>
  </si>
  <si>
    <t>☿</t>
  </si>
  <si>
    <t>♀</t>
  </si>
  <si>
    <t>♂</t>
  </si>
  <si>
    <t>♃</t>
  </si>
  <si>
    <t>♄</t>
  </si>
  <si>
    <t>Дом</t>
  </si>
  <si>
    <t>все</t>
  </si>
  <si>
    <t>C</t>
  </si>
  <si>
    <t>F</t>
  </si>
  <si>
    <t>mb</t>
  </si>
  <si>
    <t>оранж</t>
  </si>
  <si>
    <t xml:space="preserve"> Метание          </t>
  </si>
  <si>
    <t xml:space="preserve"> Знания           </t>
  </si>
  <si>
    <t xml:space="preserve"> Бюрократия       </t>
  </si>
  <si>
    <t xml:space="preserve"> Целостность      </t>
  </si>
  <si>
    <t>Боевые искусства</t>
  </si>
  <si>
    <t>Присутствие</t>
  </si>
  <si>
    <t>Уклонение</t>
  </si>
  <si>
    <t>Ремесло</t>
  </si>
  <si>
    <t xml:space="preserve">Выступление     </t>
  </si>
  <si>
    <t xml:space="preserve">Лингвистика   </t>
  </si>
  <si>
    <t xml:space="preserve">Социализация   </t>
  </si>
  <si>
    <t>Performance</t>
  </si>
  <si>
    <t xml:space="preserve">Оккультизм    </t>
  </si>
  <si>
    <t>Выбор</t>
  </si>
  <si>
    <t>Названия столбцов</t>
  </si>
  <si>
    <t>Investigate</t>
  </si>
  <si>
    <t>Bureaucracy</t>
  </si>
  <si>
    <t>Созвездие</t>
  </si>
  <si>
    <t>Resistance</t>
  </si>
  <si>
    <t>Количество по полю Выбор</t>
  </si>
  <si>
    <t>синий</t>
  </si>
  <si>
    <t>зеленый</t>
  </si>
  <si>
    <t>Фильтрация</t>
  </si>
  <si>
    <t>aggr dmg to undead, may use to banish ghost</t>
  </si>
  <si>
    <t>insta kill incap or willing; Lethe+no hungy ghost;</t>
  </si>
  <si>
    <t>мертвецы</t>
  </si>
  <si>
    <t>rutual on decesead to next happy life</t>
  </si>
  <si>
    <t>commit to remove Bah and lethal HL</t>
  </si>
  <si>
    <t>instantly anti-disease</t>
  </si>
  <si>
    <t>embrace mortality - gain buffs</t>
  </si>
  <si>
    <t>Комменты</t>
  </si>
  <si>
    <t>вряд ли</t>
  </si>
  <si>
    <t>(пусто)</t>
  </si>
  <si>
    <t>возможно</t>
  </si>
  <si>
    <t>надежда</t>
  </si>
  <si>
    <t>работа с духами</t>
  </si>
  <si>
    <t>вполне</t>
  </si>
  <si>
    <t>забавное, но не</t>
  </si>
  <si>
    <t>прыгать вместе с Бангом</t>
  </si>
  <si>
    <t>цикл на предвидение жопы</t>
  </si>
  <si>
    <t>цикл на слежку</t>
  </si>
  <si>
    <t>цикл на врановых</t>
  </si>
  <si>
    <t>цикл на поствидение</t>
  </si>
  <si>
    <t>усиление по расстоянию</t>
  </si>
  <si>
    <t>ясновидение Гранат</t>
  </si>
  <si>
    <t>"да -не- умер в конце Драйва!"</t>
  </si>
  <si>
    <t>секретные письма в Бюро</t>
  </si>
  <si>
    <t>ради всей Айни?</t>
  </si>
  <si>
    <t>просто хиты</t>
  </si>
  <si>
    <t>в сияющей судьбе</t>
  </si>
  <si>
    <t>как она дерется</t>
  </si>
  <si>
    <t>притягивать вещи</t>
  </si>
  <si>
    <t>Дева</t>
  </si>
  <si>
    <t>Марс</t>
  </si>
  <si>
    <t>Сатурн</t>
  </si>
  <si>
    <t>Меркурий</t>
  </si>
  <si>
    <t>Юпитер</t>
  </si>
  <si>
    <t>Венера</t>
  </si>
  <si>
    <t>для путешествий</t>
  </si>
  <si>
    <t>наделить своей чертой</t>
  </si>
  <si>
    <t>сжигаем годы жизни за силищу</t>
  </si>
  <si>
    <t>тема не та</t>
  </si>
  <si>
    <t>дает сок в ослабляющих, особенно против тормозных</t>
  </si>
  <si>
    <t>скучно</t>
  </si>
  <si>
    <t>это для игрока</t>
  </si>
  <si>
    <t>спецмедик</t>
  </si>
  <si>
    <t>шаги или твой транспорт БЕСШУМНЫ (автопровал Персепшена на слух)</t>
  </si>
  <si>
    <t>доп атака после Сокрушения</t>
  </si>
  <si>
    <t>защитный штраф массово</t>
  </si>
  <si>
    <t>Блокируй неблокируемое</t>
  </si>
  <si>
    <t>проблемы с гороскопами</t>
  </si>
  <si>
    <t>благословение или проклятие</t>
  </si>
  <si>
    <t>Социалка</t>
  </si>
  <si>
    <t>"подсветка" на врагов судьбы</t>
  </si>
  <si>
    <t>заговор зубов в бою</t>
  </si>
  <si>
    <t>оружие с тегом МА можно использовать другими навыками</t>
  </si>
  <si>
    <t>призывать свою компетенцию для Резолва</t>
  </si>
  <si>
    <t>это про Бюро</t>
  </si>
  <si>
    <t>постоянная планка для Резолва</t>
  </si>
  <si>
    <t>"нормально делай нормально будет"</t>
  </si>
  <si>
    <t>работа с связями надежды</t>
  </si>
  <si>
    <t>как соларская атлетика</t>
  </si>
  <si>
    <t>принуждение материализоваться</t>
  </si>
  <si>
    <t>исчезающие письма</t>
  </si>
  <si>
    <t>это работа в Бюро</t>
  </si>
  <si>
    <t>моты</t>
  </si>
  <si>
    <t>воспоминния</t>
  </si>
  <si>
    <t>цикл мастермайнда</t>
  </si>
  <si>
    <t>Code</t>
  </si>
  <si>
    <t>A</t>
  </si>
  <si>
    <t>B</t>
  </si>
  <si>
    <t>M</t>
  </si>
  <si>
    <t>P</t>
  </si>
  <si>
    <t>S</t>
  </si>
  <si>
    <t>T</t>
  </si>
  <si>
    <t>D</t>
  </si>
  <si>
    <t>Z</t>
  </si>
  <si>
    <t>E</t>
  </si>
  <si>
    <t>N</t>
  </si>
  <si>
    <t>G</t>
  </si>
  <si>
    <t>H</t>
  </si>
  <si>
    <t>I</t>
  </si>
  <si>
    <t>J</t>
  </si>
  <si>
    <t>K</t>
  </si>
  <si>
    <t>L</t>
  </si>
  <si>
    <t>O</t>
  </si>
  <si>
    <t>Q</t>
  </si>
  <si>
    <t>R</t>
  </si>
  <si>
    <t>U</t>
  </si>
  <si>
    <t>V</t>
  </si>
  <si>
    <t>W</t>
  </si>
  <si>
    <t>X</t>
  </si>
  <si>
    <t>Y</t>
  </si>
  <si>
    <t>Solar Castes</t>
  </si>
  <si>
    <t>Siderial Castes</t>
  </si>
  <si>
    <t>Группы</t>
  </si>
  <si>
    <t>Dawn</t>
  </si>
  <si>
    <t>Venus</t>
  </si>
  <si>
    <t>Bang</t>
  </si>
  <si>
    <t>siblings</t>
  </si>
  <si>
    <t>Skill 1</t>
  </si>
  <si>
    <t>Skill 2</t>
  </si>
  <si>
    <t>Skill 3</t>
  </si>
  <si>
    <t>a</t>
  </si>
  <si>
    <t>ы</t>
  </si>
  <si>
    <t xml:space="preserve">1. «Тень Героя» </t>
  </si>
  <si>
    <t xml:space="preserve">2. «Ловец Слов» </t>
  </si>
  <si>
    <t xml:space="preserve">3. «Кулаки Рассвета» </t>
  </si>
  <si>
    <t xml:space="preserve">4. «Судья и Палач» </t>
  </si>
  <si>
    <t xml:space="preserve">5. «Песня Безмятежности» </t>
  </si>
  <si>
    <t xml:space="preserve">6. «Сеть Лжи» </t>
  </si>
  <si>
    <t xml:space="preserve">7. «Кровь и Чернила» </t>
  </si>
  <si>
    <t xml:space="preserve">8. «Бегство от Судьбы» </t>
  </si>
  <si>
    <t xml:space="preserve">9. «Море Сомнений» </t>
  </si>
  <si>
    <t xml:space="preserve">10. «Последний Шепот» </t>
  </si>
  <si>
    <t xml:space="preserve">11. «Суд Молчания» </t>
  </si>
  <si>
    <t xml:space="preserve">12. «Гонка на Краю» </t>
  </si>
  <si>
    <t xml:space="preserve">13. «Театр Теней» </t>
  </si>
  <si>
    <t xml:space="preserve">14. «Раны Мира» </t>
  </si>
  <si>
    <t xml:space="preserve">15. «Пламя Лукши» </t>
  </si>
  <si>
    <t xml:space="preserve">16. «Тень Отца» </t>
  </si>
  <si>
    <t xml:space="preserve">17. «Цена Свободы» </t>
  </si>
  <si>
    <t xml:space="preserve">18. «Последний Рубеж» </t>
  </si>
  <si>
    <t xml:space="preserve">19. «Судьба Бунтаря» </t>
  </si>
  <si>
    <t>испытание</t>
  </si>
  <si>
    <t>навык 1</t>
  </si>
  <si>
    <t>навык 2</t>
  </si>
  <si>
    <t>навык 3</t>
  </si>
  <si>
    <t>Камни</t>
  </si>
  <si>
    <t>топаз</t>
  </si>
  <si>
    <t>сапфир</t>
  </si>
  <si>
    <t>рубин</t>
  </si>
  <si>
    <t>изумруд</t>
  </si>
  <si>
    <t>аметист</t>
  </si>
  <si>
    <t>прочих</t>
  </si>
  <si>
    <t>всего</t>
  </si>
  <si>
    <t>у банга</t>
  </si>
  <si>
    <t>дева 1</t>
  </si>
  <si>
    <t>дева 2</t>
  </si>
  <si>
    <t>дева 3</t>
  </si>
  <si>
    <t>камень девы</t>
  </si>
  <si>
    <t>счет камня</t>
  </si>
  <si>
    <t>н1</t>
  </si>
  <si>
    <t>н2</t>
  </si>
  <si>
    <t>н3</t>
  </si>
  <si>
    <t>комментарий</t>
  </si>
  <si>
    <t>неее</t>
  </si>
  <si>
    <t>слабо по навыкам Банга</t>
  </si>
  <si>
    <t>классика, но скучно поставлено</t>
  </si>
  <si>
    <t>перебор для 1 из5 испытания</t>
  </si>
  <si>
    <t>норм, но перекроить?</t>
  </si>
  <si>
    <t>немного запутанно, но норм</t>
  </si>
  <si>
    <t>круто.. Но 0 навыков..</t>
  </si>
  <si>
    <t>круто. Чуть подрихтовать</t>
  </si>
  <si>
    <t>круто.. Но мало навыков..</t>
  </si>
  <si>
    <t>может объединить с 10</t>
  </si>
  <si>
    <t>Хроники Забвения</t>
  </si>
  <si>
    <t>Симфония Безмолвия</t>
  </si>
  <si>
    <t>Испытание Трех Зеркал</t>
  </si>
  <si>
    <t>Сожжённые письма</t>
  </si>
  <si>
    <t>Сад каменных Цветов</t>
  </si>
  <si>
    <t>блок</t>
  </si>
  <si>
    <t>Бегство из Лабиринта Воспоминаний</t>
  </si>
  <si>
    <t>Танец Застывших Струн*</t>
  </si>
  <si>
    <t>Мост Трёх Шансов</t>
  </si>
  <si>
    <t>Восход в Бездне</t>
  </si>
  <si>
    <t>интересно, но не для 1/5 испытаний</t>
  </si>
  <si>
    <t>сложно для того, чтобы угадать</t>
  </si>
  <si>
    <t>интересно, но не слишком буквально?</t>
  </si>
  <si>
    <t>это не испытание, а просто сцена</t>
  </si>
  <si>
    <t>1. Лабиринт Зеркальных Воспоминаний**</t>
  </si>
  <si>
    <t>2. Немой Свидетель**</t>
  </si>
  <si>
    <t>3. Суд Мёртвых Героев**</t>
  </si>
  <si>
    <t>1. Испорченная Симфония**</t>
  </si>
  <si>
    <t>2. Сад Камней и Клинков**</t>
  </si>
  <si>
    <t>3. Дуэль с Тенью Раэда Дахика**</t>
  </si>
  <si>
    <t>1. Осада Лукши**</t>
  </si>
  <si>
    <t>2. Несломленный Монах (Испытание Линя)**</t>
  </si>
  <si>
    <t>3. Три Удара Судьбы**</t>
  </si>
  <si>
    <t>1. Источник Воспоминаний**</t>
  </si>
  <si>
    <t>2. Сердце Храма**</t>
  </si>
  <si>
    <t>3. Судья и Преступник**</t>
  </si>
  <si>
    <t>4. Поток Обжигающей Правды**</t>
  </si>
  <si>
    <t>5. Ритуал Рассечённого Шёлка**</t>
  </si>
  <si>
    <t>6. Исповедь в Зеркальном Дожде**</t>
  </si>
  <si>
    <t>1. Угасание Солнца**</t>
  </si>
  <si>
    <t>2. Ковчег Последней Надежды**</t>
  </si>
  <si>
    <t>3. Наследник Рассвета**</t>
  </si>
  <si>
    <t>о да</t>
  </si>
  <si>
    <t>клево</t>
  </si>
  <si>
    <t>интересно, но не те люди</t>
  </si>
  <si>
    <t>не</t>
  </si>
  <si>
    <t>не.скучно</t>
  </si>
  <si>
    <t>1 и бегство немного перемешать</t>
  </si>
  <si>
    <t>ритм-гейм!</t>
  </si>
  <si>
    <t>не, не лорно</t>
  </si>
  <si>
    <t>гуд</t>
  </si>
  <si>
    <t>интересно, но не лорно!!</t>
  </si>
  <si>
    <t>q</t>
  </si>
  <si>
    <t>color</t>
  </si>
  <si>
    <t>(несколько элементов)</t>
  </si>
  <si>
    <t>Количество по полю испытание</t>
  </si>
  <si>
    <t>АМЕТИСТ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</si>
</sst>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b/>
      <u/>
      <sz val="10"/>
      <name val="Arial"/>
    </font>
    <font>
      <sz val="10"/>
      <name val="Arial"/>
    </font>
    <font>
      <sz val="8"/>
      <color rgb="FF000000"/>
      <name val="Arial"/>
      <family val="2"/>
      <charset val="204"/>
    </font>
    <font>
      <sz val="10"/>
      <color rgb="FF000000"/>
      <name val="Arial"/>
      <family val="2"/>
      <charset val="204"/>
    </font>
    <font>
      <sz val="8"/>
      <color rgb="FFFF0000"/>
      <name val="Arial"/>
      <family val="2"/>
      <charset val="204"/>
    </font>
    <font>
      <i/>
      <sz val="8"/>
      <color rgb="FF004B83"/>
      <name val="Arial"/>
      <family val="2"/>
      <charset val="204"/>
    </font>
    <font>
      <b/>
      <sz val="8"/>
      <color rgb="FF000000"/>
      <name val="Arial"/>
      <family val="2"/>
      <charset val="204"/>
    </font>
    <font>
      <sz val="10"/>
      <color theme="7" tint="-0.499984740745262"/>
      <name val="Arial"/>
      <family val="2"/>
      <charset val="204"/>
    </font>
    <font>
      <i/>
      <sz val="10"/>
      <color theme="7" tint="-0.499984740745262"/>
      <name val="Arial"/>
      <family val="2"/>
      <charset val="204"/>
    </font>
    <font>
      <b/>
      <u/>
      <sz val="10"/>
      <name val="Arial"/>
      <family val="2"/>
      <charset val="204"/>
    </font>
    <font>
      <b/>
      <sz val="10"/>
      <color rgb="FF000000"/>
      <name val="Arial"/>
      <family val="2"/>
      <charset val="204"/>
    </font>
    <font>
      <sz val="10"/>
      <color rgb="FF000000"/>
      <name val="Arial"/>
    </font>
    <font>
      <sz val="10"/>
      <color rgb="FFFF0000"/>
      <name val="Arial"/>
      <family val="2"/>
      <charset val="204"/>
    </font>
  </fonts>
  <fills count="21">
    <fill>
      <patternFill patternType="none"/>
    </fill>
    <fill>
      <patternFill patternType="gray125"/>
    </fill>
    <fill>
      <patternFill patternType="solid">
        <fgColor theme="5" tint="-0.249977111117893"/>
        <bgColor indexed="64"/>
      </patternFill>
    </fill>
    <fill>
      <patternFill patternType="solid">
        <fgColor theme="8" tint="-0.49998474074526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9F9F9"/>
        <bgColor indexed="64"/>
      </patternFill>
    </fill>
    <fill>
      <patternFill patternType="solid">
        <fgColor rgb="FFEAECF0"/>
        <bgColor indexed="64"/>
      </patternFill>
    </fill>
    <fill>
      <patternFill patternType="solid">
        <fgColor theme="8" tint="0.59999389629810485"/>
        <bgColor indexed="64"/>
      </patternFill>
    </fill>
    <fill>
      <patternFill patternType="solid">
        <fgColor rgb="FFCCCCFF"/>
        <bgColor indexed="64"/>
      </patternFill>
    </fill>
    <fill>
      <patternFill patternType="solid">
        <fgColor rgb="FFFA6148"/>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FFC000"/>
        <bgColor indexed="64"/>
      </patternFill>
    </fill>
    <fill>
      <patternFill patternType="solid">
        <fgColor rgb="FF9966FF"/>
        <bgColor indexed="64"/>
      </patternFill>
    </fill>
    <fill>
      <patternFill patternType="solid">
        <fgColor theme="4"/>
        <bgColor indexed="64"/>
      </patternFill>
    </fill>
  </fills>
  <borders count="10">
    <border>
      <left/>
      <right/>
      <top/>
      <bottom/>
      <diagonal/>
    </border>
    <border>
      <left style="medium">
        <color rgb="FFA2A9B1"/>
      </left>
      <right style="medium">
        <color rgb="FFAAAAAA"/>
      </right>
      <top style="medium">
        <color rgb="FFA2A9B1"/>
      </top>
      <bottom style="medium">
        <color rgb="FFAAAAAA"/>
      </bottom>
      <diagonal/>
    </border>
    <border>
      <left style="medium">
        <color rgb="FFA2A9B1"/>
      </left>
      <right style="medium">
        <color rgb="FFA2A9B1"/>
      </right>
      <top style="medium">
        <color rgb="FFA2A9B1"/>
      </top>
      <bottom style="medium">
        <color rgb="FFAAAAAA"/>
      </bottom>
      <diagonal/>
    </border>
    <border>
      <left style="medium">
        <color rgb="FFAAAAAA"/>
      </left>
      <right style="medium">
        <color rgb="FFA2A9B1"/>
      </right>
      <top style="medium">
        <color rgb="FFA2A9B1"/>
      </top>
      <bottom style="medium">
        <color rgb="FFAAAAAA"/>
      </bottom>
      <diagonal/>
    </border>
    <border>
      <left style="medium">
        <color rgb="FFA2A9B1"/>
      </left>
      <right style="medium">
        <color rgb="FFAAAAAA"/>
      </right>
      <top style="medium">
        <color rgb="FFA2A9B1"/>
      </top>
      <bottom style="medium">
        <color rgb="FFA2A9B1"/>
      </bottom>
      <diagonal/>
    </border>
    <border>
      <left style="medium">
        <color rgb="FFA2A9B1"/>
      </left>
      <right style="medium">
        <color rgb="FFA2A9B1"/>
      </right>
      <top style="medium">
        <color rgb="FFA2A9B1"/>
      </top>
      <bottom style="medium">
        <color rgb="FFA2A9B1"/>
      </bottom>
      <diagonal/>
    </border>
    <border>
      <left style="medium">
        <color rgb="FFAAAAAA"/>
      </left>
      <right style="medium">
        <color rgb="FFA2A9B1"/>
      </right>
      <top style="medium">
        <color rgb="FFA2A9B1"/>
      </top>
      <bottom style="medium">
        <color rgb="FFA2A9B1"/>
      </bottom>
      <diagonal/>
    </border>
    <border>
      <left style="medium">
        <color rgb="FFA2A9B1"/>
      </left>
      <right style="medium">
        <color rgb="FFAAAAAA"/>
      </right>
      <top style="medium">
        <color rgb="FFAAAAAA"/>
      </top>
      <bottom style="medium">
        <color rgb="FFA2A9B1"/>
      </bottom>
      <diagonal/>
    </border>
    <border>
      <left style="medium">
        <color rgb="FFA2A9B1"/>
      </left>
      <right style="medium">
        <color rgb="FFA2A9B1"/>
      </right>
      <top style="medium">
        <color rgb="FFAAAAAA"/>
      </top>
      <bottom style="medium">
        <color rgb="FFA2A9B1"/>
      </bottom>
      <diagonal/>
    </border>
    <border>
      <left style="medium">
        <color rgb="FFAAAAAA"/>
      </left>
      <right style="medium">
        <color rgb="FFA2A9B1"/>
      </right>
      <top style="medium">
        <color rgb="FFAAAAAA"/>
      </top>
      <bottom style="medium">
        <color rgb="FFA2A9B1"/>
      </bottom>
      <diagonal/>
    </border>
  </borders>
  <cellStyleXfs count="2">
    <xf numFmtId="0" fontId="0" fillId="0" borderId="0"/>
    <xf numFmtId="9" fontId="12" fillId="0" borderId="0" applyFont="0" applyFill="0" applyBorder="0" applyAlignment="0" applyProtection="0"/>
  </cellStyleXfs>
  <cellXfs count="68">
    <xf numFmtId="0" fontId="0" fillId="0" borderId="0" xfId="0"/>
    <xf numFmtId="0" fontId="1" fillId="0" borderId="0" xfId="0" applyFont="1"/>
    <xf numFmtId="0" fontId="1" fillId="0" borderId="0" xfId="0" applyFont="1" applyAlignment="1">
      <alignment horizontal="right"/>
    </xf>
    <xf numFmtId="0" fontId="2" fillId="0" borderId="0" xfId="0" applyFont="1"/>
    <xf numFmtId="0" fontId="2" fillId="0" borderId="0" xfId="0" applyFont="1" applyAlignment="1">
      <alignment horizontal="left"/>
    </xf>
    <xf numFmtId="0" fontId="2" fillId="0" borderId="0" xfId="0" applyFont="1" applyAlignment="1">
      <alignment horizontal="right"/>
    </xf>
    <xf numFmtId="0" fontId="0" fillId="0" borderId="0" xfId="0" applyAlignment="1">
      <alignment horizontal="left"/>
    </xf>
    <xf numFmtId="10" fontId="2" fillId="0" borderId="0" xfId="0" applyNumberFormat="1" applyFont="1" applyAlignment="1">
      <alignment horizontal="left"/>
    </xf>
    <xf numFmtId="0" fontId="0" fillId="0" borderId="0" xfId="0" applyAlignment="1">
      <alignment horizontal="right"/>
    </xf>
    <xf numFmtId="0" fontId="0" fillId="0" borderId="0" xfId="0" applyAlignment="1">
      <alignment horizontal="left" indent="2"/>
    </xf>
    <xf numFmtId="0" fontId="0" fillId="0" borderId="0" xfId="0" applyAlignment="1">
      <alignment horizontal="left" inden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0" fontId="3" fillId="7" borderId="0" xfId="0" applyFont="1" applyFill="1" applyAlignment="1">
      <alignment vertical="center" wrapText="1"/>
    </xf>
    <xf numFmtId="0" fontId="3" fillId="7" borderId="1" xfId="0" applyFont="1" applyFill="1" applyBorder="1" applyAlignment="1">
      <alignment vertical="center" wrapText="1"/>
    </xf>
    <xf numFmtId="0" fontId="3" fillId="7" borderId="2" xfId="0" applyFont="1" applyFill="1" applyBorder="1" applyAlignment="1">
      <alignment vertical="center" wrapText="1"/>
    </xf>
    <xf numFmtId="0" fontId="3" fillId="7" borderId="3" xfId="0" applyFont="1" applyFill="1" applyBorder="1" applyAlignment="1">
      <alignment vertical="center" wrapText="1"/>
    </xf>
    <xf numFmtId="0" fontId="3" fillId="7" borderId="4" xfId="0" applyFont="1" applyFill="1" applyBorder="1" applyAlignment="1">
      <alignment vertical="center" wrapText="1"/>
    </xf>
    <xf numFmtId="0" fontId="3" fillId="7" borderId="5" xfId="0" applyFont="1" applyFill="1" applyBorder="1" applyAlignment="1">
      <alignment vertical="center" wrapText="1"/>
    </xf>
    <xf numFmtId="0" fontId="3" fillId="7" borderId="6" xfId="0" applyFont="1" applyFill="1" applyBorder="1" applyAlignment="1">
      <alignment vertical="center" wrapText="1"/>
    </xf>
    <xf numFmtId="0" fontId="4" fillId="0" borderId="0" xfId="0" applyFont="1"/>
    <xf numFmtId="0" fontId="5" fillId="7" borderId="4" xfId="0" applyFont="1" applyFill="1" applyBorder="1" applyAlignment="1">
      <alignment vertical="center" wrapText="1"/>
    </xf>
    <xf numFmtId="0" fontId="5" fillId="7" borderId="5" xfId="0" applyFont="1" applyFill="1" applyBorder="1" applyAlignment="1">
      <alignment vertical="center" wrapText="1"/>
    </xf>
    <xf numFmtId="0" fontId="6" fillId="7" borderId="5" xfId="0" applyFont="1" applyFill="1" applyBorder="1" applyAlignment="1">
      <alignment vertical="center" wrapText="1"/>
    </xf>
    <xf numFmtId="0" fontId="5" fillId="7" borderId="6" xfId="0" applyFont="1" applyFill="1" applyBorder="1" applyAlignment="1">
      <alignment vertical="center" wrapText="1"/>
    </xf>
    <xf numFmtId="0" fontId="7" fillId="8" borderId="7"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1" fillId="6" borderId="0" xfId="0" applyFont="1" applyFill="1"/>
    <xf numFmtId="0" fontId="0" fillId="9" borderId="0" xfId="0" applyFill="1"/>
    <xf numFmtId="0" fontId="0" fillId="10" borderId="0" xfId="0" applyFill="1"/>
    <xf numFmtId="0" fontId="0" fillId="11" borderId="0" xfId="0" applyFill="1"/>
    <xf numFmtId="0" fontId="8" fillId="0" borderId="0" xfId="0" applyFont="1"/>
    <xf numFmtId="0" fontId="9" fillId="0" borderId="0" xfId="0" applyFont="1"/>
    <xf numFmtId="0" fontId="4" fillId="9" borderId="0" xfId="0" applyFont="1" applyFill="1"/>
    <xf numFmtId="0" fontId="4" fillId="11" borderId="0" xfId="0" applyFont="1" applyFill="1"/>
    <xf numFmtId="0" fontId="4" fillId="10" borderId="0" xfId="0" applyFont="1" applyFill="1"/>
    <xf numFmtId="0" fontId="10" fillId="11" borderId="0" xfId="0" applyFont="1" applyFill="1"/>
    <xf numFmtId="0" fontId="11" fillId="0" borderId="0" xfId="0" applyFont="1"/>
    <xf numFmtId="10" fontId="0" fillId="0" borderId="0" xfId="0" applyNumberFormat="1"/>
    <xf numFmtId="9" fontId="0" fillId="0" borderId="0" xfId="1" applyFont="1"/>
    <xf numFmtId="0" fontId="13" fillId="0" borderId="0" xfId="0" applyFont="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4" fillId="5" borderId="0" xfId="0" applyFont="1" applyFill="1"/>
    <xf numFmtId="0" fontId="0" fillId="0" borderId="0" xfId="0" applyAlignment="1">
      <alignment horizontal="center"/>
    </xf>
    <xf numFmtId="0" fontId="4" fillId="0" borderId="0" xfId="0" applyFont="1" applyAlignment="1">
      <alignment horizontal="center"/>
    </xf>
    <xf numFmtId="0" fontId="0" fillId="13" borderId="0" xfId="0" applyFill="1" applyAlignment="1">
      <alignment horizontal="center"/>
    </xf>
    <xf numFmtId="0" fontId="0" fillId="11" borderId="0" xfId="0" applyFill="1" applyAlignment="1">
      <alignment horizontal="center"/>
    </xf>
    <xf numFmtId="0" fontId="0" fillId="14" borderId="0" xfId="0" applyFill="1" applyAlignment="1">
      <alignment horizontal="center"/>
    </xf>
    <xf numFmtId="0" fontId="0" fillId="15" borderId="0" xfId="0" applyFill="1" applyAlignment="1">
      <alignment horizontal="center"/>
    </xf>
    <xf numFmtId="0" fontId="0" fillId="17" borderId="0" xfId="0" applyFill="1"/>
    <xf numFmtId="0" fontId="4" fillId="17" borderId="0" xfId="0" applyFont="1" applyFill="1"/>
    <xf numFmtId="0" fontId="4" fillId="6" borderId="0" xfId="0" applyFont="1" applyFill="1"/>
    <xf numFmtId="16" fontId="0" fillId="0" borderId="0" xfId="0" applyNumberFormat="1"/>
    <xf numFmtId="16" fontId="4" fillId="0" borderId="0" xfId="0" applyNumberFormat="1" applyFont="1"/>
    <xf numFmtId="14" fontId="0" fillId="0" borderId="0" xfId="0" applyNumberFormat="1"/>
    <xf numFmtId="0" fontId="4" fillId="19" borderId="0" xfId="0" applyFont="1" applyFill="1"/>
    <xf numFmtId="0" fontId="11" fillId="15" borderId="0" xfId="0" applyFont="1" applyFill="1"/>
    <xf numFmtId="0" fontId="11" fillId="18" borderId="0" xfId="0" applyFont="1" applyFill="1"/>
    <xf numFmtId="0" fontId="4" fillId="20" borderId="0" xfId="0" applyFont="1" applyFill="1"/>
  </cellXfs>
  <cellStyles count="2">
    <cellStyle name="Обычный" xfId="0" builtinId="0"/>
    <cellStyle name="Процентный" xfId="1" builtinId="5"/>
  </cellStyles>
  <dxfs count="24">
    <dxf>
      <numFmt numFmtId="164" formatCode=";;;"/>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8" tint="0.79998168889431442"/>
        </patternFill>
      </fill>
    </dxf>
    <dxf>
      <fill>
        <patternFill patternType="solid">
          <bgColor rgb="FFFFFF00"/>
        </patternFill>
      </fill>
    </dxf>
    <dxf>
      <fill>
        <patternFill patternType="solid">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59999389629810485"/>
        </patternFill>
      </fill>
    </dxf>
    <dxf>
      <fill>
        <patternFill patternType="solid">
          <bgColor theme="9" tint="0.59999389629810485"/>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8" tint="-0.499984740745262"/>
        </patternFill>
      </fill>
    </dxf>
    <dxf>
      <fill>
        <patternFill patternType="solid">
          <bgColor theme="8" tint="-0.499984740745262"/>
        </patternFill>
      </fill>
    </dxf>
    <dxf>
      <fill>
        <patternFill patternType="solid">
          <bgColor theme="6" tint="0.59999389629810485"/>
        </patternFill>
      </fill>
    </dxf>
    <dxf>
      <fill>
        <patternFill patternType="solid">
          <bgColor theme="6" tint="0.59999389629810485"/>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FA6148"/>
      <color rgb="FF9966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oneCellAnchor>
    <xdr:from>
      <xdr:col>5</xdr:col>
      <xdr:colOff>63728</xdr:colOff>
      <xdr:row>1</xdr:row>
      <xdr:rowOff>135773</xdr:rowOff>
    </xdr:from>
    <xdr:ext cx="3878350" cy="2558476"/>
    <mc:AlternateContent xmlns:mc="http://schemas.openxmlformats.org/markup-compatibility/2006" xmlns:a14="http://schemas.microsoft.com/office/drawing/2010/main">
      <mc:Choice Requires="a14">
        <xdr:graphicFrame macro="">
          <xdr:nvGraphicFramePr>
            <xdr:cNvPr id="2" name="Ability">
              <a:extLst>
                <a:ext uri="{FF2B5EF4-FFF2-40B4-BE49-F238E27FC236}">
                  <a16:creationId xmlns:a16="http://schemas.microsoft.com/office/drawing/2014/main" id="{850B54FF-BA8A-43AE-8445-C33264C112EF}"/>
                </a:ext>
              </a:extLst>
            </xdr:cNvPr>
            <xdr:cNvGraphicFramePr/>
          </xdr:nvGraphicFramePr>
          <xdr:xfrm>
            <a:off x="0" y="0"/>
            <a:ext cx="0" cy="0"/>
          </xdr:xfrm>
          <a:graphic>
            <a:graphicData uri="http://schemas.microsoft.com/office/drawing/2010/slicer">
              <sle:slicer xmlns:sle="http://schemas.microsoft.com/office/drawing/2010/slicer" name="Ability"/>
            </a:graphicData>
          </a:graphic>
        </xdr:graphicFrame>
      </mc:Choice>
      <mc:Fallback xmlns="">
        <xdr:sp macro="" textlink="">
          <xdr:nvSpPr>
            <xdr:cNvPr id="0" name=""/>
            <xdr:cNvSpPr>
              <a:spLocks noTextEdit="1"/>
            </xdr:cNvSpPr>
          </xdr:nvSpPr>
          <xdr:spPr>
            <a:xfrm>
              <a:off x="5439291" y="292791"/>
              <a:ext cx="3878350" cy="2558476"/>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29</xdr:col>
      <xdr:colOff>266007</xdr:colOff>
      <xdr:row>2</xdr:row>
      <xdr:rowOff>108063</xdr:rowOff>
    </xdr:from>
    <xdr:to>
      <xdr:col>35</xdr:col>
      <xdr:colOff>8313</xdr:colOff>
      <xdr:row>17</xdr:row>
      <xdr:rowOff>8478</xdr:rowOff>
    </xdr:to>
    <mc:AlternateContent xmlns:mc="http://schemas.openxmlformats.org/markup-compatibility/2006" xmlns:a14="http://schemas.microsoft.com/office/drawing/2010/main">
      <mc:Choice Requires="a14">
        <xdr:graphicFrame macro="">
          <xdr:nvGraphicFramePr>
            <xdr:cNvPr id="2" name="Abil. Min">
              <a:extLst>
                <a:ext uri="{FF2B5EF4-FFF2-40B4-BE49-F238E27FC236}">
                  <a16:creationId xmlns:a16="http://schemas.microsoft.com/office/drawing/2014/main" id="{00C16EA8-941A-05DB-8795-64BE0F9C7A04}"/>
                </a:ext>
              </a:extLst>
            </xdr:cNvPr>
            <xdr:cNvGraphicFramePr/>
          </xdr:nvGraphicFramePr>
          <xdr:xfrm>
            <a:off x="0" y="0"/>
            <a:ext cx="0" cy="0"/>
          </xdr:xfrm>
          <a:graphic>
            <a:graphicData uri="http://schemas.microsoft.com/office/drawing/2010/slicer">
              <sle:slicer xmlns:sle="http://schemas.microsoft.com/office/drawing/2010/slicer" name="Abil. Min"/>
            </a:graphicData>
          </a:graphic>
        </xdr:graphicFrame>
      </mc:Choice>
      <mc:Fallback xmlns="">
        <xdr:sp macro="" textlink="">
          <xdr:nvSpPr>
            <xdr:cNvPr id="0" name=""/>
            <xdr:cNvSpPr>
              <a:spLocks noTextEdit="1"/>
            </xdr:cNvSpPr>
          </xdr:nvSpPr>
          <xdr:spPr>
            <a:xfrm>
              <a:off x="17664545" y="423947"/>
              <a:ext cx="1828800" cy="226954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Obsidian%20Circe\One%20Vault%20to%20Roll%20Them%20All\Master%20Sheet%20-%20With%20Formulas.xlsx" TargetMode="External"/><Relationship Id="rId1" Type="http://schemas.openxmlformats.org/officeDocument/2006/relationships/externalLinkPath" Target="Master%20Sheet%20-%20With%20Formul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Obsidian%20Circe\One%20Vault%20to%20Roll%20Them%20All\Exalted%20Solar%20Road\00.%20files\Master%20Sheet%20-%20With%20Formulas.xlsx" TargetMode="External"/><Relationship Id="rId1" Type="http://schemas.openxmlformats.org/officeDocument/2006/relationships/externalLinkPath" Target="/Obsidian%20Circe/One%20Vault%20to%20Roll%20Them%20All/Exalted%20Solar%20Road/00.%20files/Master%20Sheet%20-%20With%20Formul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acter"/>
      <sheetName val="Biography"/>
      <sheetName val="Exp."/>
      <sheetName val="Charms"/>
      <sheetName val="Sorted Charms"/>
      <sheetName val="Custom Charms"/>
      <sheetName val="Combat"/>
      <sheetName val="Equipment"/>
      <sheetName val="Craft"/>
      <sheetName val="Sorcery"/>
      <sheetName val="Shapeshifting"/>
      <sheetName val="ChangelogCredits"/>
      <sheetName val="Chargen"/>
      <sheetName val="Evocations"/>
      <sheetName val="Martial Arts"/>
      <sheetName val="SMAs"/>
      <sheetName val="Spells"/>
      <sheetName val="Splat Charms"/>
      <sheetName val="Charm List"/>
      <sheetName val="Data"/>
      <sheetName val="Math"/>
      <sheetName val="CharmListValidation"/>
      <sheetName val="Chargen Reference"/>
      <sheetName val="DiscordBotInferface"/>
    </sheetNames>
    <sheetDataSet>
      <sheetData sheetId="0">
        <row r="6">
          <cell r="P6" t="str">
            <v>●</v>
          </cell>
        </row>
      </sheetData>
      <sheetData sheetId="1" refreshError="1"/>
      <sheetData sheetId="2">
        <row r="1">
          <cell r="T1" t="b">
            <v>0</v>
          </cell>
        </row>
      </sheetData>
      <sheetData sheetId="3" refreshError="1"/>
      <sheetData sheetId="4" refreshError="1"/>
      <sheetData sheetId="5" refreshError="1"/>
      <sheetData sheetId="6">
        <row r="11">
          <cell r="AV11" t="b">
            <v>0</v>
          </cell>
          <cell r="AY11">
            <v>0</v>
          </cell>
        </row>
      </sheetData>
      <sheetData sheetId="7">
        <row r="2">
          <cell r="Y2" t="str">
            <v/>
          </cell>
          <cell r="AC2" t="str">
            <v/>
          </cell>
        </row>
        <row r="4">
          <cell r="Y4" t="str">
            <v/>
          </cell>
          <cell r="AC4" t="str">
            <v/>
          </cell>
        </row>
        <row r="6">
          <cell r="Y6" t="str">
            <v/>
          </cell>
          <cell r="AC6" t="str">
            <v/>
          </cell>
        </row>
        <row r="8">
          <cell r="Y8" t="str">
            <v/>
          </cell>
          <cell r="AC8" t="str">
            <v/>
          </cell>
        </row>
        <row r="11">
          <cell r="Y11" t="str">
            <v/>
          </cell>
          <cell r="AA11" t="str">
            <v/>
          </cell>
          <cell r="AC11" t="str">
            <v/>
          </cell>
        </row>
        <row r="12">
          <cell r="Y12" t="str">
            <v/>
          </cell>
          <cell r="AA12" t="str">
            <v/>
          </cell>
          <cell r="AC12" t="str">
            <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B1" t="str">
            <v>Name</v>
          </cell>
          <cell r="C1" t="str">
            <v>Cost</v>
          </cell>
          <cell r="D1" t="str">
            <v>Type</v>
          </cell>
          <cell r="E1" t="str">
            <v>Keywords</v>
          </cell>
          <cell r="F1" t="str">
            <v>Duration</v>
          </cell>
          <cell r="G1" t="str">
            <v>Description</v>
          </cell>
          <cell r="H1" t="str">
            <v>Page #</v>
          </cell>
        </row>
        <row r="2">
          <cell r="B2" t="str">
            <v>Cirrus Skiff</v>
          </cell>
          <cell r="C2" t="str">
            <v>15sm, 1wp</v>
          </cell>
          <cell r="E2" t="str">
            <v>None</v>
          </cell>
          <cell r="F2" t="str">
            <v>Until Ended</v>
          </cell>
          <cell r="H2">
            <v>471</v>
          </cell>
          <cell r="J2" t="str">
            <v>Cirrus Skiff</v>
          </cell>
          <cell r="K2" t="str">
            <v>Cantata of Empty Voices</v>
          </cell>
          <cell r="L2" t="str">
            <v>Benediction of Archgenesis</v>
          </cell>
        </row>
        <row r="3">
          <cell r="B3" t="str">
            <v>Corrupted Words</v>
          </cell>
          <cell r="C3" t="str">
            <v>15sm, 1wp</v>
          </cell>
          <cell r="E3" t="str">
            <v>Psyche</v>
          </cell>
          <cell r="F3" t="str">
            <v>Indefinite</v>
          </cell>
          <cell r="H3">
            <v>472</v>
          </cell>
          <cell r="J3" t="str">
            <v>Corrupted Words</v>
          </cell>
          <cell r="K3" t="str">
            <v>Demon of the Second Circle</v>
          </cell>
          <cell r="L3" t="str">
            <v>Death Ray</v>
          </cell>
        </row>
        <row r="4">
          <cell r="B4" t="str">
            <v>Death of Obsidian Butterflies</v>
          </cell>
          <cell r="C4" t="str">
            <v>15sm, 1wp</v>
          </cell>
          <cell r="E4" t="str">
            <v>Decisive-only, Perilous</v>
          </cell>
          <cell r="F4" t="str">
            <v>Instant</v>
          </cell>
          <cell r="H4">
            <v>472</v>
          </cell>
          <cell r="J4" t="str">
            <v>Death of Obsidian Butterflies</v>
          </cell>
          <cell r="K4" t="str">
            <v>Impenetrable Veil of Night</v>
          </cell>
          <cell r="L4" t="str">
            <v>Demon of the Third Circle</v>
          </cell>
        </row>
        <row r="5">
          <cell r="B5" t="str">
            <v>Demon of the First Circle</v>
          </cell>
          <cell r="C5" t="str">
            <v>Ritual, 2wp</v>
          </cell>
          <cell r="E5" t="str">
            <v>None</v>
          </cell>
          <cell r="F5" t="str">
            <v>Instant</v>
          </cell>
          <cell r="H5">
            <v>473</v>
          </cell>
          <cell r="J5" t="str">
            <v>Demon of the First Circle</v>
          </cell>
          <cell r="K5" t="str">
            <v>Incomparable Body Arsenel</v>
          </cell>
          <cell r="L5" t="str">
            <v>Rain of Doom</v>
          </cell>
        </row>
        <row r="6">
          <cell r="B6" t="str">
            <v>Flight of the Brilliant Raptor</v>
          </cell>
          <cell r="C6" t="str">
            <v>15sm, 1wp</v>
          </cell>
          <cell r="E6" t="str">
            <v>Decisive-only, Perilous</v>
          </cell>
          <cell r="F6" t="str">
            <v>Instant</v>
          </cell>
          <cell r="H6">
            <v>473</v>
          </cell>
          <cell r="J6" t="str">
            <v>Flight of the Brilliant Raptor</v>
          </cell>
          <cell r="K6" t="str">
            <v>Ivory Orchid Pavilion</v>
          </cell>
          <cell r="L6" t="str">
            <v>Birth of Sanity's Sorrow</v>
          </cell>
        </row>
        <row r="7">
          <cell r="B7" t="str">
            <v>Infallible Messenger</v>
          </cell>
          <cell r="C7" t="str">
            <v>5sm, 2wp</v>
          </cell>
          <cell r="E7" t="str">
            <v>None</v>
          </cell>
          <cell r="F7" t="str">
            <v>Until message is delivered</v>
          </cell>
          <cell r="H7">
            <v>474</v>
          </cell>
          <cell r="J7" t="str">
            <v>Infallible Messenger</v>
          </cell>
          <cell r="K7" t="str">
            <v>Magma Kraken</v>
          </cell>
          <cell r="L7" t="str">
            <v>Dolorous Mist of Domination</v>
          </cell>
        </row>
        <row r="8">
          <cell r="B8" t="str">
            <v>Invulnerable Skin of Bronze</v>
          </cell>
          <cell r="C8" t="str">
            <v>20sm, 1wp</v>
          </cell>
          <cell r="E8" t="str">
            <v>None</v>
          </cell>
          <cell r="F8" t="str">
            <v>One Day</v>
          </cell>
          <cell r="H8">
            <v>474</v>
          </cell>
          <cell r="J8" t="str">
            <v>Invulnerable Skin of Bronze</v>
          </cell>
          <cell r="K8" t="str">
            <v>Shadows of the Ancient Past</v>
          </cell>
          <cell r="L8" t="str">
            <v>Drowning in the Endless Dark</v>
          </cell>
        </row>
        <row r="9">
          <cell r="B9" t="str">
            <v>Mists of Eventide</v>
          </cell>
          <cell r="C9" t="str">
            <v>7sm, 2wp</v>
          </cell>
          <cell r="E9" t="str">
            <v>None</v>
          </cell>
          <cell r="F9" t="str">
            <v>Three rounds</v>
          </cell>
          <cell r="H9">
            <v>474</v>
          </cell>
          <cell r="J9" t="str">
            <v>Mists of Eventide</v>
          </cell>
          <cell r="K9" t="str">
            <v>Travel Without Distance</v>
          </cell>
          <cell r="L9" t="str">
            <v>Invocation of the Hekatonkhires</v>
          </cell>
        </row>
        <row r="10">
          <cell r="B10" t="str">
            <v>Silent Words of Dreams and Nightmares</v>
          </cell>
          <cell r="C10" t="str">
            <v>Ritual, 1wp</v>
          </cell>
          <cell r="E10" t="str">
            <v>None</v>
          </cell>
          <cell r="F10" t="str">
            <v>One dream</v>
          </cell>
          <cell r="H10">
            <v>475</v>
          </cell>
          <cell r="J10" t="str">
            <v>Silent Words of Dreams and Nightmares</v>
          </cell>
          <cell r="K10" t="str">
            <v>Cloud Trapeze</v>
          </cell>
          <cell r="L10" t="str">
            <v>Mouth of the Abyss</v>
          </cell>
        </row>
        <row r="11">
          <cell r="B11" t="str">
            <v>Stormwind Rider</v>
          </cell>
          <cell r="C11" t="str">
            <v>15sm, 1wp</v>
          </cell>
          <cell r="E11" t="str">
            <v>None</v>
          </cell>
          <cell r="F11" t="str">
            <v>One hour</v>
          </cell>
          <cell r="H11">
            <v>475</v>
          </cell>
          <cell r="J11" t="str">
            <v>Stormwind Rider</v>
          </cell>
          <cell r="K11" t="str">
            <v>Insidious Tendrils of Hate</v>
          </cell>
          <cell r="L11" t="str">
            <v>Thus Ends All Flame</v>
          </cell>
        </row>
        <row r="12">
          <cell r="B12" t="str">
            <v>Summon Elemental</v>
          </cell>
          <cell r="C12" t="str">
            <v>Ritual, 2wp</v>
          </cell>
          <cell r="E12" t="str">
            <v>None</v>
          </cell>
          <cell r="F12" t="str">
            <v>Instant</v>
          </cell>
          <cell r="H12">
            <v>476</v>
          </cell>
          <cell r="J12" t="str">
            <v>Summon Elemental</v>
          </cell>
          <cell r="K12" t="str">
            <v>Prince of the Fallen Tower</v>
          </cell>
          <cell r="L12" t="str">
            <v>Example Sol.</v>
          </cell>
        </row>
        <row r="13">
          <cell r="B13" t="str">
            <v>Wood Dragon's Claws</v>
          </cell>
          <cell r="C13" t="str">
            <v>5sm, 1wp</v>
          </cell>
          <cell r="E13" t="str">
            <v>None</v>
          </cell>
          <cell r="F13" t="str">
            <v>Until dismissed</v>
          </cell>
          <cell r="H13">
            <v>476</v>
          </cell>
          <cell r="J13" t="str">
            <v>Wood Dragon's Claws</v>
          </cell>
          <cell r="K13" t="str">
            <v>Molten Shape of Shifting Glas</v>
          </cell>
        </row>
        <row r="14">
          <cell r="B14" t="str">
            <v>Beckoning That Which Stirs the Sky</v>
          </cell>
          <cell r="C14" t="str">
            <v>Ritual, 2wp</v>
          </cell>
          <cell r="E14" t="str">
            <v>None</v>
          </cell>
          <cell r="F14" t="str">
            <v>(1 + threshold successes) hours</v>
          </cell>
          <cell r="J14" t="str">
            <v>Beckoning That Which Stirs the Sky</v>
          </cell>
          <cell r="K14" t="str">
            <v>Hidden Judges of the Secret Flame</v>
          </cell>
        </row>
        <row r="15">
          <cell r="B15" t="str">
            <v>Floral Ferry</v>
          </cell>
          <cell r="C15" t="str">
            <v>20sm, 1wp</v>
          </cell>
          <cell r="E15" t="str">
            <v>None</v>
          </cell>
          <cell r="F15" t="str">
            <v>Until journey is completed</v>
          </cell>
          <cell r="J15" t="str">
            <v>Floral Ferry</v>
          </cell>
          <cell r="K15" t="str">
            <v>Mirror Nemesis Vizier</v>
          </cell>
        </row>
        <row r="16">
          <cell r="B16" t="str">
            <v>Impervious Sphere of Water</v>
          </cell>
          <cell r="C16" t="str">
            <v>15sm, 1wp</v>
          </cell>
          <cell r="E16" t="str">
            <v>None</v>
          </cell>
          <cell r="F16" t="str">
            <v>One scene</v>
          </cell>
          <cell r="J16" t="str">
            <v>Impervious Sphere of Water</v>
          </cell>
          <cell r="K16" t="str">
            <v>Masquerade of Coquelicot Veils</v>
          </cell>
        </row>
        <row r="17">
          <cell r="B17" t="str">
            <v>Keel Cleaves the Clouds</v>
          </cell>
          <cell r="C17" t="str">
            <v>25sm, 2wp</v>
          </cell>
          <cell r="E17" t="str">
            <v>None</v>
          </cell>
          <cell r="F17" t="str">
            <v>One day</v>
          </cell>
          <cell r="J17" t="str">
            <v>Keel Cleaves the Clouds</v>
          </cell>
          <cell r="K17" t="str">
            <v>Warden of the Nepenthean Gardens</v>
          </cell>
        </row>
        <row r="18">
          <cell r="B18" t="str">
            <v>Sculpted Seafoam Eidolon</v>
          </cell>
          <cell r="C18" t="str">
            <v>10sm, 2wp</v>
          </cell>
          <cell r="E18" t="str">
            <v>None</v>
          </cell>
          <cell r="F18" t="str">
            <v>One day</v>
          </cell>
          <cell r="J18" t="str">
            <v>Sculpted Seafoam Eidolon</v>
          </cell>
          <cell r="K18" t="str">
            <v>Banished from the Sunlit Realm</v>
          </cell>
        </row>
        <row r="19">
          <cell r="B19" t="str">
            <v>Spoke the Wooden Face</v>
          </cell>
          <cell r="C19" t="str">
            <v>5sm, 1wp</v>
          </cell>
          <cell r="E19" t="str">
            <v>None</v>
          </cell>
          <cell r="F19" t="str">
            <v>One scene</v>
          </cell>
          <cell r="J19" t="str">
            <v>Spoke the Wooden Face</v>
          </cell>
          <cell r="K19" t="str">
            <v>Caging the Broken Soul</v>
          </cell>
        </row>
        <row r="20">
          <cell r="B20" t="str">
            <v>Stalwart Earth Guardian</v>
          </cell>
          <cell r="C20" t="str">
            <v>Ritual, 1wp</v>
          </cell>
          <cell r="E20" t="str">
            <v>None</v>
          </cell>
          <cell r="F20" t="str">
            <v>Twelve hours</v>
          </cell>
          <cell r="J20" t="str">
            <v>Stalwart Earth Guardian</v>
          </cell>
          <cell r="K20" t="str">
            <v>Corpse-Engine of Annihilation</v>
          </cell>
        </row>
        <row r="21">
          <cell r="B21" t="str">
            <v>Thunder Wolf Howl</v>
          </cell>
          <cell r="C21" t="str">
            <v>15sm, 1wp</v>
          </cell>
          <cell r="E21" t="str">
            <v>Decisive-only</v>
          </cell>
          <cell r="F21" t="str">
            <v>Instant</v>
          </cell>
          <cell r="J21" t="str">
            <v>Thunder Wolf Howl</v>
          </cell>
          <cell r="K21" t="str">
            <v>Forest of Ivory Razors</v>
          </cell>
        </row>
        <row r="22">
          <cell r="B22" t="str">
            <v>Unslakable Thrist of the Devil-Maw</v>
          </cell>
          <cell r="C22" t="str">
            <v>15sm, 1wp</v>
          </cell>
          <cell r="E22" t="str">
            <v>None</v>
          </cell>
          <cell r="F22" t="str">
            <v>Instant</v>
          </cell>
          <cell r="J22" t="str">
            <v>Unslakable Thrist of the Devil-Maw</v>
          </cell>
          <cell r="K22" t="str">
            <v>Halls of Labyrinthine Horror</v>
          </cell>
        </row>
        <row r="23">
          <cell r="B23" t="str">
            <v>Virtuous Guardian of Flame</v>
          </cell>
          <cell r="C23" t="str">
            <v>15sm, 2wp</v>
          </cell>
          <cell r="E23" t="str">
            <v>None</v>
          </cell>
          <cell r="F23" t="str">
            <v>One day</v>
          </cell>
          <cell r="J23" t="str">
            <v>Virtuous Guardian of Flame</v>
          </cell>
          <cell r="K23" t="str">
            <v>Harrowing Scythe of Azet-Ithey</v>
          </cell>
        </row>
        <row r="24">
          <cell r="B24" t="str">
            <v>Blood Lash</v>
          </cell>
          <cell r="C24" t="str">
            <v>10sm, 1lhl, 1wp</v>
          </cell>
          <cell r="E24" t="str">
            <v>None</v>
          </cell>
          <cell r="F24" t="str">
            <v>Until Dismissed</v>
          </cell>
          <cell r="J24" t="str">
            <v>Blood Lash</v>
          </cell>
          <cell r="K24" t="str">
            <v>Haunting the Dying Breath</v>
          </cell>
        </row>
        <row r="25">
          <cell r="B25" t="str">
            <v>Flight of Separation</v>
          </cell>
          <cell r="C25" t="str">
            <v>15sm, 1wp</v>
          </cell>
          <cell r="E25" t="str">
            <v>None</v>
          </cell>
          <cell r="F25" t="str">
            <v>Indefinite</v>
          </cell>
          <cell r="J25" t="str">
            <v>Flight of Separation</v>
          </cell>
          <cell r="K25" t="str">
            <v>Hundred Shade Breath</v>
          </cell>
        </row>
        <row r="26">
          <cell r="B26" t="str">
            <v>Peacock Shadow Eyes</v>
          </cell>
          <cell r="C26" t="str">
            <v>7sm, 2wp</v>
          </cell>
          <cell r="E26" t="str">
            <v>Psyche</v>
          </cell>
          <cell r="F26" t="str">
            <v>One Scene</v>
          </cell>
          <cell r="J26" t="str">
            <v>Peacock Shadow Eyes</v>
          </cell>
          <cell r="K26" t="str">
            <v>Jackal Who Feasts Upon Lies</v>
          </cell>
        </row>
        <row r="27">
          <cell r="B27" t="str">
            <v>Cantata of Empty Voices</v>
          </cell>
          <cell r="C27" t="str">
            <v>15sm, 2wp</v>
          </cell>
          <cell r="E27" t="str">
            <v>Perilous</v>
          </cell>
          <cell r="F27" t="str">
            <v>Instant or until ended</v>
          </cell>
          <cell r="H27">
            <v>476</v>
          </cell>
          <cell r="J27" t="str">
            <v>Abhorrence of Breath</v>
          </cell>
          <cell r="K27" t="str">
            <v>Mortification of the Hallowed Self</v>
          </cell>
        </row>
        <row r="28">
          <cell r="B28" t="str">
            <v>Demon of the Second Circle</v>
          </cell>
          <cell r="C28" t="str">
            <v>Ritual, 3wp</v>
          </cell>
          <cell r="E28" t="str">
            <v>None</v>
          </cell>
          <cell r="F28" t="str">
            <v>Instant</v>
          </cell>
          <cell r="H28">
            <v>477</v>
          </cell>
          <cell r="J28" t="str">
            <v>Blessed Dead Fools</v>
          </cell>
          <cell r="K28" t="str">
            <v>Slumber of the Wandering Shade</v>
          </cell>
        </row>
        <row r="29">
          <cell r="B29" t="str">
            <v>Impenetrable Veil of Night</v>
          </cell>
          <cell r="C29" t="str">
            <v>30sm, 1wp</v>
          </cell>
          <cell r="E29" t="str">
            <v>None</v>
          </cell>
          <cell r="F29" t="str">
            <v>One day</v>
          </cell>
          <cell r="H29">
            <v>477</v>
          </cell>
          <cell r="J29" t="str">
            <v>Blessure of Bloody Respite</v>
          </cell>
          <cell r="K29" t="str">
            <v>Example Cel.</v>
          </cell>
        </row>
        <row r="30">
          <cell r="B30" t="str">
            <v>Incomparable Body Arsenel</v>
          </cell>
          <cell r="C30" t="str">
            <v>30sm, 2wp</v>
          </cell>
          <cell r="E30" t="str">
            <v>None</v>
          </cell>
          <cell r="F30" t="str">
            <v>(Essence) hours</v>
          </cell>
          <cell r="H30">
            <v>477</v>
          </cell>
          <cell r="J30" t="str">
            <v>Bone Puppet Dance</v>
          </cell>
        </row>
        <row r="31">
          <cell r="B31" t="str">
            <v>Ivory Orchid Pavilion</v>
          </cell>
          <cell r="C31" t="str">
            <v>Ritual, 1wp</v>
          </cell>
          <cell r="E31" t="str">
            <v>None</v>
          </cell>
          <cell r="F31" t="str">
            <v>One day</v>
          </cell>
          <cell r="H31">
            <v>478</v>
          </cell>
          <cell r="J31" t="str">
            <v>Curse of Creeping Calcification</v>
          </cell>
        </row>
        <row r="32">
          <cell r="B32" t="str">
            <v>Magma Kraken</v>
          </cell>
          <cell r="C32" t="str">
            <v>30sm, 1wp</v>
          </cell>
          <cell r="E32" t="str">
            <v>None</v>
          </cell>
          <cell r="F32" t="str">
            <v>One scene</v>
          </cell>
          <cell r="H32">
            <v>478</v>
          </cell>
          <cell r="J32" t="str">
            <v>Door of the Dead</v>
          </cell>
        </row>
        <row r="33">
          <cell r="B33" t="str">
            <v>Shadows of the Ancient Past</v>
          </cell>
          <cell r="C33" t="str">
            <v>10sm, 2wp</v>
          </cell>
          <cell r="E33" t="str">
            <v>None</v>
          </cell>
          <cell r="F33" t="str">
            <v>One scene</v>
          </cell>
          <cell r="H33">
            <v>480</v>
          </cell>
          <cell r="J33" t="str">
            <v>Field of Fell Dreams</v>
          </cell>
        </row>
        <row r="34">
          <cell r="B34" t="str">
            <v>Travel Without Distance</v>
          </cell>
          <cell r="C34" t="str">
            <v>25sm, 2wp</v>
          </cell>
          <cell r="E34" t="str">
            <v>Perilous</v>
          </cell>
          <cell r="F34" t="str">
            <v>Instant</v>
          </cell>
          <cell r="H34">
            <v>480</v>
          </cell>
          <cell r="J34" t="str">
            <v>Flesh and Bone Winds</v>
          </cell>
        </row>
        <row r="35">
          <cell r="B35" t="str">
            <v>Cloud Trapeze</v>
          </cell>
          <cell r="C35" t="str">
            <v>30sm, 1wp</v>
          </cell>
          <cell r="E35" t="str">
            <v>None</v>
          </cell>
          <cell r="F35" t="str">
            <v>Until Dismissed</v>
          </cell>
          <cell r="J35" t="str">
            <v>Flesh-Slouging Wave</v>
          </cell>
        </row>
        <row r="36">
          <cell r="B36" t="str">
            <v>Insidious Tendrils of Hate</v>
          </cell>
          <cell r="C36" t="str">
            <v>Ritual, 2wp</v>
          </cell>
          <cell r="E36" t="str">
            <v>Psyche</v>
          </cell>
          <cell r="F36" t="str">
            <v>(Manipulation) Days</v>
          </cell>
          <cell r="J36" t="str">
            <v>Grotesque Masque of the Inevitable</v>
          </cell>
        </row>
        <row r="37">
          <cell r="B37" t="str">
            <v>Prince of the Fallen Tower</v>
          </cell>
          <cell r="C37" t="str">
            <v>20sm, 1wp</v>
          </cell>
          <cell r="E37" t="str">
            <v>None</v>
          </cell>
          <cell r="F37" t="str">
            <v>(Essence) hours</v>
          </cell>
          <cell r="J37" t="str">
            <v>Malediction of the Infested HEart</v>
          </cell>
        </row>
        <row r="38">
          <cell r="B38" t="str">
            <v>Molten Shape of Shifting Glas</v>
          </cell>
          <cell r="C38" t="str">
            <v>20sm, 2wp</v>
          </cell>
          <cell r="E38" t="str">
            <v>None</v>
          </cell>
          <cell r="F38" t="str">
            <v>One scene</v>
          </cell>
          <cell r="J38" t="str">
            <v>Raise the Skeletal Horde</v>
          </cell>
        </row>
        <row r="39">
          <cell r="B39" t="str">
            <v>Hidden Judges of the Secret Flame</v>
          </cell>
          <cell r="C39" t="str">
            <v>20sm, 1wp</v>
          </cell>
          <cell r="E39" t="str">
            <v>None</v>
          </cell>
          <cell r="F39" t="str">
            <v>Varies</v>
          </cell>
          <cell r="J39" t="str">
            <v>Seat of Deadly Splendor</v>
          </cell>
        </row>
        <row r="40">
          <cell r="B40" t="str">
            <v>Mirror Nemesis Vizier</v>
          </cell>
          <cell r="C40" t="str">
            <v>Ritual, 2wp</v>
          </cell>
          <cell r="E40" t="str">
            <v>None</v>
          </cell>
          <cell r="F40" t="str">
            <v>One week</v>
          </cell>
          <cell r="J40" t="str">
            <v>Summon Ghost</v>
          </cell>
        </row>
        <row r="41">
          <cell r="B41" t="str">
            <v>Masquerade of Coquelicot Veils</v>
          </cell>
          <cell r="C41" t="str">
            <v>20m, 2wp</v>
          </cell>
          <cell r="E41" t="str">
            <v>Psyche</v>
          </cell>
          <cell r="F41" t="str">
            <v>(Essence) days</v>
          </cell>
          <cell r="J41" t="str">
            <v>Visions of the Bonfire</v>
          </cell>
        </row>
        <row r="42">
          <cell r="B42" t="str">
            <v>Warden of the Nepenthean Gardens</v>
          </cell>
          <cell r="C42" t="str">
            <v>25sm, 2wp</v>
          </cell>
          <cell r="E42" t="str">
            <v>None</v>
          </cell>
          <cell r="F42" t="str">
            <v>(Essence) hours</v>
          </cell>
          <cell r="J42" t="str">
            <v>Wrath of Ravenous Hunger</v>
          </cell>
        </row>
        <row r="43">
          <cell r="B43" t="str">
            <v>Benediction of Archgenesis</v>
          </cell>
          <cell r="C43" t="str">
            <v>Ritual, 3wp</v>
          </cell>
          <cell r="E43" t="str">
            <v>None</v>
          </cell>
          <cell r="F43" t="str">
            <v>Instant</v>
          </cell>
          <cell r="H43">
            <v>480</v>
          </cell>
          <cell r="J43" t="str">
            <v>Example Terr.</v>
          </cell>
        </row>
        <row r="44">
          <cell r="B44" t="str">
            <v>Death Ray</v>
          </cell>
          <cell r="C44" t="str">
            <v>25sm, 2wp</v>
          </cell>
          <cell r="E44" t="str">
            <v>Aggravated, Decisive-only, Perilous</v>
          </cell>
          <cell r="F44" t="str">
            <v>Instant or until ended</v>
          </cell>
          <cell r="H44">
            <v>481</v>
          </cell>
        </row>
        <row r="45">
          <cell r="B45" t="str">
            <v>Demon of the Third Circle</v>
          </cell>
          <cell r="C45" t="str">
            <v>Ritual, 4wp</v>
          </cell>
          <cell r="E45" t="str">
            <v>None</v>
          </cell>
          <cell r="F45" t="str">
            <v>Instant</v>
          </cell>
          <cell r="H45">
            <v>482</v>
          </cell>
        </row>
        <row r="46">
          <cell r="B46" t="str">
            <v>Rain of Doom</v>
          </cell>
          <cell r="C46" t="str">
            <v>40sm, 3wp</v>
          </cell>
          <cell r="E46" t="str">
            <v>Aggravated</v>
          </cell>
          <cell r="F46" t="str">
            <v>Until sunrise</v>
          </cell>
          <cell r="H46">
            <v>483</v>
          </cell>
        </row>
        <row r="47">
          <cell r="B47" t="str">
            <v>Abhorrence of Breath</v>
          </cell>
          <cell r="C47" t="str">
            <v>10nm, 1wp</v>
          </cell>
          <cell r="E47" t="str">
            <v>None</v>
          </cell>
          <cell r="F47" t="str">
            <v>One scene</v>
          </cell>
          <cell r="H47" t="str">
            <v>Aby 335</v>
          </cell>
        </row>
        <row r="48">
          <cell r="B48" t="str">
            <v>Blessed Dead Fools</v>
          </cell>
          <cell r="C48" t="str">
            <v>Ritual, 1wp</v>
          </cell>
          <cell r="E48" t="str">
            <v>None</v>
          </cell>
          <cell r="F48" t="str">
            <v>One night</v>
          </cell>
          <cell r="H48" t="str">
            <v>Aby 335</v>
          </cell>
        </row>
        <row r="49">
          <cell r="B49" t="str">
            <v>Blessure of Bloody Respite</v>
          </cell>
          <cell r="C49" t="str">
            <v>Ritual, 1wp</v>
          </cell>
          <cell r="E49" t="str">
            <v>None</v>
          </cell>
          <cell r="F49" t="str">
            <v>One week</v>
          </cell>
          <cell r="H49" t="str">
            <v>Aby 336</v>
          </cell>
        </row>
        <row r="50">
          <cell r="B50" t="str">
            <v>Bone Puppet Dance</v>
          </cell>
          <cell r="C50" t="str">
            <v>13nm, 1wp</v>
          </cell>
          <cell r="E50" t="str">
            <v>None</v>
          </cell>
          <cell r="F50" t="str">
            <v>Instant</v>
          </cell>
          <cell r="H50" t="str">
            <v>Aby 336</v>
          </cell>
        </row>
        <row r="51">
          <cell r="B51" t="str">
            <v>Curse of Creeping Calcification</v>
          </cell>
          <cell r="C51" t="str">
            <v>13nm, 1wp</v>
          </cell>
          <cell r="E51" t="str">
            <v>Decisive-only, Shaping (Body)</v>
          </cell>
          <cell r="F51" t="str">
            <v>One Week</v>
          </cell>
          <cell r="H51" t="str">
            <v>Aby 337</v>
          </cell>
        </row>
        <row r="52">
          <cell r="B52" t="str">
            <v>Door of the Dead</v>
          </cell>
          <cell r="C52" t="str">
            <v>Ritual, 1wp</v>
          </cell>
          <cell r="E52" t="str">
            <v>None</v>
          </cell>
          <cell r="F52" t="str">
            <v>Instant</v>
          </cell>
          <cell r="H52" t="str">
            <v>Aby 337</v>
          </cell>
        </row>
        <row r="53">
          <cell r="B53" t="str">
            <v>Field of Fell Dreams</v>
          </cell>
          <cell r="C53" t="str">
            <v>10nm, 1wp</v>
          </cell>
          <cell r="E53" t="str">
            <v>None</v>
          </cell>
          <cell r="F53" t="str">
            <v>Instant</v>
          </cell>
          <cell r="H53" t="str">
            <v>Aby 338</v>
          </cell>
        </row>
        <row r="54">
          <cell r="B54" t="str">
            <v>Flesh and Bone Winds</v>
          </cell>
          <cell r="C54" t="str">
            <v>10nm, 1wp</v>
          </cell>
          <cell r="E54" t="str">
            <v>Perilous</v>
          </cell>
          <cell r="F54" t="str">
            <v>One scene</v>
          </cell>
          <cell r="H54" t="str">
            <v>Aby 338</v>
          </cell>
        </row>
        <row r="55">
          <cell r="B55" t="str">
            <v>Flesh-Slouging Wave</v>
          </cell>
          <cell r="C55" t="str">
            <v>13nm, 1wp</v>
          </cell>
          <cell r="E55" t="str">
            <v>Decisive-only</v>
          </cell>
          <cell r="F55" t="str">
            <v>Instant</v>
          </cell>
          <cell r="H55" t="str">
            <v>Aby 339</v>
          </cell>
        </row>
        <row r="56">
          <cell r="B56" t="str">
            <v>Grotesque Masque of the Inevitable</v>
          </cell>
          <cell r="C56" t="str">
            <v>10nm, 1wp</v>
          </cell>
          <cell r="E56" t="str">
            <v>None</v>
          </cell>
          <cell r="F56" t="str">
            <v>One week</v>
          </cell>
          <cell r="H56" t="str">
            <v>Aby 339</v>
          </cell>
        </row>
        <row r="57">
          <cell r="B57" t="str">
            <v>Malediction of the Infested HEart</v>
          </cell>
          <cell r="C57" t="str">
            <v>13nm, 1wp</v>
          </cell>
          <cell r="E57" t="str">
            <v>Psyche</v>
          </cell>
          <cell r="F57" t="str">
            <v>Instant</v>
          </cell>
          <cell r="H57" t="str">
            <v>Aby 340</v>
          </cell>
        </row>
        <row r="58">
          <cell r="B58" t="str">
            <v>Raise the Skeletal Horde</v>
          </cell>
          <cell r="C58" t="str">
            <v>13nm, 2wp</v>
          </cell>
          <cell r="E58" t="str">
            <v>None</v>
          </cell>
          <cell r="F58" t="str">
            <v>Indefinite</v>
          </cell>
          <cell r="H58" t="str">
            <v>Aby 340</v>
          </cell>
        </row>
        <row r="59">
          <cell r="B59" t="str">
            <v>Seat of Deadly Splendor</v>
          </cell>
          <cell r="C59" t="str">
            <v>10nm, 1wp</v>
          </cell>
          <cell r="E59" t="str">
            <v>None</v>
          </cell>
          <cell r="F59" t="str">
            <v>Until the necromancer rises</v>
          </cell>
          <cell r="H59" t="str">
            <v>Aby 340</v>
          </cell>
        </row>
        <row r="60">
          <cell r="B60" t="str">
            <v>Summon Ghost</v>
          </cell>
          <cell r="C60" t="str">
            <v>Ritual, 2wp</v>
          </cell>
          <cell r="E60" t="str">
            <v>None</v>
          </cell>
          <cell r="F60" t="str">
            <v>Instant</v>
          </cell>
          <cell r="H60" t="str">
            <v>Aby 341</v>
          </cell>
        </row>
        <row r="61">
          <cell r="B61" t="str">
            <v>Visions of the Bonfire</v>
          </cell>
          <cell r="C61" t="str">
            <v>Ritual, 2wp</v>
          </cell>
          <cell r="E61" t="str">
            <v>None</v>
          </cell>
          <cell r="F61" t="str">
            <v>One scene</v>
          </cell>
          <cell r="H61" t="str">
            <v>Aby 341</v>
          </cell>
        </row>
        <row r="62">
          <cell r="B62" t="str">
            <v>Wrath of Ravenous Hunger</v>
          </cell>
          <cell r="C62" t="str">
            <v>13nm, 1wp</v>
          </cell>
          <cell r="E62" t="str">
            <v>Psyche</v>
          </cell>
          <cell r="F62" t="str">
            <v>One week</v>
          </cell>
          <cell r="H62" t="str">
            <v>Aby 342</v>
          </cell>
        </row>
        <row r="63">
          <cell r="B63" t="str">
            <v>Banished from the Sunlit Realm</v>
          </cell>
          <cell r="C63" t="str">
            <v>15nm, 2wp</v>
          </cell>
          <cell r="E63" t="str">
            <v>Shaping (Soul)</v>
          </cell>
          <cell r="F63" t="str">
            <v>Instant</v>
          </cell>
          <cell r="H63" t="str">
            <v>Aby 342</v>
          </cell>
        </row>
        <row r="64">
          <cell r="B64" t="str">
            <v>Caging the Broken Soul</v>
          </cell>
          <cell r="C64" t="str">
            <v>Ritual, 2wp</v>
          </cell>
          <cell r="E64" t="str">
            <v>Psyche</v>
          </cell>
          <cell r="F64" t="str">
            <v>Instant</v>
          </cell>
          <cell r="H64" t="str">
            <v>Aby 342</v>
          </cell>
        </row>
        <row r="65">
          <cell r="B65" t="str">
            <v>Corpse-Engine of Annihilation</v>
          </cell>
          <cell r="C65" t="str">
            <v>Ritual, 3wp</v>
          </cell>
          <cell r="E65" t="str">
            <v>None</v>
          </cell>
          <cell r="F65" t="str">
            <v>Indefinite</v>
          </cell>
          <cell r="H65" t="str">
            <v>Aby 343</v>
          </cell>
        </row>
        <row r="66">
          <cell r="B66" t="str">
            <v>Forest of Ivory Razors</v>
          </cell>
          <cell r="C66" t="str">
            <v>20nm, 2wp</v>
          </cell>
          <cell r="E66" t="str">
            <v>None</v>
          </cell>
          <cell r="F66" t="str">
            <v>One day</v>
          </cell>
          <cell r="H66" t="str">
            <v>Aby 344</v>
          </cell>
        </row>
        <row r="67">
          <cell r="B67" t="str">
            <v>Halls of Labyrinthine Horror</v>
          </cell>
          <cell r="C67" t="str">
            <v>20nm, 2wp</v>
          </cell>
          <cell r="E67" t="str">
            <v>Shaping (Terrain)</v>
          </cell>
          <cell r="F67" t="str">
            <v>One day</v>
          </cell>
          <cell r="H67" t="str">
            <v>Aby 345</v>
          </cell>
        </row>
        <row r="68">
          <cell r="B68" t="str">
            <v>Harrowing Scythe of Azet-Ithey</v>
          </cell>
          <cell r="C68" t="str">
            <v>20nm, 2wp</v>
          </cell>
          <cell r="E68" t="str">
            <v>Psyche</v>
          </cell>
          <cell r="F68" t="str">
            <v>Instant or One scene</v>
          </cell>
          <cell r="H68" t="str">
            <v>Aby 346</v>
          </cell>
        </row>
        <row r="69">
          <cell r="B69" t="str">
            <v>Haunting the Dying Breath</v>
          </cell>
          <cell r="C69" t="str">
            <v>Ritual, 2wp</v>
          </cell>
          <cell r="E69" t="str">
            <v>None</v>
          </cell>
          <cell r="F69" t="str">
            <v>One scene</v>
          </cell>
          <cell r="H69" t="str">
            <v>Aby 346</v>
          </cell>
        </row>
        <row r="70">
          <cell r="B70" t="str">
            <v>Hundred Shade Breath</v>
          </cell>
          <cell r="C70" t="str">
            <v>7nm, 1lhl, 2wp</v>
          </cell>
          <cell r="E70" t="str">
            <v>None</v>
          </cell>
          <cell r="F70" t="str">
            <v>One scene</v>
          </cell>
          <cell r="H70" t="str">
            <v>Aby 347</v>
          </cell>
        </row>
        <row r="71">
          <cell r="B71" t="str">
            <v>Jackal Who Feasts Upon Lies</v>
          </cell>
          <cell r="C71" t="str">
            <v>20nm, 1wp</v>
          </cell>
          <cell r="E71" t="str">
            <v>None</v>
          </cell>
          <cell r="F71" t="str">
            <v>Instant</v>
          </cell>
          <cell r="H71" t="str">
            <v>Aby 347</v>
          </cell>
        </row>
        <row r="72">
          <cell r="B72" t="str">
            <v>Mortification of the Hallowed Self</v>
          </cell>
          <cell r="C72" t="str">
            <v>15nm, 2wp</v>
          </cell>
          <cell r="E72" t="str">
            <v>None</v>
          </cell>
          <cell r="F72" t="str">
            <v>One day</v>
          </cell>
          <cell r="H72" t="str">
            <v>Aby 348</v>
          </cell>
        </row>
        <row r="73">
          <cell r="B73" t="str">
            <v>Slumber of the Wandering Shade</v>
          </cell>
          <cell r="C73" t="str">
            <v>20nm, 2wp</v>
          </cell>
          <cell r="E73" t="str">
            <v>None</v>
          </cell>
          <cell r="F73" t="str">
            <v>One scene</v>
          </cell>
          <cell r="H73" t="str">
            <v>Aby 348</v>
          </cell>
        </row>
        <row r="74">
          <cell r="B74" t="str">
            <v>Birth of Sanity's Sorrow</v>
          </cell>
          <cell r="C74" t="str">
            <v>30nm, 3wp</v>
          </cell>
          <cell r="E74" t="str">
            <v>None</v>
          </cell>
          <cell r="F74" t="str">
            <v>One scene</v>
          </cell>
          <cell r="H74" t="str">
            <v>Aby 350</v>
          </cell>
        </row>
        <row r="75">
          <cell r="B75" t="str">
            <v>Dolorous Mist of Domination</v>
          </cell>
          <cell r="C75" t="str">
            <v>Ritual, 3wp</v>
          </cell>
          <cell r="E75" t="str">
            <v>None</v>
          </cell>
          <cell r="F75" t="str">
            <v>Indefinite</v>
          </cell>
          <cell r="H75" t="str">
            <v>Aby 350</v>
          </cell>
        </row>
        <row r="76">
          <cell r="B76" t="str">
            <v>Drowning in the Endless Dark</v>
          </cell>
          <cell r="C76" t="str">
            <v>40nm, 3wp</v>
          </cell>
          <cell r="E76" t="str">
            <v>None</v>
          </cell>
          <cell r="F76" t="str">
            <v>One scene</v>
          </cell>
          <cell r="H76" t="str">
            <v>Aby 351</v>
          </cell>
        </row>
        <row r="77">
          <cell r="B77" t="str">
            <v>Invocation of the Hekatonkhires</v>
          </cell>
          <cell r="C77" t="str">
            <v>Ritual, 4wp</v>
          </cell>
          <cell r="E77" t="str">
            <v>None</v>
          </cell>
          <cell r="F77" t="str">
            <v>Instant</v>
          </cell>
          <cell r="H77" t="str">
            <v>Aby 352</v>
          </cell>
        </row>
        <row r="78">
          <cell r="B78" t="str">
            <v>Mouth of the Abyss</v>
          </cell>
          <cell r="C78" t="str">
            <v>40nm, 3wp</v>
          </cell>
          <cell r="E78" t="str">
            <v>None</v>
          </cell>
          <cell r="F78" t="str">
            <v>Instant</v>
          </cell>
          <cell r="H78" t="str">
            <v>Aby 353</v>
          </cell>
        </row>
        <row r="79">
          <cell r="B79" t="str">
            <v>Thus Ends All Flame</v>
          </cell>
          <cell r="C79" t="str">
            <v>33nm, 3wp</v>
          </cell>
          <cell r="E79" t="str">
            <v>None</v>
          </cell>
          <cell r="F79" t="str">
            <v>One week</v>
          </cell>
          <cell r="H79" t="str">
            <v>Aby 353</v>
          </cell>
        </row>
        <row r="103">
          <cell r="B103" t="str">
            <v>Example Terr.</v>
          </cell>
          <cell r="C103" t="str">
            <v>1m</v>
          </cell>
          <cell r="E103" t="str">
            <v>Mute</v>
          </cell>
          <cell r="F103" t="str">
            <v>Instant</v>
          </cell>
          <cell r="G103" t="str">
            <v>It does what it does</v>
          </cell>
          <cell r="H103">
            <v>334</v>
          </cell>
        </row>
        <row r="104">
          <cell r="B104" t="str">
            <v>Example Cel.</v>
          </cell>
          <cell r="C104" t="str">
            <v>2m</v>
          </cell>
          <cell r="E104" t="str">
            <v>Mute</v>
          </cell>
          <cell r="F104" t="str">
            <v>Instant</v>
          </cell>
          <cell r="G104" t="str">
            <v>It does what it does</v>
          </cell>
          <cell r="H104">
            <v>334</v>
          </cell>
        </row>
        <row r="105">
          <cell r="B105" t="str">
            <v>Example Sol.</v>
          </cell>
          <cell r="C105" t="str">
            <v>3m</v>
          </cell>
          <cell r="E105" t="str">
            <v>Mute</v>
          </cell>
          <cell r="F105" t="str">
            <v>Instant</v>
          </cell>
          <cell r="G105" t="str">
            <v>It does what it does</v>
          </cell>
          <cell r="H105">
            <v>334</v>
          </cell>
        </row>
      </sheetData>
      <sheetData sheetId="17"/>
      <sheetData sheetId="18">
        <row r="2">
          <cell r="A2" t="str">
            <v>The colors show Charm minimums.</v>
          </cell>
          <cell r="I2">
            <v>1</v>
          </cell>
          <cell r="J2">
            <v>1</v>
          </cell>
          <cell r="K2">
            <v>0</v>
          </cell>
        </row>
        <row r="3">
          <cell r="A3" t="str">
            <v>Ability in col. A, Essence in B</v>
          </cell>
          <cell r="I3">
            <v>2</v>
          </cell>
          <cell r="J3">
            <v>2</v>
          </cell>
          <cell r="K3">
            <v>0</v>
          </cell>
        </row>
        <row r="4">
          <cell r="A4" t="str">
            <v>Blue is 1, Red is 5</v>
          </cell>
          <cell r="I4">
            <v>3</v>
          </cell>
          <cell r="J4">
            <v>3</v>
          </cell>
          <cell r="K4">
            <v>0</v>
          </cell>
        </row>
        <row r="5">
          <cell r="A5" t="str">
            <v>They will disappear when you meet them.</v>
          </cell>
          <cell r="I5">
            <v>4</v>
          </cell>
          <cell r="J5">
            <v>4</v>
          </cell>
          <cell r="K5">
            <v>0</v>
          </cell>
        </row>
        <row r="6">
          <cell r="A6" t="str">
            <v>You may clear these cells when you wish.</v>
          </cell>
          <cell r="I6">
            <v>5</v>
          </cell>
          <cell r="J6">
            <v>5</v>
          </cell>
          <cell r="K6">
            <v>0</v>
          </cell>
        </row>
        <row r="7">
          <cell r="A7" t="str">
            <v/>
          </cell>
        </row>
        <row r="23">
          <cell r="A23" t="str">
            <v>Rain of Unseen Threads</v>
          </cell>
          <cell r="B23" t="str">
            <v>5m (1m)</v>
          </cell>
          <cell r="C23" t="str">
            <v>Reflexive</v>
          </cell>
          <cell r="D23" t="str">
            <v>Mute</v>
          </cell>
          <cell r="E23" t="str">
            <v>One scene</v>
          </cell>
          <cell r="H23" t="str">
            <v>Charcoal March of Spiders</v>
          </cell>
          <cell r="I23">
            <v>3</v>
          </cell>
          <cell r="J23">
            <v>3</v>
          </cell>
          <cell r="K23">
            <v>0</v>
          </cell>
          <cell r="L23" t="str">
            <v>None</v>
          </cell>
        </row>
        <row r="24">
          <cell r="A24" t="str">
            <v>Nest of Living Strands</v>
          </cell>
          <cell r="B24" t="str">
            <v>- (+1wp)</v>
          </cell>
          <cell r="C24" t="str">
            <v>Permanent</v>
          </cell>
          <cell r="D24" t="str">
            <v>Enlightenment</v>
          </cell>
          <cell r="E24" t="str">
            <v>Permanent</v>
          </cell>
          <cell r="H24" t="str">
            <v>Charcoal March of Spiders</v>
          </cell>
          <cell r="I24">
            <v>4</v>
          </cell>
          <cell r="J24">
            <v>3</v>
          </cell>
          <cell r="K24">
            <v>0</v>
          </cell>
          <cell r="L24" t="str">
            <v>Rain of Unseen Threads</v>
          </cell>
        </row>
        <row r="25">
          <cell r="A25" t="str">
            <v>Unnatural Many-Step Stride</v>
          </cell>
          <cell r="B25" t="str">
            <v>5m (+1wp)</v>
          </cell>
          <cell r="C25" t="str">
            <v>Reflexive</v>
          </cell>
          <cell r="D25" t="str">
            <v>Enlightenment, Mute, Perilous</v>
          </cell>
          <cell r="E25" t="str">
            <v>Until next turn</v>
          </cell>
          <cell r="H25" t="str">
            <v>Charcoal March of Spiders</v>
          </cell>
          <cell r="I25">
            <v>4</v>
          </cell>
          <cell r="J25">
            <v>3</v>
          </cell>
          <cell r="K25">
            <v>0</v>
          </cell>
          <cell r="L25" t="str">
            <v>Rain of Unseen Threads</v>
          </cell>
        </row>
        <row r="26">
          <cell r="A26" t="str">
            <v>Dance of the Hungry Spider</v>
          </cell>
          <cell r="B26" t="str">
            <v>5m, 1wp</v>
          </cell>
          <cell r="C26" t="str">
            <v>Reflexive</v>
          </cell>
          <cell r="D26" t="str">
            <v>Enlightenment, Uniform</v>
          </cell>
          <cell r="E26" t="str">
            <v>One scene</v>
          </cell>
          <cell r="H26" t="str">
            <v>Charcoal March of Spiders</v>
          </cell>
          <cell r="I26">
            <v>5</v>
          </cell>
          <cell r="J26">
            <v>3</v>
          </cell>
          <cell r="K26">
            <v>0</v>
          </cell>
          <cell r="L26" t="str">
            <v>Unnatural Many-Step Stride</v>
          </cell>
        </row>
        <row r="27">
          <cell r="A27" t="str">
            <v>Maw of Dripping Venom</v>
          </cell>
          <cell r="B27" t="str">
            <v>5m, 1wp</v>
          </cell>
          <cell r="C27" t="str">
            <v>Simple</v>
          </cell>
          <cell r="D27" t="str">
            <v>Decisive-only, Enlightenment</v>
          </cell>
          <cell r="E27" t="str">
            <v>Instant</v>
          </cell>
          <cell r="H27" t="str">
            <v>Charcoal March of Spiders</v>
          </cell>
          <cell r="I27">
            <v>5</v>
          </cell>
          <cell r="J27">
            <v>3</v>
          </cell>
          <cell r="K27">
            <v>0</v>
          </cell>
          <cell r="L27" t="str">
            <v>Rain of Unseen Threads</v>
          </cell>
        </row>
        <row r="28">
          <cell r="A28" t="str">
            <v>Charcoal March of Spiders Form</v>
          </cell>
          <cell r="B28" t="str">
            <v>10m</v>
          </cell>
          <cell r="C28" t="str">
            <v>Simple</v>
          </cell>
          <cell r="D28" t="str">
            <v>Form, Perilous</v>
          </cell>
          <cell r="E28" t="str">
            <v>One scene</v>
          </cell>
          <cell r="H28" t="str">
            <v>Charcoal March of Spiders</v>
          </cell>
          <cell r="I28">
            <v>5</v>
          </cell>
          <cell r="J28">
            <v>4</v>
          </cell>
          <cell r="K28">
            <v>0</v>
          </cell>
          <cell r="L28" t="str">
            <v>Dance of the Hungry Spider, Maw of Dripping Venom,</v>
          </cell>
        </row>
        <row r="29">
          <cell r="A29" t="str">
            <v>Cannibalistic Heritage Technique</v>
          </cell>
          <cell r="B29" t="str">
            <v>5m, 1wp</v>
          </cell>
          <cell r="C29" t="str">
            <v>Reflexive</v>
          </cell>
          <cell r="D29" t="str">
            <v>Clash, Decisive-only</v>
          </cell>
          <cell r="E29" t="str">
            <v>Instant</v>
          </cell>
          <cell r="H29" t="str">
            <v>Charcoal March of Spiders</v>
          </cell>
          <cell r="I29">
            <v>5</v>
          </cell>
          <cell r="J29">
            <v>4</v>
          </cell>
          <cell r="K29">
            <v>0</v>
          </cell>
          <cell r="L29" t="str">
            <v>Charcoal March of Spiders Form</v>
          </cell>
        </row>
        <row r="30">
          <cell r="A30" t="str">
            <v>Jumping Spider Strike</v>
          </cell>
          <cell r="B30" t="str">
            <v>15m, 1wp</v>
          </cell>
          <cell r="C30" t="str">
            <v>Simple</v>
          </cell>
          <cell r="D30" t="str">
            <v>Decisive-only, Enlightenment</v>
          </cell>
          <cell r="E30" t="str">
            <v>Instant</v>
          </cell>
          <cell r="H30" t="str">
            <v>Charcoal March of Spiders</v>
          </cell>
          <cell r="I30">
            <v>5</v>
          </cell>
          <cell r="J30">
            <v>4</v>
          </cell>
          <cell r="K30">
            <v>0</v>
          </cell>
          <cell r="L30" t="str">
            <v>Charcoal March of Spiders Form</v>
          </cell>
        </row>
        <row r="31">
          <cell r="A31" t="str">
            <v>Thumbnail Spider March</v>
          </cell>
          <cell r="B31" t="str">
            <v>15m, 1wp (+1wp)</v>
          </cell>
          <cell r="C31" t="str">
            <v>Simple</v>
          </cell>
          <cell r="D31" t="str">
            <v>Decisive-only, Enlightenment</v>
          </cell>
          <cell r="E31" t="str">
            <v>Instant</v>
          </cell>
          <cell r="H31" t="str">
            <v>Charcoal March of Spiders</v>
          </cell>
          <cell r="I31">
            <v>5</v>
          </cell>
          <cell r="J31">
            <v>4</v>
          </cell>
          <cell r="K31">
            <v>0</v>
          </cell>
          <cell r="L31" t="str">
            <v>Jumping Spider Strike</v>
          </cell>
        </row>
        <row r="32">
          <cell r="A32" t="str">
            <v>Water Spider Bite</v>
          </cell>
          <cell r="B32" t="str">
            <v>- (+5m)</v>
          </cell>
          <cell r="C32" t="str">
            <v>Permanent</v>
          </cell>
          <cell r="D32" t="str">
            <v>Enlightenment, Shaping (Soul)</v>
          </cell>
          <cell r="E32" t="str">
            <v>Permanent</v>
          </cell>
          <cell r="H32" t="str">
            <v>Charcoal March of Spiders</v>
          </cell>
          <cell r="I32">
            <v>5</v>
          </cell>
          <cell r="J32">
            <v>4</v>
          </cell>
          <cell r="K32">
            <v>0</v>
          </cell>
          <cell r="L32" t="str">
            <v>Charcoal March of Spiders Form</v>
          </cell>
        </row>
        <row r="33">
          <cell r="A33" t="str">
            <v>Pattern Spider Touch</v>
          </cell>
          <cell r="B33" t="str">
            <v>10m, 1wp</v>
          </cell>
          <cell r="C33" t="str">
            <v>Simple</v>
          </cell>
          <cell r="D33" t="str">
            <v>Decisive-only, Psyche, Shaping (Body, Fate, Mind)</v>
          </cell>
          <cell r="E33" t="str">
            <v>Instant</v>
          </cell>
          <cell r="H33" t="str">
            <v>Charcoal March of Spiders</v>
          </cell>
          <cell r="I33">
            <v>5</v>
          </cell>
          <cell r="J33">
            <v>4</v>
          </cell>
          <cell r="K33">
            <v>0</v>
          </cell>
          <cell r="L33" t="str">
            <v>Cannibalistic Heritage Technique, Jumping Spider</v>
          </cell>
        </row>
        <row r="34">
          <cell r="A34" t="str">
            <v>Grandmother Spider Mastery</v>
          </cell>
          <cell r="B34" t="str">
            <v>- (+15m, 1wp)</v>
          </cell>
          <cell r="C34" t="str">
            <v>Permanent</v>
          </cell>
          <cell r="D34" t="str">
            <v>Enlightenment</v>
          </cell>
          <cell r="E34" t="str">
            <v>Permanent</v>
          </cell>
          <cell r="H34" t="str">
            <v>Citrine Pox of Contagion</v>
          </cell>
          <cell r="I34">
            <v>5</v>
          </cell>
          <cell r="J34">
            <v>5</v>
          </cell>
          <cell r="K34">
            <v>0</v>
          </cell>
          <cell r="L34" t="str">
            <v>Pattern Spider Touch</v>
          </cell>
        </row>
        <row r="35">
          <cell r="A35" t="str">
            <v>Perfect Reconstruction Method</v>
          </cell>
          <cell r="B35" t="str">
            <v>5m, 1wp</v>
          </cell>
          <cell r="C35" t="str">
            <v>Simple</v>
          </cell>
          <cell r="D35" t="str">
            <v>Decisive-only, Enlightenment</v>
          </cell>
          <cell r="E35" t="str">
            <v>Instant</v>
          </cell>
          <cell r="H35" t="str">
            <v>Citrine Pox of Contagion</v>
          </cell>
          <cell r="I35">
            <v>3</v>
          </cell>
          <cell r="J35">
            <v>3</v>
          </cell>
          <cell r="K35">
            <v>0</v>
          </cell>
          <cell r="L35" t="str">
            <v>None</v>
          </cell>
        </row>
        <row r="36">
          <cell r="A36" t="str">
            <v>Spirit-and-Body Purification Touch</v>
          </cell>
          <cell r="B36" t="str">
            <v>- (Varies)</v>
          </cell>
          <cell r="C36" t="str">
            <v>Permanent</v>
          </cell>
          <cell r="D36" t="str">
            <v>None</v>
          </cell>
          <cell r="E36" t="str">
            <v>Permanent</v>
          </cell>
          <cell r="H36" t="str">
            <v>Citrine Pox of Contagion</v>
          </cell>
          <cell r="I36">
            <v>5</v>
          </cell>
          <cell r="J36">
            <v>3</v>
          </cell>
          <cell r="K36">
            <v>0</v>
          </cell>
          <cell r="L36" t="str">
            <v>Perfect Reconstruction Method</v>
          </cell>
        </row>
        <row r="37">
          <cell r="A37" t="str">
            <v>Feverish Essence Infection</v>
          </cell>
          <cell r="B37" t="str">
            <v>10m, 1wp</v>
          </cell>
          <cell r="C37" t="str">
            <v>Simple</v>
          </cell>
          <cell r="D37" t="str">
            <v>Decisive-only, Enlightenment</v>
          </cell>
          <cell r="E37" t="str">
            <v>Instant</v>
          </cell>
          <cell r="H37" t="str">
            <v>Citrine Pox of Contagion</v>
          </cell>
          <cell r="I37">
            <v>3</v>
          </cell>
          <cell r="J37">
            <v>3</v>
          </cell>
          <cell r="K37">
            <v>0</v>
          </cell>
          <cell r="L37" t="str">
            <v>None</v>
          </cell>
        </row>
        <row r="38">
          <cell r="A38" t="str">
            <v>Spiritual Decay</v>
          </cell>
          <cell r="B38" t="str">
            <v>-</v>
          </cell>
          <cell r="C38" t="str">
            <v>Permanent</v>
          </cell>
          <cell r="D38" t="str">
            <v>Enlightenment, Uniform</v>
          </cell>
          <cell r="E38" t="str">
            <v>Permanent</v>
          </cell>
          <cell r="H38" t="str">
            <v>Citrine Pox of Contagion</v>
          </cell>
          <cell r="I38">
            <v>4</v>
          </cell>
          <cell r="J38">
            <v>3</v>
          </cell>
          <cell r="K38">
            <v>0</v>
          </cell>
          <cell r="L38" t="str">
            <v>Feverish Essence Infection</v>
          </cell>
        </row>
        <row r="39">
          <cell r="A39" t="str">
            <v>Citrine Poxes of Contagion Form</v>
          </cell>
          <cell r="B39" t="str">
            <v>20m, 1wp</v>
          </cell>
          <cell r="C39" t="str">
            <v>Simple</v>
          </cell>
          <cell r="D39" t="str">
            <v>Form, Withering-only</v>
          </cell>
          <cell r="E39" t="str">
            <v>One scene</v>
          </cell>
          <cell r="H39" t="str">
            <v>Citrine Pox of Contagion</v>
          </cell>
          <cell r="I39">
            <v>5</v>
          </cell>
          <cell r="J39">
            <v>4</v>
          </cell>
          <cell r="K39">
            <v>0</v>
          </cell>
          <cell r="L39" t="str">
            <v>Spirit-and-Body Purification Touch, Spiritual Decay</v>
          </cell>
        </row>
        <row r="40">
          <cell r="A40" t="str">
            <v>Gentle Touch of the Wicked Hand</v>
          </cell>
          <cell r="B40" t="str">
            <v>10m, 1wp</v>
          </cell>
          <cell r="C40" t="str">
            <v>Simple</v>
          </cell>
          <cell r="D40" t="str">
            <v>Decisive-only, Enlightenment</v>
          </cell>
          <cell r="E40" t="str">
            <v>Instant</v>
          </cell>
          <cell r="H40" t="str">
            <v>Citrine Pox of Contagion</v>
          </cell>
          <cell r="I40">
            <v>5</v>
          </cell>
          <cell r="J40">
            <v>4</v>
          </cell>
          <cell r="K40">
            <v>0</v>
          </cell>
          <cell r="L40" t="str">
            <v>Citrine Poxes of Contagion Form</v>
          </cell>
        </row>
        <row r="41">
          <cell r="A41" t="str">
            <v>Spiritual Perfection</v>
          </cell>
          <cell r="B41" t="str">
            <v>10m, 1wp</v>
          </cell>
          <cell r="C41" t="str">
            <v>Reflexive</v>
          </cell>
          <cell r="D41" t="str">
            <v>Clash, Enlightenment</v>
          </cell>
          <cell r="E41" t="str">
            <v>Instant</v>
          </cell>
          <cell r="H41" t="str">
            <v>Citrine Pox of Contagion</v>
          </cell>
          <cell r="I41">
            <v>5</v>
          </cell>
          <cell r="J41">
            <v>4</v>
          </cell>
          <cell r="K41">
            <v>0</v>
          </cell>
          <cell r="L41" t="str">
            <v>Citrine Poxes of Contagion Form</v>
          </cell>
        </row>
        <row r="42">
          <cell r="A42" t="str">
            <v>Glorious Citrine Protection</v>
          </cell>
          <cell r="B42" t="str">
            <v>3m, 1wp</v>
          </cell>
          <cell r="C42" t="str">
            <v>Reflexive</v>
          </cell>
          <cell r="D42" t="str">
            <v>Uniform</v>
          </cell>
          <cell r="E42" t="str">
            <v>Instant</v>
          </cell>
          <cell r="H42" t="str">
            <v>Citrine Pox of Contagion</v>
          </cell>
          <cell r="I42">
            <v>5</v>
          </cell>
          <cell r="J42">
            <v>4</v>
          </cell>
          <cell r="K42">
            <v>0</v>
          </cell>
          <cell r="L42" t="str">
            <v>Spiritual Perfection</v>
          </cell>
        </row>
        <row r="43">
          <cell r="A43" t="str">
            <v>Inner Dragon Unbinding</v>
          </cell>
          <cell r="B43" t="str">
            <v>15m, 1wp</v>
          </cell>
          <cell r="C43" t="str">
            <v>Simple</v>
          </cell>
          <cell r="D43" t="str">
            <v>Enlightenment, Perilous</v>
          </cell>
          <cell r="E43" t="str">
            <v>Instant</v>
          </cell>
          <cell r="H43" t="str">
            <v>Citrine Pox of Contagion</v>
          </cell>
          <cell r="I43">
            <v>5</v>
          </cell>
          <cell r="J43">
            <v>4</v>
          </cell>
          <cell r="K43">
            <v>0</v>
          </cell>
          <cell r="L43" t="str">
            <v>Spiritual Perfection</v>
          </cell>
        </row>
        <row r="44">
          <cell r="A44" t="str">
            <v>Flare of Invulnerability</v>
          </cell>
          <cell r="B44" t="str">
            <v>5m</v>
          </cell>
          <cell r="C44" t="str">
            <v>Reflexive</v>
          </cell>
          <cell r="D44" t="str">
            <v>Dual, Perilous</v>
          </cell>
          <cell r="E44" t="str">
            <v>One scene</v>
          </cell>
          <cell r="H44" t="str">
            <v>Citrine Pox of Contagion</v>
          </cell>
          <cell r="I44">
            <v>5</v>
          </cell>
          <cell r="J44">
            <v>5</v>
          </cell>
          <cell r="K44">
            <v>0</v>
          </cell>
          <cell r="L44" t="str">
            <v>Glorious Citrine Protection</v>
          </cell>
        </row>
        <row r="45">
          <cell r="A45" t="str">
            <v>Essence-Shattering Typhoon</v>
          </cell>
          <cell r="B45" t="str">
            <v>20m, 1wp</v>
          </cell>
          <cell r="C45" t="str">
            <v>Simple</v>
          </cell>
          <cell r="D45" t="str">
            <v>Aggravated, Enlightenment, Perilous</v>
          </cell>
          <cell r="E45" t="str">
            <v>Indefinite</v>
          </cell>
          <cell r="H45" t="str">
            <v>Citrine Pox of Contagion</v>
          </cell>
          <cell r="I45">
            <v>5</v>
          </cell>
          <cell r="J45">
            <v>5</v>
          </cell>
          <cell r="K45">
            <v>0</v>
          </cell>
          <cell r="L45" t="str">
            <v>Flare of Invulnerability, Gentle Touch of the Wicked</v>
          </cell>
        </row>
        <row r="46">
          <cell r="A46" t="str">
            <v>Futures Best Avoided</v>
          </cell>
          <cell r="B46" t="str">
            <v>5m, 2i, 1wp</v>
          </cell>
          <cell r="C46" t="str">
            <v>Reflexive</v>
          </cell>
          <cell r="D46" t="str">
            <v>Clash, Perilous</v>
          </cell>
          <cell r="E46" t="str">
            <v>Instant</v>
          </cell>
          <cell r="H46" t="str">
            <v>Emerald Gyre of Aeons</v>
          </cell>
          <cell r="I46">
            <v>3</v>
          </cell>
          <cell r="J46">
            <v>3</v>
          </cell>
          <cell r="K46">
            <v>0</v>
          </cell>
          <cell r="L46" t="str">
            <v>None</v>
          </cell>
        </row>
        <row r="47">
          <cell r="A47" t="str">
            <v>Striking Through Eternity</v>
          </cell>
          <cell r="B47" t="str">
            <v>15m, 1wp</v>
          </cell>
          <cell r="C47" t="str">
            <v>Simple</v>
          </cell>
          <cell r="D47" t="str">
            <v>Uniform</v>
          </cell>
          <cell r="E47" t="str">
            <v>Instant</v>
          </cell>
          <cell r="H47" t="str">
            <v>Emerald Gyre of Aeons</v>
          </cell>
          <cell r="I47">
            <v>5</v>
          </cell>
          <cell r="J47">
            <v>3</v>
          </cell>
          <cell r="K47">
            <v>0</v>
          </cell>
          <cell r="L47" t="str">
            <v>Futures Best Avoided</v>
          </cell>
        </row>
        <row r="48">
          <cell r="A48" t="str">
            <v>Then Is Now</v>
          </cell>
          <cell r="B48" t="str">
            <v>10m, 1wp</v>
          </cell>
          <cell r="C48" t="str">
            <v>Simple</v>
          </cell>
          <cell r="D48" t="str">
            <v>Enlightenment, Shaping (Object)</v>
          </cell>
          <cell r="E48" t="str">
            <v>Instant</v>
          </cell>
          <cell r="H48" t="str">
            <v>Emerald Gyre of Aeons</v>
          </cell>
          <cell r="I48">
            <v>3</v>
          </cell>
          <cell r="J48">
            <v>3</v>
          </cell>
          <cell r="K48">
            <v>0</v>
          </cell>
          <cell r="L48" t="str">
            <v>None</v>
          </cell>
        </row>
        <row r="49">
          <cell r="A49" t="str">
            <v>The Perpetual Moment</v>
          </cell>
          <cell r="B49" t="str">
            <v>15m, 1wp</v>
          </cell>
          <cell r="C49" t="str">
            <v>Simple</v>
          </cell>
          <cell r="D49" t="str">
            <v>Decisive-only, Enlightenment</v>
          </cell>
          <cell r="E49" t="str">
            <v>Instant</v>
          </cell>
          <cell r="H49" t="str">
            <v>Emerald Gyre of Aeons</v>
          </cell>
          <cell r="I49">
            <v>5</v>
          </cell>
          <cell r="J49">
            <v>3</v>
          </cell>
          <cell r="K49">
            <v>0</v>
          </cell>
          <cell r="L49" t="str">
            <v>Then Is Now</v>
          </cell>
        </row>
        <row r="50">
          <cell r="A50" t="str">
            <v>Emerald Gyre of Aeons Form</v>
          </cell>
          <cell r="B50" t="str">
            <v>15m, 1wp</v>
          </cell>
          <cell r="C50" t="str">
            <v>Simple</v>
          </cell>
          <cell r="D50" t="str">
            <v>Dual, Form</v>
          </cell>
          <cell r="E50" t="str">
            <v>One scene</v>
          </cell>
          <cell r="H50" t="str">
            <v>Emerald Gyre of Aeons</v>
          </cell>
          <cell r="I50">
            <v>5</v>
          </cell>
          <cell r="J50">
            <v>4</v>
          </cell>
          <cell r="K50">
            <v>0</v>
          </cell>
          <cell r="L50" t="str">
            <v>Striking Through Eternity, The Perpetual Moment</v>
          </cell>
        </row>
        <row r="51">
          <cell r="A51" t="str">
            <v>Battered by Eternity’s Tides</v>
          </cell>
          <cell r="B51" t="str">
            <v>10m, 1wp</v>
          </cell>
          <cell r="C51" t="str">
            <v>Simple</v>
          </cell>
          <cell r="D51" t="str">
            <v>Dual, Enlightenment</v>
          </cell>
          <cell r="E51" t="str">
            <v>Instant</v>
          </cell>
          <cell r="H51" t="str">
            <v>Emerald Gyre of Aeons</v>
          </cell>
          <cell r="I51">
            <v>5</v>
          </cell>
          <cell r="J51">
            <v>4</v>
          </cell>
          <cell r="K51">
            <v>0</v>
          </cell>
          <cell r="L51" t="str">
            <v>Emerald Gyre of Aeons Form</v>
          </cell>
        </row>
        <row r="52">
          <cell r="A52" t="str">
            <v>Doomed to Repeat</v>
          </cell>
          <cell r="B52" t="str">
            <v>5m, 5i, 1wp</v>
          </cell>
          <cell r="C52" t="str">
            <v>Reflexive</v>
          </cell>
          <cell r="D52" t="str">
            <v>Counterattack, Perilous</v>
          </cell>
          <cell r="E52" t="str">
            <v>Instant</v>
          </cell>
          <cell r="H52" t="str">
            <v>Emerald Gyre of Aeons</v>
          </cell>
          <cell r="I52">
            <v>5</v>
          </cell>
          <cell r="J52">
            <v>4</v>
          </cell>
          <cell r="K52">
            <v>0</v>
          </cell>
          <cell r="L52" t="str">
            <v>Emerald Gyre of Aeons Form</v>
          </cell>
        </row>
        <row r="53">
          <cell r="A53" t="str">
            <v>Lotus Labyrinth Durance</v>
          </cell>
          <cell r="B53" t="str">
            <v>8m, 1wp</v>
          </cell>
          <cell r="C53" t="str">
            <v>Simple</v>
          </cell>
          <cell r="D53" t="str">
            <v>Decisive-only, Enlightenment, Psyche</v>
          </cell>
          <cell r="E53" t="str">
            <v>Instant</v>
          </cell>
          <cell r="H53" t="str">
            <v>Emerald Gyre of Aeons</v>
          </cell>
          <cell r="I53">
            <v>5</v>
          </cell>
          <cell r="J53">
            <v>4</v>
          </cell>
          <cell r="K53">
            <v>0</v>
          </cell>
          <cell r="L53" t="str">
            <v>Doomed to Repeat</v>
          </cell>
        </row>
        <row r="54">
          <cell r="A54" t="str">
            <v>Histories Yet Unwritten</v>
          </cell>
          <cell r="B54" t="str">
            <v>5m per Charm, 1wp</v>
          </cell>
          <cell r="C54" t="str">
            <v>Simple</v>
          </cell>
          <cell r="D54" t="str">
            <v>Enlightenment</v>
          </cell>
          <cell r="E54" t="str">
            <v>Indefinite</v>
          </cell>
          <cell r="H54" t="str">
            <v>Emerald Gyre of Aeons</v>
          </cell>
          <cell r="I54">
            <v>5</v>
          </cell>
          <cell r="J54">
            <v>4</v>
          </cell>
          <cell r="K54">
            <v>0</v>
          </cell>
          <cell r="L54" t="str">
            <v>Lotus Labyrinth Durance</v>
          </cell>
        </row>
        <row r="55">
          <cell r="A55" t="str">
            <v>The Unwinding Gyre</v>
          </cell>
          <cell r="B55" t="str">
            <v>10m, 3i, 1wp</v>
          </cell>
          <cell r="C55" t="str">
            <v>Reflexive</v>
          </cell>
          <cell r="D55" t="str">
            <v>Enlightenment, Perilous, Uniform</v>
          </cell>
          <cell r="E55" t="str">
            <v>Instant</v>
          </cell>
          <cell r="H55" t="str">
            <v>Emerald Gyre of Aeons</v>
          </cell>
          <cell r="I55">
            <v>5</v>
          </cell>
          <cell r="J55">
            <v>4</v>
          </cell>
          <cell r="K55">
            <v>0</v>
          </cell>
          <cell r="L55" t="str">
            <v>Lotus Labyrinth Durance</v>
          </cell>
        </row>
        <row r="56">
          <cell r="A56" t="str">
            <v>Today Is Tomorrow</v>
          </cell>
          <cell r="B56" t="str">
            <v>5m, 1i, 1wp</v>
          </cell>
          <cell r="C56" t="str">
            <v>Reflexive</v>
          </cell>
          <cell r="D56" t="str">
            <v>Enlightenment, Perilous, Uniform</v>
          </cell>
          <cell r="E56" t="str">
            <v>Until next turn</v>
          </cell>
          <cell r="H56" t="str">
            <v>Emerald Gyre of Aeons</v>
          </cell>
          <cell r="I56">
            <v>5</v>
          </cell>
          <cell r="J56">
            <v>5</v>
          </cell>
          <cell r="K56">
            <v>0</v>
          </cell>
          <cell r="L56" t="str">
            <v>Histories Yet Unwritten, The Unwinding Gyre</v>
          </cell>
        </row>
        <row r="57">
          <cell r="A57" t="str">
            <v>The Moment That Is Murder</v>
          </cell>
          <cell r="B57" t="str">
            <v>30m, 10i, 1wp</v>
          </cell>
          <cell r="C57" t="str">
            <v>Simple</v>
          </cell>
          <cell r="D57" t="str">
            <v>Decisive-only</v>
          </cell>
          <cell r="E57" t="str">
            <v>Instant</v>
          </cell>
          <cell r="H57" t="str">
            <v>Emerald Gyre of Aeons</v>
          </cell>
          <cell r="I57">
            <v>5</v>
          </cell>
          <cell r="J57">
            <v>5</v>
          </cell>
          <cell r="K57">
            <v>0</v>
          </cell>
          <cell r="L57" t="str">
            <v>Battered by Eternity’s Tides, Today Is Tomorrow</v>
          </cell>
        </row>
        <row r="58">
          <cell r="A58" t="str">
            <v>Ripple in the Silvered Glass</v>
          </cell>
          <cell r="B58" t="str">
            <v>5m, 1wp</v>
          </cell>
          <cell r="C58" t="str">
            <v>Reflexive</v>
          </cell>
          <cell r="D58" t="str">
            <v>Decisive-only, Enlightenment</v>
          </cell>
          <cell r="E58" t="str">
            <v>Instant</v>
          </cell>
          <cell r="H58" t="str">
            <v>Obsidian Shards of Infinity</v>
          </cell>
          <cell r="I58">
            <v>3</v>
          </cell>
          <cell r="J58">
            <v>3</v>
          </cell>
          <cell r="K58">
            <v>0</v>
          </cell>
          <cell r="L58" t="str">
            <v>None</v>
          </cell>
        </row>
        <row r="59">
          <cell r="A59" t="str">
            <v>A Likeness of Absence</v>
          </cell>
          <cell r="B59" t="str">
            <v>10m, 1wp</v>
          </cell>
          <cell r="C59" t="str">
            <v>Reflexive</v>
          </cell>
          <cell r="D59" t="str">
            <v>Decisive-only, Enlightenment, Mute, Perilous</v>
          </cell>
          <cell r="E59" t="str">
            <v>Instant</v>
          </cell>
          <cell r="H59" t="str">
            <v>Obsidian Shards of Infinity</v>
          </cell>
          <cell r="I59">
            <v>4</v>
          </cell>
          <cell r="J59">
            <v>3</v>
          </cell>
          <cell r="K59">
            <v>0</v>
          </cell>
          <cell r="L59" t="str">
            <v>Ripple in the Silvered Glass</v>
          </cell>
        </row>
        <row r="60">
          <cell r="A60" t="str">
            <v>Black Shards Fall Like Ice</v>
          </cell>
          <cell r="B60" t="str">
            <v>15m, 1wp</v>
          </cell>
          <cell r="C60" t="str">
            <v>Simple</v>
          </cell>
          <cell r="D60" t="str">
            <v>Decisive-only, Enlightenment</v>
          </cell>
          <cell r="E60" t="str">
            <v>Instant</v>
          </cell>
          <cell r="H60" t="str">
            <v>Obsidian Shards of Infinity</v>
          </cell>
          <cell r="I60">
            <v>5</v>
          </cell>
          <cell r="J60">
            <v>3</v>
          </cell>
          <cell r="K60">
            <v>0</v>
          </cell>
          <cell r="L60" t="str">
            <v>A Likeness of Absence</v>
          </cell>
        </row>
        <row r="61">
          <cell r="A61" t="str">
            <v>Vanished Within the Glass</v>
          </cell>
          <cell r="B61" t="str">
            <v>5m, 1wp</v>
          </cell>
          <cell r="C61" t="str">
            <v>Simple</v>
          </cell>
          <cell r="D61" t="str">
            <v>Decisive-only</v>
          </cell>
          <cell r="E61" t="str">
            <v>Until the grapple is released</v>
          </cell>
          <cell r="H61" t="str">
            <v>Obsidian Shards of Infinity</v>
          </cell>
          <cell r="I61">
            <v>4</v>
          </cell>
          <cell r="J61">
            <v>3</v>
          </cell>
          <cell r="K61">
            <v>0</v>
          </cell>
          <cell r="L61" t="str">
            <v>Ripple in the Silvered Glass</v>
          </cell>
        </row>
        <row r="62">
          <cell r="A62" t="str">
            <v>Obsidian Shards of Infinity Form</v>
          </cell>
          <cell r="B62" t="str">
            <v>25m, 1wp</v>
          </cell>
          <cell r="C62" t="str">
            <v>Simple</v>
          </cell>
          <cell r="D62" t="str">
            <v>Clash, Dual, Form, Mute</v>
          </cell>
          <cell r="E62" t="str">
            <v>One scene</v>
          </cell>
          <cell r="H62" t="str">
            <v>Obsidian Shards of Infinity</v>
          </cell>
          <cell r="I62">
            <v>5</v>
          </cell>
          <cell r="J62">
            <v>4</v>
          </cell>
          <cell r="K62">
            <v>0</v>
          </cell>
          <cell r="L62" t="str">
            <v>Black Shards Fall Like Ice, Vanished Within the Glass</v>
          </cell>
        </row>
        <row r="63">
          <cell r="A63" t="str">
            <v>Shattered Self Duality</v>
          </cell>
          <cell r="B63" t="str">
            <v>15m, 1wp</v>
          </cell>
          <cell r="C63" t="str">
            <v>Simple</v>
          </cell>
          <cell r="D63" t="str">
            <v>None</v>
          </cell>
          <cell r="E63" t="str">
            <v>One scene</v>
          </cell>
          <cell r="H63" t="str">
            <v>Obsidian Shards of Infinity</v>
          </cell>
          <cell r="I63">
            <v>5</v>
          </cell>
          <cell r="J63">
            <v>4</v>
          </cell>
          <cell r="K63">
            <v>0</v>
          </cell>
          <cell r="L63" t="str">
            <v>Glimpse of Infinity</v>
          </cell>
        </row>
        <row r="64">
          <cell r="A64" t="str">
            <v>Draw Forth Every Shard</v>
          </cell>
          <cell r="B64" t="str">
            <v>- (+5m)</v>
          </cell>
          <cell r="C64" t="str">
            <v>Permanent</v>
          </cell>
          <cell r="D64" t="str">
            <v>Dual, Perilous</v>
          </cell>
          <cell r="E64" t="str">
            <v>Permanent</v>
          </cell>
          <cell r="H64" t="str">
            <v>Obsidian Shards of Infinity</v>
          </cell>
          <cell r="I64">
            <v>5</v>
          </cell>
          <cell r="J64">
            <v>5</v>
          </cell>
          <cell r="K64">
            <v>0</v>
          </cell>
          <cell r="L64" t="str">
            <v>Shattered Self Duality</v>
          </cell>
        </row>
        <row r="65">
          <cell r="A65" t="str">
            <v>Splintered Ego Nemesis</v>
          </cell>
          <cell r="B65" t="str">
            <v>15m, 1wp</v>
          </cell>
          <cell r="C65" t="str">
            <v>Simple</v>
          </cell>
          <cell r="D65" t="str">
            <v>Decisive-only, Enlightenment</v>
          </cell>
          <cell r="E65" t="str">
            <v>One scene</v>
          </cell>
          <cell r="H65" t="str">
            <v>Obsidian Shards of Infinity</v>
          </cell>
          <cell r="I65">
            <v>5</v>
          </cell>
          <cell r="J65">
            <v>5</v>
          </cell>
          <cell r="K65">
            <v>0</v>
          </cell>
          <cell r="L65" t="str">
            <v>Shattered Self Duality</v>
          </cell>
        </row>
        <row r="66">
          <cell r="A66" t="str">
            <v>Breathing on the Black Mirror</v>
          </cell>
          <cell r="B66" t="str">
            <v>20m, 2wp</v>
          </cell>
          <cell r="C66" t="str">
            <v>Simple</v>
          </cell>
          <cell r="D66" t="str">
            <v>Perilous</v>
          </cell>
          <cell r="E66" t="str">
            <v>Instant</v>
          </cell>
          <cell r="H66" t="str">
            <v>Obsidian Shards of Infinity</v>
          </cell>
          <cell r="I66">
            <v>5</v>
          </cell>
          <cell r="J66">
            <v>5</v>
          </cell>
          <cell r="K66">
            <v>0</v>
          </cell>
          <cell r="L66" t="str">
            <v>Echoes of Infinity</v>
          </cell>
        </row>
        <row r="67">
          <cell r="A67" t="str">
            <v>Deadly Starmetal Offensive</v>
          </cell>
          <cell r="B67" t="str">
            <v>5m</v>
          </cell>
          <cell r="C67" t="str">
            <v>Supplemental</v>
          </cell>
          <cell r="D67" t="str">
            <v>Uniform</v>
          </cell>
          <cell r="E67" t="str">
            <v>Instant</v>
          </cell>
          <cell r="H67" t="str">
            <v>Prismatic Arrangement of Creation</v>
          </cell>
          <cell r="I67">
            <v>3</v>
          </cell>
          <cell r="J67">
            <v>3</v>
          </cell>
          <cell r="K67">
            <v>0</v>
          </cell>
          <cell r="L67" t="str">
            <v>None</v>
          </cell>
        </row>
        <row r="68">
          <cell r="A68" t="str">
            <v>Five Jade Fury</v>
          </cell>
          <cell r="B68" t="str">
            <v>4m</v>
          </cell>
          <cell r="C68" t="str">
            <v>Supplemental</v>
          </cell>
          <cell r="D68" t="str">
            <v>Dual, Stackable</v>
          </cell>
          <cell r="E68" t="str">
            <v>Instant</v>
          </cell>
          <cell r="H68" t="str">
            <v>Prismatic Arrangement of Creation</v>
          </cell>
          <cell r="I68">
            <v>3</v>
          </cell>
          <cell r="J68">
            <v>3</v>
          </cell>
          <cell r="K68">
            <v>0</v>
          </cell>
          <cell r="L68" t="str">
            <v>None</v>
          </cell>
        </row>
        <row r="69">
          <cell r="A69" t="str">
            <v>Orichalcum Sheathing Stance</v>
          </cell>
          <cell r="B69" t="str">
            <v>5m, 3i</v>
          </cell>
          <cell r="C69" t="str">
            <v>Reflexive</v>
          </cell>
          <cell r="D69" t="str">
            <v>Dual, Perilous</v>
          </cell>
          <cell r="E69" t="str">
            <v>Instant</v>
          </cell>
          <cell r="H69" t="str">
            <v>Prismatic Arrangement of Creation</v>
          </cell>
          <cell r="I69">
            <v>3</v>
          </cell>
          <cell r="J69">
            <v>3</v>
          </cell>
          <cell r="K69">
            <v>0</v>
          </cell>
          <cell r="L69" t="str">
            <v>None</v>
          </cell>
        </row>
        <row r="70">
          <cell r="A70" t="str">
            <v>Flickering Moonsilver Approach</v>
          </cell>
          <cell r="B70" t="str">
            <v>5m, 1wp</v>
          </cell>
          <cell r="C70" t="str">
            <v>Simple</v>
          </cell>
          <cell r="D70" t="str">
            <v>Uniform</v>
          </cell>
          <cell r="E70" t="str">
            <v>Instant</v>
          </cell>
          <cell r="H70" t="str">
            <v>Prismatic Arrangement of Creation</v>
          </cell>
          <cell r="I70">
            <v>3</v>
          </cell>
          <cell r="J70">
            <v>3</v>
          </cell>
          <cell r="K70">
            <v>0</v>
          </cell>
          <cell r="L70" t="str">
            <v>None</v>
          </cell>
        </row>
        <row r="71">
          <cell r="A71" t="str">
            <v>Astrology Interruption Method</v>
          </cell>
          <cell r="B71" t="str">
            <v>1m, 1wp</v>
          </cell>
          <cell r="C71" t="str">
            <v>Reflexive</v>
          </cell>
          <cell r="D71" t="str">
            <v>None</v>
          </cell>
          <cell r="E71" t="str">
            <v>Instant</v>
          </cell>
          <cell r="H71" t="str">
            <v>Prismatic Arrangement of Creation</v>
          </cell>
          <cell r="I71">
            <v>3</v>
          </cell>
          <cell r="J71">
            <v>3</v>
          </cell>
          <cell r="K71">
            <v>0</v>
          </cell>
          <cell r="L71" t="str">
            <v>None</v>
          </cell>
        </row>
        <row r="72">
          <cell r="A72" t="str">
            <v>Sequential Essence Disruption</v>
          </cell>
          <cell r="B72" t="str">
            <v>1m, 1wp</v>
          </cell>
          <cell r="C72" t="str">
            <v>Supplemental</v>
          </cell>
          <cell r="D72" t="str">
            <v>Decisive-only</v>
          </cell>
          <cell r="E72" t="str">
            <v>Instant</v>
          </cell>
          <cell r="H72" t="str">
            <v>Prismatic Arrangement of Creation</v>
          </cell>
          <cell r="I72">
            <v>5</v>
          </cell>
          <cell r="J72">
            <v>3</v>
          </cell>
          <cell r="K72">
            <v>0</v>
          </cell>
          <cell r="L72" t="str">
            <v>Astrology Interruption Method</v>
          </cell>
        </row>
        <row r="73">
          <cell r="A73" t="str">
            <v>Essence Redirection Technique</v>
          </cell>
          <cell r="B73" t="str">
            <v>2m, 1wp</v>
          </cell>
          <cell r="C73" t="str">
            <v>Reflexive</v>
          </cell>
          <cell r="D73" t="str">
            <v>Enlightenment, Perilous, Uniform</v>
          </cell>
          <cell r="E73" t="str">
            <v>Instant</v>
          </cell>
          <cell r="H73" t="str">
            <v>Prismatic Arrangement of Creation</v>
          </cell>
          <cell r="I73">
            <v>5</v>
          </cell>
          <cell r="J73">
            <v>3</v>
          </cell>
          <cell r="K73">
            <v>0</v>
          </cell>
          <cell r="L73" t="str">
            <v>Sequential Essence Disruption</v>
          </cell>
        </row>
        <row r="74">
          <cell r="A74" t="str">
            <v>Spell-Shattering Palm</v>
          </cell>
          <cell r="B74" t="str">
            <v>5m (+0-3wp)</v>
          </cell>
          <cell r="C74" t="str">
            <v>Reflexive</v>
          </cell>
          <cell r="D74" t="str">
            <v>Clash, Decisive-only, Enlightenment</v>
          </cell>
          <cell r="E74" t="str">
            <v>Instant</v>
          </cell>
          <cell r="H74" t="str">
            <v>Prismatic Arrangement of Creation</v>
          </cell>
          <cell r="I74">
            <v>5</v>
          </cell>
          <cell r="J74">
            <v>3</v>
          </cell>
          <cell r="K74">
            <v>0</v>
          </cell>
          <cell r="L74" t="str">
            <v>Sequential Essence Disruption</v>
          </cell>
        </row>
        <row r="75">
          <cell r="A75" t="str">
            <v>Demesne Emulation Practice</v>
          </cell>
          <cell r="B75" t="str">
            <v>- (2m or 4m)</v>
          </cell>
          <cell r="C75" t="str">
            <v>Permanent</v>
          </cell>
          <cell r="D75" t="str">
            <v>None</v>
          </cell>
          <cell r="E75" t="str">
            <v>Permanent</v>
          </cell>
          <cell r="H75" t="str">
            <v>Prismatic Arrangement of Creation</v>
          </cell>
          <cell r="I75">
            <v>3</v>
          </cell>
          <cell r="J75">
            <v>3</v>
          </cell>
          <cell r="K75">
            <v>0</v>
          </cell>
          <cell r="L75" t="str">
            <v>None</v>
          </cell>
        </row>
        <row r="76">
          <cell r="A76" t="str">
            <v>Ways of Exaltation</v>
          </cell>
          <cell r="B76" t="str">
            <v>5m, 1wp</v>
          </cell>
          <cell r="C76" t="str">
            <v>Simple</v>
          </cell>
          <cell r="D76" t="str">
            <v>Enlightenment</v>
          </cell>
          <cell r="E76" t="str">
            <v>Indefinite</v>
          </cell>
          <cell r="H76" t="str">
            <v>Prismatic Arrangement of Creation</v>
          </cell>
          <cell r="I76">
            <v>3</v>
          </cell>
          <cell r="J76">
            <v>3</v>
          </cell>
          <cell r="K76">
            <v>0</v>
          </cell>
          <cell r="L76" t="str">
            <v>None</v>
          </cell>
        </row>
        <row r="77">
          <cell r="A77" t="str">
            <v>God Ways</v>
          </cell>
          <cell r="B77" t="str">
            <v>15m, 1wp</v>
          </cell>
          <cell r="C77" t="str">
            <v>Simple</v>
          </cell>
          <cell r="D77" t="str">
            <v>Enlightenment, Psyche</v>
          </cell>
          <cell r="E77" t="str">
            <v>(Essence) turns</v>
          </cell>
          <cell r="H77" t="str">
            <v>Prismatic Arrangement of Creation</v>
          </cell>
          <cell r="I77">
            <v>5</v>
          </cell>
          <cell r="J77">
            <v>3</v>
          </cell>
          <cell r="K77">
            <v>0</v>
          </cell>
          <cell r="L77" t="str">
            <v>Ways of Exaltation</v>
          </cell>
        </row>
        <row r="78">
          <cell r="A78" t="str">
            <v>Four Magical Materials Form</v>
          </cell>
          <cell r="B78" t="str">
            <v>10m, 1wp</v>
          </cell>
          <cell r="C78" t="str">
            <v>Simple</v>
          </cell>
          <cell r="D78" t="str">
            <v>Enlightenment, Form</v>
          </cell>
          <cell r="E78" t="str">
            <v>One scene</v>
          </cell>
          <cell r="H78" t="str">
            <v>Prismatic Arrangement of Creation</v>
          </cell>
          <cell r="I78">
            <v>5</v>
          </cell>
          <cell r="J78">
            <v>4</v>
          </cell>
          <cell r="K78">
            <v>0</v>
          </cell>
          <cell r="L78" t="str">
            <v>Deadly Starmetal Offensive, Five Jade Fury, Flickering</v>
          </cell>
        </row>
        <row r="79">
          <cell r="A79" t="str">
            <v>Soul-Fire Shaper Form</v>
          </cell>
          <cell r="B79" t="str">
            <v>10m, 1wp</v>
          </cell>
          <cell r="C79" t="str">
            <v>Simple</v>
          </cell>
          <cell r="D79" t="str">
            <v>Enlightenment, Form</v>
          </cell>
          <cell r="E79" t="str">
            <v>One scene</v>
          </cell>
          <cell r="H79" t="str">
            <v>Prismatic Arrangement of Creation</v>
          </cell>
          <cell r="I79">
            <v>5</v>
          </cell>
          <cell r="J79">
            <v>4</v>
          </cell>
          <cell r="K79">
            <v>0</v>
          </cell>
          <cell r="L79" t="str">
            <v>Essence Redirection Technique, Spell-Shattering Palm</v>
          </cell>
        </row>
        <row r="80">
          <cell r="A80" t="str">
            <v>Demesne-and-Manse Form</v>
          </cell>
          <cell r="B80" t="str">
            <v>10m, 1wp</v>
          </cell>
          <cell r="C80" t="str">
            <v>Simple</v>
          </cell>
          <cell r="D80" t="str">
            <v>Aggravated, Dual, Enlightenment, Form</v>
          </cell>
          <cell r="E80" t="str">
            <v>One scene</v>
          </cell>
          <cell r="H80" t="str">
            <v>Prismatic Arrangement of Creation</v>
          </cell>
          <cell r="I80">
            <v>5</v>
          </cell>
          <cell r="J80">
            <v>4</v>
          </cell>
          <cell r="K80">
            <v>0</v>
          </cell>
          <cell r="L80" t="str">
            <v>Demesne Emulation Practice</v>
          </cell>
        </row>
        <row r="81">
          <cell r="A81" t="str">
            <v>Games of Divinity Form</v>
          </cell>
          <cell r="B81" t="str">
            <v>10m, 1wp</v>
          </cell>
          <cell r="C81" t="str">
            <v>Simple</v>
          </cell>
          <cell r="D81" t="str">
            <v>Form</v>
          </cell>
          <cell r="E81" t="str">
            <v>One scene</v>
          </cell>
          <cell r="H81" t="str">
            <v>Prismatic Arrangement of Creation</v>
          </cell>
          <cell r="I81">
            <v>5</v>
          </cell>
          <cell r="J81">
            <v>4</v>
          </cell>
          <cell r="K81">
            <v>0</v>
          </cell>
          <cell r="L81" t="str">
            <v>God Ways</v>
          </cell>
        </row>
        <row r="82">
          <cell r="A82" t="str">
            <v>Prismatic Arrangement of Creation Form</v>
          </cell>
          <cell r="B82" t="str">
            <v>30m, 2wp</v>
          </cell>
          <cell r="C82" t="str">
            <v>Simple</v>
          </cell>
          <cell r="D82" t="str">
            <v>Form</v>
          </cell>
          <cell r="E82" t="str">
            <v>One scene</v>
          </cell>
          <cell r="H82" t="str">
            <v>Prismatic Arrangement of Creation</v>
          </cell>
          <cell r="I82">
            <v>5</v>
          </cell>
          <cell r="J82">
            <v>5</v>
          </cell>
          <cell r="K82">
            <v>0</v>
          </cell>
          <cell r="L82" t="str">
            <v>Demesne-and-Manse Form, Four Magical Materials</v>
          </cell>
        </row>
        <row r="83">
          <cell r="A83" t="str">
            <v>Four Magical Materials Form</v>
          </cell>
          <cell r="B83" t="str">
            <v>12m</v>
          </cell>
          <cell r="C83" t="str">
            <v>Simple</v>
          </cell>
          <cell r="D83" t="str">
            <v>Form</v>
          </cell>
          <cell r="E83" t="str">
            <v>One Scene</v>
          </cell>
          <cell r="H83" t="str">
            <v>Prism. Arrange. of Creation (HB)</v>
          </cell>
          <cell r="J83">
            <v>1</v>
          </cell>
        </row>
        <row r="84">
          <cell r="A84" t="str">
            <v>Manse and Demesne Form</v>
          </cell>
          <cell r="B84" t="str">
            <v>12m</v>
          </cell>
          <cell r="C84" t="str">
            <v>Simple</v>
          </cell>
          <cell r="D84" t="str">
            <v>Form</v>
          </cell>
          <cell r="E84" t="str">
            <v>One Scene</v>
          </cell>
          <cell r="H84" t="str">
            <v>Prism. Arrange. of Creation (HB)</v>
          </cell>
          <cell r="J84">
            <v>1</v>
          </cell>
        </row>
        <row r="85">
          <cell r="A85" t="str">
            <v>Soul Fire Shaper Form</v>
          </cell>
          <cell r="B85" t="str">
            <v>12m</v>
          </cell>
          <cell r="C85" t="str">
            <v>Simple</v>
          </cell>
          <cell r="D85" t="str">
            <v>Form</v>
          </cell>
          <cell r="E85" t="str">
            <v>One Scene</v>
          </cell>
          <cell r="H85" t="str">
            <v>Prism. Arrange. of Creation (HB)</v>
          </cell>
          <cell r="J85">
            <v>1</v>
          </cell>
        </row>
        <row r="86">
          <cell r="A86" t="str">
            <v>Exaltation Ways Form</v>
          </cell>
          <cell r="B86" t="str">
            <v>12m</v>
          </cell>
          <cell r="C86" t="str">
            <v>Simple</v>
          </cell>
          <cell r="D86" t="str">
            <v>Form</v>
          </cell>
          <cell r="E86" t="str">
            <v>One Scene</v>
          </cell>
          <cell r="H86" t="str">
            <v>Prism. Arrange. of Creation (HB)</v>
          </cell>
          <cell r="J86">
            <v>1</v>
          </cell>
        </row>
        <row r="87">
          <cell r="A87" t="str">
            <v>Prismatic Arrangement of Creation Form</v>
          </cell>
          <cell r="B87" t="str">
            <v>18m</v>
          </cell>
          <cell r="C87" t="str">
            <v>Simple</v>
          </cell>
          <cell r="D87" t="str">
            <v>Form</v>
          </cell>
          <cell r="E87" t="str">
            <v>One Scene</v>
          </cell>
          <cell r="H87" t="str">
            <v>Prism. Arrange. of Creation (HB)</v>
          </cell>
          <cell r="J87">
            <v>3</v>
          </cell>
        </row>
        <row r="88">
          <cell r="A88" t="str">
            <v>Dance of the Hungry Spider (First Leg)</v>
          </cell>
          <cell r="B88" t="str">
            <v>3m</v>
          </cell>
          <cell r="C88" t="str">
            <v>Reflexive</v>
          </cell>
          <cell r="D88" t="str">
            <v>Decisive-only</v>
          </cell>
          <cell r="E88" t="str">
            <v>Instant</v>
          </cell>
          <cell r="H88" t="str">
            <v>Charcoal March of Spiders (HB)</v>
          </cell>
          <cell r="J88">
            <v>1</v>
          </cell>
        </row>
        <row r="89">
          <cell r="A89" t="str">
            <v>Nest of Living Strands (Second Leg)</v>
          </cell>
          <cell r="B89" t="str">
            <v>7m, 1wp, 1i per target</v>
          </cell>
          <cell r="C89" t="str">
            <v>Simple</v>
          </cell>
          <cell r="D89" t="str">
            <v>Decisive-only</v>
          </cell>
          <cell r="E89" t="str">
            <v>Instant</v>
          </cell>
          <cell r="H89" t="str">
            <v>Charcoal March of Spiders (HB)</v>
          </cell>
          <cell r="J89">
            <v>1</v>
          </cell>
        </row>
        <row r="90">
          <cell r="A90" t="str">
            <v>Maw of Dripping Venom (Third Leg)</v>
          </cell>
          <cell r="B90" t="str">
            <v>5m</v>
          </cell>
          <cell r="C90" t="str">
            <v>Supplemental</v>
          </cell>
          <cell r="D90" t="str">
            <v>Decisive-only</v>
          </cell>
          <cell r="E90" t="str">
            <v>Instant</v>
          </cell>
          <cell r="H90" t="str">
            <v>Charcoal March of Spiders (HB)</v>
          </cell>
          <cell r="J90">
            <v>2</v>
          </cell>
        </row>
        <row r="91">
          <cell r="A91" t="str">
            <v>Thumbnail Spider March (Fourth Leg)</v>
          </cell>
          <cell r="B91" t="str">
            <v>7m, 1wp</v>
          </cell>
          <cell r="C91" t="str">
            <v>Simple</v>
          </cell>
          <cell r="D91" t="str">
            <v>Decisive-only</v>
          </cell>
          <cell r="E91" t="str">
            <v>Instant</v>
          </cell>
          <cell r="H91" t="str">
            <v>Charcoal March of Spiders (HB)</v>
          </cell>
          <cell r="J91">
            <v>2</v>
          </cell>
        </row>
        <row r="92">
          <cell r="A92" t="str">
            <v>Jumping Spider Strike (Fifth Leg)</v>
          </cell>
          <cell r="B92" t="str">
            <v>7m</v>
          </cell>
          <cell r="C92" t="str">
            <v>Simple</v>
          </cell>
          <cell r="D92" t="str">
            <v>Decisive-only</v>
          </cell>
          <cell r="E92" t="str">
            <v>Instant</v>
          </cell>
          <cell r="H92" t="str">
            <v>Charcoal March of Spiders (HB)</v>
          </cell>
          <cell r="J92">
            <v>3</v>
          </cell>
        </row>
        <row r="93">
          <cell r="A93" t="str">
            <v>Pattern Spider Touch (Sixth Leg)</v>
          </cell>
          <cell r="B93" t="str">
            <v>7m, 7i</v>
          </cell>
          <cell r="C93" t="str">
            <v>Simple</v>
          </cell>
          <cell r="D93" t="str">
            <v>Decisive-only</v>
          </cell>
          <cell r="E93" t="str">
            <v>Instant</v>
          </cell>
          <cell r="H93" t="str">
            <v>Charcoal March of Spiders (HB)</v>
          </cell>
          <cell r="J93">
            <v>4</v>
          </cell>
        </row>
        <row r="94">
          <cell r="A94" t="str">
            <v>Satisfying Idle Fantasy</v>
          </cell>
          <cell r="B94" t="str">
            <v>3m, 2i</v>
          </cell>
          <cell r="C94" t="str">
            <v>Supplemental</v>
          </cell>
          <cell r="D94" t="str">
            <v>Dual</v>
          </cell>
          <cell r="E94" t="str">
            <v>Instant</v>
          </cell>
          <cell r="H94" t="str">
            <v>Sapphire Veil of Passion (HB)</v>
          </cell>
          <cell r="J94">
            <v>1</v>
          </cell>
        </row>
        <row r="95">
          <cell r="A95" t="str">
            <v>Sapphire Veil of Passion Form</v>
          </cell>
          <cell r="B95" t="str">
            <v>8m</v>
          </cell>
          <cell r="C95" t="str">
            <v>Simple</v>
          </cell>
          <cell r="D95" t="str">
            <v>Form</v>
          </cell>
          <cell r="E95" t="str">
            <v>One Scene</v>
          </cell>
          <cell r="H95" t="str">
            <v>Sapphire Veil of Passion (HB)</v>
          </cell>
          <cell r="J95">
            <v>2</v>
          </cell>
        </row>
        <row r="96">
          <cell r="A96" t="str">
            <v>Yellow Dragon Flight</v>
          </cell>
          <cell r="B96" t="str">
            <v>(1wp)</v>
          </cell>
          <cell r="C96" t="str">
            <v>Reflexive</v>
          </cell>
          <cell r="D96" t="str">
            <v>Dual</v>
          </cell>
          <cell r="E96" t="str">
            <v>Permanent</v>
          </cell>
          <cell r="H96" t="str">
            <v>Sapphire Veil of Passion (HB)</v>
          </cell>
          <cell r="J96">
            <v>3</v>
          </cell>
        </row>
        <row r="97">
          <cell r="A97" t="str">
            <v>Black Dragon Coils</v>
          </cell>
          <cell r="B97" t="str">
            <v>2m</v>
          </cell>
          <cell r="C97" t="str">
            <v>Reflexive</v>
          </cell>
          <cell r="D97" t="str">
            <v>Perilous</v>
          </cell>
          <cell r="E97" t="str">
            <v>Instant</v>
          </cell>
          <cell r="H97" t="str">
            <v>Sapphire Veil of Passion (HB)</v>
          </cell>
          <cell r="J97">
            <v>3</v>
          </cell>
        </row>
        <row r="98">
          <cell r="A98" t="str">
            <v>Thousand Desires Ribbon</v>
          </cell>
          <cell r="B98" t="str">
            <v>(1wp)</v>
          </cell>
          <cell r="C98" t="str">
            <v>Permanent</v>
          </cell>
          <cell r="D98" t="str">
            <v>None</v>
          </cell>
          <cell r="E98" t="str">
            <v>Permanent</v>
          </cell>
          <cell r="H98" t="str">
            <v>Sapphire Veil of Passion (HB)</v>
          </cell>
          <cell r="J98">
            <v>4</v>
          </cell>
        </row>
        <row r="99">
          <cell r="A99" t="str">
            <v>Ripple in Silver Glass</v>
          </cell>
          <cell r="B99" t="str">
            <v>4m</v>
          </cell>
          <cell r="C99" t="str">
            <v>Simple</v>
          </cell>
          <cell r="D99" t="str">
            <v>None</v>
          </cell>
          <cell r="E99" t="str">
            <v>One Scene</v>
          </cell>
          <cell r="H99" t="str">
            <v>Obsidian Shards of Infinity (HB)</v>
          </cell>
          <cell r="J99">
            <v>1</v>
          </cell>
        </row>
        <row r="100">
          <cell r="A100" t="str">
            <v>Shatter the Balance</v>
          </cell>
          <cell r="B100" t="str">
            <v>1m, 1wp</v>
          </cell>
          <cell r="C100" t="str">
            <v>Reflexive</v>
          </cell>
          <cell r="D100" t="str">
            <v>None</v>
          </cell>
          <cell r="E100" t="str">
            <v>One Scene</v>
          </cell>
          <cell r="H100" t="str">
            <v>Obsidian Shards of Infinity (HB)</v>
          </cell>
          <cell r="J100">
            <v>2</v>
          </cell>
        </row>
        <row r="101">
          <cell r="A101" t="str">
            <v>Obsidian Shards of Infinity Form</v>
          </cell>
          <cell r="B101" t="str">
            <v>10m</v>
          </cell>
          <cell r="C101" t="str">
            <v>Simple</v>
          </cell>
          <cell r="D101" t="str">
            <v>Form</v>
          </cell>
          <cell r="E101" t="str">
            <v>One Scene</v>
          </cell>
          <cell r="H101" t="str">
            <v>Obsidian Shards of Infinity (HB)</v>
          </cell>
          <cell r="J101">
            <v>3</v>
          </cell>
        </row>
        <row r="102">
          <cell r="A102" t="str">
            <v>Draw Forth The Shard</v>
          </cell>
          <cell r="B102" t="str">
            <v>6m</v>
          </cell>
          <cell r="C102" t="str">
            <v>Simple</v>
          </cell>
          <cell r="D102" t="str">
            <v>Perilous</v>
          </cell>
          <cell r="E102" t="str">
            <v>One Scene</v>
          </cell>
          <cell r="H102" t="str">
            <v>Obsidian Shards of Infinity (HB)</v>
          </cell>
          <cell r="J102">
            <v>4</v>
          </cell>
        </row>
        <row r="103">
          <cell r="A103" t="str">
            <v>Echoes of Infinity</v>
          </cell>
          <cell r="B103" t="str">
            <v>12m, 1wp</v>
          </cell>
          <cell r="C103" t="str">
            <v>Simple</v>
          </cell>
          <cell r="D103" t="str">
            <v>None</v>
          </cell>
          <cell r="E103" t="str">
            <v>One Scene</v>
          </cell>
          <cell r="H103" t="str">
            <v>Obsidian Shards of Infinity (HB)</v>
          </cell>
          <cell r="J103">
            <v>5</v>
          </cell>
        </row>
        <row r="1096">
          <cell r="A1096" t="str">
            <v>Serpentine Evasion</v>
          </cell>
          <cell r="B1096" t="str">
            <v>2m</v>
          </cell>
          <cell r="C1096" t="str">
            <v>Reflexive</v>
          </cell>
          <cell r="D1096" t="str">
            <v>Mastery, Uniform</v>
          </cell>
          <cell r="E1096" t="str">
            <v>Instant</v>
          </cell>
          <cell r="F1096" t="str">
            <v>+1 Evasion; can be activated after attack if you have higher Initiative.</v>
          </cell>
          <cell r="G1096">
            <v>427</v>
          </cell>
          <cell r="H1096" t="str">
            <v>Snake</v>
          </cell>
          <cell r="I1096">
            <v>2</v>
          </cell>
          <cell r="J1096">
            <v>1</v>
          </cell>
          <cell r="L1096" t="str">
            <v/>
          </cell>
        </row>
        <row r="1097">
          <cell r="A1097" t="str">
            <v>Striking Cobra Technique</v>
          </cell>
          <cell r="B1097" t="str">
            <v>3m</v>
          </cell>
          <cell r="C1097" t="str">
            <v>Supplemental</v>
          </cell>
          <cell r="D1097" t="str">
            <v>Dual, Mastery</v>
          </cell>
          <cell r="E1097" t="str">
            <v>Instant</v>
          </cell>
          <cell r="F1097" t="str">
            <v>Bonus damage against slower enemies. Extra bonus damage if they're crashed.</v>
          </cell>
          <cell r="G1097">
            <v>427</v>
          </cell>
          <cell r="H1097" t="str">
            <v>Snake</v>
          </cell>
          <cell r="I1097">
            <v>3</v>
          </cell>
          <cell r="J1097">
            <v>1</v>
          </cell>
          <cell r="L1097" t="str">
            <v/>
          </cell>
        </row>
        <row r="1098">
          <cell r="A1098" t="str">
            <v>Snake Form</v>
          </cell>
          <cell r="B1098" t="str">
            <v>8m</v>
          </cell>
          <cell r="C1098" t="str">
            <v>Simple</v>
          </cell>
          <cell r="D1098" t="str">
            <v>Form</v>
          </cell>
          <cell r="E1098" t="str">
            <v>Scene</v>
          </cell>
          <cell r="F1098" t="str">
            <v>Form: attacks on you take -1 die, or -3 if your Initiative is higher. Bonus soak.</v>
          </cell>
          <cell r="G1098">
            <v>427</v>
          </cell>
          <cell r="H1098" t="str">
            <v>Snake</v>
          </cell>
          <cell r="I1098">
            <v>4</v>
          </cell>
          <cell r="J1098">
            <v>1</v>
          </cell>
          <cell r="L1098" t="str">
            <v>Serpentine Evasion, Striking Cobra Technique</v>
          </cell>
        </row>
        <row r="1099">
          <cell r="A1099" t="str">
            <v>Armor-Penetrating Fang Strike</v>
          </cell>
          <cell r="B1099" t="str">
            <v>5m, 1wp</v>
          </cell>
          <cell r="C1099" t="str">
            <v>Supplemental</v>
          </cell>
          <cell r="D1099" t="str">
            <v>Dual, Terrestrial</v>
          </cell>
          <cell r="E1099" t="str">
            <v>Instant</v>
          </cell>
          <cell r="F1099" t="str">
            <v>Ignore armor soak or some hardness.</v>
          </cell>
          <cell r="G1099">
            <v>428</v>
          </cell>
          <cell r="H1099" t="str">
            <v>Snake</v>
          </cell>
          <cell r="I1099">
            <v>5</v>
          </cell>
          <cell r="J1099">
            <v>2</v>
          </cell>
          <cell r="L1099" t="str">
            <v>Snake Form</v>
          </cell>
        </row>
        <row r="1100">
          <cell r="A1100" t="str">
            <v>Crippling Pressure-Point Strike</v>
          </cell>
          <cell r="B1100" t="str">
            <v>3m</v>
          </cell>
          <cell r="C1100" t="str">
            <v>Simple</v>
          </cell>
          <cell r="D1100" t="str">
            <v>Decisive-only, Terrestrial</v>
          </cell>
          <cell r="E1100" t="str">
            <v>Instant</v>
          </cell>
          <cell r="F1100" t="str">
            <v>Perform gambits to blind or paralyze your enemy.</v>
          </cell>
          <cell r="G1100">
            <v>428</v>
          </cell>
          <cell r="H1100" t="str">
            <v>Snake</v>
          </cell>
          <cell r="I1100">
            <v>4</v>
          </cell>
          <cell r="J1100">
            <v>2</v>
          </cell>
          <cell r="L1100" t="str">
            <v>Snake Form</v>
          </cell>
        </row>
        <row r="1101">
          <cell r="A1101" t="str">
            <v>Essence Fangs and Scales Technique</v>
          </cell>
          <cell r="B1101" t="str">
            <v>- (+1m, 1wp)</v>
          </cell>
          <cell r="C1101" t="str">
            <v>Permanent</v>
          </cell>
          <cell r="D1101" t="str">
            <v>Mastery</v>
          </cell>
          <cell r="E1101" t="str">
            <v>Permanent</v>
          </cell>
          <cell r="F1101" t="str">
            <v>Upgrade Snake Form to give extra soak and Withering damage (and Decisive damage, with Mastery).</v>
          </cell>
          <cell r="G1101">
            <v>429</v>
          </cell>
          <cell r="H1101" t="str">
            <v>Snake</v>
          </cell>
          <cell r="I1101">
            <v>4</v>
          </cell>
          <cell r="J1101">
            <v>2</v>
          </cell>
          <cell r="L1101" t="str">
            <v>Snake Form</v>
          </cell>
        </row>
        <row r="1102">
          <cell r="A1102" t="str">
            <v>Uncoiling Serpent Prana</v>
          </cell>
          <cell r="B1102" t="str">
            <v>7m, 3i</v>
          </cell>
          <cell r="C1102" t="str">
            <v>Simple</v>
          </cell>
          <cell r="D1102" t="str">
            <v>Terrestrial, Uniform</v>
          </cell>
          <cell r="E1102" t="str">
            <v>Instant</v>
          </cell>
          <cell r="F1102" t="str">
            <v>Drag an enemy from Medium to Close range.</v>
          </cell>
          <cell r="G1102">
            <v>429</v>
          </cell>
          <cell r="H1102" t="str">
            <v>Snake</v>
          </cell>
          <cell r="I1102">
            <v>4</v>
          </cell>
          <cell r="J1102">
            <v>3</v>
          </cell>
          <cell r="L1102" t="str">
            <v>Essence Fangs and Scales Technique</v>
          </cell>
        </row>
        <row r="1103">
          <cell r="A1103" t="str">
            <v>Snake Strikes the Heel</v>
          </cell>
          <cell r="B1103" t="str">
            <v>2m, 1wp</v>
          </cell>
          <cell r="C1103" t="str">
            <v>Reflexive</v>
          </cell>
          <cell r="D1103" t="str">
            <v>Clash, Dual, Terrestrial</v>
          </cell>
          <cell r="E1103" t="str">
            <v>Instant</v>
          </cell>
          <cell r="F1103" t="str">
            <v>Reflexively Clash with an enemy.</v>
          </cell>
          <cell r="G1103">
            <v>429</v>
          </cell>
          <cell r="H1103" t="str">
            <v>Snake</v>
          </cell>
          <cell r="I1103">
            <v>4</v>
          </cell>
          <cell r="J1103">
            <v>2</v>
          </cell>
          <cell r="L1103" t="str">
            <v>Snake Form</v>
          </cell>
        </row>
        <row r="1104">
          <cell r="A1104" t="str">
            <v>Countless Coils Evasion</v>
          </cell>
          <cell r="B1104" t="str">
            <v>7m, 1wp</v>
          </cell>
          <cell r="C1104" t="str">
            <v>Reflexive</v>
          </cell>
          <cell r="D1104" t="str">
            <v>Decisive-only, Perilous, Terrestrial</v>
          </cell>
          <cell r="E1104" t="str">
            <v>Instant</v>
          </cell>
          <cell r="F1104" t="str">
            <v>Use your Initiative to cancel damage from a Decisive attack.</v>
          </cell>
          <cell r="G1104">
            <v>429</v>
          </cell>
          <cell r="H1104" t="str">
            <v>Snake</v>
          </cell>
          <cell r="I1104">
            <v>5</v>
          </cell>
          <cell r="J1104">
            <v>3</v>
          </cell>
          <cell r="L1104" t="str">
            <v>Snake Strikes the Heel</v>
          </cell>
        </row>
        <row r="1105">
          <cell r="A1105" t="str">
            <v>Essence Venom Strike</v>
          </cell>
          <cell r="B1105" t="str">
            <v>6m, 3i, 1wp</v>
          </cell>
          <cell r="C1105" t="str">
            <v>Simple</v>
          </cell>
          <cell r="D1105" t="str">
            <v>Aggravated, Decisive-only, Mastery, Terrestrial</v>
          </cell>
          <cell r="E1105" t="str">
            <v>Instant</v>
          </cell>
          <cell r="F1105" t="str">
            <v>Poison your enemy with Aggravated damage-dealing venom.</v>
          </cell>
          <cell r="G1105">
            <v>430</v>
          </cell>
          <cell r="H1105" t="str">
            <v>Snake</v>
          </cell>
          <cell r="I1105">
            <v>5</v>
          </cell>
          <cell r="J1105">
            <v>3</v>
          </cell>
          <cell r="L1105" t="str">
            <v>Armor-Penetrating Fang Strike, Countless Coils Evasion, Crippling Pressure-Point Attack, Unccoiling Serpent Prana</v>
          </cell>
        </row>
        <row r="1106">
          <cell r="A1106" t="str">
            <v>Crimson Leaping Cat Technique</v>
          </cell>
          <cell r="B1106" t="str">
            <v>4m</v>
          </cell>
          <cell r="C1106" t="str">
            <v>Supplemental</v>
          </cell>
          <cell r="D1106" t="str">
            <v>Uniform, Mastery</v>
          </cell>
          <cell r="E1106" t="str">
            <v>Instant</v>
          </cell>
          <cell r="F1106" t="str">
            <v>Steal 1i from an enemy when you successfully Rush him. Extra Rush successes grant bonus dice to your next attack on that enemy, as long as it's within the next round.</v>
          </cell>
          <cell r="G1106">
            <v>431</v>
          </cell>
          <cell r="H1106" t="str">
            <v>Tiger</v>
          </cell>
          <cell r="I1106">
            <v>3</v>
          </cell>
          <cell r="J1106">
            <v>1</v>
          </cell>
          <cell r="L1106" t="str">
            <v/>
          </cell>
        </row>
        <row r="1107">
          <cell r="A1107" t="str">
            <v>Striking Fury Claws</v>
          </cell>
          <cell r="B1107" t="str">
            <v>6m</v>
          </cell>
          <cell r="C1107" t="str">
            <v>Supplemental</v>
          </cell>
          <cell r="D1107" t="str">
            <v>Mastery, Withering-only</v>
          </cell>
          <cell r="E1107" t="str">
            <v>Instant</v>
          </cell>
          <cell r="F1107" t="str">
            <v>On a Withering attack, some of your extra attack successes become post-soak damage. This is increased if your target tried to run, or if you're a Solar.</v>
          </cell>
          <cell r="G1107">
            <v>431</v>
          </cell>
          <cell r="H1107" t="str">
            <v>Tiger</v>
          </cell>
          <cell r="I1107">
            <v>3</v>
          </cell>
          <cell r="J1107">
            <v>1</v>
          </cell>
          <cell r="L1107" t="str">
            <v/>
          </cell>
        </row>
        <row r="1108">
          <cell r="A1108" t="str">
            <v>Tiger Form</v>
          </cell>
          <cell r="B1108" t="str">
            <v>10m,</v>
          </cell>
          <cell r="C1108" t="str">
            <v>Simple</v>
          </cell>
          <cell r="D1108" t="str">
            <v>Form, Terrestrial</v>
          </cell>
          <cell r="E1108" t="str">
            <v>Scene</v>
          </cell>
          <cell r="F1108" t="str">
            <v>Form. Some extra attack successes count double on a Withering roll. Fight prone without penalties. Bonus dice to Rush or counter Disengages; gain Initiative when the enemy Disengages.</v>
          </cell>
          <cell r="G1108">
            <v>431</v>
          </cell>
          <cell r="H1108" t="str">
            <v>Tiger</v>
          </cell>
          <cell r="I1108">
            <v>4</v>
          </cell>
          <cell r="J1108">
            <v>1</v>
          </cell>
          <cell r="L1108" t="str">
            <v>Crimson Leaping Cat Technique, Striking Fury Claws</v>
          </cell>
        </row>
        <row r="1109">
          <cell r="A1109" t="str">
            <v>Celestial Tiger Hide</v>
          </cell>
          <cell r="B1109" t="str">
            <v>5m</v>
          </cell>
          <cell r="C1109" t="str">
            <v>Reflexive</v>
          </cell>
          <cell r="D1109" t="str">
            <v>Terrestrial</v>
          </cell>
          <cell r="E1109" t="str">
            <v>Scene</v>
          </cell>
          <cell r="F1109" t="str">
            <v>Gain soak and Hardness; drop this Charm to subtract Hardness from an incoming Decisive.</v>
          </cell>
          <cell r="G1109">
            <v>432</v>
          </cell>
          <cell r="H1109" t="str">
            <v>Tiger</v>
          </cell>
          <cell r="I1109">
            <v>5</v>
          </cell>
          <cell r="J1109">
            <v>2</v>
          </cell>
          <cell r="L1109" t="str">
            <v>Tiger Form</v>
          </cell>
        </row>
        <row r="1110">
          <cell r="A1110" t="str">
            <v>Iron Claw Grip</v>
          </cell>
          <cell r="B1110" t="str">
            <v>5m</v>
          </cell>
          <cell r="C1110" t="str">
            <v>Reflexive</v>
          </cell>
          <cell r="D1110" t="str">
            <v>Mastery</v>
          </cell>
          <cell r="E1110" t="str">
            <v>Instant</v>
          </cell>
          <cell r="F1110" t="str">
            <v>Bonus rounds of control on a grapple.</v>
          </cell>
          <cell r="G1110">
            <v>432</v>
          </cell>
          <cell r="H1110" t="str">
            <v>Tiger</v>
          </cell>
          <cell r="I1110">
            <v>4</v>
          </cell>
          <cell r="J1110">
            <v>2</v>
          </cell>
          <cell r="L1110" t="str">
            <v>Tiger Form</v>
          </cell>
        </row>
        <row r="1111">
          <cell r="A1111" t="str">
            <v>Prey-Maiming Frenzy</v>
          </cell>
          <cell r="B1111" t="str">
            <v>8m, 1wp</v>
          </cell>
          <cell r="C1111" t="str">
            <v>Simple</v>
          </cell>
          <cell r="D1111" t="str">
            <v>Decisive-only, Terrestrial</v>
          </cell>
          <cell r="E1111" t="str">
            <v>Instant</v>
          </cell>
          <cell r="F1111" t="str">
            <v>Deal extra damage, and reset to higher Initiative, when you savage a grappled enemy.</v>
          </cell>
          <cell r="G1111">
            <v>432</v>
          </cell>
          <cell r="H1111" t="str">
            <v>Tiger</v>
          </cell>
          <cell r="I1111">
            <v>5</v>
          </cell>
          <cell r="J1111">
            <v>3</v>
          </cell>
          <cell r="L1111" t="str">
            <v>Iron Claw Grip</v>
          </cell>
        </row>
        <row r="1112">
          <cell r="A1112" t="str">
            <v>Raging Tiger Pounce</v>
          </cell>
          <cell r="B1112" t="str">
            <v>4m</v>
          </cell>
          <cell r="C1112" t="str">
            <v>Supplemental</v>
          </cell>
          <cell r="D1112" t="str">
            <v>Mastery, Uniform</v>
          </cell>
          <cell r="E1112" t="str">
            <v>Instant</v>
          </cell>
          <cell r="F1112" t="str">
            <v>Knock an enemy prone with any attack; steal Initiative if he tries to stand up. If Mastery, your attack on a prone enemy is undodgeable and does even more damage.</v>
          </cell>
          <cell r="G1112">
            <v>432</v>
          </cell>
          <cell r="H1112" t="str">
            <v>Tiger</v>
          </cell>
          <cell r="I1112">
            <v>4</v>
          </cell>
          <cell r="J1112">
            <v>2</v>
          </cell>
          <cell r="L1112" t="str">
            <v>Tiger Form</v>
          </cell>
        </row>
        <row r="1113">
          <cell r="A1113" t="str">
            <v>Spine-Shattering Bite</v>
          </cell>
          <cell r="B1113" t="str">
            <v>5m, 1wp</v>
          </cell>
          <cell r="C1113" t="str">
            <v>Reflexive</v>
          </cell>
          <cell r="D1113" t="str">
            <v>Decisive-only, Terrestrial</v>
          </cell>
          <cell r="E1113" t="str">
            <v>Instant</v>
          </cell>
          <cell r="F1113" t="str">
            <v>On a successful Decisive, trade damage for preventing your enemy from moving.</v>
          </cell>
          <cell r="G1113">
            <v>433</v>
          </cell>
          <cell r="H1113" t="str">
            <v>Tiger</v>
          </cell>
          <cell r="I1113">
            <v>5</v>
          </cell>
          <cell r="J1113">
            <v>3</v>
          </cell>
          <cell r="L1113" t="str">
            <v>Raging Tiger Pounce</v>
          </cell>
        </row>
        <row r="1114">
          <cell r="A1114" t="str">
            <v>Stalking Cat Movement Meditation</v>
          </cell>
          <cell r="B1114" t="str">
            <v>5m</v>
          </cell>
          <cell r="C1114" t="str">
            <v>Reflexive</v>
          </cell>
          <cell r="D1114" t="str">
            <v>Mastery</v>
          </cell>
          <cell r="E1114" t="str">
            <v>Scene</v>
          </cell>
          <cell r="F1114" t="str">
            <v>For the scene, enemies at short or medium range must Disengage to move away from you and take -1 Defense vs. surprise attacks.</v>
          </cell>
          <cell r="G1114">
            <v>433</v>
          </cell>
          <cell r="H1114" t="str">
            <v>Tiger</v>
          </cell>
          <cell r="I1114">
            <v>4</v>
          </cell>
          <cell r="J1114">
            <v>2</v>
          </cell>
          <cell r="L1114" t="str">
            <v>Tiger Form</v>
          </cell>
        </row>
        <row r="1115">
          <cell r="A1115" t="str">
            <v>Leap From Cloaking Shadows</v>
          </cell>
          <cell r="B1115" t="str">
            <v>5m, 1wp</v>
          </cell>
          <cell r="C1115" t="str">
            <v>Supplemental</v>
          </cell>
          <cell r="D1115" t="str">
            <v>Decisive-only, Mastery, Terrestrial</v>
          </cell>
          <cell r="E1115" t="str">
            <v>Instant</v>
          </cell>
          <cell r="F1115" t="str">
            <v>Limited double-9s, double-8s, or double-7s on an attack roll.</v>
          </cell>
          <cell r="G1115">
            <v>433</v>
          </cell>
          <cell r="H1115" t="str">
            <v>Tiger</v>
          </cell>
          <cell r="I1115">
            <v>5</v>
          </cell>
          <cell r="J1115">
            <v>3</v>
          </cell>
          <cell r="L1115" t="str">
            <v>Stalking Cat Movement Meditation</v>
          </cell>
        </row>
        <row r="1116">
          <cell r="A1116" t="str">
            <v>Angry Predator Frenzy</v>
          </cell>
          <cell r="B1116" t="str">
            <v>- (+5m, 1wp)</v>
          </cell>
          <cell r="C1116" t="str">
            <v>Permanent</v>
          </cell>
          <cell r="D1116" t="str">
            <v>Mastery, Terrestrial</v>
          </cell>
          <cell r="E1116" t="str">
            <v>Permanent</v>
          </cell>
          <cell r="F1116" t="str">
            <v>Upgrade Tiger Form. Some extra attack successes transfer to damage on Decisives. Rush reflexively. You can't Disengage.</v>
          </cell>
          <cell r="G1116">
            <v>433</v>
          </cell>
          <cell r="H1116" t="str">
            <v>Tiger</v>
          </cell>
          <cell r="I1116">
            <v>5</v>
          </cell>
          <cell r="J1116">
            <v>3</v>
          </cell>
          <cell r="L1116" t="str">
            <v>Celestial Tiger Hide, Prey-Maiming Frenzy, Spine-Shattering Bite, Leap From Cloaking Shadows</v>
          </cell>
        </row>
        <row r="1117">
          <cell r="A1117" t="str">
            <v>Gathering Light Concentration</v>
          </cell>
          <cell r="B1117" t="str">
            <v>3m</v>
          </cell>
          <cell r="C1117" t="str">
            <v>Reflexive</v>
          </cell>
          <cell r="D1117" t="str">
            <v>Mastery, Uniform</v>
          </cell>
          <cell r="E1117" t="str">
            <v>Instant</v>
          </cell>
          <cell r="F1117" t="str">
            <v>When you parry an attack, give the Onslaught penalty to your attacker instead of taking it yourself.</v>
          </cell>
          <cell r="G1117">
            <v>434</v>
          </cell>
          <cell r="H1117" t="str">
            <v>Single Point</v>
          </cell>
          <cell r="I1117">
            <v>2</v>
          </cell>
          <cell r="J1117">
            <v>1</v>
          </cell>
          <cell r="L1117" t="str">
            <v/>
          </cell>
        </row>
        <row r="1118">
          <cell r="A1118" t="str">
            <v>Shining Starfall Execution</v>
          </cell>
          <cell r="B1118" t="str">
            <v>6m</v>
          </cell>
          <cell r="C1118" t="str">
            <v>Supplemental</v>
          </cell>
          <cell r="D1118" t="str">
            <v>Decisive-only, Mastery</v>
          </cell>
          <cell r="E1118" t="str">
            <v>Instant</v>
          </cell>
          <cell r="F1118" t="str">
            <v>Add extra damage to a Decisive – more, if it's a big Decisive – but risk losing more if your attack fails.</v>
          </cell>
          <cell r="G1118">
            <v>434</v>
          </cell>
          <cell r="H1118" t="str">
            <v>Single Point</v>
          </cell>
          <cell r="I1118">
            <v>3</v>
          </cell>
          <cell r="J1118">
            <v>1</v>
          </cell>
          <cell r="L1118" t="str">
            <v/>
          </cell>
        </row>
        <row r="1119">
          <cell r="A1119" t="str">
            <v>Single Point Shining Into the Void Form</v>
          </cell>
          <cell r="B1119" t="str">
            <v>10m</v>
          </cell>
          <cell r="C1119" t="str">
            <v>Simple</v>
          </cell>
          <cell r="D1119" t="str">
            <v>Form, Mastery, Terrestrial</v>
          </cell>
          <cell r="E1119" t="str">
            <v>Scene</v>
          </cell>
          <cell r="F1119" t="str">
            <v>Form. Your sword Joins Battle and makes its own attacks each turn.</v>
          </cell>
          <cell r="G1119">
            <v>434</v>
          </cell>
          <cell r="H1119" t="str">
            <v>Single Point</v>
          </cell>
          <cell r="I1119">
            <v>4</v>
          </cell>
          <cell r="J1119">
            <v>2</v>
          </cell>
          <cell r="L1119" t="str">
            <v>Gathering Light Concentration, Shining Starfall Execution</v>
          </cell>
        </row>
        <row r="1120">
          <cell r="A1120" t="str">
            <v>Fatal Stroke Flash</v>
          </cell>
          <cell r="B1120" t="str">
            <v>1m, 1wp</v>
          </cell>
          <cell r="C1120" t="str">
            <v>Supplemental</v>
          </cell>
          <cell r="D1120" t="str">
            <v>Decisive-only, Mastery, Terrestrial</v>
          </cell>
          <cell r="E1120" t="str">
            <v>Instant</v>
          </cell>
          <cell r="F1120" t="str">
            <v>Gain extra damage on a Decisive if your Initiative is higher than your enemy's, but lose extra Initiative if the attack fails.</v>
          </cell>
          <cell r="G1120">
            <v>435</v>
          </cell>
          <cell r="H1120" t="str">
            <v>Single Point</v>
          </cell>
          <cell r="I1120">
            <v>4</v>
          </cell>
          <cell r="J1120">
            <v>2</v>
          </cell>
          <cell r="L1120" t="str">
            <v>Single Point SHining Into the Void Form</v>
          </cell>
        </row>
        <row r="1121">
          <cell r="A1121" t="str">
            <v>Liquid Steel Flow</v>
          </cell>
          <cell r="B1121" t="str">
            <v>5m (+1wp)</v>
          </cell>
          <cell r="C1121" t="str">
            <v>Reflexive</v>
          </cell>
          <cell r="D1121" t="str">
            <v>Dual, Mastery, Terrestrial</v>
          </cell>
          <cell r="E1121" t="str">
            <v>One round</v>
          </cell>
          <cell r="F1121" t="str">
            <v>Scenelong extra damage to Withering attacks; you can end the Charm for a big hit with a Decisive (or two big hits, if your sword helps).</v>
          </cell>
          <cell r="G1121">
            <v>436</v>
          </cell>
          <cell r="H1121" t="str">
            <v>Single Point</v>
          </cell>
          <cell r="I1121">
            <v>5</v>
          </cell>
          <cell r="J1121">
            <v>2</v>
          </cell>
          <cell r="L1121" t="str">
            <v>Fatal Stroke Flash</v>
          </cell>
        </row>
        <row r="1122">
          <cell r="A1122" t="str">
            <v>Void-Slicing Wind</v>
          </cell>
          <cell r="B1122" t="str">
            <v>6m, 1wp</v>
          </cell>
          <cell r="C1122" t="str">
            <v>Simple</v>
          </cell>
          <cell r="D1122" t="str">
            <v>Decisive-only, Terrestrial</v>
          </cell>
          <cell r="E1122" t="str">
            <v>Instant</v>
          </cell>
          <cell r="F1122" t="str">
            <v>Strike an enemy out to medium range, adding accuracy and damage the further out he is. Slice all opponents between you and him.</v>
          </cell>
          <cell r="G1122">
            <v>436</v>
          </cell>
          <cell r="H1122" t="str">
            <v>Single Point</v>
          </cell>
          <cell r="I1122">
            <v>5</v>
          </cell>
          <cell r="J1122">
            <v>3</v>
          </cell>
          <cell r="L1122" t="str">
            <v>Single Point SHining Into the Void Form</v>
          </cell>
        </row>
        <row r="1123">
          <cell r="A1123" t="str">
            <v>Horizon-Swallowed Star Flash</v>
          </cell>
          <cell r="B1123" t="str">
            <v>8m, 1wp</v>
          </cell>
          <cell r="C1123" t="str">
            <v>Reflexive</v>
          </cell>
          <cell r="D1123" t="str">
            <v>Clash, Decisive-only, Mastery, Terrestrial</v>
          </cell>
          <cell r="E1123" t="str">
            <v>Instant</v>
          </cell>
          <cell r="F1123" t="str">
            <v>Clash reflexively, albeit expensively. Deal extra damage on this Decisive.</v>
          </cell>
          <cell r="G1123">
            <v>437</v>
          </cell>
          <cell r="H1123" t="str">
            <v>Single Point</v>
          </cell>
          <cell r="I1123">
            <v>5</v>
          </cell>
          <cell r="J1123">
            <v>2</v>
          </cell>
          <cell r="L1123" t="str">
            <v>Single Point SHining Into the Void Form</v>
          </cell>
        </row>
        <row r="1124">
          <cell r="A1124" t="str">
            <v>Six-Demon Scabbard Binding</v>
          </cell>
          <cell r="B1124" t="str">
            <v>1m, 1wp (or 4m)</v>
          </cell>
          <cell r="C1124" t="str">
            <v>Reflexive</v>
          </cell>
          <cell r="D1124" t="str">
            <v>Clash, Decisive-only, Terrestrial</v>
          </cell>
          <cell r="E1124" t="str">
            <v>Instant</v>
          </cell>
          <cell r="F1124" t="str">
            <v>Clash with shaping magic. Cut a path through the Wyld with your irresistible sword spirit.</v>
          </cell>
          <cell r="G1124">
            <v>437</v>
          </cell>
          <cell r="H1124" t="str">
            <v>Single Point</v>
          </cell>
          <cell r="I1124">
            <v>5</v>
          </cell>
          <cell r="J1124">
            <v>3</v>
          </cell>
          <cell r="L1124" t="str">
            <v>Horizon-Swallowed Star Flash</v>
          </cell>
        </row>
        <row r="1125">
          <cell r="A1125" t="str">
            <v>Blinding Nova Flare</v>
          </cell>
          <cell r="B1125" t="str">
            <v>-</v>
          </cell>
          <cell r="C1125" t="str">
            <v>Simple</v>
          </cell>
          <cell r="D1125" t="str">
            <v>Decisive-only, Mastery, Terrestrial</v>
          </cell>
          <cell r="E1125" t="str">
            <v>Instant</v>
          </cell>
          <cell r="F1125" t="str">
            <v>Make a gambit with no need for an attack roll. If it succeeds, make an undodgeable, unblockable Decisive attack.</v>
          </cell>
          <cell r="G1125">
            <v>437</v>
          </cell>
          <cell r="H1125" t="str">
            <v>Single Point</v>
          </cell>
          <cell r="I1125">
            <v>5</v>
          </cell>
          <cell r="J1125">
            <v>3</v>
          </cell>
          <cell r="L1125" t="str">
            <v>Liquid Steel Flow, Six-Demon Scabbard Binding, Void-Slicing Wind</v>
          </cell>
        </row>
        <row r="1126">
          <cell r="A1126" t="str">
            <v>Falling Scythe Flash</v>
          </cell>
          <cell r="B1126" t="str">
            <v>5m</v>
          </cell>
          <cell r="C1126" t="str">
            <v>Supplemental</v>
          </cell>
          <cell r="D1126" t="str">
            <v>Dual</v>
          </cell>
          <cell r="E1126" t="str">
            <v>Instant</v>
          </cell>
          <cell r="F1126" t="str">
            <v>Add bonus damage based on Strength to a Withering or Decisive attack.</v>
          </cell>
          <cell r="G1126">
            <v>438</v>
          </cell>
          <cell r="H1126" t="str">
            <v>White Reaper</v>
          </cell>
          <cell r="I1126">
            <v>3</v>
          </cell>
          <cell r="J1126">
            <v>1</v>
          </cell>
          <cell r="L1126" t="str">
            <v/>
          </cell>
        </row>
        <row r="1127">
          <cell r="A1127" t="str">
            <v>Revolving Crescent Defense</v>
          </cell>
          <cell r="B1127" t="str">
            <v>4m, 1i</v>
          </cell>
          <cell r="C1127" t="str">
            <v>Reflexive</v>
          </cell>
          <cell r="D1127" t="str">
            <v>Mastery, Uniform</v>
          </cell>
          <cell r="E1127" t="str">
            <v>Instant</v>
          </cell>
          <cell r="F1127" t="str">
            <v>Your Onslaught penalties turn into bonuses vs. one attack.</v>
          </cell>
          <cell r="G1127">
            <v>438</v>
          </cell>
          <cell r="H1127" t="str">
            <v>White Reaper</v>
          </cell>
          <cell r="I1127">
            <v>3</v>
          </cell>
          <cell r="J1127">
            <v>1</v>
          </cell>
          <cell r="L1127" t="str">
            <v/>
          </cell>
        </row>
        <row r="1128">
          <cell r="A1128" t="str">
            <v>White Reaper Form</v>
          </cell>
          <cell r="B1128" t="str">
            <v>8m,</v>
          </cell>
          <cell r="C1128" t="str">
            <v>Simple</v>
          </cell>
          <cell r="D1128" t="str">
            <v>Form</v>
          </cell>
          <cell r="E1128" t="str">
            <v>Scene</v>
          </cell>
          <cell r="F1128" t="str">
            <v>Form. Double-10s on Decisive damage. -1 Defense to all battle groups. Move through battle groups. Collect halos that grant +1 Resolve each for crashing or killing notable enemies, or for damaging battle groups.</v>
          </cell>
          <cell r="G1128">
            <v>438</v>
          </cell>
          <cell r="H1128" t="str">
            <v>White Reaper</v>
          </cell>
          <cell r="I1128">
            <v>4</v>
          </cell>
          <cell r="J1128">
            <v>1</v>
          </cell>
          <cell r="L1128" t="str">
            <v>Falling Scythe Flash, Revolving Crescent Defense</v>
          </cell>
        </row>
        <row r="1129">
          <cell r="A1129" t="str">
            <v>Bleeding Crescent Strike</v>
          </cell>
          <cell r="B1129" t="str">
            <v>5m</v>
          </cell>
          <cell r="C1129" t="str">
            <v>Supplemental</v>
          </cell>
          <cell r="D1129" t="str">
            <v>Mastery, Terrestrial, Uniform</v>
          </cell>
          <cell r="E1129" t="str">
            <v>Instant</v>
          </cell>
          <cell r="F1129" t="str">
            <v>Limited double-9s (or double-8s, vs. battle groups) on an attack roll. Expend halos for +1 die each.</v>
          </cell>
          <cell r="G1129">
            <v>439</v>
          </cell>
          <cell r="H1129" t="str">
            <v>White Reaper</v>
          </cell>
          <cell r="I1129">
            <v>4</v>
          </cell>
          <cell r="J1129">
            <v>2</v>
          </cell>
          <cell r="L1129" t="str">
            <v>White Reaper Form</v>
          </cell>
        </row>
        <row r="1130">
          <cell r="A1130" t="str">
            <v>Greatest Killer Attitude</v>
          </cell>
          <cell r="B1130" t="str">
            <v>3m, 1wp</v>
          </cell>
          <cell r="C1130" t="str">
            <v>Supplemental</v>
          </cell>
          <cell r="D1130" t="str">
            <v>Dual</v>
          </cell>
          <cell r="E1130" t="str">
            <v>Instant</v>
          </cell>
          <cell r="F1130" t="str">
            <v>Extra Withering or Decisive damage. Vs. a battle group, ignore soak from Size or add extra damage for high Initiative. Burn halos for post-soak Withering damage.</v>
          </cell>
          <cell r="G1130">
            <v>439</v>
          </cell>
          <cell r="H1130" t="str">
            <v>White Reaper</v>
          </cell>
          <cell r="I1130">
            <v>5</v>
          </cell>
          <cell r="J1130">
            <v>2</v>
          </cell>
          <cell r="L1130" t="str">
            <v>Bleeding Crescent Strike</v>
          </cell>
        </row>
        <row r="1131">
          <cell r="A1131" t="str">
            <v>Enemies Like Grass</v>
          </cell>
          <cell r="B1131" t="str">
            <v>10m, 1wp</v>
          </cell>
          <cell r="C1131" t="str">
            <v>Simple</v>
          </cell>
          <cell r="D1131" t="str">
            <v>Dual, Terrestrial</v>
          </cell>
          <cell r="E1131" t="str">
            <v>Instant</v>
          </cell>
          <cell r="F1131" t="str">
            <v>Make two Decisive attacks, or two Withering attacks on a battle group. Burn halos for +1 attack each.</v>
          </cell>
          <cell r="G1131">
            <v>440</v>
          </cell>
          <cell r="H1131" t="str">
            <v>White Reaper</v>
          </cell>
          <cell r="I1131">
            <v>5</v>
          </cell>
          <cell r="J1131">
            <v>3</v>
          </cell>
          <cell r="L1131" t="str">
            <v>White Reaper Form</v>
          </cell>
        </row>
        <row r="1132">
          <cell r="A1132" t="str">
            <v>Flickering Corona Barrier</v>
          </cell>
          <cell r="B1132" t="str">
            <v>2m</v>
          </cell>
          <cell r="C1132" t="str">
            <v>Reflexive</v>
          </cell>
          <cell r="D1132" t="str">
            <v>Mastery, Uniform</v>
          </cell>
          <cell r="E1132" t="str">
            <v>Instant</v>
          </cell>
          <cell r="F1132" t="str">
            <v>Add (halos) to Parry, or burn them for double that bonus.</v>
          </cell>
          <cell r="G1132">
            <v>440</v>
          </cell>
          <cell r="H1132" t="str">
            <v>White Reaper</v>
          </cell>
          <cell r="I1132">
            <v>3</v>
          </cell>
          <cell r="J1132">
            <v>2</v>
          </cell>
          <cell r="L1132" t="str">
            <v>White Reaper Form</v>
          </cell>
        </row>
        <row r="1133">
          <cell r="A1133" t="str">
            <v>Impenetrable White Shroud</v>
          </cell>
          <cell r="B1133" t="str">
            <v>4m, 1wp</v>
          </cell>
          <cell r="C1133" t="str">
            <v>Reflexive</v>
          </cell>
          <cell r="D1133" t="str">
            <v>None</v>
          </cell>
          <cell r="E1133" t="str">
            <v>Scene</v>
          </cell>
          <cell r="F1133" t="str">
            <v>Add (2 * [halos + 1]) to soak for the scene, or more if you aren't wearing armor. Battle groups don't add Size to damage.</v>
          </cell>
          <cell r="G1133">
            <v>440</v>
          </cell>
          <cell r="H1133" t="str">
            <v>White Reaper</v>
          </cell>
          <cell r="I1133">
            <v>4</v>
          </cell>
          <cell r="J1133">
            <v>2</v>
          </cell>
          <cell r="L1133" t="str">
            <v>Flickering Corona Barrier</v>
          </cell>
        </row>
        <row r="1134">
          <cell r="A1134" t="str">
            <v>Snow Follows Winter</v>
          </cell>
          <cell r="B1134" t="str">
            <v>- (+1wp)</v>
          </cell>
          <cell r="C1134" t="str">
            <v>Permanent</v>
          </cell>
          <cell r="D1134" t="str">
            <v>Mastery</v>
          </cell>
          <cell r="E1134" t="str">
            <v>Permanent</v>
          </cell>
          <cell r="F1134" t="str">
            <v>Burn halos to heal damage. For the scene, reduce wound penalties by (halos), increase difficulty of rout checks (I bet!), and expend halos for Initiative.</v>
          </cell>
          <cell r="G1134">
            <v>440</v>
          </cell>
          <cell r="H1134" t="str">
            <v>White Reaper</v>
          </cell>
          <cell r="I1134">
            <v>5</v>
          </cell>
          <cell r="J1134">
            <v>3</v>
          </cell>
          <cell r="L1134" t="str">
            <v>Enemies Like Grass, Greatest Killer Attitude, Impenetrable White Shroud</v>
          </cell>
        </row>
        <row r="1135">
          <cell r="A1135" t="str">
            <v>Nothing But Shadows</v>
          </cell>
          <cell r="B1135" t="str">
            <v>3m</v>
          </cell>
          <cell r="C1135" t="str">
            <v>Reflexive</v>
          </cell>
          <cell r="D1135" t="str">
            <v>Decisive-only, Mastery</v>
          </cell>
          <cell r="E1135" t="str">
            <v>Instant</v>
          </cell>
          <cell r="F1135" t="str">
            <v>Penalize attempts to see you in combat. Fake your own death to escape battle.</v>
          </cell>
          <cell r="G1135">
            <v>441</v>
          </cell>
          <cell r="H1135" t="str">
            <v>Ebon Shadow</v>
          </cell>
          <cell r="I1135">
            <v>2</v>
          </cell>
          <cell r="J1135">
            <v>1</v>
          </cell>
          <cell r="L1135" t="str">
            <v/>
          </cell>
        </row>
        <row r="1136">
          <cell r="A1136" t="str">
            <v>Seven Points of Weakness Strike</v>
          </cell>
          <cell r="B1136" t="str">
            <v>4m</v>
          </cell>
          <cell r="C1136" t="str">
            <v>Supplemental</v>
          </cell>
          <cell r="D1136" t="str">
            <v>Mastery, Withering-only</v>
          </cell>
          <cell r="E1136" t="str">
            <v>Instant</v>
          </cell>
          <cell r="F1136" t="str">
            <v>Subtract (Stealth), or (2*Stealth) in a surprise attack, from enemy's armored soak.</v>
          </cell>
          <cell r="G1136">
            <v>441</v>
          </cell>
          <cell r="H1136" t="str">
            <v>Ebon Shadow</v>
          </cell>
          <cell r="I1136">
            <v>3</v>
          </cell>
          <cell r="J1136">
            <v>1</v>
          </cell>
          <cell r="L1136" t="str">
            <v/>
          </cell>
        </row>
        <row r="1137">
          <cell r="A1137" t="str">
            <v>Ebon Shadow Form</v>
          </cell>
          <cell r="B1137" t="str">
            <v>8m</v>
          </cell>
          <cell r="C1137" t="str">
            <v>Simple</v>
          </cell>
          <cell r="D1137" t="str">
            <v>Form, Mute</v>
          </cell>
          <cell r="E1137" t="str">
            <v>Scene</v>
          </cell>
          <cell r="F1137" t="str">
            <v>Form. Anyone who fails their check when you enter stealth loses 1i. Bonus Initiative when you reset after an unexpected Decisive. +1 Defense.</v>
          </cell>
          <cell r="G1137">
            <v>441</v>
          </cell>
          <cell r="H1137" t="str">
            <v>Ebon Shadow</v>
          </cell>
          <cell r="I1137">
            <v>4</v>
          </cell>
          <cell r="J1137">
            <v>1</v>
          </cell>
          <cell r="L1137" t="str">
            <v>Nothing But Shadows, Seven Points of Weakness Strike</v>
          </cell>
        </row>
        <row r="1138">
          <cell r="A1138" t="str">
            <v>Elusive Flicker Evasion</v>
          </cell>
          <cell r="B1138" t="str">
            <v>4m, 1wp</v>
          </cell>
          <cell r="C1138" t="str">
            <v>Reflexive</v>
          </cell>
          <cell r="D1138" t="str">
            <v>Decisive-only, Mastery, Terrestrial</v>
          </cell>
          <cell r="E1138" t="str">
            <v>Instant</v>
          </cell>
          <cell r="F1138" t="str">
            <v>Enemy rolls a Decisive twice, taking the lower result.</v>
          </cell>
          <cell r="G1138">
            <v>442</v>
          </cell>
          <cell r="H1138" t="str">
            <v>Ebon Shadow</v>
          </cell>
          <cell r="I1138">
            <v>5</v>
          </cell>
          <cell r="J1138">
            <v>2</v>
          </cell>
          <cell r="L1138" t="str">
            <v>Ebon Shadow Form</v>
          </cell>
        </row>
        <row r="1139">
          <cell r="A1139" t="str">
            <v>Shadow-Body Dissolution</v>
          </cell>
          <cell r="B1139" t="str">
            <v>10m</v>
          </cell>
          <cell r="C1139" t="str">
            <v>Reflexive</v>
          </cell>
          <cell r="D1139" t="str">
            <v>Decisive-only, Mute, Terrestrial</v>
          </cell>
          <cell r="E1139" t="str">
            <v>Instant</v>
          </cell>
          <cell r="F1139" t="str">
            <v>Subtract (Essence + Stealth) from a Decisive aimed at you.</v>
          </cell>
          <cell r="G1139">
            <v>442</v>
          </cell>
          <cell r="H1139" t="str">
            <v>Ebon Shadow</v>
          </cell>
          <cell r="I1139">
            <v>5</v>
          </cell>
          <cell r="J1139">
            <v>2</v>
          </cell>
          <cell r="L1139" t="str">
            <v>Elusive Flicker Evasion</v>
          </cell>
        </row>
        <row r="1140">
          <cell r="A1140" t="str">
            <v>Shadow-Stepping Motion</v>
          </cell>
          <cell r="B1140" t="str">
            <v>5m</v>
          </cell>
          <cell r="C1140" t="str">
            <v>Supplemental</v>
          </cell>
          <cell r="D1140" t="str">
            <v>Dual, Mute</v>
          </cell>
          <cell r="E1140" t="str">
            <v>Instant</v>
          </cell>
          <cell r="F1140" t="str">
            <v>Move in shadows more easily; do extra damage if you use this movement to reach Close range on an enemy.</v>
          </cell>
          <cell r="G1140">
            <v>443</v>
          </cell>
          <cell r="H1140" t="str">
            <v>Ebon Shadow</v>
          </cell>
          <cell r="I1140">
            <v>4</v>
          </cell>
          <cell r="J1140">
            <v>2</v>
          </cell>
          <cell r="L1140" t="str">
            <v>Ebon Shadow Form</v>
          </cell>
        </row>
        <row r="1141">
          <cell r="A1141" t="str">
            <v>Throat-Slitting Shadow Atemi</v>
          </cell>
          <cell r="B1141" t="str">
            <v>1m, 1wp</v>
          </cell>
          <cell r="C1141" t="str">
            <v>Supplemental</v>
          </cell>
          <cell r="D1141" t="str">
            <v>Decisive-only, Terrestrial</v>
          </cell>
          <cell r="E1141" t="str">
            <v>Instant</v>
          </cell>
          <cell r="F1141" t="str">
            <v>Extra successes on a Decisive attack roll convert damage dice to successes – without limit, on a surprise attack.</v>
          </cell>
          <cell r="G1141">
            <v>443</v>
          </cell>
          <cell r="H1141" t="str">
            <v>Ebon Shadow</v>
          </cell>
          <cell r="I1141">
            <v>4</v>
          </cell>
          <cell r="J1141">
            <v>3</v>
          </cell>
          <cell r="L1141" t="str">
            <v>???</v>
          </cell>
        </row>
        <row r="1142">
          <cell r="A1142" t="str">
            <v>Umbra Noose Execution</v>
          </cell>
          <cell r="B1142" t="str">
            <v>5m, 1wp</v>
          </cell>
          <cell r="C1142" t="str">
            <v>Simple</v>
          </cell>
          <cell r="D1142" t="str">
            <v>Decisive-only, Mastery</v>
          </cell>
          <cell r="E1142" t="str">
            <v>Instant</v>
          </cell>
          <cell r="F1142" t="str">
            <v>Strangle an enemy with his own shadow, doing extra damage.</v>
          </cell>
          <cell r="G1142">
            <v>443</v>
          </cell>
          <cell r="H1142" t="str">
            <v>Ebon Shadow</v>
          </cell>
          <cell r="I1142">
            <v>5</v>
          </cell>
          <cell r="J1142">
            <v>3</v>
          </cell>
          <cell r="L1142" t="str">
            <v>Shadow Body Dissolution, Throat-Slitting Shadow Atemi</v>
          </cell>
        </row>
        <row r="1143">
          <cell r="A1143" t="str">
            <v>Empowering Justice Redirection</v>
          </cell>
          <cell r="B1143" t="str">
            <v>3m</v>
          </cell>
          <cell r="C1143" t="str">
            <v>Supplemental</v>
          </cell>
          <cell r="D1143" t="str">
            <v>Mastery, Withering-only</v>
          </cell>
          <cell r="E1143" t="str">
            <v>Instant</v>
          </cell>
          <cell r="F1143" t="str">
            <v>A Withering attack is more accurate and damaging against someone who has attacked you (or a Ward you were Defend Othering).</v>
          </cell>
          <cell r="G1143">
            <v>443</v>
          </cell>
          <cell r="H1143" t="str">
            <v>Crane</v>
          </cell>
          <cell r="I1143">
            <v>2</v>
          </cell>
          <cell r="J1143">
            <v>1</v>
          </cell>
          <cell r="L1143" t="str">
            <v/>
          </cell>
        </row>
        <row r="1144">
          <cell r="A1144" t="str">
            <v>Fluttering Cry of Warning</v>
          </cell>
          <cell r="B1144" t="str">
            <v>3m</v>
          </cell>
          <cell r="C1144" t="str">
            <v>Reflexive</v>
          </cell>
          <cell r="D1144" t="str">
            <v>Mastery, Uniform</v>
          </cell>
          <cell r="E1144" t="str">
            <v>Until next turn</v>
          </cell>
          <cell r="F1144" t="str">
            <v>+2 Parry when Defending Other.</v>
          </cell>
          <cell r="G1144">
            <v>444</v>
          </cell>
          <cell r="H1144" t="str">
            <v>Crane</v>
          </cell>
          <cell r="I1144">
            <v>2</v>
          </cell>
          <cell r="J1144">
            <v>1</v>
          </cell>
          <cell r="L1144" t="str">
            <v/>
          </cell>
        </row>
        <row r="1145">
          <cell r="A1145" t="str">
            <v>Crane Form</v>
          </cell>
          <cell r="B1145" t="str">
            <v>8m</v>
          </cell>
          <cell r="C1145" t="str">
            <v>Simple</v>
          </cell>
          <cell r="D1145" t="str">
            <v>Form</v>
          </cell>
          <cell r="E1145" t="str">
            <v>Scene</v>
          </cell>
          <cell r="F1145" t="str">
            <v>Form. +1 Parry. Cost for Full Defense reduced by 1i. Respond to any attack on you or your ward with a counterattack.</v>
          </cell>
          <cell r="G1145">
            <v>444</v>
          </cell>
          <cell r="H1145" t="str">
            <v>Crane</v>
          </cell>
          <cell r="I1145">
            <v>4</v>
          </cell>
          <cell r="J1145">
            <v>2</v>
          </cell>
          <cell r="L1145" t="str">
            <v>Empowering Justice Redirection, Fluttering Ccry of Warning</v>
          </cell>
        </row>
        <row r="1146">
          <cell r="A1146" t="str">
            <v>Crossed Wings Denial</v>
          </cell>
          <cell r="B1146" t="str">
            <v>6m, 4i</v>
          </cell>
          <cell r="C1146" t="str">
            <v>Reflexive</v>
          </cell>
          <cell r="D1146" t="str">
            <v>Decisive-only, Terrestrial</v>
          </cell>
          <cell r="E1146" t="str">
            <v>Until next turn</v>
          </cell>
          <cell r="F1146" t="str">
            <v>Make a roll; bank successes for later use in raising Parry or making counterattacks.</v>
          </cell>
          <cell r="G1146">
            <v>444</v>
          </cell>
          <cell r="H1146" t="str">
            <v>Crane</v>
          </cell>
          <cell r="I1146">
            <v>5</v>
          </cell>
          <cell r="J1146">
            <v>2</v>
          </cell>
          <cell r="L1146" t="str">
            <v>Crane Form</v>
          </cell>
        </row>
        <row r="1147">
          <cell r="A1147" t="str">
            <v>Feather-Stirred Arrow Deflection</v>
          </cell>
          <cell r="B1147" t="str">
            <v>2m (+1wp)</v>
          </cell>
          <cell r="C1147" t="str">
            <v>Reflexive</v>
          </cell>
          <cell r="D1147" t="str">
            <v>Terrestrial, Uniform</v>
          </cell>
          <cell r="E1147" t="str">
            <v>Instant</v>
          </cell>
          <cell r="F1147" t="str">
            <v>Counterattack out to the range of the attack made on you.</v>
          </cell>
          <cell r="G1147">
            <v>444</v>
          </cell>
          <cell r="H1147" t="str">
            <v>Crane</v>
          </cell>
          <cell r="I1147">
            <v>5</v>
          </cell>
          <cell r="J1147">
            <v>3</v>
          </cell>
          <cell r="L1147" t="str">
            <v>Crossed Wings Denial</v>
          </cell>
        </row>
        <row r="1148">
          <cell r="A1148" t="str">
            <v>Wings Spread to Sky</v>
          </cell>
          <cell r="B1148" t="str">
            <v>4m</v>
          </cell>
          <cell r="C1148" t="str">
            <v>Reflexive</v>
          </cell>
          <cell r="D1148" t="str">
            <v>Dual</v>
          </cell>
          <cell r="E1148" t="str">
            <v>Instant</v>
          </cell>
          <cell r="F1148" t="str">
            <v>Fly for 1-2 actions, reducing falling damage at the end if still airborne. Double-10s on Decisive damage rolls.</v>
          </cell>
          <cell r="G1148">
            <v>445</v>
          </cell>
          <cell r="H1148" t="str">
            <v>Crane</v>
          </cell>
          <cell r="I1148">
            <v>5</v>
          </cell>
          <cell r="J1148">
            <v>3</v>
          </cell>
          <cell r="L1148" t="str">
            <v>Crossed Wings Denial</v>
          </cell>
        </row>
        <row r="1149">
          <cell r="A1149" t="str">
            <v>Humbling Enlightenment Commentary</v>
          </cell>
          <cell r="B1149" t="str">
            <v>1m, 1wp</v>
          </cell>
          <cell r="C1149" t="str">
            <v>Supplemental</v>
          </cell>
          <cell r="D1149" t="str">
            <v>Decisive-only, Mastery, Terrestrial</v>
          </cell>
          <cell r="E1149" t="str">
            <v>Instant</v>
          </cell>
          <cell r="F1149" t="str">
            <v>Add stunt dice to Decisive damage rolls. If you do enough damage, create Ties in the target.</v>
          </cell>
          <cell r="G1149">
            <v>445</v>
          </cell>
          <cell r="H1149" t="str">
            <v>Crane</v>
          </cell>
          <cell r="I1149">
            <v>4</v>
          </cell>
          <cell r="J1149">
            <v>2</v>
          </cell>
          <cell r="L1149" t="str">
            <v>Crane Form</v>
          </cell>
        </row>
        <row r="1150">
          <cell r="A1150" t="str">
            <v>Kindly Sifu's Quill</v>
          </cell>
          <cell r="B1150" t="str">
            <v>5m</v>
          </cell>
          <cell r="C1150" t="str">
            <v>Supplemental</v>
          </cell>
          <cell r="D1150" t="str">
            <v>Decisive-only, Mastery</v>
          </cell>
          <cell r="E1150" t="str">
            <v>Instant</v>
          </cell>
          <cell r="F1150" t="str">
            <v>Double-10s on Decisive damage. Enemy's Defense is penalized by his Intimacies as per Resolve.</v>
          </cell>
          <cell r="G1150">
            <v>445</v>
          </cell>
          <cell r="H1150" t="str">
            <v>Crane</v>
          </cell>
          <cell r="I1150">
            <v>5</v>
          </cell>
          <cell r="J1150">
            <v>2</v>
          </cell>
          <cell r="L1150" t="str">
            <v>Humbling Enlightenment Commentary</v>
          </cell>
        </row>
        <row r="1151">
          <cell r="A1151" t="str">
            <v>Mournful Crane's Cry</v>
          </cell>
          <cell r="B1151" t="str">
            <v>3m</v>
          </cell>
          <cell r="C1151" t="str">
            <v>Supplemental</v>
          </cell>
          <cell r="D1151" t="str">
            <v>Decisive-only</v>
          </cell>
          <cell r="E1151" t="str">
            <v>Instant</v>
          </cell>
          <cell r="F1151" t="str">
            <v>Your counterattack throws an enemy two range bands, or disarms at a discount, or returns an attack to the attacker.</v>
          </cell>
          <cell r="G1151">
            <v>445</v>
          </cell>
          <cell r="H1151" t="str">
            <v>Crane</v>
          </cell>
          <cell r="I1151">
            <v>4</v>
          </cell>
          <cell r="J1151">
            <v>2</v>
          </cell>
          <cell r="L1151" t="str">
            <v>Humbling Enlightenment Commentary</v>
          </cell>
        </row>
        <row r="1152">
          <cell r="A1152" t="str">
            <v>Wisdom of the Celestial Crane</v>
          </cell>
          <cell r="B1152" t="str">
            <v>7m, 1wp</v>
          </cell>
          <cell r="C1152" t="str">
            <v>Reflexive</v>
          </cell>
          <cell r="D1152" t="str">
            <v>Decisive-only, Mastery, Terrestrial</v>
          </cell>
          <cell r="E1152" t="str">
            <v>Instant</v>
          </cell>
          <cell r="F1152" t="str">
            <v>When you Decisively counterattack your enemy's Decisive attack, add his Initiative to your own.</v>
          </cell>
          <cell r="G1152">
            <v>446</v>
          </cell>
          <cell r="H1152" t="str">
            <v>Crane</v>
          </cell>
          <cell r="I1152">
            <v>5</v>
          </cell>
          <cell r="J1152">
            <v>4</v>
          </cell>
          <cell r="L1152" t="str">
            <v>Feather-Stirred Arrow Deflection, Kinddly Sifu's Quill, Mournful Crane's Cry, Wings Spread to Sky</v>
          </cell>
        </row>
        <row r="1153">
          <cell r="A1153" t="str">
            <v>Voice of the Night Bird</v>
          </cell>
          <cell r="B1153" t="str">
            <v>-</v>
          </cell>
          <cell r="C1153" t="str">
            <v>Permanent</v>
          </cell>
          <cell r="D1153" t="str">
            <v>Mastery</v>
          </cell>
          <cell r="E1153" t="str">
            <v>Permanent</v>
          </cell>
          <cell r="F1153" t="str">
            <v>Your shouts are light ranged weapons, permanently. You can flurry them with Performance rolls at no penalty.</v>
          </cell>
          <cell r="G1153">
            <v>447</v>
          </cell>
          <cell r="H1153" t="str">
            <v>Silver-Voice Nigh.</v>
          </cell>
          <cell r="I1153">
            <v>2</v>
          </cell>
          <cell r="J1153">
            <v>1</v>
          </cell>
          <cell r="L1153" t="str">
            <v/>
          </cell>
        </row>
        <row r="1154">
          <cell r="A1154" t="str">
            <v>Inspiring Battle Hymn</v>
          </cell>
          <cell r="B1154" t="str">
            <v>5m</v>
          </cell>
          <cell r="C1154" t="str">
            <v>Supplemental</v>
          </cell>
          <cell r="D1154" t="str">
            <v>Mastery</v>
          </cell>
          <cell r="E1154" t="str">
            <v>Instant</v>
          </cell>
          <cell r="F1154" t="str">
            <v>Reroll (but not recurring reroll?) all 1s on Join Battle for you and all allies who can hear you.</v>
          </cell>
          <cell r="G1154">
            <v>447</v>
          </cell>
          <cell r="H1154" t="str">
            <v>Silver-Voice Nigh.</v>
          </cell>
          <cell r="I1154">
            <v>3</v>
          </cell>
          <cell r="J1154">
            <v>1</v>
          </cell>
          <cell r="L1154" t="str">
            <v>Voice of the Night Bird</v>
          </cell>
        </row>
        <row r="1155">
          <cell r="A1155" t="str">
            <v>Terrifying Battle Shriek</v>
          </cell>
          <cell r="B1155" t="str">
            <v>4m</v>
          </cell>
          <cell r="C1155" t="str">
            <v>Simple</v>
          </cell>
          <cell r="D1155" t="str">
            <v>Mastery</v>
          </cell>
          <cell r="E1155" t="str">
            <v>Instant</v>
          </cell>
          <cell r="F1155" t="str">
            <v>Inspire fear in your enemy, forcing him to move away from you. If you also hit him with your kiai, treat him as if he had Intimacies of fear for you.</v>
          </cell>
          <cell r="G1155">
            <v>447</v>
          </cell>
          <cell r="H1155" t="str">
            <v>Silver-Voice Nigh.</v>
          </cell>
          <cell r="I1155">
            <v>3</v>
          </cell>
          <cell r="J1155">
            <v>1</v>
          </cell>
          <cell r="L1155" t="str">
            <v>Voice of the Night Bird</v>
          </cell>
        </row>
        <row r="1156">
          <cell r="A1156" t="str">
            <v>Silver-Voiced Nightingale Form</v>
          </cell>
          <cell r="B1156" t="str">
            <v>8m</v>
          </cell>
          <cell r="C1156" t="str">
            <v>Simple</v>
          </cell>
          <cell r="D1156" t="str">
            <v>Form</v>
          </cell>
          <cell r="E1156" t="str">
            <v>Scene</v>
          </cell>
          <cell r="F1156" t="str">
            <v>Form. +1 Evasion. +Performance to your Withering damage. Gain 3i when someone pays WP to resist your influence.</v>
          </cell>
          <cell r="G1156">
            <v>448</v>
          </cell>
          <cell r="H1156" t="str">
            <v>Silver-Voice Nigh.</v>
          </cell>
          <cell r="I1156">
            <v>4</v>
          </cell>
          <cell r="J1156">
            <v>1</v>
          </cell>
          <cell r="L1156" t="str">
            <v>Inspiring Battle Hymn, Terrifying Battle Shriek</v>
          </cell>
        </row>
        <row r="1157">
          <cell r="A1157" t="str">
            <v>Hearing the Heart's Song</v>
          </cell>
          <cell r="B1157" t="str">
            <v>5m, 2i</v>
          </cell>
          <cell r="C1157" t="str">
            <v>Reflexive</v>
          </cell>
          <cell r="D1157" t="str">
            <v>Mastery, Perilous, Decisive-only</v>
          </cell>
          <cell r="E1157" t="str">
            <v>Instant</v>
          </cell>
          <cell r="F1157" t="str">
            <v>+(Performance/2) to Evasion vs. a Decisive. If successful, reflexively Read Intentions with bonus dice.</v>
          </cell>
          <cell r="G1157">
            <v>448</v>
          </cell>
          <cell r="H1157" t="str">
            <v>Silver-Voice Nigh.</v>
          </cell>
          <cell r="I1157">
            <v>4</v>
          </cell>
          <cell r="J1157">
            <v>2</v>
          </cell>
          <cell r="L1157" t="str">
            <v>Silver-Voiced Nightingale Form</v>
          </cell>
        </row>
        <row r="1158">
          <cell r="A1158" t="str">
            <v>Harmony in Opposition Stance</v>
          </cell>
          <cell r="B1158" t="str">
            <v>4m, 1wp</v>
          </cell>
          <cell r="C1158" t="str">
            <v>Reflexive</v>
          </cell>
          <cell r="D1158" t="str">
            <v>Terrestrial</v>
          </cell>
          <cell r="E1158" t="str">
            <v>Scene</v>
          </cell>
          <cell r="F1158" t="str">
            <v>Against one enemy, you take no Evasion penalties, gain double-9s to Rush or Disengage, and gain 1i when he gains Initiative.</v>
          </cell>
          <cell r="G1158">
            <v>448</v>
          </cell>
          <cell r="H1158" t="str">
            <v>Silver-Voice Nigh.</v>
          </cell>
          <cell r="I1158">
            <v>5</v>
          </cell>
          <cell r="J1158">
            <v>2</v>
          </cell>
          <cell r="L1158" t="str">
            <v>Hearing the Heart's Song</v>
          </cell>
        </row>
        <row r="1159">
          <cell r="A1159" t="str">
            <v>Haunting Heart-Rending Melody</v>
          </cell>
          <cell r="B1159" t="str">
            <v>1m, 1wp</v>
          </cell>
          <cell r="C1159" t="str">
            <v>Simple</v>
          </cell>
          <cell r="D1159" t="str">
            <v>Terrestrial</v>
          </cell>
          <cell r="E1159" t="str">
            <v>Instant</v>
          </cell>
          <cell r="F1159" t="str">
            <v>Make a Performance roll vs. all enemies within earshot; those overcome must pay 1wp or take -3 Defense from despair.</v>
          </cell>
          <cell r="G1159">
            <v>448</v>
          </cell>
          <cell r="H1159" t="str">
            <v>Silver-Voice Nigh.</v>
          </cell>
          <cell r="I1159">
            <v>4</v>
          </cell>
          <cell r="J1159">
            <v>2</v>
          </cell>
          <cell r="L1159" t="str">
            <v>Silver-Voiced Nightingale Form</v>
          </cell>
        </row>
        <row r="1160">
          <cell r="A1160" t="str">
            <v>Resounding Songbird's Cry</v>
          </cell>
          <cell r="B1160" t="str">
            <v>3m, 2i</v>
          </cell>
          <cell r="C1160" t="str">
            <v>Simple</v>
          </cell>
          <cell r="D1160" t="str">
            <v>Terrestrial</v>
          </cell>
          <cell r="E1160" t="str">
            <v>Instant</v>
          </cell>
          <cell r="F1160" t="str">
            <v>All enemies in short range are hit by a sonic environmental attack; all who fail to resist can be hit by an extra-accurate Withering kiai the next turn.</v>
          </cell>
          <cell r="G1160">
            <v>449</v>
          </cell>
          <cell r="H1160" t="str">
            <v>Silver-Voice Nigh.</v>
          </cell>
          <cell r="I1160">
            <v>5</v>
          </cell>
          <cell r="J1160">
            <v>3</v>
          </cell>
          <cell r="L1160" t="str">
            <v>Haunting Heart-Rending Melody</v>
          </cell>
        </row>
        <row r="1161">
          <cell r="A1161" t="str">
            <v>Flashing Blade Harmony</v>
          </cell>
          <cell r="B1161" t="str">
            <v>4m</v>
          </cell>
          <cell r="C1161" t="str">
            <v>Reflexive</v>
          </cell>
          <cell r="D1161" t="str">
            <v>Dual, Mastery</v>
          </cell>
          <cell r="E1161" t="str">
            <v>Instant</v>
          </cell>
          <cell r="F1161" t="str">
            <v>An ally's attacks gain double-10s (Decisive) or double-9s (Withering) on damage. Bonus damage if you then attack the same target with your kiai.</v>
          </cell>
          <cell r="G1161">
            <v>449</v>
          </cell>
          <cell r="H1161" t="str">
            <v>Silver-Voice Nigh.</v>
          </cell>
          <cell r="I1161">
            <v>4</v>
          </cell>
          <cell r="J1161">
            <v>2</v>
          </cell>
          <cell r="L1161" t="str">
            <v>Silver-Voiced Nightingale Form</v>
          </cell>
        </row>
        <row r="1162">
          <cell r="A1162" t="str">
            <v>Aria of Victory</v>
          </cell>
          <cell r="B1162" t="str">
            <v>8m, 1wp</v>
          </cell>
          <cell r="C1162" t="str">
            <v>Simple</v>
          </cell>
          <cell r="D1162" t="str">
            <v>Perilous, Terrestrial</v>
          </cell>
          <cell r="E1162" t="str">
            <v>Scene</v>
          </cell>
          <cell r="F1162" t="str">
            <v>You and all allies gain 1 WP each turn, which cannot be banked or spent on Charms. Wow!</v>
          </cell>
          <cell r="G1162">
            <v>449</v>
          </cell>
          <cell r="H1162" t="str">
            <v>Silver-Voice Nigh.</v>
          </cell>
          <cell r="I1162">
            <v>5</v>
          </cell>
          <cell r="J1162">
            <v>3</v>
          </cell>
          <cell r="L1162" t="str">
            <v>Flashing Blae Harmony</v>
          </cell>
        </row>
        <row r="1163">
          <cell r="A1163" t="str">
            <v>Shattering Discord Cacophony</v>
          </cell>
          <cell r="B1163" t="str">
            <v>10m, 1wp</v>
          </cell>
          <cell r="C1163" t="str">
            <v>Simple</v>
          </cell>
          <cell r="D1163" t="str">
            <v>Decisive-only, Mastery, Terrestrial</v>
          </cell>
          <cell r="E1163" t="str">
            <v>Until the enemy's next turn</v>
          </cell>
          <cell r="F1163" t="str">
            <v>Make a kiai gambit on the target. Each success delays his turn by 1 tick and adds 1i to the damage of all Decisives made on him until his next turn.</v>
          </cell>
          <cell r="G1163">
            <v>450</v>
          </cell>
          <cell r="H1163" t="str">
            <v>Silver-Voice Nigh.</v>
          </cell>
          <cell r="I1163">
            <v>5</v>
          </cell>
          <cell r="J1163">
            <v>3</v>
          </cell>
          <cell r="L1163" t="str">
            <v>Aria of Victory, Harmony in Opposition Stance, Resounding Songbird's Cry</v>
          </cell>
        </row>
        <row r="1164">
          <cell r="A1164" t="str">
            <v>Blossom of Inevitable Demise</v>
          </cell>
          <cell r="B1164" t="str">
            <v>3m</v>
          </cell>
          <cell r="C1164" t="str">
            <v>Supplemental</v>
          </cell>
          <cell r="D1164" t="str">
            <v>Dual</v>
          </cell>
          <cell r="E1164" t="str">
            <v>Instant</v>
          </cell>
          <cell r="F1164" t="str">
            <v>Double-10s on Decisive damage. Use firewands out to medium range.</v>
          </cell>
          <cell r="G1164">
            <v>450</v>
          </cell>
          <cell r="H1164" t="str">
            <v>Righteous Devil</v>
          </cell>
          <cell r="I1164">
            <v>3</v>
          </cell>
          <cell r="J1164">
            <v>1</v>
          </cell>
          <cell r="L1164" t="str">
            <v/>
          </cell>
        </row>
        <row r="1165">
          <cell r="A1165" t="str">
            <v>Cloud of Ebon Devils</v>
          </cell>
          <cell r="B1165" t="str">
            <v>2m</v>
          </cell>
          <cell r="C1165" t="str">
            <v>Supplemental</v>
          </cell>
          <cell r="D1165" t="str">
            <v>Mastery</v>
          </cell>
          <cell r="E1165" t="str">
            <v>Instant</v>
          </cell>
          <cell r="F1165" t="str">
            <v>Your Aim actions also allow you to reload your weapon.</v>
          </cell>
          <cell r="G1165">
            <v>450</v>
          </cell>
          <cell r="H1165" t="str">
            <v>Righteous Devil</v>
          </cell>
          <cell r="I1165">
            <v>2</v>
          </cell>
          <cell r="J1165">
            <v>1</v>
          </cell>
          <cell r="L1165" t="str">
            <v/>
          </cell>
        </row>
        <row r="1166">
          <cell r="A1166" t="str">
            <v>Kiss of the Sun Concentration</v>
          </cell>
          <cell r="B1166" t="str">
            <v>3m</v>
          </cell>
          <cell r="C1166" t="str">
            <v>Supplemental</v>
          </cell>
          <cell r="D1166" t="str">
            <v>Dual, Mastery</v>
          </cell>
          <cell r="E1166" t="str">
            <v>Instant</v>
          </cell>
          <cell r="F1166" t="str">
            <v>Add your Aim dice to a Withering attack's damage, or one die to a Decisive's damage.</v>
          </cell>
          <cell r="G1166">
            <v>450</v>
          </cell>
          <cell r="H1166" t="str">
            <v>Righteous Devil</v>
          </cell>
          <cell r="I1166">
            <v>2</v>
          </cell>
          <cell r="J1166">
            <v>1</v>
          </cell>
          <cell r="L1166" t="str">
            <v/>
          </cell>
        </row>
        <row r="1167">
          <cell r="A1167" t="str">
            <v>Righteous Devil Form</v>
          </cell>
          <cell r="B1167" t="str">
            <v>5m</v>
          </cell>
          <cell r="C1167" t="str">
            <v>Simple</v>
          </cell>
          <cell r="D1167" t="str">
            <v>Form</v>
          </cell>
          <cell r="E1167" t="str">
            <v>Scene</v>
          </cell>
          <cell r="F1167" t="str">
            <v>Form. Intimidate all enemies; anyone affected takes a penalty to run or hide. Reflexively Aim at anyone affected. Your firewand is a melee weapon.</v>
          </cell>
          <cell r="G1167">
            <v>451</v>
          </cell>
          <cell r="H1167" t="str">
            <v>Righteous Devil</v>
          </cell>
          <cell r="I1167">
            <v>3</v>
          </cell>
          <cell r="J1167">
            <v>2</v>
          </cell>
          <cell r="L1167" t="str">
            <v>Blossom of Inevitable Demise, Cloud of Ebon Devils, Kiss of the Sun Concentration</v>
          </cell>
        </row>
        <row r="1168">
          <cell r="A1168" t="str">
            <v>Azure Abacus Meditation</v>
          </cell>
          <cell r="B1168" t="str">
            <v>4m, 1wp</v>
          </cell>
          <cell r="C1168" t="str">
            <v>Supplemental</v>
          </cell>
          <cell r="D1168" t="str">
            <v>Terrestrial, Withering-only</v>
          </cell>
          <cell r="E1168" t="str">
            <v>Instant</v>
          </cell>
          <cell r="F1168" t="str">
            <v>Remove some or all of the target's soak, depending on how much cover he has.</v>
          </cell>
          <cell r="G1168">
            <v>451</v>
          </cell>
          <cell r="H1168" t="str">
            <v>Righteous Devil</v>
          </cell>
          <cell r="I1168">
            <v>5</v>
          </cell>
          <cell r="J1168">
            <v>2</v>
          </cell>
          <cell r="L1168" t="str">
            <v>Righteous Devil Form</v>
          </cell>
        </row>
        <row r="1169">
          <cell r="A1169" t="str">
            <v>Burning Judgment Halo</v>
          </cell>
          <cell r="B1169" t="str">
            <v>5m, 4i</v>
          </cell>
          <cell r="C1169" t="str">
            <v>Simple</v>
          </cell>
          <cell r="D1169" t="str">
            <v>Perilous, Terrestrial</v>
          </cell>
          <cell r="E1169" t="str">
            <v>Instant</v>
          </cell>
          <cell r="F1169" t="str">
            <v>Everyone at close range is treated as standing in a bonfire.</v>
          </cell>
          <cell r="G1169">
            <v>451</v>
          </cell>
          <cell r="H1169" t="str">
            <v>Righteous Devil</v>
          </cell>
          <cell r="I1169">
            <v>4</v>
          </cell>
          <cell r="J1169">
            <v>3</v>
          </cell>
          <cell r="L1169" t="str">
            <v>Righteous Devil Form</v>
          </cell>
        </row>
        <row r="1170">
          <cell r="A1170" t="str">
            <v>Phoenix Flies on Golden Wings</v>
          </cell>
          <cell r="B1170" t="str">
            <v>3m</v>
          </cell>
          <cell r="C1170" t="str">
            <v>Supplemental</v>
          </cell>
          <cell r="D1170" t="str">
            <v>Dual</v>
          </cell>
          <cell r="E1170" t="str">
            <v>Instant</v>
          </cell>
          <cell r="F1170" t="str">
            <v>Cheap Withering or Decisive damage booster.</v>
          </cell>
          <cell r="G1170">
            <v>452</v>
          </cell>
          <cell r="H1170" t="str">
            <v>Righteous Devil</v>
          </cell>
          <cell r="I1170">
            <v>4</v>
          </cell>
          <cell r="J1170">
            <v>2</v>
          </cell>
          <cell r="L1170" t="str">
            <v>Righteous Devil Form</v>
          </cell>
        </row>
        <row r="1171">
          <cell r="A1171" t="str">
            <v>Dancing Devil Trigger Finger</v>
          </cell>
          <cell r="B1171" t="str">
            <v>10m, 3i, 1wp</v>
          </cell>
          <cell r="C1171" t="str">
            <v>Simple</v>
          </cell>
          <cell r="D1171" t="str">
            <v>Decisive-only, Perilous, Terrestrial</v>
          </cell>
          <cell r="E1171" t="str">
            <v>Instant</v>
          </cell>
          <cell r="F1171" t="str">
            <v>Hit up to 6 enemies in a 90-degree arc, doing full Decisive damage to each(!).</v>
          </cell>
          <cell r="G1171">
            <v>452</v>
          </cell>
          <cell r="H1171" t="str">
            <v>Righteous Devil</v>
          </cell>
          <cell r="I1171">
            <v>5</v>
          </cell>
          <cell r="J1171">
            <v>3</v>
          </cell>
          <cell r="L1171" t="str">
            <v>Phoenix Flies on Golden Wings</v>
          </cell>
        </row>
        <row r="1172">
          <cell r="A1172" t="str">
            <v>Caress of 1,000 Hells</v>
          </cell>
          <cell r="B1172" t="str">
            <v>6m, 1wp</v>
          </cell>
          <cell r="C1172" t="str">
            <v>Supplemental</v>
          </cell>
          <cell r="D1172" t="str">
            <v>Aggravated, Decisive-only, Terrestrial</v>
          </cell>
          <cell r="E1172" t="str">
            <v>Instant</v>
          </cell>
          <cell r="F1172" t="str">
            <v>Target repents of his wicked deeds or takes [Essence]A levels of damage.</v>
          </cell>
          <cell r="G1172">
            <v>452</v>
          </cell>
          <cell r="H1172" t="str">
            <v>Righteous Devil</v>
          </cell>
          <cell r="I1172">
            <v>5</v>
          </cell>
          <cell r="J1172">
            <v>3</v>
          </cell>
          <cell r="L1172" t="str">
            <v>Azure Abaccus Meditation, Burning Judgment Halo, Dancing Devil Trigger Finger</v>
          </cell>
        </row>
        <row r="1173">
          <cell r="A1173" t="str">
            <v>Open Palm Caress</v>
          </cell>
          <cell r="B1173" t="str">
            <v>4m</v>
          </cell>
          <cell r="C1173" t="str">
            <v>Supplemental</v>
          </cell>
          <cell r="D1173" t="str">
            <v>Mastery</v>
          </cell>
          <cell r="E1173" t="str">
            <v>Instant</v>
          </cell>
          <cell r="F1173" t="str">
            <v>If anyone beats you at Join Battle, he is perceived as starting the fight – both by others and by himself, unless he beats your Guile.</v>
          </cell>
          <cell r="G1173">
            <v>453</v>
          </cell>
          <cell r="H1173" t="str">
            <v>Black Claw</v>
          </cell>
          <cell r="I1173">
            <v>2</v>
          </cell>
          <cell r="J1173">
            <v>1</v>
          </cell>
          <cell r="L1173" t="str">
            <v/>
          </cell>
        </row>
        <row r="1174">
          <cell r="A1174" t="str">
            <v>Torn Lotus Defense</v>
          </cell>
          <cell r="B1174" t="str">
            <v>5m</v>
          </cell>
          <cell r="C1174" t="str">
            <v>Reflexive</v>
          </cell>
          <cell r="D1174" t="str">
            <v>Counterattack, Mastery, Terrestrial, Uniform</v>
          </cell>
          <cell r="E1174" t="str">
            <v>Instant</v>
          </cell>
          <cell r="F1174" t="str">
            <v>When attacked, counterattack socially to create positive Ties to yourself and steal Initiative. With the form active, also affects bystanders.</v>
          </cell>
          <cell r="G1174">
            <v>453</v>
          </cell>
          <cell r="H1174" t="str">
            <v>Black Claw</v>
          </cell>
          <cell r="I1174">
            <v>3</v>
          </cell>
          <cell r="J1174">
            <v>1</v>
          </cell>
          <cell r="L1174" t="str">
            <v/>
          </cell>
        </row>
        <row r="1175">
          <cell r="A1175" t="str">
            <v>Flexing the Emerald Claw</v>
          </cell>
          <cell r="B1175" t="str">
            <v>5m</v>
          </cell>
          <cell r="C1175" t="str">
            <v>Supplemental</v>
          </cell>
          <cell r="D1175" t="str">
            <v>Decisive-only</v>
          </cell>
          <cell r="E1175" t="str">
            <v>Instant</v>
          </cell>
          <cell r="F1175" t="str">
            <v>Poison your enemy with a long-lasting Initiative-draining venom. Gain the Initiative it drains.</v>
          </cell>
          <cell r="G1175">
            <v>454</v>
          </cell>
          <cell r="H1175" t="str">
            <v>Black Claw</v>
          </cell>
          <cell r="I1175">
            <v>3</v>
          </cell>
          <cell r="J1175">
            <v>1</v>
          </cell>
          <cell r="L1175" t="str">
            <v>Open Palm Caress, Torn Lotus Defense</v>
          </cell>
        </row>
        <row r="1176">
          <cell r="A1176" t="str">
            <v>Black Claw Form</v>
          </cell>
          <cell r="B1176" t="str">
            <v>6m</v>
          </cell>
          <cell r="C1176" t="str">
            <v>Simple</v>
          </cell>
          <cell r="D1176" t="str">
            <v>Form</v>
          </cell>
          <cell r="E1176" t="str">
            <v>Scene</v>
          </cell>
          <cell r="F1176" t="str">
            <v>Form. +1 Evasion; disengage more easily and at lower cost. Penalize enemy defenses if they have positive Ties to you.</v>
          </cell>
          <cell r="G1176">
            <v>454</v>
          </cell>
          <cell r="H1176" t="str">
            <v>Black Claw</v>
          </cell>
          <cell r="I1176">
            <v>4</v>
          </cell>
          <cell r="J1176">
            <v>1</v>
          </cell>
          <cell r="L1176" t="str">
            <v>Flexing the Emerald Claw</v>
          </cell>
        </row>
        <row r="1177">
          <cell r="A1177" t="str">
            <v>Doe Eyes Defense</v>
          </cell>
          <cell r="B1177" t="str">
            <v>4m, 1i</v>
          </cell>
          <cell r="C1177" t="str">
            <v>Reflexive</v>
          </cell>
          <cell r="D1177" t="str">
            <v>Mastery, Terrestrial, Uniform</v>
          </cell>
          <cell r="E1177" t="str">
            <v>Instant</v>
          </cell>
          <cell r="F1177" t="str">
            <v>An attack on you loses (Guile + positive Tie strength) dice.</v>
          </cell>
          <cell r="G1177">
            <v>455</v>
          </cell>
          <cell r="H1177" t="str">
            <v>Black Claw</v>
          </cell>
          <cell r="I1177">
            <v>5</v>
          </cell>
          <cell r="J1177">
            <v>2</v>
          </cell>
          <cell r="L1177" t="str">
            <v>Black Claw Form</v>
          </cell>
        </row>
        <row r="1178">
          <cell r="A1178" t="str">
            <v>Storm-Calming Embrace</v>
          </cell>
          <cell r="B1178" t="str">
            <v>2m, 1wp</v>
          </cell>
          <cell r="C1178" t="str">
            <v>Reflexive</v>
          </cell>
          <cell r="D1178" t="str">
            <v>Decisive-only, Mastery</v>
          </cell>
          <cell r="E1178" t="str">
            <v>Until released</v>
          </cell>
          <cell r="F1178" t="str">
            <v>Grab and hold an enemy without savaging him. If he is poisoned, turns of grappling don't count against the poison's duration.</v>
          </cell>
          <cell r="G1178">
            <v>455</v>
          </cell>
          <cell r="H1178" t="str">
            <v>Black Claw</v>
          </cell>
          <cell r="I1178">
            <v>4</v>
          </cell>
          <cell r="J1178">
            <v>2</v>
          </cell>
          <cell r="L1178" t="str">
            <v>Black Claw Form</v>
          </cell>
        </row>
        <row r="1179">
          <cell r="A1179" t="str">
            <v>Table-Turning Reversal</v>
          </cell>
          <cell r="B1179" t="str">
            <v>6m</v>
          </cell>
          <cell r="C1179" t="str">
            <v>Reflexive</v>
          </cell>
          <cell r="D1179" t="str">
            <v>Counterattack, Decisive-only</v>
          </cell>
          <cell r="E1179" t="str">
            <v>Instant</v>
          </cell>
          <cell r="F1179" t="str">
            <v>Counterattack with a Disarm gambit, stealing your enemy's weapon. It is a Black Claw style weapon as long as you carry it.</v>
          </cell>
          <cell r="G1179">
            <v>455</v>
          </cell>
          <cell r="H1179" t="str">
            <v>Black Claw</v>
          </cell>
          <cell r="I1179">
            <v>4</v>
          </cell>
          <cell r="J1179">
            <v>2</v>
          </cell>
          <cell r="L1179" t="str">
            <v>Black Claw Form</v>
          </cell>
        </row>
        <row r="1180">
          <cell r="A1180" t="str">
            <v>Outrage-Kindling Cry</v>
          </cell>
          <cell r="B1180" t="str">
            <v>10m, 1wp</v>
          </cell>
          <cell r="C1180" t="str">
            <v>Reflexive</v>
          </cell>
          <cell r="D1180" t="str">
            <v>Counterattack, Terrestrial</v>
          </cell>
          <cell r="E1180" t="str">
            <v>Instant</v>
          </cell>
          <cell r="F1180" t="str">
            <v>When attacked Decisively, counterattack with social influence against everyone in earshot, subtracting your wound penalties from Resolves. Anyone affected turns on the attacker – violently, with appropriate Ties to you.</v>
          </cell>
          <cell r="G1180">
            <v>455</v>
          </cell>
          <cell r="H1180" t="str">
            <v>Black Claw</v>
          </cell>
          <cell r="I1180">
            <v>5</v>
          </cell>
          <cell r="J1180">
            <v>3</v>
          </cell>
          <cell r="L1180" t="str">
            <v>Doe Eyes Defense, Storm-Calming Embrace, Table-Turning Reversal</v>
          </cell>
        </row>
        <row r="1181">
          <cell r="A1181" t="str">
            <v>Heart-Ripping Claw</v>
          </cell>
          <cell r="B1181" t="str">
            <v>10m, 1wp</v>
          </cell>
          <cell r="C1181" t="str">
            <v>Simple</v>
          </cell>
          <cell r="D1181" t="str">
            <v>Aggravated, Decisive-only,</v>
          </cell>
          <cell r="E1181" t="str">
            <v>Mastery,Terrestrial Instant</v>
          </cell>
          <cell r="F1181" t="str">
            <v>Rip out your enemy's heart. Double damage if he likes you; triple damage if he loves you.</v>
          </cell>
          <cell r="G1181">
            <v>456</v>
          </cell>
          <cell r="H1181" t="str">
            <v>Black Claw</v>
          </cell>
          <cell r="I1181">
            <v>5</v>
          </cell>
          <cell r="J1181">
            <v>3</v>
          </cell>
          <cell r="L1181" t="str">
            <v>Outrage-Kindling Cry</v>
          </cell>
        </row>
        <row r="1182">
          <cell r="A1182" t="str">
            <v>Demure Carp Feint</v>
          </cell>
          <cell r="B1182" t="str">
            <v>3m</v>
          </cell>
          <cell r="C1182" t="str">
            <v>Reflexive</v>
          </cell>
          <cell r="D1182" t="str">
            <v>Mastery, Uniform</v>
          </cell>
          <cell r="E1182" t="str">
            <v>Instant</v>
          </cell>
          <cell r="F1182" t="str">
            <v>+1 Evasion, or +1 success to Disengage. +2 if your Appearance is higher than their Resolve. +1i if you succeed.</v>
          </cell>
          <cell r="G1182">
            <v>456</v>
          </cell>
          <cell r="H1182" t="str">
            <v>Dreaming Pearl</v>
          </cell>
          <cell r="I1182">
            <v>3</v>
          </cell>
          <cell r="J1182">
            <v>1</v>
          </cell>
          <cell r="L1182" t="str">
            <v/>
          </cell>
        </row>
        <row r="1183">
          <cell r="A1183" t="str">
            <v>Elegant Weapon Repertoire</v>
          </cell>
          <cell r="B1183" t="str">
            <v>3m</v>
          </cell>
          <cell r="C1183" t="str">
            <v>Supplemental</v>
          </cell>
          <cell r="D1183" t="str">
            <v>Dual, Mastery</v>
          </cell>
          <cell r="E1183" t="str">
            <v>Instant</v>
          </cell>
          <cell r="F1183" t="str">
            <v>Add weapon's accuracy Withering damage, or treat a mundane object as a light weapon.</v>
          </cell>
          <cell r="G1183">
            <v>457</v>
          </cell>
          <cell r="H1183" t="str">
            <v>Dreaming Pearl</v>
          </cell>
          <cell r="I1183">
            <v>3</v>
          </cell>
          <cell r="J1183">
            <v>1</v>
          </cell>
          <cell r="L1183" t="str">
            <v/>
          </cell>
        </row>
        <row r="1184">
          <cell r="A1184" t="str">
            <v>Pearlescent Filigree Defense</v>
          </cell>
          <cell r="B1184" t="str">
            <v>1m</v>
          </cell>
          <cell r="C1184" t="str">
            <v>Reflexive</v>
          </cell>
          <cell r="D1184" t="str">
            <v>Mastery</v>
          </cell>
          <cell r="E1184" t="str">
            <v>Scene</v>
          </cell>
          <cell r="F1184" t="str">
            <v>Your clothes are light armor. Spend motes for temporary bonus soak.</v>
          </cell>
          <cell r="G1184">
            <v>457</v>
          </cell>
          <cell r="H1184" t="str">
            <v>Dreaming Pearl</v>
          </cell>
          <cell r="I1184">
            <v>2</v>
          </cell>
          <cell r="J1184">
            <v>1</v>
          </cell>
          <cell r="L1184" t="str">
            <v/>
          </cell>
        </row>
        <row r="1185">
          <cell r="A1185" t="str">
            <v>Dreaming Pearl Courtesan Form</v>
          </cell>
          <cell r="B1185" t="str">
            <v>8m</v>
          </cell>
          <cell r="C1185" t="str">
            <v>Simple</v>
          </cell>
          <cell r="D1185" t="str">
            <v>Form</v>
          </cell>
          <cell r="E1185" t="str">
            <v>Scene</v>
          </cell>
          <cell r="F1185" t="str">
            <v>Form. EWR and PFD grant artifact weapons or armor. Make attacks from Short range.</v>
          </cell>
          <cell r="G1185">
            <v>457</v>
          </cell>
          <cell r="H1185" t="str">
            <v>Dreaming Pearl</v>
          </cell>
          <cell r="I1185">
            <v>4</v>
          </cell>
          <cell r="J1185">
            <v>2</v>
          </cell>
          <cell r="L1185" t="str">
            <v>Demure Carp Feint, Elegant Weapon Repertoire, Pearlescent Filligree Defense</v>
          </cell>
        </row>
        <row r="1186">
          <cell r="A1186" t="str">
            <v>Flurry of August Leaves</v>
          </cell>
          <cell r="B1186" t="str">
            <v>3m, 1wp</v>
          </cell>
          <cell r="C1186" t="str">
            <v>Supplemental</v>
          </cell>
          <cell r="D1186" t="str">
            <v>Decisive-only</v>
          </cell>
          <cell r="E1186" t="str">
            <v>Instant</v>
          </cell>
          <cell r="F1186" t="str">
            <v>Your weapon tags are more effective than normal.</v>
          </cell>
          <cell r="G1186">
            <v>457</v>
          </cell>
          <cell r="H1186" t="str">
            <v>Dreaming Pearl</v>
          </cell>
          <cell r="I1186">
            <v>4</v>
          </cell>
          <cell r="J1186">
            <v>2</v>
          </cell>
          <cell r="L1186" t="str">
            <v>Dreaming Pearl Courtesan Form</v>
          </cell>
        </row>
        <row r="1187">
          <cell r="A1187" t="str">
            <v>Vindictive Concubine's Pillow Book</v>
          </cell>
          <cell r="B1187" t="str">
            <v>7m</v>
          </cell>
          <cell r="C1187" t="str">
            <v>Reflexive</v>
          </cell>
          <cell r="D1187" t="str">
            <v>Decisive-only, Terrestrial</v>
          </cell>
          <cell r="E1187" t="str">
            <v>Instant</v>
          </cell>
          <cell r="F1187" t="str">
            <v>Decisive damage roll gains anywhere from double-10s to double-7s, depending on how many triggers are satisfied. Activated after attack succeeds.</v>
          </cell>
          <cell r="G1187">
            <v>458</v>
          </cell>
          <cell r="H1187" t="str">
            <v>Dreaming Pearl</v>
          </cell>
          <cell r="I1187">
            <v>5</v>
          </cell>
          <cell r="J1187">
            <v>3</v>
          </cell>
          <cell r="L1187" t="str">
            <v>Flurry of August Leaves</v>
          </cell>
        </row>
        <row r="1188">
          <cell r="A1188" t="str">
            <v>Fragrant Petal Fascination Kata</v>
          </cell>
          <cell r="B1188" t="str">
            <v>4m</v>
          </cell>
          <cell r="C1188" t="str">
            <v>Supplemental</v>
          </cell>
          <cell r="D1188" t="str">
            <v>None</v>
          </cell>
          <cell r="E1188" t="str">
            <v>Instant</v>
          </cell>
          <cell r="F1188" t="str">
            <v>Bonus successes to entice your enemy. Steal 1i in combat, if you succeed. Triggers VCP.</v>
          </cell>
          <cell r="G1188">
            <v>458</v>
          </cell>
          <cell r="H1188" t="str">
            <v>Dreaming Pearl</v>
          </cell>
          <cell r="I1188">
            <v>4</v>
          </cell>
          <cell r="J1188">
            <v>2</v>
          </cell>
          <cell r="L1188" t="str">
            <v>Dreaming Pearl Courtesan Form</v>
          </cell>
        </row>
        <row r="1189">
          <cell r="A1189" t="str">
            <v>Seven Storms Escape Prana</v>
          </cell>
          <cell r="B1189" t="str">
            <v>4m, 2i</v>
          </cell>
          <cell r="C1189" t="str">
            <v>Reflexive</v>
          </cell>
          <cell r="D1189" t="str">
            <v>Mastery</v>
          </cell>
          <cell r="E1189" t="str">
            <v>Instant</v>
          </cell>
          <cell r="F1189" t="str">
            <v>–(Appearance) to attempts to Rush, stop a Disengage, or control a grapple. Triggers VCP.</v>
          </cell>
          <cell r="G1189">
            <v>458</v>
          </cell>
          <cell r="H1189" t="str">
            <v>Dreaming Pearl</v>
          </cell>
          <cell r="I1189">
            <v>4</v>
          </cell>
          <cell r="J1189">
            <v>2</v>
          </cell>
          <cell r="L1189" t="str">
            <v>Fragrant Petal Fascination kata</v>
          </cell>
        </row>
        <row r="1190">
          <cell r="A1190" t="str">
            <v>Invoking the Chimera's Coils</v>
          </cell>
          <cell r="B1190" t="str">
            <v>- (+8m, 1wp)</v>
          </cell>
          <cell r="C1190" t="str">
            <v>Permanent</v>
          </cell>
          <cell r="D1190" t="str">
            <v>Mastery, Terrestrial</v>
          </cell>
          <cell r="E1190" t="str">
            <v>Permanent</v>
          </cell>
          <cell r="F1190" t="str">
            <v>Turn into a sort of deer-giraffe-gazelle-carp thing. Yes, really. Fly. Enhance all other Charms of this style in substantial ways. Fade from reality if you take any damage to your -4 level. Yes, this means you're dead.</v>
          </cell>
          <cell r="G1190">
            <v>458</v>
          </cell>
          <cell r="H1190" t="str">
            <v>Dreaming Pearl</v>
          </cell>
          <cell r="I1190">
            <v>5</v>
          </cell>
          <cell r="J1190">
            <v>3</v>
          </cell>
          <cell r="L1190" t="str">
            <v>Seven Storms Escape Prana, Vindicctive Concubine's Pillow Book</v>
          </cell>
        </row>
        <row r="1191">
          <cell r="A1191" t="str">
            <v>Naked Fang Draw</v>
          </cell>
          <cell r="B1191" t="str">
            <v>5m</v>
          </cell>
          <cell r="C1191" t="str">
            <v>Supplemental</v>
          </cell>
          <cell r="D1191" t="str">
            <v>None</v>
          </cell>
          <cell r="E1191" t="str">
            <v>Instant</v>
          </cell>
          <cell r="F1191" t="str">
            <v>+(2 or Essence) successes to a Join Battle roll. You can move Initiative to Charge. +1 Charge if you rolled highest.</v>
          </cell>
          <cell r="G1191">
            <v>461</v>
          </cell>
          <cell r="H1191" t="str">
            <v>Steel Devil</v>
          </cell>
          <cell r="I1191">
            <v>2</v>
          </cell>
          <cell r="J1191">
            <v>1</v>
          </cell>
          <cell r="L1191" t="str">
            <v/>
          </cell>
        </row>
        <row r="1192">
          <cell r="A1192" t="str">
            <v>Double Attack Technique</v>
          </cell>
          <cell r="B1192" t="str">
            <v>3m</v>
          </cell>
          <cell r="C1192" t="str">
            <v>Simple</v>
          </cell>
          <cell r="D1192" t="str">
            <v>Terrestrial, Withering-only</v>
          </cell>
          <cell r="E1192" t="str">
            <v>Instant</v>
          </cell>
          <cell r="F1192" t="str">
            <v>Make a Withering attack. If you roll enough extra successes to hit the target again, add (Dex + Charge/2) to damage.</v>
          </cell>
          <cell r="G1192">
            <v>461</v>
          </cell>
          <cell r="H1192" t="str">
            <v>Steel Devil</v>
          </cell>
          <cell r="I1192">
            <v>3</v>
          </cell>
          <cell r="J1192">
            <v>1</v>
          </cell>
          <cell r="L1192" t="str">
            <v>Naked Fang Draw</v>
          </cell>
        </row>
        <row r="1193">
          <cell r="A1193" t="str">
            <v>Triple Attack Technique</v>
          </cell>
          <cell r="B1193" t="str">
            <v>-</v>
          </cell>
          <cell r="C1193" t="str">
            <v>Permanent</v>
          </cell>
          <cell r="D1193" t="str">
            <v>Mastery, Terrestrial, Withering-only</v>
          </cell>
          <cell r="E1193" t="str">
            <v>Permanent</v>
          </cell>
          <cell r="F1193" t="str">
            <v>When using DAT, if you roll enough successes to hit the target a third time, increase bonus damage to (Dex + Charge).</v>
          </cell>
          <cell r="G1193">
            <v>462</v>
          </cell>
          <cell r="H1193" t="str">
            <v>Steel Devil</v>
          </cell>
          <cell r="I1193">
            <v>5</v>
          </cell>
          <cell r="J1193">
            <v>3</v>
          </cell>
          <cell r="L1193" t="str">
            <v>Double Attack Technique</v>
          </cell>
        </row>
        <row r="1194">
          <cell r="A1194" t="str">
            <v>Steel Devil Strike</v>
          </cell>
          <cell r="B1194" t="str">
            <v>5m, 1wp</v>
          </cell>
          <cell r="C1194" t="str">
            <v>Reflexive</v>
          </cell>
          <cell r="D1194" t="str">
            <v>Decisive-only, Mastery</v>
          </cell>
          <cell r="E1194" t="str">
            <v>Instant</v>
          </cell>
          <cell r="F1194" t="str">
            <v>After using DAT or TAT to deal significant damage, make a reflexive Decisive with bonus successes, spending only the Initiative you collected by using DAT or TAT.</v>
          </cell>
          <cell r="G1194">
            <v>462</v>
          </cell>
          <cell r="H1194" t="str">
            <v>Steel Devil</v>
          </cell>
          <cell r="I1194">
            <v>4</v>
          </cell>
          <cell r="J1194">
            <v>1</v>
          </cell>
          <cell r="L1194" t="str">
            <v>Double Attack Technique</v>
          </cell>
        </row>
        <row r="1195">
          <cell r="A1195" t="str">
            <v>Steel Devil Form</v>
          </cell>
          <cell r="B1195" t="str">
            <v>7m</v>
          </cell>
          <cell r="C1195" t="str">
            <v>Simple</v>
          </cell>
          <cell r="D1195" t="str">
            <v>Form</v>
          </cell>
          <cell r="E1195" t="str">
            <v>Scene</v>
          </cell>
          <cell r="F1195" t="str">
            <v>Form. +2 to your Charge capacity. +1 to your Charge capacity per unique opponent you Crash. No penalties to your off-hand attack. DAT and SDS are cheaper.</v>
          </cell>
          <cell r="G1195">
            <v>462</v>
          </cell>
          <cell r="H1195" t="str">
            <v>Steel Devil</v>
          </cell>
          <cell r="I1195">
            <v>5</v>
          </cell>
          <cell r="J1195">
            <v>1</v>
          </cell>
          <cell r="L1195" t="str">
            <v>Steel Devil Strike</v>
          </cell>
        </row>
        <row r="1196">
          <cell r="A1196" t="str">
            <v>Seconds Between Strife</v>
          </cell>
          <cell r="B1196" t="str">
            <v>4m, 1 charge per success</v>
          </cell>
          <cell r="C1196" t="str">
            <v>Supplemental</v>
          </cell>
          <cell r="D1196" t="str">
            <v>None</v>
          </cell>
          <cell r="E1196" t="str">
            <v>Instant</v>
          </cell>
          <cell r="F1196" t="str">
            <v>+1 success on a Rush per point of Charge spent. If Rush succeeds, Charge is refunded.</v>
          </cell>
          <cell r="G1196">
            <v>462</v>
          </cell>
          <cell r="H1196" t="str">
            <v>Steel Devil</v>
          </cell>
          <cell r="I1196">
            <v>5</v>
          </cell>
          <cell r="J1196">
            <v>3</v>
          </cell>
          <cell r="L1196" t="str">
            <v>Steel Devil Form</v>
          </cell>
        </row>
        <row r="1197">
          <cell r="A1197" t="str">
            <v>Sonic Slash</v>
          </cell>
          <cell r="B1197" t="str">
            <v>5m, 1wp</v>
          </cell>
          <cell r="C1197" t="str">
            <v>Reflexive</v>
          </cell>
          <cell r="D1197" t="str">
            <v>Decisive-only, Terrestrial</v>
          </cell>
          <cell r="E1197" t="str">
            <v>Instant</v>
          </cell>
          <cell r="F1197" t="str">
            <v>After successfully using SBS, if the opponent retreats, make a Decisive that hits all enemies in front out to Medium range, with damage equal to your Charge. Does not expend Charge.</v>
          </cell>
          <cell r="G1197">
            <v>462</v>
          </cell>
          <cell r="H1197" t="str">
            <v>Steel Devil</v>
          </cell>
          <cell r="I1197">
            <v>5</v>
          </cell>
          <cell r="J1197">
            <v>3</v>
          </cell>
          <cell r="L1197" t="str">
            <v>Secconds Between Strife</v>
          </cell>
        </row>
        <row r="1198">
          <cell r="A1198" t="str">
            <v>Dual-Slaying Stance</v>
          </cell>
          <cell r="B1198" t="str">
            <v>5m, 1wp</v>
          </cell>
          <cell r="C1198" t="str">
            <v>Simple</v>
          </cell>
          <cell r="D1198" t="str">
            <v>Form, Terrestrial</v>
          </cell>
          <cell r="E1198" t="str">
            <v>Scene</v>
          </cell>
          <cell r="F1198" t="str">
            <v>Form. +2 Parry. Your Parry cannot drop below 2. If you do not attack on your turn, you may make Decisive counterattacks with a mix of Charge and initiative.</v>
          </cell>
          <cell r="G1198">
            <v>463</v>
          </cell>
          <cell r="H1198" t="str">
            <v>Steel Devil</v>
          </cell>
          <cell r="I1198">
            <v>5</v>
          </cell>
          <cell r="J1198">
            <v>2</v>
          </cell>
          <cell r="L1198" t="str">
            <v>Steel Devil Form</v>
          </cell>
        </row>
        <row r="1199">
          <cell r="A1199" t="str">
            <v>Twin-Blade Defense</v>
          </cell>
          <cell r="B1199" t="str">
            <v>3m, 1 charge per success</v>
          </cell>
          <cell r="C1199" t="str">
            <v>Reflexive</v>
          </cell>
          <cell r="D1199" t="str">
            <v>None</v>
          </cell>
          <cell r="E1199" t="str">
            <v>Instant</v>
          </cell>
          <cell r="F1199" t="str">
            <v>Spend Charge after an attack hits to add extra bonuses to your Parry.</v>
          </cell>
          <cell r="G1199">
            <v>463</v>
          </cell>
          <cell r="H1199" t="str">
            <v>Steel Devil</v>
          </cell>
          <cell r="I1199">
            <v>5</v>
          </cell>
          <cell r="J1199">
            <v>3</v>
          </cell>
          <cell r="L1199" t="str">
            <v>Dual-Slaying Stance</v>
          </cell>
        </row>
        <row r="1200">
          <cell r="A1200" t="str">
            <v>Iron Lotus Unfurling</v>
          </cell>
          <cell r="B1200" t="str">
            <v>5m, 1wp</v>
          </cell>
          <cell r="C1200" t="str">
            <v>Reflexive</v>
          </cell>
          <cell r="D1200" t="str">
            <v>Counterattack, Decisive-only</v>
          </cell>
          <cell r="E1200" t="str">
            <v>Instant</v>
          </cell>
          <cell r="F1200" t="str">
            <v>After using TBD with at least 3 Charge left, reflexively Disarm your enemy. If successful, use Sonic Slash.</v>
          </cell>
          <cell r="G1200">
            <v>464</v>
          </cell>
          <cell r="H1200" t="str">
            <v>Steel Devil</v>
          </cell>
          <cell r="I1200">
            <v>5</v>
          </cell>
          <cell r="J1200">
            <v>3</v>
          </cell>
          <cell r="L1200" t="str">
            <v>Twin-Blade Defense</v>
          </cell>
        </row>
        <row r="1201">
          <cell r="A1201" t="str">
            <v>Empty Mind Strike</v>
          </cell>
          <cell r="B1201" t="str">
            <v>4m, 1wp</v>
          </cell>
          <cell r="C1201" t="str">
            <v>Reflexive</v>
          </cell>
          <cell r="D1201" t="str">
            <v>Decisive-only</v>
          </cell>
          <cell r="E1201" t="str">
            <v>Instant</v>
          </cell>
          <cell r="F1201" t="str">
            <v>As per SDS, but spending Charge instead of Initiative.</v>
          </cell>
          <cell r="G1201">
            <v>464</v>
          </cell>
          <cell r="H1201" t="str">
            <v>Steel Devil</v>
          </cell>
          <cell r="I1201">
            <v>5</v>
          </cell>
          <cell r="J1201">
            <v>2</v>
          </cell>
          <cell r="L1201" t="str">
            <v>Steel Devil Form</v>
          </cell>
        </row>
        <row r="1202">
          <cell r="A1202" t="str">
            <v>Dervish Blade Frenzy</v>
          </cell>
          <cell r="B1202" t="str">
            <v>12m, 1wp</v>
          </cell>
          <cell r="C1202" t="str">
            <v>Reflexive</v>
          </cell>
          <cell r="D1202" t="str">
            <v>Mastery, Withering-only</v>
          </cell>
          <cell r="E1202" t="str">
            <v>Instant</v>
          </cell>
          <cell r="F1202" t="str">
            <v>On using EMS, +1 Charge, and use TAT reflexively with bonus damage. If Solar, this activation of TAT allows a repeated use of SDS or EMS.</v>
          </cell>
          <cell r="G1202">
            <v>464</v>
          </cell>
          <cell r="H1202" t="str">
            <v>Steel Devil</v>
          </cell>
          <cell r="I1202">
            <v>5</v>
          </cell>
          <cell r="J1202">
            <v>3</v>
          </cell>
          <cell r="L1202" t="str">
            <v>Empty Mind Strike</v>
          </cell>
        </row>
        <row r="1203">
          <cell r="A1203" t="str">
            <v>Whirling Guillotine Dance</v>
          </cell>
          <cell r="B1203" t="str">
            <v>10m, 1wp</v>
          </cell>
          <cell r="C1203" t="str">
            <v>Simple</v>
          </cell>
          <cell r="D1203" t="str">
            <v>Form, Mastery</v>
          </cell>
          <cell r="E1203" t="str">
            <v>Scene</v>
          </cell>
          <cell r="F1203" t="str">
            <v>Fuse SDF and DSS.</v>
          </cell>
          <cell r="G1203">
            <v>464</v>
          </cell>
          <cell r="H1203" t="str">
            <v>Steel Devil</v>
          </cell>
          <cell r="I1203">
            <v>5</v>
          </cell>
          <cell r="J1203">
            <v>3</v>
          </cell>
          <cell r="L1203" t="str">
            <v>Dervish Blade Frenzy, Iron Lotus Unfurling, Sonic Slash</v>
          </cell>
        </row>
        <row r="1204">
          <cell r="A1204" t="str">
            <v>Air Dragon's Sight</v>
          </cell>
          <cell r="B1204" t="str">
            <v>1m, 1i</v>
          </cell>
          <cell r="C1204" t="str">
            <v>Reflexive</v>
          </cell>
          <cell r="D1204" t="str">
            <v>Air, Perilous</v>
          </cell>
          <cell r="E1204" t="str">
            <v>Instant</v>
          </cell>
          <cell r="H1204" t="str">
            <v>Air Dragon</v>
          </cell>
          <cell r="I1204">
            <v>2</v>
          </cell>
          <cell r="J1204">
            <v>1</v>
          </cell>
          <cell r="K1204">
            <v>0</v>
          </cell>
        </row>
        <row r="1205">
          <cell r="A1205" t="str">
            <v>Cloud-Treading Method</v>
          </cell>
          <cell r="B1205" t="str">
            <v>5m</v>
          </cell>
          <cell r="C1205" t="str">
            <v>Supplemental</v>
          </cell>
          <cell r="D1205" t="str">
            <v>Air, Mute</v>
          </cell>
          <cell r="E1205" t="str">
            <v>Instant</v>
          </cell>
          <cell r="H1205" t="str">
            <v>Air Dragon</v>
          </cell>
          <cell r="I1205">
            <v>3</v>
          </cell>
          <cell r="J1205">
            <v>1</v>
          </cell>
          <cell r="K1205">
            <v>0</v>
          </cell>
        </row>
        <row r="1206">
          <cell r="A1206" t="str">
            <v>Wind Dragon Speed</v>
          </cell>
          <cell r="B1206" t="str">
            <v>5m</v>
          </cell>
          <cell r="C1206" t="str">
            <v>Reflexive</v>
          </cell>
          <cell r="D1206" t="str">
            <v>Air</v>
          </cell>
          <cell r="E1206" t="str">
            <v>Instant</v>
          </cell>
          <cell r="H1206" t="str">
            <v>Air Dragon</v>
          </cell>
          <cell r="I1206">
            <v>3</v>
          </cell>
          <cell r="J1206">
            <v>2</v>
          </cell>
          <cell r="K1206">
            <v>0</v>
          </cell>
          <cell r="L1206" t="str">
            <v>Cloud-Treading Method</v>
          </cell>
        </row>
        <row r="1207">
          <cell r="A1207" t="str">
            <v>Breath-Seizing Technique</v>
          </cell>
          <cell r="B1207" t="str">
            <v>3m, 2i, 1wp</v>
          </cell>
          <cell r="C1207" t="str">
            <v>Simple</v>
          </cell>
          <cell r="D1207" t="str">
            <v>Air, Decisive-only, Stackable</v>
          </cell>
          <cell r="E1207" t="str">
            <v>Instant</v>
          </cell>
          <cell r="H1207" t="str">
            <v>Air Dragon</v>
          </cell>
          <cell r="I1207">
            <v>4</v>
          </cell>
          <cell r="J1207">
            <v>2</v>
          </cell>
          <cell r="K1207">
            <v>0</v>
          </cell>
          <cell r="L1207" t="str">
            <v>Air Dragon's Sight</v>
          </cell>
        </row>
        <row r="1208">
          <cell r="A1208" t="str">
            <v>Air Dragon Form</v>
          </cell>
          <cell r="B1208" t="str">
            <v>8m</v>
          </cell>
          <cell r="C1208" t="str">
            <v>Simple</v>
          </cell>
          <cell r="D1208" t="str">
            <v>Air, Form, Mute</v>
          </cell>
          <cell r="E1208" t="str">
            <v>One scene</v>
          </cell>
          <cell r="H1208" t="str">
            <v>Air Dragon</v>
          </cell>
          <cell r="I1208">
            <v>4</v>
          </cell>
          <cell r="J1208">
            <v>2</v>
          </cell>
          <cell r="K1208">
            <v>0</v>
          </cell>
          <cell r="L1208" t="str">
            <v>Breath-Seizing Technique, Wind Dragon Speed</v>
          </cell>
        </row>
        <row r="1209">
          <cell r="A1209" t="str">
            <v>Shroud of Unseen Winds</v>
          </cell>
          <cell r="B1209" t="str">
            <v>4m</v>
          </cell>
          <cell r="C1209" t="str">
            <v>Supplemental</v>
          </cell>
          <cell r="D1209" t="str">
            <v>Air, Mute, Perilous</v>
          </cell>
          <cell r="E1209" t="str">
            <v>Instant</v>
          </cell>
          <cell r="H1209" t="str">
            <v>Air Dragon</v>
          </cell>
          <cell r="I1209">
            <v>4</v>
          </cell>
          <cell r="J1209">
            <v>2</v>
          </cell>
          <cell r="K1209">
            <v>0</v>
          </cell>
          <cell r="L1209" t="str">
            <v>Air Dragon Form</v>
          </cell>
        </row>
        <row r="1210">
          <cell r="A1210" t="str">
            <v>Avenging Wind Strike</v>
          </cell>
          <cell r="B1210" t="str">
            <v>3m, 1wp</v>
          </cell>
          <cell r="C1210" t="str">
            <v>Supplemental</v>
          </cell>
          <cell r="D1210" t="str">
            <v>Air, Decisive-only</v>
          </cell>
          <cell r="E1210" t="str">
            <v>Instant</v>
          </cell>
          <cell r="H1210" t="str">
            <v>Air Dragon</v>
          </cell>
          <cell r="I1210">
            <v>4</v>
          </cell>
          <cell r="J1210">
            <v>3</v>
          </cell>
          <cell r="K1210">
            <v>0</v>
          </cell>
          <cell r="L1210" t="str">
            <v>Air Dragon Form</v>
          </cell>
        </row>
        <row r="1211">
          <cell r="A1211" t="str">
            <v>Lightning Strike Style</v>
          </cell>
          <cell r="B1211" t="str">
            <v>8m, 1wp</v>
          </cell>
          <cell r="C1211" t="str">
            <v>Supplemental</v>
          </cell>
          <cell r="D1211" t="str">
            <v>Air, Decisive-only</v>
          </cell>
          <cell r="E1211" t="str">
            <v>Instant</v>
          </cell>
          <cell r="H1211" t="str">
            <v>Air Dragon</v>
          </cell>
          <cell r="I1211">
            <v>5</v>
          </cell>
          <cell r="J1211">
            <v>3</v>
          </cell>
          <cell r="K1211">
            <v>0</v>
          </cell>
          <cell r="L1211" t="str">
            <v>Avenging Winds Strike</v>
          </cell>
        </row>
        <row r="1212">
          <cell r="A1212" t="str">
            <v>Thunderclap Kata</v>
          </cell>
          <cell r="B1212" t="str">
            <v>7m, 5i</v>
          </cell>
          <cell r="C1212" t="str">
            <v>Simple</v>
          </cell>
          <cell r="D1212" t="str">
            <v>Air, Perilous</v>
          </cell>
          <cell r="E1212" t="str">
            <v>Instant</v>
          </cell>
          <cell r="H1212" t="str">
            <v>Air Dragon</v>
          </cell>
          <cell r="I1212">
            <v>5</v>
          </cell>
          <cell r="J1212">
            <v>3</v>
          </cell>
          <cell r="K1212">
            <v>0</v>
          </cell>
          <cell r="L1212" t="str">
            <v>Avenging Winds Strike</v>
          </cell>
        </row>
        <row r="1213">
          <cell r="A1213" t="str">
            <v>Tornado Offense Technique</v>
          </cell>
          <cell r="B1213" t="str">
            <v>10m, 1wp</v>
          </cell>
          <cell r="C1213" t="str">
            <v>Simple</v>
          </cell>
          <cell r="D1213" t="str">
            <v>Air, Decisive-only</v>
          </cell>
          <cell r="E1213" t="str">
            <v>Instant</v>
          </cell>
          <cell r="H1213" t="str">
            <v>Air Dragon</v>
          </cell>
          <cell r="I1213">
            <v>5</v>
          </cell>
          <cell r="J1213">
            <v>4</v>
          </cell>
          <cell r="K1213">
            <v>0</v>
          </cell>
          <cell r="L1213" t="str">
            <v>Lightning Strike Style</v>
          </cell>
        </row>
        <row r="1214">
          <cell r="A1214" t="str">
            <v>Wrathful Winds Kiai</v>
          </cell>
          <cell r="B1214" t="str">
            <v>15m, 1wp</v>
          </cell>
          <cell r="C1214" t="str">
            <v>Simple</v>
          </cell>
          <cell r="D1214" t="str">
            <v>Air, Withering-only</v>
          </cell>
          <cell r="E1214" t="str">
            <v>Instant</v>
          </cell>
          <cell r="H1214" t="str">
            <v>Air Dragon</v>
          </cell>
          <cell r="I1214">
            <v>5</v>
          </cell>
          <cell r="J1214">
            <v>4</v>
          </cell>
          <cell r="K1214">
            <v>0</v>
          </cell>
          <cell r="L1214" t="str">
            <v>Thunderclap Kata</v>
          </cell>
        </row>
        <row r="1215">
          <cell r="A1215" t="str">
            <v>Hurricane Combat Method</v>
          </cell>
          <cell r="B1215" t="str">
            <v>- (+6m, 1wp)</v>
          </cell>
          <cell r="C1215" t="str">
            <v>Permanent</v>
          </cell>
          <cell r="D1215" t="str">
            <v>Air</v>
          </cell>
          <cell r="E1215" t="str">
            <v>Permanent</v>
          </cell>
          <cell r="H1215" t="str">
            <v>Air Dragon</v>
          </cell>
          <cell r="I1215">
            <v>5</v>
          </cell>
          <cell r="J1215">
            <v>5</v>
          </cell>
          <cell r="K1215">
            <v>0</v>
          </cell>
          <cell r="L1215" t="str">
            <v>Shroud of Unseen Winds, Tornado Offense Technique, Wrathful</v>
          </cell>
        </row>
        <row r="1216">
          <cell r="A1216" t="str">
            <v>Stone Dragon's Skin</v>
          </cell>
          <cell r="B1216" t="str">
            <v>5m, 1i</v>
          </cell>
          <cell r="C1216" t="str">
            <v>Reflexive</v>
          </cell>
          <cell r="D1216" t="str">
            <v>Dual, Earth, Perilous</v>
          </cell>
          <cell r="E1216" t="str">
            <v>Instant</v>
          </cell>
          <cell r="H1216" t="str">
            <v>Earth Dragon</v>
          </cell>
          <cell r="I1216">
            <v>2</v>
          </cell>
          <cell r="J1216">
            <v>1</v>
          </cell>
          <cell r="K1216">
            <v>0</v>
          </cell>
        </row>
        <row r="1217">
          <cell r="A1217" t="str">
            <v>Force of the Mountain</v>
          </cell>
          <cell r="B1217" t="str">
            <v>3m</v>
          </cell>
          <cell r="C1217" t="str">
            <v>Supplemental</v>
          </cell>
          <cell r="D1217" t="str">
            <v>Dual, Earth</v>
          </cell>
          <cell r="E1217" t="str">
            <v>Instant</v>
          </cell>
          <cell r="H1217" t="str">
            <v>Earth Dragon</v>
          </cell>
          <cell r="I1217">
            <v>3</v>
          </cell>
          <cell r="J1217">
            <v>1</v>
          </cell>
          <cell r="K1217">
            <v>0</v>
          </cell>
        </row>
        <row r="1218">
          <cell r="A1218" t="str">
            <v>Stillness-of-Stone Atemi</v>
          </cell>
          <cell r="B1218" t="str">
            <v>2m (+1i per point of penalty)</v>
          </cell>
          <cell r="C1218" t="str">
            <v>Supplemental</v>
          </cell>
          <cell r="D1218" t="str">
            <v>Earth, Withering-only</v>
          </cell>
          <cell r="E1218" t="str">
            <v>Instant</v>
          </cell>
          <cell r="H1218" t="str">
            <v>Earth Dragon</v>
          </cell>
          <cell r="I1218">
            <v>3</v>
          </cell>
          <cell r="J1218">
            <v>2</v>
          </cell>
          <cell r="K1218">
            <v>0</v>
          </cell>
          <cell r="L1218" t="str">
            <v>Force of the Mountain</v>
          </cell>
        </row>
        <row r="1219">
          <cell r="A1219" t="str">
            <v>Unmoving Mountain Stance</v>
          </cell>
          <cell r="B1219" t="str">
            <v>6m</v>
          </cell>
          <cell r="C1219" t="str">
            <v>Reflexive</v>
          </cell>
          <cell r="D1219" t="str">
            <v>Dual, Earth, Perilous</v>
          </cell>
          <cell r="E1219" t="str">
            <v>Instant</v>
          </cell>
          <cell r="H1219" t="str">
            <v>Earth Dragon</v>
          </cell>
          <cell r="I1219">
            <v>4</v>
          </cell>
          <cell r="J1219">
            <v>2</v>
          </cell>
          <cell r="K1219">
            <v>0</v>
          </cell>
          <cell r="L1219" t="str">
            <v>Stone Dragon's Skin</v>
          </cell>
        </row>
        <row r="1220">
          <cell r="A1220" t="str">
            <v>Earth Dragon Form</v>
          </cell>
          <cell r="B1220" t="str">
            <v>9m</v>
          </cell>
          <cell r="C1220" t="str">
            <v>Simple</v>
          </cell>
          <cell r="D1220" t="str">
            <v>Earth, Form</v>
          </cell>
          <cell r="E1220" t="str">
            <v>One scene</v>
          </cell>
          <cell r="H1220" t="str">
            <v>Earth Dragon</v>
          </cell>
          <cell r="I1220">
            <v>4</v>
          </cell>
          <cell r="J1220">
            <v>2</v>
          </cell>
          <cell r="K1220">
            <v>0</v>
          </cell>
          <cell r="L1220" t="str">
            <v>Stillness-of-Stone Atemi, Unmoving Mountain Stance</v>
          </cell>
        </row>
        <row r="1221">
          <cell r="A1221" t="str">
            <v>Ghost-Grounding Blow</v>
          </cell>
          <cell r="B1221" t="str">
            <v>5m, 5i, 1wp</v>
          </cell>
          <cell r="C1221" t="str">
            <v>Reflexive</v>
          </cell>
          <cell r="D1221" t="str">
            <v>Earth, Perilous, Withering-only</v>
          </cell>
          <cell r="E1221" t="str">
            <v>Instant</v>
          </cell>
          <cell r="H1221" t="str">
            <v>Earth Dragon</v>
          </cell>
          <cell r="I1221">
            <v>4</v>
          </cell>
          <cell r="J1221">
            <v>2</v>
          </cell>
          <cell r="K1221">
            <v>0</v>
          </cell>
          <cell r="L1221" t="str">
            <v>Earth Dragon Form</v>
          </cell>
        </row>
        <row r="1222">
          <cell r="A1222" t="str">
            <v>Earthshaker Attack</v>
          </cell>
          <cell r="B1222" t="str">
            <v>10m, 5i, 1wp</v>
          </cell>
          <cell r="C1222" t="str">
            <v>Simple</v>
          </cell>
          <cell r="D1222" t="str">
            <v>Decisive-only, Earth</v>
          </cell>
          <cell r="E1222" t="str">
            <v>Instant</v>
          </cell>
          <cell r="H1222" t="str">
            <v>Earth Dragon</v>
          </cell>
          <cell r="I1222">
            <v>5</v>
          </cell>
          <cell r="J1222">
            <v>3</v>
          </cell>
          <cell r="K1222">
            <v>0</v>
          </cell>
          <cell r="L1222" t="str">
            <v>Earth Dragon Form</v>
          </cell>
        </row>
        <row r="1223">
          <cell r="A1223" t="str">
            <v>Shattering Fist Strike</v>
          </cell>
          <cell r="B1223" t="str">
            <v>3m, 1wp</v>
          </cell>
          <cell r="C1223" t="str">
            <v>Supplemental</v>
          </cell>
          <cell r="D1223" t="str">
            <v>Decisive-only, Earth</v>
          </cell>
          <cell r="E1223" t="str">
            <v>Instant</v>
          </cell>
          <cell r="H1223" t="str">
            <v>Earth Dragon</v>
          </cell>
          <cell r="I1223">
            <v>5</v>
          </cell>
          <cell r="J1223">
            <v>3</v>
          </cell>
          <cell r="K1223">
            <v>0</v>
          </cell>
          <cell r="L1223" t="str">
            <v>Earth Dragon Form</v>
          </cell>
        </row>
        <row r="1224">
          <cell r="A1224" t="str">
            <v>Weapon-Breaking Defense Technique</v>
          </cell>
          <cell r="B1224" t="str">
            <v>10m, 1wp</v>
          </cell>
          <cell r="C1224" t="str">
            <v>Reflexive</v>
          </cell>
          <cell r="D1224" t="str">
            <v>Clash, Decisive-only, Earth</v>
          </cell>
          <cell r="E1224" t="str">
            <v>Instant</v>
          </cell>
          <cell r="H1224" t="str">
            <v>Earth Dragon</v>
          </cell>
          <cell r="I1224">
            <v>5</v>
          </cell>
          <cell r="J1224">
            <v>3</v>
          </cell>
          <cell r="K1224">
            <v>0</v>
          </cell>
          <cell r="L1224" t="str">
            <v>Shattering Fist Strike</v>
          </cell>
        </row>
        <row r="1225">
          <cell r="A1225" t="str">
            <v>Avalanche Method</v>
          </cell>
          <cell r="B1225" t="str">
            <v>20m, 1wp</v>
          </cell>
          <cell r="C1225" t="str">
            <v>Simple</v>
          </cell>
          <cell r="D1225" t="str">
            <v>Decisive-only, Earth</v>
          </cell>
          <cell r="E1225" t="str">
            <v>Instant</v>
          </cell>
          <cell r="H1225" t="str">
            <v>Earth Dragon</v>
          </cell>
          <cell r="I1225">
            <v>5</v>
          </cell>
          <cell r="J1225">
            <v>4</v>
          </cell>
          <cell r="K1225">
            <v>0</v>
          </cell>
          <cell r="L1225" t="str">
            <v>Weapon-Breaking Defense Technique</v>
          </cell>
        </row>
        <row r="1226">
          <cell r="A1226" t="str">
            <v>Hungry Earth Strike</v>
          </cell>
          <cell r="B1226" t="str">
            <v>10m, 6i, 1wp</v>
          </cell>
          <cell r="C1226" t="str">
            <v>Supplemental</v>
          </cell>
          <cell r="D1226" t="str">
            <v>Earth, Perilous, Withering-only</v>
          </cell>
          <cell r="E1226" t="str">
            <v>Instant</v>
          </cell>
          <cell r="H1226" t="str">
            <v>Earth Dragon</v>
          </cell>
          <cell r="I1226">
            <v>5</v>
          </cell>
          <cell r="J1226">
            <v>4</v>
          </cell>
          <cell r="K1226">
            <v>0</v>
          </cell>
          <cell r="L1226" t="str">
            <v>Earthshaker Attack, Ghost-Grounding Blow</v>
          </cell>
        </row>
        <row r="1227">
          <cell r="A1227" t="str">
            <v>Perfection of Earth Body</v>
          </cell>
          <cell r="B1227" t="str">
            <v>- (+6m, 6i, 1wp)</v>
          </cell>
          <cell r="C1227" t="str">
            <v>Permanent</v>
          </cell>
          <cell r="D1227" t="str">
            <v>Earth, Perilous</v>
          </cell>
          <cell r="E1227" t="str">
            <v>Permanent</v>
          </cell>
          <cell r="H1227" t="str">
            <v>Earth Dragon</v>
          </cell>
          <cell r="I1227">
            <v>5</v>
          </cell>
          <cell r="J1227">
            <v>5</v>
          </cell>
          <cell r="K1227">
            <v>0</v>
          </cell>
          <cell r="L1227" t="str">
            <v>Avalanche Method, Hungry Earth Strike</v>
          </cell>
        </row>
        <row r="1228">
          <cell r="A1228" t="str">
            <v>Flash-Fire Technique</v>
          </cell>
          <cell r="B1228" t="str">
            <v>5m, 1wp</v>
          </cell>
          <cell r="C1228" t="str">
            <v>Supplemental</v>
          </cell>
          <cell r="D1228" t="str">
            <v>Decisive-only, Fire</v>
          </cell>
          <cell r="E1228" t="str">
            <v>Instant</v>
          </cell>
          <cell r="H1228" t="str">
            <v>Fire Dragon</v>
          </cell>
          <cell r="I1228">
            <v>3</v>
          </cell>
          <cell r="J1228">
            <v>1</v>
          </cell>
          <cell r="K1228">
            <v>0</v>
          </cell>
        </row>
        <row r="1229">
          <cell r="A1229" t="str">
            <v>Searing Edge Attack</v>
          </cell>
          <cell r="B1229" t="str">
            <v>3m</v>
          </cell>
          <cell r="C1229" t="str">
            <v>Supplemental</v>
          </cell>
          <cell r="D1229" t="str">
            <v>Fire, Withering-only</v>
          </cell>
          <cell r="E1229" t="str">
            <v>Instant</v>
          </cell>
          <cell r="H1229" t="str">
            <v>Fire Dragon</v>
          </cell>
          <cell r="I1229">
            <v>3</v>
          </cell>
          <cell r="J1229">
            <v>1</v>
          </cell>
          <cell r="K1229">
            <v>0</v>
          </cell>
        </row>
        <row r="1230">
          <cell r="A1230" t="str">
            <v>Flame-Flicker Stance</v>
          </cell>
          <cell r="B1230" t="str">
            <v>3m</v>
          </cell>
          <cell r="C1230" t="str">
            <v>Reflexive</v>
          </cell>
          <cell r="D1230" t="str">
            <v>Fire, Perilous</v>
          </cell>
          <cell r="E1230" t="str">
            <v>Instant</v>
          </cell>
          <cell r="H1230" t="str">
            <v>Fire Dragon</v>
          </cell>
          <cell r="I1230">
            <v>3</v>
          </cell>
          <cell r="J1230">
            <v>2</v>
          </cell>
          <cell r="K1230">
            <v>0</v>
          </cell>
          <cell r="L1230" t="str">
            <v>Flash-Fire Technique</v>
          </cell>
        </row>
        <row r="1231">
          <cell r="A1231" t="str">
            <v>Perfect Blazing Blow</v>
          </cell>
          <cell r="B1231" t="str">
            <v>3m, 1wp</v>
          </cell>
          <cell r="C1231" t="str">
            <v>Supplemental</v>
          </cell>
          <cell r="D1231" t="str">
            <v>Decisive-only, Fire</v>
          </cell>
          <cell r="E1231" t="str">
            <v>Instant</v>
          </cell>
          <cell r="H1231" t="str">
            <v>Fire Dragon</v>
          </cell>
          <cell r="I1231">
            <v>4</v>
          </cell>
          <cell r="J1231">
            <v>2</v>
          </cell>
          <cell r="K1231">
            <v>0</v>
          </cell>
          <cell r="L1231" t="str">
            <v>Searing Edge Attack</v>
          </cell>
        </row>
        <row r="1232">
          <cell r="A1232" t="str">
            <v>Fire Dragon Form</v>
          </cell>
          <cell r="B1232" t="str">
            <v>7m</v>
          </cell>
          <cell r="C1232" t="str">
            <v>Simple</v>
          </cell>
          <cell r="D1232" t="str">
            <v>Fire, Form</v>
          </cell>
          <cell r="E1232" t="str">
            <v>One scene</v>
          </cell>
          <cell r="H1232" t="str">
            <v>Fire Dragon</v>
          </cell>
          <cell r="I1232">
            <v>4</v>
          </cell>
          <cell r="J1232">
            <v>2</v>
          </cell>
          <cell r="K1232">
            <v>0</v>
          </cell>
          <cell r="L1232" t="str">
            <v>Flame-Flicker Stance, Perfect Blazing Blow</v>
          </cell>
        </row>
        <row r="1233">
          <cell r="A1233" t="str">
            <v>God-Immolating Strike</v>
          </cell>
          <cell r="B1233" t="str">
            <v>5m</v>
          </cell>
          <cell r="C1233" t="str">
            <v>Supplemental</v>
          </cell>
          <cell r="D1233" t="str">
            <v>Decisive-only, Fire</v>
          </cell>
          <cell r="E1233" t="str">
            <v>Instant</v>
          </cell>
          <cell r="H1233" t="str">
            <v>Fire Dragon</v>
          </cell>
          <cell r="I1233">
            <v>4</v>
          </cell>
          <cell r="J1233">
            <v>2</v>
          </cell>
          <cell r="K1233">
            <v>0</v>
          </cell>
          <cell r="L1233" t="str">
            <v>Fire Dragon Form</v>
          </cell>
        </row>
        <row r="1234">
          <cell r="A1234" t="str">
            <v>Essence-Igniting Nerve Strike</v>
          </cell>
          <cell r="B1234" t="str">
            <v>4m, 1wp</v>
          </cell>
          <cell r="C1234" t="str">
            <v>Simple</v>
          </cell>
          <cell r="D1234" t="str">
            <v>Fire, Withering-only</v>
          </cell>
          <cell r="E1234" t="str">
            <v>Instant</v>
          </cell>
          <cell r="H1234" t="str">
            <v>Fire Dragon</v>
          </cell>
          <cell r="I1234">
            <v>4</v>
          </cell>
          <cell r="J1234">
            <v>3</v>
          </cell>
          <cell r="K1234">
            <v>0</v>
          </cell>
          <cell r="L1234" t="str">
            <v>God-Immolating Strike</v>
          </cell>
        </row>
        <row r="1235">
          <cell r="A1235" t="str">
            <v>Overwhelming Fire Majesty Stance</v>
          </cell>
          <cell r="B1235" t="str">
            <v>6m, 3i</v>
          </cell>
          <cell r="C1235" t="str">
            <v>Reflexive</v>
          </cell>
          <cell r="D1235" t="str">
            <v>Fire, Perilous</v>
          </cell>
          <cell r="E1235" t="str">
            <v>Until next turn</v>
          </cell>
          <cell r="H1235" t="str">
            <v>Fire Dragon</v>
          </cell>
          <cell r="I1235">
            <v>4</v>
          </cell>
          <cell r="J1235">
            <v>3</v>
          </cell>
          <cell r="K1235">
            <v>0</v>
          </cell>
          <cell r="L1235" t="str">
            <v>Fire Dragon Form</v>
          </cell>
        </row>
        <row r="1236">
          <cell r="A1236" t="str">
            <v>Fiery Blade Attack</v>
          </cell>
          <cell r="B1236" t="str">
            <v>5m, 4i</v>
          </cell>
          <cell r="C1236" t="str">
            <v>Simple</v>
          </cell>
          <cell r="D1236" t="str">
            <v>Decisive-only, Fire</v>
          </cell>
          <cell r="E1236" t="str">
            <v>Instant</v>
          </cell>
          <cell r="H1236" t="str">
            <v>Fire Dragon</v>
          </cell>
          <cell r="I1236">
            <v>5</v>
          </cell>
          <cell r="J1236">
            <v>3</v>
          </cell>
          <cell r="K1236">
            <v>0</v>
          </cell>
          <cell r="L1236" t="str">
            <v>Fire Dragon Form</v>
          </cell>
        </row>
        <row r="1237">
          <cell r="A1237" t="str">
            <v>Breath of the Fire Dragon</v>
          </cell>
          <cell r="B1237" t="str">
            <v>15m, 1wp</v>
          </cell>
          <cell r="C1237" t="str">
            <v>Simple</v>
          </cell>
          <cell r="D1237" t="str">
            <v>Decisive-only, Fire</v>
          </cell>
          <cell r="E1237" t="str">
            <v>Instant</v>
          </cell>
          <cell r="H1237" t="str">
            <v>Fire Dragon</v>
          </cell>
          <cell r="I1237">
            <v>5</v>
          </cell>
          <cell r="J1237">
            <v>4</v>
          </cell>
          <cell r="K1237">
            <v>0</v>
          </cell>
          <cell r="L1237" t="str">
            <v>Overwhelming Fire Majesty Stance</v>
          </cell>
        </row>
        <row r="1238">
          <cell r="A1238" t="str">
            <v>Smoldering Wound Attack</v>
          </cell>
          <cell r="B1238" t="str">
            <v>5m, 1wp</v>
          </cell>
          <cell r="C1238" t="str">
            <v>Reflexive</v>
          </cell>
          <cell r="D1238" t="str">
            <v>Decisive-only, Fire</v>
          </cell>
          <cell r="E1238" t="str">
            <v>Instant</v>
          </cell>
          <cell r="H1238" t="str">
            <v>Fire Dragon</v>
          </cell>
          <cell r="I1238">
            <v>5</v>
          </cell>
          <cell r="J1238">
            <v>4</v>
          </cell>
          <cell r="K1238">
            <v>0</v>
          </cell>
          <cell r="L1238" t="str">
            <v>Essence-Igniting Nerve Strike, Fiery Blade Attack</v>
          </cell>
        </row>
        <row r="1239">
          <cell r="A1239" t="str">
            <v>Consuming Might of the Fire Dragon</v>
          </cell>
          <cell r="B1239" t="str">
            <v>- (+5m, 1wp)</v>
          </cell>
          <cell r="C1239" t="str">
            <v>Permanent</v>
          </cell>
          <cell r="D1239" t="str">
            <v>Dual, Fire</v>
          </cell>
          <cell r="E1239" t="str">
            <v>Permanent</v>
          </cell>
          <cell r="H1239" t="str">
            <v>Fire Dragon</v>
          </cell>
          <cell r="I1239">
            <v>5</v>
          </cell>
          <cell r="J1239">
            <v>5</v>
          </cell>
          <cell r="K1239">
            <v>0</v>
          </cell>
          <cell r="L1239" t="str">
            <v>Breath of the Fire Dragon, Smoldering Wound Attack</v>
          </cell>
        </row>
        <row r="1240">
          <cell r="A1240" t="str">
            <v>Flowing Water Defense</v>
          </cell>
          <cell r="B1240" t="str">
            <v>4m</v>
          </cell>
          <cell r="C1240" t="str">
            <v>Reflexive</v>
          </cell>
          <cell r="D1240" t="str">
            <v>Perilous, Water</v>
          </cell>
          <cell r="E1240" t="str">
            <v>Instant</v>
          </cell>
          <cell r="H1240" t="str">
            <v>Water Dragon</v>
          </cell>
          <cell r="I1240">
            <v>3</v>
          </cell>
          <cell r="J1240">
            <v>1</v>
          </cell>
          <cell r="K1240">
            <v>0</v>
          </cell>
        </row>
        <row r="1241">
          <cell r="A1241" t="str">
            <v>Rippling Water Strike</v>
          </cell>
          <cell r="B1241" t="str">
            <v>5m</v>
          </cell>
          <cell r="C1241" t="str">
            <v>Supplemental</v>
          </cell>
          <cell r="D1241" t="str">
            <v>Water, Withering-only</v>
          </cell>
          <cell r="E1241" t="str">
            <v>Instant</v>
          </cell>
          <cell r="H1241" t="str">
            <v>Water Dragon</v>
          </cell>
          <cell r="I1241">
            <v>3</v>
          </cell>
          <cell r="J1241">
            <v>1</v>
          </cell>
          <cell r="K1241">
            <v>0</v>
          </cell>
        </row>
        <row r="1242">
          <cell r="A1242" t="str">
            <v>Drowning-in-Blood Technique</v>
          </cell>
          <cell r="B1242" t="str">
            <v>3m</v>
          </cell>
          <cell r="C1242" t="str">
            <v>Supplemental</v>
          </cell>
          <cell r="D1242" t="str">
            <v>Decisive-only, Water</v>
          </cell>
          <cell r="E1242" t="str">
            <v>Instant</v>
          </cell>
          <cell r="H1242" t="str">
            <v>Water Dragon</v>
          </cell>
          <cell r="I1242">
            <v>3</v>
          </cell>
          <cell r="J1242">
            <v>2</v>
          </cell>
          <cell r="K1242">
            <v>0</v>
          </cell>
        </row>
        <row r="1243">
          <cell r="A1243" t="str">
            <v>Shrugging Water-Dragon Escape</v>
          </cell>
          <cell r="B1243" t="str">
            <v>4m</v>
          </cell>
          <cell r="C1243" t="str">
            <v>Supplemental</v>
          </cell>
          <cell r="D1243" t="str">
            <v>Water</v>
          </cell>
          <cell r="E1243" t="str">
            <v>Instant</v>
          </cell>
          <cell r="H1243" t="str">
            <v>Water Dragon</v>
          </cell>
          <cell r="I1243">
            <v>4</v>
          </cell>
          <cell r="J1243">
            <v>2</v>
          </cell>
          <cell r="K1243">
            <v>0</v>
          </cell>
          <cell r="L1243" t="str">
            <v>Flowing Water Defense</v>
          </cell>
        </row>
        <row r="1244">
          <cell r="A1244" t="str">
            <v>Water Dragon Form</v>
          </cell>
          <cell r="B1244" t="str">
            <v>10m</v>
          </cell>
          <cell r="C1244" t="str">
            <v>Simple</v>
          </cell>
          <cell r="D1244" t="str">
            <v>Form, Water</v>
          </cell>
          <cell r="E1244" t="str">
            <v>One scene</v>
          </cell>
          <cell r="H1244" t="str">
            <v>Water Dragon</v>
          </cell>
          <cell r="I1244">
            <v>4</v>
          </cell>
          <cell r="J1244">
            <v>2</v>
          </cell>
          <cell r="K1244">
            <v>0</v>
          </cell>
          <cell r="L1244" t="str">
            <v>Drowning-in-Blood Technique, Shrugging Water Dragon Escape</v>
          </cell>
        </row>
        <row r="1245">
          <cell r="A1245" t="str">
            <v>Theft-of-Essence Method</v>
          </cell>
          <cell r="B1245" t="str">
            <v>4i</v>
          </cell>
          <cell r="C1245" t="str">
            <v>Reflexive</v>
          </cell>
          <cell r="D1245" t="str">
            <v>Perilous, Water</v>
          </cell>
          <cell r="E1245" t="str">
            <v>Instant</v>
          </cell>
          <cell r="H1245" t="str">
            <v>Water Dragon</v>
          </cell>
          <cell r="I1245">
            <v>4</v>
          </cell>
          <cell r="J1245">
            <v>2</v>
          </cell>
          <cell r="K1245">
            <v>0</v>
          </cell>
          <cell r="L1245" t="str">
            <v>Water Dragon Form</v>
          </cell>
        </row>
        <row r="1246">
          <cell r="A1246" t="str">
            <v>Bottomless Depths Defense</v>
          </cell>
          <cell r="B1246" t="str">
            <v>5m, 1ahl</v>
          </cell>
          <cell r="C1246" t="str">
            <v>Reflexive</v>
          </cell>
          <cell r="D1246" t="str">
            <v>Perilous, Water</v>
          </cell>
          <cell r="E1246" t="str">
            <v>Instant</v>
          </cell>
          <cell r="H1246" t="str">
            <v>Water Dragon</v>
          </cell>
          <cell r="I1246">
            <v>5</v>
          </cell>
          <cell r="J1246">
            <v>3</v>
          </cell>
          <cell r="K1246">
            <v>0</v>
          </cell>
          <cell r="L1246" t="str">
            <v>Water Dragon Form</v>
          </cell>
        </row>
        <row r="1247">
          <cell r="A1247" t="str">
            <v>Essence-Dousing Wave Attack</v>
          </cell>
          <cell r="B1247" t="str">
            <v>5m, 1wp</v>
          </cell>
          <cell r="C1247" t="str">
            <v>Supplemental</v>
          </cell>
          <cell r="D1247" t="str">
            <v>Decisive-only, Water</v>
          </cell>
          <cell r="E1247" t="str">
            <v>Instant</v>
          </cell>
          <cell r="H1247" t="str">
            <v>Water Dragon</v>
          </cell>
          <cell r="I1247">
            <v>5</v>
          </cell>
          <cell r="J1247">
            <v>3</v>
          </cell>
          <cell r="K1247">
            <v>0</v>
          </cell>
          <cell r="L1247" t="str">
            <v>Theft-of-Essence Method</v>
          </cell>
        </row>
        <row r="1248">
          <cell r="A1248" t="str">
            <v>Flow Reversal Strike</v>
          </cell>
          <cell r="B1248" t="str">
            <v>7m, 1wp</v>
          </cell>
          <cell r="C1248" t="str">
            <v>Simple</v>
          </cell>
          <cell r="D1248" t="str">
            <v>Decisive-only, Water</v>
          </cell>
          <cell r="E1248" t="str">
            <v>Instant</v>
          </cell>
          <cell r="H1248" t="str">
            <v>Water Dragon</v>
          </cell>
          <cell r="I1248">
            <v>5</v>
          </cell>
          <cell r="J1248">
            <v>3</v>
          </cell>
          <cell r="K1248">
            <v>0</v>
          </cell>
          <cell r="L1248" t="str">
            <v>Theft-of-Essence Method</v>
          </cell>
        </row>
        <row r="1249">
          <cell r="A1249" t="str">
            <v>Crashing Wave Style</v>
          </cell>
          <cell r="B1249" t="str">
            <v>5m, 5i, 1wp</v>
          </cell>
          <cell r="C1249" t="str">
            <v>Simple</v>
          </cell>
          <cell r="D1249" t="str">
            <v>Perilous, Water, Withering-only</v>
          </cell>
          <cell r="E1249" t="str">
            <v>Instant</v>
          </cell>
          <cell r="H1249" t="str">
            <v>Water Dragon</v>
          </cell>
          <cell r="I1249">
            <v>5</v>
          </cell>
          <cell r="J1249">
            <v>4</v>
          </cell>
          <cell r="K1249">
            <v>0</v>
          </cell>
          <cell r="L1249" t="str">
            <v>Flow Reversal Strike</v>
          </cell>
        </row>
        <row r="1250">
          <cell r="A1250" t="str">
            <v>Ghost-Restraining Whirlpool</v>
          </cell>
          <cell r="B1250" t="str">
            <v>6m, 2i, 1wp</v>
          </cell>
          <cell r="C1250" t="str">
            <v>Simple</v>
          </cell>
          <cell r="D1250" t="str">
            <v>Perilous, Water</v>
          </cell>
          <cell r="E1250" t="str">
            <v>One scene</v>
          </cell>
          <cell r="H1250" t="str">
            <v>Water Dragon</v>
          </cell>
          <cell r="I1250">
            <v>5</v>
          </cell>
          <cell r="J1250">
            <v>4</v>
          </cell>
          <cell r="K1250">
            <v>0</v>
          </cell>
          <cell r="L1250" t="str">
            <v>Essence-Dousing Wave Attack</v>
          </cell>
        </row>
        <row r="1251">
          <cell r="A1251" t="str">
            <v>Tsunami-Force Shout</v>
          </cell>
          <cell r="B1251" t="str">
            <v>10m, 10i, 1wp</v>
          </cell>
          <cell r="C1251" t="str">
            <v>Simple</v>
          </cell>
          <cell r="D1251" t="str">
            <v>Decisive-only, Water</v>
          </cell>
          <cell r="E1251" t="str">
            <v>Instant</v>
          </cell>
          <cell r="H1251" t="str">
            <v>Water Dragon</v>
          </cell>
          <cell r="I1251">
            <v>5</v>
          </cell>
          <cell r="J1251">
            <v>5</v>
          </cell>
          <cell r="K1251">
            <v>0</v>
          </cell>
          <cell r="L1251" t="str">
            <v>Bottomless Depths Defense, Crashing Wave Style, GhostRestraining Whirlpool</v>
          </cell>
        </row>
        <row r="1252">
          <cell r="A1252" t="str">
            <v>Wood Dragon Vitality</v>
          </cell>
          <cell r="B1252" t="str">
            <v>5m</v>
          </cell>
          <cell r="C1252" t="str">
            <v>Reflexive</v>
          </cell>
          <cell r="D1252" t="str">
            <v>Dual, Wood</v>
          </cell>
          <cell r="E1252" t="str">
            <v>Instant</v>
          </cell>
          <cell r="H1252" t="str">
            <v>Wood Dragon</v>
          </cell>
          <cell r="I1252">
            <v>2</v>
          </cell>
          <cell r="J1252">
            <v>1</v>
          </cell>
          <cell r="K1252">
            <v>0</v>
          </cell>
        </row>
        <row r="1253">
          <cell r="A1253" t="str">
            <v>Eyes of the Wood Dragon</v>
          </cell>
          <cell r="B1253" t="str">
            <v>4m</v>
          </cell>
          <cell r="C1253" t="str">
            <v>Supplemental</v>
          </cell>
          <cell r="D1253" t="str">
            <v>Withering-only, Wood</v>
          </cell>
          <cell r="E1253" t="str">
            <v>Instant</v>
          </cell>
          <cell r="H1253" t="str">
            <v>Wood Dragon</v>
          </cell>
          <cell r="I1253">
            <v>3</v>
          </cell>
          <cell r="J1253">
            <v>1</v>
          </cell>
          <cell r="K1253">
            <v>0</v>
          </cell>
        </row>
        <row r="1254">
          <cell r="A1254" t="str">
            <v>Mind-Over-Body Meditation</v>
          </cell>
          <cell r="B1254" t="str">
            <v>5m, 1wp</v>
          </cell>
          <cell r="C1254" t="str">
            <v>Simple</v>
          </cell>
          <cell r="D1254" t="str">
            <v>Perilous, Wood</v>
          </cell>
          <cell r="E1254" t="str">
            <v>Instant</v>
          </cell>
          <cell r="H1254" t="str">
            <v>Wood Dragon</v>
          </cell>
          <cell r="I1254">
            <v>3</v>
          </cell>
          <cell r="J1254">
            <v>2</v>
          </cell>
          <cell r="K1254">
            <v>0</v>
          </cell>
          <cell r="L1254" t="str">
            <v>Wood Dragon Vitality</v>
          </cell>
        </row>
        <row r="1255">
          <cell r="A1255" t="str">
            <v>Soul-Marking Style</v>
          </cell>
          <cell r="B1255" t="str">
            <v>3m, 2i</v>
          </cell>
          <cell r="C1255" t="str">
            <v>Supplemental</v>
          </cell>
          <cell r="D1255" t="str">
            <v>Decisive-only, Wood</v>
          </cell>
          <cell r="E1255" t="str">
            <v>Instant</v>
          </cell>
          <cell r="H1255" t="str">
            <v>Wood Dragon</v>
          </cell>
          <cell r="I1255">
            <v>4</v>
          </cell>
          <cell r="J1255">
            <v>2</v>
          </cell>
          <cell r="K1255">
            <v>0</v>
          </cell>
          <cell r="L1255" t="str">
            <v>Eyes of the Wood Dragon</v>
          </cell>
        </row>
        <row r="1256">
          <cell r="A1256" t="str">
            <v>Wood Dragon Form</v>
          </cell>
          <cell r="B1256" t="str">
            <v>10m</v>
          </cell>
          <cell r="C1256" t="str">
            <v>Simple</v>
          </cell>
          <cell r="D1256" t="str">
            <v>Form, Wood</v>
          </cell>
          <cell r="E1256" t="str">
            <v>One scene</v>
          </cell>
          <cell r="H1256" t="str">
            <v>Wood Dragon</v>
          </cell>
          <cell r="I1256">
            <v>4</v>
          </cell>
          <cell r="J1256">
            <v>2</v>
          </cell>
          <cell r="K1256">
            <v>0</v>
          </cell>
          <cell r="L1256" t="str">
            <v>Mind-Over-Body Meditation, Soul-Marking Style</v>
          </cell>
        </row>
        <row r="1257">
          <cell r="A1257" t="str">
            <v>Spirit-Wracking Method</v>
          </cell>
          <cell r="B1257" t="str">
            <v>7m</v>
          </cell>
          <cell r="C1257" t="str">
            <v>Supplemental</v>
          </cell>
          <cell r="D1257" t="str">
            <v>Withering-only, Wood</v>
          </cell>
          <cell r="E1257" t="str">
            <v>Instant</v>
          </cell>
          <cell r="H1257" t="str">
            <v>Wood Dragon</v>
          </cell>
          <cell r="I1257">
            <v>4</v>
          </cell>
          <cell r="J1257">
            <v>2</v>
          </cell>
          <cell r="K1257">
            <v>0</v>
          </cell>
          <cell r="L1257" t="str">
            <v>Wood Dragon Form</v>
          </cell>
        </row>
        <row r="1258">
          <cell r="A1258" t="str">
            <v>Death-Pattern-Sensing Attitude</v>
          </cell>
          <cell r="B1258" t="str">
            <v>5m, 2i (+1wp)</v>
          </cell>
          <cell r="C1258" t="str">
            <v>Reflexive</v>
          </cell>
          <cell r="D1258" t="str">
            <v>Perilous, Wood</v>
          </cell>
          <cell r="E1258" t="str">
            <v>Until next turn</v>
          </cell>
          <cell r="H1258" t="str">
            <v>Wood Dragon</v>
          </cell>
          <cell r="I1258">
            <v>4</v>
          </cell>
          <cell r="J1258">
            <v>3</v>
          </cell>
          <cell r="K1258">
            <v>0</v>
          </cell>
          <cell r="L1258" t="str">
            <v>Wood Dragon Form</v>
          </cell>
        </row>
        <row r="1259">
          <cell r="A1259" t="str">
            <v>Spirit-Rending Technique</v>
          </cell>
          <cell r="B1259" t="str">
            <v>8m, 1wp</v>
          </cell>
          <cell r="C1259" t="str">
            <v>Supplemental</v>
          </cell>
          <cell r="D1259" t="str">
            <v>Decisive-only, Wood</v>
          </cell>
          <cell r="E1259" t="str">
            <v>Instant</v>
          </cell>
          <cell r="H1259" t="str">
            <v>Wood Dragon</v>
          </cell>
          <cell r="I1259">
            <v>4</v>
          </cell>
          <cell r="J1259">
            <v>3</v>
          </cell>
          <cell r="K1259">
            <v>0</v>
          </cell>
          <cell r="L1259" t="str">
            <v>Spirit-Wracking Method</v>
          </cell>
        </row>
        <row r="1260">
          <cell r="A1260" t="str">
            <v>Unbreakable Fascination Kata</v>
          </cell>
          <cell r="B1260" t="str">
            <v>5m, 1wp</v>
          </cell>
          <cell r="C1260" t="str">
            <v>Simple</v>
          </cell>
          <cell r="D1260" t="str">
            <v>Wood</v>
          </cell>
          <cell r="E1260" t="str">
            <v>Instant</v>
          </cell>
          <cell r="H1260" t="str">
            <v>Wood Dragon</v>
          </cell>
          <cell r="I1260">
            <v>5</v>
          </cell>
          <cell r="J1260">
            <v>3</v>
          </cell>
          <cell r="K1260">
            <v>0</v>
          </cell>
          <cell r="L1260" t="str">
            <v>Wood Dragon Form</v>
          </cell>
        </row>
        <row r="1261">
          <cell r="A1261" t="str">
            <v>Enthralling Blow Attack</v>
          </cell>
          <cell r="B1261" t="str">
            <v>10m, 5i</v>
          </cell>
          <cell r="C1261" t="str">
            <v>Reflexive</v>
          </cell>
          <cell r="D1261" t="str">
            <v>Perilous, Withering-only, Wood</v>
          </cell>
          <cell r="E1261" t="str">
            <v>Instant</v>
          </cell>
          <cell r="H1261" t="str">
            <v>Wood Dragon</v>
          </cell>
          <cell r="I1261">
            <v>5</v>
          </cell>
          <cell r="J1261">
            <v>4</v>
          </cell>
          <cell r="K1261">
            <v>0</v>
          </cell>
          <cell r="L1261" t="str">
            <v>Unbreakable Fascination Kata</v>
          </cell>
        </row>
        <row r="1262">
          <cell r="A1262" t="str">
            <v>Wood Dragon Succor</v>
          </cell>
          <cell r="B1262" t="str">
            <v>15m, 1wp</v>
          </cell>
          <cell r="C1262" t="str">
            <v>Simple</v>
          </cell>
          <cell r="D1262" t="str">
            <v>Wood</v>
          </cell>
          <cell r="E1262" t="str">
            <v>Instant</v>
          </cell>
          <cell r="H1262" t="str">
            <v>Wood Dragon</v>
          </cell>
          <cell r="I1262">
            <v>5</v>
          </cell>
          <cell r="J1262">
            <v>4</v>
          </cell>
          <cell r="K1262">
            <v>0</v>
          </cell>
          <cell r="L1262" t="str">
            <v>Death-Pattern-Sensing Meditation, Spirit-Rending Technique</v>
          </cell>
        </row>
        <row r="1263">
          <cell r="A1263" t="str">
            <v>Soul Mastery</v>
          </cell>
          <cell r="B1263" t="str">
            <v>5m, 1wp, 1ahl</v>
          </cell>
          <cell r="C1263" t="str">
            <v>Simple</v>
          </cell>
          <cell r="D1263" t="str">
            <v>Decisive-only, Wood</v>
          </cell>
          <cell r="E1263" t="str">
            <v>Instant</v>
          </cell>
          <cell r="H1263" t="str">
            <v>Wood Dragon</v>
          </cell>
          <cell r="I1263">
            <v>5</v>
          </cell>
          <cell r="J1263">
            <v>5</v>
          </cell>
          <cell r="K1263">
            <v>0</v>
          </cell>
          <cell r="L1263" t="str">
            <v>Enthralling Blow Attack, Wood Dragon Succor</v>
          </cell>
        </row>
        <row r="1264">
          <cell r="A1264" t="str">
            <v>Where-Is-Doom Inquisition</v>
          </cell>
          <cell r="B1264" t="str">
            <v>6m</v>
          </cell>
          <cell r="C1264" t="str">
            <v>Supplemental</v>
          </cell>
          <cell r="D1264" t="str">
            <v>Dual, Mastery</v>
          </cell>
          <cell r="E1264" t="str">
            <v>Instant</v>
          </cell>
          <cell r="H1264" t="str">
            <v>Golden Janissary</v>
          </cell>
          <cell r="I1264">
            <v>2</v>
          </cell>
          <cell r="J1264">
            <v>1</v>
          </cell>
          <cell r="K1264">
            <v>0</v>
          </cell>
        </row>
        <row r="1265">
          <cell r="A1265" t="str">
            <v>Rotten Leaf Arrested</v>
          </cell>
          <cell r="B1265" t="str">
            <v>4m</v>
          </cell>
          <cell r="C1265" t="str">
            <v>Supplemental</v>
          </cell>
          <cell r="D1265" t="str">
            <v>Withering-only</v>
          </cell>
          <cell r="E1265" t="str">
            <v>Instant</v>
          </cell>
          <cell r="H1265" t="str">
            <v>Golden Janissary</v>
          </cell>
          <cell r="I1265">
            <v>3</v>
          </cell>
          <cell r="J1265">
            <v>1</v>
          </cell>
          <cell r="K1265">
            <v>0</v>
          </cell>
        </row>
        <row r="1266">
          <cell r="A1266" t="str">
            <v>Cleansing Flame Strike</v>
          </cell>
          <cell r="B1266" t="str">
            <v>3m</v>
          </cell>
          <cell r="C1266" t="str">
            <v>Supplemental</v>
          </cell>
          <cell r="D1266" t="str">
            <v>Decisive-only</v>
          </cell>
          <cell r="E1266" t="str">
            <v>Instant</v>
          </cell>
          <cell r="H1266" t="str">
            <v>Golden Janissary</v>
          </cell>
          <cell r="I1266">
            <v>3</v>
          </cell>
          <cell r="J1266">
            <v>1</v>
          </cell>
          <cell r="K1266">
            <v>0</v>
          </cell>
          <cell r="L1266" t="str">
            <v>Rotten Leaf Arrested, Where-Is-Doom Inquisition</v>
          </cell>
        </row>
        <row r="1267">
          <cell r="A1267" t="str">
            <v>Golden Janissary Form</v>
          </cell>
          <cell r="B1267" t="str">
            <v>8m</v>
          </cell>
          <cell r="C1267" t="str">
            <v>Simple</v>
          </cell>
          <cell r="D1267" t="str">
            <v>Form</v>
          </cell>
          <cell r="E1267" t="str">
            <v>One scene</v>
          </cell>
          <cell r="H1267" t="str">
            <v>Golden Janissary</v>
          </cell>
          <cell r="I1267">
            <v>4</v>
          </cell>
          <cell r="J1267">
            <v>1</v>
          </cell>
          <cell r="K1267">
            <v>0</v>
          </cell>
          <cell r="L1267" t="str">
            <v>Cleansing Flame Strike</v>
          </cell>
        </row>
        <row r="1268">
          <cell r="A1268" t="str">
            <v>Devil-Slaying Spear Dance</v>
          </cell>
          <cell r="B1268" t="str">
            <v>5m, 1wp</v>
          </cell>
          <cell r="C1268" t="str">
            <v>Reflexive</v>
          </cell>
          <cell r="D1268" t="str">
            <v>Decisive-only</v>
          </cell>
          <cell r="E1268" t="str">
            <v>Instant</v>
          </cell>
          <cell r="H1268" t="str">
            <v>Golden Janissary</v>
          </cell>
          <cell r="I1268">
            <v>4</v>
          </cell>
          <cell r="J1268">
            <v>2</v>
          </cell>
          <cell r="K1268">
            <v>0</v>
          </cell>
          <cell r="L1268" t="str">
            <v>Golden Janissary Form</v>
          </cell>
        </row>
        <row r="1269">
          <cell r="A1269" t="str">
            <v>Paralyzing Combustion Imbuement</v>
          </cell>
          <cell r="B1269" t="str">
            <v>5m, 1wp</v>
          </cell>
          <cell r="C1269" t="str">
            <v>Simple</v>
          </cell>
          <cell r="D1269" t="str">
            <v>Decisive-only, Mastery, Terrestrial</v>
          </cell>
          <cell r="E1269" t="str">
            <v>Instant</v>
          </cell>
          <cell r="H1269" t="str">
            <v>Golden Janissary</v>
          </cell>
          <cell r="I1269">
            <v>5</v>
          </cell>
          <cell r="J1269">
            <v>2</v>
          </cell>
          <cell r="K1269">
            <v>0</v>
          </cell>
          <cell r="L1269" t="str">
            <v>Devil-Slaying Spear Dance</v>
          </cell>
        </row>
        <row r="1270">
          <cell r="A1270" t="str">
            <v>Light-on-Dark Shield</v>
          </cell>
          <cell r="B1270" t="str">
            <v>5m, 3i</v>
          </cell>
          <cell r="C1270" t="str">
            <v>Reflexive</v>
          </cell>
          <cell r="D1270" t="str">
            <v>Clash, Perilous, Terrestrial, Withering-only</v>
          </cell>
          <cell r="E1270" t="str">
            <v>Instant</v>
          </cell>
          <cell r="H1270" t="str">
            <v>Golden Janissary</v>
          </cell>
          <cell r="I1270">
            <v>5</v>
          </cell>
          <cell r="J1270">
            <v>2</v>
          </cell>
          <cell r="K1270">
            <v>0</v>
          </cell>
          <cell r="L1270" t="str">
            <v>Golden Janissary Form</v>
          </cell>
        </row>
        <row r="1271">
          <cell r="A1271" t="str">
            <v>Lone Spark Lights the Conflagration</v>
          </cell>
          <cell r="B1271" t="str">
            <v>10m, 1wp</v>
          </cell>
          <cell r="C1271" t="str">
            <v>Simple</v>
          </cell>
          <cell r="D1271" t="str">
            <v>Decisive-only, Mastery, Terrestrial</v>
          </cell>
          <cell r="E1271" t="str">
            <v>Instant</v>
          </cell>
          <cell r="H1271" t="str">
            <v>Golden Janissary</v>
          </cell>
          <cell r="I1271">
            <v>5</v>
          </cell>
          <cell r="J1271">
            <v>3</v>
          </cell>
          <cell r="K1271">
            <v>0</v>
          </cell>
          <cell r="L1271" t="str">
            <v>Light-on-Dark Defense, Paralyzing Combustion Imbuement</v>
          </cell>
        </row>
        <row r="1272">
          <cell r="A1272" t="str">
            <v>Iron-Arm Block</v>
          </cell>
          <cell r="B1272" t="str">
            <v>4m</v>
          </cell>
          <cell r="C1272" t="str">
            <v>Reflexive</v>
          </cell>
          <cell r="D1272" t="str">
            <v>Uniform</v>
          </cell>
          <cell r="E1272" t="str">
            <v>Instant</v>
          </cell>
          <cell r="H1272" t="str">
            <v>Mantis</v>
          </cell>
          <cell r="I1272">
            <v>2</v>
          </cell>
          <cell r="J1272">
            <v>1</v>
          </cell>
          <cell r="K1272">
            <v>0</v>
          </cell>
        </row>
        <row r="1273">
          <cell r="A1273" t="str">
            <v>Crushing Claw Technique</v>
          </cell>
          <cell r="B1273" t="str">
            <v>3m</v>
          </cell>
          <cell r="C1273" t="str">
            <v>Supplemental</v>
          </cell>
          <cell r="D1273" t="str">
            <v>Decisive-only</v>
          </cell>
          <cell r="E1273" t="str">
            <v>Instant</v>
          </cell>
          <cell r="H1273" t="str">
            <v>Mantis</v>
          </cell>
          <cell r="I1273">
            <v>3</v>
          </cell>
          <cell r="J1273">
            <v>1</v>
          </cell>
          <cell r="K1273">
            <v>0</v>
          </cell>
        </row>
        <row r="1274">
          <cell r="A1274" t="str">
            <v>Mantis Form</v>
          </cell>
          <cell r="B1274" t="str">
            <v>7m</v>
          </cell>
          <cell r="C1274" t="str">
            <v>Simple</v>
          </cell>
          <cell r="D1274" t="str">
            <v>Form</v>
          </cell>
          <cell r="E1274" t="str">
            <v>One scene</v>
          </cell>
          <cell r="H1274" t="str">
            <v>Mantis</v>
          </cell>
          <cell r="I1274">
            <v>4</v>
          </cell>
          <cell r="J1274">
            <v>1</v>
          </cell>
          <cell r="K1274">
            <v>0</v>
          </cell>
          <cell r="L1274" t="str">
            <v>Crushing Claw Technique, Iron-Arm Block</v>
          </cell>
        </row>
        <row r="1275">
          <cell r="A1275" t="str">
            <v>Leaping Mantis Technique</v>
          </cell>
          <cell r="B1275" t="str">
            <v>6m, 1wp</v>
          </cell>
          <cell r="C1275" t="str">
            <v>Simple</v>
          </cell>
          <cell r="D1275" t="str">
            <v>Decisive-only, Mastery</v>
          </cell>
          <cell r="E1275" t="str">
            <v>Instant</v>
          </cell>
          <cell r="H1275" t="str">
            <v>Mantis</v>
          </cell>
          <cell r="I1275">
            <v>4</v>
          </cell>
          <cell r="J1275">
            <v>2</v>
          </cell>
          <cell r="K1275">
            <v>0</v>
          </cell>
          <cell r="L1275" t="str">
            <v>Mantis Form</v>
          </cell>
        </row>
        <row r="1276">
          <cell r="A1276" t="str">
            <v>Joint-Locking Technique</v>
          </cell>
          <cell r="B1276" t="str">
            <v>5m</v>
          </cell>
          <cell r="C1276" t="str">
            <v>Simple</v>
          </cell>
          <cell r="D1276" t="str">
            <v>Mastery</v>
          </cell>
          <cell r="E1276" t="str">
            <v>Instant</v>
          </cell>
          <cell r="H1276" t="str">
            <v>Mantis</v>
          </cell>
          <cell r="I1276">
            <v>4</v>
          </cell>
          <cell r="J1276">
            <v>2</v>
          </cell>
          <cell r="K1276">
            <v>0</v>
          </cell>
          <cell r="L1276" t="str">
            <v>Mantis Form</v>
          </cell>
        </row>
        <row r="1277">
          <cell r="A1277" t="str">
            <v>Grasping Claw Method</v>
          </cell>
          <cell r="B1277" t="str">
            <v>3m, 1i, 1wp</v>
          </cell>
          <cell r="C1277" t="str">
            <v>Supplemental</v>
          </cell>
          <cell r="D1277" t="str">
            <v>Decisive-only, Mastery</v>
          </cell>
          <cell r="E1277" t="str">
            <v>Instant</v>
          </cell>
          <cell r="H1277" t="str">
            <v>Mantis</v>
          </cell>
          <cell r="I1277">
            <v>5</v>
          </cell>
          <cell r="J1277">
            <v>2</v>
          </cell>
          <cell r="K1277">
            <v>0</v>
          </cell>
          <cell r="L1277" t="str">
            <v>Mantis Form</v>
          </cell>
        </row>
        <row r="1278">
          <cell r="A1278" t="str">
            <v>Grasping Mantis Defense</v>
          </cell>
          <cell r="B1278" t="str">
            <v>5m</v>
          </cell>
          <cell r="C1278" t="str">
            <v>Reflexive</v>
          </cell>
          <cell r="D1278" t="str">
            <v>Clash, Decisive-only, Terrestrial</v>
          </cell>
          <cell r="E1278" t="str">
            <v>Instant</v>
          </cell>
          <cell r="H1278" t="str">
            <v>Mantis</v>
          </cell>
          <cell r="I1278">
            <v>5</v>
          </cell>
          <cell r="J1278">
            <v>3</v>
          </cell>
          <cell r="K1278">
            <v>0</v>
          </cell>
          <cell r="L1278" t="str">
            <v>Grasping Claw Method</v>
          </cell>
        </row>
        <row r="1279">
          <cell r="A1279" t="str">
            <v>Joint-Breaking Attack</v>
          </cell>
          <cell r="B1279" t="str">
            <v>8m, 1wp</v>
          </cell>
          <cell r="C1279" t="str">
            <v>Simple</v>
          </cell>
          <cell r="D1279" t="str">
            <v>Decisive-only, Terrestrial</v>
          </cell>
          <cell r="E1279" t="str">
            <v>Instant</v>
          </cell>
          <cell r="H1279" t="str">
            <v>Mantis</v>
          </cell>
          <cell r="I1279">
            <v>5</v>
          </cell>
          <cell r="J1279">
            <v>3</v>
          </cell>
          <cell r="K1279">
            <v>0</v>
          </cell>
          <cell r="L1279" t="str">
            <v>Joint-Locking Technique</v>
          </cell>
        </row>
        <row r="1280">
          <cell r="A1280" t="str">
            <v>Unfolding Retribution Strike</v>
          </cell>
          <cell r="B1280" t="str">
            <v>15m, 1wp</v>
          </cell>
          <cell r="C1280" t="str">
            <v>Simple</v>
          </cell>
          <cell r="D1280" t="str">
            <v>Decisive-only, Mastery, Terrestrial</v>
          </cell>
          <cell r="E1280" t="str">
            <v>Instant</v>
          </cell>
          <cell r="H1280" t="str">
            <v>Mantis</v>
          </cell>
          <cell r="I1280">
            <v>5</v>
          </cell>
          <cell r="J1280">
            <v>3</v>
          </cell>
          <cell r="K1280">
            <v>0</v>
          </cell>
          <cell r="L1280" t="str">
            <v>Grasping Mantis Defense, Joint-Breaking Attack, Leaping Mantis</v>
          </cell>
        </row>
        <row r="1281">
          <cell r="A1281" t="str">
            <v>Birdsong Over Blades</v>
          </cell>
          <cell r="B1281" t="str">
            <v>4m</v>
          </cell>
          <cell r="C1281" t="str">
            <v>Reflexive</v>
          </cell>
          <cell r="D1281" t="str">
            <v>Decisive-only, Mute</v>
          </cell>
          <cell r="E1281" t="str">
            <v>Instant</v>
          </cell>
          <cell r="H1281" t="str">
            <v>White Veil</v>
          </cell>
          <cell r="I1281">
            <v>2</v>
          </cell>
          <cell r="J1281">
            <v>1</v>
          </cell>
          <cell r="K1281">
            <v>0</v>
          </cell>
        </row>
        <row r="1282">
          <cell r="A1282" t="str">
            <v>Owl Clutches at the Night</v>
          </cell>
          <cell r="B1282" t="str">
            <v>2m, 1wp</v>
          </cell>
          <cell r="C1282" t="str">
            <v>Reflexive</v>
          </cell>
          <cell r="D1282" t="str">
            <v>Mastery, Uniform</v>
          </cell>
          <cell r="E1282" t="str">
            <v>Instant</v>
          </cell>
          <cell r="H1282" t="str">
            <v>White Veil</v>
          </cell>
          <cell r="I1282">
            <v>3</v>
          </cell>
          <cell r="J1282">
            <v>1</v>
          </cell>
          <cell r="K1282">
            <v>0</v>
          </cell>
          <cell r="L1282" t="str">
            <v>Birdsong Over Blades</v>
          </cell>
        </row>
        <row r="1283">
          <cell r="A1283" t="str">
            <v>Alehouse Memory Stance</v>
          </cell>
          <cell r="B1283" t="str">
            <v>3m, 2i</v>
          </cell>
          <cell r="C1283" t="str">
            <v>Supplemental</v>
          </cell>
          <cell r="D1283" t="str">
            <v>Mute, Perilous</v>
          </cell>
          <cell r="E1283" t="str">
            <v>Instant</v>
          </cell>
          <cell r="H1283" t="str">
            <v>White Veil</v>
          </cell>
          <cell r="I1283">
            <v>3</v>
          </cell>
          <cell r="J1283">
            <v>1</v>
          </cell>
          <cell r="K1283">
            <v>0</v>
          </cell>
        </row>
        <row r="1284">
          <cell r="A1284" t="str">
            <v>White Veil Form</v>
          </cell>
          <cell r="B1284" t="str">
            <v>7m</v>
          </cell>
          <cell r="C1284" t="str">
            <v>Simple</v>
          </cell>
          <cell r="D1284" t="str">
            <v>Form, Mute</v>
          </cell>
          <cell r="E1284" t="str">
            <v>One scene</v>
          </cell>
          <cell r="H1284" t="str">
            <v>White Veil</v>
          </cell>
          <cell r="I1284">
            <v>4</v>
          </cell>
          <cell r="J1284">
            <v>1</v>
          </cell>
          <cell r="K1284">
            <v>0</v>
          </cell>
          <cell r="L1284" t="str">
            <v>Alehouse Memory Stance, Owl Clutches at the Night</v>
          </cell>
        </row>
        <row r="1285">
          <cell r="A1285" t="str">
            <v>Blithe Unruffled Plumage</v>
          </cell>
          <cell r="B1285" t="str">
            <v>4m</v>
          </cell>
          <cell r="C1285" t="str">
            <v>Supplemental</v>
          </cell>
          <cell r="D1285" t="str">
            <v>Dual, Mastery, Mute, Perilous</v>
          </cell>
          <cell r="E1285" t="str">
            <v>Instant</v>
          </cell>
          <cell r="H1285" t="str">
            <v>White Veil</v>
          </cell>
          <cell r="I1285">
            <v>4</v>
          </cell>
          <cell r="J1285">
            <v>2</v>
          </cell>
          <cell r="K1285">
            <v>0</v>
          </cell>
          <cell r="L1285" t="str">
            <v>White Veil Form</v>
          </cell>
        </row>
        <row r="1286">
          <cell r="A1286" t="str">
            <v>Blinded by Laughter</v>
          </cell>
          <cell r="B1286" t="str">
            <v>5m, 1wp</v>
          </cell>
          <cell r="C1286" t="str">
            <v>Simple</v>
          </cell>
          <cell r="D1286" t="str">
            <v>Mastery, Mute</v>
          </cell>
          <cell r="E1286" t="str">
            <v>Instant</v>
          </cell>
          <cell r="H1286" t="str">
            <v>White Veil</v>
          </cell>
          <cell r="I1286">
            <v>5</v>
          </cell>
          <cell r="J1286">
            <v>2</v>
          </cell>
          <cell r="K1286">
            <v>0</v>
          </cell>
          <cell r="L1286" t="str">
            <v>Blithe Unruffled Plumage</v>
          </cell>
        </row>
        <row r="1287">
          <cell r="A1287" t="str">
            <v>Tickling the Dragon's Throat</v>
          </cell>
          <cell r="B1287" t="str">
            <v>3m, 2i</v>
          </cell>
          <cell r="C1287" t="str">
            <v>Supplemental</v>
          </cell>
          <cell r="D1287" t="str">
            <v>Decisive-only, Mastery</v>
          </cell>
          <cell r="E1287" t="str">
            <v>Instant</v>
          </cell>
          <cell r="H1287" t="str">
            <v>White Veil</v>
          </cell>
          <cell r="I1287">
            <v>4</v>
          </cell>
          <cell r="J1287">
            <v>2</v>
          </cell>
          <cell r="K1287">
            <v>0</v>
          </cell>
          <cell r="L1287" t="str">
            <v>White Veil Form</v>
          </cell>
        </row>
        <row r="1288">
          <cell r="A1288" t="str">
            <v>The Dragon Dies in Bed</v>
          </cell>
          <cell r="B1288" t="str">
            <v>5m, 4i, 1wp</v>
          </cell>
          <cell r="C1288" t="str">
            <v>Simple</v>
          </cell>
          <cell r="D1288" t="str">
            <v>Decisive-only, Mute</v>
          </cell>
          <cell r="E1288" t="str">
            <v>Instant</v>
          </cell>
          <cell r="H1288" t="str">
            <v>White Veil</v>
          </cell>
          <cell r="I1288">
            <v>5</v>
          </cell>
          <cell r="J1288">
            <v>2</v>
          </cell>
          <cell r="K1288">
            <v>0</v>
          </cell>
          <cell r="L1288" t="str">
            <v>Blinded by Laughter, Tickling the Dragon's Throat</v>
          </cell>
        </row>
        <row r="1289">
          <cell r="A1289" t="str">
            <v>The Dragon Dies Screaming</v>
          </cell>
          <cell r="B1289" t="str">
            <v>6m, 6i, 1wp</v>
          </cell>
          <cell r="C1289" t="str">
            <v>Simple</v>
          </cell>
          <cell r="D1289" t="str">
            <v>Decisive-only, Mastery, Mute</v>
          </cell>
          <cell r="E1289" t="str">
            <v>Instant</v>
          </cell>
          <cell r="H1289" t="str">
            <v>White Veil</v>
          </cell>
          <cell r="I1289">
            <v>5</v>
          </cell>
          <cell r="J1289">
            <v>3</v>
          </cell>
          <cell r="K1289">
            <v>0</v>
          </cell>
          <cell r="L1289" t="str">
            <v>The Dragon Dies in Bed</v>
          </cell>
        </row>
        <row r="1290">
          <cell r="A1290" t="str">
            <v>The Dragon Succumbs</v>
          </cell>
          <cell r="B1290" t="str">
            <v>10m, 7i, 1wp</v>
          </cell>
          <cell r="C1290" t="str">
            <v>Simple</v>
          </cell>
          <cell r="D1290" t="str">
            <v>Decisive-only, Mastery, Mute, Terrestrial</v>
          </cell>
          <cell r="E1290" t="str">
            <v>Instant</v>
          </cell>
          <cell r="H1290" t="str">
            <v>White Veil</v>
          </cell>
          <cell r="I1290">
            <v>5</v>
          </cell>
          <cell r="J1290">
            <v>3</v>
          </cell>
          <cell r="K1290">
            <v>0</v>
          </cell>
          <cell r="L1290" t="str">
            <v>The Dragon Dies in Bed, The Dragon Dies Screaming</v>
          </cell>
        </row>
        <row r="1291">
          <cell r="A1291" t="str">
            <v>Eyes of the Wood Dragon</v>
          </cell>
          <cell r="B1291" t="str">
            <v>5m</v>
          </cell>
          <cell r="C1291" t="str">
            <v>Supplemental</v>
          </cell>
          <cell r="D1291" t="str">
            <v>Withering-only</v>
          </cell>
          <cell r="E1291" t="str">
            <v>Instant</v>
          </cell>
          <cell r="H1291" t="str">
            <v>Wood Dragon ACoD</v>
          </cell>
          <cell r="I1291">
            <v>2</v>
          </cell>
          <cell r="J1291">
            <v>1</v>
          </cell>
        </row>
        <row r="1292">
          <cell r="A1292" t="str">
            <v>Mind-Over-Body Meditation</v>
          </cell>
          <cell r="B1292" t="str">
            <v>4m</v>
          </cell>
          <cell r="C1292" t="str">
            <v>Reflexive</v>
          </cell>
          <cell r="D1292" t="str">
            <v>Dual</v>
          </cell>
          <cell r="E1292" t="str">
            <v>Instant</v>
          </cell>
          <cell r="H1292" t="str">
            <v>Wood Dragon ACoD</v>
          </cell>
          <cell r="I1292">
            <v>2</v>
          </cell>
          <cell r="J1292">
            <v>1</v>
          </cell>
        </row>
        <row r="1293">
          <cell r="A1293" t="str">
            <v>Wood Dragon Vitality</v>
          </cell>
          <cell r="B1293" t="str">
            <v>1wp</v>
          </cell>
          <cell r="C1293" t="str">
            <v>Reflexive</v>
          </cell>
          <cell r="D1293" t="str">
            <v>Withering-only</v>
          </cell>
          <cell r="E1293" t="str">
            <v>Instant</v>
          </cell>
          <cell r="H1293" t="str">
            <v>Wood Dragon ACoD</v>
          </cell>
          <cell r="I1293">
            <v>3</v>
          </cell>
          <cell r="J1293">
            <v>1</v>
          </cell>
        </row>
        <row r="1294">
          <cell r="A1294" t="str">
            <v>Soul-Marking Style</v>
          </cell>
          <cell r="B1294" t="str">
            <v>5m</v>
          </cell>
          <cell r="C1294" t="str">
            <v>Supplemental</v>
          </cell>
          <cell r="D1294" t="str">
            <v>Decisive-only, Stackable</v>
          </cell>
          <cell r="E1294" t="str">
            <v>One scene</v>
          </cell>
          <cell r="H1294" t="str">
            <v>Wood Dragon ACoD</v>
          </cell>
          <cell r="I1294">
            <v>3</v>
          </cell>
          <cell r="J1294">
            <v>1</v>
          </cell>
        </row>
        <row r="1295">
          <cell r="A1295" t="str">
            <v>Wood Dragon Form</v>
          </cell>
          <cell r="B1295" t="str">
            <v>8m</v>
          </cell>
          <cell r="C1295" t="str">
            <v>Simple</v>
          </cell>
          <cell r="D1295" t="str">
            <v>Form-type</v>
          </cell>
          <cell r="E1295" t="str">
            <v>One scene</v>
          </cell>
          <cell r="H1295" t="str">
            <v>Wood Dragon ACoD</v>
          </cell>
          <cell r="I1295">
            <v>4</v>
          </cell>
          <cell r="J1295">
            <v>1</v>
          </cell>
        </row>
        <row r="1296">
          <cell r="A1296" t="str">
            <v>Spirit-Wracking Method</v>
          </cell>
          <cell r="B1296" t="str">
            <v>3m</v>
          </cell>
          <cell r="C1296" t="str">
            <v>Supplemental</v>
          </cell>
          <cell r="D1296" t="str">
            <v>Withering-only</v>
          </cell>
          <cell r="E1296" t="str">
            <v>Instant</v>
          </cell>
          <cell r="H1296" t="str">
            <v>Wood Dragon ACoD</v>
          </cell>
          <cell r="I1296">
            <v>4</v>
          </cell>
          <cell r="J1296">
            <v>2</v>
          </cell>
        </row>
        <row r="1297">
          <cell r="A1297" t="str">
            <v>Unbreakable Fascination Kata</v>
          </cell>
          <cell r="B1297" t="str">
            <v>1m, 1wp</v>
          </cell>
          <cell r="C1297" t="str">
            <v>Simple</v>
          </cell>
          <cell r="D1297" t="str">
            <v>Psyche</v>
          </cell>
          <cell r="E1297" t="str">
            <v>Instant</v>
          </cell>
          <cell r="H1297" t="str">
            <v>Wood Dragon ACoD</v>
          </cell>
          <cell r="I1297">
            <v>5</v>
          </cell>
          <cell r="J1297">
            <v>2</v>
          </cell>
        </row>
        <row r="1298">
          <cell r="A1298" t="str">
            <v>Wood Dragon Succor</v>
          </cell>
          <cell r="B1298" t="str">
            <v>2i per level</v>
          </cell>
          <cell r="C1298" t="str">
            <v>Reflexive</v>
          </cell>
          <cell r="D1298" t="str">
            <v>Perilous</v>
          </cell>
          <cell r="E1298" t="str">
            <v>Instant</v>
          </cell>
          <cell r="H1298" t="str">
            <v>Wood Dragon ACoD</v>
          </cell>
          <cell r="I1298">
            <v>5</v>
          </cell>
          <cell r="J1298">
            <v>2</v>
          </cell>
        </row>
        <row r="1299">
          <cell r="A1299" t="str">
            <v>Enthralling Blow Attack</v>
          </cell>
          <cell r="B1299" t="str">
            <v>4m, 1wp</v>
          </cell>
          <cell r="C1299" t="str">
            <v>Reflexive</v>
          </cell>
          <cell r="D1299" t="str">
            <v>Withering-only</v>
          </cell>
          <cell r="E1299" t="str">
            <v>Instant</v>
          </cell>
          <cell r="H1299" t="str">
            <v>Wood Dragon ACoD</v>
          </cell>
          <cell r="I1299">
            <v>5</v>
          </cell>
          <cell r="J1299">
            <v>3</v>
          </cell>
        </row>
        <row r="1300">
          <cell r="A1300" t="str">
            <v>Spirit-Rending Technique</v>
          </cell>
          <cell r="B1300" t="str">
            <v>4m</v>
          </cell>
          <cell r="C1300" t="str">
            <v>Supplemental</v>
          </cell>
          <cell r="D1300" t="str">
            <v>Decisive-only</v>
          </cell>
          <cell r="E1300" t="str">
            <v>Instant</v>
          </cell>
          <cell r="H1300" t="str">
            <v>Wood Dragon ACoD</v>
          </cell>
          <cell r="I1300">
            <v>5</v>
          </cell>
          <cell r="J1300">
            <v>3</v>
          </cell>
        </row>
        <row r="1301">
          <cell r="A1301" t="str">
            <v>Soul Mastery</v>
          </cell>
          <cell r="B1301" t="str">
            <v>10m, 1wp (+5i)</v>
          </cell>
          <cell r="C1301" t="str">
            <v>Simple</v>
          </cell>
          <cell r="D1301" t="str">
            <v>Decisive-only, Terrestrial</v>
          </cell>
          <cell r="E1301" t="str">
            <v>Instant</v>
          </cell>
          <cell r="H1301" t="str">
            <v>Wood Dragon ACoD</v>
          </cell>
          <cell r="I1301">
            <v>5</v>
          </cell>
          <cell r="J1301">
            <v>4</v>
          </cell>
        </row>
        <row r="1302">
          <cell r="A1302" t="str">
            <v>Flowing Water Defense</v>
          </cell>
          <cell r="B1302" t="str">
            <v>1m, 2i</v>
          </cell>
          <cell r="C1302" t="str">
            <v>Reflexive</v>
          </cell>
          <cell r="D1302" t="str">
            <v>Perilous</v>
          </cell>
          <cell r="E1302" t="str">
            <v>Instant</v>
          </cell>
          <cell r="H1302" t="str">
            <v>Water Dragon ACoD</v>
          </cell>
          <cell r="I1302">
            <v>2</v>
          </cell>
          <cell r="J1302">
            <v>1</v>
          </cell>
        </row>
        <row r="1303">
          <cell r="A1303" t="str">
            <v>Rippling Water Strike</v>
          </cell>
          <cell r="B1303" t="str">
            <v>3m</v>
          </cell>
          <cell r="C1303" t="str">
            <v>Supplemental</v>
          </cell>
          <cell r="D1303" t="str">
            <v>Dual</v>
          </cell>
          <cell r="E1303" t="str">
            <v>Instant</v>
          </cell>
          <cell r="H1303" t="str">
            <v>Water Dragon ACoD</v>
          </cell>
          <cell r="I1303">
            <v>4</v>
          </cell>
          <cell r="J1303">
            <v>1</v>
          </cell>
        </row>
        <row r="1304">
          <cell r="A1304" t="str">
            <v>Drowning-in-Blood Technique</v>
          </cell>
          <cell r="B1304" t="str">
            <v>3m, 1wp</v>
          </cell>
          <cell r="C1304" t="str">
            <v>Supplemental</v>
          </cell>
          <cell r="D1304" t="str">
            <v>Decisive-only</v>
          </cell>
          <cell r="E1304" t="str">
            <v>Instant</v>
          </cell>
          <cell r="H1304" t="str">
            <v>Water Dragon ACoD</v>
          </cell>
          <cell r="I1304">
            <v>3</v>
          </cell>
          <cell r="J1304">
            <v>1</v>
          </cell>
        </row>
        <row r="1305">
          <cell r="A1305" t="str">
            <v>Shrugging Water Dragon Escape</v>
          </cell>
          <cell r="B1305" t="str">
            <v>4m</v>
          </cell>
          <cell r="C1305" t="str">
            <v>Reflexive</v>
          </cell>
          <cell r="D1305" t="str">
            <v>None</v>
          </cell>
          <cell r="E1305" t="str">
            <v>Instant</v>
          </cell>
          <cell r="H1305" t="str">
            <v>Water Dragon ACoD</v>
          </cell>
          <cell r="I1305">
            <v>4</v>
          </cell>
          <cell r="J1305">
            <v>1</v>
          </cell>
        </row>
        <row r="1306">
          <cell r="A1306" t="str">
            <v>Water Dragon Form</v>
          </cell>
          <cell r="B1306" t="str">
            <v>10m</v>
          </cell>
          <cell r="C1306" t="str">
            <v>Simple</v>
          </cell>
          <cell r="D1306" t="str">
            <v>Form</v>
          </cell>
          <cell r="E1306" t="str">
            <v>One scene</v>
          </cell>
          <cell r="H1306" t="str">
            <v>Water Dragon ACoD</v>
          </cell>
          <cell r="I1306">
            <v>5</v>
          </cell>
          <cell r="J1306">
            <v>1</v>
          </cell>
        </row>
        <row r="1307">
          <cell r="A1307" t="str">
            <v>Flow Reversal Strike</v>
          </cell>
          <cell r="B1307" t="str">
            <v>6m, 1wp</v>
          </cell>
          <cell r="C1307" t="str">
            <v>Supplemental</v>
          </cell>
          <cell r="D1307" t="str">
            <v>Decisive-only</v>
          </cell>
          <cell r="E1307" t="str">
            <v>Instant</v>
          </cell>
          <cell r="H1307" t="str">
            <v>Water Dragon ACoD</v>
          </cell>
          <cell r="I1307">
            <v>5</v>
          </cell>
          <cell r="J1307">
            <v>2</v>
          </cell>
        </row>
        <row r="1308">
          <cell r="A1308" t="str">
            <v>Theft-of-Essence Method</v>
          </cell>
          <cell r="B1308" t="str">
            <v>1wp</v>
          </cell>
          <cell r="C1308" t="str">
            <v>Reflexive</v>
          </cell>
          <cell r="D1308" t="str">
            <v>Terrestrial</v>
          </cell>
          <cell r="E1308" t="str">
            <v>Instant</v>
          </cell>
          <cell r="H1308" t="str">
            <v>Water Dragon ACoD</v>
          </cell>
          <cell r="I1308">
            <v>5</v>
          </cell>
          <cell r="J1308">
            <v>2</v>
          </cell>
        </row>
        <row r="1309">
          <cell r="A1309" t="str">
            <v>Crashing Wave Style</v>
          </cell>
          <cell r="B1309" t="str">
            <v>7m, 1wp</v>
          </cell>
          <cell r="C1309" t="str">
            <v>Simple</v>
          </cell>
          <cell r="D1309" t="str">
            <v>Decisive-only, Terrestrial</v>
          </cell>
          <cell r="E1309" t="str">
            <v>Instant</v>
          </cell>
          <cell r="H1309" t="str">
            <v>Water Dragon ACoD</v>
          </cell>
          <cell r="I1309">
            <v>5</v>
          </cell>
          <cell r="J1309">
            <v>3</v>
          </cell>
        </row>
        <row r="1310">
          <cell r="A1310" t="str">
            <v>Bottomless Depths Defense</v>
          </cell>
          <cell r="B1310" t="str">
            <v>1m, 1wp</v>
          </cell>
          <cell r="C1310" t="str">
            <v>Reflexive</v>
          </cell>
          <cell r="D1310" t="str">
            <v>Decisive-only, Perilous, Terrestrial</v>
          </cell>
          <cell r="E1310" t="str">
            <v>Instant</v>
          </cell>
          <cell r="H1310" t="str">
            <v>Water Dragon ACoD</v>
          </cell>
          <cell r="I1310">
            <v>5</v>
          </cell>
          <cell r="J1310">
            <v>2</v>
          </cell>
        </row>
        <row r="1311">
          <cell r="A1311" t="str">
            <v>Essence-Dousing Wave</v>
          </cell>
          <cell r="B1311" t="str">
            <v>(Varies)m, 1wp</v>
          </cell>
          <cell r="C1311" t="str">
            <v>Supplemental</v>
          </cell>
          <cell r="D1311" t="str">
            <v>Clash</v>
          </cell>
          <cell r="E1311" t="str">
            <v>Instant</v>
          </cell>
          <cell r="H1311" t="str">
            <v>Water Dragon ACoD</v>
          </cell>
          <cell r="I1311">
            <v>5</v>
          </cell>
          <cell r="J1311">
            <v>3</v>
          </cell>
        </row>
        <row r="1312">
          <cell r="A1312" t="str">
            <v>Ghost-Restraining Whirlpool Stance</v>
          </cell>
          <cell r="B1312" t="str">
            <v>10m (+3i)</v>
          </cell>
          <cell r="C1312" t="str">
            <v>Simple</v>
          </cell>
          <cell r="D1312" t="str">
            <v>Decisive-only</v>
          </cell>
          <cell r="E1312" t="str">
            <v>Until next turn</v>
          </cell>
          <cell r="H1312" t="str">
            <v>Water Dragon ACoD</v>
          </cell>
          <cell r="I1312">
            <v>5</v>
          </cell>
          <cell r="J1312">
            <v>3</v>
          </cell>
        </row>
        <row r="1313">
          <cell r="A1313" t="str">
            <v>Tsunami Force Shout</v>
          </cell>
          <cell r="B1313" t="str">
            <v>5m, 1wp</v>
          </cell>
          <cell r="C1313" t="str">
            <v>Reflexive</v>
          </cell>
          <cell r="D1313" t="str">
            <v>Decisive-only, Terrestrial</v>
          </cell>
          <cell r="E1313" t="str">
            <v>Instant</v>
          </cell>
          <cell r="H1313" t="str">
            <v>Water Dragon ACoD</v>
          </cell>
          <cell r="I1313">
            <v>5</v>
          </cell>
          <cell r="J1313">
            <v>4</v>
          </cell>
        </row>
        <row r="1314">
          <cell r="A1314" t="str">
            <v>Searing Edge Attack</v>
          </cell>
          <cell r="B1314" t="str">
            <v>2m</v>
          </cell>
          <cell r="C1314" t="str">
            <v>Supplemental</v>
          </cell>
          <cell r="D1314" t="str">
            <v>Withering-only</v>
          </cell>
          <cell r="E1314" t="str">
            <v>Instant</v>
          </cell>
          <cell r="H1314" t="str">
            <v>Fire Dragon ACoD</v>
          </cell>
          <cell r="I1314">
            <v>2</v>
          </cell>
          <cell r="J1314">
            <v>1</v>
          </cell>
        </row>
        <row r="1315">
          <cell r="A1315" t="str">
            <v>Flash-Fire Technique</v>
          </cell>
          <cell r="B1315" t="str">
            <v>4m</v>
          </cell>
          <cell r="C1315" t="str">
            <v>Reflexive</v>
          </cell>
          <cell r="D1315" t="str">
            <v>Terrestrial</v>
          </cell>
          <cell r="E1315" t="str">
            <v>Instant</v>
          </cell>
          <cell r="H1315" t="str">
            <v>Fire Dragon ACoD</v>
          </cell>
          <cell r="I1315">
            <v>3</v>
          </cell>
          <cell r="J1315">
            <v>1</v>
          </cell>
        </row>
        <row r="1316">
          <cell r="A1316" t="str">
            <v>Flame-Flicker Stance</v>
          </cell>
          <cell r="B1316" t="str">
            <v>2m, 1i</v>
          </cell>
          <cell r="C1316" t="str">
            <v>Reflexive</v>
          </cell>
          <cell r="D1316" t="str">
            <v>Perilous</v>
          </cell>
          <cell r="E1316" t="str">
            <v>Instant</v>
          </cell>
          <cell r="H1316" t="str">
            <v>Fire Dragon ACoD</v>
          </cell>
          <cell r="I1316">
            <v>3</v>
          </cell>
          <cell r="J1316">
            <v>1</v>
          </cell>
        </row>
        <row r="1317">
          <cell r="A1317" t="str">
            <v>Perfect Blazing Blow</v>
          </cell>
          <cell r="B1317" t="str">
            <v>1m per die doubled</v>
          </cell>
          <cell r="C1317" t="str">
            <v>Reflexive</v>
          </cell>
          <cell r="D1317" t="str">
            <v>Uniform, Terrestrial</v>
          </cell>
          <cell r="E1317" t="str">
            <v>Instant</v>
          </cell>
          <cell r="H1317" t="str">
            <v>Fire Dragon ACoD</v>
          </cell>
          <cell r="I1317">
            <v>4</v>
          </cell>
          <cell r="J1317">
            <v>1</v>
          </cell>
        </row>
        <row r="1318">
          <cell r="A1318" t="str">
            <v>Fire Dragon Form</v>
          </cell>
          <cell r="B1318" t="str">
            <v>9m</v>
          </cell>
          <cell r="C1318" t="str">
            <v>Simple</v>
          </cell>
          <cell r="D1318" t="str">
            <v>Form-type</v>
          </cell>
          <cell r="E1318" t="str">
            <v>One scene</v>
          </cell>
          <cell r="H1318" t="str">
            <v>Fire Dragon ACoD</v>
          </cell>
          <cell r="I1318">
            <v>4</v>
          </cell>
          <cell r="J1318">
            <v>1</v>
          </cell>
        </row>
        <row r="1319">
          <cell r="A1319" t="str">
            <v>Overwhelming Fire Majesty Stance</v>
          </cell>
          <cell r="B1319" t="str">
            <v>6m</v>
          </cell>
          <cell r="C1319" t="str">
            <v>Reflexive</v>
          </cell>
          <cell r="D1319" t="str">
            <v>None</v>
          </cell>
          <cell r="E1319" t="str">
            <v>Until next turn</v>
          </cell>
          <cell r="H1319" t="str">
            <v>Fire Dragon ACoD</v>
          </cell>
          <cell r="I1319">
            <v>4</v>
          </cell>
          <cell r="J1319">
            <v>2</v>
          </cell>
        </row>
        <row r="1320">
          <cell r="A1320" t="str">
            <v>Fiery Blade Attack</v>
          </cell>
          <cell r="B1320" t="str">
            <v>3m, 1wp</v>
          </cell>
          <cell r="C1320" t="str">
            <v>Reflexive</v>
          </cell>
          <cell r="D1320" t="str">
            <v>None</v>
          </cell>
          <cell r="E1320" t="str">
            <v>Until move</v>
          </cell>
          <cell r="H1320" t="str">
            <v>Fire Dragon ACoD</v>
          </cell>
          <cell r="I1320">
            <v>5</v>
          </cell>
          <cell r="J1320">
            <v>2</v>
          </cell>
        </row>
        <row r="1321">
          <cell r="A1321" t="str">
            <v>Essence-Igniting Strike</v>
          </cell>
          <cell r="B1321" t="str">
            <v>5m</v>
          </cell>
          <cell r="C1321" t="str">
            <v>Supplemental</v>
          </cell>
          <cell r="D1321" t="str">
            <v>Decisive-only</v>
          </cell>
          <cell r="E1321" t="str">
            <v>Instant</v>
          </cell>
          <cell r="H1321" t="str">
            <v>Fire Dragon ACoD</v>
          </cell>
          <cell r="I1321">
            <v>5</v>
          </cell>
          <cell r="J1321">
            <v>2</v>
          </cell>
        </row>
        <row r="1322">
          <cell r="A1322" t="str">
            <v>Smoldering Wound Attack</v>
          </cell>
          <cell r="B1322" t="str">
            <v>3m</v>
          </cell>
          <cell r="C1322" t="str">
            <v>Supplemental</v>
          </cell>
          <cell r="D1322" t="str">
            <v>Decisive-only</v>
          </cell>
          <cell r="E1322" t="str">
            <v>Special</v>
          </cell>
          <cell r="H1322" t="str">
            <v>Fire Dragon ACoD</v>
          </cell>
          <cell r="I1322">
            <v>5</v>
          </cell>
          <cell r="J1322">
            <v>3</v>
          </cell>
        </row>
        <row r="1323">
          <cell r="A1323" t="str">
            <v>Breath of the Fire Dragon</v>
          </cell>
          <cell r="B1323" t="str">
            <v>8m, 3i, 1wp</v>
          </cell>
          <cell r="C1323" t="str">
            <v>Simple</v>
          </cell>
          <cell r="D1323" t="str">
            <v>Decisive-only, Terrestrial</v>
          </cell>
          <cell r="E1323" t="str">
            <v>Instant</v>
          </cell>
          <cell r="H1323" t="str">
            <v>Fire Dragon ACoD</v>
          </cell>
          <cell r="I1323">
            <v>5</v>
          </cell>
          <cell r="J1323">
            <v>3</v>
          </cell>
        </row>
        <row r="1324">
          <cell r="A1324" t="str">
            <v>Consuming Might of the Fire Dragon</v>
          </cell>
          <cell r="B1324" t="str">
            <v>9m, 1wp</v>
          </cell>
          <cell r="C1324" t="str">
            <v>Simple</v>
          </cell>
          <cell r="D1324" t="str">
            <v>Terrestrial</v>
          </cell>
          <cell r="E1324" t="str">
            <v>One scene</v>
          </cell>
          <cell r="H1324" t="str">
            <v>Fire Dragon ACoD</v>
          </cell>
          <cell r="I1324">
            <v>5</v>
          </cell>
          <cell r="J1324">
            <v>4</v>
          </cell>
        </row>
        <row r="1325">
          <cell r="A1325" t="str">
            <v>Force of the Mountain</v>
          </cell>
          <cell r="B1325" t="str">
            <v>4m</v>
          </cell>
          <cell r="C1325" t="str">
            <v>Supplemental</v>
          </cell>
          <cell r="D1325" t="str">
            <v>Dual</v>
          </cell>
          <cell r="E1325" t="str">
            <v>Instant</v>
          </cell>
          <cell r="H1325" t="str">
            <v>Earth Dragon ACoD</v>
          </cell>
          <cell r="I1325">
            <v>2</v>
          </cell>
          <cell r="J1325">
            <v>1</v>
          </cell>
        </row>
        <row r="1326">
          <cell r="A1326" t="str">
            <v>Stone Dragon's Skin</v>
          </cell>
          <cell r="B1326" t="str">
            <v>5m</v>
          </cell>
          <cell r="C1326" t="str">
            <v>Reflexive</v>
          </cell>
          <cell r="D1326" t="str">
            <v>Perilous, Dual</v>
          </cell>
          <cell r="E1326" t="str">
            <v>Until next turn</v>
          </cell>
          <cell r="H1326" t="str">
            <v>Earth Dragon ACoD</v>
          </cell>
          <cell r="I1326">
            <v>3</v>
          </cell>
          <cell r="J1326">
            <v>1</v>
          </cell>
        </row>
        <row r="1327">
          <cell r="A1327" t="str">
            <v>Unmoving Mountain Stance</v>
          </cell>
          <cell r="B1327" t="str">
            <v>3m</v>
          </cell>
          <cell r="C1327" t="str">
            <v>Reflexive</v>
          </cell>
          <cell r="D1327" t="str">
            <v>Perilous, Withering-only, Terrestrial</v>
          </cell>
          <cell r="E1327" t="str">
            <v>Until next turn</v>
          </cell>
          <cell r="H1327" t="str">
            <v>Earth Dragon ACoD</v>
          </cell>
          <cell r="I1327">
            <v>3</v>
          </cell>
          <cell r="J1327">
            <v>1</v>
          </cell>
        </row>
        <row r="1328">
          <cell r="A1328" t="str">
            <v>Earth Dragon Form</v>
          </cell>
          <cell r="B1328" t="str">
            <v>8m</v>
          </cell>
          <cell r="C1328" t="str">
            <v>Simple</v>
          </cell>
          <cell r="D1328" t="str">
            <v>Form-type</v>
          </cell>
          <cell r="E1328" t="str">
            <v>Scene</v>
          </cell>
          <cell r="H1328" t="str">
            <v>Earth Dragon ACoD</v>
          </cell>
          <cell r="I1328">
            <v>4</v>
          </cell>
          <cell r="J1328">
            <v>1</v>
          </cell>
        </row>
        <row r="1329">
          <cell r="A1329" t="str">
            <v>Shattering Strike</v>
          </cell>
          <cell r="B1329" t="str">
            <v>2m, 1wp</v>
          </cell>
          <cell r="C1329" t="str">
            <v>Supplemental</v>
          </cell>
          <cell r="D1329" t="str">
            <v>Withering-only</v>
          </cell>
          <cell r="E1329" t="str">
            <v>Instant</v>
          </cell>
          <cell r="H1329" t="str">
            <v>Earth Dragon ACoD</v>
          </cell>
          <cell r="I1329">
            <v>4</v>
          </cell>
          <cell r="J1329">
            <v>2</v>
          </cell>
        </row>
        <row r="1330">
          <cell r="A1330" t="str">
            <v>Stillness of Stone Atemi</v>
          </cell>
          <cell r="B1330" t="str">
            <v>6m</v>
          </cell>
          <cell r="C1330" t="str">
            <v>Supplemental</v>
          </cell>
          <cell r="D1330" t="str">
            <v>Withering-only</v>
          </cell>
          <cell r="E1330" t="str">
            <v>Instant</v>
          </cell>
          <cell r="H1330" t="str">
            <v>Earth Dragon ACoD</v>
          </cell>
          <cell r="I1330">
            <v>5</v>
          </cell>
          <cell r="J1330">
            <v>2</v>
          </cell>
        </row>
        <row r="1331">
          <cell r="A1331" t="str">
            <v>Earthshaker Attack</v>
          </cell>
          <cell r="B1331" t="str">
            <v>5m, 1wp</v>
          </cell>
          <cell r="C1331" t="str">
            <v>Simple</v>
          </cell>
          <cell r="D1331" t="str">
            <v>Decisive-only</v>
          </cell>
          <cell r="E1331" t="str">
            <v>Instant</v>
          </cell>
          <cell r="H1331" t="str">
            <v>Earth Dragon ACoD</v>
          </cell>
          <cell r="I1331">
            <v>5</v>
          </cell>
          <cell r="J1331">
            <v>2</v>
          </cell>
        </row>
        <row r="1332">
          <cell r="A1332" t="str">
            <v>Weapon-Breaking Defence Technique</v>
          </cell>
          <cell r="B1332" t="str">
            <v>6m, 2i</v>
          </cell>
          <cell r="C1332" t="str">
            <v>Reflexive</v>
          </cell>
          <cell r="D1332" t="str">
            <v>Counterattack, Decisive-only, Terrestrial</v>
          </cell>
          <cell r="E1332" t="str">
            <v>Instant</v>
          </cell>
          <cell r="H1332" t="str">
            <v>Earth Dragon ACoD</v>
          </cell>
          <cell r="I1332">
            <v>5</v>
          </cell>
          <cell r="J1332">
            <v>2</v>
          </cell>
        </row>
        <row r="1333">
          <cell r="A1333" t="str">
            <v>Avalanche Method</v>
          </cell>
          <cell r="B1333" t="str">
            <v>4m</v>
          </cell>
          <cell r="C1333" t="str">
            <v>Supplemental</v>
          </cell>
          <cell r="D1333" t="str">
            <v>Decisive-only</v>
          </cell>
          <cell r="E1333" t="str">
            <v>Instant</v>
          </cell>
          <cell r="H1333" t="str">
            <v>Earth Dragon ACoD</v>
          </cell>
          <cell r="I1333">
            <v>5</v>
          </cell>
          <cell r="J1333">
            <v>2</v>
          </cell>
        </row>
        <row r="1334">
          <cell r="A1334" t="str">
            <v>Hungry Earth Strike</v>
          </cell>
          <cell r="B1334" t="str">
            <v>6m, 3i (+1wp)</v>
          </cell>
          <cell r="C1334" t="str">
            <v>Simple</v>
          </cell>
          <cell r="D1334" t="str">
            <v>Decisive-only, Terrestrial</v>
          </cell>
          <cell r="E1334" t="str">
            <v>Instant</v>
          </cell>
          <cell r="H1334" t="str">
            <v>Earth Dragon ACoD</v>
          </cell>
          <cell r="I1334">
            <v>5</v>
          </cell>
          <cell r="J1334">
            <v>3</v>
          </cell>
        </row>
        <row r="1335">
          <cell r="A1335" t="str">
            <v>Ghost-Grounding Blow</v>
          </cell>
          <cell r="B1335" t="str">
            <v>4m, 1wp</v>
          </cell>
          <cell r="C1335" t="str">
            <v>Supplemental</v>
          </cell>
          <cell r="D1335" t="str">
            <v>Decisive-only</v>
          </cell>
          <cell r="E1335" t="str">
            <v>Instant</v>
          </cell>
          <cell r="H1335" t="str">
            <v>Earth Dragon ACoD</v>
          </cell>
          <cell r="I1335">
            <v>5</v>
          </cell>
          <cell r="J1335">
            <v>3</v>
          </cell>
        </row>
        <row r="1336">
          <cell r="A1336" t="str">
            <v>Perfection of the Earth Body</v>
          </cell>
          <cell r="B1336" t="str">
            <v>(+7m, 1wp)</v>
          </cell>
          <cell r="C1336" t="str">
            <v>Permanent</v>
          </cell>
          <cell r="D1336" t="str">
            <v>Terrestrial</v>
          </cell>
          <cell r="E1336" t="str">
            <v>Permanent</v>
          </cell>
          <cell r="H1336" t="str">
            <v>Earth Dragon ACoD</v>
          </cell>
          <cell r="I1336">
            <v>5</v>
          </cell>
          <cell r="J1336">
            <v>4</v>
          </cell>
        </row>
        <row r="1337">
          <cell r="A1337" t="str">
            <v>Air Dragon's Sight</v>
          </cell>
          <cell r="B1337" t="str">
            <v>3m</v>
          </cell>
          <cell r="C1337" t="str">
            <v>Reflexive</v>
          </cell>
          <cell r="D1337" t="str">
            <v>Uniform</v>
          </cell>
          <cell r="E1337" t="str">
            <v>Instant</v>
          </cell>
          <cell r="H1337" t="str">
            <v>Air Dragon ACoD</v>
          </cell>
          <cell r="I1337">
            <v>2</v>
          </cell>
          <cell r="J1337">
            <v>1</v>
          </cell>
        </row>
        <row r="1338">
          <cell r="A1338" t="str">
            <v>Wind Dragon's Speed</v>
          </cell>
          <cell r="B1338" t="str">
            <v>4m</v>
          </cell>
          <cell r="C1338" t="str">
            <v>Supplemental</v>
          </cell>
          <cell r="D1338" t="str">
            <v>None</v>
          </cell>
          <cell r="E1338" t="str">
            <v>Instant</v>
          </cell>
          <cell r="H1338" t="str">
            <v>Air Dragon ACoD</v>
          </cell>
          <cell r="I1338">
            <v>3</v>
          </cell>
          <cell r="J1338">
            <v>1</v>
          </cell>
        </row>
        <row r="1339">
          <cell r="A1339" t="str">
            <v>Breath-Seizing Technique</v>
          </cell>
          <cell r="B1339" t="str">
            <v>3m</v>
          </cell>
          <cell r="C1339" t="str">
            <v>Supplemental</v>
          </cell>
          <cell r="D1339" t="str">
            <v>Stackable, Withering-only</v>
          </cell>
          <cell r="E1339" t="str">
            <v>Instant</v>
          </cell>
          <cell r="H1339" t="str">
            <v>Air Dragon ACoD</v>
          </cell>
          <cell r="I1339">
            <v>4</v>
          </cell>
          <cell r="J1339">
            <v>1</v>
          </cell>
        </row>
        <row r="1340">
          <cell r="A1340" t="str">
            <v>Shrouding the Body and the Mind</v>
          </cell>
          <cell r="B1340" t="str">
            <v>3m, 4i</v>
          </cell>
          <cell r="C1340" t="str">
            <v>Reflexive</v>
          </cell>
          <cell r="D1340" t="str">
            <v>Perilous</v>
          </cell>
          <cell r="E1340" t="str">
            <v>One scene</v>
          </cell>
          <cell r="H1340" t="str">
            <v>Air Dragon ACoD</v>
          </cell>
          <cell r="I1340">
            <v>3</v>
          </cell>
          <cell r="J1340">
            <v>1</v>
          </cell>
        </row>
        <row r="1341">
          <cell r="A1341" t="str">
            <v>Air Dragon Form</v>
          </cell>
          <cell r="B1341" t="str">
            <v>9m</v>
          </cell>
          <cell r="C1341" t="str">
            <v>Simple</v>
          </cell>
          <cell r="D1341" t="str">
            <v>Form</v>
          </cell>
          <cell r="E1341" t="str">
            <v>Instant</v>
          </cell>
          <cell r="H1341" t="str">
            <v>Air Dragon ACoD</v>
          </cell>
          <cell r="I1341">
            <v>4</v>
          </cell>
          <cell r="J1341">
            <v>1</v>
          </cell>
        </row>
        <row r="1342">
          <cell r="A1342" t="str">
            <v>Tornado Offence Technique</v>
          </cell>
          <cell r="B1342" t="str">
            <v>8m, 1wp</v>
          </cell>
          <cell r="C1342" t="str">
            <v>Simple</v>
          </cell>
          <cell r="D1342" t="str">
            <v>Decisive-only, Terrestrial</v>
          </cell>
          <cell r="E1342" t="str">
            <v>Instant</v>
          </cell>
          <cell r="H1342" t="str">
            <v>Air Dragon ACoD</v>
          </cell>
          <cell r="I1342">
            <v>4</v>
          </cell>
          <cell r="J1342">
            <v>2</v>
          </cell>
        </row>
        <row r="1343">
          <cell r="A1343" t="str">
            <v>Cloud Treading Method</v>
          </cell>
          <cell r="B1343" t="str">
            <v>2m, 1i</v>
          </cell>
          <cell r="C1343" t="str">
            <v>Reflexive</v>
          </cell>
          <cell r="D1343" t="str">
            <v>Perilous</v>
          </cell>
          <cell r="E1343" t="str">
            <v>One turn</v>
          </cell>
          <cell r="H1343" t="str">
            <v>Air Dragon ACoD</v>
          </cell>
          <cell r="I1343">
            <v>3</v>
          </cell>
          <cell r="J1343">
            <v>2</v>
          </cell>
        </row>
        <row r="1344">
          <cell r="A1344" t="str">
            <v>Avenging Wind Strike</v>
          </cell>
          <cell r="B1344" t="str">
            <v>3m, 1wp</v>
          </cell>
          <cell r="C1344" t="str">
            <v>Supplemental</v>
          </cell>
          <cell r="D1344" t="str">
            <v>Withering-only, Terrestrial</v>
          </cell>
          <cell r="E1344" t="str">
            <v>Instant</v>
          </cell>
          <cell r="H1344" t="str">
            <v>Air Dragon ACoD</v>
          </cell>
          <cell r="I1344">
            <v>5</v>
          </cell>
          <cell r="J1344">
            <v>2</v>
          </cell>
        </row>
        <row r="1345">
          <cell r="A1345" t="str">
            <v>Wrathful Winds Maneuver</v>
          </cell>
          <cell r="B1345" t="str">
            <v>6m, 3i</v>
          </cell>
          <cell r="C1345" t="str">
            <v>Simple</v>
          </cell>
          <cell r="D1345" t="str">
            <v>None</v>
          </cell>
          <cell r="E1345" t="str">
            <v>Instant</v>
          </cell>
          <cell r="H1345" t="str">
            <v>Air Dragon ACoD</v>
          </cell>
          <cell r="I1345">
            <v>5</v>
          </cell>
          <cell r="J1345">
            <v>2</v>
          </cell>
        </row>
        <row r="1346">
          <cell r="A1346" t="str">
            <v>Thunderclap Kata</v>
          </cell>
          <cell r="B1346" t="str">
            <v>4m, 1wp</v>
          </cell>
          <cell r="C1346" t="str">
            <v>Reflexive</v>
          </cell>
          <cell r="D1346" t="str">
            <v>Withering-only, Clash, Terrestrial</v>
          </cell>
          <cell r="E1346" t="str">
            <v>Instant</v>
          </cell>
          <cell r="H1346" t="str">
            <v>Air Dragon ACoD</v>
          </cell>
          <cell r="I1346">
            <v>5</v>
          </cell>
          <cell r="J1346">
            <v>3</v>
          </cell>
        </row>
        <row r="1347">
          <cell r="A1347" t="str">
            <v>Lightning Strike Style</v>
          </cell>
          <cell r="B1347" t="str">
            <v>5m, 1hl</v>
          </cell>
          <cell r="C1347" t="str">
            <v>Supplemental</v>
          </cell>
          <cell r="D1347" t="str">
            <v>Dual, Terrestrial</v>
          </cell>
          <cell r="E1347" t="str">
            <v>Instant</v>
          </cell>
          <cell r="H1347" t="str">
            <v>Air Dragon ACoD</v>
          </cell>
          <cell r="I1347">
            <v>5</v>
          </cell>
          <cell r="J1347">
            <v>3</v>
          </cell>
        </row>
        <row r="1348">
          <cell r="A1348" t="str">
            <v>Hurricane Combat Method</v>
          </cell>
          <cell r="B1348" t="str">
            <v>7m, 1wp</v>
          </cell>
          <cell r="C1348" t="str">
            <v>Reflexive</v>
          </cell>
          <cell r="D1348" t="str">
            <v>Terrestrial</v>
          </cell>
          <cell r="E1348" t="str">
            <v>One scene</v>
          </cell>
          <cell r="H1348" t="str">
            <v>Air Dragon ACoD</v>
          </cell>
          <cell r="I1348">
            <v>5</v>
          </cell>
          <cell r="J1348">
            <v>4</v>
          </cell>
        </row>
        <row r="1349">
          <cell r="A1349" t="str">
            <v>Just Another Branch Deceit</v>
          </cell>
          <cell r="B1349" t="str">
            <v>3m</v>
          </cell>
          <cell r="C1349" t="str">
            <v>Supplemental</v>
          </cell>
          <cell r="D1349" t="str">
            <v>None</v>
          </cell>
          <cell r="E1349" t="str">
            <v>Instant</v>
          </cell>
          <cell r="H1349" t="str">
            <v>Crystal Chameleon Style</v>
          </cell>
          <cell r="I1349">
            <v>2</v>
          </cell>
          <cell r="J1349">
            <v>1</v>
          </cell>
        </row>
        <row r="1350">
          <cell r="A1350" t="str">
            <v>Light-Treading Technique</v>
          </cell>
          <cell r="B1350" t="str">
            <v>3m, 1wp</v>
          </cell>
          <cell r="C1350" t="str">
            <v>Simple</v>
          </cell>
          <cell r="D1350" t="str">
            <v>Mastery</v>
          </cell>
          <cell r="E1350" t="str">
            <v>One Scene</v>
          </cell>
          <cell r="H1350" t="str">
            <v>Crystal Chameleon Style</v>
          </cell>
          <cell r="I1350">
            <v>2</v>
          </cell>
          <cell r="J1350">
            <v>1</v>
          </cell>
        </row>
        <row r="1351">
          <cell r="A1351" t="str">
            <v>Flashing Passage</v>
          </cell>
          <cell r="B1351" t="str">
            <v>3m</v>
          </cell>
          <cell r="C1351" t="str">
            <v>Supplemental</v>
          </cell>
          <cell r="D1351" t="str">
            <v>Terrestrial</v>
          </cell>
          <cell r="E1351" t="str">
            <v>Instant</v>
          </cell>
          <cell r="H1351" t="str">
            <v>Crystal Chameleon Style</v>
          </cell>
          <cell r="I1351">
            <v>3</v>
          </cell>
          <cell r="J1351">
            <v>1</v>
          </cell>
        </row>
        <row r="1352">
          <cell r="A1352" t="str">
            <v>Crystal Chameleon Form</v>
          </cell>
          <cell r="B1352" t="str">
            <v>8m</v>
          </cell>
          <cell r="C1352" t="str">
            <v>Simple</v>
          </cell>
          <cell r="D1352" t="str">
            <v>Form</v>
          </cell>
          <cell r="E1352" t="str">
            <v>Instant</v>
          </cell>
          <cell r="H1352" t="str">
            <v>Crystal Chameleon Style</v>
          </cell>
          <cell r="I1352">
            <v>3</v>
          </cell>
          <cell r="J1352">
            <v>2</v>
          </cell>
        </row>
        <row r="1353">
          <cell r="A1353" t="str">
            <v>Flashing Leaves Evasion</v>
          </cell>
          <cell r="B1353" t="str">
            <v>6m</v>
          </cell>
          <cell r="C1353" t="str">
            <v>Reflexive</v>
          </cell>
          <cell r="D1353" t="str">
            <v>Terrestrial</v>
          </cell>
          <cell r="E1353" t="str">
            <v>Instant</v>
          </cell>
          <cell r="H1353" t="str">
            <v>Crystal Chameleon Style</v>
          </cell>
          <cell r="I1353">
            <v>4</v>
          </cell>
          <cell r="J1353">
            <v>2</v>
          </cell>
        </row>
        <row r="1354">
          <cell r="A1354" t="str">
            <v>Shattered Crystal Rebuke</v>
          </cell>
          <cell r="B1354" t="str">
            <v>3m, 3i</v>
          </cell>
          <cell r="C1354" t="str">
            <v>Reflexive</v>
          </cell>
          <cell r="D1354" t="str">
            <v>Withering-only, Counterattack, Mastery, Perilous</v>
          </cell>
          <cell r="E1354" t="str">
            <v>Instant</v>
          </cell>
          <cell r="H1354" t="str">
            <v>Crystal Chameleon Style</v>
          </cell>
          <cell r="I1354">
            <v>5</v>
          </cell>
          <cell r="J1354">
            <v>2</v>
          </cell>
        </row>
        <row r="1355">
          <cell r="A1355" t="str">
            <v>Razor-Edged Prism Assault</v>
          </cell>
          <cell r="B1355" t="str">
            <v>7m</v>
          </cell>
          <cell r="C1355" t="str">
            <v>Simple</v>
          </cell>
          <cell r="D1355" t="str">
            <v>Decisive-only, Perilous</v>
          </cell>
          <cell r="E1355" t="str">
            <v>Instant</v>
          </cell>
          <cell r="H1355" t="str">
            <v>Crystal Chameleon Style</v>
          </cell>
          <cell r="I1355">
            <v>4</v>
          </cell>
          <cell r="J1355">
            <v>2</v>
          </cell>
        </row>
        <row r="1356">
          <cell r="A1356" t="str">
            <v>Death from Nowhere Method</v>
          </cell>
          <cell r="B1356" t="str">
            <v>3m, 1wp</v>
          </cell>
          <cell r="C1356" t="str">
            <v>Supplemental</v>
          </cell>
          <cell r="D1356" t="str">
            <v>Dual</v>
          </cell>
          <cell r="E1356" t="str">
            <v>Instant</v>
          </cell>
          <cell r="H1356" t="str">
            <v>Crystal Chameleon Style</v>
          </cell>
          <cell r="I1356">
            <v>5</v>
          </cell>
          <cell r="J1356">
            <v>2</v>
          </cell>
        </row>
        <row r="1357">
          <cell r="A1357" t="str">
            <v>Stepping Beyond Light Prana</v>
          </cell>
          <cell r="B1357" t="str">
            <v>10m</v>
          </cell>
          <cell r="C1357" t="str">
            <v>Simple</v>
          </cell>
          <cell r="D1357" t="str">
            <v>Mastery</v>
          </cell>
          <cell r="E1357" t="str">
            <v>One Scene</v>
          </cell>
          <cell r="H1357" t="str">
            <v>Crystal Chameleon Style</v>
          </cell>
          <cell r="I1357">
            <v>5</v>
          </cell>
          <cell r="J1357">
            <v>3</v>
          </cell>
        </row>
        <row r="1358">
          <cell r="A1358" t="str">
            <v>Blurring Scurry Prana</v>
          </cell>
          <cell r="B1358" t="str">
            <v>4m</v>
          </cell>
          <cell r="C1358" t="str">
            <v>Supplemental</v>
          </cell>
          <cell r="D1358" t="str">
            <v>Uniform</v>
          </cell>
          <cell r="E1358" t="str">
            <v>Instant</v>
          </cell>
          <cell r="H1358" t="str">
            <v>Centipede</v>
          </cell>
          <cell r="I1358">
            <v>2</v>
          </cell>
          <cell r="J1358">
            <v>1</v>
          </cell>
        </row>
        <row r="1359">
          <cell r="A1359" t="str">
            <v>Motion of Myriad Legs</v>
          </cell>
          <cell r="B1359" t="str">
            <v>3m, 1wp</v>
          </cell>
          <cell r="C1359" t="str">
            <v>Simple</v>
          </cell>
          <cell r="D1359" t="str">
            <v>Decisive-only, Terrestrial</v>
          </cell>
          <cell r="E1359" t="str">
            <v>Instant</v>
          </cell>
          <cell r="H1359" t="str">
            <v>Centipede</v>
          </cell>
          <cell r="I1359">
            <v>3</v>
          </cell>
          <cell r="J1359">
            <v>1</v>
          </cell>
          <cell r="L1359" t="str">
            <v>Blurring Scurry Prana</v>
          </cell>
        </row>
        <row r="1360">
          <cell r="A1360" t="str">
            <v>Chitinous Centipede Shell</v>
          </cell>
          <cell r="B1360" t="str">
            <v>3m</v>
          </cell>
          <cell r="C1360" t="str">
            <v>Reflexive</v>
          </cell>
          <cell r="D1360" t="str">
            <v>Dual, Mastery</v>
          </cell>
          <cell r="E1360" t="str">
            <v>Instant</v>
          </cell>
          <cell r="H1360" t="str">
            <v>Centipede</v>
          </cell>
          <cell r="I1360">
            <v>2</v>
          </cell>
          <cell r="J1360">
            <v>1</v>
          </cell>
        </row>
        <row r="1361">
          <cell r="A1361" t="str">
            <v>Centipede Form</v>
          </cell>
          <cell r="B1361" t="str">
            <v>7m</v>
          </cell>
          <cell r="C1361" t="str">
            <v>Simple</v>
          </cell>
          <cell r="D1361" t="str">
            <v>Decisive-only, Form</v>
          </cell>
          <cell r="E1361" t="str">
            <v>One scene</v>
          </cell>
          <cell r="H1361" t="str">
            <v>Centipede</v>
          </cell>
          <cell r="I1361">
            <v>4</v>
          </cell>
          <cell r="J1361">
            <v>1</v>
          </cell>
          <cell r="L1361" t="str">
            <v>Chitinous Centipede Shell, Motion of Myriad Legs</v>
          </cell>
        </row>
        <row r="1362">
          <cell r="A1362" t="str">
            <v>Hundred-Leg Embrace</v>
          </cell>
          <cell r="B1362" t="str">
            <v>5m (+1hl)</v>
          </cell>
          <cell r="C1362" t="str">
            <v>Reflexive</v>
          </cell>
          <cell r="D1362" t="str">
            <v>Decisive-only, Terrestrial</v>
          </cell>
          <cell r="E1362" t="str">
            <v>Instant</v>
          </cell>
          <cell r="H1362" t="str">
            <v>Centipede</v>
          </cell>
          <cell r="I1362">
            <v>4</v>
          </cell>
          <cell r="J1362">
            <v>2</v>
          </cell>
          <cell r="L1362" t="str">
            <v>Centipede Form</v>
          </cell>
        </row>
        <row r="1363">
          <cell r="A1363" t="str">
            <v>Tenacious Centipede Technique</v>
          </cell>
          <cell r="B1363" t="str">
            <v>2m</v>
          </cell>
          <cell r="C1363" t="str">
            <v>Reflexive</v>
          </cell>
          <cell r="D1363" t="str">
            <v>Dual, Terrestrial</v>
          </cell>
          <cell r="E1363" t="str">
            <v>One tick</v>
          </cell>
          <cell r="H1363" t="str">
            <v>Centipede</v>
          </cell>
          <cell r="I1363">
            <v>4</v>
          </cell>
          <cell r="J1363">
            <v>2</v>
          </cell>
          <cell r="L1363" t="str">
            <v>Centipede Form</v>
          </cell>
        </row>
        <row r="1364">
          <cell r="A1364" t="str">
            <v>Venom-Dripping Mandible</v>
          </cell>
          <cell r="B1364" t="str">
            <v>6m</v>
          </cell>
          <cell r="C1364" t="str">
            <v>Supplemental</v>
          </cell>
          <cell r="D1364" t="str">
            <v>Decisive-only</v>
          </cell>
          <cell r="E1364" t="str">
            <v>Instant</v>
          </cell>
          <cell r="H1364" t="str">
            <v>Centipede</v>
          </cell>
          <cell r="I1364">
            <v>4</v>
          </cell>
          <cell r="J1364">
            <v>2</v>
          </cell>
          <cell r="L1364" t="str">
            <v>Centipede Form</v>
          </cell>
        </row>
        <row r="1365">
          <cell r="A1365" t="str">
            <v>Agony-of-One-Hundred-Hells Technique</v>
          </cell>
          <cell r="B1365" t="str">
            <v>5m, 1wp</v>
          </cell>
          <cell r="C1365" t="str">
            <v>Supplemental</v>
          </cell>
          <cell r="D1365" t="str">
            <v>Decisive-only</v>
          </cell>
          <cell r="E1365" t="str">
            <v>Instant</v>
          </cell>
          <cell r="H1365" t="str">
            <v>Centipede</v>
          </cell>
          <cell r="I1365">
            <v>5</v>
          </cell>
          <cell r="J1365">
            <v>3</v>
          </cell>
          <cell r="L1365" t="str">
            <v>Venom-Dripping Mandible</v>
          </cell>
        </row>
        <row r="1366">
          <cell r="A1366" t="str">
            <v>Numberless Blows Technique</v>
          </cell>
          <cell r="B1366" t="str">
            <v>- (+7m, 1a)</v>
          </cell>
          <cell r="C1366" t="str">
            <v>Permanent</v>
          </cell>
          <cell r="D1366" t="str">
            <v>Decisive-only, Mastery, Terrestrial</v>
          </cell>
          <cell r="E1366" t="str">
            <v>Permanent</v>
          </cell>
          <cell r="H1366" t="str">
            <v>Centipede</v>
          </cell>
          <cell r="I1366">
            <v>5</v>
          </cell>
          <cell r="J1366">
            <v>3</v>
          </cell>
          <cell r="L1366" t="str">
            <v>Agony-of-One-Hundred-Hells Technique, Hundred-Leg Embrace,</v>
          </cell>
        </row>
        <row r="1367">
          <cell r="A1367" t="str">
            <v>Falcon Takes Flight</v>
          </cell>
          <cell r="B1367" t="str">
            <v>3m</v>
          </cell>
          <cell r="C1367" t="str">
            <v>Supplemental</v>
          </cell>
          <cell r="D1367" t="str">
            <v>Uniform</v>
          </cell>
          <cell r="E1367" t="str">
            <v>Instant</v>
          </cell>
          <cell r="H1367" t="str">
            <v>Falcon</v>
          </cell>
          <cell r="I1367">
            <v>2</v>
          </cell>
          <cell r="J1367">
            <v>1</v>
          </cell>
        </row>
        <row r="1368">
          <cell r="A1368" t="str">
            <v>Swift Talon Strike</v>
          </cell>
          <cell r="B1368" t="str">
            <v>2m</v>
          </cell>
          <cell r="C1368" t="str">
            <v>Supplemental</v>
          </cell>
          <cell r="D1368" t="str">
            <v>Mastery, Uniform</v>
          </cell>
          <cell r="E1368" t="str">
            <v>Instant</v>
          </cell>
          <cell r="H1368" t="str">
            <v>Falcon</v>
          </cell>
          <cell r="I1368">
            <v>2</v>
          </cell>
          <cell r="J1368">
            <v>1</v>
          </cell>
        </row>
        <row r="1369">
          <cell r="A1369" t="str">
            <v>Raptor's Fatal Descent</v>
          </cell>
          <cell r="B1369" t="str">
            <v>2m, 1wp</v>
          </cell>
          <cell r="C1369" t="str">
            <v>Simple</v>
          </cell>
          <cell r="D1369" t="str">
            <v>Decisive-only, Mastery</v>
          </cell>
          <cell r="E1369" t="str">
            <v>Instant</v>
          </cell>
          <cell r="H1369" t="str">
            <v>Falcon</v>
          </cell>
          <cell r="I1369">
            <v>3</v>
          </cell>
          <cell r="J1369">
            <v>1</v>
          </cell>
          <cell r="L1369" t="str">
            <v>Falcon Takes Flight, Swift Talon Strike</v>
          </cell>
        </row>
        <row r="1370">
          <cell r="A1370" t="str">
            <v>Falcon Form</v>
          </cell>
          <cell r="B1370" t="str">
            <v>8m</v>
          </cell>
          <cell r="C1370" t="str">
            <v>Simple</v>
          </cell>
          <cell r="D1370" t="str">
            <v>Form</v>
          </cell>
          <cell r="E1370" t="str">
            <v>One scene</v>
          </cell>
          <cell r="H1370" t="str">
            <v>Falcon</v>
          </cell>
          <cell r="I1370">
            <v>4</v>
          </cell>
          <cell r="J1370">
            <v>1</v>
          </cell>
          <cell r="L1370" t="str">
            <v>Raptor's Fatal Descent</v>
          </cell>
        </row>
        <row r="1371">
          <cell r="A1371" t="str">
            <v>Grasping Raptor Clutch</v>
          </cell>
          <cell r="B1371" t="str">
            <v>3i</v>
          </cell>
          <cell r="C1371" t="str">
            <v>Reflexive</v>
          </cell>
          <cell r="D1371" t="str">
            <v>Decisive-only</v>
          </cell>
          <cell r="E1371" t="str">
            <v>Instant</v>
          </cell>
          <cell r="H1371" t="str">
            <v>Falcon</v>
          </cell>
          <cell r="I1371">
            <v>4</v>
          </cell>
          <cell r="J1371">
            <v>2</v>
          </cell>
          <cell r="L1371" t="str">
            <v>Falcon Form</v>
          </cell>
        </row>
        <row r="1372">
          <cell r="A1372" t="str">
            <v>Talons Greet Prey</v>
          </cell>
          <cell r="B1372" t="str">
            <v>3m, 1i</v>
          </cell>
          <cell r="C1372" t="str">
            <v>Reflexive</v>
          </cell>
          <cell r="D1372" t="str">
            <v>Counterattack, Decisive-only</v>
          </cell>
          <cell r="E1372" t="str">
            <v>Instant</v>
          </cell>
          <cell r="H1372" t="str">
            <v>Falcon</v>
          </cell>
          <cell r="I1372">
            <v>4</v>
          </cell>
          <cell r="J1372">
            <v>2</v>
          </cell>
          <cell r="L1372" t="str">
            <v>Grasping Raptor Clutch</v>
          </cell>
        </row>
        <row r="1373">
          <cell r="A1373" t="str">
            <v>Hare-Killing Death Dive</v>
          </cell>
          <cell r="B1373" t="str">
            <v>4m, 2i</v>
          </cell>
          <cell r="C1373" t="str">
            <v>Simple</v>
          </cell>
          <cell r="D1373" t="str">
            <v>Decisive-only</v>
          </cell>
          <cell r="E1373" t="str">
            <v>Instant</v>
          </cell>
          <cell r="H1373" t="str">
            <v>Falcon</v>
          </cell>
          <cell r="I1373">
            <v>5</v>
          </cell>
          <cell r="J1373">
            <v>2</v>
          </cell>
          <cell r="L1373" t="str">
            <v>Falcon Form</v>
          </cell>
        </row>
        <row r="1374">
          <cell r="A1374" t="str">
            <v>Neck-Piercing Hook</v>
          </cell>
          <cell r="B1374" t="str">
            <v>7m</v>
          </cell>
          <cell r="C1374" t="str">
            <v>Supplemental</v>
          </cell>
          <cell r="D1374" t="str">
            <v>Dual</v>
          </cell>
          <cell r="E1374" t="str">
            <v>Instant</v>
          </cell>
          <cell r="H1374" t="str">
            <v>Falcon</v>
          </cell>
          <cell r="I1374">
            <v>4</v>
          </cell>
          <cell r="J1374">
            <v>2</v>
          </cell>
          <cell r="L1374" t="str">
            <v>Hare-Killing Death Dive</v>
          </cell>
        </row>
        <row r="1375">
          <cell r="A1375" t="str">
            <v>Raking Talon Kick</v>
          </cell>
          <cell r="B1375" t="str">
            <v>6m</v>
          </cell>
          <cell r="C1375" t="str">
            <v>Simple</v>
          </cell>
          <cell r="D1375" t="str">
            <v>Decisive-only, Terrestrial</v>
          </cell>
          <cell r="E1375" t="str">
            <v>Instant</v>
          </cell>
          <cell r="H1375" t="str">
            <v>Falcon</v>
          </cell>
          <cell r="I1375">
            <v>4</v>
          </cell>
          <cell r="J1375">
            <v>2</v>
          </cell>
          <cell r="L1375" t="str">
            <v>Falcon Form</v>
          </cell>
        </row>
        <row r="1376">
          <cell r="A1376" t="str">
            <v>Doom Plummets Down</v>
          </cell>
          <cell r="B1376" t="str">
            <v>5m, 2i, 1wp</v>
          </cell>
          <cell r="C1376" t="str">
            <v>Reflexive</v>
          </cell>
          <cell r="D1376" t="str">
            <v>Decisive-only, Mastery, Terrestrial</v>
          </cell>
          <cell r="E1376" t="str">
            <v>Instant</v>
          </cell>
          <cell r="H1376" t="str">
            <v>Falcon</v>
          </cell>
          <cell r="I1376">
            <v>5</v>
          </cell>
          <cell r="J1376">
            <v>3</v>
          </cell>
          <cell r="L1376" t="str">
            <v>Neck-Piercing Hook, Raking Talon Kick, Talons Greet Prey</v>
          </cell>
        </row>
        <row r="1377">
          <cell r="A1377" t="str">
            <v>Furiously Stalling Destiny</v>
          </cell>
          <cell r="B1377" t="str">
            <v>2m</v>
          </cell>
          <cell r="C1377" t="str">
            <v>Reflexive</v>
          </cell>
          <cell r="D1377" t="str">
            <v>Dual, Mastery, Terrestrial, Stackable</v>
          </cell>
          <cell r="E1377" t="str">
            <v>Until next turn</v>
          </cell>
          <cell r="H1377" t="str">
            <v>Laughing Monster</v>
          </cell>
          <cell r="I1377">
            <v>2</v>
          </cell>
          <cell r="J1377">
            <v>1</v>
          </cell>
        </row>
        <row r="1378">
          <cell r="A1378" t="str">
            <v>Deeper-Into-Trouble Technique</v>
          </cell>
          <cell r="B1378" t="str">
            <v>3m</v>
          </cell>
          <cell r="C1378" t="str">
            <v>Supplemental</v>
          </cell>
          <cell r="D1378" t="str">
            <v>Decisive-only</v>
          </cell>
          <cell r="E1378" t="str">
            <v>Instant</v>
          </cell>
          <cell r="H1378" t="str">
            <v>Laughing Monster</v>
          </cell>
          <cell r="I1378">
            <v>3</v>
          </cell>
          <cell r="J1378">
            <v>1</v>
          </cell>
          <cell r="L1378" t="str">
            <v>Furiously Stalling Destiny</v>
          </cell>
        </row>
        <row r="1379">
          <cell r="A1379" t="str">
            <v>Laughing Monster Form</v>
          </cell>
          <cell r="B1379" t="str">
            <v>10m</v>
          </cell>
          <cell r="C1379" t="str">
            <v>Simple</v>
          </cell>
          <cell r="D1379" t="str">
            <v>Counterattack, Decisive-only, Form, Terrestrial</v>
          </cell>
          <cell r="E1379" t="str">
            <v>One scene</v>
          </cell>
          <cell r="H1379" t="str">
            <v>Laughing Monster</v>
          </cell>
          <cell r="I1379">
            <v>4</v>
          </cell>
          <cell r="J1379">
            <v>1</v>
          </cell>
          <cell r="L1379" t="str">
            <v>Deeper-Into-Trouble Technique</v>
          </cell>
        </row>
        <row r="1380">
          <cell r="A1380" t="str">
            <v>Inauspicious Moment for Attack</v>
          </cell>
          <cell r="B1380" t="str">
            <v>2m</v>
          </cell>
          <cell r="C1380" t="str">
            <v>Reflexive</v>
          </cell>
          <cell r="D1380" t="str">
            <v>Clash, Decisive-only, Terrestrial</v>
          </cell>
          <cell r="E1380" t="str">
            <v>Instant</v>
          </cell>
          <cell r="H1380" t="str">
            <v>Laughing Monster</v>
          </cell>
          <cell r="I1380">
            <v>4</v>
          </cell>
          <cell r="J1380">
            <v>2</v>
          </cell>
          <cell r="L1380" t="str">
            <v>Laughing Monster Form</v>
          </cell>
        </row>
        <row r="1381">
          <cell r="A1381" t="str">
            <v>Subtle Hammer</v>
          </cell>
          <cell r="B1381" t="str">
            <v>5m</v>
          </cell>
          <cell r="C1381" t="str">
            <v>Reflexive</v>
          </cell>
          <cell r="D1381" t="str">
            <v>Decisive-only, Mastery</v>
          </cell>
          <cell r="E1381" t="str">
            <v>Instant</v>
          </cell>
          <cell r="H1381" t="str">
            <v>Laughing Monster</v>
          </cell>
          <cell r="I1381">
            <v>5</v>
          </cell>
          <cell r="J1381">
            <v>2</v>
          </cell>
          <cell r="L1381" t="str">
            <v>Inauspicious Moment for Attack</v>
          </cell>
        </row>
        <row r="1382">
          <cell r="A1382" t="str">
            <v>Thieves Fall Out</v>
          </cell>
          <cell r="B1382" t="str">
            <v>6m, 2i</v>
          </cell>
          <cell r="C1382" t="str">
            <v>Simple</v>
          </cell>
          <cell r="D1382" t="str">
            <v>Decisive-only</v>
          </cell>
          <cell r="E1382" t="str">
            <v>Instant</v>
          </cell>
          <cell r="H1382" t="str">
            <v>Laughing Monster</v>
          </cell>
          <cell r="I1382">
            <v>4</v>
          </cell>
          <cell r="J1382">
            <v>2</v>
          </cell>
          <cell r="L1382" t="str">
            <v>Laughing Monster Form</v>
          </cell>
        </row>
        <row r="1383">
          <cell r="A1383" t="str">
            <v>Friendship-Dissolving Venom</v>
          </cell>
          <cell r="B1383" t="str">
            <v>3m, 3i, 1wp</v>
          </cell>
          <cell r="C1383" t="str">
            <v>Reflexive</v>
          </cell>
          <cell r="D1383" t="str">
            <v>Dual, Mastery, Perilous, Terrestrial</v>
          </cell>
          <cell r="E1383" t="str">
            <v>Instant</v>
          </cell>
          <cell r="H1383" t="str">
            <v>Laughing Monster</v>
          </cell>
          <cell r="I1383">
            <v>4</v>
          </cell>
          <cell r="J1383">
            <v>2</v>
          </cell>
          <cell r="L1383" t="str">
            <v>Thieves Fall Out</v>
          </cell>
        </row>
        <row r="1384">
          <cell r="A1384" t="str">
            <v>Unitary Being Forge</v>
          </cell>
          <cell r="B1384" t="str">
            <v>6m, 1wp</v>
          </cell>
          <cell r="C1384" t="str">
            <v>Supplemental</v>
          </cell>
          <cell r="D1384" t="str">
            <v>Decisive-only</v>
          </cell>
          <cell r="E1384" t="str">
            <v>Instant</v>
          </cell>
          <cell r="H1384" t="str">
            <v>Laughing Monster</v>
          </cell>
          <cell r="I1384">
            <v>5</v>
          </cell>
          <cell r="J1384">
            <v>2</v>
          </cell>
          <cell r="L1384" t="str">
            <v>Laughing Monster Form</v>
          </cell>
        </row>
        <row r="1385">
          <cell r="A1385" t="str">
            <v>Shuffling the Pieces</v>
          </cell>
          <cell r="B1385" t="str">
            <v>3m</v>
          </cell>
          <cell r="C1385" t="str">
            <v>Reflexive</v>
          </cell>
          <cell r="D1385" t="str">
            <v>Decisive-only, Terrestrial</v>
          </cell>
          <cell r="E1385" t="str">
            <v>Instant</v>
          </cell>
          <cell r="H1385" t="str">
            <v>Laughing Monster</v>
          </cell>
          <cell r="I1385">
            <v>5</v>
          </cell>
          <cell r="J1385">
            <v>3</v>
          </cell>
          <cell r="L1385" t="str">
            <v>Unitary Being Forge</v>
          </cell>
        </row>
        <row r="1386">
          <cell r="A1386" t="str">
            <v>Dancing Wind-Monster Transformation</v>
          </cell>
          <cell r="B1386" t="str">
            <v>- (+7m, 1wp)</v>
          </cell>
          <cell r="C1386" t="str">
            <v>Permanent</v>
          </cell>
          <cell r="D1386" t="str">
            <v>Terrestrial</v>
          </cell>
          <cell r="E1386" t="str">
            <v>Permanent</v>
          </cell>
          <cell r="H1386" t="str">
            <v>Laughing Monster</v>
          </cell>
          <cell r="I1386">
            <v>5</v>
          </cell>
          <cell r="J1386">
            <v>4</v>
          </cell>
          <cell r="L1386" t="str">
            <v>Friendship-Dissolving Venom, Shuffling the Pieces, Subtle Hammer</v>
          </cell>
        </row>
        <row r="1387">
          <cell r="A1387" t="str">
            <v>Jubilant Battle Proposition</v>
          </cell>
          <cell r="B1387" t="str">
            <v>3m</v>
          </cell>
          <cell r="C1387" t="str">
            <v>Supplemental</v>
          </cell>
          <cell r="D1387" t="str">
            <v>Mastery</v>
          </cell>
          <cell r="E1387" t="str">
            <v>Instant</v>
          </cell>
          <cell r="H1387" t="str">
            <v>Swaying Grass Dance</v>
          </cell>
          <cell r="I1387">
            <v>2</v>
          </cell>
          <cell r="J1387">
            <v>1</v>
          </cell>
        </row>
        <row r="1388">
          <cell r="A1388" t="str">
            <v>Reed-Breaking Banda</v>
          </cell>
          <cell r="B1388" t="str">
            <v>2m, 1i</v>
          </cell>
          <cell r="C1388" t="str">
            <v>Supplemental</v>
          </cell>
          <cell r="D1388" t="str">
            <v>Dual, Mastery, Perilous</v>
          </cell>
          <cell r="E1388" t="str">
            <v>Instant</v>
          </cell>
          <cell r="H1388" t="str">
            <v>Swaying Grass Dance</v>
          </cell>
          <cell r="I1388">
            <v>3</v>
          </cell>
          <cell r="J1388">
            <v>1</v>
          </cell>
          <cell r="L1388" t="str">
            <v>Jubilant Battle Proposition</v>
          </cell>
        </row>
        <row r="1389">
          <cell r="A1389" t="str">
            <v>Sweeping Meadow Awareness Practice</v>
          </cell>
          <cell r="B1389" t="str">
            <v>2m</v>
          </cell>
          <cell r="C1389" t="str">
            <v>Reflexive</v>
          </cell>
          <cell r="D1389" t="str">
            <v>Perilous, Stackable, Terrestrial, Uniform</v>
          </cell>
          <cell r="E1389" t="str">
            <v>Instant</v>
          </cell>
          <cell r="H1389" t="str">
            <v>Swaying Grass Dance</v>
          </cell>
          <cell r="I1389">
            <v>3</v>
          </cell>
          <cell r="J1389">
            <v>1</v>
          </cell>
          <cell r="L1389" t="str">
            <v>Jubilant Battle Proposition</v>
          </cell>
        </row>
        <row r="1390">
          <cell r="A1390" t="str">
            <v>Swaying Grass Dance Form</v>
          </cell>
          <cell r="B1390" t="str">
            <v>7m</v>
          </cell>
          <cell r="C1390" t="str">
            <v>Simple</v>
          </cell>
          <cell r="D1390" t="str">
            <v>Form</v>
          </cell>
          <cell r="E1390" t="str">
            <v>One scene</v>
          </cell>
          <cell r="H1390" t="str">
            <v>Swaying Grass Dance</v>
          </cell>
          <cell r="I1390">
            <v>4</v>
          </cell>
          <cell r="J1390">
            <v>1</v>
          </cell>
          <cell r="L1390" t="str">
            <v>Reed-Breaking Banda, Sweeping Meadow Awareness Practice</v>
          </cell>
        </row>
        <row r="1391">
          <cell r="A1391" t="str">
            <v>Rolling-with-the-Wind Method</v>
          </cell>
          <cell r="B1391" t="str">
            <v>4m, 1i</v>
          </cell>
          <cell r="C1391" t="str">
            <v>Reflexive</v>
          </cell>
          <cell r="D1391" t="str">
            <v>Dual, Perilous, Terrestrial</v>
          </cell>
          <cell r="E1391" t="str">
            <v>Instant</v>
          </cell>
          <cell r="H1391" t="str">
            <v>Swaying Grass Dance</v>
          </cell>
          <cell r="I1391">
            <v>4</v>
          </cell>
          <cell r="J1391">
            <v>2</v>
          </cell>
          <cell r="L1391" t="str">
            <v>Swaying Grass Dance Form</v>
          </cell>
        </row>
        <row r="1392">
          <cell r="A1392" t="str">
            <v>Teeth-in-the-Grass Strike</v>
          </cell>
          <cell r="B1392" t="str">
            <v>4m, 2i</v>
          </cell>
          <cell r="C1392" t="str">
            <v>Supplemental</v>
          </cell>
          <cell r="D1392" t="str">
            <v>Decisive-only, Mastery</v>
          </cell>
          <cell r="E1392" t="str">
            <v>Instant</v>
          </cell>
          <cell r="H1392" t="str">
            <v>Swaying Grass Dance</v>
          </cell>
          <cell r="I1392">
            <v>4</v>
          </cell>
          <cell r="J1392">
            <v>2</v>
          </cell>
          <cell r="L1392" t="str">
            <v>Swaying Grass Dance Form</v>
          </cell>
        </row>
        <row r="1393">
          <cell r="A1393" t="str">
            <v>Whirling Rhythm Revolution</v>
          </cell>
          <cell r="B1393" t="str">
            <v>4m, 1wp</v>
          </cell>
          <cell r="C1393" t="str">
            <v>Reflexive</v>
          </cell>
          <cell r="D1393" t="str">
            <v>Decisive-only, Terrestrial</v>
          </cell>
          <cell r="E1393" t="str">
            <v>Instant</v>
          </cell>
          <cell r="H1393" t="str">
            <v>Swaying Grass Dance</v>
          </cell>
          <cell r="I1393">
            <v>5</v>
          </cell>
          <cell r="J1393">
            <v>2</v>
          </cell>
          <cell r="L1393" t="str">
            <v>Teeth-in-the-Grass Strike</v>
          </cell>
        </row>
        <row r="1394">
          <cell r="A1394" t="str">
            <v>Grass-Reaping Posture</v>
          </cell>
          <cell r="B1394" t="str">
            <v>-</v>
          </cell>
          <cell r="C1394" t="str">
            <v>Permanent</v>
          </cell>
          <cell r="D1394" t="str">
            <v>None</v>
          </cell>
          <cell r="E1394" t="str">
            <v>Permanent</v>
          </cell>
          <cell r="H1394" t="str">
            <v>Swaying Grass Dance</v>
          </cell>
          <cell r="I1394">
            <v>5</v>
          </cell>
          <cell r="J1394">
            <v>2</v>
          </cell>
          <cell r="L1394" t="str">
            <v>Whirling Rhythm Revolution</v>
          </cell>
        </row>
        <row r="1395">
          <cell r="A1395" t="str">
            <v>Inescapable Tumbleweed Prana</v>
          </cell>
          <cell r="B1395" t="str">
            <v>5m, 1i, 1wp</v>
          </cell>
          <cell r="C1395" t="str">
            <v>Supplemental</v>
          </cell>
          <cell r="D1395" t="str">
            <v>Perilous</v>
          </cell>
          <cell r="E1395" t="str">
            <v>Instant</v>
          </cell>
          <cell r="H1395" t="str">
            <v>Swaying Grass Dance</v>
          </cell>
          <cell r="I1395">
            <v>5</v>
          </cell>
          <cell r="J1395">
            <v>3</v>
          </cell>
          <cell r="L1395" t="str">
            <v>Grass-Reaping Posture, Rolling-with-the-Wind Method</v>
          </cell>
        </row>
        <row r="1396">
          <cell r="A1396" t="str">
            <v>Serenading the Reed</v>
          </cell>
          <cell r="B1396" t="str">
            <v>3m, 3i, 1wp</v>
          </cell>
          <cell r="C1396" t="str">
            <v>Reflexive</v>
          </cell>
          <cell r="D1396" t="str">
            <v>Mastery, Perilous, Terrestrial, Uniform</v>
          </cell>
          <cell r="E1396" t="str">
            <v>Instant</v>
          </cell>
          <cell r="H1396" t="str">
            <v>Swaying Grass Dance</v>
          </cell>
          <cell r="I1396">
            <v>5</v>
          </cell>
          <cell r="J1396">
            <v>3</v>
          </cell>
          <cell r="L1396" t="str">
            <v>Inescapable Tumbleweed Prana</v>
          </cell>
        </row>
        <row r="1397">
          <cell r="A1397" t="str">
            <v>Lion Mouse Stratagem</v>
          </cell>
          <cell r="B1397" t="str">
            <v>4m</v>
          </cell>
          <cell r="C1397" t="str">
            <v>Reflexive</v>
          </cell>
          <cell r="D1397" t="str">
            <v>Mute</v>
          </cell>
          <cell r="E1397" t="str">
            <v>One scene</v>
          </cell>
          <cell r="H1397" t="str">
            <v>Throne Shadow</v>
          </cell>
          <cell r="I1397">
            <v>3</v>
          </cell>
          <cell r="J1397">
            <v>1</v>
          </cell>
          <cell r="L1397" t="str">
            <v>None</v>
          </cell>
        </row>
        <row r="1398">
          <cell r="A1398" t="str">
            <v>Lotus Eye Tactics</v>
          </cell>
          <cell r="B1398" t="str">
            <v>4m</v>
          </cell>
          <cell r="C1398" t="str">
            <v>Reflexive</v>
          </cell>
          <cell r="D1398" t="str">
            <v>None</v>
          </cell>
          <cell r="E1398" t="str">
            <v>Instant</v>
          </cell>
          <cell r="H1398" t="str">
            <v>Throne Shadow</v>
          </cell>
          <cell r="I1398">
            <v>3</v>
          </cell>
          <cell r="J1398">
            <v>1</v>
          </cell>
          <cell r="L1398" t="str">
            <v>Lion Mouse Stratagem</v>
          </cell>
        </row>
        <row r="1399">
          <cell r="A1399" t="str">
            <v>Master’s Useful Fingers</v>
          </cell>
          <cell r="B1399" t="str">
            <v>10m, 1wp</v>
          </cell>
          <cell r="C1399" t="str">
            <v>Simple</v>
          </cell>
          <cell r="D1399" t="str">
            <v>Mastery, Mute, Terrestrial</v>
          </cell>
          <cell r="E1399" t="str">
            <v>Instant</v>
          </cell>
          <cell r="H1399" t="str">
            <v>Throne Shadow</v>
          </cell>
          <cell r="I1399">
            <v>4</v>
          </cell>
          <cell r="J1399">
            <v>1</v>
          </cell>
          <cell r="L1399" t="str">
            <v>Lotus Eye Tactics</v>
          </cell>
        </row>
        <row r="1400">
          <cell r="A1400" t="str">
            <v>Throne Shadow Form</v>
          </cell>
          <cell r="B1400" t="str">
            <v>10m</v>
          </cell>
          <cell r="C1400" t="str">
            <v>Simple</v>
          </cell>
          <cell r="D1400" t="str">
            <v>Form</v>
          </cell>
          <cell r="E1400" t="str">
            <v>One scene</v>
          </cell>
          <cell r="H1400" t="str">
            <v>Throne Shadow</v>
          </cell>
          <cell r="I1400">
            <v>4</v>
          </cell>
          <cell r="J1400">
            <v>1</v>
          </cell>
          <cell r="L1400" t="str">
            <v>Master’s Useful Fingers</v>
          </cell>
        </row>
        <row r="1401">
          <cell r="A1401" t="str">
            <v>Clear Eyes Defense</v>
          </cell>
          <cell r="B1401" t="str">
            <v>3m, 1wp</v>
          </cell>
          <cell r="C1401" t="str">
            <v>Reflexive</v>
          </cell>
          <cell r="D1401" t="str">
            <v>Clash, Decisive-only, Mastery</v>
          </cell>
          <cell r="E1401" t="str">
            <v>Instant</v>
          </cell>
          <cell r="H1401" t="str">
            <v>Throne Shadow</v>
          </cell>
          <cell r="I1401">
            <v>4</v>
          </cell>
          <cell r="J1401">
            <v>2</v>
          </cell>
          <cell r="L1401" t="str">
            <v>Throne Shadow Form</v>
          </cell>
        </row>
        <row r="1402">
          <cell r="A1402" t="str">
            <v>Shadow Lost in the Court</v>
          </cell>
          <cell r="B1402" t="str">
            <v>1m, 1wp</v>
          </cell>
          <cell r="C1402" t="str">
            <v>Reflexive</v>
          </cell>
          <cell r="D1402" t="str">
            <v>Perilous, Terrestrial</v>
          </cell>
          <cell r="E1402" t="str">
            <v>Instant</v>
          </cell>
          <cell r="H1402" t="str">
            <v>Throne Shadow</v>
          </cell>
          <cell r="I1402">
            <v>4</v>
          </cell>
          <cell r="J1402">
            <v>2</v>
          </cell>
          <cell r="L1402" t="str">
            <v>Throne Shadow Form</v>
          </cell>
        </row>
        <row r="1403">
          <cell r="A1403" t="str">
            <v>Showing the Secret Hand</v>
          </cell>
          <cell r="B1403" t="str">
            <v>2m, 2i, 1wp</v>
          </cell>
          <cell r="C1403" t="str">
            <v>Reflexive</v>
          </cell>
          <cell r="D1403" t="str">
            <v>Terrestrial, Uniform</v>
          </cell>
          <cell r="E1403" t="str">
            <v>Instant</v>
          </cell>
          <cell r="H1403" t="str">
            <v>Throne Shadow</v>
          </cell>
          <cell r="I1403">
            <v>5</v>
          </cell>
          <cell r="J1403">
            <v>2</v>
          </cell>
          <cell r="L1403" t="str">
            <v>Throne Shadow Form</v>
          </cell>
        </row>
        <row r="1404">
          <cell r="A1404" t="str">
            <v>Finger-Stealing Handshake</v>
          </cell>
          <cell r="B1404" t="str">
            <v>10m, 1wp</v>
          </cell>
          <cell r="C1404" t="str">
            <v>Simple</v>
          </cell>
          <cell r="D1404" t="str">
            <v>Mute, Terrestrial</v>
          </cell>
          <cell r="E1404" t="str">
            <v>Instant</v>
          </cell>
          <cell r="H1404" t="str">
            <v>Throne Shadow</v>
          </cell>
          <cell r="I1404">
            <v>5</v>
          </cell>
          <cell r="J1404">
            <v>3</v>
          </cell>
          <cell r="L1404" t="str">
            <v>Showing the Secret Hand</v>
          </cell>
        </row>
        <row r="1405">
          <cell r="A1405" t="str">
            <v>World-as-Weapon Mastery</v>
          </cell>
          <cell r="B1405" t="str">
            <v>- (Varies)</v>
          </cell>
          <cell r="C1405" t="str">
            <v>Permanent</v>
          </cell>
          <cell r="D1405" t="str">
            <v>Mastery, Mute, Terrestrial</v>
          </cell>
          <cell r="E1405" t="str">
            <v>Instant</v>
          </cell>
          <cell r="H1405" t="str">
            <v>Throne Shadow</v>
          </cell>
          <cell r="I1405">
            <v>5</v>
          </cell>
          <cell r="J1405">
            <v>3</v>
          </cell>
          <cell r="L1405" t="str">
            <v>Clear Eyes Defense, Finger-Stealing Handshake,</v>
          </cell>
        </row>
        <row r="1406">
          <cell r="A1406" t="str">
            <v>Secrets of Future Strife</v>
          </cell>
          <cell r="B1406" t="str">
            <v>5m</v>
          </cell>
          <cell r="C1406" t="str">
            <v>Reflexive</v>
          </cell>
          <cell r="D1406" t="str">
            <v>Mastery</v>
          </cell>
          <cell r="E1406" t="str">
            <v>Instant</v>
          </cell>
          <cell r="H1406" t="str">
            <v>Violet Bier of Sorrows</v>
          </cell>
          <cell r="I1406">
            <v>3</v>
          </cell>
          <cell r="J1406">
            <v>1</v>
          </cell>
          <cell r="L1406" t="str">
            <v>None</v>
          </cell>
        </row>
        <row r="1407">
          <cell r="A1407" t="str">
            <v>Blade of the Battle Maiden</v>
          </cell>
          <cell r="B1407" t="str">
            <v>3m</v>
          </cell>
          <cell r="C1407" t="str">
            <v>Supplemental</v>
          </cell>
          <cell r="D1407" t="str">
            <v>Dual, Mastery</v>
          </cell>
          <cell r="E1407" t="str">
            <v>Instant</v>
          </cell>
          <cell r="H1407" t="str">
            <v>Violet Bier of Sorrows</v>
          </cell>
          <cell r="I1407">
            <v>3</v>
          </cell>
          <cell r="J1407">
            <v>1</v>
          </cell>
          <cell r="L1407" t="str">
            <v>Secrets of Future Strife</v>
          </cell>
        </row>
        <row r="1408">
          <cell r="A1408" t="str">
            <v>Flight of Mercury</v>
          </cell>
          <cell r="B1408" t="str">
            <v>1m, 2i</v>
          </cell>
          <cell r="C1408" t="str">
            <v>Supplemental</v>
          </cell>
          <cell r="D1408" t="str">
            <v>Perilous, Uniform</v>
          </cell>
          <cell r="E1408" t="str">
            <v>Instant</v>
          </cell>
          <cell r="H1408" t="str">
            <v>Violet Bier of Sorrows</v>
          </cell>
          <cell r="I1408">
            <v>3</v>
          </cell>
          <cell r="J1408">
            <v>1</v>
          </cell>
          <cell r="L1408" t="str">
            <v>Secrets of Future Strife</v>
          </cell>
        </row>
        <row r="1409">
          <cell r="A1409" t="str">
            <v>Joy-in-Adversity Stance</v>
          </cell>
          <cell r="B1409" t="str">
            <v>2i</v>
          </cell>
          <cell r="C1409" t="str">
            <v>Reflexive</v>
          </cell>
          <cell r="D1409" t="str">
            <v>Perilous, Terrestrial, Uniform</v>
          </cell>
          <cell r="E1409" t="str">
            <v>Instant</v>
          </cell>
          <cell r="H1409" t="str">
            <v>Violet Bier of Sorrows</v>
          </cell>
          <cell r="I1409">
            <v>3</v>
          </cell>
          <cell r="J1409">
            <v>1</v>
          </cell>
          <cell r="L1409" t="str">
            <v>Secrets of Future Strife</v>
          </cell>
        </row>
        <row r="1410">
          <cell r="A1410" t="str">
            <v>Violet Bier of Sorrows Form</v>
          </cell>
          <cell r="B1410" t="str">
            <v>10m</v>
          </cell>
          <cell r="C1410" t="str">
            <v>Simple</v>
          </cell>
          <cell r="D1410" t="str">
            <v>Form</v>
          </cell>
          <cell r="E1410" t="str">
            <v>One scene</v>
          </cell>
          <cell r="H1410" t="str">
            <v>Violet Bier of Sorrows</v>
          </cell>
          <cell r="I1410">
            <v>4</v>
          </cell>
          <cell r="J1410">
            <v>1</v>
          </cell>
          <cell r="L1410" t="str">
            <v>Blade of the Battle Maiden, Flight of Mercury, Joy-inAdversity Stance</v>
          </cell>
        </row>
        <row r="1411">
          <cell r="A1411" t="str">
            <v>Life-Severing Blow</v>
          </cell>
          <cell r="B1411" t="str">
            <v>1m, 1wp</v>
          </cell>
          <cell r="C1411" t="str">
            <v>Reflexive</v>
          </cell>
          <cell r="D1411" t="str">
            <v>Decisive-only</v>
          </cell>
          <cell r="E1411" t="str">
            <v>Instant</v>
          </cell>
          <cell r="H1411" t="str">
            <v>Violet Bier of Sorrows</v>
          </cell>
          <cell r="I1411">
            <v>4</v>
          </cell>
          <cell r="J1411">
            <v>2</v>
          </cell>
          <cell r="L1411" t="str">
            <v>Violet Bier of Sorrows Form</v>
          </cell>
        </row>
        <row r="1412">
          <cell r="A1412" t="str">
            <v>Metal Storm</v>
          </cell>
          <cell r="B1412" t="str">
            <v>10m, 1wp</v>
          </cell>
          <cell r="C1412" t="str">
            <v>Simple</v>
          </cell>
          <cell r="D1412" t="str">
            <v>Decisive-only, Terrestrial</v>
          </cell>
          <cell r="E1412" t="str">
            <v>Instant</v>
          </cell>
          <cell r="H1412" t="str">
            <v>Violet Bier of Sorrows</v>
          </cell>
          <cell r="I1412">
            <v>5</v>
          </cell>
          <cell r="J1412">
            <v>2</v>
          </cell>
          <cell r="L1412" t="str">
            <v>Life-Severing Blow</v>
          </cell>
        </row>
        <row r="1413">
          <cell r="A1413" t="str">
            <v>Death-Parrying Stroke</v>
          </cell>
          <cell r="B1413" t="str">
            <v>8m, 1wp</v>
          </cell>
          <cell r="C1413" t="str">
            <v>Reflexive</v>
          </cell>
          <cell r="D1413" t="str">
            <v>Clash, Decisive-only</v>
          </cell>
          <cell r="E1413" t="str">
            <v>Instant</v>
          </cell>
          <cell r="H1413" t="str">
            <v>Violet Bier of Sorrows</v>
          </cell>
          <cell r="I1413">
            <v>5</v>
          </cell>
          <cell r="J1413">
            <v>3</v>
          </cell>
          <cell r="L1413" t="str">
            <v>Metal Storm</v>
          </cell>
        </row>
        <row r="1414">
          <cell r="A1414" t="str">
            <v>Conclusion-Pursuing Approach</v>
          </cell>
          <cell r="B1414" t="str">
            <v>- (+5m, 1wp)</v>
          </cell>
          <cell r="C1414" t="str">
            <v>Permanent</v>
          </cell>
          <cell r="D1414" t="str">
            <v>Dual</v>
          </cell>
          <cell r="E1414" t="str">
            <v>Permanent</v>
          </cell>
          <cell r="H1414" t="str">
            <v>Violet Bier of Sorrows</v>
          </cell>
          <cell r="I1414">
            <v>5</v>
          </cell>
          <cell r="J1414">
            <v>3</v>
          </cell>
          <cell r="L1414" t="str">
            <v>Death-Parrying Stroke</v>
          </cell>
        </row>
        <row r="1415">
          <cell r="A1415" t="str">
            <v>Secrets of Future Strife</v>
          </cell>
          <cell r="B1415" t="str">
            <v>-</v>
          </cell>
          <cell r="C1415" t="str">
            <v>Permanent</v>
          </cell>
          <cell r="D1415" t="str">
            <v>None</v>
          </cell>
          <cell r="E1415" t="str">
            <v>Permanent</v>
          </cell>
          <cell r="H1415" t="str">
            <v>Violet Bier of Sorrows (HB)</v>
          </cell>
          <cell r="I1415">
            <v>1</v>
          </cell>
          <cell r="J1415">
            <v>1</v>
          </cell>
        </row>
        <row r="1416">
          <cell r="A1416" t="str">
            <v>Flight of Mercury</v>
          </cell>
          <cell r="B1416" t="str">
            <v>3m, 1wp</v>
          </cell>
          <cell r="C1416" t="str">
            <v>Simple</v>
          </cell>
          <cell r="D1416" t="str">
            <v>Mastery</v>
          </cell>
          <cell r="E1416" t="str">
            <v>Instant</v>
          </cell>
          <cell r="H1416" t="str">
            <v>Violet Bier of Sorrows (HB)</v>
          </cell>
          <cell r="I1416">
            <v>2</v>
          </cell>
          <cell r="J1416">
            <v>1</v>
          </cell>
          <cell r="K1416">
            <v>0</v>
          </cell>
        </row>
        <row r="1417">
          <cell r="A1417" t="str">
            <v>Blade of the Battle Maiden</v>
          </cell>
          <cell r="B1417" t="str">
            <v>5m</v>
          </cell>
          <cell r="C1417" t="str">
            <v>Simple</v>
          </cell>
          <cell r="D1417" t="str">
            <v>Dual, Terrestrial, Mastery</v>
          </cell>
          <cell r="E1417" t="str">
            <v>One scene</v>
          </cell>
          <cell r="H1417" t="str">
            <v>Violet Bier of Sorrows (HB)</v>
          </cell>
          <cell r="I1417">
            <v>3</v>
          </cell>
          <cell r="J1417">
            <v>1</v>
          </cell>
          <cell r="K1417">
            <v>0</v>
          </cell>
        </row>
        <row r="1418">
          <cell r="A1418" t="str">
            <v>Joy in Adversity Stance</v>
          </cell>
          <cell r="B1418" t="str">
            <v>3m</v>
          </cell>
          <cell r="C1418" t="str">
            <v>Reflexive</v>
          </cell>
          <cell r="D1418" t="str">
            <v>Withering-only, Terrestrial</v>
          </cell>
          <cell r="E1418" t="str">
            <v>Instant</v>
          </cell>
          <cell r="H1418" t="str">
            <v>Violet Bier of Sorrows (HB)</v>
          </cell>
          <cell r="I1418">
            <v>3</v>
          </cell>
          <cell r="J1418">
            <v>1</v>
          </cell>
          <cell r="K1418">
            <v>0</v>
          </cell>
        </row>
        <row r="1419">
          <cell r="A1419" t="str">
            <v>Violet Bier of Sorrows Form</v>
          </cell>
          <cell r="B1419" t="str">
            <v>8m</v>
          </cell>
          <cell r="C1419" t="str">
            <v>Simple</v>
          </cell>
          <cell r="D1419" t="str">
            <v>Form</v>
          </cell>
          <cell r="E1419" t="str">
            <v>One scene</v>
          </cell>
          <cell r="H1419" t="str">
            <v>Violet Bier of Sorrows (HB)</v>
          </cell>
          <cell r="I1419">
            <v>4</v>
          </cell>
          <cell r="J1419">
            <v>1</v>
          </cell>
          <cell r="K1419">
            <v>0</v>
          </cell>
        </row>
        <row r="1420">
          <cell r="A1420" t="str">
            <v>Death-Parrying Stroke</v>
          </cell>
          <cell r="B1420" t="str">
            <v>2m / success</v>
          </cell>
          <cell r="C1420" t="str">
            <v>Reflexive</v>
          </cell>
          <cell r="D1420" t="str">
            <v>Withering-only, Perilous, Terrestrial</v>
          </cell>
          <cell r="E1420" t="str">
            <v>Instant</v>
          </cell>
          <cell r="H1420" t="str">
            <v>Violet Bier of Sorrows (HB)</v>
          </cell>
          <cell r="I1420">
            <v>4</v>
          </cell>
          <cell r="J1420">
            <v>2</v>
          </cell>
          <cell r="K1420">
            <v>0</v>
          </cell>
        </row>
        <row r="1421">
          <cell r="A1421" t="str">
            <v>Metal Storm      </v>
          </cell>
          <cell r="B1421" t="str">
            <v>7m, 1wp</v>
          </cell>
          <cell r="C1421" t="str">
            <v>Simple</v>
          </cell>
          <cell r="D1421" t="str">
            <v>Decisive-only, Terrestrial</v>
          </cell>
          <cell r="E1421" t="str">
            <v>Instant</v>
          </cell>
          <cell r="H1421" t="str">
            <v>Violet Bier of Sorrows (HB)</v>
          </cell>
          <cell r="I1421">
            <v>4</v>
          </cell>
          <cell r="J1421">
            <v>2</v>
          </cell>
          <cell r="K1421">
            <v>0</v>
          </cell>
        </row>
        <row r="1422">
          <cell r="A1422" t="str">
            <v>Conclusion Pursuing Approach</v>
          </cell>
          <cell r="B1422" t="str">
            <v>3m</v>
          </cell>
          <cell r="C1422" t="str">
            <v>Supplemental</v>
          </cell>
          <cell r="D1422" t="str">
            <v>Decisive-only, Mastery</v>
          </cell>
          <cell r="E1422" t="str">
            <v>Instant</v>
          </cell>
          <cell r="H1422" t="str">
            <v>Violet Bier of Sorrows (HB)</v>
          </cell>
          <cell r="I1422">
            <v>5</v>
          </cell>
          <cell r="J1422">
            <v>2</v>
          </cell>
          <cell r="K1422">
            <v>0</v>
          </cell>
        </row>
        <row r="1423">
          <cell r="A1423" t="str">
            <v>Life-Severing Blow</v>
          </cell>
          <cell r="B1423" t="str">
            <v>2m / die</v>
          </cell>
          <cell r="C1423" t="str">
            <v>Supplemental</v>
          </cell>
          <cell r="D1423" t="str">
            <v>Decisive-only, Mastery</v>
          </cell>
          <cell r="E1423" t="str">
            <v>Instant</v>
          </cell>
          <cell r="H1423" t="str">
            <v>Violet Bier of Sorrows (HB)</v>
          </cell>
          <cell r="I1423">
            <v>5</v>
          </cell>
          <cell r="J1423">
            <v>3</v>
          </cell>
          <cell r="K1423">
            <v>0</v>
          </cell>
        </row>
        <row r="1424">
          <cell r="A1424" t="str">
            <v>Sifu's Useful Fingers</v>
          </cell>
          <cell r="B1424" t="str">
            <v>1m</v>
          </cell>
          <cell r="C1424" t="str">
            <v>Simple</v>
          </cell>
          <cell r="D1424" t="str">
            <v>Terrestrial</v>
          </cell>
          <cell r="E1424" t="str">
            <v>Indefinite</v>
          </cell>
          <cell r="H1424" t="str">
            <v>Throne Shadow Style (HB)</v>
          </cell>
          <cell r="I1424">
            <v>2</v>
          </cell>
          <cell r="J1424">
            <v>1</v>
          </cell>
          <cell r="K1424">
            <v>0</v>
          </cell>
        </row>
        <row r="1425">
          <cell r="A1425" t="str">
            <v>Lotus Eye Tactics</v>
          </cell>
          <cell r="B1425" t="str">
            <v>1m</v>
          </cell>
          <cell r="C1425" t="str">
            <v>Simple</v>
          </cell>
          <cell r="D1425" t="str">
            <v>Mastery, Terrestrial</v>
          </cell>
          <cell r="E1425" t="str">
            <v>Instant</v>
          </cell>
          <cell r="H1425" t="str">
            <v>Throne Shadow Style (HB)</v>
          </cell>
          <cell r="I1425">
            <v>2</v>
          </cell>
          <cell r="J1425">
            <v>1</v>
          </cell>
          <cell r="K1425">
            <v>0</v>
          </cell>
        </row>
        <row r="1426">
          <cell r="A1426" t="str">
            <v>Lion Mouse Stratagem</v>
          </cell>
          <cell r="B1426" t="str">
            <v>3m</v>
          </cell>
          <cell r="C1426" t="str">
            <v>Simple</v>
          </cell>
          <cell r="D1426" t="str">
            <v>Mastery</v>
          </cell>
          <cell r="E1426" t="str">
            <v>One Scene</v>
          </cell>
          <cell r="H1426" t="str">
            <v>Throne Shadow Style (HB)</v>
          </cell>
          <cell r="I1426">
            <v>3</v>
          </cell>
          <cell r="J1426">
            <v>1</v>
          </cell>
          <cell r="K1426">
            <v>0</v>
          </cell>
        </row>
        <row r="1427">
          <cell r="A1427" t="str">
            <v>Throne Shadow Form</v>
          </cell>
          <cell r="B1427" t="str">
            <v>6m</v>
          </cell>
          <cell r="C1427" t="str">
            <v>Simple</v>
          </cell>
          <cell r="D1427" t="str">
            <v>Form</v>
          </cell>
          <cell r="E1427" t="str">
            <v>One Scene</v>
          </cell>
          <cell r="H1427" t="str">
            <v>Throne Shadow Style (HB)</v>
          </cell>
          <cell r="I1427">
            <v>3</v>
          </cell>
          <cell r="J1427">
            <v>2</v>
          </cell>
          <cell r="K1427">
            <v>0</v>
          </cell>
        </row>
        <row r="1428">
          <cell r="A1428" t="str">
            <v>Clear Eyes Defense</v>
          </cell>
          <cell r="B1428" t="str">
            <v>3m</v>
          </cell>
          <cell r="C1428" t="str">
            <v>Reflexive</v>
          </cell>
          <cell r="D1428" t="str">
            <v>Decisive-only, Counterattack, Mastery, Perilous</v>
          </cell>
          <cell r="E1428" t="str">
            <v>Instant</v>
          </cell>
          <cell r="H1428" t="str">
            <v>Throne Shadow Style (HB)</v>
          </cell>
          <cell r="I1428">
            <v>5</v>
          </cell>
          <cell r="J1428">
            <v>2</v>
          </cell>
          <cell r="K1428">
            <v>0</v>
          </cell>
        </row>
        <row r="1429">
          <cell r="A1429" t="str">
            <v>Shadow Lost in Court</v>
          </cell>
          <cell r="B1429" t="str">
            <v>5m</v>
          </cell>
          <cell r="C1429" t="str">
            <v>Supplemental</v>
          </cell>
          <cell r="D1429" t="str">
            <v>Terrestrial</v>
          </cell>
          <cell r="E1429" t="str">
            <v>Instant</v>
          </cell>
          <cell r="H1429" t="str">
            <v>Throne Shadow Style (HB)</v>
          </cell>
          <cell r="I1429">
            <v>4</v>
          </cell>
          <cell r="J1429">
            <v>2</v>
          </cell>
          <cell r="K1429">
            <v>0</v>
          </cell>
        </row>
        <row r="1430">
          <cell r="A1430" t="str">
            <v>Welcome the Uninvited Guest</v>
          </cell>
          <cell r="B1430" t="str">
            <v>3m</v>
          </cell>
          <cell r="C1430" t="str">
            <v>Simple</v>
          </cell>
          <cell r="D1430" t="str">
            <v>None</v>
          </cell>
          <cell r="E1430" t="str">
            <v>Five turns</v>
          </cell>
          <cell r="H1430" t="str">
            <v>Throne Shadow Style (HB)</v>
          </cell>
          <cell r="I1430">
            <v>5</v>
          </cell>
          <cell r="J1430">
            <v>2</v>
          </cell>
          <cell r="K1430">
            <v>0</v>
          </cell>
        </row>
        <row r="1431">
          <cell r="A1431" t="str">
            <v>Pneuma-Sealing Strike</v>
          </cell>
          <cell r="B1431" t="str">
            <v>5m</v>
          </cell>
          <cell r="C1431" t="str">
            <v>Supplemental</v>
          </cell>
          <cell r="D1431" t="str">
            <v>Decisive-only, Mastery</v>
          </cell>
          <cell r="E1431" t="str">
            <v>Instant</v>
          </cell>
          <cell r="H1431" t="str">
            <v>Throne Shadow Style (HB)</v>
          </cell>
          <cell r="I1431">
            <v>5</v>
          </cell>
          <cell r="J1431">
            <v>3</v>
          </cell>
          <cell r="K1431">
            <v>0</v>
          </cell>
        </row>
        <row r="1432">
          <cell r="A1432" t="str">
            <v>Showing the Secret Hand</v>
          </cell>
          <cell r="B1432" t="str">
            <v>3m per finger</v>
          </cell>
          <cell r="C1432" t="str">
            <v>Reflexive</v>
          </cell>
          <cell r="D1432" t="str">
            <v>Withering-only, Counterattack</v>
          </cell>
          <cell r="E1432" t="str">
            <v>Instant</v>
          </cell>
          <cell r="H1432" t="str">
            <v>Throne Shadow Style (HB)</v>
          </cell>
          <cell r="I1432">
            <v>5</v>
          </cell>
          <cell r="J1432">
            <v>3</v>
          </cell>
          <cell r="K1432">
            <v>0</v>
          </cell>
        </row>
        <row r="1433">
          <cell r="A1433" t="str">
            <v>World as Weapon Mastery</v>
          </cell>
          <cell r="B1433" t="str">
            <v>(1wp)</v>
          </cell>
          <cell r="C1433" t="str">
            <v>Reflexive</v>
          </cell>
          <cell r="D1433" t="str">
            <v>Mastery</v>
          </cell>
          <cell r="E1433" t="str">
            <v>Instant</v>
          </cell>
          <cell r="H1433" t="str">
            <v>Throne Shadow Style (HB)</v>
          </cell>
          <cell r="I1433">
            <v>5</v>
          </cell>
          <cell r="J1433">
            <v>3</v>
          </cell>
          <cell r="K1433">
            <v>0</v>
          </cell>
        </row>
        <row r="1435">
          <cell r="A1435" t="str">
            <v>Heart-Knowing Blade</v>
          </cell>
          <cell r="B1435" t="str">
            <v>3m</v>
          </cell>
          <cell r="C1435" t="str">
            <v>Supplemental</v>
          </cell>
          <cell r="D1435" t="str">
            <v>Decisive-only</v>
          </cell>
          <cell r="E1435" t="str">
            <v>Instant</v>
          </cell>
          <cell r="G1435">
            <v>614</v>
          </cell>
          <cell r="H1435" t="str">
            <v>Beloved Adorei</v>
          </cell>
          <cell r="I1435" t="str">
            <v>None</v>
          </cell>
          <cell r="J1435">
            <v>1</v>
          </cell>
        </row>
        <row r="1436">
          <cell r="A1436" t="str">
            <v>No Other Blade</v>
          </cell>
          <cell r="B1436" t="str">
            <v>1m</v>
          </cell>
          <cell r="C1436" t="str">
            <v>Supplemental</v>
          </cell>
          <cell r="D1436" t="str">
            <v>Uniform</v>
          </cell>
          <cell r="E1436" t="str">
            <v>Instant</v>
          </cell>
          <cell r="G1436">
            <v>614</v>
          </cell>
          <cell r="H1436" t="str">
            <v>Beloved Adorei</v>
          </cell>
          <cell r="I1436" t="str">
            <v>None</v>
          </cell>
          <cell r="J1436">
            <v>1</v>
          </cell>
        </row>
        <row r="1437">
          <cell r="A1437" t="str">
            <v>Magnanimous Sunfire Blast</v>
          </cell>
          <cell r="B1437" t="str">
            <v>1m/revealed Intimacy</v>
          </cell>
          <cell r="C1437" t="str">
            <v>Reflexive</v>
          </cell>
          <cell r="D1437" t="str">
            <v>Decisive-only</v>
          </cell>
          <cell r="E1437" t="str">
            <v>Instant</v>
          </cell>
          <cell r="G1437">
            <v>615</v>
          </cell>
          <cell r="H1437" t="str">
            <v>Beloved Adorei</v>
          </cell>
          <cell r="I1437" t="str">
            <v>None</v>
          </cell>
          <cell r="J1437">
            <v>2</v>
          </cell>
        </row>
        <row r="1438">
          <cell r="A1438" t="str">
            <v>Holy Miracle Strike</v>
          </cell>
          <cell r="B1438" t="str">
            <v>10m, 1wp</v>
          </cell>
          <cell r="C1438" t="str">
            <v>Simple</v>
          </cell>
          <cell r="D1438" t="str">
            <v>Uniform</v>
          </cell>
          <cell r="E1438" t="str">
            <v>Instant</v>
          </cell>
          <cell r="G1438">
            <v>615</v>
          </cell>
          <cell r="H1438" t="str">
            <v>Beloved Adorei</v>
          </cell>
          <cell r="I1438" t="str">
            <v>None</v>
          </cell>
          <cell r="J1438">
            <v>3</v>
          </cell>
        </row>
        <row r="1439">
          <cell r="A1439" t="str">
            <v>Battle Dance of the Warrior Wed</v>
          </cell>
          <cell r="B1439" t="str">
            <v>-</v>
          </cell>
          <cell r="C1439" t="str">
            <v>Reflexive</v>
          </cell>
          <cell r="D1439" t="str">
            <v>Uniform</v>
          </cell>
          <cell r="E1439" t="str">
            <v>One combat</v>
          </cell>
          <cell r="G1439">
            <v>615</v>
          </cell>
          <cell r="H1439" t="str">
            <v>Beloved Adorei</v>
          </cell>
          <cell r="I1439" t="str">
            <v>None</v>
          </cell>
          <cell r="J1439">
            <v>3</v>
          </cell>
        </row>
        <row r="1440">
          <cell r="A1440" t="str">
            <v>Luminous Soul Warden</v>
          </cell>
          <cell r="B1440" t="str">
            <v>1m/1a</v>
          </cell>
          <cell r="C1440" t="str">
            <v>Reflexive</v>
          </cell>
          <cell r="D1440" t="str">
            <v>Decisive-only, Stackable</v>
          </cell>
          <cell r="E1440" t="str">
            <v>One scene</v>
          </cell>
          <cell r="G1440">
            <v>616</v>
          </cell>
          <cell r="H1440" t="str">
            <v>Brilliant Sentinel</v>
          </cell>
          <cell r="I1440" t="str">
            <v>None</v>
          </cell>
          <cell r="J1440">
            <v>1</v>
          </cell>
        </row>
        <row r="1441">
          <cell r="A1441" t="str">
            <v>Dawn of a Hundred Rebukes</v>
          </cell>
          <cell r="B1441" t="str">
            <v>5m, 1wp</v>
          </cell>
          <cell r="C1441" t="str">
            <v>Reflexive</v>
          </cell>
          <cell r="D1441" t="str">
            <v>Decisive-only</v>
          </cell>
          <cell r="E1441" t="str">
            <v>Instant</v>
          </cell>
          <cell r="G1441">
            <v>617</v>
          </cell>
          <cell r="H1441" t="str">
            <v>Brilliant Sentinel</v>
          </cell>
          <cell r="I1441" t="str">
            <v>None</v>
          </cell>
          <cell r="J1441">
            <v>2</v>
          </cell>
        </row>
        <row r="1442">
          <cell r="A1442" t="str">
            <v>Unconquered Guardian Defense</v>
          </cell>
          <cell r="B1442" t="str">
            <v>4m, 3i</v>
          </cell>
          <cell r="C1442" t="str">
            <v>Simple</v>
          </cell>
          <cell r="D1442" t="str">
            <v>None</v>
          </cell>
          <cell r="E1442" t="str">
            <v>Instant</v>
          </cell>
          <cell r="G1442">
            <v>617</v>
          </cell>
          <cell r="H1442" t="str">
            <v>Brilliant Sentinel</v>
          </cell>
          <cell r="I1442" t="str">
            <v>None</v>
          </cell>
          <cell r="J1442">
            <v>3</v>
          </cell>
        </row>
        <row r="1443">
          <cell r="A1443" t="str">
            <v>Moonlit Huntress Aura</v>
          </cell>
          <cell r="B1443" t="str">
            <v>1wp</v>
          </cell>
          <cell r="C1443" t="str">
            <v>Reflexive</v>
          </cell>
          <cell r="D1443" t="str">
            <v>None</v>
          </cell>
          <cell r="E1443" t="str">
            <v>Three turns</v>
          </cell>
          <cell r="G1443">
            <v>618</v>
          </cell>
          <cell r="H1443" t="str">
            <v>Moonlit Huntress</v>
          </cell>
          <cell r="I1443" t="str">
            <v>None</v>
          </cell>
          <cell r="J1443">
            <v>2</v>
          </cell>
        </row>
        <row r="1444">
          <cell r="A1444" t="str">
            <v>Winter Night Cut</v>
          </cell>
          <cell r="B1444" t="str">
            <v>3m, 2i</v>
          </cell>
          <cell r="C1444" t="str">
            <v>Reflexive</v>
          </cell>
          <cell r="D1444" t="str">
            <v>Withering-only</v>
          </cell>
          <cell r="E1444" t="str">
            <v>Instant</v>
          </cell>
          <cell r="G1444">
            <v>618</v>
          </cell>
          <cell r="H1444" t="str">
            <v>Shining Ice Mirror</v>
          </cell>
          <cell r="I1444" t="str">
            <v>None</v>
          </cell>
          <cell r="J1444">
            <v>1</v>
          </cell>
        </row>
        <row r="1445">
          <cell r="A1445" t="str">
            <v>Frozen Soul Resolve</v>
          </cell>
          <cell r="B1445" t="str">
            <v>1m, 1i</v>
          </cell>
          <cell r="C1445" t="str">
            <v>Reflexive</v>
          </cell>
          <cell r="D1445" t="str">
            <v>Perilous</v>
          </cell>
          <cell r="E1445" t="str">
            <v>Instant</v>
          </cell>
          <cell r="G1445">
            <v>619</v>
          </cell>
          <cell r="H1445" t="str">
            <v>Shining Ice Mirror</v>
          </cell>
          <cell r="I1445" t="str">
            <v>None</v>
          </cell>
          <cell r="J1445">
            <v>1</v>
          </cell>
        </row>
        <row r="1446">
          <cell r="A1446" t="str">
            <v>Cold Moon Slash</v>
          </cell>
          <cell r="B1446" t="str">
            <v>6m, 2i, 1wp</v>
          </cell>
          <cell r="C1446" t="str">
            <v>Simple</v>
          </cell>
          <cell r="D1446" t="str">
            <v>Decisive-only, Perilous</v>
          </cell>
          <cell r="E1446" t="str">
            <v>Instant</v>
          </cell>
          <cell r="G1446">
            <v>619</v>
          </cell>
          <cell r="H1446" t="str">
            <v>Shining Ice Mirror</v>
          </cell>
          <cell r="I1446" t="str">
            <v>None</v>
          </cell>
          <cell r="J1446">
            <v>2</v>
          </cell>
        </row>
        <row r="1447">
          <cell r="A1447" t="str">
            <v>Ice-Fixing Strike</v>
          </cell>
          <cell r="B1447" t="str">
            <v>3m, 1wp</v>
          </cell>
          <cell r="C1447" t="str">
            <v>Simple</v>
          </cell>
          <cell r="D1447" t="str">
            <v>Withering-only</v>
          </cell>
          <cell r="E1447" t="str">
            <v>Instant</v>
          </cell>
          <cell r="G1447">
            <v>619</v>
          </cell>
          <cell r="H1447" t="str">
            <v>Shining Ice Mirror</v>
          </cell>
          <cell r="I1447" t="str">
            <v>None</v>
          </cell>
          <cell r="J1447">
            <v>3</v>
          </cell>
        </row>
        <row r="1448">
          <cell r="A1448" t="str">
            <v>Howling Lotus Strike</v>
          </cell>
          <cell r="B1448" t="str">
            <v>3m</v>
          </cell>
          <cell r="C1448" t="str">
            <v>Supplemental</v>
          </cell>
          <cell r="D1448" t="str">
            <v>Decisive-only</v>
          </cell>
          <cell r="E1448" t="str">
            <v>Instant</v>
          </cell>
          <cell r="G1448">
            <v>620</v>
          </cell>
          <cell r="H1448" t="str">
            <v>Spring Razor</v>
          </cell>
          <cell r="I1448" t="str">
            <v>None</v>
          </cell>
          <cell r="J1448">
            <v>1</v>
          </cell>
        </row>
        <row r="1449">
          <cell r="A1449" t="str">
            <v>Venom-Intensifying Stroke</v>
          </cell>
          <cell r="B1449" t="str">
            <v>3m</v>
          </cell>
          <cell r="C1449" t="str">
            <v>Supplemental</v>
          </cell>
          <cell r="D1449" t="str">
            <v>Stackable, Uniform</v>
          </cell>
          <cell r="E1449" t="str">
            <v>Instant</v>
          </cell>
          <cell r="G1449">
            <v>620</v>
          </cell>
          <cell r="H1449" t="str">
            <v>Spring Razor</v>
          </cell>
          <cell r="I1449" t="str">
            <v>None</v>
          </cell>
          <cell r="J1449">
            <v>1</v>
          </cell>
        </row>
        <row r="1450">
          <cell r="A1450" t="str">
            <v>Seven Widows Venom</v>
          </cell>
          <cell r="B1450" t="str">
            <v>-</v>
          </cell>
          <cell r="C1450" t="str">
            <v>Permanent</v>
          </cell>
          <cell r="D1450" t="str">
            <v>None</v>
          </cell>
          <cell r="E1450" t="str">
            <v>Permanent</v>
          </cell>
          <cell r="G1450">
            <v>620</v>
          </cell>
          <cell r="H1450" t="str">
            <v>Spring Razor</v>
          </cell>
          <cell r="I1450" t="str">
            <v>None</v>
          </cell>
          <cell r="J1450">
            <v>2</v>
          </cell>
        </row>
        <row r="1451">
          <cell r="A1451" t="str">
            <v>Deadly Flowers Blooming</v>
          </cell>
          <cell r="B1451" t="str">
            <v>2m, 2i</v>
          </cell>
          <cell r="C1451" t="str">
            <v>Reflexive</v>
          </cell>
          <cell r="D1451" t="str">
            <v>Stackable</v>
          </cell>
          <cell r="E1451" t="str">
            <v>One scene</v>
          </cell>
          <cell r="G1451">
            <v>620</v>
          </cell>
          <cell r="H1451" t="str">
            <v>Spring Razor</v>
          </cell>
          <cell r="I1451" t="str">
            <v>None</v>
          </cell>
          <cell r="J1451">
            <v>2</v>
          </cell>
        </row>
        <row r="1452">
          <cell r="A1452" t="str">
            <v>Delicate Crimson Execution</v>
          </cell>
          <cell r="B1452" t="str">
            <v>5m, 1wp</v>
          </cell>
          <cell r="C1452" t="str">
            <v>Simple</v>
          </cell>
          <cell r="D1452" t="str">
            <v>Decisive-only</v>
          </cell>
          <cell r="E1452" t="str">
            <v>Instant</v>
          </cell>
          <cell r="G1452">
            <v>621</v>
          </cell>
          <cell r="H1452" t="str">
            <v>Spring Razor</v>
          </cell>
          <cell r="I1452" t="str">
            <v>None</v>
          </cell>
          <cell r="J1452">
            <v>3</v>
          </cell>
        </row>
        <row r="1453">
          <cell r="A1453" t="str">
            <v>Stepping Through Strife</v>
          </cell>
          <cell r="B1453" t="str">
            <v>-</v>
          </cell>
          <cell r="C1453" t="str">
            <v>Permanent</v>
          </cell>
          <cell r="D1453" t="str">
            <v>None</v>
          </cell>
          <cell r="E1453" t="str">
            <v>Permanent</v>
          </cell>
          <cell r="G1453">
            <v>621</v>
          </cell>
          <cell r="H1453" t="str">
            <v>Freedom's Cadence</v>
          </cell>
          <cell r="I1453" t="str">
            <v>None</v>
          </cell>
          <cell r="J1453">
            <v>1</v>
          </cell>
        </row>
        <row r="1454">
          <cell r="A1454" t="str">
            <v>Snow-Gathering Elusion</v>
          </cell>
          <cell r="B1454" t="str">
            <v>3m</v>
          </cell>
          <cell r="C1454" t="str">
            <v>Reflexive</v>
          </cell>
          <cell r="D1454" t="str">
            <v>Perilous, Stackable, Uniform</v>
          </cell>
          <cell r="E1454" t="str">
            <v>Instant</v>
          </cell>
          <cell r="G1454">
            <v>622</v>
          </cell>
          <cell r="H1454" t="str">
            <v>Freedom's Cadence</v>
          </cell>
          <cell r="I1454" t="str">
            <v>None</v>
          </cell>
          <cell r="J1454">
            <v>1</v>
          </cell>
        </row>
        <row r="1455">
          <cell r="A1455" t="str">
            <v>Destination-Hunting Impulse</v>
          </cell>
          <cell r="B1455" t="str">
            <v>5m, 1wp</v>
          </cell>
          <cell r="C1455" t="str">
            <v>Simple</v>
          </cell>
          <cell r="D1455" t="str">
            <v>Perilous</v>
          </cell>
          <cell r="E1455" t="str">
            <v>One scene</v>
          </cell>
          <cell r="G1455">
            <v>622</v>
          </cell>
          <cell r="H1455" t="str">
            <v>Freedom's Cadence</v>
          </cell>
          <cell r="I1455" t="str">
            <v>None</v>
          </cell>
          <cell r="J1455">
            <v>2</v>
          </cell>
        </row>
        <row r="1456">
          <cell r="A1456" t="str">
            <v>Clear Path Defense</v>
          </cell>
          <cell r="B1456" t="str">
            <v>-</v>
          </cell>
          <cell r="C1456" t="str">
            <v>Permanent</v>
          </cell>
          <cell r="D1456" t="str">
            <v>Uniform</v>
          </cell>
          <cell r="E1456" t="str">
            <v>Permanent</v>
          </cell>
          <cell r="G1456">
            <v>622</v>
          </cell>
          <cell r="H1456" t="str">
            <v>Freedom's Cadence</v>
          </cell>
          <cell r="I1456" t="str">
            <v>None</v>
          </cell>
          <cell r="J1456">
            <v>2</v>
          </cell>
        </row>
        <row r="1457">
          <cell r="A1457" t="str">
            <v>Pound the Drums</v>
          </cell>
          <cell r="B1457" t="str">
            <v>6m, 1wp</v>
          </cell>
          <cell r="C1457" t="str">
            <v>Simple</v>
          </cell>
          <cell r="D1457" t="str">
            <v>Perilous</v>
          </cell>
          <cell r="E1457" t="str">
            <v>One scene</v>
          </cell>
          <cell r="G1457">
            <v>622</v>
          </cell>
          <cell r="H1457" t="str">
            <v>Freedom's Cadence</v>
          </cell>
          <cell r="I1457" t="str">
            <v>None</v>
          </cell>
          <cell r="J1457">
            <v>3</v>
          </cell>
        </row>
        <row r="1458">
          <cell r="A1458" t="str">
            <v>Orichalcum Wings Elevation</v>
          </cell>
          <cell r="B1458" t="str">
            <v>2m</v>
          </cell>
          <cell r="C1458" t="str">
            <v>Supplemental</v>
          </cell>
          <cell r="D1458" t="str">
            <v>Uniform</v>
          </cell>
          <cell r="E1458" t="str">
            <v>Instant</v>
          </cell>
          <cell r="G1458">
            <v>623</v>
          </cell>
          <cell r="H1458" t="str">
            <v>Orichalcum Hunting Hawk</v>
          </cell>
          <cell r="I1458" t="str">
            <v>None</v>
          </cell>
          <cell r="J1458">
            <v>1</v>
          </cell>
        </row>
        <row r="1459">
          <cell r="A1459" t="str">
            <v>Cloud-Blending Camouflage</v>
          </cell>
          <cell r="B1459" t="str">
            <v>4m</v>
          </cell>
          <cell r="C1459" t="str">
            <v>Simple</v>
          </cell>
          <cell r="D1459" t="str">
            <v>None</v>
          </cell>
          <cell r="E1459" t="str">
            <v>Until cover is broken</v>
          </cell>
          <cell r="G1459">
            <v>623</v>
          </cell>
          <cell r="H1459" t="str">
            <v>Orichalcum Hunting Hawk</v>
          </cell>
          <cell r="I1459" t="str">
            <v>None</v>
          </cell>
          <cell r="J1459">
            <v>1</v>
          </cell>
        </row>
        <row r="1460">
          <cell r="A1460" t="str">
            <v>Drifting Hawk Tactics</v>
          </cell>
          <cell r="B1460" t="str">
            <v>3m</v>
          </cell>
          <cell r="C1460" t="str">
            <v>Reflexive</v>
          </cell>
          <cell r="D1460" t="str">
            <v>Uniform</v>
          </cell>
          <cell r="E1460" t="str">
            <v>Reflexive</v>
          </cell>
          <cell r="G1460">
            <v>623</v>
          </cell>
          <cell r="H1460" t="str">
            <v>Orichalcum Hunting Hawk</v>
          </cell>
          <cell r="I1460" t="str">
            <v>None</v>
          </cell>
          <cell r="J1460">
            <v>2</v>
          </cell>
        </row>
        <row r="1461">
          <cell r="A1461" t="str">
            <v>Golden Talon Strike</v>
          </cell>
          <cell r="B1461" t="str">
            <v>3m, 1wp</v>
          </cell>
          <cell r="C1461" t="str">
            <v>Supplemental</v>
          </cell>
          <cell r="D1461" t="str">
            <v>Uniform</v>
          </cell>
          <cell r="E1461" t="str">
            <v>Instant</v>
          </cell>
          <cell r="G1461">
            <v>623</v>
          </cell>
          <cell r="H1461" t="str">
            <v>Orichalcum Hunting Hawk</v>
          </cell>
          <cell r="I1461" t="str">
            <v>None</v>
          </cell>
          <cell r="J1461">
            <v>2</v>
          </cell>
        </row>
        <row r="1462">
          <cell r="A1462" t="str">
            <v>Sun-Gilded Hawk Soul</v>
          </cell>
          <cell r="B1462" t="str">
            <v>5m, 3a, 1wp</v>
          </cell>
          <cell r="C1462" t="str">
            <v>Simple</v>
          </cell>
          <cell r="D1462" t="str">
            <v>None</v>
          </cell>
          <cell r="E1462" t="str">
            <v>One scene</v>
          </cell>
          <cell r="G1462">
            <v>624</v>
          </cell>
          <cell r="H1462" t="str">
            <v>Orichalcum Hunting Hawk</v>
          </cell>
          <cell r="I1462" t="str">
            <v>None</v>
          </cell>
          <cell r="J1462">
            <v>3</v>
          </cell>
        </row>
        <row r="1463">
          <cell r="A1463" t="str">
            <v>Pounding Heart Triumph</v>
          </cell>
          <cell r="B1463" t="str">
            <v>5m, 2i</v>
          </cell>
          <cell r="C1463" t="str">
            <v>Reflexive</v>
          </cell>
          <cell r="D1463" t="str">
            <v>Withering-Only</v>
          </cell>
          <cell r="E1463" t="str">
            <v>One scene</v>
          </cell>
          <cell r="G1463">
            <v>624</v>
          </cell>
          <cell r="H1463" t="str">
            <v>Dauntless</v>
          </cell>
          <cell r="I1463" t="str">
            <v>None</v>
          </cell>
          <cell r="J1463">
            <v>1</v>
          </cell>
        </row>
        <row r="1464">
          <cell r="A1464" t="str">
            <v>Taste of Victory Rhythm</v>
          </cell>
          <cell r="B1464" t="str">
            <v>3m/successful attack</v>
          </cell>
          <cell r="C1464" t="str">
            <v>Reflexive</v>
          </cell>
          <cell r="D1464" t="str">
            <v>Withering-only</v>
          </cell>
          <cell r="E1464" t="str">
            <v>Until next turn</v>
          </cell>
          <cell r="G1464">
            <v>625</v>
          </cell>
          <cell r="H1464" t="str">
            <v>Dauntless</v>
          </cell>
          <cell r="I1464" t="str">
            <v>None</v>
          </cell>
          <cell r="J1464">
            <v>2</v>
          </cell>
        </row>
        <row r="1465">
          <cell r="A1465" t="str">
            <v>Champion's Fatal Strike</v>
          </cell>
          <cell r="B1465" t="str">
            <v>--</v>
          </cell>
          <cell r="C1465" t="str">
            <v>Supplemental</v>
          </cell>
          <cell r="D1465" t="str">
            <v>Decisive-only</v>
          </cell>
          <cell r="E1465" t="str">
            <v>Instant</v>
          </cell>
          <cell r="G1465">
            <v>625</v>
          </cell>
          <cell r="H1465" t="str">
            <v>Dauntless</v>
          </cell>
          <cell r="I1465" t="str">
            <v>None</v>
          </cell>
          <cell r="J1465">
            <v>3</v>
          </cell>
        </row>
        <row r="1466">
          <cell r="A1466" t="str">
            <v>Daredevil Bravado Defense</v>
          </cell>
          <cell r="B1466" t="str">
            <v>7m</v>
          </cell>
          <cell r="C1466" t="str">
            <v>Reflexive</v>
          </cell>
          <cell r="D1466" t="str">
            <v>Decisive-only</v>
          </cell>
          <cell r="E1466" t="str">
            <v>Instant</v>
          </cell>
          <cell r="G1466">
            <v>625</v>
          </cell>
          <cell r="H1466" t="str">
            <v>Dauntless</v>
          </cell>
          <cell r="I1466" t="str">
            <v>None</v>
          </cell>
          <cell r="J1466">
            <v>3</v>
          </cell>
        </row>
        <row r="1467">
          <cell r="A1467" t="str">
            <v>Life-Drinking Resurgence</v>
          </cell>
          <cell r="B1467" t="str">
            <v>-</v>
          </cell>
          <cell r="C1467" t="str">
            <v>Permanent</v>
          </cell>
          <cell r="D1467" t="str">
            <v>Decisive-only</v>
          </cell>
          <cell r="E1467" t="str">
            <v>Permanent</v>
          </cell>
          <cell r="G1467">
            <v>626</v>
          </cell>
          <cell r="H1467" t="str">
            <v>Black Wind</v>
          </cell>
          <cell r="I1467" t="str">
            <v>None</v>
          </cell>
          <cell r="J1467">
            <v>1</v>
          </cell>
        </row>
        <row r="1468">
          <cell r="A1468" t="str">
            <v>Dark Life Detection</v>
          </cell>
          <cell r="B1468" t="str">
            <v>-</v>
          </cell>
          <cell r="C1468" t="str">
            <v>Permanent</v>
          </cell>
          <cell r="D1468" t="str">
            <v>Decisive-only</v>
          </cell>
          <cell r="E1468" t="str">
            <v>Permanent</v>
          </cell>
          <cell r="G1468">
            <v>626</v>
          </cell>
          <cell r="H1468" t="str">
            <v>Black Wind</v>
          </cell>
          <cell r="I1468" t="str">
            <v>None</v>
          </cell>
          <cell r="J1468">
            <v>1</v>
          </cell>
        </row>
        <row r="1469">
          <cell r="A1469" t="str">
            <v>Seven Traumas Technique</v>
          </cell>
          <cell r="B1469" t="str">
            <v>3m, 1+ blades</v>
          </cell>
          <cell r="C1469" t="str">
            <v>Supplemental</v>
          </cell>
          <cell r="D1469" t="str">
            <v>Decisive-only</v>
          </cell>
          <cell r="E1469" t="str">
            <v>Instant</v>
          </cell>
          <cell r="G1469">
            <v>626</v>
          </cell>
          <cell r="H1469" t="str">
            <v>Black Wind</v>
          </cell>
          <cell r="I1469" t="str">
            <v>None</v>
          </cell>
          <cell r="J1469">
            <v>2</v>
          </cell>
        </row>
        <row r="1470">
          <cell r="A1470" t="str">
            <v>Errant Orbit Scythe</v>
          </cell>
          <cell r="B1470" t="str">
            <v>4m, 1wp, 1+ blades</v>
          </cell>
          <cell r="C1470" t="str">
            <v>Simple</v>
          </cell>
          <cell r="D1470" t="str">
            <v>Withering-only</v>
          </cell>
          <cell r="E1470" t="str">
            <v>Instant</v>
          </cell>
          <cell r="G1470">
            <v>626</v>
          </cell>
          <cell r="H1470" t="str">
            <v>Black Wind</v>
          </cell>
          <cell r="I1470" t="str">
            <v>None</v>
          </cell>
          <cell r="J1470">
            <v>3</v>
          </cell>
        </row>
        <row r="1471">
          <cell r="A1471" t="str">
            <v>Soul-Reaving Release</v>
          </cell>
          <cell r="B1471" t="str">
            <v>5m, 1wp</v>
          </cell>
          <cell r="C1471" t="str">
            <v>Simple</v>
          </cell>
          <cell r="D1471" t="str">
            <v>Decisive-only</v>
          </cell>
          <cell r="E1471" t="str">
            <v>Instant</v>
          </cell>
          <cell r="G1471">
            <v>627</v>
          </cell>
          <cell r="H1471" t="str">
            <v>Black Wind</v>
          </cell>
          <cell r="I1471" t="str">
            <v>None</v>
          </cell>
          <cell r="J1471">
            <v>4</v>
          </cell>
        </row>
        <row r="1472">
          <cell r="A1472" t="str">
            <v>Grand Eruption</v>
          </cell>
          <cell r="B1472" t="str">
            <v>10m</v>
          </cell>
          <cell r="C1472" t="str">
            <v>Simple</v>
          </cell>
          <cell r="D1472" t="str">
            <v>Uniform</v>
          </cell>
          <cell r="E1472" t="str">
            <v>Instant</v>
          </cell>
          <cell r="G1472">
            <v>628</v>
          </cell>
          <cell r="H1472" t="str">
            <v>Volcano Cutter</v>
          </cell>
          <cell r="I1472" t="str">
            <v>None</v>
          </cell>
          <cell r="J1472">
            <v>1</v>
          </cell>
        </row>
        <row r="1473">
          <cell r="A1473" t="str">
            <v>Pregnant Flame Exhumation</v>
          </cell>
          <cell r="B1473" t="str">
            <v>4m</v>
          </cell>
          <cell r="C1473" t="str">
            <v>Reflexive</v>
          </cell>
          <cell r="D1473" t="str">
            <v>Decisive-only</v>
          </cell>
          <cell r="E1473" t="str">
            <v>Instant</v>
          </cell>
          <cell r="G1473">
            <v>628</v>
          </cell>
          <cell r="H1473" t="str">
            <v>Volcano Cutter</v>
          </cell>
          <cell r="I1473" t="str">
            <v>None</v>
          </cell>
          <cell r="J1473">
            <v>2</v>
          </cell>
        </row>
        <row r="1474">
          <cell r="A1474" t="str">
            <v>Magma Burial</v>
          </cell>
          <cell r="B1474" t="str">
            <v>4m, 2i, 1wp</v>
          </cell>
          <cell r="C1474" t="str">
            <v>Simple</v>
          </cell>
          <cell r="D1474" t="str">
            <v>Decisive-only, Perilous</v>
          </cell>
          <cell r="E1474" t="str">
            <v>Instant</v>
          </cell>
          <cell r="G1474">
            <v>629</v>
          </cell>
          <cell r="H1474" t="str">
            <v>Volcano Cutter</v>
          </cell>
          <cell r="I1474" t="str">
            <v>None</v>
          </cell>
          <cell r="J1474">
            <v>2</v>
          </cell>
        </row>
        <row r="1475">
          <cell r="A1475" t="str">
            <v>Caldera Reconfiguration Stance</v>
          </cell>
          <cell r="B1475" t="str">
            <v>6m, 3i, 1wp</v>
          </cell>
          <cell r="C1475" t="str">
            <v>Simple</v>
          </cell>
          <cell r="D1475" t="str">
            <v>Decisive, Perilous</v>
          </cell>
          <cell r="E1475" t="str">
            <v>Instant</v>
          </cell>
          <cell r="G1475">
            <v>629</v>
          </cell>
          <cell r="H1475" t="str">
            <v>Volcano Cutter</v>
          </cell>
          <cell r="I1475" t="str">
            <v>None</v>
          </cell>
          <cell r="J1475">
            <v>3</v>
          </cell>
        </row>
        <row r="1476">
          <cell r="A1476" t="str">
            <v>Pyroclastic Holocaust Judgment</v>
          </cell>
          <cell r="B1476" t="str">
            <v>12m, 1wp</v>
          </cell>
          <cell r="C1476" t="str">
            <v>Simple</v>
          </cell>
          <cell r="D1476" t="str">
            <v>Decisive-only, Perilous</v>
          </cell>
          <cell r="E1476" t="str">
            <v>Instant</v>
          </cell>
          <cell r="G1476">
            <v>629</v>
          </cell>
          <cell r="H1476" t="str">
            <v>Volcano Cutter</v>
          </cell>
          <cell r="I1476" t="str">
            <v>None</v>
          </cell>
          <cell r="J1476">
            <v>4</v>
          </cell>
        </row>
        <row r="1477">
          <cell r="A1477" t="str">
            <v>Argent Defender</v>
          </cell>
          <cell r="B1477" t="str">
            <v>-</v>
          </cell>
          <cell r="C1477" t="str">
            <v>Permanent</v>
          </cell>
          <cell r="D1477" t="str">
            <v>Resonant</v>
          </cell>
          <cell r="E1477" t="str">
            <v>Permanent</v>
          </cell>
          <cell r="H1477" t="str">
            <v>Courante and Galliard</v>
          </cell>
          <cell r="I1477" t="str">
            <v>None</v>
          </cell>
          <cell r="J1477">
            <v>1</v>
          </cell>
          <cell r="L1477" t="str">
            <v>Galliard Only</v>
          </cell>
        </row>
        <row r="1478">
          <cell r="A1478" t="str">
            <v>Aureate Avenger</v>
          </cell>
          <cell r="B1478" t="str">
            <v>-</v>
          </cell>
          <cell r="C1478" t="str">
            <v>Permanent</v>
          </cell>
          <cell r="D1478" t="str">
            <v>Resonant, Uniform</v>
          </cell>
          <cell r="E1478" t="str">
            <v>Permanent</v>
          </cell>
          <cell r="H1478" t="str">
            <v>Courante and Galliard</v>
          </cell>
          <cell r="I1478" t="str">
            <v>None</v>
          </cell>
          <cell r="J1478">
            <v>1</v>
          </cell>
          <cell r="L1478" t="str">
            <v>Courante Only</v>
          </cell>
        </row>
        <row r="1479">
          <cell r="A1479" t="str">
            <v>Shared Battle-Instinct</v>
          </cell>
          <cell r="B1479" t="str">
            <v>1m</v>
          </cell>
          <cell r="C1479" t="str">
            <v>Reflexive</v>
          </cell>
          <cell r="D1479" t="str">
            <v>Dissonant, Resonant</v>
          </cell>
          <cell r="E1479" t="str">
            <v>Instant</v>
          </cell>
          <cell r="H1479" t="str">
            <v>Courante and Galliard</v>
          </cell>
          <cell r="I1479" t="str">
            <v>None</v>
          </cell>
          <cell r="J1479">
            <v>2</v>
          </cell>
          <cell r="L1479" t="str">
            <v>Argent Defender OR Aureant Avenger</v>
          </cell>
        </row>
        <row r="1480">
          <cell r="A1480" t="str">
            <v>Together Triumphant</v>
          </cell>
          <cell r="B1480" t="str">
            <v>-</v>
          </cell>
          <cell r="C1480" t="str">
            <v>Reflexive</v>
          </cell>
          <cell r="D1480" t="str">
            <v>Dissonant</v>
          </cell>
          <cell r="E1480" t="str">
            <v>Instant</v>
          </cell>
          <cell r="H1480" t="str">
            <v>Courante and Galliard</v>
          </cell>
          <cell r="I1480" t="str">
            <v>None</v>
          </cell>
          <cell r="J1480">
            <v>2</v>
          </cell>
          <cell r="L1480" t="str">
            <v>Shared Battle-Instinct</v>
          </cell>
        </row>
        <row r="1481">
          <cell r="A1481" t="str">
            <v>Shining Eclipse Strike</v>
          </cell>
          <cell r="B1481" t="str">
            <v>4m, 1a</v>
          </cell>
          <cell r="C1481" t="str">
            <v>Supplemental</v>
          </cell>
          <cell r="D1481" t="str">
            <v>Resonant</v>
          </cell>
          <cell r="E1481" t="str">
            <v>Instant</v>
          </cell>
          <cell r="H1481" t="str">
            <v>Courante and Galliard</v>
          </cell>
          <cell r="I1481" t="str">
            <v>None</v>
          </cell>
          <cell r="J1481">
            <v>2</v>
          </cell>
          <cell r="L1481" t="str">
            <v>Shared Battle-Instinct</v>
          </cell>
        </row>
        <row r="1482">
          <cell r="A1482" t="str">
            <v>Sparks Fly Together</v>
          </cell>
          <cell r="B1482" t="str">
            <v>6m, 1a</v>
          </cell>
          <cell r="C1482" t="str">
            <v>Reflexive</v>
          </cell>
          <cell r="D1482" t="str">
            <v>Perilous, Resonant</v>
          </cell>
          <cell r="E1482" t="str">
            <v>Instant</v>
          </cell>
          <cell r="H1482" t="str">
            <v>Courante and Galliard</v>
          </cell>
          <cell r="I1482" t="str">
            <v>None</v>
          </cell>
          <cell r="J1482">
            <v>3</v>
          </cell>
          <cell r="L1482" t="str">
            <v>Together Triumphant</v>
          </cell>
        </row>
        <row r="1483">
          <cell r="A1483" t="str">
            <v>Celestial Union of Blades</v>
          </cell>
          <cell r="B1483" t="str">
            <v>5m, 3i, 1a</v>
          </cell>
          <cell r="C1483" t="str">
            <v>Simple</v>
          </cell>
          <cell r="D1483" t="str">
            <v>Perilous</v>
          </cell>
          <cell r="E1483" t="str">
            <v>One Scene</v>
          </cell>
          <cell r="H1483" t="str">
            <v>Courante and Galliard</v>
          </cell>
          <cell r="I1483" t="str">
            <v>None</v>
          </cell>
          <cell r="J1483">
            <v>3</v>
          </cell>
          <cell r="L1483" t="str">
            <v>Shining Eclipse Strike</v>
          </cell>
        </row>
        <row r="1484">
          <cell r="A1484" t="str">
            <v>Electrum Divinity Fusion</v>
          </cell>
          <cell r="B1484" t="str">
            <v>10m, 1wp, 3a</v>
          </cell>
          <cell r="C1484" t="str">
            <v>Simple</v>
          </cell>
          <cell r="D1484" t="str">
            <v>Resonant</v>
          </cell>
          <cell r="E1484" t="str">
            <v>One Scene</v>
          </cell>
          <cell r="H1484" t="str">
            <v>Courante and Galliard</v>
          </cell>
          <cell r="I1484" t="str">
            <v>None</v>
          </cell>
          <cell r="J1484">
            <v>4</v>
          </cell>
          <cell r="L1484" t="str">
            <v>Sparks Fly Together, Celestial union of Blades</v>
          </cell>
        </row>
        <row r="1485">
          <cell r="A1485" t="str">
            <v>Silkworm's Nostrum</v>
          </cell>
          <cell r="B1485" t="str">
            <v>-</v>
          </cell>
          <cell r="C1485" t="str">
            <v>Permanent</v>
          </cell>
          <cell r="D1485" t="str">
            <v>One</v>
          </cell>
          <cell r="E1485" t="str">
            <v>Permanent</v>
          </cell>
          <cell r="H1485" t="str">
            <v>The Distaff</v>
          </cell>
          <cell r="I1485" t="str">
            <v>None</v>
          </cell>
          <cell r="J1485">
            <v>1</v>
          </cell>
          <cell r="L1485" t="str">
            <v>Wound-Mending Care technique</v>
          </cell>
        </row>
        <row r="1486">
          <cell r="A1486" t="str">
            <v>Tinker's Cobweb</v>
          </cell>
          <cell r="B1486" t="str">
            <v>-</v>
          </cell>
          <cell r="C1486" t="str">
            <v>Permanent</v>
          </cell>
          <cell r="D1486" t="str">
            <v>None</v>
          </cell>
          <cell r="E1486" t="str">
            <v>Permanent</v>
          </cell>
          <cell r="H1486" t="str">
            <v>The Distaff</v>
          </cell>
          <cell r="I1486" t="str">
            <v>None</v>
          </cell>
          <cell r="J1486">
            <v>1</v>
          </cell>
          <cell r="L1486" t="str">
            <v>Any one charm this Evocation Augments</v>
          </cell>
        </row>
        <row r="1487">
          <cell r="A1487" t="str">
            <v>Tarantula's Grip</v>
          </cell>
          <cell r="B1487" t="str">
            <v>4m</v>
          </cell>
          <cell r="C1487" t="str">
            <v>Reflexive</v>
          </cell>
          <cell r="D1487" t="str">
            <v>Counter-attack, Decisive-only, Resonant, Dissonant</v>
          </cell>
          <cell r="E1487" t="str">
            <v>Instant</v>
          </cell>
          <cell r="H1487" t="str">
            <v>The Distaff</v>
          </cell>
          <cell r="I1487" t="str">
            <v>None</v>
          </cell>
          <cell r="J1487">
            <v>1</v>
          </cell>
        </row>
        <row r="1488">
          <cell r="A1488" t="str">
            <v>Wrapped Fly Atemi</v>
          </cell>
          <cell r="B1488" t="str">
            <v>5m, 1i</v>
          </cell>
          <cell r="C1488" t="str">
            <v>SImple</v>
          </cell>
          <cell r="D1488" t="str">
            <v>Perilous</v>
          </cell>
          <cell r="E1488" t="str">
            <v>Instant</v>
          </cell>
          <cell r="H1488" t="str">
            <v>The Distaff</v>
          </cell>
          <cell r="I1488" t="str">
            <v>None</v>
          </cell>
          <cell r="J1488">
            <v>2</v>
          </cell>
          <cell r="L1488" t="str">
            <v>Tarantula's Grip</v>
          </cell>
        </row>
        <row r="1489">
          <cell r="A1489" t="str">
            <v>Poppet-Knitting Practice</v>
          </cell>
          <cell r="B1489" t="str">
            <v>3m, 3sxp</v>
          </cell>
          <cell r="C1489" t="str">
            <v>Simple</v>
          </cell>
          <cell r="D1489" t="str">
            <v>Resonant</v>
          </cell>
          <cell r="E1489" t="str">
            <v>Indefinite</v>
          </cell>
          <cell r="H1489" t="str">
            <v>The Distaff</v>
          </cell>
          <cell r="I1489" t="str">
            <v>None</v>
          </cell>
          <cell r="J1489">
            <v>2</v>
          </cell>
        </row>
        <row r="1490">
          <cell r="A1490" t="str">
            <v>Snarled-Silk Pankratiast</v>
          </cell>
          <cell r="B1490" t="str">
            <v>3m, 3i, 3sxp</v>
          </cell>
          <cell r="C1490" t="str">
            <v>Supplemental</v>
          </cell>
          <cell r="D1490" t="str">
            <v>Resonant</v>
          </cell>
          <cell r="E1490" t="str">
            <v>Instant</v>
          </cell>
          <cell r="H1490" t="str">
            <v>The Distaff</v>
          </cell>
          <cell r="I1490" t="str">
            <v>None</v>
          </cell>
          <cell r="J1490">
            <v>3</v>
          </cell>
          <cell r="L1490" t="str">
            <v>Poppet-Knitting Practice, Tarantula's Grip</v>
          </cell>
        </row>
        <row r="1491">
          <cell r="A1491" t="str">
            <v>The Silken Army</v>
          </cell>
          <cell r="B1491" t="str">
            <v>-</v>
          </cell>
          <cell r="C1491" t="str">
            <v>Simple</v>
          </cell>
          <cell r="D1491" t="str">
            <v>Dissonant</v>
          </cell>
          <cell r="E1491" t="str">
            <v>One Crisis</v>
          </cell>
          <cell r="H1491" t="str">
            <v>The Distaff</v>
          </cell>
          <cell r="I1491" t="str">
            <v>None</v>
          </cell>
          <cell r="J1491">
            <v>4</v>
          </cell>
          <cell r="L1491" t="str">
            <v>Snarled-Silk Pankratiast</v>
          </cell>
        </row>
        <row r="1492">
          <cell r="A1492" t="str">
            <v>Quicksilver Rebirth</v>
          </cell>
          <cell r="B1492" t="str">
            <v>-</v>
          </cell>
          <cell r="C1492" t="str">
            <v>Simple</v>
          </cell>
          <cell r="D1492" t="str">
            <v>Dissonant</v>
          </cell>
          <cell r="E1492" t="str">
            <v>Instant</v>
          </cell>
          <cell r="H1492" t="str">
            <v>The Distaff</v>
          </cell>
          <cell r="I1492" t="str">
            <v>None</v>
          </cell>
          <cell r="J1492">
            <v>4</v>
          </cell>
          <cell r="L1492" t="str">
            <v>Any four Evocations</v>
          </cell>
        </row>
        <row r="1493">
          <cell r="A1493" t="str">
            <v>Chambered Fist Charge</v>
          </cell>
          <cell r="B1493" t="str">
            <v>2m, 1i</v>
          </cell>
          <cell r="C1493" t="str">
            <v>Simple</v>
          </cell>
          <cell r="D1493" t="str">
            <v>Resonant, Stackable, Withering-Only</v>
          </cell>
          <cell r="E1493" t="str">
            <v>One Scene</v>
          </cell>
          <cell r="H1493" t="str">
            <v>Fist of Titans</v>
          </cell>
          <cell r="I1493" t="str">
            <v>None</v>
          </cell>
          <cell r="J1493">
            <v>1</v>
          </cell>
        </row>
        <row r="1494">
          <cell r="A1494" t="str">
            <v>Mammoth Slam Quake</v>
          </cell>
          <cell r="B1494" t="str">
            <v>5m, 1+ charges</v>
          </cell>
          <cell r="C1494" t="str">
            <v>Simple</v>
          </cell>
          <cell r="D1494" t="str">
            <v>Resonant</v>
          </cell>
          <cell r="E1494" t="str">
            <v>Instant</v>
          </cell>
          <cell r="H1494" t="str">
            <v>Fist of Titans</v>
          </cell>
          <cell r="I1494" t="str">
            <v>None</v>
          </cell>
          <cell r="J1494">
            <v>1</v>
          </cell>
          <cell r="L1494" t="str">
            <v>Chambered Fist Charge</v>
          </cell>
        </row>
        <row r="1495">
          <cell r="A1495" t="str">
            <v>Unstoppable Hammering Blow</v>
          </cell>
          <cell r="B1495" t="str">
            <v>-</v>
          </cell>
          <cell r="C1495" t="str">
            <v>Permanent</v>
          </cell>
          <cell r="D1495" t="str">
            <v>Dissonant, Uniform</v>
          </cell>
          <cell r="E1495" t="str">
            <v>Permanent</v>
          </cell>
          <cell r="H1495" t="str">
            <v>Fist of Titans</v>
          </cell>
          <cell r="I1495" t="str">
            <v>None</v>
          </cell>
          <cell r="J1495">
            <v>2</v>
          </cell>
          <cell r="L1495" t="str">
            <v>Mammoth Slam Quake</v>
          </cell>
        </row>
        <row r="1496">
          <cell r="A1496" t="str">
            <v>Avalanche Hammer Attack</v>
          </cell>
          <cell r="B1496" t="str">
            <v>-(3m)</v>
          </cell>
          <cell r="C1496" t="str">
            <v>Permanent</v>
          </cell>
          <cell r="D1496" t="str">
            <v>None</v>
          </cell>
          <cell r="E1496" t="str">
            <v>Permanent</v>
          </cell>
          <cell r="H1496" t="str">
            <v>Fist of Titans</v>
          </cell>
          <cell r="I1496" t="str">
            <v>None</v>
          </cell>
          <cell r="J1496">
            <v>2</v>
          </cell>
          <cell r="L1496" t="str">
            <v>Rising Sun Slash, Unstoppable Hammering Blow</v>
          </cell>
        </row>
        <row r="1497">
          <cell r="A1497" t="str">
            <v>Bone Crushing Strike</v>
          </cell>
          <cell r="B1497" t="str">
            <v>4m, 1 charge</v>
          </cell>
          <cell r="C1497" t="str">
            <v>Supplemental</v>
          </cell>
          <cell r="D1497" t="str">
            <v>Decisive-only, Dissonant, Resonant</v>
          </cell>
          <cell r="E1497" t="str">
            <v>Instant</v>
          </cell>
          <cell r="H1497" t="str">
            <v>Fist of Titans</v>
          </cell>
          <cell r="I1497" t="str">
            <v>None</v>
          </cell>
          <cell r="J1497">
            <v>2</v>
          </cell>
          <cell r="L1497" t="str">
            <v>Unstoppable Hammering Blow</v>
          </cell>
        </row>
        <row r="1498">
          <cell r="A1498" t="str">
            <v>Crater-Gouging Blow</v>
          </cell>
          <cell r="B1498" t="str">
            <v>5m, 3i</v>
          </cell>
          <cell r="C1498" t="str">
            <v>Reflexive</v>
          </cell>
          <cell r="D1498" t="str">
            <v>Withering-Only, Resonant</v>
          </cell>
          <cell r="E1498" t="str">
            <v>Instant</v>
          </cell>
          <cell r="H1498" t="str">
            <v>Fist of Titans</v>
          </cell>
          <cell r="I1498" t="str">
            <v>None</v>
          </cell>
          <cell r="J1498">
            <v>2</v>
          </cell>
          <cell r="L1498" t="str">
            <v>Mammoth Slam QUake</v>
          </cell>
        </row>
        <row r="1499">
          <cell r="A1499" t="str">
            <v>Colossal Whirling Strike</v>
          </cell>
          <cell r="B1499" t="str">
            <v>5m, 1wp</v>
          </cell>
          <cell r="C1499" t="str">
            <v>Supplemental</v>
          </cell>
          <cell r="D1499" t="str">
            <v>Dissonant, Dual</v>
          </cell>
          <cell r="E1499" t="str">
            <v>Instant</v>
          </cell>
          <cell r="H1499" t="str">
            <v>Fist of Titans</v>
          </cell>
          <cell r="I1499" t="str">
            <v>None</v>
          </cell>
          <cell r="J1499">
            <v>3</v>
          </cell>
          <cell r="L1499" t="str">
            <v>Bone-Crushing Strike</v>
          </cell>
        </row>
        <row r="1500">
          <cell r="A1500" t="str">
            <v>Idol-Toppling Shockwave</v>
          </cell>
          <cell r="B1500" t="str">
            <v>-</v>
          </cell>
          <cell r="C1500" t="str">
            <v>Permanent</v>
          </cell>
          <cell r="D1500" t="str">
            <v>None</v>
          </cell>
          <cell r="E1500" t="str">
            <v>Permanent</v>
          </cell>
          <cell r="H1500" t="str">
            <v>Fist of Titans</v>
          </cell>
          <cell r="I1500" t="str">
            <v>None</v>
          </cell>
          <cell r="J1500">
            <v>3</v>
          </cell>
          <cell r="L1500" t="str">
            <v>Colossal Whirling Strike, Whirlwind-Tempest Deflection</v>
          </cell>
        </row>
        <row r="1501">
          <cell r="A1501" t="str">
            <v>Titanic Fist Devastation</v>
          </cell>
          <cell r="B1501" t="str">
            <v>4m, 1wp, 2 charges</v>
          </cell>
          <cell r="C1501" t="str">
            <v>Simple</v>
          </cell>
          <cell r="D1501" t="str">
            <v>Decisive-only</v>
          </cell>
          <cell r="E1501" t="str">
            <v>Instant</v>
          </cell>
          <cell r="H1501" t="str">
            <v>Fist of Titans</v>
          </cell>
          <cell r="I1501" t="str">
            <v>None</v>
          </cell>
          <cell r="J1501">
            <v>3</v>
          </cell>
          <cell r="L1501" t="str">
            <v>Colossal Whirling Strike, Crater-Gouging Blow</v>
          </cell>
        </row>
        <row r="1502">
          <cell r="A1502" t="str">
            <v>Rimebound Predator Endurance</v>
          </cell>
          <cell r="B1502" t="str">
            <v>4m, 1wp</v>
          </cell>
          <cell r="C1502" t="str">
            <v>Reflexive</v>
          </cell>
          <cell r="D1502" t="str">
            <v>Resonant</v>
          </cell>
          <cell r="E1502" t="str">
            <v>One Scene</v>
          </cell>
          <cell r="H1502" t="str">
            <v>Frost-Thron Knuckles</v>
          </cell>
          <cell r="I1502" t="str">
            <v>None</v>
          </cell>
          <cell r="J1502">
            <v>1</v>
          </cell>
        </row>
        <row r="1503">
          <cell r="A1503" t="str">
            <v>Glacial Beast Claw</v>
          </cell>
          <cell r="B1503" t="str">
            <v>5m</v>
          </cell>
          <cell r="C1503" t="str">
            <v>Supplemental</v>
          </cell>
          <cell r="D1503" t="str">
            <v>Decisive-only</v>
          </cell>
          <cell r="E1503" t="str">
            <v>Instant</v>
          </cell>
          <cell r="H1503" t="str">
            <v>Frost-Thron Knuckles</v>
          </cell>
          <cell r="I1503" t="str">
            <v>None</v>
          </cell>
          <cell r="J1503">
            <v>1</v>
          </cell>
          <cell r="L1503" t="str">
            <v>Rimebound Predator Endurance</v>
          </cell>
        </row>
        <row r="1504">
          <cell r="A1504" t="str">
            <v>Tundra-Striding Stalker</v>
          </cell>
          <cell r="B1504" t="str">
            <v>-</v>
          </cell>
          <cell r="C1504" t="str">
            <v>Permanent</v>
          </cell>
          <cell r="D1504" t="str">
            <v>None</v>
          </cell>
          <cell r="E1504" t="str">
            <v>Permanent</v>
          </cell>
          <cell r="H1504" t="str">
            <v>Frost-Thron Knuckles</v>
          </cell>
          <cell r="I1504" t="str">
            <v>None</v>
          </cell>
          <cell r="J1504">
            <v>1</v>
          </cell>
          <cell r="L1504" t="str">
            <v>Hardship-Surviving Mendicant Spirit, Rimebound Predator Endurance</v>
          </cell>
        </row>
        <row r="1505">
          <cell r="A1505" t="str">
            <v>Blood-Freezing Strike</v>
          </cell>
          <cell r="B1505" t="str">
            <v>5m, 1wp</v>
          </cell>
          <cell r="C1505" t="str">
            <v>Simple</v>
          </cell>
          <cell r="D1505" t="str">
            <v>Decisive-only, Resonant, Dissonant</v>
          </cell>
          <cell r="E1505" t="str">
            <v>Instant</v>
          </cell>
          <cell r="H1505" t="str">
            <v>Frost-Thron Knuckles</v>
          </cell>
          <cell r="I1505" t="str">
            <v>None</v>
          </cell>
          <cell r="J1505">
            <v>2</v>
          </cell>
          <cell r="L1505" t="str">
            <v>Glacial Beast Claw</v>
          </cell>
        </row>
        <row r="1506">
          <cell r="A1506" t="str">
            <v>Ravening Fimbulwinter Approach</v>
          </cell>
          <cell r="B1506" t="str">
            <v>3m, 2i</v>
          </cell>
          <cell r="C1506" t="str">
            <v>Reflexive</v>
          </cell>
          <cell r="D1506" t="str">
            <v>Resonant, Decisive-only</v>
          </cell>
          <cell r="E1506" t="str">
            <v>Instant</v>
          </cell>
          <cell r="H1506" t="str">
            <v>Frost-Thron Knuckles</v>
          </cell>
          <cell r="I1506" t="str">
            <v>None</v>
          </cell>
          <cell r="J1506">
            <v>3</v>
          </cell>
          <cell r="L1506" t="str">
            <v>Blood-Freezing Strike</v>
          </cell>
        </row>
        <row r="1507">
          <cell r="A1507" t="str">
            <v>Blizzard Claw Strike</v>
          </cell>
          <cell r="B1507" t="str">
            <v>4m, 1wp</v>
          </cell>
          <cell r="C1507" t="str">
            <v>Supplemental</v>
          </cell>
          <cell r="D1507" t="str">
            <v>Dissonant, Resonant, Withering-Only</v>
          </cell>
          <cell r="E1507" t="str">
            <v>Instant</v>
          </cell>
          <cell r="H1507" t="str">
            <v>Frost-Thron Knuckles</v>
          </cell>
          <cell r="I1507" t="str">
            <v>None</v>
          </cell>
          <cell r="J1507">
            <v>3</v>
          </cell>
          <cell r="L1507" t="str">
            <v>Ravening Fimbulwinter Approach</v>
          </cell>
        </row>
        <row r="1508">
          <cell r="A1508" t="str">
            <v>Doom-Gathering Arc</v>
          </cell>
          <cell r="B1508" t="str">
            <v>10m, 1wp</v>
          </cell>
          <cell r="C1508" t="str">
            <v>Simple</v>
          </cell>
          <cell r="D1508" t="str">
            <v>Decisive-only, Resonant, Dissonant,</v>
          </cell>
          <cell r="E1508" t="str">
            <v>Instant</v>
          </cell>
          <cell r="H1508" t="str">
            <v>The Hawk Star's Jess</v>
          </cell>
          <cell r="I1508" t="str">
            <v>None</v>
          </cell>
          <cell r="J1508">
            <v>1</v>
          </cell>
        </row>
        <row r="1509">
          <cell r="A1509" t="str">
            <v>Falling Stone Star</v>
          </cell>
          <cell r="B1509" t="str">
            <v>-</v>
          </cell>
          <cell r="C1509" t="str">
            <v>Permanent</v>
          </cell>
          <cell r="D1509" t="str">
            <v>Resonant</v>
          </cell>
          <cell r="E1509" t="str">
            <v>Permanent</v>
          </cell>
          <cell r="H1509" t="str">
            <v>The Hawk Star's Jess</v>
          </cell>
          <cell r="I1509" t="str">
            <v>None</v>
          </cell>
          <cell r="J1509">
            <v>2</v>
          </cell>
          <cell r="L1509" t="str">
            <v>Doom-Gathering Arc</v>
          </cell>
        </row>
        <row r="1510">
          <cell r="A1510" t="str">
            <v>Titan-Subduing Stone</v>
          </cell>
          <cell r="B1510" t="str">
            <v>-</v>
          </cell>
          <cell r="C1510" t="str">
            <v>Permanent</v>
          </cell>
          <cell r="D1510" t="str">
            <v>Dissonant</v>
          </cell>
          <cell r="E1510" t="str">
            <v>Permanent</v>
          </cell>
          <cell r="H1510" t="str">
            <v>The Hawk Star's Jess</v>
          </cell>
          <cell r="I1510" t="str">
            <v>None</v>
          </cell>
          <cell r="J1510">
            <v>3</v>
          </cell>
          <cell r="L1510" t="str">
            <v>Falling Star Stone</v>
          </cell>
        </row>
        <row r="1511">
          <cell r="A1511" t="str">
            <v>Stone of the Corpse</v>
          </cell>
          <cell r="B1511" t="str">
            <v>-(+1wp)</v>
          </cell>
          <cell r="C1511" t="str">
            <v>Permanent</v>
          </cell>
          <cell r="D1511" t="str">
            <v>Dissonant, Resonant</v>
          </cell>
          <cell r="E1511" t="str">
            <v>Permanent</v>
          </cell>
          <cell r="H1511" t="str">
            <v>The Hawk Star's Jess</v>
          </cell>
          <cell r="I1511" t="str">
            <v>None</v>
          </cell>
          <cell r="J1511">
            <v>3</v>
          </cell>
          <cell r="L1511" t="str">
            <v>Titan-Subduing Stone</v>
          </cell>
        </row>
        <row r="1512">
          <cell r="A1512" t="str">
            <v>Stone of the Sword</v>
          </cell>
          <cell r="B1512" t="str">
            <v>-</v>
          </cell>
          <cell r="C1512" t="str">
            <v>Permanent</v>
          </cell>
          <cell r="D1512" t="str">
            <v>Resonant</v>
          </cell>
          <cell r="E1512" t="str">
            <v>Permanent</v>
          </cell>
          <cell r="H1512" t="str">
            <v>The Hawk Star's Jess</v>
          </cell>
          <cell r="I1512" t="str">
            <v>None</v>
          </cell>
          <cell r="J1512">
            <v>3</v>
          </cell>
          <cell r="L1512" t="str">
            <v>Stone of the Corpse</v>
          </cell>
        </row>
        <row r="1513">
          <cell r="A1513" t="str">
            <v>Unleash the Hawk Star</v>
          </cell>
          <cell r="B1513" t="str">
            <v>-(+3a)</v>
          </cell>
          <cell r="C1513" t="str">
            <v>Permanet</v>
          </cell>
          <cell r="D1513" t="str">
            <v>Resonant</v>
          </cell>
          <cell r="E1513" t="str">
            <v>Permanent</v>
          </cell>
          <cell r="H1513" t="str">
            <v>The Hawk Star's Jess</v>
          </cell>
          <cell r="I1513" t="str">
            <v>None</v>
          </cell>
          <cell r="J1513">
            <v>4</v>
          </cell>
          <cell r="L1513" t="str">
            <v>Stone of the Sword</v>
          </cell>
        </row>
        <row r="1514">
          <cell r="A1514" t="str">
            <v>Ardor-Sharing Technique</v>
          </cell>
          <cell r="B1514" t="str">
            <v>1m</v>
          </cell>
          <cell r="C1514" t="str">
            <v>Supplemental</v>
          </cell>
          <cell r="D1514" t="str">
            <v>Decisive-only, Dissonant</v>
          </cell>
          <cell r="E1514" t="str">
            <v>Instant</v>
          </cell>
          <cell r="H1514" t="str">
            <v>Heartsong</v>
          </cell>
          <cell r="I1514" t="str">
            <v>None</v>
          </cell>
          <cell r="J1514">
            <v>1</v>
          </cell>
        </row>
        <row r="1515">
          <cell r="A1515" t="str">
            <v>Suitor-Punishing Shot</v>
          </cell>
          <cell r="B1515" t="str">
            <v>4m</v>
          </cell>
          <cell r="C1515" t="str">
            <v>Supplemental</v>
          </cell>
          <cell r="D1515" t="str">
            <v>Uniform</v>
          </cell>
          <cell r="E1515" t="str">
            <v>Instant</v>
          </cell>
          <cell r="H1515" t="str">
            <v>Heartsong</v>
          </cell>
          <cell r="I1515" t="str">
            <v>None</v>
          </cell>
          <cell r="J1515">
            <v>2</v>
          </cell>
          <cell r="L1515" t="str">
            <v>Ardor-Sharing technique</v>
          </cell>
        </row>
        <row r="1516">
          <cell r="A1516" t="str">
            <v>Lover's Quarrel</v>
          </cell>
          <cell r="B1516" t="str">
            <v>3m, 1wp</v>
          </cell>
          <cell r="C1516" t="str">
            <v>Simple</v>
          </cell>
          <cell r="D1516" t="str">
            <v>Decisive-only, Psyche</v>
          </cell>
          <cell r="E1516" t="str">
            <v>Instant</v>
          </cell>
          <cell r="H1516" t="str">
            <v>Heartsong</v>
          </cell>
          <cell r="I1516" t="str">
            <v>None</v>
          </cell>
          <cell r="J1516">
            <v>2</v>
          </cell>
          <cell r="L1516" t="str">
            <v>Ardor-Sharing Technique</v>
          </cell>
        </row>
        <row r="1517">
          <cell r="A1517" t="str">
            <v>Radiant Sun-Heart Shot</v>
          </cell>
          <cell r="B1517" t="str">
            <v>-</v>
          </cell>
          <cell r="C1517" t="str">
            <v>Permanent</v>
          </cell>
          <cell r="D1517" t="str">
            <v>None</v>
          </cell>
          <cell r="E1517" t="str">
            <v>Permanent</v>
          </cell>
          <cell r="H1517" t="str">
            <v>Heartsong</v>
          </cell>
          <cell r="I1517" t="str">
            <v>None</v>
          </cell>
          <cell r="J1517">
            <v>2</v>
          </cell>
          <cell r="L1517" t="str">
            <v>Lover's Quarrel, There Is No Wind</v>
          </cell>
        </row>
        <row r="1518">
          <cell r="A1518" t="str">
            <v>Heart-Commanding Arrow</v>
          </cell>
          <cell r="B1518" t="str">
            <v>3m, 1wp</v>
          </cell>
          <cell r="C1518" t="str">
            <v>Simple</v>
          </cell>
          <cell r="D1518" t="str">
            <v>Decisive-only, Dissonant, Psyche, Resonant</v>
          </cell>
          <cell r="E1518" t="str">
            <v>Instant</v>
          </cell>
          <cell r="H1518" t="str">
            <v>Heartsong</v>
          </cell>
          <cell r="I1518" t="str">
            <v>None</v>
          </cell>
          <cell r="J1518">
            <v>3</v>
          </cell>
          <cell r="L1518" t="str">
            <v>Lover's Quarrel</v>
          </cell>
        </row>
        <row r="1519">
          <cell r="A1519" t="str">
            <v>Delirium's Dart</v>
          </cell>
          <cell r="B1519" t="str">
            <v>10m, 1wp</v>
          </cell>
          <cell r="C1519" t="str">
            <v>Simple</v>
          </cell>
          <cell r="D1519" t="str">
            <v>Decisive-only, Dissonant, Psyche</v>
          </cell>
          <cell r="E1519" t="str">
            <v>Instant</v>
          </cell>
          <cell r="H1519" t="str">
            <v>Heartsong</v>
          </cell>
          <cell r="I1519" t="str">
            <v>None</v>
          </cell>
          <cell r="J1519">
            <v>3</v>
          </cell>
          <cell r="L1519" t="str">
            <v>Lover's Quarrel</v>
          </cell>
        </row>
        <row r="1520">
          <cell r="A1520" t="str">
            <v>Falling Star Fists</v>
          </cell>
          <cell r="B1520" t="str">
            <v>5m</v>
          </cell>
          <cell r="C1520" t="str">
            <v>Supplemental</v>
          </cell>
          <cell r="D1520" t="str">
            <v>Dual</v>
          </cell>
          <cell r="E1520" t="str">
            <v>Instant</v>
          </cell>
          <cell r="H1520" t="str">
            <v>Heaven and Earth Gauntlets</v>
          </cell>
          <cell r="I1520" t="str">
            <v>None</v>
          </cell>
          <cell r="J1520">
            <v>1</v>
          </cell>
        </row>
        <row r="1521">
          <cell r="A1521" t="str">
            <v>Mountain-Halting Might</v>
          </cell>
          <cell r="B1521" t="str">
            <v>-</v>
          </cell>
          <cell r="C1521" t="str">
            <v>Permanent</v>
          </cell>
          <cell r="D1521" t="str">
            <v>None</v>
          </cell>
          <cell r="E1521" t="str">
            <v>Permanent</v>
          </cell>
          <cell r="H1521" t="str">
            <v>Heaven and Earth Gauntlets</v>
          </cell>
          <cell r="I1521" t="str">
            <v>None</v>
          </cell>
          <cell r="J1521">
            <v>1</v>
          </cell>
          <cell r="L1521" t="str">
            <v>Falling Star Strike, Iron Battle Focus</v>
          </cell>
        </row>
        <row r="1522">
          <cell r="A1522" t="str">
            <v>Comet-Diverting Guard</v>
          </cell>
          <cell r="B1522" t="str">
            <v>4m, 1i</v>
          </cell>
          <cell r="C1522" t="str">
            <v>Reflexive</v>
          </cell>
          <cell r="D1522" t="str">
            <v>Clash, Perilous, Resonant, Withering-Only</v>
          </cell>
          <cell r="E1522" t="str">
            <v>Instant</v>
          </cell>
          <cell r="H1522" t="str">
            <v>Heaven and Earth Gauntlets</v>
          </cell>
          <cell r="I1522" t="str">
            <v>None</v>
          </cell>
          <cell r="J1522">
            <v>2</v>
          </cell>
          <cell r="L1522" t="str">
            <v>Falling Star Fists</v>
          </cell>
        </row>
        <row r="1523">
          <cell r="A1523" t="str">
            <v>Nova Breaker</v>
          </cell>
          <cell r="B1523" t="str">
            <v>4m, 1wp</v>
          </cell>
          <cell r="C1523" t="str">
            <v>Simple</v>
          </cell>
          <cell r="D1523" t="str">
            <v>Instant</v>
          </cell>
          <cell r="E1523" t="str">
            <v>Decisive-only, Dissonant, Resonant</v>
          </cell>
          <cell r="H1523" t="str">
            <v>Heaven and Earth Gauntlets</v>
          </cell>
          <cell r="I1523" t="str">
            <v>None</v>
          </cell>
          <cell r="J1523">
            <v>3</v>
          </cell>
          <cell r="L1523" t="str">
            <v>Comet-Diverting Guard</v>
          </cell>
        </row>
        <row r="1524">
          <cell r="A1524" t="str">
            <v>Meteor Fist Meditation</v>
          </cell>
          <cell r="B1524" t="str">
            <v>-</v>
          </cell>
          <cell r="C1524" t="str">
            <v>Permanent</v>
          </cell>
          <cell r="D1524" t="str">
            <v>None</v>
          </cell>
          <cell r="E1524" t="str">
            <v>Permanent</v>
          </cell>
          <cell r="H1524" t="str">
            <v>Heaven and Earth Gauntlets</v>
          </cell>
          <cell r="I1524" t="str">
            <v>None</v>
          </cell>
          <cell r="J1524">
            <v>3</v>
          </cell>
          <cell r="L1524" t="str">
            <v>Adamantine Fists of battle X2, Nova Breaker</v>
          </cell>
        </row>
        <row r="1525">
          <cell r="A1525" t="str">
            <v>Legend-Forging Blow</v>
          </cell>
          <cell r="B1525" t="str">
            <v>10m, 1wp</v>
          </cell>
          <cell r="C1525" t="str">
            <v>Simple</v>
          </cell>
          <cell r="D1525" t="str">
            <v>None</v>
          </cell>
          <cell r="E1525" t="str">
            <v>Instant</v>
          </cell>
          <cell r="H1525" t="str">
            <v>Heaven and Earth Gauntlets</v>
          </cell>
          <cell r="I1525" t="str">
            <v>None</v>
          </cell>
          <cell r="J1525">
            <v>3</v>
          </cell>
          <cell r="L1525" t="str">
            <v>Meteor FIst Meditation</v>
          </cell>
        </row>
        <row r="1526">
          <cell r="A1526" t="str">
            <v>Chiming Castigation</v>
          </cell>
          <cell r="B1526" t="str">
            <v>3m, 1v</v>
          </cell>
          <cell r="C1526" t="str">
            <v>Reflexive</v>
          </cell>
          <cell r="D1526" t="str">
            <v>Resonant</v>
          </cell>
          <cell r="E1526" t="str">
            <v>Intant</v>
          </cell>
          <cell r="H1526" t="str">
            <v>Irenio's Bell</v>
          </cell>
          <cell r="I1526" t="str">
            <v>None</v>
          </cell>
          <cell r="J1526">
            <v>1</v>
          </cell>
        </row>
        <row r="1527">
          <cell r="A1527" t="str">
            <v>Shield-and-Sword Harmony</v>
          </cell>
          <cell r="B1527" t="str">
            <v>1v</v>
          </cell>
          <cell r="C1527" t="str">
            <v>Supplemental</v>
          </cell>
          <cell r="D1527" t="str">
            <v>Dual</v>
          </cell>
          <cell r="E1527" t="str">
            <v>Instant</v>
          </cell>
          <cell r="H1527" t="str">
            <v>Irenio's Bell</v>
          </cell>
          <cell r="I1527" t="str">
            <v>None</v>
          </cell>
          <cell r="J1527">
            <v>2</v>
          </cell>
          <cell r="L1527" t="str">
            <v>Chiming Castigation</v>
          </cell>
        </row>
        <row r="1528">
          <cell r="A1528" t="str">
            <v>Sound and Fury</v>
          </cell>
          <cell r="B1528" t="str">
            <v>-</v>
          </cell>
          <cell r="C1528" t="str">
            <v>Permanent</v>
          </cell>
          <cell r="D1528" t="str">
            <v>Dissonant, Resonant</v>
          </cell>
          <cell r="E1528" t="str">
            <v>Permanent</v>
          </cell>
          <cell r="H1528" t="str">
            <v>Irenio's Bell</v>
          </cell>
          <cell r="I1528" t="str">
            <v>None</v>
          </cell>
          <cell r="J1528">
            <v>2</v>
          </cell>
          <cell r="L1528" t="str">
            <v>Shield-and-Sword Harmony</v>
          </cell>
        </row>
        <row r="1529">
          <cell r="A1529" t="str">
            <v>Singing Shield Technique</v>
          </cell>
          <cell r="B1529" t="str">
            <v>-(2v/round)</v>
          </cell>
          <cell r="C1529" t="str">
            <v>Permanent</v>
          </cell>
          <cell r="D1529" t="str">
            <v>None</v>
          </cell>
          <cell r="E1529" t="str">
            <v>Permanent</v>
          </cell>
          <cell r="H1529" t="str">
            <v>Irenio's Bell</v>
          </cell>
          <cell r="I1529" t="str">
            <v>None</v>
          </cell>
          <cell r="J1529">
            <v>3</v>
          </cell>
          <cell r="L1529" t="str">
            <v>Shield-and-Sword harmony, any one charm this evocation enhances</v>
          </cell>
        </row>
        <row r="1530">
          <cell r="A1530" t="str">
            <v>Resounding Thunder Deflection</v>
          </cell>
          <cell r="B1530" t="str">
            <v>1v per point of penalty, 1wp</v>
          </cell>
          <cell r="C1530" t="str">
            <v>Reflexive</v>
          </cell>
          <cell r="D1530" t="str">
            <v>Decisive-only</v>
          </cell>
          <cell r="E1530" t="str">
            <v>Instant</v>
          </cell>
          <cell r="H1530" t="str">
            <v>Irenio's Bell</v>
          </cell>
          <cell r="I1530" t="str">
            <v>None</v>
          </cell>
          <cell r="J1530">
            <v>3</v>
          </cell>
          <cell r="L1530" t="str">
            <v>Sound and Fury, Heavenly Guardian Defense</v>
          </cell>
        </row>
        <row r="1531">
          <cell r="A1531" t="str">
            <v>Demon-Calling Crescendo</v>
          </cell>
          <cell r="B1531" t="str">
            <v>5v, 1wp</v>
          </cell>
          <cell r="C1531" t="str">
            <v>Reflexive</v>
          </cell>
          <cell r="D1531" t="str">
            <v>Perilous</v>
          </cell>
          <cell r="E1531" t="str">
            <v>Instant</v>
          </cell>
          <cell r="H1531" t="str">
            <v>Irenio's Bell</v>
          </cell>
          <cell r="I1531" t="str">
            <v>None</v>
          </cell>
          <cell r="J1531">
            <v>3</v>
          </cell>
          <cell r="L1531" t="str">
            <v>Resounding Thunder Deflection, Singing Shield Technique</v>
          </cell>
        </row>
        <row r="1532">
          <cell r="A1532" t="str">
            <v>Breeze-Catching Descent</v>
          </cell>
          <cell r="B1532" t="str">
            <v>4m</v>
          </cell>
          <cell r="C1532" t="str">
            <v>Reflexive</v>
          </cell>
          <cell r="D1532" t="str">
            <v>Dissonant, Resonant</v>
          </cell>
          <cell r="E1532" t="str">
            <v>Instant</v>
          </cell>
          <cell r="H1532" t="str">
            <v>Rainwalker</v>
          </cell>
          <cell r="I1532" t="str">
            <v>None</v>
          </cell>
          <cell r="J1532">
            <v>1</v>
          </cell>
        </row>
        <row r="1533">
          <cell r="A1533" t="str">
            <v>Glamour-Sloughing Parasol</v>
          </cell>
          <cell r="B1533" t="str">
            <v>-(1m, 1wp)</v>
          </cell>
          <cell r="C1533" t="str">
            <v>Permanent</v>
          </cell>
          <cell r="D1533" t="str">
            <v>None</v>
          </cell>
          <cell r="E1533" t="str">
            <v>Permanent</v>
          </cell>
          <cell r="H1533" t="str">
            <v>Rainwalker</v>
          </cell>
          <cell r="I1533" t="str">
            <v>None</v>
          </cell>
          <cell r="J1533">
            <v>1</v>
          </cell>
          <cell r="L1533" t="str">
            <v>Breeze-Catching Descent, Integrity-Protecting Prana</v>
          </cell>
        </row>
        <row r="1534">
          <cell r="A1534" t="str">
            <v>Buoyant Guardian Aegis</v>
          </cell>
          <cell r="B1534" t="str">
            <v>3m, 1i</v>
          </cell>
          <cell r="C1534" t="str">
            <v>Reflexive</v>
          </cell>
          <cell r="D1534" t="str">
            <v>Perilous, Resonant</v>
          </cell>
          <cell r="E1534" t="str">
            <v>Instant</v>
          </cell>
          <cell r="H1534" t="str">
            <v>Rainwalker</v>
          </cell>
          <cell r="I1534" t="str">
            <v>None</v>
          </cell>
          <cell r="J1534">
            <v>1</v>
          </cell>
        </row>
        <row r="1535">
          <cell r="A1535" t="str">
            <v>Arrows Like Raindrops</v>
          </cell>
          <cell r="B1535" t="str">
            <v>3m, 2i</v>
          </cell>
          <cell r="C1535" t="str">
            <v>Reflexive</v>
          </cell>
          <cell r="D1535" t="str">
            <v>Perilous, Resonant</v>
          </cell>
          <cell r="E1535" t="str">
            <v>Instant</v>
          </cell>
          <cell r="H1535" t="str">
            <v>Rainwalker</v>
          </cell>
          <cell r="I1535" t="str">
            <v>None</v>
          </cell>
          <cell r="J1535">
            <v>1</v>
          </cell>
          <cell r="L1535" t="str">
            <v>Buoying Guardian Aegis</v>
          </cell>
        </row>
        <row r="1536">
          <cell r="A1536" t="str">
            <v>Shelter from the Storm</v>
          </cell>
          <cell r="B1536" t="str">
            <v>5m</v>
          </cell>
          <cell r="C1536" t="str">
            <v>Supplemental</v>
          </cell>
          <cell r="D1536" t="str">
            <v>Perilous, Resonant</v>
          </cell>
          <cell r="E1536" t="str">
            <v>Instant</v>
          </cell>
          <cell r="H1536" t="str">
            <v>Rainwalker</v>
          </cell>
          <cell r="I1536" t="str">
            <v>None</v>
          </cell>
          <cell r="J1536">
            <v>2</v>
          </cell>
          <cell r="L1536" t="str">
            <v>Arrows Like Raindrops</v>
          </cell>
        </row>
        <row r="1537">
          <cell r="A1537" t="str">
            <v>Rising Cyclone Deflection</v>
          </cell>
          <cell r="B1537" t="str">
            <v>4m, 1wp</v>
          </cell>
          <cell r="C1537" t="str">
            <v>Reflexive</v>
          </cell>
          <cell r="D1537" t="str">
            <v>Dissonant, Resonant, Withering-Only</v>
          </cell>
          <cell r="E1537" t="str">
            <v>Instant</v>
          </cell>
          <cell r="H1537" t="str">
            <v>Rainwalker</v>
          </cell>
          <cell r="I1537" t="str">
            <v>None</v>
          </cell>
          <cell r="J1537">
            <v>3</v>
          </cell>
          <cell r="L1537" t="str">
            <v>Shelter from the Storm</v>
          </cell>
        </row>
        <row r="1538">
          <cell r="A1538" t="str">
            <v>Laughing at Hailstorms</v>
          </cell>
          <cell r="B1538" t="str">
            <v>10m, 1wp</v>
          </cell>
          <cell r="C1538" t="str">
            <v>Simple</v>
          </cell>
          <cell r="D1538" t="str">
            <v>Resonant</v>
          </cell>
          <cell r="E1538" t="str">
            <v>One Scene</v>
          </cell>
          <cell r="H1538" t="str">
            <v>Rainwalker</v>
          </cell>
          <cell r="I1538" t="str">
            <v>None</v>
          </cell>
          <cell r="J1538">
            <v>3</v>
          </cell>
          <cell r="L1538" t="str">
            <v>Rising Cyclone Deflection</v>
          </cell>
        </row>
        <row r="1539">
          <cell r="A1539" t="str">
            <v>Razor Dancer Form</v>
          </cell>
          <cell r="B1539" t="str">
            <v>6m</v>
          </cell>
          <cell r="C1539" t="str">
            <v>Simple</v>
          </cell>
          <cell r="D1539" t="str">
            <v>Form,  Terrestrial</v>
          </cell>
          <cell r="E1539" t="str">
            <v>One Scene</v>
          </cell>
          <cell r="H1539" t="str">
            <v>Razor Dancer and Wise Steel</v>
          </cell>
          <cell r="I1539" t="str">
            <v>None</v>
          </cell>
          <cell r="J1539">
            <v>1</v>
          </cell>
        </row>
        <row r="1540">
          <cell r="A1540" t="str">
            <v>Wise Steel Form</v>
          </cell>
          <cell r="B1540" t="str">
            <v>6m</v>
          </cell>
          <cell r="C1540" t="str">
            <v>Simple</v>
          </cell>
          <cell r="D1540" t="str">
            <v>Form, Terrestrial</v>
          </cell>
          <cell r="E1540" t="str">
            <v>One Scene</v>
          </cell>
          <cell r="H1540" t="str">
            <v>Razor Dancer and Wise Steel</v>
          </cell>
          <cell r="I1540" t="str">
            <v>None</v>
          </cell>
          <cell r="J1540">
            <v>1</v>
          </cell>
        </row>
        <row r="1541">
          <cell r="A1541" t="str">
            <v>Razor Steel Lovers Form</v>
          </cell>
          <cell r="B1541" t="str">
            <v>10m</v>
          </cell>
          <cell r="C1541" t="str">
            <v>Simple</v>
          </cell>
          <cell r="D1541" t="str">
            <v>Form, Terrestrial</v>
          </cell>
          <cell r="E1541" t="str">
            <v>One Scene</v>
          </cell>
          <cell r="H1541" t="str">
            <v>Razor Dancer and Wise Steel</v>
          </cell>
          <cell r="I1541" t="str">
            <v>None</v>
          </cell>
          <cell r="J1541">
            <v>2</v>
          </cell>
          <cell r="L1541" t="str">
            <v>Razor Dancer Form, Wise Steel Form</v>
          </cell>
        </row>
        <row r="1542">
          <cell r="A1542" t="str">
            <v>Hooves Like Sunlight</v>
          </cell>
          <cell r="B1542" t="str">
            <v>4m</v>
          </cell>
          <cell r="C1542" t="str">
            <v>Supplemental</v>
          </cell>
          <cell r="D1542" t="str">
            <v>Resonant</v>
          </cell>
          <cell r="E1542" t="str">
            <v>Instant</v>
          </cell>
          <cell r="H1542" t="str">
            <v>Summer Thunder</v>
          </cell>
          <cell r="I1542" t="str">
            <v>None</v>
          </cell>
          <cell r="J1542">
            <v>1</v>
          </cell>
        </row>
        <row r="1543">
          <cell r="A1543" t="str">
            <v>Nock-and-Canter Unity</v>
          </cell>
          <cell r="B1543" t="str">
            <v>4m</v>
          </cell>
          <cell r="C1543" t="str">
            <v>Reflexive</v>
          </cell>
          <cell r="D1543" t="str">
            <v>Resonant, Uniform</v>
          </cell>
          <cell r="E1543" t="str">
            <v>Instant</v>
          </cell>
          <cell r="H1543" t="str">
            <v>Summer Thunder</v>
          </cell>
          <cell r="I1543" t="str">
            <v>None</v>
          </cell>
          <cell r="J1543">
            <v>1</v>
          </cell>
          <cell r="L1543" t="str">
            <v>Hooves Like Sunlight</v>
          </cell>
        </row>
        <row r="1544">
          <cell r="A1544" t="str">
            <v>Laughing Stallion's Escape</v>
          </cell>
          <cell r="B1544" t="str">
            <v>3m</v>
          </cell>
          <cell r="C1544" t="str">
            <v>Supplemental</v>
          </cell>
          <cell r="D1544" t="str">
            <v>None</v>
          </cell>
          <cell r="E1544" t="str">
            <v>Instant</v>
          </cell>
          <cell r="H1544" t="str">
            <v>Summer Thunder</v>
          </cell>
          <cell r="I1544" t="str">
            <v>None</v>
          </cell>
          <cell r="J1544">
            <v>1</v>
          </cell>
          <cell r="L1544" t="str">
            <v>Nock-and-Canter Unity</v>
          </cell>
        </row>
        <row r="1545">
          <cell r="A1545" t="str">
            <v>Skirmisher's Piercing Deliverance</v>
          </cell>
          <cell r="B1545" t="str">
            <v>5m</v>
          </cell>
          <cell r="C1545" t="str">
            <v>Simple</v>
          </cell>
          <cell r="D1545" t="str">
            <v>Withering-only</v>
          </cell>
          <cell r="E1545" t="str">
            <v>Instant</v>
          </cell>
          <cell r="H1545" t="str">
            <v>Summer Thunder</v>
          </cell>
          <cell r="I1545" t="str">
            <v>None</v>
          </cell>
          <cell r="J1545">
            <v>2</v>
          </cell>
          <cell r="L1545" t="str">
            <v>Laughing Stallion's Escape</v>
          </cell>
        </row>
        <row r="1546">
          <cell r="A1546" t="str">
            <v>Squadron-Inspiring FLare</v>
          </cell>
          <cell r="B1546" t="str">
            <v>5m, 1a</v>
          </cell>
          <cell r="C1546" t="str">
            <v>Supplemental</v>
          </cell>
          <cell r="D1546" t="str">
            <v>Dissonant</v>
          </cell>
          <cell r="E1546" t="str">
            <v>Instant</v>
          </cell>
          <cell r="H1546" t="str">
            <v>Summer Thunder</v>
          </cell>
          <cell r="I1546" t="str">
            <v>None</v>
          </cell>
          <cell r="J1546">
            <v>2</v>
          </cell>
          <cell r="L1546" t="str">
            <v>Skirmisher's Piercing Deliverance</v>
          </cell>
        </row>
        <row r="1547">
          <cell r="A1547" t="str">
            <v>Evoke the Equestrian Echo</v>
          </cell>
          <cell r="B1547" t="str">
            <v>5m, 2a</v>
          </cell>
          <cell r="C1547" t="str">
            <v>Simple</v>
          </cell>
          <cell r="D1547" t="str">
            <v>Resonant</v>
          </cell>
          <cell r="E1547" t="str">
            <v>One Scene</v>
          </cell>
          <cell r="H1547" t="str">
            <v>Summer Thunder</v>
          </cell>
          <cell r="I1547" t="str">
            <v>None</v>
          </cell>
          <cell r="J1547">
            <v>3</v>
          </cell>
          <cell r="L1547" t="str">
            <v>Squadron-Inspiring Flare, Phantom Steed</v>
          </cell>
        </row>
        <row r="1548">
          <cell r="A1548" t="str">
            <v>Phantom Calvary Cavalcade</v>
          </cell>
          <cell r="B1548" t="str">
            <v>10m, 1wp, 3a</v>
          </cell>
          <cell r="C1548" t="str">
            <v>Simple</v>
          </cell>
          <cell r="D1548" t="str">
            <v>Resonant</v>
          </cell>
          <cell r="E1548" t="str">
            <v>One Scene</v>
          </cell>
          <cell r="H1548" t="str">
            <v>Summer Thunder</v>
          </cell>
          <cell r="I1548" t="str">
            <v>None</v>
          </cell>
          <cell r="J1548">
            <v>4</v>
          </cell>
          <cell r="L1548" t="str">
            <v>Evoke the Equestrian's Echo</v>
          </cell>
        </row>
        <row r="1549">
          <cell r="A1549" t="str">
            <v>Filling Blank Pages</v>
          </cell>
          <cell r="B1549" t="str">
            <v>4m</v>
          </cell>
          <cell r="C1549" t="str">
            <v>Reflexive</v>
          </cell>
          <cell r="D1549" t="str">
            <v>Dissonant, Uniform</v>
          </cell>
          <cell r="E1549" t="str">
            <v>Instant</v>
          </cell>
          <cell r="H1549" t="str">
            <v>Sun's Brush</v>
          </cell>
          <cell r="I1549" t="str">
            <v>None</v>
          </cell>
          <cell r="J1549">
            <v>1</v>
          </cell>
        </row>
        <row r="1550">
          <cell r="A1550" t="str">
            <v>Radiant Brushstrokes Flourish</v>
          </cell>
          <cell r="B1550" t="str">
            <v>6m, 1wp</v>
          </cell>
          <cell r="C1550" t="str">
            <v>Simple</v>
          </cell>
          <cell r="D1550" t="str">
            <v>Dissonant, Resonant</v>
          </cell>
          <cell r="E1550" t="str">
            <v>Instant</v>
          </cell>
          <cell r="H1550" t="str">
            <v>Sun's Brush</v>
          </cell>
          <cell r="I1550" t="str">
            <v>None</v>
          </cell>
          <cell r="J1550">
            <v>2</v>
          </cell>
          <cell r="L1550" t="str">
            <v>Filling Blank Pages</v>
          </cell>
        </row>
        <row r="1551">
          <cell r="A1551" t="str">
            <v>Battle-Scholar Sagacity</v>
          </cell>
          <cell r="B1551" t="str">
            <v>-</v>
          </cell>
          <cell r="C1551" t="str">
            <v>Permanent</v>
          </cell>
          <cell r="D1551" t="str">
            <v>None</v>
          </cell>
          <cell r="E1551" t="str">
            <v>Permanent</v>
          </cell>
          <cell r="H1551" t="str">
            <v>Sun's Brush</v>
          </cell>
          <cell r="I1551" t="str">
            <v>None</v>
          </cell>
          <cell r="J1551">
            <v>3</v>
          </cell>
          <cell r="L1551" t="str">
            <v>Cloud-Wreathed Scholar, Radiant Brushstrokes FLourish</v>
          </cell>
        </row>
        <row r="1552">
          <cell r="A1552" t="str">
            <v>Incomparable Savant Surety</v>
          </cell>
          <cell r="B1552" t="str">
            <v>-</v>
          </cell>
          <cell r="C1552" t="str">
            <v>Reflexive</v>
          </cell>
          <cell r="D1552" t="str">
            <v>None</v>
          </cell>
          <cell r="E1552" t="str">
            <v>Instant</v>
          </cell>
          <cell r="H1552" t="str">
            <v>Sun's Brush</v>
          </cell>
          <cell r="I1552" t="str">
            <v>None</v>
          </cell>
          <cell r="J1552">
            <v>3</v>
          </cell>
          <cell r="L1552" t="str">
            <v>Radiant Brushstrokes Flourish</v>
          </cell>
        </row>
        <row r="1553">
          <cell r="A1553" t="str">
            <v>Whirling Sunfire Calligraphy</v>
          </cell>
          <cell r="B1553" t="str">
            <v>6m, 3a, 1wp</v>
          </cell>
          <cell r="C1553" t="str">
            <v>Simple</v>
          </cell>
          <cell r="D1553" t="str">
            <v>Uniform</v>
          </cell>
          <cell r="E1553" t="str">
            <v>One Scene</v>
          </cell>
          <cell r="H1553" t="str">
            <v>Sun's Brush</v>
          </cell>
          <cell r="I1553" t="str">
            <v>None</v>
          </cell>
          <cell r="J1553">
            <v>4</v>
          </cell>
          <cell r="L1553" t="str">
            <v>Incomparable Savant Surety</v>
          </cell>
        </row>
        <row r="1554">
          <cell r="A1554" t="str">
            <v>Hide-Splitting Thrust</v>
          </cell>
          <cell r="B1554" t="str">
            <v>5m</v>
          </cell>
          <cell r="C1554" t="str">
            <v>Supplemental</v>
          </cell>
          <cell r="D1554" t="str">
            <v>Resonant, Withering-only</v>
          </cell>
          <cell r="E1554" t="str">
            <v>Instant</v>
          </cell>
          <cell r="H1554" t="str">
            <v>Tusk of Galech-Ma</v>
          </cell>
          <cell r="I1554" t="str">
            <v>None</v>
          </cell>
          <cell r="J1554">
            <v>1</v>
          </cell>
        </row>
        <row r="1555">
          <cell r="A1555" t="str">
            <v>Bloodthirsty Hunter's Focus</v>
          </cell>
          <cell r="B1555" t="str">
            <v>1m, 1wp</v>
          </cell>
          <cell r="C1555" t="str">
            <v>Reflexive</v>
          </cell>
          <cell r="D1555" t="str">
            <v>Resonant</v>
          </cell>
          <cell r="E1555" t="str">
            <v>One Scene</v>
          </cell>
          <cell r="H1555" t="str">
            <v>Tusk of Galech-Ma</v>
          </cell>
          <cell r="I1555" t="str">
            <v>None</v>
          </cell>
          <cell r="J1555">
            <v>2</v>
          </cell>
          <cell r="L1555" t="str">
            <v>Hide-Splitting Thrust</v>
          </cell>
        </row>
        <row r="1556">
          <cell r="A1556" t="str">
            <v>Giant-Felling Stroke</v>
          </cell>
          <cell r="B1556" t="str">
            <v>5m</v>
          </cell>
          <cell r="C1556" t="str">
            <v>Simple</v>
          </cell>
          <cell r="D1556" t="str">
            <v>Decisive-only, Dissonant, Resonant</v>
          </cell>
          <cell r="E1556" t="str">
            <v>Instant</v>
          </cell>
          <cell r="H1556" t="str">
            <v>Tusk of Galech-Ma</v>
          </cell>
          <cell r="I1556" t="str">
            <v>None</v>
          </cell>
          <cell r="J1556">
            <v>2</v>
          </cell>
          <cell r="L1556" t="str">
            <v>Bloodthirsty Hunter's Focus</v>
          </cell>
        </row>
        <row r="1557">
          <cell r="A1557" t="str">
            <v>Implacable Hunter's Spirit</v>
          </cell>
          <cell r="B1557" t="str">
            <v>-</v>
          </cell>
          <cell r="C1557" t="str">
            <v>Permanent</v>
          </cell>
          <cell r="D1557" t="str">
            <v>None</v>
          </cell>
          <cell r="E1557" t="str">
            <v>Permanent</v>
          </cell>
          <cell r="H1557" t="str">
            <v>Tusk of Galech-Ma</v>
          </cell>
          <cell r="I1557" t="str">
            <v>None</v>
          </cell>
          <cell r="J1557">
            <v>2</v>
          </cell>
          <cell r="L1557" t="str">
            <v>Bloodthirsty Hunter's FOcus, Unshakeable Bloodhound Technique</v>
          </cell>
        </row>
        <row r="1558">
          <cell r="A1558" t="str">
            <v>Flashing Spear Strike</v>
          </cell>
          <cell r="B1558" t="str">
            <v>-</v>
          </cell>
          <cell r="C1558" t="str">
            <v>Permanent</v>
          </cell>
          <cell r="D1558" t="str">
            <v>None</v>
          </cell>
          <cell r="E1558" t="str">
            <v>Permanent</v>
          </cell>
          <cell r="H1558" t="str">
            <v>Tusk of Galech-Ma</v>
          </cell>
          <cell r="I1558" t="str">
            <v>None</v>
          </cell>
          <cell r="J1558">
            <v>3</v>
          </cell>
          <cell r="L1558" t="str">
            <v>Giant-Felling Spirit, Godspeed Steps</v>
          </cell>
        </row>
        <row r="1559">
          <cell r="A1559" t="str">
            <v>Hunting Otherworldly Horrors</v>
          </cell>
          <cell r="B1559" t="str">
            <v>-</v>
          </cell>
          <cell r="C1559" t="str">
            <v>Permanent</v>
          </cell>
          <cell r="D1559" t="str">
            <v>None</v>
          </cell>
          <cell r="E1559" t="str">
            <v>Permanent</v>
          </cell>
          <cell r="H1559" t="str">
            <v>Tusk of Galech-Ma</v>
          </cell>
          <cell r="I1559" t="str">
            <v>None</v>
          </cell>
          <cell r="J1559">
            <v>3</v>
          </cell>
          <cell r="L1559" t="str">
            <v>Giant-Felling Stroke, Sharp Light of Judgment Stare</v>
          </cell>
        </row>
        <row r="1560">
          <cell r="A1560" t="str">
            <v>Legend-Slaying Strike</v>
          </cell>
          <cell r="B1560" t="str">
            <v>-(+1wp)</v>
          </cell>
          <cell r="C1560" t="str">
            <v>Permanent</v>
          </cell>
          <cell r="D1560" t="str">
            <v>Dual</v>
          </cell>
          <cell r="E1560" t="str">
            <v>Permanent</v>
          </cell>
          <cell r="H1560" t="str">
            <v>Tusk of Galech-Ma</v>
          </cell>
          <cell r="I1560" t="str">
            <v>None</v>
          </cell>
          <cell r="J1560">
            <v>3</v>
          </cell>
          <cell r="L1560" t="str">
            <v>Giant-Felling Stroke, Hungry Tiger Technique</v>
          </cell>
        </row>
        <row r="1561">
          <cell r="A1561" t="str">
            <v>Envoy to Stygia</v>
          </cell>
          <cell r="B1561" t="str">
            <v>-</v>
          </cell>
          <cell r="C1561" t="str">
            <v>Permanent</v>
          </cell>
          <cell r="D1561" t="str">
            <v>Dissonant</v>
          </cell>
          <cell r="E1561" t="str">
            <v>Permanent</v>
          </cell>
          <cell r="H1561" t="str">
            <v>Asphodel</v>
          </cell>
          <cell r="I1561" t="str">
            <v>None</v>
          </cell>
          <cell r="J1561">
            <v>1</v>
          </cell>
          <cell r="L1561" t="str">
            <v>Spirit-Detecting Glance</v>
          </cell>
        </row>
        <row r="1562">
          <cell r="A1562" t="str">
            <v>Shade-Revealing Radiance</v>
          </cell>
          <cell r="B1562" t="str">
            <v>5m, 1wp</v>
          </cell>
          <cell r="C1562" t="str">
            <v>Simple</v>
          </cell>
          <cell r="D1562" t="str">
            <v>Dissonant</v>
          </cell>
          <cell r="E1562" t="str">
            <v>One scene</v>
          </cell>
          <cell r="H1562" t="str">
            <v>Asphodel</v>
          </cell>
          <cell r="I1562" t="str">
            <v>None</v>
          </cell>
          <cell r="J1562">
            <v>2</v>
          </cell>
          <cell r="L1562" t="str">
            <v>Envoy to Stygia</v>
          </cell>
        </row>
        <row r="1563">
          <cell r="A1563" t="str">
            <v>Shadow-World Snare</v>
          </cell>
          <cell r="B1563" t="str">
            <v>4m, 1wp</v>
          </cell>
          <cell r="C1563" t="str">
            <v>Simple</v>
          </cell>
          <cell r="D1563" t="str">
            <v>Dissonant,Resonant</v>
          </cell>
          <cell r="E1563" t="str">
            <v>Instant</v>
          </cell>
          <cell r="H1563" t="str">
            <v>Asphodel</v>
          </cell>
          <cell r="I1563" t="str">
            <v>None</v>
          </cell>
          <cell r="J1563">
            <v>2</v>
          </cell>
          <cell r="L1563" t="str">
            <v>Shade-Revealing Radiance</v>
          </cell>
        </row>
        <row r="1564">
          <cell r="A1564" t="str">
            <v>Psychopomp Scepter</v>
          </cell>
          <cell r="B1564" t="str">
            <v>-(1wp)</v>
          </cell>
          <cell r="C1564" t="str">
            <v>Permanent</v>
          </cell>
          <cell r="D1564" t="str">
            <v>None</v>
          </cell>
          <cell r="E1564" t="str">
            <v>Permanent</v>
          </cell>
          <cell r="H1564" t="str">
            <v>Asphodel</v>
          </cell>
          <cell r="I1564" t="str">
            <v>None</v>
          </cell>
          <cell r="J1564">
            <v>3</v>
          </cell>
          <cell r="L1564" t="str">
            <v>Shadow-World SNare</v>
          </cell>
        </row>
        <row r="1565">
          <cell r="A1565" t="str">
            <v>Midnight Jewel of Mastery</v>
          </cell>
          <cell r="B1565" t="str">
            <v>-</v>
          </cell>
          <cell r="C1565" t="str">
            <v>Permanent</v>
          </cell>
          <cell r="D1565" t="str">
            <v>None</v>
          </cell>
          <cell r="E1565" t="str">
            <v>Permanent</v>
          </cell>
          <cell r="H1565" t="str">
            <v>Asphodel</v>
          </cell>
          <cell r="I1565" t="str">
            <v>None</v>
          </cell>
          <cell r="J1565">
            <v>3</v>
          </cell>
          <cell r="L1565" t="str">
            <v>Shadow-World Snare, Soul Projection Method, Spirit-Caging Mandela</v>
          </cell>
        </row>
        <row r="1566">
          <cell r="A1566" t="str">
            <v>Enter the Hidden World</v>
          </cell>
          <cell r="B1566" t="str">
            <v>10m, 1wp</v>
          </cell>
          <cell r="C1566" t="str">
            <v>Simple</v>
          </cell>
          <cell r="D1566" t="str">
            <v>Resonant</v>
          </cell>
          <cell r="E1566" t="str">
            <v>Indefinite</v>
          </cell>
          <cell r="H1566" t="str">
            <v>Asphodel</v>
          </cell>
          <cell r="I1566" t="str">
            <v>None</v>
          </cell>
          <cell r="J1566">
            <v>4</v>
          </cell>
          <cell r="L1566" t="str">
            <v>Psychopomp's Scepter</v>
          </cell>
        </row>
        <row r="1567">
          <cell r="A1567" t="str">
            <v>Blade-Seizing Defense</v>
          </cell>
          <cell r="B1567" t="str">
            <v>4m</v>
          </cell>
          <cell r="C1567" t="str">
            <v>Reflexive</v>
          </cell>
          <cell r="D1567" t="str">
            <v>COunterattack, Decisive-only, Resonant</v>
          </cell>
          <cell r="E1567" t="str">
            <v>Instant</v>
          </cell>
          <cell r="H1567" t="str">
            <v>Burning Branch</v>
          </cell>
          <cell r="I1567" t="str">
            <v>None</v>
          </cell>
          <cell r="J1567">
            <v>1</v>
          </cell>
        </row>
        <row r="1568">
          <cell r="A1568" t="str">
            <v>Conflagration Lance Technique</v>
          </cell>
          <cell r="B1568" t="str">
            <v>4m</v>
          </cell>
          <cell r="C1568" t="str">
            <v>Supplemental</v>
          </cell>
          <cell r="D1568" t="str">
            <v>Decisive-only, Dissonant</v>
          </cell>
          <cell r="E1568" t="str">
            <v>Instant</v>
          </cell>
          <cell r="H1568" t="str">
            <v>Burning Branch</v>
          </cell>
          <cell r="I1568" t="str">
            <v>None</v>
          </cell>
          <cell r="J1568">
            <v>1</v>
          </cell>
        </row>
        <row r="1569">
          <cell r="A1569" t="str">
            <v>Cleansing the Blood's Bane</v>
          </cell>
          <cell r="B1569" t="str">
            <v>2m</v>
          </cell>
          <cell r="C1569" t="str">
            <v>Simple</v>
          </cell>
          <cell r="D1569" t="str">
            <v>None</v>
          </cell>
          <cell r="E1569" t="str">
            <v>Instant</v>
          </cell>
          <cell r="H1569" t="str">
            <v>Burning Branch</v>
          </cell>
          <cell r="I1569" t="str">
            <v>None</v>
          </cell>
          <cell r="J1569">
            <v>2</v>
          </cell>
          <cell r="L1569" t="str">
            <v>Conflagration Lance technique</v>
          </cell>
        </row>
        <row r="1570">
          <cell r="A1570" t="str">
            <v>Impenetrable Bramble Snare</v>
          </cell>
          <cell r="B1570" t="str">
            <v>1m, 1wp</v>
          </cell>
          <cell r="C1570" t="str">
            <v>Supplemental</v>
          </cell>
          <cell r="D1570" t="str">
            <v>Decisive-only, Resonant</v>
          </cell>
          <cell r="E1570" t="str">
            <v>One Scene</v>
          </cell>
          <cell r="H1570" t="str">
            <v>Burning Branch</v>
          </cell>
          <cell r="I1570" t="str">
            <v>None</v>
          </cell>
          <cell r="J1570">
            <v>2</v>
          </cell>
          <cell r="L1570" t="str">
            <v>Blade-Seizing Defense</v>
          </cell>
        </row>
        <row r="1571">
          <cell r="A1571" t="str">
            <v>Sweeping Firebrand Attack</v>
          </cell>
          <cell r="B1571" t="str">
            <v>6m, 1a</v>
          </cell>
          <cell r="C1571" t="str">
            <v>Simple</v>
          </cell>
          <cell r="D1571" t="str">
            <v>Decisive-only, Resonant</v>
          </cell>
          <cell r="E1571" t="str">
            <v>Instant</v>
          </cell>
          <cell r="H1571" t="str">
            <v>Burning Branch</v>
          </cell>
          <cell r="I1571" t="str">
            <v>None</v>
          </cell>
          <cell r="J1571">
            <v>3</v>
          </cell>
          <cell r="L1571" t="str">
            <v>Cleansing the Blood's Bane</v>
          </cell>
        </row>
        <row r="1572">
          <cell r="A1572" t="str">
            <v>Torch-in-Gloom Inspiration</v>
          </cell>
          <cell r="B1572" t="str">
            <v>7m, 1wp, 1a</v>
          </cell>
          <cell r="C1572" t="str">
            <v>Simple</v>
          </cell>
          <cell r="D1572" t="str">
            <v>Dissonant, Perilous</v>
          </cell>
          <cell r="E1572" t="str">
            <v>One Scene</v>
          </cell>
          <cell r="H1572" t="str">
            <v>Burning Branch</v>
          </cell>
          <cell r="I1572" t="str">
            <v>None</v>
          </cell>
          <cell r="J1572">
            <v>4</v>
          </cell>
          <cell r="L1572" t="str">
            <v>Sweeping Firebrand Attack</v>
          </cell>
        </row>
        <row r="1573">
          <cell r="A1573" t="str">
            <v>Blazing Dragon-Ancestor Exhalation</v>
          </cell>
          <cell r="B1573" t="str">
            <v>3m, 1wp</v>
          </cell>
          <cell r="C1573" t="str">
            <v>Supplemental</v>
          </cell>
          <cell r="D1573" t="str">
            <v>Decisive-only, Resonant</v>
          </cell>
          <cell r="E1573" t="str">
            <v>Instant</v>
          </cell>
          <cell r="H1573" t="str">
            <v>Burning Branch</v>
          </cell>
          <cell r="I1573" t="str">
            <v>None</v>
          </cell>
          <cell r="J1573">
            <v>4</v>
          </cell>
          <cell r="L1573" t="str">
            <v>Impenetrable Bramble Snare, Torch-in-Gloom Inspiration</v>
          </cell>
        </row>
        <row r="1574">
          <cell r="A1574" t="str">
            <v>Arise, Moonlit Blade</v>
          </cell>
          <cell r="B1574" t="str">
            <v>6m, 3a, 1wp</v>
          </cell>
          <cell r="C1574" t="str">
            <v>Reflexive</v>
          </cell>
          <cell r="D1574" t="str">
            <v>Dissonant, Resonant</v>
          </cell>
          <cell r="E1574" t="str">
            <v>One Scene</v>
          </cell>
          <cell r="H1574" t="str">
            <v>Flying Silver Dream</v>
          </cell>
          <cell r="I1574" t="str">
            <v>None</v>
          </cell>
          <cell r="J1574">
            <v>1</v>
          </cell>
        </row>
        <row r="1575">
          <cell r="A1575" t="str">
            <v>Winged Argent Guardian</v>
          </cell>
          <cell r="B1575" t="str">
            <v>-</v>
          </cell>
          <cell r="C1575" t="str">
            <v>Permanent</v>
          </cell>
          <cell r="D1575" t="str">
            <v>None</v>
          </cell>
          <cell r="E1575" t="str">
            <v>Permanent</v>
          </cell>
          <cell r="H1575" t="str">
            <v>Flying Silver Dream</v>
          </cell>
          <cell r="I1575" t="str">
            <v>None</v>
          </cell>
          <cell r="J1575">
            <v>1</v>
          </cell>
          <cell r="L1575" t="str">
            <v>Arise, Moonlit Blade</v>
          </cell>
        </row>
        <row r="1576">
          <cell r="A1576" t="str">
            <v>Furious Dream-Sword Assault</v>
          </cell>
          <cell r="B1576" t="str">
            <v>-</v>
          </cell>
          <cell r="C1576" t="str">
            <v>Permanent</v>
          </cell>
          <cell r="D1576" t="str">
            <v>Uniform</v>
          </cell>
          <cell r="E1576" t="str">
            <v>Permanent</v>
          </cell>
          <cell r="H1576" t="str">
            <v>Flying Silver Dream</v>
          </cell>
          <cell r="I1576" t="str">
            <v>None</v>
          </cell>
          <cell r="J1576">
            <v>1</v>
          </cell>
          <cell r="L1576" t="str">
            <v>Arise, Moonlit Blade</v>
          </cell>
        </row>
        <row r="1577">
          <cell r="A1577" t="str">
            <v>Flickering Lunar Protector</v>
          </cell>
          <cell r="B1577" t="str">
            <v>-</v>
          </cell>
          <cell r="C1577" t="str">
            <v>Permanent</v>
          </cell>
          <cell r="D1577" t="str">
            <v>None</v>
          </cell>
          <cell r="E1577" t="str">
            <v>Permanent</v>
          </cell>
          <cell r="H1577" t="str">
            <v>Flying Silver Dream</v>
          </cell>
          <cell r="I1577" t="str">
            <v>None</v>
          </cell>
          <cell r="J1577">
            <v>2</v>
          </cell>
          <cell r="L1577" t="str">
            <v>Winged Argent Guardian</v>
          </cell>
        </row>
        <row r="1578">
          <cell r="A1578" t="str">
            <v>Moonbeam Razor Flash</v>
          </cell>
          <cell r="B1578" t="str">
            <v>-</v>
          </cell>
          <cell r="C1578" t="str">
            <v>Permanent</v>
          </cell>
          <cell r="D1578" t="str">
            <v>Dual</v>
          </cell>
          <cell r="E1578" t="str">
            <v>Permanent</v>
          </cell>
          <cell r="H1578" t="str">
            <v>Flying Silver Dream</v>
          </cell>
          <cell r="I1578" t="str">
            <v>None</v>
          </cell>
          <cell r="J1578">
            <v>2</v>
          </cell>
          <cell r="L1578" t="str">
            <v>Furious Dream-Sword Assault</v>
          </cell>
        </row>
        <row r="1579">
          <cell r="A1579" t="str">
            <v>Soul-Sword Unbinding</v>
          </cell>
          <cell r="B1579" t="str">
            <v>-</v>
          </cell>
          <cell r="C1579" t="str">
            <v>Permanent</v>
          </cell>
          <cell r="D1579" t="str">
            <v>None</v>
          </cell>
          <cell r="E1579" t="str">
            <v>Permanent</v>
          </cell>
          <cell r="H1579" t="str">
            <v>Flying Silver Dream</v>
          </cell>
          <cell r="I1579" t="str">
            <v>None</v>
          </cell>
          <cell r="J1579">
            <v>2</v>
          </cell>
          <cell r="L1579" t="str">
            <v>Arise, Moonlit Guardian, Glorious Solar Saber</v>
          </cell>
        </row>
        <row r="1580">
          <cell r="A1580" t="str">
            <v>Eternal Moonsilver Champion</v>
          </cell>
          <cell r="B1580" t="str">
            <v>-</v>
          </cell>
          <cell r="C1580" t="str">
            <v>Reflexive</v>
          </cell>
          <cell r="D1580" t="str">
            <v>Resonant</v>
          </cell>
          <cell r="E1580" t="str">
            <v>One Scene</v>
          </cell>
          <cell r="H1580" t="str">
            <v>Flying Silver Dream</v>
          </cell>
          <cell r="I1580" t="str">
            <v>None</v>
          </cell>
          <cell r="J1580">
            <v>3</v>
          </cell>
          <cell r="L1580" t="str">
            <v>FLickering Lunar Protector, Moonbeam Razor Flash</v>
          </cell>
        </row>
        <row r="1581">
          <cell r="A1581" t="str">
            <v>Step Between Seconds</v>
          </cell>
          <cell r="B1581" t="str">
            <v>2m, 2i, 1wp</v>
          </cell>
          <cell r="C1581" t="str">
            <v>Reflexive</v>
          </cell>
          <cell r="D1581" t="str">
            <v>Perilous, Dissonant, Resonant</v>
          </cell>
          <cell r="E1581" t="str">
            <v>Instant</v>
          </cell>
          <cell r="H1581" t="str">
            <v>Gnomon</v>
          </cell>
          <cell r="I1581" t="str">
            <v>None</v>
          </cell>
          <cell r="J1581">
            <v>1</v>
          </cell>
        </row>
        <row r="1582">
          <cell r="A1582" t="str">
            <v>Heaven-Defying Trickster's Staff</v>
          </cell>
          <cell r="B1582" t="str">
            <v>-</v>
          </cell>
          <cell r="C1582" t="str">
            <v>Permanent</v>
          </cell>
          <cell r="D1582" t="str">
            <v>Dissonant</v>
          </cell>
          <cell r="E1582" t="str">
            <v>Permanent</v>
          </cell>
          <cell r="H1582" t="str">
            <v>Gnomon</v>
          </cell>
          <cell r="I1582" t="str">
            <v>None</v>
          </cell>
          <cell r="J1582">
            <v>1</v>
          </cell>
          <cell r="L1582" t="str">
            <v>Step Between Seconds, Any Martial Arts Form Charm</v>
          </cell>
        </row>
        <row r="1583">
          <cell r="A1583" t="str">
            <v>Final Hour Hastening</v>
          </cell>
          <cell r="B1583" t="str">
            <v>3m, 2i</v>
          </cell>
          <cell r="C1583" t="str">
            <v>Supplemental</v>
          </cell>
          <cell r="D1583" t="str">
            <v>Dissonant, Perilous, Resonant, Uniform</v>
          </cell>
          <cell r="E1583" t="str">
            <v>Instant</v>
          </cell>
          <cell r="H1583" t="str">
            <v>Gnomon</v>
          </cell>
          <cell r="I1583" t="str">
            <v>None</v>
          </cell>
          <cell r="J1583">
            <v>2</v>
          </cell>
          <cell r="L1583" t="str">
            <v>Step Between Seconds</v>
          </cell>
        </row>
        <row r="1584">
          <cell r="A1584" t="str">
            <v>Moment-Stealing Rapacity</v>
          </cell>
          <cell r="B1584" t="str">
            <v>5m</v>
          </cell>
          <cell r="C1584" t="str">
            <v>Supplemental</v>
          </cell>
          <cell r="D1584" t="str">
            <v>Decisive-only, Resonant</v>
          </cell>
          <cell r="E1584" t="str">
            <v>Instant</v>
          </cell>
          <cell r="H1584" t="str">
            <v>Gnomon</v>
          </cell>
          <cell r="I1584" t="str">
            <v>None</v>
          </cell>
          <cell r="J1584">
            <v>2</v>
          </cell>
          <cell r="L1584" t="str">
            <v>Final Hour Hastening</v>
          </cell>
        </row>
        <row r="1585">
          <cell r="A1585" t="str">
            <v>Tilting Eternity's Axis</v>
          </cell>
          <cell r="B1585" t="str">
            <v>2m, 1wp</v>
          </cell>
          <cell r="C1585" t="str">
            <v>Reflexive</v>
          </cell>
          <cell r="D1585" t="str">
            <v>Clash, Decisive-only, Resonant</v>
          </cell>
          <cell r="E1585" t="str">
            <v>Instant</v>
          </cell>
          <cell r="H1585" t="str">
            <v>Gnomon</v>
          </cell>
          <cell r="I1585" t="str">
            <v>None</v>
          </cell>
          <cell r="J1585">
            <v>3</v>
          </cell>
          <cell r="L1585" t="str">
            <v>Moment-Stealing Rapacity</v>
          </cell>
        </row>
        <row r="1586">
          <cell r="A1586" t="str">
            <v>Sealed in the Frozen World</v>
          </cell>
          <cell r="B1586" t="str">
            <v>5m, 3i, 1wp</v>
          </cell>
          <cell r="C1586" t="str">
            <v>Simple</v>
          </cell>
          <cell r="D1586" t="str">
            <v>Decisive-only, Resonant</v>
          </cell>
          <cell r="E1586" t="str">
            <v>Instant</v>
          </cell>
          <cell r="H1586" t="str">
            <v>Gnomon</v>
          </cell>
          <cell r="I1586" t="str">
            <v>None</v>
          </cell>
          <cell r="J1586">
            <v>3</v>
          </cell>
          <cell r="L1586" t="str">
            <v>Tilting Eternity's Axis</v>
          </cell>
        </row>
        <row r="1587">
          <cell r="A1587" t="str">
            <v>Aeon Wheel Turning</v>
          </cell>
          <cell r="B1587" t="str">
            <v>6m, 2i, 1wp</v>
          </cell>
          <cell r="C1587" t="str">
            <v>Simple</v>
          </cell>
          <cell r="D1587" t="str">
            <v>Decisive-only, Resonant</v>
          </cell>
          <cell r="E1587" t="str">
            <v>Instant</v>
          </cell>
          <cell r="H1587" t="str">
            <v>Gnomon</v>
          </cell>
          <cell r="I1587" t="str">
            <v>None</v>
          </cell>
          <cell r="J1587">
            <v>3</v>
          </cell>
          <cell r="L1587" t="str">
            <v>Sealed in the Frozen World</v>
          </cell>
        </row>
        <row r="1588">
          <cell r="A1588" t="str">
            <v>Step Between Seconds x2</v>
          </cell>
          <cell r="B1588" t="str">
            <v>2m, 2i, 1wp</v>
          </cell>
          <cell r="C1588" t="str">
            <v>Reflexive</v>
          </cell>
          <cell r="D1588" t="str">
            <v>Perilous, Dissonant, Resonant</v>
          </cell>
          <cell r="E1588" t="str">
            <v>Instant</v>
          </cell>
          <cell r="H1588" t="str">
            <v>Gnomon</v>
          </cell>
          <cell r="I1588" t="str">
            <v>None</v>
          </cell>
          <cell r="J1588">
            <v>4</v>
          </cell>
        </row>
        <row r="1589">
          <cell r="A1589" t="str">
            <v>Drowning in Moments</v>
          </cell>
          <cell r="B1589" t="str">
            <v>-</v>
          </cell>
          <cell r="C1589" t="str">
            <v>Permanent</v>
          </cell>
          <cell r="D1589" t="str">
            <v>Resonant</v>
          </cell>
          <cell r="E1589" t="str">
            <v>Instant</v>
          </cell>
          <cell r="H1589" t="str">
            <v>Gnomon</v>
          </cell>
          <cell r="I1589" t="str">
            <v>None</v>
          </cell>
          <cell r="J1589">
            <v>4</v>
          </cell>
          <cell r="L1589" t="str">
            <v>Aeon Wheel Turning, Step Between Seconds (x2)</v>
          </cell>
        </row>
        <row r="1590">
          <cell r="A1590" t="str">
            <v>Eternity-Reaping Renewal</v>
          </cell>
          <cell r="B1590" t="str">
            <v>-</v>
          </cell>
          <cell r="C1590" t="str">
            <v>Permanent</v>
          </cell>
          <cell r="D1590" t="str">
            <v>Resonant</v>
          </cell>
          <cell r="E1590" t="str">
            <v>Permanent</v>
          </cell>
          <cell r="H1590" t="str">
            <v>Gnomon</v>
          </cell>
          <cell r="I1590" t="str">
            <v>None</v>
          </cell>
          <cell r="J1590">
            <v>5</v>
          </cell>
          <cell r="L1590" t="str">
            <v>Drowning in Moments</v>
          </cell>
        </row>
        <row r="1591">
          <cell r="A1591" t="str">
            <v>Fog-Raising Gesture</v>
          </cell>
          <cell r="B1591" t="str">
            <v>4m, 1wp</v>
          </cell>
          <cell r="C1591" t="str">
            <v>Simple</v>
          </cell>
          <cell r="D1591" t="str">
            <v>Dissonant</v>
          </cell>
          <cell r="E1591" t="str">
            <v>Instant</v>
          </cell>
          <cell r="H1591" t="str">
            <v>Mistweaver</v>
          </cell>
          <cell r="I1591" t="str">
            <v>None</v>
          </cell>
          <cell r="J1591">
            <v>1</v>
          </cell>
        </row>
        <row r="1592">
          <cell r="A1592" t="str">
            <v>Cloud-Warrior Stance</v>
          </cell>
          <cell r="B1592" t="str">
            <v>-</v>
          </cell>
          <cell r="C1592" t="str">
            <v>Permanent</v>
          </cell>
          <cell r="D1592" t="str">
            <v>None</v>
          </cell>
          <cell r="E1592" t="str">
            <v>Permanent</v>
          </cell>
          <cell r="H1592" t="str">
            <v>Mistweaver</v>
          </cell>
          <cell r="I1592" t="str">
            <v>None</v>
          </cell>
          <cell r="J1592">
            <v>2</v>
          </cell>
          <cell r="L1592" t="str">
            <v>Fog-Raising Gesture, any Solar Melee Charm</v>
          </cell>
        </row>
        <row r="1593">
          <cell r="A1593" t="str">
            <v>Sea-Smoke Veil</v>
          </cell>
          <cell r="B1593" t="str">
            <v>6m</v>
          </cell>
          <cell r="C1593" t="str">
            <v>Reflexive</v>
          </cell>
          <cell r="D1593" t="str">
            <v>Resonant</v>
          </cell>
          <cell r="E1593" t="str">
            <v>One Scene</v>
          </cell>
          <cell r="H1593" t="str">
            <v>Mistweaver</v>
          </cell>
          <cell r="I1593" t="str">
            <v>None</v>
          </cell>
          <cell r="J1593">
            <v>2</v>
          </cell>
          <cell r="L1593" t="str">
            <v>Fog-Raising Gesture</v>
          </cell>
        </row>
        <row r="1594">
          <cell r="A1594" t="str">
            <v>Death in the Mist</v>
          </cell>
          <cell r="B1594" t="str">
            <v>1m, 1wp</v>
          </cell>
          <cell r="C1594" t="str">
            <v>Supplemental</v>
          </cell>
          <cell r="D1594" t="str">
            <v>Resonant, uniform</v>
          </cell>
          <cell r="E1594" t="str">
            <v>Instant</v>
          </cell>
          <cell r="H1594" t="str">
            <v>Mistweaver</v>
          </cell>
          <cell r="I1594" t="str">
            <v>None</v>
          </cell>
          <cell r="J1594">
            <v>2</v>
          </cell>
          <cell r="L1594" t="str">
            <v>Sea-Smoke Veil</v>
          </cell>
        </row>
        <row r="1595">
          <cell r="A1595" t="str">
            <v>Brumous Entanglement</v>
          </cell>
          <cell r="B1595" t="str">
            <v>3m</v>
          </cell>
          <cell r="C1595" t="str">
            <v>Reflexive</v>
          </cell>
          <cell r="D1595" t="str">
            <v>Mute, Resonant</v>
          </cell>
          <cell r="E1595" t="str">
            <v>Until next Turn</v>
          </cell>
          <cell r="H1595" t="str">
            <v>Mistweaver</v>
          </cell>
          <cell r="I1595" t="str">
            <v>None</v>
          </cell>
          <cell r="J1595">
            <v>3</v>
          </cell>
          <cell r="L1595" t="str">
            <v>Death in the Mist</v>
          </cell>
        </row>
        <row r="1596">
          <cell r="A1596" t="str">
            <v>Cloud-Gathering Practice</v>
          </cell>
          <cell r="B1596" t="str">
            <v>-</v>
          </cell>
          <cell r="C1596" t="str">
            <v>Permanent</v>
          </cell>
          <cell r="D1596" t="str">
            <v>Dissonant</v>
          </cell>
          <cell r="E1596" t="str">
            <v>Permanent</v>
          </cell>
          <cell r="H1596" t="str">
            <v>Mistweaver</v>
          </cell>
          <cell r="I1596" t="str">
            <v>None</v>
          </cell>
          <cell r="J1596">
            <v>3</v>
          </cell>
          <cell r="L1596" t="str">
            <v>Death in the Mist</v>
          </cell>
        </row>
        <row r="1597">
          <cell r="A1597" t="str">
            <v>Mist-Weaving Mastery</v>
          </cell>
          <cell r="B1597" t="str">
            <v>30m, 1wp</v>
          </cell>
          <cell r="C1597" t="str">
            <v>Simple</v>
          </cell>
          <cell r="D1597" t="str">
            <v>Dissonant, Mute, Resonant</v>
          </cell>
          <cell r="E1597" t="str">
            <v>Instant</v>
          </cell>
          <cell r="H1597" t="str">
            <v>Mistweaver</v>
          </cell>
          <cell r="I1597" t="str">
            <v>None</v>
          </cell>
          <cell r="J1597">
            <v>4</v>
          </cell>
          <cell r="L1597" t="str">
            <v>Brumous Entanglement, Cloud-Gathering Practice</v>
          </cell>
        </row>
        <row r="1598">
          <cell r="A1598" t="str">
            <v>Cracked Mirror Blight</v>
          </cell>
          <cell r="B1598" t="str">
            <v>4m</v>
          </cell>
          <cell r="C1598" t="str">
            <v>Supplemental</v>
          </cell>
          <cell r="D1598" t="str">
            <v>Decisive-only, DIssonant, Resonant</v>
          </cell>
          <cell r="E1598" t="str">
            <v>Instant</v>
          </cell>
          <cell r="H1598" t="str">
            <v>Nightmare Shard</v>
          </cell>
          <cell r="I1598" t="str">
            <v>None</v>
          </cell>
          <cell r="J1598">
            <v>1</v>
          </cell>
        </row>
        <row r="1599">
          <cell r="A1599" t="str">
            <v>Truth in Silvered Reflections</v>
          </cell>
          <cell r="B1599" t="str">
            <v>3m</v>
          </cell>
          <cell r="C1599" t="str">
            <v>Simple</v>
          </cell>
          <cell r="D1599" t="str">
            <v>Dissonant, Mute</v>
          </cell>
          <cell r="E1599" t="str">
            <v>Instant</v>
          </cell>
          <cell r="H1599" t="str">
            <v>Nightmare Shard</v>
          </cell>
          <cell r="I1599" t="str">
            <v>None</v>
          </cell>
          <cell r="J1599">
            <v>1</v>
          </cell>
          <cell r="L1599" t="str">
            <v>Cracked Mirror Blight</v>
          </cell>
        </row>
        <row r="1600">
          <cell r="A1600" t="str">
            <v>Nightmare-Rending Stroke</v>
          </cell>
          <cell r="B1600" t="str">
            <v>-</v>
          </cell>
          <cell r="C1600" t="str">
            <v>Permanent</v>
          </cell>
          <cell r="D1600" t="str">
            <v>None</v>
          </cell>
          <cell r="E1600" t="str">
            <v>Permanent</v>
          </cell>
          <cell r="H1600" t="str">
            <v>Nightmare Shard</v>
          </cell>
          <cell r="I1600" t="str">
            <v>None</v>
          </cell>
          <cell r="J1600">
            <v>1</v>
          </cell>
          <cell r="L1600" t="str">
            <v>Cracked Mirror Blight, Truth in SIlvered Reflections</v>
          </cell>
        </row>
        <row r="1601">
          <cell r="A1601" t="str">
            <v>Primal Horror Fang</v>
          </cell>
          <cell r="B1601" t="str">
            <v>5m, 1wp</v>
          </cell>
          <cell r="C1601" t="str">
            <v>Simple</v>
          </cell>
          <cell r="D1601" t="str">
            <v>Dual, Resonant</v>
          </cell>
          <cell r="E1601" t="str">
            <v>One Scene</v>
          </cell>
          <cell r="H1601" t="str">
            <v>Nightmare Shard</v>
          </cell>
          <cell r="I1601" t="str">
            <v>None</v>
          </cell>
          <cell r="J1601">
            <v>2</v>
          </cell>
          <cell r="L1601" t="str">
            <v>Cracked Mirror Blight</v>
          </cell>
        </row>
        <row r="1602">
          <cell r="A1602" t="str">
            <v>Watcher At the Gates of Chaos</v>
          </cell>
          <cell r="B1602" t="str">
            <v>-</v>
          </cell>
          <cell r="C1602" t="str">
            <v>Permanent</v>
          </cell>
          <cell r="D1602" t="str">
            <v>None</v>
          </cell>
          <cell r="E1602" t="str">
            <v>Permanent</v>
          </cell>
          <cell r="H1602" t="str">
            <v>Nightmare Shard</v>
          </cell>
          <cell r="I1602" t="str">
            <v>None</v>
          </cell>
          <cell r="J1602">
            <v>2</v>
          </cell>
          <cell r="L1602" t="str">
            <v>Truth in Silvered Reflections</v>
          </cell>
        </row>
        <row r="1603">
          <cell r="A1603" t="str">
            <v>Dream-Rending Strike</v>
          </cell>
          <cell r="B1603" t="str">
            <v>-</v>
          </cell>
          <cell r="C1603" t="str">
            <v>Permanent</v>
          </cell>
          <cell r="D1603" t="str">
            <v>None</v>
          </cell>
          <cell r="E1603" t="str">
            <v>Instant</v>
          </cell>
          <cell r="H1603" t="str">
            <v>Nightmare Shard</v>
          </cell>
          <cell r="I1603" t="str">
            <v>None</v>
          </cell>
          <cell r="J1603">
            <v>3</v>
          </cell>
          <cell r="L1603" t="str">
            <v>Order-Affirming Blow, truth in Silvered Reflections</v>
          </cell>
        </row>
        <row r="1604">
          <cell r="A1604" t="str">
            <v>Night of Endless Horrors</v>
          </cell>
          <cell r="B1604" t="str">
            <v>5m, 1wp</v>
          </cell>
          <cell r="C1604" t="str">
            <v>Simple</v>
          </cell>
          <cell r="D1604" t="str">
            <v>Dissonant, Resonant, Withering-only</v>
          </cell>
          <cell r="E1604" t="str">
            <v>Instant</v>
          </cell>
          <cell r="H1604" t="str">
            <v>Nightmare Shard</v>
          </cell>
          <cell r="I1604" t="str">
            <v>None</v>
          </cell>
          <cell r="J1604">
            <v>3</v>
          </cell>
          <cell r="L1604" t="str">
            <v>Primal Horror Fang</v>
          </cell>
        </row>
        <row r="1605">
          <cell r="A1605" t="str">
            <v>Cobweb Glamours Torn Asunder</v>
          </cell>
          <cell r="B1605" t="str">
            <v>6m, 1wp</v>
          </cell>
          <cell r="C1605" t="str">
            <v>Simple</v>
          </cell>
          <cell r="D1605" t="str">
            <v>Decisive-only</v>
          </cell>
          <cell r="E1605" t="str">
            <v>Instant</v>
          </cell>
          <cell r="H1605" t="str">
            <v>Nightmare Shard</v>
          </cell>
          <cell r="I1605" t="str">
            <v>None</v>
          </cell>
          <cell r="J1605">
            <v>4</v>
          </cell>
          <cell r="L1605" t="str">
            <v>Cracked Mirror Blight (x2), Night of Endless Horrors, Watcher at the Gates of Chaos</v>
          </cell>
        </row>
        <row r="1606">
          <cell r="A1606" t="str">
            <v>Dragon's Scorching Breath</v>
          </cell>
          <cell r="B1606" t="str">
            <v>(4-Heat)m</v>
          </cell>
          <cell r="C1606" t="str">
            <v>Reflexive</v>
          </cell>
          <cell r="D1606" t="str">
            <v>Dissonant</v>
          </cell>
          <cell r="E1606" t="str">
            <v>Instant</v>
          </cell>
          <cell r="H1606" t="str">
            <v>Sekhem</v>
          </cell>
          <cell r="I1606" t="str">
            <v>None</v>
          </cell>
          <cell r="J1606">
            <v>1</v>
          </cell>
        </row>
        <row r="1607">
          <cell r="A1607" t="str">
            <v>Fire That Burns Flame</v>
          </cell>
          <cell r="B1607" t="str">
            <v>5m</v>
          </cell>
          <cell r="C1607" t="str">
            <v>Supplemental</v>
          </cell>
          <cell r="D1607" t="str">
            <v>Dual, Resonant</v>
          </cell>
          <cell r="E1607" t="str">
            <v>Instant</v>
          </cell>
          <cell r="H1607" t="str">
            <v>Sekhem</v>
          </cell>
          <cell r="I1607" t="str">
            <v>None</v>
          </cell>
          <cell r="J1607">
            <v>1</v>
          </cell>
          <cell r="L1607" t="str">
            <v>Dragon's Scorching Breath</v>
          </cell>
        </row>
        <row r="1608">
          <cell r="A1608" t="str">
            <v>Smoldering Steel Ignition</v>
          </cell>
          <cell r="B1608" t="str">
            <v>5m, 1wp</v>
          </cell>
          <cell r="C1608" t="str">
            <v>Simple</v>
          </cell>
          <cell r="D1608" t="str">
            <v>Decisive-only, Dissonant, Heat 1, Resonant</v>
          </cell>
          <cell r="E1608" t="str">
            <v>Instant</v>
          </cell>
          <cell r="H1608" t="str">
            <v>Sekhem</v>
          </cell>
          <cell r="I1608" t="str">
            <v>None</v>
          </cell>
          <cell r="J1608">
            <v>2</v>
          </cell>
          <cell r="L1608" t="str">
            <v>Fire That Burns Flame</v>
          </cell>
        </row>
        <row r="1609">
          <cell r="A1609" t="str">
            <v>Incandescent Exhalation</v>
          </cell>
          <cell r="B1609" t="str">
            <v>10m, 1wp</v>
          </cell>
          <cell r="C1609" t="str">
            <v>Simple</v>
          </cell>
          <cell r="D1609" t="str">
            <v>Decisive-only, Dissonant, Heat 2, Resonant</v>
          </cell>
          <cell r="E1609" t="str">
            <v>Instant</v>
          </cell>
          <cell r="H1609" t="str">
            <v>Sekhem</v>
          </cell>
          <cell r="I1609" t="str">
            <v>None</v>
          </cell>
          <cell r="J1609">
            <v>3</v>
          </cell>
          <cell r="L1609" t="str">
            <v>Smoldering Steel Ignition</v>
          </cell>
        </row>
        <row r="1610">
          <cell r="A1610" t="str">
            <v>Stone Cannot Endure</v>
          </cell>
          <cell r="B1610" t="str">
            <v>5m, 5i</v>
          </cell>
          <cell r="C1610" t="str">
            <v>Simple</v>
          </cell>
          <cell r="D1610" t="str">
            <v>Heat 3, Perilous</v>
          </cell>
          <cell r="E1610" t="str">
            <v>Instant</v>
          </cell>
          <cell r="H1610" t="str">
            <v>Sekhem</v>
          </cell>
          <cell r="I1610" t="str">
            <v>None</v>
          </cell>
          <cell r="J1610">
            <v>3</v>
          </cell>
          <cell r="L1610" t="str">
            <v>Smoldering Steel Ignition</v>
          </cell>
        </row>
        <row r="1611">
          <cell r="A1611" t="str">
            <v>Stronger than Fire</v>
          </cell>
          <cell r="B1611" t="str">
            <v>10m, 3a</v>
          </cell>
          <cell r="C1611" t="str">
            <v>Reflexive</v>
          </cell>
          <cell r="D1611" t="str">
            <v>Dissonant, Perilous</v>
          </cell>
          <cell r="E1611" t="str">
            <v>One Scene</v>
          </cell>
          <cell r="H1611" t="str">
            <v>Sekhem</v>
          </cell>
          <cell r="I1611" t="str">
            <v>None</v>
          </cell>
          <cell r="J1611">
            <v>4</v>
          </cell>
          <cell r="L1611" t="str">
            <v>Incandescent Exhalation, Stone Cannot Endure</v>
          </cell>
        </row>
        <row r="1612">
          <cell r="A1612" t="str">
            <v>Phoenix-Immolating Conflagration</v>
          </cell>
          <cell r="B1612" t="str">
            <v>5m, 5i, 1wp</v>
          </cell>
          <cell r="C1612" t="str">
            <v>Simple</v>
          </cell>
          <cell r="D1612" t="str">
            <v>Decisive-only, Heat 5, Resonant</v>
          </cell>
          <cell r="E1612" t="str">
            <v>Instant</v>
          </cell>
          <cell r="H1612" t="str">
            <v>Sekhem</v>
          </cell>
          <cell r="I1612" t="str">
            <v>None</v>
          </cell>
          <cell r="J1612">
            <v>4</v>
          </cell>
          <cell r="L1612" t="str">
            <v>Stronger Than Fire</v>
          </cell>
        </row>
        <row r="1613">
          <cell r="A1613" t="str">
            <v>Draw to the Deep</v>
          </cell>
          <cell r="B1613" t="str">
            <v>3m</v>
          </cell>
          <cell r="C1613" t="str">
            <v>Simple</v>
          </cell>
          <cell r="D1613" t="str">
            <v>Decisive-only, Stackable</v>
          </cell>
          <cell r="E1613" t="str">
            <v>One Scene</v>
          </cell>
          <cell r="H1613" t="str">
            <v>Shipbreaker</v>
          </cell>
          <cell r="I1613" t="str">
            <v>None</v>
          </cell>
          <cell r="J1613">
            <v>1</v>
          </cell>
        </row>
        <row r="1614">
          <cell r="A1614" t="str">
            <v>Flying Fish Method</v>
          </cell>
          <cell r="B1614" t="str">
            <v>-</v>
          </cell>
          <cell r="C1614" t="str">
            <v>Permanent</v>
          </cell>
          <cell r="D1614" t="str">
            <v>None</v>
          </cell>
          <cell r="E1614" t="str">
            <v>Permanent</v>
          </cell>
          <cell r="H1614" t="str">
            <v>Shipbreaker</v>
          </cell>
          <cell r="I1614" t="str">
            <v>None</v>
          </cell>
          <cell r="J1614">
            <v>1</v>
          </cell>
          <cell r="L1614" t="str">
            <v>Any Charm This Evocation augments</v>
          </cell>
        </row>
        <row r="1615">
          <cell r="A1615" t="str">
            <v>Kraken's Unseen Arm</v>
          </cell>
          <cell r="B1615" t="str">
            <v>2m</v>
          </cell>
          <cell r="C1615" t="str">
            <v>Supplemental</v>
          </cell>
          <cell r="D1615" t="str">
            <v>None</v>
          </cell>
          <cell r="E1615" t="str">
            <v>Instant</v>
          </cell>
          <cell r="H1615" t="str">
            <v>Shipbreaker</v>
          </cell>
          <cell r="I1615" t="str">
            <v>None</v>
          </cell>
          <cell r="J1615">
            <v>2</v>
          </cell>
          <cell r="L1615" t="str">
            <v>Draw to the Deep</v>
          </cell>
        </row>
        <row r="1616">
          <cell r="A1616" t="str">
            <v>Crushing Force of the Depths</v>
          </cell>
          <cell r="B1616" t="str">
            <v>3m, 1wp</v>
          </cell>
          <cell r="C1616" t="str">
            <v>Simple</v>
          </cell>
          <cell r="D1616" t="str">
            <v>Perilous</v>
          </cell>
          <cell r="E1616" t="str">
            <v>Instant</v>
          </cell>
          <cell r="H1616" t="str">
            <v>Shipbreaker</v>
          </cell>
          <cell r="I1616" t="str">
            <v>None</v>
          </cell>
          <cell r="J1616">
            <v>3</v>
          </cell>
          <cell r="L1616" t="str">
            <v>Kraken's Unseen Arm</v>
          </cell>
        </row>
        <row r="1617">
          <cell r="A1617" t="str">
            <v>Thousand-League-Current Pursuit</v>
          </cell>
          <cell r="B1617" t="str">
            <v>-(+1wp)</v>
          </cell>
          <cell r="C1617" t="str">
            <v>Permanent</v>
          </cell>
          <cell r="D1617" t="str">
            <v>Dissonant</v>
          </cell>
          <cell r="E1617" t="str">
            <v>Permanent</v>
          </cell>
          <cell r="H1617" t="str">
            <v>Shipbreaker</v>
          </cell>
          <cell r="I1617" t="str">
            <v>None</v>
          </cell>
          <cell r="J1617">
            <v>3</v>
          </cell>
          <cell r="L1617" t="str">
            <v>Crushing Force of the Depths</v>
          </cell>
        </row>
        <row r="1618">
          <cell r="A1618" t="str">
            <v>Maelstrom-Summoning Spirit</v>
          </cell>
          <cell r="B1618" t="str">
            <v>5m, 1wp</v>
          </cell>
          <cell r="C1618" t="str">
            <v>Simple</v>
          </cell>
          <cell r="D1618" t="str">
            <v>Perilous, Dissonant</v>
          </cell>
          <cell r="E1618" t="str">
            <v>One Scene</v>
          </cell>
          <cell r="H1618" t="str">
            <v>Shipbreaker</v>
          </cell>
          <cell r="I1618" t="str">
            <v>None</v>
          </cell>
          <cell r="J1618">
            <v>3</v>
          </cell>
          <cell r="L1618" t="str">
            <v>Thousand-League-Current Pursuit</v>
          </cell>
        </row>
        <row r="1619">
          <cell r="A1619" t="str">
            <v>Firedust-Gathering Practice</v>
          </cell>
          <cell r="B1619" t="str">
            <v>1m</v>
          </cell>
          <cell r="C1619" t="str">
            <v>Reflexive</v>
          </cell>
          <cell r="D1619" t="str">
            <v>Dissoant</v>
          </cell>
          <cell r="E1619" t="str">
            <v>Instant</v>
          </cell>
          <cell r="H1619" t="str">
            <v>Sirrush</v>
          </cell>
          <cell r="I1619" t="str">
            <v>None</v>
          </cell>
          <cell r="J1619">
            <v>1</v>
          </cell>
        </row>
        <row r="1620">
          <cell r="A1620" t="str">
            <v>Lightning Draw Method</v>
          </cell>
          <cell r="B1620" t="str">
            <v>-</v>
          </cell>
          <cell r="C1620" t="str">
            <v>Relfexive</v>
          </cell>
          <cell r="D1620" t="str">
            <v>None</v>
          </cell>
          <cell r="E1620" t="str">
            <v>Instant</v>
          </cell>
          <cell r="H1620" t="str">
            <v>Sirrush</v>
          </cell>
          <cell r="I1620" t="str">
            <v>None</v>
          </cell>
          <cell r="J1620">
            <v>1</v>
          </cell>
          <cell r="L1620" t="str">
            <v>Lightning-Draw Method</v>
          </cell>
        </row>
        <row r="1621">
          <cell r="A1621" t="str">
            <v>Storm-Dueling Maneuver</v>
          </cell>
          <cell r="B1621" t="str">
            <v>5m, 2i</v>
          </cell>
          <cell r="C1621" t="str">
            <v>Reflexive</v>
          </cell>
          <cell r="D1621" t="str">
            <v>Clash, Uniform</v>
          </cell>
          <cell r="E1621" t="str">
            <v>Instant</v>
          </cell>
          <cell r="H1621" t="str">
            <v>Sirrush</v>
          </cell>
          <cell r="I1621" t="str">
            <v>None</v>
          </cell>
          <cell r="J1621">
            <v>2</v>
          </cell>
          <cell r="L1621" t="str">
            <v>Lightning-Draw Method</v>
          </cell>
        </row>
        <row r="1622">
          <cell r="A1622" t="str">
            <v>Fiery Gale Barrage</v>
          </cell>
          <cell r="B1622" t="str">
            <v>4m, 1i</v>
          </cell>
          <cell r="C1622" t="str">
            <v>Supplemental</v>
          </cell>
          <cell r="D1622" t="str">
            <v>Uniform</v>
          </cell>
          <cell r="E1622" t="str">
            <v>Instant</v>
          </cell>
          <cell r="H1622" t="str">
            <v>Sirrush</v>
          </cell>
          <cell r="I1622" t="str">
            <v>None</v>
          </cell>
          <cell r="J1622">
            <v>2</v>
          </cell>
          <cell r="L1622" t="str">
            <v>Storm-Dueling Maneuver</v>
          </cell>
        </row>
        <row r="1623">
          <cell r="A1623" t="str">
            <v>Forked-Lightning FLame Attack</v>
          </cell>
          <cell r="B1623" t="str">
            <v>10m, 3i, 1wp</v>
          </cell>
          <cell r="C1623" t="str">
            <v>Simple</v>
          </cell>
          <cell r="D1623" t="str">
            <v>Decisive-only</v>
          </cell>
          <cell r="E1623" t="str">
            <v>Instant</v>
          </cell>
          <cell r="H1623" t="str">
            <v>Sirrush</v>
          </cell>
          <cell r="I1623" t="str">
            <v>None</v>
          </cell>
          <cell r="J1623">
            <v>2</v>
          </cell>
          <cell r="L1623" t="str">
            <v>Fiery gale barrage</v>
          </cell>
        </row>
        <row r="1624">
          <cell r="A1624" t="str">
            <v>Devil's Last gasp</v>
          </cell>
          <cell r="B1624" t="str">
            <v>3m</v>
          </cell>
          <cell r="C1624" t="str">
            <v>Simple</v>
          </cell>
          <cell r="D1624" t="str">
            <v>Decisive-only</v>
          </cell>
          <cell r="E1624" t="str">
            <v>Instant</v>
          </cell>
          <cell r="H1624" t="str">
            <v>Sirrush</v>
          </cell>
          <cell r="I1624" t="str">
            <v>None</v>
          </cell>
          <cell r="J1624">
            <v>2</v>
          </cell>
          <cell r="L1624" t="str">
            <v>Forked-Lightning Flame Attack</v>
          </cell>
        </row>
        <row r="1625">
          <cell r="A1625" t="str">
            <v>Inferno-Drinking Stance</v>
          </cell>
          <cell r="B1625" t="str">
            <v>-</v>
          </cell>
          <cell r="C1625" t="str">
            <v>Permanent</v>
          </cell>
          <cell r="D1625" t="str">
            <v>Dissonant</v>
          </cell>
          <cell r="E1625" t="str">
            <v>Permanent</v>
          </cell>
          <cell r="H1625" t="str">
            <v>Sirrush</v>
          </cell>
          <cell r="I1625" t="str">
            <v>None</v>
          </cell>
          <cell r="J1625">
            <v>2</v>
          </cell>
          <cell r="L1625" t="str">
            <v>Firedust-Gathering Practice</v>
          </cell>
        </row>
        <row r="1626">
          <cell r="A1626" t="str">
            <v>Wind-Fire Twister</v>
          </cell>
          <cell r="B1626" t="str">
            <v>5m, 5i, 3a</v>
          </cell>
          <cell r="C1626" t="str">
            <v>Simple</v>
          </cell>
          <cell r="D1626" t="str">
            <v>Dissonant, Perilous</v>
          </cell>
          <cell r="E1626" t="str">
            <v>One Scene</v>
          </cell>
          <cell r="H1626" t="str">
            <v>Sirrush</v>
          </cell>
          <cell r="I1626" t="str">
            <v>None</v>
          </cell>
          <cell r="J1626">
            <v>3</v>
          </cell>
          <cell r="L1626" t="str">
            <v>Devil's Last Gasp, Inferno-Drinking Stance</v>
          </cell>
        </row>
        <row r="1627">
          <cell r="A1627" t="str">
            <v>Gleaming Dagger Descent</v>
          </cell>
          <cell r="B1627" t="str">
            <v>5m</v>
          </cell>
          <cell r="C1627" t="str">
            <v>Supplemental</v>
          </cell>
          <cell r="D1627" t="str">
            <v>Dissonant, Mute, Resonant</v>
          </cell>
          <cell r="E1627" t="str">
            <v>Instant</v>
          </cell>
          <cell r="H1627" t="str">
            <v>Strife's Crucible</v>
          </cell>
          <cell r="I1627" t="str">
            <v>None</v>
          </cell>
          <cell r="J1627">
            <v>1</v>
          </cell>
        </row>
        <row r="1628">
          <cell r="A1628" t="str">
            <v>First Blood Poise</v>
          </cell>
          <cell r="B1628" t="str">
            <v>-</v>
          </cell>
          <cell r="C1628" t="str">
            <v>Permanent</v>
          </cell>
          <cell r="D1628" t="str">
            <v>Resonant</v>
          </cell>
          <cell r="E1628" t="str">
            <v>Permanent</v>
          </cell>
          <cell r="H1628" t="str">
            <v>Strife's Crucible</v>
          </cell>
          <cell r="I1628" t="str">
            <v>None</v>
          </cell>
          <cell r="J1628">
            <v>1</v>
          </cell>
          <cell r="L1628" t="str">
            <v>Gleaming Blade Dissent</v>
          </cell>
        </row>
        <row r="1629">
          <cell r="A1629" t="str">
            <v>Truth In Strife Riposte</v>
          </cell>
          <cell r="B1629" t="str">
            <v>5m</v>
          </cell>
          <cell r="C1629" t="str">
            <v>Reflexive</v>
          </cell>
          <cell r="D1629" t="str">
            <v>Mute, Resonant</v>
          </cell>
          <cell r="E1629" t="str">
            <v>Instant</v>
          </cell>
          <cell r="H1629" t="str">
            <v>Strife's Crucible</v>
          </cell>
          <cell r="I1629" t="str">
            <v>None</v>
          </cell>
          <cell r="J1629">
            <v>2</v>
          </cell>
          <cell r="L1629" t="str">
            <v>First Blood Poise</v>
          </cell>
        </row>
        <row r="1630">
          <cell r="A1630" t="str">
            <v>Shining Duelist's Challenge</v>
          </cell>
          <cell r="B1630" t="str">
            <v>-</v>
          </cell>
          <cell r="C1630" t="str">
            <v>Permanent</v>
          </cell>
          <cell r="D1630" t="str">
            <v>None</v>
          </cell>
          <cell r="E1630" t="str">
            <v>Permanent</v>
          </cell>
          <cell r="H1630" t="str">
            <v>Strife's Crucible</v>
          </cell>
          <cell r="I1630" t="str">
            <v>None</v>
          </cell>
          <cell r="J1630">
            <v>2</v>
          </cell>
          <cell r="L1630" t="str">
            <v>Majestic Radiant Presence, Truth-In-Strife Riposte</v>
          </cell>
        </row>
        <row r="1631">
          <cell r="A1631" t="str">
            <v>Final Blood Sanction</v>
          </cell>
          <cell r="B1631" t="str">
            <v>5m, 1wp</v>
          </cell>
          <cell r="C1631" t="str">
            <v>Reflexive</v>
          </cell>
          <cell r="D1631" t="str">
            <v>Mute, Resonant, Withering-only</v>
          </cell>
          <cell r="E1631" t="str">
            <v>Instant</v>
          </cell>
          <cell r="H1631" t="str">
            <v>Strife's Crucible</v>
          </cell>
          <cell r="I1631" t="str">
            <v>None</v>
          </cell>
          <cell r="J1631">
            <v>3</v>
          </cell>
          <cell r="L1631" t="str">
            <v>Truth in Strife Riposte</v>
          </cell>
        </row>
        <row r="1632">
          <cell r="A1632" t="str">
            <v>Terms of the Spear</v>
          </cell>
          <cell r="B1632" t="str">
            <v>-</v>
          </cell>
          <cell r="C1632" t="str">
            <v>Reflexive</v>
          </cell>
          <cell r="D1632" t="str">
            <v>None</v>
          </cell>
          <cell r="E1632" t="str">
            <v>Instant</v>
          </cell>
          <cell r="H1632" t="str">
            <v>Strife's Crucible</v>
          </cell>
          <cell r="I1632" t="str">
            <v>None</v>
          </cell>
          <cell r="J1632">
            <v>3</v>
          </cell>
          <cell r="L1632" t="str">
            <v>Final Blood Sanction</v>
          </cell>
        </row>
        <row r="1633">
          <cell r="A1633" t="str">
            <v>Burning Faith Arc</v>
          </cell>
          <cell r="B1633" t="str">
            <v>5m, 1a+ from Sunflash</v>
          </cell>
          <cell r="C1633" t="str">
            <v>Supplemental</v>
          </cell>
          <cell r="D1633" t="str">
            <v>Decisive-only, Resonant</v>
          </cell>
          <cell r="E1633" t="str">
            <v>Instant</v>
          </cell>
          <cell r="H1633" t="str">
            <v>Sunflash</v>
          </cell>
          <cell r="I1633" t="str">
            <v>None</v>
          </cell>
          <cell r="J1633">
            <v>1</v>
          </cell>
        </row>
        <row r="1634">
          <cell r="A1634" t="str">
            <v>Blinding Noonday Sun Attack</v>
          </cell>
          <cell r="B1634" t="str">
            <v>3m, 2i, 1a from Sunflash</v>
          </cell>
          <cell r="C1634" t="str">
            <v>Simple</v>
          </cell>
          <cell r="D1634" t="str">
            <v>Decisive-only, resonant</v>
          </cell>
          <cell r="E1634" t="str">
            <v>Instant</v>
          </cell>
          <cell r="H1634" t="str">
            <v>Sunflash</v>
          </cell>
          <cell r="I1634" t="str">
            <v>None</v>
          </cell>
          <cell r="J1634">
            <v>2</v>
          </cell>
          <cell r="L1634" t="str">
            <v>Burning Faith Arc</v>
          </cell>
        </row>
        <row r="1635">
          <cell r="A1635" t="str">
            <v>Horizon-Darkening Dawn</v>
          </cell>
          <cell r="B1635" t="str">
            <v>4m, 2i</v>
          </cell>
          <cell r="C1635" t="str">
            <v>Simple</v>
          </cell>
          <cell r="D1635" t="str">
            <v>Dissonant, Withering-only</v>
          </cell>
          <cell r="E1635" t="str">
            <v>Instant</v>
          </cell>
          <cell r="H1635" t="str">
            <v>Sunflash</v>
          </cell>
          <cell r="I1635" t="str">
            <v>None</v>
          </cell>
          <cell r="J1635">
            <v>2</v>
          </cell>
          <cell r="L1635" t="str">
            <v>Blinding Noonday Sun</v>
          </cell>
        </row>
        <row r="1636">
          <cell r="A1636" t="str">
            <v>Eclipsed Star Feint</v>
          </cell>
          <cell r="B1636" t="str">
            <v>-</v>
          </cell>
          <cell r="C1636" t="str">
            <v>Permanent</v>
          </cell>
          <cell r="D1636" t="str">
            <v>None</v>
          </cell>
          <cell r="E1636" t="str">
            <v>Permanent</v>
          </cell>
          <cell r="H1636" t="str">
            <v>Sunflash</v>
          </cell>
          <cell r="I1636" t="str">
            <v>None</v>
          </cell>
          <cell r="J1636">
            <v>2</v>
          </cell>
          <cell r="L1636" t="str">
            <v>Horizon-Darkening Dawn, Observer-Deceiving Attack</v>
          </cell>
        </row>
        <row r="1637">
          <cell r="A1637" t="str">
            <v>Darkest before Dawn</v>
          </cell>
          <cell r="B1637" t="str">
            <v>-</v>
          </cell>
          <cell r="C1637" t="str">
            <v>Reflexive</v>
          </cell>
          <cell r="D1637" t="str">
            <v>Dissonant</v>
          </cell>
          <cell r="E1637" t="str">
            <v>Instant</v>
          </cell>
          <cell r="H1637" t="str">
            <v>Sunflash</v>
          </cell>
          <cell r="I1637" t="str">
            <v>None</v>
          </cell>
          <cell r="J1637">
            <v>2</v>
          </cell>
          <cell r="L1637" t="str">
            <v>Burning Faith Arc</v>
          </cell>
        </row>
        <row r="1638">
          <cell r="A1638" t="str">
            <v>Whirling Starfall Valley</v>
          </cell>
          <cell r="B1638" t="str">
            <v>-</v>
          </cell>
          <cell r="C1638" t="str">
            <v>Permanent</v>
          </cell>
          <cell r="D1638" t="str">
            <v>None</v>
          </cell>
          <cell r="E1638" t="str">
            <v>Permanent</v>
          </cell>
          <cell r="H1638" t="str">
            <v>Sunflash</v>
          </cell>
          <cell r="I1638" t="str">
            <v>None</v>
          </cell>
          <cell r="J1638">
            <v>2</v>
          </cell>
          <cell r="L1638" t="str">
            <v>Darkest before Dawn, Swarm-Culling Technique</v>
          </cell>
        </row>
        <row r="1639">
          <cell r="A1639" t="str">
            <v>Incandescent Sunfire Ascendancy</v>
          </cell>
          <cell r="B1639" t="str">
            <v>-</v>
          </cell>
          <cell r="C1639" t="str">
            <v>Reflexive</v>
          </cell>
          <cell r="D1639" t="str">
            <v>None</v>
          </cell>
          <cell r="E1639" t="str">
            <v>Instant</v>
          </cell>
          <cell r="H1639" t="str">
            <v>Sunflash</v>
          </cell>
          <cell r="I1639" t="str">
            <v>None</v>
          </cell>
          <cell r="J1639">
            <v>3</v>
          </cell>
          <cell r="L1639" t="str">
            <v>Darkest Before Dawn</v>
          </cell>
        </row>
        <row r="1640">
          <cell r="A1640" t="str">
            <v>Killing Hand of Kiragaru</v>
          </cell>
          <cell r="B1640" t="str">
            <v>-</v>
          </cell>
          <cell r="C1640" t="str">
            <v>Permanent</v>
          </cell>
          <cell r="D1640" t="str">
            <v>None</v>
          </cell>
          <cell r="E1640" t="str">
            <v>Permanent</v>
          </cell>
          <cell r="H1640" t="str">
            <v>Sunflash</v>
          </cell>
          <cell r="I1640" t="str">
            <v>None</v>
          </cell>
          <cell r="J1640">
            <v>3</v>
          </cell>
          <cell r="L1640" t="str">
            <v>Incandescent Sunfire Ascendency, Triple Distance Attack technique</v>
          </cell>
        </row>
        <row r="1641">
          <cell r="A1641" t="str">
            <v>Blazing Sundog Strike</v>
          </cell>
          <cell r="B1641" t="str">
            <v>-</v>
          </cell>
          <cell r="C1641" t="str">
            <v>Permanent</v>
          </cell>
          <cell r="D1641" t="str">
            <v>None</v>
          </cell>
          <cell r="E1641" t="str">
            <v>Permanent</v>
          </cell>
          <cell r="H1641" t="str">
            <v>Sunflash</v>
          </cell>
          <cell r="I1641" t="str">
            <v>None</v>
          </cell>
          <cell r="J1641">
            <v>3</v>
          </cell>
          <cell r="L1641" t="str">
            <v>Fiery Solar Chakram, Killing Hand of Kiragaru</v>
          </cell>
        </row>
        <row r="1642">
          <cell r="A1642" t="str">
            <v>Revolutionary Sun Mandala</v>
          </cell>
          <cell r="B1642" t="str">
            <v>10m, 1wp</v>
          </cell>
          <cell r="C1642" t="str">
            <v>Simple</v>
          </cell>
          <cell r="D1642" t="str">
            <v>None</v>
          </cell>
          <cell r="E1642" t="str">
            <v>Instant</v>
          </cell>
          <cell r="H1642" t="str">
            <v>Sunflash</v>
          </cell>
          <cell r="I1642" t="str">
            <v>None</v>
          </cell>
          <cell r="J1642">
            <v>4</v>
          </cell>
          <cell r="L1642" t="str">
            <v>Blazing Sundog Strike, Eclipsed Star Feint, Whirling Starfall Volley</v>
          </cell>
        </row>
        <row r="1643">
          <cell r="A1643" t="str">
            <v>Humble The Wicked</v>
          </cell>
          <cell r="B1643" t="str">
            <v>3m</v>
          </cell>
          <cell r="C1643" t="str">
            <v>Supplemental</v>
          </cell>
          <cell r="D1643" t="str">
            <v>Uniform, Resonant</v>
          </cell>
          <cell r="E1643" t="str">
            <v>Instant</v>
          </cell>
          <cell r="H1643" t="str">
            <v>Talion</v>
          </cell>
          <cell r="I1643" t="str">
            <v>None</v>
          </cell>
          <cell r="J1643">
            <v>1</v>
          </cell>
        </row>
        <row r="1644">
          <cell r="A1644" t="str">
            <v>Staff of Fury</v>
          </cell>
          <cell r="B1644" t="str">
            <v>-</v>
          </cell>
          <cell r="C1644" t="str">
            <v>Permanent</v>
          </cell>
          <cell r="D1644" t="str">
            <v>Dissonant</v>
          </cell>
          <cell r="E1644" t="str">
            <v>Permanent</v>
          </cell>
          <cell r="H1644" t="str">
            <v>Talion</v>
          </cell>
          <cell r="I1644" t="str">
            <v>None</v>
          </cell>
          <cell r="J1644">
            <v>1</v>
          </cell>
          <cell r="L1644" t="str">
            <v>Humble The Wicked</v>
          </cell>
        </row>
        <row r="1645">
          <cell r="A1645" t="str">
            <v>Path of the Nemesis</v>
          </cell>
          <cell r="B1645" t="str">
            <v>5m</v>
          </cell>
          <cell r="C1645" t="str">
            <v>Simple</v>
          </cell>
          <cell r="D1645" t="str">
            <v>None</v>
          </cell>
          <cell r="E1645" t="str">
            <v>Once Scene</v>
          </cell>
          <cell r="H1645" t="str">
            <v>Talion</v>
          </cell>
          <cell r="I1645" t="str">
            <v>None</v>
          </cell>
          <cell r="J1645">
            <v>2</v>
          </cell>
          <cell r="L1645" t="str">
            <v>Staff of Fury</v>
          </cell>
        </row>
        <row r="1646">
          <cell r="A1646" t="str">
            <v>Contrition-Appraising Stare</v>
          </cell>
          <cell r="B1646" t="str">
            <v>5m</v>
          </cell>
          <cell r="C1646" t="str">
            <v>Reflexive</v>
          </cell>
          <cell r="D1646" t="str">
            <v>Mute</v>
          </cell>
          <cell r="E1646" t="str">
            <v>One Scene</v>
          </cell>
          <cell r="H1646" t="str">
            <v>Talion</v>
          </cell>
          <cell r="I1646" t="str">
            <v>None</v>
          </cell>
          <cell r="J1646">
            <v>2</v>
          </cell>
          <cell r="L1646" t="str">
            <v>Staff of Fury</v>
          </cell>
        </row>
        <row r="1647">
          <cell r="A1647" t="str">
            <v>Way of 10,000 Indignation</v>
          </cell>
          <cell r="B1647" t="str">
            <v>5m</v>
          </cell>
          <cell r="C1647" t="str">
            <v>Reflexive</v>
          </cell>
          <cell r="D1647" t="str">
            <v>Reonnant</v>
          </cell>
          <cell r="E1647" t="str">
            <v>One Scene</v>
          </cell>
          <cell r="H1647" t="str">
            <v>Talion</v>
          </cell>
          <cell r="I1647" t="str">
            <v>None</v>
          </cell>
          <cell r="J1647">
            <v>3</v>
          </cell>
          <cell r="L1647" t="str">
            <v>Staff of Fury</v>
          </cell>
        </row>
        <row r="1648">
          <cell r="A1648" t="str">
            <v>Rise Up, Penitent!</v>
          </cell>
          <cell r="B1648" t="str">
            <v>10m, 1wp</v>
          </cell>
          <cell r="C1648" t="str">
            <v>Reflexive</v>
          </cell>
          <cell r="D1648" t="str">
            <v>Dissonant, Resonant</v>
          </cell>
          <cell r="E1648" t="str">
            <v>Instant</v>
          </cell>
          <cell r="H1648" t="str">
            <v>Talion</v>
          </cell>
          <cell r="I1648" t="str">
            <v>None</v>
          </cell>
          <cell r="J1648">
            <v>3</v>
          </cell>
          <cell r="L1648" t="str">
            <v>Path of the Nemesis, Way of 10,000 Indignation, Contrition-Appraising Stare</v>
          </cell>
        </row>
        <row r="1649">
          <cell r="A1649" t="str">
            <v>Cures of Talion</v>
          </cell>
          <cell r="B1649" t="str">
            <v>5m, 1wp</v>
          </cell>
          <cell r="C1649" t="str">
            <v>Simple</v>
          </cell>
          <cell r="D1649" t="str">
            <v>None</v>
          </cell>
          <cell r="E1649" t="str">
            <v>Instant</v>
          </cell>
          <cell r="H1649" t="str">
            <v>Talion</v>
          </cell>
          <cell r="I1649" t="str">
            <v>None</v>
          </cell>
          <cell r="J1649">
            <v>3</v>
          </cell>
          <cell r="L1649" t="str">
            <v>Rise Up, Penitent!</v>
          </cell>
        </row>
        <row r="1650">
          <cell r="A1650" t="str">
            <v>Subjugating Strike</v>
          </cell>
          <cell r="B1650" t="str">
            <v>3m</v>
          </cell>
          <cell r="C1650" t="str">
            <v>Supplemental</v>
          </cell>
          <cell r="D1650" t="str">
            <v>Resonant, Stackable, uniform</v>
          </cell>
          <cell r="E1650" t="str">
            <v>Instant</v>
          </cell>
          <cell r="H1650" t="str">
            <v>Vainglory</v>
          </cell>
          <cell r="I1650" t="str">
            <v>None</v>
          </cell>
          <cell r="J1650">
            <v>1</v>
          </cell>
        </row>
        <row r="1651">
          <cell r="A1651" t="str">
            <v>Burning Demiurge Halo</v>
          </cell>
          <cell r="B1651" t="str">
            <v>-</v>
          </cell>
          <cell r="C1651" t="str">
            <v>Permanent</v>
          </cell>
          <cell r="D1651" t="str">
            <v>None</v>
          </cell>
          <cell r="E1651" t="str">
            <v>Permanent</v>
          </cell>
          <cell r="H1651" t="str">
            <v>Vainglory</v>
          </cell>
          <cell r="I1651" t="str">
            <v>None</v>
          </cell>
          <cell r="J1651">
            <v>1</v>
          </cell>
          <cell r="L1651" t="str">
            <v>Any one Charm this Evocation enhances</v>
          </cell>
        </row>
        <row r="1652">
          <cell r="A1652" t="str">
            <v>Wounded Enmity's Grace</v>
          </cell>
          <cell r="B1652" t="str">
            <v>3m</v>
          </cell>
          <cell r="C1652" t="str">
            <v>Reflexive</v>
          </cell>
          <cell r="D1652" t="str">
            <v>Decisive-only</v>
          </cell>
          <cell r="E1652" t="str">
            <v>Instant</v>
          </cell>
          <cell r="H1652" t="str">
            <v>Vainglory</v>
          </cell>
          <cell r="I1652" t="str">
            <v>None</v>
          </cell>
          <cell r="J1652">
            <v>2</v>
          </cell>
          <cell r="L1652" t="str">
            <v>Subjugating Strike</v>
          </cell>
        </row>
        <row r="1653">
          <cell r="A1653" t="str">
            <v>COmmanding Solar Corona</v>
          </cell>
          <cell r="B1653" t="str">
            <v>-</v>
          </cell>
          <cell r="C1653" t="str">
            <v>Permanent</v>
          </cell>
          <cell r="D1653" t="str">
            <v>None</v>
          </cell>
          <cell r="E1653" t="str">
            <v>Permanent</v>
          </cell>
          <cell r="H1653" t="str">
            <v>Vainglory</v>
          </cell>
          <cell r="I1653" t="str">
            <v>None</v>
          </cell>
          <cell r="J1653">
            <v>2</v>
          </cell>
          <cell r="L1653" t="str">
            <v>Majestic Radiant Presence</v>
          </cell>
        </row>
        <row r="1654">
          <cell r="A1654" t="str">
            <v>Crowned by Nightmares</v>
          </cell>
          <cell r="B1654" t="str">
            <v>5m, 1wp</v>
          </cell>
          <cell r="C1654" t="str">
            <v>Simple</v>
          </cell>
          <cell r="D1654" t="str">
            <v>Resonant</v>
          </cell>
          <cell r="E1654" t="str">
            <v>One Scene</v>
          </cell>
          <cell r="H1654" t="str">
            <v>Vainglory</v>
          </cell>
          <cell r="I1654" t="str">
            <v>None</v>
          </cell>
          <cell r="J1654">
            <v>3</v>
          </cell>
          <cell r="L1654" t="str">
            <v>Wounded Enmity's Grace</v>
          </cell>
        </row>
        <row r="1655">
          <cell r="A1655" t="str">
            <v>Heart-Fettering Glory</v>
          </cell>
          <cell r="B1655" t="str">
            <v>1m, 1wp</v>
          </cell>
          <cell r="C1655" t="str">
            <v>Simple</v>
          </cell>
          <cell r="D1655" t="str">
            <v>Decisive-only, Psyche</v>
          </cell>
          <cell r="E1655" t="str">
            <v>Instant</v>
          </cell>
          <cell r="H1655" t="str">
            <v>Vainglory</v>
          </cell>
          <cell r="I1655" t="str">
            <v>None</v>
          </cell>
          <cell r="J1655">
            <v>4</v>
          </cell>
          <cell r="L1655" t="str">
            <v>Crowned by Nightmares, Burning Demiurge Halo, COmmanding Solar Corona</v>
          </cell>
        </row>
        <row r="1656">
          <cell r="A1656" t="str">
            <v>Spell-Piercing Strike</v>
          </cell>
          <cell r="B1656" t="str">
            <v>1m, 1wp</v>
          </cell>
          <cell r="C1656" t="str">
            <v>Supplemental</v>
          </cell>
          <cell r="D1656" t="str">
            <v>Dual, Resonant</v>
          </cell>
          <cell r="E1656" t="str">
            <v>Instant</v>
          </cell>
          <cell r="H1656" t="str">
            <v>Zelator</v>
          </cell>
          <cell r="I1656" t="str">
            <v>None</v>
          </cell>
          <cell r="J1656">
            <v>1</v>
          </cell>
        </row>
        <row r="1657">
          <cell r="A1657" t="str">
            <v>Sunstrike Steed</v>
          </cell>
          <cell r="B1657" t="str">
            <v>-</v>
          </cell>
          <cell r="C1657" t="str">
            <v>Permanent</v>
          </cell>
          <cell r="D1657" t="str">
            <v>Dissonant</v>
          </cell>
          <cell r="E1657" t="str">
            <v>Permanent</v>
          </cell>
          <cell r="H1657" t="str">
            <v>Zelator</v>
          </cell>
          <cell r="I1657" t="str">
            <v>None</v>
          </cell>
          <cell r="J1657">
            <v>1</v>
          </cell>
        </row>
        <row r="1658">
          <cell r="A1658" t="str">
            <v>Golden Deviltry Mirror</v>
          </cell>
          <cell r="B1658" t="str">
            <v>5m, 2i</v>
          </cell>
          <cell r="C1658" t="str">
            <v>Reflexive</v>
          </cell>
          <cell r="D1658" t="str">
            <v>Perilous, Resonant</v>
          </cell>
          <cell r="E1658" t="str">
            <v>Instant</v>
          </cell>
          <cell r="H1658" t="str">
            <v>Zelator</v>
          </cell>
          <cell r="I1658" t="str">
            <v>None</v>
          </cell>
          <cell r="J1658">
            <v>2</v>
          </cell>
          <cell r="L1658" t="str">
            <v>Spell-Piercing Strike</v>
          </cell>
        </row>
        <row r="1659">
          <cell r="A1659" t="str">
            <v>Hell-War veterans Benison</v>
          </cell>
          <cell r="B1659" t="str">
            <v>3m, 1wp</v>
          </cell>
          <cell r="C1659" t="str">
            <v>Supplemental</v>
          </cell>
          <cell r="D1659" t="str">
            <v>Resoannt</v>
          </cell>
          <cell r="E1659" t="str">
            <v>One Scene</v>
          </cell>
          <cell r="H1659" t="str">
            <v>Zelator</v>
          </cell>
          <cell r="I1659" t="str">
            <v>None</v>
          </cell>
          <cell r="J1659">
            <v>2</v>
          </cell>
          <cell r="L1659" t="str">
            <v>Spell-Piercing Strike</v>
          </cell>
        </row>
        <row r="1660">
          <cell r="A1660" t="str">
            <v>Goetic Condemnation</v>
          </cell>
          <cell r="B1660" t="str">
            <v>10m, 1wp</v>
          </cell>
          <cell r="C1660" t="str">
            <v>Reflexive</v>
          </cell>
          <cell r="D1660" t="str">
            <v>Decisive-only</v>
          </cell>
          <cell r="E1660" t="str">
            <v>Instant</v>
          </cell>
          <cell r="H1660" t="str">
            <v>Zelator</v>
          </cell>
          <cell r="I1660" t="str">
            <v>None</v>
          </cell>
          <cell r="J1660">
            <v>3</v>
          </cell>
          <cell r="L1660" t="str">
            <v>Golden Deviltry Mirror, hell-War Veteran's Benison</v>
          </cell>
        </row>
        <row r="1661">
          <cell r="A1661" t="str">
            <v>Sorcerer-Cataphract Style</v>
          </cell>
          <cell r="B1661" t="str">
            <v>5m, 1wp</v>
          </cell>
          <cell r="C1661" t="str">
            <v>Reflexive</v>
          </cell>
          <cell r="D1661" t="str">
            <v>Dissonant, Uniform</v>
          </cell>
          <cell r="E1661" t="str">
            <v>Until the SPell has been Shaped</v>
          </cell>
          <cell r="H1661" t="str">
            <v>Zelator</v>
          </cell>
          <cell r="I1661" t="str">
            <v>None</v>
          </cell>
          <cell r="J1661">
            <v>3</v>
          </cell>
          <cell r="L1661" t="str">
            <v>Goetic Condemnation, terrestrial Circle Sorcery</v>
          </cell>
        </row>
        <row r="1662">
          <cell r="A1662" t="str">
            <v>Dawnfire Mantle</v>
          </cell>
          <cell r="B1662" t="str">
            <v>-</v>
          </cell>
          <cell r="C1662" t="str">
            <v>Permanent</v>
          </cell>
          <cell r="D1662" t="str">
            <v>None</v>
          </cell>
          <cell r="E1662" t="str">
            <v>Permanent</v>
          </cell>
          <cell r="H1662" t="str">
            <v>Zelator</v>
          </cell>
          <cell r="I1662" t="str">
            <v>None</v>
          </cell>
          <cell r="J1662">
            <v>3</v>
          </cell>
          <cell r="L1662" t="str">
            <v>Corona of Radiance</v>
          </cell>
        </row>
        <row r="1663">
          <cell r="A1663" t="str">
            <v>Devil-Trouncing Charge</v>
          </cell>
          <cell r="B1663" t="str">
            <v>10m, 1wp</v>
          </cell>
          <cell r="C1663" t="str">
            <v>Simple</v>
          </cell>
          <cell r="D1663" t="str">
            <v>None</v>
          </cell>
          <cell r="E1663" t="str">
            <v>One Scene</v>
          </cell>
          <cell r="H1663" t="str">
            <v>Zelator</v>
          </cell>
          <cell r="I1663" t="str">
            <v>None</v>
          </cell>
          <cell r="J1663">
            <v>3</v>
          </cell>
          <cell r="L1663" t="str">
            <v>Sunstrike Steed, hell-War veteran's Benison, League of Iron Preparation</v>
          </cell>
        </row>
        <row r="1664">
          <cell r="A1664" t="str">
            <v>Breaking the Hex Manse</v>
          </cell>
          <cell r="B1664" t="str">
            <v>15m, 3a, 1wp</v>
          </cell>
          <cell r="C1664" t="str">
            <v>Simple</v>
          </cell>
          <cell r="D1664" t="str">
            <v>None</v>
          </cell>
          <cell r="E1664" t="str">
            <v>Instant</v>
          </cell>
          <cell r="H1664" t="str">
            <v>Zelator</v>
          </cell>
          <cell r="I1664" t="str">
            <v>None</v>
          </cell>
          <cell r="J1664">
            <v>4</v>
          </cell>
          <cell r="L1664" t="str">
            <v>Sunstrike Steed, Sorcerer-Cataphract Style, Dawnfire Mantle</v>
          </cell>
        </row>
        <row r="1665">
          <cell r="A1665" t="str">
            <v>Faceless Warrior Method</v>
          </cell>
          <cell r="B1665" t="str">
            <v>-</v>
          </cell>
          <cell r="C1665" t="str">
            <v>Permanent</v>
          </cell>
          <cell r="D1665" t="str">
            <v>None</v>
          </cell>
          <cell r="E1665" t="str">
            <v>Permanent</v>
          </cell>
          <cell r="H1665" t="str">
            <v>The Forgotten Blade</v>
          </cell>
          <cell r="I1665" t="str">
            <v>None</v>
          </cell>
          <cell r="J1665">
            <v>1</v>
          </cell>
          <cell r="L1665" t="str">
            <v>Easily-Overlooked Presence Method</v>
          </cell>
        </row>
        <row r="1666">
          <cell r="A1666" t="str">
            <v>Elegant Fugue Strike</v>
          </cell>
          <cell r="B1666" t="str">
            <v>3m, 1i</v>
          </cell>
          <cell r="C1666" t="str">
            <v>Supplemental</v>
          </cell>
          <cell r="D1666" t="str">
            <v>Decisive-only, mute, Stackable</v>
          </cell>
          <cell r="E1666" t="str">
            <v>One Scene</v>
          </cell>
          <cell r="H1666" t="str">
            <v>The Forgotten Blade</v>
          </cell>
          <cell r="I1666" t="str">
            <v>None</v>
          </cell>
          <cell r="J1666">
            <v>1</v>
          </cell>
        </row>
        <row r="1667">
          <cell r="A1667" t="str">
            <v>Death of the Past</v>
          </cell>
          <cell r="B1667" t="str">
            <v>4m, 2i</v>
          </cell>
          <cell r="C1667" t="str">
            <v>Reflexive</v>
          </cell>
          <cell r="D1667" t="str">
            <v>Perilous, Mute, Psyche, Withering-only</v>
          </cell>
          <cell r="E1667" t="str">
            <v>One Scene</v>
          </cell>
          <cell r="H1667" t="str">
            <v>The Forgotten Blade</v>
          </cell>
          <cell r="I1667" t="str">
            <v>None</v>
          </cell>
          <cell r="J1667">
            <v>2</v>
          </cell>
          <cell r="L1667" t="str">
            <v>Elegant Fugue Strike</v>
          </cell>
        </row>
        <row r="1668">
          <cell r="A1668" t="str">
            <v>Winds of Lethe</v>
          </cell>
          <cell r="B1668" t="str">
            <v>-</v>
          </cell>
          <cell r="C1668" t="str">
            <v>Permanent</v>
          </cell>
          <cell r="D1668" t="str">
            <v>Decisive-only, Psyche</v>
          </cell>
          <cell r="E1668" t="str">
            <v>Permanent</v>
          </cell>
          <cell r="H1668" t="str">
            <v>The Forgotten Blade</v>
          </cell>
          <cell r="I1668" t="str">
            <v>None</v>
          </cell>
          <cell r="J1668">
            <v>2</v>
          </cell>
          <cell r="L1668" t="str">
            <v>Death of the Past</v>
          </cell>
        </row>
        <row r="1669">
          <cell r="A1669" t="str">
            <v>Technique-Disassociating Strike</v>
          </cell>
          <cell r="B1669" t="str">
            <v>3m, 2i, 1wp</v>
          </cell>
          <cell r="C1669" t="str">
            <v>Reflexive</v>
          </cell>
          <cell r="D1669" t="str">
            <v>Mute, perilous, Psyche, Stackable</v>
          </cell>
          <cell r="E1669" t="str">
            <v>One Scene</v>
          </cell>
          <cell r="H1669" t="str">
            <v>The Forgotten Blade</v>
          </cell>
          <cell r="I1669" t="str">
            <v>None</v>
          </cell>
          <cell r="J1669">
            <v>3</v>
          </cell>
          <cell r="L1669" t="str">
            <v>Death of the Past</v>
          </cell>
        </row>
        <row r="1670">
          <cell r="A1670" t="str">
            <v>Amnestic Desolation</v>
          </cell>
          <cell r="B1670" t="str">
            <v>1m, 1wp</v>
          </cell>
          <cell r="C1670" t="str">
            <v>Simple</v>
          </cell>
          <cell r="D1670" t="str">
            <v>Psyche</v>
          </cell>
          <cell r="E1670" t="str">
            <v>Instant</v>
          </cell>
          <cell r="H1670" t="str">
            <v>The Forgotten Blade</v>
          </cell>
          <cell r="I1670" t="str">
            <v>None</v>
          </cell>
          <cell r="J1670">
            <v>3</v>
          </cell>
          <cell r="L1670" t="str">
            <v>Winds of Lethe, Technique-Disassociating Stroke</v>
          </cell>
        </row>
        <row r="1671">
          <cell r="A1671" t="str">
            <v>To Fall Unmourned</v>
          </cell>
          <cell r="B1671" t="str">
            <v>1m, 1wp</v>
          </cell>
          <cell r="C1671" t="str">
            <v>Reflexive</v>
          </cell>
          <cell r="D1671" t="str">
            <v>Decisive-only, Psyche</v>
          </cell>
          <cell r="E1671" t="str">
            <v>Instant</v>
          </cell>
          <cell r="H1671" t="str">
            <v>The Forgotten Blade</v>
          </cell>
          <cell r="I1671" t="str">
            <v>None</v>
          </cell>
          <cell r="J1671">
            <v>4</v>
          </cell>
          <cell r="L1671" t="str">
            <v>Amnestic Desolation</v>
          </cell>
        </row>
        <row r="1672">
          <cell r="A1672" t="str">
            <v>Lacunar Mantle</v>
          </cell>
          <cell r="B1672" t="str">
            <v>-</v>
          </cell>
          <cell r="C1672" t="str">
            <v>Permanent</v>
          </cell>
          <cell r="D1672" t="str">
            <v>None</v>
          </cell>
          <cell r="E1672" t="str">
            <v>Permanent</v>
          </cell>
          <cell r="H1672" t="str">
            <v>The Forgotten Blade</v>
          </cell>
          <cell r="I1672" t="str">
            <v>None</v>
          </cell>
          <cell r="J1672">
            <v>4</v>
          </cell>
          <cell r="L1672" t="str">
            <v>Faceless Warrior Method, ELegant Fugue Strike, Mental invisibility Technique</v>
          </cell>
        </row>
        <row r="1673">
          <cell r="A1673" t="str">
            <v>Amnesia's Razor</v>
          </cell>
          <cell r="B1673" t="str">
            <v>10m, 1wp</v>
          </cell>
          <cell r="C1673" t="str">
            <v>Reflexive</v>
          </cell>
          <cell r="D1673" t="str">
            <v>Dual, Mute, Psyche</v>
          </cell>
          <cell r="E1673" t="str">
            <v>One Scene</v>
          </cell>
          <cell r="H1673" t="str">
            <v>The Forgotten Blade</v>
          </cell>
          <cell r="I1673" t="str">
            <v>None</v>
          </cell>
          <cell r="J1673">
            <v>5</v>
          </cell>
          <cell r="L1673" t="str">
            <v>To Fall Unmourned, Lacunar Mantle</v>
          </cell>
        </row>
        <row r="1674">
          <cell r="A1674" t="str">
            <v>Stone-Sinew Offensive</v>
          </cell>
          <cell r="B1674" t="str">
            <v>4m</v>
          </cell>
          <cell r="C1674" t="str">
            <v>Supplemental</v>
          </cell>
          <cell r="D1674" t="str">
            <v>Resonant,  Stackable, Withering-only</v>
          </cell>
          <cell r="E1674" t="str">
            <v>Instant</v>
          </cell>
          <cell r="H1674" t="str">
            <v>Gorgon</v>
          </cell>
          <cell r="I1674" t="str">
            <v>None</v>
          </cell>
          <cell r="J1674">
            <v>1</v>
          </cell>
        </row>
        <row r="1675">
          <cell r="A1675" t="str">
            <v>Shackles of Lassitude</v>
          </cell>
          <cell r="B1675" t="str">
            <v>4m</v>
          </cell>
          <cell r="C1675" t="str">
            <v>Reflexive</v>
          </cell>
          <cell r="D1675" t="str">
            <v>None</v>
          </cell>
          <cell r="E1675" t="str">
            <v>Instant</v>
          </cell>
          <cell r="H1675" t="str">
            <v>Gorgon</v>
          </cell>
          <cell r="I1675" t="str">
            <v>None</v>
          </cell>
          <cell r="J1675">
            <v>2</v>
          </cell>
          <cell r="L1675" t="str">
            <v>Stone-Sinew Offensive</v>
          </cell>
        </row>
        <row r="1676">
          <cell r="A1676" t="str">
            <v>Granite-Venom Strike</v>
          </cell>
          <cell r="B1676" t="str">
            <v>4m, 1wp</v>
          </cell>
          <cell r="C1676" t="str">
            <v>Simple</v>
          </cell>
          <cell r="D1676" t="str">
            <v>Decisive-only, Dissonant</v>
          </cell>
          <cell r="E1676" t="str">
            <v>Instant</v>
          </cell>
          <cell r="H1676" t="str">
            <v>Gorgon</v>
          </cell>
          <cell r="I1676" t="str">
            <v>None</v>
          </cell>
          <cell r="J1676">
            <v>2</v>
          </cell>
          <cell r="L1676" t="str">
            <v>Stone-Sinew Offensive</v>
          </cell>
        </row>
        <row r="1677">
          <cell r="A1677" t="str">
            <v>Life-Devouring Hellion Blade</v>
          </cell>
          <cell r="B1677" t="str">
            <v>3m</v>
          </cell>
          <cell r="C1677" t="str">
            <v>Supplemental</v>
          </cell>
          <cell r="D1677" t="str">
            <v>Decisive-only, Resonant</v>
          </cell>
          <cell r="E1677" t="str">
            <v>Instant</v>
          </cell>
          <cell r="H1677" t="str">
            <v>Gorgon</v>
          </cell>
          <cell r="I1677" t="str">
            <v>None</v>
          </cell>
          <cell r="J1677">
            <v>2</v>
          </cell>
          <cell r="L1677" t="str">
            <v>granite-Venom Strike</v>
          </cell>
        </row>
        <row r="1678">
          <cell r="A1678" t="str">
            <v>Ever-Hungry Devil Sword</v>
          </cell>
          <cell r="B1678" t="str">
            <v>1m</v>
          </cell>
          <cell r="C1678" t="str">
            <v>Reflexive</v>
          </cell>
          <cell r="D1678" t="str">
            <v>Decisive-only</v>
          </cell>
          <cell r="E1678" t="str">
            <v>Instant</v>
          </cell>
          <cell r="H1678" t="str">
            <v>Gorgon</v>
          </cell>
          <cell r="I1678" t="str">
            <v>None</v>
          </cell>
          <cell r="J1678">
            <v>3</v>
          </cell>
          <cell r="L1678" t="str">
            <v>Life-Devouring Hellion Blade</v>
          </cell>
        </row>
        <row r="1679">
          <cell r="A1679" t="str">
            <v>Baleful gaze: The Dead Eye Opens</v>
          </cell>
          <cell r="B1679" t="str">
            <v>6m, 1wp</v>
          </cell>
          <cell r="C1679" t="str">
            <v>Simple</v>
          </cell>
          <cell r="D1679" t="str">
            <v>Dissonant, Psyche, Resonant</v>
          </cell>
          <cell r="E1679" t="str">
            <v>Until Next Turn</v>
          </cell>
          <cell r="H1679" t="str">
            <v>Gorgon</v>
          </cell>
          <cell r="I1679" t="str">
            <v>None</v>
          </cell>
          <cell r="J1679">
            <v>3</v>
          </cell>
          <cell r="L1679" t="str">
            <v>Ever-Hungry Devil Sword, Shackles of Lassitude</v>
          </cell>
        </row>
        <row r="1680">
          <cell r="A1680" t="str">
            <v>Baleful gaze: Unblinking Eye of Nightmare</v>
          </cell>
          <cell r="B1680" t="str">
            <v>1wp</v>
          </cell>
          <cell r="C1680" t="str">
            <v>Reflexive</v>
          </cell>
          <cell r="D1680" t="str">
            <v>Psyche, Resonant</v>
          </cell>
          <cell r="E1680" t="str">
            <v>One Scene</v>
          </cell>
          <cell r="H1680" t="str">
            <v>Gorgon</v>
          </cell>
          <cell r="I1680" t="str">
            <v>None</v>
          </cell>
          <cell r="J1680">
            <v>4</v>
          </cell>
          <cell r="L1680" t="str">
            <v>Baleful Gaze: The Dead Eye Opens</v>
          </cell>
        </row>
        <row r="1681">
          <cell r="A1681" t="str">
            <v>Baleful Gaze: Apocalypse in Onyx</v>
          </cell>
          <cell r="B1681" t="str">
            <v>5m, 3a</v>
          </cell>
          <cell r="C1681" t="str">
            <v>Simple</v>
          </cell>
          <cell r="D1681" t="str">
            <v>Resoant</v>
          </cell>
          <cell r="E1681" t="str">
            <v>One Scene</v>
          </cell>
          <cell r="H1681" t="str">
            <v>Gorgon</v>
          </cell>
          <cell r="I1681" t="str">
            <v>None</v>
          </cell>
          <cell r="J1681">
            <v>5</v>
          </cell>
          <cell r="L1681" t="str">
            <v>Baleful Gaze: Unblinking Eye of Nightmare</v>
          </cell>
        </row>
        <row r="1682">
          <cell r="A1682" t="str">
            <v>Soul-Drinking Hunger</v>
          </cell>
          <cell r="B1682" t="str">
            <v>5m, 1hl</v>
          </cell>
          <cell r="C1682" t="str">
            <v>Reflexive</v>
          </cell>
          <cell r="D1682" t="str">
            <v>Dissonant, Dual</v>
          </cell>
          <cell r="E1682" t="str">
            <v>One Scene</v>
          </cell>
          <cell r="H1682" t="str">
            <v>Soulfarer</v>
          </cell>
          <cell r="I1682" t="str">
            <v>None</v>
          </cell>
          <cell r="J1682">
            <v>1</v>
          </cell>
        </row>
        <row r="1683">
          <cell r="A1683" t="str">
            <v>Blood-Stained Secrets Initiation</v>
          </cell>
          <cell r="B1683" t="str">
            <v>-</v>
          </cell>
          <cell r="C1683" t="str">
            <v>Permanet</v>
          </cell>
          <cell r="D1683" t="str">
            <v>Resonant</v>
          </cell>
          <cell r="E1683" t="str">
            <v>Permaent</v>
          </cell>
          <cell r="H1683" t="str">
            <v>Soulfarer</v>
          </cell>
          <cell r="I1683" t="str">
            <v>None</v>
          </cell>
          <cell r="J1683">
            <v>1</v>
          </cell>
          <cell r="L1683" t="str">
            <v>Soul-Drinking Hunger, terrestrial Circle Sorcery</v>
          </cell>
        </row>
        <row r="1684">
          <cell r="A1684" t="str">
            <v>Sorcerer's Reaving Strike</v>
          </cell>
          <cell r="B1684" t="str">
            <v>4m</v>
          </cell>
          <cell r="C1684" t="str">
            <v>Reflexive</v>
          </cell>
          <cell r="D1684" t="str">
            <v>Dissonant, Resonance, Uniform</v>
          </cell>
          <cell r="E1684" t="str">
            <v>Instant</v>
          </cell>
          <cell r="H1684" t="str">
            <v>Soulfarer</v>
          </cell>
          <cell r="I1684" t="str">
            <v>None</v>
          </cell>
          <cell r="J1684">
            <v>1</v>
          </cell>
          <cell r="L1684" t="str">
            <v>Blood-Stained Secrets Initiation</v>
          </cell>
        </row>
        <row r="1685">
          <cell r="A1685" t="str">
            <v>Soul-Devouring Axe</v>
          </cell>
          <cell r="B1685" t="str">
            <v>-</v>
          </cell>
          <cell r="C1685" t="str">
            <v>Permanent</v>
          </cell>
          <cell r="D1685" t="str">
            <v>None</v>
          </cell>
          <cell r="E1685" t="str">
            <v>Permanent</v>
          </cell>
          <cell r="H1685" t="str">
            <v>Soulfarer</v>
          </cell>
          <cell r="I1685" t="str">
            <v>None</v>
          </cell>
          <cell r="J1685">
            <v>1</v>
          </cell>
          <cell r="L1685" t="str">
            <v>Ghost-Eating technique, Sorcerer's Reaving Strike</v>
          </cell>
        </row>
        <row r="1686">
          <cell r="A1686" t="str">
            <v>Pain-Eating Empowerment</v>
          </cell>
          <cell r="B1686" t="str">
            <v>5m, 1wp</v>
          </cell>
          <cell r="C1686" t="str">
            <v>Supplemental</v>
          </cell>
          <cell r="D1686" t="str">
            <v>Decisive-only, Resonant</v>
          </cell>
          <cell r="E1686" t="str">
            <v>Instant</v>
          </cell>
          <cell r="H1686" t="str">
            <v>Soulfarer</v>
          </cell>
          <cell r="I1686" t="str">
            <v>None</v>
          </cell>
          <cell r="J1686">
            <v>2</v>
          </cell>
          <cell r="L1686" t="str">
            <v>Soul-Drinking Hunger</v>
          </cell>
        </row>
        <row r="1687">
          <cell r="A1687" t="str">
            <v>Soul Reaper Enlightenment</v>
          </cell>
          <cell r="B1687" t="str">
            <v>-</v>
          </cell>
          <cell r="C1687" t="str">
            <v>Permanent</v>
          </cell>
          <cell r="D1687" t="str">
            <v>Resonant</v>
          </cell>
          <cell r="E1687" t="str">
            <v>Permanent</v>
          </cell>
          <cell r="H1687" t="str">
            <v>Soulfarer</v>
          </cell>
          <cell r="I1687" t="str">
            <v>None</v>
          </cell>
          <cell r="J1687">
            <v>3</v>
          </cell>
          <cell r="L1687" t="str">
            <v>Blood-Stained Secrets Initiation, Celestial Circle Sorcery</v>
          </cell>
        </row>
        <row r="1688">
          <cell r="A1688" t="str">
            <v>Agony Mandala Meditation</v>
          </cell>
          <cell r="B1688" t="str">
            <v>3m, 3i, 1wp</v>
          </cell>
          <cell r="C1688" t="str">
            <v>Reflexive</v>
          </cell>
          <cell r="D1688" t="str">
            <v>Perilous, Resonant</v>
          </cell>
          <cell r="E1688" t="str">
            <v>Instant</v>
          </cell>
          <cell r="H1688" t="str">
            <v>Soulfarer</v>
          </cell>
          <cell r="I1688" t="str">
            <v>None</v>
          </cell>
          <cell r="J1688">
            <v>4</v>
          </cell>
          <cell r="L1688" t="str">
            <v>Pain-Eating Empowerment, Sorcerer's Reaving Strike, SOul Reaper Meditation</v>
          </cell>
        </row>
        <row r="1689">
          <cell r="A1689" t="str">
            <v>Void Rite Awakening</v>
          </cell>
          <cell r="B1689" t="str">
            <v>-</v>
          </cell>
          <cell r="C1689" t="str">
            <v>Permanent</v>
          </cell>
          <cell r="D1689" t="str">
            <v>None</v>
          </cell>
          <cell r="E1689" t="str">
            <v>Permanent</v>
          </cell>
          <cell r="H1689" t="str">
            <v>Soulfarer</v>
          </cell>
          <cell r="I1689" t="str">
            <v>None</v>
          </cell>
          <cell r="J1689">
            <v>5</v>
          </cell>
          <cell r="L1689" t="str">
            <v>Agony Mandala Meditation, SOlar Circle Sorcery</v>
          </cell>
        </row>
        <row r="1690">
          <cell r="A1690" t="str">
            <v>Fulminating Edge Flash</v>
          </cell>
          <cell r="B1690" t="str">
            <v>2m, 1wp</v>
          </cell>
          <cell r="C1690" t="str">
            <v>Simple</v>
          </cell>
          <cell r="D1690" t="str">
            <v>Resonant, Withering-only</v>
          </cell>
          <cell r="E1690" t="str">
            <v>Instant</v>
          </cell>
          <cell r="H1690" t="str">
            <v>Stormcaller</v>
          </cell>
          <cell r="I1690" t="str">
            <v>None</v>
          </cell>
          <cell r="J1690">
            <v>1</v>
          </cell>
        </row>
        <row r="1691">
          <cell r="A1691" t="str">
            <v>Storm Binding: Lightning CLeaves the Heavens</v>
          </cell>
          <cell r="B1691" t="str">
            <v>7m, 3i, 1wp</v>
          </cell>
          <cell r="C1691" t="str">
            <v>Simple</v>
          </cell>
          <cell r="D1691" t="str">
            <v>Decisive-only, Resonant</v>
          </cell>
          <cell r="E1691" t="str">
            <v>Instant</v>
          </cell>
          <cell r="H1691" t="str">
            <v>Stormcaller</v>
          </cell>
          <cell r="I1691" t="str">
            <v>None</v>
          </cell>
          <cell r="J1691">
            <v>2</v>
          </cell>
          <cell r="L1691" t="str">
            <v>Fulminating Edge Flash</v>
          </cell>
        </row>
        <row r="1692">
          <cell r="A1692" t="str">
            <v>Sleeping Devil, Awake!</v>
          </cell>
          <cell r="B1692" t="str">
            <v>5m</v>
          </cell>
          <cell r="C1692" t="str">
            <v>Supplemental</v>
          </cell>
          <cell r="D1692" t="str">
            <v>Decisive-only</v>
          </cell>
          <cell r="E1692" t="str">
            <v>Instant</v>
          </cell>
          <cell r="H1692" t="str">
            <v>Stormcaller</v>
          </cell>
          <cell r="I1692" t="str">
            <v>None</v>
          </cell>
          <cell r="J1692">
            <v>3</v>
          </cell>
          <cell r="L1692" t="str">
            <v>Storm binding: Lightning Cleaves the Heavens</v>
          </cell>
        </row>
        <row r="1693">
          <cell r="A1693" t="str">
            <v>Divine Tempest Blade</v>
          </cell>
          <cell r="B1693" t="str">
            <v>-</v>
          </cell>
          <cell r="C1693" t="str">
            <v>Permanent</v>
          </cell>
          <cell r="D1693" t="str">
            <v>None</v>
          </cell>
          <cell r="E1693" t="str">
            <v>Permanent</v>
          </cell>
          <cell r="H1693" t="str">
            <v>Stormcaller</v>
          </cell>
          <cell r="I1693" t="str">
            <v>None</v>
          </cell>
          <cell r="J1693">
            <v>3</v>
          </cell>
          <cell r="L1693" t="str">
            <v>Hungry Tiger Technique, Sleeping Devil, Wake!</v>
          </cell>
        </row>
        <row r="1694">
          <cell r="A1694" t="str">
            <v>Storm Binding: Falling Sky Strike</v>
          </cell>
          <cell r="B1694" t="str">
            <v>10m, 5i, 1wp</v>
          </cell>
          <cell r="C1694" t="str">
            <v>Simple</v>
          </cell>
          <cell r="D1694" t="str">
            <v>Decisive-only</v>
          </cell>
          <cell r="E1694" t="str">
            <v>Instant</v>
          </cell>
          <cell r="H1694" t="str">
            <v>Stormcaller</v>
          </cell>
          <cell r="I1694" t="str">
            <v>None</v>
          </cell>
          <cell r="J1694">
            <v>4</v>
          </cell>
          <cell r="L1694" t="str">
            <v>Divine Tempest Blade</v>
          </cell>
        </row>
        <row r="1695">
          <cell r="A1695" t="str">
            <v>Storm Binding: Tempest of 10,000 Hells</v>
          </cell>
          <cell r="B1695" t="str">
            <v>25m, 1wp</v>
          </cell>
          <cell r="C1695" t="str">
            <v>Simple</v>
          </cell>
          <cell r="D1695" t="str">
            <v>None</v>
          </cell>
          <cell r="E1695" t="str">
            <v>Instant</v>
          </cell>
          <cell r="H1695" t="str">
            <v>Stormcaller</v>
          </cell>
          <cell r="I1695" t="str">
            <v>None</v>
          </cell>
          <cell r="J1695">
            <v>5</v>
          </cell>
          <cell r="L1695" t="str">
            <v>Storm Binding: Falling Sky Strike</v>
          </cell>
        </row>
        <row r="1696">
          <cell r="A1696" t="str">
            <v>Austere Ambassadorial Mien</v>
          </cell>
          <cell r="B1696" t="str">
            <v>3m, 1wp</v>
          </cell>
          <cell r="C1696" t="str">
            <v>Reflexive</v>
          </cell>
          <cell r="D1696" t="str">
            <v>Dissonant, Resonant</v>
          </cell>
          <cell r="E1696" t="str">
            <v>One Scene</v>
          </cell>
          <cell r="H1696" t="str">
            <v>Baldaquin</v>
          </cell>
          <cell r="I1696" t="str">
            <v>None</v>
          </cell>
          <cell r="J1696">
            <v>1</v>
          </cell>
        </row>
        <row r="1697">
          <cell r="A1697" t="str">
            <v>Upright Nautical Envoy</v>
          </cell>
          <cell r="B1697" t="str">
            <v>-</v>
          </cell>
          <cell r="C1697" t="str">
            <v>Permanent</v>
          </cell>
          <cell r="D1697" t="str">
            <v>None</v>
          </cell>
          <cell r="E1697" t="str">
            <v>Permanent</v>
          </cell>
          <cell r="H1697" t="str">
            <v>Baldaquin</v>
          </cell>
          <cell r="I1697" t="str">
            <v>None</v>
          </cell>
          <cell r="J1697">
            <v>1</v>
          </cell>
          <cell r="L1697" t="str">
            <v>Any one Charm this Evocation augments</v>
          </cell>
        </row>
        <row r="1698">
          <cell r="A1698" t="str">
            <v>Faultless Emissary Method</v>
          </cell>
          <cell r="B1698" t="str">
            <v>3m</v>
          </cell>
          <cell r="C1698" t="str">
            <v>Reflexive</v>
          </cell>
          <cell r="D1698" t="str">
            <v>None</v>
          </cell>
          <cell r="E1698" t="str">
            <v>Instant</v>
          </cell>
          <cell r="H1698" t="str">
            <v>Baldaquin</v>
          </cell>
          <cell r="I1698" t="str">
            <v>None</v>
          </cell>
          <cell r="J1698">
            <v>1</v>
          </cell>
          <cell r="L1698" t="str">
            <v>Austere Ambassadorial Mien</v>
          </cell>
        </row>
        <row r="1699">
          <cell r="A1699" t="str">
            <v>Iron Compass Soul</v>
          </cell>
          <cell r="B1699" t="str">
            <v>-</v>
          </cell>
          <cell r="C1699" t="str">
            <v>Permanent</v>
          </cell>
          <cell r="D1699" t="str">
            <v>None</v>
          </cell>
          <cell r="E1699" t="str">
            <v>Permanent</v>
          </cell>
          <cell r="H1699" t="str">
            <v>Baldaquin</v>
          </cell>
          <cell r="I1699" t="str">
            <v>None</v>
          </cell>
          <cell r="J1699">
            <v>2</v>
          </cell>
          <cell r="L1699" t="str">
            <v>Austere Ambassadorial Mien</v>
          </cell>
        </row>
        <row r="1700">
          <cell r="A1700" t="str">
            <v>Part the Winds of Chaos</v>
          </cell>
          <cell r="B1700" t="str">
            <v>-</v>
          </cell>
          <cell r="C1700" t="str">
            <v>Permanent</v>
          </cell>
          <cell r="D1700" t="str">
            <v>None</v>
          </cell>
          <cell r="E1700" t="str">
            <v>Permanent</v>
          </cell>
          <cell r="H1700" t="str">
            <v>Baldaquin</v>
          </cell>
          <cell r="I1700" t="str">
            <v>None</v>
          </cell>
          <cell r="J1700">
            <v>2</v>
          </cell>
          <cell r="L1700" t="str">
            <v>Iron-Compass Soul, anyone Charm this Evocation augment</v>
          </cell>
        </row>
        <row r="1701">
          <cell r="A1701" t="str">
            <v>Golden negotiator's Voice</v>
          </cell>
          <cell r="B1701" t="str">
            <v>-</v>
          </cell>
          <cell r="C1701" t="str">
            <v>Permanent</v>
          </cell>
          <cell r="D1701" t="str">
            <v>None</v>
          </cell>
          <cell r="E1701" t="str">
            <v>Permanent</v>
          </cell>
          <cell r="H1701" t="str">
            <v>Baldaquin</v>
          </cell>
          <cell r="I1701" t="str">
            <v>None</v>
          </cell>
          <cell r="J1701">
            <v>2</v>
          </cell>
          <cell r="L1701" t="str">
            <v>Austere Ambassadorial Mien, any one CHarm this Evocation augments</v>
          </cell>
        </row>
        <row r="1702">
          <cell r="A1702" t="str">
            <v>Celestial Safe-Passage Compact</v>
          </cell>
          <cell r="B1702" t="str">
            <v>30m, 2wp</v>
          </cell>
          <cell r="C1702" t="str">
            <v>Simple</v>
          </cell>
          <cell r="D1702" t="str">
            <v>None</v>
          </cell>
          <cell r="E1702" t="str">
            <v>Instant</v>
          </cell>
          <cell r="H1702" t="str">
            <v>Baldaquin</v>
          </cell>
          <cell r="I1702" t="str">
            <v>None</v>
          </cell>
          <cell r="J1702">
            <v>3</v>
          </cell>
          <cell r="L1702" t="str">
            <v>Faultless Emissary Method, Golden negotiator's Voice</v>
          </cell>
        </row>
        <row r="1703">
          <cell r="A1703" t="str">
            <v>Heart-Forged Aegis</v>
          </cell>
          <cell r="B1703" t="str">
            <v>5m, 1i</v>
          </cell>
          <cell r="C1703" t="str">
            <v>Reflexive</v>
          </cell>
          <cell r="D1703" t="str">
            <v>Perilous, Resonant</v>
          </cell>
          <cell r="E1703" t="str">
            <v>Until Next Turn</v>
          </cell>
          <cell r="H1703" t="str">
            <v>Heartsbalm</v>
          </cell>
          <cell r="I1703" t="str">
            <v>None</v>
          </cell>
          <cell r="J1703">
            <v>1</v>
          </cell>
        </row>
        <row r="1704">
          <cell r="A1704" t="str">
            <v>Furious Guardian Reprisal</v>
          </cell>
          <cell r="B1704" t="str">
            <v>-</v>
          </cell>
          <cell r="C1704" t="str">
            <v>Peranent</v>
          </cell>
          <cell r="D1704" t="str">
            <v>None</v>
          </cell>
          <cell r="E1704" t="str">
            <v>Permanent</v>
          </cell>
          <cell r="H1704" t="str">
            <v>Heartsbalm</v>
          </cell>
          <cell r="I1704" t="str">
            <v>None</v>
          </cell>
          <cell r="J1704">
            <v>1</v>
          </cell>
          <cell r="L1704" t="str">
            <v>Essence-Gathering Temper, Heart-FOrged Aegis</v>
          </cell>
        </row>
        <row r="1705">
          <cell r="A1705" t="str">
            <v>Indomitable Guardian Ardor</v>
          </cell>
          <cell r="B1705" t="str">
            <v>1m, 1wp</v>
          </cell>
          <cell r="C1705" t="str">
            <v>Reflexive</v>
          </cell>
          <cell r="D1705" t="str">
            <v>Dissoannt</v>
          </cell>
          <cell r="E1705" t="str">
            <v>One Scene</v>
          </cell>
          <cell r="H1705" t="str">
            <v>Heartsbalm</v>
          </cell>
          <cell r="I1705" t="str">
            <v>None</v>
          </cell>
          <cell r="J1705">
            <v>2</v>
          </cell>
          <cell r="L1705" t="str">
            <v>Heart-FOrged Aegis</v>
          </cell>
        </row>
        <row r="1706">
          <cell r="A1706" t="str">
            <v>Orichalcum Hero's Heart</v>
          </cell>
          <cell r="B1706" t="str">
            <v>3m, 3i, 1wp</v>
          </cell>
          <cell r="C1706" t="str">
            <v>Reflexive</v>
          </cell>
          <cell r="D1706" t="str">
            <v>Decisive-only, Resonant,</v>
          </cell>
          <cell r="E1706" t="str">
            <v>Instant</v>
          </cell>
          <cell r="H1706" t="str">
            <v>Heartsbalm</v>
          </cell>
          <cell r="I1706" t="str">
            <v>None</v>
          </cell>
          <cell r="J1706">
            <v>3</v>
          </cell>
          <cell r="L1706" t="str">
            <v>Indomitable Guardian Ardor</v>
          </cell>
        </row>
        <row r="1707">
          <cell r="A1707" t="str">
            <v>All-COnquering Love</v>
          </cell>
          <cell r="B1707" t="str">
            <v>-</v>
          </cell>
          <cell r="C1707" t="str">
            <v>Permanent</v>
          </cell>
          <cell r="D1707" t="str">
            <v>Nne</v>
          </cell>
          <cell r="E1707" t="str">
            <v>Permanent</v>
          </cell>
          <cell r="H1707" t="str">
            <v>Heartsbalm</v>
          </cell>
          <cell r="I1707" t="str">
            <v>None</v>
          </cell>
          <cell r="J1707">
            <v>3</v>
          </cell>
          <cell r="L1707" t="str">
            <v>Orichalcum hero's Heart</v>
          </cell>
        </row>
        <row r="1708">
          <cell r="A1708" t="str">
            <v>Trust Beyond DOubt</v>
          </cell>
          <cell r="B1708" t="str">
            <v>-</v>
          </cell>
          <cell r="C1708" t="str">
            <v>Permanent</v>
          </cell>
          <cell r="D1708" t="str">
            <v>None</v>
          </cell>
          <cell r="E1708" t="str">
            <v>Permanent</v>
          </cell>
          <cell r="H1708" t="str">
            <v>Heartsbalm</v>
          </cell>
          <cell r="I1708" t="str">
            <v>None</v>
          </cell>
          <cell r="J1708">
            <v>3</v>
          </cell>
          <cell r="L1708" t="str">
            <v>Orichalcum Hero's Heart, Transcendent Hero's Meditation</v>
          </cell>
        </row>
        <row r="1709">
          <cell r="A1709" t="str">
            <v>Hazy Mirage Edge</v>
          </cell>
          <cell r="B1709" t="str">
            <v>3m, 2i</v>
          </cell>
          <cell r="C1709" t="str">
            <v>Reflexive</v>
          </cell>
          <cell r="D1709" t="str">
            <v>Perilous</v>
          </cell>
          <cell r="E1709" t="str">
            <v>Instant</v>
          </cell>
          <cell r="H1709" t="str">
            <v>Kaijin</v>
          </cell>
          <cell r="I1709" t="str">
            <v>None</v>
          </cell>
          <cell r="J1709">
            <v>1</v>
          </cell>
        </row>
        <row r="1710">
          <cell r="A1710" t="str">
            <v>Flying Phantom Leap</v>
          </cell>
          <cell r="B1710" t="str">
            <v>-</v>
          </cell>
          <cell r="C1710" t="str">
            <v>Permanent</v>
          </cell>
          <cell r="D1710" t="str">
            <v>None</v>
          </cell>
          <cell r="E1710" t="str">
            <v>Permanent</v>
          </cell>
          <cell r="H1710" t="str">
            <v>Kaijin</v>
          </cell>
          <cell r="I1710" t="str">
            <v>None</v>
          </cell>
          <cell r="J1710">
            <v>1</v>
          </cell>
          <cell r="L1710" t="str">
            <v>Hazy Mirage Edge, Leaping Dodge Technique</v>
          </cell>
        </row>
        <row r="1711">
          <cell r="A1711" t="str">
            <v>Silver-Tongued Blasphemies</v>
          </cell>
          <cell r="B1711" t="str">
            <v>-</v>
          </cell>
          <cell r="C1711" t="str">
            <v>Permanent</v>
          </cell>
          <cell r="D1711" t="str">
            <v>None</v>
          </cell>
          <cell r="E1711" t="str">
            <v>Permanent</v>
          </cell>
          <cell r="H1711" t="str">
            <v>Kaijin</v>
          </cell>
          <cell r="I1711" t="str">
            <v>None</v>
          </cell>
          <cell r="J1711">
            <v>1</v>
          </cell>
          <cell r="L1711" t="str">
            <v>Ancient Tongue Understanding, Hazy Mirage Edge</v>
          </cell>
        </row>
        <row r="1712">
          <cell r="A1712" t="str">
            <v>Immanent Mantle of Divinity</v>
          </cell>
          <cell r="B1712" t="str">
            <v>3m</v>
          </cell>
          <cell r="C1712" t="str">
            <v>Supplemental</v>
          </cell>
          <cell r="D1712" t="str">
            <v>Dissonant, Resonant</v>
          </cell>
          <cell r="E1712" t="str">
            <v>Instant</v>
          </cell>
          <cell r="H1712" t="str">
            <v>Kaijin</v>
          </cell>
          <cell r="I1712" t="str">
            <v>None</v>
          </cell>
          <cell r="J1712">
            <v>2</v>
          </cell>
          <cell r="L1712" t="str">
            <v>Hazy Mirage Edge</v>
          </cell>
        </row>
        <row r="1713">
          <cell r="A1713" t="str">
            <v>Fateful Shift Evasion</v>
          </cell>
          <cell r="B1713" t="str">
            <v>5m, 1wp</v>
          </cell>
          <cell r="C1713" t="str">
            <v>Reflexive</v>
          </cell>
          <cell r="D1713" t="str">
            <v>Clash, Dissonant, Resonant</v>
          </cell>
          <cell r="E1713" t="str">
            <v>Instant</v>
          </cell>
          <cell r="H1713" t="str">
            <v>Kaijin</v>
          </cell>
          <cell r="I1713" t="str">
            <v>None</v>
          </cell>
          <cell r="J1713">
            <v>3</v>
          </cell>
          <cell r="L1713" t="str">
            <v>Immanent Mantle of Divinity</v>
          </cell>
        </row>
        <row r="1714">
          <cell r="A1714" t="str">
            <v>Donning the Ethereal Form</v>
          </cell>
          <cell r="B1714" t="str">
            <v>10m, 1wp</v>
          </cell>
          <cell r="C1714" t="str">
            <v>Simple</v>
          </cell>
          <cell r="D1714" t="str">
            <v>Dissonant, Mute, perilous, Resonant</v>
          </cell>
          <cell r="E1714" t="str">
            <v>One Scene</v>
          </cell>
          <cell r="H1714" t="str">
            <v>Kaijin</v>
          </cell>
          <cell r="I1714" t="str">
            <v>None</v>
          </cell>
          <cell r="J1714">
            <v>4</v>
          </cell>
          <cell r="L1714" t="str">
            <v>Fateful Shift Evasion</v>
          </cell>
        </row>
        <row r="1715">
          <cell r="A1715" t="str">
            <v>Leaf-Sussurus Mimicry</v>
          </cell>
          <cell r="B1715" t="str">
            <v>3m</v>
          </cell>
          <cell r="C1715" t="str">
            <v>Supplemental</v>
          </cell>
          <cell r="D1715" t="str">
            <v>Dissonant, Resonant</v>
          </cell>
          <cell r="E1715" t="str">
            <v>Instant</v>
          </cell>
          <cell r="H1715" t="str">
            <v>Midnight Thorn</v>
          </cell>
          <cell r="I1715" t="str">
            <v>None</v>
          </cell>
          <cell r="J1715">
            <v>1</v>
          </cell>
        </row>
        <row r="1716">
          <cell r="A1716" t="str">
            <v>Razor Bloom Barrier</v>
          </cell>
          <cell r="B1716" t="str">
            <v>3m</v>
          </cell>
          <cell r="C1716" t="str">
            <v>Reflexive</v>
          </cell>
          <cell r="D1716" t="str">
            <v>Resonant</v>
          </cell>
          <cell r="E1716" t="str">
            <v>One Scene</v>
          </cell>
          <cell r="H1716" t="str">
            <v>Midnight Thorn</v>
          </cell>
          <cell r="I1716" t="str">
            <v>None</v>
          </cell>
          <cell r="J1716">
            <v>1</v>
          </cell>
          <cell r="L1716" t="str">
            <v>Leaf-Sussurus Mimicry</v>
          </cell>
        </row>
        <row r="1717">
          <cell r="A1717" t="str">
            <v>Unseen Dryad Concealment</v>
          </cell>
          <cell r="B1717" t="str">
            <v>-</v>
          </cell>
          <cell r="C1717" t="str">
            <v>Permanent</v>
          </cell>
          <cell r="D1717" t="str">
            <v>None</v>
          </cell>
          <cell r="E1717" t="str">
            <v>Permanent</v>
          </cell>
          <cell r="H1717" t="str">
            <v>Midnight Thorn</v>
          </cell>
          <cell r="I1717" t="str">
            <v>None</v>
          </cell>
          <cell r="J1717">
            <v>1</v>
          </cell>
          <cell r="L1717" t="str">
            <v>Invisible Statue Spirit, Leaf-Sussurus Mimicry</v>
          </cell>
        </row>
        <row r="1718">
          <cell r="A1718" t="str">
            <v>Elusive Shadow Forest</v>
          </cell>
          <cell r="B1718" t="str">
            <v>4m, 2i</v>
          </cell>
          <cell r="C1718" t="str">
            <v>Simple</v>
          </cell>
          <cell r="D1718" t="str">
            <v>Mute</v>
          </cell>
          <cell r="E1718" t="str">
            <v>One Scene</v>
          </cell>
          <cell r="H1718" t="str">
            <v>Midnight Thorn</v>
          </cell>
          <cell r="I1718" t="str">
            <v>None</v>
          </cell>
          <cell r="J1718">
            <v>2</v>
          </cell>
          <cell r="L1718" t="str">
            <v>Razor Bloom Barrier</v>
          </cell>
        </row>
        <row r="1719">
          <cell r="A1719" t="str">
            <v>Embrace of Thorns</v>
          </cell>
          <cell r="B1719" t="str">
            <v>-</v>
          </cell>
          <cell r="C1719" t="str">
            <v>Permanent</v>
          </cell>
          <cell r="D1719" t="str">
            <v>None</v>
          </cell>
          <cell r="E1719" t="str">
            <v>Permanent</v>
          </cell>
          <cell r="H1719" t="str">
            <v>Midnight Thorn</v>
          </cell>
          <cell r="I1719" t="str">
            <v>None</v>
          </cell>
          <cell r="J1719">
            <v>2</v>
          </cell>
          <cell r="L1719" t="str">
            <v>Dark Sentinel's Way, Rzor Bloom Barrier</v>
          </cell>
        </row>
        <row r="1720">
          <cell r="A1720" t="str">
            <v>Shadow Hunter Ambuscade</v>
          </cell>
          <cell r="B1720" t="str">
            <v>1m, 1wp</v>
          </cell>
          <cell r="C1720" t="str">
            <v>Supplemental</v>
          </cell>
          <cell r="D1720" t="str">
            <v>Resonant, Uniform</v>
          </cell>
          <cell r="E1720" t="str">
            <v>Instant</v>
          </cell>
          <cell r="H1720" t="str">
            <v>Midnight Thorn</v>
          </cell>
          <cell r="I1720" t="str">
            <v>None</v>
          </cell>
          <cell r="J1720">
            <v>3</v>
          </cell>
          <cell r="L1720" t="str">
            <v>Elusive Forest Shadow</v>
          </cell>
        </row>
        <row r="1721">
          <cell r="A1721" t="str">
            <v>Wilderness-Stalking Wraith</v>
          </cell>
          <cell r="B1721" t="str">
            <v>-</v>
          </cell>
          <cell r="C1721" t="str">
            <v>Permanent</v>
          </cell>
          <cell r="D1721" t="str">
            <v>None</v>
          </cell>
          <cell r="E1721" t="str">
            <v>Permanent</v>
          </cell>
          <cell r="H1721" t="str">
            <v>Midnight Thorn</v>
          </cell>
          <cell r="I1721" t="str">
            <v>None</v>
          </cell>
          <cell r="J1721">
            <v>3</v>
          </cell>
          <cell r="L1721" t="str">
            <v>Elusive Forest Shadow, Traceless Passage</v>
          </cell>
        </row>
        <row r="1722">
          <cell r="A1722" t="str">
            <v>On Your Knees</v>
          </cell>
          <cell r="B1722" t="str">
            <v>2m, 1i</v>
          </cell>
          <cell r="C1722" t="str">
            <v>Reflexive</v>
          </cell>
          <cell r="D1722" t="str">
            <v>Perilous, Resonant, Uniform</v>
          </cell>
          <cell r="E1722" t="str">
            <v>Instant</v>
          </cell>
          <cell r="H1722" t="str">
            <v>Five Edicts Dominion</v>
          </cell>
          <cell r="I1722" t="str">
            <v>None</v>
          </cell>
          <cell r="J1722">
            <v>1</v>
          </cell>
        </row>
        <row r="1723">
          <cell r="A1723" t="str">
            <v>10,000 Years Humiliation</v>
          </cell>
          <cell r="B1723" t="str">
            <v>3m, 1i</v>
          </cell>
          <cell r="C1723" t="str">
            <v>Reflexive</v>
          </cell>
          <cell r="D1723" t="str">
            <v>Dissonant, Perilous</v>
          </cell>
          <cell r="E1723" t="str">
            <v>Instant</v>
          </cell>
          <cell r="H1723" t="str">
            <v>Five Edicts Dominion</v>
          </cell>
          <cell r="I1723" t="str">
            <v>None</v>
          </cell>
          <cell r="J1723">
            <v>2</v>
          </cell>
          <cell r="L1723" t="str">
            <v>On Your Knees</v>
          </cell>
        </row>
        <row r="1724">
          <cell r="A1724" t="str">
            <v>Beyond Your Reach</v>
          </cell>
          <cell r="B1724" t="str">
            <v>3m, 2i</v>
          </cell>
          <cell r="C1724" t="str">
            <v>Reflexive</v>
          </cell>
          <cell r="D1724" t="str">
            <v>Dual, Perilous</v>
          </cell>
          <cell r="E1724" t="str">
            <v>Instant</v>
          </cell>
          <cell r="H1724" t="str">
            <v>Five Edicts Dominion</v>
          </cell>
          <cell r="I1724" t="str">
            <v>None</v>
          </cell>
          <cell r="J1724">
            <v>2</v>
          </cell>
          <cell r="L1724" t="str">
            <v>10,000 Years Humiliation</v>
          </cell>
        </row>
        <row r="1725">
          <cell r="A1725" t="str">
            <v>Absolute Terror Mantle</v>
          </cell>
          <cell r="B1725" t="str">
            <v>-</v>
          </cell>
          <cell r="C1725" t="str">
            <v>Permanent</v>
          </cell>
          <cell r="D1725" t="str">
            <v>None</v>
          </cell>
          <cell r="E1725" t="str">
            <v>Permanent</v>
          </cell>
          <cell r="H1725" t="str">
            <v>Five Edicts Dominion</v>
          </cell>
          <cell r="I1725" t="str">
            <v>None</v>
          </cell>
          <cell r="J1725">
            <v>2</v>
          </cell>
          <cell r="L1725" t="str">
            <v>Beyond Your Reach</v>
          </cell>
        </row>
        <row r="1726">
          <cell r="A1726" t="str">
            <v>Dread Majesty COmmand</v>
          </cell>
          <cell r="B1726" t="str">
            <v>3m, 1a, 1wp</v>
          </cell>
          <cell r="C1726" t="str">
            <v>Simple</v>
          </cell>
          <cell r="D1726" t="str">
            <v>Resonant</v>
          </cell>
          <cell r="E1726" t="str">
            <v>Instant</v>
          </cell>
          <cell r="H1726" t="str">
            <v>Five Edicts Dominion</v>
          </cell>
          <cell r="I1726" t="str">
            <v>None</v>
          </cell>
          <cell r="J1726">
            <v>2</v>
          </cell>
          <cell r="L1726" t="str">
            <v>Beyond Your Reach</v>
          </cell>
        </row>
        <row r="1727">
          <cell r="A1727" t="str">
            <v>On a Pedestal of Your Bones</v>
          </cell>
          <cell r="B1727" t="str">
            <v>5m, 1a</v>
          </cell>
          <cell r="C1727" t="str">
            <v>Reflexive</v>
          </cell>
          <cell r="D1727" t="str">
            <v>COunterattack, Dissonant, Resonant</v>
          </cell>
          <cell r="E1727" t="str">
            <v>Instant</v>
          </cell>
          <cell r="H1727" t="str">
            <v>Five Edicts Dominion</v>
          </cell>
          <cell r="I1727" t="str">
            <v>None</v>
          </cell>
          <cell r="J1727">
            <v>3</v>
          </cell>
          <cell r="L1727" t="str">
            <v>Dread Majesty COmmand</v>
          </cell>
        </row>
        <row r="1728">
          <cell r="A1728" t="str">
            <v>You groveling Fools</v>
          </cell>
          <cell r="B1728" t="str">
            <v>-</v>
          </cell>
          <cell r="C1728" t="str">
            <v>Permanent</v>
          </cell>
          <cell r="D1728" t="str">
            <v>None</v>
          </cell>
          <cell r="E1728" t="str">
            <v>Permanet</v>
          </cell>
          <cell r="H1728" t="str">
            <v>Five Edicts Dominion</v>
          </cell>
          <cell r="I1728" t="str">
            <v>None</v>
          </cell>
          <cell r="J1728">
            <v>3</v>
          </cell>
          <cell r="L1728" t="str">
            <v>Dread Majesty COmmand, Worshipful Lackey Acquisition</v>
          </cell>
        </row>
        <row r="1729">
          <cell r="A1729" t="str">
            <v>Covenant of the Old Laws</v>
          </cell>
          <cell r="B1729" t="str">
            <v>20m, 2wp</v>
          </cell>
          <cell r="C1729" t="str">
            <v>Simple</v>
          </cell>
          <cell r="D1729" t="str">
            <v>Resonant</v>
          </cell>
          <cell r="E1729" t="str">
            <v>Instant</v>
          </cell>
          <cell r="H1729" t="str">
            <v>Five Edicts Dominion</v>
          </cell>
          <cell r="I1729" t="str">
            <v>None</v>
          </cell>
          <cell r="J1729">
            <v>4</v>
          </cell>
          <cell r="L1729" t="str">
            <v>On a Pedestal of Your Bones</v>
          </cell>
        </row>
        <row r="1730">
          <cell r="A1730" t="str">
            <v>Aegis of geometric Perfection</v>
          </cell>
          <cell r="B1730" t="str">
            <v>1m+</v>
          </cell>
          <cell r="C1730" t="str">
            <v>Reflexive</v>
          </cell>
          <cell r="D1730" t="str">
            <v>Dual</v>
          </cell>
          <cell r="E1730" t="str">
            <v>Instant</v>
          </cell>
          <cell r="H1730" t="str">
            <v>The Quincunx</v>
          </cell>
          <cell r="I1730" t="str">
            <v>None</v>
          </cell>
          <cell r="J1730">
            <v>1</v>
          </cell>
          <cell r="L1730" t="str">
            <v>Nnoe</v>
          </cell>
        </row>
        <row r="1731">
          <cell r="A1731" t="str">
            <v>Harmonic Crystal Vessel</v>
          </cell>
          <cell r="B1731" t="str">
            <v>3m, 1i</v>
          </cell>
          <cell r="C1731" t="str">
            <v>Supplemental</v>
          </cell>
          <cell r="D1731" t="str">
            <v>Perilous, Resonant</v>
          </cell>
          <cell r="E1731" t="str">
            <v>Instant</v>
          </cell>
          <cell r="H1731" t="str">
            <v>The Quincunx</v>
          </cell>
          <cell r="I1731" t="str">
            <v>None</v>
          </cell>
          <cell r="J1731">
            <v>1</v>
          </cell>
          <cell r="L1731" t="str">
            <v>Aegis of Geometric Perfection, Terrestrial Circle SOrcery</v>
          </cell>
        </row>
        <row r="1732">
          <cell r="A1732" t="str">
            <v>Resonance of Sorcerous Essence</v>
          </cell>
          <cell r="B1732" t="str">
            <v>-</v>
          </cell>
          <cell r="C1732" t="str">
            <v>Permanent</v>
          </cell>
          <cell r="D1732" t="str">
            <v>None</v>
          </cell>
          <cell r="E1732" t="str">
            <v>Permanent</v>
          </cell>
          <cell r="H1732" t="str">
            <v>The Quincunx</v>
          </cell>
          <cell r="I1732" t="str">
            <v>None</v>
          </cell>
          <cell r="J1732">
            <v>1</v>
          </cell>
          <cell r="L1732" t="str">
            <v>Harmonic Crystal Vessel, SUpernal COntrol method</v>
          </cell>
        </row>
        <row r="1733">
          <cell r="A1733" t="str">
            <v>SOrcerer's Crystal Aegis</v>
          </cell>
          <cell r="B1733" t="str">
            <v>3m, 1wp</v>
          </cell>
          <cell r="C1733" t="str">
            <v>Refelxive</v>
          </cell>
          <cell r="D1733" t="str">
            <v>Clash, Resonant</v>
          </cell>
          <cell r="E1733" t="str">
            <v>Instant</v>
          </cell>
          <cell r="H1733" t="str">
            <v>The Quincunx</v>
          </cell>
          <cell r="I1733" t="str">
            <v>None</v>
          </cell>
          <cell r="J1733">
            <v>2</v>
          </cell>
          <cell r="L1733" t="str">
            <v>Harmonic Crystal Vessel</v>
          </cell>
        </row>
        <row r="1734">
          <cell r="A1734" t="str">
            <v>Brilliant Backlash Cascade</v>
          </cell>
          <cell r="B1734" t="str">
            <v>25m, 1wp</v>
          </cell>
          <cell r="C1734" t="str">
            <v>Simple</v>
          </cell>
          <cell r="D1734" t="str">
            <v>Resonant, Withering-only</v>
          </cell>
          <cell r="E1734" t="str">
            <v>Instant</v>
          </cell>
          <cell r="H1734" t="str">
            <v>The Quincunx</v>
          </cell>
          <cell r="I1734" t="str">
            <v>None</v>
          </cell>
          <cell r="J1734">
            <v>3</v>
          </cell>
          <cell r="L1734" t="str">
            <v>Celestial Circle Sorcery, Sorcerer's Crystal Aegis</v>
          </cell>
        </row>
        <row r="1735">
          <cell r="A1735" t="str">
            <v>Celestial Anima Harmony</v>
          </cell>
          <cell r="B1735" t="str">
            <v>-</v>
          </cell>
          <cell r="C1735" t="str">
            <v>Permanent</v>
          </cell>
          <cell r="D1735" t="str">
            <v>None</v>
          </cell>
          <cell r="E1735" t="str">
            <v>Permanent</v>
          </cell>
          <cell r="H1735" t="str">
            <v>The Quincunx</v>
          </cell>
          <cell r="I1735" t="str">
            <v>None</v>
          </cell>
          <cell r="J1735">
            <v>5</v>
          </cell>
          <cell r="L1735" t="str">
            <v>Brilliant Backlash Cascade, Spirit-Drawing Oculus</v>
          </cell>
        </row>
        <row r="1736">
          <cell r="A1736" t="str">
            <v>Hell-Soul Masquerade</v>
          </cell>
          <cell r="B1736" t="str">
            <v>5m</v>
          </cell>
          <cell r="C1736" t="str">
            <v>Reflexive</v>
          </cell>
          <cell r="D1736" t="str">
            <v>Mute, Resonant</v>
          </cell>
          <cell r="E1736" t="str">
            <v>One Scene</v>
          </cell>
          <cell r="H1736" t="str">
            <v>Sozen, the Cataphract of Keys</v>
          </cell>
          <cell r="I1736" t="str">
            <v>None</v>
          </cell>
          <cell r="J1736">
            <v>1</v>
          </cell>
        </row>
        <row r="1737">
          <cell r="A1737" t="str">
            <v>Infernal omen Shroud</v>
          </cell>
          <cell r="B1737" t="str">
            <v>1m, 1wp</v>
          </cell>
          <cell r="C1737" t="str">
            <v>Reflexive</v>
          </cell>
          <cell r="D1737" t="str">
            <v>Resonant</v>
          </cell>
          <cell r="E1737" t="str">
            <v>Instant</v>
          </cell>
          <cell r="H1737" t="str">
            <v>Sozen, the Cataphract of Keys</v>
          </cell>
          <cell r="I1737" t="str">
            <v>None</v>
          </cell>
          <cell r="J1737">
            <v>1</v>
          </cell>
          <cell r="L1737" t="str">
            <v>Hell-Soul Masquerade</v>
          </cell>
        </row>
        <row r="1738">
          <cell r="A1738" t="str">
            <v>The Orphan's Key</v>
          </cell>
          <cell r="B1738" t="str">
            <v>-</v>
          </cell>
          <cell r="C1738" t="str">
            <v>Permaennt</v>
          </cell>
          <cell r="D1738" t="str">
            <v>None</v>
          </cell>
          <cell r="E1738" t="str">
            <v>Permanent</v>
          </cell>
          <cell r="H1738" t="str">
            <v>Sozen, the Cataphract of Keys</v>
          </cell>
          <cell r="I1738" t="str">
            <v>None</v>
          </cell>
          <cell r="J1738">
            <v>1</v>
          </cell>
          <cell r="L1738" t="str">
            <v>Any one Charm this Evocation Supplements</v>
          </cell>
        </row>
        <row r="1739">
          <cell r="A1739" t="str">
            <v>Evanescent Omen Body</v>
          </cell>
          <cell r="B1739" t="str">
            <v>3m, 1i</v>
          </cell>
          <cell r="C1739" t="str">
            <v>Reflexive</v>
          </cell>
          <cell r="D1739" t="str">
            <v>Perilous, Resonant</v>
          </cell>
          <cell r="E1739" t="str">
            <v>Instant</v>
          </cell>
          <cell r="H1739" t="str">
            <v>Sozen, the Cataphract of Keys</v>
          </cell>
          <cell r="I1739" t="str">
            <v>None</v>
          </cell>
          <cell r="J1739">
            <v>2</v>
          </cell>
          <cell r="L1739" t="str">
            <v>Infernal Omen Shroud</v>
          </cell>
        </row>
        <row r="1740">
          <cell r="A1740" t="str">
            <v>Ever-Thieving Demon Hand</v>
          </cell>
          <cell r="B1740" t="str">
            <v>4m</v>
          </cell>
          <cell r="C1740" t="str">
            <v>Supplemental</v>
          </cell>
          <cell r="D1740" t="str">
            <v>Dissonant, Resonant, Withering-only</v>
          </cell>
          <cell r="E1740" t="str">
            <v>Instant</v>
          </cell>
          <cell r="H1740" t="str">
            <v>Sozen, the Cataphract of Keys</v>
          </cell>
          <cell r="I1740" t="str">
            <v>None</v>
          </cell>
          <cell r="J1740">
            <v>2</v>
          </cell>
          <cell r="L1740" t="str">
            <v>Evanescent Omen Body</v>
          </cell>
        </row>
        <row r="1741">
          <cell r="A1741" t="str">
            <v>Empty Scabbard Portent</v>
          </cell>
          <cell r="B1741" t="str">
            <v>-(4m)</v>
          </cell>
          <cell r="C1741" t="str">
            <v>Permanent</v>
          </cell>
          <cell r="D1741" t="str">
            <v>Decisive-only</v>
          </cell>
          <cell r="E1741" t="str">
            <v>Permanent</v>
          </cell>
          <cell r="H1741" t="str">
            <v>Sozen, the Cataphract of Keys</v>
          </cell>
          <cell r="I1741" t="str">
            <v>None</v>
          </cell>
          <cell r="J1741">
            <v>3</v>
          </cell>
          <cell r="L1741" t="str">
            <v>Ever-Thieving Demon Hand</v>
          </cell>
        </row>
        <row r="1742">
          <cell r="A1742" t="str">
            <v>Heart-Seizing Legerdemain</v>
          </cell>
          <cell r="B1742" t="str">
            <v>5m, 3a, 1wp</v>
          </cell>
          <cell r="C1742" t="str">
            <v>Simple</v>
          </cell>
          <cell r="D1742" t="str">
            <v>Decisive-only</v>
          </cell>
          <cell r="E1742" t="str">
            <v>Indefinite</v>
          </cell>
          <cell r="H1742" t="str">
            <v>Sozen, the Cataphract of Keys</v>
          </cell>
          <cell r="I1742" t="str">
            <v>None</v>
          </cell>
          <cell r="J1742">
            <v>4</v>
          </cell>
          <cell r="L1742" t="str">
            <v>Hell-Soul Masquerade (X2), Empty-Scabbard Portent, The Orphan's Key</v>
          </cell>
        </row>
        <row r="1743">
          <cell r="A1743" t="str">
            <v>Wind-Rider Swiftness</v>
          </cell>
          <cell r="B1743" t="str">
            <v>5m</v>
          </cell>
          <cell r="C1743" t="str">
            <v>Reflexive</v>
          </cell>
          <cell r="D1743" t="str">
            <v>Uniform</v>
          </cell>
          <cell r="E1743" t="str">
            <v>Instant</v>
          </cell>
          <cell r="H1743" t="str">
            <v>Mela's Coil</v>
          </cell>
          <cell r="I1743" t="str">
            <v>None</v>
          </cell>
          <cell r="J1743">
            <v>1</v>
          </cell>
        </row>
        <row r="1744">
          <cell r="A1744" t="str">
            <v>CLutching Dragon Coil</v>
          </cell>
          <cell r="B1744" t="str">
            <v>2m, 1i</v>
          </cell>
          <cell r="C1744" t="str">
            <v>SUplpemental</v>
          </cell>
          <cell r="D1744" t="str">
            <v>None</v>
          </cell>
          <cell r="E1744" t="str">
            <v>Instant</v>
          </cell>
          <cell r="H1744" t="str">
            <v>Mela's Coil</v>
          </cell>
          <cell r="I1744" t="str">
            <v>None</v>
          </cell>
          <cell r="J1744">
            <v>2</v>
          </cell>
          <cell r="L1744" t="str">
            <v>Wind-Rider Swiftness</v>
          </cell>
        </row>
        <row r="1745">
          <cell r="A1745" t="str">
            <v>Spread the Dragon's Wings</v>
          </cell>
          <cell r="B1745" t="str">
            <v>10m, 1wp</v>
          </cell>
          <cell r="C1745" t="str">
            <v>Reflexive</v>
          </cell>
          <cell r="D1745" t="str">
            <v>Dissonant, Resonance</v>
          </cell>
          <cell r="E1745" t="str">
            <v>One Scene</v>
          </cell>
          <cell r="H1745" t="str">
            <v>Mela's Coil</v>
          </cell>
          <cell r="I1745" t="str">
            <v>None</v>
          </cell>
          <cell r="J1745">
            <v>3</v>
          </cell>
          <cell r="L1745" t="str">
            <v>Clutching Dragon COil</v>
          </cell>
        </row>
        <row r="1746">
          <cell r="A1746" t="str">
            <v>Prince-Of-Clouds Descent</v>
          </cell>
          <cell r="B1746" t="str">
            <v>3m, 31, 1wp</v>
          </cell>
          <cell r="C1746" t="str">
            <v>Simple</v>
          </cell>
          <cell r="D1746" t="str">
            <v>Decisive-only</v>
          </cell>
          <cell r="E1746" t="str">
            <v>Instant</v>
          </cell>
          <cell r="H1746" t="str">
            <v>Mela's Coil</v>
          </cell>
          <cell r="I1746" t="str">
            <v>None</v>
          </cell>
          <cell r="J1746">
            <v>3</v>
          </cell>
          <cell r="L1746" t="str">
            <v>Spread the Dragon's Wings</v>
          </cell>
        </row>
        <row r="1747">
          <cell r="A1747" t="str">
            <v>Thousand Storms Exhalation</v>
          </cell>
          <cell r="B1747" t="str">
            <v>10m, 3i, 1wp</v>
          </cell>
          <cell r="C1747" t="str">
            <v>Simple</v>
          </cell>
          <cell r="D1747" t="str">
            <v>Resonant, Withering-only</v>
          </cell>
          <cell r="E1747" t="str">
            <v>Instant</v>
          </cell>
          <cell r="H1747" t="str">
            <v>Mela's Coil</v>
          </cell>
          <cell r="I1747" t="str">
            <v>None</v>
          </cell>
          <cell r="J1747">
            <v>3</v>
          </cell>
          <cell r="L1747" t="str">
            <v>Clutching Dragon COil</v>
          </cell>
        </row>
        <row r="1748">
          <cell r="A1748" t="str">
            <v>One with the Blue Jade Dragon</v>
          </cell>
          <cell r="B1748" t="str">
            <v>10m, 1wp, 3a</v>
          </cell>
          <cell r="C1748" t="str">
            <v>Simple</v>
          </cell>
          <cell r="D1748" t="str">
            <v>Resonant</v>
          </cell>
          <cell r="E1748" t="str">
            <v>One Scene</v>
          </cell>
          <cell r="H1748" t="str">
            <v>Mela's Coil</v>
          </cell>
          <cell r="I1748" t="str">
            <v>None</v>
          </cell>
          <cell r="J1748">
            <v>5</v>
          </cell>
          <cell r="L1748" t="str">
            <v>Prince-of-Clouds Descent, Thousand Storms Exhalation (x2)</v>
          </cell>
        </row>
        <row r="1749">
          <cell r="A1749" t="str">
            <v>Evolving Quicksilver Body</v>
          </cell>
          <cell r="B1749" t="str">
            <v>2m or 2i</v>
          </cell>
          <cell r="C1749" t="str">
            <v>Supplemental</v>
          </cell>
          <cell r="D1749" t="str">
            <v>None</v>
          </cell>
          <cell r="E1749" t="str">
            <v>Instant</v>
          </cell>
          <cell r="H1749" t="str">
            <v>Unison</v>
          </cell>
          <cell r="I1749" t="str">
            <v>None</v>
          </cell>
          <cell r="J1749">
            <v>1</v>
          </cell>
        </row>
        <row r="1750">
          <cell r="A1750" t="str">
            <v>Fluid Battle Evolution</v>
          </cell>
          <cell r="B1750" t="str">
            <v>-</v>
          </cell>
          <cell r="C1750" t="str">
            <v>Permanent</v>
          </cell>
          <cell r="D1750" t="str">
            <v>None</v>
          </cell>
          <cell r="E1750" t="str">
            <v>Permanent</v>
          </cell>
          <cell r="H1750" t="str">
            <v>Unison</v>
          </cell>
          <cell r="I1750" t="str">
            <v>None</v>
          </cell>
          <cell r="J1750">
            <v>1</v>
          </cell>
          <cell r="L1750" t="str">
            <v>Evolving QUicksilver Body, Increasing Strength Exercise</v>
          </cell>
        </row>
        <row r="1751">
          <cell r="A1751" t="str">
            <v>Shared Passion Outburst</v>
          </cell>
          <cell r="B1751" t="str">
            <v>1m, 1wp</v>
          </cell>
          <cell r="C1751" t="str">
            <v>Reflexive</v>
          </cell>
          <cell r="D1751" t="str">
            <v>DIssonant, Withering-only</v>
          </cell>
          <cell r="E1751" t="str">
            <v>One Scene</v>
          </cell>
          <cell r="H1751" t="str">
            <v>Unison</v>
          </cell>
          <cell r="I1751" t="str">
            <v>None</v>
          </cell>
          <cell r="J1751">
            <v>2</v>
          </cell>
          <cell r="L1751" t="str">
            <v>Evolving QUicksilver Body</v>
          </cell>
        </row>
        <row r="1752">
          <cell r="A1752" t="str">
            <v>Indestructible Body Adaptation</v>
          </cell>
          <cell r="B1752" t="str">
            <v>-(7m or 5m)</v>
          </cell>
          <cell r="C1752" t="str">
            <v>Permanent</v>
          </cell>
          <cell r="D1752" t="str">
            <v>None</v>
          </cell>
          <cell r="E1752" t="str">
            <v>Permanent</v>
          </cell>
          <cell r="H1752" t="str">
            <v>Unison</v>
          </cell>
          <cell r="I1752" t="str">
            <v>None</v>
          </cell>
          <cell r="J1752">
            <v>2</v>
          </cell>
          <cell r="L1752" t="str">
            <v>Adamant Skin Technique, Shared Passion Outburst</v>
          </cell>
        </row>
        <row r="1753">
          <cell r="A1753" t="str">
            <v>Unleashed Fury Mantle</v>
          </cell>
          <cell r="B1753" t="str">
            <v>-</v>
          </cell>
          <cell r="C1753" t="str">
            <v>Permanent</v>
          </cell>
          <cell r="D1753" t="str">
            <v>None</v>
          </cell>
          <cell r="E1753" t="str">
            <v>Permanent</v>
          </cell>
          <cell r="H1753" t="str">
            <v>Unison</v>
          </cell>
          <cell r="I1753" t="str">
            <v>None</v>
          </cell>
          <cell r="J1753">
            <v>2</v>
          </cell>
          <cell r="L1753" t="str">
            <v>Shared Passion Outburst, Steel Heart Stance</v>
          </cell>
        </row>
        <row r="1754">
          <cell r="A1754" t="str">
            <v>Soul Fusion Arsenal</v>
          </cell>
          <cell r="B1754" t="str">
            <v>-</v>
          </cell>
          <cell r="C1754" t="str">
            <v>Permanent</v>
          </cell>
          <cell r="D1754" t="str">
            <v>Dissonant, Resonant</v>
          </cell>
          <cell r="E1754" t="str">
            <v>Permanent</v>
          </cell>
          <cell r="H1754" t="str">
            <v>Unison</v>
          </cell>
          <cell r="I1754" t="str">
            <v>None</v>
          </cell>
          <cell r="J1754">
            <v>3</v>
          </cell>
          <cell r="L1754" t="str">
            <v>Shared Passion Outburst</v>
          </cell>
        </row>
        <row r="1755">
          <cell r="A1755" t="str">
            <v>Mudra of Perfected Skill</v>
          </cell>
          <cell r="B1755" t="str">
            <v>4m</v>
          </cell>
          <cell r="C1755" t="str">
            <v>Supplemental</v>
          </cell>
          <cell r="D1755" t="str">
            <v>Resonant, Dissonant</v>
          </cell>
          <cell r="E1755" t="str">
            <v>Instant</v>
          </cell>
          <cell r="H1755" t="str">
            <v>Arete</v>
          </cell>
          <cell r="I1755" t="str">
            <v>None</v>
          </cell>
          <cell r="J1755">
            <v>1</v>
          </cell>
        </row>
        <row r="1756">
          <cell r="A1756" t="str">
            <v>Composure in Excellence</v>
          </cell>
          <cell r="B1756" t="str">
            <v>-</v>
          </cell>
          <cell r="C1756" t="str">
            <v>Reflexive</v>
          </cell>
          <cell r="D1756" t="str">
            <v>Dissonant, resonant</v>
          </cell>
          <cell r="E1756" t="str">
            <v>Instant</v>
          </cell>
          <cell r="H1756" t="str">
            <v>Arete</v>
          </cell>
          <cell r="I1756" t="str">
            <v>None</v>
          </cell>
          <cell r="J1756">
            <v>2</v>
          </cell>
          <cell r="L1756" t="str">
            <v>Mudra of Perfected SKill</v>
          </cell>
        </row>
        <row r="1757">
          <cell r="A1757" t="str">
            <v>Grasp the Self</v>
          </cell>
          <cell r="B1757" t="str">
            <v>-</v>
          </cell>
          <cell r="C1757" t="str">
            <v>Refelxive</v>
          </cell>
          <cell r="D1757" t="str">
            <v>Resonant</v>
          </cell>
          <cell r="E1757" t="str">
            <v>Instant</v>
          </cell>
          <cell r="H1757" t="str">
            <v>Arete</v>
          </cell>
          <cell r="I1757" t="str">
            <v>None</v>
          </cell>
          <cell r="J1757">
            <v>3</v>
          </cell>
          <cell r="L1757" t="str">
            <v>Composure in Excellence</v>
          </cell>
        </row>
        <row r="1758">
          <cell r="A1758" t="str">
            <v>Fire-Spurning Jade Caparison</v>
          </cell>
          <cell r="B1758" t="str">
            <v>2m</v>
          </cell>
          <cell r="C1758" t="str">
            <v>Reflexive</v>
          </cell>
          <cell r="D1758" t="str">
            <v>Dissonant, uniform, Resonant</v>
          </cell>
          <cell r="E1758" t="str">
            <v>Until Next Turn</v>
          </cell>
          <cell r="H1758" t="str">
            <v>Carnelian Phoenix</v>
          </cell>
          <cell r="I1758" t="str">
            <v>None</v>
          </cell>
          <cell r="J1758">
            <v>1</v>
          </cell>
        </row>
        <row r="1759">
          <cell r="A1759" t="str">
            <v>Bonfire Hoof Assault</v>
          </cell>
          <cell r="B1759" t="str">
            <v>3m, 1wp</v>
          </cell>
          <cell r="C1759" t="str">
            <v>Simple</v>
          </cell>
          <cell r="D1759" t="str">
            <v>Dual, Resonant</v>
          </cell>
          <cell r="E1759" t="str">
            <v>One Scene</v>
          </cell>
          <cell r="H1759" t="str">
            <v>Carnelian Phoenix</v>
          </cell>
          <cell r="I1759" t="str">
            <v>None</v>
          </cell>
          <cell r="J1759">
            <v>2</v>
          </cell>
          <cell r="L1759" t="str">
            <v>Fire-Spurring Jade Caparison</v>
          </cell>
        </row>
        <row r="1760">
          <cell r="A1760" t="str">
            <v>Carnelian Phoenix Strews Feathers in her Wake</v>
          </cell>
          <cell r="B1760" t="str">
            <v>3m, 3i</v>
          </cell>
          <cell r="C1760" t="str">
            <v>Supplemental</v>
          </cell>
          <cell r="D1760" t="str">
            <v>Perilous, Resonant</v>
          </cell>
          <cell r="E1760" t="str">
            <v>Until Next Turn</v>
          </cell>
          <cell r="H1760" t="str">
            <v>Carnelian Phoenix</v>
          </cell>
          <cell r="I1760" t="str">
            <v>None</v>
          </cell>
          <cell r="J1760">
            <v>3</v>
          </cell>
          <cell r="L1760" t="str">
            <v>Bonfire Hoof Assault</v>
          </cell>
        </row>
        <row r="1761">
          <cell r="A1761" t="str">
            <v>Flashing Bloodhound Pursuit</v>
          </cell>
          <cell r="B1761" t="str">
            <v>-</v>
          </cell>
          <cell r="C1761" t="str">
            <v>Permanent</v>
          </cell>
          <cell r="D1761" t="str">
            <v>None</v>
          </cell>
          <cell r="E1761" t="str">
            <v>Permanent</v>
          </cell>
          <cell r="H1761" t="str">
            <v>The Golden Hounds</v>
          </cell>
          <cell r="I1761" t="str">
            <v>None</v>
          </cell>
          <cell r="J1761">
            <v>1</v>
          </cell>
        </row>
        <row r="1762">
          <cell r="A1762" t="str">
            <v>Out of Death's Jaws</v>
          </cell>
          <cell r="B1762" t="str">
            <v>2m, 1i</v>
          </cell>
          <cell r="C1762" t="str">
            <v>Reflexive</v>
          </cell>
          <cell r="D1762" t="str">
            <v>Perilous</v>
          </cell>
          <cell r="E1762" t="str">
            <v>Until Next Turn</v>
          </cell>
          <cell r="H1762" t="str">
            <v>The Golden Hounds</v>
          </cell>
          <cell r="I1762" t="str">
            <v>None</v>
          </cell>
          <cell r="J1762">
            <v>2</v>
          </cell>
          <cell r="L1762" t="str">
            <v>Flashing Bloodhound Pursuit</v>
          </cell>
        </row>
        <row r="1763">
          <cell r="A1763" t="str">
            <v>Outrace Steel and Stone</v>
          </cell>
          <cell r="B1763" t="str">
            <v>6m, 1wp</v>
          </cell>
          <cell r="C1763" t="str">
            <v>Reflexive</v>
          </cell>
          <cell r="D1763" t="str">
            <v>Resonant</v>
          </cell>
          <cell r="E1763" t="str">
            <v>One Scene</v>
          </cell>
          <cell r="H1763" t="str">
            <v>The Golden Hounds</v>
          </cell>
          <cell r="I1763" t="str">
            <v>None</v>
          </cell>
          <cell r="J1763">
            <v>3</v>
          </cell>
          <cell r="L1763" t="str">
            <v>Out of Death's Jaws</v>
          </cell>
        </row>
        <row r="1764">
          <cell r="A1764" t="str">
            <v>Violent Lightning Practice</v>
          </cell>
          <cell r="B1764" t="str">
            <v>-</v>
          </cell>
          <cell r="C1764" t="str">
            <v>Permanent</v>
          </cell>
          <cell r="D1764" t="str">
            <v>None</v>
          </cell>
          <cell r="E1764" t="str">
            <v>Permanent</v>
          </cell>
          <cell r="H1764" t="str">
            <v>The Golden Hounds</v>
          </cell>
          <cell r="I1764" t="str">
            <v>None</v>
          </cell>
          <cell r="J1764">
            <v>3</v>
          </cell>
          <cell r="L1764" t="str">
            <v>Outrace Steel and Stone, and either Charm this Evocation enhances</v>
          </cell>
        </row>
        <row r="1765">
          <cell r="A1765" t="str">
            <v>Shadow-Soul Enthrallment Rhythm</v>
          </cell>
          <cell r="B1765" t="str">
            <v>4m</v>
          </cell>
          <cell r="C1765" t="str">
            <v>Simple</v>
          </cell>
          <cell r="D1765" t="str">
            <v>None</v>
          </cell>
          <cell r="E1765" t="str">
            <v>One Song</v>
          </cell>
          <cell r="H1765" t="str">
            <v>Second-Shadow Drum</v>
          </cell>
          <cell r="I1765" t="str">
            <v>None</v>
          </cell>
          <cell r="J1765">
            <v>2</v>
          </cell>
        </row>
        <row r="1766">
          <cell r="A1766" t="str">
            <v>Sleepwalker Drummer Method</v>
          </cell>
          <cell r="B1766" t="str">
            <v>6m, 1wp</v>
          </cell>
          <cell r="C1766" t="str">
            <v>Simple</v>
          </cell>
          <cell r="D1766" t="str">
            <v>None</v>
          </cell>
          <cell r="E1766" t="str">
            <v>One Night</v>
          </cell>
          <cell r="H1766" t="str">
            <v>Second-Shadow Drum</v>
          </cell>
          <cell r="I1766" t="str">
            <v>None</v>
          </cell>
          <cell r="J1766">
            <v>3</v>
          </cell>
          <cell r="L1766" t="str">
            <v>Shadow-Soul Enthrallment Rhythm</v>
          </cell>
        </row>
        <row r="1767">
          <cell r="A1767" t="str">
            <v>Soul-Disgorging Syncopation</v>
          </cell>
          <cell r="B1767" t="str">
            <v>10m, 1wp</v>
          </cell>
          <cell r="C1767" t="str">
            <v>Simple</v>
          </cell>
          <cell r="D1767" t="str">
            <v>None</v>
          </cell>
          <cell r="E1767" t="str">
            <v>One Night</v>
          </cell>
          <cell r="H1767" t="str">
            <v>Second-Shadow Drum</v>
          </cell>
          <cell r="I1767" t="str">
            <v>None</v>
          </cell>
          <cell r="J1767">
            <v>4</v>
          </cell>
          <cell r="L1767" t="str">
            <v>Sleepwalker Drumming Method</v>
          </cell>
        </row>
        <row r="1768">
          <cell r="A1768" t="str">
            <v>Raptor Takes Flight</v>
          </cell>
          <cell r="B1768" t="str">
            <v>10m, 1wp</v>
          </cell>
          <cell r="C1768" t="str">
            <v>Simple</v>
          </cell>
          <cell r="D1768" t="str">
            <v>Dissonant</v>
          </cell>
          <cell r="E1768" t="str">
            <v>Indefinite</v>
          </cell>
          <cell r="H1768" t="str">
            <v>Wings of the Raptor</v>
          </cell>
          <cell r="I1768" t="str">
            <v>None</v>
          </cell>
          <cell r="J1768">
            <v>1</v>
          </cell>
        </row>
        <row r="1769">
          <cell r="A1769" t="str">
            <v>Wind-and Falcon Unity</v>
          </cell>
          <cell r="B1769" t="str">
            <v>-</v>
          </cell>
          <cell r="C1769" t="str">
            <v>Permanent</v>
          </cell>
          <cell r="D1769" t="str">
            <v>None</v>
          </cell>
          <cell r="E1769" t="str">
            <v>Permanent</v>
          </cell>
          <cell r="H1769" t="str">
            <v>Wings of the Raptor</v>
          </cell>
          <cell r="I1769" t="str">
            <v>None</v>
          </cell>
          <cell r="J1769">
            <v>2</v>
          </cell>
          <cell r="L1769" t="str">
            <v>Raptor Takes FLight</v>
          </cell>
        </row>
        <row r="1770">
          <cell r="A1770" t="str">
            <v>God--Eagle Rules the Sky</v>
          </cell>
          <cell r="B1770" t="str">
            <v>-</v>
          </cell>
          <cell r="C1770" t="str">
            <v>Permanent</v>
          </cell>
          <cell r="D1770" t="str">
            <v>Resonant</v>
          </cell>
          <cell r="E1770" t="str">
            <v>Permanent</v>
          </cell>
          <cell r="H1770" t="str">
            <v>Wings of the Raptor</v>
          </cell>
          <cell r="I1770" t="str">
            <v>None</v>
          </cell>
          <cell r="J1770">
            <v>3</v>
          </cell>
          <cell r="L1770" t="str">
            <v>Wind-and-Falcon Unity</v>
          </cell>
        </row>
        <row r="1771">
          <cell r="A1771" t="str">
            <v>Stormblast Barrage</v>
          </cell>
          <cell r="B1771" t="str">
            <v>10m, 1wp</v>
          </cell>
          <cell r="C1771" t="str">
            <v>Simple</v>
          </cell>
          <cell r="D1771" t="str">
            <v>Dual</v>
          </cell>
          <cell r="E1771" t="str">
            <v>Instant</v>
          </cell>
          <cell r="H1771" t="str">
            <v>Lightning Ballista</v>
          </cell>
          <cell r="I1771" t="str">
            <v>None</v>
          </cell>
          <cell r="J1771">
            <v>1</v>
          </cell>
        </row>
        <row r="1772">
          <cell r="A1772" t="str">
            <v>Collapsing Point of Destruction</v>
          </cell>
          <cell r="B1772" t="str">
            <v>15m, 1wp</v>
          </cell>
          <cell r="C1772" t="str">
            <v>Simple</v>
          </cell>
          <cell r="D1772" t="str">
            <v>Decisive-only</v>
          </cell>
          <cell r="E1772" t="str">
            <v>Instant</v>
          </cell>
          <cell r="H1772" t="str">
            <v>Implosion Bow</v>
          </cell>
          <cell r="I1772" t="str">
            <v>None</v>
          </cell>
          <cell r="J1772">
            <v>1</v>
          </cell>
        </row>
        <row r="1773">
          <cell r="A1773" t="str">
            <v>Unstoppable Sunfire Prominence</v>
          </cell>
          <cell r="B1773" t="str">
            <v>3m, 1wp, 1i per +1 Hardness</v>
          </cell>
          <cell r="C1773" t="str">
            <v>Reflexive</v>
          </cell>
          <cell r="D1773" t="str">
            <v>Decisive-only, Perilous, Resonant</v>
          </cell>
          <cell r="E1773" t="str">
            <v>Until Next Turn</v>
          </cell>
          <cell r="H1773" t="str">
            <v>All-Conquering Colossus</v>
          </cell>
          <cell r="I1773" t="str">
            <v>None</v>
          </cell>
          <cell r="J1773">
            <v>2</v>
          </cell>
        </row>
        <row r="1774">
          <cell r="A1774" t="str">
            <v>Heaven-Forged Titan Attack</v>
          </cell>
          <cell r="B1774" t="str">
            <v>7m, 1wp</v>
          </cell>
          <cell r="C1774" t="str">
            <v>Simple</v>
          </cell>
          <cell r="D1774" t="str">
            <v>Decisive-only, Resonant</v>
          </cell>
          <cell r="E1774" t="str">
            <v>Instant</v>
          </cell>
          <cell r="H1774" t="str">
            <v>All-Conquering Colossus</v>
          </cell>
          <cell r="I1774" t="str">
            <v>None</v>
          </cell>
          <cell r="J1774">
            <v>2</v>
          </cell>
          <cell r="L1774" t="str">
            <v>Unstoppable Sunfire Prominence</v>
          </cell>
        </row>
        <row r="1775">
          <cell r="A1775" t="str">
            <v>Star-Seizing Grasp</v>
          </cell>
          <cell r="B1775" t="str">
            <v>2m, 1wp</v>
          </cell>
          <cell r="C1775" t="str">
            <v>Supplemental</v>
          </cell>
          <cell r="D1775" t="str">
            <v>None</v>
          </cell>
          <cell r="E1775" t="str">
            <v>Until Grapple Ends</v>
          </cell>
          <cell r="H1775" t="str">
            <v>All-Conquering Colossus</v>
          </cell>
          <cell r="I1775" t="str">
            <v>None</v>
          </cell>
          <cell r="J1775">
            <v>2</v>
          </cell>
          <cell r="L1775" t="str">
            <v>Heaven-Forged Titan Attack</v>
          </cell>
        </row>
        <row r="1776">
          <cell r="A1776" t="str">
            <v>Behemoth-Breaker Might</v>
          </cell>
          <cell r="B1776" t="str">
            <v>-</v>
          </cell>
          <cell r="C1776" t="str">
            <v>Permanent</v>
          </cell>
          <cell r="D1776" t="str">
            <v>None</v>
          </cell>
          <cell r="E1776" t="str">
            <v>Permanent</v>
          </cell>
          <cell r="H1776" t="str">
            <v>All-Conquering Colossus</v>
          </cell>
          <cell r="I1776" t="str">
            <v>None</v>
          </cell>
          <cell r="J1776">
            <v>3</v>
          </cell>
          <cell r="L1776" t="str">
            <v>Dragon-Coil Technique, Star-Seizing Grasp</v>
          </cell>
        </row>
        <row r="1777">
          <cell r="A1777" t="str">
            <v>Crushing Hand of the Colossus</v>
          </cell>
          <cell r="B1777" t="str">
            <v>-(2i)</v>
          </cell>
          <cell r="C1777" t="str">
            <v>Permanent</v>
          </cell>
          <cell r="D1777" t="str">
            <v>Decisive-only</v>
          </cell>
          <cell r="E1777" t="str">
            <v>Permanent</v>
          </cell>
          <cell r="H1777" t="str">
            <v>All-Conquering Colossus</v>
          </cell>
          <cell r="I1777" t="str">
            <v>None</v>
          </cell>
          <cell r="J1777">
            <v>3</v>
          </cell>
          <cell r="L1777" t="str">
            <v>Behemoth-Breaker Might</v>
          </cell>
        </row>
        <row r="1778">
          <cell r="A1778" t="str">
            <v>Indomitable Eternal Nova</v>
          </cell>
          <cell r="B1778" t="str">
            <v>6m, 1wp</v>
          </cell>
          <cell r="C1778" t="str">
            <v>Reflexive</v>
          </cell>
          <cell r="D1778" t="str">
            <v>Clash, Decisive-only</v>
          </cell>
          <cell r="E1778" t="str">
            <v>Instant</v>
          </cell>
          <cell r="H1778" t="str">
            <v>All-Conquering Colossus</v>
          </cell>
          <cell r="I1778" t="str">
            <v>None</v>
          </cell>
          <cell r="J1778">
            <v>3</v>
          </cell>
          <cell r="L1778" t="str">
            <v>Unstoppable Sunfire Prominence</v>
          </cell>
        </row>
        <row r="1779">
          <cell r="A1779" t="str">
            <v>God-Metal Fortress Stance</v>
          </cell>
          <cell r="B1779" t="str">
            <v>5m, 3a</v>
          </cell>
          <cell r="C1779" t="str">
            <v>Simple</v>
          </cell>
          <cell r="D1779" t="str">
            <v>Perilous, Resonant, Uniform</v>
          </cell>
          <cell r="E1779" t="str">
            <v>Until Next Turn</v>
          </cell>
          <cell r="H1779" t="str">
            <v>All-Conquering Colossus</v>
          </cell>
          <cell r="I1779" t="str">
            <v>None</v>
          </cell>
          <cell r="J1779">
            <v>3</v>
          </cell>
          <cell r="L1779" t="str">
            <v>Indomitable Eternal Nova</v>
          </cell>
        </row>
        <row r="1780">
          <cell r="A1780" t="str">
            <v>Embrace of the Celestial Aegis</v>
          </cell>
          <cell r="B1780" t="str">
            <v>5m, 5i, 1wp</v>
          </cell>
          <cell r="C1780" t="str">
            <v>Simple</v>
          </cell>
          <cell r="D1780" t="str">
            <v>Perilous</v>
          </cell>
          <cell r="E1780" t="str">
            <v>One Scene</v>
          </cell>
          <cell r="H1780" t="str">
            <v>All-Conquering Colossus</v>
          </cell>
          <cell r="I1780" t="str">
            <v>None</v>
          </cell>
          <cell r="J1780">
            <v>4</v>
          </cell>
          <cell r="L1780" t="str">
            <v>Crushing Hand of the Colossus, God-Metal Fortress Stance</v>
          </cell>
        </row>
        <row r="1781">
          <cell r="A1781" t="str">
            <v>Starfall Eschaton Hammer</v>
          </cell>
          <cell r="B1781" t="str">
            <v>10m, 1wp</v>
          </cell>
          <cell r="C1781" t="str">
            <v>Simple</v>
          </cell>
          <cell r="D1781" t="str">
            <v>Decisive-only</v>
          </cell>
          <cell r="E1781" t="str">
            <v>Instant</v>
          </cell>
          <cell r="H1781" t="str">
            <v>All-Conquering Colossus</v>
          </cell>
          <cell r="I1781" t="str">
            <v>None</v>
          </cell>
          <cell r="J1781">
            <v>5</v>
          </cell>
          <cell r="L1781" t="str">
            <v>Crushing Meteor Impact</v>
          </cell>
        </row>
        <row r="1782">
          <cell r="A1782" t="str">
            <v>God's Eye Reticule</v>
          </cell>
          <cell r="B1782" t="str">
            <v>4m</v>
          </cell>
          <cell r="C1782" t="str">
            <v>Reflexive</v>
          </cell>
          <cell r="D1782" t="str">
            <v>Dual, Resonant</v>
          </cell>
          <cell r="E1782" t="str">
            <v>Until next Turn</v>
          </cell>
          <cell r="H1782" t="str">
            <v>Cathedral of Sublime Annihilation</v>
          </cell>
          <cell r="I1782" t="str">
            <v>None</v>
          </cell>
          <cell r="J1782">
            <v>2</v>
          </cell>
        </row>
        <row r="1783">
          <cell r="A1783" t="str">
            <v>Blazing Eyes of Annihilation</v>
          </cell>
          <cell r="B1783" t="str">
            <v>4m</v>
          </cell>
          <cell r="C1783" t="str">
            <v>Reflexive</v>
          </cell>
          <cell r="D1783" t="str">
            <v>Dissonant, Dual, Resonant</v>
          </cell>
          <cell r="E1783" t="str">
            <v>Intant</v>
          </cell>
          <cell r="H1783" t="str">
            <v>Cathedral of Sublime Annihilation</v>
          </cell>
          <cell r="I1783" t="str">
            <v>None</v>
          </cell>
          <cell r="J1783">
            <v>2</v>
          </cell>
          <cell r="L1783" t="str">
            <v>God's Eye Reticule</v>
          </cell>
        </row>
        <row r="1784">
          <cell r="A1784" t="str">
            <v>Far-Reaching Sunfire Fury</v>
          </cell>
          <cell r="B1784" t="str">
            <v>-(+1wp)</v>
          </cell>
          <cell r="C1784" t="str">
            <v>Permanent</v>
          </cell>
          <cell r="D1784" t="str">
            <v>None</v>
          </cell>
          <cell r="E1784" t="str">
            <v>Permanent</v>
          </cell>
          <cell r="H1784" t="str">
            <v>Cathedral of Sublime Annihilation</v>
          </cell>
          <cell r="I1784" t="str">
            <v>None</v>
          </cell>
          <cell r="J1784">
            <v>2</v>
          </cell>
          <cell r="L1784" t="str">
            <v>God's Eye Reticule</v>
          </cell>
        </row>
        <row r="1785">
          <cell r="A1785" t="str">
            <v>Iron Shrikes Reticule</v>
          </cell>
          <cell r="B1785" t="str">
            <v>3m, 3i</v>
          </cell>
          <cell r="C1785" t="str">
            <v>Simple</v>
          </cell>
          <cell r="D1785" t="str">
            <v>Decisive-only, Dissonant</v>
          </cell>
          <cell r="E1785" t="str">
            <v>Instant</v>
          </cell>
          <cell r="H1785" t="str">
            <v>Cathedral of Sublime Annihilation</v>
          </cell>
          <cell r="I1785" t="str">
            <v>None</v>
          </cell>
          <cell r="J1785">
            <v>2</v>
          </cell>
          <cell r="L1785" t="str">
            <v>An Two Evocations</v>
          </cell>
        </row>
        <row r="1786">
          <cell r="A1786" t="str">
            <v>Guarding Star Interception</v>
          </cell>
          <cell r="B1786" t="str">
            <v>-(2m, 2i)</v>
          </cell>
          <cell r="C1786" t="str">
            <v>Permanent</v>
          </cell>
          <cell r="D1786" t="str">
            <v>None</v>
          </cell>
          <cell r="E1786" t="str">
            <v>Permanent</v>
          </cell>
          <cell r="H1786" t="str">
            <v>Cathedral of Sublime Annihilation</v>
          </cell>
          <cell r="I1786" t="str">
            <v>None</v>
          </cell>
          <cell r="J1786">
            <v>3</v>
          </cell>
          <cell r="L1786" t="str">
            <v>Blazing Eyes of Annihilation, Searing Sunfire Interdiction</v>
          </cell>
        </row>
        <row r="1787">
          <cell r="A1787" t="str">
            <v>Lightning Ballista Fusillade</v>
          </cell>
          <cell r="B1787" t="str">
            <v>10m, 1wp</v>
          </cell>
          <cell r="C1787" t="str">
            <v>Simple</v>
          </cell>
          <cell r="D1787" t="str">
            <v>Dissonant, Dual Resonant</v>
          </cell>
          <cell r="E1787" t="str">
            <v>Instant</v>
          </cell>
          <cell r="H1787" t="str">
            <v>Cathedral of Sublime Annihilation</v>
          </cell>
          <cell r="I1787" t="str">
            <v>None</v>
          </cell>
          <cell r="J1787">
            <v>3</v>
          </cell>
          <cell r="L1787" t="str">
            <v>Any Three Evocations</v>
          </cell>
        </row>
        <row r="1788">
          <cell r="A1788" t="str">
            <v>All-Consuming Implosion Bow</v>
          </cell>
          <cell r="B1788" t="str">
            <v>5m, 5i, 1wp</v>
          </cell>
          <cell r="C1788" t="str">
            <v>Simple</v>
          </cell>
          <cell r="D1788" t="str">
            <v>Decisive-only, Resonant</v>
          </cell>
          <cell r="E1788" t="str">
            <v>Instant</v>
          </cell>
          <cell r="H1788" t="str">
            <v>Cathedral of Sublime Annihilation</v>
          </cell>
          <cell r="I1788" t="str">
            <v>None</v>
          </cell>
          <cell r="J1788">
            <v>4</v>
          </cell>
          <cell r="L1788" t="str">
            <v>Any Four Evocations</v>
          </cell>
        </row>
        <row r="1789">
          <cell r="A1789" t="str">
            <v>Reality-Stabilizing Cannonade</v>
          </cell>
          <cell r="B1789" t="str">
            <v>5m</v>
          </cell>
          <cell r="C1789" t="str">
            <v>Reflexive</v>
          </cell>
          <cell r="D1789" t="str">
            <v>Dissonant, Dual, Perilous</v>
          </cell>
          <cell r="E1789" t="str">
            <v>One Scene</v>
          </cell>
          <cell r="H1789" t="str">
            <v>Cathedral of Sublime Annihilation</v>
          </cell>
          <cell r="I1789" t="str">
            <v>None</v>
          </cell>
          <cell r="J1789">
            <v>4</v>
          </cell>
          <cell r="L1789" t="str">
            <v>All-COnsuming Implosion Bow</v>
          </cell>
        </row>
        <row r="1790">
          <cell r="A1790" t="str">
            <v>Godsigh of Noonday Triumph</v>
          </cell>
          <cell r="B1790" t="str">
            <v>15m, 3a, 1wp</v>
          </cell>
          <cell r="C1790" t="str">
            <v>Simple</v>
          </cell>
          <cell r="D1790" t="str">
            <v>Decisive-only, Dissonant, Resonant</v>
          </cell>
          <cell r="E1790" t="str">
            <v>Instant</v>
          </cell>
          <cell r="H1790" t="str">
            <v>Cathedral of Sublime Annihilation</v>
          </cell>
          <cell r="I1790" t="str">
            <v>None</v>
          </cell>
          <cell r="J1790">
            <v>5</v>
          </cell>
          <cell r="L1790" t="str">
            <v>Reality-Stabilizing Cannonade</v>
          </cell>
        </row>
        <row r="1791">
          <cell r="A1791" t="str">
            <v>Depth-Plumbing Descent</v>
          </cell>
          <cell r="B1791" t="str">
            <v>3m, 1i</v>
          </cell>
          <cell r="C1791" t="str">
            <v>Reflexive</v>
          </cell>
          <cell r="D1791" t="str">
            <v>Dissonant, Perilous</v>
          </cell>
          <cell r="E1791" t="str">
            <v>Instant</v>
          </cell>
          <cell r="H1791" t="str">
            <v>Crusading Spear of the Depths</v>
          </cell>
          <cell r="I1791" t="str">
            <v>None</v>
          </cell>
          <cell r="J1791">
            <v>2</v>
          </cell>
        </row>
        <row r="1792">
          <cell r="A1792" t="str">
            <v>Dark Depths Hunter</v>
          </cell>
          <cell r="B1792" t="str">
            <v>3m</v>
          </cell>
          <cell r="C1792" t="str">
            <v>Supplemental</v>
          </cell>
          <cell r="D1792" t="str">
            <v>Resonant</v>
          </cell>
          <cell r="E1792" t="str">
            <v>Instant</v>
          </cell>
          <cell r="H1792" t="str">
            <v>Crusading Spear of the Depths</v>
          </cell>
          <cell r="I1792" t="str">
            <v>None</v>
          </cell>
          <cell r="J1792">
            <v>2</v>
          </cell>
          <cell r="L1792" t="str">
            <v>Depth-PLumbing Descent</v>
          </cell>
        </row>
        <row r="1793">
          <cell r="A1793" t="str">
            <v>Deep-Sea Echo Sense</v>
          </cell>
          <cell r="B1793" t="str">
            <v>1m, 1wp</v>
          </cell>
          <cell r="C1793" t="str">
            <v>Reflexive</v>
          </cell>
          <cell r="D1793" t="str">
            <v>Dissonant, Resonance</v>
          </cell>
          <cell r="E1793" t="str">
            <v>One Scene</v>
          </cell>
          <cell r="H1793" t="str">
            <v>Crusading Spear of the Depths</v>
          </cell>
          <cell r="I1793" t="str">
            <v>None</v>
          </cell>
          <cell r="J1793">
            <v>2</v>
          </cell>
          <cell r="L1793" t="str">
            <v>Depth-Plumbing Descent</v>
          </cell>
        </row>
        <row r="1794">
          <cell r="A1794" t="str">
            <v>Riptide Trident Attack</v>
          </cell>
          <cell r="B1794" t="str">
            <v>2m, 1i</v>
          </cell>
          <cell r="C1794" t="str">
            <v>Simple</v>
          </cell>
          <cell r="D1794" t="str">
            <v>Dual, Perilous, Resonant</v>
          </cell>
          <cell r="E1794" t="str">
            <v>Instant</v>
          </cell>
          <cell r="H1794" t="str">
            <v>Crusading Spear of the Depths</v>
          </cell>
          <cell r="I1794" t="str">
            <v>None</v>
          </cell>
          <cell r="J1794">
            <v>2</v>
          </cell>
        </row>
        <row r="1795">
          <cell r="A1795" t="str">
            <v>Crashing Wave Assault</v>
          </cell>
          <cell r="B1795" t="str">
            <v>4m, 1wp</v>
          </cell>
          <cell r="C1795" t="str">
            <v>Simple</v>
          </cell>
          <cell r="D1795" t="str">
            <v>Decisive-only</v>
          </cell>
          <cell r="E1795" t="str">
            <v>Instant</v>
          </cell>
          <cell r="H1795" t="str">
            <v>Crusading Spear of the Depths</v>
          </cell>
          <cell r="I1795" t="str">
            <v>None</v>
          </cell>
          <cell r="J1795">
            <v>3</v>
          </cell>
          <cell r="L1795" t="str">
            <v>Riptide Trident Attack</v>
          </cell>
        </row>
        <row r="1796">
          <cell r="A1796" t="str">
            <v>Hunting Siaka God-Armor</v>
          </cell>
          <cell r="B1796" t="str">
            <v>5m, 1wp</v>
          </cell>
          <cell r="C1796" t="str">
            <v>Reflexive</v>
          </cell>
          <cell r="D1796" t="str">
            <v>Resonant</v>
          </cell>
          <cell r="E1796" t="str">
            <v>One Scene</v>
          </cell>
          <cell r="H1796" t="str">
            <v>Crusading Spear of the Depths</v>
          </cell>
          <cell r="I1796" t="str">
            <v>None</v>
          </cell>
          <cell r="J1796">
            <v>3</v>
          </cell>
          <cell r="L1796" t="str">
            <v>Dark Depths Hunter, Deep-Sea Echo Sense</v>
          </cell>
        </row>
        <row r="1797">
          <cell r="A1797" t="str">
            <v>Sevenfold Tidal Binding</v>
          </cell>
          <cell r="B1797" t="str">
            <v>-(1i,1wp)</v>
          </cell>
          <cell r="C1797" t="str">
            <v>Permanent</v>
          </cell>
          <cell r="D1797" t="str">
            <v>Decisive-only, Dissonant</v>
          </cell>
          <cell r="E1797" t="str">
            <v>Permanent</v>
          </cell>
          <cell r="H1797" t="str">
            <v>Crusading Spear of the Depths</v>
          </cell>
          <cell r="I1797" t="str">
            <v>None</v>
          </cell>
          <cell r="J1797">
            <v>3</v>
          </cell>
          <cell r="L1797" t="str">
            <v>Riptide Trident Attack</v>
          </cell>
        </row>
        <row r="1798">
          <cell r="A1798" t="str">
            <v>Tide-Spun Steel Aegis</v>
          </cell>
          <cell r="B1798" t="str">
            <v>4m, 1wp</v>
          </cell>
          <cell r="C1798" t="str">
            <v>Simple</v>
          </cell>
          <cell r="D1798" t="str">
            <v>Resoannt</v>
          </cell>
          <cell r="E1798" t="str">
            <v>One Scene</v>
          </cell>
          <cell r="H1798" t="str">
            <v>Crusading Spear of the Depths</v>
          </cell>
          <cell r="I1798" t="str">
            <v>None</v>
          </cell>
          <cell r="J1798">
            <v>3</v>
          </cell>
          <cell r="L1798" t="str">
            <v>Sevenfold Tidal Binding</v>
          </cell>
        </row>
        <row r="1799">
          <cell r="A1799" t="str">
            <v>Depths-Sealed Vault Technique</v>
          </cell>
          <cell r="B1799" t="str">
            <v>5m, 1wp</v>
          </cell>
          <cell r="C1799" t="str">
            <v>Simple</v>
          </cell>
          <cell r="D1799" t="str">
            <v>Decisive-only, Resonant</v>
          </cell>
          <cell r="E1799" t="str">
            <v>Instant</v>
          </cell>
          <cell r="H1799" t="str">
            <v>Crusading Spear of the Depths</v>
          </cell>
          <cell r="I1799" t="str">
            <v>None</v>
          </cell>
          <cell r="J1799">
            <v>4</v>
          </cell>
          <cell r="L1799" t="str">
            <v>Tide-SPun Steel Aegis</v>
          </cell>
        </row>
        <row r="1800">
          <cell r="A1800" t="str">
            <v>Ocean-Parting Blow</v>
          </cell>
          <cell r="B1800" t="str">
            <v>-(3m, 1wp)</v>
          </cell>
          <cell r="C1800" t="str">
            <v>Permanent</v>
          </cell>
          <cell r="D1800" t="str">
            <v>Decisive-only, Resonant, Dissonant</v>
          </cell>
          <cell r="E1800" t="str">
            <v>Permanent</v>
          </cell>
          <cell r="H1800" t="str">
            <v>Crusading Spear of the Depths</v>
          </cell>
          <cell r="I1800" t="str">
            <v>None</v>
          </cell>
          <cell r="J1800">
            <v>4</v>
          </cell>
          <cell r="L1800" t="str">
            <v>Crashing Wave Assault, Hunting Siaka God-Armor</v>
          </cell>
        </row>
        <row r="1801">
          <cell r="A1801" t="str">
            <v>Slaying the Seven Leviathans</v>
          </cell>
          <cell r="B1801" t="str">
            <v>8m, 2i, 1wp</v>
          </cell>
          <cell r="C1801" t="str">
            <v>Simple</v>
          </cell>
          <cell r="D1801" t="str">
            <v>Decisive-only, Resonant, Dissonant</v>
          </cell>
          <cell r="E1801" t="str">
            <v>Instant</v>
          </cell>
          <cell r="H1801" t="str">
            <v>Crusading Spear of the Depths</v>
          </cell>
          <cell r="I1801" t="str">
            <v>None</v>
          </cell>
          <cell r="J1801">
            <v>4</v>
          </cell>
          <cell r="L1801" t="str">
            <v>Crashing Wave Assault, Seven-Fold Tidal Binding (x2)</v>
          </cell>
        </row>
        <row r="1802">
          <cell r="A1802" t="str">
            <v>Ocean-Twisting Maelstrom</v>
          </cell>
          <cell r="B1802" t="str">
            <v>10m, 3a, 1wp</v>
          </cell>
          <cell r="C1802" t="str">
            <v>Simple</v>
          </cell>
          <cell r="D1802" t="str">
            <v>Dissonant, Resonant</v>
          </cell>
          <cell r="E1802" t="str">
            <v>Instant</v>
          </cell>
          <cell r="H1802" t="str">
            <v>Crusading Spear of the Depths</v>
          </cell>
          <cell r="I1802" t="str">
            <v>None</v>
          </cell>
          <cell r="J1802">
            <v>5</v>
          </cell>
          <cell r="L1802" t="str">
            <v>Depths-Sealed Vault Technique, Ocean-Parting Blow</v>
          </cell>
        </row>
        <row r="1803">
          <cell r="A1803" t="str">
            <v>Eternal Cataphract Empowerment</v>
          </cell>
          <cell r="B1803" t="str">
            <v>-</v>
          </cell>
          <cell r="C1803" t="str">
            <v>Permanent</v>
          </cell>
          <cell r="D1803" t="str">
            <v>Dissonant, Resonant</v>
          </cell>
          <cell r="E1803" t="str">
            <v>Permanent</v>
          </cell>
          <cell r="H1803" t="str">
            <v>Emerald Chevalier</v>
          </cell>
          <cell r="I1803" t="str">
            <v>None</v>
          </cell>
          <cell r="J1803">
            <v>2</v>
          </cell>
        </row>
        <row r="1804">
          <cell r="A1804" t="str">
            <v>Lance of FLourishing Triumphs</v>
          </cell>
          <cell r="B1804" t="str">
            <v>3m</v>
          </cell>
          <cell r="C1804" t="str">
            <v>Supplemental</v>
          </cell>
          <cell r="D1804" t="str">
            <v>Dual, Resonant</v>
          </cell>
          <cell r="E1804" t="str">
            <v>Instant</v>
          </cell>
          <cell r="H1804" t="str">
            <v>Emerald Chevalier</v>
          </cell>
          <cell r="I1804" t="str">
            <v>None</v>
          </cell>
          <cell r="J1804">
            <v>2</v>
          </cell>
          <cell r="L1804" t="str">
            <v>Eternal Cataphract Empowerment</v>
          </cell>
        </row>
        <row r="1805">
          <cell r="A1805" t="str">
            <v>Indomitable Charger Focus</v>
          </cell>
          <cell r="B1805" t="str">
            <v>4m</v>
          </cell>
          <cell r="C1805" t="str">
            <v>Reflexive</v>
          </cell>
          <cell r="D1805" t="str">
            <v>Resonant</v>
          </cell>
          <cell r="E1805" t="str">
            <v>Instant</v>
          </cell>
          <cell r="H1805" t="str">
            <v>Emerald Chevalier</v>
          </cell>
          <cell r="I1805" t="str">
            <v>None</v>
          </cell>
          <cell r="J1805">
            <v>2</v>
          </cell>
          <cell r="L1805" t="str">
            <v>Lance of Flourishing Triumphs</v>
          </cell>
        </row>
        <row r="1806">
          <cell r="A1806" t="str">
            <v>Legendary Armor-Rider Invocation</v>
          </cell>
          <cell r="B1806" t="str">
            <v>-</v>
          </cell>
          <cell r="C1806" t="str">
            <v>Permanent</v>
          </cell>
          <cell r="D1806" t="str">
            <v>None</v>
          </cell>
          <cell r="E1806" t="str">
            <v>Permanent</v>
          </cell>
          <cell r="H1806" t="str">
            <v>Emerald Chevalier</v>
          </cell>
          <cell r="I1806" t="str">
            <v>None</v>
          </cell>
          <cell r="J1806">
            <v>2</v>
          </cell>
          <cell r="L1806" t="str">
            <v>Coursing Firebolt Flash, Indomitable Charger Focus</v>
          </cell>
        </row>
        <row r="1807">
          <cell r="A1807" t="str">
            <v>Swift-Blossoming Aegis</v>
          </cell>
          <cell r="B1807" t="str">
            <v>5m, 1i</v>
          </cell>
          <cell r="C1807" t="str">
            <v>Reflexive</v>
          </cell>
          <cell r="D1807" t="str">
            <v>Dissonant, Perilous</v>
          </cell>
          <cell r="E1807" t="str">
            <v>One Scene</v>
          </cell>
          <cell r="H1807" t="str">
            <v>Emerald Chevalier</v>
          </cell>
          <cell r="I1807" t="str">
            <v>None</v>
          </cell>
          <cell r="J1807">
            <v>2</v>
          </cell>
          <cell r="L1807" t="str">
            <v>Eternal Cataphract Empowerment</v>
          </cell>
        </row>
        <row r="1808">
          <cell r="A1808" t="str">
            <v>Shimmering Wind-Strewn Petals Stride</v>
          </cell>
          <cell r="B1808" t="str">
            <v>7m, 2a, 1wp</v>
          </cell>
          <cell r="C1808" t="str">
            <v>Simple</v>
          </cell>
          <cell r="D1808" t="str">
            <v>Dissoannt</v>
          </cell>
          <cell r="E1808" t="str">
            <v>Instant</v>
          </cell>
          <cell r="H1808" t="str">
            <v>Emerald Chevalier</v>
          </cell>
          <cell r="I1808" t="str">
            <v>None</v>
          </cell>
          <cell r="J1808">
            <v>3</v>
          </cell>
          <cell r="L1808" t="str">
            <v>Indomitable Charger Focus</v>
          </cell>
        </row>
        <row r="1809">
          <cell r="A1809" t="str">
            <v>Thousand-League Charge</v>
          </cell>
          <cell r="B1809" t="str">
            <v>5m, 1wp</v>
          </cell>
          <cell r="C1809" t="str">
            <v>Reflexive</v>
          </cell>
          <cell r="D1809" t="str">
            <v>Dissoannt, Resoannt</v>
          </cell>
          <cell r="E1809" t="str">
            <v>One Scene</v>
          </cell>
          <cell r="H1809" t="str">
            <v>Emerald Chevalier</v>
          </cell>
          <cell r="I1809" t="str">
            <v>None</v>
          </cell>
          <cell r="J1809">
            <v>3</v>
          </cell>
          <cell r="L1809" t="str">
            <v>Shimmering Wind-Strewn Petals Stride</v>
          </cell>
        </row>
        <row r="1810">
          <cell r="A1810" t="str">
            <v>Might of the August Colossus</v>
          </cell>
          <cell r="B1810" t="str">
            <v>5m, 2i</v>
          </cell>
          <cell r="C1810" t="str">
            <v>Simple</v>
          </cell>
          <cell r="D1810" t="str">
            <v>Dissonant, Perilous</v>
          </cell>
          <cell r="E1810" t="str">
            <v>One Scene</v>
          </cell>
          <cell r="H1810" t="str">
            <v>Emerald Chevalier</v>
          </cell>
          <cell r="I1810" t="str">
            <v>None</v>
          </cell>
          <cell r="J1810">
            <v>3</v>
          </cell>
          <cell r="L1810" t="str">
            <v>Thousand-League Charge</v>
          </cell>
        </row>
        <row r="1811">
          <cell r="A1811" t="str">
            <v>Soul of Living Armor</v>
          </cell>
          <cell r="B1811" t="str">
            <v>2m</v>
          </cell>
          <cell r="C1811" t="str">
            <v>Reflexive</v>
          </cell>
          <cell r="D1811" t="str">
            <v>Decisive-only, Perilous</v>
          </cell>
          <cell r="E1811" t="str">
            <v>Instant</v>
          </cell>
          <cell r="H1811" t="str">
            <v>Emerald Chevalier</v>
          </cell>
          <cell r="I1811" t="str">
            <v>None</v>
          </cell>
          <cell r="J1811">
            <v>3</v>
          </cell>
          <cell r="L1811" t="str">
            <v>Swift-Blossoming Aegis</v>
          </cell>
        </row>
        <row r="1812">
          <cell r="A1812" t="str">
            <v>Stampeding Titan Devastation</v>
          </cell>
          <cell r="B1812" t="str">
            <v>-(5m, 1wp)</v>
          </cell>
          <cell r="C1812" t="str">
            <v>Permanent</v>
          </cell>
          <cell r="D1812" t="str">
            <v>Perilous, Resonant</v>
          </cell>
          <cell r="E1812" t="str">
            <v>Permanent</v>
          </cell>
          <cell r="H1812" t="str">
            <v>Emerald Chevalier</v>
          </cell>
          <cell r="I1812" t="str">
            <v>None</v>
          </cell>
          <cell r="J1812">
            <v>4</v>
          </cell>
          <cell r="L1812" t="str">
            <v>Might of the August COlossus</v>
          </cell>
        </row>
        <row r="1813">
          <cell r="A1813" t="str">
            <v>Creation-Piercing Lance</v>
          </cell>
          <cell r="B1813" t="str">
            <v>6m, 1hl, 1wp</v>
          </cell>
          <cell r="C1813" t="str">
            <v>Reflexive</v>
          </cell>
          <cell r="D1813" t="str">
            <v>Decisive-only, Dissonant, Resonant</v>
          </cell>
          <cell r="E1813" t="str">
            <v>Instant</v>
          </cell>
          <cell r="H1813" t="str">
            <v>Emerald Chevalier</v>
          </cell>
          <cell r="I1813" t="str">
            <v>None</v>
          </cell>
          <cell r="J1813">
            <v>5</v>
          </cell>
          <cell r="L1813" t="str">
            <v>Stampeding Titan Devastation</v>
          </cell>
        </row>
        <row r="1814">
          <cell r="A1814" t="str">
            <v>Fleeting Shadow Scout</v>
          </cell>
          <cell r="B1814" t="str">
            <v>4m</v>
          </cell>
          <cell r="C1814" t="str">
            <v>Reflexive</v>
          </cell>
          <cell r="D1814" t="str">
            <v>Mute, Resonant</v>
          </cell>
          <cell r="E1814" t="str">
            <v>Instant</v>
          </cell>
          <cell r="H1814" t="str">
            <v>Godspeed Vanguard</v>
          </cell>
          <cell r="I1814" t="str">
            <v>None</v>
          </cell>
          <cell r="J1814">
            <v>2</v>
          </cell>
        </row>
        <row r="1815">
          <cell r="A1815" t="str">
            <v>Transluminal Stride</v>
          </cell>
          <cell r="B1815" t="str">
            <v>2m, 1wp</v>
          </cell>
          <cell r="C1815" t="str">
            <v>Reflexive</v>
          </cell>
          <cell r="D1815" t="str">
            <v>Dissonant, Resonant</v>
          </cell>
          <cell r="E1815" t="str">
            <v>Instant</v>
          </cell>
          <cell r="H1815" t="str">
            <v>Godspeed Vanguard</v>
          </cell>
          <cell r="I1815" t="str">
            <v>None</v>
          </cell>
          <cell r="J1815">
            <v>2</v>
          </cell>
        </row>
        <row r="1816">
          <cell r="A1816" t="str">
            <v>Horizon-Attaining Pace</v>
          </cell>
          <cell r="B1816" t="str">
            <v>-</v>
          </cell>
          <cell r="C1816" t="str">
            <v>Permanent</v>
          </cell>
          <cell r="D1816" t="str">
            <v>None</v>
          </cell>
          <cell r="E1816" t="str">
            <v>Permanent</v>
          </cell>
          <cell r="H1816" t="str">
            <v>Godspeed Vanguard</v>
          </cell>
          <cell r="I1816" t="str">
            <v>None</v>
          </cell>
          <cell r="J1816">
            <v>2</v>
          </cell>
          <cell r="L1816" t="str">
            <v>Racing Hare Method, Transluminal Stride</v>
          </cell>
        </row>
        <row r="1817">
          <cell r="A1817" t="str">
            <v>Aegis of Light and Shadow</v>
          </cell>
          <cell r="B1817" t="str">
            <v>4m, 1wp</v>
          </cell>
          <cell r="C1817" t="str">
            <v>Reflexive</v>
          </cell>
          <cell r="D1817" t="str">
            <v>Dissonant, Mute, Resonant</v>
          </cell>
          <cell r="E1817" t="str">
            <v>Instant</v>
          </cell>
          <cell r="H1817" t="str">
            <v>Godspeed Vanguard</v>
          </cell>
          <cell r="I1817" t="str">
            <v>None</v>
          </cell>
          <cell r="J1817">
            <v>3</v>
          </cell>
          <cell r="L1817" t="str">
            <v>Fleeting Shadow Scout</v>
          </cell>
        </row>
        <row r="1818">
          <cell r="A1818" t="str">
            <v>Midnight Sun Vanishing</v>
          </cell>
          <cell r="B1818" t="str">
            <v>-</v>
          </cell>
          <cell r="C1818" t="str">
            <v>Permanent</v>
          </cell>
          <cell r="D1818" t="str">
            <v>None</v>
          </cell>
          <cell r="E1818" t="str">
            <v>Permanent</v>
          </cell>
          <cell r="H1818" t="str">
            <v>Godspeed Vanguard</v>
          </cell>
          <cell r="I1818" t="str">
            <v>None</v>
          </cell>
          <cell r="J1818">
            <v>3</v>
          </cell>
          <cell r="L1818" t="str">
            <v>Aegis of Light and Shadow, Shadow-Crossing Leap technique</v>
          </cell>
        </row>
        <row r="1819">
          <cell r="A1819" t="str">
            <v>Shimmering After-Image Refractions</v>
          </cell>
          <cell r="B1819" t="str">
            <v>3m, 2i, 1wp</v>
          </cell>
          <cell r="C1819" t="str">
            <v>Reflexive</v>
          </cell>
          <cell r="D1819" t="str">
            <v>Decisive-only, Perilous, Resonant</v>
          </cell>
          <cell r="E1819" t="str">
            <v>One Scene</v>
          </cell>
          <cell r="H1819" t="str">
            <v>Godspeed Vanguard</v>
          </cell>
          <cell r="I1819" t="str">
            <v>None</v>
          </cell>
          <cell r="J1819">
            <v>3</v>
          </cell>
          <cell r="L1819" t="str">
            <v>Aegis of Light and Shadow, Transluminal Stride</v>
          </cell>
        </row>
        <row r="1820">
          <cell r="A1820" t="str">
            <v>Shooting Star Ascent</v>
          </cell>
          <cell r="B1820" t="str">
            <v>-</v>
          </cell>
          <cell r="C1820" t="str">
            <v>Permanent</v>
          </cell>
          <cell r="D1820" t="str">
            <v>None</v>
          </cell>
          <cell r="E1820" t="str">
            <v>Permanent</v>
          </cell>
          <cell r="H1820" t="str">
            <v>Godspeed Vanguard</v>
          </cell>
          <cell r="I1820" t="str">
            <v>Nonee</v>
          </cell>
          <cell r="J1820">
            <v>3</v>
          </cell>
          <cell r="L1820" t="str">
            <v>Horizon-Attaining Pace, Mountain-Crossing Leap Technique</v>
          </cell>
        </row>
        <row r="1821">
          <cell r="A1821" t="str">
            <v>Shadow Nova Flare</v>
          </cell>
          <cell r="B1821" t="str">
            <v>5m, 5i, 3a, 1wp</v>
          </cell>
          <cell r="C1821" t="str">
            <v>Simple</v>
          </cell>
          <cell r="D1821" t="str">
            <v>Dissonant, Mute, Perilous, Resonant</v>
          </cell>
          <cell r="E1821" t="str">
            <v>Instant</v>
          </cell>
          <cell r="H1821" t="str">
            <v>Godspeed Vanguard</v>
          </cell>
          <cell r="I1821" t="str">
            <v>None</v>
          </cell>
          <cell r="J1821">
            <v>4</v>
          </cell>
          <cell r="L1821" t="str">
            <v>Shimmering afterimage Reflection</v>
          </cell>
        </row>
        <row r="1822">
          <cell r="A1822" t="str">
            <v>Illimitable Lightspeed Advance</v>
          </cell>
          <cell r="B1822" t="str">
            <v>-</v>
          </cell>
          <cell r="C1822" t="str">
            <v>Permanent</v>
          </cell>
          <cell r="D1822" t="str">
            <v>None</v>
          </cell>
          <cell r="E1822" t="str">
            <v>Permanent</v>
          </cell>
          <cell r="H1822" t="str">
            <v>Godspeed Vanguard</v>
          </cell>
          <cell r="I1822" t="str">
            <v>None</v>
          </cell>
          <cell r="J1822">
            <v>5</v>
          </cell>
          <cell r="L1822" t="str">
            <v>Living Wind Approach, Shooting Star Ascent</v>
          </cell>
        </row>
        <row r="1823">
          <cell r="A1823" t="str">
            <v>Starfallen Blade Strike</v>
          </cell>
          <cell r="B1823" t="str">
            <v>3m, 3i, 1wp</v>
          </cell>
          <cell r="C1823" t="str">
            <v>Simple</v>
          </cell>
          <cell r="D1823" t="str">
            <v>Decisive-only, Resonant</v>
          </cell>
          <cell r="E1823" t="str">
            <v>Instant</v>
          </cell>
          <cell r="H1823" t="str">
            <v>Ascendant Nova Phoenix</v>
          </cell>
          <cell r="I1823" t="str">
            <v>None</v>
          </cell>
          <cell r="J1823">
            <v>2</v>
          </cell>
        </row>
        <row r="1824">
          <cell r="A1824" t="str">
            <v>Horizon Guardian Aegis</v>
          </cell>
          <cell r="B1824" t="str">
            <v>-</v>
          </cell>
          <cell r="C1824" t="str">
            <v>Permanent</v>
          </cell>
          <cell r="D1824" t="str">
            <v>None</v>
          </cell>
          <cell r="E1824" t="str">
            <v>Permanent</v>
          </cell>
          <cell r="H1824" t="str">
            <v>Ascendant Nova Phoenix</v>
          </cell>
          <cell r="I1824" t="str">
            <v>None</v>
          </cell>
          <cell r="J1824">
            <v>2</v>
          </cell>
          <cell r="L1824" t="str">
            <v>Heavenly Guardian Defense, Starfallen Blade Strike</v>
          </cell>
        </row>
        <row r="1825">
          <cell r="A1825" t="str">
            <v>Rising Phoenix Glory</v>
          </cell>
          <cell r="B1825" t="str">
            <v>7m</v>
          </cell>
          <cell r="C1825" t="str">
            <v>Reflexive</v>
          </cell>
          <cell r="D1825" t="str">
            <v>Dissonant, Dual</v>
          </cell>
          <cell r="E1825" t="str">
            <v>Instant</v>
          </cell>
          <cell r="H1825" t="str">
            <v>Ascendant Nova Phoenix</v>
          </cell>
          <cell r="I1825" t="str">
            <v>None</v>
          </cell>
          <cell r="J1825">
            <v>2</v>
          </cell>
          <cell r="L1825" t="str">
            <v>Starfallen Blade Strike</v>
          </cell>
        </row>
        <row r="1826">
          <cell r="A1826" t="str">
            <v>Awe-Inspiring God Armor</v>
          </cell>
          <cell r="B1826" t="str">
            <v>-(1wp)</v>
          </cell>
          <cell r="C1826" t="str">
            <v>Permanent</v>
          </cell>
          <cell r="D1826" t="str">
            <v>None</v>
          </cell>
          <cell r="E1826" t="str">
            <v>Permanent</v>
          </cell>
          <cell r="H1826" t="str">
            <v>Ascendant Nova Phoenix</v>
          </cell>
          <cell r="I1826" t="str">
            <v>None</v>
          </cell>
          <cell r="J1826">
            <v>3</v>
          </cell>
          <cell r="L1826" t="str">
            <v>Rising Phoenix Glory, Terrifying Apparition of Glory</v>
          </cell>
        </row>
        <row r="1827">
          <cell r="A1827" t="str">
            <v>Tempest of Foretold Victory</v>
          </cell>
          <cell r="B1827" t="str">
            <v>3m, 1wp</v>
          </cell>
          <cell r="C1827" t="str">
            <v>Simple</v>
          </cell>
          <cell r="D1827" t="str">
            <v>Resonant, Withering-only</v>
          </cell>
          <cell r="E1827" t="str">
            <v>Instant</v>
          </cell>
          <cell r="H1827" t="str">
            <v>Ascendant Nova Phoenix</v>
          </cell>
          <cell r="I1827" t="str">
            <v>None</v>
          </cell>
          <cell r="J1827">
            <v>3</v>
          </cell>
          <cell r="L1827" t="str">
            <v>Rising Phoenix GLory</v>
          </cell>
        </row>
        <row r="1828">
          <cell r="A1828" t="str">
            <v>Sunfire Seraph Conflagration</v>
          </cell>
          <cell r="B1828" t="str">
            <v>7m, 1wp</v>
          </cell>
          <cell r="C1828" t="str">
            <v>Simple</v>
          </cell>
          <cell r="D1828" t="str">
            <v>Decisive-only, Dissonant, Resonant</v>
          </cell>
          <cell r="E1828" t="str">
            <v>Instant</v>
          </cell>
          <cell r="H1828" t="str">
            <v>Ascendant Nova Phoenix</v>
          </cell>
          <cell r="I1828" t="str">
            <v>None</v>
          </cell>
          <cell r="J1828">
            <v>3</v>
          </cell>
          <cell r="L1828" t="str">
            <v>Tempest of Foretold Victory</v>
          </cell>
        </row>
        <row r="1829">
          <cell r="A1829" t="str">
            <v>Wings of Heaven Unfurled</v>
          </cell>
          <cell r="B1829" t="str">
            <v>-</v>
          </cell>
          <cell r="C1829" t="str">
            <v>Permanent</v>
          </cell>
          <cell r="D1829" t="str">
            <v>None</v>
          </cell>
          <cell r="E1829" t="str">
            <v>Permanent</v>
          </cell>
          <cell r="H1829" t="str">
            <v>Ascendant Nova Phoenix</v>
          </cell>
          <cell r="I1829" t="str">
            <v>None</v>
          </cell>
          <cell r="J1829">
            <v>3</v>
          </cell>
          <cell r="L1829" t="str">
            <v>Eagle-Wing Style, Rising Phoenix Glory</v>
          </cell>
        </row>
        <row r="1830">
          <cell r="A1830" t="str">
            <v>Infinite Sunlight Shrike</v>
          </cell>
          <cell r="B1830" t="str">
            <v>5m, 5i, 1wp</v>
          </cell>
          <cell r="C1830" t="str">
            <v>SImple</v>
          </cell>
          <cell r="D1830" t="str">
            <v>Decisive-only</v>
          </cell>
          <cell r="E1830" t="str">
            <v>Instant</v>
          </cell>
          <cell r="H1830" t="str">
            <v>Ascendant Nova Phoenix</v>
          </cell>
          <cell r="I1830" t="str">
            <v>None</v>
          </cell>
          <cell r="J1830">
            <v>3</v>
          </cell>
          <cell r="L1830" t="str">
            <v>Wings of Heaven Unfurled</v>
          </cell>
        </row>
        <row r="1831">
          <cell r="A1831" t="str">
            <v>Blazing God-Sight Revelation</v>
          </cell>
          <cell r="B1831" t="str">
            <v>-(3m, 1wp)</v>
          </cell>
          <cell r="C1831" t="str">
            <v>Permanent</v>
          </cell>
          <cell r="D1831" t="str">
            <v>Nnoe</v>
          </cell>
          <cell r="E1831" t="str">
            <v>Permanent</v>
          </cell>
          <cell r="H1831" t="str">
            <v>Ascendant Nova Phoenix</v>
          </cell>
          <cell r="I1831" t="str">
            <v>None</v>
          </cell>
          <cell r="J1831">
            <v>4</v>
          </cell>
          <cell r="L1831" t="str">
            <v>Eye of the Unconquered Sun, SUnfire Seraph Conflagration</v>
          </cell>
        </row>
        <row r="1832">
          <cell r="A1832" t="str">
            <v>Daystar Smites the Horizon</v>
          </cell>
          <cell r="B1832" t="str">
            <v>8m, 3a, 1wp</v>
          </cell>
          <cell r="C1832" t="str">
            <v>Simple</v>
          </cell>
          <cell r="D1832" t="str">
            <v>Decisive-only</v>
          </cell>
          <cell r="E1832" t="str">
            <v>Instant</v>
          </cell>
          <cell r="H1832" t="str">
            <v>Ascendant Nova Phoenix</v>
          </cell>
          <cell r="I1832" t="str">
            <v>None</v>
          </cell>
          <cell r="J1832">
            <v>4</v>
          </cell>
          <cell r="L1832" t="str">
            <v>Blazing God-Sight Revelation</v>
          </cell>
        </row>
        <row r="1833">
          <cell r="A1833" t="str">
            <v>The Sword Conquers Five Directions</v>
          </cell>
          <cell r="B1833" t="str">
            <v>-(3m, 1wp)</v>
          </cell>
          <cell r="C1833" t="str">
            <v>Permanent</v>
          </cell>
          <cell r="D1833" t="str">
            <v>None</v>
          </cell>
          <cell r="E1833" t="str">
            <v>Permanent</v>
          </cell>
          <cell r="H1833" t="str">
            <v>Ascendant Nova Phoenix</v>
          </cell>
          <cell r="I1833" t="str">
            <v>None</v>
          </cell>
          <cell r="J1833">
            <v>4</v>
          </cell>
          <cell r="L1833" t="str">
            <v>Heaven Sword Flash, Infinite Sunlight Shrike</v>
          </cell>
        </row>
        <row r="1834">
          <cell r="A1834" t="str">
            <v>Phoenix Surpasses the Sun Meditation</v>
          </cell>
          <cell r="B1834" t="str">
            <v>15m, 3a, 2wp</v>
          </cell>
          <cell r="C1834" t="str">
            <v>Simple</v>
          </cell>
          <cell r="D1834" t="str">
            <v>None</v>
          </cell>
          <cell r="E1834" t="str">
            <v>One journey</v>
          </cell>
          <cell r="H1834" t="str">
            <v>Ascendant Nova Phoenix</v>
          </cell>
          <cell r="I1834" t="str">
            <v>None</v>
          </cell>
          <cell r="J1834">
            <v>5</v>
          </cell>
          <cell r="L1834" t="str">
            <v>Infinite Sunlight Shrike</v>
          </cell>
        </row>
        <row r="1835">
          <cell r="A1835" t="str">
            <v>Eat the Heart of God</v>
          </cell>
          <cell r="B1835" t="str">
            <v>-</v>
          </cell>
          <cell r="C1835" t="str">
            <v>Reflexive</v>
          </cell>
          <cell r="D1835" t="str">
            <v>Perilous, Resonant</v>
          </cell>
          <cell r="E1835" t="str">
            <v>Instant</v>
          </cell>
          <cell r="H1835" t="str">
            <v>Karvara, the Walking Devil Tower</v>
          </cell>
          <cell r="I1835" t="str">
            <v>None</v>
          </cell>
          <cell r="J1835">
            <v>2</v>
          </cell>
        </row>
        <row r="1836">
          <cell r="A1836" t="str">
            <v>Berserker Fury Blitz</v>
          </cell>
          <cell r="B1836" t="str">
            <v>6m, 3i</v>
          </cell>
          <cell r="C1836" t="str">
            <v>Reflexive</v>
          </cell>
          <cell r="D1836" t="str">
            <v>Perilous, Resonant</v>
          </cell>
          <cell r="E1836" t="str">
            <v>Instant</v>
          </cell>
          <cell r="H1836" t="str">
            <v>Karvara, the Walking Devil Tower</v>
          </cell>
          <cell r="I1836" t="str">
            <v>None</v>
          </cell>
          <cell r="J1836">
            <v>2</v>
          </cell>
          <cell r="L1836" t="str">
            <v>Eat the Heart of God</v>
          </cell>
        </row>
        <row r="1837">
          <cell r="A1837" t="str">
            <v>Chain-Breaking Frenzy</v>
          </cell>
          <cell r="B1837" t="str">
            <v>- (3m)</v>
          </cell>
          <cell r="C1837" t="str">
            <v>Permanent</v>
          </cell>
          <cell r="D1837" t="str">
            <v>None</v>
          </cell>
          <cell r="E1837" t="str">
            <v>Permanent</v>
          </cell>
          <cell r="H1837" t="str">
            <v>Karvara, the Walking Devil Tower</v>
          </cell>
          <cell r="I1837" t="str">
            <v>None</v>
          </cell>
          <cell r="J1837">
            <v>2</v>
          </cell>
          <cell r="L1837" t="str">
            <v>Battle Fury Focus, Berserker Fury Blitz</v>
          </cell>
        </row>
        <row r="1838">
          <cell r="A1838" t="str">
            <v>God-Monster Apotheosis</v>
          </cell>
          <cell r="B1838" t="str">
            <v>-</v>
          </cell>
          <cell r="C1838" t="str">
            <v>Permanent</v>
          </cell>
          <cell r="D1838" t="str">
            <v>None</v>
          </cell>
          <cell r="E1838" t="str">
            <v>Permanent</v>
          </cell>
          <cell r="H1838" t="str">
            <v>Karvara, the Walking Devil Tower</v>
          </cell>
          <cell r="I1838" t="str">
            <v>None</v>
          </cell>
          <cell r="J1838">
            <v>2</v>
          </cell>
          <cell r="L1838" t="str">
            <v>Eat the Heart of God, Carnal Spirit Rending</v>
          </cell>
        </row>
        <row r="1839">
          <cell r="A1839" t="str">
            <v>Devil-Mind Gestalt Meditation</v>
          </cell>
          <cell r="B1839" t="str">
            <v>-</v>
          </cell>
          <cell r="C1839" t="str">
            <v>Reflexive</v>
          </cell>
          <cell r="D1839" t="str">
            <v>Resonant</v>
          </cell>
          <cell r="E1839" t="str">
            <v>Instant</v>
          </cell>
          <cell r="H1839" t="str">
            <v>Karvara, the Walking Devil Tower</v>
          </cell>
          <cell r="I1839" t="str">
            <v>None</v>
          </cell>
          <cell r="J1839">
            <v>3</v>
          </cell>
          <cell r="L1839" t="str">
            <v>Berserker Fury Blitz</v>
          </cell>
        </row>
        <row r="1840">
          <cell r="A1840" t="str">
            <v>Roaring God-Monster Fury</v>
          </cell>
          <cell r="B1840" t="str">
            <v>5m, 3i, 1wp</v>
          </cell>
          <cell r="C1840" t="str">
            <v>Simple</v>
          </cell>
          <cell r="D1840" t="str">
            <v>Perilous, Resonant</v>
          </cell>
          <cell r="E1840" t="str">
            <v>Instnt</v>
          </cell>
          <cell r="H1840" t="str">
            <v>Karvara, the Walking Devil Tower</v>
          </cell>
          <cell r="I1840" t="str">
            <v>None</v>
          </cell>
          <cell r="J1840">
            <v>3</v>
          </cell>
          <cell r="L1840" t="str">
            <v>Devil-Mind Gestalt Meditation</v>
          </cell>
        </row>
        <row r="1841">
          <cell r="A1841" t="str">
            <v>Torn From This World</v>
          </cell>
          <cell r="B1841" t="str">
            <v>-(1wp)</v>
          </cell>
          <cell r="C1841" t="str">
            <v>Permanet</v>
          </cell>
          <cell r="D1841" t="str">
            <v>Dissonant, Resonance</v>
          </cell>
          <cell r="E1841" t="str">
            <v>Permanet</v>
          </cell>
          <cell r="H1841" t="str">
            <v>Karvara, the Walking Devil Tower</v>
          </cell>
          <cell r="I1841" t="str">
            <v>None</v>
          </cell>
          <cell r="J1841">
            <v>3</v>
          </cell>
          <cell r="L1841" t="str">
            <v>Eat the Heart of God</v>
          </cell>
        </row>
        <row r="1842">
          <cell r="A1842" t="str">
            <v>Solipsistic Dreaming God-Beast</v>
          </cell>
          <cell r="B1842" t="str">
            <v>4m, 4i, 3a</v>
          </cell>
          <cell r="C1842" t="str">
            <v>Reflexive</v>
          </cell>
          <cell r="D1842" t="str">
            <v>Dissonant, Perilous, Uniform</v>
          </cell>
          <cell r="E1842" t="str">
            <v>One Tick</v>
          </cell>
          <cell r="H1842" t="str">
            <v>Karvara, the Walking Devil Tower</v>
          </cell>
          <cell r="I1842" t="str">
            <v>None</v>
          </cell>
          <cell r="J1842">
            <v>3</v>
          </cell>
          <cell r="L1842" t="str">
            <v>Devil-Mind Gestalt Meditation, Torn from this World</v>
          </cell>
        </row>
        <row r="1843">
          <cell r="A1843" t="str">
            <v>Rage Beyond Constraint</v>
          </cell>
          <cell r="B1843" t="str">
            <v>-</v>
          </cell>
          <cell r="C1843" t="str">
            <v>Reflexive</v>
          </cell>
          <cell r="D1843" t="str">
            <v>Resonant</v>
          </cell>
          <cell r="E1843" t="str">
            <v>Instant</v>
          </cell>
          <cell r="H1843" t="str">
            <v>Karvara, the Walking Devil Tower</v>
          </cell>
          <cell r="I1843" t="str">
            <v>None</v>
          </cell>
          <cell r="J1843">
            <v>3</v>
          </cell>
          <cell r="L1843" t="str">
            <v>Solipsistic Dreaming God-Beast</v>
          </cell>
        </row>
        <row r="1844">
          <cell r="A1844" t="str">
            <v>Undying Behemoth Rebirth</v>
          </cell>
          <cell r="B1844" t="str">
            <v>4m, 1wp</v>
          </cell>
          <cell r="C1844" t="str">
            <v>Reflexive</v>
          </cell>
          <cell r="D1844" t="str">
            <v>Perilous, Resonant</v>
          </cell>
          <cell r="E1844" t="str">
            <v>Instant</v>
          </cell>
          <cell r="H1844" t="str">
            <v>Karvara, the Walking Devil Tower</v>
          </cell>
          <cell r="I1844" t="str">
            <v>None</v>
          </cell>
          <cell r="J1844">
            <v>3</v>
          </cell>
          <cell r="L1844" t="str">
            <v>Eat the Heart of Gold</v>
          </cell>
        </row>
        <row r="1845">
          <cell r="A1845" t="str">
            <v>Final Fury Rampage</v>
          </cell>
          <cell r="B1845" t="str">
            <v>-</v>
          </cell>
          <cell r="C1845" t="str">
            <v>Reflexive</v>
          </cell>
          <cell r="D1845" t="str">
            <v>Perilous</v>
          </cell>
          <cell r="E1845" t="str">
            <v>One Scene</v>
          </cell>
          <cell r="H1845" t="str">
            <v>Karvara, the Walking Devil Tower</v>
          </cell>
          <cell r="I1845" t="str">
            <v>None</v>
          </cell>
          <cell r="J1845">
            <v>5</v>
          </cell>
          <cell r="L1845" t="str">
            <v>Chain-Breaking Frenzy, Undying behemoth Rebirth</v>
          </cell>
        </row>
        <row r="1846">
          <cell r="A1846" t="str">
            <v>Voice of the Apocalypse</v>
          </cell>
          <cell r="B1846" t="str">
            <v>7m, 3wp</v>
          </cell>
          <cell r="C1846" t="str">
            <v>Simple</v>
          </cell>
          <cell r="D1846" t="str">
            <v>Dissoannt</v>
          </cell>
          <cell r="E1846" t="str">
            <v>Instant</v>
          </cell>
          <cell r="H1846" t="str">
            <v>Karvara, the Walking Devil Tower</v>
          </cell>
          <cell r="I1846" t="str">
            <v>None</v>
          </cell>
          <cell r="J1846">
            <v>5</v>
          </cell>
          <cell r="L1846" t="str">
            <v>Rage Beyond Constraint, Roaring God-Monster Fury</v>
          </cell>
        </row>
        <row r="1847">
          <cell r="A1847" t="str">
            <v>Rustling Grapevine Whispers</v>
          </cell>
          <cell r="B1847" t="str">
            <v>2m</v>
          </cell>
          <cell r="C1847" t="str">
            <v>Reflexive</v>
          </cell>
          <cell r="D1847" t="str">
            <v>Resonant, Uniform</v>
          </cell>
          <cell r="E1847" t="str">
            <v>Instant</v>
          </cell>
          <cell r="H1847" t="str">
            <v>Calumny</v>
          </cell>
          <cell r="I1847" t="str">
            <v>None</v>
          </cell>
          <cell r="J1847">
            <v>1</v>
          </cell>
        </row>
        <row r="1848">
          <cell r="A1848" t="str">
            <v>Unassuming Ornament Camouflage</v>
          </cell>
          <cell r="B1848" t="str">
            <v>-</v>
          </cell>
          <cell r="C1848" t="str">
            <v>Permanent</v>
          </cell>
          <cell r="D1848" t="str">
            <v>None</v>
          </cell>
          <cell r="E1848" t="str">
            <v>Permanent</v>
          </cell>
          <cell r="H1848" t="str">
            <v>Calumny</v>
          </cell>
          <cell r="I1848" t="str">
            <v>None</v>
          </cell>
          <cell r="J1848">
            <v>1</v>
          </cell>
          <cell r="L1848" t="str">
            <v>Naked Thief Style</v>
          </cell>
        </row>
        <row r="1849">
          <cell r="A1849" t="str">
            <v>Salon-Spider Entrapment</v>
          </cell>
          <cell r="B1849" t="str">
            <v>2m</v>
          </cell>
          <cell r="C1849" t="str">
            <v>Supplemental</v>
          </cell>
          <cell r="D1849" t="str">
            <v>Resonant, Stackable, Withering-only</v>
          </cell>
          <cell r="E1849" t="str">
            <v>Instant</v>
          </cell>
          <cell r="H1849" t="str">
            <v>Calumny</v>
          </cell>
          <cell r="I1849" t="str">
            <v>None</v>
          </cell>
          <cell r="J1849">
            <v>2</v>
          </cell>
          <cell r="L1849" t="str">
            <v>Rustling Grapevine Whispers</v>
          </cell>
        </row>
        <row r="1850">
          <cell r="A1850" t="str">
            <v>Swallowtail's Grace</v>
          </cell>
          <cell r="B1850" t="str">
            <v>3m, 1wp</v>
          </cell>
          <cell r="C1850" t="str">
            <v>Reflexive</v>
          </cell>
          <cell r="D1850" t="str">
            <v>Counterattack, Dual, Perilous, Resonant</v>
          </cell>
          <cell r="E1850" t="str">
            <v>Instant</v>
          </cell>
          <cell r="H1850" t="str">
            <v>Calumny</v>
          </cell>
          <cell r="I1850" t="str">
            <v>None</v>
          </cell>
          <cell r="J1850">
            <v>2</v>
          </cell>
          <cell r="L1850" t="str">
            <v>Rustling Grapevine Whispers</v>
          </cell>
        </row>
        <row r="1851">
          <cell r="A1851" t="str">
            <v>Ripened Bitter Fruit</v>
          </cell>
          <cell r="B1851" t="str">
            <v>5m, 5i, 1wp</v>
          </cell>
          <cell r="C1851" t="str">
            <v>Supplemental</v>
          </cell>
          <cell r="D1851" t="str">
            <v>Decisive-only, Dissonant, Resonant</v>
          </cell>
          <cell r="E1851" t="str">
            <v>Instant</v>
          </cell>
          <cell r="H1851" t="str">
            <v>Calumny</v>
          </cell>
          <cell r="I1851" t="str">
            <v>None</v>
          </cell>
          <cell r="J1851">
            <v>3</v>
          </cell>
          <cell r="L1851" t="str">
            <v>Salon-Spider Entrapment, Swallowtail's Grace</v>
          </cell>
        </row>
        <row r="1852">
          <cell r="A1852" t="str">
            <v>Song of Sunlit Dreams</v>
          </cell>
          <cell r="B1852" t="str">
            <v>1m, 1wp</v>
          </cell>
          <cell r="C1852" t="str">
            <v>Supplemental</v>
          </cell>
          <cell r="D1852" t="str">
            <v>None</v>
          </cell>
          <cell r="E1852" t="str">
            <v>Instant</v>
          </cell>
          <cell r="H1852" t="str">
            <v>Daring Venture</v>
          </cell>
          <cell r="I1852" t="str">
            <v>None</v>
          </cell>
          <cell r="J1852">
            <v>1</v>
          </cell>
        </row>
        <row r="1853">
          <cell r="A1853" t="str">
            <v>Seeker's Heart Intuition</v>
          </cell>
          <cell r="B1853" t="str">
            <v>2m</v>
          </cell>
          <cell r="C1853" t="str">
            <v>Simple</v>
          </cell>
          <cell r="D1853" t="str">
            <v>Resonant</v>
          </cell>
          <cell r="E1853" t="str">
            <v>Instant</v>
          </cell>
          <cell r="H1853" t="str">
            <v>Daring Venture</v>
          </cell>
          <cell r="I1853" t="str">
            <v>None</v>
          </cell>
          <cell r="J1853">
            <v>1</v>
          </cell>
          <cell r="L1853" t="str">
            <v>Song of Sunlit Dreams</v>
          </cell>
        </row>
        <row r="1854">
          <cell r="A1854" t="str">
            <v>Beckon the Wandering Wolf</v>
          </cell>
          <cell r="B1854" t="str">
            <v>1m, 1wp</v>
          </cell>
          <cell r="C1854" t="str">
            <v>Simple</v>
          </cell>
          <cell r="D1854" t="str">
            <v>Resonant</v>
          </cell>
          <cell r="E1854" t="str">
            <v>Instant</v>
          </cell>
          <cell r="H1854" t="str">
            <v>Daring Venture</v>
          </cell>
          <cell r="I1854" t="str">
            <v>None</v>
          </cell>
          <cell r="J1854">
            <v>2</v>
          </cell>
          <cell r="L1854" t="str">
            <v>Seeker's Heart Intuition</v>
          </cell>
        </row>
        <row r="1855">
          <cell r="A1855" t="str">
            <v>Wolf-and-Dragon Bond</v>
          </cell>
          <cell r="B1855" t="str">
            <v>-</v>
          </cell>
          <cell r="C1855" t="str">
            <v>Supplemental</v>
          </cell>
          <cell r="D1855" t="str">
            <v>None</v>
          </cell>
          <cell r="E1855" t="str">
            <v>Permanent</v>
          </cell>
          <cell r="H1855" t="str">
            <v>Daring Venture</v>
          </cell>
          <cell r="I1855" t="str">
            <v>None</v>
          </cell>
          <cell r="J1855">
            <v>3</v>
          </cell>
          <cell r="L1855" t="str">
            <v>Beckon the Wandering Wolf, Mother-of-Beasts Mastery (x2)</v>
          </cell>
        </row>
        <row r="1856">
          <cell r="A1856" t="str">
            <v>Packmate Devotion</v>
          </cell>
          <cell r="B1856" t="str">
            <v>-</v>
          </cell>
          <cell r="C1856" t="str">
            <v>Permanent</v>
          </cell>
          <cell r="D1856" t="str">
            <v>Resonant</v>
          </cell>
          <cell r="E1856" t="str">
            <v>Permanent</v>
          </cell>
          <cell r="H1856" t="str">
            <v>Daring Venture</v>
          </cell>
          <cell r="I1856" t="str">
            <v>None</v>
          </cell>
          <cell r="J1856">
            <v>4</v>
          </cell>
          <cell r="L1856" t="str">
            <v>Wolf-and-Dragon Bond</v>
          </cell>
        </row>
        <row r="1857">
          <cell r="A1857" t="str">
            <v>Faith Maintains</v>
          </cell>
          <cell r="B1857" t="str">
            <v>2m, 1wp</v>
          </cell>
          <cell r="C1857" t="str">
            <v>Simple</v>
          </cell>
          <cell r="D1857" t="str">
            <v>None</v>
          </cell>
          <cell r="E1857" t="str">
            <v>One scene</v>
          </cell>
          <cell r="H1857" t="str">
            <v>Faith's Pillar</v>
          </cell>
          <cell r="I1857" t="str">
            <v>None</v>
          </cell>
          <cell r="J1857">
            <v>1</v>
          </cell>
        </row>
        <row r="1858">
          <cell r="A1858" t="str">
            <v>Dragons Provide</v>
          </cell>
          <cell r="B1858" t="str">
            <v>4m, 1wp</v>
          </cell>
          <cell r="C1858" t="str">
            <v>Reflexive</v>
          </cell>
          <cell r="D1858" t="str">
            <v>Resonant, Withering-only</v>
          </cell>
          <cell r="E1858" t="str">
            <v>One scene</v>
          </cell>
          <cell r="H1858" t="str">
            <v>Faith's Pillar</v>
          </cell>
          <cell r="I1858" t="str">
            <v>None</v>
          </cell>
          <cell r="J1858">
            <v>1</v>
          </cell>
          <cell r="L1858" t="str">
            <v>Faith Maintains</v>
          </cell>
        </row>
        <row r="1859">
          <cell r="A1859" t="str">
            <v>Orison of Thunder</v>
          </cell>
          <cell r="B1859" t="str">
            <v>4m</v>
          </cell>
          <cell r="C1859" t="str">
            <v>Supplemental</v>
          </cell>
          <cell r="D1859" t="str">
            <v>Decisive-only</v>
          </cell>
          <cell r="E1859" t="str">
            <v>Instant</v>
          </cell>
          <cell r="H1859" t="str">
            <v>Faith's Pillar</v>
          </cell>
          <cell r="I1859" t="str">
            <v>None</v>
          </cell>
          <cell r="J1859">
            <v>2</v>
          </cell>
          <cell r="K1859">
            <v>0</v>
          </cell>
          <cell r="L1859" t="str">
            <v>Dragons Provide</v>
          </cell>
        </row>
        <row r="1860">
          <cell r="A1860" t="str">
            <v>Foundations of Sand</v>
          </cell>
          <cell r="B1860" t="str">
            <v>3m, 1i</v>
          </cell>
          <cell r="C1860" t="str">
            <v>Reflexive</v>
          </cell>
          <cell r="D1860" t="str">
            <v>Perilous, Uniform</v>
          </cell>
          <cell r="E1860" t="str">
            <v>Instant</v>
          </cell>
          <cell r="H1860" t="str">
            <v>Faith's Pillar</v>
          </cell>
          <cell r="I1860" t="str">
            <v>None</v>
          </cell>
          <cell r="J1860">
            <v>2</v>
          </cell>
          <cell r="K1860">
            <v>0</v>
          </cell>
          <cell r="L1860" t="str">
            <v>Faith Maintains, Dragons Provide</v>
          </cell>
        </row>
        <row r="1861">
          <cell r="A1861" t="str">
            <v>Iniquity's Reward</v>
          </cell>
          <cell r="B1861" t="str">
            <v>5m, 1i</v>
          </cell>
          <cell r="C1861" t="str">
            <v>Reflexive</v>
          </cell>
          <cell r="D1861" t="str">
            <v>Perilous, Resonant</v>
          </cell>
          <cell r="E1861" t="str">
            <v>Instant</v>
          </cell>
          <cell r="H1861" t="str">
            <v>Faith's Pillar</v>
          </cell>
          <cell r="I1861" t="str">
            <v>None</v>
          </cell>
          <cell r="J1861">
            <v>2</v>
          </cell>
          <cell r="K1861">
            <v>0</v>
          </cell>
          <cell r="L1861" t="str">
            <v>Faith Maintains</v>
          </cell>
        </row>
        <row r="1862">
          <cell r="A1862" t="str">
            <v>Pasiap's Gentle Embrace</v>
          </cell>
          <cell r="B1862" t="str">
            <v>10m, 1wp</v>
          </cell>
          <cell r="C1862" t="str">
            <v>Reflexive</v>
          </cell>
          <cell r="D1862" t="str">
            <v>Decisive-only, Dissonant, Resonant</v>
          </cell>
          <cell r="E1862" t="str">
            <v>Instant</v>
          </cell>
          <cell r="H1862" t="str">
            <v>Faith's Pillar</v>
          </cell>
          <cell r="I1862" t="str">
            <v>None</v>
          </cell>
          <cell r="J1862">
            <v>3</v>
          </cell>
          <cell r="K1862">
            <v>0</v>
          </cell>
          <cell r="L1862" t="str">
            <v>Foundations of Sand, Iniquity's Reward</v>
          </cell>
        </row>
        <row r="1863">
          <cell r="A1863" t="str">
            <v>Righteous Enemy-Slaying Strike</v>
          </cell>
          <cell r="B1863" t="str">
            <v>3m</v>
          </cell>
          <cell r="C1863" t="str">
            <v>Supplemental</v>
          </cell>
          <cell r="D1863" t="str">
            <v>Decisive-only</v>
          </cell>
          <cell r="E1863" t="str">
            <v>Instant</v>
          </cell>
          <cell r="H1863" t="str">
            <v>Heavenly Typhoon</v>
          </cell>
          <cell r="I1863" t="str">
            <v>None</v>
          </cell>
          <cell r="J1863">
            <v>1</v>
          </cell>
          <cell r="K1863">
            <v>0</v>
          </cell>
        </row>
        <row r="1864">
          <cell r="A1864" t="str">
            <v>Storm-Shield Bulwark</v>
          </cell>
          <cell r="B1864" t="str">
            <v>-</v>
          </cell>
          <cell r="C1864" t="str">
            <v>Permanent</v>
          </cell>
          <cell r="D1864" t="str">
            <v>None</v>
          </cell>
          <cell r="E1864" t="str">
            <v>Permanent</v>
          </cell>
          <cell r="H1864" t="str">
            <v>Heavenly Typhoon</v>
          </cell>
          <cell r="I1864" t="str">
            <v>None</v>
          </cell>
          <cell r="J1864">
            <v>1</v>
          </cell>
          <cell r="K1864">
            <v>0</v>
          </cell>
          <cell r="L1864" t="str">
            <v>Seed and Salt Warding</v>
          </cell>
        </row>
        <row r="1865">
          <cell r="A1865" t="str">
            <v>Demon-Slaying Zealot's Mantra</v>
          </cell>
          <cell r="B1865" t="str">
            <v>5m, 1wp</v>
          </cell>
          <cell r="C1865" t="str">
            <v>Reflexive</v>
          </cell>
          <cell r="D1865" t="str">
            <v>Counterattack, Withering-only</v>
          </cell>
          <cell r="E1865" t="str">
            <v>Instant</v>
          </cell>
          <cell r="H1865" t="str">
            <v>Heavenly Typhoon</v>
          </cell>
          <cell r="I1865" t="str">
            <v>None</v>
          </cell>
          <cell r="J1865">
            <v>2</v>
          </cell>
          <cell r="K1865">
            <v>0</v>
          </cell>
          <cell r="L1865" t="str">
            <v>Righteous Enemy-Slaying Strike</v>
          </cell>
        </row>
        <row r="1866">
          <cell r="A1866" t="str">
            <v>Searing Wind-Razor Bolt</v>
          </cell>
          <cell r="B1866" t="str">
            <v>3m, 1wp</v>
          </cell>
          <cell r="C1866" t="str">
            <v>Simple</v>
          </cell>
          <cell r="D1866" t="str">
            <v>Decisive-only, Resonant</v>
          </cell>
          <cell r="E1866" t="str">
            <v>Instant</v>
          </cell>
          <cell r="H1866" t="str">
            <v>Heavenly Typhoon</v>
          </cell>
          <cell r="I1866" t="str">
            <v>None</v>
          </cell>
          <cell r="J1866">
            <v>2</v>
          </cell>
          <cell r="K1866">
            <v>0</v>
          </cell>
          <cell r="L1866" t="str">
            <v>Demon-Slaying Zealot's Mantra</v>
          </cell>
        </row>
        <row r="1867">
          <cell r="A1867" t="str">
            <v>Standing in the Storm's Eye</v>
          </cell>
          <cell r="B1867" t="str">
            <v>-</v>
          </cell>
          <cell r="C1867" t="str">
            <v>Permanent</v>
          </cell>
          <cell r="D1867" t="str">
            <v>None</v>
          </cell>
          <cell r="E1867" t="str">
            <v>Permanent</v>
          </cell>
          <cell r="H1867" t="str">
            <v>Heavenly Typhoon</v>
          </cell>
          <cell r="I1867" t="str">
            <v>None</v>
          </cell>
          <cell r="J1867">
            <v>3</v>
          </cell>
          <cell r="K1867">
            <v>0</v>
          </cell>
          <cell r="L1867" t="str">
            <v>Searing Wind-Razor Bolt, Storm-Shield Bulwark</v>
          </cell>
        </row>
        <row r="1868">
          <cell r="A1868" t="str">
            <v>Ten Thousand Typhoon Burst</v>
          </cell>
          <cell r="B1868" t="str">
            <v>5m, 3i, 1wp</v>
          </cell>
          <cell r="C1868" t="str">
            <v>Simple</v>
          </cell>
          <cell r="D1868" t="str">
            <v>Dissonant, Perilous, Resonant, Withering-only</v>
          </cell>
          <cell r="E1868" t="str">
            <v>Instant</v>
          </cell>
          <cell r="H1868" t="str">
            <v>Heavenly Typhoon</v>
          </cell>
          <cell r="I1868" t="str">
            <v>None</v>
          </cell>
          <cell r="J1868">
            <v>3</v>
          </cell>
          <cell r="K1868">
            <v>0</v>
          </cell>
          <cell r="L1868" t="str">
            <v>Searing Wind-Razor Bolt</v>
          </cell>
        </row>
        <row r="1869">
          <cell r="A1869" t="str">
            <v>Loyalty-Kindling Warmth</v>
          </cell>
          <cell r="B1869" t="str">
            <v>2m</v>
          </cell>
          <cell r="C1869" t="str">
            <v>Supplemental</v>
          </cell>
          <cell r="D1869" t="str">
            <v>Dual</v>
          </cell>
          <cell r="E1869" t="str">
            <v>Instant</v>
          </cell>
          <cell r="H1869" t="str">
            <v>Pyre of Legions</v>
          </cell>
          <cell r="I1869" t="str">
            <v>None</v>
          </cell>
          <cell r="J1869">
            <v>1</v>
          </cell>
          <cell r="K1869">
            <v>0</v>
          </cell>
        </row>
        <row r="1870">
          <cell r="A1870" t="str">
            <v>All-Consuming Guardian Stance</v>
          </cell>
          <cell r="B1870" t="str">
            <v>4m, 1i</v>
          </cell>
          <cell r="C1870" t="str">
            <v>Supplemental</v>
          </cell>
          <cell r="D1870" t="str">
            <v>Perilous, Resonant</v>
          </cell>
          <cell r="E1870" t="str">
            <v>Instant</v>
          </cell>
          <cell r="H1870" t="str">
            <v>Pyre of Legions</v>
          </cell>
          <cell r="I1870" t="str">
            <v>None</v>
          </cell>
          <cell r="J1870">
            <v>2</v>
          </cell>
          <cell r="K1870">
            <v>0</v>
          </cell>
          <cell r="L1870" t="str">
            <v>Loyalty-Kindling Warmth</v>
          </cell>
        </row>
        <row r="1871">
          <cell r="A1871" t="str">
            <v>Army-Routing Aegis</v>
          </cell>
          <cell r="B1871" t="str">
            <v>3m, 3i, 1ahl</v>
          </cell>
          <cell r="C1871" t="str">
            <v>Reflexive</v>
          </cell>
          <cell r="D1871" t="str">
            <v>Perilous, Resonant</v>
          </cell>
          <cell r="E1871" t="str">
            <v>Until next turn</v>
          </cell>
          <cell r="H1871" t="str">
            <v>Pyre of Legions</v>
          </cell>
          <cell r="I1871" t="str">
            <v>None</v>
          </cell>
          <cell r="J1871">
            <v>3</v>
          </cell>
          <cell r="K1871">
            <v>0</v>
          </cell>
          <cell r="L1871" t="str">
            <v>All-Consuming Guardian Stance</v>
          </cell>
        </row>
        <row r="1872">
          <cell r="A1872" t="str">
            <v>Unstoppable Heart-Stoking Incandescence</v>
          </cell>
          <cell r="B1872" t="str">
            <v>2i</v>
          </cell>
          <cell r="C1872" t="str">
            <v>Reflexive</v>
          </cell>
          <cell r="D1872" t="str">
            <v>Perilous</v>
          </cell>
          <cell r="E1872" t="str">
            <v>One scene</v>
          </cell>
          <cell r="H1872" t="str">
            <v>Pyre of Legions</v>
          </cell>
          <cell r="I1872" t="str">
            <v>None</v>
          </cell>
          <cell r="J1872">
            <v>3</v>
          </cell>
          <cell r="K1872">
            <v>0</v>
          </cell>
          <cell r="L1872" t="str">
            <v>Army-Routing Aegis</v>
          </cell>
        </row>
        <row r="1873">
          <cell r="A1873" t="str">
            <v>Somber Pyre Conflagration</v>
          </cell>
          <cell r="B1873" t="str">
            <v>2ahl, 3a</v>
          </cell>
          <cell r="C1873" t="str">
            <v>Simple</v>
          </cell>
          <cell r="D1873" t="str">
            <v>Dissonant, Uniform</v>
          </cell>
          <cell r="E1873" t="str">
            <v>One scene</v>
          </cell>
          <cell r="H1873" t="str">
            <v>Pyre of Legions</v>
          </cell>
          <cell r="I1873" t="str">
            <v>None</v>
          </cell>
          <cell r="J1873">
            <v>4</v>
          </cell>
          <cell r="K1873">
            <v>0</v>
          </cell>
          <cell r="L1873" t="str">
            <v>Army-Routing Aegis</v>
          </cell>
        </row>
        <row r="1874">
          <cell r="A1874" t="str">
            <v>Ashes Feed the Seeds</v>
          </cell>
          <cell r="B1874" t="str">
            <v>-</v>
          </cell>
          <cell r="C1874" t="str">
            <v>Reflexive</v>
          </cell>
          <cell r="D1874" t="str">
            <v>Resonant</v>
          </cell>
          <cell r="E1874" t="str">
            <v>One scene</v>
          </cell>
          <cell r="H1874" t="str">
            <v>Pyre of Legions</v>
          </cell>
          <cell r="I1874" t="str">
            <v>None</v>
          </cell>
          <cell r="J1874">
            <v>4</v>
          </cell>
          <cell r="K1874">
            <v>0</v>
          </cell>
          <cell r="L1874" t="str">
            <v>Somber Pyre Conflagration</v>
          </cell>
        </row>
        <row r="1875">
          <cell r="A1875" t="str">
            <v>From the Depths</v>
          </cell>
          <cell r="B1875" t="str">
            <v>-</v>
          </cell>
          <cell r="C1875" t="str">
            <v>Permanent</v>
          </cell>
          <cell r="D1875" t="str">
            <v>None</v>
          </cell>
          <cell r="E1875" t="str">
            <v>Permanent</v>
          </cell>
          <cell r="H1875" t="str">
            <v>Sea's Verdict</v>
          </cell>
          <cell r="I1875" t="str">
            <v>None</v>
          </cell>
          <cell r="J1875">
            <v>1</v>
          </cell>
          <cell r="K1875">
            <v>0</v>
          </cell>
          <cell r="L1875" t="str">
            <v>Elemental Sheath</v>
          </cell>
        </row>
        <row r="1876">
          <cell r="A1876" t="str">
            <v>Kraken's Gavel</v>
          </cell>
          <cell r="B1876" t="str">
            <v>3m, 2i</v>
          </cell>
          <cell r="C1876" t="str">
            <v>Simple</v>
          </cell>
          <cell r="D1876" t="str">
            <v>Uniform</v>
          </cell>
          <cell r="E1876" t="str">
            <v>Instant</v>
          </cell>
          <cell r="H1876" t="str">
            <v>Sea's Verdict</v>
          </cell>
          <cell r="I1876" t="str">
            <v>None</v>
          </cell>
          <cell r="J1876">
            <v>1</v>
          </cell>
          <cell r="K1876">
            <v>0</v>
          </cell>
        </row>
        <row r="1877">
          <cell r="A1877" t="str">
            <v>Hull-Breaking Tsunami Swipe</v>
          </cell>
          <cell r="B1877" t="str">
            <v>4m</v>
          </cell>
          <cell r="C1877" t="str">
            <v>Supplemental</v>
          </cell>
          <cell r="D1877" t="str">
            <v>Resonant, Uniform</v>
          </cell>
          <cell r="E1877" t="str">
            <v>Instant</v>
          </cell>
          <cell r="H1877" t="str">
            <v>Sea's Verdict</v>
          </cell>
          <cell r="I1877" t="str">
            <v>None</v>
          </cell>
          <cell r="J1877">
            <v>1</v>
          </cell>
          <cell r="K1877">
            <v>0</v>
          </cell>
          <cell r="L1877" t="str">
            <v>Kraken's Gavel</v>
          </cell>
        </row>
        <row r="1878">
          <cell r="A1878" t="str">
            <v>Lost Blade Riptide</v>
          </cell>
          <cell r="B1878" t="str">
            <v>5m, 2i, 1a from Sea's Verdict</v>
          </cell>
          <cell r="C1878" t="str">
            <v>Supplemental</v>
          </cell>
          <cell r="D1878" t="str">
            <v>Decisive-only, Dissonant</v>
          </cell>
          <cell r="E1878" t="str">
            <v>Instant</v>
          </cell>
          <cell r="H1878" t="str">
            <v>Sea's Verdict</v>
          </cell>
          <cell r="I1878" t="str">
            <v>None</v>
          </cell>
          <cell r="J1878">
            <v>2</v>
          </cell>
          <cell r="K1878">
            <v>0</v>
          </cell>
          <cell r="L1878" t="str">
            <v>Hull-Breaking Tsunami Swipe</v>
          </cell>
        </row>
        <row r="1879">
          <cell r="A1879" t="str">
            <v>Awaken the Tide</v>
          </cell>
          <cell r="B1879" t="str">
            <v>-</v>
          </cell>
          <cell r="C1879" t="str">
            <v>Permanent</v>
          </cell>
          <cell r="D1879" t="str">
            <v>None</v>
          </cell>
          <cell r="E1879" t="str">
            <v>Permanent</v>
          </cell>
          <cell r="H1879" t="str">
            <v>Sea's Verdict</v>
          </cell>
          <cell r="I1879" t="str">
            <v>None</v>
          </cell>
          <cell r="J1879">
            <v>3</v>
          </cell>
          <cell r="K1879">
            <v>0</v>
          </cell>
          <cell r="L1879" t="str">
            <v>From the Depths, Lost Blade Riptide</v>
          </cell>
        </row>
        <row r="1880">
          <cell r="A1880" t="str">
            <v>Gaol Without Fathom</v>
          </cell>
          <cell r="B1880" t="str">
            <v>8m, 1wp, 2a from Sea's Verdict (2i per enemy)</v>
          </cell>
          <cell r="C1880" t="str">
            <v>Simple</v>
          </cell>
          <cell r="D1880" t="str">
            <v>Decisive-only, Dissonant, Resonant</v>
          </cell>
          <cell r="E1880" t="str">
            <v>Instant</v>
          </cell>
          <cell r="H1880" t="str">
            <v>Sea's Verdict</v>
          </cell>
          <cell r="I1880" t="str">
            <v>None</v>
          </cell>
          <cell r="J1880">
            <v>3</v>
          </cell>
          <cell r="K1880">
            <v>0</v>
          </cell>
          <cell r="L1880" t="str">
            <v>Awaken the Tide</v>
          </cell>
        </row>
        <row r="1881">
          <cell r="A1881" t="str">
            <v>Thunder of the Abyss</v>
          </cell>
          <cell r="B1881" t="str">
            <v>- (+1-3a from Sea's Verdict)</v>
          </cell>
          <cell r="C1881" t="str">
            <v>Permanent</v>
          </cell>
          <cell r="D1881" t="str">
            <v>Decisive-only</v>
          </cell>
          <cell r="E1881" t="str">
            <v>Permanent</v>
          </cell>
          <cell r="H1881" t="str">
            <v>Sea's Verdict</v>
          </cell>
          <cell r="I1881" t="str">
            <v>None</v>
          </cell>
          <cell r="J1881">
            <v>4</v>
          </cell>
          <cell r="K1881">
            <v>0</v>
          </cell>
          <cell r="L1881" t="str">
            <v>Gaol Without Fathom</v>
          </cell>
        </row>
        <row r="1882">
          <cell r="A1882" t="str">
            <v>Still-Burning Ember Ambush</v>
          </cell>
          <cell r="B1882" t="str">
            <v>3m, 2i</v>
          </cell>
          <cell r="C1882" t="str">
            <v>Reflexive</v>
          </cell>
          <cell r="D1882" t="str">
            <v>Mute, Perilous, Resonant</v>
          </cell>
          <cell r="E1882" t="str">
            <v>Instant</v>
          </cell>
          <cell r="H1882" t="str">
            <v>Smiling Razors</v>
          </cell>
          <cell r="I1882" t="str">
            <v>None</v>
          </cell>
          <cell r="J1882">
            <v>1</v>
          </cell>
          <cell r="K1882">
            <v>0</v>
          </cell>
        </row>
        <row r="1883">
          <cell r="A1883" t="str">
            <v>Coiling-Smoke-Plume Deception</v>
          </cell>
          <cell r="B1883" t="str">
            <v>-</v>
          </cell>
          <cell r="C1883" t="str">
            <v>Permanent</v>
          </cell>
          <cell r="D1883" t="str">
            <v>None</v>
          </cell>
          <cell r="E1883" t="str">
            <v>One scene</v>
          </cell>
          <cell r="H1883" t="str">
            <v>Smiling Razors</v>
          </cell>
          <cell r="I1883" t="str">
            <v>None</v>
          </cell>
          <cell r="J1883">
            <v>1</v>
          </cell>
          <cell r="K1883">
            <v>0</v>
          </cell>
          <cell r="L1883" t="str">
            <v>Still-Burning Ember Ambush, Vanishing Wind-Body Technique</v>
          </cell>
        </row>
        <row r="1884">
          <cell r="A1884" t="str">
            <v>Inviting Fireside Distraction</v>
          </cell>
          <cell r="B1884" t="str">
            <v>-</v>
          </cell>
          <cell r="C1884" t="str">
            <v>Permanent</v>
          </cell>
          <cell r="D1884" t="str">
            <v>None</v>
          </cell>
          <cell r="E1884" t="str">
            <v>One scene</v>
          </cell>
          <cell r="H1884" t="str">
            <v>Smiling Razors</v>
          </cell>
          <cell r="I1884" t="str">
            <v>None</v>
          </cell>
          <cell r="J1884">
            <v>1</v>
          </cell>
          <cell r="K1884">
            <v>0</v>
          </cell>
          <cell r="L1884" t="str">
            <v>Rose-Among-Thorns Distinction, Still-Burning Ember Ambush</v>
          </cell>
        </row>
        <row r="1885">
          <cell r="A1885" t="str">
            <v>Searing Pain Infliction Tactic</v>
          </cell>
          <cell r="B1885" t="str">
            <v>4m, 1i</v>
          </cell>
          <cell r="C1885" t="str">
            <v>Simple</v>
          </cell>
          <cell r="D1885" t="str">
            <v>Decisive-only, Resonant</v>
          </cell>
          <cell r="E1885" t="str">
            <v>Instant</v>
          </cell>
          <cell r="H1885" t="str">
            <v>Smiling Razors</v>
          </cell>
          <cell r="I1885" t="str">
            <v>None</v>
          </cell>
          <cell r="J1885">
            <v>2</v>
          </cell>
          <cell r="K1885">
            <v>0</v>
          </cell>
          <cell r="L1885" t="str">
            <v>Still-Burning Ember Ambush</v>
          </cell>
        </row>
        <row r="1886">
          <cell r="A1886" t="str">
            <v>Soul-Burning Mark</v>
          </cell>
          <cell r="B1886" t="str">
            <v>3m, 2i</v>
          </cell>
          <cell r="C1886" t="str">
            <v>Simple</v>
          </cell>
          <cell r="D1886" t="str">
            <v>Withering-only</v>
          </cell>
          <cell r="E1886" t="str">
            <v>Instant</v>
          </cell>
          <cell r="H1886" t="str">
            <v>Smiling Razors</v>
          </cell>
          <cell r="I1886" t="str">
            <v>None</v>
          </cell>
          <cell r="J1886">
            <v>2</v>
          </cell>
          <cell r="K1886">
            <v>0</v>
          </cell>
          <cell r="L1886" t="str">
            <v>Searing Pain Infliction Tactic</v>
          </cell>
        </row>
        <row r="1887">
          <cell r="A1887" t="str">
            <v>Drifting Smoke-Cloud Passage</v>
          </cell>
          <cell r="B1887" t="str">
            <v>10m, 1wp</v>
          </cell>
          <cell r="C1887" t="str">
            <v>Reflexive</v>
          </cell>
          <cell r="D1887" t="str">
            <v>Dissonant, Mute</v>
          </cell>
          <cell r="E1887" t="str">
            <v>Instant</v>
          </cell>
          <cell r="H1887" t="str">
            <v>Smiling Razors</v>
          </cell>
          <cell r="I1887" t="str">
            <v>None</v>
          </cell>
          <cell r="J1887">
            <v>3</v>
          </cell>
          <cell r="K1887">
            <v>0</v>
          </cell>
          <cell r="L1887" t="str">
            <v>Inviting Fireside Distraction, Soul-Burning Mark</v>
          </cell>
        </row>
        <row r="1888">
          <cell r="A1888" t="str">
            <v>Still Waters Hide Fury</v>
          </cell>
          <cell r="B1888" t="str">
            <v>5m, 1wp</v>
          </cell>
          <cell r="C1888" t="str">
            <v>Simple</v>
          </cell>
          <cell r="D1888" t="str">
            <v>Mute, Resonant</v>
          </cell>
          <cell r="E1888" t="str">
            <v>One scene</v>
          </cell>
          <cell r="H1888" t="str">
            <v>Vengeant</v>
          </cell>
          <cell r="I1888" t="str">
            <v>None</v>
          </cell>
          <cell r="J1888">
            <v>1</v>
          </cell>
          <cell r="K1888">
            <v>0</v>
          </cell>
        </row>
        <row r="1889">
          <cell r="A1889" t="str">
            <v>Ember-Smothering Convolution</v>
          </cell>
          <cell r="B1889" t="str">
            <v>3m</v>
          </cell>
          <cell r="C1889" t="str">
            <v>Supplemental</v>
          </cell>
          <cell r="D1889" t="str">
            <v>Resonant</v>
          </cell>
          <cell r="E1889" t="str">
            <v>Instant</v>
          </cell>
          <cell r="H1889" t="str">
            <v>Vengeant</v>
          </cell>
          <cell r="I1889" t="str">
            <v>None</v>
          </cell>
          <cell r="J1889">
            <v>2</v>
          </cell>
          <cell r="K1889">
            <v>0</v>
          </cell>
          <cell r="L1889" t="str">
            <v>Still Waters Hide Fury</v>
          </cell>
        </row>
        <row r="1890">
          <cell r="A1890" t="str">
            <v>Earth-Eroding Tactic</v>
          </cell>
          <cell r="B1890" t="str">
            <v>4m, 2i</v>
          </cell>
          <cell r="C1890" t="str">
            <v>Supplemental</v>
          </cell>
          <cell r="D1890" t="str">
            <v>Decisive-only, Mute, Resonant</v>
          </cell>
          <cell r="E1890" t="str">
            <v>Instant</v>
          </cell>
          <cell r="H1890" t="str">
            <v>Vengeant</v>
          </cell>
          <cell r="I1890" t="str">
            <v>None</v>
          </cell>
          <cell r="J1890">
            <v>2</v>
          </cell>
          <cell r="K1890">
            <v>0</v>
          </cell>
          <cell r="L1890" t="str">
            <v>Still Waters Hide Fury</v>
          </cell>
        </row>
        <row r="1891">
          <cell r="A1891" t="str">
            <v>Breath-Denying Vengeance Current</v>
          </cell>
          <cell r="B1891" t="str">
            <v>5m</v>
          </cell>
          <cell r="C1891" t="str">
            <v>Simple</v>
          </cell>
          <cell r="D1891" t="str">
            <v>Decisive-only, Resonant</v>
          </cell>
          <cell r="E1891" t="str">
            <v>Instant</v>
          </cell>
          <cell r="H1891" t="str">
            <v>Vengeant</v>
          </cell>
          <cell r="I1891" t="str">
            <v>None</v>
          </cell>
          <cell r="J1891">
            <v>3</v>
          </cell>
          <cell r="K1891">
            <v>0</v>
          </cell>
          <cell r="L1891" t="str">
            <v>Earth-Eroding Tactic</v>
          </cell>
        </row>
        <row r="1892">
          <cell r="A1892" t="str">
            <v>Drink the Lesser Seas</v>
          </cell>
          <cell r="B1892" t="str">
            <v>2m, 1wp</v>
          </cell>
          <cell r="C1892" t="str">
            <v>Simple</v>
          </cell>
          <cell r="D1892" t="str">
            <v>Decisive-only, Resonant</v>
          </cell>
          <cell r="E1892" t="str">
            <v>Instant</v>
          </cell>
          <cell r="H1892" t="str">
            <v>Vengeant</v>
          </cell>
          <cell r="I1892" t="str">
            <v>None</v>
          </cell>
          <cell r="J1892">
            <v>3</v>
          </cell>
          <cell r="K1892">
            <v>0</v>
          </cell>
          <cell r="L1892" t="str">
            <v>Ember-Smothering Convolution</v>
          </cell>
        </row>
        <row r="1893">
          <cell r="A1893" t="str">
            <v>Hundred-Generation Forest Desecration</v>
          </cell>
          <cell r="B1893" t="str">
            <v>- (+5m, 1wp)</v>
          </cell>
          <cell r="C1893" t="str">
            <v>Permanent</v>
          </cell>
          <cell r="D1893" t="str">
            <v>Dissonant</v>
          </cell>
          <cell r="E1893" t="str">
            <v>Permanent</v>
          </cell>
          <cell r="H1893" t="str">
            <v>Vengeant</v>
          </cell>
          <cell r="I1893" t="str">
            <v>None</v>
          </cell>
          <cell r="J1893">
            <v>4</v>
          </cell>
          <cell r="K1893">
            <v>0</v>
          </cell>
          <cell r="L1893" t="str">
            <v>Drink the Lesser Seas, Breath-Denying Vengeance Current</v>
          </cell>
        </row>
        <row r="1894">
          <cell r="A1894" t="str">
            <v>Dragon-Shattering Restitution</v>
          </cell>
          <cell r="B1894" t="str">
            <v>1m, 1wp</v>
          </cell>
          <cell r="C1894" t="str">
            <v>Reflexive</v>
          </cell>
          <cell r="D1894" t="str">
            <v>Decisive-only, Dissonant, Psyche</v>
          </cell>
          <cell r="E1894" t="str">
            <v>Instant</v>
          </cell>
          <cell r="H1894" t="str">
            <v>Vengeant</v>
          </cell>
          <cell r="I1894" t="str">
            <v>None</v>
          </cell>
          <cell r="J1894">
            <v>4</v>
          </cell>
          <cell r="K1894">
            <v>0</v>
          </cell>
          <cell r="L1894" t="str">
            <v>Hundred-Generation Forest Desecration</v>
          </cell>
        </row>
        <row r="1895">
          <cell r="A1895" t="str">
            <v>Brilliant Reproach</v>
          </cell>
          <cell r="B1895" t="str">
            <v>5m</v>
          </cell>
          <cell r="C1895" t="str">
            <v>Simple</v>
          </cell>
          <cell r="D1895" t="str">
            <v>Decisive-only, Resonant</v>
          </cell>
          <cell r="E1895" t="str">
            <v>Instant</v>
          </cell>
          <cell r="H1895" t="str">
            <v>Horizon Cleaver</v>
          </cell>
          <cell r="I1895" t="str">
            <v>None</v>
          </cell>
          <cell r="J1895">
            <v>1</v>
          </cell>
          <cell r="K1895">
            <v>0</v>
          </cell>
        </row>
        <row r="1896">
          <cell r="A1896" t="str">
            <v>Arcing Death Strike</v>
          </cell>
          <cell r="B1896" t="str">
            <v>- (+2m)</v>
          </cell>
          <cell r="C1896" t="str">
            <v>Permanent</v>
          </cell>
          <cell r="D1896" t="str">
            <v>Resonant</v>
          </cell>
          <cell r="E1896" t="str">
            <v>Permanent</v>
          </cell>
          <cell r="H1896" t="str">
            <v>Horizon Cleaver</v>
          </cell>
          <cell r="I1896" t="str">
            <v>None</v>
          </cell>
          <cell r="J1896">
            <v>2</v>
          </cell>
          <cell r="K1896">
            <v>0</v>
          </cell>
          <cell r="L1896" t="str">
            <v>Brilliant Reproach</v>
          </cell>
        </row>
        <row r="1897">
          <cell r="A1897" t="str">
            <v>On Wings of Deadly Lightning</v>
          </cell>
          <cell r="B1897" t="str">
            <v>5m, 1wp</v>
          </cell>
          <cell r="C1897" t="str">
            <v>Reflexive</v>
          </cell>
          <cell r="D1897" t="str">
            <v>Perilous</v>
          </cell>
          <cell r="E1897" t="str">
            <v>Instant</v>
          </cell>
          <cell r="H1897" t="str">
            <v>Horizon Cleaver</v>
          </cell>
          <cell r="I1897" t="str">
            <v>None</v>
          </cell>
          <cell r="J1897">
            <v>3</v>
          </cell>
          <cell r="K1897">
            <v>0</v>
          </cell>
          <cell r="L1897" t="str">
            <v>Arcing Death Strike</v>
          </cell>
        </row>
        <row r="1898">
          <cell r="A1898" t="str">
            <v>Intemperate Tempest Fusillade</v>
          </cell>
          <cell r="B1898" t="str">
            <v>- (+2m, 1wp)</v>
          </cell>
          <cell r="C1898" t="str">
            <v>Permanent</v>
          </cell>
          <cell r="D1898" t="str">
            <v>Dissonant</v>
          </cell>
          <cell r="E1898" t="str">
            <v>Permanent</v>
          </cell>
          <cell r="H1898" t="str">
            <v>Horizon Cleaver</v>
          </cell>
          <cell r="I1898" t="str">
            <v>None</v>
          </cell>
          <cell r="J1898">
            <v>3</v>
          </cell>
          <cell r="K1898">
            <v>0</v>
          </cell>
          <cell r="L1898" t="str">
            <v>Arcing Death Strike</v>
          </cell>
        </row>
        <row r="1899">
          <cell r="A1899" t="str">
            <v>Maelstrom-Taming Warrior's Code</v>
          </cell>
          <cell r="B1899" t="str">
            <v>-</v>
          </cell>
          <cell r="C1899" t="str">
            <v>Permanent</v>
          </cell>
          <cell r="D1899" t="str">
            <v>Decisive-only, Dissonant</v>
          </cell>
          <cell r="E1899" t="str">
            <v>Permanent</v>
          </cell>
          <cell r="H1899" t="str">
            <v>Horizon Cleaver</v>
          </cell>
          <cell r="I1899" t="str">
            <v>None</v>
          </cell>
          <cell r="J1899">
            <v>4</v>
          </cell>
          <cell r="K1899">
            <v>0</v>
          </cell>
          <cell r="L1899" t="str">
            <v>Intemperate Tempest Fusillade, On Wings of Deadly Lightning</v>
          </cell>
        </row>
        <row r="1900">
          <cell r="A1900" t="str">
            <v>As Two Strangers Upon the Road</v>
          </cell>
          <cell r="B1900" t="str">
            <v>2m</v>
          </cell>
          <cell r="C1900" t="str">
            <v>Supplemental</v>
          </cell>
          <cell r="D1900" t="str">
            <v>Withering-only</v>
          </cell>
          <cell r="E1900" t="str">
            <v>Instant</v>
          </cell>
          <cell r="H1900" t="str">
            <v>Imprimatur</v>
          </cell>
          <cell r="I1900" t="str">
            <v>None</v>
          </cell>
          <cell r="J1900">
            <v>1</v>
          </cell>
          <cell r="K1900">
            <v>0</v>
          </cell>
        </row>
        <row r="1901">
          <cell r="A1901" t="str">
            <v>Sibling-Humbling Placation</v>
          </cell>
          <cell r="B1901" t="str">
            <v>3m, 2 Renown</v>
          </cell>
          <cell r="C1901" t="str">
            <v>Supplemental</v>
          </cell>
          <cell r="D1901" t="str">
            <v>Decisive-only, Resonant</v>
          </cell>
          <cell r="E1901" t="str">
            <v>Instant</v>
          </cell>
          <cell r="H1901" t="str">
            <v>Imprimatur</v>
          </cell>
          <cell r="I1901" t="str">
            <v>None</v>
          </cell>
          <cell r="J1901">
            <v>1</v>
          </cell>
          <cell r="K1901">
            <v>0</v>
          </cell>
          <cell r="L1901" t="str">
            <v>As Two Strangers Upon the Road</v>
          </cell>
        </row>
        <row r="1902">
          <cell r="A1902" t="str">
            <v>The Matchmaker's Cockerel Stride</v>
          </cell>
          <cell r="B1902" t="str">
            <v>5m</v>
          </cell>
          <cell r="C1902" t="str">
            <v>Supplemental</v>
          </cell>
          <cell r="D1902" t="str">
            <v>Resonant</v>
          </cell>
          <cell r="E1902" t="str">
            <v>Instant</v>
          </cell>
          <cell r="H1902" t="str">
            <v>Imprimatur</v>
          </cell>
          <cell r="I1902" t="str">
            <v>None</v>
          </cell>
          <cell r="J1902">
            <v>2</v>
          </cell>
          <cell r="K1902">
            <v>0</v>
          </cell>
          <cell r="L1902" t="str">
            <v>Sibling-Humbling Placation</v>
          </cell>
        </row>
        <row r="1903">
          <cell r="A1903" t="str">
            <v>Youngest Son's Inheritance</v>
          </cell>
          <cell r="B1903" t="str">
            <v>5m, 1wp</v>
          </cell>
          <cell r="C1903" t="str">
            <v>Reflexive</v>
          </cell>
          <cell r="D1903" t="str">
            <v>Clash, Decisive-only, Dissonant</v>
          </cell>
          <cell r="E1903" t="str">
            <v>Instant</v>
          </cell>
          <cell r="H1903" t="str">
            <v>Imprimatur</v>
          </cell>
          <cell r="I1903" t="str">
            <v>None</v>
          </cell>
          <cell r="J1903">
            <v>3</v>
          </cell>
          <cell r="K1903">
            <v>0</v>
          </cell>
          <cell r="L1903" t="str">
            <v>Sibling-Humbling Placation</v>
          </cell>
        </row>
        <row r="1904">
          <cell r="A1904" t="str">
            <v>The Final Words of Queens</v>
          </cell>
          <cell r="B1904" t="str">
            <v>10m, 1wp</v>
          </cell>
          <cell r="C1904" t="str">
            <v>Simple</v>
          </cell>
          <cell r="D1904" t="str">
            <v>Dissonant</v>
          </cell>
          <cell r="E1904" t="str">
            <v>One scene</v>
          </cell>
          <cell r="H1904" t="str">
            <v>Imprimatur</v>
          </cell>
          <cell r="I1904" t="str">
            <v>None</v>
          </cell>
          <cell r="J1904">
            <v>4</v>
          </cell>
          <cell r="K1904">
            <v>0</v>
          </cell>
          <cell r="L1904" t="str">
            <v>The Matchmaker's Cockerel Stride, Youngest Son's Inheritance</v>
          </cell>
        </row>
        <row r="1905">
          <cell r="A1905" t="str">
            <v>Clairvoyant Mirror Technique</v>
          </cell>
          <cell r="B1905" t="str">
            <v>5m</v>
          </cell>
          <cell r="C1905" t="str">
            <v>Reflexive</v>
          </cell>
          <cell r="D1905" t="str">
            <v>Mute</v>
          </cell>
          <cell r="E1905" t="str">
            <v>Instant</v>
          </cell>
          <cell r="H1905" t="str">
            <v>Perdurant Vault</v>
          </cell>
          <cell r="I1905" t="str">
            <v>None</v>
          </cell>
          <cell r="J1905">
            <v>1</v>
          </cell>
          <cell r="K1905">
            <v>0</v>
          </cell>
        </row>
        <row r="1906">
          <cell r="A1906" t="str">
            <v>Unblemished Petal Prana</v>
          </cell>
          <cell r="B1906" t="str">
            <v>4m</v>
          </cell>
          <cell r="C1906" t="str">
            <v>Reflexive</v>
          </cell>
          <cell r="D1906" t="str">
            <v>Resonant</v>
          </cell>
          <cell r="E1906" t="str">
            <v>Instant</v>
          </cell>
          <cell r="H1906" t="str">
            <v>Perdurant Vault</v>
          </cell>
          <cell r="I1906" t="str">
            <v>None</v>
          </cell>
          <cell r="J1906">
            <v>1</v>
          </cell>
          <cell r="K1906">
            <v>0</v>
          </cell>
        </row>
        <row r="1907">
          <cell r="A1907" t="str">
            <v>Subliminal Sanctuary</v>
          </cell>
          <cell r="B1907" t="str">
            <v>4m</v>
          </cell>
          <cell r="C1907" t="str">
            <v>Reflexive</v>
          </cell>
          <cell r="D1907" t="str">
            <v>Mute, Resonant</v>
          </cell>
          <cell r="E1907" t="str">
            <v>Instant</v>
          </cell>
          <cell r="H1907" t="str">
            <v>Perdurant Vault</v>
          </cell>
          <cell r="I1907" t="str">
            <v>None</v>
          </cell>
          <cell r="J1907">
            <v>2</v>
          </cell>
          <cell r="K1907">
            <v>0</v>
          </cell>
          <cell r="L1907" t="str">
            <v>Clairvoyant Mirror Technique</v>
          </cell>
        </row>
        <row r="1908">
          <cell r="A1908" t="str">
            <v>Protect the Empress</v>
          </cell>
          <cell r="B1908" t="str">
            <v>5m, 1wp</v>
          </cell>
          <cell r="C1908" t="str">
            <v>Reflexive</v>
          </cell>
          <cell r="D1908" t="str">
            <v>Resonant</v>
          </cell>
          <cell r="E1908" t="str">
            <v>Instant</v>
          </cell>
          <cell r="H1908" t="str">
            <v>Perdurant Vault</v>
          </cell>
          <cell r="I1908" t="str">
            <v>None</v>
          </cell>
          <cell r="J1908">
            <v>3</v>
          </cell>
          <cell r="K1908">
            <v>0</v>
          </cell>
          <cell r="L1908" t="str">
            <v>Subliminal Sanctuary</v>
          </cell>
        </row>
        <row r="1909">
          <cell r="A1909" t="str">
            <v>Banish the Afflictions</v>
          </cell>
          <cell r="B1909" t="str">
            <v>15m, 1wp</v>
          </cell>
          <cell r="C1909" t="str">
            <v>Simple</v>
          </cell>
          <cell r="D1909" t="str">
            <v>Dissonant</v>
          </cell>
          <cell r="E1909" t="str">
            <v>One day</v>
          </cell>
          <cell r="H1909" t="str">
            <v>Perdurant Vault</v>
          </cell>
          <cell r="I1909" t="str">
            <v>None</v>
          </cell>
          <cell r="J1909">
            <v>3</v>
          </cell>
          <cell r="K1909">
            <v>0</v>
          </cell>
          <cell r="L1909" t="str">
            <v>Protect the Empress, Unblemished Petal Prana</v>
          </cell>
        </row>
        <row r="1910">
          <cell r="A1910" t="str">
            <v>Traverse the Secret City</v>
          </cell>
          <cell r="B1910" t="str">
            <v>10m, 1wp</v>
          </cell>
          <cell r="C1910" t="str">
            <v>Simple</v>
          </cell>
          <cell r="D1910" t="str">
            <v>Dissonant, Resonant</v>
          </cell>
          <cell r="E1910" t="str">
            <v>(Essence + Integrity) days</v>
          </cell>
          <cell r="H1910" t="str">
            <v>Perdurant Vault</v>
          </cell>
          <cell r="I1910" t="str">
            <v>None</v>
          </cell>
          <cell r="J1910">
            <v>4</v>
          </cell>
          <cell r="K1910">
            <v>0</v>
          </cell>
          <cell r="L1910" t="str">
            <v>Protect the Empress, Imprison the Afflictions</v>
          </cell>
        </row>
        <row r="1911">
          <cell r="A1911" t="str">
            <v>Enfolding Sentinel's Prescience</v>
          </cell>
          <cell r="B1911" t="str">
            <v>5m</v>
          </cell>
          <cell r="C1911" t="str">
            <v>Supplemental</v>
          </cell>
          <cell r="D1911" t="str">
            <v>Resonant</v>
          </cell>
          <cell r="E1911" t="str">
            <v>Instant</v>
          </cell>
          <cell r="H1911" t="str">
            <v>Eyebright</v>
          </cell>
          <cell r="I1911" t="str">
            <v>None</v>
          </cell>
          <cell r="J1911">
            <v>1</v>
          </cell>
          <cell r="L1911" t="str">
            <v>Heart-Evading Sidestep</v>
          </cell>
        </row>
        <row r="1912">
          <cell r="A1912" t="str">
            <v>Heart-Evading Sidestep</v>
          </cell>
          <cell r="B1912" t="str">
            <v>1i</v>
          </cell>
          <cell r="C1912" t="str">
            <v>Reflexive</v>
          </cell>
          <cell r="D1912" t="str">
            <v>Uniform, Perilous</v>
          </cell>
          <cell r="E1912" t="str">
            <v>Instant</v>
          </cell>
          <cell r="H1912" t="str">
            <v>Eyebright</v>
          </cell>
          <cell r="I1912" t="str">
            <v>None</v>
          </cell>
          <cell r="J1912">
            <v>1</v>
          </cell>
          <cell r="L1912" t="str">
            <v>Enfolding Sentinel's Prescience</v>
          </cell>
        </row>
        <row r="1913">
          <cell r="A1913" t="str">
            <v>Knowing the Hunter's Soul</v>
          </cell>
          <cell r="B1913" t="str">
            <v>-</v>
          </cell>
          <cell r="C1913" t="str">
            <v>Permanent</v>
          </cell>
          <cell r="D1913" t="str">
            <v>Resonant</v>
          </cell>
          <cell r="E1913" t="str">
            <v>Permanent</v>
          </cell>
          <cell r="H1913" t="str">
            <v>Eyebright</v>
          </cell>
          <cell r="I1913" t="str">
            <v>None</v>
          </cell>
          <cell r="J1913">
            <v>1</v>
          </cell>
          <cell r="L1913" t="str">
            <v>Ever-Wary Fox Technique</v>
          </cell>
        </row>
        <row r="1914">
          <cell r="A1914" t="str">
            <v>Sapphire Warrior Intuition</v>
          </cell>
          <cell r="B1914" t="str">
            <v>1m</v>
          </cell>
          <cell r="C1914" t="str">
            <v>Reflexive</v>
          </cell>
          <cell r="D1914" t="str">
            <v>Resonant, Uniform</v>
          </cell>
          <cell r="E1914" t="str">
            <v>Instant</v>
          </cell>
          <cell r="H1914" t="str">
            <v>Eyebright</v>
          </cell>
          <cell r="I1914" t="str">
            <v>None</v>
          </cell>
          <cell r="J1914">
            <v>2</v>
          </cell>
          <cell r="L1914" t="str">
            <v>Enfolding Sentinel's Presence</v>
          </cell>
        </row>
        <row r="1915">
          <cell r="A1915" t="str">
            <v>Thousand-Eyed Sword Dancer</v>
          </cell>
          <cell r="B1915" t="str">
            <v>1m, 1wp</v>
          </cell>
          <cell r="C1915" t="str">
            <v>Reflexive</v>
          </cell>
          <cell r="D1915" t="str">
            <v>None</v>
          </cell>
          <cell r="E1915" t="str">
            <v>One scene</v>
          </cell>
          <cell r="H1915" t="str">
            <v>Eyebright</v>
          </cell>
          <cell r="I1915" t="str">
            <v>None</v>
          </cell>
          <cell r="J1915">
            <v>3</v>
          </cell>
          <cell r="L1915" t="str">
            <v>Sapphire Warrior Intuition</v>
          </cell>
        </row>
        <row r="1916">
          <cell r="A1916" t="str">
            <v>All-Seeing Awareness Stance</v>
          </cell>
          <cell r="B1916" t="str">
            <v>6m, 1wp</v>
          </cell>
          <cell r="C1916" t="str">
            <v>Simple</v>
          </cell>
          <cell r="D1916" t="str">
            <v>Resonant</v>
          </cell>
          <cell r="E1916" t="str">
            <v>One scene</v>
          </cell>
          <cell r="H1916" t="str">
            <v>Eyebright</v>
          </cell>
          <cell r="I1916" t="str">
            <v>None</v>
          </cell>
          <cell r="J1916">
            <v>4</v>
          </cell>
          <cell r="L1916" t="str">
            <v>Knowing the Hunter's Soul, Thousand-Eyed Sword Dancer</v>
          </cell>
        </row>
        <row r="1917">
          <cell r="A1917" t="str">
            <v>Eye-of-Strife Meditation</v>
          </cell>
          <cell r="B1917" t="str">
            <v>3m</v>
          </cell>
          <cell r="C1917" t="str">
            <v>Supplemental</v>
          </cell>
          <cell r="D1917" t="str">
            <v>None</v>
          </cell>
          <cell r="E1917" t="str">
            <v>Instant</v>
          </cell>
          <cell r="H1917" t="str">
            <v>Far-Ranging Eye</v>
          </cell>
          <cell r="I1917" t="str">
            <v>None</v>
          </cell>
          <cell r="J1917">
            <v>1</v>
          </cell>
        </row>
        <row r="1918">
          <cell r="A1918" t="str">
            <v>Blinking Eye Omen</v>
          </cell>
          <cell r="B1918" t="str">
            <v>2m</v>
          </cell>
          <cell r="C1918" t="str">
            <v>Supplemental</v>
          </cell>
          <cell r="D1918" t="str">
            <v>None</v>
          </cell>
          <cell r="E1918" t="str">
            <v>Instant</v>
          </cell>
          <cell r="H1918" t="str">
            <v>Far-Ranging Eye</v>
          </cell>
          <cell r="I1918" t="str">
            <v>None</v>
          </cell>
          <cell r="J1918">
            <v>1</v>
          </cell>
          <cell r="L1918" t="str">
            <v>Eye-of-Strife Meditation</v>
          </cell>
        </row>
        <row r="1919">
          <cell r="A1919" t="str">
            <v>Razor Vigil Meditation</v>
          </cell>
          <cell r="B1919" t="str">
            <v>4m</v>
          </cell>
          <cell r="C1919" t="str">
            <v>Reflexive</v>
          </cell>
          <cell r="D1919" t="str">
            <v>Resonant, Uniform</v>
          </cell>
          <cell r="E1919" t="str">
            <v>Instant</v>
          </cell>
          <cell r="H1919" t="str">
            <v>Far-Ranging Eye</v>
          </cell>
          <cell r="I1919" t="str">
            <v>None</v>
          </cell>
          <cell r="J1919">
            <v>2</v>
          </cell>
          <cell r="L1919" t="str">
            <v>Blinking Eye Omen</v>
          </cell>
        </row>
        <row r="1920">
          <cell r="A1920" t="str">
            <v>Soul-Piercing Lens</v>
          </cell>
          <cell r="B1920" t="str">
            <v>2m, 1wp</v>
          </cell>
          <cell r="C1920" t="str">
            <v>Simple</v>
          </cell>
          <cell r="D1920" t="str">
            <v>Perilous</v>
          </cell>
          <cell r="E1920" t="str">
            <v>Instant</v>
          </cell>
          <cell r="H1920" t="str">
            <v>Far-Ranging Eye</v>
          </cell>
          <cell r="I1920" t="str">
            <v>None</v>
          </cell>
          <cell r="J1920">
            <v>2</v>
          </cell>
          <cell r="L1920" t="str">
            <v>Razor Vigil Meditation</v>
          </cell>
        </row>
        <row r="1921">
          <cell r="A1921" t="str">
            <v>Reflections on Adversity</v>
          </cell>
          <cell r="B1921" t="str">
            <v>-</v>
          </cell>
          <cell r="C1921" t="str">
            <v>Permanent</v>
          </cell>
          <cell r="D1921" t="str">
            <v>None</v>
          </cell>
          <cell r="E1921" t="str">
            <v>Permanent</v>
          </cell>
          <cell r="H1921" t="str">
            <v>Far-Ranging Eye</v>
          </cell>
          <cell r="I1921" t="str">
            <v>None</v>
          </cell>
          <cell r="J1921">
            <v>2</v>
          </cell>
          <cell r="L1921" t="str">
            <v>Soul-Piercing Lens</v>
          </cell>
        </row>
        <row r="1922">
          <cell r="A1922" t="str">
            <v>Razor Rends the Veil</v>
          </cell>
          <cell r="B1922" t="str">
            <v>-</v>
          </cell>
          <cell r="C1922" t="str">
            <v>Permanent</v>
          </cell>
          <cell r="D1922" t="str">
            <v>Perilous, Resonant</v>
          </cell>
          <cell r="E1922" t="str">
            <v>Permanent</v>
          </cell>
          <cell r="H1922" t="str">
            <v>Far-Ranging Eye</v>
          </cell>
          <cell r="I1922" t="str">
            <v>None</v>
          </cell>
          <cell r="J1922">
            <v>3</v>
          </cell>
          <cell r="L1922" t="str">
            <v>Reflections on Adversity</v>
          </cell>
        </row>
        <row r="1923">
          <cell r="A1923" t="str">
            <v>Seven Eyes Cyclone</v>
          </cell>
          <cell r="B1923" t="str">
            <v>8m, 1wp</v>
          </cell>
          <cell r="C1923" t="str">
            <v>Simple</v>
          </cell>
          <cell r="D1923" t="str">
            <v>Decisive-only, Resonant</v>
          </cell>
          <cell r="E1923" t="str">
            <v>Instant</v>
          </cell>
          <cell r="H1923" t="str">
            <v>Far-Ranging Eye</v>
          </cell>
          <cell r="I1923" t="str">
            <v>None</v>
          </cell>
          <cell r="J1923">
            <v>3</v>
          </cell>
          <cell r="L1923" t="str">
            <v>Reflection on Adversity</v>
          </cell>
        </row>
        <row r="1924">
          <cell r="A1924" t="str">
            <v>Serpent Ornament Embrace</v>
          </cell>
          <cell r="B1924" t="str">
            <v>1m</v>
          </cell>
          <cell r="C1924" t="str">
            <v>Reflexive</v>
          </cell>
          <cell r="D1924" t="str">
            <v>None</v>
          </cell>
          <cell r="E1924" t="str">
            <v>Instant</v>
          </cell>
          <cell r="H1924" t="str">
            <v>The Hundred Rings of Hadam-Ul</v>
          </cell>
          <cell r="I1924" t="str">
            <v>None</v>
          </cell>
          <cell r="J1924">
            <v>1</v>
          </cell>
        </row>
        <row r="1925">
          <cell r="A1925" t="str">
            <v>Scathing Torment Coils</v>
          </cell>
          <cell r="B1925" t="str">
            <v>4m</v>
          </cell>
          <cell r="C1925" t="str">
            <v>Reflexive</v>
          </cell>
          <cell r="D1925" t="str">
            <v>Counterattack, Decisive-only, Resonant</v>
          </cell>
          <cell r="E1925" t="str">
            <v>Instant</v>
          </cell>
          <cell r="H1925" t="str">
            <v>The Hundred Rings of Hadam-Ul</v>
          </cell>
          <cell r="I1925" t="str">
            <v>None</v>
          </cell>
          <cell r="J1925">
            <v>1</v>
          </cell>
          <cell r="L1925" t="str">
            <v>Serpent Ornament Embrace</v>
          </cell>
        </row>
        <row r="1926">
          <cell r="A1926" t="str">
            <v>Prey-Seizing Span</v>
          </cell>
          <cell r="B1926" t="str">
            <v>5m, 1wp</v>
          </cell>
          <cell r="C1926" t="str">
            <v>Simple</v>
          </cell>
          <cell r="D1926" t="str">
            <v>Decisive-only, Resonant</v>
          </cell>
          <cell r="E1926" t="str">
            <v>Until grapple is released</v>
          </cell>
          <cell r="H1926" t="str">
            <v>The Hundred Rings of Hadam-Ul</v>
          </cell>
          <cell r="I1926" t="str">
            <v>None</v>
          </cell>
          <cell r="J1926">
            <v>2</v>
          </cell>
          <cell r="L1926" t="str">
            <v>Serpent Ornament Embrace</v>
          </cell>
        </row>
        <row r="1927">
          <cell r="A1927" t="str">
            <v>Silver Python Spiral</v>
          </cell>
          <cell r="B1927" t="str">
            <v>4m</v>
          </cell>
          <cell r="C1927" t="str">
            <v>Supplemental</v>
          </cell>
          <cell r="D1927" t="str">
            <v>Decisive-only</v>
          </cell>
          <cell r="E1927" t="str">
            <v>Instant</v>
          </cell>
          <cell r="H1927" t="str">
            <v>The Hundred Rings of Hadam-Ul</v>
          </cell>
          <cell r="I1927" t="str">
            <v>None</v>
          </cell>
          <cell r="J1927">
            <v>2</v>
          </cell>
          <cell r="L1927" t="str">
            <v>Prey-Seizing Span</v>
          </cell>
        </row>
        <row r="1928">
          <cell r="A1928" t="str">
            <v>Sun-Swallowing Maw</v>
          </cell>
          <cell r="B1928" t="str">
            <v>4m, 2i</v>
          </cell>
          <cell r="C1928" t="str">
            <v>Supplemental</v>
          </cell>
          <cell r="D1928" t="str">
            <v>Decisive-only, Resonant</v>
          </cell>
          <cell r="E1928" t="str">
            <v>Instant</v>
          </cell>
          <cell r="H1928" t="str">
            <v>The Hundred Rings of Hadam-Ul</v>
          </cell>
          <cell r="I1928" t="str">
            <v>None</v>
          </cell>
          <cell r="J1928">
            <v>3</v>
          </cell>
          <cell r="L1928" t="str">
            <v>Silver Python Spiral</v>
          </cell>
        </row>
        <row r="1929">
          <cell r="A1929" t="str">
            <v>Living Moonsilver Vice</v>
          </cell>
          <cell r="B1929" t="str">
            <v>10m, 1wp</v>
          </cell>
          <cell r="C1929" t="str">
            <v>Reflexive</v>
          </cell>
          <cell r="D1929" t="str">
            <v>Decisive-only, Resonant</v>
          </cell>
          <cell r="E1929" t="str">
            <v>Until grapple is released</v>
          </cell>
          <cell r="H1929" t="str">
            <v>The Hundred Rings of Hadam-Ul</v>
          </cell>
          <cell r="I1929" t="str">
            <v>None</v>
          </cell>
          <cell r="J1929">
            <v>4</v>
          </cell>
          <cell r="L1929" t="str">
            <v>Scathing Torment Coils (x2), Sun-Swallowing Maw</v>
          </cell>
        </row>
        <row r="1930">
          <cell r="A1930" t="str">
            <v>Argent Panacea Arrow</v>
          </cell>
          <cell r="B1930" t="str">
            <v>2m, 1wp</v>
          </cell>
          <cell r="C1930" t="str">
            <v>Simple</v>
          </cell>
          <cell r="D1930" t="str">
            <v>Decisive-only, Resonant</v>
          </cell>
          <cell r="E1930" t="str">
            <v>Instant</v>
          </cell>
          <cell r="H1930" t="str">
            <v>Nightbane</v>
          </cell>
          <cell r="I1930" t="str">
            <v>None</v>
          </cell>
          <cell r="J1930">
            <v>1</v>
          </cell>
        </row>
        <row r="1931">
          <cell r="A1931" t="str">
            <v>Hundred Devils Purgation</v>
          </cell>
          <cell r="B1931" t="str">
            <v>2m</v>
          </cell>
          <cell r="C1931" t="str">
            <v>Supplemental</v>
          </cell>
          <cell r="D1931" t="str">
            <v>Aggravated, Dual, Resonant</v>
          </cell>
          <cell r="E1931" t="str">
            <v>Instant</v>
          </cell>
          <cell r="H1931" t="str">
            <v>Nightbane</v>
          </cell>
          <cell r="I1931" t="str">
            <v>None</v>
          </cell>
          <cell r="J1931">
            <v>1</v>
          </cell>
        </row>
        <row r="1932">
          <cell r="A1932" t="str">
            <v>Fallen Moonbeam Judgment</v>
          </cell>
          <cell r="B1932" t="str">
            <v>-</v>
          </cell>
          <cell r="C1932" t="str">
            <v>Permanent</v>
          </cell>
          <cell r="D1932" t="str">
            <v>None</v>
          </cell>
          <cell r="E1932" t="str">
            <v>Permanent</v>
          </cell>
          <cell r="H1932" t="str">
            <v>Nightbane</v>
          </cell>
          <cell r="I1932" t="str">
            <v>None</v>
          </cell>
          <cell r="J1932">
            <v>2</v>
          </cell>
          <cell r="L1932" t="str">
            <v>Hundred Devils Purgation</v>
          </cell>
        </row>
        <row r="1933">
          <cell r="A1933" t="str">
            <v>Nightmare's End Arrow</v>
          </cell>
          <cell r="B1933" t="str">
            <v>4m, 1wp</v>
          </cell>
          <cell r="C1933" t="str">
            <v>Simple</v>
          </cell>
          <cell r="D1933" t="str">
            <v>Decisive-only, Psyche, Resonant</v>
          </cell>
          <cell r="E1933" t="str">
            <v>Instant</v>
          </cell>
          <cell r="H1933" t="str">
            <v>Nightbane</v>
          </cell>
          <cell r="I1933" t="str">
            <v>None</v>
          </cell>
          <cell r="J1933">
            <v>2</v>
          </cell>
          <cell r="L1933" t="str">
            <v>Argent Panacea Arrow, Hundred Devils Purgation</v>
          </cell>
        </row>
        <row r="1934">
          <cell r="A1934" t="str">
            <v>Curse-Breaking Quarrel</v>
          </cell>
          <cell r="B1934" t="str">
            <v>8m, 1wp</v>
          </cell>
          <cell r="C1934" t="str">
            <v>Simple</v>
          </cell>
          <cell r="D1934" t="str">
            <v>Decisive-only, Resonant</v>
          </cell>
          <cell r="E1934" t="str">
            <v>Instant</v>
          </cell>
          <cell r="H1934" t="str">
            <v>Nightbane</v>
          </cell>
          <cell r="I1934" t="str">
            <v>None</v>
          </cell>
          <cell r="J1934">
            <v>3</v>
          </cell>
          <cell r="L1934" t="str">
            <v>Nightmare's End Arrow</v>
          </cell>
        </row>
        <row r="1935">
          <cell r="A1935" t="str">
            <v>Divine Huntress Curse</v>
          </cell>
          <cell r="B1935" t="str">
            <v>10m, 1wp</v>
          </cell>
          <cell r="C1935" t="str">
            <v>Simple</v>
          </cell>
          <cell r="D1935" t="str">
            <v>Decisive-only, Resonant</v>
          </cell>
          <cell r="E1935" t="str">
            <v>Instant</v>
          </cell>
          <cell r="H1935" t="str">
            <v>Nightbane</v>
          </cell>
          <cell r="I1935" t="str">
            <v>None</v>
          </cell>
          <cell r="J1935">
            <v>4</v>
          </cell>
          <cell r="L1935" t="str">
            <v>Curse-Breaking Quarrel, Fallen Moonbeam Judgment</v>
          </cell>
        </row>
        <row r="1936">
          <cell r="A1936" t="str">
            <v>Moonlit Serenity Paean</v>
          </cell>
          <cell r="B1936" t="str">
            <v>4m</v>
          </cell>
          <cell r="C1936" t="str">
            <v>Supplemental</v>
          </cell>
          <cell r="D1936" t="str">
            <v>None</v>
          </cell>
          <cell r="E1936" t="str">
            <v>Instant</v>
          </cell>
          <cell r="H1936" t="str">
            <v>Night's Sweet Whisper</v>
          </cell>
          <cell r="I1936" t="str">
            <v>None</v>
          </cell>
          <cell r="J1936">
            <v>1</v>
          </cell>
          <cell r="L1936" t="str">
            <v>Refrain of the Gentle Moon</v>
          </cell>
        </row>
        <row r="1937">
          <cell r="A1937" t="str">
            <v>Nightmare-Soothing Melody</v>
          </cell>
          <cell r="B1937" t="str">
            <v>-</v>
          </cell>
          <cell r="C1937" t="str">
            <v>Permanent</v>
          </cell>
          <cell r="D1937" t="str">
            <v>None</v>
          </cell>
          <cell r="E1937" t="str">
            <v>Permanent</v>
          </cell>
          <cell r="H1937" t="str">
            <v>Night's Sweet Whisper</v>
          </cell>
          <cell r="I1937" t="str">
            <v>None</v>
          </cell>
          <cell r="J1937">
            <v>1</v>
          </cell>
          <cell r="L1937" t="str">
            <v>Crossroads Walker Entreaty, Moonlit Serenity Paean</v>
          </cell>
        </row>
        <row r="1938">
          <cell r="A1938" t="str">
            <v>Refrain of the Gentle Moon</v>
          </cell>
          <cell r="B1938" t="str">
            <v>5m, 1wp</v>
          </cell>
          <cell r="C1938" t="str">
            <v>Simple</v>
          </cell>
          <cell r="D1938" t="str">
            <v>Perilous, Resonant</v>
          </cell>
          <cell r="E1938" t="str">
            <v>Instant</v>
          </cell>
          <cell r="H1938" t="str">
            <v>Night's Sweet Whisper</v>
          </cell>
          <cell r="I1938" t="str">
            <v>None</v>
          </cell>
          <cell r="J1938">
            <v>1</v>
          </cell>
          <cell r="L1938" t="str">
            <v>Moonlit Serenity Paean</v>
          </cell>
        </row>
        <row r="1939">
          <cell r="A1939" t="str">
            <v>Cold Iron Cadence</v>
          </cell>
          <cell r="B1939" t="str">
            <v>-</v>
          </cell>
          <cell r="C1939" t="str">
            <v>Permanent</v>
          </cell>
          <cell r="D1939" t="str">
            <v>None</v>
          </cell>
          <cell r="E1939" t="str">
            <v>Permanent</v>
          </cell>
          <cell r="H1939" t="str">
            <v>Night's Sweet Whisper</v>
          </cell>
          <cell r="I1939" t="str">
            <v>None</v>
          </cell>
          <cell r="J1939">
            <v>2</v>
          </cell>
          <cell r="L1939" t="str">
            <v>Battle Anthem of the Lunar Exalted, Refrain of the Gentle Moon</v>
          </cell>
        </row>
        <row r="1940">
          <cell r="A1940" t="str">
            <v>Beast-Heart Harmony</v>
          </cell>
          <cell r="B1940" t="str">
            <v>-</v>
          </cell>
          <cell r="C1940" t="str">
            <v>Permanent</v>
          </cell>
          <cell r="D1940" t="str">
            <v>Resonant</v>
          </cell>
          <cell r="E1940" t="str">
            <v>Permanent</v>
          </cell>
          <cell r="H1940" t="str">
            <v>Night's Sweet Whisper</v>
          </cell>
          <cell r="I1940" t="str">
            <v>None</v>
          </cell>
          <cell r="J1940">
            <v>3</v>
          </cell>
          <cell r="L1940" t="str">
            <v>Refrain of the Gentle Moon, Wild Fury Awakening</v>
          </cell>
        </row>
        <row r="1941">
          <cell r="A1941" t="str">
            <v>Edge-of-Chaos Hymn</v>
          </cell>
          <cell r="B1941" t="str">
            <v>-</v>
          </cell>
          <cell r="C1941" t="str">
            <v>Permanent</v>
          </cell>
          <cell r="D1941" t="str">
            <v>None</v>
          </cell>
          <cell r="E1941" t="str">
            <v>Permanent</v>
          </cell>
          <cell r="H1941" t="str">
            <v>Night's Sweet Whisper</v>
          </cell>
          <cell r="I1941" t="str">
            <v>None</v>
          </cell>
          <cell r="J1941">
            <v>3</v>
          </cell>
          <cell r="L1941" t="str">
            <v>Harmony-With-Reality Technique, Refrain of the Gentle Moon</v>
          </cell>
        </row>
        <row r="1942">
          <cell r="A1942" t="str">
            <v>Lullaby for the Damned</v>
          </cell>
          <cell r="B1942" t="str">
            <v>5m, 1wp</v>
          </cell>
          <cell r="C1942" t="str">
            <v>Simple</v>
          </cell>
          <cell r="D1942" t="str">
            <v>Decisive-only, Resonant</v>
          </cell>
          <cell r="E1942" t="str">
            <v>Instant</v>
          </cell>
          <cell r="H1942" t="str">
            <v>Night's Sweet Whisper</v>
          </cell>
          <cell r="I1942" t="str">
            <v>None</v>
          </cell>
          <cell r="J1942">
            <v>3</v>
          </cell>
          <cell r="L1942" t="str">
            <v>Refrain of the Gentle Moon</v>
          </cell>
        </row>
        <row r="1943">
          <cell r="A1943" t="str">
            <v>Unsheathe the Crescent Moon</v>
          </cell>
          <cell r="B1943" t="str">
            <v>1m, 1i (+1a)</v>
          </cell>
          <cell r="C1943" t="str">
            <v>Reflexive</v>
          </cell>
          <cell r="D1943" t="str">
            <v>Perilous, Resonant</v>
          </cell>
          <cell r="E1943" t="str">
            <v>Instant</v>
          </cell>
          <cell r="H1943" t="str">
            <v>Phaessa and Deinon</v>
          </cell>
          <cell r="I1943" t="str">
            <v>None</v>
          </cell>
          <cell r="J1943">
            <v>1</v>
          </cell>
        </row>
        <row r="1944">
          <cell r="A1944" t="str">
            <v>Moon-Crossing Cloud Mobility</v>
          </cell>
          <cell r="B1944" t="str">
            <v>3m</v>
          </cell>
          <cell r="C1944" t="str">
            <v>Reflexive</v>
          </cell>
          <cell r="D1944" t="str">
            <v>None</v>
          </cell>
          <cell r="E1944" t="str">
            <v>Instant</v>
          </cell>
          <cell r="H1944" t="str">
            <v>Phaessa and Deinon</v>
          </cell>
          <cell r="I1944" t="str">
            <v>None</v>
          </cell>
          <cell r="J1944">
            <v>1</v>
          </cell>
          <cell r="L1944" t="str">
            <v>Unsheathe the Crescent Moon</v>
          </cell>
        </row>
        <row r="1945">
          <cell r="A1945" t="str">
            <v>Selenic Psyche Reinforcement</v>
          </cell>
          <cell r="B1945" t="str">
            <v>3m</v>
          </cell>
          <cell r="C1945" t="str">
            <v>Reflexive</v>
          </cell>
          <cell r="D1945" t="str">
            <v>Resonant</v>
          </cell>
          <cell r="E1945" t="str">
            <v>Instant</v>
          </cell>
          <cell r="H1945" t="str">
            <v>Phaessa and Deinon</v>
          </cell>
          <cell r="I1945" t="str">
            <v>None</v>
          </cell>
          <cell r="J1945">
            <v>1</v>
          </cell>
          <cell r="L1945" t="str">
            <v>Unsheathe the Crescent Moon</v>
          </cell>
        </row>
        <row r="1946">
          <cell r="A1946" t="str">
            <v>Silver-and-Shadow Regalia</v>
          </cell>
          <cell r="B1946" t="str">
            <v>4m</v>
          </cell>
          <cell r="C1946" t="str">
            <v>Reflexive</v>
          </cell>
          <cell r="D1946" t="str">
            <v>None</v>
          </cell>
          <cell r="E1946" t="str">
            <v>One scene</v>
          </cell>
          <cell r="H1946" t="str">
            <v>Phaessa and Deinon</v>
          </cell>
          <cell r="I1946" t="str">
            <v>None</v>
          </cell>
          <cell r="J1946">
            <v>2</v>
          </cell>
          <cell r="L1946" t="str">
            <v>Moon-Crossing Cloud Mobility</v>
          </cell>
        </row>
        <row r="1947">
          <cell r="A1947" t="str">
            <v>Ranging Moonbeam Strike</v>
          </cell>
          <cell r="B1947" t="str">
            <v>5m, 1wp</v>
          </cell>
          <cell r="C1947" t="str">
            <v>Simple</v>
          </cell>
          <cell r="D1947" t="str">
            <v>Dual, Resonant</v>
          </cell>
          <cell r="E1947" t="str">
            <v>Instant</v>
          </cell>
          <cell r="H1947" t="str">
            <v>Phaessa and Deinon</v>
          </cell>
          <cell r="I1947" t="str">
            <v>None</v>
          </cell>
          <cell r="J1947">
            <v>2</v>
          </cell>
          <cell r="L1947" t="str">
            <v>Finding the Needle's Eye, Unsheathe the Crescent Moon</v>
          </cell>
        </row>
        <row r="1948">
          <cell r="A1948" t="str">
            <v>Luna's Blaze Sears the Wicked</v>
          </cell>
          <cell r="B1948" t="str">
            <v>-</v>
          </cell>
          <cell r="C1948" t="str">
            <v>Permanent</v>
          </cell>
          <cell r="D1948" t="str">
            <v>None</v>
          </cell>
          <cell r="E1948" t="str">
            <v>Permanent</v>
          </cell>
          <cell r="H1948" t="str">
            <v>Phaessa and Deinon</v>
          </cell>
          <cell r="I1948" t="str">
            <v>None</v>
          </cell>
          <cell r="J1948">
            <v>2</v>
          </cell>
          <cell r="L1948" t="str">
            <v>Selenic Psyche Reinforcement, any Charm this Evocation enhances</v>
          </cell>
        </row>
        <row r="1949">
          <cell r="A1949" t="str">
            <v>Chiaroscuro Conflagration Crescendo</v>
          </cell>
          <cell r="B1949" t="str">
            <v>10m, 1wp (+1-3a)</v>
          </cell>
          <cell r="C1949" t="str">
            <v>Reflexive</v>
          </cell>
          <cell r="D1949" t="str">
            <v>Mute, Resonant</v>
          </cell>
          <cell r="E1949" t="str">
            <v>One scene</v>
          </cell>
          <cell r="H1949" t="str">
            <v>Phaessa and Deinon</v>
          </cell>
          <cell r="I1949" t="str">
            <v>None</v>
          </cell>
          <cell r="J1949">
            <v>3</v>
          </cell>
          <cell r="L1949" t="str">
            <v>Selenic Psyche Reinforcement, Silver-and-Shadow Regalia, Ranging Moonbeam</v>
          </cell>
        </row>
        <row r="1950">
          <cell r="A1950" t="str">
            <v>Silver Wasp Sting</v>
          </cell>
          <cell r="B1950" t="str">
            <v>3m</v>
          </cell>
          <cell r="C1950" t="str">
            <v>Supplemental</v>
          </cell>
          <cell r="D1950" t="str">
            <v>Decisive-only, Dissonant, Resonant, Stackable</v>
          </cell>
          <cell r="E1950" t="str">
            <v>Instant</v>
          </cell>
          <cell r="H1950" t="str">
            <v>The Ichneumon Blades</v>
          </cell>
          <cell r="I1950" t="str">
            <v>None</v>
          </cell>
          <cell r="J1950">
            <v>1</v>
          </cell>
        </row>
        <row r="1951">
          <cell r="A1951" t="str">
            <v>Wicked Mother's Eye</v>
          </cell>
          <cell r="B1951" t="str">
            <v>-</v>
          </cell>
          <cell r="C1951" t="str">
            <v>Permanent</v>
          </cell>
          <cell r="D1951" t="str">
            <v>None</v>
          </cell>
          <cell r="E1951" t="str">
            <v>Permanent</v>
          </cell>
          <cell r="H1951" t="str">
            <v>The Ichneumon Blades</v>
          </cell>
          <cell r="I1951" t="str">
            <v>None</v>
          </cell>
          <cell r="J1951">
            <v>1</v>
          </cell>
          <cell r="L1951" t="str">
            <v>Silver Wasp Sting</v>
          </cell>
        </row>
        <row r="1952">
          <cell r="A1952" t="str">
            <v>Whispering Wound Infestation</v>
          </cell>
          <cell r="B1952" t="str">
            <v>4m, 1wp</v>
          </cell>
          <cell r="C1952" t="str">
            <v>Simple</v>
          </cell>
          <cell r="D1952" t="str">
            <v>Psyche, Resonant</v>
          </cell>
          <cell r="E1952" t="str">
            <v>Instant</v>
          </cell>
          <cell r="H1952" t="str">
            <v>The Ichneumon Blades</v>
          </cell>
          <cell r="I1952" t="str">
            <v>None</v>
          </cell>
          <cell r="J1952">
            <v>1</v>
          </cell>
          <cell r="L1952" t="str">
            <v>Wicked Mother's Eye</v>
          </cell>
        </row>
        <row r="1953">
          <cell r="A1953" t="str">
            <v>Argent Brood Eruption</v>
          </cell>
          <cell r="B1953" t="str">
            <v>4m, 4i, 1wp</v>
          </cell>
          <cell r="C1953" t="str">
            <v>Reflexive</v>
          </cell>
          <cell r="D1953" t="str">
            <v>Perilous, Withering-only</v>
          </cell>
          <cell r="E1953" t="str">
            <v>Instant</v>
          </cell>
          <cell r="H1953" t="str">
            <v>The Ichneumon Blades</v>
          </cell>
          <cell r="I1953" t="str">
            <v>None</v>
          </cell>
          <cell r="J1953">
            <v>2</v>
          </cell>
          <cell r="L1953" t="str">
            <v>Silver Wasp Sting</v>
          </cell>
        </row>
        <row r="1954">
          <cell r="A1954" t="str">
            <v>Wasp-of-the-Labyrinth Trick</v>
          </cell>
          <cell r="B1954" t="str">
            <v>4m</v>
          </cell>
          <cell r="C1954" t="str">
            <v>Reflexive</v>
          </cell>
          <cell r="D1954" t="str">
            <v>Decisive-only, Resonant</v>
          </cell>
          <cell r="E1954" t="str">
            <v>Instant</v>
          </cell>
          <cell r="H1954" t="str">
            <v>The Ichneumon Blades</v>
          </cell>
          <cell r="I1954" t="str">
            <v>None</v>
          </cell>
          <cell r="J1954">
            <v>2</v>
          </cell>
          <cell r="L1954" t="str">
            <v>Argent Brood Eruption, Whispering Wound Infestation</v>
          </cell>
        </row>
        <row r="1955">
          <cell r="A1955" t="str">
            <v>Meditation in Silver</v>
          </cell>
          <cell r="B1955" t="str">
            <v>3m, 1wp</v>
          </cell>
          <cell r="C1955" t="str">
            <v>Simple</v>
          </cell>
          <cell r="D1955" t="str">
            <v>Resonant, Stackable</v>
          </cell>
          <cell r="E1955" t="str">
            <v>Indefinite</v>
          </cell>
          <cell r="H1955" t="str">
            <v>Penumbra Gleam</v>
          </cell>
          <cell r="I1955" t="str">
            <v>None</v>
          </cell>
          <cell r="J1955">
            <v>1</v>
          </cell>
        </row>
        <row r="1956">
          <cell r="A1956" t="str">
            <v>Flawed Strike Mockery</v>
          </cell>
          <cell r="B1956" t="str">
            <v>2m</v>
          </cell>
          <cell r="C1956" t="str">
            <v>Reflexive</v>
          </cell>
          <cell r="D1956" t="str">
            <v>Resonant, Uniform</v>
          </cell>
          <cell r="E1956" t="str">
            <v>Instant</v>
          </cell>
          <cell r="H1956" t="str">
            <v>Penumbra Gleam</v>
          </cell>
          <cell r="I1956" t="str">
            <v>None</v>
          </cell>
          <cell r="J1956">
            <v>1</v>
          </cell>
          <cell r="L1956" t="str">
            <v>Meditation in Silver</v>
          </cell>
        </row>
        <row r="1957">
          <cell r="A1957" t="str">
            <v>Broken Sword Echo</v>
          </cell>
          <cell r="B1957" t="str">
            <v>5m</v>
          </cell>
          <cell r="C1957" t="str">
            <v>Reflexive</v>
          </cell>
          <cell r="D1957" t="str">
            <v>Counterattack, Resonant</v>
          </cell>
          <cell r="E1957" t="str">
            <v>Instant</v>
          </cell>
          <cell r="H1957" t="str">
            <v>Penumbra Gleam</v>
          </cell>
          <cell r="I1957" t="str">
            <v>None</v>
          </cell>
          <cell r="J1957">
            <v>1</v>
          </cell>
          <cell r="L1957" t="str">
            <v>Flawed Strike Mockery</v>
          </cell>
        </row>
        <row r="1958">
          <cell r="A1958" t="str">
            <v>Fault-Finding Defense</v>
          </cell>
          <cell r="B1958" t="str">
            <v>4m, 1 Reflection</v>
          </cell>
          <cell r="C1958" t="str">
            <v>Reflexive</v>
          </cell>
          <cell r="D1958" t="str">
            <v>Uniform</v>
          </cell>
          <cell r="E1958" t="str">
            <v>Instant</v>
          </cell>
          <cell r="H1958" t="str">
            <v>Penumbra Gleam</v>
          </cell>
          <cell r="I1958" t="str">
            <v>None</v>
          </cell>
          <cell r="J1958">
            <v>2</v>
          </cell>
          <cell r="L1958" t="str">
            <v>Flawed Strike Mockery</v>
          </cell>
        </row>
        <row r="1959">
          <cell r="A1959" t="str">
            <v>Silver Phantom Phalanx</v>
          </cell>
          <cell r="B1959" t="str">
            <v>5m, 1+ Reflection</v>
          </cell>
          <cell r="C1959" t="str">
            <v>Reflexive</v>
          </cell>
          <cell r="D1959" t="str">
            <v>Dissonant, Resonant, Uniform</v>
          </cell>
          <cell r="E1959" t="str">
            <v>Until next turn</v>
          </cell>
          <cell r="H1959" t="str">
            <v>Penumbra Gleam</v>
          </cell>
          <cell r="I1959" t="str">
            <v>None</v>
          </cell>
          <cell r="J1959">
            <v>2</v>
          </cell>
          <cell r="L1959" t="str">
            <v>Fault-Finding Defense</v>
          </cell>
        </row>
        <row r="1960">
          <cell r="A1960" t="str">
            <v>Symmetry of Violence</v>
          </cell>
          <cell r="B1960" t="str">
            <v>7m, 5i, 1wp, 0+ Reflection</v>
          </cell>
          <cell r="C1960" t="str">
            <v>Reflexive</v>
          </cell>
          <cell r="D1960" t="str">
            <v>Clash, Decisive-Only, Resonant</v>
          </cell>
          <cell r="E1960" t="str">
            <v>Instant</v>
          </cell>
          <cell r="H1960" t="str">
            <v>Penumbra Gleam</v>
          </cell>
          <cell r="I1960" t="str">
            <v>None</v>
          </cell>
          <cell r="J1960">
            <v>3</v>
          </cell>
          <cell r="L1960" t="str">
            <v>Silver Phantom Phalanx, Broken Sword Echo</v>
          </cell>
        </row>
        <row r="1961">
          <cell r="A1961" t="str">
            <v>Jubilant Loss of Control</v>
          </cell>
          <cell r="B1961" t="str">
            <v>4m</v>
          </cell>
          <cell r="C1961" t="str">
            <v>Supplemental</v>
          </cell>
          <cell r="D1961" t="str">
            <v>Decisive-only, Protean</v>
          </cell>
          <cell r="E1961" t="str">
            <v>Instant</v>
          </cell>
          <cell r="H1961" t="str">
            <v>Seven Furies Caged</v>
          </cell>
          <cell r="I1961" t="str">
            <v>None</v>
          </cell>
          <cell r="J1961">
            <v>1</v>
          </cell>
        </row>
        <row r="1962">
          <cell r="A1962" t="str">
            <v>Harnessed Fury Mantra</v>
          </cell>
          <cell r="B1962" t="str">
            <v>-</v>
          </cell>
          <cell r="C1962" t="str">
            <v>Permanent</v>
          </cell>
          <cell r="D1962" t="str">
            <v>Resonant</v>
          </cell>
          <cell r="E1962" t="str">
            <v>Permanent</v>
          </cell>
          <cell r="H1962" t="str">
            <v>Seven Furies Caged</v>
          </cell>
          <cell r="I1962" t="str">
            <v>None</v>
          </cell>
          <cell r="J1962">
            <v>1</v>
          </cell>
          <cell r="L1962" t="str">
            <v>Jubilant Loss of Control, Relentless Lunar Fury</v>
          </cell>
        </row>
        <row r="1963">
          <cell r="A1963" t="str">
            <v>Invincible Berserker Approach</v>
          </cell>
          <cell r="B1963" t="str">
            <v>5m</v>
          </cell>
          <cell r="C1963" t="str">
            <v>Reflexive</v>
          </cell>
          <cell r="D1963" t="str">
            <v>Decisive-only, Resonant</v>
          </cell>
          <cell r="E1963" t="str">
            <v>Instant</v>
          </cell>
          <cell r="H1963" t="str">
            <v>Seven Furies Caged</v>
          </cell>
          <cell r="I1963" t="str">
            <v>None</v>
          </cell>
          <cell r="J1963">
            <v>2</v>
          </cell>
          <cell r="L1963" t="str">
            <v>Jubilant Loss of Control</v>
          </cell>
        </row>
        <row r="1964">
          <cell r="A1964" t="str">
            <v>Unrelenting Destroyer Fury</v>
          </cell>
          <cell r="B1964" t="str">
            <v>4m</v>
          </cell>
          <cell r="C1964" t="str">
            <v>Supplemental</v>
          </cell>
          <cell r="D1964" t="str">
            <v>Dual, Resonant</v>
          </cell>
          <cell r="E1964" t="str">
            <v>Instant</v>
          </cell>
          <cell r="H1964" t="str">
            <v>Seven Furies Caged</v>
          </cell>
          <cell r="I1964" t="str">
            <v>None</v>
          </cell>
          <cell r="J1964">
            <v>2</v>
          </cell>
          <cell r="L1964" t="str">
            <v>Jubilant Loss of Control</v>
          </cell>
        </row>
        <row r="1965">
          <cell r="A1965" t="str">
            <v>Blood Moon Ascendant</v>
          </cell>
          <cell r="B1965" t="str">
            <v>5m, 1wp</v>
          </cell>
          <cell r="C1965" t="str">
            <v>Simple</v>
          </cell>
          <cell r="D1965" t="str">
            <v>Resonant</v>
          </cell>
          <cell r="E1965" t="str">
            <v>Instant</v>
          </cell>
          <cell r="H1965" t="str">
            <v>Seven Furies Caged</v>
          </cell>
          <cell r="I1965" t="str">
            <v>None</v>
          </cell>
          <cell r="J1965">
            <v>3</v>
          </cell>
          <cell r="L1965" t="str">
            <v>Harnessed Fury Mantra, Invincible Berserker Approach, Unrelenting Destroyer</v>
          </cell>
        </row>
        <row r="1966">
          <cell r="A1966" t="str">
            <v>Seven Vengeful Fangs</v>
          </cell>
          <cell r="B1966" t="str">
            <v>-</v>
          </cell>
          <cell r="C1966" t="str">
            <v>Permanent</v>
          </cell>
          <cell r="D1966" t="str">
            <v>Counterattack, Decisive-only, Resonant</v>
          </cell>
          <cell r="E1966" t="str">
            <v>Permanent</v>
          </cell>
          <cell r="H1966" t="str">
            <v>Seven Furies Caged</v>
          </cell>
          <cell r="I1966" t="str">
            <v>None</v>
          </cell>
          <cell r="J1966">
            <v>3</v>
          </cell>
          <cell r="L1966" t="str">
            <v>Blood Moon Ascendant, Knife-Biting Attitude</v>
          </cell>
        </row>
        <row r="1967">
          <cell r="A1967" t="str">
            <v>Bleeding Behemoth Rampage</v>
          </cell>
          <cell r="B1967" t="str">
            <v>-</v>
          </cell>
          <cell r="C1967" t="str">
            <v>Permanent</v>
          </cell>
          <cell r="D1967" t="str">
            <v>Decisive-only, Resonant</v>
          </cell>
          <cell r="E1967" t="str">
            <v>Permanent</v>
          </cell>
          <cell r="H1967" t="str">
            <v>Seven Furies Caged</v>
          </cell>
          <cell r="I1967" t="str">
            <v>None</v>
          </cell>
          <cell r="J1967">
            <v>4</v>
          </cell>
          <cell r="L1967" t="str">
            <v>Blood Moon Ascendant, Frenzied Desperation Strike</v>
          </cell>
        </row>
        <row r="1968">
          <cell r="A1968" t="str">
            <v>Sever the Flow</v>
          </cell>
          <cell r="B1968" t="str">
            <v>5m</v>
          </cell>
          <cell r="C1968" t="str">
            <v>Simple</v>
          </cell>
          <cell r="D1968" t="str">
            <v>Perilous, Resonant</v>
          </cell>
          <cell r="E1968" t="str">
            <v>Instant</v>
          </cell>
          <cell r="H1968" t="str">
            <v>Death at the Root</v>
          </cell>
          <cell r="I1968" t="str">
            <v>None</v>
          </cell>
          <cell r="J1968">
            <v>1</v>
          </cell>
        </row>
        <row r="1969">
          <cell r="A1969" t="str">
            <v>Welling Sap Strike</v>
          </cell>
          <cell r="B1969" t="str">
            <v>1m</v>
          </cell>
          <cell r="C1969" t="str">
            <v>Reflexive</v>
          </cell>
          <cell r="D1969" t="str">
            <v>Stackable, Withering-only</v>
          </cell>
          <cell r="E1969" t="str">
            <v>One scene</v>
          </cell>
          <cell r="H1969" t="str">
            <v>Death at the Root</v>
          </cell>
          <cell r="I1969" t="str">
            <v>None</v>
          </cell>
          <cell r="J1969">
            <v>1</v>
          </cell>
          <cell r="L1969" t="str">
            <v>Sever the Flow</v>
          </cell>
        </row>
        <row r="1970">
          <cell r="A1970" t="str">
            <v>World-Breaker's Blade</v>
          </cell>
          <cell r="B1970" t="str">
            <v>2m</v>
          </cell>
          <cell r="C1970" t="str">
            <v>Supplemental</v>
          </cell>
          <cell r="D1970" t="str">
            <v>Decisive-only</v>
          </cell>
          <cell r="E1970" t="str">
            <v>Instant</v>
          </cell>
          <cell r="H1970" t="str">
            <v>Death at the Root</v>
          </cell>
          <cell r="I1970" t="str">
            <v>None</v>
          </cell>
          <cell r="J1970">
            <v>1</v>
          </cell>
          <cell r="L1970" t="str">
            <v>Welling Sap Strike</v>
          </cell>
        </row>
        <row r="1971">
          <cell r="A1971" t="str">
            <v>Dragon's Egg Cracked</v>
          </cell>
          <cell r="B1971" t="str">
            <v>2m, 1wp</v>
          </cell>
          <cell r="C1971" t="str">
            <v>Simple</v>
          </cell>
          <cell r="D1971" t="str">
            <v>Decisive-only, Resonant</v>
          </cell>
          <cell r="E1971" t="str">
            <v>Instant</v>
          </cell>
          <cell r="H1971" t="str">
            <v>Death at the Root</v>
          </cell>
          <cell r="I1971" t="str">
            <v>None</v>
          </cell>
          <cell r="J1971">
            <v>2</v>
          </cell>
          <cell r="L1971" t="str">
            <v>World-Breaker's Blade</v>
          </cell>
        </row>
        <row r="1972">
          <cell r="A1972" t="str">
            <v>Dweomer-Cleaving Edge</v>
          </cell>
          <cell r="B1972" t="str">
            <v>-</v>
          </cell>
          <cell r="C1972" t="str">
            <v>Permanent</v>
          </cell>
          <cell r="D1972" t="str">
            <v>Resonant</v>
          </cell>
          <cell r="E1972" t="str">
            <v>Permanent</v>
          </cell>
          <cell r="H1972" t="str">
            <v>Death at the Root</v>
          </cell>
          <cell r="I1972" t="str">
            <v>None</v>
          </cell>
          <cell r="J1972">
            <v>2</v>
          </cell>
          <cell r="L1972" t="str">
            <v>Sever the Flow, Spell-Rending Talon</v>
          </cell>
        </row>
        <row r="1973">
          <cell r="A1973" t="str">
            <v>Cutting the World-Root</v>
          </cell>
          <cell r="B1973" t="str">
            <v>- (+1wp)</v>
          </cell>
          <cell r="C1973" t="str">
            <v>Permanent</v>
          </cell>
          <cell r="D1973" t="str">
            <v>Resonant</v>
          </cell>
          <cell r="E1973" t="str">
            <v>Instant</v>
          </cell>
          <cell r="H1973" t="str">
            <v>Death at the Root</v>
          </cell>
          <cell r="I1973" t="str">
            <v>None</v>
          </cell>
          <cell r="J1973">
            <v>3</v>
          </cell>
          <cell r="L1973" t="str">
            <v>Sever the Flow</v>
          </cell>
        </row>
        <row r="1974">
          <cell r="A1974" t="str">
            <v>World-Soul Harvest</v>
          </cell>
          <cell r="B1974" t="str">
            <v>- (+10m, 1wp)</v>
          </cell>
          <cell r="C1974" t="str">
            <v>Permanent</v>
          </cell>
          <cell r="D1974" t="str">
            <v>Perilous</v>
          </cell>
          <cell r="E1974" t="str">
            <v>Permanent</v>
          </cell>
          <cell r="H1974" t="str">
            <v>Death at the Root</v>
          </cell>
          <cell r="I1974" t="str">
            <v>None</v>
          </cell>
          <cell r="J1974">
            <v>3</v>
          </cell>
          <cell r="L1974" t="str">
            <v>Cutting the World-Root, Dragon's Egg Cracked</v>
          </cell>
        </row>
        <row r="1975">
          <cell r="A1975" t="str">
            <v>Broken Circle Ruin</v>
          </cell>
          <cell r="B1975" t="str">
            <v>- (+1wp)</v>
          </cell>
          <cell r="C1975" t="str">
            <v>Permanent</v>
          </cell>
          <cell r="D1975" t="str">
            <v>Perilous, Resonant</v>
          </cell>
          <cell r="E1975" t="str">
            <v>Permanent</v>
          </cell>
          <cell r="H1975" t="str">
            <v>Death at the Root</v>
          </cell>
          <cell r="I1975" t="str">
            <v>None</v>
          </cell>
          <cell r="J1975">
            <v>4</v>
          </cell>
          <cell r="L1975" t="str">
            <v>Cutting the World-Root, Dweomer-Cleaving Edge</v>
          </cell>
        </row>
        <row r="1976">
          <cell r="A1976" t="str">
            <v>Manse-Razing Strike</v>
          </cell>
          <cell r="B1976" t="str">
            <v>10m, 1wp</v>
          </cell>
          <cell r="C1976" t="str">
            <v>Simple</v>
          </cell>
          <cell r="D1976" t="str">
            <v>Resonant</v>
          </cell>
          <cell r="E1976" t="str">
            <v>One extended action</v>
          </cell>
          <cell r="H1976" t="str">
            <v>Death at the Root</v>
          </cell>
          <cell r="I1976" t="str">
            <v>None</v>
          </cell>
          <cell r="J1976">
            <v>5</v>
          </cell>
          <cell r="L1976" t="str">
            <v>World-Soul Harvest</v>
          </cell>
        </row>
        <row r="1977">
          <cell r="A1977" t="str">
            <v>Spark of Madness</v>
          </cell>
          <cell r="B1977" t="str">
            <v>-</v>
          </cell>
          <cell r="C1977" t="str">
            <v>Reflexive</v>
          </cell>
          <cell r="D1977" t="str">
            <v>Uniform</v>
          </cell>
          <cell r="E1977" t="str">
            <v>One day</v>
          </cell>
          <cell r="H1977" t="str">
            <v>Weirdflame</v>
          </cell>
          <cell r="I1977" t="str">
            <v>None</v>
          </cell>
          <cell r="J1977">
            <v>1</v>
          </cell>
        </row>
        <row r="1978">
          <cell r="A1978" t="str">
            <v>Wyld-Flame Crucible</v>
          </cell>
          <cell r="B1978" t="str">
            <v>5m, 1wp</v>
          </cell>
          <cell r="C1978" t="str">
            <v>Simple</v>
          </cell>
          <cell r="D1978" t="str">
            <v>Decisive-only, Resonant, Stackable</v>
          </cell>
          <cell r="E1978" t="str">
            <v>Instant</v>
          </cell>
          <cell r="H1978" t="str">
            <v>Weirdflame</v>
          </cell>
          <cell r="I1978" t="str">
            <v>None</v>
          </cell>
          <cell r="J1978">
            <v>1</v>
          </cell>
          <cell r="L1978" t="str">
            <v>Spark of Madness</v>
          </cell>
        </row>
        <row r="1979">
          <cell r="A1979" t="str">
            <v>The Moon in Flames</v>
          </cell>
          <cell r="B1979" t="str">
            <v>-</v>
          </cell>
          <cell r="C1979" t="str">
            <v>Permanent</v>
          </cell>
          <cell r="D1979" t="str">
            <v>None</v>
          </cell>
          <cell r="E1979" t="str">
            <v>Permanent</v>
          </cell>
          <cell r="H1979" t="str">
            <v>Weirdflame</v>
          </cell>
          <cell r="I1979" t="str">
            <v>None</v>
          </cell>
          <cell r="J1979">
            <v>1</v>
          </cell>
          <cell r="L1979" t="str">
            <v>Sharing Luna's Gifts, Wyld-Flame Crucible</v>
          </cell>
        </row>
        <row r="1980">
          <cell r="A1980" t="str">
            <v>Mad-Fire Ultimatum</v>
          </cell>
          <cell r="B1980" t="str">
            <v>3m, 1wp</v>
          </cell>
          <cell r="C1980" t="str">
            <v>Supplemental</v>
          </cell>
          <cell r="D1980" t="str">
            <v>Psyche, Resonant</v>
          </cell>
          <cell r="E1980" t="str">
            <v>Instant</v>
          </cell>
          <cell r="H1980" t="str">
            <v>Weirdflame</v>
          </cell>
          <cell r="I1980" t="str">
            <v>None</v>
          </cell>
          <cell r="J1980">
            <v>2</v>
          </cell>
          <cell r="L1980" t="str">
            <v>Wyld-Flame Crucible</v>
          </cell>
        </row>
        <row r="1981">
          <cell r="A1981" t="str">
            <v>Twisting Ash Brand</v>
          </cell>
          <cell r="B1981" t="str">
            <v>3m</v>
          </cell>
          <cell r="C1981" t="str">
            <v>Supplemental</v>
          </cell>
          <cell r="D1981" t="str">
            <v>None</v>
          </cell>
          <cell r="E1981" t="str">
            <v>Instant</v>
          </cell>
          <cell r="H1981" t="str">
            <v>Weirdflame</v>
          </cell>
          <cell r="I1981" t="str">
            <v>None</v>
          </cell>
          <cell r="J1981">
            <v>2</v>
          </cell>
          <cell r="L1981" t="str">
            <v>Wyld-Flame Crucible</v>
          </cell>
        </row>
        <row r="1982">
          <cell r="A1982" t="str">
            <v>Ruined Phoenix Crucible</v>
          </cell>
          <cell r="B1982" t="str">
            <v>-</v>
          </cell>
          <cell r="C1982" t="str">
            <v>Permanent</v>
          </cell>
          <cell r="D1982" t="str">
            <v>Resonant</v>
          </cell>
          <cell r="E1982" t="str">
            <v>Permanent</v>
          </cell>
          <cell r="H1982" t="str">
            <v>Weirdflame</v>
          </cell>
          <cell r="I1982" t="str">
            <v>None</v>
          </cell>
          <cell r="J1982">
            <v>3</v>
          </cell>
          <cell r="L1982" t="str">
            <v>Mad-Fire Ultimatum</v>
          </cell>
        </row>
        <row r="1983">
          <cell r="A1983" t="str">
            <v>Wyld Nightmare Inferno</v>
          </cell>
          <cell r="B1983" t="str">
            <v>10m, 5i, 1wp</v>
          </cell>
          <cell r="C1983" t="str">
            <v>Simple</v>
          </cell>
          <cell r="D1983" t="str">
            <v>Perilous, Resonant</v>
          </cell>
          <cell r="E1983" t="str">
            <v>One scene</v>
          </cell>
          <cell r="H1983" t="str">
            <v>Weirdflame</v>
          </cell>
          <cell r="I1983" t="str">
            <v>None</v>
          </cell>
          <cell r="J1983">
            <v>4</v>
          </cell>
          <cell r="L1983" t="str">
            <v>Ruined Phoenix Crucible, Twisting Ash Brand</v>
          </cell>
        </row>
        <row r="2594">
          <cell r="A2594" t="str">
            <v>Example</v>
          </cell>
          <cell r="B2594" t="str">
            <v>1m</v>
          </cell>
          <cell r="C2594" t="str">
            <v>Simple</v>
          </cell>
          <cell r="D2594" t="str">
            <v>Mute</v>
          </cell>
          <cell r="E2594" t="str">
            <v>Instant</v>
          </cell>
          <cell r="F2594" t="str">
            <v>It does what it does</v>
          </cell>
          <cell r="G2594">
            <v>334</v>
          </cell>
          <cell r="H2594" t="str">
            <v>Test Artifact Name</v>
          </cell>
          <cell r="J2594">
            <v>1</v>
          </cell>
        </row>
        <row r="2595">
          <cell r="A2595" t="str">
            <v>Example</v>
          </cell>
          <cell r="B2595" t="str">
            <v>1m</v>
          </cell>
          <cell r="C2595" t="str">
            <v>Simple</v>
          </cell>
          <cell r="D2595" t="str">
            <v>Mute</v>
          </cell>
          <cell r="E2595" t="str">
            <v>Instant</v>
          </cell>
          <cell r="F2595" t="str">
            <v>It does what it does</v>
          </cell>
          <cell r="G2595">
            <v>334</v>
          </cell>
          <cell r="H2595" t="str">
            <v>Test Martial Arts Style</v>
          </cell>
          <cell r="I2595">
            <v>1</v>
          </cell>
          <cell r="J2595">
            <v>1</v>
          </cell>
        </row>
        <row r="2596">
          <cell r="A2596" t="str">
            <v>Test</v>
          </cell>
          <cell r="B2596" t="str">
            <v>3m</v>
          </cell>
          <cell r="D2596" t="str">
            <v>Mute</v>
          </cell>
          <cell r="E2596" t="str">
            <v>Instant</v>
          </cell>
          <cell r="F2596" t="str">
            <v>It does what it does</v>
          </cell>
          <cell r="G2596">
            <v>334</v>
          </cell>
          <cell r="H2596" t="str">
            <v>Test SMA Style</v>
          </cell>
        </row>
      </sheetData>
      <sheetData sheetId="19">
        <row r="1">
          <cell r="O1" t="str">
            <v>Weapons</v>
          </cell>
          <cell r="P1" t="str">
            <v>Accuracy</v>
          </cell>
          <cell r="Q1" t="str">
            <v>Damage</v>
          </cell>
          <cell r="R1" t="str">
            <v>Min</v>
          </cell>
          <cell r="S1" t="str">
            <v>Def</v>
          </cell>
          <cell r="T1" t="str">
            <v>Attune</v>
          </cell>
        </row>
        <row r="2">
          <cell r="E2" t="str">
            <v>Attributes</v>
          </cell>
          <cell r="I2" t="str">
            <v>L. Mun. Melee</v>
          </cell>
          <cell r="J2" t="str">
            <v>M. Mun. Melee</v>
          </cell>
          <cell r="K2" t="str">
            <v>H. Mun. Melee</v>
          </cell>
          <cell r="L2" t="str">
            <v>L. Mundane</v>
          </cell>
          <cell r="M2" t="str">
            <v>M. Mundane</v>
          </cell>
          <cell r="O2" t="str">
            <v>L. Mun. Melee</v>
          </cell>
          <cell r="P2">
            <v>4</v>
          </cell>
          <cell r="Q2">
            <v>7</v>
          </cell>
          <cell r="R2">
            <v>1</v>
          </cell>
          <cell r="S2">
            <v>0</v>
          </cell>
          <cell r="T2">
            <v>0</v>
          </cell>
        </row>
        <row r="3">
          <cell r="E3" t="str">
            <v>Abilities</v>
          </cell>
          <cell r="I3" t="str">
            <v>L. Mun. Thrown</v>
          </cell>
          <cell r="J3" t="str">
            <v>M. Mun. Thrown</v>
          </cell>
          <cell r="K3" t="str">
            <v>H. Mun. Thrown</v>
          </cell>
          <cell r="L3" t="str">
            <v>H. Mundane</v>
          </cell>
          <cell r="M3" t="str">
            <v>L. Artifact</v>
          </cell>
          <cell r="O3" t="str">
            <v>M. Mun. Melee</v>
          </cell>
          <cell r="P3">
            <v>2</v>
          </cell>
          <cell r="Q3">
            <v>9</v>
          </cell>
          <cell r="R3">
            <v>1</v>
          </cell>
          <cell r="S3">
            <v>1</v>
          </cell>
          <cell r="T3">
            <v>0</v>
          </cell>
        </row>
        <row r="4">
          <cell r="E4" t="str">
            <v>Specialties</v>
          </cell>
          <cell r="I4" t="str">
            <v>L. Mun. Archery</v>
          </cell>
          <cell r="J4" t="str">
            <v>M. Mun. Archery</v>
          </cell>
          <cell r="K4" t="str">
            <v>H. Mun. Archery</v>
          </cell>
          <cell r="L4" t="str">
            <v>M. Artifact</v>
          </cell>
          <cell r="M4" t="str">
            <v>H. Artifact</v>
          </cell>
          <cell r="O4" t="str">
            <v>H. Mun. Melee</v>
          </cell>
          <cell r="P4">
            <v>1</v>
          </cell>
          <cell r="Q4">
            <v>11</v>
          </cell>
          <cell r="R4">
            <v>1</v>
          </cell>
          <cell r="S4">
            <v>-1</v>
          </cell>
          <cell r="T4">
            <v>0</v>
          </cell>
        </row>
        <row r="5">
          <cell r="E5" t="str">
            <v>Charms</v>
          </cell>
          <cell r="I5" t="str">
            <v>L. Art. Melee</v>
          </cell>
          <cell r="J5" t="str">
            <v>M. Art. Melee</v>
          </cell>
          <cell r="K5" t="str">
            <v>H. Art. Melee</v>
          </cell>
          <cell r="O5" t="str">
            <v>L. Mun. Thrown</v>
          </cell>
          <cell r="P5" t="str">
            <v>*</v>
          </cell>
          <cell r="Q5">
            <v>7</v>
          </cell>
          <cell r="R5">
            <v>1</v>
          </cell>
          <cell r="S5">
            <v>0</v>
          </cell>
          <cell r="T5">
            <v>0</v>
          </cell>
        </row>
        <row r="6">
          <cell r="E6" t="str">
            <v>Martial Arts</v>
          </cell>
          <cell r="I6" t="str">
            <v>L. Art. Thrown</v>
          </cell>
          <cell r="J6" t="str">
            <v>M. Art. Thrown</v>
          </cell>
          <cell r="K6" t="str">
            <v>H. Art. Thrown</v>
          </cell>
          <cell r="L6" t="str">
            <v>White Jade</v>
          </cell>
          <cell r="M6" t="str">
            <v>Buoyant</v>
          </cell>
          <cell r="O6" t="str">
            <v>M. Mun. Thrown</v>
          </cell>
          <cell r="P6" t="str">
            <v>*</v>
          </cell>
          <cell r="Q6">
            <v>9</v>
          </cell>
          <cell r="R6">
            <v>1</v>
          </cell>
          <cell r="S6">
            <v>0</v>
          </cell>
          <cell r="T6">
            <v>0</v>
          </cell>
        </row>
        <row r="7">
          <cell r="E7" t="str">
            <v>Evocations</v>
          </cell>
          <cell r="I7" t="str">
            <v>L. Art. Archery</v>
          </cell>
          <cell r="J7" t="str">
            <v>M. Art. Archery</v>
          </cell>
          <cell r="K7" t="str">
            <v>H. Art. Archery</v>
          </cell>
          <cell r="L7" t="str">
            <v>Green Jade</v>
          </cell>
          <cell r="M7" t="str">
            <v>Concealable</v>
          </cell>
          <cell r="O7" t="str">
            <v>H. Mun. Thrown</v>
          </cell>
          <cell r="P7" t="str">
            <v>*</v>
          </cell>
          <cell r="Q7">
            <v>11</v>
          </cell>
          <cell r="R7">
            <v>1</v>
          </cell>
          <cell r="S7">
            <v>0</v>
          </cell>
          <cell r="T7">
            <v>0</v>
          </cell>
        </row>
        <row r="8">
          <cell r="E8" t="str">
            <v>Sorcery</v>
          </cell>
          <cell r="L8" t="str">
            <v>Red Jade</v>
          </cell>
          <cell r="M8" t="str">
            <v>Silent</v>
          </cell>
          <cell r="O8" t="str">
            <v>L. Mun. Archery</v>
          </cell>
          <cell r="P8" t="str">
            <v>*</v>
          </cell>
          <cell r="Q8">
            <v>7</v>
          </cell>
          <cell r="R8">
            <v>1</v>
          </cell>
          <cell r="S8">
            <v>0</v>
          </cell>
          <cell r="T8">
            <v>0</v>
          </cell>
        </row>
        <row r="9">
          <cell r="E9" t="str">
            <v>Merits</v>
          </cell>
          <cell r="I9" t="str">
            <v>Archery(Short)</v>
          </cell>
          <cell r="J9" t="str">
            <v>Archery(Medium)</v>
          </cell>
          <cell r="K9" t="str">
            <v>Archery(Long)</v>
          </cell>
          <cell r="L9" t="str">
            <v>Blue Jade</v>
          </cell>
          <cell r="M9" t="str">
            <v>Special</v>
          </cell>
          <cell r="O9" t="str">
            <v>M. Mun. Archery</v>
          </cell>
          <cell r="P9" t="str">
            <v>*</v>
          </cell>
          <cell r="Q9">
            <v>9</v>
          </cell>
          <cell r="R9">
            <v>1</v>
          </cell>
          <cell r="S9">
            <v>0</v>
          </cell>
          <cell r="T9">
            <v>0</v>
          </cell>
        </row>
        <row r="10">
          <cell r="A10" t="str">
            <v>●</v>
          </cell>
          <cell r="E10" t="str">
            <v>Willpower</v>
          </cell>
          <cell r="I10" t="str">
            <v>Balanced</v>
          </cell>
          <cell r="J10" t="str">
            <v>Bashing</v>
          </cell>
          <cell r="K10" t="str">
            <v>Brawl</v>
          </cell>
          <cell r="L10" t="str">
            <v>Black Jade</v>
          </cell>
          <cell r="M10" t="str">
            <v>Exceptional</v>
          </cell>
          <cell r="O10" t="str">
            <v>H. Mun. Archery</v>
          </cell>
          <cell r="P10" t="str">
            <v>*</v>
          </cell>
          <cell r="Q10">
            <v>11</v>
          </cell>
          <cell r="R10">
            <v>1</v>
          </cell>
          <cell r="S10">
            <v>0</v>
          </cell>
          <cell r="T10">
            <v>0</v>
          </cell>
        </row>
        <row r="11">
          <cell r="A11" t="str">
            <v>●●</v>
          </cell>
          <cell r="D11" t="str">
            <v>0 - Dim</v>
          </cell>
          <cell r="E11" t="str">
            <v>Miscellaneous</v>
          </cell>
          <cell r="I11" t="str">
            <v>Chopping</v>
          </cell>
          <cell r="J11" t="str">
            <v>Concealable</v>
          </cell>
          <cell r="K11" t="str">
            <v>Crossbow</v>
          </cell>
          <cell r="L11" t="str">
            <v>Starmetal</v>
          </cell>
          <cell r="O11" t="str">
            <v>L. Art. Melee</v>
          </cell>
          <cell r="P11">
            <v>5</v>
          </cell>
          <cell r="Q11">
            <v>10</v>
          </cell>
          <cell r="R11">
            <v>3</v>
          </cell>
          <cell r="S11">
            <v>0</v>
          </cell>
          <cell r="T11">
            <v>5</v>
          </cell>
        </row>
        <row r="12">
          <cell r="A12" t="str">
            <v>●●●</v>
          </cell>
          <cell r="D12" t="str">
            <v>1 - Glowing</v>
          </cell>
          <cell r="I12" t="str">
            <v>Cutting</v>
          </cell>
          <cell r="J12" t="str">
            <v>Disarming</v>
          </cell>
          <cell r="K12" t="str">
            <v>Flame</v>
          </cell>
          <cell r="L12" t="str">
            <v>Moonsilver</v>
          </cell>
          <cell r="O12" t="str">
            <v>M. Art. Melee</v>
          </cell>
          <cell r="P12">
            <v>3</v>
          </cell>
          <cell r="Q12">
            <v>12</v>
          </cell>
          <cell r="R12">
            <v>4</v>
          </cell>
          <cell r="S12">
            <v>1</v>
          </cell>
          <cell r="T12">
            <v>5</v>
          </cell>
        </row>
        <row r="13">
          <cell r="A13" t="str">
            <v>●●●●</v>
          </cell>
          <cell r="D13" t="str">
            <v>2 - Burning</v>
          </cell>
          <cell r="I13" t="str">
            <v>Flexible</v>
          </cell>
          <cell r="J13" t="str">
            <v>Grappling</v>
          </cell>
          <cell r="K13" t="str">
            <v>Improvised</v>
          </cell>
          <cell r="L13" t="str">
            <v>Orichalcum</v>
          </cell>
          <cell r="O13" t="str">
            <v>H. Art. Melee</v>
          </cell>
          <cell r="P13">
            <v>1</v>
          </cell>
          <cell r="Q13">
            <v>14</v>
          </cell>
          <cell r="R13">
            <v>5</v>
          </cell>
          <cell r="S13">
            <v>0</v>
          </cell>
          <cell r="T13">
            <v>5</v>
          </cell>
        </row>
        <row r="14">
          <cell r="A14" t="str">
            <v>●●●●●</v>
          </cell>
          <cell r="D14" t="str">
            <v>3 - Bonfire</v>
          </cell>
          <cell r="I14" t="str">
            <v>Lethal</v>
          </cell>
          <cell r="J14" t="str">
            <v>Martial Arts</v>
          </cell>
          <cell r="K14" t="str">
            <v>Melee</v>
          </cell>
          <cell r="L14" t="str">
            <v>Soulsteel</v>
          </cell>
          <cell r="O14" t="str">
            <v>L. Art. Thrown</v>
          </cell>
          <cell r="P14" t="str">
            <v>*</v>
          </cell>
          <cell r="Q14">
            <v>10</v>
          </cell>
          <cell r="R14">
            <v>3</v>
          </cell>
          <cell r="S14">
            <v>0</v>
          </cell>
          <cell r="T14">
            <v>5</v>
          </cell>
        </row>
        <row r="15">
          <cell r="A15" t="str">
            <v>●●●●● ●</v>
          </cell>
          <cell r="I15" t="str">
            <v>Mounted</v>
          </cell>
          <cell r="J15" t="str">
            <v>Natural</v>
          </cell>
          <cell r="K15" t="str">
            <v>One-Handed</v>
          </cell>
          <cell r="L15" t="str">
            <v>Multi. Mag. Mat.</v>
          </cell>
          <cell r="O15" t="str">
            <v>M. Art. Thrown</v>
          </cell>
          <cell r="P15" t="str">
            <v>*</v>
          </cell>
          <cell r="Q15">
            <v>12</v>
          </cell>
          <cell r="R15">
            <v>4</v>
          </cell>
          <cell r="S15">
            <v>0</v>
          </cell>
          <cell r="T15">
            <v>5</v>
          </cell>
          <cell r="V15" t="str">
            <v>Type</v>
          </cell>
          <cell r="W15" t="str">
            <v>Solar</v>
          </cell>
          <cell r="X15" t="str">
            <v>Dragonblooded</v>
          </cell>
          <cell r="Y15" t="str">
            <v>Lunar</v>
          </cell>
          <cell r="Z15" t="str">
            <v>Sidereal</v>
          </cell>
          <cell r="AA15" t="str">
            <v>Abyssal</v>
          </cell>
          <cell r="AB15" t="str">
            <v>Celest. Exigent</v>
          </cell>
          <cell r="AC15" t="str">
            <v>Terr. Exigent</v>
          </cell>
          <cell r="AD15" t="str">
            <v>Mortal</v>
          </cell>
          <cell r="AE15" t="str">
            <v>Spirit</v>
          </cell>
          <cell r="AF15" t="str">
            <v>Animal</v>
          </cell>
          <cell r="AG15" t="str">
            <v>Homebrew Liminal</v>
          </cell>
        </row>
        <row r="16">
          <cell r="A16" t="str">
            <v>●●●●● ●●</v>
          </cell>
          <cell r="I16" t="str">
            <v>Piercing</v>
          </cell>
          <cell r="J16" t="str">
            <v>Poisonable</v>
          </cell>
          <cell r="K16" t="str">
            <v>Powerful</v>
          </cell>
          <cell r="L16" t="str">
            <v>Chiarosc. Glass</v>
          </cell>
          <cell r="O16" t="str">
            <v>H. Art. Thrown</v>
          </cell>
          <cell r="P16" t="str">
            <v>*</v>
          </cell>
          <cell r="Q16">
            <v>14</v>
          </cell>
          <cell r="R16">
            <v>5</v>
          </cell>
          <cell r="S16">
            <v>0</v>
          </cell>
          <cell r="T16">
            <v>5</v>
          </cell>
          <cell r="V16" t="str">
            <v>Favored</v>
          </cell>
          <cell r="W16">
            <v>8</v>
          </cell>
          <cell r="X16">
            <v>8</v>
          </cell>
          <cell r="Y16">
            <v>8</v>
          </cell>
          <cell r="Z16">
            <v>8</v>
          </cell>
          <cell r="AA16">
            <v>8</v>
          </cell>
          <cell r="AB16">
            <v>8</v>
          </cell>
          <cell r="AC16">
            <v>8</v>
          </cell>
          <cell r="AD16">
            <v>8</v>
          </cell>
        </row>
        <row r="17">
          <cell r="A17" t="str">
            <v>●●●●● ●●●</v>
          </cell>
          <cell r="I17" t="str">
            <v>Reaching</v>
          </cell>
          <cell r="J17" t="str">
            <v>Shield</v>
          </cell>
          <cell r="K17" t="str">
            <v>Slow</v>
          </cell>
          <cell r="L17" t="str">
            <v>Feathersteel</v>
          </cell>
          <cell r="O17" t="str">
            <v>L. Art. Archery</v>
          </cell>
          <cell r="P17" t="str">
            <v>*</v>
          </cell>
          <cell r="Q17">
            <v>10</v>
          </cell>
          <cell r="R17">
            <v>3</v>
          </cell>
          <cell r="S17">
            <v>0</v>
          </cell>
          <cell r="T17">
            <v>5</v>
          </cell>
          <cell r="V17" t="str">
            <v>Non-Favored</v>
          </cell>
          <cell r="W17">
            <v>10</v>
          </cell>
          <cell r="X17">
            <v>10</v>
          </cell>
          <cell r="Y17">
            <v>10</v>
          </cell>
          <cell r="Z17">
            <v>10</v>
          </cell>
          <cell r="AA17">
            <v>10</v>
          </cell>
          <cell r="AB17">
            <v>10</v>
          </cell>
          <cell r="AC17">
            <v>10</v>
          </cell>
          <cell r="AD17">
            <v>10</v>
          </cell>
        </row>
        <row r="18">
          <cell r="A18" t="str">
            <v>●●●●● ●●●●</v>
          </cell>
          <cell r="I18" t="str">
            <v>Smashing</v>
          </cell>
          <cell r="J18" t="str">
            <v>Special</v>
          </cell>
          <cell r="K18" t="str">
            <v>Subtle</v>
          </cell>
          <cell r="L18" t="str">
            <v>Ironwood</v>
          </cell>
          <cell r="O18" t="str">
            <v>M. Art. Archery</v>
          </cell>
          <cell r="P18" t="str">
            <v>*</v>
          </cell>
          <cell r="Q18">
            <v>12</v>
          </cell>
          <cell r="R18">
            <v>4</v>
          </cell>
          <cell r="S18">
            <v>0</v>
          </cell>
          <cell r="T18">
            <v>5</v>
          </cell>
          <cell r="V18" t="str">
            <v>MA Fav</v>
          </cell>
          <cell r="W18">
            <v>8</v>
          </cell>
          <cell r="X18">
            <v>8</v>
          </cell>
          <cell r="Y18">
            <v>8</v>
          </cell>
          <cell r="Z18">
            <v>8</v>
          </cell>
          <cell r="AA18">
            <v>8</v>
          </cell>
          <cell r="AB18">
            <v>8</v>
          </cell>
          <cell r="AC18">
            <v>8</v>
          </cell>
          <cell r="AD18">
            <v>8</v>
          </cell>
        </row>
        <row r="19">
          <cell r="A19" t="str">
            <v>●●●●● ●●●●●</v>
          </cell>
          <cell r="I19" t="str">
            <v>Thrown(Short)</v>
          </cell>
          <cell r="J19" t="str">
            <v>Thrown(Medium)</v>
          </cell>
          <cell r="K19" t="str">
            <v>Thrown(Long)</v>
          </cell>
          <cell r="O19" t="str">
            <v>H. Art. Archery</v>
          </cell>
          <cell r="P19" t="str">
            <v>*</v>
          </cell>
          <cell r="Q19">
            <v>14</v>
          </cell>
          <cell r="R19">
            <v>5</v>
          </cell>
          <cell r="S19">
            <v>0</v>
          </cell>
          <cell r="T19">
            <v>5</v>
          </cell>
          <cell r="V19" t="str">
            <v>MA Non-Fav</v>
          </cell>
          <cell r="W19">
            <v>10</v>
          </cell>
          <cell r="X19">
            <v>10</v>
          </cell>
          <cell r="Y19">
            <v>10</v>
          </cell>
          <cell r="Z19">
            <v>10</v>
          </cell>
          <cell r="AA19">
            <v>10</v>
          </cell>
          <cell r="AB19">
            <v>10</v>
          </cell>
          <cell r="AC19">
            <v>10</v>
          </cell>
          <cell r="AD19">
            <v>10</v>
          </cell>
        </row>
        <row r="20">
          <cell r="I20" t="str">
            <v>Two-handed</v>
          </cell>
          <cell r="J20" t="str">
            <v>Worn</v>
          </cell>
          <cell r="K20" t="str">
            <v>Exceptional</v>
          </cell>
          <cell r="V20" t="str">
            <v>Spell Fav</v>
          </cell>
          <cell r="W20">
            <v>8</v>
          </cell>
          <cell r="X20">
            <v>10</v>
          </cell>
          <cell r="Y20">
            <v>8</v>
          </cell>
          <cell r="Z20">
            <v>8</v>
          </cell>
          <cell r="AA20">
            <v>8</v>
          </cell>
          <cell r="AB20">
            <v>10</v>
          </cell>
          <cell r="AC20">
            <v>8</v>
          </cell>
          <cell r="AD20">
            <v>8</v>
          </cell>
        </row>
        <row r="21">
          <cell r="O21" t="str">
            <v>Armor</v>
          </cell>
          <cell r="P21" t="str">
            <v>Soak</v>
          </cell>
          <cell r="Q21" t="str">
            <v>Hardness</v>
          </cell>
          <cell r="R21" t="str">
            <v>Mob</v>
          </cell>
          <cell r="S21" t="str">
            <v>Attune</v>
          </cell>
          <cell r="V21" t="str">
            <v>Spell Non-Fav</v>
          </cell>
          <cell r="W21">
            <v>10</v>
          </cell>
          <cell r="X21">
            <v>12</v>
          </cell>
          <cell r="Y21">
            <v>10</v>
          </cell>
          <cell r="Z21">
            <v>10</v>
          </cell>
          <cell r="AA21">
            <v>10</v>
          </cell>
          <cell r="AB21">
            <v>12</v>
          </cell>
          <cell r="AC21">
            <v>10</v>
          </cell>
          <cell r="AD21">
            <v>10</v>
          </cell>
        </row>
        <row r="22">
          <cell r="A22" t="str">
            <v>Solar</v>
          </cell>
          <cell r="O22" t="str">
            <v>L. Mundane</v>
          </cell>
          <cell r="P22">
            <v>3</v>
          </cell>
          <cell r="Q22">
            <v>0</v>
          </cell>
          <cell r="R22">
            <v>0</v>
          </cell>
          <cell r="S22">
            <v>0</v>
          </cell>
          <cell r="V22" t="str">
            <v>Evocation</v>
          </cell>
          <cell r="W22">
            <v>10</v>
          </cell>
          <cell r="X22">
            <v>12</v>
          </cell>
          <cell r="Y22">
            <v>10</v>
          </cell>
          <cell r="Z22">
            <v>10</v>
          </cell>
          <cell r="AA22">
            <v>10</v>
          </cell>
          <cell r="AB22">
            <v>10</v>
          </cell>
          <cell r="AC22">
            <v>10</v>
          </cell>
          <cell r="AD22">
            <v>10</v>
          </cell>
        </row>
        <row r="23">
          <cell r="A23" t="str">
            <v>Dragonblooded</v>
          </cell>
          <cell r="G23" t="str">
            <v>Dawn</v>
          </cell>
          <cell r="O23" t="str">
            <v>M. Mundane</v>
          </cell>
          <cell r="P23">
            <v>5</v>
          </cell>
          <cell r="Q23">
            <v>0</v>
          </cell>
          <cell r="R23">
            <v>-1</v>
          </cell>
          <cell r="S23">
            <v>0</v>
          </cell>
          <cell r="V23" t="str">
            <v>Eclipse</v>
          </cell>
          <cell r="W23">
            <v>8</v>
          </cell>
          <cell r="X23">
            <v>100</v>
          </cell>
          <cell r="Y23">
            <v>8</v>
          </cell>
          <cell r="Z23">
            <v>100</v>
          </cell>
          <cell r="AA23">
            <v>8</v>
          </cell>
          <cell r="AD23">
            <v>8</v>
          </cell>
        </row>
        <row r="24">
          <cell r="A24" t="str">
            <v>Lunar</v>
          </cell>
          <cell r="G24" t="str">
            <v>Zenith</v>
          </cell>
          <cell r="O24" t="str">
            <v>H. Mundane</v>
          </cell>
          <cell r="P24">
            <v>7</v>
          </cell>
          <cell r="Q24">
            <v>0</v>
          </cell>
          <cell r="R24">
            <v>-2</v>
          </cell>
          <cell r="S24">
            <v>0</v>
          </cell>
          <cell r="V24" t="str">
            <v>SMA</v>
          </cell>
          <cell r="W24">
            <v>12</v>
          </cell>
          <cell r="X24">
            <v>100</v>
          </cell>
          <cell r="Y24">
            <v>12</v>
          </cell>
          <cell r="Z24">
            <v>10</v>
          </cell>
          <cell r="AA24">
            <v>12</v>
          </cell>
          <cell r="AD24">
            <v>12</v>
          </cell>
        </row>
        <row r="25">
          <cell r="A25" t="str">
            <v>Sidereal</v>
          </cell>
          <cell r="G25" t="str">
            <v>Twilight</v>
          </cell>
          <cell r="O25" t="str">
            <v>L. Artifact</v>
          </cell>
          <cell r="P25">
            <v>5</v>
          </cell>
          <cell r="Q25">
            <v>4</v>
          </cell>
          <cell r="R25">
            <v>0</v>
          </cell>
          <cell r="S25">
            <v>4</v>
          </cell>
          <cell r="V25" t="str">
            <v>Animal Latent</v>
          </cell>
          <cell r="Y25">
            <v>6</v>
          </cell>
        </row>
        <row r="26">
          <cell r="A26" t="str">
            <v>Abyssal</v>
          </cell>
          <cell r="G26" t="str">
            <v>Night</v>
          </cell>
          <cell r="O26" t="str">
            <v>M. Artifact</v>
          </cell>
          <cell r="P26">
            <v>8</v>
          </cell>
          <cell r="Q26">
            <v>7</v>
          </cell>
          <cell r="R26">
            <v>-1</v>
          </cell>
          <cell r="S26">
            <v>5</v>
          </cell>
        </row>
        <row r="27">
          <cell r="A27" t="str">
            <v>Celest. Exigent</v>
          </cell>
          <cell r="G27" t="str">
            <v>Eclipse</v>
          </cell>
          <cell r="O27" t="str">
            <v>H. Artifact</v>
          </cell>
          <cell r="P27">
            <v>11</v>
          </cell>
          <cell r="Q27">
            <v>10</v>
          </cell>
          <cell r="R27">
            <v>-2</v>
          </cell>
          <cell r="S27">
            <v>6</v>
          </cell>
          <cell r="W27" t="str">
            <v>Solar</v>
          </cell>
          <cell r="X27" t="str">
            <v>Dragonblooded</v>
          </cell>
          <cell r="Y27" t="str">
            <v>Lunar</v>
          </cell>
          <cell r="Z27" t="str">
            <v>Sidereal</v>
          </cell>
          <cell r="AA27" t="str">
            <v>Abyssal</v>
          </cell>
          <cell r="AB27" t="str">
            <v>Celest. Exigent</v>
          </cell>
          <cell r="AC27" t="str">
            <v>Terr. Exigent</v>
          </cell>
          <cell r="AD27" t="str">
            <v>Mortal</v>
          </cell>
          <cell r="AE27" t="str">
            <v>Spirit</v>
          </cell>
          <cell r="AF27" t="str">
            <v>Animal</v>
          </cell>
          <cell r="AG27" t="str">
            <v>Homebrew Liminal</v>
          </cell>
        </row>
        <row r="28">
          <cell r="A28" t="str">
            <v>Terr. Exigent</v>
          </cell>
          <cell r="V28" t="str">
            <v>Pri/Sec</v>
          </cell>
          <cell r="W28">
            <v>4</v>
          </cell>
          <cell r="X28">
            <v>4</v>
          </cell>
          <cell r="Y28">
            <v>4</v>
          </cell>
          <cell r="Z28">
            <v>4</v>
          </cell>
          <cell r="AA28">
            <v>4</v>
          </cell>
          <cell r="AB28">
            <v>4</v>
          </cell>
          <cell r="AC28">
            <v>4</v>
          </cell>
          <cell r="AD28">
            <v>4</v>
          </cell>
        </row>
        <row r="29">
          <cell r="A29" t="str">
            <v>Mortal</v>
          </cell>
          <cell r="G29" t="str">
            <v>Solar</v>
          </cell>
          <cell r="H29" t="str">
            <v>Caste</v>
          </cell>
          <cell r="P29" t="str">
            <v>Cl.</v>
          </cell>
          <cell r="Q29" t="str">
            <v>Sh.</v>
          </cell>
          <cell r="R29" t="str">
            <v>Md.</v>
          </cell>
          <cell r="S29" t="str">
            <v>Lg.</v>
          </cell>
          <cell r="T29" t="str">
            <v>Ex.</v>
          </cell>
          <cell r="V29" t="str">
            <v>Ter</v>
          </cell>
          <cell r="W29">
            <v>3</v>
          </cell>
          <cell r="X29">
            <v>3</v>
          </cell>
          <cell r="Y29">
            <v>4</v>
          </cell>
          <cell r="Z29">
            <v>3</v>
          </cell>
          <cell r="AA29">
            <v>3</v>
          </cell>
          <cell r="AB29">
            <v>3</v>
          </cell>
          <cell r="AC29">
            <v>3</v>
          </cell>
          <cell r="AD29">
            <v>3</v>
          </cell>
        </row>
        <row r="30">
          <cell r="A30" t="str">
            <v>Spirit</v>
          </cell>
          <cell r="G30" t="str">
            <v>Homebrew Dragonblooded</v>
          </cell>
          <cell r="H30" t="str">
            <v>Aspect</v>
          </cell>
          <cell r="O30" t="str">
            <v>Mun. Thrown</v>
          </cell>
          <cell r="P30">
            <v>4</v>
          </cell>
          <cell r="Q30">
            <v>3</v>
          </cell>
          <cell r="R30">
            <v>2</v>
          </cell>
          <cell r="S30">
            <v>-1</v>
          </cell>
          <cell r="T30">
            <v>-3</v>
          </cell>
          <cell r="V30" t="str">
            <v>Favored</v>
          </cell>
          <cell r="W30">
            <v>4</v>
          </cell>
          <cell r="X30">
            <v>4</v>
          </cell>
          <cell r="Y30">
            <v>3</v>
          </cell>
          <cell r="Z30">
            <v>4</v>
          </cell>
          <cell r="AA30">
            <v>4</v>
          </cell>
          <cell r="AB30">
            <v>4</v>
          </cell>
          <cell r="AC30">
            <v>4</v>
          </cell>
          <cell r="AD30">
            <v>4</v>
          </cell>
        </row>
        <row r="31">
          <cell r="A31" t="str">
            <v>Animal</v>
          </cell>
          <cell r="G31" t="str">
            <v>Dragonblooded</v>
          </cell>
          <cell r="H31" t="str">
            <v>Aspect</v>
          </cell>
          <cell r="O31" t="str">
            <v>Art. Thrown</v>
          </cell>
          <cell r="P31">
            <v>5</v>
          </cell>
          <cell r="Q31">
            <v>4</v>
          </cell>
          <cell r="R31">
            <v>3</v>
          </cell>
          <cell r="S31">
            <v>0</v>
          </cell>
          <cell r="T31">
            <v>-2</v>
          </cell>
          <cell r="V31" t="str">
            <v>Non-Favored Ability</v>
          </cell>
          <cell r="W31">
            <v>2</v>
          </cell>
          <cell r="X31">
            <v>2</v>
          </cell>
          <cell r="Y31">
            <v>2</v>
          </cell>
          <cell r="Z31">
            <v>1</v>
          </cell>
          <cell r="AA31">
            <v>2</v>
          </cell>
          <cell r="AB31">
            <v>2</v>
          </cell>
          <cell r="AC31">
            <v>2</v>
          </cell>
          <cell r="AD31">
            <v>2</v>
          </cell>
        </row>
        <row r="32">
          <cell r="A32" t="str">
            <v>Homebrew Liminal</v>
          </cell>
          <cell r="G32" t="str">
            <v>Terr. Exigent</v>
          </cell>
          <cell r="H32" t="str">
            <v>Type</v>
          </cell>
          <cell r="O32" t="str">
            <v>Mun. Archery</v>
          </cell>
          <cell r="P32">
            <v>-2</v>
          </cell>
          <cell r="Q32">
            <v>4</v>
          </cell>
          <cell r="R32">
            <v>2</v>
          </cell>
          <cell r="S32">
            <v>0</v>
          </cell>
          <cell r="T32">
            <v>-2</v>
          </cell>
          <cell r="V32" t="str">
            <v>Favored Ability</v>
          </cell>
          <cell r="W32">
            <v>1</v>
          </cell>
          <cell r="X32">
            <v>1</v>
          </cell>
          <cell r="Y32">
            <v>1</v>
          </cell>
          <cell r="Z32">
            <v>2</v>
          </cell>
          <cell r="AA32">
            <v>1</v>
          </cell>
          <cell r="AB32">
            <v>1</v>
          </cell>
          <cell r="AC32">
            <v>1</v>
          </cell>
          <cell r="AD32">
            <v>1</v>
          </cell>
        </row>
        <row r="33">
          <cell r="A33" t="str">
            <v>Homebrew Dragonblooded</v>
          </cell>
          <cell r="G33" t="str">
            <v>Celest. Exigent</v>
          </cell>
          <cell r="H33" t="str">
            <v>Type</v>
          </cell>
          <cell r="O33" t="str">
            <v>Art. Archery</v>
          </cell>
          <cell r="P33">
            <v>-1</v>
          </cell>
          <cell r="Q33">
            <v>5</v>
          </cell>
          <cell r="R33">
            <v>3</v>
          </cell>
          <cell r="S33">
            <v>1</v>
          </cell>
          <cell r="T33">
            <v>-1</v>
          </cell>
          <cell r="V33" t="str">
            <v>Merits</v>
          </cell>
          <cell r="W33">
            <v>1</v>
          </cell>
          <cell r="X33">
            <v>1</v>
          </cell>
          <cell r="Y33">
            <v>1</v>
          </cell>
          <cell r="Z33">
            <v>1</v>
          </cell>
          <cell r="AA33">
            <v>1</v>
          </cell>
          <cell r="AB33">
            <v>1</v>
          </cell>
          <cell r="AC33">
            <v>1</v>
          </cell>
          <cell r="AD33">
            <v>1</v>
          </cell>
        </row>
        <row r="34">
          <cell r="A34" t="str">
            <v>Homebrew Lunar</v>
          </cell>
          <cell r="V34" t="str">
            <v>Specialties</v>
          </cell>
          <cell r="W34">
            <v>1</v>
          </cell>
          <cell r="X34">
            <v>1</v>
          </cell>
          <cell r="Y34">
            <v>1</v>
          </cell>
          <cell r="Z34">
            <v>1</v>
          </cell>
          <cell r="AA34">
            <v>1</v>
          </cell>
          <cell r="AB34">
            <v>1</v>
          </cell>
          <cell r="AC34">
            <v>1</v>
          </cell>
          <cell r="AD34">
            <v>1</v>
          </cell>
        </row>
        <row r="35">
          <cell r="A35" t="str">
            <v>Homebrew Sidereal</v>
          </cell>
          <cell r="V35" t="str">
            <v>Favored Charm</v>
          </cell>
          <cell r="W35">
            <v>4</v>
          </cell>
          <cell r="X35">
            <v>4</v>
          </cell>
          <cell r="Y35">
            <v>4</v>
          </cell>
          <cell r="Z35">
            <v>4</v>
          </cell>
          <cell r="AA35">
            <v>4</v>
          </cell>
          <cell r="AB35">
            <v>4</v>
          </cell>
          <cell r="AC35">
            <v>4</v>
          </cell>
          <cell r="AD35">
            <v>4</v>
          </cell>
        </row>
        <row r="36">
          <cell r="A36" t="str">
            <v>Homebrew Abyssal</v>
          </cell>
          <cell r="V36" t="str">
            <v>Non-Favored Charm</v>
          </cell>
          <cell r="W36">
            <v>5</v>
          </cell>
          <cell r="X36">
            <v>5</v>
          </cell>
          <cell r="Y36">
            <v>5</v>
          </cell>
          <cell r="Z36">
            <v>5</v>
          </cell>
          <cell r="AA36">
            <v>5</v>
          </cell>
          <cell r="AB36">
            <v>5</v>
          </cell>
          <cell r="AC36">
            <v>5</v>
          </cell>
          <cell r="AD36">
            <v>5</v>
          </cell>
        </row>
        <row r="37">
          <cell r="Q37" t="str">
            <v>Poor</v>
          </cell>
          <cell r="V37" t="str">
            <v>Evocation</v>
          </cell>
          <cell r="W37">
            <v>4</v>
          </cell>
          <cell r="X37">
            <v>4</v>
          </cell>
          <cell r="Y37">
            <v>4</v>
          </cell>
          <cell r="Z37">
            <v>4</v>
          </cell>
          <cell r="AA37">
            <v>4</v>
          </cell>
          <cell r="AB37">
            <v>4</v>
          </cell>
          <cell r="AC37">
            <v>4</v>
          </cell>
          <cell r="AD37">
            <v>4</v>
          </cell>
        </row>
        <row r="38">
          <cell r="Q38" t="str">
            <v>Avg.</v>
          </cell>
          <cell r="V38" t="str">
            <v>Spell/Fav</v>
          </cell>
          <cell r="W38">
            <v>4</v>
          </cell>
          <cell r="X38">
            <v>4</v>
          </cell>
          <cell r="Y38">
            <v>4</v>
          </cell>
          <cell r="Z38">
            <v>4</v>
          </cell>
          <cell r="AA38">
            <v>4</v>
          </cell>
          <cell r="AB38">
            <v>4</v>
          </cell>
          <cell r="AC38">
            <v>4</v>
          </cell>
          <cell r="AD38">
            <v>4</v>
          </cell>
        </row>
        <row r="39">
          <cell r="Q39" t="str">
            <v>Elite</v>
          </cell>
          <cell r="V39" t="str">
            <v>Spell/Non</v>
          </cell>
          <cell r="W39">
            <v>5</v>
          </cell>
          <cell r="X39">
            <v>5</v>
          </cell>
          <cell r="Y39">
            <v>5</v>
          </cell>
          <cell r="Z39">
            <v>5</v>
          </cell>
          <cell r="AA39">
            <v>5</v>
          </cell>
          <cell r="AB39">
            <v>5</v>
          </cell>
          <cell r="AC39">
            <v>5</v>
          </cell>
          <cell r="AD39">
            <v>5</v>
          </cell>
        </row>
        <row r="40">
          <cell r="O40" t="str">
            <v/>
          </cell>
          <cell r="V40" t="str">
            <v>Willpower</v>
          </cell>
          <cell r="W40">
            <v>2</v>
          </cell>
          <cell r="X40">
            <v>2</v>
          </cell>
          <cell r="Y40">
            <v>2</v>
          </cell>
          <cell r="Z40">
            <v>2</v>
          </cell>
          <cell r="AA40">
            <v>2</v>
          </cell>
          <cell r="AB40">
            <v>2</v>
          </cell>
          <cell r="AC40">
            <v>2</v>
          </cell>
          <cell r="AD40">
            <v>2</v>
          </cell>
        </row>
        <row r="41">
          <cell r="O41" t="str">
            <v/>
          </cell>
          <cell r="Q41">
            <v>0</v>
          </cell>
          <cell r="R41">
            <v>0</v>
          </cell>
          <cell r="S41">
            <v>0</v>
          </cell>
          <cell r="T41">
            <v>0</v>
          </cell>
          <cell r="V41" t="str">
            <v>Anim. Latent</v>
          </cell>
          <cell r="Y41">
            <v>3</v>
          </cell>
        </row>
        <row r="42">
          <cell r="O42" t="str">
            <v/>
          </cell>
          <cell r="Q42">
            <v>1</v>
          </cell>
          <cell r="R42">
            <v>1</v>
          </cell>
          <cell r="S42">
            <v>1</v>
          </cell>
          <cell r="T42">
            <v>1</v>
          </cell>
        </row>
        <row r="43">
          <cell r="O43" t="str">
            <v/>
          </cell>
          <cell r="Q43">
            <v>2</v>
          </cell>
          <cell r="R43">
            <v>2</v>
          </cell>
          <cell r="S43">
            <v>2</v>
          </cell>
          <cell r="T43">
            <v>1</v>
          </cell>
        </row>
        <row r="44">
          <cell r="O44" t="str">
            <v/>
          </cell>
          <cell r="Q44">
            <v>3</v>
          </cell>
          <cell r="R44">
            <v>3</v>
          </cell>
          <cell r="S44">
            <v>3</v>
          </cell>
          <cell r="T44">
            <v>2</v>
          </cell>
          <cell r="X44" t="str">
            <v>Default</v>
          </cell>
        </row>
        <row r="45">
          <cell r="X45" t="str">
            <v>Experienced</v>
          </cell>
        </row>
        <row r="47">
          <cell r="R47" t="str">
            <v>Solar</v>
          </cell>
        </row>
        <row r="48">
          <cell r="R48" t="str">
            <v>Dragonblooded</v>
          </cell>
        </row>
        <row r="49">
          <cell r="R49" t="str">
            <v>Lunar</v>
          </cell>
        </row>
        <row r="50">
          <cell r="R50" t="str">
            <v>Sidereal</v>
          </cell>
        </row>
        <row r="51">
          <cell r="R51" t="str">
            <v>Abyssal</v>
          </cell>
        </row>
        <row r="52">
          <cell r="R52" t="str">
            <v>Celest. Exigent</v>
          </cell>
        </row>
        <row r="53">
          <cell r="R53" t="str">
            <v>Terr. Exigent</v>
          </cell>
        </row>
        <row r="54">
          <cell r="R54" t="str">
            <v>Mortal</v>
          </cell>
        </row>
        <row r="55">
          <cell r="R55" t="str">
            <v>Spirit</v>
          </cell>
        </row>
        <row r="56">
          <cell r="R56" t="str">
            <v>Animal</v>
          </cell>
        </row>
        <row r="57">
          <cell r="R57" t="str">
            <v>Homebrew Liminal</v>
          </cell>
        </row>
        <row r="58">
          <cell r="B58" t="str">
            <v>Journeys</v>
          </cell>
          <cell r="C58" t="str">
            <v>Resistan.,Ride,Sail,Survival,Thrown</v>
          </cell>
          <cell r="R58" t="str">
            <v>Homebrew Dragonblooded</v>
          </cell>
        </row>
        <row r="59">
          <cell r="B59" t="str">
            <v>Serenities</v>
          </cell>
          <cell r="C59" t="str">
            <v>Craft,Dodge,Linguistics,Perform.,Socialize</v>
          </cell>
          <cell r="R59" t="str">
            <v>Homebrew Lunar</v>
          </cell>
        </row>
        <row r="60">
          <cell r="B60" t="str">
            <v>Battles</v>
          </cell>
          <cell r="C60" t="str">
            <v>Archery,Brawl,Melee,Presence,War</v>
          </cell>
          <cell r="R60" t="str">
            <v>Homebrew Sidereal</v>
          </cell>
        </row>
        <row r="61">
          <cell r="B61" t="str">
            <v>Secrets</v>
          </cell>
          <cell r="C61" t="str">
            <v>Investig.,Larceny,Lore,Occult,Stealth</v>
          </cell>
          <cell r="R61" t="str">
            <v>Homebrew Abyssal</v>
          </cell>
        </row>
        <row r="62">
          <cell r="B62" t="str">
            <v>Endings</v>
          </cell>
          <cell r="C62" t="str">
            <v>Athletics,Awareness,Bureaucr.,Integrity,Medicine</v>
          </cell>
          <cell r="R62">
            <v>0</v>
          </cell>
        </row>
        <row r="65">
          <cell r="R65" t="str">
            <v>Martial Arts</v>
          </cell>
        </row>
        <row r="66">
          <cell r="R66" t="str">
            <v>SMA</v>
          </cell>
        </row>
        <row r="67">
          <cell r="R67" t="str">
            <v>Evocation</v>
          </cell>
        </row>
        <row r="68">
          <cell r="R68" t="str">
            <v>Spell</v>
          </cell>
        </row>
        <row r="69">
          <cell r="S69" t="str">
            <v>Allies ●</v>
          </cell>
          <cell r="T69">
            <v>3</v>
          </cell>
          <cell r="U69">
            <v>3</v>
          </cell>
          <cell r="V69" t="str">
            <v>Story</v>
          </cell>
        </row>
        <row r="70">
          <cell r="S70" t="str">
            <v>Allies ●●●</v>
          </cell>
          <cell r="T70">
            <v>9</v>
          </cell>
          <cell r="U70">
            <v>12</v>
          </cell>
          <cell r="V70" t="str">
            <v>Story</v>
          </cell>
        </row>
        <row r="71">
          <cell r="S71" t="str">
            <v>Allies ●●●●●</v>
          </cell>
          <cell r="T71">
            <v>15</v>
          </cell>
          <cell r="U71">
            <v>27</v>
          </cell>
          <cell r="V71" t="str">
            <v>Story</v>
          </cell>
        </row>
        <row r="72">
          <cell r="S72" t="str">
            <v>Ambidextrous ●</v>
          </cell>
          <cell r="T72">
            <v>3</v>
          </cell>
          <cell r="U72">
            <v>3</v>
          </cell>
          <cell r="V72" t="str">
            <v>Innate</v>
          </cell>
        </row>
        <row r="73">
          <cell r="S73" t="str">
            <v>Ambidextrous ●●</v>
          </cell>
          <cell r="T73">
            <v>6</v>
          </cell>
          <cell r="U73">
            <v>9</v>
          </cell>
          <cell r="V73" t="str">
            <v>Innate</v>
          </cell>
        </row>
        <row r="74">
          <cell r="S74" t="str">
            <v>Artifact ●●</v>
          </cell>
          <cell r="T74">
            <v>6</v>
          </cell>
          <cell r="U74">
            <v>6</v>
          </cell>
          <cell r="V74" t="str">
            <v>Story</v>
          </cell>
        </row>
        <row r="75">
          <cell r="S75" t="str">
            <v>Artifact ●●●</v>
          </cell>
          <cell r="T75">
            <v>9</v>
          </cell>
          <cell r="U75">
            <v>9</v>
          </cell>
          <cell r="V75" t="str">
            <v>Story</v>
          </cell>
        </row>
        <row r="76">
          <cell r="A76" t="str">
            <v>Charcoal March of Spiders</v>
          </cell>
          <cell r="B76" t="str">
            <v>Snake</v>
          </cell>
          <cell r="D76" t="str">
            <v>Archery</v>
          </cell>
          <cell r="H76" t="str">
            <v>Charcoal March of Spiders</v>
          </cell>
          <cell r="S76" t="str">
            <v>Artifact ●●●●</v>
          </cell>
          <cell r="T76">
            <v>12</v>
          </cell>
          <cell r="U76">
            <v>12</v>
          </cell>
          <cell r="V76" t="str">
            <v>Story</v>
          </cell>
        </row>
        <row r="77">
          <cell r="A77" t="str">
            <v>Citrine Pox of Contagion</v>
          </cell>
          <cell r="B77" t="str">
            <v>Tiger</v>
          </cell>
          <cell r="D77" t="str">
            <v>Athletics</v>
          </cell>
          <cell r="H77" t="str">
            <v>Citrine Pox of Contagion</v>
          </cell>
          <cell r="S77" t="str">
            <v>Artifact ●●●●●</v>
          </cell>
          <cell r="T77">
            <v>15</v>
          </cell>
          <cell r="U77">
            <v>15</v>
          </cell>
          <cell r="V77" t="str">
            <v>Story</v>
          </cell>
        </row>
        <row r="78">
          <cell r="A78" t="str">
            <v>Emerald Gyre of Aeons</v>
          </cell>
          <cell r="B78" t="str">
            <v>Single Point</v>
          </cell>
          <cell r="D78" t="str">
            <v>Awareness</v>
          </cell>
          <cell r="H78" t="str">
            <v>Emerald Gyre of Aeons</v>
          </cell>
          <cell r="S78" t="str">
            <v>Backing ●●</v>
          </cell>
          <cell r="T78">
            <v>6</v>
          </cell>
          <cell r="U78">
            <v>6</v>
          </cell>
          <cell r="V78" t="str">
            <v>Story</v>
          </cell>
        </row>
        <row r="79">
          <cell r="A79" t="str">
            <v>Obsidian Shards of Infinity</v>
          </cell>
          <cell r="B79" t="str">
            <v>White Reaper</v>
          </cell>
          <cell r="D79" t="str">
            <v>Brawl</v>
          </cell>
          <cell r="H79" t="str">
            <v>Obsidian Shards of Infinity</v>
          </cell>
          <cell r="S79" t="str">
            <v>Backing ●●●</v>
          </cell>
          <cell r="T79">
            <v>9</v>
          </cell>
          <cell r="U79">
            <v>15</v>
          </cell>
          <cell r="V79" t="str">
            <v>Story</v>
          </cell>
        </row>
        <row r="80">
          <cell r="A80" t="str">
            <v>Prismatic Arrangement of Creation</v>
          </cell>
          <cell r="B80" t="str">
            <v>Ebon Shadow</v>
          </cell>
          <cell r="D80" t="str">
            <v>Bureaucr.</v>
          </cell>
          <cell r="H80" t="str">
            <v>Prismatic Arrangement of Creation</v>
          </cell>
          <cell r="S80" t="str">
            <v>Backing ●●●●</v>
          </cell>
          <cell r="T80">
            <v>12</v>
          </cell>
          <cell r="U80">
            <v>27</v>
          </cell>
          <cell r="V80" t="str">
            <v>Story</v>
          </cell>
        </row>
        <row r="81">
          <cell r="A81" t="str">
            <v>Prism. Arrange. of Creation (HB)</v>
          </cell>
          <cell r="B81" t="str">
            <v>Crane</v>
          </cell>
          <cell r="D81" t="str">
            <v>Dodge</v>
          </cell>
          <cell r="H81" t="str">
            <v>Prism. Arrange. of Creation (HB)</v>
          </cell>
          <cell r="S81" t="str">
            <v>Backing ●●●●●</v>
          </cell>
          <cell r="T81">
            <v>15</v>
          </cell>
          <cell r="U81">
            <v>42</v>
          </cell>
          <cell r="V81" t="str">
            <v>Story</v>
          </cell>
        </row>
        <row r="82">
          <cell r="A82" t="str">
            <v>Charcoal March of Spiders (HB)</v>
          </cell>
          <cell r="B82" t="str">
            <v>Silver-Voice Nigh.</v>
          </cell>
          <cell r="D82" t="str">
            <v>Integrity</v>
          </cell>
          <cell r="H82" t="str">
            <v>Charcoal March of Spiders (HB)</v>
          </cell>
          <cell r="S82" t="str">
            <v>Boundless Endurance ●●</v>
          </cell>
          <cell r="T82">
            <v>6</v>
          </cell>
          <cell r="U82">
            <v>6</v>
          </cell>
          <cell r="V82" t="str">
            <v>Purchased</v>
          </cell>
        </row>
        <row r="83">
          <cell r="A83" t="str">
            <v>Sapphire Veil of Passion (HB)</v>
          </cell>
          <cell r="B83" t="str">
            <v>Righteous Devil</v>
          </cell>
          <cell r="D83" t="str">
            <v>Investig.</v>
          </cell>
          <cell r="H83" t="str">
            <v>Sapphire Veil of Passion (HB)</v>
          </cell>
          <cell r="S83" t="str">
            <v>Command ●●</v>
          </cell>
          <cell r="T83">
            <v>6</v>
          </cell>
          <cell r="U83">
            <v>6</v>
          </cell>
          <cell r="V83" t="str">
            <v>Story</v>
          </cell>
        </row>
        <row r="84">
          <cell r="A84" t="str">
            <v>Obsidian Shards of Infinity (HB)</v>
          </cell>
          <cell r="B84" t="str">
            <v>Black Claw</v>
          </cell>
          <cell r="D84" t="str">
            <v>Larceny</v>
          </cell>
          <cell r="H84" t="str">
            <v>Obsidian Shards of Infinity (HB)</v>
          </cell>
          <cell r="S84" t="str">
            <v>Command ●●●</v>
          </cell>
          <cell r="T84">
            <v>9</v>
          </cell>
          <cell r="U84">
            <v>15</v>
          </cell>
          <cell r="V84" t="str">
            <v>Story</v>
          </cell>
        </row>
        <row r="85">
          <cell r="A85" t="str">
            <v>Snake</v>
          </cell>
          <cell r="B85" t="str">
            <v>Dreaming Pearl</v>
          </cell>
          <cell r="D85" t="str">
            <v>Linguistics</v>
          </cell>
          <cell r="H85" t="str">
            <v>Test SMA Style</v>
          </cell>
          <cell r="S85" t="str">
            <v>Command ●●●●</v>
          </cell>
          <cell r="T85">
            <v>12</v>
          </cell>
          <cell r="U85">
            <v>27</v>
          </cell>
          <cell r="V85" t="str">
            <v>Story</v>
          </cell>
        </row>
        <row r="86">
          <cell r="A86" t="str">
            <v>Tiger</v>
          </cell>
          <cell r="B86" t="str">
            <v>Steel Devil</v>
          </cell>
          <cell r="D86" t="str">
            <v>Lore</v>
          </cell>
          <cell r="S86" t="str">
            <v>Command ●●●●●</v>
          </cell>
          <cell r="T86">
            <v>15</v>
          </cell>
          <cell r="U86">
            <v>42</v>
          </cell>
          <cell r="V86" t="str">
            <v>Story</v>
          </cell>
        </row>
        <row r="87">
          <cell r="A87" t="str">
            <v>Single Point</v>
          </cell>
          <cell r="B87" t="str">
            <v>Air Dragon</v>
          </cell>
          <cell r="D87" t="str">
            <v>Medicine</v>
          </cell>
          <cell r="S87" t="str">
            <v>Command ●●●●●●</v>
          </cell>
          <cell r="T87">
            <v>18</v>
          </cell>
          <cell r="U87">
            <v>60</v>
          </cell>
          <cell r="V87" t="str">
            <v>Story</v>
          </cell>
        </row>
        <row r="88">
          <cell r="A88" t="str">
            <v>White Reaper</v>
          </cell>
          <cell r="B88" t="str">
            <v>Earth Dragon</v>
          </cell>
          <cell r="D88" t="str">
            <v>Melee</v>
          </cell>
          <cell r="S88" t="str">
            <v>Contacts ●</v>
          </cell>
          <cell r="T88">
            <v>3</v>
          </cell>
          <cell r="U88">
            <v>3</v>
          </cell>
          <cell r="V88" t="str">
            <v>Story</v>
          </cell>
        </row>
        <row r="89">
          <cell r="A89" t="str">
            <v>Ebon Shadow</v>
          </cell>
          <cell r="B89" t="str">
            <v>Fire Dragon</v>
          </cell>
          <cell r="D89" t="str">
            <v>Occult</v>
          </cell>
          <cell r="S89" t="str">
            <v>Contacts ●●●</v>
          </cell>
          <cell r="T89">
            <v>9</v>
          </cell>
          <cell r="U89">
            <v>12</v>
          </cell>
          <cell r="V89" t="str">
            <v>Story</v>
          </cell>
        </row>
        <row r="90">
          <cell r="A90" t="str">
            <v>Crane</v>
          </cell>
          <cell r="B90" t="str">
            <v>Water Dragon</v>
          </cell>
          <cell r="D90" t="str">
            <v>Perform.</v>
          </cell>
          <cell r="S90" t="str">
            <v>Contacts ●●●●●</v>
          </cell>
          <cell r="T90">
            <v>15</v>
          </cell>
          <cell r="U90">
            <v>27</v>
          </cell>
          <cell r="V90" t="str">
            <v>Story</v>
          </cell>
        </row>
        <row r="91">
          <cell r="A91" t="str">
            <v>Silver-Voice Nigh.</v>
          </cell>
          <cell r="B91" t="str">
            <v>Wood Dragon</v>
          </cell>
          <cell r="D91" t="str">
            <v>Presence</v>
          </cell>
          <cell r="S91" t="str">
            <v>Cult ●</v>
          </cell>
          <cell r="T91">
            <v>3</v>
          </cell>
          <cell r="U91">
            <v>3</v>
          </cell>
          <cell r="V91" t="str">
            <v>Story</v>
          </cell>
        </row>
        <row r="92">
          <cell r="A92" t="str">
            <v>Righteous Devil</v>
          </cell>
          <cell r="B92" t="str">
            <v>Golden Janissary</v>
          </cell>
          <cell r="D92" t="str">
            <v>Resistan.</v>
          </cell>
          <cell r="S92" t="str">
            <v>Cult ●●</v>
          </cell>
          <cell r="T92">
            <v>6</v>
          </cell>
          <cell r="U92">
            <v>9</v>
          </cell>
          <cell r="V92" t="str">
            <v>Story</v>
          </cell>
        </row>
        <row r="93">
          <cell r="A93" t="str">
            <v>Black Claw</v>
          </cell>
          <cell r="B93" t="str">
            <v>Mantis</v>
          </cell>
          <cell r="D93" t="str">
            <v>Ride</v>
          </cell>
          <cell r="S93" t="str">
            <v>Cult ●●●</v>
          </cell>
          <cell r="T93">
            <v>9</v>
          </cell>
          <cell r="U93">
            <v>18</v>
          </cell>
          <cell r="V93" t="str">
            <v>Story</v>
          </cell>
        </row>
        <row r="94">
          <cell r="A94" t="str">
            <v>Dreaming Pearl</v>
          </cell>
          <cell r="B94" t="str">
            <v>White Veil</v>
          </cell>
          <cell r="D94" t="str">
            <v>Sail</v>
          </cell>
          <cell r="S94" t="str">
            <v>Cult ●●●●</v>
          </cell>
          <cell r="T94">
            <v>12</v>
          </cell>
          <cell r="U94">
            <v>30</v>
          </cell>
          <cell r="V94" t="str">
            <v>Story</v>
          </cell>
        </row>
        <row r="95">
          <cell r="A95" t="str">
            <v>Steel Devil</v>
          </cell>
          <cell r="B95" t="str">
            <v>Wood Dragon ACoD</v>
          </cell>
          <cell r="D95" t="str">
            <v>Socialize</v>
          </cell>
          <cell r="S95" t="str">
            <v>Cult ●●●●●</v>
          </cell>
          <cell r="T95">
            <v>15</v>
          </cell>
          <cell r="U95">
            <v>45</v>
          </cell>
          <cell r="V95" t="str">
            <v>Story</v>
          </cell>
        </row>
        <row r="96">
          <cell r="A96" t="str">
            <v>Air Dragon</v>
          </cell>
          <cell r="B96" t="str">
            <v>Water Dragon ACoD</v>
          </cell>
          <cell r="D96" t="str">
            <v>Stealth</v>
          </cell>
          <cell r="S96" t="str">
            <v>Danger Sense ●●●</v>
          </cell>
          <cell r="T96">
            <v>9</v>
          </cell>
          <cell r="U96">
            <v>9</v>
          </cell>
          <cell r="V96" t="str">
            <v>Innate</v>
          </cell>
        </row>
        <row r="97">
          <cell r="A97" t="str">
            <v>Earth Dragon</v>
          </cell>
          <cell r="B97" t="str">
            <v>Fire Dragon ACoD</v>
          </cell>
          <cell r="D97" t="str">
            <v>Survival</v>
          </cell>
          <cell r="S97" t="str">
            <v>Demesne ●●</v>
          </cell>
          <cell r="T97">
            <v>6</v>
          </cell>
          <cell r="U97">
            <v>9</v>
          </cell>
          <cell r="V97" t="str">
            <v>Story</v>
          </cell>
        </row>
        <row r="98">
          <cell r="A98" t="str">
            <v>Fire Dragon</v>
          </cell>
          <cell r="B98" t="str">
            <v>Earth Dragon ACoD</v>
          </cell>
          <cell r="D98" t="str">
            <v>Thrown</v>
          </cell>
          <cell r="S98" t="str">
            <v>Demesne ●●●●</v>
          </cell>
          <cell r="T98">
            <v>12</v>
          </cell>
          <cell r="U98">
            <v>21</v>
          </cell>
          <cell r="V98" t="str">
            <v>Story</v>
          </cell>
        </row>
        <row r="99">
          <cell r="A99" t="str">
            <v>Water Dragon</v>
          </cell>
          <cell r="B99" t="str">
            <v>Air Dragon ACoD</v>
          </cell>
          <cell r="D99" t="str">
            <v>War</v>
          </cell>
          <cell r="S99" t="str">
            <v>Direction Sense ●</v>
          </cell>
          <cell r="T99">
            <v>3</v>
          </cell>
          <cell r="U99">
            <v>3</v>
          </cell>
          <cell r="V99" t="str">
            <v>Innate</v>
          </cell>
        </row>
        <row r="100">
          <cell r="A100" t="str">
            <v>Wood Dragon</v>
          </cell>
          <cell r="B100" t="str">
            <v>Crystal Chameleon Style</v>
          </cell>
          <cell r="D100" t="str">
            <v>Craft</v>
          </cell>
          <cell r="S100" t="str">
            <v>Eidetic Memory ●●</v>
          </cell>
          <cell r="T100">
            <v>6</v>
          </cell>
          <cell r="U100">
            <v>6</v>
          </cell>
          <cell r="V100" t="str">
            <v>Innate</v>
          </cell>
        </row>
        <row r="101">
          <cell r="A101" t="str">
            <v>Golden Janissary</v>
          </cell>
          <cell r="B101" t="str">
            <v>Centipede</v>
          </cell>
          <cell r="D101" t="str">
            <v>Craft --</v>
          </cell>
          <cell r="S101" t="str">
            <v>Familiar ●</v>
          </cell>
          <cell r="T101">
            <v>3</v>
          </cell>
          <cell r="U101">
            <v>3</v>
          </cell>
          <cell r="V101" t="str">
            <v>Story</v>
          </cell>
        </row>
        <row r="102">
          <cell r="A102" t="str">
            <v>Mantis</v>
          </cell>
          <cell r="B102" t="str">
            <v>Falcon</v>
          </cell>
          <cell r="S102" t="str">
            <v>Familiar ●●</v>
          </cell>
          <cell r="T102">
            <v>6</v>
          </cell>
          <cell r="U102">
            <v>9</v>
          </cell>
          <cell r="V102" t="str">
            <v>Story</v>
          </cell>
        </row>
        <row r="103">
          <cell r="A103" t="str">
            <v>White Veil</v>
          </cell>
          <cell r="B103" t="str">
            <v>Laughing Monster</v>
          </cell>
          <cell r="D103" t="str">
            <v>Snake</v>
          </cell>
          <cell r="S103" t="str">
            <v>Familiar ●●●</v>
          </cell>
          <cell r="T103">
            <v>9</v>
          </cell>
          <cell r="U103">
            <v>18</v>
          </cell>
          <cell r="V103" t="str">
            <v>Story</v>
          </cell>
        </row>
        <row r="104">
          <cell r="A104" t="str">
            <v>Wood Dragon ACoD</v>
          </cell>
          <cell r="B104" t="str">
            <v>Swaying Grass Dance</v>
          </cell>
          <cell r="D104" t="str">
            <v>Tiger</v>
          </cell>
          <cell r="S104" t="str">
            <v>Fast Reflexes ●●●</v>
          </cell>
          <cell r="T104">
            <v>9</v>
          </cell>
          <cell r="U104">
            <v>9</v>
          </cell>
          <cell r="V104" t="str">
            <v>Purchased</v>
          </cell>
        </row>
        <row r="105">
          <cell r="A105" t="str">
            <v>Water Dragon ACoD</v>
          </cell>
          <cell r="B105" t="str">
            <v>Throne Shadow</v>
          </cell>
          <cell r="D105" t="str">
            <v>Single Point</v>
          </cell>
          <cell r="S105" t="str">
            <v>Fleet of Foot ●●●●</v>
          </cell>
          <cell r="T105">
            <v>12</v>
          </cell>
          <cell r="U105">
            <v>12</v>
          </cell>
          <cell r="V105" t="str">
            <v>Purchased</v>
          </cell>
        </row>
        <row r="106">
          <cell r="A106" t="str">
            <v>Fire Dragon ACoD</v>
          </cell>
          <cell r="B106" t="str">
            <v>Violet Bier of Sorrows</v>
          </cell>
          <cell r="D106" t="str">
            <v>White Reaper</v>
          </cell>
          <cell r="S106" t="str">
            <v>Followers ●</v>
          </cell>
          <cell r="T106">
            <v>3</v>
          </cell>
          <cell r="U106">
            <v>3</v>
          </cell>
          <cell r="V106" t="str">
            <v>Story</v>
          </cell>
        </row>
        <row r="107">
          <cell r="A107" t="str">
            <v>Earth Dragon ACoD</v>
          </cell>
          <cell r="B107" t="str">
            <v>Violet Bier of Sorrows (HB)</v>
          </cell>
          <cell r="D107" t="str">
            <v>Ebon Shadow</v>
          </cell>
          <cell r="S107" t="str">
            <v>Followers ●●</v>
          </cell>
          <cell r="T107">
            <v>6</v>
          </cell>
          <cell r="U107">
            <v>9</v>
          </cell>
          <cell r="V107" t="str">
            <v>Story</v>
          </cell>
        </row>
        <row r="108">
          <cell r="A108" t="str">
            <v>Air Dragon ACoD</v>
          </cell>
          <cell r="B108" t="str">
            <v>Throne Shadow Style (HB)</v>
          </cell>
          <cell r="D108" t="str">
            <v>Crane</v>
          </cell>
          <cell r="S108" t="str">
            <v>Followers ●●●</v>
          </cell>
          <cell r="T108">
            <v>9</v>
          </cell>
          <cell r="U108">
            <v>18</v>
          </cell>
          <cell r="V108" t="str">
            <v>Story</v>
          </cell>
        </row>
        <row r="109">
          <cell r="A109" t="str">
            <v>Crystal Chameleon Style</v>
          </cell>
          <cell r="D109" t="str">
            <v>Silver-Voice Nigh.</v>
          </cell>
          <cell r="S109" t="str">
            <v>Giant ●●●●</v>
          </cell>
          <cell r="T109">
            <v>12</v>
          </cell>
          <cell r="U109">
            <v>12</v>
          </cell>
          <cell r="V109" t="str">
            <v>Innate</v>
          </cell>
        </row>
        <row r="110">
          <cell r="A110" t="str">
            <v>Centipede</v>
          </cell>
          <cell r="B110" t="str">
            <v>Test Martial Arts Style</v>
          </cell>
          <cell r="D110" t="str">
            <v>Righteous Devil</v>
          </cell>
          <cell r="S110" t="str">
            <v>Hearthstone ●●</v>
          </cell>
          <cell r="T110">
            <v>6</v>
          </cell>
          <cell r="U110">
            <v>6</v>
          </cell>
          <cell r="V110" t="str">
            <v>Story</v>
          </cell>
        </row>
        <row r="111">
          <cell r="A111" t="str">
            <v>Falcon</v>
          </cell>
          <cell r="B111" t="str">
            <v>Charcoal March of Spiders</v>
          </cell>
          <cell r="D111" t="str">
            <v>Black Claw</v>
          </cell>
          <cell r="S111" t="str">
            <v>Hearthstone ●●●●</v>
          </cell>
          <cell r="T111">
            <v>12</v>
          </cell>
          <cell r="U111">
            <v>18</v>
          </cell>
          <cell r="V111" t="str">
            <v>Story</v>
          </cell>
        </row>
        <row r="112">
          <cell r="A112" t="str">
            <v>Laughing Monster</v>
          </cell>
          <cell r="B112" t="str">
            <v>Citrine Pox of Contagion</v>
          </cell>
          <cell r="D112" t="str">
            <v>Dreaming Pearl</v>
          </cell>
          <cell r="S112" t="str">
            <v>Hideous</v>
          </cell>
          <cell r="T112">
            <v>0</v>
          </cell>
          <cell r="U112">
            <v>0</v>
          </cell>
          <cell r="V112" t="str">
            <v>Innate</v>
          </cell>
        </row>
        <row r="113">
          <cell r="A113" t="str">
            <v>Swaying Grass Dance</v>
          </cell>
          <cell r="B113" t="str">
            <v>Emerald Gyre of Aeons</v>
          </cell>
          <cell r="D113" t="str">
            <v>Steel Devil</v>
          </cell>
          <cell r="S113" t="str">
            <v>Influence ●</v>
          </cell>
          <cell r="T113">
            <v>3</v>
          </cell>
          <cell r="U113">
            <v>3</v>
          </cell>
          <cell r="V113" t="str">
            <v>Story</v>
          </cell>
        </row>
        <row r="114">
          <cell r="A114" t="str">
            <v>Throne Shadow</v>
          </cell>
          <cell r="B114" t="str">
            <v>Obsidian Shards of Infinity</v>
          </cell>
          <cell r="D114" t="str">
            <v>Air Dragon</v>
          </cell>
          <cell r="S114" t="str">
            <v>Influence ●●</v>
          </cell>
          <cell r="T114">
            <v>6</v>
          </cell>
          <cell r="U114">
            <v>9</v>
          </cell>
          <cell r="V114" t="str">
            <v>Story</v>
          </cell>
        </row>
        <row r="115">
          <cell r="A115" t="str">
            <v>Violet Bier of Sorrows</v>
          </cell>
          <cell r="B115" t="str">
            <v>Prismatic Arrangement of Creation</v>
          </cell>
          <cell r="D115" t="str">
            <v>Earth Dragon</v>
          </cell>
          <cell r="S115" t="str">
            <v>Influence ●●●</v>
          </cell>
          <cell r="T115">
            <v>9</v>
          </cell>
          <cell r="U115">
            <v>18</v>
          </cell>
          <cell r="V115" t="str">
            <v>Story</v>
          </cell>
        </row>
        <row r="116">
          <cell r="A116" t="str">
            <v>Violet Bier of Sorrows (HB)</v>
          </cell>
          <cell r="B116" t="str">
            <v>Prism. Arrange. of Creation (HB)</v>
          </cell>
          <cell r="D116" t="str">
            <v>Fire Dragon</v>
          </cell>
          <cell r="S116" t="str">
            <v>Influence ●●●●</v>
          </cell>
          <cell r="T116">
            <v>12</v>
          </cell>
          <cell r="U116">
            <v>30</v>
          </cell>
          <cell r="V116" t="str">
            <v>Story</v>
          </cell>
        </row>
        <row r="117">
          <cell r="A117" t="str">
            <v>Throne Shadow Style (HB)</v>
          </cell>
          <cell r="B117" t="str">
            <v>Charcoal March of Spiders (HB)</v>
          </cell>
          <cell r="D117" t="str">
            <v>Water Dragon</v>
          </cell>
          <cell r="S117" t="str">
            <v>Influence ●●●●●</v>
          </cell>
          <cell r="T117">
            <v>15</v>
          </cell>
          <cell r="U117">
            <v>45</v>
          </cell>
          <cell r="V117" t="str">
            <v>Story</v>
          </cell>
        </row>
        <row r="118">
          <cell r="A118" t="str">
            <v>Beloved Adorei</v>
          </cell>
          <cell r="B118" t="str">
            <v>Sapphire Veil of Passion (HB)</v>
          </cell>
          <cell r="D118" t="str">
            <v>Wood Dragon</v>
          </cell>
          <cell r="S118" t="str">
            <v>Iron Stomach ●</v>
          </cell>
          <cell r="T118">
            <v>3</v>
          </cell>
          <cell r="U118">
            <v>3</v>
          </cell>
          <cell r="V118" t="str">
            <v>Purchased</v>
          </cell>
        </row>
        <row r="119">
          <cell r="A119" t="str">
            <v>Brilliant Sentinel</v>
          </cell>
          <cell r="B119" t="str">
            <v>Obsidian Shards of Infinity (HB)</v>
          </cell>
          <cell r="D119" t="str">
            <v>Golden Janissary</v>
          </cell>
          <cell r="S119" t="str">
            <v>Language ●</v>
          </cell>
          <cell r="T119">
            <v>3</v>
          </cell>
          <cell r="U119">
            <v>3</v>
          </cell>
          <cell r="V119" t="str">
            <v>Purchased</v>
          </cell>
        </row>
        <row r="120">
          <cell r="A120" t="str">
            <v>Moonlit Huntress</v>
          </cell>
          <cell r="B120" t="str">
            <v>Test SMA Style</v>
          </cell>
          <cell r="D120" t="str">
            <v>Mantis</v>
          </cell>
          <cell r="S120" t="str">
            <v>Language ●●</v>
          </cell>
          <cell r="T120">
            <v>6</v>
          </cell>
          <cell r="U120">
            <v>6</v>
          </cell>
          <cell r="V120" t="str">
            <v>Purchased</v>
          </cell>
        </row>
        <row r="121">
          <cell r="A121" t="str">
            <v>Shining Ice Mirror</v>
          </cell>
          <cell r="D121" t="str">
            <v>White Veil</v>
          </cell>
          <cell r="S121" t="str">
            <v>Language ●●●</v>
          </cell>
          <cell r="T121">
            <v>9</v>
          </cell>
          <cell r="U121">
            <v>9</v>
          </cell>
          <cell r="V121" t="str">
            <v>Purchased</v>
          </cell>
        </row>
        <row r="122">
          <cell r="A122" t="str">
            <v>Spring Razor</v>
          </cell>
          <cell r="D122" t="str">
            <v>Wood Dragon ACoD</v>
          </cell>
          <cell r="S122" t="str">
            <v>Language ●●●●</v>
          </cell>
          <cell r="T122">
            <v>12</v>
          </cell>
          <cell r="U122">
            <v>12</v>
          </cell>
          <cell r="V122" t="str">
            <v>Purchased</v>
          </cell>
        </row>
        <row r="123">
          <cell r="A123" t="str">
            <v>Freedom's Cadence</v>
          </cell>
          <cell r="D123" t="str">
            <v>Water Dragon ACoD</v>
          </cell>
          <cell r="S123" t="str">
            <v>Language ●●●●●</v>
          </cell>
          <cell r="T123">
            <v>15</v>
          </cell>
          <cell r="U123">
            <v>15</v>
          </cell>
          <cell r="V123" t="str">
            <v>Purchased</v>
          </cell>
        </row>
        <row r="124">
          <cell r="A124" t="str">
            <v>Orichalcum Hunting Hawk</v>
          </cell>
          <cell r="D124" t="str">
            <v>Fire Dragon ACoD</v>
          </cell>
          <cell r="S124" t="str">
            <v>Manse ●●●</v>
          </cell>
          <cell r="T124">
            <v>9</v>
          </cell>
          <cell r="U124">
            <v>9</v>
          </cell>
          <cell r="V124" t="str">
            <v>Story</v>
          </cell>
        </row>
        <row r="125">
          <cell r="A125" t="str">
            <v>Dauntless</v>
          </cell>
          <cell r="D125" t="str">
            <v>Earth Dragon ACoD</v>
          </cell>
          <cell r="S125" t="str">
            <v>Manse ●●●●●</v>
          </cell>
          <cell r="T125">
            <v>15</v>
          </cell>
          <cell r="U125">
            <v>24</v>
          </cell>
          <cell r="V125" t="str">
            <v>Story</v>
          </cell>
        </row>
        <row r="126">
          <cell r="A126" t="str">
            <v>Black Wind</v>
          </cell>
          <cell r="D126" t="str">
            <v>Air Dragon ACoD</v>
          </cell>
          <cell r="S126" t="str">
            <v>Mentor ●</v>
          </cell>
          <cell r="T126">
            <v>3</v>
          </cell>
          <cell r="U126">
            <v>3</v>
          </cell>
          <cell r="V126" t="str">
            <v>Story</v>
          </cell>
        </row>
        <row r="127">
          <cell r="A127" t="str">
            <v>Volcano Cutter</v>
          </cell>
          <cell r="D127" t="str">
            <v>Crystal Chameleon Style</v>
          </cell>
          <cell r="S127" t="str">
            <v>Mentor ●●</v>
          </cell>
          <cell r="T127">
            <v>6</v>
          </cell>
          <cell r="U127">
            <v>9</v>
          </cell>
          <cell r="V127" t="str">
            <v>Story</v>
          </cell>
        </row>
        <row r="128">
          <cell r="A128" t="str">
            <v>Courante and Galliard</v>
          </cell>
          <cell r="D128" t="str">
            <v>Centipede</v>
          </cell>
          <cell r="S128" t="str">
            <v>Mentor ●●●</v>
          </cell>
          <cell r="T128">
            <v>9</v>
          </cell>
          <cell r="U128">
            <v>18</v>
          </cell>
          <cell r="V128" t="str">
            <v>Story</v>
          </cell>
        </row>
        <row r="129">
          <cell r="A129" t="str">
            <v>The Distaff</v>
          </cell>
          <cell r="D129" t="str">
            <v>Falcon</v>
          </cell>
          <cell r="S129" t="str">
            <v>Martial Artist ●●●●</v>
          </cell>
          <cell r="T129">
            <v>12</v>
          </cell>
          <cell r="U129">
            <v>12</v>
          </cell>
          <cell r="V129" t="str">
            <v>Purchased</v>
          </cell>
        </row>
        <row r="130">
          <cell r="A130" t="str">
            <v>Fist of Titans</v>
          </cell>
          <cell r="D130" t="str">
            <v>Laughing Monster</v>
          </cell>
          <cell r="S130" t="str">
            <v>Mighty Thew ●</v>
          </cell>
          <cell r="T130">
            <v>3</v>
          </cell>
          <cell r="U130">
            <v>3</v>
          </cell>
          <cell r="V130" t="str">
            <v>Purchased</v>
          </cell>
        </row>
        <row r="131">
          <cell r="A131" t="str">
            <v>Frost-Thron Knuckles</v>
          </cell>
          <cell r="D131" t="str">
            <v>Swaying Grass Dance</v>
          </cell>
          <cell r="S131" t="str">
            <v>Mighty Thew ●●</v>
          </cell>
          <cell r="T131">
            <v>6</v>
          </cell>
          <cell r="U131">
            <v>9</v>
          </cell>
          <cell r="V131" t="str">
            <v>Purchased</v>
          </cell>
        </row>
        <row r="132">
          <cell r="A132" t="str">
            <v>The Hawk Star's Jess</v>
          </cell>
          <cell r="D132" t="str">
            <v>Throne Shadow</v>
          </cell>
          <cell r="S132" t="str">
            <v>Mighty Thew ●●●</v>
          </cell>
          <cell r="T132">
            <v>9</v>
          </cell>
          <cell r="U132">
            <v>18</v>
          </cell>
          <cell r="V132" t="str">
            <v>Purchased</v>
          </cell>
        </row>
        <row r="133">
          <cell r="A133" t="str">
            <v>Heartsong</v>
          </cell>
          <cell r="D133" t="str">
            <v>Violet Bier of Sorrows</v>
          </cell>
          <cell r="S133" t="str">
            <v>Natural Immunity ●●</v>
          </cell>
          <cell r="T133">
            <v>6</v>
          </cell>
          <cell r="U133">
            <v>6</v>
          </cell>
          <cell r="V133" t="str">
            <v>Innate</v>
          </cell>
        </row>
        <row r="134">
          <cell r="A134" t="str">
            <v>Heaven and Earth Gauntlets</v>
          </cell>
          <cell r="D134" t="str">
            <v>Violet Bier of Sorrows (HB)</v>
          </cell>
          <cell r="S134" t="str">
            <v>Pain Tolerance ●●●●</v>
          </cell>
          <cell r="T134">
            <v>12</v>
          </cell>
          <cell r="U134">
            <v>12</v>
          </cell>
          <cell r="V134" t="str">
            <v>Purchased</v>
          </cell>
        </row>
        <row r="135">
          <cell r="A135" t="str">
            <v>Irenio's Bell</v>
          </cell>
          <cell r="D135" t="str">
            <v>Throne Shadow Style (HB)</v>
          </cell>
          <cell r="S135" t="str">
            <v>Quick Draw ●</v>
          </cell>
          <cell r="T135">
            <v>3</v>
          </cell>
          <cell r="U135">
            <v>3</v>
          </cell>
          <cell r="V135" t="str">
            <v>Purchased</v>
          </cell>
        </row>
        <row r="136">
          <cell r="A136" t="str">
            <v>Rainwalker</v>
          </cell>
          <cell r="D136" t="str">
            <v>Test Martial Arts Style</v>
          </cell>
          <cell r="S136" t="str">
            <v>Quick Draw ●●●●</v>
          </cell>
          <cell r="T136">
            <v>12</v>
          </cell>
          <cell r="U136">
            <v>15</v>
          </cell>
          <cell r="V136" t="str">
            <v>Purchased</v>
          </cell>
        </row>
        <row r="137">
          <cell r="A137" t="str">
            <v>Razor Dancer and Wise Steel</v>
          </cell>
          <cell r="D137" t="str">
            <v>Charcoal March of Spiders</v>
          </cell>
          <cell r="S137" t="str">
            <v>Retainers ●●</v>
          </cell>
          <cell r="T137">
            <v>6</v>
          </cell>
          <cell r="U137">
            <v>6</v>
          </cell>
          <cell r="V137" t="str">
            <v>Story</v>
          </cell>
        </row>
        <row r="138">
          <cell r="A138" t="str">
            <v>Summer Thunder</v>
          </cell>
          <cell r="D138" t="str">
            <v>Citrine Pox of Contagion</v>
          </cell>
          <cell r="S138" t="str">
            <v>Retainers ●●●●</v>
          </cell>
          <cell r="T138">
            <v>12</v>
          </cell>
          <cell r="U138">
            <v>18</v>
          </cell>
          <cell r="V138" t="str">
            <v>Story</v>
          </cell>
        </row>
        <row r="139">
          <cell r="A139" t="str">
            <v>Sun's Brush</v>
          </cell>
          <cell r="D139" t="str">
            <v>Emerald Gyre of Aeons</v>
          </cell>
          <cell r="S139" t="str">
            <v>Resources ●</v>
          </cell>
          <cell r="T139">
            <v>3</v>
          </cell>
          <cell r="U139">
            <v>3</v>
          </cell>
          <cell r="V139" t="str">
            <v>Story</v>
          </cell>
        </row>
        <row r="140">
          <cell r="A140" t="str">
            <v>Tusk of Galech-Ma</v>
          </cell>
          <cell r="D140" t="str">
            <v>Obsidian Shards of Infinity</v>
          </cell>
          <cell r="S140" t="str">
            <v>Resources ●●</v>
          </cell>
          <cell r="T140">
            <v>6</v>
          </cell>
          <cell r="U140">
            <v>9</v>
          </cell>
          <cell r="V140" t="str">
            <v>Story</v>
          </cell>
        </row>
        <row r="141">
          <cell r="A141" t="str">
            <v>Asphodel</v>
          </cell>
          <cell r="D141" t="str">
            <v>Prismatic Arrangement of Creation</v>
          </cell>
          <cell r="S141" t="str">
            <v>Resources ●●●</v>
          </cell>
          <cell r="T141">
            <v>9</v>
          </cell>
          <cell r="U141">
            <v>18</v>
          </cell>
          <cell r="V141" t="str">
            <v>Story</v>
          </cell>
        </row>
        <row r="142">
          <cell r="A142" t="str">
            <v>Burning Branch</v>
          </cell>
          <cell r="D142" t="str">
            <v>Prism. Arrange. of Creation (HB)</v>
          </cell>
          <cell r="S142" t="str">
            <v>Resources ●●●●</v>
          </cell>
          <cell r="T142">
            <v>12</v>
          </cell>
          <cell r="U142">
            <v>30</v>
          </cell>
          <cell r="V142" t="str">
            <v>Story</v>
          </cell>
        </row>
        <row r="143">
          <cell r="A143" t="str">
            <v>Flying Silver Dream</v>
          </cell>
          <cell r="D143" t="str">
            <v>Charcoal March of Spiders (HB)</v>
          </cell>
          <cell r="S143" t="str">
            <v>Resources ●●●●●</v>
          </cell>
          <cell r="T143">
            <v>15</v>
          </cell>
          <cell r="U143">
            <v>45</v>
          </cell>
          <cell r="V143" t="str">
            <v>Story</v>
          </cell>
        </row>
        <row r="144">
          <cell r="A144" t="str">
            <v>Gnomon</v>
          </cell>
          <cell r="D144" t="str">
            <v>Sapphire Veil of Passion (HB)</v>
          </cell>
          <cell r="S144" t="str">
            <v>Shaping Ritual ●●●●●</v>
          </cell>
          <cell r="T144">
            <v>15</v>
          </cell>
          <cell r="U144">
            <v>15</v>
          </cell>
          <cell r="V144" t="str">
            <v>Purchased</v>
          </cell>
        </row>
        <row r="145">
          <cell r="A145" t="str">
            <v>Mistweaver</v>
          </cell>
          <cell r="D145" t="str">
            <v>Obsidian Shards of Infinity (HB)</v>
          </cell>
          <cell r="S145" t="str">
            <v>Selective Conception ●</v>
          </cell>
          <cell r="T145">
            <v>3</v>
          </cell>
          <cell r="U145">
            <v>3</v>
          </cell>
          <cell r="V145" t="str">
            <v>Innate</v>
          </cell>
        </row>
        <row r="146">
          <cell r="A146" t="str">
            <v>Nightmare Shard</v>
          </cell>
          <cell r="D146" t="str">
            <v>Test SMA Style</v>
          </cell>
          <cell r="S146" t="str">
            <v>Strong Lungs ●</v>
          </cell>
          <cell r="T146">
            <v>3</v>
          </cell>
          <cell r="U146">
            <v>3</v>
          </cell>
          <cell r="V146" t="str">
            <v>Purchased</v>
          </cell>
        </row>
        <row r="147">
          <cell r="A147" t="str">
            <v>Sekhem</v>
          </cell>
          <cell r="S147" t="str">
            <v>Tempered by the Elements ●●</v>
          </cell>
          <cell r="T147">
            <v>6</v>
          </cell>
          <cell r="U147">
            <v>6</v>
          </cell>
          <cell r="V147" t="str">
            <v>Purchased</v>
          </cell>
        </row>
        <row r="148">
          <cell r="A148" t="str">
            <v>Shipbreaker</v>
          </cell>
          <cell r="S148" t="str">
            <v>Toxin Resistance ●●●</v>
          </cell>
          <cell r="T148">
            <v>9</v>
          </cell>
          <cell r="U148">
            <v>9</v>
          </cell>
          <cell r="V148" t="str">
            <v>Purchased</v>
          </cell>
        </row>
        <row r="149">
          <cell r="A149" t="str">
            <v>Sirrush</v>
          </cell>
          <cell r="S149" t="str">
            <v>Thaumaturgist ●●●●</v>
          </cell>
          <cell r="T149">
            <v>12</v>
          </cell>
          <cell r="U149">
            <v>12</v>
          </cell>
          <cell r="V149" t="str">
            <v>Innate</v>
          </cell>
        </row>
        <row r="150">
          <cell r="A150" t="str">
            <v>Strife's Crucible</v>
          </cell>
          <cell r="S150" t="str">
            <v>Infernal Nobility ●</v>
          </cell>
          <cell r="T150">
            <v>3</v>
          </cell>
          <cell r="U150">
            <v>3</v>
          </cell>
          <cell r="V150" t="str">
            <v>Purchased</v>
          </cell>
        </row>
        <row r="151">
          <cell r="A151" t="str">
            <v>Sunflash</v>
          </cell>
          <cell r="S151" t="str">
            <v>Dark Paramour ●●</v>
          </cell>
          <cell r="T151">
            <v>6</v>
          </cell>
          <cell r="U151">
            <v>6</v>
          </cell>
          <cell r="V151" t="str">
            <v>Purchased</v>
          </cell>
        </row>
        <row r="152">
          <cell r="A152" t="str">
            <v>Talion</v>
          </cell>
          <cell r="S152" t="str">
            <v>Unburnt Majesty ●●</v>
          </cell>
          <cell r="T152">
            <v>6</v>
          </cell>
          <cell r="U152">
            <v>6</v>
          </cell>
          <cell r="V152" t="str">
            <v>Purchased</v>
          </cell>
        </row>
        <row r="153">
          <cell r="A153" t="str">
            <v>Vainglory</v>
          </cell>
          <cell r="S153" t="str">
            <v>The Burning Name ●●</v>
          </cell>
          <cell r="T153">
            <v>6</v>
          </cell>
          <cell r="U153">
            <v>6</v>
          </cell>
          <cell r="V153" t="str">
            <v>Purchased</v>
          </cell>
        </row>
        <row r="154">
          <cell r="A154" t="str">
            <v>Zelator</v>
          </cell>
          <cell r="S154" t="str">
            <v>Suzerain of Endless Flame ●●</v>
          </cell>
          <cell r="T154">
            <v>6</v>
          </cell>
          <cell r="U154">
            <v>6</v>
          </cell>
          <cell r="V154" t="str">
            <v>Purchased</v>
          </cell>
        </row>
        <row r="155">
          <cell r="A155" t="str">
            <v>The Forgotten Blade</v>
          </cell>
          <cell r="S155" t="str">
            <v>Child of Madness ●●●●</v>
          </cell>
          <cell r="T155">
            <v>12</v>
          </cell>
          <cell r="U155">
            <v>12</v>
          </cell>
          <cell r="V155" t="str">
            <v>Purchased</v>
          </cell>
        </row>
        <row r="156">
          <cell r="A156" t="str">
            <v>Gorgon</v>
          </cell>
          <cell r="S156" t="str">
            <v>Miracles of Shadow and Chaos ●●●●</v>
          </cell>
          <cell r="T156">
            <v>12</v>
          </cell>
          <cell r="U156">
            <v>12</v>
          </cell>
          <cell r="V156" t="str">
            <v>Purchased</v>
          </cell>
        </row>
        <row r="157">
          <cell r="A157" t="str">
            <v>Soulfarer</v>
          </cell>
          <cell r="S157" t="str">
            <v>Deep Breath Cultivation ●●●●●</v>
          </cell>
          <cell r="T157">
            <v>15</v>
          </cell>
          <cell r="U157">
            <v>15</v>
          </cell>
          <cell r="V157" t="str">
            <v>Purchased</v>
          </cell>
        </row>
        <row r="158">
          <cell r="A158" t="str">
            <v>Stormcaller</v>
          </cell>
          <cell r="S158" t="str">
            <v>Flowing Intention Cultivation ●●●●</v>
          </cell>
          <cell r="T158">
            <v>12</v>
          </cell>
          <cell r="U158">
            <v>12</v>
          </cell>
          <cell r="V158" t="str">
            <v>Purchased</v>
          </cell>
        </row>
        <row r="159">
          <cell r="A159" t="str">
            <v>Baldaquin</v>
          </cell>
          <cell r="S159" t="str">
            <v>Living Spirit Cultivation ●●●</v>
          </cell>
          <cell r="T159">
            <v>9</v>
          </cell>
          <cell r="U159">
            <v>9</v>
          </cell>
          <cell r="V159" t="str">
            <v>Purchased</v>
          </cell>
        </row>
        <row r="160">
          <cell r="A160" t="str">
            <v>Heartsbalm</v>
          </cell>
          <cell r="S160" t="str">
            <v>Pure Heart Cultivation ●●</v>
          </cell>
          <cell r="T160">
            <v>6</v>
          </cell>
          <cell r="U160">
            <v>6</v>
          </cell>
          <cell r="V160" t="str">
            <v>Purchased</v>
          </cell>
        </row>
        <row r="161">
          <cell r="A161" t="str">
            <v>Kaijin</v>
          </cell>
          <cell r="S161" t="str">
            <v>Vital Focus Cultivation ●●●</v>
          </cell>
          <cell r="T161">
            <v>9</v>
          </cell>
          <cell r="U161">
            <v>9</v>
          </cell>
          <cell r="V161" t="str">
            <v>Purchased</v>
          </cell>
        </row>
        <row r="162">
          <cell r="A162" t="str">
            <v>Midnight Thorn</v>
          </cell>
          <cell r="S162" t="str">
            <v>Astral Meditation ●</v>
          </cell>
          <cell r="T162">
            <v>3</v>
          </cell>
          <cell r="U162">
            <v>3</v>
          </cell>
          <cell r="V162" t="str">
            <v>Purchased</v>
          </cell>
        </row>
        <row r="163">
          <cell r="A163" t="str">
            <v>Five Edicts Dominion</v>
          </cell>
          <cell r="S163" t="str">
            <v>Eye of Crimson Warning ●●</v>
          </cell>
          <cell r="T163">
            <v>6</v>
          </cell>
          <cell r="U163">
            <v>6</v>
          </cell>
          <cell r="V163" t="str">
            <v>Purchased</v>
          </cell>
        </row>
        <row r="164">
          <cell r="A164" t="str">
            <v>The Quincunx</v>
          </cell>
          <cell r="S164" t="str">
            <v>Immaculate Training ●●</v>
          </cell>
          <cell r="T164">
            <v>6</v>
          </cell>
          <cell r="U164">
            <v>6</v>
          </cell>
          <cell r="V164" t="str">
            <v>Purchased</v>
          </cell>
        </row>
        <row r="165">
          <cell r="A165" t="str">
            <v>Sozen, the Cataphract of Keys</v>
          </cell>
          <cell r="S165" t="str">
            <v>Superior Breeding ●●</v>
          </cell>
          <cell r="T165">
            <v>6</v>
          </cell>
          <cell r="U165">
            <v>6</v>
          </cell>
          <cell r="V165" t="str">
            <v>Innate</v>
          </cell>
        </row>
        <row r="166">
          <cell r="A166" t="str">
            <v>Mela's Coil</v>
          </cell>
          <cell r="S166" t="str">
            <v>Ancestral Artifact ●</v>
          </cell>
          <cell r="T166">
            <v>3</v>
          </cell>
          <cell r="U166">
            <v>3</v>
          </cell>
          <cell r="V166" t="str">
            <v>Story</v>
          </cell>
        </row>
        <row r="167">
          <cell r="A167" t="str">
            <v>Unison</v>
          </cell>
          <cell r="S167" t="str">
            <v>Ancestral Artifact ●●</v>
          </cell>
          <cell r="T167">
            <v>6</v>
          </cell>
          <cell r="U167">
            <v>9</v>
          </cell>
          <cell r="V167" t="str">
            <v>Story</v>
          </cell>
        </row>
        <row r="168">
          <cell r="A168" t="str">
            <v>Arete</v>
          </cell>
          <cell r="S168" t="str">
            <v>Ancestral Artifact ●●●</v>
          </cell>
          <cell r="T168">
            <v>9</v>
          </cell>
          <cell r="U168">
            <v>18</v>
          </cell>
          <cell r="V168" t="str">
            <v>Story</v>
          </cell>
        </row>
        <row r="169">
          <cell r="A169" t="str">
            <v>Carnelian Phoenix</v>
          </cell>
          <cell r="S169" t="str">
            <v>Ancestral Artifact ●●●●</v>
          </cell>
          <cell r="T169">
            <v>12</v>
          </cell>
          <cell r="U169">
            <v>30</v>
          </cell>
          <cell r="V169" t="str">
            <v>Story</v>
          </cell>
        </row>
        <row r="170">
          <cell r="A170" t="str">
            <v>The Golden Hounds</v>
          </cell>
        </row>
        <row r="171">
          <cell r="A171" t="str">
            <v>Second-Shadow Drum</v>
          </cell>
          <cell r="S171" t="str">
            <v>Sobriquet ●●</v>
          </cell>
          <cell r="T171">
            <v>6</v>
          </cell>
          <cell r="U171">
            <v>6</v>
          </cell>
          <cell r="V171" t="str">
            <v>Purchased</v>
          </cell>
        </row>
        <row r="172">
          <cell r="A172" t="str">
            <v>Wings of the Raptor</v>
          </cell>
          <cell r="S172" t="str">
            <v>Well-Bred ●●</v>
          </cell>
          <cell r="T172">
            <v>6</v>
          </cell>
          <cell r="U172">
            <v>6</v>
          </cell>
          <cell r="V172" t="str">
            <v>Innate</v>
          </cell>
        </row>
        <row r="173">
          <cell r="A173" t="str">
            <v>Lightning Ballista</v>
          </cell>
          <cell r="S173" t="str">
            <v>Geomantic Prodigy ●●●</v>
          </cell>
          <cell r="T173">
            <v>9</v>
          </cell>
          <cell r="U173">
            <v>6</v>
          </cell>
          <cell r="V173" t="str">
            <v>Purchased</v>
          </cell>
        </row>
        <row r="174">
          <cell r="A174" t="str">
            <v>Implosion Bow</v>
          </cell>
          <cell r="S174" t="str">
            <v>Spirit Speaker ●</v>
          </cell>
          <cell r="T174">
            <v>3</v>
          </cell>
          <cell r="U174">
            <v>3</v>
          </cell>
          <cell r="V174" t="str">
            <v>Purchased</v>
          </cell>
        </row>
        <row r="175">
          <cell r="A175" t="str">
            <v>All-Conquering Colossus</v>
          </cell>
          <cell r="S175" t="str">
            <v>Words of Binding ●●</v>
          </cell>
          <cell r="T175">
            <v>6</v>
          </cell>
          <cell r="U175">
            <v>6</v>
          </cell>
          <cell r="V175" t="str">
            <v>Purchased</v>
          </cell>
        </row>
        <row r="176">
          <cell r="A176" t="str">
            <v>Cathedral of Sublime Annihilation</v>
          </cell>
          <cell r="S176" t="str">
            <v>Eyes in Both Worlds ●●●</v>
          </cell>
          <cell r="T176">
            <v>9</v>
          </cell>
          <cell r="U176">
            <v>9</v>
          </cell>
          <cell r="V176" t="str">
            <v>Purchased</v>
          </cell>
        </row>
        <row r="177">
          <cell r="A177" t="str">
            <v>Crusading Spear of the Depths</v>
          </cell>
          <cell r="S177" t="str">
            <v>Breath Without Air ●●●</v>
          </cell>
          <cell r="T177">
            <v>9</v>
          </cell>
          <cell r="U177">
            <v>9</v>
          </cell>
          <cell r="V177" t="str">
            <v>Purchased</v>
          </cell>
        </row>
        <row r="178">
          <cell r="A178" t="str">
            <v>Emerald Chevalier</v>
          </cell>
        </row>
        <row r="179">
          <cell r="A179" t="str">
            <v>Godspeed Vanguard</v>
          </cell>
          <cell r="S179" t="str">
            <v>Heart's Blood ●</v>
          </cell>
          <cell r="T179">
            <v>3</v>
          </cell>
          <cell r="U179">
            <v>3</v>
          </cell>
          <cell r="V179" t="str">
            <v>Story</v>
          </cell>
        </row>
        <row r="180">
          <cell r="A180" t="str">
            <v>Ascendant Nova Phoenix</v>
          </cell>
          <cell r="S180" t="str">
            <v>Heart's Blood ●●</v>
          </cell>
          <cell r="T180">
            <v>6</v>
          </cell>
          <cell r="U180">
            <v>9</v>
          </cell>
          <cell r="V180" t="str">
            <v>Story</v>
          </cell>
        </row>
        <row r="181">
          <cell r="A181" t="str">
            <v>Karvara, the Walking Devil Tower</v>
          </cell>
          <cell r="S181" t="str">
            <v>Heart's Blood ●●●</v>
          </cell>
          <cell r="T181">
            <v>9</v>
          </cell>
          <cell r="U181">
            <v>18</v>
          </cell>
          <cell r="V181" t="str">
            <v>Story</v>
          </cell>
        </row>
        <row r="182">
          <cell r="A182" t="str">
            <v>Calumny</v>
          </cell>
          <cell r="S182" t="str">
            <v>Heart's Blood ●●●●</v>
          </cell>
          <cell r="T182">
            <v>12</v>
          </cell>
          <cell r="U182">
            <v>30</v>
          </cell>
          <cell r="V182" t="str">
            <v>Story</v>
          </cell>
        </row>
        <row r="183">
          <cell r="A183" t="str">
            <v>Daring Venture</v>
          </cell>
          <cell r="S183" t="str">
            <v>Stolen Faces ●</v>
          </cell>
          <cell r="T183">
            <v>3</v>
          </cell>
          <cell r="U183">
            <v>3</v>
          </cell>
          <cell r="V183" t="str">
            <v>Story</v>
          </cell>
        </row>
        <row r="184">
          <cell r="A184" t="str">
            <v>Faith's Pillar</v>
          </cell>
          <cell r="S184" t="str">
            <v>Stolen Faces ●●</v>
          </cell>
          <cell r="T184">
            <v>6</v>
          </cell>
          <cell r="U184">
            <v>6</v>
          </cell>
          <cell r="V184" t="str">
            <v>Story</v>
          </cell>
        </row>
        <row r="185">
          <cell r="A185" t="str">
            <v>Heavenly Typhoon</v>
          </cell>
          <cell r="S185" t="str">
            <v>Stolen Faces ●●●</v>
          </cell>
          <cell r="T185">
            <v>9</v>
          </cell>
          <cell r="U185">
            <v>9</v>
          </cell>
          <cell r="V185" t="str">
            <v>Story</v>
          </cell>
        </row>
        <row r="186">
          <cell r="A186" t="str">
            <v>Pyre of Legions</v>
          </cell>
          <cell r="S186" t="str">
            <v>Stolen Faces ●●●●</v>
          </cell>
          <cell r="T186">
            <v>12</v>
          </cell>
          <cell r="U186">
            <v>12</v>
          </cell>
          <cell r="V186" t="str">
            <v>Story</v>
          </cell>
        </row>
        <row r="187">
          <cell r="A187" t="str">
            <v>Sea's Verdict</v>
          </cell>
          <cell r="S187" t="str">
            <v>Stolen Faces ●●●●●</v>
          </cell>
          <cell r="T187">
            <v>15</v>
          </cell>
          <cell r="U187">
            <v>15</v>
          </cell>
          <cell r="V187" t="str">
            <v>Story</v>
          </cell>
        </row>
        <row r="188">
          <cell r="A188" t="str">
            <v>Smiling Razors</v>
          </cell>
          <cell r="S188" t="str">
            <v>The Song of Heaven ●</v>
          </cell>
          <cell r="T188">
            <v>3</v>
          </cell>
          <cell r="U188">
            <v>3</v>
          </cell>
          <cell r="V188" t="str">
            <v>Purchased</v>
          </cell>
        </row>
        <row r="189">
          <cell r="A189" t="str">
            <v>Vengeant</v>
          </cell>
          <cell r="S189" t="str">
            <v>Visage Made Law ●●●</v>
          </cell>
          <cell r="T189">
            <v>9</v>
          </cell>
          <cell r="U189">
            <v>9</v>
          </cell>
          <cell r="V189" t="str">
            <v>Purchased</v>
          </cell>
        </row>
        <row r="190">
          <cell r="A190" t="str">
            <v>Horizon Cleaver</v>
          </cell>
          <cell r="S190" t="str">
            <v>Writ in the Firmament ●</v>
          </cell>
          <cell r="T190">
            <v>3</v>
          </cell>
          <cell r="U190">
            <v>3</v>
          </cell>
          <cell r="V190" t="str">
            <v>Purchased</v>
          </cell>
        </row>
        <row r="191">
          <cell r="A191" t="str">
            <v>Imprimatur</v>
          </cell>
        </row>
        <row r="192">
          <cell r="A192" t="str">
            <v>Perdurant Vault</v>
          </cell>
          <cell r="S192" t="str">
            <v>Whispers ●●</v>
          </cell>
          <cell r="T192">
            <v>6</v>
          </cell>
          <cell r="U192">
            <v>6</v>
          </cell>
          <cell r="V192" t="str">
            <v>Purchased</v>
          </cell>
        </row>
        <row r="193">
          <cell r="A193" t="str">
            <v>Eyebright</v>
          </cell>
          <cell r="S193" t="str">
            <v>Whispers ●●●●</v>
          </cell>
          <cell r="T193">
            <v>12</v>
          </cell>
          <cell r="U193">
            <v>18</v>
          </cell>
          <cell r="V193" t="str">
            <v>Purchased</v>
          </cell>
        </row>
        <row r="194">
          <cell r="A194" t="str">
            <v>Far-Ranging Eye</v>
          </cell>
          <cell r="S194" t="str">
            <v>Divine Heritage ●●●●●</v>
          </cell>
          <cell r="T194">
            <v>15</v>
          </cell>
          <cell r="U194">
            <v>15</v>
          </cell>
          <cell r="V194" t="str">
            <v>Innate</v>
          </cell>
        </row>
        <row r="195">
          <cell r="A195" t="str">
            <v>The Hundred Rings of Hadam-Ul</v>
          </cell>
          <cell r="S195" t="str">
            <v>Architect of a Thousand Schools</v>
          </cell>
          <cell r="T195">
            <v>0</v>
          </cell>
          <cell r="U195">
            <v>0</v>
          </cell>
          <cell r="V195" t="str">
            <v>Innate</v>
          </cell>
        </row>
        <row r="196">
          <cell r="A196" t="str">
            <v>Nightbane</v>
          </cell>
          <cell r="S196" t="str">
            <v>Architect of the Tower Arcane</v>
          </cell>
          <cell r="T196">
            <v>0</v>
          </cell>
          <cell r="U196">
            <v>0</v>
          </cell>
          <cell r="V196" t="str">
            <v>Innate</v>
          </cell>
        </row>
        <row r="197">
          <cell r="A197" t="str">
            <v>Night's Sweet Whisper</v>
          </cell>
        </row>
        <row r="198">
          <cell r="A198" t="str">
            <v>Phaessa and Deinon</v>
          </cell>
        </row>
        <row r="199">
          <cell r="A199" t="str">
            <v>The Ichneumon Blades</v>
          </cell>
        </row>
        <row r="200">
          <cell r="A200" t="str">
            <v>Penumbra Gleam</v>
          </cell>
        </row>
        <row r="201">
          <cell r="A201" t="str">
            <v>Seven Furies Caged</v>
          </cell>
        </row>
        <row r="202">
          <cell r="A202" t="str">
            <v>Death at the Root</v>
          </cell>
        </row>
        <row r="203">
          <cell r="A203" t="str">
            <v>Weirdflame</v>
          </cell>
        </row>
        <row r="204">
          <cell r="A204" t="str">
            <v>Test Artifact Name</v>
          </cell>
        </row>
        <row r="205">
          <cell r="A205" t="str">
            <v>Test Martial Arts Style</v>
          </cell>
        </row>
        <row r="206">
          <cell r="A206" t="str">
            <v>Test SMA Style</v>
          </cell>
        </row>
        <row r="209">
          <cell r="S209" t="str">
            <v>Antennae ●</v>
          </cell>
          <cell r="T209">
            <v>3</v>
          </cell>
          <cell r="U209">
            <v>3</v>
          </cell>
          <cell r="V209" t="str">
            <v>Innate</v>
          </cell>
        </row>
        <row r="210">
          <cell r="S210" t="str">
            <v>Bioluminescent</v>
          </cell>
          <cell r="T210">
            <v>0</v>
          </cell>
          <cell r="U210">
            <v>0</v>
          </cell>
          <cell r="V210" t="str">
            <v>Innate</v>
          </cell>
        </row>
        <row r="211">
          <cell r="S211" t="str">
            <v>Bioluminescent ●●●</v>
          </cell>
          <cell r="T211">
            <v>9</v>
          </cell>
          <cell r="U211">
            <v>9</v>
          </cell>
          <cell r="V211" t="str">
            <v>Innate</v>
          </cell>
        </row>
        <row r="212">
          <cell r="S212" t="str">
            <v>Bounding Legs ●●●</v>
          </cell>
          <cell r="T212">
            <v>9</v>
          </cell>
          <cell r="U212">
            <v>9</v>
          </cell>
          <cell r="V212" t="str">
            <v>Innate</v>
          </cell>
        </row>
        <row r="213">
          <cell r="S213" t="str">
            <v>Burrower ●●</v>
          </cell>
          <cell r="T213">
            <v>6</v>
          </cell>
          <cell r="U213">
            <v>6</v>
          </cell>
          <cell r="V213" t="str">
            <v>Innate</v>
          </cell>
        </row>
        <row r="214">
          <cell r="S214" t="str">
            <v>Carapace ●●</v>
          </cell>
          <cell r="T214">
            <v>6</v>
          </cell>
          <cell r="U214">
            <v>6</v>
          </cell>
          <cell r="V214" t="str">
            <v>Innate</v>
          </cell>
        </row>
        <row r="215">
          <cell r="S215" t="str">
            <v>Centaur ●●</v>
          </cell>
          <cell r="T215">
            <v>6</v>
          </cell>
          <cell r="U215">
            <v>6</v>
          </cell>
          <cell r="V215" t="str">
            <v>Innate</v>
          </cell>
        </row>
        <row r="216">
          <cell r="S216" t="str">
            <v>Chameleon ●●●</v>
          </cell>
          <cell r="T216">
            <v>9</v>
          </cell>
          <cell r="U216">
            <v>9</v>
          </cell>
          <cell r="V216" t="str">
            <v>Innate</v>
          </cell>
        </row>
        <row r="217">
          <cell r="S217" t="str">
            <v>Claws ●</v>
          </cell>
          <cell r="T217">
            <v>3</v>
          </cell>
          <cell r="U217">
            <v>3</v>
          </cell>
          <cell r="V217" t="str">
            <v>Innate</v>
          </cell>
        </row>
        <row r="218">
          <cell r="S218" t="str">
            <v>Claws ●●●●</v>
          </cell>
          <cell r="T218">
            <v>12</v>
          </cell>
          <cell r="U218">
            <v>15</v>
          </cell>
          <cell r="V218" t="str">
            <v>Innate</v>
          </cell>
        </row>
        <row r="219">
          <cell r="S219" t="str">
            <v>Constrictor ●●●</v>
          </cell>
          <cell r="T219">
            <v>9</v>
          </cell>
          <cell r="U219">
            <v>9</v>
          </cell>
          <cell r="V219" t="str">
            <v>Innate</v>
          </cell>
        </row>
        <row r="220">
          <cell r="S220" t="str">
            <v>Deadly Weaponry ●</v>
          </cell>
          <cell r="T220">
            <v>3</v>
          </cell>
          <cell r="U220">
            <v>3</v>
          </cell>
          <cell r="V220" t="str">
            <v>Innate</v>
          </cell>
        </row>
        <row r="221">
          <cell r="S221" t="str">
            <v>Echolocation ●●●</v>
          </cell>
          <cell r="T221">
            <v>9</v>
          </cell>
          <cell r="U221">
            <v>9</v>
          </cell>
          <cell r="V221" t="str">
            <v>Innate</v>
          </cell>
        </row>
        <row r="222">
          <cell r="S222" t="str">
            <v>Enhanced Sense ●●●</v>
          </cell>
          <cell r="T222">
            <v>9</v>
          </cell>
          <cell r="U222">
            <v>9</v>
          </cell>
          <cell r="V222" t="str">
            <v>Innate</v>
          </cell>
        </row>
        <row r="223">
          <cell r="S223" t="str">
            <v>Enhanced Toxin (Blinding) ●●</v>
          </cell>
          <cell r="T223">
            <v>6</v>
          </cell>
          <cell r="U223">
            <v>6</v>
          </cell>
          <cell r="V223" t="str">
            <v>Innate</v>
          </cell>
        </row>
        <row r="224">
          <cell r="S224" t="str">
            <v>Enhanced Toxin (Hallucinogenic) ●</v>
          </cell>
          <cell r="T224">
            <v>3</v>
          </cell>
          <cell r="U224">
            <v>3</v>
          </cell>
          <cell r="V224" t="str">
            <v>Innate</v>
          </cell>
        </row>
        <row r="225">
          <cell r="S225" t="str">
            <v>Enhanced Toxin (Necrotic) ●●</v>
          </cell>
          <cell r="T225">
            <v>6</v>
          </cell>
          <cell r="U225">
            <v>6</v>
          </cell>
          <cell r="V225" t="str">
            <v>Innate</v>
          </cell>
        </row>
        <row r="226">
          <cell r="S226" t="str">
            <v>Enhanced Toxin (Paralytic) ●●</v>
          </cell>
          <cell r="T226">
            <v>6</v>
          </cell>
          <cell r="U226">
            <v>6</v>
          </cell>
          <cell r="V226" t="str">
            <v>Innate</v>
          </cell>
        </row>
        <row r="227">
          <cell r="S227" t="str">
            <v>Enhanced Toxin (Potent) ●●</v>
          </cell>
          <cell r="T227">
            <v>6</v>
          </cell>
          <cell r="U227">
            <v>6</v>
          </cell>
          <cell r="V227" t="str">
            <v>Innate</v>
          </cell>
        </row>
        <row r="228">
          <cell r="S228" t="str">
            <v>Entangling Limbs ●●●</v>
          </cell>
          <cell r="T228">
            <v>9</v>
          </cell>
          <cell r="U228">
            <v>9</v>
          </cell>
          <cell r="V228" t="str">
            <v>Innate</v>
          </cell>
        </row>
        <row r="229">
          <cell r="S229" t="str">
            <v>Exalted Healing ●●●●●</v>
          </cell>
          <cell r="T229">
            <v>15</v>
          </cell>
          <cell r="U229">
            <v>15</v>
          </cell>
          <cell r="V229" t="str">
            <v>Innate</v>
          </cell>
        </row>
        <row r="230">
          <cell r="S230" t="str">
            <v>Extra Limbs ●●●</v>
          </cell>
          <cell r="T230">
            <v>9</v>
          </cell>
          <cell r="U230">
            <v>9</v>
          </cell>
          <cell r="V230" t="str">
            <v>Innate</v>
          </cell>
        </row>
        <row r="231">
          <cell r="S231" t="str">
            <v>Extreme Adapation ●●</v>
          </cell>
          <cell r="T231">
            <v>6</v>
          </cell>
          <cell r="U231">
            <v>6</v>
          </cell>
          <cell r="V231" t="str">
            <v>Innate</v>
          </cell>
        </row>
        <row r="232">
          <cell r="S232" t="str">
            <v>Fangs ●</v>
          </cell>
          <cell r="T232">
            <v>3</v>
          </cell>
          <cell r="U232">
            <v>3</v>
          </cell>
          <cell r="V232" t="str">
            <v>Innate</v>
          </cell>
        </row>
        <row r="233">
          <cell r="S233" t="str">
            <v>Fangs ●●●●</v>
          </cell>
          <cell r="T233">
            <v>12</v>
          </cell>
          <cell r="U233">
            <v>15</v>
          </cell>
          <cell r="V233" t="str">
            <v>Innate</v>
          </cell>
        </row>
        <row r="234">
          <cell r="S234" t="str">
            <v>Fins ●</v>
          </cell>
          <cell r="T234">
            <v>3</v>
          </cell>
          <cell r="U234">
            <v>3</v>
          </cell>
          <cell r="V234" t="str">
            <v>Innate</v>
          </cell>
        </row>
        <row r="235">
          <cell r="S235" t="str">
            <v>Fins ●●</v>
          </cell>
          <cell r="T235">
            <v>6</v>
          </cell>
          <cell r="U235">
            <v>6</v>
          </cell>
          <cell r="V235" t="str">
            <v>Innate</v>
          </cell>
        </row>
        <row r="236">
          <cell r="S236" t="str">
            <v>Fins ●●●</v>
          </cell>
          <cell r="T236">
            <v>9</v>
          </cell>
          <cell r="U236">
            <v>9</v>
          </cell>
          <cell r="V236" t="str">
            <v>Innate</v>
          </cell>
        </row>
        <row r="237">
          <cell r="S237" t="str">
            <v>Fins ●●●●</v>
          </cell>
          <cell r="T237">
            <v>12</v>
          </cell>
          <cell r="U237">
            <v>12</v>
          </cell>
          <cell r="V237" t="str">
            <v>Innate</v>
          </cell>
        </row>
        <row r="238">
          <cell r="S238" t="str">
            <v>Fins ●●●●●</v>
          </cell>
          <cell r="T238">
            <v>15</v>
          </cell>
          <cell r="U238">
            <v>15</v>
          </cell>
          <cell r="V238" t="str">
            <v>Innate</v>
          </cell>
        </row>
        <row r="239">
          <cell r="S239" t="str">
            <v>Frightening Voice ●●</v>
          </cell>
          <cell r="T239">
            <v>6</v>
          </cell>
          <cell r="U239">
            <v>6</v>
          </cell>
          <cell r="V239" t="str">
            <v>Innate</v>
          </cell>
        </row>
        <row r="240">
          <cell r="S240" t="str">
            <v>Giant ●●●●</v>
          </cell>
          <cell r="T240">
            <v>12</v>
          </cell>
          <cell r="U240">
            <v>12</v>
          </cell>
          <cell r="V240" t="str">
            <v>Purchased</v>
          </cell>
        </row>
        <row r="241">
          <cell r="S241" t="str">
            <v>Gills</v>
          </cell>
          <cell r="T241">
            <v>0</v>
          </cell>
          <cell r="U241">
            <v>0</v>
          </cell>
          <cell r="V241" t="str">
            <v>Innate</v>
          </cell>
        </row>
        <row r="242">
          <cell r="S242" t="str">
            <v>Gills ●●●</v>
          </cell>
          <cell r="T242">
            <v>9</v>
          </cell>
          <cell r="U242">
            <v>9</v>
          </cell>
          <cell r="V242" t="str">
            <v>Innate</v>
          </cell>
        </row>
        <row r="243">
          <cell r="S243" t="str">
            <v>Hypermobility ●●</v>
          </cell>
          <cell r="T243">
            <v>6</v>
          </cell>
          <cell r="U243">
            <v>6</v>
          </cell>
          <cell r="V243" t="str">
            <v>Innate</v>
          </cell>
        </row>
        <row r="244">
          <cell r="S244" t="str">
            <v>Imposing Features ●●●</v>
          </cell>
          <cell r="T244">
            <v>9</v>
          </cell>
          <cell r="U244">
            <v>9</v>
          </cell>
          <cell r="V244" t="str">
            <v>Innate</v>
          </cell>
        </row>
        <row r="245">
          <cell r="S245" t="str">
            <v>Inhuman Visage ●●●</v>
          </cell>
          <cell r="T245">
            <v>9</v>
          </cell>
          <cell r="U245">
            <v>9</v>
          </cell>
          <cell r="V245" t="str">
            <v>Innate</v>
          </cell>
        </row>
        <row r="246">
          <cell r="S246" t="str">
            <v>Ink Sacs ●●</v>
          </cell>
          <cell r="T246">
            <v>6</v>
          </cell>
          <cell r="U246">
            <v>6</v>
          </cell>
          <cell r="V246" t="str">
            <v>Innate</v>
          </cell>
        </row>
        <row r="247">
          <cell r="S247" t="str">
            <v>Long Reach ●●●</v>
          </cell>
          <cell r="T247">
            <v>9</v>
          </cell>
          <cell r="U247">
            <v>9</v>
          </cell>
          <cell r="V247" t="str">
            <v>Innate</v>
          </cell>
        </row>
        <row r="248">
          <cell r="S248" t="str">
            <v>Lure ●</v>
          </cell>
          <cell r="T248">
            <v>3</v>
          </cell>
          <cell r="U248">
            <v>3</v>
          </cell>
          <cell r="V248" t="str">
            <v>Innate</v>
          </cell>
        </row>
        <row r="249">
          <cell r="S249" t="str">
            <v>Musical Voice ●</v>
          </cell>
          <cell r="T249">
            <v>3</v>
          </cell>
          <cell r="U249">
            <v>3</v>
          </cell>
          <cell r="V249" t="str">
            <v>Innate</v>
          </cell>
        </row>
        <row r="250">
          <cell r="S250" t="str">
            <v>Natural Missile ●●</v>
          </cell>
          <cell r="T250">
            <v>6</v>
          </cell>
          <cell r="U250">
            <v>6</v>
          </cell>
          <cell r="V250" t="str">
            <v>Innate</v>
          </cell>
        </row>
        <row r="251">
          <cell r="S251" t="str">
            <v>Natural Missile ●●●</v>
          </cell>
          <cell r="T251">
            <v>9</v>
          </cell>
          <cell r="U251">
            <v>9</v>
          </cell>
          <cell r="V251" t="str">
            <v>Innate</v>
          </cell>
        </row>
        <row r="252">
          <cell r="S252" t="str">
            <v>Natural Missle ●●●●</v>
          </cell>
          <cell r="T252">
            <v>12</v>
          </cell>
          <cell r="U252">
            <v>12</v>
          </cell>
          <cell r="V252" t="str">
            <v>Innate</v>
          </cell>
        </row>
        <row r="253">
          <cell r="S253" t="str">
            <v>Natural Shield ●●</v>
          </cell>
          <cell r="T253">
            <v>6</v>
          </cell>
          <cell r="U253">
            <v>6</v>
          </cell>
          <cell r="V253" t="str">
            <v>Innate</v>
          </cell>
        </row>
        <row r="254">
          <cell r="S254" t="str">
            <v>Night Vision ●●</v>
          </cell>
          <cell r="T254">
            <v>6</v>
          </cell>
          <cell r="U254">
            <v>6</v>
          </cell>
          <cell r="V254" t="str">
            <v>Innate</v>
          </cell>
        </row>
        <row r="255">
          <cell r="S255" t="str">
            <v>Pain Tolerance ●●●●</v>
          </cell>
          <cell r="T255">
            <v>12</v>
          </cell>
          <cell r="U255">
            <v>12</v>
          </cell>
          <cell r="V255" t="str">
            <v>Purchased</v>
          </cell>
        </row>
        <row r="256">
          <cell r="S256" t="str">
            <v>Pheromones ●</v>
          </cell>
          <cell r="T256">
            <v>3</v>
          </cell>
          <cell r="U256">
            <v>3</v>
          </cell>
          <cell r="V256" t="str">
            <v>Innate</v>
          </cell>
        </row>
        <row r="257">
          <cell r="S257" t="str">
            <v>Pheromones ●●●</v>
          </cell>
          <cell r="T257">
            <v>9</v>
          </cell>
          <cell r="U257">
            <v>9</v>
          </cell>
          <cell r="V257" t="str">
            <v>Innate</v>
          </cell>
        </row>
        <row r="258">
          <cell r="S258" t="str">
            <v>Poisoned Body ●</v>
          </cell>
          <cell r="T258">
            <v>3</v>
          </cell>
          <cell r="U258">
            <v>3</v>
          </cell>
          <cell r="V258" t="str">
            <v>Innate</v>
          </cell>
        </row>
        <row r="259">
          <cell r="S259" t="str">
            <v>Poisoned Body ●●</v>
          </cell>
          <cell r="T259">
            <v>6</v>
          </cell>
          <cell r="U259">
            <v>9</v>
          </cell>
          <cell r="V259" t="str">
            <v>Innate</v>
          </cell>
        </row>
        <row r="260">
          <cell r="S260" t="str">
            <v>Poisoned Body ●●●●●</v>
          </cell>
          <cell r="T260">
            <v>15</v>
          </cell>
          <cell r="U260">
            <v>27</v>
          </cell>
          <cell r="V260" t="str">
            <v>Innate</v>
          </cell>
        </row>
        <row r="261">
          <cell r="S261" t="str">
            <v>Prehensile tongue ●●</v>
          </cell>
          <cell r="T261">
            <v>6</v>
          </cell>
          <cell r="U261">
            <v>6</v>
          </cell>
          <cell r="V261" t="str">
            <v>Innate</v>
          </cell>
        </row>
        <row r="262">
          <cell r="S262" t="str">
            <v>Quills ●●●●●</v>
          </cell>
          <cell r="T262">
            <v>15</v>
          </cell>
          <cell r="U262">
            <v>15</v>
          </cell>
          <cell r="V262" t="str">
            <v>Innate</v>
          </cell>
        </row>
        <row r="263">
          <cell r="S263" t="str">
            <v>Serpentine ●●●●</v>
          </cell>
          <cell r="T263">
            <v>12</v>
          </cell>
          <cell r="U263">
            <v>12</v>
          </cell>
          <cell r="V263" t="str">
            <v>Innate</v>
          </cell>
        </row>
        <row r="264">
          <cell r="S264" t="str">
            <v>Shell ●●</v>
          </cell>
          <cell r="T264">
            <v>6</v>
          </cell>
          <cell r="U264">
            <v>6</v>
          </cell>
          <cell r="V264" t="str">
            <v>Innate</v>
          </cell>
        </row>
        <row r="265">
          <cell r="S265" t="str">
            <v>Silent Movement ●●●</v>
          </cell>
          <cell r="T265">
            <v>9</v>
          </cell>
          <cell r="U265">
            <v>9</v>
          </cell>
          <cell r="V265" t="str">
            <v>Innate</v>
          </cell>
        </row>
        <row r="266">
          <cell r="S266" t="str">
            <v>Slippery ●●</v>
          </cell>
          <cell r="T266">
            <v>6</v>
          </cell>
          <cell r="U266">
            <v>6</v>
          </cell>
          <cell r="V266" t="str">
            <v>Innate</v>
          </cell>
        </row>
        <row r="267">
          <cell r="S267" t="str">
            <v>Smokescreen ●●</v>
          </cell>
          <cell r="T267">
            <v>6</v>
          </cell>
          <cell r="U267">
            <v>6</v>
          </cell>
          <cell r="V267" t="str">
            <v>Innate</v>
          </cell>
        </row>
        <row r="268">
          <cell r="S268" t="str">
            <v>Snaketongue ●</v>
          </cell>
          <cell r="T268">
            <v>3</v>
          </cell>
          <cell r="U268">
            <v>3</v>
          </cell>
          <cell r="V268" t="str">
            <v>Innate</v>
          </cell>
        </row>
        <row r="269">
          <cell r="S269" t="str">
            <v>Spinnerets ●●●</v>
          </cell>
          <cell r="T269">
            <v>9</v>
          </cell>
          <cell r="U269">
            <v>9</v>
          </cell>
          <cell r="V269" t="str">
            <v>Innate</v>
          </cell>
        </row>
        <row r="270">
          <cell r="S270" t="str">
            <v>Subtlety ●●</v>
          </cell>
          <cell r="T270">
            <v>6</v>
          </cell>
          <cell r="U270">
            <v>6</v>
          </cell>
          <cell r="V270" t="str">
            <v>Innate</v>
          </cell>
        </row>
        <row r="271">
          <cell r="S271" t="str">
            <v>Tail ●</v>
          </cell>
          <cell r="T271">
            <v>3</v>
          </cell>
          <cell r="U271">
            <v>3</v>
          </cell>
          <cell r="V271" t="str">
            <v>Innate</v>
          </cell>
        </row>
        <row r="272">
          <cell r="S272" t="str">
            <v>Tail ●●</v>
          </cell>
          <cell r="T272">
            <v>6</v>
          </cell>
          <cell r="U272">
            <v>9</v>
          </cell>
          <cell r="V272" t="str">
            <v>Innate</v>
          </cell>
        </row>
        <row r="273">
          <cell r="S273" t="str">
            <v>Thermal Vision ●</v>
          </cell>
          <cell r="T273">
            <v>3</v>
          </cell>
          <cell r="U273">
            <v>3</v>
          </cell>
          <cell r="V273" t="str">
            <v>Innate</v>
          </cell>
        </row>
        <row r="274">
          <cell r="S274" t="str">
            <v>Toxin Sacs ●●</v>
          </cell>
          <cell r="T274">
            <v>6</v>
          </cell>
          <cell r="U274">
            <v>6</v>
          </cell>
          <cell r="V274" t="str">
            <v>Innate</v>
          </cell>
        </row>
        <row r="275">
          <cell r="S275" t="str">
            <v>Trunk ●●</v>
          </cell>
          <cell r="T275">
            <v>6</v>
          </cell>
          <cell r="U275">
            <v>6</v>
          </cell>
          <cell r="V275" t="str">
            <v>Innate</v>
          </cell>
        </row>
        <row r="276">
          <cell r="S276" t="str">
            <v>Unusual Hide ●</v>
          </cell>
          <cell r="T276">
            <v>3</v>
          </cell>
          <cell r="U276">
            <v>3</v>
          </cell>
          <cell r="V276" t="str">
            <v>Innate</v>
          </cell>
        </row>
        <row r="277">
          <cell r="S277" t="str">
            <v>Unusual Hide ●●</v>
          </cell>
          <cell r="T277">
            <v>6</v>
          </cell>
          <cell r="U277">
            <v>9</v>
          </cell>
          <cell r="V277" t="str">
            <v>Innate</v>
          </cell>
        </row>
        <row r="278">
          <cell r="S278" t="str">
            <v>Unusual Hide ●●●</v>
          </cell>
          <cell r="T278">
            <v>9</v>
          </cell>
          <cell r="U278">
            <v>18</v>
          </cell>
          <cell r="V278" t="str">
            <v>Innate</v>
          </cell>
        </row>
        <row r="279">
          <cell r="S279" t="str">
            <v>Unusual Hide ●●●●</v>
          </cell>
          <cell r="T279">
            <v>12</v>
          </cell>
          <cell r="U279">
            <v>30</v>
          </cell>
          <cell r="V279" t="str">
            <v>Innate</v>
          </cell>
        </row>
        <row r="280">
          <cell r="S280" t="str">
            <v>Unusual Hide ●●●●●</v>
          </cell>
          <cell r="T280">
            <v>15</v>
          </cell>
          <cell r="U280">
            <v>45</v>
          </cell>
          <cell r="V280" t="str">
            <v>Innate</v>
          </cell>
        </row>
        <row r="281">
          <cell r="S281" t="str">
            <v>Venomous ●●●</v>
          </cell>
          <cell r="T281">
            <v>9</v>
          </cell>
          <cell r="U281">
            <v>9</v>
          </cell>
          <cell r="V281" t="str">
            <v>Innate</v>
          </cell>
        </row>
        <row r="282">
          <cell r="S282" t="str">
            <v>Venomous ●●●●</v>
          </cell>
          <cell r="T282">
            <v>12</v>
          </cell>
          <cell r="U282">
            <v>21</v>
          </cell>
          <cell r="V282" t="str">
            <v>Innate</v>
          </cell>
        </row>
        <row r="283">
          <cell r="S283" t="str">
            <v>Vibration Sense ●</v>
          </cell>
          <cell r="T283">
            <v>3</v>
          </cell>
          <cell r="U283">
            <v>3</v>
          </cell>
          <cell r="V283" t="str">
            <v>Innate</v>
          </cell>
        </row>
        <row r="284">
          <cell r="S284" t="str">
            <v>Wall Walking ●●●●</v>
          </cell>
          <cell r="T284">
            <v>12</v>
          </cell>
          <cell r="U284">
            <v>12</v>
          </cell>
          <cell r="V284" t="str">
            <v>Innate</v>
          </cell>
        </row>
        <row r="285">
          <cell r="S285" t="str">
            <v>Wings ●●●</v>
          </cell>
          <cell r="T285">
            <v>9</v>
          </cell>
          <cell r="U285">
            <v>9</v>
          </cell>
          <cell r="V285" t="str">
            <v>Innate</v>
          </cell>
        </row>
        <row r="286">
          <cell r="S286" t="str">
            <v>Wings ●●●●●</v>
          </cell>
          <cell r="T286">
            <v>15</v>
          </cell>
          <cell r="U286">
            <v>24</v>
          </cell>
          <cell r="V286" t="str">
            <v>Innate</v>
          </cell>
        </row>
        <row r="303">
          <cell r="S303" t="str">
            <v>Scar-Strengthened Will ●●●</v>
          </cell>
          <cell r="T303">
            <v>9</v>
          </cell>
          <cell r="V303" t="str">
            <v>Purchased</v>
          </cell>
        </row>
        <row r="304">
          <cell r="S304" t="str">
            <v>Sage of Three Circles ●●●●</v>
          </cell>
          <cell r="T304">
            <v>12</v>
          </cell>
          <cell r="V304" t="str">
            <v>Purchased</v>
          </cell>
        </row>
        <row r="305">
          <cell r="S305" t="str">
            <v>Cryptic Insights ●●</v>
          </cell>
          <cell r="T305">
            <v>6</v>
          </cell>
          <cell r="V305" t="str">
            <v>Purchased</v>
          </cell>
        </row>
        <row r="306">
          <cell r="S306" t="str">
            <v>Greenfriend ●</v>
          </cell>
          <cell r="T306">
            <v>3</v>
          </cell>
          <cell r="V306" t="str">
            <v>Purchased</v>
          </cell>
        </row>
        <row r="307">
          <cell r="S307" t="str">
            <v>Ever-Blossoming Mastery ●●</v>
          </cell>
          <cell r="T307">
            <v>6</v>
          </cell>
          <cell r="V307" t="str">
            <v>Purchased</v>
          </cell>
        </row>
        <row r="308">
          <cell r="S308" t="str">
            <v>Esoteric Botany ●●●</v>
          </cell>
          <cell r="T308">
            <v>9</v>
          </cell>
          <cell r="V308" t="str">
            <v>Purchased</v>
          </cell>
        </row>
      </sheetData>
      <sheetData sheetId="20">
        <row r="3">
          <cell r="B3" t="str">
            <v>Solar</v>
          </cell>
        </row>
        <row r="4">
          <cell r="B4">
            <v>0</v>
          </cell>
        </row>
        <row r="27">
          <cell r="K27" t="str">
            <v>Lunar</v>
          </cell>
          <cell r="L27" t="str">
            <v>Homebrew Lunar</v>
          </cell>
          <cell r="M27" t="str">
            <v/>
          </cell>
        </row>
        <row r="28">
          <cell r="K28" t="str">
            <v xml:space="preserve"> </v>
          </cell>
          <cell r="L28" t="str">
            <v xml:space="preserve"> </v>
          </cell>
        </row>
        <row r="29">
          <cell r="K29" t="str">
            <v>Cas</v>
          </cell>
          <cell r="L29" t="str">
            <v>Cas</v>
          </cell>
          <cell r="M29" t="str">
            <v>Cas</v>
          </cell>
        </row>
        <row r="30">
          <cell r="K30" t="str">
            <v>Fav</v>
          </cell>
          <cell r="L30" t="str">
            <v>Fav</v>
          </cell>
          <cell r="M30" t="str">
            <v>Fav</v>
          </cell>
        </row>
        <row r="33">
          <cell r="K33" t="b">
            <v>0</v>
          </cell>
        </row>
        <row r="36">
          <cell r="J36" t="str">
            <v>Cas</v>
          </cell>
          <cell r="K36" t="str">
            <v/>
          </cell>
        </row>
        <row r="37">
          <cell r="J37" t="str">
            <v>Fav</v>
          </cell>
        </row>
        <row r="38">
          <cell r="J38" t="str">
            <v>Sup</v>
          </cell>
        </row>
        <row r="46">
          <cell r="O46">
            <v>0</v>
          </cell>
        </row>
        <row r="47">
          <cell r="N47" t="str">
            <v>Solar</v>
          </cell>
          <cell r="O47" t="str">
            <v>Cas</v>
          </cell>
          <cell r="P47" t="str">
            <v>Fav</v>
          </cell>
          <cell r="Q47" t="str">
            <v>Sup</v>
          </cell>
          <cell r="R47" t="str">
            <v>Sup</v>
          </cell>
        </row>
        <row r="48">
          <cell r="A48" t="str">
            <v>Archery</v>
          </cell>
          <cell r="D48">
            <v>0</v>
          </cell>
          <cell r="H48" t="b">
            <v>0</v>
          </cell>
          <cell r="N48" t="str">
            <v>Dragonblooded</v>
          </cell>
          <cell r="O48" t="str">
            <v>Asp</v>
          </cell>
          <cell r="P48" t="str">
            <v>Fav</v>
          </cell>
          <cell r="R48" t="str">
            <v>Apc</v>
          </cell>
        </row>
        <row r="49">
          <cell r="A49" t="str">
            <v>Athletics</v>
          </cell>
          <cell r="D49">
            <v>0</v>
          </cell>
          <cell r="H49" t="b">
            <v>0</v>
          </cell>
          <cell r="N49" t="str">
            <v>Lunar</v>
          </cell>
          <cell r="O49" t="str">
            <v>Fav</v>
          </cell>
          <cell r="R49" t="str">
            <v>Cht</v>
          </cell>
        </row>
        <row r="50">
          <cell r="A50" t="str">
            <v>Awareness</v>
          </cell>
          <cell r="D50">
            <v>0</v>
          </cell>
          <cell r="H50" t="b">
            <v>0</v>
          </cell>
          <cell r="N50" t="str">
            <v>Sidereal</v>
          </cell>
          <cell r="O50" t="str">
            <v>Cas</v>
          </cell>
          <cell r="P50" t="str">
            <v>Fav</v>
          </cell>
        </row>
        <row r="51">
          <cell r="A51" t="str">
            <v>Brawl</v>
          </cell>
          <cell r="D51">
            <v>0</v>
          </cell>
          <cell r="H51" t="b">
            <v>0</v>
          </cell>
          <cell r="N51" t="str">
            <v>Abyssal</v>
          </cell>
          <cell r="O51" t="str">
            <v>Cas</v>
          </cell>
          <cell r="P51" t="str">
            <v>Fav</v>
          </cell>
          <cell r="Q51" t="str">
            <v>Apc</v>
          </cell>
        </row>
        <row r="52">
          <cell r="A52" t="str">
            <v>Bureaucr.</v>
          </cell>
          <cell r="D52">
            <v>0</v>
          </cell>
          <cell r="H52" t="b">
            <v>0</v>
          </cell>
          <cell r="N52" t="str">
            <v>Celest. Exigent</v>
          </cell>
          <cell r="O52" t="str">
            <v/>
          </cell>
        </row>
        <row r="53">
          <cell r="A53" t="str">
            <v>Dodge</v>
          </cell>
          <cell r="D53">
            <v>0</v>
          </cell>
          <cell r="H53" t="b">
            <v>0</v>
          </cell>
          <cell r="N53" t="str">
            <v>Terr. Exigent</v>
          </cell>
          <cell r="O53" t="str">
            <v/>
          </cell>
        </row>
        <row r="54">
          <cell r="A54" t="str">
            <v>Integrity</v>
          </cell>
          <cell r="D54">
            <v>0</v>
          </cell>
          <cell r="H54" t="b">
            <v>0</v>
          </cell>
          <cell r="N54" t="str">
            <v>Mortal</v>
          </cell>
          <cell r="O54" t="str">
            <v>Fav</v>
          </cell>
        </row>
        <row r="55">
          <cell r="A55" t="str">
            <v>Investig.</v>
          </cell>
          <cell r="D55">
            <v>0</v>
          </cell>
          <cell r="H55" t="b">
            <v>0</v>
          </cell>
          <cell r="N55" t="str">
            <v>Spirit</v>
          </cell>
        </row>
        <row r="56">
          <cell r="A56" t="str">
            <v>Larceny</v>
          </cell>
          <cell r="D56">
            <v>0</v>
          </cell>
          <cell r="H56" t="b">
            <v>0</v>
          </cell>
          <cell r="N56" t="str">
            <v>Animal</v>
          </cell>
        </row>
        <row r="57">
          <cell r="A57" t="str">
            <v>Linguistics</v>
          </cell>
          <cell r="D57">
            <v>0</v>
          </cell>
          <cell r="H57" t="b">
            <v>0</v>
          </cell>
          <cell r="N57" t="str">
            <v>Homebrew Liminal</v>
          </cell>
          <cell r="O57" t="str">
            <v>Asp</v>
          </cell>
          <cell r="P57" t="str">
            <v>Fav</v>
          </cell>
        </row>
        <row r="58">
          <cell r="A58" t="str">
            <v>Lore</v>
          </cell>
          <cell r="D58">
            <v>0</v>
          </cell>
          <cell r="H58" t="b">
            <v>0</v>
          </cell>
          <cell r="N58" t="str">
            <v>Homebrew Dragonblooded</v>
          </cell>
          <cell r="O58" t="str">
            <v>Asp</v>
          </cell>
          <cell r="P58" t="str">
            <v>Fav</v>
          </cell>
          <cell r="Q58" t="str">
            <v>F/A</v>
          </cell>
        </row>
        <row r="59">
          <cell r="A59" t="str">
            <v>Medicine</v>
          </cell>
          <cell r="D59">
            <v>0</v>
          </cell>
          <cell r="H59" t="b">
            <v>0</v>
          </cell>
          <cell r="N59" t="str">
            <v>Homebrew Lunar</v>
          </cell>
          <cell r="O59" t="str">
            <v>Fav</v>
          </cell>
        </row>
        <row r="60">
          <cell r="A60" t="str">
            <v>Melee</v>
          </cell>
          <cell r="D60">
            <v>0</v>
          </cell>
          <cell r="H60" t="b">
            <v>0</v>
          </cell>
          <cell r="N60" t="str">
            <v>Homebrew Sidereal</v>
          </cell>
          <cell r="O60" t="str">
            <v>Cas</v>
          </cell>
          <cell r="P60" t="str">
            <v>Fav</v>
          </cell>
        </row>
        <row r="61">
          <cell r="A61" t="str">
            <v>Occult</v>
          </cell>
          <cell r="D61">
            <v>0</v>
          </cell>
          <cell r="H61" t="b">
            <v>0</v>
          </cell>
          <cell r="N61" t="str">
            <v>Homebrew Abyssal</v>
          </cell>
          <cell r="O61" t="str">
            <v>Cas</v>
          </cell>
          <cell r="P61" t="str">
            <v>Fav</v>
          </cell>
          <cell r="Q61" t="str">
            <v>Cht</v>
          </cell>
        </row>
        <row r="62">
          <cell r="A62" t="str">
            <v>Perform.</v>
          </cell>
          <cell r="D62">
            <v>0</v>
          </cell>
          <cell r="H62" t="b">
            <v>0</v>
          </cell>
          <cell r="N62">
            <v>0</v>
          </cell>
        </row>
        <row r="63">
          <cell r="A63" t="str">
            <v>Presence</v>
          </cell>
          <cell r="D63">
            <v>0</v>
          </cell>
          <cell r="H63" t="b">
            <v>0</v>
          </cell>
        </row>
        <row r="64">
          <cell r="A64" t="str">
            <v>Resistan.</v>
          </cell>
          <cell r="D64">
            <v>0</v>
          </cell>
          <cell r="H64" t="b">
            <v>0</v>
          </cell>
        </row>
        <row r="65">
          <cell r="A65" t="str">
            <v>Ride</v>
          </cell>
          <cell r="D65">
            <v>0</v>
          </cell>
          <cell r="H65" t="b">
            <v>0</v>
          </cell>
        </row>
        <row r="66">
          <cell r="A66" t="str">
            <v>Sail</v>
          </cell>
          <cell r="D66">
            <v>0</v>
          </cell>
          <cell r="H66" t="b">
            <v>0</v>
          </cell>
        </row>
        <row r="67">
          <cell r="A67" t="str">
            <v>Socialize</v>
          </cell>
          <cell r="D67">
            <v>0</v>
          </cell>
          <cell r="H67" t="b">
            <v>0</v>
          </cell>
        </row>
        <row r="68">
          <cell r="A68" t="str">
            <v>Stealth</v>
          </cell>
          <cell r="D68">
            <v>0</v>
          </cell>
          <cell r="H68" t="b">
            <v>0</v>
          </cell>
        </row>
        <row r="69">
          <cell r="A69" t="str">
            <v>Survival</v>
          </cell>
          <cell r="D69">
            <v>0</v>
          </cell>
          <cell r="H69" t="b">
            <v>0</v>
          </cell>
        </row>
        <row r="70">
          <cell r="A70" t="str">
            <v>Thrown</v>
          </cell>
          <cell r="D70">
            <v>0</v>
          </cell>
          <cell r="H70" t="b">
            <v>0</v>
          </cell>
        </row>
        <row r="71">
          <cell r="A71" t="str">
            <v>War</v>
          </cell>
          <cell r="D71">
            <v>0</v>
          </cell>
          <cell r="H71" t="b">
            <v>0</v>
          </cell>
        </row>
        <row r="72">
          <cell r="A72" t="str">
            <v>Craft</v>
          </cell>
          <cell r="D72">
            <v>0</v>
          </cell>
          <cell r="H72" t="b">
            <v>0</v>
          </cell>
        </row>
        <row r="73">
          <cell r="A73" t="str">
            <v>Craft --</v>
          </cell>
          <cell r="D73">
            <v>0</v>
          </cell>
        </row>
        <row r="74">
          <cell r="A74" t="str">
            <v>Craft --</v>
          </cell>
          <cell r="D74">
            <v>0</v>
          </cell>
        </row>
        <row r="75">
          <cell r="A75" t="str">
            <v>Craft --</v>
          </cell>
          <cell r="D75">
            <v>0</v>
          </cell>
        </row>
        <row r="76">
          <cell r="A76" t="str">
            <v>Craft --</v>
          </cell>
          <cell r="D76">
            <v>0</v>
          </cell>
        </row>
        <row r="77">
          <cell r="A77" t="str">
            <v>Craft --</v>
          </cell>
          <cell r="D77">
            <v>0</v>
          </cell>
        </row>
        <row r="78">
          <cell r="A78" t="str">
            <v>Craft --</v>
          </cell>
          <cell r="D78">
            <v>0</v>
          </cell>
        </row>
        <row r="79">
          <cell r="A79" t="str">
            <v>Craft --</v>
          </cell>
          <cell r="D79">
            <v>0</v>
          </cell>
        </row>
        <row r="80">
          <cell r="A80">
            <v>0</v>
          </cell>
          <cell r="D80">
            <v>0</v>
          </cell>
          <cell r="H80" t="b">
            <v>0</v>
          </cell>
        </row>
        <row r="81">
          <cell r="A81">
            <v>0</v>
          </cell>
          <cell r="D81">
            <v>0</v>
          </cell>
        </row>
        <row r="82">
          <cell r="A82">
            <v>0</v>
          </cell>
          <cell r="D82">
            <v>0</v>
          </cell>
        </row>
        <row r="83">
          <cell r="A83">
            <v>0</v>
          </cell>
          <cell r="D83">
            <v>0</v>
          </cell>
        </row>
        <row r="84">
          <cell r="A84">
            <v>0</v>
          </cell>
          <cell r="D84">
            <v>0</v>
          </cell>
        </row>
        <row r="85">
          <cell r="A85" t="str">
            <v>Strength</v>
          </cell>
          <cell r="D85">
            <v>1</v>
          </cell>
        </row>
        <row r="86">
          <cell r="A86" t="str">
            <v>Dexterity</v>
          </cell>
          <cell r="D86">
            <v>1</v>
          </cell>
        </row>
        <row r="87">
          <cell r="A87" t="str">
            <v>Stamina</v>
          </cell>
          <cell r="D87">
            <v>1</v>
          </cell>
        </row>
        <row r="88">
          <cell r="A88" t="str">
            <v>Charisma</v>
          </cell>
          <cell r="D88">
            <v>1</v>
          </cell>
        </row>
        <row r="89">
          <cell r="A89" t="str">
            <v>Manipulation</v>
          </cell>
          <cell r="D89">
            <v>1</v>
          </cell>
        </row>
        <row r="90">
          <cell r="A90" t="str">
            <v>Appearance</v>
          </cell>
          <cell r="D90">
            <v>1</v>
          </cell>
        </row>
        <row r="91">
          <cell r="A91" t="str">
            <v>Perception</v>
          </cell>
          <cell r="D91">
            <v>1</v>
          </cell>
        </row>
        <row r="92">
          <cell r="A92" t="str">
            <v>Intelligence</v>
          </cell>
          <cell r="D92">
            <v>1</v>
          </cell>
        </row>
        <row r="93">
          <cell r="A93" t="str">
            <v>Wits</v>
          </cell>
          <cell r="D93">
            <v>1</v>
          </cell>
        </row>
        <row r="94">
          <cell r="A94" t="str">
            <v>Journeys</v>
          </cell>
          <cell r="D94">
            <v>0</v>
          </cell>
        </row>
        <row r="95">
          <cell r="A95" t="str">
            <v>Serenities</v>
          </cell>
          <cell r="D95">
            <v>0</v>
          </cell>
        </row>
        <row r="96">
          <cell r="A96" t="str">
            <v>Battles</v>
          </cell>
          <cell r="D96">
            <v>0</v>
          </cell>
        </row>
        <row r="97">
          <cell r="A97" t="str">
            <v>Secrets</v>
          </cell>
          <cell r="D97">
            <v>0</v>
          </cell>
        </row>
        <row r="98">
          <cell r="A98" t="str">
            <v>Endings</v>
          </cell>
          <cell r="D98">
            <v>0</v>
          </cell>
        </row>
        <row r="105">
          <cell r="B105">
            <v>0</v>
          </cell>
        </row>
        <row r="106">
          <cell r="B106">
            <v>0</v>
          </cell>
        </row>
        <row r="107">
          <cell r="B107">
            <v>0</v>
          </cell>
        </row>
        <row r="108">
          <cell r="B108">
            <v>0</v>
          </cell>
        </row>
        <row r="109">
          <cell r="B109">
            <v>0</v>
          </cell>
        </row>
        <row r="110">
          <cell r="B110">
            <v>0</v>
          </cell>
        </row>
        <row r="111">
          <cell r="B111">
            <v>0</v>
          </cell>
        </row>
        <row r="112">
          <cell r="B112">
            <v>0</v>
          </cell>
        </row>
        <row r="113">
          <cell r="B113">
            <v>0</v>
          </cell>
        </row>
        <row r="114">
          <cell r="B114">
            <v>0</v>
          </cell>
        </row>
        <row r="115">
          <cell r="B115">
            <v>0</v>
          </cell>
        </row>
        <row r="116">
          <cell r="B116">
            <v>0</v>
          </cell>
        </row>
        <row r="117">
          <cell r="B117">
            <v>0</v>
          </cell>
        </row>
        <row r="118">
          <cell r="B118">
            <v>0</v>
          </cell>
        </row>
        <row r="119">
          <cell r="B119">
            <v>0</v>
          </cell>
          <cell r="H119" t="b">
            <v>0</v>
          </cell>
        </row>
        <row r="120">
          <cell r="B120">
            <v>0</v>
          </cell>
        </row>
        <row r="121">
          <cell r="B121">
            <v>0</v>
          </cell>
        </row>
        <row r="122">
          <cell r="B122">
            <v>0</v>
          </cell>
        </row>
        <row r="123">
          <cell r="B123">
            <v>0</v>
          </cell>
        </row>
        <row r="124">
          <cell r="B124">
            <v>0</v>
          </cell>
        </row>
        <row r="125">
          <cell r="B125">
            <v>0</v>
          </cell>
        </row>
        <row r="126">
          <cell r="B126">
            <v>0</v>
          </cell>
        </row>
        <row r="127">
          <cell r="B127">
            <v>0</v>
          </cell>
        </row>
        <row r="128">
          <cell r="B128">
            <v>0</v>
          </cell>
        </row>
        <row r="129">
          <cell r="B129">
            <v>0</v>
          </cell>
        </row>
        <row r="153">
          <cell r="B153">
            <v>1</v>
          </cell>
        </row>
        <row r="158">
          <cell r="A158" t="str">
            <v>Solar</v>
          </cell>
          <cell r="B158">
            <v>13</v>
          </cell>
          <cell r="C158">
            <v>33</v>
          </cell>
        </row>
        <row r="159">
          <cell r="A159" t="str">
            <v>Dragonblooded</v>
          </cell>
          <cell r="B159">
            <v>12</v>
          </cell>
          <cell r="C159">
            <v>27</v>
          </cell>
        </row>
        <row r="160">
          <cell r="A160" t="str">
            <v>Lunar</v>
          </cell>
          <cell r="B160">
            <v>16</v>
          </cell>
          <cell r="C160">
            <v>38</v>
          </cell>
        </row>
        <row r="161">
          <cell r="A161" t="str">
            <v>Sidereal</v>
          </cell>
          <cell r="B161">
            <v>11</v>
          </cell>
          <cell r="C161">
            <v>31</v>
          </cell>
        </row>
        <row r="162">
          <cell r="A162" t="str">
            <v>Abyssal</v>
          </cell>
          <cell r="B162">
            <v>13</v>
          </cell>
          <cell r="C162">
            <v>33</v>
          </cell>
        </row>
        <row r="163">
          <cell r="A163" t="str">
            <v>Celest. Exigent</v>
          </cell>
          <cell r="B163">
            <v>12</v>
          </cell>
          <cell r="C163">
            <v>27</v>
          </cell>
        </row>
        <row r="164">
          <cell r="A164" t="str">
            <v>Terr. Exigent</v>
          </cell>
          <cell r="B164">
            <v>13</v>
          </cell>
          <cell r="C164">
            <v>33</v>
          </cell>
        </row>
        <row r="165">
          <cell r="A165" t="str">
            <v>Mortal</v>
          </cell>
        </row>
        <row r="166">
          <cell r="A166" t="str">
            <v>Spirit</v>
          </cell>
        </row>
        <row r="167">
          <cell r="A167" t="str">
            <v>Animal</v>
          </cell>
        </row>
        <row r="168">
          <cell r="A168" t="str">
            <v>Homebrew Liminal</v>
          </cell>
          <cell r="B168">
            <v>13</v>
          </cell>
          <cell r="C168">
            <v>27</v>
          </cell>
        </row>
        <row r="169">
          <cell r="A169" t="str">
            <v>Homebrew Dragonblooded</v>
          </cell>
          <cell r="B169">
            <v>12</v>
          </cell>
          <cell r="C169">
            <v>27</v>
          </cell>
        </row>
        <row r="170">
          <cell r="A170" t="str">
            <v>Homebrew Lunar</v>
          </cell>
        </row>
        <row r="171">
          <cell r="A171" t="str">
            <v>Homebrew Sidereal</v>
          </cell>
          <cell r="B171">
            <v>11</v>
          </cell>
          <cell r="C171">
            <v>31</v>
          </cell>
        </row>
        <row r="172">
          <cell r="A172" t="str">
            <v>Homebrew Abyssal</v>
          </cell>
          <cell r="B172">
            <v>13</v>
          </cell>
          <cell r="C172">
            <v>33</v>
          </cell>
        </row>
        <row r="193">
          <cell r="E193">
            <v>1</v>
          </cell>
          <cell r="F193">
            <v>2</v>
          </cell>
          <cell r="G193">
            <v>3</v>
          </cell>
          <cell r="H193">
            <v>4</v>
          </cell>
          <cell r="I193">
            <v>5</v>
          </cell>
        </row>
        <row r="194">
          <cell r="C194" t="str">
            <v>Solar</v>
          </cell>
          <cell r="D194">
            <v>0</v>
          </cell>
          <cell r="E194">
            <v>0</v>
          </cell>
          <cell r="F194">
            <v>0</v>
          </cell>
          <cell r="G194">
            <v>0</v>
          </cell>
          <cell r="H194">
            <v>0</v>
          </cell>
          <cell r="I194">
            <v>1</v>
          </cell>
        </row>
        <row r="195">
          <cell r="C195" t="str">
            <v>Solar</v>
          </cell>
          <cell r="D195">
            <v>-1</v>
          </cell>
          <cell r="E195">
            <v>1</v>
          </cell>
          <cell r="F195">
            <v>1</v>
          </cell>
          <cell r="G195">
            <v>1</v>
          </cell>
          <cell r="H195">
            <v>1</v>
          </cell>
          <cell r="I195">
            <v>1</v>
          </cell>
        </row>
        <row r="196">
          <cell r="C196" t="str">
            <v>Solar</v>
          </cell>
          <cell r="D196">
            <v>-2</v>
          </cell>
          <cell r="E196">
            <v>1</v>
          </cell>
          <cell r="F196">
            <v>1</v>
          </cell>
          <cell r="G196">
            <v>2</v>
          </cell>
          <cell r="H196">
            <v>2</v>
          </cell>
          <cell r="I196">
            <v>1</v>
          </cell>
        </row>
        <row r="197">
          <cell r="C197" t="str">
            <v>Solar</v>
          </cell>
          <cell r="D197">
            <v>-4</v>
          </cell>
          <cell r="E197">
            <v>0</v>
          </cell>
          <cell r="F197">
            <v>0</v>
          </cell>
          <cell r="G197">
            <v>0</v>
          </cell>
          <cell r="H197">
            <v>0</v>
          </cell>
          <cell r="I197">
            <v>0</v>
          </cell>
        </row>
        <row r="198">
          <cell r="C198" t="str">
            <v>Solar</v>
          </cell>
          <cell r="D198" t="str">
            <v>Incap</v>
          </cell>
          <cell r="E198">
            <v>0</v>
          </cell>
          <cell r="F198">
            <v>0</v>
          </cell>
          <cell r="G198">
            <v>0</v>
          </cell>
          <cell r="H198">
            <v>0</v>
          </cell>
          <cell r="I198">
            <v>0</v>
          </cell>
        </row>
        <row r="199">
          <cell r="C199" t="str">
            <v>Homebrew Dragonblooded</v>
          </cell>
          <cell r="D199">
            <v>0</v>
          </cell>
          <cell r="E199">
            <v>0</v>
          </cell>
          <cell r="F199">
            <v>0</v>
          </cell>
          <cell r="G199">
            <v>0</v>
          </cell>
          <cell r="H199">
            <v>0</v>
          </cell>
          <cell r="I199">
            <v>1</v>
          </cell>
        </row>
        <row r="200">
          <cell r="C200" t="str">
            <v>Homebrew Dragonblooded</v>
          </cell>
          <cell r="D200">
            <v>-1</v>
          </cell>
          <cell r="E200">
            <v>0</v>
          </cell>
          <cell r="F200">
            <v>0</v>
          </cell>
          <cell r="G200">
            <v>1</v>
          </cell>
          <cell r="H200">
            <v>1</v>
          </cell>
          <cell r="I200">
            <v>0</v>
          </cell>
        </row>
        <row r="201">
          <cell r="C201" t="str">
            <v>Homebrew Dragonblooded</v>
          </cell>
          <cell r="D201">
            <v>-2</v>
          </cell>
          <cell r="E201">
            <v>2</v>
          </cell>
          <cell r="F201">
            <v>2</v>
          </cell>
          <cell r="G201">
            <v>1</v>
          </cell>
          <cell r="H201">
            <v>1</v>
          </cell>
          <cell r="I201">
            <v>1</v>
          </cell>
        </row>
        <row r="202">
          <cell r="C202" t="str">
            <v>Homebrew Dragonblooded</v>
          </cell>
          <cell r="D202">
            <v>-4</v>
          </cell>
          <cell r="E202">
            <v>0</v>
          </cell>
          <cell r="F202">
            <v>0</v>
          </cell>
          <cell r="G202">
            <v>0</v>
          </cell>
          <cell r="H202">
            <v>0</v>
          </cell>
          <cell r="I202">
            <v>0</v>
          </cell>
          <cell r="O202" t="str">
            <v>Lunar</v>
          </cell>
          <cell r="P202">
            <v>1</v>
          </cell>
        </row>
        <row r="203">
          <cell r="C203" t="str">
            <v>Homebrew Dragonblooded</v>
          </cell>
          <cell r="D203" t="str">
            <v>Incap</v>
          </cell>
          <cell r="E203">
            <v>0</v>
          </cell>
          <cell r="F203">
            <v>0</v>
          </cell>
          <cell r="G203">
            <v>0</v>
          </cell>
          <cell r="H203">
            <v>0</v>
          </cell>
          <cell r="I203">
            <v>0</v>
          </cell>
          <cell r="O203" t="str">
            <v>Homebrew Lunar</v>
          </cell>
          <cell r="P203">
            <v>1</v>
          </cell>
        </row>
        <row r="204">
          <cell r="C204" t="str">
            <v>Homebrew Sidereal</v>
          </cell>
          <cell r="D204">
            <v>0</v>
          </cell>
          <cell r="E204">
            <v>0</v>
          </cell>
          <cell r="F204">
            <v>0</v>
          </cell>
          <cell r="G204">
            <v>1</v>
          </cell>
          <cell r="H204">
            <v>1</v>
          </cell>
          <cell r="I204">
            <v>1</v>
          </cell>
          <cell r="O204" t="str">
            <v>Terr. Exigent</v>
          </cell>
          <cell r="P204">
            <v>0</v>
          </cell>
        </row>
        <row r="205">
          <cell r="C205" t="str">
            <v>Homebrew Sidereal</v>
          </cell>
          <cell r="D205">
            <v>-1</v>
          </cell>
          <cell r="E205">
            <v>1</v>
          </cell>
          <cell r="F205">
            <v>1</v>
          </cell>
          <cell r="G205">
            <v>0</v>
          </cell>
          <cell r="H205">
            <v>0</v>
          </cell>
          <cell r="I205">
            <v>0</v>
          </cell>
          <cell r="O205" t="str">
            <v>Celest. Exigent</v>
          </cell>
          <cell r="P205">
            <v>0</v>
          </cell>
        </row>
        <row r="206">
          <cell r="C206" t="str">
            <v>Homebrew Sidereal</v>
          </cell>
          <cell r="D206">
            <v>-2</v>
          </cell>
          <cell r="E206">
            <v>0</v>
          </cell>
          <cell r="F206">
            <v>0</v>
          </cell>
          <cell r="G206">
            <v>0</v>
          </cell>
          <cell r="H206">
            <v>0</v>
          </cell>
          <cell r="I206">
            <v>1</v>
          </cell>
        </row>
        <row r="207">
          <cell r="C207" t="str">
            <v>Homebrew Sidereal</v>
          </cell>
          <cell r="D207">
            <v>-4</v>
          </cell>
          <cell r="E207">
            <v>0</v>
          </cell>
          <cell r="F207">
            <v>0</v>
          </cell>
          <cell r="G207">
            <v>0</v>
          </cell>
          <cell r="H207">
            <v>0</v>
          </cell>
          <cell r="I207">
            <v>0</v>
          </cell>
        </row>
        <row r="208">
          <cell r="C208" t="str">
            <v>Homebrew Sidereal</v>
          </cell>
          <cell r="D208" t="str">
            <v>Incap</v>
          </cell>
          <cell r="E208">
            <v>0</v>
          </cell>
          <cell r="F208">
            <v>0</v>
          </cell>
          <cell r="G208">
            <v>0</v>
          </cell>
          <cell r="H208">
            <v>0</v>
          </cell>
          <cell r="I208">
            <v>0</v>
          </cell>
        </row>
        <row r="209">
          <cell r="C209" t="str">
            <v>Dragonblooded</v>
          </cell>
          <cell r="D209">
            <v>0</v>
          </cell>
          <cell r="E209">
            <v>0</v>
          </cell>
          <cell r="F209">
            <v>0</v>
          </cell>
          <cell r="G209">
            <v>0</v>
          </cell>
          <cell r="H209">
            <v>0</v>
          </cell>
          <cell r="I209">
            <v>0</v>
          </cell>
        </row>
        <row r="210">
          <cell r="C210" t="str">
            <v>Dragonblooded</v>
          </cell>
          <cell r="D210">
            <v>-1</v>
          </cell>
          <cell r="E210">
            <v>0</v>
          </cell>
          <cell r="F210">
            <v>0</v>
          </cell>
          <cell r="G210">
            <v>1</v>
          </cell>
          <cell r="H210">
            <v>1</v>
          </cell>
          <cell r="I210">
            <v>1</v>
          </cell>
        </row>
        <row r="211">
          <cell r="C211" t="str">
            <v>Dragonblooded</v>
          </cell>
          <cell r="D211">
            <v>-2</v>
          </cell>
          <cell r="E211">
            <v>2</v>
          </cell>
          <cell r="F211">
            <v>2</v>
          </cell>
          <cell r="G211">
            <v>1</v>
          </cell>
          <cell r="H211">
            <v>1</v>
          </cell>
          <cell r="I211">
            <v>2</v>
          </cell>
        </row>
        <row r="212">
          <cell r="C212" t="str">
            <v>Dragonblooded</v>
          </cell>
          <cell r="D212">
            <v>-4</v>
          </cell>
          <cell r="E212">
            <v>0</v>
          </cell>
          <cell r="F212">
            <v>0</v>
          </cell>
          <cell r="G212">
            <v>0</v>
          </cell>
          <cell r="H212">
            <v>0</v>
          </cell>
          <cell r="I212">
            <v>0</v>
          </cell>
        </row>
        <row r="213">
          <cell r="C213" t="str">
            <v>Dragonblooded</v>
          </cell>
          <cell r="D213" t="str">
            <v>Incap</v>
          </cell>
          <cell r="E213">
            <v>0</v>
          </cell>
          <cell r="F213">
            <v>0</v>
          </cell>
          <cell r="G213">
            <v>0</v>
          </cell>
          <cell r="H213">
            <v>0</v>
          </cell>
          <cell r="I213">
            <v>0</v>
          </cell>
        </row>
        <row r="214">
          <cell r="C214" t="str">
            <v>Homebrew Lunar</v>
          </cell>
          <cell r="D214">
            <v>0</v>
          </cell>
          <cell r="E214">
            <v>0</v>
          </cell>
          <cell r="F214">
            <v>0</v>
          </cell>
          <cell r="G214">
            <v>0</v>
          </cell>
          <cell r="H214">
            <v>0</v>
          </cell>
          <cell r="I214">
            <v>0</v>
          </cell>
        </row>
        <row r="215">
          <cell r="C215" t="str">
            <v>Homebrew Lunar</v>
          </cell>
          <cell r="D215">
            <v>-1</v>
          </cell>
          <cell r="E215">
            <v>0</v>
          </cell>
          <cell r="F215">
            <v>0</v>
          </cell>
          <cell r="G215">
            <v>0</v>
          </cell>
          <cell r="H215">
            <v>0</v>
          </cell>
          <cell r="I215">
            <v>0</v>
          </cell>
        </row>
        <row r="216">
          <cell r="C216" t="str">
            <v>Homebrew Lunar</v>
          </cell>
          <cell r="D216">
            <v>-2</v>
          </cell>
          <cell r="E216">
            <v>0</v>
          </cell>
          <cell r="F216">
            <v>0</v>
          </cell>
          <cell r="G216">
            <v>1</v>
          </cell>
          <cell r="H216">
            <v>1</v>
          </cell>
          <cell r="I216">
            <v>2</v>
          </cell>
        </row>
        <row r="217">
          <cell r="C217" t="str">
            <v>Homebrew Lunar</v>
          </cell>
          <cell r="D217">
            <v>-4</v>
          </cell>
          <cell r="E217">
            <v>3</v>
          </cell>
          <cell r="F217">
            <v>3</v>
          </cell>
          <cell r="G217">
            <v>3</v>
          </cell>
          <cell r="H217">
            <v>3</v>
          </cell>
          <cell r="I217">
            <v>4</v>
          </cell>
        </row>
        <row r="218">
          <cell r="C218" t="str">
            <v>Homebrew Lunar</v>
          </cell>
          <cell r="D218" t="str">
            <v>Incap</v>
          </cell>
          <cell r="E218">
            <v>0</v>
          </cell>
          <cell r="F218">
            <v>0</v>
          </cell>
          <cell r="G218">
            <v>0</v>
          </cell>
          <cell r="H218">
            <v>0</v>
          </cell>
          <cell r="I218">
            <v>0</v>
          </cell>
        </row>
        <row r="219">
          <cell r="C219" t="str">
            <v>Lunar</v>
          </cell>
          <cell r="D219">
            <v>0</v>
          </cell>
          <cell r="E219">
            <v>0</v>
          </cell>
          <cell r="F219">
            <v>0</v>
          </cell>
          <cell r="G219">
            <v>0</v>
          </cell>
          <cell r="H219">
            <v>0</v>
          </cell>
          <cell r="I219">
            <v>0</v>
          </cell>
        </row>
        <row r="220">
          <cell r="C220" t="str">
            <v>Lunar</v>
          </cell>
          <cell r="D220">
            <v>-1</v>
          </cell>
          <cell r="E220">
            <v>0</v>
          </cell>
          <cell r="F220">
            <v>0</v>
          </cell>
          <cell r="G220">
            <v>0</v>
          </cell>
          <cell r="H220">
            <v>0</v>
          </cell>
          <cell r="I220">
            <v>0</v>
          </cell>
        </row>
        <row r="221">
          <cell r="C221" t="str">
            <v>Lunar</v>
          </cell>
          <cell r="D221">
            <v>-2</v>
          </cell>
          <cell r="E221">
            <v>2</v>
          </cell>
          <cell r="F221">
            <v>2</v>
          </cell>
          <cell r="G221">
            <v>2</v>
          </cell>
          <cell r="H221">
            <v>2</v>
          </cell>
          <cell r="I221">
            <v>2</v>
          </cell>
        </row>
        <row r="222">
          <cell r="C222" t="str">
            <v>Lunar</v>
          </cell>
          <cell r="D222">
            <v>-4</v>
          </cell>
          <cell r="E222">
            <v>0</v>
          </cell>
          <cell r="F222">
            <v>0</v>
          </cell>
          <cell r="G222">
            <v>1</v>
          </cell>
          <cell r="H222">
            <v>1</v>
          </cell>
          <cell r="I222">
            <v>2</v>
          </cell>
        </row>
        <row r="223">
          <cell r="C223" t="str">
            <v>Lunar</v>
          </cell>
          <cell r="D223" t="str">
            <v>Incap</v>
          </cell>
          <cell r="E223">
            <v>0</v>
          </cell>
          <cell r="F223">
            <v>0</v>
          </cell>
          <cell r="G223">
            <v>0</v>
          </cell>
          <cell r="H223">
            <v>0</v>
          </cell>
          <cell r="I223">
            <v>0</v>
          </cell>
        </row>
        <row r="224">
          <cell r="C224" t="str">
            <v>Homebrew Abyssal</v>
          </cell>
          <cell r="D224">
            <v>0</v>
          </cell>
          <cell r="E224">
            <v>0</v>
          </cell>
          <cell r="F224">
            <v>0</v>
          </cell>
          <cell r="G224">
            <v>0</v>
          </cell>
          <cell r="H224">
            <v>0</v>
          </cell>
          <cell r="I224">
            <v>1</v>
          </cell>
        </row>
        <row r="225">
          <cell r="C225" t="str">
            <v>Homebrew Abyssal</v>
          </cell>
          <cell r="D225">
            <v>-1</v>
          </cell>
          <cell r="E225">
            <v>1</v>
          </cell>
          <cell r="F225">
            <v>1</v>
          </cell>
          <cell r="G225">
            <v>1</v>
          </cell>
          <cell r="H225">
            <v>1</v>
          </cell>
          <cell r="I225">
            <v>1</v>
          </cell>
        </row>
        <row r="226">
          <cell r="C226" t="str">
            <v>Homebrew Abyssal</v>
          </cell>
          <cell r="D226">
            <v>-2</v>
          </cell>
          <cell r="E226">
            <v>1</v>
          </cell>
          <cell r="F226">
            <v>1</v>
          </cell>
          <cell r="G226">
            <v>2</v>
          </cell>
          <cell r="H226">
            <v>2</v>
          </cell>
          <cell r="I226">
            <v>1</v>
          </cell>
        </row>
        <row r="227">
          <cell r="C227" t="str">
            <v>Homebrew Abyssal</v>
          </cell>
          <cell r="D227">
            <v>-4</v>
          </cell>
          <cell r="E227">
            <v>0</v>
          </cell>
          <cell r="F227">
            <v>0</v>
          </cell>
          <cell r="G227">
            <v>0</v>
          </cell>
          <cell r="H227">
            <v>0</v>
          </cell>
          <cell r="I227">
            <v>0</v>
          </cell>
        </row>
        <row r="228">
          <cell r="C228" t="str">
            <v>Homebrew Abyssal</v>
          </cell>
          <cell r="D228" t="str">
            <v>Incap</v>
          </cell>
          <cell r="E228">
            <v>0</v>
          </cell>
          <cell r="F228">
            <v>0</v>
          </cell>
          <cell r="G228">
            <v>0</v>
          </cell>
          <cell r="H228">
            <v>0</v>
          </cell>
          <cell r="I228">
            <v>0</v>
          </cell>
        </row>
        <row r="229">
          <cell r="C229" t="str">
            <v>Sidereal</v>
          </cell>
          <cell r="D229">
            <v>0</v>
          </cell>
          <cell r="E229">
            <v>1</v>
          </cell>
          <cell r="F229">
            <v>1</v>
          </cell>
          <cell r="G229">
            <v>1</v>
          </cell>
          <cell r="H229">
            <v>1</v>
          </cell>
          <cell r="I229">
            <v>2</v>
          </cell>
        </row>
        <row r="230">
          <cell r="C230" t="str">
            <v>Sidereal</v>
          </cell>
          <cell r="D230">
            <v>-1</v>
          </cell>
          <cell r="E230">
            <v>0</v>
          </cell>
          <cell r="F230">
            <v>0</v>
          </cell>
          <cell r="G230">
            <v>1</v>
          </cell>
          <cell r="H230">
            <v>1</v>
          </cell>
          <cell r="I230">
            <v>0</v>
          </cell>
        </row>
        <row r="231">
          <cell r="C231" t="str">
            <v>Sidereal</v>
          </cell>
          <cell r="D231">
            <v>-2</v>
          </cell>
          <cell r="E231">
            <v>0</v>
          </cell>
          <cell r="F231">
            <v>0</v>
          </cell>
          <cell r="G231">
            <v>0</v>
          </cell>
          <cell r="H231">
            <v>0</v>
          </cell>
          <cell r="I231">
            <v>0</v>
          </cell>
        </row>
        <row r="232">
          <cell r="C232" t="str">
            <v>Sidereal</v>
          </cell>
          <cell r="D232">
            <v>-4</v>
          </cell>
          <cell r="E232">
            <v>0</v>
          </cell>
          <cell r="F232">
            <v>0</v>
          </cell>
          <cell r="G232">
            <v>0</v>
          </cell>
          <cell r="H232">
            <v>0</v>
          </cell>
          <cell r="I232">
            <v>0</v>
          </cell>
        </row>
        <row r="233">
          <cell r="C233" t="str">
            <v>Sidereal</v>
          </cell>
          <cell r="D233" t="str">
            <v>Incap</v>
          </cell>
          <cell r="E233">
            <v>0</v>
          </cell>
          <cell r="F233">
            <v>0</v>
          </cell>
          <cell r="G233">
            <v>0</v>
          </cell>
          <cell r="H233">
            <v>0</v>
          </cell>
          <cell r="I233">
            <v>0</v>
          </cell>
        </row>
        <row r="234">
          <cell r="C234" t="str">
            <v>Abyssal</v>
          </cell>
          <cell r="D234">
            <v>0</v>
          </cell>
          <cell r="E234">
            <v>0</v>
          </cell>
          <cell r="F234">
            <v>0</v>
          </cell>
          <cell r="G234">
            <v>0</v>
          </cell>
          <cell r="H234">
            <v>0</v>
          </cell>
          <cell r="I234">
            <v>1</v>
          </cell>
        </row>
        <row r="235">
          <cell r="C235" t="str">
            <v>Abyssal</v>
          </cell>
          <cell r="D235">
            <v>-1</v>
          </cell>
          <cell r="E235">
            <v>1</v>
          </cell>
          <cell r="F235">
            <v>1</v>
          </cell>
          <cell r="G235">
            <v>1</v>
          </cell>
          <cell r="H235">
            <v>1</v>
          </cell>
          <cell r="I235">
            <v>1</v>
          </cell>
        </row>
        <row r="236">
          <cell r="C236" t="str">
            <v>Abyssal</v>
          </cell>
          <cell r="D236">
            <v>-2</v>
          </cell>
          <cell r="E236">
            <v>1</v>
          </cell>
          <cell r="F236">
            <v>1</v>
          </cell>
          <cell r="G236">
            <v>2</v>
          </cell>
          <cell r="H236">
            <v>2</v>
          </cell>
          <cell r="I236">
            <v>1</v>
          </cell>
        </row>
        <row r="237">
          <cell r="C237" t="str">
            <v>Abyssal</v>
          </cell>
          <cell r="D237">
            <v>-4</v>
          </cell>
          <cell r="E237">
            <v>0</v>
          </cell>
          <cell r="F237">
            <v>0</v>
          </cell>
          <cell r="G237">
            <v>0</v>
          </cell>
          <cell r="H237">
            <v>0</v>
          </cell>
          <cell r="I237">
            <v>0</v>
          </cell>
        </row>
        <row r="238">
          <cell r="C238" t="str">
            <v>Abyssal</v>
          </cell>
          <cell r="D238" t="str">
            <v>Incap</v>
          </cell>
          <cell r="E238">
            <v>0</v>
          </cell>
          <cell r="F238">
            <v>0</v>
          </cell>
          <cell r="G238">
            <v>0</v>
          </cell>
          <cell r="H238">
            <v>0</v>
          </cell>
          <cell r="I238">
            <v>0</v>
          </cell>
        </row>
        <row r="239">
          <cell r="C239" t="str">
            <v>Celest. Exigent</v>
          </cell>
          <cell r="D239">
            <v>0</v>
          </cell>
          <cell r="E239">
            <v>0</v>
          </cell>
          <cell r="F239">
            <v>0</v>
          </cell>
          <cell r="G239">
            <v>0</v>
          </cell>
          <cell r="H239">
            <v>0</v>
          </cell>
          <cell r="I239">
            <v>1</v>
          </cell>
        </row>
        <row r="240">
          <cell r="C240" t="str">
            <v>Celest. Exigent</v>
          </cell>
          <cell r="D240">
            <v>-1</v>
          </cell>
          <cell r="E240">
            <v>1</v>
          </cell>
          <cell r="F240">
            <v>1</v>
          </cell>
          <cell r="G240">
            <v>1</v>
          </cell>
          <cell r="H240">
            <v>1</v>
          </cell>
          <cell r="I240">
            <v>1</v>
          </cell>
        </row>
        <row r="241">
          <cell r="C241" t="str">
            <v>Celest. Exigent</v>
          </cell>
          <cell r="D241">
            <v>-2</v>
          </cell>
          <cell r="E241">
            <v>1</v>
          </cell>
          <cell r="F241">
            <v>1</v>
          </cell>
          <cell r="G241">
            <v>2</v>
          </cell>
          <cell r="H241">
            <v>2</v>
          </cell>
          <cell r="I241">
            <v>1</v>
          </cell>
        </row>
        <row r="242">
          <cell r="C242" t="str">
            <v>Celest. Exigent</v>
          </cell>
          <cell r="D242">
            <v>-4</v>
          </cell>
          <cell r="E242">
            <v>0</v>
          </cell>
          <cell r="F242">
            <v>0</v>
          </cell>
          <cell r="G242">
            <v>0</v>
          </cell>
          <cell r="H242">
            <v>0</v>
          </cell>
          <cell r="I242">
            <v>0</v>
          </cell>
        </row>
        <row r="243">
          <cell r="C243" t="str">
            <v>Celest. Exigent</v>
          </cell>
          <cell r="D243" t="str">
            <v>Incap</v>
          </cell>
          <cell r="E243">
            <v>0</v>
          </cell>
          <cell r="F243">
            <v>0</v>
          </cell>
          <cell r="G243">
            <v>0</v>
          </cell>
          <cell r="H243">
            <v>0</v>
          </cell>
          <cell r="I243">
            <v>0</v>
          </cell>
        </row>
        <row r="244">
          <cell r="C244" t="str">
            <v>Terr. Exigent</v>
          </cell>
          <cell r="D244">
            <v>0</v>
          </cell>
          <cell r="E244">
            <v>0</v>
          </cell>
          <cell r="F244">
            <v>0</v>
          </cell>
          <cell r="G244">
            <v>0</v>
          </cell>
          <cell r="H244">
            <v>0</v>
          </cell>
          <cell r="I244">
            <v>1</v>
          </cell>
        </row>
        <row r="245">
          <cell r="C245" t="str">
            <v>Terr. Exigent</v>
          </cell>
          <cell r="D245">
            <v>-1</v>
          </cell>
          <cell r="E245">
            <v>1</v>
          </cell>
          <cell r="F245">
            <v>1</v>
          </cell>
          <cell r="G245">
            <v>1</v>
          </cell>
          <cell r="H245">
            <v>1</v>
          </cell>
          <cell r="I245">
            <v>1</v>
          </cell>
        </row>
        <row r="246">
          <cell r="C246" t="str">
            <v>Terr. Exigent</v>
          </cell>
          <cell r="D246">
            <v>-2</v>
          </cell>
          <cell r="E246">
            <v>1</v>
          </cell>
          <cell r="F246">
            <v>1</v>
          </cell>
          <cell r="G246">
            <v>2</v>
          </cell>
          <cell r="H246">
            <v>2</v>
          </cell>
          <cell r="I246">
            <v>1</v>
          </cell>
        </row>
        <row r="247">
          <cell r="C247" t="str">
            <v>Terr. Exigent</v>
          </cell>
          <cell r="D247">
            <v>-4</v>
          </cell>
          <cell r="E247">
            <v>0</v>
          </cell>
          <cell r="F247">
            <v>0</v>
          </cell>
          <cell r="G247">
            <v>0</v>
          </cell>
          <cell r="H247">
            <v>0</v>
          </cell>
          <cell r="I247">
            <v>0</v>
          </cell>
        </row>
        <row r="248">
          <cell r="C248" t="str">
            <v>Terr. Exigent</v>
          </cell>
          <cell r="D248" t="str">
            <v>Incap</v>
          </cell>
          <cell r="E248">
            <v>0</v>
          </cell>
          <cell r="F248">
            <v>0</v>
          </cell>
          <cell r="G248">
            <v>0</v>
          </cell>
          <cell r="H248">
            <v>0</v>
          </cell>
          <cell r="I248">
            <v>0</v>
          </cell>
        </row>
        <row r="249">
          <cell r="D249">
            <v>0</v>
          </cell>
          <cell r="E249">
            <v>1</v>
          </cell>
          <cell r="F249">
            <v>1</v>
          </cell>
          <cell r="G249">
            <v>1</v>
          </cell>
          <cell r="H249">
            <v>1</v>
          </cell>
          <cell r="I249">
            <v>2</v>
          </cell>
        </row>
        <row r="250">
          <cell r="D250">
            <v>-1</v>
          </cell>
          <cell r="E250">
            <v>0</v>
          </cell>
          <cell r="F250">
            <v>0</v>
          </cell>
          <cell r="G250">
            <v>1</v>
          </cell>
          <cell r="H250">
            <v>1</v>
          </cell>
          <cell r="I250">
            <v>0</v>
          </cell>
        </row>
        <row r="251">
          <cell r="D251">
            <v>-2</v>
          </cell>
          <cell r="E251">
            <v>0</v>
          </cell>
          <cell r="F251">
            <v>0</v>
          </cell>
          <cell r="G251">
            <v>0</v>
          </cell>
          <cell r="H251">
            <v>0</v>
          </cell>
          <cell r="I251">
            <v>0</v>
          </cell>
        </row>
        <row r="252">
          <cell r="D252">
            <v>-4</v>
          </cell>
          <cell r="E252">
            <v>0</v>
          </cell>
          <cell r="F252">
            <v>0</v>
          </cell>
          <cell r="G252">
            <v>0</v>
          </cell>
          <cell r="H252">
            <v>0</v>
          </cell>
          <cell r="I252">
            <v>0</v>
          </cell>
        </row>
        <row r="253">
          <cell r="D253" t="str">
            <v>Incap</v>
          </cell>
          <cell r="E253">
            <v>0</v>
          </cell>
          <cell r="F253">
            <v>0</v>
          </cell>
          <cell r="G253">
            <v>0</v>
          </cell>
          <cell r="H253">
            <v>0</v>
          </cell>
          <cell r="I253">
            <v>0</v>
          </cell>
        </row>
      </sheetData>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acter"/>
      <sheetName val="Shapeshifting"/>
      <sheetName val="Exp."/>
      <sheetName val="Charms"/>
      <sheetName val="Sorted Charms"/>
      <sheetName val="Custom Charms"/>
      <sheetName val="Combat"/>
      <sheetName val="Equipment"/>
      <sheetName val="Sorcery"/>
      <sheetName val="Craft"/>
      <sheetName val="CharmListGeneric"/>
      <sheetName val="CharmListSplat"/>
      <sheetName val="Data"/>
      <sheetName val="CharmListFinal"/>
      <sheetName val="CharmListValidation"/>
      <sheetName val="Chargen Reference"/>
      <sheetName val="Math"/>
      <sheetName val="ChangelogCredits"/>
      <sheetName val="DiscordBotInferface"/>
      <sheetName val="Biography"/>
    </sheetNames>
    <sheetDataSet>
      <sheetData sheetId="0" refreshError="1"/>
      <sheetData sheetId="1" refreshError="1"/>
      <sheetData sheetId="2" refreshError="1"/>
      <sheetData sheetId="3">
        <row r="3">
          <cell r="B3" t="str">
            <v>The colors show Charm minimums.</v>
          </cell>
          <cell r="J3">
            <v>1</v>
          </cell>
        </row>
        <row r="4">
          <cell r="B4" t="str">
            <v>Ability in col. A, Essence in B</v>
          </cell>
          <cell r="J4">
            <v>2</v>
          </cell>
        </row>
        <row r="5">
          <cell r="B5" t="str">
            <v>Blue is 1, Red is 5</v>
          </cell>
          <cell r="J5">
            <v>3</v>
          </cell>
        </row>
        <row r="6">
          <cell r="B6" t="str">
            <v>They will disappear when you meet them.</v>
          </cell>
          <cell r="J6">
            <v>4</v>
          </cell>
        </row>
        <row r="7">
          <cell r="B7" t="str">
            <v>You may clear these cells when you wish.</v>
          </cell>
          <cell r="J7">
            <v>5</v>
          </cell>
        </row>
        <row r="8">
          <cell r="J8" t="str">
            <v/>
          </cell>
        </row>
        <row r="9">
          <cell r="J9" t="str">
            <v/>
          </cell>
        </row>
        <row r="10">
          <cell r="J10" t="str">
            <v/>
          </cell>
        </row>
        <row r="11">
          <cell r="J11" t="str">
            <v/>
          </cell>
        </row>
        <row r="12">
          <cell r="J12" t="str">
            <v/>
          </cell>
        </row>
        <row r="13">
          <cell r="J13" t="str">
            <v/>
          </cell>
        </row>
        <row r="14">
          <cell r="J14" t="str">
            <v/>
          </cell>
        </row>
        <row r="15">
          <cell r="J15" t="str">
            <v/>
          </cell>
        </row>
        <row r="16">
          <cell r="J16" t="str">
            <v/>
          </cell>
        </row>
        <row r="17">
          <cell r="J17" t="str">
            <v/>
          </cell>
        </row>
        <row r="18">
          <cell r="J18" t="str">
            <v/>
          </cell>
        </row>
        <row r="19">
          <cell r="J19" t="str">
            <v/>
          </cell>
        </row>
        <row r="20">
          <cell r="J20" t="str">
            <v/>
          </cell>
        </row>
        <row r="21">
          <cell r="J21" t="str">
            <v/>
          </cell>
        </row>
        <row r="22">
          <cell r="J22" t="str">
            <v/>
          </cell>
        </row>
        <row r="23">
          <cell r="J23" t="str">
            <v/>
          </cell>
        </row>
        <row r="24">
          <cell r="J24" t="str">
            <v/>
          </cell>
        </row>
        <row r="25">
          <cell r="J25" t="str">
            <v/>
          </cell>
        </row>
        <row r="26">
          <cell r="J26" t="str">
            <v/>
          </cell>
        </row>
        <row r="27">
          <cell r="J27" t="str">
            <v/>
          </cell>
        </row>
        <row r="28">
          <cell r="J28" t="str">
            <v/>
          </cell>
        </row>
        <row r="29">
          <cell r="J29" t="str">
            <v/>
          </cell>
        </row>
        <row r="30">
          <cell r="J30" t="str">
            <v/>
          </cell>
        </row>
        <row r="31">
          <cell r="J31" t="str">
            <v/>
          </cell>
        </row>
        <row r="32">
          <cell r="J32" t="str">
            <v/>
          </cell>
        </row>
        <row r="33">
          <cell r="J33" t="str">
            <v/>
          </cell>
        </row>
        <row r="34">
          <cell r="J34" t="str">
            <v/>
          </cell>
        </row>
        <row r="35">
          <cell r="J35" t="str">
            <v/>
          </cell>
        </row>
        <row r="36">
          <cell r="J36" t="str">
            <v/>
          </cell>
        </row>
        <row r="37">
          <cell r="J37" t="str">
            <v/>
          </cell>
        </row>
        <row r="38">
          <cell r="J38" t="str">
            <v/>
          </cell>
        </row>
        <row r="39">
          <cell r="J39" t="str">
            <v/>
          </cell>
        </row>
        <row r="40">
          <cell r="J40" t="str">
            <v/>
          </cell>
        </row>
        <row r="41">
          <cell r="J41" t="str">
            <v/>
          </cell>
        </row>
        <row r="42">
          <cell r="J42" t="str">
            <v/>
          </cell>
        </row>
        <row r="43">
          <cell r="J43" t="str">
            <v/>
          </cell>
        </row>
        <row r="44">
          <cell r="J44" t="str">
            <v/>
          </cell>
        </row>
        <row r="45">
          <cell r="J45" t="str">
            <v/>
          </cell>
        </row>
        <row r="46">
          <cell r="J46" t="str">
            <v/>
          </cell>
        </row>
        <row r="47">
          <cell r="J47" t="str">
            <v/>
          </cell>
        </row>
        <row r="48">
          <cell r="J48" t="str">
            <v/>
          </cell>
        </row>
        <row r="49">
          <cell r="J49" t="str">
            <v/>
          </cell>
        </row>
        <row r="50">
          <cell r="J50" t="str">
            <v/>
          </cell>
        </row>
        <row r="51">
          <cell r="J51" t="str">
            <v/>
          </cell>
        </row>
        <row r="52">
          <cell r="J52" t="str">
            <v/>
          </cell>
        </row>
        <row r="53">
          <cell r="J53" t="str">
            <v/>
          </cell>
        </row>
        <row r="54">
          <cell r="J54" t="str">
            <v/>
          </cell>
        </row>
        <row r="55">
          <cell r="J55" t="str">
            <v/>
          </cell>
        </row>
        <row r="56">
          <cell r="J56" t="str">
            <v/>
          </cell>
        </row>
        <row r="57">
          <cell r="J57" t="str">
            <v/>
          </cell>
        </row>
        <row r="58">
          <cell r="J58" t="str">
            <v/>
          </cell>
        </row>
        <row r="59">
          <cell r="J59" t="str">
            <v/>
          </cell>
        </row>
        <row r="60">
          <cell r="J60" t="str">
            <v/>
          </cell>
        </row>
        <row r="61">
          <cell r="J61" t="str">
            <v/>
          </cell>
        </row>
        <row r="62">
          <cell r="J62" t="str">
            <v/>
          </cell>
        </row>
        <row r="63">
          <cell r="J63" t="str">
            <v/>
          </cell>
        </row>
        <row r="64">
          <cell r="J64" t="str">
            <v/>
          </cell>
        </row>
        <row r="65">
          <cell r="J65" t="str">
            <v/>
          </cell>
        </row>
        <row r="66">
          <cell r="J66" t="str">
            <v/>
          </cell>
        </row>
        <row r="67">
          <cell r="J67" t="str">
            <v/>
          </cell>
        </row>
        <row r="68">
          <cell r="J68" t="str">
            <v/>
          </cell>
        </row>
        <row r="69">
          <cell r="J69" t="str">
            <v/>
          </cell>
        </row>
        <row r="70">
          <cell r="J70" t="str">
            <v/>
          </cell>
        </row>
        <row r="71">
          <cell r="J71" t="str">
            <v/>
          </cell>
        </row>
        <row r="72">
          <cell r="J72" t="str">
            <v/>
          </cell>
        </row>
        <row r="73">
          <cell r="J73" t="str">
            <v/>
          </cell>
        </row>
        <row r="74">
          <cell r="J74" t="str">
            <v/>
          </cell>
        </row>
        <row r="75">
          <cell r="J75" t="str">
            <v/>
          </cell>
        </row>
        <row r="76">
          <cell r="J76" t="str">
            <v/>
          </cell>
        </row>
        <row r="77">
          <cell r="J77" t="str">
            <v/>
          </cell>
        </row>
        <row r="78">
          <cell r="J78" t="str">
            <v/>
          </cell>
        </row>
        <row r="79">
          <cell r="J79" t="str">
            <v/>
          </cell>
        </row>
        <row r="80">
          <cell r="J80" t="str">
            <v/>
          </cell>
        </row>
        <row r="81">
          <cell r="J81" t="str">
            <v/>
          </cell>
        </row>
        <row r="82">
          <cell r="J82" t="str">
            <v/>
          </cell>
        </row>
        <row r="83">
          <cell r="J83" t="str">
            <v/>
          </cell>
        </row>
        <row r="84">
          <cell r="J84" t="str">
            <v/>
          </cell>
        </row>
        <row r="85">
          <cell r="J85" t="str">
            <v/>
          </cell>
        </row>
        <row r="86">
          <cell r="J86" t="str">
            <v/>
          </cell>
        </row>
        <row r="87">
          <cell r="J87" t="str">
            <v/>
          </cell>
        </row>
        <row r="88">
          <cell r="J88" t="str">
            <v/>
          </cell>
        </row>
        <row r="89">
          <cell r="J89" t="str">
            <v/>
          </cell>
        </row>
        <row r="90">
          <cell r="J90" t="str">
            <v/>
          </cell>
        </row>
        <row r="91">
          <cell r="J91" t="str">
            <v/>
          </cell>
        </row>
        <row r="92">
          <cell r="J92" t="str">
            <v/>
          </cell>
        </row>
        <row r="93">
          <cell r="J93" t="str">
            <v/>
          </cell>
        </row>
        <row r="94">
          <cell r="J94" t="str">
            <v/>
          </cell>
        </row>
        <row r="95">
          <cell r="J95" t="str">
            <v/>
          </cell>
        </row>
        <row r="96">
          <cell r="J96" t="str">
            <v/>
          </cell>
        </row>
        <row r="97">
          <cell r="J97" t="str">
            <v/>
          </cell>
        </row>
        <row r="98">
          <cell r="J98" t="str">
            <v/>
          </cell>
        </row>
        <row r="99">
          <cell r="J99" t="str">
            <v/>
          </cell>
        </row>
        <row r="100">
          <cell r="J100" t="str">
            <v/>
          </cell>
        </row>
        <row r="101">
          <cell r="J101" t="str">
            <v/>
          </cell>
        </row>
        <row r="102">
          <cell r="J102" t="str">
            <v/>
          </cell>
        </row>
        <row r="103">
          <cell r="J103" t="str">
            <v/>
          </cell>
        </row>
        <row r="104">
          <cell r="J104" t="str">
            <v/>
          </cell>
        </row>
        <row r="105">
          <cell r="J105" t="str">
            <v/>
          </cell>
        </row>
        <row r="106">
          <cell r="J106" t="str">
            <v/>
          </cell>
        </row>
        <row r="107">
          <cell r="J107" t="str">
            <v/>
          </cell>
        </row>
        <row r="108">
          <cell r="J108" t="str">
            <v/>
          </cell>
        </row>
        <row r="109">
          <cell r="J109" t="str">
            <v/>
          </cell>
        </row>
        <row r="110">
          <cell r="J110" t="str">
            <v/>
          </cell>
        </row>
        <row r="111">
          <cell r="J111" t="str">
            <v/>
          </cell>
        </row>
        <row r="112">
          <cell r="J112" t="str">
            <v/>
          </cell>
        </row>
        <row r="113">
          <cell r="J113" t="str">
            <v/>
          </cell>
        </row>
        <row r="114">
          <cell r="J114" t="str">
            <v/>
          </cell>
        </row>
        <row r="115">
          <cell r="J115" t="str">
            <v/>
          </cell>
        </row>
        <row r="116">
          <cell r="J116" t="str">
            <v/>
          </cell>
        </row>
        <row r="117">
          <cell r="J117" t="str">
            <v/>
          </cell>
        </row>
        <row r="118">
          <cell r="J118" t="str">
            <v/>
          </cell>
        </row>
        <row r="119">
          <cell r="J119" t="str">
            <v/>
          </cell>
        </row>
        <row r="120">
          <cell r="J120" t="str">
            <v/>
          </cell>
        </row>
        <row r="121">
          <cell r="J121" t="str">
            <v/>
          </cell>
        </row>
        <row r="122">
          <cell r="J122" t="str">
            <v/>
          </cell>
        </row>
        <row r="123">
          <cell r="J123" t="str">
            <v/>
          </cell>
        </row>
        <row r="124">
          <cell r="J124" t="str">
            <v/>
          </cell>
        </row>
        <row r="125">
          <cell r="J125" t="str">
            <v/>
          </cell>
        </row>
        <row r="126">
          <cell r="J126" t="str">
            <v/>
          </cell>
        </row>
        <row r="127">
          <cell r="J127" t="str">
            <v/>
          </cell>
        </row>
        <row r="128">
          <cell r="J128" t="str">
            <v/>
          </cell>
        </row>
        <row r="129">
          <cell r="J129" t="str">
            <v/>
          </cell>
        </row>
        <row r="130">
          <cell r="J130" t="str">
            <v/>
          </cell>
        </row>
        <row r="131">
          <cell r="J131" t="str">
            <v/>
          </cell>
        </row>
        <row r="132">
          <cell r="J132" t="str">
            <v/>
          </cell>
        </row>
        <row r="133">
          <cell r="J133" t="str">
            <v/>
          </cell>
        </row>
        <row r="134">
          <cell r="J134" t="str">
            <v/>
          </cell>
        </row>
        <row r="135">
          <cell r="J135" t="str">
            <v/>
          </cell>
        </row>
        <row r="136">
          <cell r="J136" t="str">
            <v/>
          </cell>
        </row>
        <row r="137">
          <cell r="J137" t="str">
            <v/>
          </cell>
        </row>
        <row r="138">
          <cell r="J138" t="str">
            <v/>
          </cell>
        </row>
        <row r="139">
          <cell r="J139" t="str">
            <v/>
          </cell>
        </row>
        <row r="140">
          <cell r="J140" t="str">
            <v/>
          </cell>
        </row>
        <row r="141">
          <cell r="J141" t="str">
            <v/>
          </cell>
        </row>
        <row r="142">
          <cell r="J142" t="str">
            <v/>
          </cell>
        </row>
        <row r="143">
          <cell r="J143" t="str">
            <v/>
          </cell>
        </row>
        <row r="144">
          <cell r="J144" t="str">
            <v/>
          </cell>
        </row>
        <row r="145">
          <cell r="J145" t="str">
            <v/>
          </cell>
        </row>
        <row r="146">
          <cell r="J146" t="str">
            <v/>
          </cell>
        </row>
        <row r="147">
          <cell r="J147" t="str">
            <v/>
          </cell>
        </row>
        <row r="148">
          <cell r="J148" t="str">
            <v/>
          </cell>
        </row>
        <row r="149">
          <cell r="J149" t="str">
            <v/>
          </cell>
        </row>
        <row r="150">
          <cell r="J150" t="str">
            <v/>
          </cell>
        </row>
        <row r="151">
          <cell r="J151" t="str">
            <v/>
          </cell>
        </row>
        <row r="152">
          <cell r="J152" t="str">
            <v/>
          </cell>
        </row>
        <row r="153">
          <cell r="J153" t="str">
            <v/>
          </cell>
        </row>
        <row r="154">
          <cell r="J154" t="str">
            <v/>
          </cell>
        </row>
        <row r="155">
          <cell r="J155" t="str">
            <v/>
          </cell>
        </row>
        <row r="156">
          <cell r="J156" t="str">
            <v/>
          </cell>
        </row>
        <row r="157">
          <cell r="J157" t="str">
            <v/>
          </cell>
        </row>
        <row r="158">
          <cell r="J158" t="str">
            <v/>
          </cell>
        </row>
        <row r="159">
          <cell r="J159" t="str">
            <v/>
          </cell>
        </row>
        <row r="160">
          <cell r="J160" t="str">
            <v/>
          </cell>
        </row>
        <row r="161">
          <cell r="J161" t="str">
            <v/>
          </cell>
        </row>
        <row r="162">
          <cell r="J162" t="str">
            <v/>
          </cell>
        </row>
        <row r="163">
          <cell r="J163" t="str">
            <v/>
          </cell>
        </row>
        <row r="164">
          <cell r="J164" t="str">
            <v/>
          </cell>
        </row>
        <row r="165">
          <cell r="J165" t="str">
            <v/>
          </cell>
        </row>
        <row r="166">
          <cell r="J166" t="str">
            <v/>
          </cell>
        </row>
        <row r="167">
          <cell r="J167" t="str">
            <v/>
          </cell>
        </row>
        <row r="168">
          <cell r="J168" t="str">
            <v/>
          </cell>
        </row>
        <row r="169">
          <cell r="J169" t="str">
            <v/>
          </cell>
        </row>
        <row r="170">
          <cell r="J170" t="str">
            <v/>
          </cell>
        </row>
        <row r="171">
          <cell r="J171" t="str">
            <v/>
          </cell>
        </row>
        <row r="172">
          <cell r="J172" t="str">
            <v/>
          </cell>
        </row>
        <row r="173">
          <cell r="J173" t="str">
            <v/>
          </cell>
        </row>
        <row r="174">
          <cell r="J174" t="str">
            <v/>
          </cell>
        </row>
        <row r="175">
          <cell r="J175" t="str">
            <v/>
          </cell>
        </row>
        <row r="176">
          <cell r="J176" t="str">
            <v/>
          </cell>
        </row>
        <row r="177">
          <cell r="J177" t="str">
            <v/>
          </cell>
        </row>
        <row r="178">
          <cell r="J178" t="str">
            <v/>
          </cell>
        </row>
        <row r="179">
          <cell r="J179" t="str">
            <v/>
          </cell>
        </row>
        <row r="180">
          <cell r="J180" t="str">
            <v/>
          </cell>
        </row>
        <row r="181">
          <cell r="J181" t="str">
            <v/>
          </cell>
        </row>
        <row r="182">
          <cell r="J182" t="str">
            <v/>
          </cell>
        </row>
        <row r="183">
          <cell r="J183" t="str">
            <v/>
          </cell>
        </row>
        <row r="184">
          <cell r="J184" t="str">
            <v/>
          </cell>
        </row>
        <row r="185">
          <cell r="J185" t="str">
            <v/>
          </cell>
        </row>
        <row r="186">
          <cell r="J186" t="str">
            <v/>
          </cell>
        </row>
        <row r="187">
          <cell r="J187" t="str">
            <v/>
          </cell>
        </row>
        <row r="188">
          <cell r="J188" t="str">
            <v/>
          </cell>
        </row>
        <row r="189">
          <cell r="J189" t="str">
            <v/>
          </cell>
        </row>
        <row r="190">
          <cell r="J190" t="str">
            <v/>
          </cell>
        </row>
        <row r="191">
          <cell r="J191" t="str">
            <v/>
          </cell>
        </row>
        <row r="192">
          <cell r="J192" t="str">
            <v/>
          </cell>
        </row>
        <row r="193">
          <cell r="J193" t="str">
            <v/>
          </cell>
        </row>
        <row r="194">
          <cell r="J194" t="str">
            <v/>
          </cell>
        </row>
        <row r="195">
          <cell r="J195" t="str">
            <v/>
          </cell>
        </row>
        <row r="196">
          <cell r="J196" t="str">
            <v/>
          </cell>
        </row>
        <row r="197">
          <cell r="J197" t="str">
            <v/>
          </cell>
        </row>
        <row r="198">
          <cell r="J198" t="str">
            <v/>
          </cell>
        </row>
        <row r="199">
          <cell r="J199" t="str">
            <v/>
          </cell>
        </row>
        <row r="200">
          <cell r="J200" t="str">
            <v/>
          </cell>
        </row>
        <row r="201">
          <cell r="J201" t="str">
            <v/>
          </cell>
        </row>
        <row r="202">
          <cell r="J202" t="str">
            <v/>
          </cell>
        </row>
      </sheetData>
      <sheetData sheetId="4" refreshError="1"/>
      <sheetData sheetId="5" refreshError="1"/>
      <sheetData sheetId="6" refreshError="1"/>
      <sheetData sheetId="7" refreshError="1"/>
      <sheetData sheetId="8"/>
      <sheetData sheetId="9" refreshError="1"/>
      <sheetData sheetId="10">
        <row r="2">
          <cell r="A2" t="str">
            <v>Cirrus Skiff</v>
          </cell>
          <cell r="B2" t="str">
            <v>15sm, 1wp</v>
          </cell>
          <cell r="D2" t="str">
            <v>None</v>
          </cell>
          <cell r="E2" t="str">
            <v>Until Ended</v>
          </cell>
          <cell r="G2">
            <v>471</v>
          </cell>
          <cell r="N2" t="str">
            <v>Cantata of Empty Voices</v>
          </cell>
          <cell r="O2" t="str">
            <v>15sm, 2wp</v>
          </cell>
          <cell r="Q2" t="str">
            <v>Perilous</v>
          </cell>
          <cell r="R2" t="str">
            <v>Instant or until ended</v>
          </cell>
          <cell r="T2">
            <v>476</v>
          </cell>
          <cell r="AA2" t="str">
            <v>Benediction of Archgenesis</v>
          </cell>
          <cell r="AB2" t="str">
            <v>Ritual, 3wp</v>
          </cell>
          <cell r="AD2" t="str">
            <v>None</v>
          </cell>
          <cell r="AE2" t="str">
            <v>Instant</v>
          </cell>
          <cell r="AG2">
            <v>480</v>
          </cell>
        </row>
        <row r="3">
          <cell r="A3" t="str">
            <v>Corrupted Words</v>
          </cell>
          <cell r="B3" t="str">
            <v>15sm, 1wp</v>
          </cell>
          <cell r="D3" t="str">
            <v>Psyche</v>
          </cell>
          <cell r="E3" t="str">
            <v>Indefinite</v>
          </cell>
          <cell r="G3">
            <v>472</v>
          </cell>
          <cell r="N3" t="str">
            <v>Demon of the Second Circle</v>
          </cell>
          <cell r="O3" t="str">
            <v>Ritual, 3wp</v>
          </cell>
          <cell r="Q3" t="str">
            <v>None</v>
          </cell>
          <cell r="R3" t="str">
            <v>Instant</v>
          </cell>
          <cell r="T3">
            <v>477</v>
          </cell>
          <cell r="AA3" t="str">
            <v>Death Ray</v>
          </cell>
          <cell r="AB3" t="str">
            <v>25sm, 2wp</v>
          </cell>
          <cell r="AD3" t="str">
            <v>Aggravated, Decisive-only, Perilous</v>
          </cell>
          <cell r="AE3" t="str">
            <v>Instant or until ended</v>
          </cell>
          <cell r="AG3">
            <v>481</v>
          </cell>
        </row>
        <row r="4">
          <cell r="A4" t="str">
            <v>Death of Obsidian Butterflies</v>
          </cell>
          <cell r="B4" t="str">
            <v>15sm, 1wp</v>
          </cell>
          <cell r="D4" t="str">
            <v>Decisive-only, Perilous</v>
          </cell>
          <cell r="E4" t="str">
            <v>Instant</v>
          </cell>
          <cell r="G4">
            <v>472</v>
          </cell>
          <cell r="N4" t="str">
            <v>Impenetrable Veil of Night</v>
          </cell>
          <cell r="O4" t="str">
            <v>30sm, 1wp</v>
          </cell>
          <cell r="Q4" t="str">
            <v>None</v>
          </cell>
          <cell r="R4" t="str">
            <v>One day</v>
          </cell>
          <cell r="T4">
            <v>477</v>
          </cell>
          <cell r="AA4" t="str">
            <v>Demon of the Third Circle</v>
          </cell>
          <cell r="AB4" t="str">
            <v>Ritual, 4wp</v>
          </cell>
          <cell r="AD4" t="str">
            <v>None</v>
          </cell>
          <cell r="AE4" t="str">
            <v>Instant</v>
          </cell>
          <cell r="AG4">
            <v>482</v>
          </cell>
        </row>
        <row r="5">
          <cell r="A5" t="str">
            <v>Demon of the First Circle</v>
          </cell>
          <cell r="B5" t="str">
            <v>Ritual, 2wp</v>
          </cell>
          <cell r="D5" t="str">
            <v>None</v>
          </cell>
          <cell r="E5" t="str">
            <v>Instant</v>
          </cell>
          <cell r="G5">
            <v>473</v>
          </cell>
          <cell r="N5" t="str">
            <v>Incomparable Body Arsenel</v>
          </cell>
          <cell r="O5" t="str">
            <v>30sm, 2wp</v>
          </cell>
          <cell r="Q5" t="str">
            <v>None</v>
          </cell>
          <cell r="R5" t="str">
            <v>(Essence) hours</v>
          </cell>
          <cell r="T5">
            <v>477</v>
          </cell>
          <cell r="AA5" t="str">
            <v>Rain of Doom</v>
          </cell>
          <cell r="AB5" t="str">
            <v>40sm, 3wp</v>
          </cell>
          <cell r="AD5" t="str">
            <v>Aggravated</v>
          </cell>
          <cell r="AE5" t="str">
            <v>Until sunrise</v>
          </cell>
          <cell r="AG5">
            <v>483</v>
          </cell>
        </row>
        <row r="6">
          <cell r="A6" t="str">
            <v>Flight of the Brilliant Raptor</v>
          </cell>
          <cell r="B6" t="str">
            <v>15sm, 1wp</v>
          </cell>
          <cell r="D6" t="str">
            <v>Decisive-only, Perilous</v>
          </cell>
          <cell r="E6" t="str">
            <v>Instant</v>
          </cell>
          <cell r="G6">
            <v>473</v>
          </cell>
          <cell r="N6" t="str">
            <v>Ivory Orchid Pavilion</v>
          </cell>
          <cell r="O6" t="str">
            <v>Ritual, 1wp</v>
          </cell>
          <cell r="Q6" t="str">
            <v>None</v>
          </cell>
          <cell r="R6" t="str">
            <v>One day</v>
          </cell>
          <cell r="T6">
            <v>478</v>
          </cell>
        </row>
        <row r="7">
          <cell r="A7" t="str">
            <v>Infallible Messenger</v>
          </cell>
          <cell r="B7" t="str">
            <v>5sm, 2wp</v>
          </cell>
          <cell r="D7" t="str">
            <v>None</v>
          </cell>
          <cell r="E7" t="str">
            <v>Until message is delivered</v>
          </cell>
          <cell r="G7">
            <v>474</v>
          </cell>
          <cell r="N7" t="str">
            <v>Magma Kraken</v>
          </cell>
          <cell r="O7" t="str">
            <v>30sm, 1wp</v>
          </cell>
          <cell r="Q7" t="str">
            <v>None</v>
          </cell>
          <cell r="R7" t="str">
            <v>One scene</v>
          </cell>
          <cell r="T7">
            <v>478</v>
          </cell>
        </row>
        <row r="8">
          <cell r="A8" t="str">
            <v>Invulnerable Skin of Bronze</v>
          </cell>
          <cell r="B8" t="str">
            <v>20sm, 1wp</v>
          </cell>
          <cell r="D8" t="str">
            <v>None</v>
          </cell>
          <cell r="E8" t="str">
            <v>One Day</v>
          </cell>
          <cell r="G8">
            <v>474</v>
          </cell>
          <cell r="N8" t="str">
            <v>Shadows of the Ancient Past</v>
          </cell>
          <cell r="O8" t="str">
            <v>10sm, 2wp</v>
          </cell>
          <cell r="Q8" t="str">
            <v>None</v>
          </cell>
          <cell r="R8" t="str">
            <v>One scene</v>
          </cell>
          <cell r="T8">
            <v>480</v>
          </cell>
        </row>
        <row r="9">
          <cell r="A9" t="str">
            <v>Mists of Eventide</v>
          </cell>
          <cell r="B9" t="str">
            <v>7sm, 2wp</v>
          </cell>
          <cell r="D9" t="str">
            <v>None</v>
          </cell>
          <cell r="E9" t="str">
            <v>Three rounds</v>
          </cell>
          <cell r="G9">
            <v>474</v>
          </cell>
          <cell r="N9" t="str">
            <v>Travel Without Distance</v>
          </cell>
          <cell r="O9" t="str">
            <v>25sm, 2wp</v>
          </cell>
          <cell r="Q9" t="str">
            <v>Perilous</v>
          </cell>
          <cell r="R9" t="str">
            <v>Instant</v>
          </cell>
          <cell r="T9">
            <v>480</v>
          </cell>
        </row>
        <row r="10">
          <cell r="A10" t="str">
            <v>Silent Words of Dreams and Nightmares</v>
          </cell>
          <cell r="B10" t="str">
            <v>Ritual, 1wp</v>
          </cell>
          <cell r="D10" t="str">
            <v>None</v>
          </cell>
          <cell r="E10" t="str">
            <v>One dream</v>
          </cell>
          <cell r="G10">
            <v>475</v>
          </cell>
          <cell r="N10" t="str">
            <v>Cloud Trapeze</v>
          </cell>
          <cell r="O10" t="str">
            <v>30sm, 1wp</v>
          </cell>
          <cell r="Q10" t="str">
            <v>None</v>
          </cell>
          <cell r="R10" t="str">
            <v>Until Dismissed</v>
          </cell>
        </row>
        <row r="11">
          <cell r="A11" t="str">
            <v>Stormwind Rider</v>
          </cell>
          <cell r="B11" t="str">
            <v>15sm, 1wp</v>
          </cell>
          <cell r="D11" t="str">
            <v>None</v>
          </cell>
          <cell r="E11" t="str">
            <v>One hour</v>
          </cell>
          <cell r="G11">
            <v>475</v>
          </cell>
          <cell r="N11" t="str">
            <v>Insidious Tendrils of Hate</v>
          </cell>
          <cell r="O11" t="str">
            <v>Ritual, 2wp</v>
          </cell>
          <cell r="Q11" t="str">
            <v>Psyche</v>
          </cell>
          <cell r="R11" t="str">
            <v>(Manipulation) Days</v>
          </cell>
        </row>
        <row r="12">
          <cell r="A12" t="str">
            <v>Summon Elemental</v>
          </cell>
          <cell r="B12" t="str">
            <v>Ritual, 2wp</v>
          </cell>
          <cell r="D12" t="str">
            <v>None</v>
          </cell>
          <cell r="E12" t="str">
            <v>Instant</v>
          </cell>
          <cell r="G12">
            <v>476</v>
          </cell>
          <cell r="N12" t="str">
            <v>Prince of the Fallen Tower</v>
          </cell>
          <cell r="O12" t="str">
            <v>20sm, 1wp</v>
          </cell>
          <cell r="Q12" t="str">
            <v>None</v>
          </cell>
          <cell r="R12" t="str">
            <v>(Essence) hours</v>
          </cell>
        </row>
        <row r="13">
          <cell r="A13" t="str">
            <v>Wood Dragon's Claws</v>
          </cell>
          <cell r="B13" t="str">
            <v>5sm, 1wp</v>
          </cell>
          <cell r="D13" t="str">
            <v>None</v>
          </cell>
          <cell r="E13" t="str">
            <v>Until dismissed</v>
          </cell>
          <cell r="G13">
            <v>476</v>
          </cell>
          <cell r="N13" t="str">
            <v>Molten Shape of Shifting Glas</v>
          </cell>
          <cell r="O13" t="str">
            <v>20sm, 2wp</v>
          </cell>
          <cell r="Q13" t="str">
            <v>None</v>
          </cell>
          <cell r="R13" t="str">
            <v>One scene</v>
          </cell>
        </row>
        <row r="14">
          <cell r="A14" t="str">
            <v>Beckoning That Which Stirs the Sky</v>
          </cell>
          <cell r="B14" t="str">
            <v>Ritual, 2wp</v>
          </cell>
          <cell r="D14" t="str">
            <v>None</v>
          </cell>
          <cell r="E14" t="str">
            <v>(1 + threshold successes) hours</v>
          </cell>
          <cell r="N14" t="str">
            <v>Hidden Judges of the Secret Flame</v>
          </cell>
          <cell r="O14" t="str">
            <v>20sm, 1wp</v>
          </cell>
          <cell r="Q14" t="str">
            <v>None</v>
          </cell>
          <cell r="R14" t="str">
            <v>Varies</v>
          </cell>
        </row>
        <row r="15">
          <cell r="A15" t="str">
            <v>Floral Ferry</v>
          </cell>
          <cell r="B15" t="str">
            <v>20sm, 1wp</v>
          </cell>
          <cell r="D15" t="str">
            <v>None</v>
          </cell>
          <cell r="E15" t="str">
            <v>Until journey is completed</v>
          </cell>
          <cell r="N15" t="str">
            <v>Mirror Nemesis Vizier</v>
          </cell>
          <cell r="O15" t="str">
            <v>Ritual, 2wp</v>
          </cell>
          <cell r="Q15" t="str">
            <v>None</v>
          </cell>
          <cell r="R15" t="str">
            <v>One week</v>
          </cell>
        </row>
        <row r="16">
          <cell r="A16" t="str">
            <v>Impervious Sphere of Water</v>
          </cell>
          <cell r="B16" t="str">
            <v>15sm, 1wp</v>
          </cell>
          <cell r="D16" t="str">
            <v>None</v>
          </cell>
          <cell r="E16" t="str">
            <v>One scene</v>
          </cell>
          <cell r="N16" t="str">
            <v>Masquerade of Coquelicot Veils</v>
          </cell>
          <cell r="O16" t="str">
            <v>20m, 2wp</v>
          </cell>
          <cell r="Q16" t="str">
            <v>Psyche</v>
          </cell>
          <cell r="R16" t="str">
            <v>(Essence) days</v>
          </cell>
        </row>
        <row r="17">
          <cell r="A17" t="str">
            <v>Keel Cleaves the Clouds</v>
          </cell>
          <cell r="B17" t="str">
            <v>25sm, 2wp</v>
          </cell>
          <cell r="D17" t="str">
            <v>None</v>
          </cell>
          <cell r="E17" t="str">
            <v>One day</v>
          </cell>
          <cell r="N17" t="str">
            <v>Warden of the Nepenthean Gardens</v>
          </cell>
          <cell r="O17" t="str">
            <v>25sm, 2wp</v>
          </cell>
          <cell r="Q17" t="str">
            <v>None</v>
          </cell>
          <cell r="R17" t="str">
            <v>(Essence) hours</v>
          </cell>
        </row>
        <row r="18">
          <cell r="A18" t="str">
            <v>Sculpted Seafoam Eidolon</v>
          </cell>
          <cell r="B18" t="str">
            <v>10sm, 2wp</v>
          </cell>
          <cell r="D18" t="str">
            <v>None</v>
          </cell>
          <cell r="E18" t="str">
            <v>One day</v>
          </cell>
        </row>
        <row r="19">
          <cell r="A19" t="str">
            <v>Spoke the Wooden Face</v>
          </cell>
          <cell r="B19" t="str">
            <v>5sm, 1wp</v>
          </cell>
          <cell r="D19" t="str">
            <v>None</v>
          </cell>
          <cell r="E19" t="str">
            <v>One scene</v>
          </cell>
        </row>
        <row r="20">
          <cell r="A20" t="str">
            <v>Stalwart Earth Guardian</v>
          </cell>
          <cell r="B20" t="str">
            <v>Ritual, 1wp</v>
          </cell>
          <cell r="D20" t="str">
            <v>None</v>
          </cell>
          <cell r="E20" t="str">
            <v>Twelve hours</v>
          </cell>
        </row>
        <row r="21">
          <cell r="A21" t="str">
            <v>Thunder Wolf Howl</v>
          </cell>
          <cell r="B21" t="str">
            <v>15sm, 1wp</v>
          </cell>
          <cell r="D21" t="str">
            <v>Decisive-only</v>
          </cell>
          <cell r="E21" t="str">
            <v>Instant</v>
          </cell>
        </row>
        <row r="22">
          <cell r="A22" t="str">
            <v>Unslakable Thrist of the Devil-Maw</v>
          </cell>
          <cell r="B22" t="str">
            <v>15sm, 1wp</v>
          </cell>
          <cell r="D22" t="str">
            <v>None</v>
          </cell>
          <cell r="E22" t="str">
            <v>Instant</v>
          </cell>
        </row>
        <row r="23">
          <cell r="A23" t="str">
            <v>Virtuous Guardian of Flame</v>
          </cell>
          <cell r="B23" t="str">
            <v>15sm, 2wp</v>
          </cell>
          <cell r="D23" t="str">
            <v>None</v>
          </cell>
          <cell r="E23" t="str">
            <v>One day</v>
          </cell>
        </row>
        <row r="24">
          <cell r="A24" t="str">
            <v>Blood Lash</v>
          </cell>
          <cell r="B24" t="str">
            <v>10sm, 1lhl, 1wp</v>
          </cell>
          <cell r="D24" t="str">
            <v>None</v>
          </cell>
          <cell r="E24" t="str">
            <v>Until Dismissed</v>
          </cell>
        </row>
        <row r="25">
          <cell r="A25" t="str">
            <v>Flight of Separation</v>
          </cell>
          <cell r="B25" t="str">
            <v>15sm, 1wp</v>
          </cell>
          <cell r="D25" t="str">
            <v>None</v>
          </cell>
          <cell r="E25" t="str">
            <v>Indefinite</v>
          </cell>
        </row>
        <row r="26">
          <cell r="A26" t="str">
            <v>Peacock Shadow Eyes</v>
          </cell>
          <cell r="B26" t="str">
            <v>7sm, 2wp</v>
          </cell>
          <cell r="D26" t="str">
            <v>Psyche</v>
          </cell>
          <cell r="E26" t="str">
            <v>One Scene</v>
          </cell>
        </row>
        <row r="51">
          <cell r="A51" t="str">
            <v>Example</v>
          </cell>
          <cell r="B51" t="str">
            <v>1m</v>
          </cell>
          <cell r="D51" t="str">
            <v>Mute</v>
          </cell>
          <cell r="E51" t="str">
            <v>Instant</v>
          </cell>
          <cell r="F51" t="str">
            <v>It does what it does</v>
          </cell>
          <cell r="G51">
            <v>334</v>
          </cell>
          <cell r="N51" t="str">
            <v>Example</v>
          </cell>
          <cell r="O51" t="str">
            <v>2m</v>
          </cell>
          <cell r="Q51" t="str">
            <v>Mute</v>
          </cell>
          <cell r="R51" t="str">
            <v>Instant</v>
          </cell>
          <cell r="S51" t="str">
            <v>It does what it does</v>
          </cell>
          <cell r="T51">
            <v>334</v>
          </cell>
          <cell r="AA51" t="str">
            <v>Example</v>
          </cell>
          <cell r="AB51" t="str">
            <v>3m</v>
          </cell>
          <cell r="AD51" t="str">
            <v>Mute</v>
          </cell>
          <cell r="AE51" t="str">
            <v>Instant</v>
          </cell>
          <cell r="AF51" t="str">
            <v>It does what it does</v>
          </cell>
          <cell r="AG51">
            <v>334</v>
          </cell>
        </row>
      </sheetData>
      <sheetData sheetId="11" refreshError="1"/>
      <sheetData sheetId="12">
        <row r="2">
          <cell r="V2" t="str">
            <v>Type</v>
          </cell>
          <cell r="W2" t="str">
            <v>Solar</v>
          </cell>
          <cell r="X2" t="str">
            <v>Dragonblooded</v>
          </cell>
          <cell r="Y2" t="str">
            <v>Lunar</v>
          </cell>
          <cell r="Z2" t="str">
            <v>Sidereal</v>
          </cell>
          <cell r="AA2" t="str">
            <v>Abyssal</v>
          </cell>
          <cell r="AB2" t="str">
            <v>Celest. Exigent</v>
          </cell>
          <cell r="AC2" t="str">
            <v>Terr. Exigent</v>
          </cell>
          <cell r="AD2" t="str">
            <v>Mortal</v>
          </cell>
          <cell r="AE2" t="str">
            <v>Spirit</v>
          </cell>
          <cell r="AF2" t="str">
            <v>Animal</v>
          </cell>
          <cell r="AG2" t="str">
            <v>Liminal Homebrew</v>
          </cell>
          <cell r="AH2" t="str">
            <v>Dragonblooded Homebrew</v>
          </cell>
          <cell r="AI2" t="str">
            <v>Lunar Homebrew</v>
          </cell>
          <cell r="AJ2" t="str">
            <v>Sidereal Homebrew</v>
          </cell>
          <cell r="AK2" t="str">
            <v>Abyssal Homebrew</v>
          </cell>
          <cell r="AL2">
            <v>0</v>
          </cell>
        </row>
        <row r="3">
          <cell r="V3" t="str">
            <v>Pri</v>
          </cell>
          <cell r="W3">
            <v>8</v>
          </cell>
          <cell r="X3">
            <v>8</v>
          </cell>
          <cell r="Y3">
            <v>9</v>
          </cell>
          <cell r="Z3">
            <v>8</v>
          </cell>
          <cell r="AA3">
            <v>8</v>
          </cell>
          <cell r="AB3">
            <v>8</v>
          </cell>
          <cell r="AC3">
            <v>8</v>
          </cell>
          <cell r="AD3">
            <v>6</v>
          </cell>
          <cell r="AH3">
            <v>7</v>
          </cell>
          <cell r="AI3">
            <v>9</v>
          </cell>
          <cell r="AJ3">
            <v>8</v>
          </cell>
          <cell r="AK3">
            <v>8</v>
          </cell>
        </row>
        <row r="4">
          <cell r="V4" t="str">
            <v>Sec</v>
          </cell>
          <cell r="W4">
            <v>6</v>
          </cell>
          <cell r="X4">
            <v>6</v>
          </cell>
          <cell r="Y4">
            <v>7</v>
          </cell>
          <cell r="Z4">
            <v>6</v>
          </cell>
          <cell r="AA4">
            <v>6</v>
          </cell>
          <cell r="AB4">
            <v>6</v>
          </cell>
          <cell r="AC4">
            <v>6</v>
          </cell>
          <cell r="AD4">
            <v>4</v>
          </cell>
          <cell r="AH4">
            <v>6</v>
          </cell>
          <cell r="AI4">
            <v>7</v>
          </cell>
          <cell r="AJ4">
            <v>6</v>
          </cell>
          <cell r="AK4">
            <v>6</v>
          </cell>
        </row>
        <row r="5">
          <cell r="V5" t="str">
            <v>Ter</v>
          </cell>
          <cell r="W5">
            <v>4</v>
          </cell>
          <cell r="X5">
            <v>4</v>
          </cell>
          <cell r="Y5">
            <v>5</v>
          </cell>
          <cell r="Z5">
            <v>4</v>
          </cell>
          <cell r="AA5">
            <v>4</v>
          </cell>
          <cell r="AB5">
            <v>4</v>
          </cell>
          <cell r="AC5">
            <v>4</v>
          </cell>
          <cell r="AD5">
            <v>3</v>
          </cell>
          <cell r="AH5">
            <v>4</v>
          </cell>
          <cell r="AI5">
            <v>5</v>
          </cell>
          <cell r="AJ5">
            <v>4</v>
          </cell>
          <cell r="AK5">
            <v>4</v>
          </cell>
        </row>
        <row r="6">
          <cell r="V6" t="str">
            <v>Abilities</v>
          </cell>
          <cell r="W6">
            <v>28</v>
          </cell>
          <cell r="X6">
            <v>28</v>
          </cell>
          <cell r="Y6">
            <v>28</v>
          </cell>
          <cell r="Z6">
            <v>28</v>
          </cell>
          <cell r="AA6">
            <v>28</v>
          </cell>
          <cell r="AB6">
            <v>28</v>
          </cell>
          <cell r="AC6">
            <v>28</v>
          </cell>
          <cell r="AD6">
            <v>28</v>
          </cell>
          <cell r="AH6">
            <v>28</v>
          </cell>
          <cell r="AI6">
            <v>28</v>
          </cell>
          <cell r="AJ6">
            <v>35</v>
          </cell>
          <cell r="AK6">
            <v>28</v>
          </cell>
        </row>
        <row r="7">
          <cell r="V7" t="str">
            <v>Caste</v>
          </cell>
          <cell r="W7">
            <v>5</v>
          </cell>
          <cell r="X7">
            <v>5</v>
          </cell>
          <cell r="Y7">
            <v>2</v>
          </cell>
          <cell r="Z7">
            <v>5</v>
          </cell>
          <cell r="AA7">
            <v>5</v>
          </cell>
          <cell r="AB7">
            <v>0</v>
          </cell>
          <cell r="AC7">
            <v>0</v>
          </cell>
          <cell r="AD7">
            <v>0</v>
          </cell>
          <cell r="AH7">
            <v>4</v>
          </cell>
          <cell r="AI7">
            <v>2</v>
          </cell>
          <cell r="AJ7">
            <v>5</v>
          </cell>
          <cell r="AK7">
            <v>5</v>
          </cell>
        </row>
        <row r="8">
          <cell r="V8" t="str">
            <v>Favored</v>
          </cell>
          <cell r="W8">
            <v>5</v>
          </cell>
          <cell r="X8">
            <v>5</v>
          </cell>
          <cell r="Y8">
            <v>2</v>
          </cell>
          <cell r="Z8">
            <v>5</v>
          </cell>
          <cell r="AA8">
            <v>5</v>
          </cell>
          <cell r="AB8">
            <v>0</v>
          </cell>
          <cell r="AC8">
            <v>0</v>
          </cell>
          <cell r="AD8">
            <v>0</v>
          </cell>
          <cell r="AH8">
            <v>3</v>
          </cell>
          <cell r="AI8">
            <v>2</v>
          </cell>
          <cell r="AJ8">
            <v>5</v>
          </cell>
          <cell r="AK8">
            <v>5</v>
          </cell>
        </row>
        <row r="9">
          <cell r="V9" t="str">
            <v>Merits</v>
          </cell>
          <cell r="W9">
            <v>10</v>
          </cell>
          <cell r="X9">
            <v>18</v>
          </cell>
          <cell r="Y9">
            <v>10</v>
          </cell>
          <cell r="Z9">
            <v>19</v>
          </cell>
          <cell r="AA9">
            <v>10</v>
          </cell>
          <cell r="AB9">
            <v>10</v>
          </cell>
          <cell r="AC9">
            <v>10</v>
          </cell>
          <cell r="AD9">
            <v>7</v>
          </cell>
          <cell r="AH9">
            <v>15</v>
          </cell>
          <cell r="AI9">
            <v>10</v>
          </cell>
          <cell r="AJ9">
            <v>11</v>
          </cell>
          <cell r="AK9">
            <v>10</v>
          </cell>
        </row>
        <row r="10">
          <cell r="V10" t="str">
            <v>Specialites</v>
          </cell>
          <cell r="W10">
            <v>4</v>
          </cell>
          <cell r="X10">
            <v>5</v>
          </cell>
          <cell r="Y10">
            <v>4</v>
          </cell>
          <cell r="Z10">
            <v>4</v>
          </cell>
          <cell r="AA10">
            <v>4</v>
          </cell>
          <cell r="AB10">
            <v>4</v>
          </cell>
          <cell r="AC10">
            <v>4</v>
          </cell>
          <cell r="AD10">
            <v>4</v>
          </cell>
          <cell r="AH10">
            <v>6</v>
          </cell>
          <cell r="AI10">
            <v>4</v>
          </cell>
          <cell r="AJ10">
            <v>4</v>
          </cell>
          <cell r="AK10">
            <v>4</v>
          </cell>
        </row>
        <row r="11">
          <cell r="V11" t="str">
            <v>Charms</v>
          </cell>
          <cell r="W11">
            <v>15</v>
          </cell>
          <cell r="X11">
            <v>15</v>
          </cell>
          <cell r="Y11">
            <v>15</v>
          </cell>
          <cell r="Z11">
            <v>15</v>
          </cell>
          <cell r="AA11">
            <v>15</v>
          </cell>
          <cell r="AB11">
            <v>15</v>
          </cell>
          <cell r="AC11">
            <v>15</v>
          </cell>
          <cell r="AD11">
            <v>0</v>
          </cell>
          <cell r="AH11">
            <v>15</v>
          </cell>
          <cell r="AI11">
            <v>15</v>
          </cell>
          <cell r="AJ11">
            <v>18</v>
          </cell>
          <cell r="AK11">
            <v>15</v>
          </cell>
        </row>
        <row r="12">
          <cell r="V12" t="str">
            <v>Excellencies</v>
          </cell>
          <cell r="W12">
            <v>0</v>
          </cell>
          <cell r="X12">
            <v>5</v>
          </cell>
          <cell r="Y12">
            <v>0</v>
          </cell>
          <cell r="Z12">
            <v>0</v>
          </cell>
          <cell r="AA12">
            <v>0</v>
          </cell>
          <cell r="AB12">
            <v>0</v>
          </cell>
          <cell r="AC12">
            <v>0</v>
          </cell>
          <cell r="AD12">
            <v>0</v>
          </cell>
          <cell r="AH12">
            <v>0</v>
          </cell>
          <cell r="AI12">
            <v>0</v>
          </cell>
          <cell r="AJ12">
            <v>0</v>
          </cell>
          <cell r="AK12">
            <v>0</v>
          </cell>
        </row>
        <row r="13">
          <cell r="V13" t="str">
            <v>BP</v>
          </cell>
          <cell r="W13">
            <v>15</v>
          </cell>
          <cell r="X13">
            <v>18</v>
          </cell>
          <cell r="Y13">
            <v>15</v>
          </cell>
          <cell r="Z13">
            <v>15</v>
          </cell>
          <cell r="AA13">
            <v>15</v>
          </cell>
          <cell r="AB13">
            <v>15</v>
          </cell>
          <cell r="AC13">
            <v>15</v>
          </cell>
          <cell r="AD13">
            <v>21</v>
          </cell>
          <cell r="AH13">
            <v>18</v>
          </cell>
          <cell r="AI13">
            <v>15</v>
          </cell>
          <cell r="AJ13">
            <v>18</v>
          </cell>
          <cell r="AK13">
            <v>15</v>
          </cell>
        </row>
        <row r="47">
          <cell r="R47" t="str">
            <v>Solar</v>
          </cell>
        </row>
        <row r="48">
          <cell r="R48" t="str">
            <v>Dragonblooded</v>
          </cell>
        </row>
        <row r="49">
          <cell r="R49" t="str">
            <v>Lunar</v>
          </cell>
        </row>
        <row r="50">
          <cell r="R50" t="str">
            <v>Sidereal</v>
          </cell>
        </row>
        <row r="51">
          <cell r="R51" t="str">
            <v>Abyssal</v>
          </cell>
        </row>
        <row r="52">
          <cell r="R52" t="str">
            <v>Celest. Exigent</v>
          </cell>
        </row>
        <row r="53">
          <cell r="R53" t="str">
            <v>Terr. Exigent</v>
          </cell>
        </row>
        <row r="54">
          <cell r="R54" t="str">
            <v>Mortal</v>
          </cell>
        </row>
        <row r="55">
          <cell r="R55" t="str">
            <v>Spirit</v>
          </cell>
        </row>
        <row r="56">
          <cell r="R56" t="str">
            <v>Animal</v>
          </cell>
        </row>
        <row r="57">
          <cell r="R57" t="str">
            <v>Liminal Homebrew</v>
          </cell>
        </row>
        <row r="58">
          <cell r="R58" t="str">
            <v>Dragonblooded Homebrew</v>
          </cell>
        </row>
        <row r="59">
          <cell r="R59" t="str">
            <v>Lunar Homebrew</v>
          </cell>
        </row>
        <row r="60">
          <cell r="R60" t="str">
            <v>Sidereal Homebrew</v>
          </cell>
        </row>
        <row r="61">
          <cell r="R61" t="str">
            <v>Abyssal Homebrew</v>
          </cell>
        </row>
        <row r="62">
          <cell r="R62">
            <v>0</v>
          </cell>
        </row>
        <row r="65">
          <cell r="R65" t="str">
            <v>Martial Arts</v>
          </cell>
        </row>
        <row r="66">
          <cell r="R66" t="str">
            <v>SMA</v>
          </cell>
        </row>
        <row r="67">
          <cell r="R67" t="str">
            <v>Evocation</v>
          </cell>
        </row>
        <row r="68">
          <cell r="R68" t="str">
            <v>Terrestrial Spell</v>
          </cell>
        </row>
        <row r="69">
          <cell r="R69" t="str">
            <v>Celestial Spell</v>
          </cell>
        </row>
        <row r="70">
          <cell r="R70" t="str">
            <v>Solar Spell</v>
          </cell>
        </row>
      </sheetData>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ъатта" refreshedDate="45731.069938425928" createdVersion="8" refreshedVersion="8" minRefreshableVersion="3" recordCount="888" xr:uid="{A470F55E-2DE0-478A-B029-D7E667629B31}">
  <cacheSource type="worksheet">
    <worksheetSource ref="A1:N1048576" sheet="Solarlist"/>
  </cacheSource>
  <cacheFields count="14">
    <cacheField name="Type" numFmtId="0">
      <sharedItems containsBlank="1" count="2">
        <s v="Solar"/>
        <m/>
      </sharedItems>
    </cacheField>
    <cacheField name="Name" numFmtId="0">
      <sharedItems containsBlank="1" count="886">
        <s v="Wise Arrow"/>
        <s v="Trance of Unhesitating Speed"/>
        <s v="Phantom Arrow Technique"/>
        <s v="Blood Without Balance"/>
        <s v="Force Without Fire"/>
        <s v="Fiery Arrow Attack"/>
        <s v="Hanging Judgment Arc"/>
        <s v="There Is No Wind"/>
        <s v="Accuracy Without Distance"/>
        <s v="Arrow Storm Technique"/>
        <s v="Flashing Vengeance Draw"/>
        <s v="Hunter's Swift Answer"/>
        <s v="Dazzling Flare Attack"/>
        <s v="Seven Omens Shot"/>
        <s v="Revolving Bow Discipline"/>
        <s v="Finishing Snipe"/>
        <s v="Rain of Feathered Death"/>
        <s v="Shadow-Seeking Arrow"/>
        <s v="Searing Sunfire Interdiction"/>
        <s v="Searing Sunfire Interdiction x2"/>
        <s v="Solar Spike"/>
        <s v="Heart-Eating Incineration"/>
        <s v="Nova Arrow Attack"/>
        <s v="Searing Sunfire Interdiction x3"/>
        <s v="Dust and Ash Sleight"/>
        <s v="Heavens Crash Down"/>
        <s v="Hell-Heeling Arrow"/>
        <s v="Accuracy Without Distance x2"/>
        <s v="Searing Sunfire Interdiction x4"/>
        <s v="Dust and Ash Sleight x2"/>
        <s v="Heavens Crash Down x2"/>
        <s v="Whispered Prayer of Judgment"/>
        <s v="Solar Judgment Flare"/>
        <s v="Searing Sunfire Interdiction x5"/>
        <s v="Searing Sunfire Interdiction x6"/>
        <s v="Sight Without Eyes"/>
        <s v="Immaculate Golden Bow"/>
        <s v="Streaming Arrow Stance"/>
        <s v="Dedicated Unerring Ear"/>
        <s v="Surprise Anticipation Method"/>
        <s v="Genius Palate Summation"/>
        <s v="Studied Ear Espial"/>
        <s v="Unswerving Eye Method"/>
        <s v="Foe-Scenting Method"/>
        <s v="Awakening Eye"/>
        <s v="Knowing Beyond Silence"/>
        <s v="Inner Eye Focus"/>
        <s v="Scent-Honing Prana"/>
        <s v="Roused Dragon Detection"/>
        <s v="Blink"/>
        <s v="Eye of the Unconquered Sun"/>
        <s v="Living Pulse Perception"/>
        <s v="Unsurpassed Sight Discipline"/>
        <s v="Unsurpassed Taste and Smell Discipline"/>
        <s v="Unsurpassed Hearing and Touch Discipline"/>
        <s v="Sensory Acuity Prana"/>
        <s v="Keen Sight Technique"/>
        <s v="Keen Taste and Smell Technique"/>
        <s v="Keen Hearing and Touch Technique"/>
        <s v="Eyeless Harbinger Awareness"/>
        <s v="Drifting Leaf Elusion"/>
        <s v="Reed in the Wind"/>
        <s v="Reflex Sidestep Technique"/>
        <s v="Leaping Dodge Method"/>
        <s v="Shadow Over Water"/>
        <s v="Dust Motes Whirling"/>
        <s v="Fleet Dreaming Image"/>
        <s v="Seven Shadow Evasion"/>
        <s v="Safety Between Heartbeats"/>
        <s v="Rumor of Form"/>
        <s v="Vaporous Division"/>
        <s v="Sunlight Bleeding Away"/>
        <s v="Thousand Steps' Stillness"/>
        <s v="Refinement of Flowing Shadows"/>
        <s v="Drifting Shadow Focus"/>
        <s v="Harm-Dismissing Meditation"/>
        <s v="Searing Quicksilver Flight"/>
        <s v="Shadow Dancer Method"/>
        <s v="Force-Stealing Feint"/>
        <s v="Way of Whispers Technique"/>
        <s v="Unbowed Willow Meditation"/>
        <s v="Unbridled Shade Attitude"/>
        <s v="Fourfold Shiver Binding"/>
        <s v="Flow Like Blood"/>
        <s v="Hundred Shadow Ways"/>
        <s v="Living Bonds Unburdened"/>
        <s v="Guarded Thoughts Meditation"/>
        <s v="Penumbra Self Meditation"/>
        <s v="Motive-Discerning Technique"/>
        <s v="Shadow Over Day"/>
        <s v="Motive-Discerning Technique x2"/>
        <s v="Humble Servant Approach"/>
        <s v="Night Passes Over"/>
        <s v="Ten Calamities Technique"/>
        <s v="Burning Proof of Authority"/>
        <s v="Superior Violent Knowledge"/>
        <s v="Fists of Iron Technique"/>
        <s v="Ferocious Jab"/>
        <s v="Heaven Thunder Hammer"/>
        <s v="Vicious Lunge"/>
        <s v="Unbreakable Grasp"/>
        <s v="Thunderclap Rush Attack"/>
        <s v="Wind and Stones Defense"/>
        <s v="Crashing Wave Throw"/>
        <s v="Falling Hammer Strike"/>
        <s v="Swift Strike Prana"/>
        <s v="Devil-Strangling Attitude"/>
        <s v="Ox-Stunning Blow"/>
        <s v="Reckless Fury Discard"/>
        <s v="Burning Fist Burial"/>
        <s v="Force-Rending Strike"/>
        <s v="Sledgehammer Fist Punch"/>
        <s v="Oak-Curling Clinch"/>
        <s v="Solar Cross-Counter"/>
        <s v="Blade-Rebuking Wrath"/>
        <s v="Hammer on Iron Technique"/>
        <s v="Ox-Stunning Blow x2"/>
        <s v="Dancing With Strife Technique"/>
        <s v="Knockout Blow"/>
        <s v="Cancel the Apocalypse"/>
        <s v="Adamantine Fists of Battle"/>
        <s v="Fire-Eating Fist"/>
        <s v="River-Binding Wrath"/>
        <s v="Wicked Dissolve Dust"/>
        <s v="Rapturous Cradle"/>
        <s v="Dragon Coil Technique"/>
        <s v="Titan-Straightening Method"/>
        <s v="Shockwave Technique"/>
        <s v="Lightning Strikes Twice"/>
        <s v="Striving Aftershock Method"/>
        <s v="Inevitable Victory Meditation"/>
        <s v="Incarnated Fury Attack"/>
        <s v="Raging Wrath Repeated"/>
        <s v="Rampage-Berserker Attack"/>
        <s v="Supremacy of War Meditation"/>
        <s v="Apocalypse Flare Attack"/>
        <s v="Heaven Fury Smite"/>
        <s v="Heart-Eating Fist"/>
        <s v="Burning Sky Apocalypse Strike"/>
        <s v="Iron Battle Focus"/>
        <s v="One With Violence"/>
        <s v="Intercepting Fury Smite"/>
        <s v="Fivefold Fury Onslaught"/>
        <s v="Adamantine Fists of Battle x2"/>
        <s v="Orichalcum Fists of Battle"/>
        <s v="Ascendant Battle Visage"/>
        <s v="Ship-Sleeking Technique"/>
        <s v="Skiff-To-Scow Method"/>
        <s v="Tide-Carried Omens"/>
        <s v="Blood and Salt Bondage"/>
        <s v="Ship-Sustaining Spirit"/>
        <s v="Sea Devil Training Technique"/>
        <s v="Ship-Claiming Stance"/>
        <s v="Immortal Mariner's Advantage"/>
        <s v="Legendary Captain's Signature"/>
        <s v="Sea Ambush Technique"/>
        <s v="Deck-Sweeping Fusillade"/>
        <s v="Ship-Breaker Method"/>
        <s v="Superior Positioning Technique"/>
        <s v="Weather-Anticipating Intuition"/>
        <s v="Hull-Taming Transfusion"/>
        <s v="Indomitable Voyager's Perseverance"/>
        <s v="Deadly Ichneumon Assault"/>
        <s v="Rail-Storming Fervor"/>
        <s v="Sea Serpent Flash"/>
        <s v="Ship-Rolling Juggernaut Method"/>
        <s v="Perfect Reckoning Technique"/>
        <s v="Death-Daring Maneuver"/>
        <s v="Tide-Cutting Essence Infusion"/>
        <s v="Wave-Riding Discipline"/>
        <s v="Chaos-Cutting Galley"/>
        <s v="Wind-Defying Course Technique"/>
        <s v="Current-Cutting Technique"/>
        <s v="Storm-Weathering Essence Infusion"/>
        <s v="Ash and Storm Aegis"/>
        <s v="Hull-Preserving Technique"/>
        <s v="Summit-Piercing Touch"/>
        <s v="Flawless Handiwork Method"/>
        <s v="Crack-Mending Technique"/>
        <s v="Flawless Handiwork Method x2"/>
        <s v="Supreme Masterwork Focus"/>
        <s v="Arete-Shifting Prana"/>
        <s v="Durability-Enhancing Technique"/>
        <s v="Time Heals Nothing"/>
        <s v="Bright-Forging Prana"/>
        <s v="Experiential Conjuring of True Void"/>
        <s v="Design Beyond Limit"/>
        <s v="Unbroken Image Focus"/>
        <s v="Sublime Transference"/>
        <s v="Thousand-Forge Hands"/>
        <s v="Chaos-Resistance Preparation"/>
        <s v="Supreme Masterwork Focus x2"/>
        <s v="Copper Spider Conception"/>
        <s v="Vice-Miracle Technique"/>
        <s v="Words-as-Workshop Method"/>
        <s v="Time Heals Nothing x2"/>
        <s v="The Art of Permanence"/>
        <s v="Realizing the Form Supernal"/>
        <s v="Celestial Reforging Technique"/>
        <s v="Supreme Masterwork Focus x3"/>
        <s v="Mind-Expanding Meditation"/>
        <s v="Inspiration-Renewing Vision"/>
        <s v="Ever-Ready Innovation Discipline"/>
        <s v="Unwinding Gyre Meditation"/>
        <m/>
        <s v="Exegesis of the Distilled Form"/>
        <s v="Wonder-Forging Genius"/>
        <s v="Dual Magnus Prana"/>
        <s v="Essence-Forging Kata"/>
        <s v="Craftsman Needs No Tools"/>
        <s v="Shattering Grasp"/>
        <s v="Breach-Healing Method"/>
        <s v="Tireless Workhorse Method"/>
        <s v="Triumph-Forging Eye"/>
        <s v="Efficient Craftsman Technique"/>
        <s v="Brass Scales Falling"/>
        <s v="Brass Scales Falling x2"/>
        <s v="Red Anvils Ringing"/>
        <s v="Chains Fall Away"/>
        <s v="Peerless Paragon of Craft"/>
        <s v="Blood Diamond Sweat"/>
        <s v="First Movement of the Demiurge"/>
        <s v="Supreme Celestial Focus"/>
        <s v="Ages-Echoing Wisdom"/>
        <s v="Dragon Soul Emergence"/>
        <s v="Supreme Perfection of Craft"/>
        <s v="Clay and Breath Practice"/>
        <s v="Spirit-Gathering Industry"/>
        <s v="Divine Transcendence of Craft"/>
        <s v="Divine Inspiration Technique"/>
        <s v="God-Forge Within"/>
        <s v="Horizon-Unveiling Insight"/>
        <s v="Holistic Miracle Understanding"/>
        <s v="Spirit-Stoking Elevation"/>
        <s v="Sun-Heart Tenacity"/>
        <s v="Object-Strengthening Touch"/>
        <s v="Energic Influence Technique"/>
        <s v="Motive-Discerning Technique x3"/>
        <s v="Umbral Eyes Focus"/>
        <s v="Intent-Tracing Stare"/>
        <s v="Rancor-Raising Spirit"/>
        <s v="Culture Hero Approach"/>
        <s v="Unimpeachable Discourse Technique"/>
        <s v="Indecent Proposal Method"/>
        <s v="Dauntless Assayer Method"/>
        <s v="Wise-Eyed Courtier Method"/>
        <s v="Discretionary Gesture"/>
        <s v="Deep-Eyed Soul Gazing"/>
        <s v="Easily-Discarded Presence Method"/>
        <s v="Inverted Ego Mask"/>
        <s v="Soul-Testing Method"/>
        <s v="Cunning Insight Technique"/>
        <s v="Doubt-Sowing Contention Method"/>
        <s v="Effective Counterargument"/>
        <s v="Wise Counsel (Flashing Soul Reform)"/>
        <s v="Aspersions Cast Aside"/>
        <s v="Asp Bites Its Tail"/>
        <s v="Seen and Seeing Method"/>
        <s v="Seen and Seeing Method x2"/>
        <s v="Face-Charming Prana"/>
        <s v="Selfsame Master Procurer"/>
        <s v="Soul-Void Kata"/>
        <s v="Enduring Mental Toughness x3"/>
        <s v="Invincible Solar Aegis"/>
        <s v="Empathic Aegis Discipline"/>
        <s v="Inviolable Essence-Merging"/>
        <s v="Enduring Mental Toughness"/>
        <s v="Spirit-Maintaining Maneuver"/>
        <s v="Mind-Cleansing Prana"/>
        <s v="Steel Heart Stance"/>
        <s v="Clear Mind Discipline"/>
        <s v="Energy Restoration Prana"/>
        <s v="Watchful Eyes of Heaven"/>
        <s v="Soul-Nourishing Technique"/>
        <s v="Spirit-Tempering Practice"/>
        <s v="Empowered Soul Technique"/>
        <s v="Transcendent Hero's Meditation"/>
        <s v="Righteous Soul Judgment"/>
        <s v="Barque of Transcendent Vision"/>
        <s v="Unhesitating Dedication"/>
        <s v="Eminent Paragon Approach"/>
        <s v="Divine Mantle"/>
        <s v="Strength From Conviction Stance"/>
        <s v="Accord of the Unbreakable Spirit"/>
        <s v="Destiny-Manifesting Method"/>
        <s v="Stubborn Boar Defense"/>
        <s v="Integrity-Protecting Prana"/>
        <s v="Legend-Soul Revival"/>
        <s v="Undying Solar Resolve"/>
        <s v="Righteous Lion Defense"/>
        <s v="Phoenix Renewal Tactic"/>
        <s v="Phoenix Renewal Tactic x2"/>
        <s v="Sun King Radiance"/>
        <s v="Body-Restoring Benison"/>
        <s v="Enduring Mental Toughness x2"/>
        <s v="Temptation-Resisting Stance"/>
        <s v="Knowing the Soul's Price"/>
        <s v="Understanding the Court"/>
        <s v="Seen and Seeing Method x3"/>
        <s v="Venomous Rumors Technique"/>
        <s v="At Your Service"/>
        <s v="Fugue-Empowered Other"/>
        <s v="Soul Reprisal"/>
        <s v="Quicksilver Falcon's Eye"/>
        <s v="Preeminent Gala Knife"/>
        <s v="Endless Obsession Feint"/>
        <s v="Fete-Watcher Stance"/>
        <s v="Unbound Social Mastery"/>
        <s v="Heart-Eclipsing Shroud"/>
        <s v="Hundred-Faced Stranger"/>
        <s v="Legend Mask Methodology"/>
        <s v="Friend of a Friend Approach"/>
        <s v="Even-Touched Prophet"/>
        <s v="Draw the Curtain"/>
        <s v="Mastery of Small Manners"/>
        <s v="Master Plan Meditation"/>
        <s v="Split Deception Method"/>
        <s v="Null Anima Gloves"/>
        <s v="Flawless Pickpocketing Technique"/>
        <s v="Lock-Opening Touch"/>
        <s v="Preying on Uncertainty Approach"/>
        <s v="Clever Bandit's Rook"/>
        <s v="Swift Gambler's Eye"/>
        <s v="Lightning-Hand Sleight"/>
        <s v="Phantom Hood Technique"/>
        <s v="Living Shadow Preparedness"/>
        <s v="Doubt-Sealing Heist"/>
        <s v="Unshakable Rogue's Spirit"/>
        <s v="Proof-Eating Palm"/>
        <s v="Stealing From Plain Sight Spirit"/>
        <s v="Magpie's Invisible Talon"/>
        <s v="Reversal of Fortune"/>
        <s v="Door-Evading Technique"/>
        <s v="Fate-Shifting Solar Arete"/>
        <s v="Skillful Reappropriation (Phantom Sting Search)"/>
        <s v="Iron Wolves' Grasp"/>
        <s v="Flashing Ruse Prana"/>
        <s v="Sun-Stealing Shadow Spirit"/>
        <s v="Fate-Shifting Solar Arete x2"/>
        <s v="Unbroken Darkness Approach"/>
        <s v="Night's Eye Meditation"/>
        <s v="Seasoned Criminal Method"/>
        <s v="Criminal Seduction Method"/>
        <s v="Perfect Mirror"/>
        <s v="Spurious Presence"/>
        <s v="Flawlessly Impenetrable Disguise"/>
        <s v="Ocean-Conquering Avatar"/>
        <s v="Salty Dog Method"/>
        <s v="Shipwreck-Surviving Stamina"/>
        <s v="Fathoms-Fed Spirit"/>
        <s v="Orichalcum Letters of Marque"/>
        <s v="Ship-Imperiled Vigor"/>
        <s v="Ship-Razing Renewal"/>
        <s v="Ship-Leavening Meditation"/>
        <s v="Implacable Sea Wolf Spirit"/>
        <s v="Burning Anima Sails"/>
        <s v="Invincible Admiral Method"/>
        <s v="Black Fathoms Blessed"/>
        <s v="Mast of Everything Situation"/>
        <s v="Master and Commander Method"/>
        <s v="Safe Bearing Technique"/>
        <s v="Indolent Official Charm"/>
        <s v="Foul Air of Argument Technique"/>
        <s v="Pattern-Exploiting Commerce Spirit"/>
        <s v="Taboo-Inflicting Diatribe"/>
        <s v="Frugal Merchant Method"/>
        <s v="Measuring Glance"/>
        <s v="Insightful Buyer Technique"/>
        <s v="Consumer-Evaluating Glance"/>
        <s v="Illimitable Master Fence"/>
        <s v="Irresistible Salesman Spirit"/>
        <s v="Bureau-Reforming Kata"/>
        <s v="Semantic Argument Technique"/>
        <s v="Honor-Instilling Mantra"/>
        <s v="Soul-Snaring Pitch"/>
        <s v="Subject-Hailing Ideology"/>
        <s v="Creation of Adamant Specie"/>
        <s v="Spectacle-Inciting Order"/>
        <s v="Bureau-Rectifying Method"/>
        <s v="Order-Conferring Action"/>
        <s v="Enigmatic Bureau Understanding"/>
        <s v="Power-Awarding Prana"/>
        <s v="Essence-Lending Method"/>
        <s v="Will-Bolstering Method"/>
        <s v="Flowing Mind Prana"/>
        <s v="Wound-Accepting Technique"/>
        <s v="Tireless Learner Method"/>
        <s v="Lore-Inducing Concentration"/>
        <s v="Truth-Rendering Gaze"/>
        <s v="Sacred Relic Understanding"/>
        <s v="Wake the Sleeper"/>
        <s v="Injury-Forcing Technique"/>
        <s v="Essence-Draining Touch"/>
        <s v="Essence-Twining Method"/>
        <s v="Force-Draining Whisper"/>
        <s v="Flowing Essence Conversion"/>
        <s v="Power-Restoring Invocation"/>
        <s v="Order-Affirming Blow"/>
        <s v="Wyld-Shaping Technique"/>
        <s v="Wyld-Called Weapon"/>
        <s v="Cloud-Wreathed Scholar"/>
        <s v="Hundred Sages Focus"/>
        <s v="Tome-Rearing Gesture"/>
        <s v="Prophet of Seventeen Cycles"/>
        <s v="Will-Shattering Illusion"/>
        <s v="Surging Inner Fire"/>
        <s v="Seal of Infinite Wisdom"/>
        <s v="Manse-Raising Method"/>
        <s v="All-Knowing Enlightened Sovereign"/>
        <s v="God-King's Shrike (Dogstar Ruminations)"/>
        <s v="Incalculable Flowing Mind"/>
        <s v="Unstoppable Magnus Approach"/>
        <s v="Chaos-Repelling Pattern"/>
        <s v="Harmonious Academic Methodology"/>
        <s v="Bottomless Wellspring Approach"/>
        <s v="Essence Font Technique"/>
        <s v="Soul-Light Spreading Discipline"/>
        <s v="Legendary Scholar's Curriculum"/>
        <s v="Selfsame Master Instructor"/>
        <s v="Heaven-Turning Calculations"/>
        <s v="Immanent Solar Glory"/>
        <s v="Surging Essence Flow"/>
        <s v="Hero-Induction Method"/>
        <s v="Wyld Cauldron Mastery"/>
        <s v="Wyld-Forging Focus"/>
        <s v="Legend-Spirit Convocation"/>
        <s v="Sevenfold Savant Mantle"/>
        <s v="Power Beyond Reason"/>
        <s v="Demiurgic Suspiration"/>
        <s v="Power Beyond Reason x2"/>
        <s v="Savant of Nine Glories"/>
        <s v="First Knowledge's Grace"/>
        <s v="Hidden Wisdom Bestowal"/>
        <s v="Wyld-Dispelling Prana"/>
        <s v="Feit of Imparted Nature"/>
        <s v="Time-Halting Flow"/>
        <s v="Ailment-Rectifying Method"/>
        <s v="Flawless Diagnosis Technique"/>
        <s v="Plague-Banishing Incitation"/>
        <s v="Wound-Mending Care Technique"/>
        <s v="Wound-Cleansing Meditation"/>
        <s v="Touch of Blissful Release"/>
        <s v="Instant Treatment Methodology"/>
        <s v="Wound-Banishing Strike"/>
        <s v="Body-Purifying Admonitions"/>
        <s v="Anointment of Miraculous Health"/>
        <s v="Body-Sculpting Essence Method"/>
        <s v="Wholeness-Restoring Meditation"/>
        <s v="Healing Trance Meditation"/>
        <s v="Life-Exchanging Prana"/>
        <s v="Healer's Unerring Hands"/>
        <s v="Contagion-Curing Touch"/>
        <s v="Master Chirurgeon Meditation"/>
        <s v="Benison of Celestial Healing"/>
        <s v="Life-Sculpting Hands Technique"/>
        <s v="Immaculate Solar Physician"/>
        <s v="Perfect Celestial Chirurgeon"/>
        <s v="Anodyne of Celestial Dreaming"/>
        <s v="Summoning the Loyal Steel"/>
        <s v="Divine Executioner Stance"/>
        <s v="Dipping Swallow Defense"/>
        <s v="Call the Blade"/>
        <s v="Nimble Reaving Wind"/>
        <s v="Excellent Strike"/>
        <s v="One Weapon Two Blows"/>
        <s v="Fire and Stones Strike"/>
        <s v="Peony Blossom Technique"/>
        <s v="Arc Shedding Rain Technique"/>
        <s v="Solar Counterattack"/>
        <s v="Gleaming Sever"/>
        <s v="Guard-Breaking Technique"/>
        <s v="Hail-Shattering Practice"/>
        <s v="Rising Sun Slash"/>
        <s v="Iron Raptor Technique"/>
        <s v="Sandstorm-Wind Attack"/>
        <s v="Edge of Morning Sunlight"/>
        <s v="Stark Truth of Steel Method"/>
        <s v="Iron Whirlwind Attack"/>
        <s v="Heavenly Guardian Defense"/>
        <s v="Hungry Tiger Technique"/>
        <s v="Perfect Strike Discipline"/>
        <s v="Flashing Edge of Dawn"/>
        <s v="Fervent Blow"/>
        <s v="Blazing Solar Bolt"/>
        <s v="Whirlwind-Tempest Deflection"/>
        <s v="Shattering Clash"/>
        <s v="Omniscient Focus Attack"/>
        <s v="All-Sundering Strike"/>
        <s v="Heaven Sword Flash"/>
        <s v="Circle of Bright Reaving"/>
        <s v="Unassailable Guardian Posture"/>
        <s v="Calm and Ready Focus"/>
        <s v="Agile Dragonfly Blade"/>
        <s v="Foe-Cleaving Focus"/>
        <s v="Invincible Fury of the Dawn"/>
        <s v="Over-and-Under Method"/>
        <s v="Sharp Light of Judgment Stance"/>
        <s v="Protection of Celestial Bliss"/>
        <s v="War Lion Stance"/>
        <s v="Glorious Solar Saber"/>
        <s v="Fivefold Bulwark Stance"/>
        <s v="Immortal Blade Triumphant"/>
        <s v="Corona of Radiance"/>
        <s v="Victorious Wreath (Against the World Stance)"/>
        <s v="Bulwark Stance"/>
        <s v="Ready in Eight Directions Stance"/>
        <s v="Ungoverned Market Awareness"/>
        <s v="Empowered Barter Stance"/>
        <s v="Woe-Capturing Web"/>
        <s v="Omen-Spawning Beast"/>
        <s v="Eclectic Verbiage of Law"/>
        <s v="Infinitely-Efficient Register"/>
        <s v="Deft Official's Way"/>
        <s v="Enlightened Discourse Method"/>
        <s v="All-Seeing Master Procurer"/>
        <s v="Speed the Wheels"/>
        <s v="Mind-Swallowing Missive"/>
        <s v="Excellent Emissary's Tongue"/>
        <s v="Perfect Recollection Discipline"/>
        <s v="Indelible Spoken Script"/>
        <s v="Whirling Brush Method"/>
        <s v="Flawless Brush Discipline"/>
        <s v="Letter-Within-A-Letter Technique"/>
        <s v="Flowing Elegant Hand"/>
        <s v="Strange Tongue Understanding"/>
        <s v="Poetic Expression Style"/>
        <s v="Sagacious Reading of Intent"/>
        <s v="Word-Shield Invocation"/>
        <s v="Stolen Voice Technique"/>
        <s v="Essence-Laden Missive"/>
        <s v="Moving the Unseen Hand"/>
        <s v="Voice-Caging Calligraphy"/>
        <s v="Vanishing Immersion Style"/>
        <s v="Flowing Elegant Hand x2"/>
        <s v="Power-Snaring Image"/>
        <s v="Cup Boils Over"/>
        <s v="Twisted Words Technique"/>
        <s v="Mind-Scribing Method"/>
        <s v="Heaven-Drawing Discipline"/>
        <s v="Soul-Drawing Pattern"/>
        <s v="Heaven-Drawing Discipline x2"/>
        <s v="Unbreakable Fascination Method"/>
        <s v="Flowing Elegant Hand x3"/>
        <s v="Heaven-Drawing Discipline x3"/>
        <s v="Subtle Speech Method"/>
        <s v="Thousand Courtesan Ways"/>
        <s v="Masterful Performance Exercise"/>
        <s v="Impassioned Orator Technique"/>
        <s v="Perfect Harmony Technique"/>
        <s v="Graceful Reed Dancing"/>
        <s v="Cunning Mimicry Technique"/>
        <s v="Battle-Dancer Method"/>
        <s v="Shining Expression Style"/>
        <s v="Voice-Hurling Method"/>
        <s v="Splendid Magpie Approach"/>
        <s v="Celestial Bliss Trick"/>
        <s v="Soul-Firing Performance"/>
        <s v="Fury Inciting Speech"/>
        <s v="Heart-Compelling Method"/>
        <s v="Divine Instrument"/>
        <s v="Drama-Fueling Ardor"/>
        <s v="Dogmatic Contagion Discipline"/>
        <s v="Plectral Harbinger's Approach"/>
        <s v="Winding Sinuous Motion"/>
        <s v="Soul-Bracing Momentous Power"/>
        <s v="Memory-Reweaving Discipline"/>
        <s v="Demon Wracking Shout"/>
        <s v="Infectious Zealotry Approach"/>
        <s v="Monk-Seducing Demon Dance"/>
        <s v="Seventeen Cycles Symphony"/>
        <s v="Divinely-Inspired Performance"/>
        <s v="Memory-Reweaving Discipline x2"/>
        <s v="Pivotal Encore Performance"/>
        <s v="Respect-Commanding Attitude"/>
        <s v="Penultimate Unity of Form"/>
        <s v="Soul Voice"/>
        <s v="Mood-Inducing Music"/>
        <s v="Battle Anthem (of the Solar Exalted)"/>
        <s v="Soul-Stirring Cantata"/>
        <s v="Heroism-Encouraging Ballad"/>
        <s v="Stillness-Drawing Meditation"/>
        <s v="Phantom-Conjuring Performance"/>
        <s v="Unmatched Showmanship Style"/>
        <s v="Most Excellent Mockingbird"/>
        <s v="Master Thespian Style"/>
        <s v="Trance of Fugue Vision"/>
        <s v="Seven Thunders Voice"/>
        <s v="Flashing Quill Atemi"/>
        <s v="Swift Sage's Eye"/>
        <s v="Perfect Celestial Author"/>
        <s v="Mingled Tongue Technique"/>
        <s v="Single Voice Kata"/>
        <s v="Discerning Savant's Eye"/>
        <s v="Gloaming Eye Understanding"/>
        <s v="Uncanny Perception Technique"/>
        <s v="Spirit-Cutting Attack"/>
        <s v="Spirit-Manifesting Word"/>
        <s v="Ghost-Eating Technique"/>
        <s v="Uncanny Shroud Defense"/>
        <s v="Phantom-Seizing Strike"/>
        <s v="Supernal Control Method"/>
        <s v="Breath-Drinker Method"/>
        <s v="Material Exegesis Prana"/>
        <s v="Dark-Minder's Observances"/>
        <s v="All-Encompassing Sorcerer's Sight"/>
        <s v="Carnal Spirit Rending"/>
        <s v="Burning Exorcism Technique"/>
        <s v="Soul Projection Method"/>
        <s v="All Souls Benediction"/>
        <s v="Anima-Suffused Spirit"/>
        <s v="Spirit-Shredding Exorcism"/>
        <s v="Spirit-Drawing Oculus"/>
        <s v="Ephemeral Induction Technique"/>
        <s v="Keen Unnatural Eye"/>
        <s v="Terrestrial Circle Sorcery"/>
        <s v="Six Eternities' Travail"/>
        <s v="Celestial Circle Sorcery"/>
        <s v="Armored Scout's Invigoration"/>
        <s v="Glorious Solar Plate"/>
        <s v="Armed and Ready Discipline"/>
        <s v="Whirlwind Armor-Donning Prana"/>
        <s v="Spirit Strengthens the Skin"/>
        <s v="Body-Mending Meditation"/>
        <s v="Front-Line Warrior's Stamina"/>
        <s v="Essence-Gathering Temper"/>
        <s v="Hauberk-Summoning Gesture"/>
        <s v="Willpower-Enhancing Spirit"/>
        <s v="Adamant Skin Technique"/>
        <s v="Unbreakable Warrior's Mastery"/>
        <s v="Ruin-Abasing Shrug"/>
        <s v="Fury-Fed Ardor"/>
        <s v="Iron Skin Concentration"/>
        <s v="Illness-Resisting Meditation"/>
        <s v="Immunity to Everything Technique"/>
        <s v="Durability of Oak Meditation"/>
        <s v="Iron Kettle Body"/>
        <s v="Ox-Body Technique"/>
        <s v="Tiger Warrior's Endurance"/>
        <s v="Aegis of Invincible Might"/>
        <s v="Fortress-Body Discipline"/>
        <s v="Poison-Resisting Meditation"/>
        <s v="Diamond-Body Prana"/>
        <s v="Battle Fury Focus"/>
        <s v="Bloodthirsty Sword-Dancer Spirit"/>
        <s v="Wound-Knitting Exercise"/>
        <s v="Seasoned Beast-Rider's Approach"/>
        <s v="Elusive Mount Technique"/>
        <s v="Wind-Racing Essence Infusion"/>
        <s v="Single Spirit Method"/>
        <s v="Mount Preservation Method"/>
        <s v="Harmonious Tacking Technique"/>
        <s v="Immortal Rider's Advantage"/>
        <s v="Untouchable Horseman's Attitude"/>
        <s v="Immortal Charger's Gallop"/>
        <s v="Saddle-Staying Courses"/>
        <s v="Rousing Backlash Assault"/>
        <s v="Woe and Storm Evasion"/>
        <s v="Coursing Firebolt Flash"/>
        <s v="Horse-Stealing Leap"/>
        <s v="Horse-Healing Technique"/>
        <s v="Resilience of the Chosen Mount"/>
        <s v="Phantom Rider's Approach"/>
        <s v="Grizzled Cataphract's Way"/>
        <s v="Soaring Pegasus Style"/>
        <s v="Whirlwind Horse-Armoring Prana"/>
        <s v="Seven Cyclones Rearing"/>
        <s v="Storm-Racing Destrier"/>
        <s v="Phantom Steed"/>
        <s v="Bard-Lightening Prana"/>
        <s v="Flashing Thunderbolt Steed"/>
        <s v="Inexhaustible Destrier's Gait"/>
        <s v="Sometimes Horses Fly Approach"/>
        <s v="Master Horseman's Techniques"/>
        <s v="Worthy Mount Technique"/>
        <s v="Speed-Fury Focus"/>
        <s v="Wrathful Mount Invigoration"/>
        <s v="Hero Rides Away"/>
        <s v="Fierce Charger's Pulse"/>
        <s v="Untouchable Solar Steed"/>
        <s v="Supernal Lash Discipline"/>
        <s v="Rapid Cavalry Approach"/>
        <s v="Iron Simhata Style"/>
        <s v="Burning Eye of the Deliverer"/>
        <s v="Wyld-Binding Prana"/>
        <s v="Spirit-Draining Mudra"/>
        <s v="Demon-Compelling Noose"/>
        <s v="Sorcerer's Burning Chakra"/>
        <s v="Immortal Soul Vigil"/>
        <s v="Solar Circle Sorcery"/>
        <s v="Spirit-Detecting Glance"/>
        <s v="Spirit-Draining Stance"/>
        <s v="Ancient Tongue Understanding"/>
        <s v="Spirit-Slaying Stance"/>
        <s v="Spirit-Repelling Diagram"/>
        <s v="Nine Specters Ban"/>
        <s v="What Light Reveals (Living Specter's Flame)"/>
        <s v="Spirit-Caging Mandala"/>
        <s v="Underling-Promoting Touch"/>
        <s v="Awakened Carnal Demiurge"/>
        <s v="Hypnotic Tongue Technique"/>
        <s v="Shedding Infinite Radiance"/>
        <s v="Favor-Conferring Prana"/>
        <s v="Voice-Empowering Aspect (Aspect-Imbued Voice)"/>
        <s v="Divinity-Conferring Touch (Celestial Exaltation Method)"/>
        <s v="Listener-Swaying Argument"/>
        <s v="Poised Lion Attitude"/>
        <s v="Impassioned Discourse Technique"/>
        <s v="Threefold Magnetic Ardor"/>
        <s v="Empowering Shout"/>
        <s v="Enemy-Castigating Solar Judgment"/>
        <s v="Fulminating Word"/>
        <s v="Blazing Glorious Icon"/>
        <s v="Mind-Wiping Gaze"/>
        <s v="Prophet-Uplifting Evocation"/>
        <s v="Rose-Lipped Seduction Style"/>
        <s v="Holy Touch"/>
        <s v="God-Heeling Gesture"/>
        <s v="Unnerving Solar Presence"/>
        <s v="Crowned King of Eternity"/>
        <s v="Tiger's Dread Symmetry"/>
        <s v="Excellent Friend Approach"/>
        <s v="Worshipful Lackey Acquisition"/>
        <s v="Harmonious Presence Meditation"/>
        <s v="Majestic Radiant Presence"/>
        <s v="Authority-Radiating Stance"/>
        <s v="Terrifying Apparition of Glory"/>
        <s v="Countenance of Vast Wrath"/>
        <s v="Viper-Scenting Method"/>
        <s v="Elusive Dream Defense"/>
        <s v="Invisible Statue Spirit"/>
        <s v="Stalking Wolf Attitude"/>
        <s v="Stalking Shadow Spirit"/>
        <s v="Blurred Form Style"/>
        <s v="Sun Swallowing Practice"/>
        <s v="Vanishing From Mind's Eye Method"/>
        <s v="Shadow Replacement Technique"/>
        <s v="Food-Gathering Exercise, Friendship with Animals Approach, Hardship-Surviving Mendicant Spirit"/>
        <s v="Perfect Shadow Stillness"/>
        <s v="Blinding Battle Feint"/>
        <s v="Guardian Fog Approach"/>
        <s v="Shadow Victor's Repose"/>
        <s v="Dark Sentinel's Way"/>
        <s v="Flash-Eyed Killer's Insight"/>
        <s v="Hidden Snake Recoil"/>
        <s v="Smoke and Shadow Cover"/>
        <s v="Killing Shroud Technique"/>
        <s v="Shadow-Crossing Leap Technique"/>
        <s v="Shadow-Striking Way"/>
        <s v="False Image Feint"/>
        <s v="Sound and Scent Banishing Attitude"/>
        <s v="Mind Shroud Meditation"/>
        <s v="Fivefold Shadow Burial"/>
        <s v="Easily-Overlooked Presence Method"/>
        <s v="Mental Invisibility Technique"/>
        <s v="Ten Whispers Silence Meditation"/>
        <s v="Fetich-Tracing Eye"/>
        <s v="Watchman's Infallible Eye"/>
        <s v="Crafty Observation Method"/>
        <s v="Judge's Ear Technique"/>
        <s v="Evidence-Discerning Method"/>
        <s v="Watchful Justiciar's Eye"/>
        <s v="Irresistible Questioning Technique"/>
        <s v="Ten Magistrate Eyes"/>
        <s v="Unknown Wisdom Epiphany"/>
        <s v="Enlightened Touch Insight"/>
        <s v="Judge-General's Stance"/>
        <s v="Empathic Recall Discipline"/>
        <s v="Mind Manse Meditation"/>
        <s v="Truth-Rendering Attitude"/>
        <s v="Inquisitor's Unfailing Notice"/>
        <s v="Divine Induction Technique"/>
        <s v="Miraculous Stunning Insight"/>
        <s v="Dauntless Inquisitor Attitude"/>
        <s v="Evidence-Restoring Prana"/>
        <s v="Spider Foot Style"/>
        <s v="Eagle-Wing Style"/>
        <s v="Monkey Leap Technique"/>
        <s v="Foe-Vaulting Method"/>
        <s v="Soaring Crane Leap"/>
        <s v="Lightning Speed"/>
        <s v="Thunderbolt Attack Prana"/>
        <s v="Strength-Hying Heave"/>
        <s v="Armor-Eating Strike"/>
        <s v="Leaping Tiger Attack"/>
        <s v="Thunder's Might"/>
        <s v="Demon-Wasting Rush"/>
        <s v="Hurricane Spirit Speed"/>
        <s v="Godspeed Steps"/>
        <s v="Power Suffusing Form Technique"/>
        <s v="Nine Aeons Thew"/>
        <s v="Mountain-Crossing Leap Technique"/>
        <s v="Ten Ox Meditation"/>
        <s v="Racing Hare Method"/>
        <s v="Feather Foot Style"/>
        <s v="Winning Stride Discipline"/>
        <s v="Onrush Burst Method"/>
        <s v="Unbound Eagle Approach"/>
        <s v="Arete-Driven Marathon Stride"/>
        <s v="Legion Aurochs Method"/>
        <s v="Triumph-Forged God-Body"/>
        <s v="One Extra Step"/>
        <s v="Bonfire Anima Wings"/>
        <s v="Aegis of Unstoppable Force"/>
        <s v="Living Wind Approach"/>
        <s v="Graceful Crane Stance"/>
        <s v="Increasing Strength Exercise"/>
        <s v="Faster than Self Technique"/>
        <s v="Trackless Region Navigation"/>
        <s v="Eye-Deceiving Camouflage"/>
        <s v="Saga Beast Virtue"/>
        <s v="Deadly Predator Method"/>
        <s v="Food-Gathering Exercise, Friendship with Animals Approach, Element-Resisting Prana"/>
        <s v="Harmony with Nature Approach"/>
        <s v="Spirit-Tied Pet"/>
        <s v="Familiar-Honing Instruction"/>
        <s v="Ambush Predator Style"/>
        <s v="Bestial Traits Technique"/>
        <s v="Unshakeable Bloodhound Technique"/>
        <s v="Deadly Onslaught Coordination"/>
        <s v="Traceless Passage"/>
        <s v="Red-Toothed Execution Order"/>
        <s v="Baara-Unleashing Technique"/>
        <s v="Hardship-Surviving Mendicant Spirit"/>
        <s v="Food-Gathering Exercise"/>
        <s v="Spirit-Hunting Hound"/>
        <s v="Phantom-Rending Fangs"/>
        <s v="Beast-Mastering Behavior"/>
        <s v="Hide-Hardening Practice"/>
        <s v="Life of the Aurochs"/>
        <s v="Force-Building Predator Style"/>
        <s v="Element-Resisting Prana"/>
        <s v="Ghost Panther Slinking"/>
        <s v="Crimson Talon Vigor"/>
        <s v="Friendship with Animals Approach"/>
        <s v="Riotous Cry of the Beast"/>
        <s v="Colossal Rampaging Beast"/>
        <s v="Precision of the Striking Raptor"/>
        <s v="Steel Storm Descending"/>
        <s v="Flashing Draw Mastery"/>
        <s v="Joint-Wounding Attack"/>
        <s v="Triple Distance Attack Technique"/>
        <s v="Spitting Hand Technique"/>
        <s v="Angle-Tracing Edge"/>
        <s v="Cascade of Cutting Terror"/>
        <s v="Diving Hawk Discipline"/>
        <s v="Thunder-Quelling Gesture"/>
        <s v="Swarm-Culling Instinct"/>
        <s v="Mist on Water Attack"/>
        <s v="Observer-Deceiving Attack"/>
        <s v="Flying Steel Ruse"/>
        <s v="Fallen Weapon Deflection"/>
        <s v="Fallen Weapon Deflection x2"/>
        <s v="Mist-Gathering Practice"/>
        <s v="Shower of Deadly Blades"/>
        <s v="Death-Dealing Diffusion"/>
        <s v="Whirlwind Hand of the Striker"/>
        <s v="Shrike Saving Discretion"/>
        <s v="Crimson Razor Wind"/>
        <s v="Sharp Hand Feint"/>
        <s v="Shadow Wind Slash (Shadow Wind Kill)"/>
        <s v="Shadow Thrust Spark"/>
        <s v="Savage Wolf Attack"/>
        <s v="Falling Icicle Strike"/>
        <s v="Fiery Solar Chakram"/>
        <s v="Dancing Steel Symphony"/>
        <s v="Cutting Circle of Destruction"/>
        <s v="Empty Palm Technique"/>
        <s v="League of Iron Preparation"/>
        <s v="Tiger Warrior Training Technique"/>
        <s v="War God Descendent"/>
        <s v="Immortal Commander's Presence"/>
        <s v="Holistic Battle Understanding"/>
        <s v="Ideal Battle Knowledge Prana"/>
        <s v="Rout-Stemming Gesture"/>
        <s v="Redoubt-Raising Gesture"/>
        <s v="Magnanimity of the Unstoppable Icon"/>
        <s v="General of the All-Seeing Sun"/>
        <s v="Immortal Warlord's Tactic"/>
        <s v="Battle Path Ascendant"/>
        <s v="March of the Returner"/>
        <s v="Supremacy of the Divine Army"/>
        <s v="Transcendent Warlord's Genius"/>
        <s v="One with Five Forces"/>
        <s v="Four Glories Meditation"/>
        <s v="Unstoppable Solar Conqueror"/>
        <s v="Battle-Visionary's Foresight"/>
      </sharedItems>
    </cacheField>
    <cacheField name="Cost" numFmtId="0">
      <sharedItems containsBlank="1"/>
    </cacheField>
    <cacheField name="Type2" numFmtId="0">
      <sharedItems containsBlank="1"/>
    </cacheField>
    <cacheField name="Keywords" numFmtId="0">
      <sharedItems containsBlank="1"/>
    </cacheField>
    <cacheField name="Duration" numFmtId="0">
      <sharedItems containsBlank="1"/>
    </cacheField>
    <cacheField name="Description" numFmtId="0">
      <sharedItems containsBlank="1" longText="1"/>
    </cacheField>
    <cacheField name="Page #" numFmtId="0">
      <sharedItems containsBlank="1" containsMixedTypes="1" containsNumber="1" containsInteger="1" minValue="255" maxValue="423"/>
    </cacheField>
    <cacheField name="Ability" numFmtId="0">
      <sharedItems containsBlank="1" count="26">
        <s v="Archery"/>
        <s v="Awareness"/>
        <s v="Dodge"/>
        <s v="Socialize"/>
        <s v="Brawl"/>
        <s v="Sail"/>
        <s v="Craft"/>
        <s v="Integrity"/>
        <s v="Larceny"/>
        <s v="Bureaucr."/>
        <s v="Lore"/>
        <s v="Medicine"/>
        <s v="Melee"/>
        <s v="Linguistics"/>
        <s v="Perform."/>
        <s v="Occult"/>
        <s v="Resistan."/>
        <s v="Ride"/>
        <s v="Presence"/>
        <s v="Stealth"/>
        <s v="Investig."/>
        <s v="Athletics"/>
        <s v="Survival"/>
        <s v="Thrown"/>
        <s v="War"/>
        <m/>
      </sharedItems>
    </cacheField>
    <cacheField name="Abil. Min" numFmtId="0">
      <sharedItems containsBlank="1" containsMixedTypes="1" containsNumber="1" containsInteger="1" minValue="1" maxValue="5" count="7">
        <n v="2"/>
        <n v="3"/>
        <n v="4"/>
        <n v="5"/>
        <n v="1"/>
        <s v="5*"/>
        <m/>
      </sharedItems>
    </cacheField>
    <cacheField name="Ess. Min" numFmtId="0">
      <sharedItems containsString="0" containsBlank="1" containsNumber="1" containsInteger="1" minValue="1" maxValue="6" count="7">
        <n v="1"/>
        <n v="2"/>
        <n v="3"/>
        <n v="4"/>
        <n v="5"/>
        <n v="6"/>
        <m/>
      </sharedItems>
    </cacheField>
    <cacheField name="Aspect Space" numFmtId="0">
      <sharedItems containsBlank="1" count="15">
        <s v="dawn"/>
        <s v="dawn, night"/>
        <s v="night, eclipse"/>
        <s v="eclipse"/>
        <s v="twilight"/>
        <s v="zenith, twilight"/>
        <s v="twilight, eclipse"/>
        <s v="zenith"/>
        <s v="dawn, zenith"/>
        <s v="zenith, eclipse"/>
        <s v="night"/>
        <s v="twilight, night"/>
        <s v="zenith, night"/>
        <m/>
        <s v="dawn,zenith" u="1"/>
      </sharedItems>
    </cacheField>
    <cacheField name="Prerequisites" numFmtId="0">
      <sharedItems containsBlank="1"/>
    </cacheField>
    <cacheField name="Prereq Spec." numFmtId="0">
      <sharedItems containsBlank="1"/>
    </cacheField>
  </cacheFields>
  <extLst>
    <ext xmlns:x14="http://schemas.microsoft.com/office/spreadsheetml/2009/9/main" uri="{725AE2AE-9491-48be-B2B4-4EB974FC3084}">
      <x14:pivotCacheDefinition pivotCacheId="9443625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ъатта" refreshedDate="45856.025070023148" missingItemsLimit="0" createdVersion="8" refreshedVersion="8" minRefreshableVersion="3" recordCount="506" xr:uid="{FCBD8ECA-2B64-4462-AA65-673A139F869E}">
  <cacheSource type="worksheet">
    <worksheetSource ref="A1:T1048576" sheet="Siderial"/>
  </cacheSource>
  <cacheFields count="20">
    <cacheField name="Type" numFmtId="0">
      <sharedItems containsBlank="1" count="2">
        <s v="Sidereal"/>
        <m/>
      </sharedItems>
    </cacheField>
    <cacheField name="Name" numFmtId="0">
      <sharedItems containsBlank="1"/>
    </cacheField>
    <cacheField name="Выбор" numFmtId="0">
      <sharedItems containsBlank="1" count="4">
        <s v="зеленый"/>
        <s v="синий"/>
        <s v="оранж"/>
        <m/>
      </sharedItems>
    </cacheField>
    <cacheField name="Фильтрация" numFmtId="0">
      <sharedItems containsBlank="1" count="7">
        <s v="возможно"/>
        <s v="вполне"/>
        <s v="вряд ли"/>
        <s v="проблемы с гороскопами"/>
        <s v="скучно"/>
        <s v="тема не та"/>
        <m/>
      </sharedItems>
    </cacheField>
    <cacheField name="Комменты" numFmtId="0">
      <sharedItems containsBlank="1"/>
    </cacheField>
    <cacheField name="Дом" numFmtId="0">
      <sharedItems containsBlank="1" count="7">
        <s v="♄"/>
        <s v="Дом"/>
        <s v="♂"/>
        <s v="☿"/>
        <s v="♀"/>
        <s v="♃"/>
        <m/>
      </sharedItems>
    </cacheField>
    <cacheField name="Дева" numFmtId="0">
      <sharedItems containsBlank="1" count="6">
        <s v="Сатурн"/>
        <s v="Марс"/>
        <s v="Меркурий"/>
        <s v="Венера"/>
        <s v="Юпитер"/>
        <m/>
      </sharedItems>
    </cacheField>
    <cacheField name="Созвездие" numFmtId="0">
      <sharedItems containsBlank="1"/>
    </cacheField>
    <cacheField name="Cost" numFmtId="0">
      <sharedItems containsBlank="1"/>
    </cacheField>
    <cacheField name="Type2" numFmtId="0">
      <sharedItems containsBlank="1"/>
    </cacheField>
    <cacheField name="Keywords" numFmtId="0">
      <sharedItems containsBlank="1"/>
    </cacheField>
    <cacheField name="Duration" numFmtId="0">
      <sharedItems containsBlank="1"/>
    </cacheField>
    <cacheField name="Description" numFmtId="0">
      <sharedItems containsBlank="1"/>
    </cacheField>
    <cacheField name="Page #" numFmtId="0">
      <sharedItems containsBlank="1"/>
    </cacheField>
    <cacheField name="Ability" numFmtId="0">
      <sharedItems containsBlank="1" count="31">
        <s v="Bureaucracy"/>
        <s v="Awareness"/>
        <s v="Battles"/>
        <s v="Presence"/>
        <s v="Thrown"/>
        <s v="Integrity"/>
        <s v="Journeys"/>
        <s v="Athletics"/>
        <s v="Endings"/>
        <s v="Serenities"/>
        <s v="Secrets"/>
        <s v="Resistance"/>
        <s v="Melee"/>
        <s v="Medicine"/>
        <s v="Craft"/>
        <s v="Dodge"/>
        <s v="Linguistics"/>
        <s v="Performance"/>
        <s v="Socialize"/>
        <s v="Lore"/>
        <s v="Occult"/>
        <s v="Stealth"/>
        <s v="Investigate"/>
        <s v="Larceny"/>
        <s v="Archery"/>
        <s v="Brawl"/>
        <s v="War"/>
        <s v="Ride"/>
        <s v="Sail"/>
        <s v="Survival"/>
        <m/>
      </sharedItems>
    </cacheField>
    <cacheField name="Abil. Min" numFmtId="0">
      <sharedItems containsString="0" containsBlank="1" containsNumber="1" containsInteger="1" minValue="1" maxValue="5" count="6">
        <n v="3"/>
        <n v="4"/>
        <n v="1"/>
        <n v="2"/>
        <n v="5"/>
        <m/>
      </sharedItems>
    </cacheField>
    <cacheField name="Ess. Min" numFmtId="0">
      <sharedItems containsString="0" containsBlank="1" containsNumber="1" containsInteger="1" minValue="1" maxValue="5"/>
    </cacheField>
    <cacheField name="Aspect Space" numFmtId="0">
      <sharedItems containsString="0" containsBlank="1" containsNumber="1" containsInteger="1" minValue="0" maxValue="0"/>
    </cacheField>
    <cacheField name="Prerequisites" numFmtId="0">
      <sharedItems containsBlank="1"/>
    </cacheField>
    <cacheField name="Prereq Spec." numFmtId="0">
      <sharedItems containsNonDate="0" containsString="0" containsBlank="1"/>
    </cacheField>
  </cacheFields>
  <extLst>
    <ext xmlns:x14="http://schemas.microsoft.com/office/spreadsheetml/2009/9/main" uri="{725AE2AE-9491-48be-B2B4-4EB974FC3084}">
      <x14:pivotCacheDefinition pivotCacheId="57681337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ъатта" refreshedDate="45894.870905555559" createdVersion="8" refreshedVersion="8" minRefreshableVersion="3" recordCount="48" xr:uid="{AD934988-48CF-4B52-8F02-ECE4239DF1A8}">
  <cacheSource type="worksheet">
    <worksheetSource ref="A1:P1048576" sheet="trials"/>
  </cacheSource>
  <cacheFields count="16">
    <cacheField name="q" numFmtId="0">
      <sharedItems containsString="0" containsBlank="1" containsNumber="1" containsInteger="1" minValue="1" maxValue="46"/>
    </cacheField>
    <cacheField name="color" numFmtId="0">
      <sharedItems containsString="0" containsBlank="1" containsNumber="1" containsInteger="1" minValue="-1" maxValue="1" count="4">
        <n v="1"/>
        <n v="0"/>
        <n v="-1"/>
        <m/>
      </sharedItems>
    </cacheField>
    <cacheField name="испытание" numFmtId="0">
      <sharedItems containsBlank="1" count="47">
        <s v="5. «Песня Безмятежности» "/>
        <s v="6. «Сеть Лжи» "/>
        <s v="8. «Бегство от Судьбы» "/>
        <s v="9. «Море Сомнений» "/>
        <s v="18. «Последний Рубеж» "/>
        <s v="Сад каменных Цветов"/>
        <s v="1. Лабиринт Зеркальных Воспоминаний**"/>
        <s v="Бегство из Лабиринта Воспоминаний"/>
        <s v="3. Дуэль с Тенью Раэда Дахика**"/>
        <s v="Танец Застывших Струн*"/>
        <s v="1. Осада Лукши**"/>
        <s v="4. Поток Обжигающей Правды**"/>
        <s v="5. Ритуал Рассечённого Шёлка**"/>
        <s v="6. Исповедь в Зеркальном Дожде**"/>
        <s v="3. Наследник Рассвета**"/>
        <s v="Восход в Бездне"/>
        <s v="2. «Ловец Слов» "/>
        <s v="3. «Кулаки Рассвета» "/>
        <s v="7. «Кровь и Чернила» "/>
        <s v="10. «Последний Шепот» "/>
        <s v="11. «Суд Молчания» "/>
        <s v="14. «Раны Мира» "/>
        <s v="Испытание Трех Зеркал"/>
        <s v="Сожжённые письма"/>
        <s v="1. Испорченная Симфония**"/>
        <s v="2. Сад Камней и Клинков**"/>
        <s v="1. Угасание Солнца**"/>
        <s v="2. Ковчег Последней Надежды**"/>
        <s v="1. «Тень Героя» "/>
        <s v="4. «Судья и Палач» "/>
        <s v="12. «Гонка на Краю» "/>
        <s v="13. «Театр Теней» "/>
        <s v="15. «Пламя Лукши» "/>
        <s v="16. «Тень Отца» "/>
        <s v="17. «Цена Свободы» "/>
        <s v="19. «Судьба Бунтаря» "/>
        <s v="Хроники Забвения"/>
        <s v="Симфония Безмолвия"/>
        <s v="2. Немой Свидетель**"/>
        <s v="3. Суд Мёртвых Героев**"/>
        <s v="2. Несломленный Монах (Испытание Линя)**"/>
        <s v="3. Три Удара Судьбы**"/>
        <s v="Мост Трёх Шансов"/>
        <s v="1. Источник Воспоминаний**"/>
        <s v="2. Сердце Храма**"/>
        <s v="3. Судья и Преступник**"/>
        <m/>
      </sharedItems>
    </cacheField>
    <cacheField name="блок" numFmtId="0">
      <sharedItems containsNonDate="0" containsDate="1" containsString="0" containsBlank="1" minDate="2025-08-20T00:00:00" maxDate="2025-08-26T00:00:00" count="4">
        <d v="2025-08-20T00:00:00"/>
        <d v="2025-08-23T00:00:00"/>
        <d v="2025-08-25T00:00:00"/>
        <m/>
      </sharedItems>
    </cacheField>
    <cacheField name="Камни" numFmtId="0">
      <sharedItems containsBlank="1" count="6">
        <s v="сапфир"/>
        <s v="изумруд"/>
        <s v="топаз"/>
        <s v="аметист"/>
        <s v="рубин"/>
        <m/>
      </sharedItems>
    </cacheField>
    <cacheField name="счет камня" numFmtId="0">
      <sharedItems containsString="0" containsBlank="1" containsNumber="1" containsInteger="1" minValue="0" maxValue="2"/>
    </cacheField>
    <cacheField name="комментарий" numFmtId="0">
      <sharedItems containsBlank="1" count="25">
        <s v="норм, но перекроить?"/>
        <s v="немного запутанно, но норм"/>
        <s v="круто. Чуть подрихтовать"/>
        <s v="1 и бегство немного перемешать"/>
        <s v="ритм-гейм!"/>
        <s v="гуд"/>
        <s v="клево"/>
        <s v="о да"/>
        <s v="слабо по навыкам Банга"/>
        <s v="классика, но скучно поставлено"/>
        <s v="круто.. Но 0 навыков.."/>
        <s v="круто.. Но мало навыков.."/>
        <s v="может объединить с 10"/>
        <s v="интересно, но не слишком буквально?"/>
        <s v="это не испытание, а просто сцена"/>
        <s v="интересно, но не те люди"/>
        <s v="неее"/>
        <s v="перебор для 1 из5 испытания"/>
        <s v="интересно, но не для 1/5 испытаний"/>
        <s v="сложно для того, чтобы угадать"/>
        <s v="не"/>
        <s v="не.скучно"/>
        <s v="не, не лорно"/>
        <s v="интересно, но не лорно!!"/>
        <m/>
      </sharedItems>
    </cacheField>
    <cacheField name="навык 1" numFmtId="0">
      <sharedItems containsBlank="1"/>
    </cacheField>
    <cacheField name="навык 2" numFmtId="0">
      <sharedItems containsBlank="1"/>
    </cacheField>
    <cacheField name="навык 3" numFmtId="0">
      <sharedItems containsBlank="1"/>
    </cacheField>
    <cacheField name="н1" numFmtId="0">
      <sharedItems containsBlank="1" containsMixedTypes="1" containsNumber="1" containsInteger="1" minValue="0" maxValue="5"/>
    </cacheField>
    <cacheField name="н2" numFmtId="0">
      <sharedItems containsBlank="1" containsMixedTypes="1" containsNumber="1" containsInteger="1" minValue="0" maxValue="5"/>
    </cacheField>
    <cacheField name="н3" numFmtId="0">
      <sharedItems containsBlank="1" containsMixedTypes="1" containsNumber="1" containsInteger="1" minValue="0" maxValue="3"/>
    </cacheField>
    <cacheField name="дева 1" numFmtId="0">
      <sharedItems containsBlank="1"/>
    </cacheField>
    <cacheField name="дева 2" numFmtId="0">
      <sharedItems containsBlank="1"/>
    </cacheField>
    <cacheField name="дева 3"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8">
  <r>
    <x v="0"/>
    <x v="0"/>
    <s v="1m"/>
    <s v="Supplemental"/>
    <s v="Uniform"/>
    <s v="Instant"/>
    <s v="Reduce cover by -1, including no cover. After aiming, can hit around full cover, at only +3 defense."/>
    <n v="255"/>
    <x v="0"/>
    <x v="0"/>
    <x v="0"/>
    <x v="0"/>
    <m/>
    <m/>
  </r>
  <r>
    <x v="0"/>
    <x v="1"/>
    <s v="4m, 1wp"/>
    <s v="Simple"/>
    <s v="Decisive-only"/>
    <s v="Instant"/>
    <s v="Spread init over many attacks, on single or multiple targets. Each 10 on attack gives +1 base damage. Doesn't need to aim."/>
    <n v="256"/>
    <x v="0"/>
    <x v="1"/>
    <x v="0"/>
    <x v="0"/>
    <s v="Wise Arrow"/>
    <m/>
  </r>
  <r>
    <x v="0"/>
    <x v="2"/>
    <s v="1m"/>
    <s v="Reflexive"/>
    <s v="None"/>
    <s v="Instant"/>
    <s v="Fire without ammo. Imbue ammo with an intimacy. At 3ess, arrows are stuck."/>
    <n v="257"/>
    <x v="0"/>
    <x v="1"/>
    <x v="0"/>
    <x v="0"/>
    <m/>
    <m/>
  </r>
  <r>
    <x v="0"/>
    <x v="3"/>
    <s v="3m"/>
    <s v="Reflexive"/>
    <s v="Decisive-only"/>
    <s v="Instant"/>
    <s v="After gaining the benefit of a distract gambit and if your new initiative allows you to act immediately, you may fire up to long range without aiming. If &lt;7 initiative, +ess dice base damage."/>
    <n v="256"/>
    <x v="0"/>
    <x v="2"/>
    <x v="0"/>
    <x v="0"/>
    <s v="Sight Without Eyes"/>
    <m/>
  </r>
  <r>
    <x v="0"/>
    <x v="4"/>
    <s v="3m"/>
    <s v="Supplemental"/>
    <s v="Withering-Only"/>
    <s v="Instant"/>
    <s v="If damge is at least as much as the target's stamina, don't gain initiative, but target is knocked down and back 1 range band. Can end a rush."/>
    <n v="256"/>
    <x v="0"/>
    <x v="2"/>
    <x v="0"/>
    <x v="0"/>
    <s v="Sight Without Eyes"/>
    <m/>
  </r>
  <r>
    <x v="0"/>
    <x v="5"/>
    <s v="2m"/>
    <s v="Supplemental"/>
    <s v="Decisive-only"/>
    <s v="Instant"/>
    <s v="Set ammo on fire, gives +1 succ to damage. If it does at least 3HL, target is on fire."/>
    <n v="257"/>
    <x v="0"/>
    <x v="2"/>
    <x v="0"/>
    <x v="0"/>
    <s v="Phantom Arrow Technique"/>
    <m/>
  </r>
  <r>
    <x v="0"/>
    <x v="6"/>
    <s v="6m"/>
    <s v="Reflexive"/>
    <s v="Decisive-only"/>
    <s v="Instant"/>
    <m/>
    <s v="MotSE 5"/>
    <x v="0"/>
    <x v="2"/>
    <x v="1"/>
    <x v="0"/>
    <s v="Fiery Arrow Attack"/>
    <m/>
  </r>
  <r>
    <x v="0"/>
    <x v="7"/>
    <s v="3m"/>
    <s v="Reflexive"/>
    <s v="Dual"/>
    <s v="Instant"/>
    <s v="Ignore non-visual penalties. Wither accuracy is set to short range. With Awarenesss, can attack from extreme long range."/>
    <n v="257"/>
    <x v="0"/>
    <x v="3"/>
    <x v="1"/>
    <x v="0"/>
    <s v="Sight Without Eyes"/>
    <m/>
  </r>
  <r>
    <x v="0"/>
    <x v="8"/>
    <s v="1m, 1wp"/>
    <s v="Reflexive"/>
    <s v="Decisive-only"/>
    <s v="Instant"/>
    <s v="Aim instantly, the +3 bonus is converted into non-charm succ."/>
    <n v="257"/>
    <x v="0"/>
    <x v="3"/>
    <x v="1"/>
    <x v="0"/>
    <s v="Force Without Fire"/>
    <m/>
  </r>
  <r>
    <x v="0"/>
    <x v="9"/>
    <s v="5m, 1wp"/>
    <s v="Simple"/>
    <s v="Decisive-only"/>
    <s v="Instant"/>
    <s v="Hit 3x ess targets within medium range of target."/>
    <n v="257"/>
    <x v="0"/>
    <x v="3"/>
    <x v="1"/>
    <x v="0"/>
    <s v="Trance of Unhesitating Speed"/>
    <m/>
  </r>
  <r>
    <x v="0"/>
    <x v="10"/>
    <s v="3m"/>
    <s v="Supplemental"/>
    <s v="None"/>
    <s v="Instant"/>
    <s v="Add ess succ to Join Battle, if attacking before target, it's unblockable."/>
    <n v="258"/>
    <x v="0"/>
    <x v="3"/>
    <x v="1"/>
    <x v="0"/>
    <s v="Trance of Unhesitating Speed"/>
    <m/>
  </r>
  <r>
    <x v="0"/>
    <x v="11"/>
    <s v="5m, 1wp"/>
    <s v="Reflexive"/>
    <s v="Uniform"/>
    <s v="Instant"/>
    <s v="Extra short or close ranged attack if win a disengage."/>
    <n v="258"/>
    <x v="0"/>
    <x v="3"/>
    <x v="1"/>
    <x v="0"/>
    <s v="Flashing Vengeance Draw"/>
    <m/>
  </r>
  <r>
    <x v="0"/>
    <x v="12"/>
    <s v="3m"/>
    <s v="Reflexive"/>
    <s v="Decisive-only"/>
    <s v="Instant"/>
    <s v="Strengthens ammo from FAA. Creates a bright flare, disrupting shadow cover."/>
    <n v="258"/>
    <x v="0"/>
    <x v="3"/>
    <x v="1"/>
    <x v="0"/>
    <s v="Fiery Arrow Attack"/>
    <m/>
  </r>
  <r>
    <x v="0"/>
    <x v="13"/>
    <s v="3m, 1wp"/>
    <s v="Simple"/>
    <s v="Decisive-only"/>
    <s v="Instant"/>
    <s v="Aim for 3 rounds to convert the +3 into non-charm succ and extra succ add to raw damage. AWD shortens it by 1 round. Killing gives 1 WP."/>
    <n v="258"/>
    <x v="0"/>
    <x v="3"/>
    <x v="2"/>
    <x v="0"/>
    <s v="Accuracy Without Distance"/>
    <m/>
  </r>
  <r>
    <x v="0"/>
    <x v="14"/>
    <s v="6m, 1wp"/>
    <s v="Simple"/>
    <s v="Perilous, Withering-Only"/>
    <s v="Instant"/>
    <s v="Keeping hitting the same target within short range, until you miss or they crash."/>
    <n v="259"/>
    <x v="0"/>
    <x v="3"/>
    <x v="2"/>
    <x v="0"/>
    <s v="Arrow Storm Technique"/>
    <m/>
  </r>
  <r>
    <x v="0"/>
    <x v="15"/>
    <s v="7m"/>
    <s v="Reflexive"/>
    <s v="Decisive-only"/>
    <s v="Instant"/>
    <s v="Free attack on someone within range if they crash."/>
    <n v="259"/>
    <x v="0"/>
    <x v="3"/>
    <x v="2"/>
    <x v="0"/>
    <s v="Hunter's Swift Answer"/>
    <m/>
  </r>
  <r>
    <x v="0"/>
    <x v="16"/>
    <s v="3m/copy, 1wp"/>
    <s v="Simple"/>
    <s v="Decisive-only"/>
    <s v="Instant"/>
    <s v="Make (Dex) hits against a target."/>
    <n v="259"/>
    <x v="0"/>
    <x v="3"/>
    <x v="2"/>
    <x v="0"/>
    <s v="Phantom Arrow Technique"/>
    <m/>
  </r>
  <r>
    <x v="0"/>
    <x v="17"/>
    <s v="3m, 2i"/>
    <s v="Reflexive"/>
    <s v="Uniform"/>
    <s v="Instant"/>
    <s v="Free attack when spotting someone, without needing to aim."/>
    <n v="259"/>
    <x v="0"/>
    <x v="3"/>
    <x v="2"/>
    <x v="0"/>
    <s v="Dazzling Flare Attack"/>
    <m/>
  </r>
  <r>
    <x v="0"/>
    <x v="18"/>
    <s v="4m, 1i, 1wp"/>
    <s v="Simple"/>
    <s v="Decisive-only"/>
    <s v="Instant"/>
    <s v="Diff 3 gambit without needing to aim. Forces target to delay their turn. Rebuy for lots of extra stuff."/>
    <n v="259"/>
    <x v="0"/>
    <x v="3"/>
    <x v="2"/>
    <x v="0"/>
    <s v="Dazzling Flare Attack"/>
    <m/>
  </r>
  <r>
    <x v="0"/>
    <x v="19"/>
    <s v="4m, 1i, 1wp"/>
    <s v="Simple"/>
    <s v="Decisive-only"/>
    <s v="Instant"/>
    <s v="Lowers diff of gambit to 2, don't lose Init on succ"/>
    <n v="259"/>
    <x v="0"/>
    <x v="3"/>
    <x v="2"/>
    <x v="0"/>
    <s v="Searing Sunfire Interdiction"/>
    <m/>
  </r>
  <r>
    <x v="0"/>
    <x v="20"/>
    <s v="5m, 1wp"/>
    <s v="Simple"/>
    <s v="Decisive-only"/>
    <s v="Instant"/>
    <s v="If higher initiative than target, can hit from medium or long without aiming, and can hit from extreme with an aim. Raw damage is WP or Intimacy."/>
    <n v="260"/>
    <x v="0"/>
    <x v="3"/>
    <x v="2"/>
    <x v="0"/>
    <s v="Dazzling Flare Attack"/>
    <m/>
  </r>
  <r>
    <x v="0"/>
    <x v="21"/>
    <s v="3m, 3a"/>
    <s v="Reflexive"/>
    <s v="Decisive-only"/>
    <s v="Instant"/>
    <s v="When using SS and anima is at bonfire, fires anima to add initiative to SS's raw damage."/>
    <n v="260"/>
    <x v="0"/>
    <x v="3"/>
    <x v="2"/>
    <x v="0"/>
    <s v="Solar Spike"/>
    <m/>
  </r>
  <r>
    <x v="0"/>
    <x v="22"/>
    <s v="6m, 1wp"/>
    <s v="Simple"/>
    <s v="Decisive-only"/>
    <s v="Instant"/>
    <m/>
    <s v="MotSE 6"/>
    <x v="0"/>
    <x v="3"/>
    <x v="2"/>
    <x v="0"/>
    <s v="Dazzling Flare Attack"/>
    <m/>
  </r>
  <r>
    <x v="0"/>
    <x v="23"/>
    <s v="4m, 1i, 1wp"/>
    <s v="Simple"/>
    <s v="Decisive-only"/>
    <s v="Instant"/>
    <s v="Resets attack if you drop target from high Init to lower"/>
    <n v="259"/>
    <x v="0"/>
    <x v="3"/>
    <x v="3"/>
    <x v="0"/>
    <s v="Searing Sunfire Interdiction x2"/>
    <m/>
  </r>
  <r>
    <x v="0"/>
    <x v="24"/>
    <s v="3m"/>
    <s v="Reflexive"/>
    <s v="Decisive-only"/>
    <s v="Instant"/>
    <s v="Shortens the aim action of SOS by 1 round, giving up the non charm successes. Rebuy to gain the succ again."/>
    <n v="260"/>
    <x v="0"/>
    <x v="3"/>
    <x v="3"/>
    <x v="0"/>
    <s v="Seven Omens Shot"/>
    <m/>
  </r>
  <r>
    <x v="0"/>
    <x v="25"/>
    <s v="6m, 2i, 1wp"/>
    <s v="Reflexive"/>
    <s v="Clash, Perilous, Withering-Only"/>
    <s v="Instant"/>
    <s v="If in -4 HLs, may clash within short range. Gains ess succ and damage roll uses double 9s. Rebuy to use while crashed."/>
    <n v="260"/>
    <x v="0"/>
    <x v="3"/>
    <x v="3"/>
    <x v="0"/>
    <s v="Revolving Bow Discipline"/>
    <m/>
  </r>
  <r>
    <x v="0"/>
    <x v="26"/>
    <s v="13m, 1wp"/>
    <s v="Simple"/>
    <s v="Decisive-only"/>
    <s v="Instant"/>
    <m/>
    <s v="MotSE 6"/>
    <x v="0"/>
    <x v="3"/>
    <x v="3"/>
    <x v="0"/>
    <s v="Nova Arrow Attack, Searing Sunfire Interdiction"/>
    <m/>
  </r>
  <r>
    <x v="0"/>
    <x v="27"/>
    <s v="1m, 1wp"/>
    <s v="Reflexive"/>
    <s v="Dual"/>
    <s v="Instant"/>
    <s v="Can use with withering on a crashed target. Roll damage even if no succ."/>
    <n v="257"/>
    <x v="0"/>
    <x v="3"/>
    <x v="4"/>
    <x v="0"/>
    <s v="Accuracy Without Distance"/>
    <m/>
  </r>
  <r>
    <x v="0"/>
    <x v="28"/>
    <s v="4m, 1i, 1wp"/>
    <s v="Simple"/>
    <s v="Decisive-only"/>
    <s v="Instant"/>
    <s v="Can use twice consecutively on the same target, no wp cost on 2nd shot."/>
    <n v="259"/>
    <x v="0"/>
    <x v="3"/>
    <x v="4"/>
    <x v="0"/>
    <s v="Searing Sunfire Interdiction x3"/>
    <m/>
  </r>
  <r>
    <x v="0"/>
    <x v="29"/>
    <s v="3m"/>
    <s v="Reflexive"/>
    <s v="Decisive-only"/>
    <s v="Instant"/>
    <s v="Adds back loss succ to the attack."/>
    <n v="260"/>
    <x v="0"/>
    <x v="3"/>
    <x v="4"/>
    <x v="0"/>
    <s v="Dust and Ash Sleight"/>
    <m/>
  </r>
  <r>
    <x v="0"/>
    <x v="30"/>
    <s v="6m, 2i, 1wp"/>
    <s v="Reflexive"/>
    <s v="Clash, Withering-Only"/>
    <s v="Instant"/>
    <s v="Can spend 2i cost even when crashed going into further negatives."/>
    <n v="260"/>
    <x v="0"/>
    <x v="3"/>
    <x v="4"/>
    <x v="0"/>
    <s v="Heavens Crash Down"/>
    <m/>
  </r>
  <r>
    <x v="0"/>
    <x v="31"/>
    <s v="1m"/>
    <s v="Supplemental"/>
    <s v="Uniform"/>
    <s v="Instant"/>
    <s v="After aiming, add ess damage to the attack."/>
    <n v="261"/>
    <x v="0"/>
    <x v="3"/>
    <x v="4"/>
    <x v="0"/>
    <s v="Streaming Arrow Stance"/>
    <m/>
  </r>
  <r>
    <x v="0"/>
    <x v="32"/>
    <s v="3m, 1wp and 1m/die"/>
    <s v="Simple"/>
    <s v="Decisive-only"/>
    <s v="Instant"/>
    <m/>
    <s v="MotSE 6"/>
    <x v="0"/>
    <x v="3"/>
    <x v="4"/>
    <x v="0"/>
    <s v="Heart-Eating Incineration, Nova Arrow Attack"/>
    <m/>
  </r>
  <r>
    <x v="0"/>
    <x v="33"/>
    <s v="4m, 1i, 1wp"/>
    <s v="Simple"/>
    <s v="Decisive-only"/>
    <s v="Instant"/>
    <s v="Can use repeatedly on same target if you keep hitting. Ends with miss or when target loses a turn. Gain 1wp if target loses turn."/>
    <n v="259"/>
    <x v="0"/>
    <x v="3"/>
    <x v="5"/>
    <x v="0"/>
    <s v="Searing Sunfire Interdiction x4"/>
    <m/>
  </r>
  <r>
    <x v="0"/>
    <x v="34"/>
    <s v="4m, 1i, 1wp"/>
    <s v="Simple"/>
    <s v="Decisive-only"/>
    <s v="Instant"/>
    <s v="Can target new opponent if you drop someone to tick 0 or lower."/>
    <n v="259"/>
    <x v="0"/>
    <x v="3"/>
    <x v="5"/>
    <x v="0"/>
    <s v="Searing Sunfire Interdiction x5"/>
    <m/>
  </r>
  <r>
    <x v="0"/>
    <x v="35"/>
    <s v="1m"/>
    <s v="Reflexive"/>
    <s v="None"/>
    <s v="One Tick"/>
    <s v="Can fire without penalty due to visual conditions. at 3ess can see through cover."/>
    <n v="255"/>
    <x v="0"/>
    <x v="1"/>
    <x v="0"/>
    <x v="0"/>
    <s v="Wise Arrow"/>
    <m/>
  </r>
  <r>
    <x v="0"/>
    <x v="36"/>
    <s v="5m, 1wp"/>
    <s v="Simple"/>
    <s v="None"/>
    <s v="Scene"/>
    <s v="Create a glowing powerbow from essence. 4m to make heavy cover. Rebuy for evocations."/>
    <n v="258"/>
    <x v="0"/>
    <x v="2"/>
    <x v="1"/>
    <x v="0"/>
    <s v="Phantom Arrow Technique"/>
    <m/>
  </r>
  <r>
    <x v="0"/>
    <x v="37"/>
    <s v="6m"/>
    <s v="Simple"/>
    <s v="None"/>
    <s v="Scene"/>
    <s v="Can shoot a crashed target at medium or long range without aiming."/>
    <n v="260"/>
    <x v="0"/>
    <x v="3"/>
    <x v="3"/>
    <x v="0"/>
    <s v="Finishing Snipe"/>
    <m/>
  </r>
  <r>
    <x v="0"/>
    <x v="38"/>
    <s v="3m/exchange"/>
    <s v="Reflexive"/>
    <s v="None"/>
    <s v="Indefinite"/>
    <s v="Hear anyone on your plane talking to you. One-way only."/>
    <n v="273"/>
    <x v="1"/>
    <x v="3"/>
    <x v="3"/>
    <x v="1"/>
    <s v="Unsurpassed Hearing and Touch Discipline"/>
    <m/>
  </r>
  <r>
    <x v="0"/>
    <x v="39"/>
    <s v="-"/>
    <s v="Reflexive"/>
    <s v="None"/>
    <s v="Instant"/>
    <s v="Every 9 gives 1m, 10 gives 2m for Awarenesss charms, can lower cost retroactively. Also can use Awarenesss charms in sleep."/>
    <n v="267"/>
    <x v="1"/>
    <x v="1"/>
    <x v="0"/>
    <x v="1"/>
    <s v="Sensory Acuity Prana"/>
    <m/>
  </r>
  <r>
    <x v="0"/>
    <x v="40"/>
    <s v="2m"/>
    <s v="Simple"/>
    <s v="None"/>
    <s v="Instant"/>
    <s v="Autowin read intentions on chef when they made your food."/>
    <n v="269"/>
    <x v="1"/>
    <x v="1"/>
    <x v="0"/>
    <x v="1"/>
    <s v="Keen Taste and Smell Technique"/>
    <m/>
  </r>
  <r>
    <x v="0"/>
    <x v="41"/>
    <s v="1m"/>
    <s v="Reflexive"/>
    <s v="None"/>
    <s v="Instant"/>
    <s v="When someone moves in stealth +3dice to spot them."/>
    <n v="269"/>
    <x v="1"/>
    <x v="1"/>
    <x v="0"/>
    <x v="1"/>
    <s v="Keen Hearing and Touch Technique"/>
    <m/>
  </r>
  <r>
    <x v="0"/>
    <x v="42"/>
    <s v="3m"/>
    <s v="Reflexive"/>
    <s v="None"/>
    <s v="Instant"/>
    <s v="Against stealth, stealing or cheating, -ess of enemy's double successses after they've rolled."/>
    <n v="267"/>
    <x v="1"/>
    <x v="2"/>
    <x v="0"/>
    <x v="1"/>
    <s v="Keen Sight Technique"/>
    <m/>
  </r>
  <r>
    <x v="0"/>
    <x v="43"/>
    <s v="0m or 2m"/>
    <s v="Reflexive"/>
    <s v="None"/>
    <s v="Instant"/>
    <s v="Smell how many people are within medium range. Can tell type of creature."/>
    <n v="269"/>
    <x v="1"/>
    <x v="2"/>
    <x v="0"/>
    <x v="1"/>
    <s v="Keen Taste and Smell Technique"/>
    <m/>
  </r>
  <r>
    <x v="0"/>
    <x v="44"/>
    <s v="5m, 1wp"/>
    <s v="Supplemental"/>
    <s v="None"/>
    <s v="Instant"/>
    <s v="For Join Battle, add free full excellency and cascading 10s reroll. Each non-succ that became a succ adds +1succ to be used on Awarenesss in this scene."/>
    <n v="270"/>
    <x v="1"/>
    <x v="2"/>
    <x v="0"/>
    <x v="1"/>
    <m/>
    <m/>
  </r>
  <r>
    <x v="0"/>
    <x v="45"/>
    <s v="2m"/>
    <s v="Reflexive"/>
    <s v="None"/>
    <s v="Instant"/>
    <s v="Against stealth, enemy's 1s are 10s to you, and their 2s are 9s after they rolled."/>
    <n v="270"/>
    <x v="1"/>
    <x v="2"/>
    <x v="1"/>
    <x v="1"/>
    <s v="Studied Ear Espial"/>
    <m/>
  </r>
  <r>
    <x v="0"/>
    <x v="46"/>
    <s v="4m"/>
    <s v="Reflexive"/>
    <s v="None"/>
    <s v="Instant"/>
    <s v="Against stealth or larceny, reroll ess non-successes cascading."/>
    <n v="270"/>
    <x v="1"/>
    <x v="3"/>
    <x v="1"/>
    <x v="1"/>
    <s v="Unswerving Eye Method"/>
    <m/>
  </r>
  <r>
    <x v="0"/>
    <x v="47"/>
    <s v="3m"/>
    <s v="Reflexive"/>
    <s v="None"/>
    <s v="Instant"/>
    <s v="When detecting intimacies, add +1 succ for minor, +2 for major and +3 for defining."/>
    <n v="270"/>
    <x v="1"/>
    <x v="3"/>
    <x v="1"/>
    <x v="1"/>
    <s v="Foe-Scenting Method"/>
    <m/>
  </r>
  <r>
    <x v="0"/>
    <x v="48"/>
    <s v="1m, 1wp"/>
    <s v="Reflexive"/>
    <s v="None"/>
    <s v="Instant"/>
    <s v="Hit hidden enemy within range, forces them to move to a new hiding place."/>
    <n v="271"/>
    <x v="1"/>
    <x v="3"/>
    <x v="1"/>
    <x v="1"/>
    <s v="Knowing Beyond Silence, Living Pulse Perception"/>
    <m/>
  </r>
  <r>
    <x v="0"/>
    <x v="49"/>
    <s v="1wp"/>
    <s v="Reflexive"/>
    <s v="None"/>
    <s v="Instant"/>
    <s v="Reroll any Awarenesss roll, keeping charm effects and allowing new ones."/>
    <n v="271"/>
    <x v="1"/>
    <x v="3"/>
    <x v="2"/>
    <x v="1"/>
    <s v="Inner Eye Focus"/>
    <m/>
  </r>
  <r>
    <x v="0"/>
    <x v="50"/>
    <s v="10m, 1wp"/>
    <s v="Simple"/>
    <s v="None"/>
    <s v="One Turn"/>
    <s v="I CAN SEE FOREVER."/>
    <n v="273"/>
    <x v="1"/>
    <x v="3"/>
    <x v="3"/>
    <x v="1"/>
    <m/>
    <m/>
  </r>
  <r>
    <x v="0"/>
    <x v="51"/>
    <s v="-"/>
    <s v="Permanent"/>
    <s v="None"/>
    <s v="Permanent"/>
    <s v="Add +1 succ against hidden character within an enclosed space."/>
    <n v="271"/>
    <x v="1"/>
    <x v="2"/>
    <x v="1"/>
    <x v="1"/>
    <s v="Eyeless Harbinger Awareness"/>
    <m/>
  </r>
  <r>
    <x v="0"/>
    <x v="52"/>
    <s v="-"/>
    <s v="Permanent"/>
    <s v="None"/>
    <s v="Permanent"/>
    <s v="Any sight-based charm costs 1m less, minimum 1m."/>
    <n v="271"/>
    <x v="1"/>
    <x v="3"/>
    <x v="2"/>
    <x v="1"/>
    <s v="Keen Sight Technique"/>
    <m/>
  </r>
  <r>
    <x v="0"/>
    <x v="53"/>
    <s v="-"/>
    <s v="Permanent"/>
    <s v="None"/>
    <s v="Permanent"/>
    <s v="Autowin read intention to smell mood. Expand library and index. Smell bleeding characters."/>
    <n v="271"/>
    <x v="1"/>
    <x v="3"/>
    <x v="2"/>
    <x v="1"/>
    <s v="Keen Taste and Smell Technique"/>
    <m/>
  </r>
  <r>
    <x v="0"/>
    <x v="54"/>
    <s v="-"/>
    <s v="Permanent"/>
    <s v="None"/>
    <s v="Permanent"/>
    <s v="Hear loud noises up to 5x ess miles. Also extra techniques."/>
    <n v="272"/>
    <x v="1"/>
    <x v="3"/>
    <x v="2"/>
    <x v="1"/>
    <s v="Keen Hearing and Touch Technique"/>
    <m/>
  </r>
  <r>
    <x v="0"/>
    <x v="55"/>
    <s v="5m"/>
    <s v="Reflexive"/>
    <s v="None"/>
    <s v="Scene"/>
    <s v="Double 9s, if using Unsurpassed (Sense) Discipline, reroll recurring 6s."/>
    <n v="267"/>
    <x v="1"/>
    <x v="0"/>
    <x v="0"/>
    <x v="1"/>
    <m/>
    <m/>
  </r>
  <r>
    <x v="0"/>
    <x v="56"/>
    <s v="3m or 6m, 1wp"/>
    <s v="Simple"/>
    <s v="None"/>
    <s v="Scene"/>
    <s v="Diff 2 or 3 sight actions don't need a roll. +2 dice to notice hidden things. See clearly in dim light. -1 to fog."/>
    <n v="267"/>
    <x v="1"/>
    <x v="1"/>
    <x v="0"/>
    <x v="1"/>
    <s v="Sensory Acuity Prana"/>
    <m/>
  </r>
  <r>
    <x v="0"/>
    <x v="57"/>
    <s v="3m or 6m, 1wp"/>
    <s v="Simple"/>
    <s v="None"/>
    <s v="Scene"/>
    <s v="Add scent library and taste index."/>
    <n v="268"/>
    <x v="1"/>
    <x v="1"/>
    <x v="0"/>
    <x v="1"/>
    <s v="Sensory Acuity Prana"/>
    <m/>
  </r>
  <r>
    <x v="0"/>
    <x v="58"/>
    <s v="3m or 6m, 1wp"/>
    <s v="Simple"/>
    <s v="None"/>
    <s v="Scene"/>
    <s v="Diff 2 sound or touch actions don't need a roll. -1 to harder actions, +1 succ."/>
    <n v="269"/>
    <x v="1"/>
    <x v="1"/>
    <x v="0"/>
    <x v="1"/>
    <s v="Sensory Acuity Prana"/>
    <m/>
  </r>
  <r>
    <x v="0"/>
    <x v="59"/>
    <s v="3m"/>
    <s v="Reflexive"/>
    <s v="None"/>
    <s v="Scene"/>
    <s v="If stealthed character moves within short range on surface touching you, -2 to their roll."/>
    <n v="269"/>
    <x v="1"/>
    <x v="1"/>
    <x v="0"/>
    <x v="1"/>
    <s v="Keen Hearing and Touch Technique"/>
    <m/>
  </r>
  <r>
    <x v="0"/>
    <x v="60"/>
    <s v="1m "/>
    <s v="Reflexive"/>
    <s v="None"/>
    <s v="Instant"/>
    <s v="Your Evasion wins ties, rather than losing them."/>
    <n v="300"/>
    <x v="2"/>
    <x v="0"/>
    <x v="0"/>
    <x v="1"/>
    <m/>
    <m/>
  </r>
  <r>
    <x v="0"/>
    <x v="61"/>
    <s v="2i/1 Evasion "/>
    <s v="Reflexive"/>
    <s v="Perilous"/>
    <s v="Instant"/>
    <s v="Spend Initiative to raise Dodge, breaking the cap."/>
    <n v="299"/>
    <x v="2"/>
    <x v="1"/>
    <x v="0"/>
    <x v="1"/>
    <m/>
    <m/>
  </r>
  <r>
    <x v="0"/>
    <x v="62"/>
    <s v="5m "/>
    <s v="Reflexive"/>
    <s v="Uniform"/>
    <s v="Instant"/>
    <s v="Have Evasion 2+ when ambushed."/>
    <n v="299"/>
    <x v="2"/>
    <x v="1"/>
    <x v="0"/>
    <x v="1"/>
    <s v="Reed in the Wind"/>
    <m/>
  </r>
  <r>
    <x v="0"/>
    <x v="63"/>
    <s v="1m, 2i "/>
    <s v="Reflexive"/>
    <s v="None"/>
    <s v="Instant"/>
    <s v="After dodging an effect, move one range band."/>
    <n v="300"/>
    <x v="2"/>
    <x v="1"/>
    <x v="0"/>
    <x v="1"/>
    <s v="Reflex Sidestep Technique"/>
    <m/>
  </r>
  <r>
    <x v="0"/>
    <x v="64"/>
    <s v="2m "/>
    <s v="Reflexive"/>
    <s v="None"/>
    <s v="Instant"/>
    <s v="Remove any penalties to Evasion."/>
    <n v="300"/>
    <x v="2"/>
    <x v="1"/>
    <x v="0"/>
    <x v="1"/>
    <s v="Drifting Leaf Elusion"/>
    <m/>
  </r>
  <r>
    <x v="0"/>
    <x v="65"/>
    <s v="2m "/>
    <s v="Supplemental"/>
    <s v="None"/>
    <s v="Instant"/>
    <s v="Disengage with double-9s."/>
    <n v="299"/>
    <x v="2"/>
    <x v="2"/>
    <x v="0"/>
    <x v="1"/>
    <s v="Reed in the Wind"/>
    <m/>
  </r>
  <r>
    <x v="0"/>
    <x v="66"/>
    <s v="5m "/>
    <s v="Reflexive"/>
    <s v="None"/>
    <s v="Instant"/>
    <s v="Disengage while at short range, rather than close."/>
    <n v="300"/>
    <x v="2"/>
    <x v="3"/>
    <x v="1"/>
    <x v="1"/>
    <s v="Dust Motes Whirling"/>
    <m/>
  </r>
  <r>
    <x v="0"/>
    <x v="67"/>
    <s v="4m, 1wp "/>
    <s v="Reflexive"/>
    <s v="Uniform"/>
    <s v="Instant"/>
    <s v="Perfectly dodge any attack."/>
    <n v="300"/>
    <x v="2"/>
    <x v="3"/>
    <x v="1"/>
    <x v="1"/>
    <s v="Force-Stealing Feint"/>
    <m/>
  </r>
  <r>
    <x v="0"/>
    <x v="68"/>
    <s v="5m "/>
    <s v="Reflexive"/>
    <s v="None"/>
    <s v="Instant"/>
    <s v="Opponent loses 1i for each 1 rolled on the attack."/>
    <n v="301"/>
    <x v="2"/>
    <x v="3"/>
    <x v="1"/>
    <x v="1"/>
    <s v="Force-Stealing Feint"/>
    <m/>
  </r>
  <r>
    <x v="0"/>
    <x v="69"/>
    <s v="3m/-1 "/>
    <s v="Reflexive"/>
    <s v="None"/>
    <s v="Instant"/>
    <s v="Convert enemy 1s into -1 successes."/>
    <n v="301"/>
    <x v="2"/>
    <x v="3"/>
    <x v="1"/>
    <x v="1"/>
    <s v="Shadow Over Water"/>
    <m/>
  </r>
  <r>
    <x v="0"/>
    <x v="70"/>
    <s v="4m/damage removed "/>
    <s v="Reflexive"/>
    <s v="Decisive-only"/>
    <s v="Instant"/>
    <s v="Cancel damage at 4m/success."/>
    <n v="302"/>
    <x v="2"/>
    <x v="3"/>
    <x v="1"/>
    <x v="1"/>
    <s v="Rumor of Form"/>
    <m/>
  </r>
  <r>
    <x v="0"/>
    <x v="71"/>
    <s v="4m, 1wp "/>
    <s v="Reflexive"/>
    <s v="None"/>
    <s v="Instant"/>
    <s v="Retreat twice after disengaging instead of once."/>
    <n v="302"/>
    <x v="2"/>
    <x v="3"/>
    <x v="2"/>
    <x v="1"/>
    <s v="Fleet Dreaming Image"/>
    <m/>
  </r>
  <r>
    <x v="0"/>
    <x v="72"/>
    <s v="5m "/>
    <s v="Reflexive"/>
    <s v="None"/>
    <s v="Instant"/>
    <s v="On a successful dodge, gain 1i per 1 or 2 enemy rolls."/>
    <n v="302"/>
    <x v="2"/>
    <x v="3"/>
    <x v="2"/>
    <x v="1"/>
    <s v="Safety Between Heartbeats"/>
    <m/>
  </r>
  <r>
    <x v="0"/>
    <x v="73"/>
    <s v="-"/>
    <s v="Permanent"/>
    <s v="Perilous"/>
    <s v="Instant"/>
    <s v="After using SSE, gain 1i/round until you are struck or move too far away."/>
    <n v="303"/>
    <x v="2"/>
    <x v="3"/>
    <x v="4"/>
    <x v="1"/>
    <s v="Seven Shadow Evasion"/>
    <m/>
  </r>
  <r>
    <x v="0"/>
    <x v="74"/>
    <s v="3m, 1wp "/>
    <s v="Reflexive"/>
    <s v="None"/>
    <s v="One Turn"/>
    <s v="On a successful dodge, redirect the attack to anyone at close range."/>
    <n v="300"/>
    <x v="2"/>
    <x v="2"/>
    <x v="1"/>
    <x v="1"/>
    <s v="Reflex Sidestep Technique"/>
    <m/>
  </r>
  <r>
    <x v="0"/>
    <x v="75"/>
    <s v="1m, 1wp "/>
    <s v="Simple"/>
    <s v="None"/>
    <s v="One Turn"/>
    <s v="Stand still for a round, and heal health levels."/>
    <n v="303"/>
    <x v="2"/>
    <x v="3"/>
    <x v="2"/>
    <x v="1"/>
    <s v="Living Bonds Unburdened"/>
    <m/>
  </r>
  <r>
    <x v="0"/>
    <x v="76"/>
    <s v="-"/>
    <s v="Permanent"/>
    <s v="None"/>
    <s v="Permanent"/>
    <s v="When you dodge, the enemy loses 1i."/>
    <n v="300"/>
    <x v="2"/>
    <x v="2"/>
    <x v="0"/>
    <x v="1"/>
    <s v="Reed in the Wind"/>
    <m/>
  </r>
  <r>
    <x v="0"/>
    <x v="77"/>
    <s v="-(1m) "/>
    <s v="Permanent"/>
    <s v="None"/>
    <s v="Permanent"/>
    <s v="Keep the Initiative for Disengaging (or even earn it back, if you close again)."/>
    <n v="299"/>
    <x v="2"/>
    <x v="3"/>
    <x v="0"/>
    <x v="1"/>
    <s v="Dust Motes Whirling"/>
    <m/>
  </r>
  <r>
    <x v="0"/>
    <x v="78"/>
    <s v="-"/>
    <s v="Permanent"/>
    <s v="None"/>
    <s v="Permanent"/>
    <s v="Gain the 1i lost by the opponent from SQF."/>
    <n v="300"/>
    <x v="2"/>
    <x v="3"/>
    <x v="1"/>
    <x v="1"/>
    <s v="Searing Quicksilver Flight"/>
    <m/>
  </r>
  <r>
    <x v="0"/>
    <x v="79"/>
    <s v="-"/>
    <s v="Permanent"/>
    <s v="None"/>
    <s v="Permanent"/>
    <s v="DLE and RoF don't count as Charms for the purpose of UWM."/>
    <n v="302"/>
    <x v="2"/>
    <x v="3"/>
    <x v="1"/>
    <x v="1"/>
    <s v="Rumor of Form"/>
    <m/>
  </r>
  <r>
    <x v="0"/>
    <x v="80"/>
    <s v="-"/>
    <s v="Permanent "/>
    <s v="None"/>
    <s v="Permanent"/>
    <s v="On a successful dodge without Charms, crash the enemy and steal his Initiative."/>
    <n v="302"/>
    <x v="2"/>
    <x v="3"/>
    <x v="2"/>
    <x v="1"/>
    <s v="Thousand Steps' Stillness"/>
    <m/>
  </r>
  <r>
    <x v="0"/>
    <x v="81"/>
    <s v="-"/>
    <s v="Permanent"/>
    <s v="None"/>
    <s v="Permanent"/>
    <s v="Gain 1i for every -0 health level you lose."/>
    <n v="303"/>
    <x v="2"/>
    <x v="3"/>
    <x v="2"/>
    <x v="1"/>
    <s v="Living Bonds Unburdened"/>
    <m/>
  </r>
  <r>
    <x v="0"/>
    <x v="82"/>
    <s v="4m "/>
    <s v="Reflexive"/>
    <s v="None"/>
    <s v="Scene"/>
    <s v="+1 non-Charm bonus to Evasion for rest of scene."/>
    <n v="301"/>
    <x v="2"/>
    <x v="2"/>
    <x v="1"/>
    <x v="1"/>
    <s v="Drifting Leaf Elusion"/>
    <m/>
  </r>
  <r>
    <x v="0"/>
    <x v="83"/>
    <s v="5m, 1wp "/>
    <s v="Reflexive"/>
    <s v="Perilous"/>
    <s v="Scene"/>
    <s v="Ignore all Evasion penalties against enemies with lower Initiative. Cut cost of RitW in half. Gain 1i each round you are at close range and not struck."/>
    <n v="301"/>
    <x v="2"/>
    <x v="2"/>
    <x v="1"/>
    <x v="1"/>
    <s v="Shadow Over Water"/>
    <m/>
  </r>
  <r>
    <x v="0"/>
    <x v="84"/>
    <s v="6m "/>
    <s v="Reflexive"/>
    <s v="Stackable"/>
    <s v="Scene"/>
    <s v="Learn an enemy Charm and become immune to its effects."/>
    <n v="302"/>
    <x v="2"/>
    <x v="3"/>
    <x v="2"/>
    <x v="1"/>
    <s v="Vaporous Division"/>
    <m/>
  </r>
  <r>
    <x v="0"/>
    <x v="85"/>
    <s v="3m, 3i +1m, 1i/hl "/>
    <s v="Simple"/>
    <s v="None"/>
    <s v="Scene"/>
    <s v="Create extra -0 health levels; if hit by an attack that only damages these levels, you count as dodging it."/>
    <n v="303"/>
    <x v="2"/>
    <x v="3"/>
    <x v="2"/>
    <x v="1"/>
    <s v="Vaporous Division"/>
    <m/>
  </r>
  <r>
    <x v="0"/>
    <x v="86"/>
    <s v="4m "/>
    <s v="Simple"/>
    <s v="None"/>
    <s v="Indefinite"/>
    <s v="Infinite Socialize Mastery; only applies to boosting Guile."/>
    <n v="396"/>
    <x v="3"/>
    <x v="3"/>
    <x v="1"/>
    <x v="2"/>
    <s v="Shadow Over Day"/>
    <m/>
  </r>
  <r>
    <x v="0"/>
    <x v="87"/>
    <s v="3m/Intimacy "/>
    <s v="Simple"/>
    <s v="Stackable"/>
    <s v="Indefinite"/>
    <s v="Perfectly conceal an Intimacy."/>
    <n v="397"/>
    <x v="3"/>
    <x v="3"/>
    <x v="1"/>
    <x v="2"/>
    <s v="Guarded Thoughts Meditation"/>
    <m/>
  </r>
  <r>
    <x v="0"/>
    <x v="88"/>
    <s v="3m "/>
    <s v="Supplemental"/>
    <s v="Mute"/>
    <s v="Instant"/>
    <s v="Read intentions with double-9s."/>
    <n v="393"/>
    <x v="3"/>
    <x v="1"/>
    <x v="0"/>
    <x v="2"/>
    <m/>
    <m/>
  </r>
  <r>
    <x v="0"/>
    <x v="89"/>
    <s v="1m or 2m "/>
    <s v="Reflexive"/>
    <s v="Mute"/>
    <s v="Instant"/>
    <s v="1m for +1 Guile, or 2m for +2 Guile."/>
    <n v="394"/>
    <x v="3"/>
    <x v="1"/>
    <x v="0"/>
    <x v="2"/>
    <m/>
    <m/>
  </r>
  <r>
    <x v="0"/>
    <x v="90"/>
    <s v="3m "/>
    <s v="Supplemental"/>
    <s v="Mute"/>
    <s v="Instant"/>
    <s v="Player can guess at a related Intimacy, if correct character knows it."/>
    <n v="393"/>
    <x v="3"/>
    <x v="2"/>
    <x v="0"/>
    <x v="2"/>
    <s v="Motive-Discerning Technique"/>
    <m/>
  </r>
  <r>
    <x v="0"/>
    <x v="91"/>
    <s v="1m "/>
    <s v="Reflexive"/>
    <s v="None"/>
    <s v="Instant"/>
    <s v="After Reading Intentions of the target while he was talking to someone else, he takes -2 Guile when you Read Intentions while he's talking to you."/>
    <n v="394"/>
    <x v="3"/>
    <x v="2"/>
    <x v="0"/>
    <x v="2"/>
    <s v="Motive-Discerning Technique"/>
    <m/>
  </r>
  <r>
    <x v="0"/>
    <x v="92"/>
    <s v="2m "/>
    <s v="Reflexive"/>
    <s v="None"/>
    <s v="Instant"/>
    <s v="Ignore all penalties to Guile, except wound penalties and the penalty for thinking you're alone."/>
    <n v="394"/>
    <x v="3"/>
    <x v="2"/>
    <x v="0"/>
    <x v="2"/>
    <s v="Shadow Over Day"/>
    <m/>
  </r>
  <r>
    <x v="0"/>
    <x v="93"/>
    <s v="5m"/>
    <s v="Supplemental"/>
    <s v="Dual"/>
    <s v="Grapple"/>
    <s v="Choke out enemy in grapple as savaging attack.  Add +2 damage per round for wither, or +1 for decisive, ignoring hardness."/>
    <n v="280"/>
    <x v="4"/>
    <x v="3"/>
    <x v="2"/>
    <x v="0"/>
    <s v="Dragon Coil Technique"/>
    <m/>
  </r>
  <r>
    <x v="0"/>
    <x v="94"/>
    <s v="4m"/>
    <s v="Reflexive"/>
    <s v="None"/>
    <s v="Indefinite"/>
    <s v="Release grapple target with 2 rounds left to mark them. Reflexively grapple them again without a roll to continue the rounds left."/>
    <n v="278"/>
    <x v="4"/>
    <x v="2"/>
    <x v="1"/>
    <x v="0"/>
    <s v="Unbreakable Grasp"/>
    <m/>
  </r>
  <r>
    <x v="0"/>
    <x v="95"/>
    <s v="4m"/>
    <s v="Reflexive"/>
    <s v="None"/>
    <s v="Indefinite"/>
    <s v="At any time, store up to stamina initiative. When making a decisive attack, convert the initiative into raw damage."/>
    <n v="282"/>
    <x v="4"/>
    <x v="3"/>
    <x v="2"/>
    <x v="0"/>
    <s v="Striving Aftershock Method"/>
    <m/>
  </r>
  <r>
    <x v="0"/>
    <x v="96"/>
    <s v="1m"/>
    <s v="Reflexive"/>
    <s v="Dual"/>
    <s v="Instant"/>
    <s v="Parry lethal with hands. Unarmed does lethal, withering ignores (ess+intimacy) soak."/>
    <n v="273"/>
    <x v="4"/>
    <x v="4"/>
    <x v="0"/>
    <x v="0"/>
    <m/>
    <m/>
  </r>
  <r>
    <x v="0"/>
    <x v="97"/>
    <s v="1m"/>
    <s v="Supplemental"/>
    <s v="Uniform"/>
    <s v="Instant"/>
    <s v="Add your opponent's onslaught as damage dice to your attack."/>
    <n v="274"/>
    <x v="4"/>
    <x v="1"/>
    <x v="0"/>
    <x v="0"/>
    <m/>
    <m/>
  </r>
  <r>
    <x v="0"/>
    <x v="98"/>
    <s v="7m"/>
    <s v="Reflexive"/>
    <s v="Decisive-only"/>
    <s v="Instant"/>
    <s v="Knock enemies down or further away depending on succ."/>
    <n v="274"/>
    <x v="4"/>
    <x v="1"/>
    <x v="0"/>
    <x v="0"/>
    <s v="Ferocious Jab"/>
    <m/>
  </r>
  <r>
    <x v="0"/>
    <x v="99"/>
    <s v="1m"/>
    <s v="Supplemental"/>
    <s v="None"/>
    <s v="Instant"/>
    <s v="Add 1 succ to grapple attack and (ess or 3) dice to initiative roll."/>
    <n v="275"/>
    <x v="4"/>
    <x v="1"/>
    <x v="0"/>
    <x v="0"/>
    <m/>
    <m/>
  </r>
  <r>
    <x v="0"/>
    <x v="100"/>
    <s v="2m/round pres."/>
    <s v="Reflexive"/>
    <s v="None"/>
    <s v="Instant"/>
    <s v="Pay 2m when hit to conserve grapple control rounds."/>
    <n v="275"/>
    <x v="4"/>
    <x v="1"/>
    <x v="0"/>
    <x v="0"/>
    <s v="Vicious Lunge"/>
    <m/>
  </r>
  <r>
    <x v="0"/>
    <x v="101"/>
    <s v="3m"/>
    <s v="Reflexive"/>
    <s v="None"/>
    <s v="Instant"/>
    <s v="Free move and attack. Uses up turn."/>
    <n v="275"/>
    <x v="4"/>
    <x v="1"/>
    <x v="0"/>
    <x v="0"/>
    <m/>
    <m/>
  </r>
  <r>
    <x v="0"/>
    <x v="102"/>
    <s v="3m"/>
    <s v="Reflexive"/>
    <s v="None"/>
    <s v="Instant"/>
    <s v="Add enemy's onslaught to your evasion or parry."/>
    <n v="274"/>
    <x v="4"/>
    <x v="2"/>
    <x v="0"/>
    <x v="0"/>
    <s v="Ferocious Jab"/>
    <m/>
  </r>
  <r>
    <x v="0"/>
    <x v="103"/>
    <s v="5m"/>
    <s v="Reflexive"/>
    <s v="Uniform"/>
    <s v="Instant"/>
    <s v="When ending a grapple to throw, +2 damage per round forfeited. Throw up to short range."/>
    <n v="275"/>
    <x v="4"/>
    <x v="2"/>
    <x v="0"/>
    <x v="0"/>
    <s v="Vicious Lunge"/>
    <m/>
  </r>
  <r>
    <x v="0"/>
    <x v="104"/>
    <s v="1m"/>
    <s v="Supplemental"/>
    <s v="Uniform"/>
    <s v="Instant"/>
    <s v="Enemy's onslaught is extended and builds until they aren't hit by you for 1 round."/>
    <n v="275"/>
    <x v="4"/>
    <x v="2"/>
    <x v="0"/>
    <x v="0"/>
    <s v="Thunderclap Rush Attack"/>
    <m/>
  </r>
  <r>
    <x v="0"/>
    <x v="105"/>
    <s v="3m, 1wp"/>
    <s v="Reflexive"/>
    <s v="Decisive-only"/>
    <s v="Instant"/>
    <m/>
    <s v="MotSE 8"/>
    <x v="4"/>
    <x v="2"/>
    <x v="0"/>
    <x v="0"/>
    <s v="Ferocious Jab, Thunderclap Rush Attack"/>
    <m/>
  </r>
  <r>
    <x v="0"/>
    <x v="106"/>
    <s v="- (3m)"/>
    <s v="Permanent"/>
    <s v="None"/>
    <s v="Instant"/>
    <s v="Use Strength+Brawl to grapple."/>
    <n v="275"/>
    <x v="4"/>
    <x v="3"/>
    <x v="0"/>
    <x v="0"/>
    <s v="Vicious Lunge"/>
    <m/>
  </r>
  <r>
    <x v="0"/>
    <x v="107"/>
    <s v="4m, 1i, 1wp"/>
    <s v="Simple"/>
    <s v="Withering-Only"/>
    <s v="Instant"/>
    <s v="Add 1 succ to attack and ess dice to damage. Only soaked by stamina."/>
    <n v="277"/>
    <x v="4"/>
    <x v="1"/>
    <x v="1"/>
    <x v="0"/>
    <s v="Fists of Iron Technique"/>
    <m/>
  </r>
  <r>
    <x v="0"/>
    <x v="108"/>
    <s v="3m, 1i"/>
    <s v="Reflexive"/>
    <s v="Perilous"/>
    <s v="Instant"/>
    <s v="After enemy rolls attack, add their 1s to your parry or evasion. Precedence over charms that reroll 1s."/>
    <n v="276"/>
    <x v="4"/>
    <x v="2"/>
    <x v="1"/>
    <x v="0"/>
    <s v="Iron Battle Focus"/>
    <m/>
  </r>
  <r>
    <x v="0"/>
    <x v="109"/>
    <s v="4m +1m/die"/>
    <s v="Reflexive"/>
    <s v="Decisive-only"/>
    <s v="Instant"/>
    <s v="Convert extra succ from decisive attack to its damage, 1m each."/>
    <n v="277"/>
    <x v="4"/>
    <x v="2"/>
    <x v="1"/>
    <x v="0"/>
    <s v="Ferocious Jab"/>
    <m/>
  </r>
  <r>
    <x v="0"/>
    <x v="110"/>
    <s v="5m, 1wp"/>
    <s v="Reflexive"/>
    <s v="Clash, Decisive-only"/>
    <s v="Instant"/>
    <s v="Free clash against a decisive attack."/>
    <n v="277"/>
    <x v="4"/>
    <x v="2"/>
    <x v="1"/>
    <x v="0"/>
    <s v="Ferocious Jab"/>
    <m/>
  </r>
  <r>
    <x v="0"/>
    <x v="111"/>
    <s v="5m"/>
    <s v="Supplemental"/>
    <s v="None"/>
    <s v="Instant"/>
    <s v="Add strength succ to a (strength + athletics) attack on an object. Speeds it up and is reflexive if it doesn't directly cause harm."/>
    <n v="277"/>
    <x v="4"/>
    <x v="2"/>
    <x v="1"/>
    <x v="0"/>
    <s v="Heaven Thunder Hammer"/>
    <m/>
  </r>
  <r>
    <x v="0"/>
    <x v="112"/>
    <s v="2m"/>
    <s v="Reflexive"/>
    <s v="None"/>
    <s v="Instant"/>
    <s v="Convert extra succ from grapple attack into dice for control roll."/>
    <n v="278"/>
    <x v="4"/>
    <x v="2"/>
    <x v="1"/>
    <x v="0"/>
    <s v="Vicious Lunge"/>
    <m/>
  </r>
  <r>
    <x v="0"/>
    <x v="113"/>
    <s v="3m, 1i, 1wp"/>
    <s v="Reflexive"/>
    <s v="Counterattack, Decisive-only, Perilous"/>
    <s v="Instant"/>
    <s v="After being hit by a close-range wither, counter with decisive with base damage equal to the damage you took."/>
    <n v="276"/>
    <x v="4"/>
    <x v="3"/>
    <x v="1"/>
    <x v="0"/>
    <s v="Reckless Fury Discard"/>
    <m/>
  </r>
  <r>
    <x v="0"/>
    <x v="114"/>
    <s v="4m, 1i"/>
    <s v="Reflexive"/>
    <s v="Clash, Uniform"/>
    <s v="Instant"/>
    <s v="Clash to disarm instead of damage."/>
    <n v="277"/>
    <x v="4"/>
    <x v="3"/>
    <x v="1"/>
    <x v="0"/>
    <s v="Wind and Stones Defense"/>
    <m/>
  </r>
  <r>
    <x v="0"/>
    <x v="115"/>
    <s v="5m, 1wp"/>
    <s v="Simple"/>
    <s v="Decisive-only"/>
    <s v="Instant"/>
    <s v="Make ((strength or stamina/2) rounded up +1) attacks against a target."/>
    <n v="278"/>
    <x v="4"/>
    <x v="3"/>
    <x v="1"/>
    <x v="0"/>
    <s v="Falling Hammer Strike"/>
    <m/>
  </r>
  <r>
    <x v="0"/>
    <x v="116"/>
    <s v="4m, 1i, 1wp"/>
    <s v="Simple"/>
    <s v="Withering-Only"/>
    <s v="Instant"/>
    <s v="Can gain Init on top of penalizing target."/>
    <n v="277"/>
    <x v="4"/>
    <x v="1"/>
    <x v="2"/>
    <x v="0"/>
    <s v="Ox-Stunning Blow"/>
    <m/>
  </r>
  <r>
    <x v="0"/>
    <x v="117"/>
    <s v="-"/>
    <s v="Reflexive"/>
    <s v="None"/>
    <s v="Instant"/>
    <s v="If defend against attack with 5+ succ, gain 1 wp. Once per scene."/>
    <n v="278"/>
    <x v="4"/>
    <x v="3"/>
    <x v="2"/>
    <x v="0"/>
    <s v="Reckless Fury Discard"/>
    <m/>
  </r>
  <r>
    <x v="0"/>
    <x v="118"/>
    <s v="5m,1wp,+1m,1i/die"/>
    <s v="Simple"/>
    <s v="Withering-Only"/>
    <s v="Instant"/>
    <s v="Double 9s and if they crash they're ko'd. Pay 1m 1i per damage added, up to the initiative gained."/>
    <n v="278"/>
    <x v="4"/>
    <x v="3"/>
    <x v="2"/>
    <x v="0"/>
    <s v="Ox-Stunning Blow"/>
    <m/>
  </r>
  <r>
    <x v="0"/>
    <x v="119"/>
    <s v="5m"/>
    <s v="Reflexive"/>
    <s v="None"/>
    <s v="Instant"/>
    <s v="Upong crashing a target, deactive one of their ongoing combat charms. Except permanent."/>
    <n v="279"/>
    <x v="4"/>
    <x v="3"/>
    <x v="2"/>
    <x v="0"/>
    <s v="Knockout Blow"/>
    <m/>
  </r>
  <r>
    <x v="0"/>
    <x v="120"/>
    <s v="4m"/>
    <s v="Supplemental"/>
    <s v="Dual"/>
    <s v="Instant"/>
    <s v="When withering unarmed, add strength to overwhelming. For decisive, lethal double 10s and reroll 10s."/>
    <n v="279"/>
    <x v="4"/>
    <x v="3"/>
    <x v="2"/>
    <x v="0"/>
    <s v="Burning Fist Burial"/>
    <m/>
  </r>
  <r>
    <x v="0"/>
    <x v="121"/>
    <s v="1m"/>
    <s v="Supplemental"/>
    <s v="None"/>
    <s v="Instant"/>
    <s v="On a clash, enemy's 1s give you succ. Punching energy gives buffs."/>
    <n v="279"/>
    <x v="4"/>
    <x v="3"/>
    <x v="2"/>
    <x v="0"/>
    <s v="Intercepting Fury Smite"/>
    <m/>
  </r>
  <r>
    <x v="0"/>
    <x v="122"/>
    <s v="2m or 4m"/>
    <s v="Supplemental"/>
    <s v="None"/>
    <s v="Instant"/>
    <s v="2m to reroll recurring 5s and 6s on a grapple attack or control. 4m for both."/>
    <n v="279"/>
    <x v="4"/>
    <x v="3"/>
    <x v="2"/>
    <x v="0"/>
    <s v="Oak-Curling Clinch"/>
    <m/>
  </r>
  <r>
    <x v="0"/>
    <x v="123"/>
    <s v="4m"/>
    <s v="Reflexive"/>
    <s v="Decisive-only"/>
    <s v="Instant"/>
    <s v="When controlling a grapple, block attack using victim with a dexterity+brawl clash."/>
    <n v="280"/>
    <x v="4"/>
    <x v="3"/>
    <x v="2"/>
    <x v="0"/>
    <s v="River-Binding Wrath, Intercepting Fury Smite"/>
    <m/>
  </r>
  <r>
    <x v="0"/>
    <x v="124"/>
    <s v="1m, 1wp"/>
    <s v="Reflexive"/>
    <s v="None"/>
    <s v="Instant"/>
    <s v="May grab target marked by BPoA up to long range."/>
    <n v="280"/>
    <x v="4"/>
    <x v="3"/>
    <x v="2"/>
    <x v="0"/>
    <s v="Burning Proof of Authority"/>
    <m/>
  </r>
  <r>
    <x v="0"/>
    <x v="125"/>
    <s v="3m"/>
    <s v="Reflexive"/>
    <s v="Uniform"/>
    <s v="Instant"/>
    <s v="Add ess succ to grapple attack and enemy's 10s add succ to your control roll."/>
    <n v="280"/>
    <x v="4"/>
    <x v="3"/>
    <x v="2"/>
    <x v="0"/>
    <s v="Devil-Strangling Attitude"/>
    <m/>
  </r>
  <r>
    <x v="0"/>
    <x v="126"/>
    <s v="7m, 1wp"/>
    <s v="Simple"/>
    <s v="Withering-Only"/>
    <s v="Instant"/>
    <s v="Expend remaining control rounds for equal amount of withering savage attacks. Permanently allows DCT to grapple huge enemies for this charm."/>
    <n v="280"/>
    <x v="4"/>
    <x v="3"/>
    <x v="2"/>
    <x v="0"/>
    <s v="Ten Calamities Technique"/>
    <m/>
  </r>
  <r>
    <x v="0"/>
    <x v="127"/>
    <s v="6m, 1wp"/>
    <s v="Reflexive"/>
    <s v="Withering-Only"/>
    <s v="Instant"/>
    <s v="Throw grappled enemy at enemies. +4 damage dice per round left. Knocking them prone."/>
    <n v="281"/>
    <x v="4"/>
    <x v="3"/>
    <x v="2"/>
    <x v="0"/>
    <s v="Crashing Wave Throw"/>
    <m/>
  </r>
  <r>
    <x v="0"/>
    <x v="128"/>
    <s v="1m, 1wp"/>
    <s v="Reflexive"/>
    <s v="None"/>
    <s v="Instant"/>
    <s v="Make an extra attack after using CWT or HTH."/>
    <n v="281"/>
    <x v="4"/>
    <x v="3"/>
    <x v="2"/>
    <x v="0"/>
    <s v="Crashing Wave Throw, Heaven Thunder Hammer"/>
    <m/>
  </r>
  <r>
    <x v="0"/>
    <x v="129"/>
    <s v="2m"/>
    <s v="Reflexive"/>
    <s v="None"/>
    <s v="Instant"/>
    <s v="After making a decisive attack and resetting to base, add +2 to initiative."/>
    <n v="281"/>
    <x v="4"/>
    <x v="3"/>
    <x v="2"/>
    <x v="0"/>
    <s v="One With Violence"/>
    <m/>
  </r>
  <r>
    <x v="0"/>
    <x v="130"/>
    <s v="3m, 2i"/>
    <s v="Simple"/>
    <s v="None"/>
    <s v="Instant"/>
    <s v="Roll wits+brawl and store the result. Use this result instead of a new brawl roll at any time."/>
    <n v="282"/>
    <x v="4"/>
    <x v="3"/>
    <x v="2"/>
    <x v="0"/>
    <s v="Superior Violent Knowledge"/>
    <m/>
  </r>
  <r>
    <x v="0"/>
    <x v="131"/>
    <s v="10m, 3a, 1wp"/>
    <s v="Simple"/>
    <s v="Withering-Only"/>
    <s v="Instant"/>
    <s v="On a crashed target, make an unblockable and undodgeable withering attack with double 7s damage."/>
    <n v="282"/>
    <x v="4"/>
    <x v="3"/>
    <x v="3"/>
    <x v="0"/>
    <s v="Adamantine Fists of Battle"/>
    <m/>
  </r>
  <r>
    <x v="0"/>
    <x v="132"/>
    <s v="4m, 1wp"/>
    <s v="Reflexive"/>
    <s v="None"/>
    <s v="Instant"/>
    <s v="After crashing a grapple target, reset combat action and restore all spent control rounds."/>
    <n v="282"/>
    <x v="4"/>
    <x v="3"/>
    <x v="3"/>
    <x v="0"/>
    <s v="Ten Calamities Technique"/>
    <m/>
  </r>
  <r>
    <x v="0"/>
    <x v="133"/>
    <s v="7m, 3i, 1wp"/>
    <s v="Simple"/>
    <s v="Perilous, Withering-Only"/>
    <s v="Instant"/>
    <s v="Make a withering brawl attack, with instead of being used for damage, extra successes determine extra attacks and repeated damage."/>
    <n v="282"/>
    <x v="4"/>
    <x v="3"/>
    <x v="3"/>
    <x v="0"/>
    <s v="Fivefold Fury Onslaught"/>
    <m/>
  </r>
  <r>
    <x v="0"/>
    <x v="134"/>
    <s v="-"/>
    <s v="Reflexive"/>
    <s v="None"/>
    <s v="Instant"/>
    <s v="Each time reaching iconic anima from dim, use free full brawl excellency."/>
    <n v="283"/>
    <x v="4"/>
    <x v="3"/>
    <x v="3"/>
    <x v="0"/>
    <s v="Inevitable Victory Meditation"/>
    <m/>
  </r>
  <r>
    <x v="0"/>
    <x v="135"/>
    <s v="3m, 2i"/>
    <s v="Simple"/>
    <s v="Decisive-only"/>
    <s v="Instant"/>
    <s v="Throw essence with damage equal to damage gathered using FEF. May add 3 anima for 3 succ and ess damage."/>
    <n v="283"/>
    <x v="4"/>
    <x v="3"/>
    <x v="4"/>
    <x v="0"/>
    <s v="Fire-Eating Fist"/>
    <m/>
  </r>
  <r>
    <x v="0"/>
    <x v="136"/>
    <s v="-"/>
    <s v="Reflexive"/>
    <s v="Decisive-only"/>
    <s v="Instant"/>
    <s v="After crashing target, reset attack to hit again instantly with a decisive attack against them. Using any combat ability."/>
    <n v="283"/>
    <x v="4"/>
    <x v="3"/>
    <x v="4"/>
    <x v="0"/>
    <s v="Rampage-Berserker Attack"/>
    <m/>
  </r>
  <r>
    <x v="0"/>
    <x v="137"/>
    <s v="3a, 1wp"/>
    <s v="Simple"/>
    <s v="Decisive-only"/>
    <s v="Instant"/>
    <m/>
    <s v="MotSE 8"/>
    <x v="4"/>
    <x v="3"/>
    <x v="4"/>
    <x v="0"/>
    <s v="Ascendant Battle Visage"/>
    <m/>
  </r>
  <r>
    <x v="0"/>
    <x v="138"/>
    <s v="15m, 1wp"/>
    <s v="Simple"/>
    <s v="Decisive-only"/>
    <s v="Instant"/>
    <m/>
    <s v="MotSE 9"/>
    <x v="4"/>
    <x v="3"/>
    <x v="4"/>
    <x v="0"/>
    <s v="Heart-Eating Fist"/>
    <m/>
  </r>
  <r>
    <x v="0"/>
    <x v="139"/>
    <s v="3m"/>
    <s v="Reflexive"/>
    <s v="None"/>
    <s v="One Turn"/>
    <s v="Immune to further onslaught penalties until next action."/>
    <n v="273"/>
    <x v="4"/>
    <x v="1"/>
    <x v="0"/>
    <x v="0"/>
    <s v="Fists of Iron Technique"/>
    <m/>
  </r>
  <r>
    <x v="0"/>
    <x v="140"/>
    <s v="-"/>
    <s v="Permanent"/>
    <s v="None"/>
    <s v="Permanent"/>
    <s v="Add ess initiative, up to 5, to the initiative break bonus for crashing someone with brawl or martial arts."/>
    <n v="278"/>
    <x v="4"/>
    <x v="3"/>
    <x v="1"/>
    <x v="0"/>
    <s v="Falling Hammer Strike"/>
    <m/>
  </r>
  <r>
    <x v="0"/>
    <x v="141"/>
    <s v="-"/>
    <s v="Permanent"/>
    <s v="None"/>
    <s v="Permanent"/>
    <s v="FRS is 4m and 1wp cheaper with improvised weapons. Drops current weapon."/>
    <n v="279"/>
    <x v="4"/>
    <x v="3"/>
    <x v="2"/>
    <x v="0"/>
    <s v="Force-Rending Strike"/>
    <m/>
  </r>
  <r>
    <x v="0"/>
    <x v="142"/>
    <s v="-"/>
    <s v="Permanent"/>
    <s v="None"/>
    <s v="Permanent"/>
    <s v="Upgrades HoIT to use (strength or stamina)+1 attacks and bonus damage to each successful hit +1 then +2 etc."/>
    <n v="281"/>
    <x v="4"/>
    <x v="3"/>
    <x v="2"/>
    <x v="0"/>
    <s v="Hammer on Iron Technique"/>
    <m/>
  </r>
  <r>
    <x v="0"/>
    <x v="143"/>
    <s v="5m,1wp (2m,1wp)"/>
    <s v="Simple"/>
    <s v="Dual"/>
    <s v="Scene"/>
    <s v="Can activate scene-long reflexively for altered cost if Supp. version is used to damage opponent."/>
    <n v="279"/>
    <x v="4"/>
    <x v="3"/>
    <x v="2"/>
    <x v="0"/>
    <s v="Adamantine Fists of Battle"/>
    <m/>
  </r>
  <r>
    <x v="0"/>
    <x v="144"/>
    <s v="8m,3a,1wp,+1m a turn"/>
    <s v="Simple"/>
    <s v="Decisive-only"/>
    <s v="Scene"/>
    <s v="While using scene-long AFoB, eat anima to make decisive attacks ignore hardness and other bonuses for the scene."/>
    <n v="282"/>
    <x v="4"/>
    <x v="3"/>
    <x v="3"/>
    <x v="0"/>
    <s v="Adamantine Fists of Battle x2"/>
    <m/>
  </r>
  <r>
    <x v="0"/>
    <x v="145"/>
    <s v="15m, 3a, 1wp"/>
    <s v="Reflexive"/>
    <s v="None"/>
    <s v="Scene"/>
    <s v="Go super saiyan. Rush with double 7s and can use strength instead. Use combat action to clash without delay, moving close to the enemy. Withering can't crash you unless close range. Can reflexively use OFoB cheaper. Store damage from any clash using FEF. May use AFA without spending anima."/>
    <n v="283"/>
    <x v="4"/>
    <x v="3"/>
    <x v="4"/>
    <x v="0"/>
    <s v="Supremacy of War Meditation"/>
    <m/>
  </r>
  <r>
    <x v="0"/>
    <x v="146"/>
    <s v="4m "/>
    <s v="Simple"/>
    <s v="None"/>
    <s v="Indefinite"/>
    <s v="Ship's Speed +1."/>
    <n v="387"/>
    <x v="5"/>
    <x v="1"/>
    <x v="0"/>
    <x v="3"/>
    <s v="Ship-Claiming Stance"/>
    <m/>
  </r>
  <r>
    <x v="0"/>
    <x v="147"/>
    <s v="5m"/>
    <s v="Simple"/>
    <s v="None"/>
    <s v="Indefinite"/>
    <m/>
    <s v="MotSE 28"/>
    <x v="5"/>
    <x v="2"/>
    <x v="0"/>
    <x v="3"/>
    <s v="Ship-Claiming Stance"/>
    <m/>
  </r>
  <r>
    <x v="0"/>
    <x v="148"/>
    <s v="7m "/>
    <s v="Simple"/>
    <s v="None"/>
    <s v="Indefinite"/>
    <s v="Sense danger (Essence) minutes early, apparently whether on a boat or not. Bonus successes to Awarenesss on a boat."/>
    <n v="391"/>
    <x v="5"/>
    <x v="3"/>
    <x v="2"/>
    <x v="3"/>
    <s v="Weather-Anticipating Intuition"/>
    <m/>
  </r>
  <r>
    <x v="0"/>
    <x v="149"/>
    <s v="10m, 1wp "/>
    <s v="Reflexive"/>
    <s v="None"/>
    <s v="Indefinite"/>
    <s v="Gain extra health levels equal to the ship's current hull."/>
    <n v="391"/>
    <x v="5"/>
    <x v="3"/>
    <x v="2"/>
    <x v="3"/>
    <s v="Hull-Taming Transfusion"/>
    <m/>
  </r>
  <r>
    <x v="0"/>
    <x v="150"/>
    <s v="4m "/>
    <s v="Reflexive"/>
    <s v="Stackable"/>
    <s v="Indefinite"/>
    <s v="Commit motes to keep your ship from falling apart at 0 health."/>
    <n v="392"/>
    <x v="5"/>
    <x v="3"/>
    <x v="2"/>
    <x v="3"/>
    <s v="Ship-Leavening Meditation"/>
    <m/>
  </r>
  <r>
    <x v="0"/>
    <x v="151"/>
    <s v="10m, 1wp "/>
    <s v="Simple"/>
    <s v="None"/>
    <s v="Indefinite"/>
    <s v="Permanently enhance your sailors' stats."/>
    <n v="392"/>
    <x v="5"/>
    <x v="3"/>
    <x v="2"/>
    <x v="3"/>
    <s v="Invincible Admiral Method"/>
    <m/>
  </r>
  <r>
    <x v="0"/>
    <x v="152"/>
    <s v="5m, 1wp "/>
    <s v="Simple"/>
    <s v="None"/>
    <s v="Instant"/>
    <s v="Anyone on your ship without permission takes -1 die. You can pull 5m from the ship."/>
    <n v="387"/>
    <x v="5"/>
    <x v="1"/>
    <x v="0"/>
    <x v="3"/>
    <m/>
    <m/>
  </r>
  <r>
    <x v="0"/>
    <x v="153"/>
    <s v="1m or 2m or 3m or 5m, 1wp "/>
    <s v="Reflexive"/>
    <s v="None"/>
    <s v="Instant"/>
    <s v="Double-9s or recurring 1s on a Sail roll, after the roll is made (!)."/>
    <n v="387"/>
    <x v="5"/>
    <x v="3"/>
    <x v="0"/>
    <x v="3"/>
    <m/>
    <m/>
  </r>
  <r>
    <x v="0"/>
    <x v="154"/>
    <s v="3m "/>
    <s v="Supplemental"/>
    <s v="Pilot"/>
    <s v="Instant"/>
    <s v="Double ship's Maneuverability and add 1 to its Speed for one maneuver."/>
    <n v="388"/>
    <x v="5"/>
    <x v="3"/>
    <x v="0"/>
    <x v="3"/>
    <s v="Immortal Mariner's Advantage"/>
    <m/>
  </r>
  <r>
    <x v="0"/>
    <x v="155"/>
    <s v="2m "/>
    <s v="Supplemental"/>
    <s v="Pilot"/>
    <s v="Instant"/>
    <s v="+Speed to a Conceal maneuver."/>
    <n v="388"/>
    <x v="5"/>
    <x v="3"/>
    <x v="0"/>
    <x v="3"/>
    <s v="Legendary Captain's Signature"/>
    <m/>
  </r>
  <r>
    <x v="0"/>
    <x v="156"/>
    <s v="Varies "/>
    <s v="Supplemental"/>
    <s v="Pilot"/>
    <s v="Instant"/>
    <s v="+Essence dice and +Essence non-Charm successes to a Broadside maneuver."/>
    <n v="388"/>
    <x v="5"/>
    <x v="3"/>
    <x v="0"/>
    <x v="3"/>
    <s v="Legendary Captain's Signature"/>
    <m/>
  </r>
  <r>
    <x v="0"/>
    <x v="157"/>
    <s v="3m "/>
    <s v="Supplemental"/>
    <s v="Pilot"/>
    <s v="Instant"/>
    <s v="+1 level of damage when ramming the enemy; cancel the enemy’s Broadside maneuver."/>
    <n v="389"/>
    <x v="5"/>
    <x v="3"/>
    <x v="0"/>
    <x v="3"/>
    <s v="Legendary Captain's Signature"/>
    <m/>
  </r>
  <r>
    <x v="0"/>
    <x v="158"/>
    <s v="2m "/>
    <s v="Supplemental"/>
    <s v="Pilot"/>
    <s v="Instant"/>
    <s v="In a Positioning maneuver, treat enemy 1s as your 10s. Cancel the enemy's Ram maneuver."/>
    <n v="389"/>
    <x v="5"/>
    <x v="3"/>
    <x v="0"/>
    <x v="3"/>
    <s v="Legendary Captain's Signature"/>
    <m/>
  </r>
  <r>
    <x v="0"/>
    <x v="159"/>
    <s v="5m "/>
    <s v="Simple"/>
    <s v="None"/>
    <s v="Instant"/>
    <s v="Predict the weather for the next day or so."/>
    <n v="389"/>
    <x v="5"/>
    <x v="2"/>
    <x v="1"/>
    <x v="3"/>
    <s v="Safe Bearing Technique"/>
    <m/>
  </r>
  <r>
    <x v="0"/>
    <x v="160"/>
    <s v="2m, 3hls/1hul "/>
    <s v="Reflexive"/>
    <s v="None"/>
    <s v="Instant"/>
    <s v="Spend 3HL to heal one level of damage to your ship."/>
    <n v="390"/>
    <x v="5"/>
    <x v="3"/>
    <x v="1"/>
    <x v="3"/>
    <s v="Hull-Preserving Technique"/>
    <m/>
  </r>
  <r>
    <x v="0"/>
    <x v="161"/>
    <s v="1wp "/>
    <s v="Reflexive"/>
    <s v="None"/>
    <s v="Instant"/>
    <s v="Reroll all nonsuccesses on a Sail action."/>
    <n v="390"/>
    <x v="5"/>
    <x v="3"/>
    <x v="1"/>
    <x v="3"/>
    <s v="Immortal Mariner's Advantage or Salty Dog Method"/>
    <b v="0"/>
  </r>
  <r>
    <x v="0"/>
    <x v="162"/>
    <s v="2m, 1wp "/>
    <s v="Reflexive"/>
    <s v="Pilot"/>
    <s v="Instant"/>
    <s v="On a successful ram, also shock and board."/>
    <n v="391"/>
    <x v="5"/>
    <x v="3"/>
    <x v="1"/>
    <x v="3"/>
    <s v="Ship-Breaker Method"/>
    <m/>
  </r>
  <r>
    <x v="0"/>
    <x v="163"/>
    <s v="2m "/>
    <s v="Supplemental"/>
    <s v="Pilot"/>
    <s v="Instant"/>
    <s v="+3 non-Charm dice to Join Battle on a boat."/>
    <n v="391"/>
    <x v="5"/>
    <x v="3"/>
    <x v="1"/>
    <x v="3"/>
    <s v="Deadly Ichneumon Assault"/>
    <m/>
  </r>
  <r>
    <x v="0"/>
    <x v="164"/>
    <s v="5m "/>
    <s v="Supplemental"/>
    <s v="Pilot"/>
    <s v="Instant"/>
    <s v="Double Momentum gained via a Positioning maneuver."/>
    <n v="391"/>
    <x v="5"/>
    <x v="3"/>
    <x v="1"/>
    <x v="3"/>
    <s v="Superior Positioning Technique"/>
    <m/>
  </r>
  <r>
    <x v="0"/>
    <x v="165"/>
    <s v="3m "/>
    <s v="Reflexive"/>
    <s v="Pilot"/>
    <s v="Instant"/>
    <s v="On incapacitating another ship with a maneuver, you keep all your existing Momentum (and gain more!) instead of losing it."/>
    <n v="393"/>
    <x v="5"/>
    <x v="3"/>
    <x v="2"/>
    <x v="3"/>
    <s v="Implacable Sea Wolf Spirit"/>
    <m/>
  </r>
  <r>
    <x v="0"/>
    <x v="166"/>
    <s v="4m"/>
    <s v="Reflexive"/>
    <s v="None"/>
    <s v="Instant"/>
    <m/>
    <s v="MotSE 29"/>
    <x v="5"/>
    <x v="3"/>
    <x v="2"/>
    <x v="3"/>
    <m/>
    <m/>
  </r>
  <r>
    <x v="0"/>
    <x v="167"/>
    <s v="6m"/>
    <s v="Simple"/>
    <s v="Apocryphal, Pilot"/>
    <s v="Instant"/>
    <m/>
    <s v="MotSE 29"/>
    <x v="5"/>
    <x v="3"/>
    <x v="2"/>
    <x v="3"/>
    <s v="Any five Sail Charms"/>
    <b v="0"/>
  </r>
  <r>
    <x v="0"/>
    <x v="168"/>
    <s v="5m, 1wp "/>
    <s v="Reflexive"/>
    <s v="None"/>
    <s v="One day"/>
    <s v="Ship's Speed +1 for one day. Incompatible with WRD."/>
    <n v="389"/>
    <x v="5"/>
    <x v="2"/>
    <x v="1"/>
    <x v="3"/>
    <s v="Ship-Sleeking Technique"/>
    <m/>
  </r>
  <r>
    <x v="0"/>
    <x v="169"/>
    <s v="5m, 1wp "/>
    <s v="Reflexive"/>
    <s v="None"/>
    <s v="One day"/>
    <s v="Double ship's Speed bonus for sails, but reduce any rower bonus to +1. No bonus for being dragged by sea monsters. Incompatible with TCE."/>
    <n v="389"/>
    <x v="5"/>
    <x v="2"/>
    <x v="1"/>
    <x v="3"/>
    <s v="Ship-Sleeking Technique"/>
    <m/>
  </r>
  <r>
    <x v="0"/>
    <x v="170"/>
    <s v="10m, 1wp "/>
    <s v="Reflexive"/>
    <s v="None"/>
    <s v="One day"/>
    <s v="Render the ship and crew immune to the Wyld."/>
    <n v="391"/>
    <x v="5"/>
    <x v="3"/>
    <x v="2"/>
    <x v="3"/>
    <s v="Hull-Preserving Technique"/>
    <m/>
  </r>
  <r>
    <x v="0"/>
    <x v="171"/>
    <s v="3m "/>
    <s v="Reflexive"/>
    <s v="None"/>
    <s v="One hour"/>
    <s v="Reduce wind-based penalties (are those a thing, prior to now?) by 3."/>
    <n v="390"/>
    <x v="5"/>
    <x v="3"/>
    <x v="1"/>
    <x v="3"/>
    <s v="Immortal Mariner's Advantage or Salty Dog Method"/>
    <b v="0"/>
  </r>
  <r>
    <x v="0"/>
    <x v="172"/>
    <s v="4m "/>
    <s v="Reflexive"/>
    <s v="None"/>
    <s v="One hour"/>
    <s v="Reduce curret-based penalties to speed by 2 and from sea monsters."/>
    <n v="390"/>
    <x v="5"/>
    <x v="3"/>
    <x v="1"/>
    <x v="3"/>
    <s v="Wind-Defying Course Technique"/>
    <m/>
  </r>
  <r>
    <x v="0"/>
    <x v="173"/>
    <s v="6m, 1wp "/>
    <s v="Simple"/>
    <s v="Pilot"/>
    <s v="One hour"/>
    <s v="+(Essence) auto-successes to fighting a storm for the next hour."/>
    <n v="392"/>
    <x v="5"/>
    <x v="3"/>
    <x v="2"/>
    <x v="3"/>
    <s v="Current-Cutting Technique"/>
    <m/>
  </r>
  <r>
    <x v="0"/>
    <x v="174"/>
    <s v="8m, 1wp"/>
    <s v="Reflexive"/>
    <s v="None"/>
    <s v="One hour"/>
    <m/>
    <s v="MotSE 28"/>
    <x v="5"/>
    <x v="3"/>
    <x v="2"/>
    <x v="3"/>
    <s v="Hull-Preserving Technique, Element-Resisting Prana"/>
    <m/>
  </r>
  <r>
    <x v="0"/>
    <x v="175"/>
    <s v="5m, 1wp "/>
    <s v="Reflexive"/>
    <s v="None"/>
    <s v="One Turn"/>
    <s v="Negate all damage to the ship for one turn."/>
    <n v="389"/>
    <x v="5"/>
    <x v="3"/>
    <x v="1"/>
    <x v="3"/>
    <s v="Ship-Claiming Stance"/>
    <m/>
  </r>
  <r>
    <x v="0"/>
    <x v="176"/>
    <s v="10m, 1wp "/>
    <s v="Simple"/>
    <s v="None"/>
    <s v="Indefinite"/>
    <s v="Build Superior projects in Major slots."/>
    <n v="290"/>
    <x v="6"/>
    <x v="3"/>
    <x v="2"/>
    <x v="4"/>
    <s v="Ages-Echoing Wisdom"/>
    <m/>
  </r>
  <r>
    <x v="0"/>
    <x v="177"/>
    <s v="6m "/>
    <s v="Supplemental"/>
    <s v="None"/>
    <s v="Instant"/>
    <s v="Reroll 10s until they disappear."/>
    <n v="297"/>
    <x v="6"/>
    <x v="4"/>
    <x v="0"/>
    <x v="4"/>
    <m/>
    <m/>
  </r>
  <r>
    <x v="0"/>
    <x v="178"/>
    <s v="10m, 1wp "/>
    <s v="Simple"/>
    <s v="None"/>
    <s v="Instant"/>
    <s v="Repair a nearly destroyed thing."/>
    <n v="295"/>
    <x v="6"/>
    <x v="1"/>
    <x v="0"/>
    <x v="4"/>
    <m/>
    <m/>
  </r>
  <r>
    <x v="0"/>
    <x v="179"/>
    <s v="6m "/>
    <s v="Supplemental"/>
    <s v="None"/>
    <s v="Instant"/>
    <s v="Reroll 6s until they fail to appear."/>
    <n v="297"/>
    <x v="6"/>
    <x v="1"/>
    <x v="0"/>
    <x v="4"/>
    <s v="Flawless Handiwork Method"/>
    <m/>
  </r>
  <r>
    <x v="0"/>
    <x v="180"/>
    <s v="6m "/>
    <s v="Supplemental"/>
    <s v="None"/>
    <s v="Instant"/>
    <s v="Basic and Major projects get double 9s."/>
    <n v="297"/>
    <x v="6"/>
    <x v="1"/>
    <x v="0"/>
    <x v="4"/>
    <s v="Flawless Handiwork Method"/>
    <m/>
  </r>
  <r>
    <x v="0"/>
    <x v="181"/>
    <s v="4m, 1sxp, 1wp "/>
    <s v="Simple"/>
    <s v="None"/>
    <s v="Instant"/>
    <s v="Convert dots from one Craft Ability to a related one."/>
    <n v="289"/>
    <x v="6"/>
    <x v="2"/>
    <x v="0"/>
    <x v="4"/>
    <m/>
    <m/>
  </r>
  <r>
    <x v="0"/>
    <x v="182"/>
    <s v="5m "/>
    <s v="Simple"/>
    <s v="None"/>
    <s v="Instant"/>
    <s v="Make a mundane object permanently durable."/>
    <n v="294"/>
    <x v="6"/>
    <x v="3"/>
    <x v="0"/>
    <x v="4"/>
    <s v="Craftsman Needs No Tools"/>
    <m/>
  </r>
  <r>
    <x v="0"/>
    <x v="183"/>
    <s v="4m, 1wp "/>
    <s v="Simple"/>
    <s v="None"/>
    <s v="Instant"/>
    <s v="Create a major slot for repairs only."/>
    <n v="295"/>
    <x v="6"/>
    <x v="3"/>
    <x v="0"/>
    <x v="4"/>
    <s v="Crack-Mending Technique"/>
    <m/>
  </r>
  <r>
    <x v="0"/>
    <x v="184"/>
    <s v="-"/>
    <s v="Reflexive"/>
    <s v="None"/>
    <s v="Instant"/>
    <s v="Act as if you had three more Craft Charms than you did; you can switch up which ones."/>
    <n v="297"/>
    <x v="6"/>
    <x v="1"/>
    <x v="1"/>
    <x v="4"/>
    <s v="Flawless Handiwork Method"/>
    <m/>
  </r>
  <r>
    <x v="0"/>
    <x v="185"/>
    <s v="4m, 4s/g/wxp "/>
    <s v="Reflexive"/>
    <s v="Salient"/>
    <s v="Instant"/>
    <s v="Bonus non-Charm successes/dice on non-Basic projects. (Why both?)"/>
    <n v="298"/>
    <x v="6"/>
    <x v="1"/>
    <x v="1"/>
    <x v="4"/>
    <s v="Flawless Handiwork Method"/>
    <m/>
  </r>
  <r>
    <x v="0"/>
    <x v="186"/>
    <s v="10m, 1wp, 3xp "/>
    <s v="Simple"/>
    <s v="None"/>
    <s v="Instant"/>
    <s v="Add Evocations to a weapon."/>
    <n v="296"/>
    <x v="6"/>
    <x v="2"/>
    <x v="1"/>
    <x v="4"/>
    <s v="Crack-Mending Technique, Craftsman Needs No Tools"/>
    <m/>
  </r>
  <r>
    <x v="0"/>
    <x v="187"/>
    <s v="3m + 1s/g/wxp/success "/>
    <s v="Reflexive"/>
    <s v="Salient"/>
    <s v="Instant"/>
    <s v="Spend craft points for bonus non-Charm successes."/>
    <n v="298"/>
    <x v="6"/>
    <x v="2"/>
    <x v="1"/>
    <x v="4"/>
    <s v="Experiential Conjuring of True Void"/>
    <m/>
  </r>
  <r>
    <x v="0"/>
    <x v="188"/>
    <s v="6m "/>
    <s v="Simple"/>
    <s v="Mute"/>
    <s v="Instant"/>
    <s v="Convert 4sxp &lt;-&gt; 2gxp &lt;-&gt; 1wxp"/>
    <n v="289"/>
    <x v="6"/>
    <x v="3"/>
    <x v="1"/>
    <x v="4"/>
    <s v="Arete-Shifting Prana"/>
    <m/>
  </r>
  <r>
    <x v="0"/>
    <x v="189"/>
    <s v="10m, 1wp "/>
    <s v="Reflexive"/>
    <s v="None"/>
    <s v="Instant"/>
    <s v="Accelerate Superior or Legendary projects to weeks/months."/>
    <n v="293"/>
    <x v="6"/>
    <x v="3"/>
    <x v="1"/>
    <x v="4"/>
    <s v="Craftsman Needs No Tools"/>
    <m/>
  </r>
  <r>
    <x v="0"/>
    <x v="190"/>
    <s v="5m "/>
    <s v="Simple"/>
    <s v="None"/>
    <s v="Instant"/>
    <s v="An object – and anyone nearby – can resist the Wyld for extended periods."/>
    <n v="295"/>
    <x v="6"/>
    <x v="3"/>
    <x v="1"/>
    <x v="4"/>
    <s v="Object-Strengthening Touch"/>
    <m/>
  </r>
  <r>
    <x v="0"/>
    <x v="191"/>
    <s v="5m, 1wp, 1gxp"/>
    <s v="Supplemental"/>
    <s v="None"/>
    <s v="Instant"/>
    <s v="Basic, Major, or Superior get double 8s."/>
    <n v="297"/>
    <x v="6"/>
    <x v="3"/>
    <x v="1"/>
    <x v="4"/>
    <s v="Supreme Masterwork Focus"/>
    <m/>
  </r>
  <r>
    <x v="0"/>
    <x v="192"/>
    <s v="5m, 1wp "/>
    <s v="Simple"/>
    <s v="None"/>
    <s v="Instant"/>
    <s v="Reduce cost of making a Superior slot."/>
    <n v="290"/>
    <x v="6"/>
    <x v="3"/>
    <x v="2"/>
    <x v="4"/>
    <s v="Dragon Soul Emergence"/>
    <m/>
  </r>
  <r>
    <x v="0"/>
    <x v="193"/>
    <s v="-"/>
    <s v="Reflexive"/>
    <s v="None"/>
    <s v="Instant"/>
    <s v="Once a season, whip out a free 2-dot Artifact."/>
    <n v="290"/>
    <x v="6"/>
    <x v="3"/>
    <x v="2"/>
    <x v="4"/>
    <s v="Summit-Piercing Touch"/>
    <m/>
  </r>
  <r>
    <x v="0"/>
    <x v="194"/>
    <s v="5m, 1wp "/>
    <s v="Simple"/>
    <s v="Mute, Stackable"/>
    <s v="Instant"/>
    <s v="Invent artifact tools out of the air for a temporary purpose."/>
    <n v="294"/>
    <x v="6"/>
    <x v="3"/>
    <x v="2"/>
    <x v="4"/>
    <s v="Craftsman Needs No Tools, Vice-Miracle Technique"/>
    <m/>
  </r>
  <r>
    <x v="0"/>
    <x v="195"/>
    <s v="6m, 1wp"/>
    <s v="Simple"/>
    <s v="None"/>
    <s v="Instant"/>
    <s v="Create a superior slot for repairs only."/>
    <n v="295"/>
    <x v="6"/>
    <x v="3"/>
    <x v="2"/>
    <x v="4"/>
    <s v="Time Heals Nothing"/>
    <m/>
  </r>
  <r>
    <x v="0"/>
    <x v="196"/>
    <s v="6m, 1wxp "/>
    <s v="Supplemental"/>
    <s v="None"/>
    <s v="Instant"/>
    <s v="Make an object that lasts forever – an ever-burning candle, say."/>
    <n v="296"/>
    <x v="6"/>
    <x v="3"/>
    <x v="2"/>
    <x v="4"/>
    <s v="Chaos-Resistance Preparation"/>
    <m/>
  </r>
  <r>
    <x v="0"/>
    <x v="197"/>
    <s v="5m, 1wp "/>
    <s v="Reflexive"/>
    <s v="None"/>
    <s v="Instant"/>
    <s v="Bonus successes to repair an object."/>
    <n v="296"/>
    <x v="6"/>
    <x v="3"/>
    <x v="2"/>
    <x v="4"/>
    <s v="Breach-Healing Method"/>
    <m/>
  </r>
  <r>
    <x v="0"/>
    <x v="198"/>
    <s v="10m, 1wp, 3xp "/>
    <s v="Simple"/>
    <s v="None"/>
    <s v="Instant"/>
    <s v="Switch up which Evocations in a weapon are live."/>
    <n v="296"/>
    <x v="6"/>
    <x v="3"/>
    <x v="2"/>
    <x v="4"/>
    <s v="Design Beyond Limit"/>
    <m/>
  </r>
  <r>
    <x v="0"/>
    <x v="199"/>
    <s v="2m, 1wxp"/>
    <s v="Supplemental"/>
    <s v="None"/>
    <s v="Instant"/>
    <s v="Any Craft roll gets double 7s."/>
    <n v="297"/>
    <x v="6"/>
    <x v="3"/>
    <x v="2"/>
    <x v="4"/>
    <s v="Supreme Masterwork Focus x2"/>
    <m/>
  </r>
  <r>
    <x v="0"/>
    <x v="200"/>
    <s v="1sxp/cap increase, 1wxp "/>
    <s v="Reflexive"/>
    <s v="None"/>
    <s v="Instant"/>
    <s v="Spend sxp to raise the limit of your Excellency."/>
    <n v="298"/>
    <x v="6"/>
    <x v="3"/>
    <x v="2"/>
    <x v="4"/>
    <s v="Essence-Forging Kata"/>
    <m/>
  </r>
  <r>
    <x v="0"/>
    <x v="201"/>
    <s v="12m, 1wp, 2wxp "/>
    <s v="Supplemental"/>
    <s v="None"/>
    <s v="Instant"/>
    <s v="Roll once for a Superior or Legendary project; this doesn't count against the maximum allowed rolls."/>
    <n v="298"/>
    <x v="6"/>
    <x v="3"/>
    <x v="2"/>
    <x v="4"/>
    <s v="Essence-Forging Kata, Supreme Masterwork Focus x2"/>
    <m/>
  </r>
  <r>
    <x v="0"/>
    <x v="202"/>
    <s v="15m, 1wp"/>
    <s v="Reflexive"/>
    <s v="None"/>
    <s v="Instant"/>
    <m/>
    <s v="MotSE 11"/>
    <x v="6"/>
    <x v="3"/>
    <x v="2"/>
    <x v="4"/>
    <s v="Thousand-Forge Hands"/>
    <m/>
  </r>
  <r>
    <x v="0"/>
    <x v="203"/>
    <s v="10m, 1wp "/>
    <s v="Reflexive"/>
    <s v="None"/>
    <s v="Instant"/>
    <s v="Chain the gxp from one Superior project into the next, making it easier and more rewarding."/>
    <n v="291"/>
    <x v="6"/>
    <x v="3"/>
    <x v="3"/>
    <x v="4"/>
    <s v="Spirit-Gathering Industry"/>
    <m/>
  </r>
  <r>
    <x v="0"/>
    <x v="204"/>
    <s v="15m, 1wp, 4xp, 4wxp "/>
    <s v="Simple"/>
    <s v="None"/>
    <s v="Instant"/>
    <s v="Free Evocations."/>
    <n v="297"/>
    <x v="6"/>
    <x v="3"/>
    <x v="3"/>
    <x v="4"/>
    <m/>
    <m/>
  </r>
  <r>
    <x v="0"/>
    <x v="205"/>
    <s v="25sxp, 15gxp, 10wxp + all remaining wxp "/>
    <s v="Simple"/>
    <s v="None"/>
    <s v="Instant"/>
    <s v="Convert all wxp into real experience points."/>
    <n v="291"/>
    <x v="6"/>
    <x v="3"/>
    <x v="4"/>
    <x v="4"/>
    <s v="Unwinding Gyre Meditation"/>
    <m/>
  </r>
  <r>
    <x v="0"/>
    <x v="206"/>
    <s v="-"/>
    <s v="Reflexive"/>
    <s v="None"/>
    <s v="Instant"/>
    <s v="While building 10 Artifacts of the same level simultaneously, immediately finish one of them at no cost."/>
    <n v="292"/>
    <x v="6"/>
    <x v="3"/>
    <x v="4"/>
    <x v="4"/>
    <s v="God-Forge Within, Vice-Miracle Technique"/>
    <m/>
  </r>
  <r>
    <x v="0"/>
    <x v="207"/>
    <s v="30wxp "/>
    <s v="Reflexive"/>
    <s v="None"/>
    <s v="Instant"/>
    <s v="On death, reveal that the you that died was really a magic-robot-clone, and the real you has been elsewhere the whole time."/>
    <n v="292"/>
    <x v="6"/>
    <x v="5"/>
    <x v="4"/>
    <x v="4"/>
    <s v="Terrestrial Circle Sorcery, Wonder-Forging Genius"/>
    <m/>
  </r>
  <r>
    <x v="0"/>
    <x v="208"/>
    <s v="2m/mote, 1wp "/>
    <s v="Simple"/>
    <s v="None"/>
    <s v="One day"/>
    <s v="Infinite Craft Mastery. Like, literally, exactly that, except daylong."/>
    <n v="298"/>
    <x v="6"/>
    <x v="3"/>
    <x v="2"/>
    <x v="4"/>
    <s v="Unbroken Image Focus"/>
    <m/>
  </r>
  <r>
    <x v="0"/>
    <x v="209"/>
    <s v="6m "/>
    <s v="Simple"/>
    <s v="Mute"/>
    <s v="One task"/>
    <s v="Finish a Basic or Major project in moments, with your bare hands."/>
    <n v="292"/>
    <x v="6"/>
    <x v="1"/>
    <x v="0"/>
    <x v="4"/>
    <m/>
    <m/>
  </r>
  <r>
    <x v="0"/>
    <x v="210"/>
    <s v="6m "/>
    <s v="Simple"/>
    <s v="Mute"/>
    <s v="One task"/>
    <s v="Break stuff."/>
    <n v="294"/>
    <x v="6"/>
    <x v="3"/>
    <x v="0"/>
    <x v="4"/>
    <s v="Craftsman Needs No Tools"/>
    <m/>
  </r>
  <r>
    <x v="0"/>
    <x v="211"/>
    <s v="7m "/>
    <s v="Simple"/>
    <s v="None"/>
    <s v="One task"/>
    <s v="You and allies gain (Essence) dice to rolls using smarty-pants Abilities."/>
    <n v="296"/>
    <x v="6"/>
    <x v="3"/>
    <x v="1"/>
    <x v="4"/>
    <s v="Time Heals Nothing"/>
    <m/>
  </r>
  <r>
    <x v="0"/>
    <x v="212"/>
    <s v="-"/>
    <s v="Permanent"/>
    <m/>
    <s v="Permanent"/>
    <s v="(2*Essence) free Major slots."/>
    <n v="289"/>
    <x v="6"/>
    <x v="0"/>
    <x v="0"/>
    <x v="4"/>
    <m/>
    <m/>
  </r>
  <r>
    <x v="0"/>
    <x v="213"/>
    <s v="-"/>
    <s v="Permanent"/>
    <s v="None"/>
    <s v="Permanent"/>
    <s v="Free full Craft Excellency once a week."/>
    <n v="297"/>
    <x v="6"/>
    <x v="0"/>
    <x v="0"/>
    <x v="4"/>
    <s v="Flawless Handiwork Method"/>
    <m/>
  </r>
  <r>
    <x v="0"/>
    <x v="214"/>
    <s v="-"/>
    <s v="Permanent"/>
    <s v="None"/>
    <s v="Permanent"/>
    <s v="Reduce cost of making a Major slot."/>
    <n v="289"/>
    <x v="6"/>
    <x v="1"/>
    <x v="0"/>
    <x v="4"/>
    <s v="Tireless Workhorse Method"/>
    <m/>
  </r>
  <r>
    <x v="0"/>
    <x v="215"/>
    <s v="-"/>
    <s v="Permanent"/>
    <s v="None"/>
    <s v="Permanent"/>
    <s v="When you roll for a project with no Excellency, gain sxp for each 10."/>
    <n v="292"/>
    <x v="6"/>
    <x v="1"/>
    <x v="0"/>
    <x v="4"/>
    <m/>
    <m/>
  </r>
  <r>
    <x v="0"/>
    <x v="216"/>
    <s v="-"/>
    <s v="Permanent"/>
    <s v="None"/>
    <s v="Permanent"/>
    <s v="Increases cap to (Ess * 3)"/>
    <n v="292"/>
    <x v="6"/>
    <x v="1"/>
    <x v="0"/>
    <x v="4"/>
    <s v="Brass Scales Falling"/>
    <m/>
  </r>
  <r>
    <x v="0"/>
    <x v="217"/>
    <s v="-"/>
    <s v="Permanent"/>
    <s v="None"/>
    <s v="Permanent"/>
    <s v="+1sp per objective on a Basic project"/>
    <n v="292"/>
    <x v="6"/>
    <x v="2"/>
    <x v="0"/>
    <x v="4"/>
    <s v="Brass Scales Falling"/>
    <m/>
  </r>
  <r>
    <x v="0"/>
    <x v="218"/>
    <s v="-"/>
    <s v="Permanent"/>
    <s v="None"/>
    <s v="Permanent"/>
    <s v="+1gp when meeting all objectives on a project"/>
    <n v="292"/>
    <x v="6"/>
    <x v="3"/>
    <x v="0"/>
    <x v="4"/>
    <s v="Red Anvils Ringing"/>
    <m/>
  </r>
  <r>
    <x v="0"/>
    <x v="219"/>
    <s v="-"/>
    <s v="Permanent"/>
    <s v="None"/>
    <s v="Permanent"/>
    <s v="Roll dice every story, gain sxp or gxp for roll."/>
    <n v="292"/>
    <x v="6"/>
    <x v="3"/>
    <x v="0"/>
    <x v="4"/>
    <s v="Chains Fall Away, Craftsman Needs No Tools"/>
    <m/>
  </r>
  <r>
    <x v="0"/>
    <x v="220"/>
    <s v="-"/>
    <s v="Permanent"/>
    <s v="None"/>
    <s v="Permanent"/>
    <s v="Extra craft points for repairs."/>
    <n v="295"/>
    <x v="6"/>
    <x v="3"/>
    <x v="0"/>
    <x v="4"/>
    <s v="Time Heals Nothing"/>
    <m/>
  </r>
  <r>
    <x v="0"/>
    <x v="221"/>
    <s v="-"/>
    <s v="Permanent"/>
    <s v="None"/>
    <s v="Permanent"/>
    <s v="Convert non-successes to 10s, for every three of a kind success you roll."/>
    <n v="298"/>
    <x v="6"/>
    <x v="2"/>
    <x v="1"/>
    <x v="4"/>
    <s v="Experiential Conjuring of True Void"/>
    <m/>
  </r>
  <r>
    <x v="0"/>
    <x v="222"/>
    <s v="-"/>
    <s v="Permanent"/>
    <s v="None"/>
    <s v="Permanent"/>
    <s v="Spend gxp to raise a new Craft Ability."/>
    <n v="289"/>
    <x v="6"/>
    <x v="3"/>
    <x v="1"/>
    <x v="4"/>
    <s v="Arete-Shifting Prana"/>
    <m/>
  </r>
  <r>
    <x v="0"/>
    <x v="223"/>
    <s v="-"/>
    <s v="Permanent"/>
    <s v="None"/>
    <s v="Permanent"/>
    <s v="Gain (Major Slots) gp at the end of every story."/>
    <n v="290"/>
    <x v="6"/>
    <x v="3"/>
    <x v="1"/>
    <x v="4"/>
    <s v="Efficient Craftsman Technique, Sublime Transference"/>
    <m/>
  </r>
  <r>
    <x v="0"/>
    <x v="224"/>
    <s v="-"/>
    <s v="Permanent"/>
    <s v="Stackable"/>
    <s v="Permanent"/>
    <s v="Gain one Superior slot."/>
    <n v="290"/>
    <x v="6"/>
    <x v="3"/>
    <x v="1"/>
    <x v="4"/>
    <s v="Ages-Echoing Wisdom"/>
    <m/>
  </r>
  <r>
    <x v="0"/>
    <x v="225"/>
    <s v="-"/>
    <s v="Permanent"/>
    <s v="None"/>
    <s v="Permanent"/>
    <s v="Gain sxp and gxp for each Craft Ability at 5, once a day."/>
    <n v="293"/>
    <x v="6"/>
    <x v="3"/>
    <x v="1"/>
    <x v="4"/>
    <s v="Peerless Paragon of Craft, Supreme Celestial Focus"/>
    <m/>
  </r>
  <r>
    <x v="0"/>
    <x v="226"/>
    <s v="-"/>
    <s v="Permanent"/>
    <s v="None"/>
    <s v="Permanent"/>
    <s v="Earn sxp while making a Superior project."/>
    <n v="290"/>
    <x v="6"/>
    <x v="3"/>
    <x v="2"/>
    <x v="4"/>
    <s v="Copper Spider Conception"/>
    <m/>
  </r>
  <r>
    <x v="0"/>
    <x v="227"/>
    <s v="-"/>
    <s v="Permanent"/>
    <s v="None"/>
    <s v="Permanent"/>
    <s v="Finish a Superior project at lower cost."/>
    <n v="290"/>
    <x v="6"/>
    <x v="3"/>
    <x v="2"/>
    <x v="4"/>
    <s v="Clay and Breath Practice"/>
    <m/>
  </r>
  <r>
    <x v="0"/>
    <x v="228"/>
    <s v="-"/>
    <s v="Permanent"/>
    <s v="None"/>
    <s v="Permanent"/>
    <s v="Gain 3 wxp/story."/>
    <n v="294"/>
    <x v="6"/>
    <x v="3"/>
    <x v="2"/>
    <x v="4"/>
    <s v="Supreme Perfection of Craft"/>
    <m/>
  </r>
  <r>
    <x v="0"/>
    <x v="204"/>
    <s v="-"/>
    <s v="Permanent"/>
    <s v="None"/>
    <s v="Permanent"/>
    <s v="Add Evocations to a weapon again."/>
    <n v="297"/>
    <x v="6"/>
    <x v="3"/>
    <x v="2"/>
    <x v="4"/>
    <m/>
    <m/>
  </r>
  <r>
    <x v="0"/>
    <x v="229"/>
    <s v="-"/>
    <s v="Permanent"/>
    <s v="None"/>
    <s v="Permanent"/>
    <s v="Roll an extra die for every three successes on a Craft roll."/>
    <n v="299"/>
    <x v="6"/>
    <x v="3"/>
    <x v="2"/>
    <x v="4"/>
    <s v="First Movement of the Demiurge, Supreme Masterwork Focus x2"/>
    <m/>
  </r>
  <r>
    <x v="0"/>
    <x v="230"/>
    <s v="-"/>
    <s v="Permanent"/>
    <s v="Stackable"/>
    <s v="Permanent"/>
    <s v="Gain two Legendary slots."/>
    <n v="291"/>
    <x v="6"/>
    <x v="3"/>
    <x v="3"/>
    <x v="4"/>
    <s v="Spirit-Gathering Industry"/>
    <m/>
  </r>
  <r>
    <x v="0"/>
    <x v="231"/>
    <s v="-"/>
    <s v="Permanent"/>
    <s v="None"/>
    <s v="Permanent"/>
    <s v="Get an extra roll before the end of Superior/Legendary projects."/>
    <n v="299"/>
    <x v="6"/>
    <x v="3"/>
    <x v="3"/>
    <x v="4"/>
    <s v="Inspiration-Renewing Vision"/>
    <m/>
  </r>
  <r>
    <x v="0"/>
    <x v="232"/>
    <s v="-"/>
    <s v="Permanent"/>
    <s v="None"/>
    <s v="Permanent"/>
    <s v="If DIT produces 3+ more successes, add 3 more dice."/>
    <n v="299"/>
    <x v="6"/>
    <x v="3"/>
    <x v="3"/>
    <x v="4"/>
    <s v="Divine Inspiration Technique"/>
    <m/>
  </r>
  <r>
    <x v="0"/>
    <x v="233"/>
    <s v="-"/>
    <s v="Permanent"/>
    <s v="None"/>
    <s v="Permanent"/>
    <s v="Spend wxp 5:1 in place of real experience points for Lore Charms and similar effects."/>
    <n v="291"/>
    <x v="6"/>
    <x v="3"/>
    <x v="4"/>
    <x v="4"/>
    <s v="Exegesis of the Distilled Form"/>
    <m/>
  </r>
  <r>
    <x v="0"/>
    <x v="234"/>
    <s v="-"/>
    <s v="Permanent"/>
    <s v="None"/>
    <s v="Permanent"/>
    <s v="On finishing a Legendary project, gain bonus successes to your next Superior/Legendary."/>
    <n v="291"/>
    <x v="6"/>
    <x v="3"/>
    <x v="4"/>
    <x v="4"/>
    <s v="God-Forge Within"/>
    <m/>
  </r>
  <r>
    <x v="0"/>
    <x v="235"/>
    <s v="6m "/>
    <s v="Simple"/>
    <s v="Mute"/>
    <s v="Scene"/>
    <s v="Make an object temporarily nigh-invulnerable."/>
    <n v="295"/>
    <x v="6"/>
    <x v="3"/>
    <x v="1"/>
    <x v="4"/>
    <s v="Durability-Enhancing Technique"/>
    <m/>
  </r>
  <r>
    <x v="0"/>
    <x v="236"/>
    <s v="3m"/>
    <s v="Supplemental"/>
    <s v="None"/>
    <s v="Instant"/>
    <m/>
    <s v="MotSE 31"/>
    <x v="3"/>
    <x v="2"/>
    <x v="0"/>
    <x v="2"/>
    <s v="Motive-Discerning Technique"/>
    <m/>
  </r>
  <r>
    <x v="0"/>
    <x v="237"/>
    <s v="3m "/>
    <s v="Supplemental"/>
    <s v="Mute"/>
    <s v="Instant"/>
    <s v="If player is incorrect on guess, they may guess again for a second Intimacy."/>
    <n v="393"/>
    <x v="3"/>
    <x v="3"/>
    <x v="0"/>
    <x v="2"/>
    <s v="Motive-Discerning Technique x2"/>
    <m/>
  </r>
  <r>
    <x v="0"/>
    <x v="238"/>
    <s v="2m "/>
    <s v="Supplemental"/>
    <s v="Mute"/>
    <s v="Instant"/>
    <s v="Know the intensity of all Intimacies you've Instilled yourself in the target."/>
    <n v="394"/>
    <x v="3"/>
    <x v="3"/>
    <x v="0"/>
    <x v="2"/>
    <s v="Quicksilver Falcon's Eye"/>
    <m/>
  </r>
  <r>
    <x v="0"/>
    <x v="239"/>
    <s v="1m "/>
    <s v="Reflexive"/>
    <s v="Mute"/>
    <s v="Instant"/>
    <s v="Detect when an NPC Reads Intentions on someone else nearby."/>
    <n v="394"/>
    <x v="3"/>
    <x v="3"/>
    <x v="0"/>
    <x v="2"/>
    <s v="Motive-Discerning Technique, Shadow Over Day"/>
    <m/>
  </r>
  <r>
    <x v="0"/>
    <x v="240"/>
    <s v="3m"/>
    <s v="Supplemental"/>
    <s v="None"/>
    <s v="Instant"/>
    <m/>
    <s v="MotSE 31"/>
    <x v="3"/>
    <x v="3"/>
    <x v="0"/>
    <x v="2"/>
    <s v="Energic Influence Technique"/>
    <m/>
  </r>
  <r>
    <x v="0"/>
    <x v="241"/>
    <s v="3m "/>
    <s v="Simple"/>
    <s v="None"/>
    <s v="Instant"/>
    <s v="On observing a ritual, discern its significance. Bonus successes if you have to perform the rite."/>
    <n v="394"/>
    <x v="3"/>
    <x v="2"/>
    <x v="1"/>
    <x v="2"/>
    <s v="Mastery of Small Manners"/>
    <m/>
  </r>
  <r>
    <x v="0"/>
    <x v="242"/>
    <s v="3m "/>
    <s v="Supplemental"/>
    <s v="None"/>
    <s v="Instant"/>
    <s v="Recurring 1s any time MoSM would apply. (Always?)"/>
    <n v="395"/>
    <x v="3"/>
    <x v="3"/>
    <x v="1"/>
    <x v="2"/>
    <s v="Mastery of Small Manners"/>
    <m/>
  </r>
  <r>
    <x v="0"/>
    <x v="243"/>
    <s v="4m "/>
    <s v="Supplemental"/>
    <s v="Mute"/>
    <s v="Instant"/>
    <s v="Intimacies towards you will not drop as a result of any Persuade attempt you make, unless characters pay 1wp."/>
    <n v="395"/>
    <x v="3"/>
    <x v="3"/>
    <x v="1"/>
    <x v="2"/>
    <s v="Unimpeachable Discourse Technique"/>
    <m/>
  </r>
  <r>
    <x v="0"/>
    <x v="244"/>
    <s v="5m "/>
    <s v="Reflexive"/>
    <s v="Mute"/>
    <s v="Instant"/>
    <s v="Retry a Read Intentions action on the same target."/>
    <n v="395"/>
    <x v="3"/>
    <x v="3"/>
    <x v="1"/>
    <x v="2"/>
    <s v="Motive-Discerning Technique"/>
    <m/>
  </r>
  <r>
    <x v="0"/>
    <x v="245"/>
    <s v="6m "/>
    <s v="Simple"/>
    <s v="None"/>
    <s v="Instant"/>
    <s v="Read Intentions on everyone in the scene."/>
    <n v="395"/>
    <x v="3"/>
    <x v="3"/>
    <x v="1"/>
    <x v="2"/>
    <s v="Humble Servant Approach"/>
    <m/>
  </r>
  <r>
    <x v="0"/>
    <x v="246"/>
    <s v="3m "/>
    <s v="Reflexive"/>
    <s v="None"/>
    <s v="Instant"/>
    <s v="Boost an ally's Guile. By glaring daggers at him. Awesome."/>
    <n v="396"/>
    <x v="3"/>
    <x v="3"/>
    <x v="1"/>
    <x v="2"/>
    <s v="Intent-Tracing Stare"/>
    <m/>
  </r>
  <r>
    <x v="0"/>
    <x v="247"/>
    <s v="3m "/>
    <s v="Reflexive"/>
    <s v="None"/>
    <s v="Instant"/>
    <s v="Bonus dice when Reading Intentions on someone who failed to do the same to you."/>
    <n v="396"/>
    <x v="3"/>
    <x v="3"/>
    <x v="1"/>
    <x v="2"/>
    <s v="Intent-Tracing Stare"/>
    <m/>
  </r>
  <r>
    <x v="0"/>
    <x v="248"/>
    <s v="3m, 1wp "/>
    <s v="Reflexive"/>
    <s v="Mute"/>
    <s v="Instant"/>
    <s v="After defending against Read Intentions, pretend you failed, the target will disregard you."/>
    <n v="396"/>
    <x v="3"/>
    <x v="3"/>
    <x v="1"/>
    <x v="2"/>
    <s v="Shadow Over Day"/>
    <m/>
  </r>
  <r>
    <x v="0"/>
    <x v="249"/>
    <s v="2m, 1wp "/>
    <s v="Reflexive"/>
    <s v="None"/>
    <s v="Instant"/>
    <s v="If an Intimacy would be detected, you can change it to something else to fool the person looking. If you Limit Break, though, your pretend Intimacy might become real!"/>
    <n v="397"/>
    <x v="3"/>
    <x v="3"/>
    <x v="1"/>
    <x v="2"/>
    <s v="Penumbra Self Meditation"/>
    <m/>
  </r>
  <r>
    <x v="0"/>
    <x v="250"/>
    <s v="1m, 1wp"/>
    <s v="Reflexive"/>
    <s v="None"/>
    <s v="Instant"/>
    <m/>
    <s v="MotSE 32"/>
    <x v="3"/>
    <x v="3"/>
    <x v="1"/>
    <x v="2"/>
    <s v="Umbral Eyes Focus"/>
    <m/>
  </r>
  <r>
    <x v="0"/>
    <x v="251"/>
    <s v="3m "/>
    <s v="Reflexive"/>
    <s v="None"/>
    <s v="Instant"/>
    <s v="Witnessing a social action, you may guess at the Intimacy behind it. If correct, you discern an Intimacy without having to roll Read Intentions."/>
    <n v="397"/>
    <x v="3"/>
    <x v="3"/>
    <x v="2"/>
    <x v="2"/>
    <s v="Unimpeachable Discourse Technique"/>
    <m/>
  </r>
  <r>
    <x v="0"/>
    <x v="252"/>
    <s v="6m, 1wp "/>
    <s v="Simple"/>
    <s v="None"/>
    <s v="Instant"/>
    <s v="Preempt a target about to perform social influence; that influence is treated as if it had already been tried and failed."/>
    <n v="397"/>
    <x v="3"/>
    <x v="3"/>
    <x v="2"/>
    <x v="2"/>
    <s v="Cunning Insight Technique"/>
    <m/>
  </r>
  <r>
    <x v="0"/>
    <x v="253"/>
    <s v="6m, 1wp "/>
    <s v="Reflexive"/>
    <s v="Counterattack"/>
    <s v="Instant"/>
    <s v="1/scene, intervene after social influence to boost the target's Resolve with a counterargument."/>
    <n v="397"/>
    <x v="3"/>
    <x v="3"/>
    <x v="2"/>
    <x v="2"/>
    <s v="Unimpeachable Discourse Technique"/>
    <m/>
  </r>
  <r>
    <x v="0"/>
    <x v="254"/>
    <s v="1wp "/>
    <s v="Simple"/>
    <s v="None"/>
    <s v="Instant"/>
    <s v="Advise another to grant bonus successes for use on future social actions. Target gains an Intimacy for you."/>
    <n v="398"/>
    <x v="3"/>
    <x v="3"/>
    <x v="2"/>
    <x v="2"/>
    <s v="Effective Counterargument"/>
    <m/>
  </r>
  <r>
    <x v="0"/>
    <x v="255"/>
    <s v="5m "/>
    <s v="Reflexive"/>
    <s v="Mute"/>
    <s v="Instant"/>
    <s v="Got a pencil handy? Okay, take your 1s and 2s, and give them to someone else nearby. He rolls; find his lowest success number, and for each 2 you have, cancel one of those. Find his next success number (i.e., 8 if the first one was 7), and for each 1 you have, cancel one of those. You gain successes equal to those canceled for him; if he doesn't roll well enough, he looks ridiculous."/>
    <n v="398"/>
    <x v="3"/>
    <x v="3"/>
    <x v="2"/>
    <x v="2"/>
    <s v="Unimpeachable Discourse Technique"/>
    <m/>
  </r>
  <r>
    <x v="0"/>
    <x v="256"/>
    <s v="4m "/>
    <s v="Reflexive"/>
    <s v="Counterattack, Mute"/>
    <s v="Instant"/>
    <s v="If a target tries to turn a third party against you, the aspersions fall back on the target instead."/>
    <n v="398"/>
    <x v="3"/>
    <x v="3"/>
    <x v="2"/>
    <x v="2"/>
    <s v="Aspersions Cast Aside, Effective Counterargument"/>
    <m/>
  </r>
  <r>
    <x v="0"/>
    <x v="257"/>
    <s v="2m, 1wp "/>
    <s v="Reflexive"/>
    <s v="None"/>
    <s v="Instant"/>
    <s v="When you block another's Read Intentions, you may reply with one of your own."/>
    <n v="399"/>
    <x v="3"/>
    <x v="3"/>
    <x v="2"/>
    <x v="2"/>
    <s v="Deep-Eyed Soul Gazing"/>
    <m/>
  </r>
  <r>
    <x v="0"/>
    <x v="258"/>
    <s v="2m, 1wp "/>
    <s v="Reflexive"/>
    <s v="None"/>
    <s v="Instant"/>
    <s v="Can notice a Read Intentions from a hidden source."/>
    <n v="399"/>
    <x v="3"/>
    <x v="3"/>
    <x v="2"/>
    <x v="2"/>
    <s v="Seen and Seeing Method"/>
    <m/>
  </r>
  <r>
    <x v="0"/>
    <x v="259"/>
    <s v="6m "/>
    <s v="Simple"/>
    <s v="None"/>
    <s v="Instant"/>
    <s v="Compel another to Read Intentions on you."/>
    <n v="399"/>
    <x v="3"/>
    <x v="3"/>
    <x v="2"/>
    <x v="2"/>
    <s v="Seen and Seeing Method"/>
    <m/>
  </r>
  <r>
    <x v="0"/>
    <x v="260"/>
    <s v="4m, 1wp "/>
    <s v="Reflexive"/>
    <s v="Mute"/>
    <s v="Instant"/>
    <s v="If a target fails to Read Intentions on you, he believes he can use you to accomplish some aim."/>
    <n v="399"/>
    <x v="3"/>
    <x v="3"/>
    <x v="2"/>
    <x v="2"/>
    <s v="Easily-Discarded Presence Method"/>
    <m/>
  </r>
  <r>
    <x v="0"/>
    <x v="261"/>
    <s v="4m, 1wp "/>
    <s v="Reflexive"/>
    <s v="None"/>
    <s v="Instant"/>
    <s v="Hypnotize a character who fails to read your Guile."/>
    <n v="399"/>
    <x v="3"/>
    <x v="3"/>
    <x v="2"/>
    <x v="2"/>
    <s v="Face-Charming Prana, Inverted Ego Mask"/>
    <m/>
  </r>
  <r>
    <x v="0"/>
    <x v="262"/>
    <s v="8m, 1wp"/>
    <s v="Reflexive"/>
    <s v="Bridge"/>
    <s v="Day"/>
    <s v="Ignore penalties from injuries and other harm to your Resolve and Guile."/>
    <n v="303"/>
    <x v="7"/>
    <x v="3"/>
    <x v="2"/>
    <x v="5"/>
    <s v="Enduring Mental Toughness x2"/>
    <m/>
  </r>
  <r>
    <x v="0"/>
    <x v="263"/>
    <s v="10m, 1wp "/>
    <s v="Reflexive"/>
    <s v="Bridge"/>
    <s v="Indefinite"/>
    <s v="Use a Defining Principle to shake off major contradictory magical effects."/>
    <n v="309"/>
    <x v="7"/>
    <x v="3"/>
    <x v="2"/>
    <x v="5"/>
    <s v="Righteous Lion Defense"/>
    <m/>
  </r>
  <r>
    <x v="0"/>
    <x v="264"/>
    <s v="5m"/>
    <s v="Simple"/>
    <s v="None"/>
    <s v="Indefinite"/>
    <m/>
    <s v="MotSE 12"/>
    <x v="7"/>
    <x v="3"/>
    <x v="2"/>
    <x v="5"/>
    <s v="Watchful Eyes of Heaven"/>
    <m/>
  </r>
  <r>
    <x v="0"/>
    <x v="265"/>
    <s v="7m "/>
    <s v="Reflexive"/>
    <s v="None"/>
    <s v="Indefinite"/>
    <s v="While using MCP, become immune to harm."/>
    <n v="311"/>
    <x v="7"/>
    <x v="3"/>
    <x v="3"/>
    <x v="5"/>
    <s v="Body-Restoring Benison, Energy Restoration Prana"/>
    <m/>
  </r>
  <r>
    <x v="0"/>
    <x v="266"/>
    <s v="1m "/>
    <s v="Reflexive"/>
    <s v="Bridge"/>
    <s v="Instant"/>
    <s v="Ignore penalties from injuries and other harm to your Resolve and Guile."/>
    <n v="303"/>
    <x v="7"/>
    <x v="4"/>
    <x v="0"/>
    <x v="5"/>
    <m/>
    <m/>
  </r>
  <r>
    <x v="0"/>
    <x v="267"/>
    <s v="5m/1wp "/>
    <s v="Reflexive"/>
    <s v="None"/>
    <s v="Instant"/>
    <s v="Spend 5m for 1wp when resisting social influence or magic."/>
    <n v="305"/>
    <x v="7"/>
    <x v="1"/>
    <x v="1"/>
    <x v="5"/>
    <s v="Enduring Mental Toughness"/>
    <m/>
  </r>
  <r>
    <x v="0"/>
    <x v="268"/>
    <s v="5m "/>
    <s v="Simple"/>
    <s v="Bridge, Mute"/>
    <s v="Instant"/>
    <s v="Meditate for an hour; gain +2 successes on a concentration-based roll."/>
    <n v="306"/>
    <x v="7"/>
    <x v="2"/>
    <x v="1"/>
    <x v="5"/>
    <s v="Temptation-Resisting Stance"/>
    <m/>
  </r>
  <r>
    <x v="0"/>
    <x v="269"/>
    <s v="4m, 1wp "/>
    <s v="Reflexive"/>
    <s v="Bridge"/>
    <s v="Instant"/>
    <s v="Reject influence even after being persuaded."/>
    <n v="306"/>
    <x v="7"/>
    <x v="2"/>
    <x v="1"/>
    <x v="5"/>
    <s v="Stubborn Boar Defense"/>
    <m/>
  </r>
  <r>
    <x v="0"/>
    <x v="270"/>
    <s v="-"/>
    <s v="Reflexive"/>
    <s v="Bridge"/>
    <s v="Instant"/>
    <s v="1/day MCP only takes seconds."/>
    <n v="306"/>
    <x v="7"/>
    <x v="3"/>
    <x v="1"/>
    <x v="5"/>
    <s v="Mind-Cleansing Prana"/>
    <m/>
  </r>
  <r>
    <x v="0"/>
    <x v="271"/>
    <s v="-"/>
    <s v="Reflexive"/>
    <s v="Bridge"/>
    <s v="Instant"/>
    <s v="Treat a use of MCP as a full night's sleep, also restoring 20m and resetting 1/day Charms."/>
    <n v="306"/>
    <x v="7"/>
    <x v="3"/>
    <x v="1"/>
    <x v="5"/>
    <s v="Mind-Cleansing Prana"/>
    <m/>
  </r>
  <r>
    <x v="0"/>
    <x v="272"/>
    <s v="3m "/>
    <s v="Reflexive"/>
    <s v="None"/>
    <s v="Instant"/>
    <s v="Sense when someone nearby is considering acting against a Principle you like."/>
    <n v="307"/>
    <x v="7"/>
    <x v="3"/>
    <x v="1"/>
    <x v="5"/>
    <s v="Righteous Lion Defense"/>
    <m/>
  </r>
  <r>
    <x v="0"/>
    <x v="273"/>
    <s v="4m, 1wp "/>
    <s v="Simple"/>
    <s v="None"/>
    <s v="Instant"/>
    <s v="Your sermons feed your followers."/>
    <n v="308"/>
    <x v="7"/>
    <x v="3"/>
    <x v="1"/>
    <x v="5"/>
    <s v="Sun King Radiance"/>
    <m/>
  </r>
  <r>
    <x v="0"/>
    <x v="274"/>
    <s v="-"/>
    <s v="Reflexive"/>
    <s v="None"/>
    <s v="Instant"/>
    <s v="Outside combat, turn motes into Willpower."/>
    <n v="308"/>
    <x v="7"/>
    <x v="3"/>
    <x v="2"/>
    <x v="5"/>
    <s v="Spirit-Maintaining Maneuver"/>
    <m/>
  </r>
  <r>
    <x v="0"/>
    <x v="275"/>
    <s v="-"/>
    <s v="Supplemental"/>
    <s v="Bridge"/>
    <s v="Instant"/>
    <s v="1/day, raise your Resolve at 1m/point instead of 2m/point."/>
    <n v="308"/>
    <x v="7"/>
    <x v="3"/>
    <x v="2"/>
    <x v="5"/>
    <s v="Spirit-Tempering Practice"/>
    <m/>
  </r>
  <r>
    <x v="0"/>
    <x v="276"/>
    <s v="7m, 1wp "/>
    <s v="Simple"/>
    <s v="None"/>
    <s v="Instant"/>
    <s v="After being forced to act against an Intimacy, shatter the effect controlling you."/>
    <n v="308"/>
    <x v="7"/>
    <x v="3"/>
    <x v="2"/>
    <x v="5"/>
    <s v="Spirit-Maintaining Maneuver"/>
    <m/>
  </r>
  <r>
    <x v="0"/>
    <x v="277"/>
    <s v="-"/>
    <s v="Reflexive"/>
    <s v="None"/>
    <s v="Instant"/>
    <s v="When your Intimacies are challenged, ignore the cost of three Charms to resist harm or influence."/>
    <n v="309"/>
    <x v="7"/>
    <x v="3"/>
    <x v="2"/>
    <x v="5"/>
    <s v="Undying Solar Resolve"/>
    <m/>
  </r>
  <r>
    <x v="0"/>
    <x v="278"/>
    <s v="-"/>
    <s v="Permanent"/>
    <s v="Bridge"/>
    <s v="Instant"/>
    <s v="While using MCP, you cannot be influenced, but you also can't react to others."/>
    <n v="309"/>
    <x v="7"/>
    <x v="3"/>
    <x v="2"/>
    <x v="5"/>
    <s v="Mind-Cleansing Prana"/>
    <m/>
  </r>
  <r>
    <x v="0"/>
    <x v="279"/>
    <s v="3m "/>
    <s v="Reflexive"/>
    <s v="None"/>
    <s v="Instant"/>
    <s v="Steal successes from your enemy's social influence."/>
    <n v="309"/>
    <x v="7"/>
    <x v="3"/>
    <x v="2"/>
    <x v="5"/>
    <s v="Righteous Lion Defense"/>
    <m/>
  </r>
  <r>
    <x v="0"/>
    <x v="280"/>
    <s v="1m "/>
    <s v="Supplemental"/>
    <s v="Bridge"/>
    <s v="Instant"/>
    <s v="Everyone around you realizes you have a particular Defining Principle."/>
    <n v="310"/>
    <x v="7"/>
    <x v="3"/>
    <x v="2"/>
    <x v="5"/>
    <s v="Soul-Nourishing Technique"/>
    <m/>
  </r>
  <r>
    <x v="0"/>
    <x v="281"/>
    <s v="7m, 1wp "/>
    <s v="Reflexive"/>
    <s v="Bridge"/>
    <s v="Instant"/>
    <s v="Learn a bunch of non-Eclipse-tagged Spirit Charms, as long as they fit your Principles and Charms."/>
    <n v="310"/>
    <x v="7"/>
    <x v="3"/>
    <x v="2"/>
    <x v="5"/>
    <s v="Eminent Paragon Approach, Invincible Solar Aegis"/>
    <m/>
  </r>
  <r>
    <x v="0"/>
    <x v="282"/>
    <s v="4m"/>
    <s v="Reflexive"/>
    <s v="Bridge"/>
    <s v="Instant"/>
    <m/>
    <s v="MotSE 13"/>
    <x v="7"/>
    <x v="3"/>
    <x v="2"/>
    <x v="5"/>
    <s v="Steel Heart Stance"/>
    <m/>
  </r>
  <r>
    <x v="0"/>
    <x v="283"/>
    <s v="6m "/>
    <s v="Simple"/>
    <s v="Bridge"/>
    <s v="One hour"/>
    <s v="Pray with your followers for an hour; for the duration, they can resist the Wyld, disease, and hardship."/>
    <n v="307"/>
    <x v="7"/>
    <x v="3"/>
    <x v="1"/>
    <x v="5"/>
    <s v="Integrity-Protecting Prana"/>
    <m/>
  </r>
  <r>
    <x v="0"/>
    <x v="284"/>
    <s v="- (3m, 1wp) "/>
    <s v="Permanent"/>
    <s v="Stackable"/>
    <s v="Permanent"/>
    <s v="Magic can alter you, but it cannot immediately render you unable to be who you are. (“Turn into a duck” becomes “Become duck-ish, but continue to daiklave things just fine; also, you can break this curse.”)"/>
    <n v="304"/>
    <x v="7"/>
    <x v="4"/>
    <x v="0"/>
    <x v="5"/>
    <m/>
    <m/>
  </r>
  <r>
    <x v="0"/>
    <x v="285"/>
    <s v="-"/>
    <s v="Permanent"/>
    <s v="Bridge"/>
    <s v="Permanent"/>
    <s v="Gain +2 Resolve against issues you've resisted in the past."/>
    <n v="303"/>
    <x v="7"/>
    <x v="0"/>
    <x v="0"/>
    <x v="5"/>
    <m/>
    <m/>
  </r>
  <r>
    <x v="0"/>
    <x v="286"/>
    <s v="- (5m, 1wp) "/>
    <s v="Permanent"/>
    <s v="None"/>
    <s v="Permanent"/>
    <s v="Resist the natural twisting power of the Charm."/>
    <n v="304"/>
    <x v="7"/>
    <x v="1"/>
    <x v="0"/>
    <x v="5"/>
    <m/>
    <m/>
  </r>
  <r>
    <x v="0"/>
    <x v="287"/>
    <s v="-"/>
    <s v="Permanent"/>
    <s v="None"/>
    <s v="Permanent"/>
    <s v="Become immune to any curse you've broken via DMM."/>
    <n v="305"/>
    <x v="7"/>
    <x v="1"/>
    <x v="0"/>
    <x v="5"/>
    <s v="Destiny-Manifesting Method"/>
    <m/>
  </r>
  <r>
    <x v="0"/>
    <x v="288"/>
    <s v="-"/>
    <s v="Permanent"/>
    <s v="Bridge"/>
    <s v="Permanent"/>
    <s v="Gain 1m for every 1 or 2 rolled on social influence or curses."/>
    <n v="305"/>
    <x v="7"/>
    <x v="2"/>
    <x v="1"/>
    <x v="5"/>
    <s v="Stubborn Boar Defense"/>
    <m/>
  </r>
  <r>
    <x v="0"/>
    <x v="289"/>
    <s v="-"/>
    <s v="Permanent"/>
    <s v="Bridge"/>
    <s v="Permanent"/>
    <s v="Make one of your Principles (nearly) inviolable."/>
    <n v="307"/>
    <x v="7"/>
    <x v="3"/>
    <x v="1"/>
    <x v="5"/>
    <s v="Steel Heart Stance"/>
    <m/>
  </r>
  <r>
    <x v="0"/>
    <x v="290"/>
    <s v="-(Varies) "/>
    <s v="Permanent"/>
    <s v="None"/>
    <s v="Permanent"/>
    <s v="Use your Willpower to resist an attack with no clear means of defense."/>
    <n v="307"/>
    <x v="7"/>
    <x v="3"/>
    <x v="1"/>
    <x v="5"/>
    <s v="Destiny-Manifesting Method"/>
    <m/>
  </r>
  <r>
    <x v="0"/>
    <x v="291"/>
    <s v="-(Varies) "/>
    <s v="Permanent"/>
    <s v="None"/>
    <s v="Permanent"/>
    <s v="Grants 1 non-Charm succ, can convert 2wp dice to 3 succ."/>
    <n v="307"/>
    <x v="7"/>
    <x v="3"/>
    <x v="1"/>
    <x v="5"/>
    <s v="Phoenix Renewal Tactic"/>
    <m/>
  </r>
  <r>
    <x v="0"/>
    <x v="292"/>
    <s v="-"/>
    <s v="Permanent"/>
    <s v="None"/>
    <s v="Permanent"/>
    <s v="Your followers gain Intimacies and bonus dice when they see you succeed socially."/>
    <n v="308"/>
    <x v="7"/>
    <x v="3"/>
    <x v="1"/>
    <x v="5"/>
    <m/>
    <m/>
  </r>
  <r>
    <x v="0"/>
    <x v="293"/>
    <s v="-"/>
    <s v="Permanent"/>
    <s v="Bridge"/>
    <s v="Permanent"/>
    <s v="When using MCP, heal and avoid the need for food."/>
    <n v="310"/>
    <x v="7"/>
    <x v="3"/>
    <x v="3"/>
    <x v="5"/>
    <s v="Barque of Transcendent Vision"/>
    <m/>
  </r>
  <r>
    <x v="0"/>
    <x v="294"/>
    <s v="5m, 1wp"/>
    <s v="Reflexive"/>
    <s v="Bridge"/>
    <s v="Scene"/>
    <s v="Ignore penalties from injuries and other harm to your Resolve and Guile."/>
    <n v="303"/>
    <x v="7"/>
    <x v="1"/>
    <x v="0"/>
    <x v="5"/>
    <s v="Enduring Mental Toughness"/>
    <m/>
  </r>
  <r>
    <x v="0"/>
    <x v="295"/>
    <s v="5m, 1wp "/>
    <s v="Simple"/>
    <s v="None"/>
    <s v="Scene"/>
    <s v="+1 Resolve when defending with Ties/Principles. Effect stacks with multiple Solars."/>
    <n v="306"/>
    <x v="7"/>
    <x v="1"/>
    <x v="1"/>
    <x v="5"/>
    <s v="Stubborn Boar Defense"/>
    <m/>
  </r>
  <r>
    <x v="0"/>
    <x v="296"/>
    <s v="10m, 1wp "/>
    <s v="Simple"/>
    <s v="None"/>
    <s v="Instant"/>
    <s v="Know what it would take to persuade someone to take a particular action."/>
    <n v="399"/>
    <x v="3"/>
    <x v="3"/>
    <x v="2"/>
    <x v="2"/>
    <s v="Seen and Seeing Method, Wise-Eyed Courtier Method"/>
    <m/>
  </r>
  <r>
    <x v="0"/>
    <x v="297"/>
    <s v="20m, 1wp "/>
    <s v="Simple"/>
    <s v="None"/>
    <s v="Instant"/>
    <s v="Sense the Ties, mannerisms, and behavior of everyone involved in court, including those currently absent."/>
    <n v="400"/>
    <x v="3"/>
    <x v="3"/>
    <x v="2"/>
    <x v="2"/>
    <s v="Culture Hero Approach, Knowing the Soul's Price"/>
    <m/>
  </r>
  <r>
    <x v="0"/>
    <x v="298"/>
    <s v="2m, 1wp "/>
    <s v="Reflexive"/>
    <s v="None"/>
    <s v="Instant"/>
    <s v="Can response with a Read Intentions even if theirs piereces your Guile."/>
    <n v="399"/>
    <x v="3"/>
    <x v="3"/>
    <x v="3"/>
    <x v="2"/>
    <s v="Seen and Seeing Method x2"/>
    <m/>
  </r>
  <r>
    <x v="0"/>
    <x v="299"/>
    <s v="10m, 1wp "/>
    <s v="Simple"/>
    <s v="None"/>
    <s v="Instant"/>
    <s v="Curse someone to be hated by a social group."/>
    <n v="402"/>
    <x v="3"/>
    <x v="3"/>
    <x v="3"/>
    <x v="2"/>
    <s v="Understanding the Court"/>
    <m/>
  </r>
  <r>
    <x v="0"/>
    <x v="300"/>
    <s v="10m, 1wp "/>
    <s v="Reflexive"/>
    <s v="Mute"/>
    <s v="Instant"/>
    <s v="Craft a custom persona to meet someone's needs."/>
    <n v="402"/>
    <x v="3"/>
    <x v="3"/>
    <x v="4"/>
    <x v="2"/>
    <s v="Draw the Curtain, Knowing the Soul's Price"/>
    <m/>
  </r>
  <r>
    <x v="0"/>
    <x v="301"/>
    <s v="1 Limit "/>
    <s v="Reflexive"/>
    <s v="None"/>
    <s v="Instant"/>
    <s v="Access a persona's Abilities and Charms for one tick. On Limit Break, shuffle your Intimacies with the persona's Intimacies."/>
    <n v="403"/>
    <x v="3"/>
    <x v="3"/>
    <x v="4"/>
    <x v="2"/>
    <s v="Draw the Curtain"/>
    <m/>
  </r>
  <r>
    <x v="0"/>
    <x v="302"/>
    <s v="16m, 1wp, 20xp "/>
    <s v="Reflexive"/>
    <s v="None"/>
    <s v="Instant"/>
    <s v="On death, you regenerate into a persona as per Doctor Who. Like, blatantly as per Doctor Who."/>
    <n v="403"/>
    <x v="3"/>
    <x v="3"/>
    <x v="4"/>
    <x v="2"/>
    <s v="Fugue-Empowered Other"/>
    <m/>
  </r>
  <r>
    <x v="0"/>
    <x v="303"/>
    <s v="1m "/>
    <s v="Reflexive"/>
    <s v="None"/>
    <s v="One Turn"/>
    <s v="Sense any application of Resolve or Guile in the next turn."/>
    <n v="394"/>
    <x v="3"/>
    <x v="1"/>
    <x v="0"/>
    <x v="2"/>
    <s v="Motive-Discerning Technique"/>
    <m/>
  </r>
  <r>
    <x v="0"/>
    <x v="304"/>
    <s v="-"/>
    <s v="Permanent"/>
    <s v="None"/>
    <s v="Permanent"/>
    <s v="Gain 2m when you succeed at a Socialize action, to a max of the Socialize motes you've spent this scene."/>
    <n v="395"/>
    <x v="3"/>
    <x v="3"/>
    <x v="1"/>
    <x v="2"/>
    <s v="Dauntless Assayer Method"/>
    <m/>
  </r>
  <r>
    <x v="0"/>
    <x v="305"/>
    <s v="-"/>
    <s v="Permanent"/>
    <s v="None"/>
    <s v="Permanent"/>
    <s v="Anyone you defeat socially becomes obsessed with you, taking die penalties and coming to love or hate you."/>
    <n v="398"/>
    <x v="3"/>
    <x v="3"/>
    <x v="2"/>
    <x v="2"/>
    <s v="Wise Counsel (Flashing Soul Reform)"/>
    <m/>
  </r>
  <r>
    <x v="0"/>
    <x v="306"/>
    <s v="-"/>
    <s v="Permanent"/>
    <s v="None"/>
    <s v="Permanent"/>
    <s v="Bonus dice to Join Battle and Awarenesss if you sense hostility in the room."/>
    <n v="398"/>
    <x v="3"/>
    <x v="3"/>
    <x v="2"/>
    <x v="2"/>
    <s v="Wise-Eyed Courtier Method"/>
    <m/>
  </r>
  <r>
    <x v="0"/>
    <x v="307"/>
    <s v="-"/>
    <s v="Permanent"/>
    <s v="None"/>
    <s v="Permanent"/>
    <s v="1/scene, free full Socialize Excellency. This Charm references “venting a point of Limit” by achieving a legendary social goal – is that a thing mentioned anywhere else?"/>
    <n v="400"/>
    <x v="3"/>
    <x v="3"/>
    <x v="2"/>
    <x v="2"/>
    <s v="Understanding the Court"/>
    <m/>
  </r>
  <r>
    <x v="0"/>
    <x v="308"/>
    <s v="-(10m, 1wp) "/>
    <s v="Permanent"/>
    <s v="Mute"/>
    <s v="Permanent"/>
    <s v="Over the course of a few hours, shift into a different persona with its own Intimacies."/>
    <n v="400"/>
    <x v="3"/>
    <x v="3"/>
    <x v="2"/>
    <x v="2"/>
    <s v="Inverted Ego Mask"/>
    <m/>
  </r>
  <r>
    <x v="0"/>
    <x v="309"/>
    <s v="-"/>
    <s v="Permanent"/>
    <s v="None"/>
    <s v="Permanent"/>
    <s v="Your personas have some of your Ability dots + ½ your total XP to spend on more."/>
    <n v="401"/>
    <x v="3"/>
    <x v="3"/>
    <x v="2"/>
    <x v="2"/>
    <s v="Heart-Eclipsing Shroud"/>
    <m/>
  </r>
  <r>
    <x v="0"/>
    <x v="310"/>
    <s v="-"/>
    <s v="Permanent"/>
    <s v="None"/>
    <s v="Permanent"/>
    <s v="Your personas may learn Charms."/>
    <n v="401"/>
    <x v="3"/>
    <x v="3"/>
    <x v="2"/>
    <x v="2"/>
    <s v="Hundred-Faced Stranger"/>
    <m/>
  </r>
  <r>
    <x v="0"/>
    <x v="311"/>
    <s v="-"/>
    <s v="Permanent"/>
    <s v="None"/>
    <s v="Permanent"/>
    <s v="Someone who loves someone who loves you also has a Minor Tie for you."/>
    <n v="402"/>
    <x v="3"/>
    <x v="3"/>
    <x v="2"/>
    <x v="2"/>
    <m/>
    <m/>
  </r>
  <r>
    <x v="0"/>
    <x v="312"/>
    <s v="-"/>
    <s v="Permanent"/>
    <s v="None"/>
    <s v="Permanent"/>
    <s v="1/scene, double-8s on a Socialize roll."/>
    <n v="402"/>
    <x v="3"/>
    <x v="3"/>
    <x v="3"/>
    <x v="2"/>
    <s v="Unbound Social Mastery"/>
    <m/>
  </r>
  <r>
    <x v="0"/>
    <x v="313"/>
    <s v="-"/>
    <s v="Permanent"/>
    <s v="None"/>
    <s v="Permanent"/>
    <s v="One persona has 75% of your total XP, plus 2/3 of any future XP. (What?)"/>
    <n v="402"/>
    <x v="3"/>
    <x v="3"/>
    <x v="3"/>
    <x v="2"/>
    <s v="Legend Mask Methodology"/>
    <m/>
  </r>
  <r>
    <x v="0"/>
    <x v="314"/>
    <s v="5m "/>
    <s v="Reflexive"/>
    <s v="None"/>
    <s v="Scene"/>
    <s v="You are incapable of faux pas. People with Ties to the local culture have Minor Ties to you."/>
    <n v="393"/>
    <x v="3"/>
    <x v="1"/>
    <x v="0"/>
    <x v="2"/>
    <m/>
    <m/>
  </r>
  <r>
    <x v="0"/>
    <x v="315"/>
    <s v="6m, 1wp "/>
    <s v="Simple"/>
    <s v="None"/>
    <s v="Indefinite"/>
    <s v="Build points to spend on retroactive(?) larceny actions."/>
    <n v="318"/>
    <x v="8"/>
    <x v="3"/>
    <x v="1"/>
    <x v="2"/>
    <s v="Unshakable Rogue's Spirit"/>
    <m/>
  </r>
  <r>
    <x v="0"/>
    <x v="316"/>
    <s v="5m/disguise "/>
    <s v="Reflexive"/>
    <s v="None"/>
    <s v="Indefinite"/>
    <s v="Wear two disguises at once."/>
    <n v="321"/>
    <x v="8"/>
    <x v="3"/>
    <x v="2"/>
    <x v="2"/>
    <s v="Perfect Mirror"/>
    <m/>
  </r>
  <r>
    <x v="0"/>
    <x v="317"/>
    <s v="12m, 1wp "/>
    <s v="Reflexive"/>
    <s v="None"/>
    <s v="Indefinite"/>
    <s v="Prevent criminals and creatures of darkness from attacking you, briefly; enable a number of weird theft possibilities (dreams, Initiative, etc.)."/>
    <n v="321"/>
    <x v="8"/>
    <x v="3"/>
    <x v="3"/>
    <x v="2"/>
    <s v="Iron Wolves' Grasp, Proof-Eating Palm, Skillful Reappropriation (Phantom Sting Search)"/>
    <m/>
  </r>
  <r>
    <x v="0"/>
    <x v="318"/>
    <s v="3m "/>
    <s v="Supplemental"/>
    <s v="Mute"/>
    <s v="Instant"/>
    <s v="Infallibly steal a thing."/>
    <n v="316"/>
    <x v="8"/>
    <x v="0"/>
    <x v="0"/>
    <x v="2"/>
    <m/>
    <m/>
  </r>
  <r>
    <x v="0"/>
    <x v="319"/>
    <s v="1m or 5m "/>
    <s v="Reflexive"/>
    <s v="None"/>
    <s v="Instant"/>
    <s v="Automatically pick a lock."/>
    <n v="317"/>
    <x v="8"/>
    <x v="0"/>
    <x v="0"/>
    <x v="2"/>
    <m/>
    <m/>
  </r>
  <r>
    <x v="0"/>
    <x v="320"/>
    <s v="3m "/>
    <s v="Reflexive"/>
    <s v="None"/>
    <s v="Instant"/>
    <s v="Treat another's uncertainty as a Minor Intimacy."/>
    <n v="316"/>
    <x v="8"/>
    <x v="1"/>
    <x v="0"/>
    <x v="2"/>
    <s v="Spurious Presence"/>
    <m/>
  </r>
  <r>
    <x v="0"/>
    <x v="321"/>
    <s v="2m "/>
    <s v="Supplemental"/>
    <s v="None"/>
    <s v="Instant"/>
    <s v="Claim ownership of a thing."/>
    <n v="316"/>
    <x v="8"/>
    <x v="1"/>
    <x v="0"/>
    <x v="2"/>
    <s v="Seasoned Criminal Method"/>
    <m/>
  </r>
  <r>
    <x v="0"/>
    <x v="322"/>
    <s v="1m "/>
    <s v="Supplemental"/>
    <s v="None"/>
    <s v="Instant"/>
    <s v="Read Intentions better against someone while gambling."/>
    <n v="316"/>
    <x v="8"/>
    <x v="1"/>
    <x v="0"/>
    <x v="2"/>
    <m/>
    <m/>
  </r>
  <r>
    <x v="0"/>
    <x v="323"/>
    <s v="3m "/>
    <s v="Reflexive"/>
    <s v="None"/>
    <s v="Instant"/>
    <s v="Cheat at a board game or poison a drink."/>
    <n v="316"/>
    <x v="8"/>
    <x v="2"/>
    <x v="0"/>
    <x v="2"/>
    <s v="Swift Gambler's Eye"/>
    <m/>
  </r>
  <r>
    <x v="0"/>
    <x v="324"/>
    <s v="-"/>
    <s v="Reflexive"/>
    <s v="None"/>
    <s v="Instant"/>
    <s v="1/scene, mute five motes."/>
    <n v="317"/>
    <x v="8"/>
    <x v="1"/>
    <x v="1"/>
    <x v="2"/>
    <s v="Preying on Uncertainty Approach"/>
    <m/>
  </r>
  <r>
    <x v="0"/>
    <x v="325"/>
    <s v="4m, 1wp "/>
    <s v="Reflexive"/>
    <s v="None"/>
    <s v="Instant"/>
    <s v="Bank successes for future Larceny or Stealth actions."/>
    <n v="317"/>
    <x v="8"/>
    <x v="1"/>
    <x v="1"/>
    <x v="2"/>
    <m/>
    <m/>
  </r>
  <r>
    <x v="0"/>
    <x v="326"/>
    <s v="5m "/>
    <s v="Reflexive"/>
    <s v="None"/>
    <s v="Instant"/>
    <s v="Convince a target you've always owned something you steal from him."/>
    <n v="317"/>
    <x v="8"/>
    <x v="2"/>
    <x v="1"/>
    <x v="2"/>
    <s v="Clever Bandit's Rook"/>
    <m/>
  </r>
  <r>
    <x v="0"/>
    <x v="327"/>
    <s v="-1 Initiative/success "/>
    <s v="Reflexive"/>
    <s v="None"/>
    <s v="Instant"/>
    <s v="Add successes to a Larceny or Stealth roll, at the cost of future Initiative."/>
    <n v="318"/>
    <x v="8"/>
    <x v="2"/>
    <x v="1"/>
    <x v="2"/>
    <s v="Living Shadow Preparedness"/>
    <m/>
  </r>
  <r>
    <x v="0"/>
    <x v="328"/>
    <s v="1m "/>
    <s v="Reflexive"/>
    <s v="None"/>
    <s v="Instant"/>
    <s v="Perfectly palm an object."/>
    <n v="318"/>
    <x v="8"/>
    <x v="2"/>
    <x v="1"/>
    <x v="2"/>
    <s v="Lightning-Hand Sleight"/>
    <m/>
  </r>
  <r>
    <x v="0"/>
    <x v="329"/>
    <s v="6m "/>
    <s v="Supplemental"/>
    <s v="Mute"/>
    <s v="Instant"/>
    <s v="Steal someone's pants. Or, well, something else in plain sight, but probably pants."/>
    <n v="319"/>
    <x v="8"/>
    <x v="2"/>
    <x v="1"/>
    <x v="2"/>
    <s v="Flawless Pickpocketing Technique"/>
    <m/>
  </r>
  <r>
    <x v="0"/>
    <x v="330"/>
    <s v="1wp "/>
    <s v="Supplemental"/>
    <s v="None"/>
    <s v="Instant"/>
    <s v="Steal from several yards away, even with obstacles in the way."/>
    <n v="319"/>
    <x v="8"/>
    <x v="3"/>
    <x v="1"/>
    <x v="2"/>
    <s v="Stealing from Plain Sight Spirit"/>
    <m/>
  </r>
  <r>
    <x v="0"/>
    <x v="331"/>
    <s v="4m "/>
    <s v="Reflexive"/>
    <s v="None"/>
    <s v="Instant"/>
    <s v="Steal from someone trying to pickpocket you."/>
    <n v="320"/>
    <x v="8"/>
    <x v="2"/>
    <x v="2"/>
    <x v="2"/>
    <s v="Flawless Pickpocketing Technique"/>
    <m/>
  </r>
  <r>
    <x v="0"/>
    <x v="332"/>
    <s v="10m, 1wp "/>
    <s v="Reflexive"/>
    <s v="None"/>
    <s v="Instant"/>
    <s v="Teleport through a door. But, like, skillfully, not with magic."/>
    <n v="321"/>
    <x v="8"/>
    <x v="2"/>
    <x v="2"/>
    <x v="2"/>
    <s v="Lock-Opening Touch"/>
    <m/>
  </r>
  <r>
    <x v="0"/>
    <x v="333"/>
    <s v="1wp "/>
    <s v="Reflexive"/>
    <s v="None"/>
    <s v="Instant"/>
    <s v="Treat some number from 2-5 as a 10."/>
    <n v="320"/>
    <x v="8"/>
    <x v="3"/>
    <x v="2"/>
    <x v="2"/>
    <s v="Lightning-Hand Sleight, Unshakable Rogue's Spirit"/>
    <m/>
  </r>
  <r>
    <x v="0"/>
    <x v="334"/>
    <s v="6m "/>
    <s v="Supplemental"/>
    <s v="None"/>
    <s v="Instant"/>
    <s v="Plant evidence on a target."/>
    <n v="320"/>
    <x v="8"/>
    <x v="3"/>
    <x v="2"/>
    <x v="2"/>
    <s v="Magpie's Invisible Talon"/>
    <m/>
  </r>
  <r>
    <x v="0"/>
    <x v="335"/>
    <s v="3m, 4i "/>
    <s v="Supplemental"/>
    <s v="None"/>
    <s v="Instant"/>
    <s v="Steal your enemy's weapon mid fight."/>
    <n v="320"/>
    <x v="8"/>
    <x v="3"/>
    <x v="2"/>
    <x v="2"/>
    <s v="Stealing from Plain Sight Spirit, Reversal of Fortune"/>
    <m/>
  </r>
  <r>
    <x v="0"/>
    <x v="336"/>
    <s v="10m, 1wp "/>
    <s v="Supplemental"/>
    <s v="Mute"/>
    <s v="Instant"/>
    <s v="Adopt a disguise instantly."/>
    <n v="321"/>
    <x v="8"/>
    <x v="3"/>
    <x v="2"/>
    <x v="2"/>
    <s v="Flawlessly Impenetrable Disguise"/>
    <m/>
  </r>
  <r>
    <x v="0"/>
    <x v="337"/>
    <s v="7m"/>
    <s v="Simple"/>
    <s v="Mute"/>
    <s v="Instant"/>
    <m/>
    <s v="MotSE 15"/>
    <x v="8"/>
    <x v="3"/>
    <x v="2"/>
    <x v="2"/>
    <s v="Master Plan Meditation"/>
    <m/>
  </r>
  <r>
    <x v="0"/>
    <x v="338"/>
    <s v="1wp "/>
    <s v="Reflexive"/>
    <s v="None"/>
    <s v="Instant"/>
    <s v="Can treat 2 numbers from 2-5 as 10s."/>
    <n v="320"/>
    <x v="8"/>
    <x v="3"/>
    <x v="3"/>
    <x v="2"/>
    <s v="Fate-Shifting Solar Arete"/>
    <m/>
  </r>
  <r>
    <x v="0"/>
    <x v="339"/>
    <s v="-"/>
    <s v="Reflexive"/>
    <s v="Mute"/>
    <s v="Instant"/>
    <s v="1/scene, free full Larceny Excellency."/>
    <n v="322"/>
    <x v="8"/>
    <x v="3"/>
    <x v="4"/>
    <x v="2"/>
    <s v="Night's Eye Meditation"/>
    <m/>
  </r>
  <r>
    <x v="0"/>
    <x v="340"/>
    <s v="5m "/>
    <s v="Reflexive"/>
    <s v="None"/>
    <s v="One Turn"/>
    <s v="Make your disguises “retroactively harder to pierce.”"/>
    <n v="322"/>
    <x v="8"/>
    <x v="3"/>
    <x v="4"/>
    <x v="2"/>
    <s v="Null Anima Gloves"/>
    <m/>
  </r>
  <r>
    <x v="0"/>
    <x v="341"/>
    <s v="-"/>
    <s v="Permanent"/>
    <s v="None"/>
    <s v="Permanent"/>
    <s v="You can attract criminals, avoid the attention of magistrates, or appear to be involved in any crimes in the area."/>
    <n v="315"/>
    <x v="8"/>
    <x v="4"/>
    <x v="0"/>
    <x v="2"/>
    <m/>
    <m/>
  </r>
  <r>
    <x v="0"/>
    <x v="342"/>
    <s v="-"/>
    <s v="Permanent"/>
    <s v="None"/>
    <s v="Permanent"/>
    <m/>
    <s v="MotSE 14"/>
    <x v="8"/>
    <x v="1"/>
    <x v="1"/>
    <x v="2"/>
    <s v="Spurious Presence"/>
    <m/>
  </r>
  <r>
    <x v="0"/>
    <x v="343"/>
    <s v="-(5m, 1wp) "/>
    <s v="Permanent"/>
    <s v="Mute"/>
    <s v="Permanent"/>
    <s v="Pretend to be another person, including special effects."/>
    <n v="319"/>
    <x v="8"/>
    <x v="3"/>
    <x v="1"/>
    <x v="2"/>
    <s v="Flawlessly Impenetrable Disguise"/>
    <m/>
  </r>
  <r>
    <x v="0"/>
    <x v="344"/>
    <s v="6m "/>
    <s v="Reflexive"/>
    <s v="None"/>
    <s v="Scene"/>
    <s v="Appear to belong, wherever you are; boost your Guile to resist detection."/>
    <n v="315"/>
    <x v="8"/>
    <x v="0"/>
    <x v="0"/>
    <x v="2"/>
    <s v="Seasoned Criminal Method"/>
    <m/>
  </r>
  <r>
    <x v="0"/>
    <x v="345"/>
    <s v="6m "/>
    <s v="Simple"/>
    <s v="None"/>
    <s v="Until the Exalt sleeps"/>
    <s v="Create a perfect disguise."/>
    <n v="317"/>
    <x v="8"/>
    <x v="2"/>
    <x v="0"/>
    <x v="2"/>
    <m/>
    <m/>
  </r>
  <r>
    <x v="0"/>
    <x v="346"/>
    <s v="1m "/>
    <s v="Reflexive"/>
    <s v="None"/>
    <s v="One Turn"/>
    <s v="1/scene, free full Sail Excellency."/>
    <n v="390"/>
    <x v="5"/>
    <x v="3"/>
    <x v="1"/>
    <x v="3"/>
    <s v="Indomitable Voyager's Perseverance"/>
    <m/>
  </r>
  <r>
    <x v="0"/>
    <x v="347"/>
    <s v="-"/>
    <s v="Permanent"/>
    <s v="None"/>
    <s v="Permanent"/>
    <s v="Permanent benefits: recurring 6s on Sail; add Sail/2 to Resolve vs. supernatural fear; recover instantly from a fall; find your way to anywhere you've been before."/>
    <n v="386"/>
    <x v="5"/>
    <x v="1"/>
    <x v="0"/>
    <x v="3"/>
    <m/>
    <m/>
  </r>
  <r>
    <x v="0"/>
    <x v="348"/>
    <s v="-"/>
    <s v="Permanent"/>
    <s v="None"/>
    <s v="Permanent"/>
    <s v="Permanently +2 Stamina for resisting deprivation (food, oxygen, etc.)."/>
    <n v="386"/>
    <x v="5"/>
    <x v="1"/>
    <x v="0"/>
    <x v="3"/>
    <s v="Salty Dog Method"/>
    <m/>
  </r>
  <r>
    <x v="0"/>
    <x v="349"/>
    <s v="-"/>
    <s v="Permanent"/>
    <s v="None"/>
    <s v="Permanent"/>
    <s v="Permanent bonus: if you wake up on a ship, you can ignore the WP cost to resist one social influence that day."/>
    <n v="386"/>
    <x v="5"/>
    <x v="3"/>
    <x v="0"/>
    <x v="3"/>
    <s v="Salty Dog Method"/>
    <m/>
  </r>
  <r>
    <x v="0"/>
    <x v="350"/>
    <s v="-"/>
    <s v="Permanent"/>
    <s v="None"/>
    <s v="Permanent"/>
    <s v="Creatures of darkness in your crew don't count as such for the purpose of social magic, your anima, or your area-of-effect attacks."/>
    <n v="387"/>
    <x v="5"/>
    <x v="3"/>
    <x v="0"/>
    <x v="3"/>
    <s v="Ship-Claiming Stance"/>
    <m/>
  </r>
  <r>
    <x v="0"/>
    <x v="351"/>
    <s v="-"/>
    <s v="Permanent"/>
    <s v="None"/>
    <s v="Permanent"/>
    <s v="Permanently gain X dice to your ship-defending actions, where -X is your ship's hull penalty."/>
    <n v="389"/>
    <x v="5"/>
    <x v="2"/>
    <x v="1"/>
    <x v="3"/>
    <s v="Salty Dog Method"/>
    <m/>
  </r>
  <r>
    <x v="0"/>
    <x v="352"/>
    <s v="-"/>
    <s v="Permanent"/>
    <s v="Pilot"/>
    <s v="Permanent"/>
    <s v="On incapacitating another ship with a maneuver, gain motes and Willpower."/>
    <n v="393"/>
    <x v="5"/>
    <x v="3"/>
    <x v="2"/>
    <x v="3"/>
    <s v="Ship-Rolling Juggernaut Method"/>
    <m/>
  </r>
  <r>
    <x v="0"/>
    <x v="353"/>
    <s v="5m "/>
    <s v="Simple"/>
    <s v="None"/>
    <s v="Scene"/>
    <s v="Negate your ship's hull penalty."/>
    <n v="390"/>
    <x v="5"/>
    <x v="3"/>
    <x v="1"/>
    <x v="3"/>
    <s v="Hull-Preserving Technique"/>
    <m/>
  </r>
  <r>
    <x v="0"/>
    <x v="354"/>
    <s v="4m "/>
    <s v="Reflexive"/>
    <s v="Pilot"/>
    <s v="Scene"/>
    <s v="-2 Momentum to the cost of all maneuvers for the rest of the scene."/>
    <n v="390"/>
    <x v="5"/>
    <x v="3"/>
    <x v="1"/>
    <x v="3"/>
    <s v="Legendary Captain's Signature"/>
    <m/>
  </r>
  <r>
    <x v="0"/>
    <x v="355"/>
    <s v="6m, 1wp, 3a"/>
    <s v="Reflexive"/>
    <s v="None"/>
    <s v="Scene"/>
    <s v="Expend your anima to make SWEET BURNING SUN-SAILS that terrify creatures of darkness."/>
    <n v="392"/>
    <x v="5"/>
    <x v="3"/>
    <x v="2"/>
    <x v="3"/>
    <s v="Blood and Salt Bondage,"/>
    <m/>
  </r>
  <r>
    <x v="0"/>
    <x v="356"/>
    <s v="10m, 1wp "/>
    <s v="Simple"/>
    <s v="None"/>
    <s v="Scene"/>
    <s v="Give bonus dice to your fleet, when maneuvering."/>
    <n v="392"/>
    <x v="5"/>
    <x v="3"/>
    <x v="2"/>
    <x v="3"/>
    <s v="Legendary Captain's Signature"/>
    <m/>
  </r>
  <r>
    <x v="0"/>
    <x v="357"/>
    <s v="10m, 1wp "/>
    <s v="Simple"/>
    <s v="None"/>
    <s v="Scene"/>
    <s v="Add your ship's Speed to your personal movement, and its Maneuverability to your Defense. Speak an ancient ocean language. Become immune to drowning."/>
    <n v="393"/>
    <x v="5"/>
    <x v="3"/>
    <x v="2"/>
    <x v="3"/>
    <s v="Any ten Sail Charms"/>
    <b v="0"/>
  </r>
  <r>
    <x v="0"/>
    <x v="358"/>
    <s v="10m, 1wp"/>
    <s v="Simple"/>
    <s v="Apocryphal"/>
    <s v="Scene"/>
    <m/>
    <s v="MotSE 29"/>
    <x v="5"/>
    <x v="3"/>
    <x v="2"/>
    <x v="3"/>
    <m/>
    <m/>
  </r>
  <r>
    <x v="0"/>
    <x v="359"/>
    <s v="10m, 1wp"/>
    <s v="Reflexive"/>
    <s v="Apocryphal, Pilot"/>
    <s v="Scene"/>
    <m/>
    <s v="MotSE 30"/>
    <x v="5"/>
    <x v="3"/>
    <x v="2"/>
    <x v="3"/>
    <s v="Implacable Sea Wolf Spirit"/>
    <m/>
  </r>
  <r>
    <x v="0"/>
    <x v="360"/>
    <s v="4m "/>
    <s v="Simple"/>
    <s v="None"/>
    <s v="Until the hazard has passed"/>
    <s v="+2 dice to avoid hazards, or +2 successes if you’ve avoided these specific hazards before."/>
    <n v="386"/>
    <x v="5"/>
    <x v="1"/>
    <x v="0"/>
    <x v="3"/>
    <s v="Salty Dog Method"/>
    <m/>
  </r>
  <r>
    <x v="0"/>
    <x v="361"/>
    <s v="5m "/>
    <s v="Simple"/>
    <s v="Stackable"/>
    <s v="Indefinite"/>
    <s v="Induce corruption, slowing bureaucratic process."/>
    <n v="286"/>
    <x v="9"/>
    <x v="3"/>
    <x v="1"/>
    <x v="6"/>
    <s v="Deft Official's Way"/>
    <m/>
  </r>
  <r>
    <x v="0"/>
    <x v="362"/>
    <s v="13m, 1wp "/>
    <s v="Simple"/>
    <s v="None"/>
    <s v="Indefinite"/>
    <s v="Kill a project."/>
    <n v="288"/>
    <x v="9"/>
    <x v="3"/>
    <x v="2"/>
    <x v="6"/>
    <s v="Indolent Official Charm"/>
    <m/>
  </r>
  <r>
    <x v="0"/>
    <x v="363"/>
    <s v="5m"/>
    <s v="Simple"/>
    <s v="Mute"/>
    <s v="Indefinite"/>
    <m/>
    <s v="MotSE 9"/>
    <x v="9"/>
    <x v="3"/>
    <x v="2"/>
    <x v="6"/>
    <s v="Ungoverned Market Awareness"/>
    <m/>
  </r>
  <r>
    <x v="0"/>
    <x v="364"/>
    <s v="10m, 1wp "/>
    <s v="Simple"/>
    <s v="Stackable"/>
    <s v="Indefinite"/>
    <s v="Your bureaucracy may no longer _____."/>
    <n v="288"/>
    <x v="9"/>
    <x v="3"/>
    <x v="3"/>
    <x v="6"/>
    <s v="Foul Air of Argument Technique"/>
    <m/>
  </r>
  <r>
    <x v="0"/>
    <x v="365"/>
    <s v="1m"/>
    <s v="Simple"/>
    <s v="None"/>
    <s v="Instant"/>
    <s v="Detect quality of a good."/>
    <n v="283"/>
    <x v="9"/>
    <x v="4"/>
    <x v="0"/>
    <x v="6"/>
    <m/>
    <m/>
  </r>
  <r>
    <x v="0"/>
    <x v="366"/>
    <s v="5m"/>
    <s v="Simple"/>
    <s v="None"/>
    <s v="Instant"/>
    <s v="Unfailingly sense people's Intimacies towards an organization."/>
    <n v="284"/>
    <x v="9"/>
    <x v="0"/>
    <x v="0"/>
    <x v="6"/>
    <s v="Deft Official's Way"/>
    <m/>
  </r>
  <r>
    <x v="0"/>
    <x v="367"/>
    <s v="3m"/>
    <s v="Simple"/>
    <s v="None"/>
    <s v="Instant"/>
    <s v="Know how much you can sell a thing for."/>
    <n v="284"/>
    <x v="9"/>
    <x v="1"/>
    <x v="0"/>
    <x v="6"/>
    <s v="Frugal Merchant Method"/>
    <m/>
  </r>
  <r>
    <x v="0"/>
    <x v="368"/>
    <s v="3m"/>
    <s v="Reflexive"/>
    <s v="None"/>
    <s v="Instant"/>
    <s v="Know someone's budget and whether he plans to cheat you."/>
    <n v="284"/>
    <x v="9"/>
    <x v="1"/>
    <x v="0"/>
    <x v="6"/>
    <s v="Frugal Merchant Method"/>
    <m/>
  </r>
  <r>
    <x v="0"/>
    <x v="369"/>
    <s v="1m"/>
    <s v="Simple"/>
    <s v="None"/>
    <s v="Instant"/>
    <s v="Know what Bureaucracy specialties the people around you have."/>
    <n v="284"/>
    <x v="9"/>
    <x v="3"/>
    <x v="0"/>
    <x v="6"/>
    <s v="All-Seeing Master Procurer"/>
    <m/>
  </r>
  <r>
    <x v="0"/>
    <x v="370"/>
    <s v="6m, 1wp "/>
    <s v="Supplemental"/>
    <s v="None"/>
    <s v="Instant"/>
    <s v="Bargain with double-7s."/>
    <n v="285"/>
    <x v="9"/>
    <x v="3"/>
    <x v="1"/>
    <x v="6"/>
    <s v="Consumer-Evaluating Glance, Insightful Buyer Technique"/>
    <m/>
  </r>
  <r>
    <x v="0"/>
    <x v="371"/>
    <s v="5m, 1wp "/>
    <s v="Reflexive"/>
    <s v="None"/>
    <s v="Instant"/>
    <s v="Remove corruption, with unclear results."/>
    <n v="286"/>
    <x v="9"/>
    <x v="3"/>
    <x v="1"/>
    <x v="6"/>
    <s v="Bureau-Rectifying Method, Enigmatic Bureau Understanding"/>
    <m/>
  </r>
  <r>
    <x v="0"/>
    <x v="372"/>
    <s v="1m "/>
    <s v="Supplemental"/>
    <s v="None"/>
    <s v="Instant"/>
    <s v="Add half Bureaucracy to social influence to follow The Rewlz."/>
    <n v="286"/>
    <x v="9"/>
    <x v="3"/>
    <x v="1"/>
    <x v="6"/>
    <s v="Enlightened Discourse Method"/>
    <m/>
  </r>
  <r>
    <x v="0"/>
    <x v="373"/>
    <s v="6m"/>
    <s v="Simple"/>
    <s v="Mute"/>
    <s v="Instant"/>
    <m/>
    <s v="MotSE 9"/>
    <x v="9"/>
    <x v="3"/>
    <x v="1"/>
    <x v="6"/>
    <s v="Enigmatic Bureau Understanding"/>
    <m/>
  </r>
  <r>
    <x v="0"/>
    <x v="374"/>
    <s v="5m, 1wp "/>
    <s v="Simple"/>
    <s v="Mute, Psyche"/>
    <s v="Instant"/>
    <s v="Sell anything to anyone."/>
    <n v="286"/>
    <x v="9"/>
    <x v="3"/>
    <x v="2"/>
    <x v="6"/>
    <s v="Irresistible Salesman Spirit"/>
    <m/>
  </r>
  <r>
    <x v="0"/>
    <x v="375"/>
    <s v="5m "/>
    <s v="Supplemental"/>
    <s v="None"/>
    <s v="Instant"/>
    <s v="Compel a person to act in his official capacity."/>
    <n v="288"/>
    <x v="9"/>
    <x v="3"/>
    <x v="3"/>
    <x v="6"/>
    <s v="Eclectic Verbiage of Law"/>
    <m/>
  </r>
  <r>
    <x v="0"/>
    <x v="376"/>
    <s v="5m"/>
    <s v="Simple"/>
    <s v="Mute"/>
    <s v="Instant"/>
    <m/>
    <s v="MotSE 10"/>
    <x v="9"/>
    <x v="3"/>
    <x v="3"/>
    <x v="6"/>
    <s v="Pattern-Exploiting Commerce Spirit"/>
    <m/>
  </r>
  <r>
    <x v="0"/>
    <x v="377"/>
    <s v="8m"/>
    <s v="Simple"/>
    <s v="None"/>
    <s v="Instant"/>
    <m/>
    <s v="MotSE 11"/>
    <x v="9"/>
    <x v="3"/>
    <x v="3"/>
    <x v="6"/>
    <s v="Infinitely-Efficient Register"/>
    <m/>
  </r>
  <r>
    <x v="0"/>
    <x v="378"/>
    <s v="10m, 1wp"/>
    <s v="Simple"/>
    <s v="None"/>
    <s v="Investigation"/>
    <s v="Scenelong - add Bureaucracy to Socialize and Investigate in a bureau; all members of the bureau trust you."/>
    <n v="285"/>
    <x v="9"/>
    <x v="3"/>
    <x v="0"/>
    <x v="6"/>
    <s v="Speed the Wheels"/>
    <m/>
  </r>
  <r>
    <x v="0"/>
    <x v="379"/>
    <s v="10m, 1wp "/>
    <s v="Simple"/>
    <s v="None"/>
    <s v="One week"/>
    <s v="Enhance an organization's die pools; make it a bulwark against the Wyld."/>
    <n v="289"/>
    <x v="9"/>
    <x v="3"/>
    <x v="4"/>
    <x v="6"/>
    <s v="Taboo-Inflicting Diatribe"/>
    <m/>
  </r>
  <r>
    <x v="0"/>
    <x v="380"/>
    <s v="-"/>
    <s v="Permanent"/>
    <s v="None"/>
    <s v="Permanent"/>
    <s v="Sense when someone tries to turn a member of an organization against it."/>
    <n v="285"/>
    <x v="9"/>
    <x v="2"/>
    <x v="0"/>
    <x v="6"/>
    <s v="Measuring Glance"/>
    <m/>
  </r>
  <r>
    <x v="0"/>
    <x v="381"/>
    <s v="5m + 1m/1xp "/>
    <s v="Simple"/>
    <s v="Mute, Stackable"/>
    <s v="Indefinite"/>
    <s v="Grant Charms you don't know to a character (maybe you!)."/>
    <n v="338"/>
    <x v="10"/>
    <x v="3"/>
    <x v="3"/>
    <x v="5"/>
    <s v="Essence Font Technique, Selfsame Master Instructor"/>
    <m/>
  </r>
  <r>
    <x v="0"/>
    <x v="382"/>
    <s v="3m "/>
    <s v="Simple"/>
    <s v="None"/>
    <s v="Instant"/>
    <s v="Transfer motes to an ally."/>
    <n v="331"/>
    <x v="10"/>
    <x v="4"/>
    <x v="0"/>
    <x v="5"/>
    <m/>
    <m/>
  </r>
  <r>
    <x v="0"/>
    <x v="383"/>
    <s v="5m, 1wp "/>
    <s v="Simple"/>
    <s v="None"/>
    <s v="Instant"/>
    <s v="Transfer Willpower to an ally."/>
    <n v="331"/>
    <x v="10"/>
    <x v="0"/>
    <x v="0"/>
    <x v="5"/>
    <s v="Essence-Lending Method"/>
    <m/>
  </r>
  <r>
    <x v="0"/>
    <x v="384"/>
    <s v="1xp+ "/>
    <s v="Simple"/>
    <s v="None"/>
    <s v="Instant"/>
    <s v="Spend your XP to train someone else. Roll XP as dice at end of story; recover successes."/>
    <n v="331"/>
    <x v="10"/>
    <x v="3"/>
    <x v="0"/>
    <x v="5"/>
    <s v="First Knowledge's Grace"/>
    <m/>
  </r>
  <r>
    <x v="0"/>
    <x v="385"/>
    <s v="3m/health level, 1wp "/>
    <s v="Simple"/>
    <s v="None"/>
    <s v="Instant"/>
    <s v="Accept wounds from an ally."/>
    <n v="332"/>
    <x v="10"/>
    <x v="2"/>
    <x v="1"/>
    <x v="5"/>
    <s v="Will-Bolstering Method"/>
    <m/>
  </r>
  <r>
    <x v="0"/>
    <x v="386"/>
    <s v="1xp "/>
    <s v="Reflexive"/>
    <s v="None"/>
    <s v="Instant"/>
    <s v="Reroll nonsuccesses when using FMP."/>
    <n v="331"/>
    <x v="10"/>
    <x v="3"/>
    <x v="1"/>
    <x v="5"/>
    <s v="Flowing Mind Prana"/>
    <m/>
  </r>
  <r>
    <x v="0"/>
    <x v="387"/>
    <s v="3m "/>
    <s v="Supplemental"/>
    <s v="None"/>
    <s v="Instant"/>
    <s v="Reroll 6s when introducing/challenging facts."/>
    <n v="332"/>
    <x v="10"/>
    <x v="3"/>
    <x v="1"/>
    <x v="5"/>
    <s v="Bottomless Wellspring Approach"/>
    <m/>
  </r>
  <r>
    <x v="0"/>
    <x v="388"/>
    <s v="6m "/>
    <s v="Simple"/>
    <s v="Mute"/>
    <s v="Instant"/>
    <s v="Reveal the function of an object."/>
    <n v="332"/>
    <x v="10"/>
    <x v="3"/>
    <x v="1"/>
    <x v="5"/>
    <s v="Lore-Inducing Concentration"/>
    <m/>
  </r>
  <r>
    <x v="0"/>
    <x v="389"/>
    <s v="4m, 1wp "/>
    <s v="Simple"/>
    <s v="None"/>
    <s v="Instant"/>
    <s v="Receive a vision of how to use an artifact."/>
    <n v="333"/>
    <x v="10"/>
    <x v="3"/>
    <x v="2"/>
    <x v="5"/>
    <s v="Truth-Rendering Gaze"/>
    <m/>
  </r>
  <r>
    <x v="0"/>
    <x v="390"/>
    <s v="15m, 1wp "/>
    <s v="Simple"/>
    <s v="None"/>
    <s v="Instant"/>
    <s v="Gain Evocations for free."/>
    <n v="333"/>
    <x v="10"/>
    <x v="3"/>
    <x v="2"/>
    <x v="5"/>
    <s v="Sacred Relic Understanding"/>
    <m/>
  </r>
  <r>
    <x v="0"/>
    <x v="391"/>
    <s v="5m/hl, 1wp "/>
    <s v="Simple"/>
    <s v="Decisive-only"/>
    <s v="Instant"/>
    <s v="Push wounds onto a target."/>
    <n v="333"/>
    <x v="10"/>
    <x v="3"/>
    <x v="2"/>
    <x v="5"/>
    <s v="Wound-Accepting Technique"/>
    <m/>
  </r>
  <r>
    <x v="0"/>
    <x v="392"/>
    <s v="1wp "/>
    <s v="Simple"/>
    <s v="None"/>
    <s v="Instant"/>
    <s v="Drain motes from the target."/>
    <n v="333"/>
    <x v="10"/>
    <x v="3"/>
    <x v="2"/>
    <x v="5"/>
    <s v="Injury-Forcing Technique"/>
    <m/>
  </r>
  <r>
    <x v="0"/>
    <x v="393"/>
    <s v="6m, 1wp "/>
    <s v="Simple"/>
    <s v="Mute"/>
    <s v="Instant"/>
    <s v="Convert the target's personal motes to peripheral or vice-versa."/>
    <n v="334"/>
    <x v="10"/>
    <x v="3"/>
    <x v="2"/>
    <x v="5"/>
    <s v="Essence-Draining Touch"/>
    <m/>
  </r>
  <r>
    <x v="0"/>
    <x v="394"/>
    <s v="10m, 1wp "/>
    <s v="Reflexive"/>
    <s v="Clash, Decisive-only"/>
    <s v="Instant"/>
    <s v="Steal damage from an attack through your mystic mumblings."/>
    <n v="334"/>
    <x v="10"/>
    <x v="3"/>
    <x v="2"/>
    <x v="5"/>
    <s v="Essence-Draining Touch"/>
    <m/>
  </r>
  <r>
    <x v="0"/>
    <x v="395"/>
    <s v="10m, 3a"/>
    <s v="Reflexive"/>
    <s v="Mute"/>
    <s v="Instant"/>
    <s v="Reset your anima to dim."/>
    <n v="334"/>
    <x v="10"/>
    <x v="3"/>
    <x v="2"/>
    <x v="5"/>
    <s v="Immanent Solar Glory"/>
    <m/>
  </r>
  <r>
    <x v="0"/>
    <x v="396"/>
    <s v="2i, 3a"/>
    <s v="Simple"/>
    <s v="Perilous"/>
    <s v="Instant"/>
    <s v="Burn out your anima, restoring motes to allies."/>
    <n v="334"/>
    <x v="10"/>
    <x v="3"/>
    <x v="2"/>
    <x v="5"/>
    <s v="Flowing Essence Conversion"/>
    <m/>
  </r>
  <r>
    <x v="0"/>
    <x v="397"/>
    <s v="15m, 1wp "/>
    <s v="Simple"/>
    <s v="None"/>
    <s v="Instant"/>
    <s v="Destroy Wyld-twisting effects."/>
    <n v="334"/>
    <x v="10"/>
    <x v="3"/>
    <x v="2"/>
    <x v="5"/>
    <m/>
    <m/>
  </r>
  <r>
    <x v="0"/>
    <x v="398"/>
    <s v="15m, 1wp, 2xp "/>
    <s v="Simple"/>
    <s v="None"/>
    <s v="Instant"/>
    <s v="TEAR NEW REALITY FROM THE LAUGHING TEETH OF MADNESS."/>
    <n v="335"/>
    <x v="10"/>
    <x v="3"/>
    <x v="2"/>
    <x v="5"/>
    <s v="Chaos-Repelling Pattern, Order-Affirming Blow, Truth-Rendering Gaze"/>
    <m/>
  </r>
  <r>
    <x v="0"/>
    <x v="399"/>
    <s v="7m, 1wp, 8xp "/>
    <s v="Reflexive"/>
    <s v="None"/>
    <s v="Instant"/>
    <s v="Make artifact weapons using WST."/>
    <n v="338"/>
    <x v="10"/>
    <x v="3"/>
    <x v="2"/>
    <x v="5"/>
    <s v="Wyld-Shaping Technique"/>
    <m/>
  </r>
  <r>
    <x v="0"/>
    <x v="400"/>
    <s v="1m"/>
    <s v="Reflexive"/>
    <s v="None"/>
    <s v="Instant"/>
    <m/>
    <s v="MotSE 16"/>
    <x v="10"/>
    <x v="3"/>
    <x v="2"/>
    <x v="5"/>
    <s v="Bottomless Wellspring Approach"/>
    <m/>
  </r>
  <r>
    <x v="0"/>
    <x v="401"/>
    <s v="6m"/>
    <s v="Reflexive"/>
    <s v="Mute"/>
    <s v="Instant"/>
    <m/>
    <s v="MotSE 16"/>
    <x v="10"/>
    <x v="3"/>
    <x v="2"/>
    <x v="5"/>
    <s v="Truth-Rendering Gaze"/>
    <m/>
  </r>
  <r>
    <x v="0"/>
    <x v="402"/>
    <s v="5m, 1wp "/>
    <s v="Simple"/>
    <s v="None"/>
    <s v="Instant"/>
    <s v="Make a book you thought up using Mind-Scribing Method."/>
    <n v="338"/>
    <x v="10"/>
    <x v="5"/>
    <x v="2"/>
    <x v="5"/>
    <s v="Wyld-Shaping Technique, Mind-Scribing Method"/>
    <m/>
  </r>
  <r>
    <x v="0"/>
    <x v="403"/>
    <s v="12m, 1wp "/>
    <s v="Simple"/>
    <s v="None"/>
    <s v="Instant"/>
    <s v="Predict the future, granting bonuses to those who follow your predictions and penalties to those who don't."/>
    <n v="339"/>
    <x v="10"/>
    <x v="3"/>
    <x v="3"/>
    <x v="5"/>
    <s v="Truth-Rendering Gaze"/>
    <m/>
  </r>
  <r>
    <x v="0"/>
    <x v="404"/>
    <s v="10m "/>
    <s v="Simple"/>
    <s v="Mute"/>
    <s v="Instant"/>
    <s v="Steal Willpower and Initiative by posing a riddle."/>
    <n v="339"/>
    <x v="10"/>
    <x v="3"/>
    <x v="3"/>
    <x v="5"/>
    <s v="Chaos-Repelling Pattern, Force-Draining Whisper"/>
    <m/>
  </r>
  <r>
    <x v="0"/>
    <x v="405"/>
    <s v="-"/>
    <s v="Simple"/>
    <s v="None"/>
    <s v="Instant"/>
    <s v="Recover extra motes."/>
    <n v="339"/>
    <x v="10"/>
    <x v="3"/>
    <x v="3"/>
    <x v="5"/>
    <s v="Power-Restoring Invocation"/>
    <m/>
  </r>
  <r>
    <x v="0"/>
    <x v="406"/>
    <s v="-"/>
    <s v="Simple"/>
    <s v="None"/>
    <s v="Instant"/>
    <s v="Boost the effect of ISG to 8s, 9s, and 10s for one roll."/>
    <n v="340"/>
    <x v="10"/>
    <x v="3"/>
    <x v="3"/>
    <x v="5"/>
    <s v="Surging Essence Flow"/>
    <m/>
  </r>
  <r>
    <x v="0"/>
    <x v="407"/>
    <s v="10m, 1wp, 10xp "/>
    <s v="Reflexive"/>
    <s v="None"/>
    <s v="Instant"/>
    <s v="Build a manse using WST."/>
    <n v="340"/>
    <x v="10"/>
    <x v="3"/>
    <x v="3"/>
    <x v="5"/>
    <s v="Wyld-Called Weapon"/>
    <m/>
  </r>
  <r>
    <x v="0"/>
    <x v="408"/>
    <s v="7m, 1wp"/>
    <s v="Simple"/>
    <s v="None"/>
    <s v="Instant"/>
    <m/>
    <s v="MotSE 17"/>
    <x v="10"/>
    <x v="3"/>
    <x v="3"/>
    <x v="5"/>
    <s v="Hundred Sages Focus"/>
    <m/>
  </r>
  <r>
    <x v="0"/>
    <x v="409"/>
    <s v="30m, 1wp "/>
    <s v="Simple"/>
    <s v="None"/>
    <s v="Instant"/>
    <s v="Drop a nuke on an enemy nation from your basement. Yes, really."/>
    <n v="340"/>
    <x v="10"/>
    <x v="3"/>
    <x v="4"/>
    <x v="5"/>
    <s v="Prophet of Seventeen Cycles"/>
    <m/>
  </r>
  <r>
    <x v="0"/>
    <x v="410"/>
    <s v="7m "/>
    <s v="Reflexive"/>
    <s v="None"/>
    <s v="Instant"/>
    <s v="Gain 3wp."/>
    <n v="341"/>
    <x v="10"/>
    <x v="3"/>
    <x v="4"/>
    <x v="5"/>
    <s v="Seal of Infinite Wisdom"/>
    <m/>
  </r>
  <r>
    <x v="0"/>
    <x v="411"/>
    <s v="5m, 10i "/>
    <s v="Reflexive"/>
    <s v="Perilous"/>
    <s v="Instant"/>
    <s v="Trade motes and Initiative for Willpower."/>
    <n v="341"/>
    <x v="10"/>
    <x v="3"/>
    <x v="4"/>
    <x v="5"/>
    <s v="Incalculable Flowing Mind, Surging Inner Fire"/>
    <m/>
  </r>
  <r>
    <x v="0"/>
    <x v="412"/>
    <s v="10m, 1wp "/>
    <s v="Simple"/>
    <s v="None"/>
    <s v="One hour"/>
    <s v="Characters within short range are protected from the Wyld."/>
    <n v="330"/>
    <x v="10"/>
    <x v="1"/>
    <x v="0"/>
    <x v="5"/>
    <s v="Wyld-Dispelling Prana"/>
    <m/>
  </r>
  <r>
    <x v="0"/>
    <x v="413"/>
    <s v="-"/>
    <s v="Permanent"/>
    <s v="None"/>
    <s v="Permanent"/>
    <s v="Get ALL the Lore Specialties, and get bonuses when they apply."/>
    <n v="330"/>
    <x v="10"/>
    <x v="1"/>
    <x v="0"/>
    <x v="5"/>
    <m/>
    <m/>
  </r>
  <r>
    <x v="0"/>
    <x v="414"/>
    <s v="-"/>
    <s v="Permanent"/>
    <s v="None"/>
    <s v="Permanent"/>
    <s v="Gain bonuses when introducing/challenging facts."/>
    <n v="332"/>
    <x v="10"/>
    <x v="2"/>
    <x v="1"/>
    <x v="5"/>
    <s v="Harmonious Academic Methodology"/>
    <m/>
  </r>
  <r>
    <x v="0"/>
    <x v="415"/>
    <s v="-"/>
    <s v="Permanent"/>
    <s v="None"/>
    <s v="Permanent"/>
    <s v="Make ELM and WBM Reflexive, with bonuses."/>
    <n v="332"/>
    <x v="10"/>
    <x v="2"/>
    <x v="1"/>
    <x v="5"/>
    <s v="Will-Bolstering Method"/>
    <m/>
  </r>
  <r>
    <x v="0"/>
    <x v="416"/>
    <s v="-"/>
    <s v="Permanent"/>
    <s v="None"/>
    <s v="Permanent"/>
    <m/>
    <s v="MotSE 16"/>
    <x v="10"/>
    <x v="3"/>
    <x v="1"/>
    <x v="5"/>
    <s v="Flowing Mind Prana"/>
    <m/>
  </r>
  <r>
    <x v="0"/>
    <x v="417"/>
    <s v="-"/>
    <s v="Permanent"/>
    <s v="None"/>
    <s v="Permanent"/>
    <s v="Use FMP to train many people at once."/>
    <n v="332"/>
    <x v="10"/>
    <x v="3"/>
    <x v="2"/>
    <x v="5"/>
    <s v="Flowing Mind Prana"/>
    <m/>
  </r>
  <r>
    <x v="0"/>
    <x v="418"/>
    <s v="-"/>
    <s v="Permanent"/>
    <s v="None"/>
    <s v="Permanent"/>
    <s v="Use FMP to teach spells or Charms."/>
    <n v="333"/>
    <x v="10"/>
    <x v="3"/>
    <x v="2"/>
    <x v="5"/>
    <s v="Legendary Scholar's Curriculum"/>
    <m/>
  </r>
  <r>
    <x v="0"/>
    <x v="419"/>
    <s v="-"/>
    <s v="Permanent"/>
    <s v="None"/>
    <s v="Permanent"/>
    <s v="Add non-Charm dice to thinky problems, permanently."/>
    <n v="333"/>
    <x v="10"/>
    <x v="3"/>
    <x v="2"/>
    <x v="5"/>
    <s v="Truth-Rendering Gaze"/>
    <m/>
  </r>
  <r>
    <x v="0"/>
    <x v="420"/>
    <s v="-"/>
    <s v="Permanent"/>
    <s v="None"/>
    <s v="Permanent"/>
    <s v="Regain 1m when you roll a 10 on a Lore roll."/>
    <n v="334"/>
    <x v="10"/>
    <x v="3"/>
    <x v="2"/>
    <x v="5"/>
    <s v="Essence Font Technique"/>
    <m/>
  </r>
  <r>
    <x v="0"/>
    <x v="421"/>
    <s v="-"/>
    <s v="Permanent"/>
    <s v="None"/>
    <s v="Permanent"/>
    <s v="Allow ELM and WBM to be used at range."/>
    <n v="334"/>
    <x v="10"/>
    <x v="3"/>
    <x v="2"/>
    <x v="5"/>
    <s v="Flowing Essence Conversion"/>
    <m/>
  </r>
  <r>
    <x v="0"/>
    <x v="422"/>
    <s v="-"/>
    <s v="Permanent"/>
    <s v="None"/>
    <s v="Permanent"/>
    <s v="When using WST, create specialist workers."/>
    <n v="337"/>
    <x v="10"/>
    <x v="3"/>
    <x v="2"/>
    <x v="5"/>
    <s v="Wyld-Shaping Technique"/>
    <m/>
  </r>
  <r>
    <x v="0"/>
    <x v="423"/>
    <s v="-"/>
    <s v="Permanent"/>
    <s v="None"/>
    <s v="Permanent"/>
    <s v="When using WST, gain bonus successes."/>
    <n v="338"/>
    <x v="10"/>
    <x v="3"/>
    <x v="2"/>
    <x v="5"/>
    <s v="Wyld-Shaping Technique"/>
    <m/>
  </r>
  <r>
    <x v="0"/>
    <x v="424"/>
    <s v="-"/>
    <s v="Permanent"/>
    <s v="None"/>
    <s v="Permanent"/>
    <s v="Skip a roll when using WST."/>
    <n v="338"/>
    <x v="10"/>
    <x v="3"/>
    <x v="2"/>
    <x v="5"/>
    <s v="Wyld-Shaping Technique"/>
    <m/>
  </r>
  <r>
    <x v="0"/>
    <x v="425"/>
    <s v="-"/>
    <s v="Permanent"/>
    <s v="None"/>
    <s v="Permanent"/>
    <m/>
    <s v="MotSE 17"/>
    <x v="10"/>
    <x v="3"/>
    <x v="2"/>
    <x v="5"/>
    <s v="Wake the Sleeper"/>
    <m/>
  </r>
  <r>
    <x v="0"/>
    <x v="426"/>
    <s v="-"/>
    <s v="Permanent"/>
    <s v="None"/>
    <s v="Permanent"/>
    <s v="Reduce cost of one use of WST."/>
    <n v="340"/>
    <x v="10"/>
    <x v="3"/>
    <x v="3"/>
    <x v="5"/>
    <s v="Wyld Cauldron Mastery"/>
    <m/>
  </r>
  <r>
    <x v="0"/>
    <x v="427"/>
    <s v="-"/>
    <s v="Permanent"/>
    <s v="None"/>
    <s v="Permanent"/>
    <s v="Gain double-8s on one use of WST."/>
    <n v="340"/>
    <x v="10"/>
    <x v="3"/>
    <x v="3"/>
    <x v="5"/>
    <s v="Sevenfold Savant Mantle"/>
    <m/>
  </r>
  <r>
    <x v="0"/>
    <x v="428"/>
    <s v="-"/>
    <s v="Permanent"/>
    <s v="None"/>
    <s v="Permanent"/>
    <s v="Regenerate motes while using WST."/>
    <n v="340"/>
    <x v="10"/>
    <x v="3"/>
    <x v="3"/>
    <x v="5"/>
    <s v="Wyld-Forging Focus"/>
    <m/>
  </r>
  <r>
    <x v="0"/>
    <x v="429"/>
    <s v="-"/>
    <s v="Permanent"/>
    <s v="None"/>
    <s v="Permanent"/>
    <s v="Can use again on another phase to get double 7s."/>
    <n v="340"/>
    <x v="10"/>
    <x v="3"/>
    <x v="4"/>
    <x v="5"/>
    <s v="Power Beyond Reason"/>
    <m/>
  </r>
  <r>
    <x v="0"/>
    <x v="430"/>
    <s v="-"/>
    <s v="Permanent"/>
    <s v="None"/>
    <s v="Permanent"/>
    <s v="Reduce cost of WST."/>
    <n v="341"/>
    <x v="10"/>
    <x v="3"/>
    <x v="4"/>
    <x v="5"/>
    <s v="Demiurgic Suspiration"/>
    <m/>
  </r>
  <r>
    <x v="0"/>
    <x v="431"/>
    <s v="4m "/>
    <s v="Reflexive"/>
    <s v="None"/>
    <s v="Scene"/>
    <s v="Teach the unteachable. Row row, fight da powa."/>
    <n v="330"/>
    <x v="10"/>
    <x v="1"/>
    <x v="0"/>
    <x v="5"/>
    <s v="Harmonious Academic Methodology"/>
    <m/>
  </r>
  <r>
    <x v="0"/>
    <x v="432"/>
    <s v="10m, 1wp "/>
    <s v="Supplemental"/>
    <s v="Mute"/>
    <s v="Scene"/>
    <s v="Hide one lesson inside another."/>
    <n v="331"/>
    <x v="10"/>
    <x v="3"/>
    <x v="1"/>
    <x v="5"/>
    <s v="Flowing Mind Prana"/>
    <m/>
  </r>
  <r>
    <x v="0"/>
    <x v="433"/>
    <s v="5m, 1wp "/>
    <s v="Reflexive"/>
    <s v="None"/>
    <s v="Varies"/>
    <s v="Protect an object or character from Wyld-twisting."/>
    <n v="330"/>
    <x v="10"/>
    <x v="0"/>
    <x v="0"/>
    <x v="5"/>
    <m/>
    <m/>
  </r>
  <r>
    <x v="0"/>
    <x v="434"/>
    <s v="10m "/>
    <s v="Simple"/>
    <s v="None"/>
    <s v="Indefinite"/>
    <s v="Grant temporary -0 health levels."/>
    <n v="343"/>
    <x v="11"/>
    <x v="2"/>
    <x v="1"/>
    <x v="4"/>
    <s v="Touch of Blissful Release"/>
    <m/>
  </r>
  <r>
    <x v="0"/>
    <x v="435"/>
    <s v="15m, 1wp"/>
    <s v="Reflexive"/>
    <s v="None"/>
    <s v="Indefinite"/>
    <m/>
    <s v="MotSE 18"/>
    <x v="11"/>
    <x v="3"/>
    <x v="4"/>
    <x v="4"/>
    <s v="Anodyne of Celestial Dreaming"/>
    <m/>
  </r>
  <r>
    <x v="0"/>
    <x v="436"/>
    <s v="3m "/>
    <s v="Simple"/>
    <s v="None"/>
    <s v="Instant"/>
    <s v="Grant target bonuses to resist disease."/>
    <n v="341"/>
    <x v="11"/>
    <x v="4"/>
    <x v="0"/>
    <x v="4"/>
    <m/>
    <m/>
  </r>
  <r>
    <x v="0"/>
    <x v="437"/>
    <s v="1m "/>
    <s v="Supplemental"/>
    <s v="None"/>
    <s v="Instant"/>
    <s v="Perfectly diagnose an illness."/>
    <n v="342"/>
    <x v="11"/>
    <x v="4"/>
    <x v="0"/>
    <x v="4"/>
    <m/>
    <m/>
  </r>
  <r>
    <x v="0"/>
    <x v="438"/>
    <s v="2m, 1wp "/>
    <s v="Reflexive"/>
    <s v="None"/>
    <s v="Instant"/>
    <s v="Cure disease immediately."/>
    <n v="341"/>
    <x v="11"/>
    <x v="1"/>
    <x v="0"/>
    <x v="4"/>
    <s v="Ailment-Rectifying Method"/>
    <m/>
  </r>
  <r>
    <x v="0"/>
    <x v="439"/>
    <s v="5m, 1wp "/>
    <s v="Simple"/>
    <s v="None"/>
    <s v="Instant"/>
    <s v="Restore health levels immediately."/>
    <n v="342"/>
    <x v="11"/>
    <x v="1"/>
    <x v="0"/>
    <x v="4"/>
    <m/>
    <m/>
  </r>
  <r>
    <x v="0"/>
    <x v="440"/>
    <s v="10m "/>
    <s v="Simple"/>
    <s v="None"/>
    <s v="Instant"/>
    <s v="Convert target's aggravated damage to lethal."/>
    <n v="342"/>
    <x v="11"/>
    <x v="1"/>
    <x v="0"/>
    <x v="4"/>
    <s v="Wound-Mending Care Technique"/>
    <m/>
  </r>
  <r>
    <x v="0"/>
    <x v="441"/>
    <s v="5m "/>
    <s v="Reflexive"/>
    <s v="None"/>
    <s v="Instant"/>
    <s v="Negate the target's wound penalties, though target cannot be active."/>
    <n v="343"/>
    <x v="11"/>
    <x v="1"/>
    <x v="1"/>
    <x v="4"/>
    <s v="Flawless Diagnosis Technique"/>
    <m/>
  </r>
  <r>
    <x v="0"/>
    <x v="442"/>
    <s v="5m, 1wp or 5i, 1wp "/>
    <s v="Reflexive"/>
    <s v="None"/>
    <s v="Instant"/>
    <s v="Perform an hour of treatment in seconds."/>
    <n v="342"/>
    <x v="11"/>
    <x v="2"/>
    <x v="1"/>
    <x v="4"/>
    <s v="Wound-Cleansing Meditation"/>
    <m/>
  </r>
  <r>
    <x v="0"/>
    <x v="443"/>
    <s v="5m "/>
    <s v="Simple"/>
    <s v="Decisive-only"/>
    <s v="Instant"/>
    <s v="Remove a magical crippling injury mid-combat."/>
    <n v="342"/>
    <x v="11"/>
    <x v="3"/>
    <x v="1"/>
    <x v="4"/>
    <s v="Instant Treatment Methodology"/>
    <m/>
  </r>
  <r>
    <x v="0"/>
    <x v="444"/>
    <s v="4m, 1wp "/>
    <s v="Reflexive"/>
    <s v="None"/>
    <s v="Instant"/>
    <s v="Cause a poison to disperse after its next interval."/>
    <n v="344"/>
    <x v="11"/>
    <x v="3"/>
    <x v="1"/>
    <x v="4"/>
    <s v="Touch of Blissful Release"/>
    <m/>
  </r>
  <r>
    <x v="0"/>
    <x v="445"/>
    <s v="10m "/>
    <s v="Simple"/>
    <s v="None"/>
    <s v="Instant"/>
    <s v="Convert aggravated damage, or cure bashing/lethal, instantly."/>
    <n v="344"/>
    <x v="11"/>
    <x v="3"/>
    <x v="2"/>
    <x v="4"/>
    <s v="Instant Treatment Methodology"/>
    <m/>
  </r>
  <r>
    <x v="0"/>
    <x v="446"/>
    <s v="10m, 1wp "/>
    <s v="Reflexive"/>
    <s v="None"/>
    <s v="Instant"/>
    <s v="As ITM, but the patient also recovers on their feet in seconds."/>
    <n v="344"/>
    <x v="11"/>
    <x v="3"/>
    <x v="2"/>
    <x v="4"/>
    <s v="Anointment of Miraculous Health"/>
    <m/>
  </r>
  <r>
    <x v="0"/>
    <x v="447"/>
    <s v="10m, 1wp "/>
    <s v="Simple"/>
    <s v="None"/>
    <s v="Instant"/>
    <s v="Restore missing limbs, regrow eyes, or treat madness."/>
    <n v="344"/>
    <x v="11"/>
    <x v="3"/>
    <x v="2"/>
    <x v="4"/>
    <s v="Anointment of Miraculous Health"/>
    <m/>
  </r>
  <r>
    <x v="0"/>
    <x v="448"/>
    <s v="-"/>
    <s v="Simple"/>
    <s v="None"/>
    <s v="Instant"/>
    <s v="Regenerate motes and willpower, and continue to do while making Medicine rolls."/>
    <n v="344"/>
    <x v="11"/>
    <x v="3"/>
    <x v="2"/>
    <x v="4"/>
    <s v="Contagion-Curing Touch, Wholeness-Restoring Meditation"/>
    <m/>
  </r>
  <r>
    <x v="0"/>
    <x v="449"/>
    <s v="1lhl/3m "/>
    <s v="Reflexive"/>
    <s v="None"/>
    <s v="Instant"/>
    <s v="Spend health levels for motes for Medicine Charms."/>
    <n v="345"/>
    <x v="11"/>
    <x v="3"/>
    <x v="2"/>
    <x v="4"/>
    <s v="Feit of Imparted Nature"/>
    <m/>
  </r>
  <r>
    <x v="0"/>
    <x v="450"/>
    <s v="5m, 1wp "/>
    <s v="Reflexive"/>
    <s v="Mute"/>
    <s v="Instant"/>
    <s v="Reroll non-successes in Medicine."/>
    <n v="345"/>
    <x v="11"/>
    <x v="3"/>
    <x v="3"/>
    <x v="4"/>
    <s v="Life-Sculpting Hands Technique"/>
    <m/>
  </r>
  <r>
    <x v="0"/>
    <x v="451"/>
    <s v="-"/>
    <s v="Permanent"/>
    <s v="None"/>
    <s v="Permanent"/>
    <s v="Gain bonuses to treat illness, permanently."/>
    <n v="342"/>
    <x v="11"/>
    <x v="2"/>
    <x v="1"/>
    <x v="4"/>
    <s v="Plague-Banishing Incitation"/>
    <m/>
  </r>
  <r>
    <x v="0"/>
    <x v="452"/>
    <s v="-"/>
    <s v="Permanent"/>
    <s v="None"/>
    <s v="Permanent"/>
    <s v="Medicine Excellency is permanently 1m/2 dice."/>
    <n v="345"/>
    <x v="11"/>
    <x v="3"/>
    <x v="3"/>
    <x v="4"/>
    <s v="Any Medicine Charm"/>
    <b v="0"/>
  </r>
  <r>
    <x v="0"/>
    <x v="453"/>
    <s v="-"/>
    <s v="Permanent"/>
    <s v="None"/>
    <s v="Permanent"/>
    <s v="Use a Medicine Charm without paying its cost."/>
    <n v="345"/>
    <x v="11"/>
    <x v="3"/>
    <x v="3"/>
    <x v="4"/>
    <s v="Master Chirurgeon Meditation"/>
    <m/>
  </r>
  <r>
    <x v="0"/>
    <x v="454"/>
    <s v="-"/>
    <s v="Permanent"/>
    <s v="None"/>
    <s v="Permanent"/>
    <s v="1/scene free full Excellency."/>
    <n v="345"/>
    <x v="11"/>
    <x v="3"/>
    <x v="3"/>
    <x v="4"/>
    <s v="Benison of Celestial Healing"/>
    <m/>
  </r>
  <r>
    <x v="0"/>
    <x v="455"/>
    <s v="-"/>
    <s v="Permanent"/>
    <s v="None"/>
    <s v="Permanent"/>
    <s v="1/day, double Medicine successes."/>
    <n v="345"/>
    <x v="11"/>
    <x v="3"/>
    <x v="4"/>
    <x v="4"/>
    <s v="Healer's Unerring Hands"/>
    <m/>
  </r>
  <r>
    <x v="0"/>
    <x v="456"/>
    <s v="-"/>
    <s v="Permanent"/>
    <s v="None"/>
    <s v="Permanent"/>
    <s v="1/story, double-7s on a Medicine roll."/>
    <n v="346"/>
    <x v="11"/>
    <x v="3"/>
    <x v="4"/>
    <x v="4"/>
    <s v="Healer's Unerring Hands"/>
    <m/>
  </r>
  <r>
    <x v="0"/>
    <x v="457"/>
    <s v="7m, 1wp "/>
    <s v="Reflexive"/>
    <s v="None"/>
    <s v="Scene"/>
    <s v="Remove target's wound penalties; if target is active, doctor takes -1 penalties."/>
    <n v="345"/>
    <x v="11"/>
    <x v="3"/>
    <x v="2"/>
    <x v="4"/>
    <s v="Touch of Blissful Release"/>
    <m/>
  </r>
  <r>
    <x v="0"/>
    <x v="458"/>
    <s v="1m "/>
    <s v="Simple"/>
    <s v="None"/>
    <s v="Indefinite"/>
    <s v="Store a weapon in Elsewhere."/>
    <n v="347"/>
    <x v="12"/>
    <x v="1"/>
    <x v="0"/>
    <x v="0"/>
    <s v="Call the Blade"/>
    <m/>
  </r>
  <r>
    <x v="0"/>
    <x v="459"/>
    <s v="6m(+1m)"/>
    <s v="Simple"/>
    <s v="Uniform"/>
    <s v="Indefinite"/>
    <m/>
    <s v="MotSE 21"/>
    <x v="12"/>
    <x v="3"/>
    <x v="2"/>
    <x v="0"/>
    <s v="Rising Sun Slash"/>
    <m/>
  </r>
  <r>
    <x v="0"/>
    <x v="460"/>
    <s v="2m "/>
    <s v="Reflexive"/>
    <s v="None"/>
    <s v="Instant"/>
    <s v="Ignore Defense penalties; gain 1i for parrying."/>
    <n v="346"/>
    <x v="12"/>
    <x v="4"/>
    <x v="0"/>
    <x v="0"/>
    <m/>
    <m/>
  </r>
  <r>
    <x v="0"/>
    <x v="461"/>
    <s v="1m "/>
    <s v="Reflexive"/>
    <s v="None"/>
    <s v="Instant"/>
    <s v="Call your weapon to hand with a successful roll."/>
    <n v="347"/>
    <x v="12"/>
    <x v="4"/>
    <x v="0"/>
    <x v="0"/>
    <m/>
    <m/>
  </r>
  <r>
    <x v="0"/>
    <x v="462"/>
    <s v="1m"/>
    <s v="Reflexive"/>
    <s v="Dual"/>
    <s v="Instant"/>
    <m/>
    <s v="MotSE 18"/>
    <x v="12"/>
    <x v="4"/>
    <x v="0"/>
    <x v="0"/>
    <m/>
    <m/>
  </r>
  <r>
    <x v="0"/>
    <x v="463"/>
    <s v="3m "/>
    <s v="Supplemental"/>
    <s v="Uniform"/>
    <s v="Instant"/>
    <s v="Gain a success and recurring 1s."/>
    <n v="346"/>
    <x v="12"/>
    <x v="0"/>
    <x v="0"/>
    <x v="0"/>
    <m/>
    <m/>
  </r>
  <r>
    <x v="0"/>
    <x v="464"/>
    <s v="3m "/>
    <s v="Reflexive"/>
    <s v="None"/>
    <s v="Instant"/>
    <s v="After reducing an enemy from Initiative above yours to Init below yours, make a Reflexive attack."/>
    <n v="346"/>
    <x v="12"/>
    <x v="0"/>
    <x v="0"/>
    <x v="0"/>
    <s v="Excellent Strike"/>
    <m/>
  </r>
  <r>
    <x v="0"/>
    <x v="465"/>
    <s v="1m/die or 1m/success "/>
    <s v="Supplemental"/>
    <s v="Dual"/>
    <s v="Instant"/>
    <s v="Add post-soak damage or transfer extra attack successes to a Decisive damage roll."/>
    <n v="346"/>
    <x v="12"/>
    <x v="1"/>
    <x v="0"/>
    <x v="0"/>
    <s v="Excellent Strike"/>
    <m/>
  </r>
  <r>
    <x v="0"/>
    <x v="466"/>
    <s v="1m, 1wp, 3a "/>
    <s v="Reflexive"/>
    <s v="None"/>
    <s v="Instant"/>
    <s v="Spend your anima to make an extra attack."/>
    <n v="346"/>
    <x v="12"/>
    <x v="1"/>
    <x v="0"/>
    <x v="0"/>
    <s v="One Weapon Two Blows"/>
    <m/>
  </r>
  <r>
    <x v="0"/>
    <x v="467"/>
    <s v="3m"/>
    <s v="Reflexive"/>
    <s v="Uniform"/>
    <s v="Instant"/>
    <m/>
    <s v="MotSE 18"/>
    <x v="12"/>
    <x v="1"/>
    <x v="0"/>
    <x v="0"/>
    <s v="Dipping Swallow Defense"/>
    <m/>
  </r>
  <r>
    <x v="0"/>
    <x v="468"/>
    <s v="3m "/>
    <s v="Reflexive"/>
    <s v="Counterattack, Decisive-only"/>
    <s v="Instant"/>
    <s v="Counterattack before damage is rolled against you."/>
    <n v="347"/>
    <x v="12"/>
    <x v="2"/>
    <x v="0"/>
    <x v="0"/>
    <s v="Dipping Swallow Defense"/>
    <m/>
  </r>
  <r>
    <x v="0"/>
    <x v="469"/>
    <s v="1m, 1i"/>
    <s v="Reflexive"/>
    <s v="Uniform"/>
    <s v="Instant"/>
    <m/>
    <s v="MotSE 19"/>
    <x v="12"/>
    <x v="2"/>
    <x v="0"/>
    <x v="0"/>
    <s v="Fire and Stones Strike"/>
    <m/>
  </r>
  <r>
    <x v="0"/>
    <x v="470"/>
    <s v="3m "/>
    <s v="Reflexive"/>
    <s v="None"/>
    <s v="Instant"/>
    <s v="When Defending Other, grant extra Initiative to your charge with a Distract Gambit."/>
    <n v="347"/>
    <x v="12"/>
    <x v="3"/>
    <x v="0"/>
    <x v="0"/>
    <s v="War Lion Stance"/>
    <m/>
  </r>
  <r>
    <x v="0"/>
    <x v="471"/>
    <s v="1m/success "/>
    <s v="Reflexive"/>
    <s v="None"/>
    <s v="Instant"/>
    <s v="Attacker loses 1 success for each 1 or 2 rolled."/>
    <n v="349"/>
    <x v="12"/>
    <x v="1"/>
    <x v="1"/>
    <x v="0"/>
    <s v="Dipping Swallow Defense"/>
    <m/>
  </r>
  <r>
    <x v="0"/>
    <x v="472"/>
    <s v="1m "/>
    <s v="Reflexive"/>
    <s v="Uniform"/>
    <s v="Instant"/>
    <s v="Add bonus successes if you roll a straight."/>
    <n v="347"/>
    <x v="12"/>
    <x v="2"/>
    <x v="1"/>
    <x v="0"/>
    <s v="Fire and Stones Strike"/>
    <m/>
  </r>
  <r>
    <x v="0"/>
    <x v="473"/>
    <s v="7m "/>
    <s v="Simple"/>
    <s v="Mute, Uniform"/>
    <s v="Instant"/>
    <s v="Make a Melee attack at Medium range."/>
    <n v="350"/>
    <x v="12"/>
    <x v="2"/>
    <x v="1"/>
    <x v="0"/>
    <s v="Call the Blade, Excellent Strike"/>
    <m/>
  </r>
  <r>
    <x v="0"/>
    <x v="474"/>
    <s v="5m, 2i "/>
    <s v="Simple"/>
    <s v="Decisive-only"/>
    <s v="Instant"/>
    <s v="Make a Decisive attack at Short range, ignoring hardness and cover."/>
    <n v="350"/>
    <x v="12"/>
    <x v="2"/>
    <x v="1"/>
    <x v="0"/>
    <s v="Call the Blade, Excellent Strike"/>
    <m/>
  </r>
  <r>
    <x v="0"/>
    <x v="475"/>
    <s v="2m "/>
    <s v="Reflexive"/>
    <s v="Uniform"/>
    <s v="Instant"/>
    <s v="Roll Decisive damage dice against Creatures of Darkness on a hit, even if that hit was Withering(!)."/>
    <n v="350"/>
    <x v="12"/>
    <x v="2"/>
    <x v="1"/>
    <x v="0"/>
    <s v="Sandstorm-Wind Attack"/>
    <m/>
  </r>
  <r>
    <x v="0"/>
    <x v="476"/>
    <s v="2m, 1i"/>
    <s v="Reflexive"/>
    <s v="Uniform"/>
    <s v="Instant"/>
    <m/>
    <s v="MotSE 19"/>
    <x v="12"/>
    <x v="2"/>
    <x v="1"/>
    <x v="0"/>
    <s v="Fire and Stones Strike"/>
    <m/>
  </r>
  <r>
    <x v="0"/>
    <x v="477"/>
    <s v="5m, 1wp "/>
    <s v="Simple"/>
    <s v="Decisive-only"/>
    <s v="Instant"/>
    <s v="Make a big magical flurry. Can chain off of PBT."/>
    <n v="347"/>
    <x v="12"/>
    <x v="3"/>
    <x v="1"/>
    <x v="0"/>
    <s v="Peony Blossom Technique"/>
    <m/>
  </r>
  <r>
    <x v="0"/>
    <x v="478"/>
    <s v="4m, 1i/sux or 4m or 4m, 1wp "/>
    <s v="Reflexive"/>
    <s v="Perilous, Decisive-only"/>
    <s v="Instant"/>
    <s v="Parry the unparryable."/>
    <n v="349"/>
    <x v="12"/>
    <x v="3"/>
    <x v="1"/>
    <x v="0"/>
    <s v="Bulwark Stance"/>
    <m/>
  </r>
  <r>
    <x v="0"/>
    <x v="479"/>
    <s v="3m, 2i "/>
    <s v="Supplemental"/>
    <s v="Dual, Perilous"/>
    <s v="Instant"/>
    <s v="Do extra damage to a Crashed opponent."/>
    <n v="350"/>
    <x v="12"/>
    <x v="3"/>
    <x v="2"/>
    <x v="0"/>
    <s v="Rising Sun Slash"/>
    <m/>
  </r>
  <r>
    <x v="0"/>
    <x v="480"/>
    <s v="1wp "/>
    <s v="Reflexive"/>
    <s v="None"/>
    <s v="Instant"/>
    <s v="Free full Excellency."/>
    <n v="351"/>
    <x v="12"/>
    <x v="3"/>
    <x v="2"/>
    <x v="0"/>
    <s v="Dipping Swallow Defense, Excellent Strike"/>
    <m/>
  </r>
  <r>
    <x v="0"/>
    <x v="481"/>
    <s v="4m, 1wp "/>
    <s v="Reflexive"/>
    <s v="Counterattack, Withering-only"/>
    <s v="Instant"/>
    <s v="Make a Withering counterattack, turning any stolen damage into Decisive dice."/>
    <n v="351"/>
    <x v="12"/>
    <x v="3"/>
    <x v="2"/>
    <x v="0"/>
    <s v="One Weapon Two Blows, Solar Counterattack"/>
    <m/>
  </r>
  <r>
    <x v="0"/>
    <x v="482"/>
    <s v="1m, 1wp "/>
    <s v="Reflexive"/>
    <s v="Clash, Decisive-only"/>
    <s v="Instant"/>
    <s v="Reflexively Clash with an attack."/>
    <n v="352"/>
    <x v="12"/>
    <x v="3"/>
    <x v="2"/>
    <x v="0"/>
    <s v="Flashing Edge of Dawn"/>
    <m/>
  </r>
  <r>
    <x v="0"/>
    <x v="483"/>
    <s v="5m, 2i, 1wp "/>
    <s v="Simple"/>
    <s v="Decisive-only"/>
    <s v="Instant"/>
    <s v="Shoot a bolt of energy at an enemy; works better against creatures of darkness."/>
    <n v="353"/>
    <x v="12"/>
    <x v="3"/>
    <x v="2"/>
    <x v="0"/>
    <s v="Corona of Radiance"/>
    <m/>
  </r>
  <r>
    <x v="0"/>
    <x v="484"/>
    <s v="6m, 1wp"/>
    <s v="Reflexive"/>
    <s v="Counterattack, Decisive-only, Perilous"/>
    <s v="Instant"/>
    <m/>
    <s v="MotSE 19"/>
    <x v="12"/>
    <x v="3"/>
    <x v="2"/>
    <x v="0"/>
    <s v="Flashing Edge of Dawn, Heavenly Guardian Defense"/>
    <m/>
  </r>
  <r>
    <x v="0"/>
    <x v="485"/>
    <s v="5m"/>
    <s v="Reflexive"/>
    <s v="Decisive-only"/>
    <s v="Instant"/>
    <m/>
    <s v="MotSE 20"/>
    <x v="12"/>
    <x v="3"/>
    <x v="2"/>
    <x v="0"/>
    <s v="Fervent Blow"/>
    <m/>
  </r>
  <r>
    <x v="0"/>
    <x v="486"/>
    <s v="6m, 1wp"/>
    <s v="Reflexive"/>
    <s v="Decisive-only, clash"/>
    <s v="Instant"/>
    <m/>
    <s v="MotSE 21"/>
    <x v="12"/>
    <x v="3"/>
    <x v="2"/>
    <x v="0"/>
    <s v="Fervent Blow"/>
    <m/>
  </r>
  <r>
    <x v="0"/>
    <x v="487"/>
    <s v="3m, 1wp"/>
    <s v="Supplemental"/>
    <s v="Clash"/>
    <s v="Instant"/>
    <m/>
    <s v="MotSE 21"/>
    <x v="12"/>
    <x v="3"/>
    <x v="2"/>
    <x v="0"/>
    <s v="Fervent Blow, Hail-Shattering Practice"/>
    <m/>
  </r>
  <r>
    <x v="0"/>
    <x v="488"/>
    <s v="7m, 1wp "/>
    <s v="Simple"/>
    <s v="Decisive-only, Perilous"/>
    <s v="Instant"/>
    <s v="Decisively strike all opponents at close range."/>
    <n v="353"/>
    <x v="12"/>
    <x v="3"/>
    <x v="3"/>
    <x v="0"/>
    <s v="Invincible Fury of the Dawn"/>
    <m/>
  </r>
  <r>
    <x v="0"/>
    <x v="489"/>
    <s v="6m, 1a, 2i "/>
    <s v="Reflexive"/>
    <s v="Withering-only, Perilous"/>
    <s v="Instant"/>
    <s v="If you kill anyone with HSF, make a withering strike against all opponents at close range. If you Crash anyone, you can pop HSF again."/>
    <n v="353"/>
    <x v="12"/>
    <x v="3"/>
    <x v="4"/>
    <x v="0"/>
    <s v="Heaven Sword Flash"/>
    <m/>
  </r>
  <r>
    <x v="0"/>
    <x v="490"/>
    <s v="1m, 1wp "/>
    <s v="Reflexive"/>
    <s v="None"/>
    <s v="One Turn"/>
    <s v="Attacks may not be applied to the character you're defending."/>
    <n v="349"/>
    <x v="12"/>
    <x v="3"/>
    <x v="1"/>
    <x v="0"/>
    <s v="War Lion Stance"/>
    <m/>
  </r>
  <r>
    <x v="0"/>
    <x v="491"/>
    <s v="-"/>
    <s v="Permanent"/>
    <s v="None"/>
    <s v="Permanent"/>
    <s v="Gain 1i when parrying as part of a Defend Other."/>
    <n v="349"/>
    <x v="12"/>
    <x v="2"/>
    <x v="1"/>
    <x v="0"/>
    <s v="War Lion Stance"/>
    <m/>
  </r>
  <r>
    <x v="0"/>
    <x v="492"/>
    <s v="-(3m) "/>
    <s v="Permanent"/>
    <s v="None"/>
    <s v="Permanent"/>
    <s v="Treat your Initiative as being three higher for the purposes of OWTB."/>
    <n v="347"/>
    <x v="12"/>
    <x v="3"/>
    <x v="1"/>
    <x v="0"/>
    <s v="One Weapon Two Blows"/>
    <m/>
  </r>
  <r>
    <x v="0"/>
    <x v="493"/>
    <s v="-"/>
    <s v="Permanent"/>
    <s v="None"/>
    <s v="Permanent"/>
    <s v="Gain 1m for every 10 rolled when using RSS."/>
    <n v="350"/>
    <x v="12"/>
    <x v="3"/>
    <x v="2"/>
    <x v="0"/>
    <s v="Rising Sun Slash"/>
    <m/>
  </r>
  <r>
    <x v="0"/>
    <x v="494"/>
    <s v="-"/>
    <s v="Permanent"/>
    <s v="None"/>
    <s v="Permanent"/>
    <s v="Gain extra attacks with IWA."/>
    <n v="351"/>
    <x v="12"/>
    <x v="3"/>
    <x v="2"/>
    <x v="0"/>
    <s v="Iron Whirlwind Attack"/>
    <m/>
  </r>
  <r>
    <x v="0"/>
    <x v="495"/>
    <s v="-(7m, 1wp)"/>
    <s v="Permanent"/>
    <s v="None"/>
    <s v="Permanent"/>
    <s v="Combine FEoD and FB."/>
    <n v="352"/>
    <x v="12"/>
    <x v="3"/>
    <x v="2"/>
    <x v="0"/>
    <s v="Fervent Blow"/>
    <m/>
  </r>
  <r>
    <x v="0"/>
    <x v="496"/>
    <s v="-"/>
    <s v="Permanent"/>
    <s v="None"/>
    <s v="Permanent"/>
    <s v="Gain extra damage against creatures of darkness; treat people you hate as creatures of darkness."/>
    <n v="352"/>
    <x v="12"/>
    <x v="3"/>
    <x v="2"/>
    <x v="0"/>
    <s v="Corona of Radiance"/>
    <m/>
  </r>
  <r>
    <x v="0"/>
    <x v="497"/>
    <s v="- (4m, 1wp) "/>
    <s v="Permanent"/>
    <s v="Decisive-only"/>
    <s v="Permanent"/>
    <s v="When you use HGD, accumulate extra Initiative for later uses of HGD."/>
    <n v="353"/>
    <x v="12"/>
    <x v="3"/>
    <x v="4"/>
    <x v="0"/>
    <s v="Heavenly Guardian Defense"/>
    <m/>
  </r>
  <r>
    <x v="0"/>
    <x v="498"/>
    <s v="2m "/>
    <s v="Reflexive"/>
    <s v="None"/>
    <s v="Scene"/>
    <s v="Defend another reflexively."/>
    <n v="346"/>
    <x v="12"/>
    <x v="2"/>
    <x v="0"/>
    <x v="0"/>
    <s v="Dipping Swallow Defense"/>
    <m/>
  </r>
  <r>
    <x v="0"/>
    <x v="499"/>
    <s v="5m, 1wp "/>
    <s v="Simple"/>
    <s v="None"/>
    <s v="Scene"/>
    <s v="Summon a magical glowing sword."/>
    <n v="350"/>
    <x v="12"/>
    <x v="1"/>
    <x v="1"/>
    <x v="0"/>
    <s v="Summoning the Loyal Steel"/>
    <m/>
  </r>
  <r>
    <x v="0"/>
    <x v="500"/>
    <s v="5m, 1wp "/>
    <s v="Simple"/>
    <s v="None"/>
    <s v="Scene"/>
    <s v="Ignore “certain” penalties to Defense."/>
    <n v="348"/>
    <x v="12"/>
    <x v="3"/>
    <x v="1"/>
    <x v="0"/>
    <s v="Bulwark Stance"/>
    <m/>
  </r>
  <r>
    <x v="0"/>
    <x v="501"/>
    <s v="10m, 1wp "/>
    <s v="Simple"/>
    <s v="None"/>
    <s v="Scene"/>
    <s v="Extra damage on all attacks for the rest of the scene."/>
    <n v="352"/>
    <x v="12"/>
    <x v="3"/>
    <x v="2"/>
    <x v="0"/>
    <s v="Glorious Solar Saber"/>
    <m/>
  </r>
  <r>
    <x v="0"/>
    <x v="502"/>
    <s v="5m, 1wp "/>
    <s v="Simple"/>
    <s v="None"/>
    <s v="Scene"/>
    <s v="Raise defense against creatures of darkness; burn them if they touch you."/>
    <n v="352"/>
    <x v="12"/>
    <x v="3"/>
    <x v="2"/>
    <x v="0"/>
    <s v="Edge of Morning Sunlight"/>
    <m/>
  </r>
  <r>
    <x v="0"/>
    <x v="503"/>
    <s v="6m, 1wp (+1i/rnd)"/>
    <s v="Reflexive"/>
    <s v="Perilous"/>
    <s v="Scene"/>
    <m/>
    <s v="MotSE 19"/>
    <x v="12"/>
    <x v="3"/>
    <x v="2"/>
    <x v="0"/>
    <s v="Fivefold Bulwark Stance, Ready in Eight Directions Stance"/>
    <m/>
  </r>
  <r>
    <x v="0"/>
    <x v="504"/>
    <s v="5m "/>
    <s v="Reflexive"/>
    <s v="None"/>
    <s v="Until next turn"/>
    <s v="Ignore Defense penalties for one turn; opponent does reduced damage."/>
    <n v="346"/>
    <x v="12"/>
    <x v="1"/>
    <x v="0"/>
    <x v="0"/>
    <s v="Dipping Swallow Defense"/>
    <m/>
  </r>
  <r>
    <x v="0"/>
    <x v="505"/>
    <s v="5m "/>
    <s v="Simple"/>
    <s v="Counterattack, Decisive-only"/>
    <s v="Until next turn"/>
    <s v="Counterattack every attack for the next round."/>
    <n v="349"/>
    <x v="12"/>
    <x v="3"/>
    <x v="1"/>
    <x v="0"/>
    <s v="Solar Counterattack"/>
    <m/>
  </r>
  <r>
    <x v="0"/>
    <x v="506"/>
    <s v="-"/>
    <s v="Permanent"/>
    <s v="None"/>
    <s v="Permanent"/>
    <s v="Sense deals being made around you via Bureaucracy or Larceny."/>
    <n v="286"/>
    <x v="9"/>
    <x v="3"/>
    <x v="1"/>
    <x v="6"/>
    <s v="Illimitable Master Fence"/>
    <m/>
  </r>
  <r>
    <x v="0"/>
    <x v="507"/>
    <s v="-"/>
    <s v="Permanent"/>
    <s v="None"/>
    <s v="Permanent"/>
    <s v="Recover willpower for doing Bureaucracy."/>
    <n v="286"/>
    <x v="9"/>
    <x v="3"/>
    <x v="2"/>
    <x v="6"/>
    <s v="Irresistible Salesman Spirit"/>
    <m/>
  </r>
  <r>
    <x v="0"/>
    <x v="508"/>
    <s v="-(Varies) "/>
    <s v="Permanent"/>
    <s v="None"/>
    <s v="Permanent"/>
    <s v="Sense magic targeting your organization; stop it, if necessary."/>
    <n v="287"/>
    <x v="9"/>
    <x v="3"/>
    <x v="2"/>
    <x v="6"/>
    <s v="Bureau-Reforming Kata"/>
    <m/>
  </r>
  <r>
    <x v="0"/>
    <x v="509"/>
    <s v="-"/>
    <s v="Permanent"/>
    <s v="None"/>
    <s v="Permanent"/>
    <s v="Profile the person using magic on your organization."/>
    <n v="287"/>
    <x v="9"/>
    <x v="3"/>
    <x v="2"/>
    <x v="6"/>
    <s v="Woe-Capturing Web"/>
    <m/>
  </r>
  <r>
    <x v="0"/>
    <x v="510"/>
    <s v="-"/>
    <s v="Permanent"/>
    <s v="None"/>
    <s v="Permanent"/>
    <s v="Free bureaucracy Excellency, once per season."/>
    <n v="288"/>
    <x v="9"/>
    <x v="3"/>
    <x v="2"/>
    <x v="6"/>
    <s v="Semantic Argument Technique"/>
    <m/>
  </r>
  <r>
    <x v="0"/>
    <x v="511"/>
    <s v="-"/>
    <s v="Permanent"/>
    <s v="None"/>
    <s v="Permanent"/>
    <s v="Finish a project, without actually undertaking it."/>
    <n v="288"/>
    <x v="9"/>
    <x v="3"/>
    <x v="2"/>
    <x v="6"/>
    <s v="Omen-Spawning Beast"/>
    <m/>
  </r>
  <r>
    <x v="0"/>
    <x v="512"/>
    <s v="5m"/>
    <s v="Reflexive"/>
    <s v="None"/>
    <s v="Scene"/>
    <s v="Scenelong - add Bureaucracy to a Read Intentions roll, sometimes."/>
    <n v="284"/>
    <x v="9"/>
    <x v="4"/>
    <x v="0"/>
    <x v="6"/>
    <m/>
    <m/>
  </r>
  <r>
    <x v="0"/>
    <x v="513"/>
    <s v="4m"/>
    <s v="Reflexive"/>
    <s v="None"/>
    <s v="Scene"/>
    <s v="Scenelong – add half Bureaucracy to social influence or bureaucratic ends."/>
    <n v="285"/>
    <x v="9"/>
    <x v="1"/>
    <x v="0"/>
    <x v="6"/>
    <s v="Deft Official's Way, Frugal Merchant Method"/>
    <m/>
  </r>
  <r>
    <x v="0"/>
    <x v="514"/>
    <s v="5m"/>
    <s v="Reflexive"/>
    <s v="None"/>
    <s v="Scene"/>
    <s v="People can feel how great a merchant you are."/>
    <n v="284"/>
    <x v="9"/>
    <x v="2"/>
    <x v="0"/>
    <x v="6"/>
    <s v="Consumer-Evaluating Glance"/>
    <m/>
  </r>
  <r>
    <x v="0"/>
    <x v="515"/>
    <s v="8m"/>
    <s v="Simple"/>
    <s v="None"/>
    <s v="Task"/>
    <s v="Accelerate granting bureaucratic requests."/>
    <n v="285"/>
    <x v="9"/>
    <x v="3"/>
    <x v="0"/>
    <x v="6"/>
    <s v="Deft Official's Way"/>
    <m/>
  </r>
  <r>
    <x v="0"/>
    <x v="516"/>
    <s v="8m, 1wp "/>
    <s v="Supplemental"/>
    <s v="Psyche, Written-only"/>
    <s v="Indefinite"/>
    <s v="Target forgets all known languages."/>
    <n v="326"/>
    <x v="13"/>
    <x v="3"/>
    <x v="2"/>
    <x v="6"/>
    <s v="Essence-Laden Missive"/>
    <m/>
  </r>
  <r>
    <x v="0"/>
    <x v="517"/>
    <s v="6m "/>
    <s v="Reflexive"/>
    <s v="None"/>
    <s v="Indefinite"/>
    <s v="Learn a new language."/>
    <n v="328"/>
    <x v="13"/>
    <x v="3"/>
    <x v="2"/>
    <x v="6"/>
    <s v="Single Voice Kata, Strange Tongue Understanding"/>
    <m/>
  </r>
  <r>
    <x v="0"/>
    <x v="518"/>
    <s v="1m/work "/>
    <s v="Reflexive"/>
    <s v="None"/>
    <s v="Indefinite"/>
    <s v="Maintain a perfect memory of a written work."/>
    <n v="328"/>
    <x v="13"/>
    <x v="3"/>
    <x v="2"/>
    <x v="6"/>
    <s v="Discerning Savant's Eye"/>
    <m/>
  </r>
  <r>
    <x v="0"/>
    <x v="519"/>
    <s v="5m (+1wp)"/>
    <s v="Simple"/>
    <s v="Written-only"/>
    <s v="Indefinite"/>
    <m/>
    <s v="MotSE 15"/>
    <x v="13"/>
    <x v="3"/>
    <x v="2"/>
    <x v="6"/>
    <s v="Twisted Words Technique"/>
    <m/>
  </r>
  <r>
    <x v="0"/>
    <x v="520"/>
    <s v="3m "/>
    <s v="Reflexive"/>
    <s v="Mute, Written-only"/>
    <s v="Instant"/>
    <s v="Copy a book in seconds."/>
    <n v="322"/>
    <x v="13"/>
    <x v="4"/>
    <x v="0"/>
    <x v="6"/>
    <m/>
    <m/>
  </r>
  <r>
    <x v="0"/>
    <x v="521"/>
    <s v="1m "/>
    <s v="Supplemental"/>
    <s v="Written-only"/>
    <s v="Instant"/>
    <s v="Forge handwriting; render a perfect copy."/>
    <n v="323"/>
    <x v="13"/>
    <x v="1"/>
    <x v="0"/>
    <x v="6"/>
    <s v="Whirling Brush Method"/>
    <m/>
  </r>
  <r>
    <x v="0"/>
    <x v="522"/>
    <s v="4m "/>
    <s v="Simple"/>
    <s v="Mute, Written-only"/>
    <s v="Instant"/>
    <s v="Hide a message to a specific individual in another written message."/>
    <n v="323"/>
    <x v="13"/>
    <x v="1"/>
    <x v="0"/>
    <x v="6"/>
    <m/>
    <m/>
  </r>
  <r>
    <x v="0"/>
    <x v="523"/>
    <s v="2m "/>
    <s v="Supplemental"/>
    <s v="Mute, Written-only"/>
    <s v="Instant"/>
    <s v="Double 9s on written works."/>
    <n v="323"/>
    <x v="13"/>
    <x v="1"/>
    <x v="0"/>
    <x v="6"/>
    <m/>
    <m/>
  </r>
  <r>
    <x v="0"/>
    <x v="524"/>
    <s v="1m "/>
    <s v="Reflexive"/>
    <s v="None"/>
    <s v="Instant"/>
    <s v="Interpret one statement in a foreign language, or parse “abstruse language.”"/>
    <n v="324"/>
    <x v="13"/>
    <x v="1"/>
    <x v="0"/>
    <x v="6"/>
    <m/>
    <m/>
  </r>
  <r>
    <x v="0"/>
    <x v="525"/>
    <s v="1m "/>
    <s v="Supplemental"/>
    <s v="None"/>
    <s v="Instant"/>
    <s v="Communicate via body language."/>
    <n v="324"/>
    <x v="13"/>
    <x v="2"/>
    <x v="0"/>
    <x v="6"/>
    <s v="Strange Tongue Understanding"/>
    <m/>
  </r>
  <r>
    <x v="0"/>
    <x v="526"/>
    <s v="4m, 1wp "/>
    <s v="Reflexive"/>
    <s v="None"/>
    <s v="Instant"/>
    <s v="Automatically sense the Intimacies behind a written work."/>
    <n v="324"/>
    <x v="13"/>
    <x v="2"/>
    <x v="0"/>
    <x v="6"/>
    <m/>
    <m/>
  </r>
  <r>
    <x v="0"/>
    <x v="527"/>
    <s v="2m "/>
    <s v="Reflexive"/>
    <s v="None"/>
    <s v="Instant"/>
    <s v="After using SRoI, raise Resolve by Linguistics/2."/>
    <n v="324"/>
    <x v="13"/>
    <x v="3"/>
    <x v="0"/>
    <x v="6"/>
    <s v="Sagacious Reading of Intent"/>
    <m/>
  </r>
  <r>
    <x v="0"/>
    <x v="528"/>
    <s v="3m "/>
    <s v="Simple"/>
    <s v="Written-only"/>
    <s v="Instant"/>
    <s v="Write in the style of another person."/>
    <n v="324"/>
    <x v="13"/>
    <x v="2"/>
    <x v="1"/>
    <x v="6"/>
    <s v="Flawless Brush Discipline"/>
    <m/>
  </r>
  <r>
    <x v="0"/>
    <x v="529"/>
    <s v="1m "/>
    <s v="Supplemental"/>
    <s v="Mute, Psyche, Written-only"/>
    <s v="Instant"/>
    <s v="Compel the reader to announce the contents of the message."/>
    <n v="325"/>
    <x v="13"/>
    <x v="2"/>
    <x v="1"/>
    <x v="6"/>
    <s v="Letter-Within-A-Letter Technique"/>
    <m/>
  </r>
  <r>
    <x v="0"/>
    <x v="530"/>
    <s v="4m "/>
    <s v="Simple"/>
    <s v="Mute, Written-only"/>
    <s v="Instant"/>
    <s v="Write an anonymous letter, which readers will assume was written by a specific person."/>
    <n v="325"/>
    <x v="13"/>
    <x v="3"/>
    <x v="1"/>
    <x v="6"/>
    <s v="Stolen Voice Technique"/>
    <m/>
  </r>
  <r>
    <x v="0"/>
    <x v="531"/>
    <s v="2m, 1wp "/>
    <s v="Supplemental"/>
    <s v="Mute, Psyche, Written-only"/>
    <s v="Instant"/>
    <s v="Prevent the reader from repeating the contents of the letter."/>
    <n v="325"/>
    <x v="13"/>
    <x v="3"/>
    <x v="1"/>
    <x v="6"/>
    <s v="Essence-Laden Missive"/>
    <m/>
  </r>
  <r>
    <x v="0"/>
    <x v="532"/>
    <s v="1m "/>
    <s v="Reflexive"/>
    <s v="None"/>
    <s v="Instant"/>
    <s v="The character's Guile cannot be pierced while she's reading."/>
    <n v="326"/>
    <x v="13"/>
    <x v="3"/>
    <x v="1"/>
    <x v="6"/>
    <s v="Word-Shield Invocation"/>
    <m/>
  </r>
  <r>
    <x v="0"/>
    <x v="533"/>
    <s v="3m"/>
    <s v="Supplemental"/>
    <s v="Mute, Written-only"/>
    <s v="Instant"/>
    <s v="Double 8s on written works."/>
    <n v="323"/>
    <x v="13"/>
    <x v="3"/>
    <x v="2"/>
    <x v="6"/>
    <s v="Flowing Elegant Hand"/>
    <m/>
  </r>
  <r>
    <x v="0"/>
    <x v="534"/>
    <s v="-(1m, 1wp) "/>
    <s v="Permanent"/>
    <s v="Written-only"/>
    <s v="Instant"/>
    <s v="Copy any magic embedded in a document."/>
    <n v="326"/>
    <x v="13"/>
    <x v="3"/>
    <x v="2"/>
    <x v="6"/>
    <s v="Stolen Voice Technique"/>
    <m/>
  </r>
  <r>
    <x v="0"/>
    <x v="535"/>
    <s v="1m "/>
    <s v="Simple"/>
    <s v="Written-only"/>
    <s v="Instant"/>
    <s v="Kill someone who has no sensible Intimacies."/>
    <n v="327"/>
    <x v="13"/>
    <x v="3"/>
    <x v="2"/>
    <x v="6"/>
    <s v="Mind-Swallowing Missive, Voice-Caging Calligraphy"/>
    <m/>
  </r>
  <r>
    <x v="0"/>
    <x v="536"/>
    <s v="1m, 1wp "/>
    <s v="Simple"/>
    <s v="Psyche"/>
    <s v="Instant"/>
    <s v="Convince someone of the truth of an assertion – but then have them do the opposite of that."/>
    <n v="327"/>
    <x v="13"/>
    <x v="3"/>
    <x v="2"/>
    <x v="6"/>
    <s v="Flowing Elegant Hand, Letter-Within-A-Letter Technique, Subtle Speech Method"/>
    <m/>
  </r>
  <r>
    <x v="0"/>
    <x v="537"/>
    <s v="5m, 1wp "/>
    <s v="Simple"/>
    <s v="Mute"/>
    <s v="Instant"/>
    <s v="Write a book in your miiiiiiiiiiind."/>
    <n v="329"/>
    <x v="13"/>
    <x v="3"/>
    <x v="2"/>
    <x v="6"/>
    <s v="Perfect Recollection Discipline"/>
    <m/>
  </r>
  <r>
    <x v="0"/>
    <x v="538"/>
    <s v="8m, 1wp "/>
    <s v="Supplemental"/>
    <s v="Mute"/>
    <s v="Instant"/>
    <s v="Reduce time required to compose a work, though not the time to write it."/>
    <n v="329"/>
    <x v="13"/>
    <x v="3"/>
    <x v="2"/>
    <x v="6"/>
    <s v="Mind-Scribing Method"/>
    <m/>
  </r>
  <r>
    <x v="0"/>
    <x v="539"/>
    <s v="8m, 1wp"/>
    <s v="Simple"/>
    <s v="None"/>
    <s v="Instant"/>
    <m/>
    <s v="MotSE 15"/>
    <x v="13"/>
    <x v="3"/>
    <x v="2"/>
    <x v="6"/>
    <s v="Stolen Voice Technique"/>
    <m/>
  </r>
  <r>
    <x v="0"/>
    <x v="540"/>
    <s v="12m, 1wp"/>
    <s v="Supplemental"/>
    <s v="Mute"/>
    <s v="Instant"/>
    <s v="Reduce time required by two units to compose, but not write."/>
    <n v="329"/>
    <x v="13"/>
    <x v="3"/>
    <x v="3"/>
    <x v="6"/>
    <s v="Heaven-Drawing Discipline"/>
    <m/>
  </r>
  <r>
    <x v="0"/>
    <x v="541"/>
    <s v="6m, 1wp "/>
    <s v="Simple"/>
    <s v="Psyche"/>
    <s v="Instant"/>
    <s v="Hold people spellbound as long as you speak (or as long as they read what you have written)."/>
    <n v="329"/>
    <x v="13"/>
    <x v="3"/>
    <x v="3"/>
    <x v="6"/>
    <s v="Twisted Words Technique"/>
    <m/>
  </r>
  <r>
    <x v="0"/>
    <x v="542"/>
    <s v="4m"/>
    <s v="Supplemental"/>
    <s v="Mute, Written-only"/>
    <s v="Instant"/>
    <s v="Double 7s on written works."/>
    <n v="323"/>
    <x v="13"/>
    <x v="3"/>
    <x v="4"/>
    <x v="6"/>
    <s v="Flowing Elegant Hand x2"/>
    <m/>
  </r>
  <r>
    <x v="0"/>
    <x v="543"/>
    <s v="15m, 1wp"/>
    <s v="Supplemental"/>
    <s v="Mute"/>
    <s v="Instant"/>
    <s v="Reduce time required by three units to compose, but not write."/>
    <n v="329"/>
    <x v="13"/>
    <x v="3"/>
    <x v="4"/>
    <x v="6"/>
    <s v="Heaven-Drawing Discipline x2"/>
    <m/>
  </r>
  <r>
    <x v="0"/>
    <x v="544"/>
    <s v="3m "/>
    <s v="Simple"/>
    <s v="Mute"/>
    <s v="One idea conveyed"/>
    <s v="As LWALT, but spoken instead of written."/>
    <n v="323"/>
    <x v="13"/>
    <x v="1"/>
    <x v="0"/>
    <x v="6"/>
    <m/>
    <m/>
  </r>
  <r>
    <x v="0"/>
    <x v="545"/>
    <s v="5m "/>
    <s v="Reflexive"/>
    <s v="None"/>
    <s v="Indefinite"/>
    <s v="+1 Appearance. Seduce without appealing to an Intimacy. Roll influence once; apply as different influence to all present."/>
    <n v="368"/>
    <x v="14"/>
    <x v="1"/>
    <x v="0"/>
    <x v="7"/>
    <s v="Masterful Performance Exercise"/>
    <m/>
  </r>
  <r>
    <x v="0"/>
    <x v="546"/>
    <s v="2m "/>
    <s v="Supplemental"/>
    <s v="Mute"/>
    <s v="Instant"/>
    <s v="Bonus success + recurring 1s."/>
    <n v="361"/>
    <x v="14"/>
    <x v="1"/>
    <x v="0"/>
    <x v="7"/>
    <m/>
    <m/>
  </r>
  <r>
    <x v="0"/>
    <x v="547"/>
    <s v="1m "/>
    <s v="Supplemental"/>
    <s v="None"/>
    <s v="Instant"/>
    <s v="Double-9s, on oratory."/>
    <n v="364"/>
    <x v="14"/>
    <x v="1"/>
    <x v="0"/>
    <x v="7"/>
    <s v="Masterful Performance Exercise"/>
    <m/>
  </r>
  <r>
    <x v="0"/>
    <x v="548"/>
    <s v="1m "/>
    <s v="Supplemental"/>
    <s v="None"/>
    <s v="Instant"/>
    <s v="Double-9s, on music. Hang on, that seems familiar…"/>
    <n v="365"/>
    <x v="14"/>
    <x v="1"/>
    <x v="0"/>
    <x v="7"/>
    <s v="Masterful Performance Exercise"/>
    <m/>
  </r>
  <r>
    <x v="0"/>
    <x v="549"/>
    <s v="1m"/>
    <s v="Supplemental"/>
    <s v="None"/>
    <s v="Instant"/>
    <s v="Gain double-9s while dancing."/>
    <n v="366"/>
    <x v="14"/>
    <x v="1"/>
    <x v="0"/>
    <x v="7"/>
    <s v="Masterful Performance Exercise"/>
    <m/>
  </r>
  <r>
    <x v="0"/>
    <x v="550"/>
    <s v="1m "/>
    <s v="Supplemental"/>
    <s v="Mute"/>
    <s v="Instant"/>
    <s v="Mimic a voice perfectly. For ten seconds, after an hour of warming up."/>
    <n v="368"/>
    <x v="14"/>
    <x v="1"/>
    <x v="0"/>
    <x v="7"/>
    <s v="Masterful Performance Exercise"/>
    <m/>
  </r>
  <r>
    <x v="0"/>
    <x v="551"/>
    <s v="1m"/>
    <s v="Reflexive"/>
    <s v="None"/>
    <s v="Instant"/>
    <s v="Add (Performance/2) to your Defense."/>
    <n v="367"/>
    <x v="14"/>
    <x v="2"/>
    <x v="0"/>
    <x v="7"/>
    <s v="Graceful Reed Dancing"/>
    <m/>
  </r>
  <r>
    <x v="0"/>
    <x v="552"/>
    <s v="2m, 1wp"/>
    <s v="Simple"/>
    <s v="None"/>
    <s v="Instant"/>
    <s v="Your dance inspires people to talk about their Ties."/>
    <n v="367"/>
    <x v="14"/>
    <x v="2"/>
    <x v="0"/>
    <x v="7"/>
    <s v="Graceful Reed Dancing"/>
    <m/>
  </r>
  <r>
    <x v="0"/>
    <x v="553"/>
    <s v="2m "/>
    <s v="Supplemental"/>
    <s v="Mute"/>
    <s v="Instant"/>
    <s v="Ventriloquism."/>
    <n v="368"/>
    <x v="14"/>
    <x v="2"/>
    <x v="0"/>
    <x v="7"/>
    <s v="Masterful Performance Exercise"/>
    <m/>
  </r>
  <r>
    <x v="0"/>
    <x v="554"/>
    <s v="1m "/>
    <s v="Supplemental"/>
    <s v="None"/>
    <s v="Instant"/>
    <s v="Mimic an animal."/>
    <n v="368"/>
    <x v="14"/>
    <x v="2"/>
    <x v="0"/>
    <x v="7"/>
    <s v="Masterful Performance Exercise"/>
    <m/>
  </r>
  <r>
    <x v="0"/>
    <x v="555"/>
    <s v="3m, 1wp "/>
    <s v="Simple"/>
    <s v="Mute"/>
    <s v="Instant"/>
    <s v="Defining Tie of Lust. (Essence) auto-successes. “World-shaking climax.” … Stay classy, Exalted."/>
    <n v="368"/>
    <x v="14"/>
    <x v="2"/>
    <x v="0"/>
    <x v="7"/>
    <s v="Thousand Courtesan Ways"/>
    <m/>
  </r>
  <r>
    <x v="0"/>
    <x v="556"/>
    <s v="1m, 1wp "/>
    <s v="Simple"/>
    <s v="None"/>
    <s v="Instant"/>
    <s v="Inflict emotion on a group; all those affected reconsider a past decision in that emotional context."/>
    <n v="361"/>
    <x v="14"/>
    <x v="3"/>
    <x v="0"/>
    <x v="7"/>
    <s v="Masterful Performance Exercise"/>
    <m/>
  </r>
  <r>
    <x v="0"/>
    <x v="557"/>
    <s v="5m, 1wp "/>
    <s v="Simple"/>
    <s v="None"/>
    <s v="Instant"/>
    <s v="Incite a mob to action."/>
    <n v="364"/>
    <x v="14"/>
    <x v="2"/>
    <x v="1"/>
    <x v="7"/>
    <s v="Impassioned Orator Technique"/>
    <m/>
  </r>
  <r>
    <x v="0"/>
    <x v="558"/>
    <s v="5m, 1wp "/>
    <s v="Simple"/>
    <s v="Mute"/>
    <s v="Instant"/>
    <s v="Appeal to an emotionally-charged Intimacy, creating Storyteller-defined action."/>
    <n v="366"/>
    <x v="14"/>
    <x v="2"/>
    <x v="1"/>
    <x v="7"/>
    <s v="Perfect Harmony Technique"/>
    <m/>
  </r>
  <r>
    <x v="0"/>
    <x v="559"/>
    <s v="1m or 2m"/>
    <s v="Reflexive"/>
    <s v="None"/>
    <s v="Instant"/>
    <m/>
    <s v="MotSE 23"/>
    <x v="14"/>
    <x v="2"/>
    <x v="1"/>
    <x v="7"/>
    <s v="Mood-Inducing Music"/>
    <m/>
  </r>
  <r>
    <x v="0"/>
    <x v="560"/>
    <s v="1m"/>
    <s v="Supplemental"/>
    <s v="Mute"/>
    <s v="Instant"/>
    <m/>
    <s v="MotSE 24"/>
    <x v="14"/>
    <x v="2"/>
    <x v="1"/>
    <x v="7"/>
    <s v="Master Thespian Style"/>
    <m/>
  </r>
  <r>
    <x v="0"/>
    <x v="561"/>
    <s v="1m, 1wp "/>
    <s v="Supplemental"/>
    <s v="None"/>
    <s v="Instant"/>
    <s v="On inspiring a crowd, grant bonus dice to those affected."/>
    <n v="364"/>
    <x v="14"/>
    <x v="3"/>
    <x v="1"/>
    <x v="7"/>
    <s v="Fury Inciting Speech"/>
    <m/>
  </r>
  <r>
    <x v="0"/>
    <x v="562"/>
    <s v="3m, 1wp "/>
    <s v="Reflexive"/>
    <s v="None"/>
    <s v="Instant"/>
    <s v="Grant bonus dice to a social influence."/>
    <n v="366"/>
    <x v="14"/>
    <x v="3"/>
    <x v="1"/>
    <x v="7"/>
    <s v="Mood-Inducing Music"/>
    <m/>
  </r>
  <r>
    <x v="0"/>
    <x v="563"/>
    <s v="4m "/>
    <s v="Simple"/>
    <s v="Mute"/>
    <s v="Instant"/>
    <s v="Reduce target's Resolve or Guile by 2 vs. your next social influence."/>
    <n v="367"/>
    <x v="14"/>
    <x v="3"/>
    <x v="1"/>
    <x v="7"/>
    <s v="Shining Expression Style"/>
    <m/>
  </r>
  <r>
    <x v="0"/>
    <x v="564"/>
    <s v="Varies "/>
    <s v="Reflexive"/>
    <s v="None"/>
    <s v="Instant"/>
    <s v="Spend ~25% of your Willpower to make an influence roll more successful and harder to resist."/>
    <n v="362"/>
    <x v="14"/>
    <x v="3"/>
    <x v="2"/>
    <x v="7"/>
    <s v="Penultimate Unity of Form"/>
    <m/>
  </r>
  <r>
    <x v="0"/>
    <x v="565"/>
    <s v="10m, 1wp "/>
    <s v="Simple"/>
    <s v="Psyche"/>
    <s v="Instant"/>
    <s v="A group accepts a false memory. Announcing “Lelouch vi Britannia commands you!” optional."/>
    <n v="363"/>
    <x v="14"/>
    <x v="3"/>
    <x v="2"/>
    <x v="7"/>
    <m/>
    <m/>
  </r>
  <r>
    <x v="0"/>
    <x v="566"/>
    <s v="10m, 1wp "/>
    <s v="Simple"/>
    <s v="None"/>
    <s v="Instant"/>
    <s v="Vaporize creatures of darkness to long range with an extremely potent Decisive."/>
    <n v="363"/>
    <x v="14"/>
    <x v="3"/>
    <x v="2"/>
    <x v="7"/>
    <m/>
    <m/>
  </r>
  <r>
    <x v="0"/>
    <x v="567"/>
    <s v="1m, 1wp "/>
    <s v="Reflexive"/>
    <s v="None"/>
    <s v="Instant"/>
    <s v="Convince another character to attempt social influence now, forgoing all other purposes."/>
    <n v="364"/>
    <x v="14"/>
    <x v="3"/>
    <x v="2"/>
    <x v="7"/>
    <s v="Dogmatic Contagion Discipline"/>
    <m/>
  </r>
  <r>
    <x v="0"/>
    <x v="568"/>
    <s v="3m, 1wp "/>
    <s v="Simple"/>
    <s v="Mute"/>
    <s v="Instant"/>
    <s v="Inspire characters to lust after or admire you."/>
    <n v="367"/>
    <x v="14"/>
    <x v="3"/>
    <x v="2"/>
    <x v="7"/>
    <s v="Thousand Courtesan Ways, Winding Sinuous Motion"/>
    <m/>
  </r>
  <r>
    <x v="0"/>
    <x v="569"/>
    <s v="5m, 1wp"/>
    <s v="Reflexive"/>
    <s v="Mute"/>
    <s v="Instant"/>
    <m/>
    <s v="MotSE 23"/>
    <x v="14"/>
    <x v="3"/>
    <x v="2"/>
    <x v="7"/>
    <s v="Heart-Compelling Method, Plectral Harbinger's Approach"/>
    <m/>
  </r>
  <r>
    <x v="0"/>
    <x v="570"/>
    <s v="5m"/>
    <s v="Reflexive"/>
    <s v="None"/>
    <s v="Instant"/>
    <m/>
    <s v="MotSE 24"/>
    <x v="14"/>
    <x v="3"/>
    <x v="2"/>
    <x v="7"/>
    <s v="Drama-Fueling Ardor"/>
    <m/>
  </r>
  <r>
    <x v="0"/>
    <x v="571"/>
    <s v="5m, 1wp"/>
    <s v="Reflexive"/>
    <s v="Psyche"/>
    <s v="Instant"/>
    <s v="May only target a single character."/>
    <n v="363"/>
    <x v="14"/>
    <x v="3"/>
    <x v="3"/>
    <x v="7"/>
    <s v="Memory-Reweaving Discipline"/>
    <m/>
  </r>
  <r>
    <x v="0"/>
    <x v="572"/>
    <s v="1wp, 1lhl"/>
    <s v="Reflexive"/>
    <s v="None"/>
    <s v="Instant"/>
    <s v="Reset USS and SV."/>
    <n v="362"/>
    <x v="14"/>
    <x v="3"/>
    <x v="4"/>
    <x v="7"/>
    <s v="Soul Voice"/>
    <m/>
  </r>
  <r>
    <x v="0"/>
    <x v="573"/>
    <s v="5m "/>
    <s v="Supplemental"/>
    <s v="None"/>
    <s v="One Performance action"/>
    <s v="People must pay WP to leave or interrupt your performance."/>
    <n v="362"/>
    <x v="14"/>
    <x v="0"/>
    <x v="0"/>
    <x v="7"/>
    <m/>
    <m/>
  </r>
  <r>
    <x v="0"/>
    <x v="574"/>
    <s v="2m, 1wp "/>
    <s v="Reflexive"/>
    <s v="None"/>
    <s v="One Performance action"/>
    <s v="Non-supplemental Performance Charms can be used with other performance types."/>
    <n v="362"/>
    <x v="14"/>
    <x v="3"/>
    <x v="2"/>
    <x v="7"/>
    <s v="Trance of Fugue Vision"/>
    <m/>
  </r>
  <r>
    <x v="0"/>
    <x v="575"/>
    <s v="1wp "/>
    <s v="Reflexive"/>
    <s v="None"/>
    <s v="One Performance action"/>
    <s v="1/day, for the next performance, your Performance Charms cost no motes."/>
    <n v="362"/>
    <x v="14"/>
    <x v="3"/>
    <x v="4"/>
    <x v="7"/>
    <s v="Unmatched Showmanship Style"/>
    <m/>
  </r>
  <r>
    <x v="0"/>
    <x v="576"/>
    <s v="1m "/>
    <s v="Simple"/>
    <s v="None"/>
    <s v="One song"/>
    <s v="Grant or remove dice to attempts to create social influence, depending on whether it fits with the mood of your music."/>
    <n v="365"/>
    <x v="14"/>
    <x v="2"/>
    <x v="0"/>
    <x v="7"/>
    <s v="Perfect Harmony Technique"/>
    <m/>
  </r>
  <r>
    <x v="0"/>
    <x v="577"/>
    <s v="1m "/>
    <s v="Simple"/>
    <s v="None"/>
    <s v="One song"/>
    <s v="Grant bonus dice to battle groups."/>
    <n v="365"/>
    <x v="14"/>
    <x v="3"/>
    <x v="1"/>
    <x v="7"/>
    <s v="Mood-Inducing Music"/>
    <m/>
  </r>
  <r>
    <x v="0"/>
    <x v="578"/>
    <s v="1m "/>
    <s v="Simple"/>
    <s v="None"/>
    <s v="One song"/>
    <s v="Allies regenerate extra motes while listening to your music."/>
    <n v="366"/>
    <x v="14"/>
    <x v="3"/>
    <x v="1"/>
    <x v="7"/>
    <s v="Heart-Compelling Method"/>
    <m/>
  </r>
  <r>
    <x v="0"/>
    <x v="579"/>
    <s v="6m, 1wp "/>
    <s v="Simple"/>
    <s v="None"/>
    <s v="One song"/>
    <s v="Either the Solar and an ally are immune to fear, or a larger group (or battle group) gain courage bonuses."/>
    <n v="366"/>
    <x v="14"/>
    <x v="3"/>
    <x v="2"/>
    <x v="7"/>
    <s v="Battle Anthem (of the Solar Exalted)"/>
    <m/>
  </r>
  <r>
    <x v="0"/>
    <x v="580"/>
    <s v="-"/>
    <s v="Permanent"/>
    <s v="None"/>
    <s v="Permanent"/>
    <s v="Recover motes when you influence a group."/>
    <n v="361"/>
    <x v="14"/>
    <x v="2"/>
    <x v="1"/>
    <x v="7"/>
    <s v="Masterful Performance Exercise"/>
    <m/>
  </r>
  <r>
    <x v="0"/>
    <x v="581"/>
    <s v="-(1m) "/>
    <s v="Permanent"/>
    <s v="None"/>
    <s v="Permanent"/>
    <s v="Create illustrative illusions."/>
    <n v="363"/>
    <x v="14"/>
    <x v="2"/>
    <x v="1"/>
    <x v="7"/>
    <s v="Masterful Performance Exercise, Respect-Commanding Attitude"/>
    <m/>
  </r>
  <r>
    <x v="0"/>
    <x v="582"/>
    <s v="-"/>
    <s v="Permanent"/>
    <s v="Mute"/>
    <s v="Permanent"/>
    <s v="1/scene, free full muted Excellency."/>
    <n v="362"/>
    <x v="14"/>
    <x v="3"/>
    <x v="3"/>
    <x v="7"/>
    <s v="Trance of Fugue Vision"/>
    <m/>
  </r>
  <r>
    <x v="0"/>
    <x v="583"/>
    <s v="3m "/>
    <s v="Reflexive"/>
    <s v="None"/>
    <s v="Scene"/>
    <s v="Mimic a voice perfectly for a scene."/>
    <n v="368"/>
    <x v="14"/>
    <x v="3"/>
    <x v="0"/>
    <x v="7"/>
    <s v="Cunning Mimicry Technique"/>
    <m/>
  </r>
  <r>
    <x v="0"/>
    <x v="584"/>
    <s v="1m "/>
    <s v="Simple"/>
    <s v="None"/>
    <s v="Scene"/>
    <s v="Gain +1 Guile as long as you stay in character. Characters who fail to pierce your Guile read Intimacies for the character you're playing."/>
    <n v="367"/>
    <x v="14"/>
    <x v="2"/>
    <x v="1"/>
    <x v="7"/>
    <s v="Masterful Performance Exercise"/>
    <m/>
  </r>
  <r>
    <x v="0"/>
    <x v="585"/>
    <s v="5m, 1wp "/>
    <s v="Reflexive"/>
    <s v="None"/>
    <s v="Scene"/>
    <s v="Gain motes for rolling 10s or attempting performance, but only with scenelong Charms up."/>
    <n v="362"/>
    <x v="14"/>
    <x v="3"/>
    <x v="2"/>
    <x v="7"/>
    <s v="Stillness-Drawing Meditation"/>
    <m/>
  </r>
  <r>
    <x v="0"/>
    <x v="586"/>
    <s v="5m, 1wp (6m, 1wp)"/>
    <s v="Simple"/>
    <s v="None"/>
    <s v="Scene"/>
    <m/>
    <s v="MotSE 24"/>
    <x v="14"/>
    <x v="3"/>
    <x v="2"/>
    <x v="7"/>
    <s v="Impassioned Orator Technique"/>
    <m/>
  </r>
  <r>
    <x v="0"/>
    <x v="587"/>
    <s v="1m "/>
    <s v="Reflexive"/>
    <s v="Written-only"/>
    <s v="One minute"/>
    <s v="Edit a document without trace."/>
    <n v="326"/>
    <x v="13"/>
    <x v="3"/>
    <x v="2"/>
    <x v="6"/>
    <s v="Power-Snaring Image"/>
    <m/>
  </r>
  <r>
    <x v="0"/>
    <x v="588"/>
    <s v="1m "/>
    <s v="Reflexive"/>
    <s v="Mute"/>
    <s v="One text"/>
    <s v="Read a book at superhuman speed."/>
    <n v="328"/>
    <x v="13"/>
    <x v="3"/>
    <x v="2"/>
    <x v="6"/>
    <s v="Perfect Recollection Discipline"/>
    <m/>
  </r>
  <r>
    <x v="0"/>
    <x v="589"/>
    <s v="-"/>
    <s v="Permanent"/>
    <s v="Written-only"/>
    <s v="Permanent"/>
    <s v="Combine Simple Charms on a single work."/>
    <n v="329"/>
    <x v="13"/>
    <x v="3"/>
    <x v="3"/>
    <x v="6"/>
    <s v="Flashing Quill Atemi"/>
    <m/>
  </r>
  <r>
    <x v="0"/>
    <x v="590"/>
    <s v="4m, 1wp, +3m/language "/>
    <s v="Reflexive"/>
    <s v="None"/>
    <s v="Scene"/>
    <s v="Fuse two languages into a new language that speakers of either tongue can understand."/>
    <n v="324"/>
    <x v="13"/>
    <x v="3"/>
    <x v="0"/>
    <x v="6"/>
    <m/>
    <m/>
  </r>
  <r>
    <x v="0"/>
    <x v="591"/>
    <s v="5m, 1wp "/>
    <s v="Reflexive"/>
    <s v="None"/>
    <s v="Scene"/>
    <s v="Speak a language that everyone can understand."/>
    <n v="325"/>
    <x v="13"/>
    <x v="3"/>
    <x v="1"/>
    <x v="6"/>
    <s v="Mingled Tongue Technique"/>
    <m/>
  </r>
  <r>
    <x v="0"/>
    <x v="592"/>
    <s v="1m, 1wp "/>
    <s v="Reflexive"/>
    <s v="None"/>
    <s v="Scene"/>
    <s v="Read faded scripts."/>
    <n v="326"/>
    <x v="13"/>
    <x v="3"/>
    <x v="1"/>
    <x v="6"/>
    <s v="Sagacious Reading of Intent"/>
    <m/>
  </r>
  <r>
    <x v="0"/>
    <x v="593"/>
    <s v="3m/Charm "/>
    <s v="Reflexive"/>
    <s v="Stackable"/>
    <s v="Indefinite"/>
    <s v="Commit motes to learn spirit Charms."/>
    <n v="359"/>
    <x v="15"/>
    <x v="3"/>
    <x v="2"/>
    <x v="6"/>
    <s v="Dark-Minder's Observances"/>
    <m/>
  </r>
  <r>
    <x v="0"/>
    <x v="594"/>
    <s v="-"/>
    <s v="Reflexive"/>
    <s v="None"/>
    <s v="Instant"/>
    <s v="A mental alarm goes off when there's a spirit nearby."/>
    <n v="354"/>
    <x v="15"/>
    <x v="0"/>
    <x v="0"/>
    <x v="6"/>
    <s v="Spirit-Detecting Glance"/>
    <m/>
  </r>
  <r>
    <x v="0"/>
    <x v="595"/>
    <s v="1m "/>
    <s v="Supplemental"/>
    <s v="Uniform"/>
    <s v="Instant"/>
    <s v="Strike a spirit."/>
    <n v="354"/>
    <x v="15"/>
    <x v="0"/>
    <x v="0"/>
    <x v="6"/>
    <s v="Spirit-Detecting Glance"/>
    <m/>
  </r>
  <r>
    <x v="0"/>
    <x v="596"/>
    <s v="1m "/>
    <s v="Simple"/>
    <s v="None"/>
    <s v="Instant"/>
    <s v="Allow a spirit ally to materialize for 1m."/>
    <n v="355"/>
    <x v="15"/>
    <x v="0"/>
    <x v="0"/>
    <x v="6"/>
    <m/>
    <m/>
  </r>
  <r>
    <x v="0"/>
    <x v="597"/>
    <s v="3m "/>
    <s v="Supplemental"/>
    <s v="Decisive-only"/>
    <s v="Instant"/>
    <s v="Do aggravated damage to spirits, and steal motes from them. Permanently destroy spirits and, uh, imordials-Pray. (Shhh, don't mention them by name!)"/>
    <n v="354"/>
    <x v="15"/>
    <x v="1"/>
    <x v="0"/>
    <x v="6"/>
    <s v="Spirit-Cutting Attack"/>
    <m/>
  </r>
  <r>
    <x v="0"/>
    <x v="598"/>
    <s v="6m "/>
    <s v="Reflexive"/>
    <s v="None"/>
    <s v="Instant"/>
    <s v="An attack that would kill you doesn't. You need to heal before using this again, though."/>
    <n v="355"/>
    <x v="15"/>
    <x v="1"/>
    <x v="0"/>
    <x v="6"/>
    <s v="Spirit-Cutting Attack"/>
    <m/>
  </r>
  <r>
    <x v="0"/>
    <x v="599"/>
    <s v="1m, 1wp "/>
    <s v="Reflexive"/>
    <s v="Uniform"/>
    <s v="Instant"/>
    <s v="An immaterial enemy becomes material when you strike him."/>
    <n v="355"/>
    <x v="15"/>
    <x v="2"/>
    <x v="0"/>
    <x v="6"/>
    <s v="Ghost-Eating Technique"/>
    <m/>
  </r>
  <r>
    <x v="0"/>
    <x v="600"/>
    <s v="-"/>
    <s v="Reflexive"/>
    <s v="None"/>
    <s v="Instant"/>
    <s v="Free full Occult Excellency."/>
    <n v="356"/>
    <x v="15"/>
    <x v="3"/>
    <x v="0"/>
    <x v="6"/>
    <s v="Ancient Tongue Understanding"/>
    <m/>
  </r>
  <r>
    <x v="0"/>
    <x v="601"/>
    <s v="4i "/>
    <s v="Supplemental"/>
    <s v="Decisive-only"/>
    <s v="Instant"/>
    <s v="Steal motes equal to damage done to a spirit."/>
    <n v="356"/>
    <x v="15"/>
    <x v="2"/>
    <x v="1"/>
    <x v="6"/>
    <s v="Spirit-Draining Stance"/>
    <m/>
  </r>
  <r>
    <x v="0"/>
    <x v="602"/>
    <s v="3m, 1wp "/>
    <s v="Simple"/>
    <s v="None"/>
    <s v="Instant"/>
    <s v="Materialize several spirit allies."/>
    <n v="357"/>
    <x v="15"/>
    <x v="2"/>
    <x v="1"/>
    <x v="6"/>
    <s v="Spirit-Manifesting Word"/>
    <m/>
  </r>
  <r>
    <x v="0"/>
    <x v="603"/>
    <s v="-"/>
    <s v="Permanent"/>
    <s v="None"/>
    <s v="Instant"/>
    <s v="Learn several thaumaturgical rituals. Er, what's a thaumaturgical ritual?"/>
    <n v="357"/>
    <x v="15"/>
    <x v="2"/>
    <x v="1"/>
    <x v="6"/>
    <s v="Ancient Tongue Understanding"/>
    <m/>
  </r>
  <r>
    <x v="0"/>
    <x v="604"/>
    <s v="4m "/>
    <s v="Reflexive"/>
    <s v="None"/>
    <s v="Instant"/>
    <s v="Detect shaping actions, sorcery, Evocations, and spirit sanctums for one instant."/>
    <n v="356"/>
    <x v="15"/>
    <x v="3"/>
    <x v="1"/>
    <x v="6"/>
    <s v="Spirit-Detecting Glance"/>
    <m/>
  </r>
  <r>
    <x v="0"/>
    <x v="605"/>
    <s v="5m, 1wp "/>
    <s v="Reflexive"/>
    <s v="None"/>
    <s v="Instant"/>
    <s v="Temporarily absorb the powers of a spirit killed via GET."/>
    <n v="356"/>
    <x v="15"/>
    <x v="3"/>
    <x v="1"/>
    <x v="6"/>
    <s v="Ghost-Eating Technique"/>
    <m/>
  </r>
  <r>
    <x v="0"/>
    <x v="606"/>
    <s v="3m, 1wp "/>
    <s v="Simple"/>
    <s v="None"/>
    <s v="Instant"/>
    <s v="Force a spirit or spiritual disease(?) from its host."/>
    <n v="356"/>
    <x v="15"/>
    <x v="3"/>
    <x v="1"/>
    <x v="6"/>
    <s v="Carnal Spirit Rending"/>
    <m/>
  </r>
  <r>
    <x v="0"/>
    <x v="607"/>
    <s v="6m "/>
    <s v="Simple"/>
    <s v="None"/>
    <s v="Instant"/>
    <s v="Spiritually enter another's body to do battle with possessing forces (or to inflict possessing forces on the target)."/>
    <n v="358"/>
    <x v="15"/>
    <x v="3"/>
    <x v="2"/>
    <x v="6"/>
    <s v="Burning Exorcism Technique"/>
    <m/>
  </r>
  <r>
    <x v="0"/>
    <x v="608"/>
    <s v="16m, 1wp "/>
    <s v="Simple"/>
    <s v="None"/>
    <s v="Instant"/>
    <s v="Spirits to an enormous distance are forced to materialize and remain material."/>
    <n v="358"/>
    <x v="15"/>
    <x v="3"/>
    <x v="2"/>
    <x v="6"/>
    <s v="Material Exegesis Prana"/>
    <m/>
  </r>
  <r>
    <x v="0"/>
    <x v="609"/>
    <s v="1m+2m,1a/hl"/>
    <s v="Reflexive"/>
    <s v="None"/>
    <s v="Instant"/>
    <m/>
    <s v="MotSE 22"/>
    <x v="15"/>
    <x v="3"/>
    <x v="2"/>
    <x v="6"/>
    <s v="Material Exegesis Prana"/>
    <m/>
  </r>
  <r>
    <x v="0"/>
    <x v="610"/>
    <s v="7m, 1wp "/>
    <s v="Reflexive"/>
    <s v="None"/>
    <s v="Instant"/>
    <s v="Reduce Essence of a target trapped via SCM."/>
    <n v="359"/>
    <x v="15"/>
    <x v="3"/>
    <x v="3"/>
    <x v="6"/>
    <s v="Spirit-Draining Mudra"/>
    <m/>
  </r>
  <r>
    <x v="0"/>
    <x v="611"/>
    <s v="1wp, 3a"/>
    <s v="Reflexive"/>
    <s v="None"/>
    <s v="Instant"/>
    <s v="Spend your anima to gather motes to spend on thinky-actions."/>
    <n v="359"/>
    <x v="15"/>
    <x v="3"/>
    <x v="4"/>
    <x v="6"/>
    <s v="Sorcerer's Burning Chakra"/>
    <m/>
  </r>
  <r>
    <x v="0"/>
    <x v="612"/>
    <s v="20m, 1wp "/>
    <s v="Simple"/>
    <s v="Mute"/>
    <s v="Instant"/>
    <s v="Create a spirit."/>
    <n v="360"/>
    <x v="15"/>
    <x v="3"/>
    <x v="4"/>
    <x v="6"/>
    <s v="Carnal Spirit Rending, Gloaming Eye Understanding, Wyld-Binding Prana"/>
    <m/>
  </r>
  <r>
    <x v="0"/>
    <x v="613"/>
    <s v="-"/>
    <s v="Permanent"/>
    <s v="None"/>
    <s v="Permanent"/>
    <s v="Permanent bonus dice on attempts to investigate or follow spirits."/>
    <n v="354"/>
    <x v="15"/>
    <x v="1"/>
    <x v="0"/>
    <x v="6"/>
    <s v="Uncanny Perception Technique"/>
    <m/>
  </r>
  <r>
    <x v="0"/>
    <x v="614"/>
    <s v="-"/>
    <s v="Permanent"/>
    <s v="None"/>
    <s v="Permanent"/>
    <s v="Terrestrial Circle Sorcery."/>
    <n v="360"/>
    <x v="15"/>
    <x v="1"/>
    <x v="0"/>
    <x v="6"/>
    <m/>
    <m/>
  </r>
  <r>
    <x v="0"/>
    <x v="615"/>
    <s v="-(1wp)"/>
    <s v="Permanent"/>
    <s v="None"/>
    <s v="Permanent"/>
    <m/>
    <s v="MotSE 22"/>
    <x v="15"/>
    <x v="3"/>
    <x v="1"/>
    <x v="6"/>
    <s v="Ancient Tongue Understanding"/>
    <m/>
  </r>
  <r>
    <x v="0"/>
    <x v="616"/>
    <s v="-"/>
    <s v="Permanent"/>
    <s v="None"/>
    <s v="Permanent"/>
    <s v="Celestial Circle Sorcery."/>
    <n v="361"/>
    <x v="15"/>
    <x v="2"/>
    <x v="2"/>
    <x v="6"/>
    <s v="Terrestrial Circle Sorcery"/>
    <m/>
  </r>
  <r>
    <x v="0"/>
    <x v="617"/>
    <s v="4m or 6m "/>
    <s v="Reflexive"/>
    <s v="None"/>
    <s v="Indefinite"/>
    <s v="Once your armor is on, its Mobility penalty is 0."/>
    <n v="376"/>
    <x v="16"/>
    <x v="1"/>
    <x v="0"/>
    <x v="8"/>
    <s v="Whirlwind Armor-Donning Prana"/>
    <m/>
  </r>
  <r>
    <x v="0"/>
    <x v="618"/>
    <s v="10m, 1wp "/>
    <s v="Simple"/>
    <s v="None"/>
    <s v="Indefinite"/>
    <s v="Summon magical glowing sun-armor. (Still not a technique!)"/>
    <n v="378"/>
    <x v="16"/>
    <x v="2"/>
    <x v="2"/>
    <x v="8"/>
    <s v="Hauberk-Summoning Gesture"/>
    <m/>
  </r>
  <r>
    <x v="0"/>
    <x v="619"/>
    <s v="3m"/>
    <s v="Reflexive"/>
    <s v="None"/>
    <s v="Instant"/>
    <m/>
    <s v="MotSE 27"/>
    <x v="16"/>
    <x v="0"/>
    <x v="0"/>
    <x v="8"/>
    <s v="Whirlwind Armor-Donning Prana"/>
    <m/>
  </r>
  <r>
    <x v="0"/>
    <x v="620"/>
    <s v="2m "/>
    <s v="Simple"/>
    <s v="None"/>
    <s v="Instant"/>
    <s v="Put on armor in a handful of turns. Er, how long does it take normally?"/>
    <n v="376"/>
    <x v="16"/>
    <x v="4"/>
    <x v="0"/>
    <x v="8"/>
    <m/>
    <m/>
  </r>
  <r>
    <x v="0"/>
    <x v="621"/>
    <s v="1m/soak or 2m/sux"/>
    <s v="Reflexive"/>
    <s v="Withering-only"/>
    <s v="Instant"/>
    <s v="Post-hit soak booster. Upgrades to remove damage successes."/>
    <n v="374"/>
    <x v="16"/>
    <x v="0"/>
    <x v="0"/>
    <x v="8"/>
    <s v="Durability of Oak Meditation"/>
    <m/>
  </r>
  <r>
    <x v="0"/>
    <x v="622"/>
    <s v="10m "/>
    <s v="Simple"/>
    <s v="Mute"/>
    <s v="Instant"/>
    <s v="Heal fast. (Recommended with lots of OBT.)"/>
    <n v="375"/>
    <x v="16"/>
    <x v="0"/>
    <x v="0"/>
    <x v="8"/>
    <s v="Ox-Body Technique"/>
    <m/>
  </r>
  <r>
    <x v="0"/>
    <x v="623"/>
    <s v="4m "/>
    <s v="Simple"/>
    <s v="Perilous"/>
    <s v="Instant"/>
    <s v="Gain [~.25*your health levels]i."/>
    <n v="376"/>
    <x v="16"/>
    <x v="1"/>
    <x v="0"/>
    <x v="8"/>
    <s v="Ox-Body Technique"/>
    <m/>
  </r>
  <r>
    <x v="0"/>
    <x v="624"/>
    <s v="1i "/>
    <s v="Reflexive"/>
    <s v="Perilous, Withering-only"/>
    <s v="Instant"/>
    <s v="When struck by a Withering attack, pay 1i to recover (damage dice/2)m."/>
    <n v="376"/>
    <x v="16"/>
    <x v="1"/>
    <x v="0"/>
    <x v="8"/>
    <m/>
    <m/>
  </r>
  <r>
    <x v="0"/>
    <x v="625"/>
    <s v="3m "/>
    <s v="Reflexive"/>
    <s v="None"/>
    <s v="Instant"/>
    <s v="Store your armor in Elsewhere."/>
    <n v="377"/>
    <x v="16"/>
    <x v="1"/>
    <x v="1"/>
    <x v="8"/>
    <s v="Whirlwind Armor-Donning Prana"/>
    <m/>
  </r>
  <r>
    <x v="0"/>
    <x v="626"/>
    <s v="2i "/>
    <s v="Reflexive"/>
    <s v="Perilous, Decisive-only"/>
    <s v="Instant"/>
    <s v="1/fight, when struck by a Decisive, pay 2i to gain 1wp."/>
    <n v="377"/>
    <x v="16"/>
    <x v="2"/>
    <x v="1"/>
    <x v="8"/>
    <s v="Essence-Gathering Temper"/>
    <m/>
  </r>
  <r>
    <x v="0"/>
    <x v="627"/>
    <s v="8m "/>
    <s v="Reflexive"/>
    <s v="Decisive-only"/>
    <s v="Instant"/>
    <s v="Apply soak to a Decisive attack(!). Perfect soak vs. uncountable damage."/>
    <n v="377"/>
    <x v="16"/>
    <x v="3"/>
    <x v="1"/>
    <x v="8"/>
    <s v="Diamond-Body Prana, Iron Kettle Body"/>
    <m/>
  </r>
  <r>
    <x v="0"/>
    <x v="628"/>
    <s v="3m "/>
    <s v="Reflexive"/>
    <s v="None"/>
    <s v="Instant"/>
    <s v="Reduce the penalty and duration of a crippling attack. (What's a crippling attack?)"/>
    <n v="378"/>
    <x v="16"/>
    <x v="3"/>
    <x v="2"/>
    <x v="8"/>
    <s v="Wound-Knitting Exercise"/>
    <m/>
  </r>
  <r>
    <x v="0"/>
    <x v="629"/>
    <s v="4m "/>
    <s v="Reflexive"/>
    <s v="Decisive-only"/>
    <s v="Instant"/>
    <s v="1/scene, force attacker to reroll successful damage dice."/>
    <n v="378"/>
    <x v="16"/>
    <x v="3"/>
    <x v="2"/>
    <x v="8"/>
    <s v="Adamant Skin Technique"/>
    <m/>
  </r>
  <r>
    <x v="0"/>
    <x v="630"/>
    <s v="3m, 1wp "/>
    <s v="Reflexive"/>
    <s v="Decisive-only"/>
    <s v="Instant"/>
    <s v="When struck by a Decisive attack, gain (half the non-successful damage dice)i."/>
    <n v="379"/>
    <x v="16"/>
    <x v="3"/>
    <x v="2"/>
    <x v="8"/>
    <s v="Willpower-Enhancing Spirit"/>
    <m/>
  </r>
  <r>
    <x v="0"/>
    <x v="631"/>
    <s v="2m or 6m "/>
    <s v="Reflexive"/>
    <s v="Dual"/>
    <s v="Instant or Indefinite"/>
    <s v="Soak unsoakable withering damage; against a Decisive attack, create extra health levels."/>
    <n v="374"/>
    <x v="16"/>
    <x v="1"/>
    <x v="0"/>
    <x v="8"/>
    <s v="Spirit Strengthens the Skin"/>
    <m/>
  </r>
  <r>
    <x v="0"/>
    <x v="632"/>
    <s v="4m "/>
    <s v="Reflexive"/>
    <s v="None"/>
    <s v="One day"/>
    <s v="Bonus successes vs. illness."/>
    <n v="377"/>
    <x v="16"/>
    <x v="2"/>
    <x v="1"/>
    <x v="8"/>
    <s v="Poison-Resisting Meditation"/>
    <m/>
  </r>
  <r>
    <x v="0"/>
    <x v="633"/>
    <s v="6m, 1wp "/>
    <s v="Reflexive"/>
    <s v="None"/>
    <s v="One day"/>
    <s v="Gain immunity to any poison or disease you've encountered before, and resistance to the rest."/>
    <n v="379"/>
    <x v="16"/>
    <x v="3"/>
    <x v="2"/>
    <x v="8"/>
    <s v="Illness-Resisting Meditation"/>
    <m/>
  </r>
  <r>
    <x v="0"/>
    <x v="634"/>
    <s v="3m "/>
    <s v="Reflexive"/>
    <s v="Dual"/>
    <s v="One Tick"/>
    <s v="4 Hardness, -2 damage to all attacks for one tick."/>
    <n v="374"/>
    <x v="16"/>
    <x v="0"/>
    <x v="0"/>
    <x v="8"/>
    <m/>
    <m/>
  </r>
  <r>
    <x v="0"/>
    <x v="635"/>
    <s v="6m "/>
    <s v="Reflexive"/>
    <s v="Withering-only"/>
    <s v="One Turn"/>
    <s v="Halve (or more) post-soak damage of a Withering attack."/>
    <n v="377"/>
    <x v="16"/>
    <x v="2"/>
    <x v="1"/>
    <x v="8"/>
    <s v="Iron Skin Concentration"/>
    <m/>
  </r>
  <r>
    <x v="0"/>
    <x v="636"/>
    <s v="-"/>
    <s v="Permanent"/>
    <s v="Stackable"/>
    <s v="Permanent"/>
    <s v="Extra health levels."/>
    <n v="375"/>
    <x v="16"/>
    <x v="4"/>
    <x v="0"/>
    <x v="8"/>
    <m/>
    <m/>
  </r>
  <r>
    <x v="0"/>
    <x v="637"/>
    <s v="-"/>
    <s v="Permanent"/>
    <s v="None"/>
    <s v="Permanent"/>
    <s v="1/fight, heal when you recover from Crash."/>
    <n v="377"/>
    <x v="16"/>
    <x v="3"/>
    <x v="1"/>
    <x v="8"/>
    <s v="Body-Mending Meditation, Front-Line Warrior's Stamina"/>
    <m/>
  </r>
  <r>
    <x v="0"/>
    <x v="638"/>
    <s v="-"/>
    <s v="Permanent"/>
    <s v="Dual, Perilous"/>
    <s v="Permanent"/>
    <s v="Gain 20 Hardness, bonus soak, and post-soak damage negation, but only as long as you make big attacks every turn."/>
    <n v="380"/>
    <x v="16"/>
    <x v="3"/>
    <x v="4"/>
    <x v="8"/>
    <s v="Adamant Skin Technique"/>
    <m/>
  </r>
  <r>
    <x v="0"/>
    <x v="639"/>
    <s v="3m, 1wp"/>
    <s v="Reflexive"/>
    <s v="Dual"/>
    <s v="Scene"/>
    <m/>
    <s v="MotSE 28"/>
    <x v="16"/>
    <x v="3"/>
    <x v="3"/>
    <x v="8"/>
    <s v="Ruin-Abasing Shrug"/>
    <m/>
  </r>
  <r>
    <x v="0"/>
    <x v="640"/>
    <s v="3m "/>
    <s v="Reflexive"/>
    <s v="None"/>
    <s v="Scene"/>
    <s v="Scenelong bonus dice vs. poison."/>
    <n v="376"/>
    <x v="16"/>
    <x v="1"/>
    <x v="0"/>
    <x v="8"/>
    <m/>
    <m/>
  </r>
  <r>
    <x v="0"/>
    <x v="641"/>
    <s v="5m "/>
    <s v="Simple"/>
    <s v="Dual"/>
    <s v="Scene"/>
    <s v="Become immune to minor scenery damage, from brambles(?) to bonfires. Gain soak or hardness. Can't be used in armor."/>
    <n v="376"/>
    <x v="16"/>
    <x v="2"/>
    <x v="1"/>
    <x v="8"/>
    <s v="Iron Skin Concentration"/>
    <m/>
  </r>
  <r>
    <x v="0"/>
    <x v="642"/>
    <s v="5m "/>
    <s v="Simple"/>
    <s v="None"/>
    <s v="Scene"/>
    <s v="Go into a berserk rage. Gain +1 die to combat pools; reduce wound penalties by 1."/>
    <n v="378"/>
    <x v="16"/>
    <x v="3"/>
    <x v="1"/>
    <x v="8"/>
    <s v="Willpower-Enhancing Spirit"/>
    <m/>
  </r>
  <r>
    <x v="0"/>
    <x v="643"/>
    <s v="10m, 1wp "/>
    <s v="Simple"/>
    <s v="None"/>
    <s v="Scene"/>
    <s v="While under BFF, go into a more-berserk (berserker?) rage. Gain +3 dice to combat pools; ignore wound penalties; recover 1m/turn."/>
    <n v="379"/>
    <x v="16"/>
    <x v="3"/>
    <x v="2"/>
    <x v="8"/>
    <s v="Battle Fury Focus"/>
    <m/>
  </r>
  <r>
    <x v="0"/>
    <x v="644"/>
    <s v="1m/-0 health level "/>
    <s v="Simple"/>
    <s v="None"/>
    <s v="Until fully healed"/>
    <s v="Heal your -0 health levels gradually, but in combat time."/>
    <n v="378"/>
    <x v="16"/>
    <x v="3"/>
    <x v="2"/>
    <x v="8"/>
    <s v="Tiger Warrior's Endurance"/>
    <m/>
  </r>
  <r>
    <x v="0"/>
    <x v="645"/>
    <s v="1m, 1wp "/>
    <s v="Supplemental"/>
    <s v="None"/>
    <s v="Instant"/>
    <s v="Your mount gains its own move and attack actions, as well as its own Initiative track."/>
    <n v="381"/>
    <x v="17"/>
    <x v="0"/>
    <x v="0"/>
    <x v="2"/>
    <m/>
    <m/>
  </r>
  <r>
    <x v="0"/>
    <x v="646"/>
    <s v="4m "/>
    <s v="Reflexive"/>
    <s v="None"/>
    <s v="Instant"/>
    <s v="Reflexively Disengage while you are mounted."/>
    <n v="380"/>
    <x v="17"/>
    <x v="1"/>
    <x v="0"/>
    <x v="2"/>
    <s v="Flashing Thunderbolt Steed"/>
    <m/>
  </r>
  <r>
    <x v="0"/>
    <x v="647"/>
    <s v="2m, 1wp or 4m, 1wp "/>
    <s v="Reflexive"/>
    <s v="None"/>
    <s v="Instant"/>
    <s v="Your mount moves at greater speeds while outside combat. (How fast does it normally move, outside combat?)"/>
    <n v="380"/>
    <x v="17"/>
    <x v="1"/>
    <x v="0"/>
    <x v="2"/>
    <s v="Flashing Thunderbolt Steed"/>
    <m/>
  </r>
  <r>
    <x v="0"/>
    <x v="648"/>
    <s v="1m "/>
    <s v="Reflexive"/>
    <s v="None"/>
    <s v="Instant"/>
    <s v="Mount can rise from prone for 1m."/>
    <n v="381"/>
    <x v="17"/>
    <x v="1"/>
    <x v="0"/>
    <x v="2"/>
    <s v="Master Horseman's Techniques"/>
    <m/>
  </r>
  <r>
    <x v="0"/>
    <x v="649"/>
    <s v="1hl/three successes "/>
    <s v="Reflexive"/>
    <s v="None"/>
    <s v="Instant"/>
    <s v="Spend your health levels on behalf of your mount, at a reduced rate."/>
    <n v="381"/>
    <x v="17"/>
    <x v="1"/>
    <x v="0"/>
    <x v="2"/>
    <s v="Worthy Mount Technique"/>
    <m/>
  </r>
  <r>
    <x v="0"/>
    <x v="650"/>
    <s v="2m to 6m "/>
    <s v="Simple"/>
    <s v="None"/>
    <s v="Instant"/>
    <s v="Tack and bard a mount in 1-4 rounds."/>
    <n v="381"/>
    <x v="17"/>
    <x v="1"/>
    <x v="1"/>
    <x v="2"/>
    <s v="Master Horseman's Techniques"/>
    <m/>
  </r>
  <r>
    <x v="0"/>
    <x v="651"/>
    <s v="-"/>
    <s v="Reflexive"/>
    <s v="None"/>
    <s v="Instant"/>
    <s v="Transfer half your Initiative to your mount, or vice-versa."/>
    <n v="383"/>
    <x v="17"/>
    <x v="1"/>
    <x v="1"/>
    <x v="2"/>
    <s v="Seasoned Beast-Rider's Approach"/>
    <m/>
  </r>
  <r>
    <x v="0"/>
    <x v="652"/>
    <s v="3m, 2i, 1wp "/>
    <s v="Reflexive"/>
    <s v="Perilous"/>
    <s v="Instant"/>
    <s v="Automatically succeed at a Disengage as long as only one enemy is at close range."/>
    <n v="382"/>
    <x v="17"/>
    <x v="2"/>
    <x v="1"/>
    <x v="2"/>
    <s v="Elusive Mount Technique"/>
    <m/>
  </r>
  <r>
    <x v="0"/>
    <x v="653"/>
    <s v="1m "/>
    <s v="Supplemental"/>
    <s v="None"/>
    <s v="Instant"/>
    <s v="Convert mount's speed bonus to successes."/>
    <n v="382"/>
    <x v="17"/>
    <x v="2"/>
    <x v="1"/>
    <x v="2"/>
    <s v="Wind-Racing Essence Infusion"/>
    <m/>
  </r>
  <r>
    <x v="0"/>
    <x v="654"/>
    <s v="4m, 3i, 1wp "/>
    <s v="Reflexive"/>
    <s v="None"/>
    <s v="Instant"/>
    <s v="Recover instantly from an unhorse Gambit."/>
    <n v="382"/>
    <x v="17"/>
    <x v="2"/>
    <x v="1"/>
    <x v="2"/>
    <s v="Single Spirit Method"/>
    <m/>
  </r>
  <r>
    <x v="0"/>
    <x v="655"/>
    <s v="5m "/>
    <s v="Reflexive"/>
    <s v="Counterattack, Decisive-only"/>
    <s v="Instant"/>
    <s v="While using WMT and SBR, your mount may Decisively counterattack for attacks on you."/>
    <n v="383"/>
    <x v="17"/>
    <x v="2"/>
    <x v="1"/>
    <x v="2"/>
    <s v="Worthy Mount Technique"/>
    <m/>
  </r>
  <r>
    <x v="0"/>
    <x v="656"/>
    <s v="4m "/>
    <s v="Reflexive"/>
    <s v="None"/>
    <s v="Instant"/>
    <s v="Your mount (barely) avoids Crash or death, as long as it had at least 2i or 2 HLs to begin with."/>
    <n v="383"/>
    <x v="17"/>
    <x v="2"/>
    <x v="1"/>
    <x v="2"/>
    <s v="Worthy Mount Technique"/>
    <m/>
  </r>
  <r>
    <x v="0"/>
    <x v="657"/>
    <s v="3m or 4m, 1a "/>
    <s v="Supplemental"/>
    <s v="None"/>
    <s v="Instant"/>
    <s v="Recurring 1s on a mounted movement roll; leave a trail of bonfire flames in your wake."/>
    <n v="382"/>
    <x v="17"/>
    <x v="3"/>
    <x v="1"/>
    <x v="2"/>
    <s v="Wind-Racing Essence Infusion"/>
    <m/>
  </r>
  <r>
    <x v="0"/>
    <x v="658"/>
    <s v="3m, 1wp "/>
    <s v="Supplemental"/>
    <s v="None"/>
    <s v="Instant"/>
    <s v="Unhorse someone and steal his mount."/>
    <n v="383"/>
    <x v="17"/>
    <x v="3"/>
    <x v="1"/>
    <x v="2"/>
    <s v="Saddle-Staying Courses"/>
    <m/>
  </r>
  <r>
    <x v="0"/>
    <x v="659"/>
    <s v="4m, 1hl or 4m, 1lhl "/>
    <s v="Simple"/>
    <s v="None"/>
    <s v="Instant"/>
    <s v="Over a scene of treatment, absorb and reduce your mount's wounds."/>
    <n v="383"/>
    <x v="17"/>
    <x v="3"/>
    <x v="1"/>
    <x v="2"/>
    <s v="Mount Preservation Method"/>
    <m/>
  </r>
  <r>
    <x v="0"/>
    <x v="660"/>
    <s v="2m "/>
    <s v="Reflexive"/>
    <s v="None"/>
    <s v="Instant"/>
    <s v="An attack on your mount loses 1 damage per 1 or 2 rolled."/>
    <n v="383"/>
    <x v="17"/>
    <x v="3"/>
    <x v="1"/>
    <x v="2"/>
    <s v="Woe and Storm Evasion"/>
    <m/>
  </r>
  <r>
    <x v="0"/>
    <x v="661"/>
    <s v="7m "/>
    <s v="Supplemental"/>
    <s v="None"/>
    <s v="Instant"/>
    <s v="If someone approaches you after a Disengage, retreat two range bands."/>
    <n v="384"/>
    <x v="17"/>
    <x v="3"/>
    <x v="2"/>
    <x v="2"/>
    <s v="Untouchable Horseman's Attitude"/>
    <m/>
  </r>
  <r>
    <x v="0"/>
    <x v="662"/>
    <s v="1m "/>
    <s v="Reflexive"/>
    <s v="None"/>
    <s v="Instant"/>
    <s v="Substitute Ride for Awarenesss in Join Battle."/>
    <n v="384"/>
    <x v="17"/>
    <x v="3"/>
    <x v="2"/>
    <x v="2"/>
    <s v="Speed-Fury Focus"/>
    <m/>
  </r>
  <r>
    <x v="0"/>
    <x v="663"/>
    <s v="2m, 1wp "/>
    <s v="Reflexive"/>
    <s v="None"/>
    <s v="Instant"/>
    <s v="Rush an enemy in the air."/>
    <n v="385"/>
    <x v="17"/>
    <x v="3"/>
    <x v="2"/>
    <x v="2"/>
    <s v="Sometimes Horses Fly Approach"/>
    <m/>
  </r>
  <r>
    <x v="0"/>
    <x v="664"/>
    <s v="1m or 2m or 3m or 5m, 1wp "/>
    <s v="Reflexive"/>
    <s v="None"/>
    <s v="Instant"/>
    <s v="Summon your mount's tack, barding, and weapons from Elsewhere."/>
    <n v="385"/>
    <x v="17"/>
    <x v="3"/>
    <x v="2"/>
    <x v="2"/>
    <s v="Harmonious Tacking Technique"/>
    <m/>
  </r>
  <r>
    <x v="0"/>
    <x v="665"/>
    <s v="5m, 1wp "/>
    <s v="Reflexive"/>
    <s v="Clash, Decisive-only"/>
    <s v="Instant"/>
    <s v="While using WMT and SBR, your mount may (reflexively?) Decisively Clash with attacks aimed at you."/>
    <n v="386"/>
    <x v="17"/>
    <x v="3"/>
    <x v="2"/>
    <x v="2"/>
    <s v="Rousing Backlash Assault"/>
    <m/>
  </r>
  <r>
    <x v="0"/>
    <x v="666"/>
    <s v="2m"/>
    <s v="Reflexive"/>
    <s v="None"/>
    <s v="One day"/>
    <m/>
    <s v="MotSE 28"/>
    <x v="17"/>
    <x v="1"/>
    <x v="0"/>
    <x v="2"/>
    <s v="Flashing Thunderbolt Steed, Hardship-Surviving Mendicant Spirit"/>
    <m/>
  </r>
  <r>
    <x v="0"/>
    <x v="667"/>
    <s v="10m, 1wp "/>
    <s v="Reflexive"/>
    <s v="None"/>
    <s v="One day"/>
    <s v="Summon an Essence-horse. But it's an expression of skill, and no one would try to label this a… yeah, you get the joke."/>
    <n v="383"/>
    <x v="17"/>
    <x v="3"/>
    <x v="2"/>
    <x v="2"/>
    <s v="Master Horseman's Techniques"/>
    <m/>
  </r>
  <r>
    <x v="0"/>
    <x v="668"/>
    <s v="4m "/>
    <s v="Reflexive"/>
    <s v="None"/>
    <s v="One day"/>
    <s v="Mount armor has no Mobility penalty."/>
    <n v="385"/>
    <x v="17"/>
    <x v="3"/>
    <x v="2"/>
    <x v="2"/>
    <s v="Whirlwind Horse-Armoring Prana"/>
    <m/>
  </r>
  <r>
    <x v="0"/>
    <x v="669"/>
    <s v="4m "/>
    <s v="Reflexive"/>
    <s v="None"/>
    <s v="One hour"/>
    <s v="Mount resists fatigue, gains a movement success, and can use Graceful Crane Stance/Monkey Leap Technique."/>
    <n v="380"/>
    <x v="17"/>
    <x v="0"/>
    <x v="0"/>
    <x v="2"/>
    <s v="Master Horseman's Techniques"/>
    <m/>
  </r>
  <r>
    <x v="0"/>
    <x v="670"/>
    <s v="2m "/>
    <s v="Reflexive"/>
    <s v="None"/>
    <s v="One Turn"/>
    <s v="Your mount ignores wound penalties."/>
    <n v="382"/>
    <x v="17"/>
    <x v="3"/>
    <x v="1"/>
    <x v="2"/>
    <s v="Immortal Charger's Gallop"/>
    <m/>
  </r>
  <r>
    <x v="0"/>
    <x v="671"/>
    <s v="1m "/>
    <s v="Reflexive"/>
    <s v="None"/>
    <s v="One Turn"/>
    <s v="Your mount runs on water or air for one turn."/>
    <n v="385"/>
    <x v="17"/>
    <x v="3"/>
    <x v="2"/>
    <x v="2"/>
    <s v="Coursing Firebolt Flash"/>
    <m/>
  </r>
  <r>
    <x v="0"/>
    <x v="672"/>
    <s v="-"/>
    <s v="Permanent"/>
    <s v="None"/>
    <s v="Permanent"/>
    <s v="Gain a number of minor mount-enhancing Abilities – prevent fatigue, call it to you, etc."/>
    <n v="380"/>
    <x v="17"/>
    <x v="4"/>
    <x v="0"/>
    <x v="2"/>
    <m/>
    <m/>
  </r>
  <r>
    <x v="0"/>
    <x v="673"/>
    <s v="-(1i) "/>
    <s v="Reflexive"/>
    <s v="None"/>
    <s v="Permanent"/>
    <s v="Your mount can reflexively Defend Other on you."/>
    <n v="381"/>
    <x v="17"/>
    <x v="1"/>
    <x v="0"/>
    <x v="2"/>
    <s v="Seasoned Beast-Rider's Approach"/>
    <m/>
  </r>
  <r>
    <x v="0"/>
    <x v="674"/>
    <s v="-(3m) "/>
    <s v="Permanent"/>
    <s v="None"/>
    <s v="Permanent"/>
    <s v="ICG can be used to enhance a Join Battle roll."/>
    <n v="382"/>
    <x v="17"/>
    <x v="3"/>
    <x v="1"/>
    <x v="2"/>
    <s v="Immortal Charger's Gallop"/>
    <m/>
  </r>
  <r>
    <x v="0"/>
    <x v="675"/>
    <s v="-"/>
    <s v="Permanent"/>
    <s v="None"/>
    <s v="Permanent"/>
    <s v="Your mount gains 1i/turn, plus bonuses when you outrace an enemy."/>
    <n v="386"/>
    <x v="17"/>
    <x v="2"/>
    <x v="2"/>
    <x v="2"/>
    <s v="Immortal Rider's Advantage"/>
    <m/>
  </r>
  <r>
    <x v="0"/>
    <x v="676"/>
    <s v="-"/>
    <s v="Permanent"/>
    <s v="None"/>
    <s v="Permanent"/>
    <s v="Ride off into the sunset. Recover motes and Willpower, and remove a point of Limit."/>
    <n v="384"/>
    <x v="17"/>
    <x v="3"/>
    <x v="2"/>
    <x v="2"/>
    <s v="Master Horseman's Techniques"/>
    <m/>
  </r>
  <r>
    <x v="0"/>
    <x v="677"/>
    <s v="-"/>
    <s v="Permanent"/>
    <s v="None"/>
    <s v="Permanent"/>
    <s v="For each 10 the enemy rolls, gain 1m for use on Ride Charms next turn."/>
    <n v="384"/>
    <x v="17"/>
    <x v="3"/>
    <x v="2"/>
    <x v="2"/>
    <s v="Speed-Fury Focus"/>
    <m/>
  </r>
  <r>
    <x v="0"/>
    <x v="678"/>
    <s v="-"/>
    <s v="Permanent"/>
    <s v="None"/>
    <s v="Permanent"/>
    <s v="Activate “attack-evasive Dodge Charms” on behalf of your mount."/>
    <n v="385"/>
    <x v="17"/>
    <x v="3"/>
    <x v="2"/>
    <x v="2"/>
    <s v="Immortal Rider's Advantage"/>
    <m/>
  </r>
  <r>
    <x v="0"/>
    <x v="679"/>
    <s v="5m "/>
    <s v="Reflexive"/>
    <s v="Perilous"/>
    <s v="Scene"/>
    <s v="Double mount's speed for the scene."/>
    <n v="382"/>
    <x v="17"/>
    <x v="3"/>
    <x v="1"/>
    <x v="2"/>
    <s v="Immortal Charger's Gallop"/>
    <m/>
  </r>
  <r>
    <x v="0"/>
    <x v="680"/>
    <s v="7m or 12m "/>
    <s v="Simple"/>
    <s v="Perilous"/>
    <s v="Scene"/>
    <s v="Move three range bands a turn at extreme range from all enemies, or two bands/turn at closer ranges."/>
    <n v="385"/>
    <x v="17"/>
    <x v="3"/>
    <x v="2"/>
    <x v="2"/>
    <s v="Coursing Firebolt Flash"/>
    <m/>
  </r>
  <r>
    <x v="0"/>
    <x v="681"/>
    <s v="5m "/>
    <s v="Simple"/>
    <s v="None"/>
    <s v="Scene"/>
    <s v="Your mount gains bonus soak for the scene."/>
    <n v="386"/>
    <x v="17"/>
    <x v="3"/>
    <x v="2"/>
    <x v="2"/>
    <s v="Resilience of the Chosen Mount"/>
    <m/>
  </r>
  <r>
    <x v="0"/>
    <x v="682"/>
    <s v="-"/>
    <s v="Permanent"/>
    <s v="None"/>
    <s v="Permanent"/>
    <s v="Notice disguises and shapeshifting with AESS."/>
    <n v="358"/>
    <x v="15"/>
    <x v="3"/>
    <x v="2"/>
    <x v="6"/>
    <s v="All-Encompassing Sorcerer's Sight"/>
    <m/>
  </r>
  <r>
    <x v="0"/>
    <x v="683"/>
    <s v="-"/>
    <s v="Permanent"/>
    <s v="None"/>
    <s v="Permanent"/>
    <s v="SCM works on unshaped fair folk and similar beings."/>
    <n v="358"/>
    <x v="15"/>
    <x v="3"/>
    <x v="2"/>
    <x v="6"/>
    <s v="Spirit-Caging Mandala"/>
    <m/>
  </r>
  <r>
    <x v="0"/>
    <x v="684"/>
    <s v="-"/>
    <s v="Permanent"/>
    <s v="None"/>
    <s v="Permanent"/>
    <s v="Fuel your Charms and spells with motes stolen from a spirit trapped via SCM."/>
    <n v="358"/>
    <x v="15"/>
    <x v="3"/>
    <x v="2"/>
    <x v="6"/>
    <s v="Spirit-Caging Mandala"/>
    <m/>
  </r>
  <r>
    <x v="0"/>
    <x v="685"/>
    <s v="-"/>
    <s v="Permanent"/>
    <s v="None"/>
    <s v="Permanent"/>
    <s v="Gain social influence bonuses against a spirit trapped via SCM."/>
    <n v="358"/>
    <x v="15"/>
    <x v="3"/>
    <x v="2"/>
    <x v="6"/>
    <s v="Spirit-Draining Mudra"/>
    <m/>
  </r>
  <r>
    <x v="0"/>
    <x v="686"/>
    <s v="-"/>
    <s v="Permanent"/>
    <s v="None"/>
    <s v="Permanent"/>
    <s v="When at full anima, AESS automatically activates."/>
    <n v="359"/>
    <x v="15"/>
    <x v="3"/>
    <x v="3"/>
    <x v="6"/>
    <s v="Burning Eye of the Deliverer"/>
    <m/>
  </r>
  <r>
    <x v="0"/>
    <x v="687"/>
    <s v="-(7m) "/>
    <s v="Permanent"/>
    <s v="None"/>
    <s v="Permanent"/>
    <s v="When using SPM, detect signs of past spiritual predation; come to subject's aid if such predation recurs."/>
    <n v="359"/>
    <x v="15"/>
    <x v="3"/>
    <x v="3"/>
    <x v="6"/>
    <s v="Soul Projection Method"/>
    <m/>
  </r>
  <r>
    <x v="0"/>
    <x v="688"/>
    <s v="-"/>
    <s v="Permanent"/>
    <s v="None"/>
    <s v="Permanent"/>
    <s v="Solar Circle Sorcery."/>
    <n v="361"/>
    <x v="15"/>
    <x v="3"/>
    <x v="4"/>
    <x v="6"/>
    <s v="Celestial Circle Sorcery"/>
    <m/>
  </r>
  <r>
    <x v="0"/>
    <x v="689"/>
    <s v="3m "/>
    <s v="Reflexive"/>
    <s v="None"/>
    <s v="Scene"/>
    <s v="See spirits."/>
    <n v="354"/>
    <x v="15"/>
    <x v="4"/>
    <x v="0"/>
    <x v="6"/>
    <m/>
    <m/>
  </r>
  <r>
    <x v="0"/>
    <x v="690"/>
    <s v="5m "/>
    <s v="Simple"/>
    <s v="None"/>
    <s v="Scene"/>
    <s v="Do extra damage to spirits for the scene."/>
    <n v="354"/>
    <x v="15"/>
    <x v="1"/>
    <x v="0"/>
    <x v="6"/>
    <s v="Spirit-Cutting Attack"/>
    <m/>
  </r>
  <r>
    <x v="0"/>
    <x v="691"/>
    <s v="6m "/>
    <s v="Reflexive"/>
    <s v="None"/>
    <s v="Scene"/>
    <s v="Speak Old Realm and other spirit language. Bonus successes to shaping actions for the scene(!)."/>
    <n v="356"/>
    <x v="15"/>
    <x v="1"/>
    <x v="0"/>
    <x v="6"/>
    <m/>
    <m/>
  </r>
  <r>
    <x v="0"/>
    <x v="692"/>
    <s v="3m "/>
    <s v="Simple"/>
    <s v="None"/>
    <s v="Scene"/>
    <s v="Scenelong bonus dice to attacks vs. spirits. Very cheap Infinite Occult Mastery."/>
    <n v="355"/>
    <x v="15"/>
    <x v="3"/>
    <x v="0"/>
    <x v="6"/>
    <s v="Phantom-Seizing Strike"/>
    <m/>
  </r>
  <r>
    <x v="0"/>
    <x v="693"/>
    <s v="6m "/>
    <s v="Simple"/>
    <s v="None"/>
    <s v="Scene"/>
    <s v="Spirits at short range must materialize or retreat."/>
    <n v="357"/>
    <x v="15"/>
    <x v="1"/>
    <x v="1"/>
    <x v="6"/>
    <s v="Spirit-Cutting Attack"/>
    <m/>
  </r>
  <r>
    <x v="0"/>
    <x v="694"/>
    <s v="4m, 1wp "/>
    <s v="Reflexive"/>
    <s v="None"/>
    <s v="Scene"/>
    <s v="Immaterial beings must pay Willpower to attack you."/>
    <n v="357"/>
    <x v="15"/>
    <x v="2"/>
    <x v="1"/>
    <x v="6"/>
    <s v="Spirit-Repelling Diagram, Uncanny Shroud Defense"/>
    <m/>
  </r>
  <r>
    <x v="0"/>
    <x v="695"/>
    <s v="6m, 1wp"/>
    <s v="Reflexive"/>
    <s v="None"/>
    <s v="Scene"/>
    <m/>
    <s v="MotSE 22"/>
    <x v="15"/>
    <x v="3"/>
    <x v="2"/>
    <x v="6"/>
    <s v="Burning Exorcism Technique"/>
    <m/>
  </r>
  <r>
    <x v="0"/>
    <x v="696"/>
    <s v="10m, 1wp "/>
    <s v="Simple"/>
    <s v="None"/>
    <s v="Varies"/>
    <s v="Trap and materialize a spirit for a few rounds."/>
    <n v="357"/>
    <x v="15"/>
    <x v="2"/>
    <x v="1"/>
    <x v="6"/>
    <s v="Spirit-Repelling Diagram"/>
    <m/>
  </r>
  <r>
    <x v="0"/>
    <x v="697"/>
    <s v="7m, 1wp "/>
    <s v="Simple"/>
    <s v="None"/>
    <s v="Indefinite"/>
    <s v="Anyone with Intimacies for the Solar also has Intimacies for the target; the target can act with the Solar's authority."/>
    <n v="370"/>
    <x v="18"/>
    <x v="3"/>
    <x v="1"/>
    <x v="9"/>
    <s v="Majestic Radiant Presence"/>
    <m/>
  </r>
  <r>
    <x v="0"/>
    <x v="698"/>
    <s v="5m, 1wp "/>
    <s v="Simple"/>
    <s v="None"/>
    <s v="Indefinite"/>
    <s v="Increase your Appearance by 1; lower the target's Resolve if this is seduction."/>
    <n v="371"/>
    <x v="18"/>
    <x v="3"/>
    <x v="1"/>
    <x v="9"/>
    <s v="Threefold Magnetic Ardor"/>
    <m/>
  </r>
  <r>
    <x v="0"/>
    <x v="699"/>
    <s v="10m, 1wp "/>
    <s v="Simple"/>
    <s v="Psyche, Mute"/>
    <s v="Indefinite"/>
    <s v="Program the target with a series of short commands. Really wishing I hadn't made a Code Geass joke already."/>
    <n v="372"/>
    <x v="18"/>
    <x v="3"/>
    <x v="2"/>
    <x v="9"/>
    <s v="Mind-Wiping Gaze, Fulminating Word"/>
    <m/>
  </r>
  <r>
    <x v="0"/>
    <x v="700"/>
    <s v="5m "/>
    <s v="Simple"/>
    <s v="Stackable"/>
    <s v="Indefinite"/>
    <s v="Grant three bonus successes to a follower."/>
    <n v="373"/>
    <x v="18"/>
    <x v="3"/>
    <x v="2"/>
    <x v="9"/>
    <s v="Prophet-Uplifting Evocation"/>
    <m/>
  </r>
  <r>
    <x v="0"/>
    <x v="701"/>
    <s v="5m, 1wp "/>
    <s v="Simple"/>
    <s v="None"/>
    <s v="Indefinite"/>
    <s v="As per ES, but stacking with that bonus and of Indefinite duration."/>
    <n v="374"/>
    <x v="18"/>
    <x v="3"/>
    <x v="3"/>
    <x v="9"/>
    <s v="Empowering Shout, Underling-Promoting Touch"/>
    <m/>
  </r>
  <r>
    <x v="0"/>
    <x v="702"/>
    <s v="6m (1m, 1wp)"/>
    <s v="Simple"/>
    <s v="None"/>
    <s v="Indefinite"/>
    <m/>
    <s v="MotSE 26"/>
    <x v="18"/>
    <x v="3"/>
    <x v="3"/>
    <x v="9"/>
    <s v="Prophet-Uplifting Evocation"/>
    <m/>
  </r>
  <r>
    <x v="0"/>
    <x v="703"/>
    <s v="10m"/>
    <s v="Simple"/>
    <s v="None"/>
    <s v="Indefinite"/>
    <m/>
    <s v="MotSE 27"/>
    <x v="18"/>
    <x v="3"/>
    <x v="4"/>
    <x v="9"/>
    <s v="Favor-Conferring Prana"/>
    <m/>
  </r>
  <r>
    <x v="0"/>
    <x v="704"/>
    <s v="3m "/>
    <s v="Supplemental"/>
    <s v="None"/>
    <s v="Instant"/>
    <s v="Gain bonuses to Instill or Persuade – bigger bonuses, if the target boosts his Resolve."/>
    <n v="369"/>
    <x v="18"/>
    <x v="1"/>
    <x v="0"/>
    <x v="9"/>
    <m/>
    <m/>
  </r>
  <r>
    <x v="0"/>
    <x v="705"/>
    <s v="3m"/>
    <s v="Reflexive"/>
    <s v="None"/>
    <s v="Instant"/>
    <m/>
    <s v="MotSE 25"/>
    <x v="18"/>
    <x v="2"/>
    <x v="0"/>
    <x v="9"/>
    <s v="Harmonious Presence Meditation"/>
    <m/>
  </r>
  <r>
    <x v="0"/>
    <x v="706"/>
    <s v="3m "/>
    <s v="Supplemental"/>
    <s v="None"/>
    <s v="Instant"/>
    <s v="Gain bonuses to persuasion in line with your Intimacies."/>
    <n v="370"/>
    <x v="18"/>
    <x v="2"/>
    <x v="1"/>
    <x v="9"/>
    <s v="Listener-Swaying Argument"/>
    <m/>
  </r>
  <r>
    <x v="0"/>
    <x v="707"/>
    <s v="4m "/>
    <s v="Supplemental"/>
    <s v="None"/>
    <s v="Instant"/>
    <s v="Turn your high-Appearance bonus dice into bonus successes."/>
    <n v="371"/>
    <x v="18"/>
    <x v="2"/>
    <x v="1"/>
    <x v="9"/>
    <s v="Harmonious Presence Meditation, Listener-Swaying Argument"/>
    <m/>
  </r>
  <r>
    <x v="0"/>
    <x v="708"/>
    <s v="3m "/>
    <s v="Simple"/>
    <s v="None"/>
    <s v="Instant"/>
    <s v="Grant an ally +1 to one Attribute and one Ability."/>
    <n v="370"/>
    <x v="18"/>
    <x v="3"/>
    <x v="1"/>
    <x v="9"/>
    <s v="Impassioned Discourse Technique"/>
    <m/>
  </r>
  <r>
    <x v="0"/>
    <x v="709"/>
    <s v="3m, 1wp "/>
    <s v="Supplemental"/>
    <s v="None"/>
    <s v="Instant"/>
    <s v="A Decisive attack on creatures of darkness does agg, or a social influence attempt lowers their resolve. Treat people you hate as CoDs, for this one attack."/>
    <n v="371"/>
    <x v="18"/>
    <x v="3"/>
    <x v="2"/>
    <x v="9"/>
    <s v="Impassioned Discourse Technique, Majestic Radiant Presence"/>
    <m/>
  </r>
  <r>
    <x v="0"/>
    <x v="710"/>
    <s v="1wp "/>
    <s v="Reflexive"/>
    <s v="None"/>
    <s v="Instant"/>
    <s v="Increase the cost of a Decision Point (i.e., reject successful Persuade) by 1wp."/>
    <n v="371"/>
    <x v="18"/>
    <x v="3"/>
    <x v="2"/>
    <x v="9"/>
    <s v="Impassioned Discourse Technique"/>
    <m/>
  </r>
  <r>
    <x v="0"/>
    <x v="711"/>
    <s v="3m "/>
    <s v="Reflexive"/>
    <s v="None"/>
    <s v="Instant"/>
    <s v="Bonus dice to threaten, persuade, or instill."/>
    <n v="372"/>
    <x v="18"/>
    <x v="3"/>
    <x v="2"/>
    <x v="9"/>
    <s v="Majestic Radiant Presence"/>
    <m/>
  </r>
  <r>
    <x v="0"/>
    <x v="712"/>
    <s v="1m, 1wp "/>
    <s v="Reflexive"/>
    <s v="None"/>
    <s v="Instant"/>
    <s v="Target forgets one piece of social influence he was about to carry out."/>
    <n v="372"/>
    <x v="18"/>
    <x v="3"/>
    <x v="2"/>
    <x v="9"/>
    <s v="Blazing Glorious Icon"/>
    <m/>
  </r>
  <r>
    <x v="0"/>
    <x v="713"/>
    <s v="4m, 1wp, 2xp "/>
    <s v="Simple"/>
    <s v="None"/>
    <s v="Instant"/>
    <s v="Grant a follower motes and a Resolve bonus to act as your prophet."/>
    <n v="373"/>
    <x v="18"/>
    <x v="3"/>
    <x v="2"/>
    <x v="9"/>
    <s v="Underling-Promoting Touch"/>
    <m/>
  </r>
  <r>
    <x v="0"/>
    <x v="714"/>
    <s v="2m, 1wp "/>
    <s v="Supplemental"/>
    <s v="None"/>
    <s v="Instant"/>
    <s v="Double-9s on seduction. Seduce even people who can't be seduced."/>
    <n v="373"/>
    <x v="18"/>
    <x v="3"/>
    <x v="2"/>
    <x v="9"/>
    <s v="Awakened Carnal Demiurge"/>
    <m/>
  </r>
  <r>
    <x v="0"/>
    <x v="715"/>
    <s v="6m, 1wp"/>
    <s v="Simple"/>
    <s v="Decisive-only"/>
    <s v="Instant"/>
    <m/>
    <s v="MotSE 25"/>
    <x v="18"/>
    <x v="3"/>
    <x v="2"/>
    <x v="9"/>
    <s v="Enemy-Castigating Solar Judgment"/>
    <m/>
  </r>
  <r>
    <x v="0"/>
    <x v="716"/>
    <s v="4m"/>
    <s v="Reflexive"/>
    <s v="None"/>
    <s v="Instant"/>
    <m/>
    <s v="MotSE 25"/>
    <x v="18"/>
    <x v="3"/>
    <x v="2"/>
    <x v="9"/>
    <s v="Majestic Radiant Presence"/>
    <m/>
  </r>
  <r>
    <x v="0"/>
    <x v="717"/>
    <s v="6m"/>
    <s v="Reflexive"/>
    <s v="Mute"/>
    <s v="Instant"/>
    <m/>
    <s v="MotSE 26"/>
    <x v="18"/>
    <x v="3"/>
    <x v="2"/>
    <x v="9"/>
    <s v="Threefold Magnetic Ardor"/>
    <m/>
  </r>
  <r>
    <x v="0"/>
    <x v="718"/>
    <s v="-"/>
    <s v="Reflexive"/>
    <s v="None"/>
    <s v="Instant"/>
    <s v="1/scene, free Presence, Performance, or Socialize Excellency."/>
    <n v="373"/>
    <x v="18"/>
    <x v="3"/>
    <x v="3"/>
    <x v="9"/>
    <s v="Authority-Radiating Stance"/>
    <m/>
  </r>
  <r>
    <x v="0"/>
    <x v="719"/>
    <s v="-"/>
    <s v="Permanent"/>
    <s v="None"/>
    <s v="Permanent"/>
    <s v="Permanent bonus to Presence and intimidate. With MRP, auto-intimidate anyone who tries to ambush you."/>
    <n v="370"/>
    <x v="18"/>
    <x v="1"/>
    <x v="0"/>
    <x v="9"/>
    <m/>
    <m/>
  </r>
  <r>
    <x v="0"/>
    <x v="720"/>
    <s v="-"/>
    <s v="Permanent"/>
    <s v="None"/>
    <s v="Permanent"/>
    <s v="Anyone with Defining Ties to you will perform inconvenient tasks without a roll."/>
    <n v="370"/>
    <x v="18"/>
    <x v="3"/>
    <x v="0"/>
    <x v="9"/>
    <s v="Harmonious Presence Meditation, Listener-Swaying Argument"/>
    <m/>
  </r>
  <r>
    <x v="0"/>
    <x v="721"/>
    <s v="-"/>
    <s v="Permanent"/>
    <s v="None"/>
    <s v="Permanent"/>
    <s v="On succeeding at a major task, your enemies must grovel before you for the next few days."/>
    <n v="372"/>
    <x v="18"/>
    <x v="3"/>
    <x v="2"/>
    <x v="9"/>
    <s v="Underling-Promoting Touch"/>
    <m/>
  </r>
  <r>
    <x v="0"/>
    <x v="722"/>
    <s v="5m or 7m "/>
    <s v="Reflexive"/>
    <s v="None"/>
    <s v="Scene"/>
    <s v="Gain bonus dice to social rolls for a scene; social Charms are 1m cheaper."/>
    <n v="369"/>
    <x v="18"/>
    <x v="0"/>
    <x v="0"/>
    <x v="9"/>
    <m/>
    <m/>
  </r>
  <r>
    <x v="0"/>
    <x v="723"/>
    <s v="6m "/>
    <s v="Simple"/>
    <s v="None"/>
    <s v="Scene"/>
    <s v="Enemies must pay 1wp the first time they speak or act against you."/>
    <n v="370"/>
    <x v="18"/>
    <x v="2"/>
    <x v="1"/>
    <x v="9"/>
    <s v="Harmonious Presence Meditation"/>
    <m/>
  </r>
  <r>
    <x v="0"/>
    <x v="724"/>
    <s v="5m, 1wp "/>
    <s v="Reflexive"/>
    <s v="None"/>
    <s v="Scene"/>
    <s v="Allies to Medium range are immune to fear penalties. Have we seen fear penalties, so far?"/>
    <n v="371"/>
    <x v="18"/>
    <x v="3"/>
    <x v="2"/>
    <x v="9"/>
    <s v="Majestic Radiant Presence"/>
    <m/>
  </r>
  <r>
    <x v="0"/>
    <x v="725"/>
    <s v="7m, 1wp "/>
    <s v="Reflexive"/>
    <s v="None"/>
    <s v="Scene"/>
    <s v="Threaten everyone out to Long range. Also, inflict a fear penalty on battle groups – well, that answers that."/>
    <n v="371"/>
    <x v="18"/>
    <x v="3"/>
    <x v="2"/>
    <x v="9"/>
    <s v="Majestic Radiant Presence"/>
    <m/>
  </r>
  <r>
    <x v="0"/>
    <x v="726"/>
    <s v="6m, 3a "/>
    <s v="Reflexive"/>
    <s v="None"/>
    <s v="Scene"/>
    <s v="Burn your anima for extra Intimidation dice. Enemies who don't attack you lose 1i/turn."/>
    <n v="374"/>
    <x v="18"/>
    <x v="3"/>
    <x v="3"/>
    <x v="9"/>
    <s v="Terrifying Apparition of Glory"/>
    <m/>
  </r>
  <r>
    <x v="0"/>
    <x v="727"/>
    <s v="3m"/>
    <s v="Reflexive"/>
    <s v="None"/>
    <s v="Scene"/>
    <m/>
    <s v="MotSE 30"/>
    <x v="3"/>
    <x v="2"/>
    <x v="0"/>
    <x v="2"/>
    <s v="Motive-Discerning Technique"/>
    <m/>
  </r>
  <r>
    <x v="0"/>
    <x v="728"/>
    <s v="1m, 1wp "/>
    <s v="Reflexive"/>
    <s v="None"/>
    <s v="Scene"/>
    <s v="1/story, add your Guile to your Resolve or vice-versa. Ignore effect of Intimacies on Resolve."/>
    <n v="402"/>
    <x v="3"/>
    <x v="3"/>
    <x v="3"/>
    <x v="2"/>
    <s v="Even-Touched Prophet"/>
    <m/>
  </r>
  <r>
    <x v="0"/>
    <x v="729"/>
    <s v="5m "/>
    <s v="Reflexive"/>
    <s v="Mute"/>
    <s v="Indefinite"/>
    <s v="Perfect immunity to sight-based detection as long as you don't move."/>
    <n v="403"/>
    <x v="19"/>
    <x v="1"/>
    <x v="0"/>
    <x v="10"/>
    <s v="Perfect Shadow Stillness"/>
    <m/>
  </r>
  <r>
    <x v="0"/>
    <x v="730"/>
    <s v="5m "/>
    <s v="Simple"/>
    <s v="Mute"/>
    <s v="Indefinite"/>
    <s v="Ignore the -3 penalty to moving in stealth. Gain Initiative while you remain hidden."/>
    <n v="404"/>
    <x v="19"/>
    <x v="2"/>
    <x v="0"/>
    <x v="10"/>
    <s v="Blinding Battle Feint"/>
    <m/>
  </r>
  <r>
    <x v="0"/>
    <x v="731"/>
    <s v="5m"/>
    <s v="Simple"/>
    <s v="Mute"/>
    <s v="Indefinite"/>
    <m/>
    <s v="MotSE 32"/>
    <x v="19"/>
    <x v="2"/>
    <x v="0"/>
    <x v="10"/>
    <s v="Perfect Shadow Stillness"/>
    <m/>
  </r>
  <r>
    <x v="0"/>
    <x v="732"/>
    <s v="7m, 1wp "/>
    <s v="Reflexive"/>
    <s v="Mute"/>
    <s v="Indefinite"/>
    <s v="Infinite Stealth Mastery. You can hide in plain sight, but moving range bands automatically reveals you."/>
    <n v="405"/>
    <x v="19"/>
    <x v="2"/>
    <x v="1"/>
    <x v="10"/>
    <s v="Invisible Statue Spirit"/>
    <m/>
  </r>
  <r>
    <x v="0"/>
    <x v="733"/>
    <s v="2m/anima level "/>
    <s v="Reflexive"/>
    <s v="Mute, Stackable"/>
    <s v="Indefinite"/>
    <s v="Commit motes to temporarily hide anima levels."/>
    <n v="406"/>
    <x v="19"/>
    <x v="3"/>
    <x v="2"/>
    <x v="10"/>
    <s v="Blurred Form Style"/>
    <m/>
  </r>
  <r>
    <x v="0"/>
    <x v="734"/>
    <s v="10m, 1wp "/>
    <s v="Reflexive"/>
    <s v="Mute"/>
    <s v="Indefinite"/>
    <s v="Hide so well that everyone forgets about you."/>
    <n v="407"/>
    <x v="19"/>
    <x v="3"/>
    <x v="2"/>
    <x v="10"/>
    <s v="Mental Invisibility Technique"/>
    <m/>
  </r>
  <r>
    <x v="0"/>
    <x v="735"/>
    <s v="8m, 1wp "/>
    <s v="Reflexive"/>
    <s v="Perilous, Mute"/>
    <s v="Indefinite"/>
    <s v="Hide in a target's shadow, controlling his body."/>
    <n v="407"/>
    <x v="19"/>
    <x v="3"/>
    <x v="2"/>
    <x v="10"/>
    <s v="Dark Sentinel's Way"/>
    <m/>
  </r>
  <r>
    <x v="0"/>
    <x v="736"/>
    <s v="10m, 1wp "/>
    <s v="Reflexive"/>
    <s v="Perilous, Mute"/>
    <s v="Indefinite"/>
    <s v="Teleport back to a chosen hiding place."/>
    <n v="409"/>
    <x v="19"/>
    <x v="3"/>
    <x v="3"/>
    <x v="10"/>
    <s v="Shadow-Crossing Leap Technique"/>
    <m/>
  </r>
  <r>
    <x v="0"/>
    <x v="737"/>
    <s v="1m, 1wp "/>
    <s v="Reflexive"/>
    <s v="None"/>
    <s v="Instant"/>
    <s v="Reroll all dice other than 10s on a Stealth action."/>
    <n v="403"/>
    <x v="19"/>
    <x v="0"/>
    <x v="0"/>
    <x v="10"/>
    <m/>
    <m/>
  </r>
  <r>
    <x v="0"/>
    <x v="738"/>
    <s v="3m "/>
    <s v="Supplemental"/>
    <s v="None"/>
    <s v="Instant"/>
    <s v="Join Battle using Stealth; if you act first, you're also hidden."/>
    <n v="404"/>
    <x v="19"/>
    <x v="1"/>
    <x v="0"/>
    <x v="10"/>
    <m/>
    <m/>
  </r>
  <r>
    <x v="0"/>
    <x v="739"/>
    <s v="3m "/>
    <s v="Simple"/>
    <s v="Mute"/>
    <s v="Instant"/>
    <s v="Hide someone else."/>
    <n v="405"/>
    <x v="19"/>
    <x v="1"/>
    <x v="0"/>
    <x v="10"/>
    <s v="Blinding Battle Feint"/>
    <m/>
  </r>
  <r>
    <x v="0"/>
    <x v="740"/>
    <s v="3m, 1wp "/>
    <s v="Simple"/>
    <s v="Mute"/>
    <s v="Instant"/>
    <s v="Reroll Join Battle mid-fight and add the Initiative to your pool."/>
    <n v="405"/>
    <x v="19"/>
    <x v="2"/>
    <x v="1"/>
    <x v="10"/>
    <s v="Blinding Battle Feint"/>
    <m/>
  </r>
  <r>
    <x v="0"/>
    <x v="741"/>
    <s v="1m "/>
    <s v="Reflexive"/>
    <s v="Mute"/>
    <s v="Instant"/>
    <s v="Defend Other from concealment."/>
    <n v="406"/>
    <x v="19"/>
    <x v="2"/>
    <x v="1"/>
    <x v="10"/>
    <s v="Guardian Fog Approach"/>
    <m/>
  </r>
  <r>
    <x v="0"/>
    <x v="742"/>
    <s v="2m "/>
    <s v="Reflexive"/>
    <s v="None"/>
    <s v="Instant"/>
    <s v="Reset SVR after incapacitating an enemy."/>
    <n v="405"/>
    <x v="19"/>
    <x v="3"/>
    <x v="1"/>
    <x v="10"/>
    <s v="Shadow Victor's Repose"/>
    <m/>
  </r>
  <r>
    <x v="0"/>
    <x v="743"/>
    <s v="1wp or 2i "/>
    <s v="Reflexive"/>
    <s v="None"/>
    <s v="Instant"/>
    <s v="Enter stealth reflexively after incapacitating an enemy."/>
    <n v="405"/>
    <x v="19"/>
    <x v="3"/>
    <x v="1"/>
    <x v="10"/>
    <s v="Stalking Wolf Attitude"/>
    <m/>
  </r>
  <r>
    <x v="0"/>
    <x v="744"/>
    <s v="3m "/>
    <s v="Reflexive"/>
    <s v="Mute"/>
    <s v="Instant"/>
    <s v="Concealment counts as cover."/>
    <n v="406"/>
    <x v="19"/>
    <x v="3"/>
    <x v="1"/>
    <x v="10"/>
    <s v="Dark Sentinel's Way"/>
    <m/>
  </r>
  <r>
    <x v="0"/>
    <x v="745"/>
    <s v="5m, 1wp"/>
    <s v="Reflexive"/>
    <s v="Mute"/>
    <s v="Instant"/>
    <m/>
    <s v="MotSE 32"/>
    <x v="19"/>
    <x v="3"/>
    <x v="1"/>
    <x v="10"/>
    <s v="Stalking Wolf Attitude"/>
    <m/>
  </r>
  <r>
    <x v="0"/>
    <x v="746"/>
    <s v="5m, 1wp "/>
    <s v="Reflexive"/>
    <s v="Mute"/>
    <s v="Instant"/>
    <s v="Move one range band in stealth without penalty; incompatible with BFS."/>
    <n v="408"/>
    <x v="19"/>
    <x v="3"/>
    <x v="2"/>
    <x v="10"/>
    <s v="Smoke and Shadow Cover"/>
    <m/>
  </r>
  <r>
    <x v="0"/>
    <x v="747"/>
    <s v="4m"/>
    <s v="Supplemental"/>
    <s v="Decisive-only, Mute"/>
    <s v="Instant"/>
    <m/>
    <s v="MotSE 33"/>
    <x v="19"/>
    <x v="3"/>
    <x v="2"/>
    <x v="10"/>
    <s v="Hidden Snake Recoil, Killing Shroud Technique"/>
    <m/>
  </r>
  <r>
    <x v="0"/>
    <x v="748"/>
    <s v="7m, 1wp "/>
    <s v="Reflexive"/>
    <s v="Perilous, Mute"/>
    <s v="Instant"/>
    <s v="Still got that pencil? So the attacker rolls and hits you Decisively, and then he rolls damage. Between the two, he rolls six 1s and 2s. You roll Stealth against his Awarenesss; if you succeed, he misses, and if you roll a 10, you enter stealth."/>
    <n v="408"/>
    <x v="19"/>
    <x v="3"/>
    <x v="3"/>
    <x v="10"/>
    <s v="Hidden Snake Recoil, Vanishing From Mind's Eye Method"/>
    <m/>
  </r>
  <r>
    <x v="0"/>
    <x v="749"/>
    <s v="6m "/>
    <s v="Reflexive"/>
    <s v="Mute, Stackable"/>
    <s v="One hour"/>
    <s v="Render yourself proof against detection from one sense (except sight)."/>
    <n v="407"/>
    <x v="19"/>
    <x v="3"/>
    <x v="2"/>
    <x v="10"/>
    <s v="Blurred Form Style, Vanishing From Mind's Eye Method"/>
    <m/>
  </r>
  <r>
    <x v="0"/>
    <x v="750"/>
    <s v="-"/>
    <s v="Permanent"/>
    <s v="None"/>
    <s v="Permanent"/>
    <s v="On using SVR, everyone forgets you were there for (Essence) rounds."/>
    <n v="407"/>
    <x v="19"/>
    <x v="3"/>
    <x v="2"/>
    <x v="10"/>
    <s v="Flash-Eyed Killer's Insight"/>
    <m/>
  </r>
  <r>
    <x v="0"/>
    <x v="751"/>
    <s v="-"/>
    <s v="Permanent"/>
    <s v="None"/>
    <s v="Permanent"/>
    <s v="Enemies permanently take -2 successes for each 1 rolled on Awarenesss rolls."/>
    <n v="408"/>
    <x v="19"/>
    <x v="3"/>
    <x v="3"/>
    <x v="10"/>
    <s v="Sound and Scent Banishing Attitude"/>
    <m/>
  </r>
  <r>
    <x v="0"/>
    <x v="752"/>
    <s v="3m "/>
    <s v="Simple"/>
    <s v="None"/>
    <s v="Scene"/>
    <s v="Blend perfectly in the crowd. Checkpoints or magic actively opposing your cause may still detect you."/>
    <n v="403"/>
    <x v="19"/>
    <x v="1"/>
    <x v="0"/>
    <x v="10"/>
    <m/>
    <m/>
  </r>
  <r>
    <x v="0"/>
    <x v="753"/>
    <s v="5m, 1wp "/>
    <s v="Simple"/>
    <s v="Mute"/>
    <s v="Scene"/>
    <s v="Roll Stealth against target's Resolve; if you succeed, you're imperceptible to him until you Join Battle or try to steal something the target cares about."/>
    <n v="405"/>
    <x v="19"/>
    <x v="2"/>
    <x v="1"/>
    <x v="10"/>
    <s v="Easily-Overlooked Presence Method"/>
    <m/>
  </r>
  <r>
    <x v="0"/>
    <x v="754"/>
    <s v="3m "/>
    <s v="Reflexive"/>
    <s v="None"/>
    <s v="Scene"/>
    <s v="Attempts to detect you by hearing alone take -1 success for each 1 or 2 rolled."/>
    <n v="407"/>
    <x v="19"/>
    <x v="3"/>
    <x v="2"/>
    <x v="10"/>
    <s v="Sound and Scent Banishing Attitude"/>
    <m/>
  </r>
  <r>
    <x v="0"/>
    <x v="755"/>
    <s v="1m"/>
    <s v="Supplemental"/>
    <s v="None"/>
    <s v="Instant"/>
    <m/>
    <s v="MotSE 14"/>
    <x v="20"/>
    <x v="1"/>
    <x v="0"/>
    <x v="11"/>
    <s v="Crafty Observation Method"/>
    <m/>
  </r>
  <r>
    <x v="0"/>
    <x v="756"/>
    <s v="-"/>
    <s v="Reflexive"/>
    <s v="None"/>
    <s v="Instant"/>
    <s v="Auto-detect “There's something fishy here; roll to try to notice it.” Nice!"/>
    <n v="311"/>
    <x v="20"/>
    <x v="4"/>
    <x v="0"/>
    <x v="11"/>
    <m/>
    <m/>
  </r>
  <r>
    <x v="0"/>
    <x v="757"/>
    <s v="5m "/>
    <s v="Simple"/>
    <s v="Mute"/>
    <s v="Instant"/>
    <s v="Case a scene in seconds, with bonuses."/>
    <n v="312"/>
    <x v="20"/>
    <x v="1"/>
    <x v="0"/>
    <x v="11"/>
    <s v="Watchman's Infallible Eye"/>
    <m/>
  </r>
  <r>
    <x v="0"/>
    <x v="758"/>
    <s v="3m "/>
    <s v="Reflexive"/>
    <s v="None"/>
    <s v="Instant"/>
    <s v="Tell whether one statement is true or false."/>
    <n v="312"/>
    <x v="20"/>
    <x v="2"/>
    <x v="0"/>
    <x v="11"/>
    <s v="Crafty Observation Method"/>
    <m/>
  </r>
  <r>
    <x v="0"/>
    <x v="759"/>
    <s v="2m, 1wp "/>
    <s v="Simple"/>
    <s v="None"/>
    <s v="Instant"/>
    <s v="Profile criminal based on crime scene; auto-detect characters matching profile."/>
    <n v="312"/>
    <x v="20"/>
    <x v="3"/>
    <x v="0"/>
    <x v="11"/>
    <s v="Crafty Observation Method"/>
    <m/>
  </r>
  <r>
    <x v="0"/>
    <x v="760"/>
    <s v="-(4m, 1wp) "/>
    <s v="Reflexive"/>
    <s v="None"/>
    <s v="Instant"/>
    <s v="Get an alert (and an explanation) when a character acts against your profile of him."/>
    <n v="312"/>
    <x v="20"/>
    <x v="3"/>
    <x v="1"/>
    <x v="11"/>
    <s v="Evidence-Discerning Method"/>
    <m/>
  </r>
  <r>
    <x v="0"/>
    <x v="761"/>
    <s v="5m, 1wp "/>
    <s v="Supplemental"/>
    <s v="Mute"/>
    <s v="Instant"/>
    <s v="Compel a character to honestly answer questions."/>
    <n v="313"/>
    <x v="20"/>
    <x v="3"/>
    <x v="1"/>
    <x v="11"/>
    <s v="Judge's Ear Technique"/>
    <m/>
  </r>
  <r>
    <x v="0"/>
    <x v="762"/>
    <s v="3m "/>
    <s v="Supplemental"/>
    <s v="Mute"/>
    <s v="Instant"/>
    <s v="Auto-succeed on a case scene action. Make Holmes-style logical connections between objects and events."/>
    <n v="313"/>
    <x v="20"/>
    <x v="3"/>
    <x v="2"/>
    <x v="11"/>
    <s v="Evidence-Discerning Method, Judge's Ear Technique"/>
    <m/>
  </r>
  <r>
    <x v="0"/>
    <x v="763"/>
    <s v="10m, 1wp "/>
    <s v="Simple"/>
    <s v="None"/>
    <s v="Instant"/>
    <s v="Reenact the events of the crime from the perspective of one of the participants."/>
    <n v="313"/>
    <x v="20"/>
    <x v="3"/>
    <x v="2"/>
    <x v="11"/>
    <s v="Ten Magistrate Eyes"/>
    <m/>
  </r>
  <r>
    <x v="0"/>
    <x v="764"/>
    <s v="5m "/>
    <s v="Simple"/>
    <s v="None"/>
    <s v="Instant"/>
    <s v="Sense the emotions of the person who left behind a piece of evidence."/>
    <n v="314"/>
    <x v="20"/>
    <x v="3"/>
    <x v="2"/>
    <x v="11"/>
    <s v="Unknown Wisdom Epiphany"/>
    <m/>
  </r>
  <r>
    <x v="0"/>
    <x v="765"/>
    <s v="10m "/>
    <s v="Reflexive"/>
    <s v="None"/>
    <s v="Instant"/>
    <s v="Reset any Investigation Charms with limited use frequency (DIT, MSI, IQT, and MMM)."/>
    <n v="314"/>
    <x v="20"/>
    <x v="3"/>
    <x v="3"/>
    <x v="11"/>
    <s v="Dauntless Inquisitor Attitude"/>
    <m/>
  </r>
  <r>
    <x v="0"/>
    <x v="766"/>
    <s v="1m, 1wp "/>
    <s v="Reflexive"/>
    <s v="None"/>
    <s v="Instant"/>
    <s v="Understand the perpetrator's motivations, as per read intentions."/>
    <n v="315"/>
    <x v="20"/>
    <x v="3"/>
    <x v="3"/>
    <x v="11"/>
    <s v="Enlightened Touch Insight"/>
    <m/>
  </r>
  <r>
    <x v="0"/>
    <x v="767"/>
    <s v="12m, 1wp "/>
    <s v="Simple"/>
    <s v="None"/>
    <s v="Instant"/>
    <s v="Enter your “Mind Manse” and solve some piece of the mystery."/>
    <n v="315"/>
    <x v="20"/>
    <x v="3"/>
    <x v="4"/>
    <x v="11"/>
    <s v="Empathic Recall Discipline, Evidence-Restoring Prana"/>
    <m/>
  </r>
  <r>
    <x v="0"/>
    <x v="768"/>
    <s v="3m"/>
    <s v="Simple"/>
    <s v="Mute"/>
    <s v="One Action"/>
    <m/>
    <s v="MotSE 14"/>
    <x v="20"/>
    <x v="2"/>
    <x v="1"/>
    <x v="11"/>
    <s v="Judge's Ear Technique"/>
    <m/>
  </r>
  <r>
    <x v="0"/>
    <x v="769"/>
    <s v="-"/>
    <s v="Permanent"/>
    <s v="None"/>
    <s v="Permanent"/>
    <s v="Auto-detect “Larceny is being used nearby.”"/>
    <n v="311"/>
    <x v="20"/>
    <x v="0"/>
    <x v="0"/>
    <x v="11"/>
    <s v="Watchman's Infallible Eye"/>
    <m/>
  </r>
  <r>
    <x v="0"/>
    <x v="770"/>
    <s v="-"/>
    <s v="Permanent"/>
    <s v="None"/>
    <s v="Permanent"/>
    <s v="1/scene, free full Excellency."/>
    <n v="312"/>
    <x v="20"/>
    <x v="2"/>
    <x v="0"/>
    <x v="11"/>
    <s v="Crafty Observation Method"/>
    <m/>
  </r>
  <r>
    <x v="0"/>
    <x v="771"/>
    <s v="-"/>
    <s v="Permanent"/>
    <s v="Mute"/>
    <s v="Permanent"/>
    <s v="1/scene, roll Investigation with double-8s."/>
    <n v="312"/>
    <x v="20"/>
    <x v="3"/>
    <x v="1"/>
    <x v="11"/>
    <s v="Divine Induction Technique"/>
    <m/>
  </r>
  <r>
    <x v="0"/>
    <x v="772"/>
    <s v="6m "/>
    <s v="Reflexive"/>
    <s v="Mute"/>
    <s v="Scene"/>
    <s v="Infinite Investigation Mastery, roughly."/>
    <n v="313"/>
    <x v="20"/>
    <x v="3"/>
    <x v="2"/>
    <x v="11"/>
    <s v="Miraculous Stunning Insight"/>
    <m/>
  </r>
  <r>
    <x v="0"/>
    <x v="773"/>
    <s v="-(6m) "/>
    <s v="Reflexive"/>
    <s v="None"/>
    <s v="Varies"/>
    <s v="Momentarily restore destroyed evidence."/>
    <n v="313"/>
    <x v="20"/>
    <x v="3"/>
    <x v="2"/>
    <x v="11"/>
    <s v="Evidence-Discerning Method"/>
    <m/>
  </r>
  <r>
    <x v="0"/>
    <x v="774"/>
    <s v="3m"/>
    <s v="Reflexive"/>
    <s v="Mute"/>
    <s v="Ess+1 Turns"/>
    <s v="Walk on walls, ceilings and other sufraces defying gravity."/>
    <n v="263"/>
    <x v="21"/>
    <x v="2"/>
    <x v="0"/>
    <x v="12"/>
    <s v="Feather Foot Style"/>
    <m/>
  </r>
  <r>
    <x v="0"/>
    <x v="775"/>
    <s v="5m, 1wp"/>
    <s v="Reflexive"/>
    <s v="None"/>
    <s v="Indefinite"/>
    <s v="Leap uo 2 range bands and fly 1 range band per turn by paying 2m or 2i. Attacking keeps you airborne."/>
    <n v="265"/>
    <x v="21"/>
    <x v="3"/>
    <x v="2"/>
    <x v="12"/>
    <s v="Mountain-Crossing Leap Technique"/>
    <m/>
  </r>
  <r>
    <x v="0"/>
    <x v="776"/>
    <s v="2m"/>
    <s v="Supplemental"/>
    <s v="None"/>
    <s v="Instant"/>
    <s v="Leap up or forward 1 range band. Cheaper if used again."/>
    <n v="261"/>
    <x v="21"/>
    <x v="0"/>
    <x v="0"/>
    <x v="12"/>
    <m/>
    <m/>
  </r>
  <r>
    <x v="0"/>
    <x v="777"/>
    <s v="3i"/>
    <s v="Reflexive"/>
    <s v="None"/>
    <s v="Instant"/>
    <s v="Jump over target to give a surprise attack."/>
    <n v="261"/>
    <x v="21"/>
    <x v="0"/>
    <x v="0"/>
    <x v="12"/>
    <s v="Graceful Crane Stance, Monkey Leap Technique"/>
    <m/>
  </r>
  <r>
    <x v="0"/>
    <x v="778"/>
    <s v="3m"/>
    <s v="Reflexive"/>
    <s v="None"/>
    <s v="Instant"/>
    <s v="Glide down 2 range bands without taking damage. Use movement to glide forward 1 range band while falling. Thrust helps."/>
    <n v="261"/>
    <x v="21"/>
    <x v="1"/>
    <x v="0"/>
    <x v="12"/>
    <s v="Monkey Leap Technique"/>
    <m/>
  </r>
  <r>
    <x v="0"/>
    <x v="779"/>
    <s v="3m"/>
    <s v="Supplemental"/>
    <s v="None"/>
    <s v="Instant"/>
    <s v="Add 1 suc and reroll recurring 5s and 6s for a rush or test of speed."/>
    <n v="262"/>
    <x v="21"/>
    <x v="1"/>
    <x v="0"/>
    <x v="12"/>
    <m/>
    <m/>
  </r>
  <r>
    <x v="0"/>
    <x v="780"/>
    <s v="4m, 1wp"/>
    <s v="Supplemental"/>
    <s v="Decisive-only"/>
    <s v="Instant"/>
    <s v="Leap at a target within short range, doubling damage after roll. If target was aerial, may fall 1 range without damage."/>
    <n v="262"/>
    <x v="21"/>
    <x v="1"/>
    <x v="0"/>
    <x v="12"/>
    <s v="Increasing Strength Exercise, Monkey Leap Technique"/>
    <m/>
  </r>
  <r>
    <x v="0"/>
    <x v="781"/>
    <s v="4m"/>
    <s v="Reflexive"/>
    <s v="None"/>
    <s v="Instant"/>
    <m/>
    <s v="MotSE 7"/>
    <x v="21"/>
    <x v="2"/>
    <x v="0"/>
    <x v="12"/>
    <s v="Increasing Strength Exercise"/>
    <m/>
  </r>
  <r>
    <x v="0"/>
    <x v="782"/>
    <s v="1m"/>
    <s v="Supplemental"/>
    <s v="Decisive-only"/>
    <s v="Instant"/>
    <s v="Close range decisive ignores (Strength) hardness."/>
    <n v="264"/>
    <x v="21"/>
    <x v="1"/>
    <x v="1"/>
    <x v="12"/>
    <s v="Increasing Strength Exercise"/>
    <m/>
  </r>
  <r>
    <x v="0"/>
    <x v="783"/>
    <s v="4m, 1wp"/>
    <s v="Supplemental"/>
    <s v="Dual"/>
    <s v="Instant"/>
    <s v="Leap toward a target up to medium range and attack. Doubling post-soak damage dice and adding ess to base decisive damage."/>
    <n v="264"/>
    <x v="21"/>
    <x v="3"/>
    <x v="1"/>
    <x v="12"/>
    <s v="Graceful Crane Stance, Lightning Speed"/>
    <m/>
  </r>
  <r>
    <x v="0"/>
    <x v="784"/>
    <s v="5m"/>
    <s v="Reflexive"/>
    <s v="None"/>
    <s v="Instant"/>
    <s v="Reroll all non-successes for a feat of strength."/>
    <n v="265"/>
    <x v="21"/>
    <x v="3"/>
    <x v="1"/>
    <x v="12"/>
    <s v="Increasing Strength Exercise"/>
    <m/>
  </r>
  <r>
    <x v="0"/>
    <x v="785"/>
    <s v="5m, 1wp"/>
    <s v="Supplemental"/>
    <s v="None"/>
    <s v="Instant"/>
    <s v="Can rush from medium range, if succesful, get extra moves toward target."/>
    <n v="265"/>
    <x v="21"/>
    <x v="3"/>
    <x v="2"/>
    <x v="12"/>
    <s v="Racing Hare Method"/>
    <m/>
  </r>
  <r>
    <x v="0"/>
    <x v="786"/>
    <s v="1i/sux"/>
    <s v="Supplemental"/>
    <s v="None"/>
    <s v="Instant"/>
    <s v="Spend 1i per succ for a rush or a test of speed."/>
    <n v="265"/>
    <x v="21"/>
    <x v="3"/>
    <x v="2"/>
    <x v="12"/>
    <s v="Arete-Driven Marathon Stride"/>
    <m/>
  </r>
  <r>
    <x v="0"/>
    <x v="787"/>
    <s v="4m, 1wp"/>
    <s v="Reflexive"/>
    <s v="None"/>
    <s v="Instant"/>
    <s v="Can rush up to 3 range bands away. Removes flurry penalty for attacking after rush."/>
    <n v="265"/>
    <x v="21"/>
    <x v="3"/>
    <x v="2"/>
    <x v="12"/>
    <s v="Arete-Driven Marathon Stride, Racing Hare Method"/>
    <m/>
  </r>
  <r>
    <x v="0"/>
    <x v="788"/>
    <s v="4m"/>
    <s v="Supplemental"/>
    <s v="None"/>
    <s v="Instant"/>
    <s v="Add (strength) non-charm dice to a feat of strength."/>
    <n v="266"/>
    <x v="21"/>
    <x v="3"/>
    <x v="2"/>
    <x v="12"/>
    <s v="Thunder's Might"/>
    <m/>
  </r>
  <r>
    <x v="0"/>
    <x v="789"/>
    <s v="1m, 1wp"/>
    <s v="Supplemental"/>
    <s v="None"/>
    <s v="Instant"/>
    <s v="Gain double 7s for feats of strength, and meet the requirements for all feats of strength."/>
    <n v="267"/>
    <x v="21"/>
    <x v="3"/>
    <x v="4"/>
    <x v="12"/>
    <s v="Aegis of Unstoppable Force"/>
    <m/>
  </r>
  <r>
    <x v="0"/>
    <x v="790"/>
    <s v="7m, 1wp"/>
    <s v="Simple"/>
    <s v="None"/>
    <s v="Leaping"/>
    <s v="Leap up to 4 range bands forward or 3 upward, but no less than 3."/>
    <n v="265"/>
    <x v="21"/>
    <x v="3"/>
    <x v="2"/>
    <x v="12"/>
    <s v="Unbound Eagle Approach"/>
    <m/>
  </r>
  <r>
    <x v="0"/>
    <x v="791"/>
    <s v="2m, 3 sux/dot"/>
    <s v="Supplemental"/>
    <s v="None"/>
    <s v="One Feat"/>
    <s v="Roll strength+athletics to add 1 dot of strength per 3succ, for a feat of strength's requirements."/>
    <n v="262"/>
    <x v="21"/>
    <x v="3"/>
    <x v="0"/>
    <x v="12"/>
    <s v="Increasing Strength Exercise"/>
    <m/>
  </r>
  <r>
    <x v="0"/>
    <x v="792"/>
    <s v="5m, 1wp"/>
    <s v="Reflexive"/>
    <s v="None"/>
    <s v="One hour"/>
    <s v="Move 3 range bands per turn. In battle only 1 per turn, but double 9s on rush."/>
    <n v="264"/>
    <x v="21"/>
    <x v="2"/>
    <x v="1"/>
    <x v="12"/>
    <s v="Lightning Speed"/>
    <m/>
  </r>
  <r>
    <x v="0"/>
    <x v="793"/>
    <s v="3m"/>
    <s v="Reflexive"/>
    <s v="Mute"/>
    <s v="One Run"/>
    <s v="Can run on water or other weak surfaces. At full speed won't be harmed by lava or acid. At 2ess can pause and go slower for the length of 1 stunt. Still need to run to not be hurt by lava or acid."/>
    <n v="263"/>
    <x v="21"/>
    <x v="1"/>
    <x v="0"/>
    <x v="12"/>
    <s v="Graceful Crane Stance, Lightning Speed"/>
    <m/>
  </r>
  <r>
    <x v="0"/>
    <x v="794"/>
    <s v="-"/>
    <s v="Permanent"/>
    <s v="None"/>
    <s v="Permanent"/>
    <s v="Each interval where you're the fastest, gain 2m for athletics charms or 2i."/>
    <n v="262"/>
    <x v="21"/>
    <x v="2"/>
    <x v="0"/>
    <x v="12"/>
    <s v="Lightning Speed"/>
    <m/>
  </r>
  <r>
    <x v="0"/>
    <x v="795"/>
    <s v="-"/>
    <s v="Permanent"/>
    <s v="None"/>
    <s v="Permanent"/>
    <s v="After rushing, gain 3 motes for athletics charms this turn."/>
    <n v="264"/>
    <x v="21"/>
    <x v="1"/>
    <x v="1"/>
    <x v="12"/>
    <s v="Lightning Speed"/>
    <m/>
  </r>
  <r>
    <x v="0"/>
    <x v="796"/>
    <s v="- (2m)"/>
    <s v="Permanent"/>
    <s v="None"/>
    <s v="Permanent"/>
    <s v="Add 2m to SCL to glide without thrust."/>
    <n v="264"/>
    <x v="21"/>
    <x v="2"/>
    <x v="1"/>
    <x v="12"/>
    <s v="Soaring Crane Leap"/>
    <m/>
  </r>
  <r>
    <x v="0"/>
    <x v="797"/>
    <s v="-"/>
    <s v="Permanent"/>
    <s v="None"/>
    <s v="Permanent"/>
    <s v="If behind in a test of speed or a rush, enemy 10s give you 1 succ."/>
    <n v="264"/>
    <x v="21"/>
    <x v="3"/>
    <x v="1"/>
    <x v="12"/>
    <s v="Winning Stride Discipline"/>
    <m/>
  </r>
  <r>
    <x v="0"/>
    <x v="798"/>
    <s v="-"/>
    <s v="Permanent"/>
    <s v="None"/>
    <s v="Permanent"/>
    <s v="For feats of strength, athletics excellency is half price."/>
    <n v="266"/>
    <x v="21"/>
    <x v="3"/>
    <x v="2"/>
    <x v="12"/>
    <s v="Power Suffusing Form Technique"/>
    <m/>
  </r>
  <r>
    <x v="0"/>
    <x v="799"/>
    <s v="-"/>
    <s v="Permanent"/>
    <s v="None"/>
    <s v="Permanent"/>
    <s v="Every athletics roll gains double 9s."/>
    <n v="266"/>
    <x v="21"/>
    <x v="3"/>
    <x v="2"/>
    <x v="12"/>
    <s v="Arete-Driven Marathon Stride, Ten Ox Meditation, Unbound Eagle Approach"/>
    <m/>
  </r>
  <r>
    <x v="0"/>
    <x v="800"/>
    <s v="-"/>
    <s v="Permanent"/>
    <s v="None"/>
    <s v="Permanent"/>
    <s v="Once per scene, take a 2nd movement action on your turn."/>
    <n v="266"/>
    <x v="21"/>
    <x v="3"/>
    <x v="3"/>
    <x v="12"/>
    <s v="Godspeed Steps"/>
    <m/>
  </r>
  <r>
    <x v="0"/>
    <x v="801"/>
    <s v="-"/>
    <s v="Permanent"/>
    <s v="None"/>
    <s v="Permanent"/>
    <s v="When using EWS and anima is at bonfire, your attacks benefit from OBM."/>
    <n v="266"/>
    <x v="21"/>
    <x v="3"/>
    <x v="3"/>
    <x v="12"/>
    <s v="Eagle-Wing Style, Onrush Burst Method"/>
    <m/>
  </r>
  <r>
    <x v="0"/>
    <x v="802"/>
    <s v="-"/>
    <s v="Permanent"/>
    <s v="None"/>
    <s v="Permanent"/>
    <s v="Feats of strength lower difficulty by 2."/>
    <n v="266"/>
    <x v="21"/>
    <x v="3"/>
    <x v="3"/>
    <x v="12"/>
    <s v="Legion Aurochs Method"/>
    <m/>
  </r>
  <r>
    <x v="0"/>
    <x v="803"/>
    <s v="-"/>
    <s v="Permanent"/>
    <s v="None"/>
    <s v="Permanent"/>
    <s v="Once per scene, autowin at a rush, or gain 1 more success than enemy in a test of speed interval."/>
    <n v="266"/>
    <x v="21"/>
    <x v="3"/>
    <x v="4"/>
    <x v="12"/>
    <s v="One Extra Step"/>
    <m/>
  </r>
  <r>
    <x v="0"/>
    <x v="804"/>
    <s v="3m"/>
    <s v="Reflexive"/>
    <s v="None"/>
    <s v="Scene"/>
    <s v="Stand with great balance on unstable or narrow surfaces."/>
    <n v="261"/>
    <x v="21"/>
    <x v="4"/>
    <x v="0"/>
    <x v="12"/>
    <m/>
    <m/>
  </r>
  <r>
    <x v="0"/>
    <x v="805"/>
    <s v="3m/dot or 3i/dot"/>
    <s v="Simple"/>
    <s v="None"/>
    <s v="Scene"/>
    <s v="Spend 3m or 3i per 1 extra dot of strength, and +1 base decisive damage. Up by ess or to double strength."/>
    <n v="262"/>
    <x v="21"/>
    <x v="1"/>
    <x v="0"/>
    <x v="12"/>
    <m/>
    <m/>
  </r>
  <r>
    <x v="0"/>
    <x v="806"/>
    <s v="10m, 1wp (+1m/rnd)"/>
    <s v="Simple"/>
    <s v="Perilous"/>
    <s v="Scene"/>
    <m/>
    <s v="MotSE 8"/>
    <x v="21"/>
    <x v="3"/>
    <x v="4"/>
    <x v="12"/>
    <s v="Living Wind Approach, Hurricane Spirit Speed"/>
    <m/>
  </r>
  <r>
    <x v="0"/>
    <x v="807"/>
    <s v="5m, 1wp "/>
    <s v="Reflexive"/>
    <s v="None"/>
    <s v="Indefinite"/>
    <s v="Lead a small group safely through the wilderness at 20 miles/day. (How fast is normal?)"/>
    <n v="409"/>
    <x v="22"/>
    <x v="2"/>
    <x v="1"/>
    <x v="7"/>
    <s v="Hardship-Surviving Mendicant Spirit"/>
    <m/>
  </r>
  <r>
    <x v="0"/>
    <x v="808"/>
    <s v="6m "/>
    <s v="Simple"/>
    <s v="None"/>
    <s v="Indefinite"/>
    <s v="Perfectly conceal yourself or your stash against mundane senses."/>
    <n v="412"/>
    <x v="22"/>
    <x v="3"/>
    <x v="2"/>
    <x v="7"/>
    <s v="Traceless Passage"/>
    <m/>
  </r>
  <r>
    <x v="0"/>
    <x v="809"/>
    <s v="5m, 1wp "/>
    <s v="Reflexive"/>
    <s v="None"/>
    <s v="Indefinite"/>
    <s v="Your familiar grows, gains stat boosts, and develops beneficial mutations. (Wings!)"/>
    <n v="413"/>
    <x v="22"/>
    <x v="3"/>
    <x v="2"/>
    <x v="7"/>
    <s v="Hide-Hardening Practice, Life of the Aurochs"/>
    <m/>
  </r>
  <r>
    <x v="0"/>
    <x v="810"/>
    <s v="15m, 1wp "/>
    <s v="Reflexive"/>
    <s v="None"/>
    <s v="Indefinite"/>
    <s v="Your familiar becomes huge and intimidating. It can attempt huge feats of strength and gains major bonuses to movement actions. Its attacks will hit. Its Initiative does not reset. It CANNOT DIE, or even be wounded by Decisive attacks. If it Crashes, the Charm ends."/>
    <n v="414"/>
    <x v="22"/>
    <x v="3"/>
    <x v="2"/>
    <x v="7"/>
    <s v="Crimson Talon Vigor, Red-Toothed Execution Order, Saga Beast Virtue"/>
    <m/>
  </r>
  <r>
    <x v="0"/>
    <x v="811"/>
    <s v="6m"/>
    <s v="Simple"/>
    <s v="None"/>
    <s v="Indefinite"/>
    <m/>
    <s v="MotSE 34"/>
    <x v="22"/>
    <x v="3"/>
    <x v="2"/>
    <x v="7"/>
    <s v="Food-Gathering Exercise, Friend-ship with Animals Approach, Element-Resisting Prana"/>
    <m/>
  </r>
  <r>
    <x v="0"/>
    <x v="812"/>
    <s v="-"/>
    <s v="Simple"/>
    <s v="None"/>
    <s v="Instant"/>
    <m/>
    <s v="MotSE 34"/>
    <x v="22"/>
    <x v="1"/>
    <x v="0"/>
    <x v="7"/>
    <s v="Food-Gathering Exercise, Friend-ship with Animals Approach, Hardship-Surviving Men-dicant Spirit"/>
    <m/>
  </r>
  <r>
    <x v="0"/>
    <x v="813"/>
    <s v="10m, 1wp, 1xp "/>
    <s v="Simple"/>
    <s v="None"/>
    <s v="Instant"/>
    <s v="Your familiar is unshakably loyal and produces motes and willpower. You can see through its senses."/>
    <n v="410"/>
    <x v="22"/>
    <x v="1"/>
    <x v="1"/>
    <x v="7"/>
    <s v="Friendship with Animals Approach"/>
    <m/>
  </r>
  <r>
    <x v="0"/>
    <x v="814"/>
    <s v="4m "/>
    <s v="Simple"/>
    <s v="Mute"/>
    <s v="Instant"/>
    <s v="Command your familiar, granting it bonus dice on its attacks."/>
    <n v="411"/>
    <x v="22"/>
    <x v="1"/>
    <x v="1"/>
    <x v="7"/>
    <s v="Spirit-Tied Pet"/>
    <m/>
  </r>
  <r>
    <x v="0"/>
    <x v="815"/>
    <s v="3m "/>
    <s v="Reflexive"/>
    <s v="Mute"/>
    <s v="Instant"/>
    <s v="Your familiar gets to use your Join Battle roll, with bonus successes. Bonus dice granted to this action by FHI gain recurring successes."/>
    <n v="412"/>
    <x v="22"/>
    <x v="1"/>
    <x v="1"/>
    <x v="7"/>
    <s v="Familiar-Honing Instruction"/>
    <m/>
  </r>
  <r>
    <x v="0"/>
    <x v="816"/>
    <s v="10m, 1wp, 2xp "/>
    <s v="Supplemental"/>
    <s v="None"/>
    <s v="Instant"/>
    <s v="Recurring 1s on a training roll. Grant a familiar bonus stats with an XP investment."/>
    <n v="411"/>
    <x v="22"/>
    <x v="2"/>
    <x v="1"/>
    <x v="7"/>
    <s v="Spirit-Tied Pet"/>
    <m/>
  </r>
  <r>
    <x v="0"/>
    <x v="817"/>
    <s v="4m "/>
    <s v="Supplemental"/>
    <s v="None"/>
    <s v="Instant"/>
    <s v="When tracking another, you have recurring 5s and 6s and his 1s count as 10s for you."/>
    <n v="410"/>
    <x v="22"/>
    <x v="3"/>
    <x v="1"/>
    <x v="7"/>
    <s v="Trackless Region Navigation"/>
    <m/>
  </r>
  <r>
    <x v="0"/>
    <x v="818"/>
    <s v="3m "/>
    <s v="Reflexive"/>
    <s v="None"/>
    <s v="Instant"/>
    <s v="Call your familiar to attack alongside you."/>
    <n v="411"/>
    <x v="22"/>
    <x v="3"/>
    <x v="1"/>
    <x v="7"/>
    <s v="Beast-Mastering Behavior"/>
    <m/>
  </r>
  <r>
    <x v="0"/>
    <x v="819"/>
    <s v="3m, 1wp "/>
    <s v="Supplemental"/>
    <s v="None"/>
    <s v="Instant"/>
    <s v="Bonuses to your attempts to leave no tracks with a small group. Mundane tracking automatically fails."/>
    <n v="412"/>
    <x v="22"/>
    <x v="3"/>
    <x v="2"/>
    <x v="7"/>
    <s v="Unshakeable Bloodhound Technique"/>
    <m/>
  </r>
  <r>
    <x v="0"/>
    <x v="820"/>
    <s v="5m "/>
    <s v="Reflexive"/>
    <s v="Decisive-only"/>
    <s v="Instant"/>
    <s v="1/scene, your Familiar's Decisive attacks roll over extra successes into damage."/>
    <n v="413"/>
    <x v="22"/>
    <x v="3"/>
    <x v="2"/>
    <x v="7"/>
    <s v="Deadly Onslaught Coordination"/>
    <m/>
  </r>
  <r>
    <x v="0"/>
    <x v="821"/>
    <s v="-"/>
    <s v="Reflexive"/>
    <s v="None"/>
    <s v="Instant"/>
    <m/>
    <s v="MotSE 35"/>
    <x v="22"/>
    <x v="3"/>
    <x v="4"/>
    <x v="7"/>
    <s v="Colossal Rampaging Beast"/>
    <m/>
  </r>
  <r>
    <x v="0"/>
    <x v="822"/>
    <s v="5m "/>
    <s v="Reflexive"/>
    <s v="None"/>
    <s v="One day"/>
    <s v="Remove penalties and minor troubles for rough environment. Does not resist environmental damage."/>
    <n v="409"/>
    <x v="22"/>
    <x v="1"/>
    <x v="0"/>
    <x v="7"/>
    <m/>
    <m/>
  </r>
  <r>
    <x v="0"/>
    <x v="823"/>
    <s v="3m "/>
    <s v="Simple"/>
    <s v="None"/>
    <s v="One hour"/>
    <s v="Gather enough food for one or more people in any environment."/>
    <n v="409"/>
    <x v="22"/>
    <x v="4"/>
    <x v="0"/>
    <x v="7"/>
    <m/>
    <m/>
  </r>
  <r>
    <x v="0"/>
    <x v="824"/>
    <s v="1m "/>
    <s v="Reflexive"/>
    <s v="None"/>
    <s v="One Turn"/>
    <s v="Your familiar can see dematerialized spirits."/>
    <n v="412"/>
    <x v="22"/>
    <x v="3"/>
    <x v="1"/>
    <x v="7"/>
    <s v="Familiar-Honing Instruction"/>
    <m/>
  </r>
  <r>
    <x v="0"/>
    <x v="825"/>
    <s v="3m "/>
    <s v="Reflexive"/>
    <s v="None"/>
    <s v="One Turn"/>
    <s v="Your familiar grapples spirits, making them vulnerable to you. Cheaper in conjunction with FHI."/>
    <n v="414"/>
    <x v="22"/>
    <x v="3"/>
    <x v="2"/>
    <x v="7"/>
    <s v="Spirit-Hunting Hound"/>
    <m/>
  </r>
  <r>
    <x v="0"/>
    <x v="826"/>
    <s v="10m, 1wp "/>
    <s v="Simple"/>
    <s v="None"/>
    <s v="One week"/>
    <s v="Train a new familiar, or train an existing familiar to use its latent, magical, or blatantly supernatural powers."/>
    <n v="410"/>
    <x v="22"/>
    <x v="2"/>
    <x v="1"/>
    <x v="7"/>
    <s v="Spirit-Tied Pet"/>
    <m/>
  </r>
  <r>
    <x v="0"/>
    <x v="827"/>
    <s v="-"/>
    <s v="Permanent"/>
    <s v="Stackable"/>
    <s v="Permanent"/>
    <s v="Permanent soak/hardness boost for your familiar."/>
    <n v="411"/>
    <x v="22"/>
    <x v="3"/>
    <x v="1"/>
    <x v="7"/>
    <s v="Bestial Traits Technique"/>
    <m/>
  </r>
  <r>
    <x v="0"/>
    <x v="828"/>
    <s v="-"/>
    <s v="Permanent"/>
    <s v="Stackable"/>
    <s v="Permanent"/>
    <s v="Extra health levels for your familiar."/>
    <n v="411"/>
    <x v="22"/>
    <x v="3"/>
    <x v="1"/>
    <x v="7"/>
    <s v="Bestial Traits Technique"/>
    <m/>
  </r>
  <r>
    <x v="0"/>
    <x v="829"/>
    <s v="-"/>
    <s v="Permanent"/>
    <s v="None"/>
    <s v="Permanent"/>
    <s v="Your familiar permanently generates 1i/turn, except when DPM is active."/>
    <n v="414"/>
    <x v="22"/>
    <x v="2"/>
    <x v="2"/>
    <x v="7"/>
    <s v="Ambush Predator Style"/>
    <m/>
  </r>
  <r>
    <x v="0"/>
    <x v="830"/>
    <s v="-"/>
    <s v="Permanent"/>
    <s v="None"/>
    <s v="Permanent"/>
    <s v="Ignore drowning and toxic gas; reduce all environmental damage by your Resistance."/>
    <n v="412"/>
    <x v="22"/>
    <x v="3"/>
    <x v="2"/>
    <x v="7"/>
    <s v="Hardship-Surviving Mendicant Spirit"/>
    <m/>
  </r>
  <r>
    <x v="0"/>
    <x v="831"/>
    <s v="-"/>
    <s v="Permanent"/>
    <s v="None"/>
    <s v="Permanent"/>
    <s v="Use your Stealth Charms while possessing your familiar."/>
    <n v="413"/>
    <x v="22"/>
    <x v="3"/>
    <x v="2"/>
    <x v="7"/>
    <s v="Beast-Mastering Behavior, Bestial Traits Technique"/>
    <m/>
  </r>
  <r>
    <x v="0"/>
    <x v="832"/>
    <s v="-"/>
    <s v="Permanent"/>
    <s v="None"/>
    <s v="Permanent"/>
    <s v="When you land a Withering attack, your familiar gains half as much Initiative as you do."/>
    <n v="414"/>
    <x v="22"/>
    <x v="3"/>
    <x v="2"/>
    <x v="7"/>
    <s v="Force-Building Predator Style"/>
    <m/>
  </r>
  <r>
    <x v="0"/>
    <x v="833"/>
    <s v="3m "/>
    <s v="Simple"/>
    <s v="None"/>
    <s v="Scene"/>
    <s v="Wild animals are friendly, or at least won't attack."/>
    <n v="409"/>
    <x v="22"/>
    <x v="0"/>
    <x v="0"/>
    <x v="7"/>
    <m/>
    <m/>
  </r>
  <r>
    <x v="0"/>
    <x v="834"/>
    <s v="8m, 1wp"/>
    <s v="Simple"/>
    <s v="None"/>
    <s v="Scene"/>
    <m/>
    <s v="MotSE 34"/>
    <x v="22"/>
    <x v="3"/>
    <x v="2"/>
    <x v="7"/>
    <s v="Red-Toothed Execution Order"/>
    <m/>
  </r>
  <r>
    <x v="0"/>
    <x v="835"/>
    <s v="7m, 3a, 1wp"/>
    <s v="Reflexive"/>
    <s v="None"/>
    <s v="Scene"/>
    <m/>
    <s v="MotSE 35"/>
    <x v="22"/>
    <x v="3"/>
    <x v="3"/>
    <x v="7"/>
    <s v="Deadly Predator Method"/>
    <m/>
  </r>
  <r>
    <x v="0"/>
    <x v="836"/>
    <s v="1m "/>
    <s v="Supplemental"/>
    <s v="Withering-only"/>
    <s v="Instant"/>
    <s v="Calculate Accuracy on a Withering attack as if you were at Close range. At Close range, subtract 1 from target's Defense."/>
    <n v="415"/>
    <x v="23"/>
    <x v="4"/>
    <x v="0"/>
    <x v="0"/>
    <m/>
    <m/>
  </r>
  <r>
    <x v="0"/>
    <x v="837"/>
    <s v="2m "/>
    <s v="Supplemental"/>
    <s v="Decisive-only"/>
    <s v="Instant"/>
    <s v="Cheap Excellency on your first attack if you roll the highest Join Battle. At E3, doesn't reset your Initiative."/>
    <n v="415"/>
    <x v="23"/>
    <x v="0"/>
    <x v="0"/>
    <x v="0"/>
    <s v="Precision of the Striking Raptor"/>
    <m/>
  </r>
  <r>
    <x v="0"/>
    <x v="838"/>
    <s v="3m "/>
    <s v="Supplemental"/>
    <s v="None"/>
    <s v="Instant"/>
    <s v="Take your first turn earlier, even though you don't gain extra Initiative. Works cross-Ability."/>
    <n v="415"/>
    <x v="23"/>
    <x v="1"/>
    <x v="0"/>
    <x v="0"/>
    <s v="Steel Storm Descending"/>
    <m/>
  </r>
  <r>
    <x v="0"/>
    <x v="839"/>
    <s v="3m "/>
    <s v="Supplemental"/>
    <s v="Decisive-only, Stackable"/>
    <s v="Instant"/>
    <s v="If your Decisive deals 3HL, the target takes -3 to all die pools for the scene."/>
    <n v="415"/>
    <x v="23"/>
    <x v="1"/>
    <x v="0"/>
    <x v="0"/>
    <s v="Precision of the Striking Raptor"/>
    <m/>
  </r>
  <r>
    <x v="0"/>
    <x v="840"/>
    <s v="1m "/>
    <s v="Supplemental"/>
    <s v="Uniform"/>
    <s v="Instant"/>
    <s v="Make Thrown attacks from Long range."/>
    <n v="416"/>
    <x v="23"/>
    <x v="1"/>
    <x v="0"/>
    <x v="0"/>
    <m/>
    <m/>
  </r>
  <r>
    <x v="0"/>
    <x v="841"/>
    <s v="1m"/>
    <s v="Reflexive"/>
    <s v="None"/>
    <s v="Instant"/>
    <m/>
    <s v="MotSE 36"/>
    <x v="23"/>
    <x v="1"/>
    <x v="0"/>
    <x v="0"/>
    <m/>
    <m/>
  </r>
  <r>
    <x v="0"/>
    <x v="842"/>
    <s v="3m "/>
    <s v="Simple"/>
    <s v="Uniform"/>
    <s v="Instant"/>
    <s v="Negate the target's cover."/>
    <n v="416"/>
    <x v="23"/>
    <x v="2"/>
    <x v="0"/>
    <x v="0"/>
    <s v="Precision of the Striking Raptor"/>
    <m/>
  </r>
  <r>
    <x v="0"/>
    <x v="843"/>
    <s v="5m, 1wp "/>
    <s v="Reflexive"/>
    <s v="Decisive-only"/>
    <s v="Instant"/>
    <s v="1/scene, make an undodgeable attack with a full Excellency that also strikes all targets nearby."/>
    <n v="416"/>
    <x v="23"/>
    <x v="2"/>
    <x v="0"/>
    <x v="0"/>
    <s v="Triple Distance Attack Technique"/>
    <m/>
  </r>
  <r>
    <x v="0"/>
    <x v="844"/>
    <s v="3m"/>
    <s v="Supplemental"/>
    <s v="Decisive-only"/>
    <s v="Instant"/>
    <m/>
    <s v="MotSE 36"/>
    <x v="23"/>
    <x v="2"/>
    <x v="0"/>
    <x v="0"/>
    <s v="Spitting Hand Technique"/>
    <m/>
  </r>
  <r>
    <x v="0"/>
    <x v="845"/>
    <s v="3m, 2i"/>
    <s v="Reflexive"/>
    <s v="Decisive-only"/>
    <s v="Instant"/>
    <m/>
    <s v="MotSE 36"/>
    <x v="23"/>
    <x v="3"/>
    <x v="0"/>
    <x v="0"/>
    <s v="Angle-Tracing Edge"/>
    <m/>
  </r>
  <r>
    <x v="0"/>
    <x v="846"/>
    <s v="2m "/>
    <s v="Supplemental"/>
    <s v="Uniform"/>
    <s v="Instant"/>
    <s v="Reroll one nonsuccess for each 10 on a Join Battle. If you roll highest, attack (Dexterity) opponents."/>
    <n v="416"/>
    <x v="23"/>
    <x v="2"/>
    <x v="1"/>
    <x v="0"/>
    <s v="Flashing Draw Mastery"/>
    <m/>
  </r>
  <r>
    <x v="0"/>
    <x v="847"/>
    <s v="2m/turn "/>
    <s v="Supplemental"/>
    <s v="Decisive-only, Mute"/>
    <s v="Instant"/>
    <s v="Target struck by a Decisive attack can make no sound for several rounds."/>
    <n v="416"/>
    <x v="23"/>
    <x v="2"/>
    <x v="1"/>
    <x v="0"/>
    <s v="Joint-Wounding Attack"/>
    <m/>
  </r>
  <r>
    <x v="0"/>
    <x v="848"/>
    <s v="3m "/>
    <s v="Supplemental"/>
    <s v="Mute, Uniform"/>
    <s v="Instant"/>
    <s v="A thrown attack appears to come from a different direction. At E3, make thrown attacks from stealth without revealing yourself."/>
    <n v="417"/>
    <x v="23"/>
    <x v="2"/>
    <x v="1"/>
    <x v="0"/>
    <s v="Joint-Wounding Attack"/>
    <m/>
  </r>
  <r>
    <x v="0"/>
    <x v="849"/>
    <s v="2m "/>
    <s v="Supplemental"/>
    <s v="Decisive-only"/>
    <s v="Instant"/>
    <s v="“Reroll 6s equal to your 7s” on a Distract or Disarm gambit, + bonus successes."/>
    <n v="417"/>
    <x v="23"/>
    <x v="3"/>
    <x v="1"/>
    <x v="0"/>
    <s v="Observer-Deceiving Attack"/>
    <m/>
  </r>
  <r>
    <x v="0"/>
    <x v="850"/>
    <s v="3m, 2i "/>
    <s v="Reflexive"/>
    <s v="None"/>
    <s v="Instant"/>
    <s v="Knock a dropped weapon one range band."/>
    <n v="417"/>
    <x v="23"/>
    <x v="3"/>
    <x v="1"/>
    <x v="0"/>
    <s v="Empty Palm Technique"/>
    <m/>
  </r>
  <r>
    <x v="0"/>
    <x v="851"/>
    <s v="3m, 2i "/>
    <s v="Reflexive"/>
    <s v="None"/>
    <s v="Instant"/>
    <s v="Allows you to target an already fallen or dropped weapon."/>
    <n v="417"/>
    <x v="23"/>
    <x v="3"/>
    <x v="1"/>
    <x v="0"/>
    <s v="Fallen Weapon Deflection"/>
    <m/>
  </r>
  <r>
    <x v="0"/>
    <x v="852"/>
    <s v="3m "/>
    <s v="Reflexive"/>
    <s v="Mute"/>
    <s v="Instant"/>
    <s v="Bonus Initiative when you Aim to make a Decisive from cover or stealth."/>
    <n v="417"/>
    <x v="23"/>
    <x v="3"/>
    <x v="1"/>
    <x v="0"/>
    <s v="Joint-Wounding Attack"/>
    <m/>
  </r>
  <r>
    <x v="0"/>
    <x v="853"/>
    <s v="6m, 1wp "/>
    <s v="Simple"/>
    <s v="Withering-only"/>
    <s v="Instant"/>
    <s v="Your Withering attack strikes all enemies within short range of the target."/>
    <n v="417"/>
    <x v="23"/>
    <x v="3"/>
    <x v="1"/>
    <x v="0"/>
    <s v="Cascade of Cutting Terror"/>
    <m/>
  </r>
  <r>
    <x v="0"/>
    <x v="854"/>
    <s v="1m, 1wp"/>
    <s v="Simple"/>
    <s v="Decisive-only"/>
    <s v="Instant"/>
    <m/>
    <s v="MotSE 36"/>
    <x v="23"/>
    <x v="3"/>
    <x v="1"/>
    <x v="0"/>
    <s v="Diving Hawk Discipline"/>
    <m/>
  </r>
  <r>
    <x v="0"/>
    <x v="855"/>
    <s v="4m, 1wp"/>
    <s v="Simple"/>
    <s v="Decisive-only"/>
    <s v="Instant"/>
    <m/>
    <s v="MotSE 37"/>
    <x v="23"/>
    <x v="3"/>
    <x v="1"/>
    <x v="0"/>
    <s v="Diving Hawk Discipline"/>
    <m/>
  </r>
  <r>
    <x v="0"/>
    <x v="856"/>
    <s v="-"/>
    <s v="Permanent"/>
    <s v="None"/>
    <s v="Instant"/>
    <s v="When you use SCI to strike a target Decisively, you may retain extra Initiative equal to the 9s and 10s rolled."/>
    <n v="418"/>
    <x v="23"/>
    <x v="3"/>
    <x v="2"/>
    <x v="0"/>
    <s v="Swarm-Culling Instinct"/>
    <m/>
  </r>
  <r>
    <x v="0"/>
    <x v="857"/>
    <s v="5m, 1wp "/>
    <s v="Reflexive"/>
    <s v="Decisive-only, Mute"/>
    <s v="Instant"/>
    <s v="When you fool an opponent with ODA, you can make a Decisive ambush attack"/>
    <n v="418"/>
    <x v="23"/>
    <x v="3"/>
    <x v="2"/>
    <x v="0"/>
    <s v="Observer-Deceiving Attack"/>
    <m/>
  </r>
  <r>
    <x v="0"/>
    <x v="858"/>
    <s v="1m, 1wp "/>
    <s v="Supplemental"/>
    <s v="Decisive-only"/>
    <s v="Instant"/>
    <s v="Automatically hit with a Distract attack."/>
    <n v="418"/>
    <x v="23"/>
    <x v="3"/>
    <x v="2"/>
    <x v="0"/>
    <s v="Observer-Deceiving Attack"/>
    <m/>
  </r>
  <r>
    <x v="0"/>
    <x v="859"/>
    <s v="2m or 1m, 1wp "/>
    <s v="Simple"/>
    <s v="Clash, Decisive-only"/>
    <s v="Instant"/>
    <s v="Roll a Decisive attack or Disarm gambit twice, taking the better result."/>
    <n v="418"/>
    <x v="23"/>
    <x v="3"/>
    <x v="2"/>
    <x v="0"/>
    <s v="Sharp Hand Feint"/>
    <m/>
  </r>
  <r>
    <x v="0"/>
    <x v="860"/>
    <s v="4m "/>
    <s v="Reflexive"/>
    <s v="None"/>
    <s v="Instant"/>
    <s v="When you hit with SHF, you also Disarm the target."/>
    <n v="419"/>
    <x v="23"/>
    <x v="3"/>
    <x v="2"/>
    <x v="0"/>
    <s v="Sharp Hand Feint"/>
    <m/>
  </r>
  <r>
    <x v="0"/>
    <x v="861"/>
    <s v="5m, 1wp "/>
    <s v="Reflexive"/>
    <s v="Withering-only"/>
    <s v="Instant"/>
    <s v="When someone tries to recover a weapon you've Disarmed from him, you get a free unblockable, undodgeable Withering attack on him."/>
    <n v="419"/>
    <x v="23"/>
    <x v="3"/>
    <x v="2"/>
    <x v="0"/>
    <s v="Fallen Weapon Deflection"/>
    <m/>
  </r>
  <r>
    <x v="0"/>
    <x v="862"/>
    <s v="6m "/>
    <s v="Supplemental"/>
    <s v="Decisive-only"/>
    <s v="Instant"/>
    <s v="Double damage on an ambush attack."/>
    <n v="419"/>
    <x v="23"/>
    <x v="3"/>
    <x v="2"/>
    <x v="0"/>
    <s v="Mist-Gathering Practice"/>
    <m/>
  </r>
  <r>
    <x v="0"/>
    <x v="863"/>
    <s v="5m, 1wp, 1+a "/>
    <s v="Simple"/>
    <s v="Decisive-only"/>
    <s v="Instant"/>
    <s v="Throw an accurate, extra-damaging Kamehameha."/>
    <n v="419"/>
    <x v="23"/>
    <x v="3"/>
    <x v="2"/>
    <x v="0"/>
    <s v="Cascade of Cutting Terror"/>
    <m/>
  </r>
  <r>
    <x v="0"/>
    <x v="864"/>
    <s v="9m, 1wp"/>
    <s v="Simple"/>
    <s v="Decisive-only"/>
    <s v="Instant"/>
    <m/>
    <s v="MotSE 37"/>
    <x v="23"/>
    <x v="3"/>
    <x v="2"/>
    <x v="0"/>
    <s v="Death-Dealing Diffusion, Shower of Deadly Blades"/>
    <m/>
  </r>
  <r>
    <x v="0"/>
    <x v="865"/>
    <s v="5m, 1wp "/>
    <s v="Simple"/>
    <s v="None"/>
    <s v="Instant"/>
    <s v="Throw an attack that strikes multiple enemies with Withering blows before reaching a final enemy with a Decisive."/>
    <n v="419"/>
    <x v="23"/>
    <x v="3"/>
    <x v="3"/>
    <x v="0"/>
    <s v="Falling Icicle Strike"/>
    <m/>
  </r>
  <r>
    <x v="0"/>
    <x v="866"/>
    <s v="-"/>
    <s v="Permanent"/>
    <s v="None"/>
    <s v="Permanent"/>
    <s v="1/scene, keep your Initiative after disarming the target."/>
    <n v="417"/>
    <x v="23"/>
    <x v="3"/>
    <x v="1"/>
    <x v="0"/>
    <s v="Observer-Deceiving Attack"/>
    <m/>
  </r>
  <r>
    <x v="0"/>
    <x v="867"/>
    <s v="5m "/>
    <s v="Simple"/>
    <s v="None"/>
    <s v="Indefinite"/>
    <s v="Your troops are immune to mundane demoralization (as per the maneuver), as well as penalties for weather, food, etc."/>
    <n v="420"/>
    <x v="24"/>
    <x v="1"/>
    <x v="0"/>
    <x v="8"/>
    <s v="War God Descendent"/>
    <m/>
  </r>
  <r>
    <x v="0"/>
    <x v="868"/>
    <s v="10m, 1wp "/>
    <s v="Simple"/>
    <s v="None"/>
    <s v="Indefinite"/>
    <s v="Grant your unit improved stats and drill; spend XP to grant them bonuses against select enemies or perfect morale."/>
    <n v="421"/>
    <x v="24"/>
    <x v="2"/>
    <x v="1"/>
    <x v="8"/>
    <s v="League of Iron Preparation"/>
    <m/>
  </r>
  <r>
    <x v="0"/>
    <x v="869"/>
    <s v="3m "/>
    <s v="Supplemental"/>
    <s v="None"/>
    <s v="Instant"/>
    <s v="Your army has +1 Size and ignores the penalty for poor drill troops."/>
    <n v="420"/>
    <x v="24"/>
    <x v="4"/>
    <x v="0"/>
    <x v="8"/>
    <m/>
    <m/>
  </r>
  <r>
    <x v="0"/>
    <x v="870"/>
    <s v="3m "/>
    <s v="Simple"/>
    <s v="None"/>
    <s v="Instant"/>
    <s v="Train a crew to reroll nonsuccesses on an artillery weapon."/>
    <n v="420"/>
    <x v="24"/>
    <x v="0"/>
    <x v="0"/>
    <x v="8"/>
    <s v="War God Descendent"/>
    <m/>
  </r>
  <r>
    <x v="0"/>
    <x v="871"/>
    <s v="2m "/>
    <s v="Supplemental"/>
    <s v="None"/>
    <s v="Instant"/>
    <s v="When rolling for a stratagem, ignore penalties for unfamiliarity with the enemy general or army."/>
    <n v="421"/>
    <x v="24"/>
    <x v="0"/>
    <x v="0"/>
    <x v="8"/>
    <s v="War God Descendent"/>
    <m/>
  </r>
  <r>
    <x v="0"/>
    <x v="872"/>
    <s v="3m "/>
    <s v="Supplemental"/>
    <s v="None"/>
    <s v="Instant"/>
    <s v="Double-9s or double-8s on an Order."/>
    <n v="421"/>
    <x v="24"/>
    <x v="0"/>
    <x v="0"/>
    <x v="8"/>
    <m/>
    <m/>
  </r>
  <r>
    <x v="0"/>
    <x v="873"/>
    <s v="3m "/>
    <s v="Reflexive"/>
    <s v="None"/>
    <s v="Instant"/>
    <s v="Make a reflexive rally action with bonus successes."/>
    <n v="421"/>
    <x v="24"/>
    <x v="1"/>
    <x v="0"/>
    <x v="8"/>
    <s v="War God Descendent"/>
    <m/>
  </r>
  <r>
    <x v="0"/>
    <x v="874"/>
    <s v="1m "/>
    <s v="Supplemental"/>
    <s v="None"/>
    <s v="Instant"/>
    <s v="Finish a strategic maneuver with one less success."/>
    <n v="422"/>
    <x v="24"/>
    <x v="1"/>
    <x v="1"/>
    <x v="8"/>
    <s v="Holistic Battle Understanding"/>
    <m/>
  </r>
  <r>
    <x v="0"/>
    <x v="875"/>
    <s v="3m, 1wp "/>
    <s v="Reflexive"/>
    <s v="None"/>
    <s v="Instant"/>
    <s v="Recover points of Magnitude equal to the 1s and 2s on an enemy rally for numbers roll."/>
    <n v="421"/>
    <x v="24"/>
    <x v="2"/>
    <x v="1"/>
    <x v="8"/>
    <s v="Rout-Stemming Gesture"/>
    <m/>
  </r>
  <r>
    <x v="0"/>
    <x v="876"/>
    <s v="4m "/>
    <s v="Supplemental"/>
    <s v="None"/>
    <s v="Instant"/>
    <s v="Excellency discount on a Strategic Maneuver; with sufficient successes, pull several maneuvers at once."/>
    <n v="422"/>
    <x v="24"/>
    <x v="2"/>
    <x v="1"/>
    <x v="8"/>
    <s v="Redoubt-Raising Gesture"/>
    <m/>
  </r>
  <r>
    <x v="0"/>
    <x v="877"/>
    <s v="4m, 4i, 1wp "/>
    <s v="Simple"/>
    <s v="None"/>
    <s v="Instant"/>
    <s v="Enact an uncounterable Strategic Maneuver with double-7s."/>
    <n v="422"/>
    <x v="24"/>
    <x v="2"/>
    <x v="1"/>
    <x v="8"/>
    <s v="Ideal Battle Knowledge Prana"/>
    <m/>
  </r>
  <r>
    <x v="0"/>
    <x v="878"/>
    <s v="5m "/>
    <s v="Reflexive"/>
    <s v="None"/>
    <s v="Instant"/>
    <s v="When your army empties the Magnitude of another army, you can roll Join Battle."/>
    <n v="423"/>
    <x v="24"/>
    <x v="2"/>
    <x v="1"/>
    <x v="8"/>
    <s v="Ideal Battle Knowledge Prana"/>
    <m/>
  </r>
  <r>
    <x v="0"/>
    <x v="879"/>
    <s v="10m, 1wp "/>
    <s v="Simple"/>
    <s v="None"/>
    <s v="Instant"/>
    <s v="1/scene, make an automatically successful rally action."/>
    <n v="423"/>
    <x v="24"/>
    <x v="3"/>
    <x v="2"/>
    <x v="8"/>
    <s v="Magnanimity of the Unstoppable Icon"/>
    <m/>
  </r>
  <r>
    <x v="0"/>
    <x v="880"/>
    <s v="10m, 1wp "/>
    <s v="Reflexive"/>
    <s v="None"/>
    <s v="Instant"/>
    <s v="Make a reflexive rally for numbers action, recruiting animals or nature itself to your side."/>
    <n v="423"/>
    <x v="24"/>
    <x v="3"/>
    <x v="2"/>
    <x v="8"/>
    <s v="March of the Returner"/>
    <m/>
  </r>
  <r>
    <x v="0"/>
    <x v="881"/>
    <s v="1m "/>
    <s v="Reflexive"/>
    <s v="None"/>
    <s v="Instant"/>
    <s v="When activating BPA, you can perform a maneuver with successes no higher than half the Initiative gained."/>
    <n v="423"/>
    <x v="24"/>
    <x v="3"/>
    <x v="2"/>
    <x v="8"/>
    <s v="Battle Path Ascendant"/>
    <m/>
  </r>
  <r>
    <x v="0"/>
    <x v="882"/>
    <s v="5m"/>
    <s v="Reflexive"/>
    <s v="None"/>
    <s v="Instant"/>
    <m/>
    <s v="MotSE 38"/>
    <x v="24"/>
    <x v="3"/>
    <x v="3"/>
    <x v="8"/>
    <s v="Four Glories Meditation"/>
    <m/>
  </r>
  <r>
    <x v="0"/>
    <x v="883"/>
    <s v="-"/>
    <s v="Permanent"/>
    <s v="None"/>
    <s v="Permanent"/>
    <s v="Permanently, recurring 6s on a War roll."/>
    <n v="423"/>
    <x v="24"/>
    <x v="3"/>
    <x v="2"/>
    <x v="8"/>
    <s v="General of the All-Seeing Sun"/>
    <m/>
  </r>
  <r>
    <x v="0"/>
    <x v="884"/>
    <s v="5m"/>
    <s v="Reflexive"/>
    <s v="None"/>
    <s v="Scene"/>
    <m/>
    <s v="MotSE 38"/>
    <x v="24"/>
    <x v="1"/>
    <x v="0"/>
    <x v="8"/>
    <s v="Holistic Battle Understanding"/>
    <m/>
  </r>
  <r>
    <x v="0"/>
    <x v="885"/>
    <s v="10m, 1wp "/>
    <s v="Simple"/>
    <s v="None"/>
    <s v="Scene"/>
    <s v="Choose two maneuvers; if the enemy chooses one of them, you automatically win the maneuver roll and can enact a stratagem of equal or fewer successes."/>
    <n v="423"/>
    <x v="24"/>
    <x v="3"/>
    <x v="2"/>
    <x v="8"/>
    <s v="General of the All-Seeing Sun, Transcendent Warlord's Genius"/>
    <m/>
  </r>
  <r>
    <x v="1"/>
    <x v="204"/>
    <m/>
    <m/>
    <m/>
    <m/>
    <m/>
    <m/>
    <x v="25"/>
    <x v="6"/>
    <x v="6"/>
    <x v="1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6">
  <r>
    <x v="0"/>
    <s v="Icy Hand"/>
    <x v="0"/>
    <x v="0"/>
    <s v="это про Бюро"/>
    <x v="0"/>
    <x v="0"/>
    <s v="♄Телега с сеном"/>
    <s v="1m, 1wp"/>
    <s v="Simple"/>
    <s v="Psyche"/>
    <s v="Indefinite"/>
    <s v="&quot;нормально делай нормально будет&quot;"/>
    <s v="Sid 300"/>
    <x v="0"/>
    <x v="0"/>
    <n v="1"/>
    <n v="0"/>
    <s v="None"/>
    <m/>
  </r>
  <r>
    <x v="0"/>
    <s v="Feathered Cloak Trick"/>
    <x v="0"/>
    <x v="0"/>
    <s v="цикл на врановых"/>
    <x v="0"/>
    <x v="0"/>
    <s v="♄Ворон"/>
    <s v="4m"/>
    <s v="Simple"/>
    <s v="Mute"/>
    <s v="Indefinite"/>
    <m/>
    <s v="Sid 296"/>
    <x v="1"/>
    <x v="1"/>
    <n v="1"/>
    <n v="0"/>
    <s v="None"/>
    <m/>
  </r>
  <r>
    <x v="0"/>
    <s v="Reading Dead Eyes"/>
    <x v="0"/>
    <x v="0"/>
    <s v="цикл на поствидение"/>
    <x v="0"/>
    <x v="0"/>
    <s v="♄Ворон"/>
    <s v="5m, 1wp"/>
    <s v="Simple"/>
    <s v="Mute"/>
    <s v="Instant"/>
    <m/>
    <s v="Sid 298"/>
    <x v="1"/>
    <x v="1"/>
    <n v="2"/>
    <n v="0"/>
    <s v="Feathered Cloak Trick"/>
    <m/>
  </r>
  <r>
    <x v="0"/>
    <s v="Expected Pain"/>
    <x v="0"/>
    <x v="0"/>
    <s v="цикл на предвидение жопы"/>
    <x v="0"/>
    <x v="0"/>
    <s v="♄Ворон"/>
    <s v="- (5m)"/>
    <s v="Permanent"/>
    <s v="Divination, Mute, Uniform"/>
    <s v="Permanent"/>
    <m/>
    <s v="Sid 295"/>
    <x v="1"/>
    <x v="0"/>
    <n v="1"/>
    <n v="0"/>
    <s v="Prior Warning"/>
    <m/>
  </r>
  <r>
    <x v="0"/>
    <s v="Heavenly Sentinel Eye"/>
    <x v="0"/>
    <x v="0"/>
    <s v="цикл на предвидение жопы"/>
    <x v="0"/>
    <x v="0"/>
    <s v="♄Ворон"/>
    <s v="4m"/>
    <s v="Reflexive"/>
    <s v="None"/>
    <s v="Instant"/>
    <m/>
    <s v="Sid 295"/>
    <x v="1"/>
    <x v="0"/>
    <n v="1"/>
    <n v="0"/>
    <s v="Prior Warning"/>
    <m/>
  </r>
  <r>
    <x v="0"/>
    <s v="Prior Warning"/>
    <x v="0"/>
    <x v="0"/>
    <s v="цикл на предвидение жопы"/>
    <x v="0"/>
    <x v="0"/>
    <s v="♄Ворон"/>
    <s v="-"/>
    <s v="Permanent"/>
    <s v="Divination"/>
    <s v="Permanent"/>
    <m/>
    <s v="Sid 294"/>
    <x v="1"/>
    <x v="2"/>
    <n v="1"/>
    <n v="0"/>
    <s v="None"/>
    <m/>
  </r>
  <r>
    <x v="0"/>
    <s v="Someone’s Son Style"/>
    <x v="1"/>
    <x v="0"/>
    <s v="в сияющей судьбе"/>
    <x v="1"/>
    <x v="1"/>
    <s v="♂"/>
    <s v="-"/>
    <s v="Permanent"/>
    <s v="None"/>
    <s v="Permanent"/>
    <m/>
    <s v="Sid 224"/>
    <x v="2"/>
    <x v="3"/>
    <n v="1"/>
    <n v="0"/>
    <s v="Any three Battles Charms"/>
    <m/>
  </r>
  <r>
    <x v="0"/>
    <s v="Water and Fire Treaty"/>
    <x v="1"/>
    <x v="0"/>
    <s v="для путешествий"/>
    <x v="2"/>
    <x v="1"/>
    <s v="Щит♂"/>
    <s v="1m, 1ahl"/>
    <s v="Simple"/>
    <s v="Decisive-only, Stackable"/>
    <s v="One story"/>
    <m/>
    <s v="Sid 244"/>
    <x v="3"/>
    <x v="3"/>
    <n v="1"/>
    <n v="0"/>
    <s v="None"/>
    <m/>
  </r>
  <r>
    <x v="0"/>
    <s v="Shadow-Piercing Needle"/>
    <x v="1"/>
    <x v="0"/>
    <s v="как она дерется"/>
    <x v="3"/>
    <x v="2"/>
    <s v="☿Чайка"/>
    <s v="3m"/>
    <s v="Supplemental"/>
    <s v="Dual, Versatile"/>
    <s v="Instant"/>
    <m/>
    <s v="Sid 183"/>
    <x v="4"/>
    <x v="0"/>
    <n v="1"/>
    <n v="0"/>
    <s v="None"/>
    <m/>
  </r>
  <r>
    <x v="0"/>
    <s v="Minimum Legal Defense Competence"/>
    <x v="1"/>
    <x v="0"/>
    <s v="Социалка"/>
    <x v="0"/>
    <x v="0"/>
    <s v="♄Меч"/>
    <s v="5m"/>
    <s v="Reflexive"/>
    <s v="Mute"/>
    <s v="Instant"/>
    <s v="постоянная планка для Резолва"/>
    <s v="Sid 307"/>
    <x v="5"/>
    <x v="3"/>
    <n v="1"/>
    <n v="0"/>
    <s v="None"/>
    <m/>
  </r>
  <r>
    <x v="0"/>
    <s v="Supernal Awareness (x2)"/>
    <x v="1"/>
    <x v="0"/>
    <s v="усиление по расстоянию"/>
    <x v="0"/>
    <x v="0"/>
    <s v="♄Ворон"/>
    <s v="5m (5m, 1wp)"/>
    <s v="Simple"/>
    <s v="Stackable"/>
    <s v="One scene"/>
    <m/>
    <s v="Sid 296"/>
    <x v="1"/>
    <x v="4"/>
    <n v="3"/>
    <n v="0"/>
    <s v="Supernal Awareness"/>
    <m/>
  </r>
  <r>
    <x v="0"/>
    <s v="Dark-Winged Watcher"/>
    <x v="1"/>
    <x v="0"/>
    <s v="цикл на врановых"/>
    <x v="0"/>
    <x v="0"/>
    <s v="♄Ворон"/>
    <s v="5m, 1wp"/>
    <s v="Simple"/>
    <s v="None"/>
    <s v="(Essence + Perception) days"/>
    <m/>
    <s v="Sid 298"/>
    <x v="1"/>
    <x v="4"/>
    <n v="2"/>
    <n v="0"/>
    <s v="Feathered Cloak Trick, Supernal Awareness"/>
    <m/>
  </r>
  <r>
    <x v="0"/>
    <s v="Old Sorrows Reminiscence"/>
    <x v="1"/>
    <x v="0"/>
    <s v="цикл на поствидение"/>
    <x v="0"/>
    <x v="0"/>
    <s v="♄Ворон"/>
    <s v="7m, 1wp"/>
    <s v="Simple"/>
    <s v="Divination, Mute"/>
    <s v="Instant"/>
    <m/>
    <s v="Sid 298"/>
    <x v="1"/>
    <x v="4"/>
    <n v="3"/>
    <n v="0"/>
    <s v="Prior Warning, Reading Dead Eyes"/>
    <m/>
  </r>
  <r>
    <x v="0"/>
    <s v="In Destiny’s Service"/>
    <x v="1"/>
    <x v="0"/>
    <s v="это про Бюро"/>
    <x v="0"/>
    <x v="0"/>
    <s v="♄Меч"/>
    <s v="5m"/>
    <s v="Reflexive"/>
    <s v="None"/>
    <s v="Instant"/>
    <s v="призывать свою компетенцию для Резолва"/>
    <s v="Sid 308"/>
    <x v="5"/>
    <x v="4"/>
    <n v="3"/>
    <n v="0"/>
    <s v="Minimum Legal Defense Competence"/>
    <m/>
  </r>
  <r>
    <x v="0"/>
    <s v="Honest Face Spirit"/>
    <x v="0"/>
    <x v="1"/>
    <s v="в сияющей судьбе"/>
    <x v="1"/>
    <x v="2"/>
    <s v="☿"/>
    <s v="3m"/>
    <s v="Reflexive"/>
    <s v="Mute"/>
    <s v="One scene"/>
    <m/>
    <s v="Sid 158"/>
    <x v="6"/>
    <x v="3"/>
    <n v="1"/>
    <n v="0"/>
    <s v="Any Journeys Charm"/>
    <m/>
  </r>
  <r>
    <x v="0"/>
    <s v="Impose Nature"/>
    <x v="0"/>
    <x v="1"/>
    <s v="наделить своей чертой"/>
    <x v="2"/>
    <x v="1"/>
    <s v="Щит♂"/>
    <s v="7m"/>
    <s v="Simple"/>
    <s v="Mute, Psyche"/>
    <s v="Instant"/>
    <m/>
    <s v="Sid 243"/>
    <x v="3"/>
    <x v="3"/>
    <n v="1"/>
    <n v="0"/>
    <s v="None"/>
    <m/>
  </r>
  <r>
    <x v="0"/>
    <s v="Returning Swallow Flight"/>
    <x v="0"/>
    <x v="1"/>
    <s v="притягивать вещи"/>
    <x v="3"/>
    <x v="2"/>
    <s v="☿Чайка"/>
    <s v="5m"/>
    <s v="Supplemental"/>
    <s v="Decisive-only, Versatile"/>
    <s v="Instant"/>
    <m/>
    <s v="Sid 183"/>
    <x v="4"/>
    <x v="0"/>
    <n v="1"/>
    <n v="0"/>
    <s v="None"/>
    <m/>
  </r>
  <r>
    <x v="0"/>
    <s v="Shrike-Roosting Gesture"/>
    <x v="0"/>
    <x v="1"/>
    <s v="притягивать вещи"/>
    <x v="3"/>
    <x v="2"/>
    <s v="☿Чайка"/>
    <s v="3m (1m)"/>
    <s v="Reflexive"/>
    <s v="None"/>
    <s v="Instant"/>
    <m/>
    <s v="Sid 183"/>
    <x v="4"/>
    <x v="0"/>
    <n v="1"/>
    <n v="0"/>
    <s v="Returning Swallow Flight"/>
    <m/>
  </r>
  <r>
    <x v="0"/>
    <s v="Good Worker Spirit"/>
    <x v="0"/>
    <x v="1"/>
    <s v="это работа в Бюро"/>
    <x v="1"/>
    <x v="2"/>
    <s v="☿"/>
    <s v="5m"/>
    <s v="Supplemental"/>
    <s v="Mute"/>
    <s v="Instant"/>
    <m/>
    <s v="Sid 158"/>
    <x v="6"/>
    <x v="0"/>
    <n v="1"/>
    <n v="0"/>
    <s v="Honest Face Spirit"/>
    <m/>
  </r>
  <r>
    <x v="0"/>
    <s v="Forgotten Earth"/>
    <x v="0"/>
    <x v="1"/>
    <s v="прыгать вместе с Бангом"/>
    <x v="0"/>
    <x v="0"/>
    <s v="♄Восходящий Дым"/>
    <s v="3m"/>
    <s v="Reflexive"/>
    <s v="Mute"/>
    <s v="Instant"/>
    <s v="как соларская атлетика"/>
    <s v="Sid 290"/>
    <x v="7"/>
    <x v="3"/>
    <n v="1"/>
    <n v="0"/>
    <s v="None"/>
    <m/>
  </r>
  <r>
    <x v="0"/>
    <s v="Terminal Sanction"/>
    <x v="0"/>
    <x v="1"/>
    <s v="работа с духами"/>
    <x v="0"/>
    <x v="0"/>
    <s v="♄Телега с сеном"/>
    <s v="5m"/>
    <s v="Simple"/>
    <s v="None"/>
    <s v="Instant"/>
    <s v="принуждение материализоваться"/>
    <s v="Sid 300"/>
    <x v="0"/>
    <x v="3"/>
    <n v="1"/>
    <n v="0"/>
    <s v="None"/>
    <m/>
  </r>
  <r>
    <x v="0"/>
    <s v="Superior-Entreating Memorial Style"/>
    <x v="0"/>
    <x v="1"/>
    <s v="секретные письма в Бюро"/>
    <x v="1"/>
    <x v="0"/>
    <s v="♄"/>
    <s v="1m"/>
    <s v="Simple"/>
    <s v="None"/>
    <s v="Instant"/>
    <s v="исчезающие письма"/>
    <s v="Sid 288"/>
    <x v="8"/>
    <x v="2"/>
    <n v="1"/>
    <n v="0"/>
    <s v="Any Endings Charm"/>
    <m/>
  </r>
  <r>
    <x v="0"/>
    <s v="Inevitable Pursuit"/>
    <x v="0"/>
    <x v="1"/>
    <s v="цикл на слежку"/>
    <x v="0"/>
    <x v="0"/>
    <s v="♄Ворон"/>
    <s v="4m"/>
    <s v="Simple"/>
    <s v="None"/>
    <s v="Instant"/>
    <m/>
    <s v="Sid 296"/>
    <x v="1"/>
    <x v="0"/>
    <n v="1"/>
    <n v="0"/>
    <s v="None"/>
    <m/>
  </r>
  <r>
    <x v="0"/>
    <s v="Supernal Awareness"/>
    <x v="0"/>
    <x v="1"/>
    <s v="цикл на слежку"/>
    <x v="0"/>
    <x v="0"/>
    <s v="♄Ворон"/>
    <s v="5m"/>
    <s v="Simple"/>
    <s v="Stackable"/>
    <s v="One scene"/>
    <m/>
    <s v="Sid 296"/>
    <x v="1"/>
    <x v="1"/>
    <n v="1"/>
    <n v="0"/>
    <s v="Inevitable Pursuit"/>
    <m/>
  </r>
  <r>
    <x v="0"/>
    <s v="Magpie’s Favorite Bauble"/>
    <x v="1"/>
    <x v="1"/>
    <s v="притягивать вещи"/>
    <x v="3"/>
    <x v="2"/>
    <s v="☿Чайка"/>
    <s v="- (+3m)"/>
    <s v="Permanent"/>
    <s v="None"/>
    <s v="Permanent"/>
    <m/>
    <s v="Sid 186"/>
    <x v="4"/>
    <x v="4"/>
    <n v="2"/>
    <n v="0"/>
    <s v="Shrike-Roosting Gesture"/>
    <m/>
  </r>
  <r>
    <x v="0"/>
    <s v="Promise of Tomorrow"/>
    <x v="1"/>
    <x v="1"/>
    <s v="надежда"/>
    <x v="0"/>
    <x v="0"/>
    <s v="♄Меч"/>
    <s v="2m"/>
    <s v="Reflexive"/>
    <s v="None"/>
    <s v="Indefinite"/>
    <s v="работа с связями надежды"/>
    <s v="Sid 306"/>
    <x v="5"/>
    <x v="1"/>
    <n v="1"/>
    <n v="0"/>
    <s v="Until Hope's End"/>
    <m/>
  </r>
  <r>
    <x v="0"/>
    <s v="Until Hope’s End"/>
    <x v="1"/>
    <x v="1"/>
    <s v="надежда"/>
    <x v="0"/>
    <x v="0"/>
    <s v="♄Меч"/>
    <s v="-"/>
    <s v="Permanent"/>
    <s v="None"/>
    <s v="Permanent"/>
    <s v="работа с связями надежды"/>
    <s v="Sid 305"/>
    <x v="5"/>
    <x v="2"/>
    <n v="1"/>
    <n v="0"/>
    <s v="None"/>
    <m/>
  </r>
  <r>
    <x v="0"/>
    <s v="Wise Choice"/>
    <x v="1"/>
    <x v="1"/>
    <s v="ясновидение Гранат"/>
    <x v="0"/>
    <x v="0"/>
    <s v="♄Ворон"/>
    <s v="6m"/>
    <s v="Simple"/>
    <s v="Divination"/>
    <s v="Instant"/>
    <m/>
    <s v="Sid 296"/>
    <x v="1"/>
    <x v="2"/>
    <n v="1"/>
    <n v="0"/>
    <s v="None"/>
    <m/>
  </r>
  <r>
    <x v="0"/>
    <s v="Insatiable Weapon Wanderlust"/>
    <x v="0"/>
    <x v="2"/>
    <s v="как она дерется"/>
    <x v="3"/>
    <x v="2"/>
    <s v="☿Чайка"/>
    <s v="2m"/>
    <s v="Supplemental"/>
    <s v="Uniform, Versatile"/>
    <s v="Instant"/>
    <m/>
    <s v="Sid 183"/>
    <x v="4"/>
    <x v="0"/>
    <n v="1"/>
    <n v="0"/>
    <s v="None"/>
    <m/>
  </r>
  <r>
    <x v="0"/>
    <s v="Willful Weapon Method"/>
    <x v="0"/>
    <x v="2"/>
    <s v="как она дерется"/>
    <x v="3"/>
    <x v="2"/>
    <s v="☿Чайка"/>
    <s v="2m, 1wp"/>
    <s v="Simple"/>
    <s v="Decisive-only"/>
    <s v="Instant"/>
    <m/>
    <s v="Sid 184"/>
    <x v="4"/>
    <x v="0"/>
    <n v="1"/>
    <n v="0"/>
    <s v="None"/>
    <m/>
  </r>
  <r>
    <x v="0"/>
    <s v="Borrowed Coffin Ploy"/>
    <x v="0"/>
    <x v="2"/>
    <s v="Социалка"/>
    <x v="1"/>
    <x v="0"/>
    <s v="♄"/>
    <s v="3m"/>
    <s v="Simple"/>
    <s v="Mute"/>
    <s v="Permanent"/>
    <s v="&quot;да -не- умер в конце Драйва!&quot;"/>
    <s v="Sid 288"/>
    <x v="8"/>
    <x v="0"/>
    <n v="1"/>
    <n v="0"/>
    <s v="Any three Endings Charms"/>
    <m/>
  </r>
  <r>
    <x v="0"/>
    <s v="Holistic Arsenal Methodology"/>
    <x v="1"/>
    <x v="2"/>
    <s v="как она дерется"/>
    <x v="1"/>
    <x v="1"/>
    <s v="♂"/>
    <s v="- (2m)"/>
    <s v="Permanent"/>
    <s v="None"/>
    <s v="Permanent"/>
    <s v="оружие с тегом МА можно использовать другими навыками"/>
    <s v="Sid 223"/>
    <x v="2"/>
    <x v="2"/>
    <n v="1"/>
    <n v="0"/>
    <s v="None"/>
    <m/>
  </r>
  <r>
    <x v="0"/>
    <s v="Sword-Tongue Intensity"/>
    <x v="1"/>
    <x v="2"/>
    <s v="как она дерется"/>
    <x v="2"/>
    <x v="1"/>
    <s v="Щит♂"/>
    <s v="3m"/>
    <s v="Reflexive"/>
    <s v="None"/>
    <s v="Instant"/>
    <s v="заговор зубов в бою"/>
    <s v="Sid 244"/>
    <x v="3"/>
    <x v="1"/>
    <n v="1"/>
    <n v="0"/>
    <s v="None"/>
    <m/>
  </r>
  <r>
    <x v="0"/>
    <s v="Ascending Serenity Horoscope"/>
    <x v="0"/>
    <x v="3"/>
    <m/>
    <x v="1"/>
    <x v="3"/>
    <s v="♀"/>
    <s v="1m or 3m, 1wp"/>
    <s v="Simple"/>
    <s v="Mute, Shaping (Fate), Stackable"/>
    <s v="One story"/>
    <s v="благословение или проклятие"/>
    <s v="Sid 189"/>
    <x v="9"/>
    <x v="0"/>
    <n v="1"/>
    <n v="0"/>
    <s v="Any three Serenity Charms"/>
    <m/>
  </r>
  <r>
    <x v="0"/>
    <s v="Descending Serenity Horoscope"/>
    <x v="0"/>
    <x v="3"/>
    <m/>
    <x v="1"/>
    <x v="3"/>
    <s v="♀"/>
    <s v="1 or 3m, 1wp"/>
    <s v="Simple"/>
    <s v="Mute, Shaping (Fate), Stackable"/>
    <s v="One story"/>
    <s v="благословение или проклятие"/>
    <s v="Sid 189"/>
    <x v="9"/>
    <x v="0"/>
    <n v="1"/>
    <n v="0"/>
    <s v="Any three Serenity Charms"/>
    <m/>
  </r>
  <r>
    <x v="0"/>
    <s v="Ascending Endings Horoscope"/>
    <x v="0"/>
    <x v="3"/>
    <s v="ради всей Айни?"/>
    <x v="1"/>
    <x v="0"/>
    <s v="♄"/>
    <s v="1m or 3m, 1wp"/>
    <s v="Simple"/>
    <s v="Mute, Shaping (Fate), Stackable, Uniform"/>
    <s v="One story"/>
    <s v="благословение или проклятие"/>
    <s v="Sid 287"/>
    <x v="8"/>
    <x v="0"/>
    <n v="1"/>
    <n v="0"/>
    <s v="Any three Endings Charms"/>
    <m/>
  </r>
  <r>
    <x v="0"/>
    <s v="Ascending Secrets Horoscope"/>
    <x v="2"/>
    <x v="3"/>
    <m/>
    <x v="1"/>
    <x v="4"/>
    <s v="♃"/>
    <s v="1m or 3m, 1wp"/>
    <s v="Simple"/>
    <s v="Mute, Shaping (Fate), Stackable"/>
    <s v="One story"/>
    <s v="благословение или проклятие"/>
    <s v="Sid 255"/>
    <x v="10"/>
    <x v="0"/>
    <n v="1"/>
    <n v="0"/>
    <s v="Any three Secrets Charms"/>
    <m/>
  </r>
  <r>
    <x v="0"/>
    <s v="Ascending Journeys Horoscope"/>
    <x v="1"/>
    <x v="3"/>
    <m/>
    <x v="1"/>
    <x v="2"/>
    <s v="☿"/>
    <s v="1m or 3m, 1wp"/>
    <s v="Simple"/>
    <s v="Mute, Shaping (Fate), Stackable"/>
    <s v="One story"/>
    <s v="благословение или проклятие"/>
    <s v="Sid 156"/>
    <x v="6"/>
    <x v="0"/>
    <n v="1"/>
    <n v="0"/>
    <s v="Any three Journeys Charms"/>
    <m/>
  </r>
  <r>
    <x v="0"/>
    <s v="Descending Journeys Horoscope"/>
    <x v="1"/>
    <x v="3"/>
    <m/>
    <x v="1"/>
    <x v="2"/>
    <s v="☿"/>
    <s v="1m or 3m, 1wp"/>
    <s v="Simple"/>
    <s v="Mute, Shaping (Fate), Stackable"/>
    <s v="One story"/>
    <s v="благословение или проклятие"/>
    <s v="Sid 158"/>
    <x v="6"/>
    <x v="0"/>
    <n v="1"/>
    <n v="0"/>
    <s v="Any three Journeys Charms"/>
    <m/>
  </r>
  <r>
    <x v="0"/>
    <s v="Ox-Body Technique"/>
    <x v="0"/>
    <x v="4"/>
    <s v="это для игрока"/>
    <x v="3"/>
    <x v="2"/>
    <s v="☿Мачта"/>
    <s v="-"/>
    <s v="Permanent"/>
    <s v="None"/>
    <s v="Permanent"/>
    <s v="просто хиты"/>
    <s v="Sid 161"/>
    <x v="11"/>
    <x v="2"/>
    <n v="1"/>
    <n v="0"/>
    <s v="None"/>
    <m/>
  </r>
  <r>
    <x v="0"/>
    <s v="Hero’s Iron Skin"/>
    <x v="0"/>
    <x v="4"/>
    <s v="это для игрока"/>
    <x v="2"/>
    <x v="1"/>
    <s v="Щит♂"/>
    <s v="4m"/>
    <s v="Reflexive"/>
    <s v="Withering-only"/>
    <s v="Instant"/>
    <s v="дает сок в ослабляющих, особенно против тормозных"/>
    <s v="Sid 242"/>
    <x v="3"/>
    <x v="3"/>
    <n v="1"/>
    <n v="0"/>
    <s v="None"/>
    <m/>
  </r>
  <r>
    <x v="0"/>
    <s v="Red Haze"/>
    <x v="1"/>
    <x v="4"/>
    <s v="как она дерется"/>
    <x v="2"/>
    <x v="1"/>
    <s v="Щит♂"/>
    <s v="4m, 1wp"/>
    <s v="Simple"/>
    <s v="None"/>
    <s v="One scene"/>
    <s v="&quot;подсветка&quot; на врагов судьбы"/>
    <s v="Sid 244"/>
    <x v="3"/>
    <x v="0"/>
    <n v="1"/>
    <n v="0"/>
    <s v="None"/>
    <m/>
  </r>
  <r>
    <x v="0"/>
    <s v="Step-Silencing Exercise"/>
    <x v="2"/>
    <x v="5"/>
    <s v="забавное, но не"/>
    <x v="0"/>
    <x v="0"/>
    <s v="♄Восходящий Дым"/>
    <s v="3m"/>
    <s v="Supplemental"/>
    <s v="Mute"/>
    <s v="Instant"/>
    <s v="шаги или твой транспорт БЕСШУМНЫ (автопровал Персепшена на слух)"/>
    <s v="Sid 292"/>
    <x v="7"/>
    <x v="1"/>
    <n v="2"/>
    <n v="0"/>
    <s v="Inexorable Advance"/>
    <m/>
  </r>
  <r>
    <x v="0"/>
    <s v="Serenity in Blood"/>
    <x v="2"/>
    <x v="5"/>
    <s v="как она дерется"/>
    <x v="2"/>
    <x v="1"/>
    <s v="Копье♂"/>
    <s v="5m"/>
    <s v="Reflexive"/>
    <s v="Perilous, Uniform"/>
    <s v="Instant"/>
    <s v="Блокируй неблокируемое"/>
    <s v="Sid 240"/>
    <x v="12"/>
    <x v="4"/>
    <n v="2"/>
    <n v="0"/>
    <s v="Impeding the Flow"/>
    <m/>
  </r>
  <r>
    <x v="0"/>
    <s v="Burn Life"/>
    <x v="2"/>
    <x v="5"/>
    <s v="как она дерется"/>
    <x v="0"/>
    <x v="0"/>
    <s v="♄Восходящий Дым"/>
    <s v="3m per dot, 1ahl (+1wp)"/>
    <s v="Simple"/>
    <s v="Perilous"/>
    <s v="One scene"/>
    <s v="сжигаем годы жизни за силищу"/>
    <s v="Sid 291"/>
    <x v="7"/>
    <x v="0"/>
    <n v="1"/>
    <n v="0"/>
    <s v="None"/>
    <m/>
  </r>
  <r>
    <x v="0"/>
    <s v="Harmony of Blows"/>
    <x v="1"/>
    <x v="5"/>
    <s v="как она дерется"/>
    <x v="2"/>
    <x v="1"/>
    <s v="Копье♂"/>
    <s v="1m, 1wp"/>
    <s v="Reflexive"/>
    <s v="Uniform, Versatile"/>
    <s v="Instant"/>
    <s v="доп атака после Сокрушения"/>
    <s v="Sid 239"/>
    <x v="12"/>
    <x v="0"/>
    <n v="1"/>
    <n v="0"/>
    <s v="None"/>
    <m/>
  </r>
  <r>
    <x v="0"/>
    <s v="Orchestration of Conflict"/>
    <x v="1"/>
    <x v="5"/>
    <s v="как она дерется"/>
    <x v="2"/>
    <x v="1"/>
    <s v="Копье♂"/>
    <s v="5m"/>
    <s v="Supplemental"/>
    <s v="Uniform, Versatile"/>
    <s v="Instant"/>
    <s v="защитный штраф массово"/>
    <s v="Sid 239"/>
    <x v="12"/>
    <x v="1"/>
    <n v="1"/>
    <n v="0"/>
    <s v="Harmony of Blows"/>
    <m/>
  </r>
  <r>
    <x v="0"/>
    <s v="Peaceable Conclusion"/>
    <x v="1"/>
    <x v="5"/>
    <s v="мертвецы"/>
    <x v="0"/>
    <x v="0"/>
    <s v="♄Труп"/>
    <s v="1m"/>
    <s v="Simple"/>
    <s v="None"/>
    <s v="Instant"/>
    <s v="insta kill incap or willing; Lethe+no hungy ghost;"/>
    <s v="Sid 310"/>
    <x v="13"/>
    <x v="2"/>
    <n v="1"/>
    <n v="0"/>
    <s v="Smooth Transition"/>
    <m/>
  </r>
  <r>
    <x v="0"/>
    <s v="Rising Butterfly Prayer"/>
    <x v="1"/>
    <x v="5"/>
    <s v="мертвецы"/>
    <x v="0"/>
    <x v="0"/>
    <s v="♄Труп"/>
    <s v="5m"/>
    <s v="Simple"/>
    <s v="Mute"/>
    <s v="Instant"/>
    <s v="rutual on decesead to next happy life"/>
    <s v="Sid 311"/>
    <x v="13"/>
    <x v="4"/>
    <n v="1"/>
    <n v="0"/>
    <s v="Peaceable Conclusion"/>
    <m/>
  </r>
  <r>
    <x v="0"/>
    <s v="Smooth Transition"/>
    <x v="1"/>
    <x v="5"/>
    <s v="мертвецы"/>
    <x v="0"/>
    <x v="0"/>
    <s v="♄Труп"/>
    <s v="5m"/>
    <s v="Simple"/>
    <s v="Aggravated, Decisive-only"/>
    <s v="Instant"/>
    <s v="aggr dmg to undead, may use to banish ghost"/>
    <s v="Sid 310"/>
    <x v="13"/>
    <x v="2"/>
    <n v="1"/>
    <n v="0"/>
    <s v="None"/>
    <m/>
  </r>
  <r>
    <x v="0"/>
    <s v="Deferred Wounds"/>
    <x v="1"/>
    <x v="5"/>
    <s v="спецмедик"/>
    <x v="0"/>
    <x v="0"/>
    <s v="♄Труп"/>
    <s v="1m, 1wp"/>
    <s v="Simple"/>
    <s v="None"/>
    <s v="Indefinite"/>
    <s v="commit to remove Bah and lethal HL"/>
    <s v="Sid 312"/>
    <x v="13"/>
    <x v="0"/>
    <n v="1"/>
    <n v="0"/>
    <s v="None"/>
    <m/>
  </r>
  <r>
    <x v="0"/>
    <s v="Embracing the Mortal Coil"/>
    <x v="1"/>
    <x v="5"/>
    <s v="спецмедик"/>
    <x v="0"/>
    <x v="0"/>
    <s v="♄Труп"/>
    <s v="4m"/>
    <s v="Simple"/>
    <s v="Mute"/>
    <s v="One scene"/>
    <s v="embrace mortality - gain buffs"/>
    <s v="Sid 313"/>
    <x v="13"/>
    <x v="1"/>
    <n v="2"/>
    <n v="0"/>
    <s v="Any two of Deferred Wounds, Denature Venom, or Terminate Illness"/>
    <m/>
  </r>
  <r>
    <x v="0"/>
    <s v="Terminate Illness"/>
    <x v="1"/>
    <x v="5"/>
    <s v="спецмедик"/>
    <x v="0"/>
    <x v="0"/>
    <s v="♄Труп"/>
    <s v="8m, 1wp"/>
    <s v="Simple"/>
    <s v="None"/>
    <s v="Instant"/>
    <s v="instantly anti-disease"/>
    <s v="Sid 313"/>
    <x v="13"/>
    <x v="0"/>
    <n v="1"/>
    <n v="0"/>
    <s v="None"/>
    <m/>
  </r>
  <r>
    <x v="0"/>
    <s v="Atelier-and-Embassy Auspice"/>
    <x v="0"/>
    <x v="6"/>
    <m/>
    <x v="4"/>
    <x v="3"/>
    <s v="♀Павлин"/>
    <s v="4m, 1wp"/>
    <s v="Simple"/>
    <s v="None"/>
    <s v="One social interaction or event"/>
    <m/>
    <s v="Sid 193"/>
    <x v="14"/>
    <x v="0"/>
    <n v="1"/>
    <n v="0"/>
    <s v="None"/>
    <m/>
  </r>
  <r>
    <x v="0"/>
    <s v="Creation of Beauty"/>
    <x v="0"/>
    <x v="6"/>
    <m/>
    <x v="4"/>
    <x v="3"/>
    <s v="♀Павлин"/>
    <s v="2m per die"/>
    <s v="Supplemental"/>
    <s v="None"/>
    <s v="Instant"/>
    <m/>
    <s v="Sid 193"/>
    <x v="14"/>
    <x v="3"/>
    <n v="1"/>
    <n v="0"/>
    <s v="None"/>
    <m/>
  </r>
  <r>
    <x v="0"/>
    <s v="Destiny-Knitting Entanglement"/>
    <x v="0"/>
    <x v="6"/>
    <m/>
    <x v="4"/>
    <x v="3"/>
    <s v="♀Павлин"/>
    <s v="1m, 1wp"/>
    <s v="Simple"/>
    <s v="Shaping (Fate), Stackable"/>
    <s v="Indefinite"/>
    <m/>
    <s v="Sid 194"/>
    <x v="14"/>
    <x v="0"/>
    <n v="1"/>
    <n v="0"/>
    <s v="None"/>
    <m/>
  </r>
  <r>
    <x v="0"/>
    <s v="Elegant Patterns of Fate"/>
    <x v="0"/>
    <x v="6"/>
    <m/>
    <x v="4"/>
    <x v="3"/>
    <s v="♀Павлин"/>
    <s v="-"/>
    <s v="Permanent"/>
    <s v="None"/>
    <s v="Permanent"/>
    <m/>
    <s v="Sid 192"/>
    <x v="14"/>
    <x v="2"/>
    <n v="1"/>
    <n v="0"/>
    <s v="None"/>
    <m/>
  </r>
  <r>
    <x v="0"/>
    <s v="Elemental Vision"/>
    <x v="0"/>
    <x v="6"/>
    <m/>
    <x v="4"/>
    <x v="3"/>
    <s v="♀Павлин"/>
    <s v="-"/>
    <s v="Permanent"/>
    <s v="None"/>
    <s v="Permanent"/>
    <m/>
    <s v="Sid 192"/>
    <x v="14"/>
    <x v="2"/>
    <n v="1"/>
    <n v="0"/>
    <s v="None"/>
    <m/>
  </r>
  <r>
    <x v="0"/>
    <s v="Predestined Delivery Shaping"/>
    <x v="0"/>
    <x v="6"/>
    <m/>
    <x v="4"/>
    <x v="3"/>
    <s v="♀Павлин"/>
    <s v="1m, 1wp"/>
    <s v="Simple"/>
    <s v="Shaping (Fate)"/>
    <s v="Until the object arrives"/>
    <m/>
    <s v="Sid 195"/>
    <x v="14"/>
    <x v="1"/>
    <n v="2"/>
    <n v="0"/>
    <s v="Destiny-Knitting Entanglement"/>
    <m/>
  </r>
  <r>
    <x v="0"/>
    <s v="Sword-Queen’s Foretold Blade"/>
    <x v="0"/>
    <x v="6"/>
    <m/>
    <x v="4"/>
    <x v="3"/>
    <s v="♀Павлин"/>
    <s v="1wp"/>
    <s v="Simple"/>
    <s v="Shaping (Fate), Stackable"/>
    <s v="Indefinite"/>
    <m/>
    <s v="Sid 195"/>
    <x v="14"/>
    <x v="4"/>
    <n v="2"/>
    <n v="0"/>
    <s v="Elegant Patterns of Fate, Excellent Implementation of Objectives"/>
    <m/>
  </r>
  <r>
    <x v="0"/>
    <s v="Warp-and-Weft Handiwork"/>
    <x v="0"/>
    <x v="6"/>
    <m/>
    <x v="4"/>
    <x v="3"/>
    <s v="♀Павлин"/>
    <s v="5m, 2s/g/wxp"/>
    <s v="Supplemental"/>
    <s v="None"/>
    <s v="Instant"/>
    <m/>
    <s v="Sid 193"/>
    <x v="14"/>
    <x v="1"/>
    <n v="1"/>
    <n v="0"/>
    <s v="Creation of Beauty"/>
    <m/>
  </r>
  <r>
    <x v="0"/>
    <s v="Absent Self"/>
    <x v="0"/>
    <x v="6"/>
    <m/>
    <x v="4"/>
    <x v="3"/>
    <s v="♀Кувшин"/>
    <s v="2m"/>
    <s v="Reflexive"/>
    <s v="Uniform"/>
    <s v="Instant"/>
    <m/>
    <s v="Sid 199"/>
    <x v="15"/>
    <x v="2"/>
    <n v="1"/>
    <n v="0"/>
    <s v="None"/>
    <m/>
  </r>
  <r>
    <x v="0"/>
    <s v="Avoidance"/>
    <x v="0"/>
    <x v="6"/>
    <m/>
    <x v="4"/>
    <x v="3"/>
    <s v="♀Кувшин"/>
    <s v="5m, 1wp"/>
    <s v="Simple"/>
    <s v="Perilous, Shaping (Mind)"/>
    <s v="Instant"/>
    <m/>
    <s v="Sid 200"/>
    <x v="15"/>
    <x v="4"/>
    <n v="1"/>
    <n v="0"/>
    <s v="Absent Self"/>
    <m/>
  </r>
  <r>
    <x v="0"/>
    <s v="Duck Fate"/>
    <x v="0"/>
    <x v="6"/>
    <m/>
    <x v="4"/>
    <x v="3"/>
    <s v="♀Кувшин"/>
    <s v="7m"/>
    <s v="Reflexive"/>
    <s v="Uniform, Perilous"/>
    <s v="Instant"/>
    <m/>
    <s v="Sid 201"/>
    <x v="15"/>
    <x v="1"/>
    <n v="2"/>
    <n v="0"/>
    <s v="Absent Self"/>
    <m/>
  </r>
  <r>
    <x v="0"/>
    <s v="Elusive Object of Desire"/>
    <x v="0"/>
    <x v="6"/>
    <m/>
    <x v="4"/>
    <x v="3"/>
    <s v="♀Кувшин"/>
    <s v="5m"/>
    <s v="Reflexive"/>
    <s v="Counterattack, Mute, Uniform"/>
    <s v="Instant"/>
    <m/>
    <s v="Sid 200"/>
    <x v="15"/>
    <x v="0"/>
    <n v="1"/>
    <n v="0"/>
    <s v="Absent Self"/>
    <m/>
  </r>
  <r>
    <x v="0"/>
    <s v="Graceful Crane Stance"/>
    <x v="0"/>
    <x v="6"/>
    <m/>
    <x v="4"/>
    <x v="3"/>
    <s v="♀Кувшин"/>
    <s v="3m"/>
    <s v="Reflexive"/>
    <s v="None"/>
    <s v="One scene"/>
    <m/>
    <s v="Sid 200"/>
    <x v="15"/>
    <x v="2"/>
    <n v="1"/>
    <n v="0"/>
    <s v="None"/>
    <m/>
  </r>
  <r>
    <x v="0"/>
    <s v="Snappy Banter Approach"/>
    <x v="0"/>
    <x v="6"/>
    <m/>
    <x v="4"/>
    <x v="3"/>
    <s v="♀Кувшин"/>
    <s v="5m, 1wp"/>
    <s v="Reflexive"/>
    <s v="Mute"/>
    <s v="Instant"/>
    <m/>
    <s v="Sid 201"/>
    <x v="15"/>
    <x v="0"/>
    <n v="1"/>
    <n v="0"/>
    <s v="None"/>
    <m/>
  </r>
  <r>
    <x v="0"/>
    <s v="Best Friend’s Couch Invitation"/>
    <x v="0"/>
    <x v="6"/>
    <m/>
    <x v="4"/>
    <x v="3"/>
    <s v="♀Колонна"/>
    <s v="4m, 1wp"/>
    <s v="Simple"/>
    <s v="Mute, Shaping (Fate)"/>
    <s v="Indefinite"/>
    <m/>
    <s v="Sid 205"/>
    <x v="16"/>
    <x v="1"/>
    <n v="1"/>
    <n v="0"/>
    <s v="Favorable Inflection Procedure"/>
    <m/>
  </r>
  <r>
    <x v="0"/>
    <s v="Blue Vervain Binding"/>
    <x v="0"/>
    <x v="6"/>
    <m/>
    <x v="4"/>
    <x v="3"/>
    <s v="♀Колонна"/>
    <s v="10m, 1wp"/>
    <s v="Simple"/>
    <s v="None"/>
    <s v="Instant"/>
    <m/>
    <s v="Sid 205"/>
    <x v="16"/>
    <x v="0"/>
    <n v="1"/>
    <n v="0"/>
    <s v="None"/>
    <m/>
  </r>
  <r>
    <x v="0"/>
    <s v="Favorable Inflection Procedure"/>
    <x v="0"/>
    <x v="6"/>
    <m/>
    <x v="4"/>
    <x v="3"/>
    <s v="♀Колонна"/>
    <s v="3m"/>
    <s v="Simple"/>
    <s v="Mute"/>
    <s v="Instant"/>
    <m/>
    <s v="Sid 205"/>
    <x v="16"/>
    <x v="0"/>
    <n v="1"/>
    <n v="0"/>
    <s v="None"/>
    <m/>
  </r>
  <r>
    <x v="0"/>
    <s v="Knot of Destiny"/>
    <x v="0"/>
    <x v="6"/>
    <m/>
    <x v="4"/>
    <x v="3"/>
    <s v="♀Колонна"/>
    <s v="1m, 1wp"/>
    <s v="Simple"/>
    <s v="None"/>
    <s v="One scene"/>
    <m/>
    <s v="Sid 206"/>
    <x v="16"/>
    <x v="0"/>
    <n v="1"/>
    <n v="0"/>
    <s v="None"/>
    <m/>
  </r>
  <r>
    <x v="0"/>
    <s v="Defense of Shining Joy"/>
    <x v="0"/>
    <x v="6"/>
    <m/>
    <x v="4"/>
    <x v="3"/>
    <s v="♀Музыкант"/>
    <s v="-"/>
    <s v="Permanent"/>
    <s v="Uniform"/>
    <s v="Permanent"/>
    <m/>
    <s v="Sid 210"/>
    <x v="17"/>
    <x v="2"/>
    <n v="1"/>
    <n v="0"/>
    <s v="None"/>
    <m/>
  </r>
  <r>
    <x v="0"/>
    <s v="Faultless Ceremony"/>
    <x v="0"/>
    <x v="6"/>
    <m/>
    <x v="4"/>
    <x v="3"/>
    <s v="♀Музыкант"/>
    <s v="1m, 1wp"/>
    <s v="Simple"/>
    <s v="None"/>
    <s v="(Essence) days"/>
    <m/>
    <s v="Sid 211"/>
    <x v="17"/>
    <x v="2"/>
    <n v="1"/>
    <n v="0"/>
    <s v="None"/>
    <m/>
  </r>
  <r>
    <x v="0"/>
    <s v="Heart-Brightening Presentation Style"/>
    <x v="0"/>
    <x v="6"/>
    <m/>
    <x v="4"/>
    <x v="3"/>
    <s v="♀Музыкант"/>
    <s v="4m"/>
    <s v="Supplemental"/>
    <s v="Mute"/>
    <s v="Instant"/>
    <m/>
    <s v="Sid 213"/>
    <x v="17"/>
    <x v="0"/>
    <n v="1"/>
    <n v="0"/>
    <s v="None"/>
    <m/>
  </r>
  <r>
    <x v="0"/>
    <s v="Perfection in Life"/>
    <x v="0"/>
    <x v="6"/>
    <m/>
    <x v="4"/>
    <x v="3"/>
    <s v="♀Музыкант"/>
    <s v="5m"/>
    <s v="Simple"/>
    <s v="Mute"/>
    <s v="Instant"/>
    <m/>
    <s v="Sid 211"/>
    <x v="17"/>
    <x v="3"/>
    <n v="1"/>
    <n v="0"/>
    <s v="None"/>
    <m/>
  </r>
  <r>
    <x v="0"/>
    <s v="Follow the Blue String"/>
    <x v="0"/>
    <x v="6"/>
    <m/>
    <x v="4"/>
    <x v="3"/>
    <s v="♀Любовники"/>
    <s v="4m"/>
    <s v="Supplemental"/>
    <s v="None"/>
    <s v="Instant"/>
    <m/>
    <s v="Sid 217"/>
    <x v="18"/>
    <x v="3"/>
    <n v="1"/>
    <n v="0"/>
    <s v="None"/>
    <m/>
  </r>
  <r>
    <x v="0"/>
    <s v="Handsome Boy Eyes"/>
    <x v="0"/>
    <x v="6"/>
    <m/>
    <x v="4"/>
    <x v="3"/>
    <s v="♀Любовники"/>
    <s v="3m"/>
    <s v="Supplemental"/>
    <s v="None"/>
    <s v="Instant"/>
    <m/>
    <s v="Sid 219"/>
    <x v="18"/>
    <x v="0"/>
    <n v="2"/>
    <n v="0"/>
    <s v="Hot-Eyed Snake Whispering"/>
    <m/>
  </r>
  <r>
    <x v="0"/>
    <s v="Hot-Eyed Snake Whispering"/>
    <x v="0"/>
    <x v="6"/>
    <m/>
    <x v="4"/>
    <x v="3"/>
    <s v="♀Любовники"/>
    <s v="2m"/>
    <s v="Supplemental"/>
    <s v="None"/>
    <s v="Instant"/>
    <m/>
    <s v="Sid 218"/>
    <x v="18"/>
    <x v="0"/>
    <n v="1"/>
    <n v="0"/>
    <s v="None"/>
    <m/>
  </r>
  <r>
    <x v="0"/>
    <s v="Leash-and-Collar Wisdom"/>
    <x v="0"/>
    <x v="6"/>
    <m/>
    <x v="4"/>
    <x v="3"/>
    <s v="♀Любовники"/>
    <s v="3m, 1wp"/>
    <s v="Reflexive"/>
    <s v="None"/>
    <s v="Instant"/>
    <m/>
    <s v="Sid 220"/>
    <x v="18"/>
    <x v="1"/>
    <n v="3"/>
    <n v="0"/>
    <s v="Gilded Cage Entrapment, You-and-Yours Stance"/>
    <m/>
  </r>
  <r>
    <x v="0"/>
    <s v="Life Without Compunction"/>
    <x v="0"/>
    <x v="6"/>
    <m/>
    <x v="4"/>
    <x v="3"/>
    <s v="♀Любовники"/>
    <s v="5m"/>
    <s v="Reflexive"/>
    <s v="None"/>
    <s v="Instant"/>
    <m/>
    <s v="Sid 217"/>
    <x v="18"/>
    <x v="3"/>
    <n v="1"/>
    <n v="0"/>
    <s v="None"/>
    <m/>
  </r>
  <r>
    <x v="0"/>
    <s v="Stern Essence Replenishment"/>
    <x v="0"/>
    <x v="6"/>
    <m/>
    <x v="4"/>
    <x v="3"/>
    <s v="♀Любовники"/>
    <s v="-"/>
    <s v="Permanent"/>
    <s v="None"/>
    <s v="Permanent"/>
    <m/>
    <s v="Sid 219"/>
    <x v="18"/>
    <x v="0"/>
    <n v="1"/>
    <n v="0"/>
    <s v="None"/>
    <m/>
  </r>
  <r>
    <x v="0"/>
    <s v="You-and-Yours Stance"/>
    <x v="0"/>
    <x v="6"/>
    <m/>
    <x v="4"/>
    <x v="3"/>
    <s v="♀Любовники"/>
    <s v="10m"/>
    <s v="Reflexive"/>
    <s v="None"/>
    <s v="One scene"/>
    <m/>
    <s v="Sid 219"/>
    <x v="18"/>
    <x v="1"/>
    <n v="2"/>
    <n v="0"/>
    <s v="Hot-Eyed Snake Whispering"/>
    <m/>
  </r>
  <r>
    <x v="0"/>
    <s v="Abandoned Words Curse"/>
    <x v="0"/>
    <x v="6"/>
    <m/>
    <x v="1"/>
    <x v="3"/>
    <s v="♀"/>
    <s v="8m, 1wp (3m, 1wp)"/>
    <s v="Simple"/>
    <s v="Psyche"/>
    <s v="One story"/>
    <m/>
    <s v="Sid 191"/>
    <x v="9"/>
    <x v="4"/>
    <n v="3"/>
    <n v="0"/>
    <s v="Any five Serenity Charms"/>
    <m/>
  </r>
  <r>
    <x v="0"/>
    <s v="Celestial Union Understanding"/>
    <x v="0"/>
    <x v="6"/>
    <m/>
    <x v="1"/>
    <x v="3"/>
    <s v="♀"/>
    <s v="4m"/>
    <s v="Reflexive"/>
    <s v="None"/>
    <s v="Instant"/>
    <m/>
    <s v="Sid 190"/>
    <x v="9"/>
    <x v="0"/>
    <n v="1"/>
    <n v="0"/>
    <s v="Any three Serenity Charms"/>
    <m/>
  </r>
  <r>
    <x v="0"/>
    <s v="World-Shaping Artistic Vision"/>
    <x v="2"/>
    <x v="6"/>
    <m/>
    <x v="4"/>
    <x v="3"/>
    <s v="♀Павлин"/>
    <s v="-"/>
    <s v="Permanent"/>
    <s v="None"/>
    <s v="Permanent"/>
    <m/>
    <s v="Sid 195"/>
    <x v="14"/>
    <x v="0"/>
    <n v="1"/>
    <n v="0"/>
    <s v="None"/>
    <m/>
  </r>
  <r>
    <x v="0"/>
    <s v="Coercion By Any Means"/>
    <x v="2"/>
    <x v="6"/>
    <m/>
    <x v="4"/>
    <x v="3"/>
    <s v="♀Любовники"/>
    <s v="3m, 3i, 1wp"/>
    <s v="Reflexive"/>
    <s v="Decisive-only"/>
    <s v="Until grapple is released"/>
    <m/>
    <s v="Sid 220"/>
    <x v="18"/>
    <x v="4"/>
    <n v="3"/>
    <n v="0"/>
    <s v="Hot-Eyed Snake Whispering"/>
    <m/>
  </r>
  <r>
    <x v="0"/>
    <s v="Worthy Cause Demonstration"/>
    <x v="2"/>
    <x v="6"/>
    <m/>
    <x v="1"/>
    <x v="3"/>
    <s v="♀"/>
    <s v="5m, 1wp"/>
    <s v="Reflexive"/>
    <s v="Mute"/>
    <s v="One scene"/>
    <m/>
    <s v="Sid 190"/>
    <x v="9"/>
    <x v="0"/>
    <n v="1"/>
    <n v="0"/>
    <s v="Any three Serenity Charms"/>
    <m/>
  </r>
  <r>
    <x v="0"/>
    <s v="Mending Warped Designs"/>
    <x v="1"/>
    <x v="6"/>
    <m/>
    <x v="4"/>
    <x v="3"/>
    <s v="♀Павлин"/>
    <s v="10m, 1wp"/>
    <s v="Simple"/>
    <s v="Mute"/>
    <s v="Instant"/>
    <m/>
    <s v="Sid 194"/>
    <x v="14"/>
    <x v="0"/>
    <n v="1"/>
    <n v="0"/>
    <s v="None"/>
    <m/>
  </r>
  <r>
    <x v="0"/>
    <s v="Untangling Snarled Strands"/>
    <x v="1"/>
    <x v="6"/>
    <m/>
    <x v="4"/>
    <x v="3"/>
    <s v="♀Павлин"/>
    <s v="10m, 1wp"/>
    <s v="Simple"/>
    <s v="Shaping (Fate)"/>
    <s v="Instant"/>
    <m/>
    <s v="Sid 194"/>
    <x v="14"/>
    <x v="4"/>
    <n v="1"/>
    <n v="0"/>
    <s v="Mending Warped Designs"/>
    <m/>
  </r>
  <r>
    <x v="0"/>
    <s v="Auspicious Sidestep Serendipity"/>
    <x v="1"/>
    <x v="6"/>
    <m/>
    <x v="4"/>
    <x v="3"/>
    <s v="♀Кувшин"/>
    <s v="5m"/>
    <s v="Reflexive"/>
    <s v="Perilous, Uniform"/>
    <s v="Instant"/>
    <m/>
    <s v="Sid 202"/>
    <x v="15"/>
    <x v="4"/>
    <n v="2"/>
    <n v="0"/>
    <s v="Absent Self"/>
    <m/>
  </r>
  <r>
    <x v="0"/>
    <s v="Empty Sky Tranquility"/>
    <x v="1"/>
    <x v="6"/>
    <m/>
    <x v="4"/>
    <x v="3"/>
    <s v="♀Кувшин"/>
    <s v="3m"/>
    <s v="Simple"/>
    <s v="Decisive-only"/>
    <s v="Instant"/>
    <m/>
    <s v="Sid 201"/>
    <x v="15"/>
    <x v="0"/>
    <n v="1"/>
    <n v="0"/>
    <s v="None"/>
    <m/>
  </r>
  <r>
    <x v="0"/>
    <s v="Sweet Flirtation Smile"/>
    <x v="1"/>
    <x v="6"/>
    <m/>
    <x v="4"/>
    <x v="3"/>
    <s v="♀Кувшин"/>
    <s v="5m, 1wp"/>
    <s v="Simple"/>
    <s v="Mute"/>
    <s v="Instant"/>
    <m/>
    <s v="Sid 202"/>
    <x v="15"/>
    <x v="4"/>
    <n v="2"/>
    <n v="0"/>
    <s v="Snappy Banter Approach"/>
    <m/>
  </r>
  <r>
    <x v="0"/>
    <s v="Aster Petal Covenant"/>
    <x v="1"/>
    <x v="6"/>
    <m/>
    <x v="4"/>
    <x v="3"/>
    <s v="♀Колонна"/>
    <s v="3m per Charm"/>
    <s v="Reflexive"/>
    <s v="Stackable"/>
    <s v="Indefinite"/>
    <m/>
    <s v="Sid 208"/>
    <x v="16"/>
    <x v="4"/>
    <n v="3"/>
    <n v="0"/>
    <s v="Ice-and-Fire Binding, Knot of Destiny"/>
    <m/>
  </r>
  <r>
    <x v="0"/>
    <s v="Ice-and-Fire Binding"/>
    <x v="1"/>
    <x v="6"/>
    <m/>
    <x v="4"/>
    <x v="3"/>
    <s v="♀Колонна"/>
    <s v="10m, 1wp"/>
    <s v="Simple"/>
    <s v="Psyche"/>
    <s v="Instant"/>
    <m/>
    <s v="Sid 206"/>
    <x v="16"/>
    <x v="0"/>
    <n v="1"/>
    <n v="0"/>
    <s v="None"/>
    <m/>
  </r>
  <r>
    <x v="0"/>
    <s v="Compassionate Essence Replenishment"/>
    <x v="1"/>
    <x v="6"/>
    <m/>
    <x v="4"/>
    <x v="3"/>
    <s v="♀Музыкант"/>
    <s v="-"/>
    <s v="Permanent"/>
    <s v="None"/>
    <s v="Permanent"/>
    <m/>
    <s v="Sid 212"/>
    <x v="17"/>
    <x v="0"/>
    <n v="1"/>
    <n v="0"/>
    <s v="None"/>
    <m/>
  </r>
  <r>
    <x v="0"/>
    <s v="Easygoing Friend Approach"/>
    <x v="1"/>
    <x v="6"/>
    <m/>
    <x v="4"/>
    <x v="3"/>
    <s v="♀Музыкант"/>
    <s v="-"/>
    <s v="Permanent"/>
    <s v="None"/>
    <s v="Permanent"/>
    <m/>
    <s v="Sid 212"/>
    <x v="17"/>
    <x v="0"/>
    <n v="1"/>
    <n v="0"/>
    <s v="None"/>
    <m/>
  </r>
  <r>
    <x v="0"/>
    <s v="Cash and Murder Games"/>
    <x v="1"/>
    <x v="6"/>
    <m/>
    <x v="4"/>
    <x v="3"/>
    <s v="♀Любовники"/>
    <s v="5m, 1wp"/>
    <s v="Simple"/>
    <s v="Psyche"/>
    <s v="Instant"/>
    <m/>
    <s v="Sid 219"/>
    <x v="18"/>
    <x v="4"/>
    <n v="2"/>
    <n v="0"/>
    <s v="Shun the Smiling Lady"/>
    <m/>
  </r>
  <r>
    <x v="0"/>
    <s v="Shun the Smiling Lady"/>
    <x v="1"/>
    <x v="6"/>
    <m/>
    <x v="4"/>
    <x v="3"/>
    <s v="♀Любовники"/>
    <s v="7m"/>
    <s v="Simple"/>
    <s v="Psyche, Shaping (Fate)"/>
    <s v="Indefinite"/>
    <m/>
    <s v="Sid 218"/>
    <x v="18"/>
    <x v="0"/>
    <n v="1"/>
    <n v="0"/>
    <s v="None"/>
    <m/>
  </r>
  <r>
    <x v="0"/>
    <s v="Sway of Unseen Stars"/>
    <x v="1"/>
    <x v="6"/>
    <m/>
    <x v="1"/>
    <x v="3"/>
    <s v="♀"/>
    <s v="2m, 1wp"/>
    <s v="Supplemental"/>
    <s v="Mute"/>
    <s v="Instant"/>
    <m/>
    <s v="Sid 190"/>
    <x v="9"/>
    <x v="1"/>
    <n v="2"/>
    <n v="0"/>
    <s v="Any five Serenity Charms"/>
    <m/>
  </r>
  <r>
    <x v="0"/>
    <s v="Without Words, Without the Wordless"/>
    <x v="1"/>
    <x v="6"/>
    <m/>
    <x v="1"/>
    <x v="3"/>
    <s v="♀"/>
    <s v="10m, 1wp"/>
    <s v="Reflexive"/>
    <s v="Mute, Psyche"/>
    <s v="Instant"/>
    <m/>
    <s v="Sid 191"/>
    <x v="9"/>
    <x v="4"/>
    <n v="4"/>
    <n v="0"/>
    <s v="Abandoned Words Curse"/>
    <m/>
  </r>
  <r>
    <x v="0"/>
    <s v="Caught in the Heart’s Wake"/>
    <x v="0"/>
    <x v="1"/>
    <s v="Социалка"/>
    <x v="2"/>
    <x v="1"/>
    <s v="Щит♂"/>
    <s v="1m, 1wp"/>
    <s v="Simple"/>
    <s v="Psyche"/>
    <s v="Instant"/>
    <m/>
    <s v="Sid 243"/>
    <x v="3"/>
    <x v="0"/>
    <n v="1"/>
    <n v="0"/>
    <s v="Impose Nature"/>
    <m/>
  </r>
  <r>
    <x v="0"/>
    <s v="Presence-in-Absence Technique"/>
    <x v="0"/>
    <x v="1"/>
    <s v="Социалка"/>
    <x v="2"/>
    <x v="1"/>
    <s v="Щит♂"/>
    <s v="5m, 1wp"/>
    <s v="Simple"/>
    <s v="Mute, Psyche"/>
    <s v="Until the condition is met"/>
    <m/>
    <s v="Sid 243"/>
    <x v="3"/>
    <x v="0"/>
    <n v="1"/>
    <n v="0"/>
    <s v="Impose Nature"/>
    <m/>
  </r>
  <r>
    <x v="0"/>
    <s v="Beyond the Shattered Wall"/>
    <x v="1"/>
    <x v="0"/>
    <s v="цикл мастермайнда"/>
    <x v="2"/>
    <x v="1"/>
    <s v="Щит♂"/>
    <s v="10m, 1wp"/>
    <s v="Simple"/>
    <s v="None"/>
    <s v="Instant"/>
    <m/>
    <s v="Sid 247"/>
    <x v="3"/>
    <x v="4"/>
    <n v="4"/>
    <n v="0"/>
    <s v="Ego-Shattering Reminiscence, Force Decision, Presence-in-Absence Technique"/>
    <m/>
  </r>
  <r>
    <x v="0"/>
    <s v="Ego-Shattering Reminiscence"/>
    <x v="1"/>
    <x v="1"/>
    <s v="воспоминния"/>
    <x v="2"/>
    <x v="1"/>
    <s v="Щит♂"/>
    <s v="4m, 1wp"/>
    <s v="Simple"/>
    <s v="Psyche"/>
    <s v="Instant"/>
    <m/>
    <s v="Sid 246"/>
    <x v="3"/>
    <x v="4"/>
    <n v="3"/>
    <n v="0"/>
    <s v="Instructive Conviction Aura"/>
    <m/>
  </r>
  <r>
    <x v="0"/>
    <s v="Force Decision"/>
    <x v="1"/>
    <x v="0"/>
    <s v="цикл мастермайнда"/>
    <x v="2"/>
    <x v="1"/>
    <s v="Щит♂"/>
    <s v="2m, 1wp"/>
    <s v="Reflexive"/>
    <s v="Psyche"/>
    <s v="Instant"/>
    <m/>
    <s v="Sid 245"/>
    <x v="3"/>
    <x v="4"/>
    <n v="2"/>
    <n v="0"/>
    <s v="Impose Nature"/>
    <m/>
  </r>
  <r>
    <x v="0"/>
    <s v="Heroic Essence Replenishment"/>
    <x v="1"/>
    <x v="2"/>
    <s v="это для игрока"/>
    <x v="2"/>
    <x v="1"/>
    <s v="Щит♂"/>
    <s v="-"/>
    <s v="Permanent"/>
    <s v="None"/>
    <s v="Permanent"/>
    <s v="моты"/>
    <s v="Sid 244"/>
    <x v="3"/>
    <x v="0"/>
    <n v="1"/>
    <n v="0"/>
    <s v="None"/>
    <m/>
  </r>
  <r>
    <x v="0"/>
    <s v="Seizing the Heart"/>
    <x v="1"/>
    <x v="0"/>
    <s v="цикл мастермайнда"/>
    <x v="2"/>
    <x v="1"/>
    <s v="Щит♂"/>
    <s v="10m, 1wp (5m, 1wp)"/>
    <s v="Simple"/>
    <s v="Psyche"/>
    <s v="Indefinite"/>
    <m/>
    <s v="Sid 247"/>
    <x v="3"/>
    <x v="4"/>
    <n v="3"/>
    <n v="0"/>
    <s v="Force Decision"/>
    <m/>
  </r>
  <r>
    <x v="0"/>
    <s v="Avoiding-the-Truth Technique"/>
    <x v="0"/>
    <x v="6"/>
    <m/>
    <x v="5"/>
    <x v="4"/>
    <s v="Сокровищница♃"/>
    <s v="3m"/>
    <s v="Supplemental"/>
    <s v="Mute"/>
    <s v="Instant"/>
    <m/>
    <s v="Sid 272"/>
    <x v="19"/>
    <x v="0"/>
    <n v="1"/>
    <n v="0"/>
    <s v="None"/>
    <m/>
  </r>
  <r>
    <x v="0"/>
    <s v="Incite Decorum"/>
    <x v="0"/>
    <x v="6"/>
    <m/>
    <x v="5"/>
    <x v="4"/>
    <s v="Чародей♃"/>
    <s v="5m"/>
    <s v="Reflexive"/>
    <s v="Mute"/>
    <s v="One scene"/>
    <m/>
    <s v="Sid 276"/>
    <x v="20"/>
    <x v="2"/>
    <n v="1"/>
    <n v="0"/>
    <s v="None"/>
    <m/>
  </r>
  <r>
    <x v="0"/>
    <s v="Light of Celestial Revelation"/>
    <x v="0"/>
    <x v="6"/>
    <m/>
    <x v="5"/>
    <x v="4"/>
    <s v="Чародей♃"/>
    <s v="- (2m)"/>
    <s v="Permanent"/>
    <s v="Mute"/>
    <s v="Permanent"/>
    <m/>
    <s v="Sid 276"/>
    <x v="20"/>
    <x v="3"/>
    <n v="1"/>
    <n v="0"/>
    <s v="Mark of Exaltation"/>
    <m/>
  </r>
  <r>
    <x v="0"/>
    <s v="Manifestation-Haling Summons"/>
    <x v="0"/>
    <x v="6"/>
    <m/>
    <x v="5"/>
    <x v="4"/>
    <s v="Чародей♃"/>
    <s v="Varies"/>
    <s v="Simple"/>
    <s v="Mute"/>
    <s v="Instant"/>
    <m/>
    <s v="Sid 277"/>
    <x v="20"/>
    <x v="3"/>
    <n v="1"/>
    <n v="0"/>
    <s v="Mark of Exaltation"/>
    <m/>
  </r>
  <r>
    <x v="0"/>
    <s v="Mark of Exaltation"/>
    <x v="0"/>
    <x v="6"/>
    <m/>
    <x v="5"/>
    <x v="4"/>
    <s v="Чародей♃"/>
    <s v="4m"/>
    <s v="Reflexive"/>
    <s v="None"/>
    <s v="One scene"/>
    <m/>
    <s v="Sid 276"/>
    <x v="20"/>
    <x v="2"/>
    <n v="1"/>
    <n v="0"/>
    <s v="None"/>
    <m/>
  </r>
  <r>
    <x v="0"/>
    <s v="Prince-of-the-Earth Attitude"/>
    <x v="0"/>
    <x v="6"/>
    <m/>
    <x v="5"/>
    <x v="4"/>
    <s v="Чародей♃"/>
    <s v="-"/>
    <s v="Permanent"/>
    <s v="None"/>
    <s v="Permanent"/>
    <m/>
    <s v="Sid 276"/>
    <x v="20"/>
    <x v="0"/>
    <n v="1"/>
    <n v="0"/>
    <s v="Incite Decorum"/>
    <m/>
  </r>
  <r>
    <x v="0"/>
    <s v="Tell-Tale Symphony"/>
    <x v="0"/>
    <x v="6"/>
    <m/>
    <x v="5"/>
    <x v="4"/>
    <s v="Чародей♃"/>
    <s v="3m"/>
    <s v="Reflexive"/>
    <s v="None"/>
    <s v="One scene"/>
    <m/>
    <s v="Sid 277"/>
    <x v="20"/>
    <x v="3"/>
    <n v="1"/>
    <n v="0"/>
    <s v="Mark of Exaltation"/>
    <m/>
  </r>
  <r>
    <x v="0"/>
    <s v="Terrestrial Circle Sorcery"/>
    <x v="0"/>
    <x v="6"/>
    <m/>
    <x v="5"/>
    <x v="4"/>
    <s v="Чародей♃"/>
    <s v="-"/>
    <s v="Permanent"/>
    <s v="None"/>
    <s v="Permanent"/>
    <m/>
    <s v="Sid 281"/>
    <x v="20"/>
    <x v="0"/>
    <n v="1"/>
    <n v="0"/>
    <s v="Any four Secrets Charms"/>
    <m/>
  </r>
  <r>
    <x v="0"/>
    <s v="Legend-Dimming Obscurity"/>
    <x v="0"/>
    <x v="6"/>
    <m/>
    <x v="5"/>
    <x v="4"/>
    <s v="Маска♃"/>
    <s v="-"/>
    <s v="Permanent"/>
    <s v="None"/>
    <s v="Permanent"/>
    <m/>
    <s v="Sid 282"/>
    <x v="21"/>
    <x v="2"/>
    <n v="1"/>
    <n v="0"/>
    <s v="None"/>
    <m/>
  </r>
  <r>
    <x v="0"/>
    <s v="Privacy-Enhancing Gesture"/>
    <x v="0"/>
    <x v="6"/>
    <m/>
    <x v="5"/>
    <x v="4"/>
    <s v="Маска♃"/>
    <s v="10m, 1wp"/>
    <s v="Reflexive"/>
    <s v="Mute,"/>
    <s v="One day"/>
    <m/>
    <s v="Sid 283"/>
    <x v="21"/>
    <x v="0"/>
    <n v="1"/>
    <n v="0"/>
    <s v="None"/>
    <m/>
  </r>
  <r>
    <x v="0"/>
    <s v="Unfettered by Law"/>
    <x v="0"/>
    <x v="6"/>
    <m/>
    <x v="5"/>
    <x v="4"/>
    <s v="Маска♃"/>
    <s v="10m, 1wp"/>
    <s v="Reflexive"/>
    <s v="Mute, Psyche"/>
    <s v="One day"/>
    <m/>
    <s v="Sid 285"/>
    <x v="21"/>
    <x v="4"/>
    <n v="4"/>
    <n v="0"/>
    <s v="Blinding the Boar, Privacy-Enhancing Gesture, Walking Outside Fate"/>
    <m/>
  </r>
  <r>
    <x v="0"/>
    <s v="Unwritten Words Revelation"/>
    <x v="2"/>
    <x v="6"/>
    <m/>
    <x v="5"/>
    <x v="4"/>
    <s v="Ключ♃"/>
    <s v="5m"/>
    <s v="Reflexive"/>
    <s v="Mute"/>
    <s v="Instant"/>
    <m/>
    <s v="Sid 260"/>
    <x v="22"/>
    <x v="0"/>
    <n v="1"/>
    <n v="0"/>
    <s v="Marvelous Inclusion of Details"/>
    <m/>
  </r>
  <r>
    <x v="0"/>
    <s v="Dream Confiscation Approach"/>
    <x v="2"/>
    <x v="6"/>
    <m/>
    <x v="5"/>
    <x v="4"/>
    <s v="Стражи♃"/>
    <s v="6m"/>
    <s v="Simple"/>
    <s v="Aggravated, Mute, Psyche"/>
    <s v="One story or Instant"/>
    <m/>
    <s v="Sid 267"/>
    <x v="23"/>
    <x v="0"/>
    <n v="1"/>
    <n v="0"/>
    <s v="Name-Pilfering Practice"/>
    <m/>
  </r>
  <r>
    <x v="0"/>
    <s v="Masque of the Uncanny"/>
    <x v="2"/>
    <x v="6"/>
    <m/>
    <x v="5"/>
    <x v="4"/>
    <s v="Стражи♃"/>
    <s v="2m, 1wp"/>
    <s v="Simple"/>
    <s v="None"/>
    <s v="Instant"/>
    <m/>
    <s v="Sid 266"/>
    <x v="23"/>
    <x v="0"/>
    <n v="1"/>
    <n v="0"/>
    <s v="None"/>
    <m/>
  </r>
  <r>
    <x v="0"/>
    <s v="Name-Pilfering Practice"/>
    <x v="2"/>
    <x v="6"/>
    <m/>
    <x v="5"/>
    <x v="4"/>
    <s v="Стражи♃"/>
    <s v="5m, 1wp (1m, 1wp)"/>
    <s v="Simple"/>
    <s v="Mute, Shaping (Fate, Mind), Stackable"/>
    <s v="Indefinite"/>
    <m/>
    <s v="Sid 267"/>
    <x v="23"/>
    <x v="0"/>
    <n v="1"/>
    <n v="0"/>
    <s v="None"/>
    <m/>
  </r>
  <r>
    <x v="0"/>
    <s v="Of Things Desired and Feared"/>
    <x v="2"/>
    <x v="6"/>
    <m/>
    <x v="5"/>
    <x v="4"/>
    <s v="Сокровищница♃"/>
    <s v="10m, 1wp"/>
    <s v="Simple"/>
    <s v="None"/>
    <s v="Instant"/>
    <m/>
    <s v="Sid 272"/>
    <x v="19"/>
    <x v="0"/>
    <n v="2"/>
    <n v="0"/>
    <s v="Systematic Understanding of Everything"/>
    <m/>
  </r>
  <r>
    <x v="0"/>
    <s v="Seer’s Starry Eye"/>
    <x v="2"/>
    <x v="6"/>
    <m/>
    <x v="5"/>
    <x v="4"/>
    <s v="Чародей♃"/>
    <s v="-"/>
    <s v="Permanent"/>
    <s v="None"/>
    <s v="Permanent"/>
    <m/>
    <s v="Sid 277"/>
    <x v="20"/>
    <x v="0"/>
    <n v="1"/>
    <n v="0"/>
    <s v="None"/>
    <m/>
  </r>
  <r>
    <x v="0"/>
    <s v="Never Cease Moving"/>
    <x v="2"/>
    <x v="6"/>
    <m/>
    <x v="1"/>
    <x v="4"/>
    <s v="♃"/>
    <s v="1m"/>
    <s v="Reflexive"/>
    <s v="None"/>
    <s v="Indefinite"/>
    <m/>
    <s v="Sid 257"/>
    <x v="10"/>
    <x v="0"/>
    <n v="1"/>
    <n v="0"/>
    <s v="Any three Secrets Charms"/>
    <m/>
  </r>
  <r>
    <x v="0"/>
    <s v="Efficient Secretary Technique"/>
    <x v="1"/>
    <x v="6"/>
    <m/>
    <x v="5"/>
    <x v="4"/>
    <s v="Ключ♃"/>
    <s v="5m"/>
    <s v="Simple"/>
    <s v="Divination, Mute"/>
    <s v="Instant"/>
    <m/>
    <s v="Sid 259"/>
    <x v="22"/>
    <x v="2"/>
    <n v="1"/>
    <n v="0"/>
    <s v="None"/>
    <m/>
  </r>
  <r>
    <x v="0"/>
    <s v="Systematic Understanding of Everything"/>
    <x v="1"/>
    <x v="6"/>
    <m/>
    <x v="5"/>
    <x v="4"/>
    <s v="Сокровищница♃"/>
    <s v="1m"/>
    <s v="Simple"/>
    <s v="Stackable"/>
    <s v="Indefinite"/>
    <m/>
    <s v="Sid 270"/>
    <x v="19"/>
    <x v="2"/>
    <n v="1"/>
    <n v="0"/>
    <s v="None"/>
    <m/>
  </r>
  <r>
    <x v="0"/>
    <s v="The Methodology of Secrets"/>
    <x v="1"/>
    <x v="6"/>
    <m/>
    <x v="5"/>
    <x v="4"/>
    <s v="Сокровищница♃"/>
    <s v="1m"/>
    <s v="Supplemental"/>
    <s v="None"/>
    <s v="Instant"/>
    <m/>
    <s v="Sid 270"/>
    <x v="19"/>
    <x v="3"/>
    <n v="1"/>
    <n v="0"/>
    <s v="Systematic Understanding of Everything"/>
    <m/>
  </r>
  <r>
    <x v="0"/>
    <s v="Celestial Circle Sorcery"/>
    <x v="1"/>
    <x v="6"/>
    <m/>
    <x v="5"/>
    <x v="4"/>
    <s v="Чародей♃"/>
    <s v="-"/>
    <s v="Permanent"/>
    <s v="None"/>
    <s v="Permanent"/>
    <m/>
    <s v="Sid 282"/>
    <x v="20"/>
    <x v="4"/>
    <n v="3"/>
    <n v="0"/>
    <s v="Terrestrial Circle Sorcery, any five Terrestrial Circle"/>
    <m/>
  </r>
  <r>
    <x v="0"/>
    <s v="Unimpeachable Divinity Credentials"/>
    <x v="1"/>
    <x v="6"/>
    <m/>
    <x v="5"/>
    <x v="4"/>
    <s v="Чародей♃"/>
    <s v="5m, 1wp"/>
    <s v="Simple"/>
    <s v="None"/>
    <s v="Indefinite"/>
    <m/>
    <s v="Sid 278"/>
    <x v="20"/>
    <x v="0"/>
    <n v="2"/>
    <n v="0"/>
    <s v="Tell-Tale Symphony"/>
    <m/>
  </r>
  <r>
    <x v="0"/>
    <s v="Extinguished Stars Constellation"/>
    <x v="1"/>
    <x v="6"/>
    <m/>
    <x v="5"/>
    <x v="4"/>
    <s v="Маска♃"/>
    <s v="1m per character, 1wp"/>
    <s v="Simple"/>
    <s v="Shaping (Fate)"/>
    <s v="Indefinite"/>
    <m/>
    <s v="Sid 283"/>
    <x v="21"/>
    <x v="4"/>
    <n v="2"/>
    <n v="0"/>
    <s v="Privacy-Enhancing Gesture"/>
    <m/>
  </r>
  <r>
    <x v="0"/>
    <s v="Gift of a Broken Mask"/>
    <x v="1"/>
    <x v="6"/>
    <m/>
    <x v="5"/>
    <x v="4"/>
    <s v="Маска♃"/>
    <s v="10m, 1wp"/>
    <s v="Simple"/>
    <s v="Shaping (Mind)"/>
    <s v="Varies"/>
    <m/>
    <s v="Sid 284"/>
    <x v="21"/>
    <x v="4"/>
    <n v="3"/>
    <n v="0"/>
    <s v="Extinguished Stars Constellation, Legend-Dimming Obscurity"/>
    <m/>
  </r>
  <r>
    <x v="0"/>
    <s v="Enticing Puzzle Exculpation"/>
    <x v="1"/>
    <x v="6"/>
    <m/>
    <x v="1"/>
    <x v="4"/>
    <s v="♃"/>
    <s v="6m"/>
    <s v="Supplemental"/>
    <s v="Mute"/>
    <s v="Instant"/>
    <m/>
    <s v="Sid 257"/>
    <x v="10"/>
    <x v="0"/>
    <n v="1"/>
    <n v="0"/>
    <s v="Any three Secrets Charms"/>
    <m/>
  </r>
  <r>
    <x v="0"/>
    <s v="Cosmos-Sustaining Demiurge"/>
    <x v="3"/>
    <x v="6"/>
    <m/>
    <x v="4"/>
    <x v="3"/>
    <s v="♀Павлин"/>
    <s v="20m, 1wp"/>
    <s v="Simple"/>
    <s v="Mute"/>
    <s v="Instant"/>
    <m/>
    <s v="Sid 197"/>
    <x v="14"/>
    <x v="4"/>
    <n v="3"/>
    <n v="0"/>
    <s v="Mending Warped Designs"/>
    <m/>
  </r>
  <r>
    <x v="0"/>
    <s v="Excellent Implementation of Objectives"/>
    <x v="3"/>
    <x v="6"/>
    <m/>
    <x v="4"/>
    <x v="3"/>
    <s v="♀Павлин"/>
    <s v="8m"/>
    <s v="Simple"/>
    <s v="Mute"/>
    <s v="Instant"/>
    <m/>
    <s v="Sid 194"/>
    <x v="14"/>
    <x v="0"/>
    <n v="1"/>
    <n v="0"/>
    <s v="None"/>
    <m/>
  </r>
  <r>
    <x v="0"/>
    <s v="Forge-and-Spindle Marriage"/>
    <x v="3"/>
    <x v="6"/>
    <m/>
    <x v="4"/>
    <x v="3"/>
    <s v="♀Павлин"/>
    <s v="-"/>
    <s v="Permanent"/>
    <s v="None"/>
    <s v="Permanent"/>
    <m/>
    <s v="Sid 192"/>
    <x v="14"/>
    <x v="2"/>
    <n v="1"/>
    <n v="0"/>
    <s v="None"/>
    <m/>
  </r>
  <r>
    <x v="0"/>
    <s v="Fortuitous Fellowship"/>
    <x v="3"/>
    <x v="6"/>
    <m/>
    <x v="4"/>
    <x v="3"/>
    <s v="♀Павлин"/>
    <s v="10m, 1wp"/>
    <s v="Simple"/>
    <s v="Mute, Shaping (Fate)"/>
    <s v="Instant"/>
    <m/>
    <s v="Sid 198"/>
    <x v="14"/>
    <x v="4"/>
    <n v="3"/>
    <n v="0"/>
    <s v="Swan-and-Duckling Parable"/>
    <m/>
  </r>
  <r>
    <x v="0"/>
    <s v="Heaven-and-Hell Embassy"/>
    <x v="3"/>
    <x v="6"/>
    <m/>
    <x v="4"/>
    <x v="3"/>
    <s v="♀Павлин"/>
    <s v="5m, 1wp"/>
    <s v="Simple"/>
    <s v="None"/>
    <s v="One day"/>
    <m/>
    <s v="Sid 196"/>
    <x v="14"/>
    <x v="4"/>
    <n v="2"/>
    <n v="0"/>
    <s v="Untangling Snarled Strands"/>
    <m/>
  </r>
  <r>
    <x v="0"/>
    <s v="Implicit Construction Methodology"/>
    <x v="3"/>
    <x v="6"/>
    <m/>
    <x v="4"/>
    <x v="3"/>
    <s v="♀Павлин"/>
    <s v="10m, 1wp, 1wxp per dot"/>
    <s v="Simple"/>
    <s v="None"/>
    <s v="One project"/>
    <m/>
    <s v="Sid 199"/>
    <x v="14"/>
    <x v="4"/>
    <n v="5"/>
    <n v="0"/>
    <s v="Any ten Craft Charms"/>
    <m/>
  </r>
  <r>
    <x v="0"/>
    <s v="Proper Plumage"/>
    <x v="3"/>
    <x v="6"/>
    <m/>
    <x v="4"/>
    <x v="3"/>
    <s v="♀Павлин"/>
    <s v="5m, 1wp"/>
    <s v="Simple"/>
    <s v="None"/>
    <s v="Until the Sidereal removes her outfit"/>
    <m/>
    <s v="Sid 197"/>
    <x v="14"/>
    <x v="4"/>
    <n v="2"/>
    <n v="0"/>
    <s v="Wife-Procuring Tailfeathers"/>
    <m/>
  </r>
  <r>
    <x v="0"/>
    <s v="Swan-and-Duckling Parable"/>
    <x v="3"/>
    <x v="6"/>
    <m/>
    <x v="4"/>
    <x v="3"/>
    <s v="♀Павлин"/>
    <s v="-"/>
    <s v="Permanent"/>
    <s v="Stackable"/>
    <s v="Permanent"/>
    <m/>
    <s v="Sid 197"/>
    <x v="14"/>
    <x v="4"/>
    <n v="2"/>
    <n v="0"/>
    <s v="Proper Plumage"/>
    <m/>
  </r>
  <r>
    <x v="0"/>
    <s v="Unassuming Vizier Wisdom"/>
    <x v="3"/>
    <x v="6"/>
    <m/>
    <x v="4"/>
    <x v="3"/>
    <s v="♀Павлин"/>
    <s v="10m, 1wp"/>
    <s v="Simple"/>
    <s v="None"/>
    <s v="Indefinite"/>
    <m/>
    <s v="Sid 198"/>
    <x v="14"/>
    <x v="4"/>
    <n v="4"/>
    <n v="0"/>
    <s v="Fortuitous Fellowship"/>
    <m/>
  </r>
  <r>
    <x v="0"/>
    <s v="Unraveled Skein Insight"/>
    <x v="3"/>
    <x v="6"/>
    <m/>
    <x v="4"/>
    <x v="3"/>
    <s v="♀Павлин"/>
    <s v="6m"/>
    <s v="Simple"/>
    <s v="Mute"/>
    <s v="Instant"/>
    <m/>
    <s v="Sid 197"/>
    <x v="14"/>
    <x v="4"/>
    <n v="2"/>
    <n v="0"/>
    <s v="Elegant Patterns of Fate"/>
    <m/>
  </r>
  <r>
    <x v="0"/>
    <s v="Wife-Procuring Tailfeathers"/>
    <x v="3"/>
    <x v="6"/>
    <m/>
    <x v="4"/>
    <x v="3"/>
    <s v="♀Павлин"/>
    <s v="4m, 1wp"/>
    <s v="Simple"/>
    <s v="Mute, Shaping (Fate)"/>
    <s v="Indefinite"/>
    <m/>
    <s v="Sid 193"/>
    <x v="14"/>
    <x v="1"/>
    <n v="1"/>
    <n v="0"/>
    <s v="Atelier-and-Embassy Auspice"/>
    <m/>
  </r>
  <r>
    <x v="0"/>
    <s v="Delighted Maiden Mien"/>
    <x v="3"/>
    <x v="6"/>
    <m/>
    <x v="4"/>
    <x v="3"/>
    <s v="♀Кувшин"/>
    <s v="-"/>
    <s v="Permanent"/>
    <s v="Mute"/>
    <s v="Permanent"/>
    <m/>
    <s v="Sid 200"/>
    <x v="15"/>
    <x v="2"/>
    <n v="1"/>
    <n v="0"/>
    <s v="None"/>
    <m/>
  </r>
  <r>
    <x v="0"/>
    <s v="Distant Worries Dismissed"/>
    <x v="3"/>
    <x v="6"/>
    <m/>
    <x v="4"/>
    <x v="3"/>
    <s v="♀Кувшин"/>
    <s v="- (2i)"/>
    <s v="Permanent"/>
    <s v="Perilous"/>
    <s v="Permanent"/>
    <m/>
    <s v="Sid 202"/>
    <x v="15"/>
    <x v="1"/>
    <n v="2"/>
    <n v="0"/>
    <s v="Trouble Reduction Strategy"/>
    <m/>
  </r>
  <r>
    <x v="0"/>
    <s v="Enticing Mystery Elopement"/>
    <x v="3"/>
    <x v="6"/>
    <m/>
    <x v="4"/>
    <x v="3"/>
    <s v="♀Кувшин"/>
    <s v="5m, 1wp"/>
    <s v="Reflexive"/>
    <s v="Mute"/>
    <s v="Instant"/>
    <m/>
    <s v="Sid 202"/>
    <x v="15"/>
    <x v="1"/>
    <n v="2"/>
    <n v="0"/>
    <s v="Elusive Object of Desire"/>
    <m/>
  </r>
  <r>
    <x v="0"/>
    <s v="Frenzied Courtship Dodge"/>
    <x v="3"/>
    <x v="6"/>
    <m/>
    <x v="4"/>
    <x v="3"/>
    <s v="♀Кувшин"/>
    <s v="4m, 1wp"/>
    <s v="Simple"/>
    <s v="Mute, Shaping (Fate)"/>
    <s v="Indefinite"/>
    <m/>
    <s v="Sid 201"/>
    <x v="15"/>
    <x v="1"/>
    <n v="1"/>
    <n v="0"/>
    <s v="Snappy Banter Approach"/>
    <m/>
  </r>
  <r>
    <x v="0"/>
    <s v="Neighborhood Relocation Scheme"/>
    <x v="3"/>
    <x v="6"/>
    <m/>
    <x v="4"/>
    <x v="3"/>
    <s v="♀Кувшин"/>
    <s v="15m, 1wp"/>
    <s v="Simple"/>
    <s v="Shaping (Fate, Mind)"/>
    <s v="Until the Sidereal stops moving"/>
    <m/>
    <s v="Sid 203"/>
    <x v="15"/>
    <x v="4"/>
    <n v="5"/>
    <n v="0"/>
    <s v="Any ten Dodge Charms"/>
    <m/>
  </r>
  <r>
    <x v="0"/>
    <s v="Nemesis Evasion Smile"/>
    <x v="3"/>
    <x v="6"/>
    <m/>
    <x v="4"/>
    <x v="3"/>
    <s v="♀Кувшин"/>
    <s v="5m, 1wp"/>
    <s v="Simple"/>
    <s v="Uniform"/>
    <s v="Indefinite"/>
    <m/>
    <s v="Sid 203"/>
    <x v="15"/>
    <x v="4"/>
    <n v="4"/>
    <n v="0"/>
    <s v="Duck Fate"/>
    <m/>
  </r>
  <r>
    <x v="0"/>
    <s v="Suitor-Deflecting Sidestep"/>
    <x v="3"/>
    <x v="6"/>
    <m/>
    <x v="4"/>
    <x v="3"/>
    <s v="♀Кувшин"/>
    <s v="5m, 1wp"/>
    <s v="Simple"/>
    <s v="Mute"/>
    <s v="Instant"/>
    <m/>
    <s v="Sid 203"/>
    <x v="15"/>
    <x v="4"/>
    <n v="3"/>
    <n v="0"/>
    <s v="Frenzied Courtship Dodge"/>
    <m/>
  </r>
  <r>
    <x v="0"/>
    <s v="Trouble Reduction Strategy"/>
    <x v="3"/>
    <x v="6"/>
    <m/>
    <x v="4"/>
    <x v="3"/>
    <s v="♀Кувшин"/>
    <s v="3m"/>
    <s v="Reflexive"/>
    <s v="Uniform"/>
    <s v="One scene"/>
    <m/>
    <s v="Sid 200"/>
    <x v="15"/>
    <x v="1"/>
    <n v="1"/>
    <n v="0"/>
    <s v="Absent Self"/>
    <m/>
  </r>
  <r>
    <x v="0"/>
    <s v="Unwelcome Courtship Interception"/>
    <x v="3"/>
    <x v="6"/>
    <m/>
    <x v="4"/>
    <x v="3"/>
    <s v="♀Кувшин"/>
    <s v="4m"/>
    <s v="Reflexive"/>
    <s v="Uniform"/>
    <s v="Instant"/>
    <m/>
    <s v="Sid 202"/>
    <x v="15"/>
    <x v="4"/>
    <n v="2"/>
    <n v="0"/>
    <s v="Trouble Reduction Strategy"/>
    <m/>
  </r>
  <r>
    <x v="0"/>
    <s v="Beloved Maiden’s Bride"/>
    <x v="3"/>
    <x v="6"/>
    <m/>
    <x v="4"/>
    <x v="3"/>
    <s v="♀Колонна"/>
    <s v="-"/>
    <s v="Permanent"/>
    <s v="None"/>
    <s v="Permanent"/>
    <m/>
    <s v="Sid 208"/>
    <x v="16"/>
    <x v="4"/>
    <n v="3"/>
    <n v="0"/>
    <s v="Aster Petal Covenant"/>
    <m/>
  </r>
  <r>
    <x v="0"/>
    <s v="Circumstance-Contriving Resplendency"/>
    <x v="3"/>
    <x v="6"/>
    <m/>
    <x v="4"/>
    <x v="3"/>
    <s v="♀Колонна"/>
    <s v="-"/>
    <s v="Permanent"/>
    <s v="None"/>
    <s v="Permanent"/>
    <m/>
    <s v="Sid 209"/>
    <x v="16"/>
    <x v="4"/>
    <n v="3"/>
    <n v="0"/>
    <s v="Equitable Partnership (x2)"/>
    <m/>
  </r>
  <r>
    <x v="0"/>
    <s v="Comforting Matriarch Embrace"/>
    <x v="3"/>
    <x v="6"/>
    <m/>
    <x v="4"/>
    <x v="3"/>
    <s v="♀Колонна"/>
    <s v="5m, 1wp"/>
    <s v="Simple"/>
    <s v="Mute"/>
    <s v="Instant"/>
    <m/>
    <s v="Sid 208"/>
    <x v="16"/>
    <x v="4"/>
    <n v="2"/>
    <n v="0"/>
    <s v="Enduring Companionship Affirmation"/>
    <m/>
  </r>
  <r>
    <x v="0"/>
    <s v="Enduring Companionship Affirmation"/>
    <x v="3"/>
    <x v="6"/>
    <m/>
    <x v="4"/>
    <x v="3"/>
    <s v="♀Колонна"/>
    <s v="5m, 1wp"/>
    <s v="Supplemental"/>
    <s v="Mute"/>
    <s v="Instant"/>
    <m/>
    <s v="Sid 208"/>
    <x v="16"/>
    <x v="4"/>
    <n v="2"/>
    <n v="0"/>
    <s v="Knot of Destiny"/>
    <m/>
  </r>
  <r>
    <x v="0"/>
    <s v="Equitable Partnership"/>
    <x v="3"/>
    <x v="6"/>
    <m/>
    <x v="4"/>
    <x v="3"/>
    <s v="♀Колонна"/>
    <s v="10m, 1wp"/>
    <s v="Simple"/>
    <s v="Mute, Shaping (Fate)"/>
    <s v="Instant"/>
    <m/>
    <s v="Sid 207"/>
    <x v="16"/>
    <x v="1"/>
    <n v="1"/>
    <n v="0"/>
    <s v="Knot of Destiny"/>
    <m/>
  </r>
  <r>
    <x v="0"/>
    <s v="Equitable Partnership (x2)"/>
    <x v="3"/>
    <x v="6"/>
    <m/>
    <x v="4"/>
    <x v="3"/>
    <s v="♀Колонна"/>
    <s v="10m, 1wp"/>
    <s v="Simple"/>
    <s v="Mute, Shaping (Fate)"/>
    <s v="Instant"/>
    <m/>
    <s v="Sid 207"/>
    <x v="16"/>
    <x v="4"/>
    <n v="3"/>
    <n v="0"/>
    <s v="Equitable Partnership"/>
    <m/>
  </r>
  <r>
    <x v="0"/>
    <s v="Lover’s Oath"/>
    <x v="3"/>
    <x v="6"/>
    <m/>
    <x v="4"/>
    <x v="3"/>
    <s v="♀Колонна"/>
    <s v="10m, 1wp"/>
    <s v="Simple"/>
    <s v="Stackable"/>
    <s v="Indefinite"/>
    <m/>
    <s v="Sid 210"/>
    <x v="16"/>
    <x v="4"/>
    <n v="5"/>
    <n v="0"/>
    <s v="Any ten Linguistics Charms"/>
    <m/>
  </r>
  <r>
    <x v="0"/>
    <s v="Remembering the Best Times"/>
    <x v="3"/>
    <x v="6"/>
    <m/>
    <x v="4"/>
    <x v="3"/>
    <s v="♀Колонна"/>
    <s v="5m, 1wp"/>
    <s v="Simple"/>
    <s v="Mute, Psyche"/>
    <s v="Indefinite"/>
    <m/>
    <s v="Sid 209"/>
    <x v="16"/>
    <x v="4"/>
    <n v="4"/>
    <n v="0"/>
    <s v="Enduring Companionship Affirmation"/>
    <m/>
  </r>
  <r>
    <x v="0"/>
    <s v="Secret Bloodline Revelation"/>
    <x v="3"/>
    <x v="6"/>
    <m/>
    <x v="4"/>
    <x v="3"/>
    <s v="♀Колонна"/>
    <s v="10m, 1wp, 2xp"/>
    <s v="Simple"/>
    <s v="Shaping (Fate)"/>
    <s v="Instant"/>
    <m/>
    <s v="Sid 209"/>
    <x v="16"/>
    <x v="4"/>
    <n v="4"/>
    <n v="0"/>
    <s v="Aster Petal Covenant, Enduring Companionship Affirmation, Favorable Inflection Procedure"/>
    <m/>
  </r>
  <r>
    <x v="0"/>
    <s v="Apocalypse-Soothing Psalm"/>
    <x v="3"/>
    <x v="6"/>
    <m/>
    <x v="4"/>
    <x v="3"/>
    <s v="♀Музыкант"/>
    <s v="15m, 1wp"/>
    <s v="Simple"/>
    <s v="Mute"/>
    <s v="One scene"/>
    <m/>
    <s v="Sid 215"/>
    <x v="17"/>
    <x v="4"/>
    <n v="4"/>
    <n v="0"/>
    <s v="Lining the Road with Sugar and Wine"/>
    <m/>
  </r>
  <r>
    <x v="0"/>
    <s v="Beauty in Misfortune"/>
    <x v="3"/>
    <x v="6"/>
    <m/>
    <x v="4"/>
    <x v="3"/>
    <s v="♀Музыкант"/>
    <s v="-"/>
    <s v="Permanent"/>
    <s v="None"/>
    <s v="Permanent"/>
    <m/>
    <s v="Sid 211"/>
    <x v="17"/>
    <x v="0"/>
    <n v="1"/>
    <n v="0"/>
    <s v="None"/>
    <m/>
  </r>
  <r>
    <x v="0"/>
    <s v="Beauty in Misfortune (x2)"/>
    <x v="3"/>
    <x v="6"/>
    <m/>
    <x v="4"/>
    <x v="3"/>
    <s v="♀Музыкант"/>
    <s v="10m, 1wp"/>
    <s v="Permanent"/>
    <s v="None"/>
    <s v="Permanent"/>
    <s v="1/story when sidereal fulfills an auspicious prospect according to charm requirements, end a Psyche effect she suffers"/>
    <s v="Sid 211"/>
    <x v="17"/>
    <x v="4"/>
    <n v="3"/>
    <n v="0"/>
    <s v="Beauty in Misfortune"/>
    <m/>
  </r>
  <r>
    <x v="0"/>
    <s v="Brigand-and-Carouser Attracting Style"/>
    <x v="3"/>
    <x v="6"/>
    <m/>
    <x v="4"/>
    <x v="3"/>
    <s v="♀Музыкант"/>
    <s v="4m, 1wp"/>
    <s v="Simple"/>
    <s v="Mute, Shaping (Fate)"/>
    <s v="Indefinite"/>
    <m/>
    <s v="Sid 213"/>
    <x v="17"/>
    <x v="1"/>
    <n v="1"/>
    <n v="0"/>
    <s v="Easygoing Friend Approach"/>
    <m/>
  </r>
  <r>
    <x v="0"/>
    <s v="Fivefold Maiden Harmony"/>
    <x v="3"/>
    <x v="6"/>
    <m/>
    <x v="4"/>
    <x v="3"/>
    <s v="♀Музыкант"/>
    <s v="1m"/>
    <s v="Simple"/>
    <s v="None"/>
    <s v="One song"/>
    <m/>
    <s v="Sid 214"/>
    <x v="17"/>
    <x v="4"/>
    <n v="2"/>
    <n v="0"/>
    <s v="Heart-Brightening Presentation Style"/>
    <m/>
  </r>
  <r>
    <x v="0"/>
    <s v="Freeing the Fettered Dancer"/>
    <x v="3"/>
    <x v="6"/>
    <m/>
    <x v="4"/>
    <x v="3"/>
    <s v="♀Музыкант"/>
    <s v="10m, 1wp"/>
    <s v="Reflexive"/>
    <s v="Mute"/>
    <s v="Instant"/>
    <m/>
    <s v="Sid 216"/>
    <x v="17"/>
    <x v="4"/>
    <n v="4"/>
    <n v="0"/>
    <s v="Beauty in Misfortune (x2), Missed Step Enlightenment"/>
    <m/>
  </r>
  <r>
    <x v="0"/>
    <s v="Harmonic Completion"/>
    <x v="3"/>
    <x v="6"/>
    <m/>
    <x v="4"/>
    <x v="3"/>
    <s v="♀Музыкант"/>
    <s v="15m, 1wp"/>
    <s v="Simple"/>
    <s v="None"/>
    <s v="Instant"/>
    <m/>
    <s v="Sid 216"/>
    <x v="17"/>
    <x v="4"/>
    <n v="5"/>
    <n v="0"/>
    <s v="Any ten Performance Charms"/>
    <m/>
  </r>
  <r>
    <x v="0"/>
    <s v="Impossible-to-Remember Party Approach"/>
    <x v="3"/>
    <x v="6"/>
    <m/>
    <x v="4"/>
    <x v="3"/>
    <s v="♀Музыкант"/>
    <s v="4m"/>
    <s v="Simple"/>
    <s v="Mute"/>
    <s v="One performance"/>
    <m/>
    <s v="Sid 212"/>
    <x v="17"/>
    <x v="0"/>
    <n v="1"/>
    <n v="0"/>
    <s v="Easygoing Friend Approach"/>
    <m/>
  </r>
  <r>
    <x v="0"/>
    <s v="Lining the Road With Sugar and Wine"/>
    <x v="3"/>
    <x v="6"/>
    <m/>
    <x v="4"/>
    <x v="3"/>
    <s v="♀Музыкант"/>
    <s v="3m, 1wp"/>
    <s v="Supplemental"/>
    <s v="Mute"/>
    <s v="Instant"/>
    <m/>
    <s v="Sid 215"/>
    <x v="17"/>
    <x v="4"/>
    <n v="3"/>
    <n v="0"/>
    <s v="Listen to the Heart, Serenity Beyond Fear"/>
    <m/>
  </r>
  <r>
    <x v="0"/>
    <s v="Listen to the Heart"/>
    <x v="3"/>
    <x v="6"/>
    <m/>
    <x v="4"/>
    <x v="3"/>
    <s v="♀Музыкант"/>
    <s v="1m, 1wp"/>
    <s v="Simple"/>
    <s v="None"/>
    <s v="Instant"/>
    <m/>
    <s v="Sid 214"/>
    <x v="17"/>
    <x v="1"/>
    <n v="2"/>
    <n v="0"/>
    <s v="Perfection in Life"/>
    <m/>
  </r>
  <r>
    <x v="0"/>
    <s v="Missed Step Enlightenment"/>
    <x v="3"/>
    <x v="6"/>
    <m/>
    <x v="4"/>
    <x v="3"/>
    <s v="♀Музыкант"/>
    <s v="10m, 1wp"/>
    <s v="Reflexive"/>
    <s v="Mute"/>
    <s v="Instant"/>
    <m/>
    <s v="Sid 212"/>
    <x v="17"/>
    <x v="4"/>
    <n v="1"/>
    <n v="0"/>
    <s v="Beauty in Misfortune"/>
    <m/>
  </r>
  <r>
    <x v="0"/>
    <s v="Serenity Beyond Fear"/>
    <x v="3"/>
    <x v="6"/>
    <m/>
    <x v="4"/>
    <x v="3"/>
    <s v="♀Музыкант"/>
    <s v="2m, 1wp"/>
    <s v="Supplemental"/>
    <s v="None"/>
    <s v="Instant"/>
    <m/>
    <s v="Sid 213"/>
    <x v="17"/>
    <x v="1"/>
    <n v="1"/>
    <n v="0"/>
    <s v="Heart-Brightening Presentation Style, Perfection in Life"/>
    <m/>
  </r>
  <r>
    <x v="0"/>
    <s v="Song of Spirit Persuasion"/>
    <x v="3"/>
    <x v="6"/>
    <m/>
    <x v="4"/>
    <x v="3"/>
    <s v="♀Музыкант"/>
    <s v="5m, 1wp"/>
    <s v="Simple"/>
    <s v="None"/>
    <s v="Instant"/>
    <m/>
    <s v="Sid 215"/>
    <x v="17"/>
    <x v="4"/>
    <n v="2"/>
    <n v="0"/>
    <s v="Heart-Brightening Presentation Style"/>
    <m/>
  </r>
  <r>
    <x v="0"/>
    <s v="Strange Days"/>
    <x v="3"/>
    <x v="6"/>
    <m/>
    <x v="4"/>
    <x v="3"/>
    <s v="♀Музыкант"/>
    <s v="5m, 1wp"/>
    <s v="Reflexive"/>
    <s v="Psyche"/>
    <s v="Instant"/>
    <m/>
    <s v="Sid 214"/>
    <x v="17"/>
    <x v="1"/>
    <n v="2"/>
    <n v="0"/>
    <s v="Impossible-to-Remember Party Approach"/>
    <m/>
  </r>
  <r>
    <x v="0"/>
    <s v="The Maiden Stumbles"/>
    <x v="3"/>
    <x v="6"/>
    <m/>
    <x v="4"/>
    <x v="3"/>
    <s v="♀Музыкант"/>
    <s v="5m, 1wp"/>
    <s v="Reflexive"/>
    <s v="Counterattack, Withering-only"/>
    <s v="Instant"/>
    <m/>
    <s v="Sid 215"/>
    <x v="17"/>
    <x v="4"/>
    <n v="3"/>
    <n v="0"/>
    <s v="Beauty in Misfortune, Faultless Ceremony, Perfection in Life"/>
    <m/>
  </r>
  <r>
    <x v="0"/>
    <s v="Unnoticed Virtuoso Encore"/>
    <x v="3"/>
    <x v="6"/>
    <m/>
    <x v="4"/>
    <x v="3"/>
    <s v="♀Музыкант"/>
    <s v="5m (5m or 5i per round/minute)"/>
    <s v="Reflexive"/>
    <s v="Mute, Shaping (Mind)"/>
    <s v="One scene"/>
    <m/>
    <s v="Sid 213"/>
    <x v="17"/>
    <x v="0"/>
    <n v="2"/>
    <n v="0"/>
    <s v="Heart-Brightening Presentation Style"/>
    <m/>
  </r>
  <r>
    <x v="0"/>
    <s v="Cantarella Kiss Intrigue"/>
    <x v="3"/>
    <x v="6"/>
    <m/>
    <x v="4"/>
    <x v="3"/>
    <s v="♀Любовники"/>
    <s v="1m"/>
    <s v="Reflexive"/>
    <s v="None"/>
    <s v="Instant"/>
    <m/>
    <s v="Sid 217"/>
    <x v="18"/>
    <x v="0"/>
    <n v="1"/>
    <n v="0"/>
    <s v="Follow the Blue String"/>
    <m/>
  </r>
  <r>
    <x v="0"/>
    <s v="Faceless Idol Obsession"/>
    <x v="3"/>
    <x v="6"/>
    <m/>
    <x v="4"/>
    <x v="3"/>
    <s v="♀Любовники"/>
    <s v="10m, 1wp, 1ahl"/>
    <s v="Simple"/>
    <s v="Psyche, Shaping (Mind)"/>
    <s v="Instant"/>
    <m/>
    <s v="Sid 221"/>
    <x v="18"/>
    <x v="4"/>
    <n v="4"/>
    <n v="0"/>
    <s v="Handsome Boy Eyes, Idle Pillow Talk Approach, Leash-and-Collar Wisdom"/>
    <m/>
  </r>
  <r>
    <x v="0"/>
    <s v="Freedom in Chains"/>
    <x v="3"/>
    <x v="6"/>
    <m/>
    <x v="4"/>
    <x v="3"/>
    <s v="♀Любовники"/>
    <s v="5m, 1wp"/>
    <s v="Reflexive"/>
    <s v="Mute"/>
    <s v="Indefinite"/>
    <m/>
    <s v="Sid 221"/>
    <x v="18"/>
    <x v="4"/>
    <n v="3"/>
    <n v="0"/>
    <s v="Ubiquitous Paramour Daydream"/>
    <m/>
  </r>
  <r>
    <x v="0"/>
    <s v="Gilded Cage Entrapment"/>
    <x v="3"/>
    <x v="6"/>
    <m/>
    <x v="4"/>
    <x v="3"/>
    <s v="♀Любовники"/>
    <s v="4m, 1wp"/>
    <s v="Simple"/>
    <s v="Mute, Shaping (Fate)"/>
    <s v="Indefinite"/>
    <m/>
    <s v="Sid 218"/>
    <x v="18"/>
    <x v="1"/>
    <n v="1"/>
    <n v="0"/>
    <s v="Hot-Eyed Snake Whispering"/>
    <m/>
  </r>
  <r>
    <x v="0"/>
    <s v="Idle Pillow Talk Approach"/>
    <x v="3"/>
    <x v="6"/>
    <m/>
    <x v="4"/>
    <x v="3"/>
    <s v="♀Любовники"/>
    <s v="4m"/>
    <s v="Simple"/>
    <s v="Mute"/>
    <s v="Instant"/>
    <m/>
    <s v="Sid 220"/>
    <x v="18"/>
    <x v="4"/>
    <n v="2"/>
    <n v="0"/>
    <s v="Life Without Compunction"/>
    <m/>
  </r>
  <r>
    <x v="0"/>
    <s v="Ubiquitous Paramour Daydream"/>
    <x v="3"/>
    <x v="6"/>
    <m/>
    <x v="4"/>
    <x v="3"/>
    <s v="♀Любовники"/>
    <s v="4m, 1wp"/>
    <s v="Supplemental"/>
    <s v="Mute"/>
    <s v="Instant"/>
    <m/>
    <s v="Sid 220"/>
    <x v="18"/>
    <x v="4"/>
    <n v="2"/>
    <n v="0"/>
    <s v="Cash and Murder Games"/>
    <m/>
  </r>
  <r>
    <x v="0"/>
    <s v="Wanting and Fearing Prayer"/>
    <x v="3"/>
    <x v="6"/>
    <m/>
    <x v="4"/>
    <x v="3"/>
    <s v="♀Любовники"/>
    <s v="10m, 1wp, 1ahl"/>
    <s v="Simple"/>
    <s v="Psyche, Shaping (Fate)"/>
    <s v="Indefinite"/>
    <m/>
    <s v="Sid 221"/>
    <x v="18"/>
    <x v="4"/>
    <n v="5"/>
    <n v="0"/>
    <s v="Any ten Socialize Charms"/>
    <m/>
  </r>
  <r>
    <x v="0"/>
    <s v="Spouse-Saving Grace"/>
    <x v="3"/>
    <x v="6"/>
    <m/>
    <x v="1"/>
    <x v="3"/>
    <s v="♀"/>
    <s v="5m"/>
    <s v="Reflexive"/>
    <s v="Mute"/>
    <s v="One scene"/>
    <m/>
    <s v="Sid 190"/>
    <x v="9"/>
    <x v="0"/>
    <n v="1"/>
    <n v="0"/>
    <s v="Any three Serenity Charms"/>
    <m/>
  </r>
  <r>
    <x v="0"/>
    <s v="Tyrannous Majority Mirror"/>
    <x v="3"/>
    <x v="6"/>
    <m/>
    <x v="1"/>
    <x v="3"/>
    <s v="♀"/>
    <s v="10m, 1wp"/>
    <s v="Simple"/>
    <s v="Mute"/>
    <s v="Indefinite"/>
    <m/>
    <s v="Sid 191"/>
    <x v="9"/>
    <x v="4"/>
    <n v="4"/>
    <n v="0"/>
    <s v="Worthy Cause Demonstration (x2)"/>
    <m/>
  </r>
  <r>
    <x v="0"/>
    <s v="Worthy Cause Demonstration (x2)"/>
    <x v="3"/>
    <x v="6"/>
    <m/>
    <x v="1"/>
    <x v="3"/>
    <s v="♀"/>
    <s v="5m, 1wp"/>
    <s v="Reflexive"/>
    <s v="Mute"/>
    <s v="Indefinite"/>
    <m/>
    <s v="Sid 190"/>
    <x v="9"/>
    <x v="1"/>
    <n v="2"/>
    <n v="0"/>
    <s v="Worthy Cause Demonstration"/>
    <m/>
  </r>
  <r>
    <x v="0"/>
    <s v="Ally-Concealing Arrow"/>
    <x v="3"/>
    <x v="6"/>
    <m/>
    <x v="2"/>
    <x v="1"/>
    <s v="Колчан♂"/>
    <s v="5m, 1wp"/>
    <s v="Supplemental"/>
    <s v="Decisive-only"/>
    <s v="Instant"/>
    <m/>
    <s v="Sid 231"/>
    <x v="24"/>
    <x v="4"/>
    <n v="4"/>
    <n v="0"/>
    <s v="Empty Quiver Ruse, Hidden Arrow Tactic, Misdirected Wisdom Trick"/>
    <m/>
  </r>
  <r>
    <x v="0"/>
    <s v="Any-Direction Arrow"/>
    <x v="3"/>
    <x v="6"/>
    <m/>
    <x v="2"/>
    <x v="1"/>
    <s v="Колчан♂"/>
    <s v="1m"/>
    <s v="Supplemental"/>
    <s v="Uniform, Versatile"/>
    <s v="Instant"/>
    <m/>
    <s v="Sid 227"/>
    <x v="24"/>
    <x v="3"/>
    <n v="1"/>
    <n v="0"/>
    <s v="None"/>
    <m/>
  </r>
  <r>
    <x v="0"/>
    <s v="Apologetic Feint"/>
    <x v="3"/>
    <x v="6"/>
    <m/>
    <x v="2"/>
    <x v="1"/>
    <s v="Колчан♂"/>
    <s v="5m"/>
    <s v="Supplemental"/>
    <s v="Decisive-only, Mute"/>
    <s v="Instant"/>
    <m/>
    <s v="Sid 227"/>
    <x v="24"/>
    <x v="0"/>
    <n v="1"/>
    <n v="0"/>
    <s v="Flaw-Revealing Tactic"/>
    <m/>
  </r>
  <r>
    <x v="0"/>
    <s v="Clay Maiden Enlightenment"/>
    <x v="3"/>
    <x v="6"/>
    <m/>
    <x v="2"/>
    <x v="1"/>
    <s v="Колчан♂"/>
    <s v="-"/>
    <s v="Permanent"/>
    <s v="None"/>
    <s v="Permanent"/>
    <m/>
    <s v="Sid 230"/>
    <x v="24"/>
    <x v="4"/>
    <n v="3"/>
    <n v="0"/>
    <s v="Clay Maiden Form, any five Archery Charms"/>
    <m/>
  </r>
  <r>
    <x v="0"/>
    <s v="Clay Maiden Form"/>
    <x v="3"/>
    <x v="6"/>
    <m/>
    <x v="2"/>
    <x v="1"/>
    <s v="Колчан♂"/>
    <s v="10m"/>
    <s v="Simple"/>
    <s v="Form"/>
    <s v="Instant"/>
    <m/>
    <s v="Sid 228"/>
    <x v="24"/>
    <x v="1"/>
    <n v="1"/>
    <n v="0"/>
    <s v="Any four Archery Charms"/>
    <m/>
  </r>
  <r>
    <x v="0"/>
    <s v="Empty Quiver Ruse"/>
    <x v="3"/>
    <x v="6"/>
    <m/>
    <x v="2"/>
    <x v="1"/>
    <s v="Колчан♂"/>
    <s v="5m, 1wp"/>
    <s v="Reflexive"/>
    <s v="Perilous, Uniform, Versatile"/>
    <s v="Instant"/>
    <m/>
    <s v="Sid 230"/>
    <x v="24"/>
    <x v="4"/>
    <n v="3"/>
    <n v="0"/>
    <s v="Apologetic Feint"/>
    <m/>
  </r>
  <r>
    <x v="0"/>
    <s v="Every-Direction Arrow"/>
    <x v="3"/>
    <x v="6"/>
    <m/>
    <x v="2"/>
    <x v="1"/>
    <s v="Колчан♂"/>
    <s v="5m, 1wp"/>
    <s v="Simple"/>
    <s v="Decisive-only"/>
    <s v="Instant"/>
    <m/>
    <s v="Sid 229"/>
    <x v="24"/>
    <x v="4"/>
    <n v="2"/>
    <n v="0"/>
    <s v="Any-Direction Arrow"/>
    <m/>
  </r>
  <r>
    <x v="0"/>
    <s v="Five Seasons Approach"/>
    <x v="3"/>
    <x v="6"/>
    <m/>
    <x v="2"/>
    <x v="1"/>
    <s v="Колчан♂"/>
    <s v="3m, 3i, 1wp"/>
    <s v="Simple"/>
    <s v="Decisive-only"/>
    <s v="Instant"/>
    <m/>
    <s v="Sid 230"/>
    <x v="24"/>
    <x v="4"/>
    <n v="3"/>
    <n v="0"/>
    <s v="Every-Direction Arrow, Generalized Ammunition Technique, Opportune Shot"/>
    <m/>
  </r>
  <r>
    <x v="0"/>
    <s v="Flaw-Revealing Tactic"/>
    <x v="3"/>
    <x v="6"/>
    <m/>
    <x v="2"/>
    <x v="1"/>
    <s v="Колчан♂"/>
    <s v="5m"/>
    <s v="Supplemental"/>
    <s v="Decisive-only, Versatile"/>
    <s v="Instant"/>
    <m/>
    <s v="Sid 227"/>
    <x v="24"/>
    <x v="3"/>
    <n v="1"/>
    <n v="0"/>
    <s v="None"/>
    <m/>
  </r>
  <r>
    <x v="0"/>
    <s v="Generalized Ammunition Technique"/>
    <x v="3"/>
    <x v="6"/>
    <m/>
    <x v="2"/>
    <x v="1"/>
    <s v="Колчан♂"/>
    <s v="2m"/>
    <s v="Supplemental"/>
    <s v="Uniform, Versatile"/>
    <s v="Instant"/>
    <m/>
    <s v="Sid 228"/>
    <x v="24"/>
    <x v="0"/>
    <n v="1"/>
    <n v="0"/>
    <s v="None"/>
    <m/>
  </r>
  <r>
    <x v="0"/>
    <s v="Hidden Arrow Tactic"/>
    <x v="3"/>
    <x v="6"/>
    <m/>
    <x v="2"/>
    <x v="1"/>
    <s v="Колчан♂"/>
    <s v="3m, 1wp"/>
    <s v="Reflexive"/>
    <s v="Decisive-only, Versatile"/>
    <s v="Instant"/>
    <m/>
    <s v="Sid 229"/>
    <x v="24"/>
    <x v="4"/>
    <n v="2"/>
    <n v="0"/>
    <s v="Apologetic Feint"/>
    <m/>
  </r>
  <r>
    <x v="0"/>
    <s v="Ill-Omened Quarrel"/>
    <x v="3"/>
    <x v="6"/>
    <m/>
    <x v="2"/>
    <x v="1"/>
    <s v="Колчан♂"/>
    <s v="- (+1m)"/>
    <s v="Permanent"/>
    <s v="Decisive-only"/>
    <s v="Permanent"/>
    <m/>
    <s v="Sid 227"/>
    <x v="24"/>
    <x v="1"/>
    <n v="1"/>
    <n v="0"/>
    <s v="Flaw-Revealing Tactic"/>
    <m/>
  </r>
  <r>
    <x v="0"/>
    <s v="Many-Missiles Bow Technique"/>
    <x v="3"/>
    <x v="6"/>
    <m/>
    <x v="2"/>
    <x v="1"/>
    <s v="Колчан♂"/>
    <s v="15m, 1wp"/>
    <s v="Reflexive"/>
    <s v="Varies"/>
    <s v="One scene"/>
    <m/>
    <s v="Sid 231"/>
    <x v="24"/>
    <x v="4"/>
    <n v="5"/>
    <n v="0"/>
    <s v="Any ten Archery Charms"/>
    <m/>
  </r>
  <r>
    <x v="0"/>
    <s v="Mirrored Fate Shot"/>
    <x v="3"/>
    <x v="6"/>
    <m/>
    <x v="2"/>
    <x v="1"/>
    <s v="Колчан♂"/>
    <s v="1m, 1wp"/>
    <s v="Simple"/>
    <s v="Decisive-only, Versatile"/>
    <s v="Instant"/>
    <m/>
    <s v="Sid 228"/>
    <x v="24"/>
    <x v="4"/>
    <n v="1"/>
    <n v="0"/>
    <s v="Flaw-Revealing Tactic"/>
    <m/>
  </r>
  <r>
    <x v="0"/>
    <s v="Misdirected Wisdom Trick"/>
    <x v="3"/>
    <x v="6"/>
    <m/>
    <x v="2"/>
    <x v="1"/>
    <s v="Колчан♂"/>
    <s v="3m, 2i"/>
    <s v="Simple"/>
    <s v="Decisive-only, Versatile"/>
    <s v="Instant"/>
    <m/>
    <s v="Sid 229"/>
    <x v="24"/>
    <x v="1"/>
    <n v="2"/>
    <n v="0"/>
    <s v="Flaw-Revealing Tactic"/>
    <m/>
  </r>
  <r>
    <x v="0"/>
    <s v="Opportune Shot"/>
    <x v="3"/>
    <x v="6"/>
    <m/>
    <x v="2"/>
    <x v="1"/>
    <s v="Колчан♂"/>
    <s v="4m"/>
    <s v="Reflexive"/>
    <s v="Uniform"/>
    <s v="Instant"/>
    <m/>
    <s v="Sid 228"/>
    <x v="24"/>
    <x v="3"/>
    <n v="1"/>
    <n v="0"/>
    <s v="None"/>
    <m/>
  </r>
  <r>
    <x v="0"/>
    <s v="Parallax Strafing Methodology"/>
    <x v="3"/>
    <x v="6"/>
    <m/>
    <x v="2"/>
    <x v="1"/>
    <s v="Колчан♂"/>
    <s v="3m, 1wp"/>
    <s v="Simple"/>
    <s v="Uniform"/>
    <s v="Instant"/>
    <m/>
    <s v="Sid 229"/>
    <x v="24"/>
    <x v="4"/>
    <n v="2"/>
    <n v="0"/>
    <s v="Every-Direction Arrow"/>
    <m/>
  </r>
  <r>
    <x v="0"/>
    <s v="Quiver-Filling Requisition"/>
    <x v="3"/>
    <x v="6"/>
    <m/>
    <x v="2"/>
    <x v="1"/>
    <s v="Колчан♂"/>
    <s v="2m, 1wp"/>
    <s v="Reflexive"/>
    <s v="Clash, Decisive-only, Stackable"/>
    <s v="Indefinite"/>
    <m/>
    <s v="Sid 231"/>
    <x v="24"/>
    <x v="4"/>
    <n v="3"/>
    <n v="0"/>
    <s v="Shooting Star Flare"/>
    <m/>
  </r>
  <r>
    <x v="0"/>
    <s v="Several Arrows of Reason"/>
    <x v="3"/>
    <x v="6"/>
    <m/>
    <x v="2"/>
    <x v="1"/>
    <s v="Колчан♂"/>
    <s v="5m, 1wp"/>
    <s v="Reflexive"/>
    <s v="Aggravated, Dual, Versatile"/>
    <s v="One scene"/>
    <m/>
    <s v="Sid 230"/>
    <x v="24"/>
    <x v="4"/>
    <n v="3"/>
    <n v="0"/>
    <s v="Strange Quiver Trick"/>
    <m/>
  </r>
  <r>
    <x v="0"/>
    <s v="Shooting Star Flare"/>
    <x v="3"/>
    <x v="6"/>
    <m/>
    <x v="2"/>
    <x v="1"/>
    <s v="Колчан♂"/>
    <s v="3m, 1wp"/>
    <s v="Simple"/>
    <s v="Decisive-only, Versatile"/>
    <s v="Instant"/>
    <m/>
    <s v="Sid 230"/>
    <x v="24"/>
    <x v="4"/>
    <n v="3"/>
    <n v="0"/>
    <s v="Strange Quiver Trick"/>
    <m/>
  </r>
  <r>
    <x v="0"/>
    <s v="Strange Quiver Trick"/>
    <x v="3"/>
    <x v="6"/>
    <m/>
    <x v="2"/>
    <x v="1"/>
    <s v="Колчан♂"/>
    <s v="3m, 1wp"/>
    <s v="Simple"/>
    <s v="None"/>
    <s v="Instant"/>
    <m/>
    <s v="Sid 228"/>
    <x v="24"/>
    <x v="0"/>
    <n v="1"/>
    <n v="0"/>
    <s v="Generalized Ammunition Technique"/>
    <m/>
  </r>
  <r>
    <x v="0"/>
    <s v="Strategy Without Commitment"/>
    <x v="3"/>
    <x v="6"/>
    <m/>
    <x v="2"/>
    <x v="1"/>
    <s v="Колчан♂"/>
    <s v="3m, 1wp"/>
    <s v="Supplemental"/>
    <s v="Dual"/>
    <s v="Instant"/>
    <m/>
    <s v="Sid 229"/>
    <x v="24"/>
    <x v="4"/>
    <n v="2"/>
    <n v="0"/>
    <s v="Parallax Strafing Methodology"/>
    <m/>
  </r>
  <r>
    <x v="0"/>
    <s v="Unburdened Soul Arrow"/>
    <x v="3"/>
    <x v="6"/>
    <m/>
    <x v="2"/>
    <x v="1"/>
    <s v="Колчан♂"/>
    <s v="10m, 1wp"/>
    <s v="Simple"/>
    <s v="Decisive-only, Versatile"/>
    <s v="Instant"/>
    <m/>
    <s v="Sid 231"/>
    <x v="24"/>
    <x v="4"/>
    <n v="4"/>
    <n v="0"/>
    <s v="Shooting Star Flare"/>
    <m/>
  </r>
  <r>
    <x v="0"/>
    <s v="Battlefield Decimation Technique"/>
    <x v="3"/>
    <x v="6"/>
    <m/>
    <x v="2"/>
    <x v="1"/>
    <s v="Перчатка♂"/>
    <s v="10m, 1wp"/>
    <s v="Simple"/>
    <s v="Withering-only"/>
    <s v="Instant"/>
    <m/>
    <s v="Sid 236"/>
    <x v="25"/>
    <x v="4"/>
    <n v="3"/>
    <n v="0"/>
    <s v="Indiscriminate Doom Betrayal"/>
    <m/>
  </r>
  <r>
    <x v="0"/>
    <s v="Blood Bought With Blood"/>
    <x v="3"/>
    <x v="6"/>
    <m/>
    <x v="2"/>
    <x v="1"/>
    <s v="Перчатка♂"/>
    <s v="5m, 1wp"/>
    <s v="Reflexive"/>
    <s v="Counterattack, Decisive-only"/>
    <s v="Instant"/>
    <m/>
    <s v="Sid 236"/>
    <x v="25"/>
    <x v="4"/>
    <n v="3"/>
    <n v="0"/>
    <s v="Crimson Palm Counterstrike"/>
    <m/>
  </r>
  <r>
    <x v="0"/>
    <s v="Breath-Seizing Grasp"/>
    <x v="3"/>
    <x v="6"/>
    <m/>
    <x v="2"/>
    <x v="1"/>
    <s v="Перчатка♂"/>
    <s v="5m"/>
    <s v="Supplemental"/>
    <s v="Decisive-only, Mute"/>
    <s v="Until grapple is released"/>
    <m/>
    <s v="Sid 235"/>
    <x v="25"/>
    <x v="1"/>
    <n v="2"/>
    <n v="0"/>
    <s v="Lady-or-Tiger Tactic"/>
    <m/>
  </r>
  <r>
    <x v="0"/>
    <s v="Crimson Palm Counterstrike"/>
    <x v="3"/>
    <x v="6"/>
    <m/>
    <x v="2"/>
    <x v="1"/>
    <s v="Перчатка♂"/>
    <s v="4m, 1wp"/>
    <s v="Reflexive"/>
    <s v="Clash, Decisive-only"/>
    <s v="Instant"/>
    <m/>
    <s v="Sid 236"/>
    <x v="25"/>
    <x v="4"/>
    <n v="3"/>
    <n v="0"/>
    <s v="Hostility Acceptance Technique, Unobstructed Blow"/>
    <m/>
  </r>
  <r>
    <x v="0"/>
    <s v="Dead Spouse Defense"/>
    <x v="3"/>
    <x v="6"/>
    <m/>
    <x v="2"/>
    <x v="1"/>
    <s v="Перчатка♂"/>
    <s v="1m, 1wp"/>
    <s v="Reflexive"/>
    <s v="Decisive-only, Perilous, Versatile"/>
    <s v="Instant"/>
    <m/>
    <s v="Sid 237"/>
    <x v="25"/>
    <x v="4"/>
    <n v="4"/>
    <n v="0"/>
    <s v="Sacrifice Without Regret"/>
    <m/>
  </r>
  <r>
    <x v="0"/>
    <s v="Drowning Maiden Enlightenment"/>
    <x v="3"/>
    <x v="6"/>
    <m/>
    <x v="2"/>
    <x v="1"/>
    <s v="Перчатка♂"/>
    <s v="-"/>
    <s v="Permanent"/>
    <s v="None"/>
    <s v="Permanent"/>
    <m/>
    <s v="Sid 236"/>
    <x v="25"/>
    <x v="4"/>
    <n v="3"/>
    <n v="0"/>
    <s v="Drowning Maiden Form, any five Brawl Charms"/>
    <m/>
  </r>
  <r>
    <x v="0"/>
    <s v="Drowning Maiden Form"/>
    <x v="3"/>
    <x v="6"/>
    <m/>
    <x v="2"/>
    <x v="1"/>
    <s v="Перчатка♂"/>
    <s v="10m"/>
    <s v="Simple"/>
    <s v="Dual, Form"/>
    <s v="One scene"/>
    <m/>
    <s v="Sid 235"/>
    <x v="25"/>
    <x v="1"/>
    <n v="1"/>
    <n v="0"/>
    <s v="Any four Brawl Charms"/>
    <m/>
  </r>
  <r>
    <x v="0"/>
    <s v="Easily-Accepted Proposition Stance"/>
    <x v="3"/>
    <x v="6"/>
    <m/>
    <x v="2"/>
    <x v="1"/>
    <s v="Перчатка♂"/>
    <s v="10m, 1wp"/>
    <s v="Simple"/>
    <s v="Decisive-only"/>
    <s v="Instant"/>
    <m/>
    <s v="Sid 237"/>
    <x v="25"/>
    <x v="4"/>
    <n v="5"/>
    <n v="0"/>
    <s v="Any ten Brawl Charms"/>
    <m/>
  </r>
  <r>
    <x v="0"/>
    <s v="Horrific Wreath"/>
    <x v="3"/>
    <x v="6"/>
    <m/>
    <x v="2"/>
    <x v="1"/>
    <s v="Перчатка♂"/>
    <s v="3m"/>
    <s v="Supplemental"/>
    <s v="Aggravated, Dual"/>
    <s v="Instant"/>
    <m/>
    <s v="Sid 233"/>
    <x v="25"/>
    <x v="3"/>
    <n v="1"/>
    <n v="0"/>
    <s v="None"/>
    <m/>
  </r>
  <r>
    <x v="0"/>
    <s v="Hostility Acceptance Technique"/>
    <x v="3"/>
    <x v="6"/>
    <m/>
    <x v="2"/>
    <x v="1"/>
    <s v="Перчатка♂"/>
    <s v="4m"/>
    <s v="Reflexive"/>
    <s v="Versatile, Withering-only"/>
    <s v="Instant"/>
    <m/>
    <s v="Sid 233"/>
    <x v="25"/>
    <x v="3"/>
    <n v="1"/>
    <n v="0"/>
    <s v="None"/>
    <m/>
  </r>
  <r>
    <x v="0"/>
    <s v="Indiscriminate Doom Betrayal"/>
    <x v="3"/>
    <x v="6"/>
    <m/>
    <x v="2"/>
    <x v="1"/>
    <s v="Перчатка♂"/>
    <s v="4m, 1wp"/>
    <s v="Simple"/>
    <s v="Decisive-only"/>
    <s v="Instant"/>
    <m/>
    <s v="Sid 235"/>
    <x v="25"/>
    <x v="4"/>
    <n v="2"/>
    <n v="0"/>
    <s v="Unobstructed Blow"/>
    <m/>
  </r>
  <r>
    <x v="0"/>
    <s v="Iron Brute Fist"/>
    <x v="3"/>
    <x v="6"/>
    <m/>
    <x v="2"/>
    <x v="1"/>
    <s v="Перчатка♂"/>
    <s v="3m"/>
    <s v="Supplemental"/>
    <s v="Decisive-only, Versatile"/>
    <s v="Instant"/>
    <m/>
    <s v="Sid 234"/>
    <x v="25"/>
    <x v="3"/>
    <n v="1"/>
    <n v="0"/>
    <s v="None"/>
    <m/>
  </r>
  <r>
    <x v="0"/>
    <s v="Lady-or-Tiger Tactic"/>
    <x v="3"/>
    <x v="6"/>
    <m/>
    <x v="2"/>
    <x v="1"/>
    <s v="Перчатка♂"/>
    <s v="2m"/>
    <s v="Supplemental"/>
    <s v="Decisive-only"/>
    <s v="Instant"/>
    <m/>
    <s v="Sid 234"/>
    <x v="25"/>
    <x v="0"/>
    <n v="1"/>
    <n v="0"/>
    <s v="None"/>
    <m/>
  </r>
  <r>
    <x v="0"/>
    <s v="Sacrifice Without Regret"/>
    <x v="3"/>
    <x v="6"/>
    <m/>
    <x v="2"/>
    <x v="1"/>
    <s v="Перчатка♂"/>
    <s v="5m"/>
    <s v="Reflexive"/>
    <s v="Decisive-only, Perilous, Versatile"/>
    <s v="Instant"/>
    <m/>
    <s v="Sid 235"/>
    <x v="25"/>
    <x v="1"/>
    <n v="2"/>
    <n v="0"/>
    <s v="Hostility Acceptance Technique"/>
    <m/>
  </r>
  <r>
    <x v="0"/>
    <s v="Sever the Thread"/>
    <x v="3"/>
    <x v="6"/>
    <m/>
    <x v="2"/>
    <x v="1"/>
    <s v="Перчатка♂"/>
    <s v="5m, 1wp"/>
    <s v="Supplemental"/>
    <s v="Decisive-only"/>
    <s v="Instant"/>
    <m/>
    <s v="Sid 235"/>
    <x v="25"/>
    <x v="4"/>
    <n v="2"/>
    <n v="0"/>
    <s v="Horrific Wreath, Iron Brute Fist"/>
    <m/>
  </r>
  <r>
    <x v="0"/>
    <s v="Someone Dies Strike"/>
    <x v="3"/>
    <x v="6"/>
    <m/>
    <x v="2"/>
    <x v="1"/>
    <s v="Перчатка♂"/>
    <s v="5m, 3i, 1wp"/>
    <s v="Reflexive"/>
    <s v="Perilous, Uniform, Versatile"/>
    <s v="Instant"/>
    <m/>
    <s v="Sid 237"/>
    <x v="25"/>
    <x v="4"/>
    <n v="4"/>
    <n v="0"/>
    <s v="Battlefield Decimation Technique"/>
    <m/>
  </r>
  <r>
    <x v="0"/>
    <s v="Speared Boar Struggle"/>
    <x v="3"/>
    <x v="6"/>
    <m/>
    <x v="2"/>
    <x v="1"/>
    <s v="Перчатка♂"/>
    <s v="4m"/>
    <s v="Reflexive"/>
    <s v="Counterattack, Decisive-only, Versatile"/>
    <s v="Instant"/>
    <m/>
    <s v="Sid 234"/>
    <x v="25"/>
    <x v="1"/>
    <n v="1"/>
    <n v="0"/>
    <s v="Hostility Acceptance Technique"/>
    <m/>
  </r>
  <r>
    <x v="0"/>
    <s v="Tolerant Strife"/>
    <x v="3"/>
    <x v="6"/>
    <m/>
    <x v="2"/>
    <x v="1"/>
    <s v="Перчатка♂"/>
    <s v="2m"/>
    <s v="Reflexive"/>
    <s v="Uniform, Versatile"/>
    <s v="Instant"/>
    <m/>
    <s v="Sid 233"/>
    <x v="25"/>
    <x v="2"/>
    <n v="1"/>
    <n v="0"/>
    <s v="None"/>
    <m/>
  </r>
  <r>
    <x v="0"/>
    <s v="Unobstructed Blow"/>
    <x v="3"/>
    <x v="6"/>
    <m/>
    <x v="2"/>
    <x v="1"/>
    <s v="Перчатка♂"/>
    <s v="5m"/>
    <s v="Simple"/>
    <s v="Uniform, Versatile"/>
    <s v="Instant"/>
    <m/>
    <s v="Sid 233"/>
    <x v="25"/>
    <x v="1"/>
    <n v="1"/>
    <n v="0"/>
    <s v="Tolerant Strife"/>
    <m/>
  </r>
  <r>
    <x v="0"/>
    <s v="Weak-Spine Sense"/>
    <x v="3"/>
    <x v="6"/>
    <m/>
    <x v="2"/>
    <x v="1"/>
    <s v="Перчатка♂"/>
    <s v="4m"/>
    <s v="Reflexive"/>
    <s v="None"/>
    <s v="Instant"/>
    <m/>
    <s v="Sid 234"/>
    <x v="25"/>
    <x v="0"/>
    <n v="1"/>
    <n v="0"/>
    <s v="Iron Brute Fist"/>
    <m/>
  </r>
  <r>
    <x v="0"/>
    <s v="Wrapped Fly Embrace"/>
    <x v="3"/>
    <x v="6"/>
    <m/>
    <x v="2"/>
    <x v="1"/>
    <s v="Перчатка♂"/>
    <s v="5m"/>
    <s v="Supplemental"/>
    <s v="Decisive-only"/>
    <s v="Instant"/>
    <m/>
    <s v="Sid 234"/>
    <x v="25"/>
    <x v="0"/>
    <n v="1"/>
    <n v="0"/>
    <s v="Lady-or-Tiger Embrace"/>
    <m/>
  </r>
  <r>
    <x v="0"/>
    <s v="Doom-Seeking Stroke"/>
    <x v="3"/>
    <x v="6"/>
    <m/>
    <x v="2"/>
    <x v="1"/>
    <s v="Копье♂"/>
    <s v="2m"/>
    <s v="Supplemental"/>
    <s v="Dual"/>
    <s v="Instant"/>
    <m/>
    <s v="Sid 238"/>
    <x v="12"/>
    <x v="0"/>
    <n v="1"/>
    <n v="0"/>
    <s v="Meditation on Violence"/>
    <m/>
  </r>
  <r>
    <x v="0"/>
    <s v="Dusty Shelf Restraint"/>
    <x v="3"/>
    <x v="6"/>
    <m/>
    <x v="2"/>
    <x v="1"/>
    <s v="Копье♂"/>
    <s v="2m"/>
    <s v="Supplemental"/>
    <s v="None"/>
    <s v="Instant"/>
    <m/>
    <s v="Sid 238"/>
    <x v="12"/>
    <x v="1"/>
    <n v="1"/>
    <n v="0"/>
    <s v="Doom-Seeking Stroke"/>
    <m/>
  </r>
  <r>
    <x v="0"/>
    <s v="Fateful Exchange"/>
    <x v="3"/>
    <x v="6"/>
    <m/>
    <x v="2"/>
    <x v="1"/>
    <s v="Копье♂"/>
    <s v="5m"/>
    <s v="Supplemental"/>
    <s v="Dual"/>
    <s v="Instant"/>
    <m/>
    <s v="Sid 239"/>
    <x v="12"/>
    <x v="0"/>
    <n v="1"/>
    <n v="0"/>
    <s v="Harmony of Blows"/>
    <m/>
  </r>
  <r>
    <x v="0"/>
    <s v="Forceful Demonstration of Error"/>
    <x v="3"/>
    <x v="6"/>
    <m/>
    <x v="2"/>
    <x v="1"/>
    <s v="Копье♂"/>
    <s v="4m, 1wp"/>
    <s v="Reflexive"/>
    <s v="Clash, Decisive-only"/>
    <s v="Instant"/>
    <m/>
    <s v="Sid 241"/>
    <x v="12"/>
    <x v="4"/>
    <n v="3"/>
    <n v="0"/>
    <s v="Fateful Exchange, Instructive Riposte"/>
    <m/>
  </r>
  <r>
    <x v="0"/>
    <s v="Impeding the flow"/>
    <x v="3"/>
    <x v="6"/>
    <m/>
    <x v="2"/>
    <x v="1"/>
    <s v="Копье♂"/>
    <s v="1m"/>
    <s v="Reflexive"/>
    <s v="Uniform"/>
    <s v="Instant"/>
    <m/>
    <s v="Sid 237"/>
    <x v="12"/>
    <x v="2"/>
    <n v="1"/>
    <n v="0"/>
    <s v="None"/>
    <m/>
  </r>
  <r>
    <x v="0"/>
    <s v="Indomitable Shieldbearer Expertise"/>
    <x v="3"/>
    <x v="6"/>
    <m/>
    <x v="2"/>
    <x v="1"/>
    <s v="Копье♂"/>
    <s v="3m (2m)"/>
    <s v="Reflexive"/>
    <s v="Uniform, Versatile"/>
    <s v="One scene"/>
    <m/>
    <s v="Sid 239"/>
    <x v="12"/>
    <x v="0"/>
    <n v="1"/>
    <n v="0"/>
    <s v="None"/>
    <m/>
  </r>
  <r>
    <x v="0"/>
    <s v="Inner Eye Strike"/>
    <x v="3"/>
    <x v="6"/>
    <m/>
    <x v="2"/>
    <x v="1"/>
    <s v="Копье♂"/>
    <s v="3m, 1i, 1wp"/>
    <s v="Supplemental"/>
    <s v="Perilous, Uniform, Versatile"/>
    <s v="Instant"/>
    <m/>
    <s v="Sid 240"/>
    <x v="12"/>
    <x v="4"/>
    <n v="2"/>
    <n v="0"/>
    <s v="Doom-Seeking Stroke"/>
    <m/>
  </r>
  <r>
    <x v="0"/>
    <s v="Instructive Riposte"/>
    <x v="3"/>
    <x v="6"/>
    <m/>
    <x v="2"/>
    <x v="1"/>
    <s v="Копье♂"/>
    <s v="5m"/>
    <s v="Reflexive"/>
    <s v="Counterattack, Decisive-only, Versatile"/>
    <s v="Instant"/>
    <m/>
    <s v="Sid 239"/>
    <x v="12"/>
    <x v="4"/>
    <n v="1"/>
    <n v="0"/>
    <s v="Harmony of Blows"/>
    <m/>
  </r>
  <r>
    <x v="0"/>
    <s v="Maiden-and-Gambler Stance"/>
    <x v="3"/>
    <x v="6"/>
    <m/>
    <x v="2"/>
    <x v="1"/>
    <s v="Копье♂"/>
    <s v="6m, 1wp (1i per round)"/>
    <s v="Reflexive"/>
    <s v="Perilous, Uniform"/>
    <s v="One scene"/>
    <m/>
    <s v="Sid 241"/>
    <x v="12"/>
    <x v="4"/>
    <n v="3"/>
    <n v="0"/>
    <s v="Serenity in Blood (x2)"/>
    <m/>
  </r>
  <r>
    <x v="0"/>
    <s v="Maiden-on-the-Shelf Enlightenment"/>
    <x v="3"/>
    <x v="6"/>
    <m/>
    <x v="2"/>
    <x v="1"/>
    <s v="Копье♂"/>
    <s v="-"/>
    <s v="Permanent"/>
    <s v="None"/>
    <s v="Permanent"/>
    <m/>
    <s v="Sid 241"/>
    <x v="12"/>
    <x v="4"/>
    <n v="3"/>
    <n v="0"/>
    <s v="Maiden-on-the-Shelf Form, any five Melee Charms"/>
    <m/>
  </r>
  <r>
    <x v="0"/>
    <s v="Maiden-on-the-Shelf Form"/>
    <x v="3"/>
    <x v="6"/>
    <m/>
    <x v="2"/>
    <x v="1"/>
    <s v="Копье♂"/>
    <s v="10m"/>
    <s v="Simple"/>
    <s v="Dual, Form"/>
    <s v="One scene"/>
    <m/>
    <s v="Sid 239"/>
    <x v="12"/>
    <x v="1"/>
    <n v="1"/>
    <n v="0"/>
    <s v="Any four Melee Charms"/>
    <m/>
  </r>
  <r>
    <x v="0"/>
    <s v="Meditation on Violence"/>
    <x v="3"/>
    <x v="6"/>
    <m/>
    <x v="2"/>
    <x v="1"/>
    <s v="Копье♂"/>
    <s v="1m per point of penalty/die"/>
    <s v="Supplemental"/>
    <s v="Dual, Versatile"/>
    <s v="Instant"/>
    <m/>
    <s v="Sid 238"/>
    <x v="12"/>
    <x v="3"/>
    <n v="1"/>
    <n v="0"/>
    <s v="None"/>
    <m/>
  </r>
  <r>
    <x v="0"/>
    <s v="Ninth Direction Slash"/>
    <x v="3"/>
    <x v="6"/>
    <m/>
    <x v="2"/>
    <x v="1"/>
    <s v="Копье♂"/>
    <s v="4m, 1wp"/>
    <s v="Supplemental"/>
    <s v="Decisive-only"/>
    <s v="Instant"/>
    <m/>
    <s v="Sid 242"/>
    <x v="12"/>
    <x v="4"/>
    <n v="4"/>
    <n v="0"/>
    <s v="Temperate Blade Meditation"/>
    <m/>
  </r>
  <r>
    <x v="0"/>
    <s v="Perfection of the Visionary Warrior"/>
    <x v="3"/>
    <x v="6"/>
    <m/>
    <x v="2"/>
    <x v="1"/>
    <s v="Копье♂"/>
    <s v="15m, 1wp (5m)"/>
    <s v="Simple"/>
    <s v="Clash, Dual"/>
    <s v="One scene"/>
    <m/>
    <s v="Sid 242"/>
    <x v="12"/>
    <x v="4"/>
    <n v="5"/>
    <n v="0"/>
    <s v="Any ten Melee Charms"/>
    <m/>
  </r>
  <r>
    <x v="0"/>
    <s v="Serenity in Blood (x2)"/>
    <x v="3"/>
    <x v="6"/>
    <m/>
    <x v="2"/>
    <x v="1"/>
    <s v="Копье♂"/>
    <s v="1wp"/>
    <s v="Reflexive"/>
    <s v="Perilous, Uniform"/>
    <s v="Instant"/>
    <m/>
    <s v="Sid 240"/>
    <x v="12"/>
    <x v="4"/>
    <n v="3"/>
    <n v="0"/>
    <s v="Serenity in Blood"/>
    <m/>
  </r>
  <r>
    <x v="0"/>
    <s v="Smiling at the Damned"/>
    <x v="3"/>
    <x v="6"/>
    <m/>
    <x v="2"/>
    <x v="1"/>
    <s v="Копье♂"/>
    <s v="4m"/>
    <s v="Supplemental"/>
    <s v="Aggravated, Decisive-only"/>
    <s v="Instant"/>
    <m/>
    <s v="Sid 238"/>
    <x v="12"/>
    <x v="0"/>
    <n v="1"/>
    <n v="0"/>
    <s v="Meditation on Violence"/>
    <m/>
  </r>
  <r>
    <x v="0"/>
    <s v="Temperate Blade Meditation"/>
    <x v="3"/>
    <x v="6"/>
    <m/>
    <x v="2"/>
    <x v="1"/>
    <s v="Копье♂"/>
    <s v="2m, 2i, 1wp"/>
    <s v="Simple or Supplemental"/>
    <s v="Dual, Perilous"/>
    <s v="Instant"/>
    <m/>
    <s v="Sid 242"/>
    <x v="12"/>
    <x v="4"/>
    <n v="3"/>
    <n v="0"/>
    <s v="Inner Eye Strike"/>
    <m/>
  </r>
  <r>
    <x v="0"/>
    <s v="The Spear Not Held"/>
    <x v="3"/>
    <x v="6"/>
    <m/>
    <x v="2"/>
    <x v="1"/>
    <s v="Копье♂"/>
    <s v="10m, 1wp"/>
    <s v="Simple"/>
    <s v="Versatile, Withering-only"/>
    <s v="Instant"/>
    <m/>
    <s v="Sid 241"/>
    <x v="12"/>
    <x v="4"/>
    <n v="2"/>
    <n v="0"/>
    <s v="Doom-Seeking Stroke"/>
    <m/>
  </r>
  <r>
    <x v="0"/>
    <s v="Watchful Maiden Mien"/>
    <x v="3"/>
    <x v="6"/>
    <m/>
    <x v="2"/>
    <x v="1"/>
    <s v="Копье♂"/>
    <s v="-"/>
    <s v="Permanent"/>
    <s v="Uniform, Versatile"/>
    <s v="Permanent"/>
    <m/>
    <s v="Sid 238"/>
    <x v="12"/>
    <x v="2"/>
    <n v="1"/>
    <n v="0"/>
    <s v="None"/>
    <m/>
  </r>
  <r>
    <x v="0"/>
    <s v="Aspect of the Bear"/>
    <x v="3"/>
    <x v="6"/>
    <m/>
    <x v="2"/>
    <x v="1"/>
    <s v="Щит♂"/>
    <s v="5m, 1wp"/>
    <s v="Reflexive"/>
    <s v="None"/>
    <s v="One scene"/>
    <m/>
    <s v="Sid 245"/>
    <x v="3"/>
    <x v="1"/>
    <n v="2"/>
    <n v="0"/>
    <s v="Red Haze"/>
    <m/>
  </r>
  <r>
    <x v="0"/>
    <s v="Baleful Slaughter Omen"/>
    <x v="3"/>
    <x v="6"/>
    <m/>
    <x v="2"/>
    <x v="1"/>
    <s v="Щит♂"/>
    <s v="10m, 1wp"/>
    <s v="Simple"/>
    <s v="None"/>
    <s v="Instant"/>
    <m/>
    <s v="Sid 246"/>
    <x v="3"/>
    <x v="4"/>
    <n v="3"/>
    <n v="0"/>
    <s v="Aspect of the Bear"/>
    <m/>
  </r>
  <r>
    <x v="0"/>
    <s v="Instructive Conviction Aura"/>
    <x v="3"/>
    <x v="6"/>
    <m/>
    <x v="2"/>
    <x v="1"/>
    <s v="Щит♂"/>
    <s v="6m"/>
    <s v="Simple"/>
    <s v="None"/>
    <s v="One scene"/>
    <m/>
    <s v="Sid 245"/>
    <x v="3"/>
    <x v="4"/>
    <n v="2"/>
    <n v="0"/>
    <s v="Caught in the Heart’s Wake"/>
    <m/>
  </r>
  <r>
    <x v="0"/>
    <s v="Shield of Mars"/>
    <x v="3"/>
    <x v="6"/>
    <m/>
    <x v="2"/>
    <x v="1"/>
    <s v="Щит♂"/>
    <s v="3m (2i per level)"/>
    <s v="Reflexive"/>
    <s v="Counterattack, Decisive-only, Perilous"/>
    <s v="Instant"/>
    <m/>
    <s v="Sid 245"/>
    <x v="3"/>
    <x v="4"/>
    <n v="2"/>
    <n v="0"/>
    <s v="Hero’s Iron Skin, Someone Else’s Destiny"/>
    <m/>
  </r>
  <r>
    <x v="0"/>
    <s v="Someone Else’s Destiny"/>
    <x v="3"/>
    <x v="6"/>
    <m/>
    <x v="2"/>
    <x v="1"/>
    <s v="Щит♂"/>
    <s v="2m"/>
    <s v="Reflexive"/>
    <s v="Decisive-only"/>
    <s v="Instant"/>
    <m/>
    <s v="Sid 244"/>
    <x v="3"/>
    <x v="0"/>
    <n v="1"/>
    <n v="0"/>
    <s v="None"/>
    <m/>
  </r>
  <r>
    <x v="0"/>
    <s v="Storm’s Eye Stance"/>
    <x v="3"/>
    <x v="6"/>
    <m/>
    <x v="2"/>
    <x v="1"/>
    <s v="Щит♂"/>
    <s v="10m (5m, 1wp)"/>
    <s v="Simple"/>
    <s v="Shaping (Fate)"/>
    <s v="One scene"/>
    <m/>
    <s v="Sid 248"/>
    <x v="3"/>
    <x v="4"/>
    <n v="5"/>
    <n v="0"/>
    <s v="Any ten Presence Charms"/>
    <m/>
  </r>
  <r>
    <x v="0"/>
    <s v="Water and Fire Legion"/>
    <x v="3"/>
    <x v="6"/>
    <m/>
    <x v="2"/>
    <x v="1"/>
    <s v="Щит♂"/>
    <s v="5m, 1lhl"/>
    <s v="Simple"/>
    <s v="Psyche"/>
    <s v="Instant"/>
    <m/>
    <s v="Sid 246"/>
    <x v="3"/>
    <x v="4"/>
    <n v="2"/>
    <n v="0"/>
    <s v="Water and Fire Treaty"/>
    <m/>
  </r>
  <r>
    <x v="0"/>
    <s v="Wounded Lion Strength"/>
    <x v="3"/>
    <x v="6"/>
    <m/>
    <x v="2"/>
    <x v="1"/>
    <s v="Щит♂"/>
    <s v="10m, 1wp"/>
    <s v="Reflexive"/>
    <s v="Perilous"/>
    <s v="One scene"/>
    <m/>
    <s v="Sid 247"/>
    <x v="3"/>
    <x v="4"/>
    <n v="3"/>
    <n v="0"/>
    <s v="Aspect of the Bear"/>
    <m/>
  </r>
  <r>
    <x v="0"/>
    <s v="Auspicious Recruitment Drive"/>
    <x v="3"/>
    <x v="6"/>
    <m/>
    <x v="2"/>
    <x v="1"/>
    <s v="Знамя♂"/>
    <s v="10m, 1wp"/>
    <s v="Simple"/>
    <s v="Mute"/>
    <s v="Instant"/>
    <m/>
    <s v="Sid 249"/>
    <x v="26"/>
    <x v="1"/>
    <n v="1"/>
    <n v="0"/>
    <s v="Battle-Fellow Attitude"/>
    <m/>
  </r>
  <r>
    <x v="0"/>
    <s v="Battalion-Bureau Leadership"/>
    <x v="3"/>
    <x v="6"/>
    <m/>
    <x v="2"/>
    <x v="1"/>
    <s v="Знамя♂"/>
    <s v="1m, 1wp"/>
    <s v="Supplemental"/>
    <s v="None"/>
    <s v="One project"/>
    <m/>
    <s v="Sid 248"/>
    <x v="26"/>
    <x v="0"/>
    <n v="1"/>
    <n v="0"/>
    <s v="Battle-Fellow Attitude"/>
    <m/>
  </r>
  <r>
    <x v="0"/>
    <s v="Battle-Fellow Attitude"/>
    <x v="3"/>
    <x v="6"/>
    <m/>
    <x v="2"/>
    <x v="1"/>
    <s v="Знамя♂"/>
    <s v="-"/>
    <s v="Permanent"/>
    <s v="None"/>
    <s v="Permanent"/>
    <m/>
    <s v="Sid 248"/>
    <x v="26"/>
    <x v="2"/>
    <n v="1"/>
    <n v="0"/>
    <s v="None"/>
    <m/>
  </r>
  <r>
    <x v="0"/>
    <s v="Bestowing the Crimson Banner"/>
    <x v="3"/>
    <x v="6"/>
    <m/>
    <x v="2"/>
    <x v="1"/>
    <s v="Знамя♂"/>
    <s v="5m, 1wp"/>
    <s v="Simple"/>
    <s v="Stackable"/>
    <s v="Indefinite"/>
    <m/>
    <s v="Sid 250"/>
    <x v="26"/>
    <x v="1"/>
    <n v="2"/>
    <n v="0"/>
    <s v="Battle-Fellow Attitude"/>
    <m/>
  </r>
  <r>
    <x v="0"/>
    <s v="Dread Harbinger of Strife"/>
    <x v="3"/>
    <x v="6"/>
    <m/>
    <x v="2"/>
    <x v="1"/>
    <s v="Знамя♂"/>
    <s v="1m, 1wp"/>
    <s v="Supplemental"/>
    <s v="None"/>
    <s v="Instant"/>
    <m/>
    <s v="Sid 251"/>
    <x v="26"/>
    <x v="1"/>
    <n v="2"/>
    <n v="0"/>
    <s v="Battle-Fellow Attitude"/>
    <m/>
  </r>
  <r>
    <x v="0"/>
    <s v="Essence-Draining Battle Pattern"/>
    <x v="3"/>
    <x v="6"/>
    <m/>
    <x v="2"/>
    <x v="1"/>
    <s v="Знамя♂"/>
    <s v="5m, 1wp"/>
    <s v="Simple"/>
    <s v="Form"/>
    <s v="One scene"/>
    <m/>
    <s v="Sid 252"/>
    <x v="26"/>
    <x v="4"/>
    <n v="3"/>
    <n v="0"/>
    <s v="Predestined Triumph Practice"/>
    <m/>
  </r>
  <r>
    <x v="0"/>
    <s v="Fiend-Blocking Battle Pattern"/>
    <x v="3"/>
    <x v="6"/>
    <m/>
    <x v="2"/>
    <x v="1"/>
    <s v="Знамя♂"/>
    <s v="5m, 1wp"/>
    <s v="Simple"/>
    <s v="Form"/>
    <s v="One scene"/>
    <m/>
    <s v="Sid 252"/>
    <x v="26"/>
    <x v="4"/>
    <n v="3"/>
    <n v="0"/>
    <s v="Predestined Triumph Practice"/>
    <m/>
  </r>
  <r>
    <x v="0"/>
    <s v="Foretold Strategy Technique"/>
    <x v="3"/>
    <x v="6"/>
    <m/>
    <x v="2"/>
    <x v="1"/>
    <s v="Знамя♂"/>
    <s v="5m, 1wp"/>
    <s v="Reflexive"/>
    <s v="Mute"/>
    <s v="Instant"/>
    <m/>
    <s v="Sid 249"/>
    <x v="26"/>
    <x v="0"/>
    <n v="1"/>
    <n v="0"/>
    <s v="None"/>
    <m/>
  </r>
  <r>
    <x v="0"/>
    <s v="Heroic Exploit Propagation"/>
    <x v="3"/>
    <x v="6"/>
    <m/>
    <x v="2"/>
    <x v="1"/>
    <s v="Знамя♂"/>
    <s v="5m, 1wp"/>
    <s v="Reflexive"/>
    <s v="Mute"/>
    <s v="Instant"/>
    <m/>
    <s v="Sid 253"/>
    <x v="26"/>
    <x v="4"/>
    <n v="3"/>
    <n v="0"/>
    <s v="Auspicious Recruitment Drive"/>
    <m/>
  </r>
  <r>
    <x v="0"/>
    <s v="Heroic General Presence"/>
    <x v="3"/>
    <x v="6"/>
    <m/>
    <x v="2"/>
    <x v="1"/>
    <s v="Знамя♂"/>
    <s v="3m"/>
    <s v="Reflexive"/>
    <s v="None"/>
    <s v="Instant"/>
    <m/>
    <s v="Sid 249"/>
    <x v="26"/>
    <x v="3"/>
    <n v="1"/>
    <n v="0"/>
    <s v="None"/>
    <m/>
  </r>
  <r>
    <x v="0"/>
    <s v="Knowing the Enemy"/>
    <x v="3"/>
    <x v="6"/>
    <m/>
    <x v="2"/>
    <x v="1"/>
    <s v="Знамя♂"/>
    <s v="5m"/>
    <s v="Supplemental"/>
    <s v="Mute"/>
    <s v="Instant"/>
    <m/>
    <s v="Sid 250"/>
    <x v="26"/>
    <x v="0"/>
    <n v="1"/>
    <n v="0"/>
    <s v="Foretold Strategy Technique"/>
    <m/>
  </r>
  <r>
    <x v="0"/>
    <s v="Predestined Triumph Practice"/>
    <x v="3"/>
    <x v="6"/>
    <m/>
    <x v="2"/>
    <x v="1"/>
    <s v="Знамя♂"/>
    <s v="3m"/>
    <s v="Reflexive"/>
    <s v="Stackable"/>
    <s v="One scene"/>
    <m/>
    <s v="Sid 249"/>
    <x v="26"/>
    <x v="0"/>
    <n v="1"/>
    <n v="0"/>
    <s v="Heroic General Presence"/>
    <m/>
  </r>
  <r>
    <x v="0"/>
    <s v="Preordained Arrival of Victory"/>
    <x v="3"/>
    <x v="6"/>
    <m/>
    <x v="2"/>
    <x v="1"/>
    <s v="Знамя♂"/>
    <s v="-"/>
    <s v="Permanent"/>
    <s v="None"/>
    <s v="Instant"/>
    <m/>
    <s v="Sid 253"/>
    <x v="26"/>
    <x v="4"/>
    <n v="3"/>
    <n v="0"/>
    <s v="Auspicious Recruitment Drive"/>
    <m/>
  </r>
  <r>
    <x v="0"/>
    <s v="Sagacious Formulation of Strategy"/>
    <x v="3"/>
    <x v="6"/>
    <m/>
    <x v="2"/>
    <x v="1"/>
    <s v="Знамя♂"/>
    <s v="10m, 1wp"/>
    <s v="Reflexive"/>
    <s v="Mute"/>
    <s v="Instant"/>
    <m/>
    <s v="Sid 250"/>
    <x v="26"/>
    <x v="4"/>
    <n v="2"/>
    <n v="0"/>
    <s v="Bestowing the Crimson Banner, Foretold Strategy Technique"/>
    <m/>
  </r>
  <r>
    <x v="0"/>
    <s v="Seven Apocalypses Commander"/>
    <x v="3"/>
    <x v="6"/>
    <m/>
    <x v="2"/>
    <x v="1"/>
    <s v="Знамя♂"/>
    <s v="10m, 1wp"/>
    <s v="Simple"/>
    <s v="None"/>
    <s v="Instant"/>
    <m/>
    <s v="Sid 253"/>
    <x v="26"/>
    <x v="4"/>
    <n v="3"/>
    <n v="0"/>
    <s v="Sagacious Formulation of Strategy"/>
    <m/>
  </r>
  <r>
    <x v="0"/>
    <s v="Spirit-Binding Battle Pattern"/>
    <x v="3"/>
    <x v="6"/>
    <m/>
    <x v="2"/>
    <x v="1"/>
    <s v="Знамя♂"/>
    <s v="10m, 1wp"/>
    <s v="Simple"/>
    <s v="Form, Psyche"/>
    <s v="One scene"/>
    <m/>
    <s v="Sid 255"/>
    <x v="26"/>
    <x v="4"/>
    <n v="5"/>
    <n v="0"/>
    <s v="Any ten War Charms"/>
    <m/>
  </r>
  <r>
    <x v="0"/>
    <s v="Tattered Standard Denigration"/>
    <x v="3"/>
    <x v="6"/>
    <m/>
    <x v="2"/>
    <x v="1"/>
    <s v="Знамя♂"/>
    <s v="15m, 1wp"/>
    <s v="Simple"/>
    <s v="Mute"/>
    <s v="Indefinite"/>
    <m/>
    <s v="Sid 254"/>
    <x v="26"/>
    <x v="4"/>
    <n v="4"/>
    <n v="0"/>
    <s v="Dread Harbinger of Strife, Heroic Exploit Propagation, Knowing the Enemy"/>
    <m/>
  </r>
  <r>
    <x v="0"/>
    <s v="Tide of History"/>
    <x v="3"/>
    <x v="6"/>
    <m/>
    <x v="2"/>
    <x v="1"/>
    <s v="Знамя♂"/>
    <s v="1m, 1wp"/>
    <s v="Reflexive"/>
    <s v="None"/>
    <s v="One scene"/>
    <m/>
    <s v="Sid 254"/>
    <x v="26"/>
    <x v="4"/>
    <n v="3"/>
    <n v="0"/>
    <s v="Predestined Triumph Practice"/>
    <m/>
  </r>
  <r>
    <x v="0"/>
    <s v="Training Mandate of Auspicious Battle"/>
    <x v="3"/>
    <x v="6"/>
    <m/>
    <x v="2"/>
    <x v="1"/>
    <s v="Знамя♂"/>
    <s v="5m, 1wp"/>
    <s v="Simple"/>
    <s v="Mute"/>
    <s v="Instant"/>
    <m/>
    <s v="Sid 251"/>
    <x v="26"/>
    <x v="1"/>
    <n v="2"/>
    <n v="0"/>
    <s v="Auspicious Recruitment Drive"/>
    <m/>
  </r>
  <r>
    <x v="0"/>
    <s v="Training Mandate of Celestial Empowerment"/>
    <x v="3"/>
    <x v="6"/>
    <m/>
    <x v="2"/>
    <x v="1"/>
    <s v="Знамя♂"/>
    <s v="10m, 1wp"/>
    <s v="Simple"/>
    <s v="Mute"/>
    <s v="Instant"/>
    <m/>
    <s v="Sid 251"/>
    <x v="26"/>
    <x v="1"/>
    <n v="2"/>
    <n v="0"/>
    <s v="Training Mandate of Auspicious Battle"/>
    <m/>
  </r>
  <r>
    <x v="0"/>
    <s v="Training Mandate of War-God Puissance"/>
    <x v="3"/>
    <x v="6"/>
    <m/>
    <x v="2"/>
    <x v="1"/>
    <s v="Знамя♂"/>
    <s v="10m, 1wp"/>
    <s v="Simple"/>
    <s v="Mute"/>
    <s v="Instant"/>
    <m/>
    <s v="Sid 254"/>
    <x v="26"/>
    <x v="4"/>
    <n v="3"/>
    <n v="0"/>
    <s v="Training Mandate of Celestial Empowerment"/>
    <m/>
  </r>
  <r>
    <x v="0"/>
    <s v="Angry Maiden Mantle"/>
    <x v="3"/>
    <x v="6"/>
    <m/>
    <x v="1"/>
    <x v="1"/>
    <s v="♂"/>
    <s v="2m, 1wp"/>
    <s v="Supplemental"/>
    <s v="None"/>
    <s v="Instant"/>
    <m/>
    <s v="Sid 225"/>
    <x v="2"/>
    <x v="1"/>
    <n v="2"/>
    <n v="0"/>
    <s v="Any three Battles Charms"/>
    <m/>
  </r>
  <r>
    <x v="0"/>
    <s v="Ascending Battles Horoscope"/>
    <x v="3"/>
    <x v="6"/>
    <m/>
    <x v="1"/>
    <x v="1"/>
    <s v="♂"/>
    <s v="1m or 3m, 1wp"/>
    <s v="Simple"/>
    <s v="Mute, Shaping (Fate), Stackable, Uniform"/>
    <s v="One story"/>
    <m/>
    <s v="Sid 222"/>
    <x v="2"/>
    <x v="0"/>
    <n v="1"/>
    <n v="0"/>
    <s v="Any three Battles Charms"/>
    <m/>
  </r>
  <r>
    <x v="0"/>
    <s v="Auspicious Implement for Strife"/>
    <x v="3"/>
    <x v="6"/>
    <m/>
    <x v="1"/>
    <x v="1"/>
    <s v="♂"/>
    <s v="3m"/>
    <s v="Reflexive"/>
    <s v="Dual"/>
    <s v="One scene"/>
    <m/>
    <s v="Sid 223"/>
    <x v="2"/>
    <x v="2"/>
    <n v="1"/>
    <n v="0"/>
    <s v="None"/>
    <m/>
  </r>
  <r>
    <x v="0"/>
    <s v="Battle-Carrying Presence"/>
    <x v="3"/>
    <x v="6"/>
    <m/>
    <x v="1"/>
    <x v="1"/>
    <s v="♂"/>
    <s v="1m, 1wp"/>
    <s v="Reflexive"/>
    <s v="None"/>
    <s v="One scene"/>
    <m/>
    <s v="Sid 226"/>
    <x v="2"/>
    <x v="4"/>
    <n v="2"/>
    <n v="0"/>
    <s v="Hero-Supporting Performance"/>
    <m/>
  </r>
  <r>
    <x v="0"/>
    <s v="Battlefield Genius Style"/>
    <x v="3"/>
    <x v="6"/>
    <m/>
    <x v="1"/>
    <x v="1"/>
    <s v="♂"/>
    <s v="4m"/>
    <s v="Reflexive"/>
    <s v="Perilous"/>
    <s v="Instant"/>
    <m/>
    <s v="Sid 225"/>
    <x v="2"/>
    <x v="0"/>
    <n v="1"/>
    <n v="0"/>
    <s v="Any three Battles Charms"/>
    <m/>
  </r>
  <r>
    <x v="0"/>
    <s v="Conquering Star Command"/>
    <x v="3"/>
    <x v="6"/>
    <m/>
    <x v="1"/>
    <x v="1"/>
    <s v="♂"/>
    <s v="5m"/>
    <s v="Reflexive"/>
    <s v="Mute"/>
    <s v="Instant"/>
    <m/>
    <s v="Sid 226"/>
    <x v="2"/>
    <x v="4"/>
    <n v="3"/>
    <n v="0"/>
    <s v="Any five Battles Charms"/>
    <m/>
  </r>
  <r>
    <x v="0"/>
    <s v="Descending Battles Horoscope"/>
    <x v="3"/>
    <x v="6"/>
    <m/>
    <x v="1"/>
    <x v="1"/>
    <s v="♂"/>
    <s v="1 or 3m, 1wp"/>
    <s v="Simple"/>
    <s v="Mute, Shaping (Fate), Uniform"/>
    <s v="One story"/>
    <m/>
    <s v="Sid 222"/>
    <x v="2"/>
    <x v="0"/>
    <n v="1"/>
    <n v="0"/>
    <s v="Any three Battles Charms"/>
    <m/>
  </r>
  <r>
    <x v="0"/>
    <s v="Eye for Strife"/>
    <x v="3"/>
    <x v="6"/>
    <m/>
    <x v="1"/>
    <x v="1"/>
    <s v="♂"/>
    <s v="4m"/>
    <s v="Reflexive"/>
    <s v="None"/>
    <s v="Instant"/>
    <m/>
    <s v="Sid 225"/>
    <x v="2"/>
    <x v="0"/>
    <n v="1"/>
    <n v="0"/>
    <s v="Any three Battles Charms"/>
    <m/>
  </r>
  <r>
    <x v="0"/>
    <s v="Hero-Supporting Performance"/>
    <x v="3"/>
    <x v="6"/>
    <m/>
    <x v="1"/>
    <x v="1"/>
    <s v="♂"/>
    <s v="5m"/>
    <s v="Supplemental"/>
    <s v="Mute"/>
    <s v="Instant"/>
    <m/>
    <s v="Sid 226"/>
    <x v="2"/>
    <x v="4"/>
    <n v="2"/>
    <n v="0"/>
    <s v="Any three Battles Charm"/>
    <m/>
  </r>
  <r>
    <x v="0"/>
    <s v="Judicious Application of Force"/>
    <x v="3"/>
    <x v="6"/>
    <m/>
    <x v="1"/>
    <x v="1"/>
    <s v="♂"/>
    <s v="-"/>
    <s v="Permanent"/>
    <s v="Uniform"/>
    <s v="Permanent"/>
    <m/>
    <s v="Sid 223"/>
    <x v="2"/>
    <x v="2"/>
    <n v="1"/>
    <n v="0"/>
    <s v="None"/>
    <m/>
  </r>
  <r>
    <x v="0"/>
    <s v="Knuckle-Cracking Stance"/>
    <x v="3"/>
    <x v="6"/>
    <m/>
    <x v="1"/>
    <x v="1"/>
    <s v="♂"/>
    <s v="-"/>
    <s v="Permanent"/>
    <s v="None"/>
    <s v="Permanent"/>
    <m/>
    <s v="Sid 223"/>
    <x v="2"/>
    <x v="2"/>
    <n v="1"/>
    <n v="0"/>
    <s v="None"/>
    <m/>
  </r>
  <r>
    <x v="0"/>
    <s v="Sheathing the Crimson Blade"/>
    <x v="3"/>
    <x v="6"/>
    <m/>
    <x v="1"/>
    <x v="1"/>
    <s v="♂"/>
    <s v="- (1m)"/>
    <s v="Permanent"/>
    <s v="None"/>
    <s v="Permanent"/>
    <m/>
    <s v="Sid 224"/>
    <x v="2"/>
    <x v="2"/>
    <n v="1"/>
    <n v="0"/>
    <s v="None"/>
    <m/>
  </r>
  <r>
    <x v="0"/>
    <s v="Understanding Ecstatic Ways"/>
    <x v="3"/>
    <x v="6"/>
    <m/>
    <x v="1"/>
    <x v="1"/>
    <s v="♂"/>
    <s v="10m, 1wp"/>
    <s v="Reflexive"/>
    <s v="Mute, Psyche"/>
    <s v="One scene"/>
    <m/>
    <s v="Sid 226"/>
    <x v="2"/>
    <x v="4"/>
    <n v="4"/>
    <n v="0"/>
    <s v="Conquering Star Command, Wearing Red to a Wedding"/>
    <m/>
  </r>
  <r>
    <x v="0"/>
    <s v="Unyielding Tenacity"/>
    <x v="3"/>
    <x v="6"/>
    <m/>
    <x v="1"/>
    <x v="1"/>
    <s v="♂"/>
    <s v="-"/>
    <s v="Permanent"/>
    <s v="Uniform"/>
    <s v="Permanent"/>
    <m/>
    <s v="Sid 224"/>
    <x v="2"/>
    <x v="2"/>
    <n v="1"/>
    <n v="0"/>
    <s v="None"/>
    <m/>
  </r>
  <r>
    <x v="0"/>
    <s v="Wearing Red to a Wedding"/>
    <x v="3"/>
    <x v="6"/>
    <m/>
    <x v="1"/>
    <x v="1"/>
    <s v="♂"/>
    <s v="3m"/>
    <s v="Reflexive"/>
    <s v="Mute"/>
    <s v="One scene"/>
    <m/>
    <s v="Sid 224"/>
    <x v="2"/>
    <x v="0"/>
    <n v="1"/>
    <n v="0"/>
    <s v="Sheathing the Crimson Blade"/>
    <m/>
  </r>
  <r>
    <x v="0"/>
    <s v="Forward-Thinking Technique"/>
    <x v="3"/>
    <x v="6"/>
    <m/>
    <x v="3"/>
    <x v="2"/>
    <s v="☿Мачта"/>
    <s v="- (+1wp)"/>
    <s v="Permanent"/>
    <s v="Dual"/>
    <s v="Permanent"/>
    <m/>
    <s v="Sid 163"/>
    <x v="11"/>
    <x v="1"/>
    <n v="2"/>
    <n v="0"/>
    <s v="Unswerving Juggernaut Principle"/>
    <m/>
  </r>
  <r>
    <x v="0"/>
    <s v="Heartless Maiden Trance"/>
    <x v="3"/>
    <x v="6"/>
    <m/>
    <x v="3"/>
    <x v="2"/>
    <s v="☿Мачта"/>
    <s v="8m, 1wp"/>
    <s v="Simple"/>
    <s v="None"/>
    <s v="Indefinite"/>
    <m/>
    <s v="Sid 164"/>
    <x v="11"/>
    <x v="4"/>
    <n v="3"/>
    <n v="0"/>
    <s v="Optimistic Security Practice, Unwavering Well-Being Meditation"/>
    <m/>
  </r>
  <r>
    <x v="0"/>
    <s v="Inevitability Without Finesse"/>
    <x v="3"/>
    <x v="6"/>
    <m/>
    <x v="3"/>
    <x v="2"/>
    <s v="☿Мачта"/>
    <s v="7m, 1wp"/>
    <s v="Simple"/>
    <s v="Perilous, Uniform"/>
    <s v="One scene"/>
    <m/>
    <s v="Sid 164"/>
    <x v="11"/>
    <x v="4"/>
    <n v="4"/>
    <n v="0"/>
    <s v="Forward-Thinking Technique, Strength of the Mast"/>
    <m/>
  </r>
  <r>
    <x v="0"/>
    <s v="Invisible at the Center"/>
    <x v="3"/>
    <x v="6"/>
    <m/>
    <x v="3"/>
    <x v="2"/>
    <s v="☿Мачта"/>
    <s v="4m, 1wp"/>
    <s v="Simple"/>
    <s v="Mute, Shaping (Fate)"/>
    <s v="Indefinite"/>
    <m/>
    <s v="Sid 162"/>
    <x v="11"/>
    <x v="1"/>
    <n v="1"/>
    <n v="0"/>
    <s v="Strength of the Mast"/>
    <m/>
  </r>
  <r>
    <x v="0"/>
    <s v="Loom-Shifting Nudge"/>
    <x v="3"/>
    <x v="6"/>
    <m/>
    <x v="3"/>
    <x v="2"/>
    <s v="☿Мачта"/>
    <s v="1wp"/>
    <s v="Supplemental"/>
    <s v="Uniform"/>
    <s v="Instant"/>
    <m/>
    <s v="Sid 164"/>
    <x v="11"/>
    <x v="4"/>
    <n v="3"/>
    <n v="0"/>
    <s v="Yeddim-Hauling Wage"/>
    <m/>
  </r>
  <r>
    <x v="0"/>
    <s v="Maiden Sheds No Tears"/>
    <x v="3"/>
    <x v="6"/>
    <m/>
    <x v="3"/>
    <x v="2"/>
    <s v="☿Мачта"/>
    <s v="-"/>
    <s v="Permanent"/>
    <s v="None"/>
    <s v="Permanent"/>
    <m/>
    <s v="Sid 165"/>
    <x v="11"/>
    <x v="4"/>
    <n v="4"/>
    <n v="0"/>
    <s v="Heartless Maiden Trance"/>
    <m/>
  </r>
  <r>
    <x v="0"/>
    <s v="One Way Forward"/>
    <x v="3"/>
    <x v="6"/>
    <m/>
    <x v="3"/>
    <x v="2"/>
    <s v="☿Мачта"/>
    <s v="4m, 2i"/>
    <s v="Reflexive"/>
    <s v="Perilous"/>
    <s v="One scene"/>
    <m/>
    <s v="Sid 164"/>
    <x v="11"/>
    <x v="1"/>
    <n v="2"/>
    <n v="0"/>
    <s v="Unswerving Juggernaut Principle"/>
    <m/>
  </r>
  <r>
    <x v="0"/>
    <s v="One-Direction Invocation"/>
    <x v="3"/>
    <x v="6"/>
    <m/>
    <x v="3"/>
    <x v="2"/>
    <s v="☿Мачта"/>
    <s v="10m, 1wp"/>
    <s v="Simple"/>
    <s v="Dual"/>
    <s v="Indefinite"/>
    <m/>
    <s v="Sid 165"/>
    <x v="11"/>
    <x v="4"/>
    <n v="5"/>
    <n v="0"/>
    <s v="Any ten Resistance Charms"/>
    <m/>
  </r>
  <r>
    <x v="0"/>
    <s v="Optimistic Security Practice"/>
    <x v="3"/>
    <x v="6"/>
    <m/>
    <x v="3"/>
    <x v="2"/>
    <s v="☿Мачта"/>
    <s v="3m"/>
    <s v="Reflexive"/>
    <s v="Dual"/>
    <s v="Instant"/>
    <m/>
    <s v="Sid 161"/>
    <x v="11"/>
    <x v="0"/>
    <n v="1"/>
    <n v="0"/>
    <s v="None"/>
    <m/>
  </r>
  <r>
    <x v="0"/>
    <s v="Strength of the Mast"/>
    <x v="3"/>
    <x v="6"/>
    <m/>
    <x v="3"/>
    <x v="2"/>
    <s v="☿Мачта"/>
    <s v="3m"/>
    <s v="Supplemental"/>
    <s v="Mute"/>
    <s v="Instant"/>
    <m/>
    <s v="Sid 162"/>
    <x v="11"/>
    <x v="0"/>
    <n v="1"/>
    <n v="0"/>
    <s v="None"/>
    <m/>
  </r>
  <r>
    <x v="0"/>
    <s v="The Center Must Hold"/>
    <x v="3"/>
    <x v="6"/>
    <m/>
    <x v="3"/>
    <x v="2"/>
    <s v="☿Мачта"/>
    <s v="4m (+1wp)"/>
    <s v="Reflexive"/>
    <s v="Uniform"/>
    <s v="Instant"/>
    <m/>
    <s v="Sid 163"/>
    <x v="11"/>
    <x v="1"/>
    <n v="2"/>
    <n v="0"/>
    <s v="Optimistic Security Practice, Unwavering Well-Being"/>
    <m/>
  </r>
  <r>
    <x v="0"/>
    <s v="The Mast Sways"/>
    <x v="3"/>
    <x v="6"/>
    <m/>
    <x v="3"/>
    <x v="2"/>
    <s v="☿Мачта"/>
    <s v="1i"/>
    <s v="Reflexive"/>
    <s v="Perilous, Uniform"/>
    <s v="Instant"/>
    <m/>
    <s v="Sid 161"/>
    <x v="11"/>
    <x v="0"/>
    <n v="1"/>
    <n v="0"/>
    <s v="None"/>
    <m/>
  </r>
  <r>
    <x v="0"/>
    <s v="The Mast Upholds All"/>
    <x v="3"/>
    <x v="6"/>
    <m/>
    <x v="3"/>
    <x v="2"/>
    <s v="☿Мачта"/>
    <s v="5m, 1wp"/>
    <s v="Reflexive"/>
    <s v="None"/>
    <s v="Instant"/>
    <m/>
    <s v="Sid 164"/>
    <x v="11"/>
    <x v="4"/>
    <n v="3"/>
    <n v="0"/>
    <s v="Invisible at the Center, The Mast Sways"/>
    <m/>
  </r>
  <r>
    <x v="0"/>
    <s v="Unbroken Weave Deflection"/>
    <x v="3"/>
    <x v="6"/>
    <m/>
    <x v="3"/>
    <x v="2"/>
    <s v="☿Мачта"/>
    <s v="5m"/>
    <s v="Reflexive"/>
    <s v="Clash, Decisive-only"/>
    <s v="Instant"/>
    <m/>
    <s v="Sid 163"/>
    <x v="11"/>
    <x v="4"/>
    <n v="2"/>
    <n v="0"/>
    <s v="The Center Must Hold"/>
    <m/>
  </r>
  <r>
    <x v="0"/>
    <s v="Unswerving Juggernaut Principle"/>
    <x v="3"/>
    <x v="6"/>
    <m/>
    <x v="3"/>
    <x v="2"/>
    <s v="☿Мачта"/>
    <s v="3m, 1wp"/>
    <s v="Simple"/>
    <s v="None"/>
    <s v="Indefinite"/>
    <m/>
    <s v="Sid 162"/>
    <x v="11"/>
    <x v="0"/>
    <n v="1"/>
    <n v="0"/>
    <s v="None"/>
    <m/>
  </r>
  <r>
    <x v="0"/>
    <s v="Unwavering Well-Being Meditation"/>
    <x v="3"/>
    <x v="6"/>
    <m/>
    <x v="3"/>
    <x v="2"/>
    <s v="☿Мачта"/>
    <s v="5m"/>
    <s v="Reflexive"/>
    <s v="Mute, Perilous, Uniform"/>
    <s v="Instant"/>
    <m/>
    <s v="Sid 163"/>
    <x v="11"/>
    <x v="1"/>
    <n v="1"/>
    <n v="0"/>
    <s v="None"/>
    <m/>
  </r>
  <r>
    <x v="0"/>
    <s v="Yeddim-Hauling Wage"/>
    <x v="3"/>
    <x v="6"/>
    <m/>
    <x v="3"/>
    <x v="2"/>
    <s v="☿Мачта"/>
    <s v="4m"/>
    <s v="Supplemental"/>
    <s v="None"/>
    <s v="Instant"/>
    <m/>
    <s v="Sid 162"/>
    <x v="11"/>
    <x v="0"/>
    <n v="1"/>
    <n v="0"/>
    <s v="Strength of the Mast"/>
    <m/>
  </r>
  <r>
    <x v="0"/>
    <s v="Acquaintance-Improving Dressage"/>
    <x v="3"/>
    <x v="6"/>
    <m/>
    <x v="3"/>
    <x v="2"/>
    <s v="☿Посланник"/>
    <s v="10m, 1wp"/>
    <s v="Simple"/>
    <s v="Mute"/>
    <s v="One week"/>
    <m/>
    <s v="Sid 169"/>
    <x v="27"/>
    <x v="4"/>
    <n v="2"/>
    <n v="0"/>
    <s v="Spirit-Shape Companion"/>
    <m/>
  </r>
  <r>
    <x v="0"/>
    <s v="Blow-Wind-Blow Style"/>
    <x v="3"/>
    <x v="6"/>
    <m/>
    <x v="3"/>
    <x v="2"/>
    <s v="☿Посланник"/>
    <s v="2m"/>
    <s v="Supplemental"/>
    <s v="None"/>
    <s v="Instant"/>
    <m/>
    <s v="Sid 166"/>
    <x v="27"/>
    <x v="3"/>
    <n v="1"/>
    <n v="0"/>
    <s v="None"/>
    <m/>
  </r>
  <r>
    <x v="0"/>
    <s v="Breaking the Wild Mortal"/>
    <x v="3"/>
    <x v="6"/>
    <m/>
    <x v="3"/>
    <x v="2"/>
    <s v="☿Посланник"/>
    <s v="- (+1wp)"/>
    <s v="Permanent"/>
    <s v="Psyche"/>
    <s v="Permanent"/>
    <m/>
    <s v="Sid 167"/>
    <x v="27"/>
    <x v="0"/>
    <n v="1"/>
    <n v="0"/>
    <s v="Ordained Bridle of Mercury"/>
    <m/>
  </r>
  <r>
    <x v="0"/>
    <s v="Desirable Maiden’s Bargain"/>
    <x v="3"/>
    <x v="6"/>
    <m/>
    <x v="3"/>
    <x v="2"/>
    <s v="☿Посланник"/>
    <s v="10m, 1wp"/>
    <s v="Simple"/>
    <s v="Mute"/>
    <s v="Instant"/>
    <m/>
    <s v="Sid 168"/>
    <x v="27"/>
    <x v="4"/>
    <n v="2"/>
    <n v="0"/>
    <s v="Messenger’s Oath, Yellow Path"/>
    <m/>
  </r>
  <r>
    <x v="0"/>
    <s v="Field Mouse Rider"/>
    <x v="3"/>
    <x v="6"/>
    <m/>
    <x v="3"/>
    <x v="2"/>
    <s v="☿Посланник"/>
    <s v="3m, 1wp"/>
    <s v="Reflexive"/>
    <s v="None"/>
    <s v="One hour"/>
    <m/>
    <s v="Sid 167"/>
    <x v="27"/>
    <x v="1"/>
    <n v="1"/>
    <n v="0"/>
    <s v="Ordained Bridle of Mercury"/>
    <m/>
  </r>
  <r>
    <x v="0"/>
    <s v="Fiend-Humbling Horsemanship"/>
    <x v="3"/>
    <x v="6"/>
    <m/>
    <x v="3"/>
    <x v="2"/>
    <s v="☿Посланник"/>
    <s v="10m, 1wp"/>
    <s v="Simple"/>
    <s v="Decisive-only, Psyche, Shaping (Body)"/>
    <s v="Instant"/>
    <m/>
    <s v="Sid 170"/>
    <x v="27"/>
    <x v="4"/>
    <n v="3"/>
    <n v="0"/>
    <s v="Breaking the Wild Mortal, Godly Companion"/>
    <m/>
  </r>
  <r>
    <x v="0"/>
    <s v="Glory Path"/>
    <x v="3"/>
    <x v="6"/>
    <m/>
    <x v="3"/>
    <x v="2"/>
    <s v="☿Посланник"/>
    <s v="3m"/>
    <s v="Reflexive"/>
    <s v="None"/>
    <s v="Until next turn"/>
    <m/>
    <s v="Sid 170"/>
    <x v="27"/>
    <x v="1"/>
    <n v="2"/>
    <n v="0"/>
    <s v="Blow-Wind-Blow Style, Iron Heart, Iron Horse, Yellow Path"/>
    <m/>
  </r>
  <r>
    <x v="0"/>
    <s v="Godly Companion"/>
    <x v="3"/>
    <x v="6"/>
    <m/>
    <x v="3"/>
    <x v="2"/>
    <s v="☿Посланник"/>
    <s v="-"/>
    <s v="Permanent"/>
    <s v="None"/>
    <s v="Permanent"/>
    <m/>
    <s v="Sid 170"/>
    <x v="27"/>
    <x v="4"/>
    <n v="3"/>
    <n v="0"/>
    <s v="Spirit-Shape Companion"/>
    <m/>
  </r>
  <r>
    <x v="0"/>
    <s v="Invisible Spirit Rider"/>
    <x v="3"/>
    <x v="6"/>
    <m/>
    <x v="3"/>
    <x v="2"/>
    <s v="☿Посланник"/>
    <s v="10m, 1wp"/>
    <s v="Reflexive"/>
    <s v="None"/>
    <s v="One scene"/>
    <m/>
    <s v="Sid 171"/>
    <x v="27"/>
    <x v="4"/>
    <n v="3"/>
    <n v="0"/>
    <s v="Godly Companion, Yellow Path"/>
    <m/>
  </r>
  <r>
    <x v="0"/>
    <s v="Iron Heart, Iron Horse"/>
    <x v="3"/>
    <x v="6"/>
    <m/>
    <x v="3"/>
    <x v="2"/>
    <s v="☿Посланник"/>
    <s v="5m"/>
    <s v="Reflexive"/>
    <s v="Dual, Mute"/>
    <s v="One scene"/>
    <m/>
    <s v="Sid 166"/>
    <x v="27"/>
    <x v="3"/>
    <n v="1"/>
    <n v="0"/>
    <s v="None"/>
    <m/>
  </r>
  <r>
    <x v="0"/>
    <s v="Message-Without-Messenger Pact"/>
    <x v="3"/>
    <x v="6"/>
    <m/>
    <x v="3"/>
    <x v="2"/>
    <s v="☿Посланник"/>
    <s v="- (+1ahl)"/>
    <s v="Permanent"/>
    <s v="None"/>
    <s v="Permanent"/>
    <m/>
    <s v="Sid 171"/>
    <x v="27"/>
    <x v="4"/>
    <n v="3"/>
    <n v="0"/>
    <s v="Messenger’s Oath"/>
    <m/>
  </r>
  <r>
    <x v="0"/>
    <s v="Messenger’s Oath"/>
    <x v="3"/>
    <x v="6"/>
    <m/>
    <x v="3"/>
    <x v="2"/>
    <s v="☿Посланник"/>
    <s v="1m, 1wp"/>
    <s v="Reflexive"/>
    <s v="None"/>
    <s v="Indefinite"/>
    <m/>
    <s v="Sid 168"/>
    <x v="27"/>
    <x v="0"/>
    <n v="2"/>
    <n v="0"/>
    <s v="Iron Heart, Iron Horse"/>
    <m/>
  </r>
  <r>
    <x v="0"/>
    <s v="Ordained Bridle of Mercury"/>
    <x v="3"/>
    <x v="6"/>
    <m/>
    <x v="3"/>
    <x v="2"/>
    <s v="☿Посланник"/>
    <s v="10m (1wp)"/>
    <s v="Simple"/>
    <s v="None"/>
    <s v="Until the bridle is presented"/>
    <m/>
    <s v="Sid 166"/>
    <x v="27"/>
    <x v="0"/>
    <n v="1"/>
    <n v="0"/>
    <s v="None"/>
    <m/>
  </r>
  <r>
    <x v="0"/>
    <s v="Plausible Stabling Arrangement"/>
    <x v="3"/>
    <x v="6"/>
    <m/>
    <x v="3"/>
    <x v="2"/>
    <s v="☿Посланник"/>
    <s v="3m (10m, 1wp)"/>
    <s v="Simple"/>
    <s v="None"/>
    <s v="Instant"/>
    <m/>
    <s v="Sid 168"/>
    <x v="27"/>
    <x v="0"/>
    <n v="1"/>
    <n v="0"/>
    <s v="None"/>
    <m/>
  </r>
  <r>
    <x v="0"/>
    <s v="Riding the Dragon"/>
    <x v="3"/>
    <x v="6"/>
    <m/>
    <x v="3"/>
    <x v="2"/>
    <s v="☿Посланник"/>
    <s v="5m, 1wp"/>
    <s v="Simple"/>
    <s v="None"/>
    <s v="One day"/>
    <m/>
    <s v="Sid 172"/>
    <x v="27"/>
    <x v="4"/>
    <n v="5"/>
    <n v="0"/>
    <s v="Any ten Ride Charms"/>
    <m/>
  </r>
  <r>
    <x v="0"/>
    <s v="Spirit-Shape Companion"/>
    <x v="3"/>
    <x v="6"/>
    <m/>
    <x v="3"/>
    <x v="2"/>
    <s v="☿Посланник"/>
    <s v="10m, 1wp, 1xp"/>
    <s v="Simple"/>
    <s v="None"/>
    <s v="Instant"/>
    <m/>
    <s v="Sid 169"/>
    <x v="27"/>
    <x v="0"/>
    <n v="2"/>
    <n v="0"/>
    <s v="Ordained Bridle of Mercury"/>
    <m/>
  </r>
  <r>
    <x v="0"/>
    <s v="Without Temptation"/>
    <x v="3"/>
    <x v="6"/>
    <m/>
    <x v="3"/>
    <x v="2"/>
    <s v="☿Посланник"/>
    <s v="10m, 1wp"/>
    <s v="Simple"/>
    <s v="Psyche"/>
    <s v="Indefinite"/>
    <m/>
    <s v="Sid 171"/>
    <x v="27"/>
    <x v="4"/>
    <n v="4"/>
    <n v="0"/>
    <s v="Breaking the Wild Mortal"/>
    <m/>
  </r>
  <r>
    <x v="0"/>
    <s v="Yellow Path"/>
    <x v="3"/>
    <x v="6"/>
    <m/>
    <x v="3"/>
    <x v="2"/>
    <s v="☿Посланник"/>
    <s v="5m, 1wp"/>
    <s v="Simple"/>
    <s v="None"/>
    <s v="One journey"/>
    <m/>
    <s v="Sid 168"/>
    <x v="27"/>
    <x v="0"/>
    <n v="1"/>
    <n v="0"/>
    <s v="None"/>
    <m/>
  </r>
  <r>
    <x v="0"/>
    <s v="Certain Peril Preparation"/>
    <x v="3"/>
    <x v="6"/>
    <m/>
    <x v="3"/>
    <x v="2"/>
    <s v="☿Капитан"/>
    <s v="-"/>
    <s v="Permanent"/>
    <s v="None"/>
    <s v="Permanent"/>
    <m/>
    <s v="Sid 172"/>
    <x v="28"/>
    <x v="2"/>
    <n v="1"/>
    <n v="0"/>
    <s v="None"/>
    <m/>
  </r>
  <r>
    <x v="0"/>
    <s v="Choosing for Fangs"/>
    <x v="3"/>
    <x v="6"/>
    <m/>
    <x v="3"/>
    <x v="2"/>
    <s v="☿Капитан"/>
    <s v="5m, 1wp"/>
    <s v="Reflexive"/>
    <s v="None"/>
    <s v="Indefinite"/>
    <m/>
    <s v="Sid 174"/>
    <x v="28"/>
    <x v="1"/>
    <n v="2"/>
    <n v="0"/>
    <s v="Ship-Commanding Attitude"/>
    <m/>
  </r>
  <r>
    <x v="0"/>
    <s v="Dire Squall Forewarning"/>
    <x v="3"/>
    <x v="6"/>
    <m/>
    <x v="3"/>
    <x v="2"/>
    <s v="☿Капитан"/>
    <s v="30m, 1wp"/>
    <s v="Simple"/>
    <s v="Mute, Shaping (Fate)"/>
    <s v="Until the disaster occurs"/>
    <m/>
    <s v="Sid 177"/>
    <x v="28"/>
    <x v="4"/>
    <n v="4"/>
    <n v="0"/>
    <s v="Disaster-Accelerating Expedience"/>
    <m/>
  </r>
  <r>
    <x v="0"/>
    <s v="Disaster-Accelerating Expedience"/>
    <x v="3"/>
    <x v="6"/>
    <m/>
    <x v="3"/>
    <x v="2"/>
    <s v="☿Капитан"/>
    <s v="10m, 1wp"/>
    <s v="Simple"/>
    <s v="Mute, Shaping (Fate)"/>
    <s v="Instant"/>
    <m/>
    <s v="Sid 177"/>
    <x v="28"/>
    <x v="4"/>
    <n v="3"/>
    <n v="0"/>
    <s v="Meticulous Disaster Agenda"/>
    <m/>
  </r>
  <r>
    <x v="0"/>
    <s v="Five Ordeals Odyssey"/>
    <x v="3"/>
    <x v="6"/>
    <m/>
    <x v="3"/>
    <x v="2"/>
    <s v="☿Капитан"/>
    <s v="10m, 1wp"/>
    <s v="Simple"/>
    <s v="None"/>
    <s v="Until the challenge is overcome"/>
    <m/>
    <s v="Sid 177"/>
    <x v="28"/>
    <x v="4"/>
    <n v="5"/>
    <n v="0"/>
    <s v="Any ten Sail Charms"/>
    <m/>
  </r>
  <r>
    <x v="0"/>
    <s v="Implicit Admiralty Assumption"/>
    <x v="3"/>
    <x v="6"/>
    <m/>
    <x v="3"/>
    <x v="2"/>
    <s v="☿Капитан"/>
    <s v="10m, 1wp"/>
    <s v="Reflexive"/>
    <s v="Mute"/>
    <s v="One scene"/>
    <m/>
    <s v="Sid 175"/>
    <x v="28"/>
    <x v="4"/>
    <n v="3"/>
    <n v="0"/>
    <s v="Omen of Mutiny"/>
    <m/>
  </r>
  <r>
    <x v="0"/>
    <s v="Iron Drill Exercise"/>
    <x v="3"/>
    <x v="6"/>
    <m/>
    <x v="3"/>
    <x v="2"/>
    <s v="☿Капитан"/>
    <s v="10m, 1wp"/>
    <s v="Simple"/>
    <s v="None"/>
    <s v="Instant"/>
    <m/>
    <s v="Sid 174"/>
    <x v="28"/>
    <x v="1"/>
    <n v="2"/>
    <n v="0"/>
    <s v="Choosing for Fangs"/>
    <m/>
  </r>
  <r>
    <x v="0"/>
    <s v="Meticulous Disaster Agenda"/>
    <x v="3"/>
    <x v="6"/>
    <m/>
    <x v="3"/>
    <x v="2"/>
    <s v="☿Капитан"/>
    <s v="5m, 1wp"/>
    <s v="Simple"/>
    <s v="Mute"/>
    <s v="Instant"/>
    <m/>
    <s v="Sid 176"/>
    <x v="28"/>
    <x v="4"/>
    <n v="3"/>
    <n v="0"/>
    <s v="Mirror-Shattering Method, Yellow Sky Augury"/>
    <m/>
  </r>
  <r>
    <x v="0"/>
    <s v="Mirror-Shattering Method"/>
    <x v="3"/>
    <x v="6"/>
    <m/>
    <x v="3"/>
    <x v="2"/>
    <s v="☿Капитан"/>
    <s v="5m, 1wp"/>
    <s v="Simple"/>
    <s v="Pilot"/>
    <s v="One journey"/>
    <m/>
    <s v="Sid 175"/>
    <x v="28"/>
    <x v="4"/>
    <n v="3"/>
    <n v="0"/>
    <s v="Serendipitous Voyage, Stone-Skipping Spirit"/>
    <m/>
  </r>
  <r>
    <x v="0"/>
    <s v="Omen of Mutiny"/>
    <x v="3"/>
    <x v="6"/>
    <m/>
    <x v="3"/>
    <x v="2"/>
    <s v="☿Капитан"/>
    <s v="10m, 1wp"/>
    <s v="Simple"/>
    <s v="Mute, Pilot"/>
    <s v="Instant"/>
    <m/>
    <s v="Sid 175"/>
    <x v="28"/>
    <x v="4"/>
    <n v="2"/>
    <n v="0"/>
    <s v="Choosing for Fangs"/>
    <m/>
  </r>
  <r>
    <x v="0"/>
    <s v="Salt-Into-Ash Sleight"/>
    <x v="3"/>
    <x v="6"/>
    <m/>
    <x v="3"/>
    <x v="2"/>
    <s v="☿Капитан"/>
    <s v="7m"/>
    <s v="Simple"/>
    <s v="Psyche"/>
    <s v="Instant"/>
    <m/>
    <s v="Sid 173"/>
    <x v="28"/>
    <x v="0"/>
    <n v="1"/>
    <n v="0"/>
    <s v="None"/>
    <m/>
  </r>
  <r>
    <x v="0"/>
    <s v="Serendipitous Voyage"/>
    <x v="3"/>
    <x v="6"/>
    <m/>
    <x v="3"/>
    <x v="2"/>
    <s v="☿Капитан"/>
    <s v="5m, 1wp"/>
    <s v="Simple"/>
    <s v="None"/>
    <s v="Instant"/>
    <m/>
    <s v="Sid 173"/>
    <x v="28"/>
    <x v="0"/>
    <n v="1"/>
    <n v="0"/>
    <s v="None"/>
    <m/>
  </r>
  <r>
    <x v="0"/>
    <s v="Ship-Commanding Attitude"/>
    <x v="3"/>
    <x v="6"/>
    <m/>
    <x v="3"/>
    <x v="2"/>
    <s v="☿Капитан"/>
    <s v="3m, 1wp"/>
    <s v="Reflexive"/>
    <s v="None"/>
    <s v="One scene"/>
    <m/>
    <s v="Sid 173"/>
    <x v="28"/>
    <x v="0"/>
    <n v="1"/>
    <n v="0"/>
    <s v="None"/>
    <m/>
  </r>
  <r>
    <x v="0"/>
    <s v="Stone-Skipping Spirit"/>
    <x v="3"/>
    <x v="6"/>
    <m/>
    <x v="3"/>
    <x v="2"/>
    <s v="☿Капитан"/>
    <s v="5m, 1wp"/>
    <s v="Simple"/>
    <s v="None"/>
    <s v="One day"/>
    <m/>
    <s v="Sid 173"/>
    <x v="28"/>
    <x v="0"/>
    <n v="1"/>
    <n v="0"/>
    <s v="None"/>
    <m/>
  </r>
  <r>
    <x v="0"/>
    <s v="Walls of Salt and Ash"/>
    <x v="3"/>
    <x v="6"/>
    <m/>
    <x v="3"/>
    <x v="2"/>
    <s v="☿Капитан"/>
    <s v="1m, 1wp"/>
    <s v="Simple"/>
    <s v="None"/>
    <s v="One day"/>
    <m/>
    <s v="Sid 175"/>
    <x v="28"/>
    <x v="1"/>
    <n v="2"/>
    <n v="0"/>
    <s v="Salt-Into-Ash Sleight"/>
    <m/>
  </r>
  <r>
    <x v="0"/>
    <s v="Yellow Sky Augury"/>
    <x v="3"/>
    <x v="6"/>
    <m/>
    <x v="3"/>
    <x v="2"/>
    <s v="☿Капитан"/>
    <s v="3m"/>
    <s v="Simple"/>
    <s v="Divination"/>
    <s v="Instant"/>
    <m/>
    <s v="Sid 174"/>
    <x v="28"/>
    <x v="0"/>
    <n v="1"/>
    <n v="0"/>
    <s v="None"/>
    <m/>
  </r>
  <r>
    <x v="0"/>
    <s v="Adopting the Untamed Face"/>
    <x v="3"/>
    <x v="6"/>
    <m/>
    <x v="3"/>
    <x v="2"/>
    <s v="☿Штурвал"/>
    <s v="3m"/>
    <s v="Reflexive"/>
    <s v="None"/>
    <s v="One scene"/>
    <m/>
    <s v="Sid 178"/>
    <x v="29"/>
    <x v="2"/>
    <n v="1"/>
    <n v="0"/>
    <s v="None"/>
    <m/>
  </r>
  <r>
    <x v="0"/>
    <s v="Becoming the Wilderness"/>
    <x v="3"/>
    <x v="6"/>
    <m/>
    <x v="3"/>
    <x v="2"/>
    <s v="☿Штурвал"/>
    <s v="4m"/>
    <s v="Simple"/>
    <s v="None"/>
    <s v="Indefinite"/>
    <m/>
    <s v="Sid 178"/>
    <x v="29"/>
    <x v="2"/>
    <n v="1"/>
    <n v="0"/>
    <s v="None"/>
    <m/>
  </r>
  <r>
    <x v="0"/>
    <s v="Beloved World Embrace"/>
    <x v="3"/>
    <x v="6"/>
    <m/>
    <x v="3"/>
    <x v="2"/>
    <s v="☿Штурвал"/>
    <s v="5m, 1wp"/>
    <s v="Simple"/>
    <s v="None"/>
    <s v="Instant"/>
    <m/>
    <s v="Sid 181"/>
    <x v="29"/>
    <x v="4"/>
    <n v="3"/>
    <n v="0"/>
    <s v="Becoming the Wilderness, Poetic Sacrifice Insurance"/>
    <m/>
  </r>
  <r>
    <x v="0"/>
    <s v="Creation’s Subtle Whisper"/>
    <x v="3"/>
    <x v="6"/>
    <m/>
    <x v="3"/>
    <x v="2"/>
    <s v="☿Штурвал"/>
    <s v="4m"/>
    <s v="Reflexive"/>
    <s v="None"/>
    <s v="Instant"/>
    <m/>
    <s v="Sid 179"/>
    <x v="29"/>
    <x v="0"/>
    <n v="1"/>
    <n v="0"/>
    <s v="Becoming the Wilderness"/>
    <m/>
  </r>
  <r>
    <x v="0"/>
    <s v="Dreaming the Wild Lands"/>
    <x v="3"/>
    <x v="6"/>
    <m/>
    <x v="3"/>
    <x v="2"/>
    <s v="☿Штурвал"/>
    <s v="20m, 1wp"/>
    <s v="Simple"/>
    <s v="None"/>
    <s v="(Perception) days"/>
    <m/>
    <s v="Sid 182"/>
    <x v="29"/>
    <x v="4"/>
    <n v="5"/>
    <n v="0"/>
    <s v="Any ten Survival Charms"/>
    <m/>
  </r>
  <r>
    <x v="0"/>
    <s v="Entombed Soul Monument"/>
    <x v="3"/>
    <x v="6"/>
    <m/>
    <x v="3"/>
    <x v="2"/>
    <s v="☿Штурвал"/>
    <s v="4m"/>
    <s v="Simple"/>
    <s v="Stackable"/>
    <s v="Indefinite"/>
    <m/>
    <s v="Sid 180"/>
    <x v="29"/>
    <x v="4"/>
    <n v="2"/>
    <n v="0"/>
    <s v="Becoming the Wilderness"/>
    <m/>
  </r>
  <r>
    <x v="0"/>
    <s v="Marshalling Infinite Strength"/>
    <x v="3"/>
    <x v="6"/>
    <m/>
    <x v="3"/>
    <x v="2"/>
    <s v="☿Штурвал"/>
    <s v="5m, 1wp (5m per round/hour)"/>
    <s v="Supplemental"/>
    <s v="None"/>
    <s v="One task"/>
    <m/>
    <s v="Sid 181"/>
    <x v="29"/>
    <x v="4"/>
    <n v="3"/>
    <n v="0"/>
    <s v="Stronger Than This Job"/>
    <m/>
  </r>
  <r>
    <x v="0"/>
    <s v="Oar-Cracking Exertion"/>
    <x v="3"/>
    <x v="6"/>
    <m/>
    <x v="3"/>
    <x v="2"/>
    <s v="☿Штурвал"/>
    <s v="1ahl"/>
    <s v="Reflexive"/>
    <s v="None"/>
    <s v="One scene"/>
    <m/>
    <s v="Sid 182"/>
    <x v="29"/>
    <x v="4"/>
    <n v="4"/>
    <n v="0"/>
    <s v="Marshalling Infinite Strength"/>
    <m/>
  </r>
  <r>
    <x v="0"/>
    <s v="Poetic Sacrifice Insurance"/>
    <x v="3"/>
    <x v="6"/>
    <m/>
    <x v="3"/>
    <x v="2"/>
    <s v="☿Штурвал"/>
    <s v="5m, 1wp"/>
    <s v="Reflexive"/>
    <s v="Mute"/>
    <s v="Instant"/>
    <m/>
    <s v="Sid 179"/>
    <x v="29"/>
    <x v="0"/>
    <n v="1"/>
    <n v="0"/>
    <s v="None"/>
    <m/>
  </r>
  <r>
    <x v="0"/>
    <s v="Sky Spirit Demand"/>
    <x v="3"/>
    <x v="6"/>
    <m/>
    <x v="3"/>
    <x v="2"/>
    <s v="☿Штурвал"/>
    <s v="2m, 1wp"/>
    <s v="Supplemental"/>
    <s v="Psyche"/>
    <s v="Instant"/>
    <m/>
    <s v="Sid 179"/>
    <x v="29"/>
    <x v="0"/>
    <n v="1"/>
    <n v="0"/>
    <s v="None"/>
    <m/>
  </r>
  <r>
    <x v="0"/>
    <s v="Sky-and-Rain Mantra"/>
    <x v="3"/>
    <x v="6"/>
    <m/>
    <x v="3"/>
    <x v="2"/>
    <s v="☿Штурвал"/>
    <s v="5m"/>
    <s v="Simple"/>
    <s v="None"/>
    <s v="One day"/>
    <m/>
    <s v="Sid 180"/>
    <x v="29"/>
    <x v="0"/>
    <n v="2"/>
    <n v="0"/>
    <s v="Sky Spirit Demand"/>
    <m/>
  </r>
  <r>
    <x v="0"/>
    <s v="Stronger Than This Job"/>
    <x v="3"/>
    <x v="6"/>
    <m/>
    <x v="3"/>
    <x v="2"/>
    <s v="☿Штурвал"/>
    <s v="5m"/>
    <s v="Supplemental"/>
    <s v="None"/>
    <s v="Instant"/>
    <m/>
    <s v="Sid 179"/>
    <x v="29"/>
    <x v="4"/>
    <n v="1"/>
    <n v="0"/>
    <s v="Poetic Sacrifice Insurance"/>
    <m/>
  </r>
  <r>
    <x v="0"/>
    <s v="Tomb-Parole Sanction"/>
    <x v="3"/>
    <x v="6"/>
    <m/>
    <x v="3"/>
    <x v="2"/>
    <s v="☿Штурвал"/>
    <s v="5m, 1wp"/>
    <s v="Simple"/>
    <s v="None"/>
    <s v="(Essence + Charisma) days"/>
    <m/>
    <s v="Sid 180"/>
    <x v="29"/>
    <x v="4"/>
    <n v="2"/>
    <n v="0"/>
    <s v="Adopting the Untamed Face, Sky Spirit Demand"/>
    <m/>
  </r>
  <r>
    <x v="0"/>
    <s v="Wilderness-Commanding Practice"/>
    <x v="3"/>
    <x v="6"/>
    <m/>
    <x v="3"/>
    <x v="2"/>
    <s v="☿Штурвал"/>
    <s v="10m, 1wp"/>
    <s v="Simple"/>
    <s v="Mute"/>
    <s v="Until completed"/>
    <m/>
    <s v="Sid 181"/>
    <x v="29"/>
    <x v="4"/>
    <n v="3"/>
    <n v="0"/>
    <s v="Becoming the Wilderness, Sky-and-Rain Mantra"/>
    <m/>
  </r>
  <r>
    <x v="0"/>
    <s v="World-Witness Concentration"/>
    <x v="3"/>
    <x v="6"/>
    <m/>
    <x v="3"/>
    <x v="2"/>
    <s v="☿Штурвал"/>
    <s v="5m"/>
    <s v="Supplemental"/>
    <s v="Mute"/>
    <s v="Instant"/>
    <m/>
    <s v="Sid 179"/>
    <x v="29"/>
    <x v="0"/>
    <n v="1"/>
    <n v="0"/>
    <s v="Becoming the Wilderness"/>
    <m/>
  </r>
  <r>
    <x v="0"/>
    <s v="Careless Surveillance Tactic"/>
    <x v="3"/>
    <x v="6"/>
    <m/>
    <x v="3"/>
    <x v="2"/>
    <s v="☿Чайка"/>
    <s v="5m, 1wp"/>
    <s v="Reflexive"/>
    <s v="Decisive-only"/>
    <s v="Instant"/>
    <m/>
    <s v="Sid 184"/>
    <x v="4"/>
    <x v="1"/>
    <n v="2"/>
    <n v="0"/>
    <s v="Impromptu Betrayal Trick"/>
    <m/>
  </r>
  <r>
    <x v="0"/>
    <s v="Essence Thorn Practice"/>
    <x v="3"/>
    <x v="6"/>
    <m/>
    <x v="3"/>
    <x v="2"/>
    <s v="☿Чайка"/>
    <s v="8m, 3i, 1wp"/>
    <s v="Simple"/>
    <s v="Aggravated, Decisive-only"/>
    <s v="Instant"/>
    <m/>
    <s v="Sid 186"/>
    <x v="4"/>
    <x v="4"/>
    <n v="3"/>
    <n v="0"/>
    <s v="Pain Amplification Stratagem"/>
    <m/>
  </r>
  <r>
    <x v="0"/>
    <s v="Flown Beyond the World"/>
    <x v="3"/>
    <x v="6"/>
    <m/>
    <x v="3"/>
    <x v="2"/>
    <s v="☿Чайка"/>
    <s v="5m, 1wp"/>
    <s v="Reflexive"/>
    <s v="Decisive-only, Versatile"/>
    <s v="Instant"/>
    <m/>
    <s v="Sid 187"/>
    <x v="4"/>
    <x v="4"/>
    <n v="4"/>
    <n v="0"/>
    <s v="Three-Body Trilemma"/>
    <m/>
  </r>
  <r>
    <x v="0"/>
    <s v="Frayed Skein Entanglement"/>
    <x v="3"/>
    <x v="6"/>
    <m/>
    <x v="3"/>
    <x v="2"/>
    <s v="☿Чайка"/>
    <s v="10m, 1wp"/>
    <s v="Simple"/>
    <s v="Decisive-only, Versatile"/>
    <s v="Instant"/>
    <m/>
    <s v="Sid 185"/>
    <x v="4"/>
    <x v="4"/>
    <n v="2"/>
    <n v="0"/>
    <s v="Pelican Aloft Departure"/>
    <m/>
  </r>
  <r>
    <x v="0"/>
    <s v="Impromptu Betrayal Trick"/>
    <x v="3"/>
    <x v="6"/>
    <m/>
    <x v="3"/>
    <x v="2"/>
    <s v="☿Чайка"/>
    <s v="3m, 1wp"/>
    <s v="Reflexive"/>
    <s v="Decisive-only"/>
    <s v="Instant"/>
    <m/>
    <s v="Sid 184"/>
    <x v="4"/>
    <x v="1"/>
    <n v="2"/>
    <n v="0"/>
    <s v="Willful Weapon Technique"/>
    <m/>
  </r>
  <r>
    <x v="0"/>
    <s v="Life-Gets-Worse Approach"/>
    <x v="3"/>
    <x v="6"/>
    <m/>
    <x v="3"/>
    <x v="2"/>
    <s v="☿Чайка"/>
    <s v="3m (1wp)"/>
    <s v="Supplemental"/>
    <s v="Decisive-only, Versatile"/>
    <s v="Instant"/>
    <m/>
    <s v="Sid 185"/>
    <x v="4"/>
    <x v="1"/>
    <n v="2"/>
    <n v="0"/>
    <s v="Returning Swallow Flight"/>
    <m/>
  </r>
  <r>
    <x v="0"/>
    <s v="Maiden-and-Shadow Enlightenment"/>
    <x v="3"/>
    <x v="6"/>
    <m/>
    <x v="3"/>
    <x v="2"/>
    <s v="☿Чайка"/>
    <s v="-"/>
    <s v="Permanent"/>
    <s v="None"/>
    <s v="Permanent"/>
    <m/>
    <s v="Sid 186"/>
    <x v="4"/>
    <x v="4"/>
    <n v="3"/>
    <n v="0"/>
    <s v="Maiden-and-Shadow Form, any five Thrown Charms"/>
    <m/>
  </r>
  <r>
    <x v="0"/>
    <s v="Maiden-and-Shadow Form"/>
    <x v="3"/>
    <x v="6"/>
    <m/>
    <x v="3"/>
    <x v="2"/>
    <s v="☿Чайка"/>
    <s v="10m"/>
    <s v="Simple"/>
    <s v="Aggravated, Dual, Form"/>
    <s v="One scene"/>
    <m/>
    <s v="Sid 184"/>
    <x v="4"/>
    <x v="1"/>
    <n v="1"/>
    <n v="0"/>
    <s v="Any four Thrown Charms"/>
    <m/>
  </r>
  <r>
    <x v="0"/>
    <s v="Pain Amplification Stratagem"/>
    <x v="3"/>
    <x v="6"/>
    <m/>
    <x v="3"/>
    <x v="2"/>
    <s v="☿Чайка"/>
    <s v="1m, 1wp"/>
    <s v="Supplemental"/>
    <s v="Dual"/>
    <s v="Instant"/>
    <m/>
    <s v="Sid 184"/>
    <x v="4"/>
    <x v="0"/>
    <n v="1"/>
    <n v="0"/>
    <s v="Shadow-Piercing Needle"/>
    <m/>
  </r>
  <r>
    <x v="0"/>
    <s v="Pelican Aloft Departure"/>
    <x v="3"/>
    <x v="6"/>
    <m/>
    <x v="3"/>
    <x v="2"/>
    <s v="☿Чайка"/>
    <s v="- (+2m)"/>
    <s v="Permanent"/>
    <s v="Versatile"/>
    <s v="Permanent"/>
    <m/>
    <s v="Sid 183"/>
    <x v="4"/>
    <x v="1"/>
    <n v="1"/>
    <n v="0"/>
    <s v="Returning Swallow Flight"/>
    <m/>
  </r>
  <r>
    <x v="0"/>
    <s v="Shadow Migration Tactic"/>
    <x v="3"/>
    <x v="6"/>
    <m/>
    <x v="3"/>
    <x v="2"/>
    <s v="☿Чайка"/>
    <s v="10m, 1wp"/>
    <s v="Simple"/>
    <s v="Decisive-only"/>
    <s v="Instant"/>
    <m/>
    <s v="Sid 187"/>
    <x v="4"/>
    <x v="4"/>
    <n v="4"/>
    <n v="0"/>
    <s v="Essence Thorn Practice, Willful Weapon Method"/>
    <m/>
  </r>
  <r>
    <x v="0"/>
    <s v="Shining Flock of Adversities"/>
    <x v="3"/>
    <x v="6"/>
    <m/>
    <x v="3"/>
    <x v="2"/>
    <s v="☿Чайка"/>
    <s v="5m, 1wp"/>
    <s v="Simple"/>
    <s v="Dual"/>
    <s v="Instant"/>
    <m/>
    <s v="Sid 185"/>
    <x v="4"/>
    <x v="4"/>
    <n v="2"/>
    <n v="0"/>
    <s v="Life-Gets-Worse Approach"/>
    <m/>
  </r>
  <r>
    <x v="0"/>
    <s v="Three-Body Trilemma"/>
    <x v="3"/>
    <x v="6"/>
    <m/>
    <x v="3"/>
    <x v="2"/>
    <s v="☿Чайка"/>
    <s v="10m, 1i, 1wp"/>
    <s v="Reflexive"/>
    <s v="Decisive-only, Versatile"/>
    <s v="Instant"/>
    <m/>
    <s v="Sid 186"/>
    <x v="4"/>
    <x v="4"/>
    <n v="3"/>
    <n v="0"/>
    <s v="Unmoved Mover Principle"/>
    <m/>
  </r>
  <r>
    <x v="0"/>
    <s v="Unmoved Mover Principle"/>
    <x v="3"/>
    <x v="6"/>
    <m/>
    <x v="3"/>
    <x v="2"/>
    <s v="☿Чайка"/>
    <s v="5m, 2i"/>
    <s v="Supplemental"/>
    <s v="Perilous"/>
    <s v="Instant"/>
    <m/>
    <s v="Sid 186"/>
    <x v="4"/>
    <x v="4"/>
    <n v="2"/>
    <n v="0"/>
    <s v="Pelican Aloft Departure"/>
    <m/>
  </r>
  <r>
    <x v="0"/>
    <s v="Unrelenting Torment Technique"/>
    <x v="3"/>
    <x v="6"/>
    <m/>
    <x v="3"/>
    <x v="2"/>
    <s v="☿Чайка"/>
    <s v="15m, 1wp"/>
    <s v="Simple"/>
    <s v="Decisive-only, Psyche"/>
    <s v="Instant"/>
    <m/>
    <s v="Sid 188"/>
    <x v="4"/>
    <x v="4"/>
    <n v="5"/>
    <n v="0"/>
    <s v="Any ten Thrown Charms"/>
    <m/>
  </r>
  <r>
    <x v="0"/>
    <s v="Wandering Axe Foresight"/>
    <x v="3"/>
    <x v="6"/>
    <m/>
    <x v="3"/>
    <x v="2"/>
    <s v="☿Чайка"/>
    <s v="15m, 1wp"/>
    <s v="Simple"/>
    <s v="Decisive-only"/>
    <s v="Instant"/>
    <m/>
    <s v="Sid 187"/>
    <x v="4"/>
    <x v="4"/>
    <n v="4"/>
    <n v="0"/>
    <s v="Insatiable Weapon Wanderlust, Life-Gets-Worse Approach, Magpie’s Favorite Baublee"/>
    <m/>
  </r>
  <r>
    <x v="0"/>
    <s v="Auspicious Voyage Omen"/>
    <x v="3"/>
    <x v="6"/>
    <m/>
    <x v="1"/>
    <x v="2"/>
    <s v="☿"/>
    <s v="- (10m, 1wp)"/>
    <s v="Simple"/>
    <s v="Mute"/>
    <s v="Permanent"/>
    <m/>
    <s v="Sid 160"/>
    <x v="6"/>
    <x v="1"/>
    <n v="2"/>
    <n v="0"/>
    <s v="Ascending Journeys Horoscope or Descending Journeys Horoscope"/>
    <m/>
  </r>
  <r>
    <x v="0"/>
    <s v="Fellow Traveler Rapport"/>
    <x v="3"/>
    <x v="6"/>
    <m/>
    <x v="1"/>
    <x v="2"/>
    <s v="☿"/>
    <s v="4m"/>
    <s v="Reflexive"/>
    <s v="None"/>
    <s v="Instant"/>
    <m/>
    <s v="Sid 159"/>
    <x v="6"/>
    <x v="0"/>
    <n v="1"/>
    <n v="0"/>
    <s v="Any three Journeys Charms"/>
    <m/>
  </r>
  <r>
    <x v="0"/>
    <s v="Joyous Grasshopper Spirit"/>
    <x v="3"/>
    <x v="6"/>
    <m/>
    <x v="1"/>
    <x v="2"/>
    <s v="☿"/>
    <s v="-"/>
    <s v="Permanent"/>
    <s v="None"/>
    <s v="Permanent"/>
    <m/>
    <s v="Sid 160"/>
    <x v="6"/>
    <x v="4"/>
    <n v="3"/>
    <n v="0"/>
    <s v="Good Worker Spirit"/>
    <m/>
  </r>
  <r>
    <x v="0"/>
    <s v="Legitimate Ownership Benefit"/>
    <x v="3"/>
    <x v="6"/>
    <m/>
    <x v="1"/>
    <x v="2"/>
    <s v="☿"/>
    <s v="10m, 3wp"/>
    <s v="Reflexive"/>
    <s v="None"/>
    <s v="Instant"/>
    <m/>
    <s v="Sid 160"/>
    <x v="6"/>
    <x v="4"/>
    <n v="4"/>
    <n v="0"/>
    <s v="Any ten Journeys Charms"/>
    <m/>
  </r>
  <r>
    <x v="0"/>
    <s v="Mysterious Wanderer Wisdom"/>
    <x v="3"/>
    <x v="6"/>
    <m/>
    <x v="1"/>
    <x v="2"/>
    <s v="☿"/>
    <s v="-"/>
    <s v="Permanent"/>
    <s v="None"/>
    <s v="Permanent"/>
    <m/>
    <s v="Sid 159"/>
    <x v="6"/>
    <x v="3"/>
    <n v="1"/>
    <n v="0"/>
    <s v="Any Journeys Charm"/>
    <m/>
  </r>
  <r>
    <x v="0"/>
    <s v="Predestined Escort Coincidence"/>
    <x v="3"/>
    <x v="6"/>
    <m/>
    <x v="1"/>
    <x v="2"/>
    <s v="☿"/>
    <s v="4m"/>
    <s v="Simple"/>
    <s v="None"/>
    <s v="Instant"/>
    <m/>
    <s v="Sid 159"/>
    <x v="6"/>
    <x v="0"/>
    <n v="1"/>
    <n v="0"/>
    <s v="Fellow Traveler Rapport"/>
    <m/>
  </r>
  <r>
    <x v="0"/>
    <s v="Satisfaction in Emptiness"/>
    <x v="3"/>
    <x v="6"/>
    <m/>
    <x v="1"/>
    <x v="2"/>
    <s v="☿"/>
    <s v="5m, 1wp"/>
    <s v="Simple"/>
    <s v="None"/>
    <s v="Indefinite"/>
    <m/>
    <s v="Sid 160"/>
    <x v="6"/>
    <x v="4"/>
    <n v="3"/>
    <n v="0"/>
    <s v="Joyous Grasshopper Spirit"/>
    <m/>
  </r>
  <r>
    <x v="0"/>
    <s v="Terminal Sanction (x2)"/>
    <x v="3"/>
    <x v="6"/>
    <m/>
    <x v="0"/>
    <x v="0"/>
    <s v="♄Телега с сеном"/>
    <s v="5m"/>
    <s v="Simple"/>
    <s v="None"/>
    <s v="Instant"/>
    <m/>
    <s v="Sid 300"/>
    <x v="0"/>
    <x v="4"/>
    <n v="3"/>
    <n v="0"/>
    <s v="Terminal Sanction"/>
    <m/>
  </r>
  <r>
    <x v="0"/>
    <s v="Anticipated Betrayal"/>
    <x v="3"/>
    <x v="6"/>
    <m/>
    <x v="0"/>
    <x v="0"/>
    <s v="♄Ворон"/>
    <s v="5m"/>
    <s v="Reflexive"/>
    <s v="Mute"/>
    <s v="Instant"/>
    <m/>
    <s v="Sid 295"/>
    <x v="1"/>
    <x v="0"/>
    <n v="1"/>
    <n v="0"/>
    <s v="Expected Pain"/>
    <m/>
  </r>
  <r>
    <x v="0"/>
    <s v="Bold Filcher"/>
    <x v="3"/>
    <x v="6"/>
    <m/>
    <x v="0"/>
    <x v="0"/>
    <s v="♄Ворон"/>
    <s v="3m, 1wp"/>
    <s v="Supplemental"/>
    <s v="Mute"/>
    <s v="Instant"/>
    <m/>
    <s v="Sid 297"/>
    <x v="1"/>
    <x v="1"/>
    <n v="2"/>
    <n v="0"/>
    <s v="Prior Warning"/>
    <m/>
  </r>
  <r>
    <x v="0"/>
    <s v="Cage-Shattering Grasp"/>
    <x v="3"/>
    <x v="6"/>
    <m/>
    <x v="0"/>
    <x v="0"/>
    <s v="♄Восходящий Дым"/>
    <s v="1m (+1wp)"/>
    <s v="Simple"/>
    <s v="None"/>
    <s v="Instant"/>
    <m/>
    <s v="Sid 292"/>
    <x v="7"/>
    <x v="4"/>
    <n v="2"/>
    <n v="0"/>
    <s v="Hungry Touch"/>
    <m/>
  </r>
  <r>
    <x v="0"/>
    <s v="Calamity-Stalling Patience"/>
    <x v="3"/>
    <x v="6"/>
    <m/>
    <x v="0"/>
    <x v="0"/>
    <s v="♄Телега с сеном"/>
    <s v="5m, 1wp"/>
    <s v="Simple"/>
    <s v="None"/>
    <s v="As long as the Sidereal opposes the crisis"/>
    <m/>
    <s v="Sid 303"/>
    <x v="0"/>
    <x v="4"/>
    <n v="2"/>
    <n v="0"/>
    <s v="Crisis-Weathering Insurance"/>
    <m/>
  </r>
  <r>
    <x v="0"/>
    <s v="Celestial Intervention Appeal"/>
    <x v="3"/>
    <x v="6"/>
    <m/>
    <x v="0"/>
    <x v="0"/>
    <s v="♄Телега с сеном"/>
    <s v="20m, 2wp"/>
    <s v="Simple"/>
    <s v="None"/>
    <s v="Instant"/>
    <m/>
    <s v="Sid 302"/>
    <x v="0"/>
    <x v="1"/>
    <n v="2"/>
    <n v="0"/>
    <s v="Terminal Sanction"/>
    <m/>
  </r>
  <r>
    <x v="0"/>
    <s v="Chains of Adorjan"/>
    <x v="3"/>
    <x v="6"/>
    <m/>
    <x v="0"/>
    <x v="0"/>
    <s v="♄Восходящий Дым"/>
    <s v="5m, 4i, 1wp, 1ahl"/>
    <s v="Simple"/>
    <s v="Aggravated, Perilous"/>
    <s v="One scene"/>
    <m/>
    <s v="Sid 293"/>
    <x v="7"/>
    <x v="4"/>
    <n v="2"/>
    <n v="0"/>
    <s v="Cage-Shattering Grasp, Step-Silencing Exercise"/>
    <m/>
  </r>
  <r>
    <x v="0"/>
    <s v="Conclusive Wisdom"/>
    <x v="3"/>
    <x v="6"/>
    <m/>
    <x v="0"/>
    <x v="0"/>
    <s v="♄Ворон"/>
    <s v="15m, 1wp"/>
    <s v="Simple"/>
    <s v="Divination, Psyche"/>
    <s v="Instant"/>
    <m/>
    <s v="Sid 299"/>
    <x v="1"/>
    <x v="4"/>
    <n v="5"/>
    <n v="0"/>
    <s v="Any ten Awareness Charms"/>
    <m/>
  </r>
  <r>
    <x v="0"/>
    <s v="Corruption Elimination Agenda"/>
    <x v="3"/>
    <x v="6"/>
    <m/>
    <x v="0"/>
    <x v="0"/>
    <s v="♄Телега с сеном"/>
    <s v="1m, 1wp"/>
    <s v="Simple"/>
    <s v="None"/>
    <s v="Indefinite"/>
    <m/>
    <s v="Sid 301"/>
    <x v="0"/>
    <x v="4"/>
    <n v="1"/>
    <n v="0"/>
    <s v="Icy Hand"/>
    <m/>
  </r>
  <r>
    <x v="0"/>
    <s v="Creation-Preserving Will"/>
    <x v="3"/>
    <x v="6"/>
    <m/>
    <x v="0"/>
    <x v="0"/>
    <s v="♄Меч"/>
    <s v="5m"/>
    <s v="Reflexive"/>
    <s v="Mute"/>
    <s v="Instant"/>
    <m/>
    <s v="Sid 307"/>
    <x v="5"/>
    <x v="1"/>
    <n v="2"/>
    <n v="0"/>
    <s v="Minimum Legal Defense Competence"/>
    <m/>
  </r>
  <r>
    <x v="0"/>
    <s v="Crisis-Weathering Insurance"/>
    <x v="3"/>
    <x v="6"/>
    <m/>
    <x v="0"/>
    <x v="0"/>
    <s v="♄Телега с сеном"/>
    <s v="- (+4m)"/>
    <s v="Permanent"/>
    <s v="None"/>
    <s v="Permanent"/>
    <m/>
    <s v="Sid 303"/>
    <x v="0"/>
    <x v="4"/>
    <n v="2"/>
    <n v="0"/>
    <s v="Corruption Elimination Agenda"/>
    <m/>
  </r>
  <r>
    <x v="0"/>
    <s v="Dead Man’s Stand"/>
    <x v="3"/>
    <x v="6"/>
    <m/>
    <x v="0"/>
    <x v="0"/>
    <s v="♄Труп"/>
    <s v="5m, 5i, 1wp"/>
    <s v="Reflexive"/>
    <s v="Decisive-only, Mute, Perilous"/>
    <s v="One scene"/>
    <m/>
    <s v="Sid 314"/>
    <x v="13"/>
    <x v="4"/>
    <n v="4"/>
    <n v="0"/>
    <s v="Dignity of the Dead, Embracing the Mortal Coil"/>
    <m/>
  </r>
  <r>
    <x v="0"/>
    <s v="Death-of-Self Meditation"/>
    <x v="3"/>
    <x v="6"/>
    <m/>
    <x v="0"/>
    <x v="0"/>
    <s v="♄Меч"/>
    <s v="10m, 1wp"/>
    <s v="Reflexive"/>
    <s v="Mute, Psyche"/>
    <s v="Instant"/>
    <m/>
    <s v="Sid 309"/>
    <x v="5"/>
    <x v="4"/>
    <n v="4"/>
    <n v="0"/>
    <s v="Loyalty-Sacrificing Sidestep"/>
    <m/>
  </r>
  <r>
    <x v="0"/>
    <s v="Denature Venom"/>
    <x v="3"/>
    <x v="6"/>
    <m/>
    <x v="0"/>
    <x v="0"/>
    <s v="♄Труп"/>
    <s v="4m, 1wp"/>
    <s v="Simple"/>
    <s v="None"/>
    <s v="Instant"/>
    <m/>
    <s v="Sid 312"/>
    <x v="13"/>
    <x v="0"/>
    <n v="1"/>
    <n v="0"/>
    <s v="None"/>
    <m/>
  </r>
  <r>
    <x v="0"/>
    <s v="Dignity of the Dead"/>
    <x v="3"/>
    <x v="6"/>
    <m/>
    <x v="0"/>
    <x v="0"/>
    <s v="♄Труп"/>
    <s v="1m per point of penalty"/>
    <s v="Reflexive"/>
    <s v="Mute"/>
    <s v="Instant"/>
    <m/>
    <s v="Sid 312"/>
    <x v="13"/>
    <x v="3"/>
    <n v="1"/>
    <n v="0"/>
    <s v="None"/>
    <m/>
  </r>
  <r>
    <x v="0"/>
    <s v="Distance-Severing Stride"/>
    <x v="3"/>
    <x v="6"/>
    <m/>
    <x v="0"/>
    <x v="0"/>
    <s v="♄Восходящий Дым"/>
    <s v="- (+2m)"/>
    <s v="Permanent"/>
    <s v="None"/>
    <s v="Permanent"/>
    <m/>
    <s v="Sid 291"/>
    <x v="7"/>
    <x v="1"/>
    <n v="2"/>
    <n v="0"/>
    <s v="Inexorable Advance"/>
    <m/>
  </r>
  <r>
    <x v="0"/>
    <s v="Dream-Sacrificing Maneuver"/>
    <x v="3"/>
    <x v="6"/>
    <m/>
    <x v="0"/>
    <x v="0"/>
    <s v="♄Меч"/>
    <s v="5m"/>
    <s v="Reflexive"/>
    <s v="None"/>
    <s v="Instant"/>
    <m/>
    <s v="Sid 306"/>
    <x v="5"/>
    <x v="1"/>
    <n v="1"/>
    <n v="0"/>
    <s v="Until Hope’s End"/>
    <m/>
  </r>
  <r>
    <x v="0"/>
    <s v="Dutiful Dead Conscription"/>
    <x v="3"/>
    <x v="6"/>
    <m/>
    <x v="0"/>
    <x v="0"/>
    <s v="♄Труп"/>
    <s v="3m, 1wp"/>
    <s v="Simple"/>
    <s v="None"/>
    <s v="Indefinite"/>
    <m/>
    <s v="Sid 313"/>
    <x v="13"/>
    <x v="4"/>
    <n v="2"/>
    <n v="0"/>
    <s v="Peaceable Conclusion"/>
    <m/>
  </r>
  <r>
    <x v="0"/>
    <s v="Earth-and-Sky Bargain"/>
    <x v="3"/>
    <x v="6"/>
    <m/>
    <x v="0"/>
    <x v="0"/>
    <s v="♄Труп"/>
    <s v="15m, 1wp (3m per Charm)"/>
    <s v="Simple"/>
    <s v="None"/>
    <s v="One story"/>
    <m/>
    <s v="Sid 315"/>
    <x v="13"/>
    <x v="4"/>
    <n v="5"/>
    <n v="0"/>
    <s v="Any ten Medicine Charms"/>
    <m/>
  </r>
  <r>
    <x v="0"/>
    <s v="Employment Termination Venom"/>
    <x v="3"/>
    <x v="6"/>
    <m/>
    <x v="0"/>
    <x v="0"/>
    <s v="♄Телега с сеном"/>
    <s v="- (+3m)"/>
    <s v="Permanent"/>
    <s v="Aggravated"/>
    <s v="Permanent"/>
    <m/>
    <s v="Sid 302"/>
    <x v="0"/>
    <x v="0"/>
    <n v="2"/>
    <n v="0"/>
    <s v="Icy Hand"/>
    <m/>
  </r>
  <r>
    <x v="0"/>
    <s v="End Debate"/>
    <x v="3"/>
    <x v="6"/>
    <m/>
    <x v="0"/>
    <x v="0"/>
    <s v="♄Телега с сеном"/>
    <s v="15m, 1wp"/>
    <s v="Simple"/>
    <s v="Mute, Psyche"/>
    <s v="Instant"/>
    <m/>
    <s v="Sid 305"/>
    <x v="0"/>
    <x v="4"/>
    <n v="5"/>
    <n v="0"/>
    <s v="Any ten Bureaucracy Charms"/>
    <m/>
  </r>
  <r>
    <x v="0"/>
    <s v="Fallow Field Invites Flame"/>
    <x v="3"/>
    <x v="6"/>
    <m/>
    <x v="0"/>
    <x v="0"/>
    <s v="♄Телега с сеном"/>
    <s v="10m, 1wp"/>
    <s v="Simple"/>
    <s v="None"/>
    <s v="Indefinite"/>
    <m/>
    <s v="Sid 304"/>
    <x v="0"/>
    <x v="4"/>
    <n v="4"/>
    <n v="0"/>
    <s v="Corruption Elimination Agenda, Employment Termination Venom"/>
    <m/>
  </r>
  <r>
    <x v="0"/>
    <s v="Foretold Epitaph Epiphany"/>
    <x v="3"/>
    <x v="6"/>
    <m/>
    <x v="0"/>
    <x v="0"/>
    <s v="♄Труп"/>
    <s v="-"/>
    <s v="Permanent"/>
    <s v="None"/>
    <s v="Permanent"/>
    <m/>
    <s v="Sid 314"/>
    <x v="13"/>
    <x v="4"/>
    <n v="3"/>
    <n v="0"/>
    <s v="Invocation of the Storm-Following Silence"/>
    <m/>
  </r>
  <r>
    <x v="0"/>
    <s v="Gift of Forsaken Hope"/>
    <x v="3"/>
    <x v="6"/>
    <m/>
    <x v="0"/>
    <x v="0"/>
    <s v="♄Меч"/>
    <s v="10m, 1wp"/>
    <s v="Simple"/>
    <s v="Psyche"/>
    <s v="Indefinite"/>
    <m/>
    <s v="Sid 307"/>
    <x v="5"/>
    <x v="4"/>
    <n v="3"/>
    <n v="0"/>
    <s v="Dream-Sacrificing Maneuver, Until Hope’s End"/>
    <m/>
  </r>
  <r>
    <x v="0"/>
    <s v="Harvest Ripe Wheat, Father Falling Hay"/>
    <x v="3"/>
    <x v="6"/>
    <m/>
    <x v="0"/>
    <x v="0"/>
    <s v="♄Телега с сеном"/>
    <s v="4m"/>
    <s v="Reflexive"/>
    <s v="None"/>
    <s v="Instant"/>
    <m/>
    <s v="Sid 300"/>
    <x v="0"/>
    <x v="0"/>
    <n v="1"/>
    <n v="0"/>
    <s v="Icy Hand"/>
    <m/>
  </r>
  <r>
    <x v="0"/>
    <s v="Hope-Ending Bluntness"/>
    <x v="3"/>
    <x v="6"/>
    <m/>
    <x v="0"/>
    <x v="0"/>
    <s v="♄Меч"/>
    <s v="3m, 1wp"/>
    <s v="Simple"/>
    <s v="None"/>
    <s v="Instant"/>
    <m/>
    <s v="Sid 306"/>
    <x v="5"/>
    <x v="1"/>
    <n v="1"/>
    <n v="0"/>
    <s v="Dream-Sacrificing Maneuver"/>
    <m/>
  </r>
  <r>
    <x v="0"/>
    <s v="Hungry Touch"/>
    <x v="3"/>
    <x v="6"/>
    <m/>
    <x v="0"/>
    <x v="0"/>
    <s v="♄Восходящий Дым"/>
    <s v="3m"/>
    <s v="Simple"/>
    <s v="Mute"/>
    <s v="Instant"/>
    <m/>
    <s v="Sid 291"/>
    <x v="7"/>
    <x v="3"/>
    <n v="1"/>
    <n v="0"/>
    <s v="None"/>
    <m/>
  </r>
  <r>
    <x v="0"/>
    <s v="Illusion-Piercing Vigilance"/>
    <x v="3"/>
    <x v="6"/>
    <m/>
    <x v="0"/>
    <x v="0"/>
    <s v="♄Ворон"/>
    <s v="3m"/>
    <s v="Reflexive"/>
    <s v="None"/>
    <s v="Instant"/>
    <m/>
    <s v="Sid 298"/>
    <x v="1"/>
    <x v="4"/>
    <n v="2"/>
    <n v="0"/>
    <s v="Prior Warning"/>
    <m/>
  </r>
  <r>
    <x v="0"/>
    <s v="Inexorable Advance"/>
    <x v="3"/>
    <x v="6"/>
    <m/>
    <x v="0"/>
    <x v="0"/>
    <s v="♄Восходящий Дым"/>
    <s v="3m"/>
    <s v="Supplemental"/>
    <s v="Mute"/>
    <s v="Instant"/>
    <m/>
    <s v="Sid 291"/>
    <x v="7"/>
    <x v="0"/>
    <n v="1"/>
    <n v="0"/>
    <s v="None"/>
    <m/>
  </r>
  <r>
    <x v="0"/>
    <s v="Inner Flame Purification"/>
    <x v="3"/>
    <x v="6"/>
    <m/>
    <x v="0"/>
    <x v="0"/>
    <s v="♄Восходящий Дым"/>
    <s v="-"/>
    <s v="Permanent"/>
    <s v="None"/>
    <s v="Permanent"/>
    <m/>
    <s v="Sid 293"/>
    <x v="7"/>
    <x v="4"/>
    <n v="2"/>
    <n v="0"/>
    <s v="Burn Life"/>
    <m/>
  </r>
  <r>
    <x v="0"/>
    <s v="Invisible Motion"/>
    <x v="3"/>
    <x v="6"/>
    <m/>
    <x v="0"/>
    <x v="0"/>
    <s v="♄Восходящий Дым"/>
    <s v="15m, 1wp, 1ahl"/>
    <s v="Simple"/>
    <s v="None"/>
    <s v="One day"/>
    <m/>
    <s v="Sid 294"/>
    <x v="7"/>
    <x v="4"/>
    <n v="5"/>
    <n v="0"/>
    <s v="Any ten Athletics Charms"/>
    <m/>
  </r>
  <r>
    <x v="0"/>
    <s v="Invocation of the Storm-Following Silence"/>
    <x v="3"/>
    <x v="6"/>
    <m/>
    <x v="0"/>
    <x v="0"/>
    <s v="♄Труп"/>
    <s v="5m, 1wp"/>
    <s v="Simple"/>
    <s v="Aggravated, Decisive-only"/>
    <s v="Instant"/>
    <m/>
    <s v="Sid 314"/>
    <x v="13"/>
    <x v="4"/>
    <n v="2"/>
    <n v="0"/>
    <s v="Peaceable Conclusion"/>
    <m/>
  </r>
  <r>
    <x v="0"/>
    <s v="Last Hope Salvation"/>
    <x v="3"/>
    <x v="6"/>
    <m/>
    <x v="0"/>
    <x v="0"/>
    <s v="♄Меч"/>
    <s v="10m, 1wp, 1ahl"/>
    <s v="Simple"/>
    <s v="None"/>
    <s v="Instant"/>
    <m/>
    <s v="Sid 309"/>
    <x v="5"/>
    <x v="4"/>
    <n v="5"/>
    <n v="0"/>
    <s v="Any ten Integrity Charms"/>
    <m/>
  </r>
  <r>
    <x v="0"/>
    <s v="Loyalty-Sacrificing Sidestep"/>
    <x v="3"/>
    <x v="6"/>
    <m/>
    <x v="0"/>
    <x v="0"/>
    <s v="♄Меч"/>
    <s v="10m, 1wp"/>
    <s v="Reflexive"/>
    <s v="Mute"/>
    <s v="Instant"/>
    <m/>
    <s v="Sid 308"/>
    <x v="5"/>
    <x v="4"/>
    <n v="3"/>
    <n v="0"/>
    <s v="Dream-Sacrificing Maneuver, Oath of the Sword"/>
    <m/>
  </r>
  <r>
    <x v="0"/>
    <s v="Marked for the Gallows"/>
    <x v="3"/>
    <x v="6"/>
    <m/>
    <x v="0"/>
    <x v="0"/>
    <s v="♄Ворон"/>
    <s v="10m, 1wp"/>
    <s v="Simple"/>
    <s v="Divination, Dual"/>
    <s v="One story"/>
    <m/>
    <s v="Sid 299"/>
    <x v="1"/>
    <x v="4"/>
    <n v="4"/>
    <n v="0"/>
    <s v="Expected Pain, Supernal Awareness, Wise Choice"/>
    <m/>
  </r>
  <r>
    <x v="0"/>
    <s v="Necessary Betrayal Attitude"/>
    <x v="3"/>
    <x v="6"/>
    <m/>
    <x v="0"/>
    <x v="0"/>
    <s v="♄Меч"/>
    <s v="- (2m)"/>
    <s v="Permanent"/>
    <s v="None"/>
    <s v="Permanent"/>
    <m/>
    <s v="Sid 306"/>
    <x v="5"/>
    <x v="3"/>
    <n v="1"/>
    <n v="0"/>
    <s v="None"/>
    <m/>
  </r>
  <r>
    <x v="0"/>
    <s v="Oath of the Sword"/>
    <x v="3"/>
    <x v="6"/>
    <m/>
    <x v="0"/>
    <x v="0"/>
    <s v="♄Меч"/>
    <s v="1lhl+"/>
    <s v="Reflexive"/>
    <s v="None"/>
    <s v="Instant"/>
    <m/>
    <s v="Sid 307"/>
    <x v="5"/>
    <x v="1"/>
    <n v="2"/>
    <n v="0"/>
    <s v="Minimum Legal Defense Competence"/>
    <m/>
  </r>
  <r>
    <x v="0"/>
    <s v="Obituary Composition Technique"/>
    <x v="3"/>
    <x v="6"/>
    <m/>
    <x v="0"/>
    <x v="0"/>
    <s v="♄Труп"/>
    <s v="4m"/>
    <s v="Reflexive"/>
    <s v="None"/>
    <s v="Instant"/>
    <m/>
    <s v="Sid 311"/>
    <x v="13"/>
    <x v="0"/>
    <n v="1"/>
    <n v="0"/>
    <s v="Smooth Transition"/>
    <m/>
  </r>
  <r>
    <x v="0"/>
    <s v="Old Fellows Society Luncheon"/>
    <x v="3"/>
    <x v="6"/>
    <m/>
    <x v="0"/>
    <x v="0"/>
    <s v="♄Телега с сеном"/>
    <s v="4m, 1wp"/>
    <s v="Simple"/>
    <s v="Mute"/>
    <s v="Indefinite"/>
    <m/>
    <s v="Sid 302"/>
    <x v="0"/>
    <x v="1"/>
    <n v="1"/>
    <n v="0"/>
    <s v="Underling Invisibility Practice"/>
    <m/>
  </r>
  <r>
    <x v="0"/>
    <s v="Paralyzed Committee Infliction"/>
    <x v="3"/>
    <x v="6"/>
    <m/>
    <x v="0"/>
    <x v="0"/>
    <s v="♄Телега с сеном"/>
    <s v="5m, 1wp"/>
    <s v="Simple"/>
    <s v="Mute"/>
    <s v="One task"/>
    <m/>
    <s v="Sid 304"/>
    <x v="0"/>
    <x v="4"/>
    <n v="2"/>
    <n v="0"/>
    <s v="Icy Hand"/>
    <m/>
  </r>
  <r>
    <x v="0"/>
    <s v="Pull Down the Sky"/>
    <x v="3"/>
    <x v="6"/>
    <m/>
    <x v="0"/>
    <x v="0"/>
    <s v="♄Восходящий Дым"/>
    <s v="10m, 1wp, 1ahl"/>
    <s v="Simple"/>
    <s v="None"/>
    <s v="Instant"/>
    <m/>
    <s v="Sid 293"/>
    <x v="7"/>
    <x v="4"/>
    <n v="4"/>
    <n v="0"/>
    <s v="Chains of Adorjan"/>
    <m/>
  </r>
  <r>
    <x v="0"/>
    <s v="Record-Obtaining Inquiry"/>
    <x v="3"/>
    <x v="6"/>
    <m/>
    <x v="0"/>
    <x v="0"/>
    <s v="♄Телега с сеном"/>
    <s v="5m, 1wp"/>
    <s v="Simple"/>
    <s v="None"/>
    <s v="One task"/>
    <m/>
    <s v="Sid 301"/>
    <x v="0"/>
    <x v="4"/>
    <n v="1"/>
    <n v="0"/>
    <s v="Icy Hand"/>
    <m/>
  </r>
  <r>
    <x v="0"/>
    <s v="Refused Burden"/>
    <x v="3"/>
    <x v="6"/>
    <m/>
    <x v="0"/>
    <x v="0"/>
    <s v="♄Восходящий Дым"/>
    <s v="5m"/>
    <s v="Simple"/>
    <s v="Mute, Stackable"/>
    <s v="Indefinite"/>
    <m/>
    <s v="Sid 291"/>
    <x v="7"/>
    <x v="0"/>
    <n v="1"/>
    <n v="0"/>
    <s v="Hungry Touch"/>
    <m/>
  </r>
  <r>
    <x v="0"/>
    <s v="Shadow of the Reaper"/>
    <x v="3"/>
    <x v="6"/>
    <m/>
    <x v="0"/>
    <x v="0"/>
    <s v="♄Труп"/>
    <s v="5m, 1wp"/>
    <s v="Simple"/>
    <s v="Psyche"/>
    <s v="Instant"/>
    <m/>
    <s v="Sid 314"/>
    <x v="13"/>
    <x v="4"/>
    <n v="3"/>
    <n v="0"/>
    <s v="Embracing the Mortal Coil, Peaceable Conclusion"/>
    <m/>
  </r>
  <r>
    <x v="0"/>
    <s v="Shattered Stepping-Stone Advance"/>
    <x v="3"/>
    <x v="6"/>
    <m/>
    <x v="0"/>
    <x v="0"/>
    <s v="♄Восходящий Дым"/>
    <s v="5m, 1wp"/>
    <s v="Simple"/>
    <s v="None"/>
    <s v="Instant"/>
    <m/>
    <s v="Sid 293"/>
    <x v="7"/>
    <x v="4"/>
    <n v="3"/>
    <n v="0"/>
    <s v="Forgotten Earth, Hungry Touch, Inexorable Advance"/>
    <m/>
  </r>
  <r>
    <x v="0"/>
    <s v="Slick Essence Replenishment"/>
    <x v="3"/>
    <x v="6"/>
    <m/>
    <x v="0"/>
    <x v="0"/>
    <s v="♄Телега с сеном"/>
    <s v="-"/>
    <s v="Permanent"/>
    <s v="None"/>
    <s v="Permanent"/>
    <m/>
    <s v="Sid 301"/>
    <x v="0"/>
    <x v="0"/>
    <n v="1"/>
    <n v="0"/>
    <s v="None"/>
    <m/>
  </r>
  <r>
    <x v="0"/>
    <s v="Solemn Psychopomp Duty"/>
    <x v="3"/>
    <x v="6"/>
    <m/>
    <x v="0"/>
    <x v="0"/>
    <s v="♄Труп"/>
    <s v="-"/>
    <s v="Permanent"/>
    <s v="None"/>
    <s v="Permanent"/>
    <m/>
    <s v="Sid 311"/>
    <x v="13"/>
    <x v="0"/>
    <n v="1"/>
    <n v="0"/>
    <s v="Obituary Composition Technique"/>
    <m/>
  </r>
  <r>
    <x v="0"/>
    <s v="Soul-Reviving Eulogy"/>
    <x v="3"/>
    <x v="6"/>
    <m/>
    <x v="0"/>
    <x v="0"/>
    <s v="♄Труп"/>
    <s v="4m"/>
    <s v="Simple"/>
    <s v="Psyche"/>
    <s v="Instant"/>
    <m/>
    <s v="Sid 312"/>
    <x v="13"/>
    <x v="0"/>
    <n v="1"/>
    <n v="0"/>
    <s v="Smooth Transition"/>
    <m/>
  </r>
  <r>
    <x v="0"/>
    <s v="Underling Invisibility Practice"/>
    <x v="3"/>
    <x v="6"/>
    <m/>
    <x v="0"/>
    <x v="0"/>
    <s v="♄Телега с сеном"/>
    <s v="3m"/>
    <s v="Reflexive"/>
    <s v="Mute, Psyche"/>
    <s v="One scene"/>
    <m/>
    <s v="Sid 301"/>
    <x v="0"/>
    <x v="0"/>
    <n v="1"/>
    <n v="0"/>
    <s v="None"/>
    <m/>
  </r>
  <r>
    <x v="0"/>
    <s v="Unexpected Delay"/>
    <x v="3"/>
    <x v="6"/>
    <m/>
    <x v="0"/>
    <x v="0"/>
    <s v="♄Восходящий Дым"/>
    <s v="5m, 1wp"/>
    <s v="Simple"/>
    <s v="Decisive-only"/>
    <s v="Instant"/>
    <m/>
    <s v="Sid 293"/>
    <x v="7"/>
    <x v="4"/>
    <n v="2"/>
    <n v="0"/>
    <s v="Hungry Touch"/>
    <m/>
  </r>
  <r>
    <x v="0"/>
    <s v="Crossing Plutonian Shores"/>
    <x v="3"/>
    <x v="6"/>
    <m/>
    <x v="1"/>
    <x v="0"/>
    <s v="♄"/>
    <s v="5m (+1m)"/>
    <s v="Simple"/>
    <s v="None"/>
    <s v="One day"/>
    <m/>
    <s v="Sid 289"/>
    <x v="8"/>
    <x v="1"/>
    <n v="1"/>
    <n v="0"/>
    <s v="Any five Endings Charms"/>
    <m/>
  </r>
  <r>
    <x v="0"/>
    <s v="Descending Endings Horoscope"/>
    <x v="3"/>
    <x v="6"/>
    <m/>
    <x v="1"/>
    <x v="0"/>
    <s v="♄"/>
    <s v="1m or 3m, 1wp"/>
    <s v="Simple"/>
    <s v="Mute, Shaping (Fate), Stackable, Uniform"/>
    <s v="One story"/>
    <m/>
    <s v="Sid 288"/>
    <x v="8"/>
    <x v="0"/>
    <n v="1"/>
    <n v="0"/>
    <s v="Any three Endings Charms"/>
    <m/>
  </r>
  <r>
    <x v="0"/>
    <s v="Fivefold Omen of Doom"/>
    <x v="3"/>
    <x v="6"/>
    <m/>
    <x v="1"/>
    <x v="0"/>
    <s v="♄"/>
    <s v="-"/>
    <s v="Reflexive"/>
    <s v="Decisive-only, Shaping (Fate)"/>
    <s v="Instant"/>
    <m/>
    <s v="Sid 289"/>
    <x v="8"/>
    <x v="4"/>
    <n v="3"/>
    <n v="0"/>
    <s v="Tears of the Blade"/>
    <m/>
  </r>
  <r>
    <x v="0"/>
    <s v="Morbid Premonition"/>
    <x v="3"/>
    <x v="6"/>
    <m/>
    <x v="1"/>
    <x v="0"/>
    <s v="♄"/>
    <s v="4m"/>
    <s v="Reflexive"/>
    <s v="None"/>
    <s v="Instant"/>
    <m/>
    <s v="Sid 289"/>
    <x v="8"/>
    <x v="0"/>
    <n v="1"/>
    <n v="0"/>
    <s v="Any three Endings Charms"/>
    <m/>
  </r>
  <r>
    <x v="0"/>
    <s v="Shroud of Death’s Allure"/>
    <x v="3"/>
    <x v="6"/>
    <m/>
    <x v="1"/>
    <x v="0"/>
    <s v="♄"/>
    <s v="7m, 1wp"/>
    <s v="Simple"/>
    <s v="Psyche"/>
    <s v="Indefinite"/>
    <m/>
    <s v="Sid 290"/>
    <x v="8"/>
    <x v="4"/>
    <n v="4"/>
    <n v="0"/>
    <s v="Crossing Plutonian Shores, Tears of the Blade"/>
    <m/>
  </r>
  <r>
    <x v="0"/>
    <s v="Tears of the Blade"/>
    <x v="3"/>
    <x v="6"/>
    <m/>
    <x v="1"/>
    <x v="0"/>
    <s v="♄"/>
    <s v="- (+5m)"/>
    <s v="Permanent"/>
    <s v="None"/>
    <s v="Permanent"/>
    <m/>
    <s v="Sid 289"/>
    <x v="8"/>
    <x v="4"/>
    <n v="3"/>
    <n v="0"/>
    <s v="Descending Endings Horoscope"/>
    <m/>
  </r>
  <r>
    <x v="0"/>
    <s v="Bending the Mirror"/>
    <x v="3"/>
    <x v="6"/>
    <m/>
    <x v="5"/>
    <x v="4"/>
    <s v="Ключ♃"/>
    <s v="3m"/>
    <s v="Reflexive"/>
    <s v="None"/>
    <s v="One scene"/>
    <m/>
    <s v="Sid 262"/>
    <x v="22"/>
    <x v="1"/>
    <n v="2"/>
    <n v="0"/>
    <s v="Marvelous Inclusion of Details"/>
    <m/>
  </r>
  <r>
    <x v="0"/>
    <s v="Blinding the Boar"/>
    <x v="3"/>
    <x v="6"/>
    <m/>
    <x v="5"/>
    <x v="4"/>
    <s v="Маска♃"/>
    <s v="7m"/>
    <s v="Simple"/>
    <s v="Mute"/>
    <s v="One scene"/>
    <m/>
    <s v="Sid 282"/>
    <x v="21"/>
    <x v="0"/>
    <n v="1"/>
    <n v="0"/>
    <s v="None"/>
    <m/>
  </r>
  <r>
    <x v="0"/>
    <s v="Bound in Ivy Fetters"/>
    <x v="3"/>
    <x v="6"/>
    <m/>
    <x v="5"/>
    <x v="4"/>
    <s v="Чародей♃"/>
    <s v="- (5m, 1wp)"/>
    <s v="Permanent"/>
    <s v="None"/>
    <s v="Permanent"/>
    <m/>
    <s v="Sid 279"/>
    <x v="20"/>
    <x v="4"/>
    <n v="4"/>
    <n v="0"/>
    <s v="Innocuous Maneuver, Invincible Essence Mantle, Official Notice of Alienation (×2)"/>
    <m/>
  </r>
  <r>
    <x v="0"/>
    <s v="Broken Silence Happenstance"/>
    <x v="3"/>
    <x v="6"/>
    <m/>
    <x v="5"/>
    <x v="4"/>
    <s v="Ключ♃"/>
    <s v="5m, 1wp"/>
    <s v="Reflexive"/>
    <s v="Mute"/>
    <s v="Instant"/>
    <m/>
    <s v="Sid 261"/>
    <x v="22"/>
    <x v="4"/>
    <n v="1"/>
    <n v="0"/>
    <s v="Marvelous Inclusion of Details"/>
    <m/>
  </r>
  <r>
    <x v="0"/>
    <s v="Ceaseless Pursuit of Truth"/>
    <x v="3"/>
    <x v="6"/>
    <m/>
    <x v="5"/>
    <x v="4"/>
    <s v="Ключ♃"/>
    <s v="5m, 1wp"/>
    <s v="Reflexive"/>
    <s v="Mute"/>
    <s v="One investigation"/>
    <m/>
    <s v="Sid 263"/>
    <x v="22"/>
    <x v="4"/>
    <n v="4"/>
    <n v="0"/>
    <s v="Broken Silence Happenstance, Lucid Enigma Labyrinth, Wilting Petal Witness"/>
    <m/>
  </r>
  <r>
    <x v="0"/>
    <s v="Ceasing-to-Exist Approach"/>
    <x v="3"/>
    <x v="6"/>
    <m/>
    <x v="5"/>
    <x v="4"/>
    <s v="Маска♃"/>
    <s v="10m, 1wp"/>
    <s v="Simple"/>
    <s v="Shaping (Fate)"/>
    <s v="Indefinite"/>
    <m/>
    <s v="Sid 286"/>
    <x v="21"/>
    <x v="4"/>
    <n v="5"/>
    <n v="0"/>
    <s v="Any ten Stealth Charms"/>
    <m/>
  </r>
  <r>
    <x v="0"/>
    <s v="Cloaked in Enigma"/>
    <x v="3"/>
    <x v="6"/>
    <m/>
    <x v="5"/>
    <x v="4"/>
    <s v="Чародей♃"/>
    <s v="1m"/>
    <s v="Reflexive"/>
    <s v="None"/>
    <s v="One scene"/>
    <m/>
    <s v="Sid 281"/>
    <x v="20"/>
    <x v="0"/>
    <n v="1"/>
    <n v="0"/>
    <s v="Terrestrial Circle Sorcery"/>
    <m/>
  </r>
  <r>
    <x v="0"/>
    <s v="Conning Chaos Technique"/>
    <x v="3"/>
    <x v="6"/>
    <m/>
    <x v="5"/>
    <x v="4"/>
    <s v="Стражи♃"/>
    <s v="5m, 1wp"/>
    <s v="Simple"/>
    <s v="Shaping (Fate)"/>
    <s v="Indefinite"/>
    <m/>
    <s v="Sid 270"/>
    <x v="23"/>
    <x v="4"/>
    <n v="5"/>
    <n v="0"/>
    <s v="Any ten Larceny Charms"/>
    <m/>
  </r>
  <r>
    <x v="0"/>
    <s v="Contraband Miracle Confiscation"/>
    <x v="3"/>
    <x v="6"/>
    <m/>
    <x v="5"/>
    <x v="4"/>
    <s v="Стражи♃"/>
    <s v="10m, 1wp"/>
    <s v="Simple"/>
    <s v="Decisive-only, Mute"/>
    <s v="Instant"/>
    <m/>
    <s v="Sid 269"/>
    <x v="23"/>
    <x v="4"/>
    <n v="4"/>
    <n v="0"/>
    <s v="Sidereal Shell Games, Thought-Swiping Distraction"/>
    <m/>
  </r>
  <r>
    <x v="0"/>
    <s v="Cracked Mask Sacrifice"/>
    <x v="3"/>
    <x v="6"/>
    <m/>
    <x v="5"/>
    <x v="4"/>
    <s v="Маска♃"/>
    <s v="-"/>
    <s v="Reflexive"/>
    <s v="Decisive-only"/>
    <s v="Instant"/>
    <m/>
    <s v="Sid 284"/>
    <x v="21"/>
    <x v="4"/>
    <n v="3"/>
    <n v="0"/>
    <s v="Self-Annihilating Discretion, Walking Outside Fate"/>
    <m/>
  </r>
  <r>
    <x v="0"/>
    <s v="Creation-Smuggling Procedures"/>
    <x v="3"/>
    <x v="6"/>
    <m/>
    <x v="5"/>
    <x v="4"/>
    <s v="Стражи♃"/>
    <s v="10m, 1wp"/>
    <s v="Simple"/>
    <s v="None"/>
    <s v="One hour"/>
    <m/>
    <s v="Sid 265"/>
    <x v="23"/>
    <x v="0"/>
    <n v="1"/>
    <n v="0"/>
    <s v="None"/>
    <m/>
  </r>
  <r>
    <x v="0"/>
    <s v="Dismissive Scholar’s Sniff"/>
    <x v="3"/>
    <x v="6"/>
    <m/>
    <x v="5"/>
    <x v="4"/>
    <s v="Сокровищница♃"/>
    <s v="10m, 1wp"/>
    <s v="Reflexive"/>
    <s v="Mute"/>
    <s v="Instant"/>
    <m/>
    <s v="Sid 274"/>
    <x v="19"/>
    <x v="4"/>
    <n v="3"/>
    <n v="0"/>
    <s v="Well-Schooled Pedant Defense"/>
    <m/>
  </r>
  <r>
    <x v="0"/>
    <s v="Embracing Life Method"/>
    <x v="3"/>
    <x v="6"/>
    <m/>
    <x v="5"/>
    <x v="4"/>
    <s v="Ключ♃"/>
    <s v="10m, 1wp"/>
    <s v="Simple"/>
    <s v="Mute"/>
    <s v="Instant"/>
    <m/>
    <s v="Sid 264"/>
    <x v="22"/>
    <x v="4"/>
    <n v="5"/>
    <n v="0"/>
    <s v="Any ten Investigation Charms"/>
    <m/>
  </r>
  <r>
    <x v="0"/>
    <s v="Everywhere-and-Nowhere Technique"/>
    <x v="3"/>
    <x v="6"/>
    <m/>
    <x v="5"/>
    <x v="4"/>
    <s v="Маска♃"/>
    <s v="5m, 1wp"/>
    <s v="Simple"/>
    <s v="Mute"/>
    <s v="Until the Sidereal leaves concealment"/>
    <m/>
    <s v="Sid 285"/>
    <x v="21"/>
    <x v="4"/>
    <n v="3"/>
    <n v="0"/>
    <s v="Walking Outside Fate"/>
    <m/>
  </r>
  <r>
    <x v="0"/>
    <s v="Expedited Approval of Justice"/>
    <x v="3"/>
    <x v="6"/>
    <m/>
    <x v="5"/>
    <x v="4"/>
    <s v="Стражи♃"/>
    <s v="10m, 1wp"/>
    <s v="Simple"/>
    <s v="Mute, Shaping (Mind)"/>
    <s v="Instant"/>
    <m/>
    <s v="Sid 268"/>
    <x v="23"/>
    <x v="1"/>
    <n v="2"/>
    <n v="0"/>
    <s v="Maiden-in-the-Pot Escape"/>
    <m/>
  </r>
  <r>
    <x v="0"/>
    <s v="Fate is All Things"/>
    <x v="3"/>
    <x v="6"/>
    <m/>
    <x v="5"/>
    <x v="4"/>
    <s v="Чародей♃"/>
    <s v="-"/>
    <s v="Permanent"/>
    <s v="None"/>
    <s v="Permanent"/>
    <m/>
    <s v="Sid 279"/>
    <x v="20"/>
    <x v="4"/>
    <n v="3"/>
    <n v="0"/>
    <s v="Incite Decorum, Tell-Tale Symphony"/>
    <m/>
  </r>
  <r>
    <x v="0"/>
    <s v="Foot Treads No Twig"/>
    <x v="3"/>
    <x v="6"/>
    <m/>
    <x v="5"/>
    <x v="4"/>
    <s v="Маска♃"/>
    <s v="5m, 1wp"/>
    <s v="Reflexive"/>
    <s v="Mute"/>
    <s v="Instant"/>
    <m/>
    <s v="Sid 282"/>
    <x v="21"/>
    <x v="4"/>
    <n v="1"/>
    <n v="0"/>
    <s v="Soft Presence Practice"/>
    <m/>
  </r>
  <r>
    <x v="0"/>
    <s v="Guilty Conscience Expiation"/>
    <x v="3"/>
    <x v="6"/>
    <m/>
    <x v="5"/>
    <x v="4"/>
    <s v="Ключ♃"/>
    <s v="5m"/>
    <s v="Reflexive"/>
    <s v="Mute"/>
    <s v="Instant"/>
    <m/>
    <s v="Sid 262"/>
    <x v="22"/>
    <x v="1"/>
    <n v="2"/>
    <n v="0"/>
    <s v="Broken Silence Happenstance"/>
    <m/>
  </r>
  <r>
    <x v="0"/>
    <s v="Hayseed Eye"/>
    <x v="3"/>
    <x v="6"/>
    <m/>
    <x v="5"/>
    <x v="4"/>
    <s v="Стражи♃"/>
    <s v="4m"/>
    <s v="Reflexive"/>
    <s v="None"/>
    <s v="Instant"/>
    <m/>
    <s v="Sid 265"/>
    <x v="23"/>
    <x v="0"/>
    <n v="1"/>
    <n v="0"/>
    <s v="Honorable Thief Spirit"/>
    <m/>
  </r>
  <r>
    <x v="0"/>
    <s v="Honorable Thief Spirit"/>
    <x v="3"/>
    <x v="6"/>
    <m/>
    <x v="5"/>
    <x v="4"/>
    <s v="Стражи♃"/>
    <s v="5m"/>
    <s v="Reflexive"/>
    <s v="None"/>
    <s v="One scene"/>
    <m/>
    <s v="Sid 264"/>
    <x v="23"/>
    <x v="2"/>
    <n v="1"/>
    <n v="0"/>
    <s v="None"/>
    <m/>
  </r>
  <r>
    <x v="0"/>
    <s v="Horoscope Revision Technique"/>
    <x v="3"/>
    <x v="6"/>
    <m/>
    <x v="5"/>
    <x v="4"/>
    <s v="Сокровищница♃"/>
    <s v="1wp"/>
    <s v="Simple"/>
    <s v="None"/>
    <s v="Indefinite"/>
    <m/>
    <s v="Sid 273"/>
    <x v="19"/>
    <x v="4"/>
    <n v="3"/>
    <n v="0"/>
    <s v="Avoiding-the-Truth Technique"/>
    <m/>
  </r>
  <r>
    <x v="0"/>
    <s v="Innocuous Maneuver"/>
    <x v="3"/>
    <x v="6"/>
    <m/>
    <x v="5"/>
    <x v="4"/>
    <s v="Чародей♃"/>
    <s v="5m, 1wp"/>
    <s v="Simple"/>
    <s v="Mute"/>
    <s v="Instant"/>
    <m/>
    <s v="Sid 279"/>
    <x v="20"/>
    <x v="4"/>
    <n v="3"/>
    <n v="0"/>
    <s v="Prince-of-the-Earth Attitude"/>
    <m/>
  </r>
  <r>
    <x v="0"/>
    <s v="Invincible Essence Mantle"/>
    <x v="3"/>
    <x v="6"/>
    <m/>
    <x v="5"/>
    <x v="4"/>
    <s v="Чародей♃"/>
    <s v="1wp or 3a"/>
    <s v="Reflexive"/>
    <s v="None"/>
    <s v="Instant"/>
    <m/>
    <s v="Sid 278"/>
    <x v="20"/>
    <x v="0"/>
    <n v="2"/>
    <n v="0"/>
    <s v="Mark of Exaltation"/>
    <m/>
  </r>
  <r>
    <x v="0"/>
    <s v="Ivory Circle Necromancy"/>
    <x v="3"/>
    <x v="6"/>
    <m/>
    <x v="5"/>
    <x v="4"/>
    <s v="Чародей♃"/>
    <s v="-"/>
    <s v="Permanent"/>
    <s v="None"/>
    <s v="Permanent"/>
    <m/>
    <s v="Sid 281"/>
    <x v="20"/>
    <x v="0"/>
    <n v="1"/>
    <n v="0"/>
    <s v="Any four Secrets Charms"/>
    <m/>
  </r>
  <r>
    <x v="0"/>
    <s v="Lamp-Covering Shroud"/>
    <x v="3"/>
    <x v="6"/>
    <m/>
    <x v="5"/>
    <x v="4"/>
    <s v="Маска♃"/>
    <s v="2m per level of anima, 1wp"/>
    <s v="Reflexive"/>
    <s v="Mute, Stackable"/>
    <s v="Indefinite"/>
    <m/>
    <s v="Sid 285"/>
    <x v="21"/>
    <x v="4"/>
    <n v="3"/>
    <n v="0"/>
    <s v="Walking Outside Fate"/>
    <m/>
  </r>
  <r>
    <x v="0"/>
    <s v="Lazy Works Smart"/>
    <x v="3"/>
    <x v="6"/>
    <m/>
    <x v="5"/>
    <x v="4"/>
    <s v="Стражи♃"/>
    <s v="5m, 1wp"/>
    <s v="Simple"/>
    <s v="None"/>
    <s v="One task"/>
    <m/>
    <s v="Sid 269"/>
    <x v="23"/>
    <x v="4"/>
    <n v="2"/>
    <n v="0"/>
    <s v="Name-Pilfering Practice"/>
    <m/>
  </r>
  <r>
    <x v="0"/>
    <s v="Legitimate Pseudonym Trick"/>
    <x v="3"/>
    <x v="6"/>
    <m/>
    <x v="5"/>
    <x v="4"/>
    <s v="Стражи♃"/>
    <s v="-"/>
    <s v="Permanent"/>
    <s v="None"/>
    <s v="Permanent"/>
    <m/>
    <s v="Sid 267"/>
    <x v="23"/>
    <x v="0"/>
    <n v="2"/>
    <n v="0"/>
    <s v="Name-Pilfering Practice"/>
    <m/>
  </r>
  <r>
    <x v="0"/>
    <s v="Lucid Enigma Labyrinth"/>
    <x v="3"/>
    <x v="6"/>
    <m/>
    <x v="5"/>
    <x v="4"/>
    <s v="Ключ♃"/>
    <s v="10m, 1wp"/>
    <s v="Simple"/>
    <s v="Mute"/>
    <s v="One dream"/>
    <m/>
    <s v="Sid 263"/>
    <x v="22"/>
    <x v="4"/>
    <n v="3"/>
    <n v="0"/>
    <s v="Witness Invention Technique"/>
    <m/>
  </r>
  <r>
    <x v="0"/>
    <s v="Maiden-in-the-Pot Escape"/>
    <x v="3"/>
    <x v="6"/>
    <m/>
    <x v="5"/>
    <x v="4"/>
    <s v="Стражи♃"/>
    <s v="5m"/>
    <s v="Supplemental"/>
    <s v="Mute"/>
    <s v="Instant"/>
    <m/>
    <s v="Sid 265"/>
    <x v="23"/>
    <x v="3"/>
    <n v="1"/>
    <n v="0"/>
    <s v="None"/>
    <m/>
  </r>
  <r>
    <x v="0"/>
    <s v="Marvelous Inclusion of Details"/>
    <x v="3"/>
    <x v="6"/>
    <m/>
    <x v="5"/>
    <x v="4"/>
    <s v="Ключ♃"/>
    <s v="2m"/>
    <s v="Supplemental"/>
    <s v="None"/>
    <s v="Instant"/>
    <m/>
    <s v="Sid 260"/>
    <x v="22"/>
    <x v="0"/>
    <n v="1"/>
    <n v="0"/>
    <s v="None"/>
    <m/>
  </r>
  <r>
    <x v="0"/>
    <s v="Of Horrors Best Unknown"/>
    <x v="3"/>
    <x v="6"/>
    <m/>
    <x v="5"/>
    <x v="4"/>
    <s v="Сокровищница♃"/>
    <s v="3m, 1wp"/>
    <s v="Simple"/>
    <s v="Decisive-only"/>
    <s v="Instant"/>
    <m/>
    <s v="Sid 273"/>
    <x v="19"/>
    <x v="4"/>
    <n v="2"/>
    <n v="0"/>
    <s v="The Methodology of Secrets"/>
    <m/>
  </r>
  <r>
    <x v="0"/>
    <s v="Of Secrets Yet Untold"/>
    <x v="3"/>
    <x v="6"/>
    <m/>
    <x v="5"/>
    <x v="4"/>
    <s v="Сокровищница♃"/>
    <s v="5m, 1wp"/>
    <s v="Simple"/>
    <s v="Mute"/>
    <s v="Instant"/>
    <m/>
    <s v="Sid 273"/>
    <x v="19"/>
    <x v="4"/>
    <n v="2"/>
    <n v="0"/>
    <s v="Systematic Understanding of Everything"/>
    <m/>
  </r>
  <r>
    <x v="0"/>
    <s v="Of the Shape of the World"/>
    <x v="3"/>
    <x v="6"/>
    <m/>
    <x v="5"/>
    <x v="4"/>
    <s v="Сокровищница♃"/>
    <s v="-"/>
    <s v="Permanent"/>
    <s v="None"/>
    <s v="Permanent"/>
    <m/>
    <s v="Sid 271"/>
    <x v="19"/>
    <x v="4"/>
    <n v="1"/>
    <n v="0"/>
    <s v="Systematic Understanding of Everything"/>
    <m/>
  </r>
  <r>
    <x v="0"/>
    <s v="Of Truths Best Unspoken"/>
    <x v="3"/>
    <x v="6"/>
    <m/>
    <x v="5"/>
    <x v="4"/>
    <s v="Сокровищница♃"/>
    <s v="2m, 1wp"/>
    <s v="Simple"/>
    <s v="Divination"/>
    <s v="Instant"/>
    <m/>
    <s v="Sid 271"/>
    <x v="19"/>
    <x v="1"/>
    <n v="1"/>
    <n v="0"/>
    <s v="Systematic Understanding of Everything"/>
    <m/>
  </r>
  <r>
    <x v="0"/>
    <s v="Official Notice of Alienation"/>
    <x v="3"/>
    <x v="6"/>
    <m/>
    <x v="5"/>
    <x v="4"/>
    <s v="Чародей♃"/>
    <s v="3m, 1wp"/>
    <s v="Simple"/>
    <s v="None"/>
    <s v="Permanent"/>
    <m/>
    <s v="Sid 279"/>
    <x v="20"/>
    <x v="1"/>
    <n v="2"/>
    <n v="0"/>
    <s v="Incite Decorum, Mark of Exaltation, Unweaving Method"/>
    <m/>
  </r>
  <r>
    <x v="0"/>
    <s v="Official Notice of Alienation (x2)"/>
    <x v="3"/>
    <x v="6"/>
    <m/>
    <x v="5"/>
    <x v="4"/>
    <s v="Чародей♃"/>
    <s v="3m, 1wp (5m)"/>
    <s v="Simple"/>
    <s v="None"/>
    <s v="Permanent"/>
    <m/>
    <s v="Sid 279"/>
    <x v="20"/>
    <x v="4"/>
    <n v="3"/>
    <n v="0"/>
    <s v="Official Notice of Alienation"/>
    <m/>
  </r>
  <r>
    <x v="0"/>
    <s v="Panoply of Fallen Stars"/>
    <x v="3"/>
    <x v="6"/>
    <m/>
    <x v="5"/>
    <x v="4"/>
    <s v="Чародей♃"/>
    <s v="-"/>
    <s v="Permanent"/>
    <s v="None"/>
    <s v="Permanent"/>
    <m/>
    <s v="Sid 277"/>
    <x v="20"/>
    <x v="2"/>
    <n v="1"/>
    <n v="0"/>
    <s v="None"/>
    <m/>
  </r>
  <r>
    <x v="0"/>
    <s v="Professorial Mien"/>
    <x v="3"/>
    <x v="6"/>
    <m/>
    <x v="5"/>
    <x v="4"/>
    <s v="Сокровищница♃"/>
    <s v="-"/>
    <s v="Permanent"/>
    <s v="None"/>
    <s v="Permanent"/>
    <m/>
    <s v="Sid 271"/>
    <x v="19"/>
    <x v="2"/>
    <n v="1"/>
    <n v="0"/>
    <s v="None"/>
    <m/>
  </r>
  <r>
    <x v="0"/>
    <s v="Provable Location of the Gate"/>
    <x v="3"/>
    <x v="6"/>
    <m/>
    <x v="5"/>
    <x v="4"/>
    <s v="Ключ♃"/>
    <s v="10m, 1wp"/>
    <s v="Simple"/>
    <s v="Mute"/>
    <s v="Instant"/>
    <m/>
    <s v="Sid 260"/>
    <x v="22"/>
    <x v="0"/>
    <n v="1"/>
    <n v="0"/>
    <s v="Marvelous Inclusion of Details"/>
    <m/>
  </r>
  <r>
    <x v="0"/>
    <s v="Research Assistant Invocation"/>
    <x v="3"/>
    <x v="6"/>
    <m/>
    <x v="5"/>
    <x v="4"/>
    <s v="Ключ♃"/>
    <s v="1m, 1wp"/>
    <s v="Simple"/>
    <s v="None"/>
    <s v="Indefinite"/>
    <m/>
    <s v="Sid 261"/>
    <x v="22"/>
    <x v="0"/>
    <n v="1"/>
    <n v="0"/>
    <s v="None"/>
    <m/>
  </r>
  <r>
    <x v="0"/>
    <s v="Sanctum-Breaching Heist"/>
    <x v="3"/>
    <x v="6"/>
    <m/>
    <x v="5"/>
    <x v="4"/>
    <s v="Стражи♃"/>
    <s v="5m, 1wp"/>
    <s v="Simple"/>
    <s v="Mute"/>
    <s v="Instant"/>
    <m/>
    <s v="Sid 269"/>
    <x v="23"/>
    <x v="1"/>
    <n v="3"/>
    <n v="0"/>
    <s v="Maiden-in-the-Pot Escape"/>
    <m/>
  </r>
  <r>
    <x v="0"/>
    <s v="Self-Annihilating Discretion"/>
    <x v="3"/>
    <x v="6"/>
    <m/>
    <x v="5"/>
    <x v="4"/>
    <s v="Маска♃"/>
    <s v="1m, 1wp"/>
    <s v="Reflexive"/>
    <s v="Psyche"/>
    <s v="Instant"/>
    <m/>
    <s v="Sid 284"/>
    <x v="21"/>
    <x v="4"/>
    <n v="2"/>
    <n v="0"/>
    <s v="Unbreakable Silence"/>
    <m/>
  </r>
  <r>
    <x v="0"/>
    <s v="Sidereal Shell Games"/>
    <x v="3"/>
    <x v="6"/>
    <m/>
    <x v="5"/>
    <x v="4"/>
    <s v="Стражи♃"/>
    <s v="3m, 2i"/>
    <s v="Simple"/>
    <s v="Mute, Perilous, Shaping (Fate)"/>
    <s v="Instant"/>
    <m/>
    <s v="Sid 267"/>
    <x v="23"/>
    <x v="0"/>
    <n v="1"/>
    <n v="0"/>
    <s v="Name-Pilfering Practice"/>
    <m/>
  </r>
  <r>
    <x v="0"/>
    <s v="Soft Presence Practice"/>
    <x v="3"/>
    <x v="6"/>
    <m/>
    <x v="5"/>
    <x v="4"/>
    <s v="Маска♃"/>
    <s v="2m"/>
    <s v="Supplemental"/>
    <s v="Mute"/>
    <s v="Instant"/>
    <m/>
    <s v="Sid 282"/>
    <x v="21"/>
    <x v="3"/>
    <n v="1"/>
    <n v="0"/>
    <s v="None"/>
    <m/>
  </r>
  <r>
    <x v="0"/>
    <s v="Stab the Seer’s Eye"/>
    <x v="3"/>
    <x v="6"/>
    <m/>
    <x v="5"/>
    <x v="4"/>
    <s v="Сокровищница♃"/>
    <s v="10m, 1wp"/>
    <s v="Reflexive"/>
    <s v="Mute"/>
    <s v="Instant"/>
    <m/>
    <s v="Sid 274"/>
    <x v="19"/>
    <x v="4"/>
    <n v="3"/>
    <n v="0"/>
    <s v="Horoscope Revision Technique"/>
    <m/>
  </r>
  <r>
    <x v="0"/>
    <s v="Subordinate Inspiration Technique"/>
    <x v="3"/>
    <x v="6"/>
    <m/>
    <x v="5"/>
    <x v="4"/>
    <s v="Маска♃"/>
    <s v="5m"/>
    <s v="Supplemental"/>
    <s v="Mute, Psyche"/>
    <s v="Instant"/>
    <m/>
    <s v="Sid 283"/>
    <x v="21"/>
    <x v="0"/>
    <n v="2"/>
    <n v="0"/>
    <s v="Soft Presence Practice"/>
    <m/>
  </r>
  <r>
    <x v="0"/>
    <s v="Talisman Forgery Technique"/>
    <x v="3"/>
    <x v="6"/>
    <m/>
    <x v="5"/>
    <x v="4"/>
    <s v="Стражи♃"/>
    <s v="5m, 1wp"/>
    <s v="Simple"/>
    <s v="Mute, Psyche"/>
    <s v="Instant"/>
    <m/>
    <s v="Sid 268"/>
    <x v="23"/>
    <x v="1"/>
    <n v="2"/>
    <n v="0"/>
    <s v="Honorable Thief Spirit"/>
    <m/>
  </r>
  <r>
    <x v="0"/>
    <s v="Thought-Swiping Distraction"/>
    <x v="3"/>
    <x v="6"/>
    <m/>
    <x v="5"/>
    <x v="4"/>
    <s v="Стражи♃"/>
    <s v="5m, 1wp"/>
    <s v="Simple"/>
    <s v="Mute, Psyche"/>
    <s v="Instant"/>
    <m/>
    <s v="Sid 269"/>
    <x v="23"/>
    <x v="4"/>
    <n v="2"/>
    <n v="0"/>
    <s v="Dream Confiscation Approach"/>
    <m/>
  </r>
  <r>
    <x v="0"/>
    <s v="Transcendent Hatchet of Fate"/>
    <x v="3"/>
    <x v="6"/>
    <m/>
    <x v="5"/>
    <x v="4"/>
    <s v="Сокровищница♃"/>
    <s v="30m, 1wp"/>
    <s v="Simple"/>
    <s v="Shaping (Fate)"/>
    <s v="(Victim’s Integrity + 5) days"/>
    <m/>
    <s v="Sid 275"/>
    <x v="19"/>
    <x v="4"/>
    <n v="5"/>
    <n v="0"/>
    <s v="Any ten Lore Charms"/>
    <m/>
  </r>
  <r>
    <x v="0"/>
    <s v="Unbreakable Silence"/>
    <x v="3"/>
    <x v="6"/>
    <m/>
    <x v="5"/>
    <x v="4"/>
    <s v="Маска♃"/>
    <s v="-"/>
    <s v="Permanent"/>
    <s v="None"/>
    <s v="Permanent"/>
    <m/>
    <s v="Sid 283"/>
    <x v="21"/>
    <x v="4"/>
    <n v="2"/>
    <n v="0"/>
    <s v="Soft Presence Practice"/>
    <m/>
  </r>
  <r>
    <x v="0"/>
    <s v="Unreliable Source Dismissal"/>
    <x v="3"/>
    <x v="6"/>
    <m/>
    <x v="5"/>
    <x v="4"/>
    <s v="Сокровищница♃"/>
    <s v="10m, 1wp"/>
    <s v="Reflexive"/>
    <s v="Mute, Psyche"/>
    <s v="Instant"/>
    <m/>
    <s v="Sid 274"/>
    <x v="19"/>
    <x v="4"/>
    <n v="3"/>
    <n v="0"/>
    <s v="Avoiding-the-Truth Technique, Dismissive Scholar’s Sniff, Systematic Understanding of Everything"/>
    <m/>
  </r>
  <r>
    <x v="0"/>
    <s v="Unweaving Method"/>
    <x v="3"/>
    <x v="6"/>
    <m/>
    <x v="5"/>
    <x v="4"/>
    <s v="Чародей♃"/>
    <s v="3m"/>
    <s v="Simple"/>
    <s v="Dual"/>
    <s v="Instant"/>
    <m/>
    <s v="Sid 277"/>
    <x v="20"/>
    <x v="0"/>
    <n v="1"/>
    <n v="0"/>
    <s v="None"/>
    <m/>
  </r>
  <r>
    <x v="0"/>
    <s v="Walking Outside Fate"/>
    <x v="3"/>
    <x v="6"/>
    <m/>
    <x v="5"/>
    <x v="4"/>
    <s v="Маска♃"/>
    <s v="10m, 1wp"/>
    <s v="Reflexive"/>
    <s v="Mute"/>
    <s v="One scene"/>
    <m/>
    <s v="Sid 284"/>
    <x v="21"/>
    <x v="4"/>
    <n v="3"/>
    <n v="0"/>
    <s v="Foot Treads No Twig"/>
    <m/>
  </r>
  <r>
    <x v="0"/>
    <s v="Weaver of Mystery"/>
    <x v="3"/>
    <x v="6"/>
    <m/>
    <x v="5"/>
    <x v="4"/>
    <s v="Чародей♃"/>
    <s v="2m"/>
    <s v="Reflexive"/>
    <s v="None"/>
    <s v="One turn"/>
    <m/>
    <s v="Sid 281"/>
    <x v="20"/>
    <x v="1"/>
    <n v="2"/>
    <n v="0"/>
    <s v="Cloaked in Enigma"/>
    <m/>
  </r>
  <r>
    <x v="0"/>
    <s v="Well-Schooled Pedant Defense"/>
    <x v="3"/>
    <x v="6"/>
    <m/>
    <x v="5"/>
    <x v="4"/>
    <s v="Сокровищница♃"/>
    <s v="1m"/>
    <s v="Reflexive"/>
    <s v="None"/>
    <s v="Instant"/>
    <m/>
    <s v="Sid 274"/>
    <x v="19"/>
    <x v="4"/>
    <n v="3"/>
    <n v="0"/>
    <s v="Professorial Mien"/>
    <m/>
  </r>
  <r>
    <x v="0"/>
    <s v="Willing Assumption of Chains"/>
    <x v="3"/>
    <x v="6"/>
    <m/>
    <x v="5"/>
    <x v="4"/>
    <s v="Чародей♃"/>
    <s v="20m, 1wp"/>
    <s v="Simple"/>
    <s v="None"/>
    <s v="Instant"/>
    <m/>
    <s v="Sid 281"/>
    <x v="20"/>
    <x v="4"/>
    <n v="5"/>
    <n v="0"/>
    <s v="Any ten Occult Charms"/>
    <m/>
  </r>
  <r>
    <x v="0"/>
    <s v="Wilting Petal Witness"/>
    <x v="3"/>
    <x v="6"/>
    <m/>
    <x v="5"/>
    <x v="4"/>
    <s v="Ключ♃"/>
    <s v="3m"/>
    <s v="Simple"/>
    <s v="None"/>
    <s v="Indefinite"/>
    <m/>
    <s v="Sid 262"/>
    <x v="22"/>
    <x v="1"/>
    <n v="1"/>
    <n v="0"/>
    <s v="Research Assistant Invocation"/>
    <m/>
  </r>
  <r>
    <x v="0"/>
    <s v="Witness Invention Technique"/>
    <x v="3"/>
    <x v="6"/>
    <m/>
    <x v="5"/>
    <x v="4"/>
    <s v="Ключ♃"/>
    <s v="10m, 1wp"/>
    <s v="Simple"/>
    <s v="None"/>
    <s v="One scene"/>
    <m/>
    <s v="Sid 263"/>
    <x v="22"/>
    <x v="4"/>
    <n v="3"/>
    <n v="0"/>
    <s v="Marvelous Inclusion of Details"/>
    <m/>
  </r>
  <r>
    <x v="0"/>
    <s v="Ascending Destiny Mien"/>
    <x v="3"/>
    <x v="6"/>
    <m/>
    <x v="1"/>
    <x v="4"/>
    <s v="♃"/>
    <s v="-"/>
    <s v="Permanent"/>
    <s v="None"/>
    <s v="Permanent"/>
    <m/>
    <s v="Sid 257"/>
    <x v="10"/>
    <x v="2"/>
    <n v="1"/>
    <n v="0"/>
    <s v="None"/>
    <m/>
  </r>
  <r>
    <x v="0"/>
    <s v="Birthing the Maiden of Wisdom"/>
    <x v="3"/>
    <x v="6"/>
    <m/>
    <x v="1"/>
    <x v="4"/>
    <s v="♃"/>
    <s v="-"/>
    <s v="Permanent"/>
    <s v="None"/>
    <s v="Permanent"/>
    <m/>
    <s v="Sid 258"/>
    <x v="10"/>
    <x v="4"/>
    <n v="4"/>
    <n v="0"/>
    <s v="Any ten Secrets Charms"/>
    <m/>
  </r>
  <r>
    <x v="0"/>
    <s v="Descending Secrets Horoscope"/>
    <x v="3"/>
    <x v="6"/>
    <m/>
    <x v="1"/>
    <x v="4"/>
    <s v="♃"/>
    <s v="1m or 3m, 1wp"/>
    <s v="Simple"/>
    <s v="Mute, Shaping (Fate), Stackable"/>
    <s v="One story"/>
    <m/>
    <s v="Sid 256"/>
    <x v="10"/>
    <x v="0"/>
    <n v="1"/>
    <n v="0"/>
    <s v="Any three Secrets Charms"/>
    <m/>
  </r>
  <r>
    <x v="0"/>
    <s v="Infallible Broker’s Confidences"/>
    <x v="3"/>
    <x v="6"/>
    <m/>
    <x v="1"/>
    <x v="4"/>
    <s v="♃"/>
    <s v="4m"/>
    <s v="Reflexive"/>
    <s v="None"/>
    <s v="Instant"/>
    <m/>
    <s v="Sid 257"/>
    <x v="10"/>
    <x v="0"/>
    <n v="1"/>
    <n v="0"/>
    <s v="Any three Secrets Charms"/>
    <m/>
  </r>
  <r>
    <x v="0"/>
    <s v="Oldest Secret Revealed"/>
    <x v="3"/>
    <x v="6"/>
    <m/>
    <x v="1"/>
    <x v="4"/>
    <s v="♃"/>
    <s v="-"/>
    <s v="Permanent"/>
    <s v="None"/>
    <s v="Permanent"/>
    <m/>
    <s v="Sid 258"/>
    <x v="10"/>
    <x v="0"/>
    <n v="2"/>
    <n v="0"/>
    <s v="Any Ascending (Caste) Horoscope or Descending (Caste) Horoscope"/>
    <m/>
  </r>
  <r>
    <x v="0"/>
    <s v="Oracular Wisdom"/>
    <x v="3"/>
    <x v="6"/>
    <m/>
    <x v="1"/>
    <x v="4"/>
    <s v="♃"/>
    <s v="-"/>
    <s v="Permanent"/>
    <s v="None"/>
    <s v="Permanent"/>
    <m/>
    <s v="Sid 258"/>
    <x v="10"/>
    <x v="0"/>
    <n v="1"/>
    <n v="0"/>
    <s v="None"/>
    <m/>
  </r>
  <r>
    <x v="0"/>
    <s v="Unsolved Problem Obsession"/>
    <x v="3"/>
    <x v="6"/>
    <m/>
    <x v="1"/>
    <x v="4"/>
    <s v="♃"/>
    <s v="5m"/>
    <s v="Simple"/>
    <s v="Psyche"/>
    <s v="Instant"/>
    <m/>
    <s v="Sid 258"/>
    <x v="10"/>
    <x v="1"/>
    <n v="2"/>
    <n v="0"/>
    <s v="Any five Secrets Charms"/>
    <m/>
  </r>
  <r>
    <x v="1"/>
    <m/>
    <x v="3"/>
    <x v="6"/>
    <m/>
    <x v="6"/>
    <x v="5"/>
    <m/>
    <m/>
    <m/>
    <m/>
    <m/>
    <m/>
    <m/>
    <x v="30"/>
    <x v="5"/>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5"/>
    <x v="0"/>
    <x v="0"/>
    <x v="0"/>
    <x v="0"/>
    <n v="1"/>
    <x v="0"/>
    <s v="Performance"/>
    <s v="Occult"/>
    <s v="Integrity"/>
    <n v="0"/>
    <n v="0"/>
    <n v="3"/>
    <s v="сапфир"/>
    <s v="изумруд"/>
    <s v="аметист"/>
  </r>
  <r>
    <n v="6"/>
    <x v="0"/>
    <x v="1"/>
    <x v="0"/>
    <x v="1"/>
    <n v="2"/>
    <x v="1"/>
    <s v="Stealth"/>
    <s v="Larceny"/>
    <s v="Awareness"/>
    <n v="3"/>
    <n v="0"/>
    <n v="3"/>
    <s v="изумруд"/>
    <s v="изумруд"/>
    <s v="аметист"/>
  </r>
  <r>
    <n v="8"/>
    <x v="0"/>
    <x v="2"/>
    <x v="0"/>
    <x v="2"/>
    <n v="2"/>
    <x v="2"/>
    <s v="Athletics"/>
    <s v="Ride"/>
    <s v="Survival"/>
    <n v="3"/>
    <n v="0"/>
    <n v="1"/>
    <s v="аметист"/>
    <s v="топаз"/>
    <s v="топаз"/>
  </r>
  <r>
    <n v="9"/>
    <x v="0"/>
    <x v="3"/>
    <x v="0"/>
    <x v="3"/>
    <n v="0"/>
    <x v="0"/>
    <s v="Sail"/>
    <s v="Archery"/>
    <s v="War"/>
    <n v="0"/>
    <n v="0"/>
    <n v="2"/>
    <s v="топаз"/>
    <s v="рубин"/>
    <s v="рубин"/>
  </r>
  <r>
    <n v="18"/>
    <x v="0"/>
    <x v="4"/>
    <x v="0"/>
    <x v="3"/>
    <n v="1"/>
    <x v="2"/>
    <s v="Resistance"/>
    <s v="Melee"/>
    <s v="Medicine"/>
    <n v="3"/>
    <n v="0"/>
    <n v="0"/>
    <s v="топаз"/>
    <s v="рубин"/>
    <s v="аметист"/>
  </r>
  <r>
    <n v="24"/>
    <x v="0"/>
    <x v="5"/>
    <x v="1"/>
    <x v="3"/>
    <n v="0"/>
    <x v="0"/>
    <m/>
    <m/>
    <m/>
    <e v="#N/A"/>
    <e v="#N/A"/>
    <e v="#N/A"/>
    <e v="#N/A"/>
    <e v="#N/A"/>
    <e v="#N/A"/>
  </r>
  <r>
    <n v="25"/>
    <x v="0"/>
    <x v="6"/>
    <x v="2"/>
    <x v="2"/>
    <n v="0"/>
    <x v="3"/>
    <s v="Investigation"/>
    <s v="Lore"/>
    <s v="Integrity"/>
    <n v="0"/>
    <n v="0"/>
    <n v="3"/>
    <s v="изумруд"/>
    <s v="изумруд"/>
    <s v="аметист"/>
  </r>
  <r>
    <n v="28"/>
    <x v="0"/>
    <x v="7"/>
    <x v="2"/>
    <x v="2"/>
    <n v="0"/>
    <x v="3"/>
    <s v="Athletics"/>
    <s v="Dodge"/>
    <s v="Awareness"/>
    <n v="3"/>
    <n v="3"/>
    <n v="3"/>
    <s v="аметист"/>
    <s v="сапфир"/>
    <s v="аметист"/>
  </r>
  <r>
    <n v="31"/>
    <x v="0"/>
    <x v="8"/>
    <x v="2"/>
    <x v="0"/>
    <n v="2"/>
    <x v="4"/>
    <s v="Brawl"/>
    <s v="Dodge"/>
    <s v="Performance"/>
    <n v="1"/>
    <n v="3"/>
    <n v="0"/>
    <s v="рубин"/>
    <s v="сапфир"/>
    <s v="сапфир"/>
  </r>
  <r>
    <n v="32"/>
    <x v="0"/>
    <x v="9"/>
    <x v="2"/>
    <x v="0"/>
    <n v="1"/>
    <x v="4"/>
    <s v="Martial Arts"/>
    <s v="Dodge"/>
    <s v="Awareness"/>
    <n v="5"/>
    <n v="3"/>
    <n v="3"/>
    <s v="все"/>
    <s v="сапфир"/>
    <s v="аметист"/>
  </r>
  <r>
    <n v="33"/>
    <x v="0"/>
    <x v="10"/>
    <x v="2"/>
    <x v="4"/>
    <n v="1"/>
    <x v="5"/>
    <s v="Brawl"/>
    <s v="Awareness"/>
    <s v="Larceny"/>
    <n v="1"/>
    <n v="3"/>
    <n v="0"/>
    <s v="рубин"/>
    <s v="аметист"/>
    <s v="изумруд"/>
  </r>
  <r>
    <n v="40"/>
    <x v="0"/>
    <x v="11"/>
    <x v="2"/>
    <x v="1"/>
    <n v="0"/>
    <x v="5"/>
    <s v="Athletics"/>
    <s v="Dodge"/>
    <s v="Integrity"/>
    <n v="3"/>
    <n v="3"/>
    <n v="3"/>
    <s v="аметист"/>
    <s v="сапфир"/>
    <s v="аметист"/>
  </r>
  <r>
    <n v="41"/>
    <x v="0"/>
    <x v="12"/>
    <x v="2"/>
    <x v="1"/>
    <n v="1"/>
    <x v="5"/>
    <s v="Martial Arts"/>
    <s v="Stealth"/>
    <s v="Awareness"/>
    <n v="5"/>
    <n v="3"/>
    <n v="3"/>
    <s v="все"/>
    <s v="изумруд"/>
    <s v="аметист"/>
  </r>
  <r>
    <n v="42"/>
    <x v="0"/>
    <x v="13"/>
    <x v="2"/>
    <x v="1"/>
    <n v="0"/>
    <x v="5"/>
    <s v="Dodge"/>
    <s v="Athletics"/>
    <s v="Integrity"/>
    <n v="3"/>
    <n v="3"/>
    <n v="3"/>
    <s v="сапфир"/>
    <s v="аметист"/>
    <s v="аметист"/>
  </r>
  <r>
    <n v="45"/>
    <x v="0"/>
    <x v="14"/>
    <x v="2"/>
    <x v="3"/>
    <n v="0"/>
    <x v="6"/>
    <s v="Linguistics"/>
    <s v="Performance"/>
    <s v="Craft"/>
    <n v="0"/>
    <n v="0"/>
    <n v="0"/>
    <s v="сапфир"/>
    <s v="сапфир"/>
    <s v="сапфир"/>
  </r>
  <r>
    <n v="46"/>
    <x v="0"/>
    <x v="15"/>
    <x v="2"/>
    <x v="3"/>
    <n v="2"/>
    <x v="7"/>
    <s v="Martial Arts"/>
    <s v="Athletics"/>
    <s v="Integrity"/>
    <n v="5"/>
    <n v="3"/>
    <n v="3"/>
    <s v="все"/>
    <s v="аметист"/>
    <s v="аметист"/>
  </r>
  <r>
    <n v="2"/>
    <x v="1"/>
    <x v="16"/>
    <x v="0"/>
    <x v="5"/>
    <n v="0"/>
    <x v="8"/>
    <s v="Linguistics"/>
    <s v="Investigation"/>
    <s v="Dodge"/>
    <n v="0"/>
    <n v="0"/>
    <n v="3"/>
    <s v="сапфир"/>
    <s v="изумруд"/>
    <s v="сапфир"/>
  </r>
  <r>
    <n v="3"/>
    <x v="1"/>
    <x v="17"/>
    <x v="0"/>
    <x v="5"/>
    <n v="0"/>
    <x v="9"/>
    <s v="Martial Arts"/>
    <s v="Brawl"/>
    <s v="Resistance"/>
    <n v="5"/>
    <n v="1"/>
    <n v="3"/>
    <s v="все"/>
    <s v="рубин"/>
    <s v="топаз"/>
  </r>
  <r>
    <n v="7"/>
    <x v="1"/>
    <x v="18"/>
    <x v="0"/>
    <x v="1"/>
    <n v="0"/>
    <x v="10"/>
    <s v="Linguistics"/>
    <s v="Craft"/>
    <s v="Medicine"/>
    <n v="0"/>
    <n v="0"/>
    <n v="0"/>
    <s v="сапфир"/>
    <s v="сапфир"/>
    <s v="аметист"/>
  </r>
  <r>
    <n v="10"/>
    <x v="1"/>
    <x v="19"/>
    <x v="0"/>
    <x v="5"/>
    <n v="0"/>
    <x v="11"/>
    <s v="Occult"/>
    <s v="Bureaucracy"/>
    <s v="Thrown"/>
    <n v="0"/>
    <n v="0"/>
    <n v="2"/>
    <s v="изумруд"/>
    <s v="аметист"/>
    <s v="топаз"/>
  </r>
  <r>
    <n v="11"/>
    <x v="1"/>
    <x v="20"/>
    <x v="0"/>
    <x v="2"/>
    <n v="0"/>
    <x v="12"/>
    <s v="Bureaucracy"/>
    <s v="Presence"/>
    <s v="Integrity"/>
    <n v="0"/>
    <n v="3"/>
    <n v="3"/>
    <s v="аметист"/>
    <s v="рубин"/>
    <s v="аметист"/>
  </r>
  <r>
    <n v="14"/>
    <x v="1"/>
    <x v="21"/>
    <x v="0"/>
    <x v="3"/>
    <n v="1"/>
    <x v="10"/>
    <s v="Medicine"/>
    <s v="Resistance"/>
    <s v="Craft"/>
    <n v="0"/>
    <n v="3"/>
    <n v="0"/>
    <s v="аметист"/>
    <s v="топаз"/>
    <s v="сапфир"/>
  </r>
  <r>
    <n v="22"/>
    <x v="1"/>
    <x v="22"/>
    <x v="1"/>
    <x v="4"/>
    <n v="0"/>
    <x v="13"/>
    <m/>
    <m/>
    <m/>
    <e v="#N/A"/>
    <e v="#N/A"/>
    <e v="#N/A"/>
    <e v="#N/A"/>
    <e v="#N/A"/>
    <e v="#N/A"/>
  </r>
  <r>
    <n v="23"/>
    <x v="1"/>
    <x v="23"/>
    <x v="1"/>
    <x v="1"/>
    <n v="0"/>
    <x v="14"/>
    <m/>
    <m/>
    <m/>
    <e v="#N/A"/>
    <e v="#N/A"/>
    <e v="#N/A"/>
    <e v="#N/A"/>
    <e v="#N/A"/>
    <e v="#N/A"/>
  </r>
  <r>
    <n v="29"/>
    <x v="1"/>
    <x v="24"/>
    <x v="2"/>
    <x v="0"/>
    <n v="2"/>
    <x v="15"/>
    <s v="Performance"/>
    <s v="Craft"/>
    <s v="Medicine"/>
    <n v="0"/>
    <n v="0"/>
    <n v="0"/>
    <s v="сапфир"/>
    <s v="сапфир"/>
    <s v="аметист"/>
  </r>
  <r>
    <n v="30"/>
    <x v="1"/>
    <x v="25"/>
    <x v="2"/>
    <x v="0"/>
    <n v="1"/>
    <x v="15"/>
    <s v="Awareness"/>
    <s v="Craft"/>
    <s v="Larceny"/>
    <n v="3"/>
    <n v="0"/>
    <n v="0"/>
    <s v="аметист"/>
    <s v="сапфир"/>
    <s v="изумруд"/>
  </r>
  <r>
    <n v="43"/>
    <x v="1"/>
    <x v="26"/>
    <x v="2"/>
    <x v="3"/>
    <n v="1"/>
    <x v="15"/>
    <s v="Integrity"/>
    <s v="Occult"/>
    <s v="Presence"/>
    <n v="3"/>
    <n v="0"/>
    <n v="3"/>
    <s v="аметист"/>
    <s v="изумруд"/>
    <s v="рубин"/>
  </r>
  <r>
    <n v="44"/>
    <x v="1"/>
    <x v="27"/>
    <x v="2"/>
    <x v="3"/>
    <n v="1"/>
    <x v="15"/>
    <s v="Bureaucracy"/>
    <s v="Lore"/>
    <s v="Presence"/>
    <n v="0"/>
    <n v="0"/>
    <n v="3"/>
    <s v="аметист"/>
    <s v="изумруд"/>
    <s v="рубин"/>
  </r>
  <r>
    <n v="1"/>
    <x v="2"/>
    <x v="28"/>
    <x v="0"/>
    <x v="2"/>
    <n v="0"/>
    <x v="16"/>
    <s v="Integrity"/>
    <s v="Lore"/>
    <s v="Presence"/>
    <n v="3"/>
    <n v="0"/>
    <n v="3"/>
    <s v="аметист"/>
    <s v="изумруд"/>
    <s v="рубин"/>
  </r>
  <r>
    <n v="4"/>
    <x v="2"/>
    <x v="29"/>
    <x v="0"/>
    <x v="4"/>
    <n v="2"/>
    <x v="17"/>
    <s v="Socialize"/>
    <s v="War"/>
    <s v="Melee"/>
    <n v="0"/>
    <n v="2"/>
    <n v="0"/>
    <s v="сапфир"/>
    <s v="рубин"/>
    <s v="рубин"/>
  </r>
  <r>
    <n v="12"/>
    <x v="2"/>
    <x v="30"/>
    <x v="0"/>
    <x v="5"/>
    <n v="0"/>
    <x v="16"/>
    <s v="Ride"/>
    <s v="Athletics"/>
    <s v="Survival"/>
    <n v="0"/>
    <n v="3"/>
    <n v="1"/>
    <s v="топаз"/>
    <s v="аметист"/>
    <s v="топаз"/>
  </r>
  <r>
    <n v="13"/>
    <x v="2"/>
    <x v="31"/>
    <x v="0"/>
    <x v="0"/>
    <n v="2"/>
    <x v="16"/>
    <s v="Performance"/>
    <s v="Occult"/>
    <s v="Socialize"/>
    <n v="0"/>
    <n v="0"/>
    <n v="0"/>
    <s v="сапфир"/>
    <s v="изумруд"/>
    <s v="сапфир"/>
  </r>
  <r>
    <n v="15"/>
    <x v="2"/>
    <x v="32"/>
    <x v="0"/>
    <x v="5"/>
    <n v="0"/>
    <x v="16"/>
    <s v="Brawl"/>
    <s v="Survival"/>
    <s v="War"/>
    <n v="1"/>
    <n v="1"/>
    <n v="2"/>
    <s v="рубин"/>
    <s v="топаз"/>
    <s v="рубин"/>
  </r>
  <r>
    <n v="16"/>
    <x v="2"/>
    <x v="33"/>
    <x v="0"/>
    <x v="1"/>
    <n v="1"/>
    <x v="16"/>
    <s v="Stealth"/>
    <s v="Presence"/>
    <s v="Integrity"/>
    <n v="3"/>
    <n v="3"/>
    <n v="3"/>
    <s v="изумруд"/>
    <s v="рубин"/>
    <s v="аметист"/>
  </r>
  <r>
    <n v="17"/>
    <x v="2"/>
    <x v="34"/>
    <x v="0"/>
    <x v="5"/>
    <n v="0"/>
    <x v="16"/>
    <s v="Larceny"/>
    <s v="Athletics"/>
    <s v="Socialize"/>
    <n v="0"/>
    <n v="3"/>
    <n v="0"/>
    <s v="изумруд"/>
    <s v="аметист"/>
    <s v="сапфир"/>
  </r>
  <r>
    <n v="19"/>
    <x v="2"/>
    <x v="35"/>
    <x v="0"/>
    <x v="5"/>
    <n v="0"/>
    <x v="16"/>
    <s v="Investigation"/>
    <s v="Occult"/>
    <s v="Linguistics"/>
    <n v="0"/>
    <n v="0"/>
    <n v="0"/>
    <s v="изумруд"/>
    <s v="изумруд"/>
    <s v="сапфир"/>
  </r>
  <r>
    <n v="20"/>
    <x v="2"/>
    <x v="36"/>
    <x v="1"/>
    <x v="2"/>
    <n v="0"/>
    <x v="18"/>
    <m/>
    <m/>
    <m/>
    <e v="#N/A"/>
    <e v="#N/A"/>
    <e v="#N/A"/>
    <e v="#N/A"/>
    <e v="#N/A"/>
    <e v="#N/A"/>
  </r>
  <r>
    <n v="21"/>
    <x v="2"/>
    <x v="37"/>
    <x v="1"/>
    <x v="0"/>
    <n v="0"/>
    <x v="19"/>
    <m/>
    <m/>
    <m/>
    <e v="#N/A"/>
    <e v="#N/A"/>
    <e v="#N/A"/>
    <e v="#N/A"/>
    <e v="#N/A"/>
    <e v="#N/A"/>
  </r>
  <r>
    <n v="26"/>
    <x v="2"/>
    <x v="38"/>
    <x v="2"/>
    <x v="2"/>
    <n v="0"/>
    <x v="20"/>
    <s v="Awareness"/>
    <s v="Occult"/>
    <s v="Linguistics"/>
    <n v="3"/>
    <n v="0"/>
    <n v="0"/>
    <s v="аметист"/>
    <s v="изумруд"/>
    <s v="сапфир"/>
  </r>
  <r>
    <n v="27"/>
    <x v="2"/>
    <x v="39"/>
    <x v="2"/>
    <x v="2"/>
    <n v="0"/>
    <x v="21"/>
    <s v="Socialize"/>
    <s v="Lore"/>
    <s v="Integrity"/>
    <n v="0"/>
    <n v="0"/>
    <n v="3"/>
    <s v="сапфир"/>
    <s v="изумруд"/>
    <s v="аметист"/>
  </r>
  <r>
    <n v="34"/>
    <x v="2"/>
    <x v="40"/>
    <x v="2"/>
    <x v="4"/>
    <n v="1"/>
    <x v="22"/>
    <s v="Integrity"/>
    <s v="Medicine"/>
    <s v="War"/>
    <n v="3"/>
    <n v="0"/>
    <n v="2"/>
    <s v="аметист"/>
    <s v="аметист"/>
    <s v="рубин"/>
  </r>
  <r>
    <n v="35"/>
    <x v="2"/>
    <x v="41"/>
    <x v="2"/>
    <x v="4"/>
    <n v="0"/>
    <x v="22"/>
    <s v="Resistance"/>
    <s v="Integrity"/>
    <s v="Linguistics"/>
    <n v="3"/>
    <n v="3"/>
    <n v="0"/>
    <s v="топаз"/>
    <s v="аметист"/>
    <s v="сапфир"/>
  </r>
  <r>
    <n v="36"/>
    <x v="2"/>
    <x v="42"/>
    <x v="2"/>
    <x v="4"/>
    <n v="0"/>
    <x v="22"/>
    <s v="Athletics"/>
    <s v="Martial Arts"/>
    <s v="Dodge"/>
    <n v="3"/>
    <n v="5"/>
    <n v="3"/>
    <s v="аметист"/>
    <s v="все"/>
    <s v="сапфир"/>
  </r>
  <r>
    <n v="37"/>
    <x v="2"/>
    <x v="43"/>
    <x v="2"/>
    <x v="1"/>
    <n v="0"/>
    <x v="23"/>
    <s v="Resistance"/>
    <s v="Integrity"/>
    <s v="Medicine"/>
    <n v="3"/>
    <n v="3"/>
    <n v="0"/>
    <s v="топаз"/>
    <s v="аметист"/>
    <s v="аметист"/>
  </r>
  <r>
    <n v="38"/>
    <x v="2"/>
    <x v="44"/>
    <x v="2"/>
    <x v="1"/>
    <n v="2"/>
    <x v="23"/>
    <s v="Medicine"/>
    <s v="Occult"/>
    <s v="Larceny"/>
    <n v="0"/>
    <n v="0"/>
    <n v="0"/>
    <s v="аметист"/>
    <s v="изумруд"/>
    <s v="изумруд"/>
  </r>
  <r>
    <n v="39"/>
    <x v="2"/>
    <x v="45"/>
    <x v="2"/>
    <x v="1"/>
    <n v="1"/>
    <x v="23"/>
    <s v="Investigation"/>
    <s v="Bureaucracy"/>
    <s v="Presence"/>
    <n v="0"/>
    <n v="0"/>
    <n v="3"/>
    <s v="изумруд"/>
    <s v="аметист"/>
    <s v="рубин"/>
  </r>
  <r>
    <m/>
    <x v="3"/>
    <x v="46"/>
    <x v="3"/>
    <x v="5"/>
    <m/>
    <x v="24"/>
    <m/>
    <m/>
    <m/>
    <m/>
    <m/>
    <m/>
    <m/>
    <m/>
    <m/>
  </r>
  <r>
    <m/>
    <x v="3"/>
    <x v="46"/>
    <x v="3"/>
    <x v="5"/>
    <m/>
    <x v="24"/>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CE48F-6F21-406C-9236-A4773AAB8602}" name="Сводная таблица2" cacheId="0" applyNumberFormats="0" applyBorderFormats="0" applyFontFormats="0" applyPatternFormats="0" applyAlignmentFormats="0" applyWidthHeightFormats="1" dataCaption="Значения" updatedVersion="8" minRefreshableVersion="3" useAutoFormatting="1" itemPrintTitles="1" createdVersion="8" indent="0" compact="0" compactData="0" multipleFieldFilters="0">
  <location ref="T4:U30" firstHeaderRow="1" firstDataRow="1" firstDataCol="2" rowPageCount="2" colPageCount="1"/>
  <pivotFields count="14">
    <pivotField axis="axisPage"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6">
        <item x="0"/>
        <item x="21"/>
        <item x="1"/>
        <item x="4"/>
        <item x="9"/>
        <item x="6"/>
        <item x="2"/>
        <item x="7"/>
        <item x="20"/>
        <item x="8"/>
        <item x="13"/>
        <item x="10"/>
        <item x="11"/>
        <item x="12"/>
        <item x="15"/>
        <item x="14"/>
        <item x="18"/>
        <item x="16"/>
        <item x="17"/>
        <item x="5"/>
        <item x="3"/>
        <item x="19"/>
        <item x="22"/>
        <item x="23"/>
        <item x="24"/>
        <item x="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axis="axisRow" compact="0" outline="0" showAll="0" defaultSubtotal="0">
      <items count="15">
        <item x="0"/>
        <item m="1" x="14"/>
        <item x="8"/>
        <item x="1"/>
        <item x="7"/>
        <item x="5"/>
        <item x="12"/>
        <item x="9"/>
        <item x="4"/>
        <item x="6"/>
        <item x="11"/>
        <item x="10"/>
        <item x="2"/>
        <item x="3"/>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1"/>
    <field x="8"/>
  </rowFields>
  <rowItems count="26">
    <i>
      <x/>
      <x/>
    </i>
    <i r="1">
      <x v="3"/>
    </i>
    <i r="1">
      <x v="13"/>
    </i>
    <i r="1">
      <x v="23"/>
    </i>
    <i>
      <x v="2"/>
      <x v="17"/>
    </i>
    <i r="1">
      <x v="24"/>
    </i>
    <i>
      <x v="3"/>
      <x v="2"/>
    </i>
    <i r="1">
      <x v="6"/>
    </i>
    <i>
      <x v="4"/>
      <x v="15"/>
    </i>
    <i r="1">
      <x v="22"/>
    </i>
    <i>
      <x v="5"/>
      <x v="7"/>
    </i>
    <i r="1">
      <x v="11"/>
    </i>
    <i>
      <x v="6"/>
      <x v="1"/>
    </i>
    <i>
      <x v="7"/>
      <x v="16"/>
    </i>
    <i>
      <x v="8"/>
      <x v="5"/>
    </i>
    <i r="1">
      <x v="12"/>
    </i>
    <i>
      <x v="9"/>
      <x v="4"/>
    </i>
    <i r="1">
      <x v="10"/>
    </i>
    <i r="1">
      <x v="14"/>
    </i>
    <i>
      <x v="10"/>
      <x v="8"/>
    </i>
    <i>
      <x v="11"/>
      <x v="21"/>
    </i>
    <i>
      <x v="12"/>
      <x v="9"/>
    </i>
    <i r="1">
      <x v="18"/>
    </i>
    <i r="1">
      <x v="20"/>
    </i>
    <i>
      <x v="13"/>
      <x v="19"/>
    </i>
    <i t="grand">
      <x/>
    </i>
  </rowItems>
  <colItems count="1">
    <i/>
  </colItems>
  <pageFields count="2">
    <pageField fld="0" item="0" hier="-1"/>
    <pageField fld="10" hier="-1"/>
  </pageFields>
  <formats count="11">
    <format dxfId="23">
      <pivotArea dataOnly="0" labelOnly="1" outline="0" fieldPosition="0">
        <references count="1">
          <reference field="11" count="1">
            <x v="0"/>
          </reference>
        </references>
      </pivotArea>
    </format>
    <format dxfId="22">
      <pivotArea dataOnly="0" labelOnly="1" outline="0" fieldPosition="0">
        <references count="2">
          <reference field="8" count="4">
            <x v="0"/>
            <x v="3"/>
            <x v="13"/>
            <x v="23"/>
          </reference>
          <reference field="11" count="1" selected="0">
            <x v="0"/>
          </reference>
        </references>
      </pivotArea>
    </format>
    <format dxfId="21">
      <pivotArea dataOnly="0" labelOnly="1" outline="0" fieldPosition="0">
        <references count="1">
          <reference field="11" count="1">
            <x v="8"/>
          </reference>
        </references>
      </pivotArea>
    </format>
    <format dxfId="20">
      <pivotArea dataOnly="0" labelOnly="1" outline="0" fieldPosition="0">
        <references count="2">
          <reference field="8" count="2">
            <x v="5"/>
            <x v="12"/>
          </reference>
          <reference field="11" count="1" selected="0">
            <x v="8"/>
          </reference>
        </references>
      </pivotArea>
    </format>
    <format dxfId="19">
      <pivotArea dataOnly="0" labelOnly="1" outline="0" fieldPosition="0">
        <references count="1">
          <reference field="11" count="1">
            <x v="11"/>
          </reference>
        </references>
      </pivotArea>
    </format>
    <format dxfId="18">
      <pivotArea dataOnly="0" labelOnly="1" outline="0" fieldPosition="0">
        <references count="2">
          <reference field="8" count="1">
            <x v="21"/>
          </reference>
          <reference field="11" count="1" selected="0">
            <x v="11"/>
          </reference>
        </references>
      </pivotArea>
    </format>
    <format dxfId="17">
      <pivotArea outline="0" fieldPosition="0">
        <references count="2">
          <reference field="8" count="1" selected="0">
            <x v="19"/>
          </reference>
          <reference field="11" count="1" selected="0">
            <x v="13"/>
          </reference>
        </references>
      </pivotArea>
    </format>
    <format dxfId="16">
      <pivotArea dataOnly="0" labelOnly="1" outline="0" fieldPosition="0">
        <references count="1">
          <reference field="11" count="1">
            <x v="13"/>
          </reference>
        </references>
      </pivotArea>
    </format>
    <format dxfId="15">
      <pivotArea dataOnly="0" labelOnly="1" outline="0" fieldPosition="0">
        <references count="2">
          <reference field="8" count="1">
            <x v="19"/>
          </reference>
          <reference field="11" count="1" selected="0">
            <x v="13"/>
          </reference>
        </references>
      </pivotArea>
    </format>
    <format dxfId="14">
      <pivotArea dataOnly="0" labelOnly="1" outline="0" fieldPosition="0">
        <references count="1">
          <reference field="11" count="1">
            <x v="4"/>
          </reference>
        </references>
      </pivotArea>
    </format>
    <format dxfId="13">
      <pivotArea dataOnly="0" labelOnly="1" outline="0" fieldPosition="0">
        <references count="2">
          <reference field="8" count="2">
            <x v="15"/>
            <x v="22"/>
          </reference>
          <reference field="11" count="1" selected="0">
            <x v="4"/>
          </reference>
        </references>
      </pivotArea>
    </format>
  </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62B3D3-660F-4181-B3F2-9B3484C5AB1C}" name="Сводная таблица1" cacheId="0"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4:B370" firstHeaderRow="1" firstDataRow="1" firstDataCol="1" rowPageCount="2" colPageCount="1"/>
  <pivotFields count="14">
    <pivotField axis="axisPage" showAll="0">
      <items count="3">
        <item x="0"/>
        <item x="1"/>
        <item t="default"/>
      </items>
    </pivotField>
    <pivotField axis="axisRow" dataField="1" showAll="0">
      <items count="887">
        <item x="283"/>
        <item x="8"/>
        <item x="27"/>
        <item x="627"/>
        <item x="120"/>
        <item x="143"/>
        <item x="638"/>
        <item x="802"/>
        <item x="223"/>
        <item x="492"/>
        <item x="436"/>
        <item x="608"/>
        <item x="604"/>
        <item x="408"/>
        <item x="514"/>
        <item x="487"/>
        <item x="815"/>
        <item x="691"/>
        <item x="842"/>
        <item x="609"/>
        <item x="457"/>
        <item x="445"/>
        <item x="135"/>
        <item x="467"/>
        <item x="797"/>
        <item x="181"/>
        <item x="619"/>
        <item x="782"/>
        <item x="617"/>
        <item x="9"/>
        <item x="145"/>
        <item x="174"/>
        <item x="256"/>
        <item x="255"/>
        <item x="300"/>
        <item x="724"/>
        <item x="698"/>
        <item x="44"/>
        <item x="821"/>
        <item x="668"/>
        <item x="278"/>
        <item x="577"/>
        <item x="642"/>
        <item x="878"/>
        <item x="551"/>
        <item x="885"/>
        <item x="826"/>
        <item x="453"/>
        <item x="816"/>
        <item x="357"/>
        <item x="114"/>
        <item x="711"/>
        <item x="483"/>
        <item x="738"/>
        <item x="49"/>
        <item x="149"/>
        <item x="220"/>
        <item x="3"/>
        <item x="643"/>
        <item x="732"/>
        <item x="622"/>
        <item x="444"/>
        <item x="293"/>
        <item x="446"/>
        <item x="801"/>
        <item x="414"/>
        <item x="215"/>
        <item x="216"/>
        <item x="211"/>
        <item x="601"/>
        <item x="184"/>
        <item x="504"/>
        <item x="378"/>
        <item x="371"/>
        <item x="355"/>
        <item x="606"/>
        <item x="682"/>
        <item x="109"/>
        <item x="94"/>
        <item x="138"/>
        <item x="461"/>
        <item x="491"/>
        <item x="119"/>
        <item x="605"/>
        <item x="843"/>
        <item x="555"/>
        <item x="616"/>
        <item x="198"/>
        <item x="218"/>
        <item x="170"/>
        <item x="412"/>
        <item x="190"/>
        <item x="489"/>
        <item x="226"/>
        <item x="270"/>
        <item x="321"/>
        <item x="400"/>
        <item x="835"/>
        <item x="368"/>
        <item x="451"/>
        <item x="192"/>
        <item x="502"/>
        <item x="726"/>
        <item x="657"/>
        <item x="178"/>
        <item x="209"/>
        <item x="757"/>
        <item x="103"/>
        <item x="376"/>
        <item x="342"/>
        <item x="857"/>
        <item x="832"/>
        <item x="718"/>
        <item x="241"/>
        <item x="251"/>
        <item x="550"/>
        <item x="535"/>
        <item x="172"/>
        <item x="865"/>
        <item x="864"/>
        <item x="117"/>
        <item x="741"/>
        <item x="603"/>
        <item x="244"/>
        <item x="772"/>
        <item x="12"/>
        <item x="162"/>
        <item x="818"/>
        <item x="810"/>
        <item x="167"/>
        <item x="854"/>
        <item x="156"/>
        <item x="38"/>
        <item x="247"/>
        <item x="512"/>
        <item x="428"/>
        <item x="566"/>
        <item x="685"/>
        <item x="785"/>
        <item x="186"/>
        <item x="284"/>
        <item x="106"/>
        <item x="641"/>
        <item x="460"/>
        <item x="592"/>
        <item x="246"/>
        <item x="459"/>
        <item x="770"/>
        <item x="229"/>
        <item x="559"/>
        <item x="281"/>
        <item x="228"/>
        <item x="570"/>
        <item x="844"/>
        <item x="703"/>
        <item x="561"/>
        <item x="332"/>
        <item x="326"/>
        <item x="252"/>
        <item x="125"/>
        <item x="224"/>
        <item x="560"/>
        <item x="313"/>
        <item x="60"/>
        <item x="74"/>
        <item x="207"/>
        <item x="634"/>
        <item x="182"/>
        <item x="24"/>
        <item x="29"/>
        <item x="65"/>
        <item x="775"/>
        <item x="248"/>
        <item x="752"/>
        <item x="510"/>
        <item x="475"/>
        <item x="253"/>
        <item x="214"/>
        <item x="830"/>
        <item x="728"/>
        <item x="646"/>
        <item x="280"/>
        <item x="264"/>
        <item x="766"/>
        <item x="507"/>
        <item x="275"/>
        <item x="708"/>
        <item x="866"/>
        <item x="305"/>
        <item x="266"/>
        <item x="294"/>
        <item x="262"/>
        <item x="709"/>
        <item x="236"/>
        <item x="271"/>
        <item x="380"/>
        <item x="513"/>
        <item x="764"/>
        <item x="612"/>
        <item x="415"/>
        <item x="392"/>
        <item x="208"/>
        <item x="624"/>
        <item x="529"/>
        <item x="382"/>
        <item x="393"/>
        <item x="312"/>
        <item x="202"/>
        <item x="759"/>
        <item x="773"/>
        <item x="517"/>
        <item x="720"/>
        <item x="463"/>
        <item x="205"/>
        <item x="185"/>
        <item x="50"/>
        <item x="808"/>
        <item x="59"/>
        <item x="259"/>
        <item x="850"/>
        <item x="851"/>
        <item x="104"/>
        <item x="862"/>
        <item x="748"/>
        <item x="814"/>
        <item x="806"/>
        <item x="333"/>
        <item x="338"/>
        <item x="349"/>
        <item x="701"/>
        <item x="793"/>
        <item x="434"/>
        <item x="97"/>
        <item x="482"/>
        <item x="306"/>
        <item x="755"/>
        <item x="677"/>
        <item x="5"/>
        <item x="863"/>
        <item x="15"/>
        <item x="465"/>
        <item x="121"/>
        <item x="431"/>
        <item x="221"/>
        <item x="96"/>
        <item x="500"/>
        <item x="142"/>
        <item x="751"/>
        <item x="742"/>
        <item x="838"/>
        <item x="481"/>
        <item x="587"/>
        <item x="336"/>
        <item x="669"/>
        <item x="10"/>
        <item x="521"/>
        <item x="437"/>
        <item x="177"/>
        <item x="179"/>
        <item x="318"/>
        <item x="345"/>
        <item x="66"/>
        <item x="83"/>
        <item x="523"/>
        <item x="533"/>
        <item x="542"/>
        <item x="395"/>
        <item x="384"/>
        <item x="849"/>
        <item x="493"/>
        <item x="43"/>
        <item x="777"/>
        <item x="823"/>
        <item x="811"/>
        <item x="736"/>
        <item x="4"/>
        <item x="829"/>
        <item x="394"/>
        <item x="110"/>
        <item x="78"/>
        <item x="639"/>
        <item x="362"/>
        <item x="883"/>
        <item x="82"/>
        <item x="311"/>
        <item x="833"/>
        <item x="623"/>
        <item x="365"/>
        <item x="301"/>
        <item x="710"/>
        <item x="557"/>
        <item x="630"/>
        <item x="876"/>
        <item x="40"/>
        <item x="831"/>
        <item x="597"/>
        <item x="469"/>
        <item x="593"/>
        <item x="618"/>
        <item x="499"/>
        <item x="230"/>
        <item x="716"/>
        <item x="409"/>
        <item x="787"/>
        <item x="804"/>
        <item x="549"/>
        <item x="662"/>
        <item x="470"/>
        <item x="86"/>
        <item x="739"/>
        <item x="471"/>
        <item x="115"/>
        <item x="6"/>
        <item x="822"/>
        <item x="75"/>
        <item x="413"/>
        <item x="722"/>
        <item x="650"/>
        <item x="812"/>
        <item x="625"/>
        <item x="450"/>
        <item x="448"/>
        <item x="558"/>
        <item x="137"/>
        <item x="21"/>
        <item x="308"/>
        <item x="136"/>
        <item x="488"/>
        <item x="98"/>
        <item x="538"/>
        <item x="540"/>
        <item x="543"/>
        <item x="478"/>
        <item x="25"/>
        <item x="30"/>
        <item x="419"/>
        <item x="26"/>
        <item x="676"/>
        <item x="422"/>
        <item x="579"/>
        <item x="743"/>
        <item x="432"/>
        <item x="827"/>
        <item x="871"/>
        <item x="232"/>
        <item x="715"/>
        <item x="373"/>
        <item x="231"/>
        <item x="659"/>
        <item x="658"/>
        <item x="175"/>
        <item x="160"/>
        <item x="91"/>
        <item x="401"/>
        <item x="84"/>
        <item x="309"/>
        <item x="479"/>
        <item x="11"/>
        <item x="786"/>
        <item x="699"/>
        <item x="872"/>
        <item x="369"/>
        <item x="632"/>
        <item x="36"/>
        <item x="455"/>
        <item x="420"/>
        <item x="501"/>
        <item x="653"/>
        <item x="870"/>
        <item x="153"/>
        <item x="651"/>
        <item x="687"/>
        <item x="877"/>
        <item x="633"/>
        <item x="706"/>
        <item x="547"/>
        <item x="354"/>
        <item x="410"/>
        <item x="131"/>
        <item x="805"/>
        <item x="243"/>
        <item x="519"/>
        <item x="361"/>
        <item x="161"/>
        <item x="130"/>
        <item x="670"/>
        <item x="567"/>
        <item x="511"/>
        <item x="391"/>
        <item x="46"/>
        <item x="769"/>
        <item x="367"/>
        <item x="201"/>
        <item x="442"/>
        <item x="286"/>
        <item x="239"/>
        <item x="141"/>
        <item x="249"/>
        <item x="356"/>
        <item x="494"/>
        <item x="263"/>
        <item x="265"/>
        <item x="729"/>
        <item x="139"/>
        <item x="635"/>
        <item x="473"/>
        <item x="681"/>
        <item x="631"/>
        <item x="477"/>
        <item x="335"/>
        <item x="761"/>
        <item x="370"/>
        <item x="839"/>
        <item x="765"/>
        <item x="758"/>
        <item x="58"/>
        <item x="56"/>
        <item x="57"/>
        <item x="613"/>
        <item x="745"/>
        <item x="118"/>
        <item x="45"/>
        <item x="296"/>
        <item x="867"/>
        <item x="63"/>
        <item x="783"/>
        <item x="310"/>
        <item x="154"/>
        <item x="417"/>
        <item x="287"/>
        <item x="425"/>
        <item x="798"/>
        <item x="522"/>
        <item x="828"/>
        <item x="449"/>
        <item x="454"/>
        <item x="779"/>
        <item x="128"/>
        <item x="323"/>
        <item x="704"/>
        <item x="85"/>
        <item x="51"/>
        <item x="325"/>
        <item x="803"/>
        <item x="319"/>
        <item x="387"/>
        <item x="875"/>
        <item x="330"/>
        <item x="723"/>
        <item x="407"/>
        <item x="879"/>
        <item x="358"/>
        <item x="359"/>
        <item x="452"/>
        <item x="672"/>
        <item x="315"/>
        <item x="584"/>
        <item x="546"/>
        <item x="314"/>
        <item x="602"/>
        <item x="366"/>
        <item x="565"/>
        <item x="571"/>
        <item x="753"/>
        <item x="767"/>
        <item x="750"/>
        <item x="268"/>
        <item x="200"/>
        <item x="537"/>
        <item x="516"/>
        <item x="712"/>
        <item x="590"/>
        <item x="771"/>
        <item x="847"/>
        <item x="852"/>
        <item x="776"/>
        <item x="568"/>
        <item x="576"/>
        <item x="583"/>
        <item x="88"/>
        <item x="90"/>
        <item x="237"/>
        <item x="649"/>
        <item x="790"/>
        <item x="530"/>
        <item x="92"/>
        <item x="340"/>
        <item x="462"/>
        <item x="789"/>
        <item x="694"/>
        <item x="22"/>
        <item x="317"/>
        <item x="112"/>
        <item x="235"/>
        <item x="848"/>
        <item x="346"/>
        <item x="509"/>
        <item x="486"/>
        <item x="800"/>
        <item x="464"/>
        <item x="882"/>
        <item x="140"/>
        <item x="795"/>
        <item x="397"/>
        <item x="379"/>
        <item x="144"/>
        <item x="350"/>
        <item x="495"/>
        <item x="636"/>
        <item x="107"/>
        <item x="116"/>
        <item x="363"/>
        <item x="219"/>
        <item x="574"/>
        <item x="87"/>
        <item x="466"/>
        <item x="589"/>
        <item x="456"/>
        <item x="548"/>
        <item x="343"/>
        <item x="166"/>
        <item x="518"/>
        <item x="737"/>
        <item x="480"/>
        <item x="2"/>
        <item x="324"/>
        <item x="661"/>
        <item x="667"/>
        <item x="581"/>
        <item x="825"/>
        <item x="599"/>
        <item x="290"/>
        <item x="291"/>
        <item x="572"/>
        <item x="438"/>
        <item x="562"/>
        <item x="525"/>
        <item x="705"/>
        <item x="640"/>
        <item x="427"/>
        <item x="429"/>
        <item x="788"/>
        <item x="381"/>
        <item x="396"/>
        <item x="534"/>
        <item x="836"/>
        <item x="304"/>
        <item x="320"/>
        <item x="328"/>
        <item x="403"/>
        <item x="713"/>
        <item x="497"/>
        <item x="303"/>
        <item x="792"/>
        <item x="132"/>
        <item x="163"/>
        <item x="16"/>
        <item x="133"/>
        <item x="240"/>
        <item x="680"/>
        <item x="124"/>
        <item x="505"/>
        <item x="197"/>
        <item x="108"/>
        <item x="217"/>
        <item x="874"/>
        <item x="820"/>
        <item x="61"/>
        <item x="73"/>
        <item x="62"/>
        <item x="660"/>
        <item x="573"/>
        <item x="331"/>
        <item x="14"/>
        <item x="289"/>
        <item x="277"/>
        <item x="834"/>
        <item x="472"/>
        <item x="122"/>
        <item x="714"/>
        <item x="48"/>
        <item x="655"/>
        <item x="873"/>
        <item x="629"/>
        <item x="69"/>
        <item x="389"/>
        <item x="654"/>
        <item x="360"/>
        <item x="68"/>
        <item x="809"/>
        <item x="526"/>
        <item x="347"/>
        <item x="474"/>
        <item x="861"/>
        <item x="430"/>
        <item x="47"/>
        <item x="155"/>
        <item x="151"/>
        <item x="164"/>
        <item x="406"/>
        <item x="76"/>
        <item x="18"/>
        <item x="19"/>
        <item x="23"/>
        <item x="28"/>
        <item x="33"/>
        <item x="34"/>
        <item x="645"/>
        <item x="341"/>
        <item x="257"/>
        <item x="258"/>
        <item x="298"/>
        <item x="418"/>
        <item x="260"/>
        <item x="372"/>
        <item x="55"/>
        <item x="665"/>
        <item x="13"/>
        <item x="67"/>
        <item x="586"/>
        <item x="426"/>
        <item x="569"/>
        <item x="77"/>
        <item x="89"/>
        <item x="64"/>
        <item x="735"/>
        <item x="860"/>
        <item x="740"/>
        <item x="859"/>
        <item x="746"/>
        <item x="17"/>
        <item x="747"/>
        <item x="858"/>
        <item x="496"/>
        <item x="485"/>
        <item x="210"/>
        <item x="700"/>
        <item x="552"/>
        <item x="157"/>
        <item x="152"/>
        <item x="351"/>
        <item x="353"/>
        <item x="352"/>
        <item x="165"/>
        <item x="146"/>
        <item x="150"/>
        <item x="348"/>
        <item x="127"/>
        <item x="853"/>
        <item x="856"/>
        <item x="35"/>
        <item x="648"/>
        <item x="591"/>
        <item x="615"/>
        <item x="147"/>
        <item x="334"/>
        <item x="111"/>
        <item x="744"/>
        <item x="778"/>
        <item x="663"/>
        <item x="688"/>
        <item x="468"/>
        <item x="113"/>
        <item x="32"/>
        <item x="20"/>
        <item x="671"/>
        <item x="686"/>
        <item x="607"/>
        <item x="302"/>
        <item x="575"/>
        <item x="564"/>
        <item x="539"/>
        <item x="556"/>
        <item x="416"/>
        <item x="273"/>
        <item x="374"/>
        <item x="578"/>
        <item x="250"/>
        <item x="261"/>
        <item x="749"/>
        <item x="377"/>
        <item x="515"/>
        <item x="674"/>
        <item x="774"/>
        <item x="621"/>
        <item x="696"/>
        <item x="595"/>
        <item x="689"/>
        <item x="684"/>
        <item x="690"/>
        <item x="611"/>
        <item x="227"/>
        <item x="824"/>
        <item x="267"/>
        <item x="596"/>
        <item x="693"/>
        <item x="610"/>
        <item x="692"/>
        <item x="233"/>
        <item x="274"/>
        <item x="813"/>
        <item x="841"/>
        <item x="554"/>
        <item x="316"/>
        <item x="344"/>
        <item x="731"/>
        <item x="730"/>
        <item x="476"/>
        <item x="329"/>
        <item x="269"/>
        <item x="837"/>
        <item x="580"/>
        <item x="528"/>
        <item x="666"/>
        <item x="173"/>
        <item x="524"/>
        <item x="37"/>
        <item x="282"/>
        <item x="781"/>
        <item x="129"/>
        <item x="285"/>
        <item x="41"/>
        <item x="375"/>
        <item x="188"/>
        <item x="544"/>
        <item x="176"/>
        <item x="458"/>
        <item x="292"/>
        <item x="733"/>
        <item x="234"/>
        <item x="71"/>
        <item x="337"/>
        <item x="158"/>
        <item x="95"/>
        <item x="600"/>
        <item x="679"/>
        <item x="880"/>
        <item x="134"/>
        <item x="222"/>
        <item x="180"/>
        <item x="191"/>
        <item x="199"/>
        <item x="225"/>
        <item x="421"/>
        <item x="405"/>
        <item x="39"/>
        <item x="846"/>
        <item x="322"/>
        <item x="588"/>
        <item x="105"/>
        <item x="364"/>
        <item x="295"/>
        <item x="93"/>
        <item x="762"/>
        <item x="791"/>
        <item x="754"/>
        <item x="614"/>
        <item x="725"/>
        <item x="196"/>
        <item x="7"/>
        <item x="545"/>
        <item x="72"/>
        <item x="189"/>
        <item x="707"/>
        <item x="780"/>
        <item x="101"/>
        <item x="845"/>
        <item x="784"/>
        <item x="148"/>
        <item x="168"/>
        <item x="868"/>
        <item x="637"/>
        <item x="719"/>
        <item x="183"/>
        <item x="195"/>
        <item x="435"/>
        <item x="386"/>
        <item x="212"/>
        <item x="126"/>
        <item x="402"/>
        <item x="441"/>
        <item x="819"/>
        <item x="807"/>
        <item x="585"/>
        <item x="1"/>
        <item x="276"/>
        <item x="881"/>
        <item x="840"/>
        <item x="799"/>
        <item x="213"/>
        <item x="768"/>
        <item x="388"/>
        <item x="536"/>
        <item x="238"/>
        <item x="490"/>
        <item x="796"/>
        <item x="307"/>
        <item x="80"/>
        <item x="541"/>
        <item x="100"/>
        <item x="628"/>
        <item x="81"/>
        <item x="339"/>
        <item x="187"/>
        <item x="594"/>
        <item x="598"/>
        <item x="697"/>
        <item x="297"/>
        <item x="288"/>
        <item x="506"/>
        <item x="279"/>
        <item x="242"/>
        <item x="763"/>
        <item x="582"/>
        <item x="717"/>
        <item x="327"/>
        <item x="817"/>
        <item x="411"/>
        <item x="884"/>
        <item x="54"/>
        <item x="52"/>
        <item x="53"/>
        <item x="42"/>
        <item x="652"/>
        <item x="678"/>
        <item x="203"/>
        <item x="734"/>
        <item x="532"/>
        <item x="70"/>
        <item x="299"/>
        <item x="193"/>
        <item x="99"/>
        <item x="503"/>
        <item x="727"/>
        <item x="531"/>
        <item x="702"/>
        <item x="553"/>
        <item x="390"/>
        <item x="869"/>
        <item x="498"/>
        <item x="272"/>
        <item x="760"/>
        <item x="756"/>
        <item x="169"/>
        <item x="79"/>
        <item x="159"/>
        <item x="695"/>
        <item x="520"/>
        <item x="620"/>
        <item x="855"/>
        <item x="664"/>
        <item x="484"/>
        <item x="31"/>
        <item x="447"/>
        <item x="123"/>
        <item x="383"/>
        <item x="626"/>
        <item x="404"/>
        <item x="102"/>
        <item x="171"/>
        <item x="563"/>
        <item x="647"/>
        <item x="794"/>
        <item x="0"/>
        <item x="254"/>
        <item x="245"/>
        <item x="656"/>
        <item x="508"/>
        <item x="206"/>
        <item x="194"/>
        <item x="527"/>
        <item x="721"/>
        <item x="673"/>
        <item x="385"/>
        <item x="443"/>
        <item x="440"/>
        <item x="644"/>
        <item x="439"/>
        <item x="675"/>
        <item x="423"/>
        <item x="683"/>
        <item x="399"/>
        <item x="433"/>
        <item x="424"/>
        <item x="398"/>
        <item x="204"/>
        <item t="default"/>
      </items>
    </pivotField>
    <pivotField showAll="0"/>
    <pivotField showAll="0"/>
    <pivotField showAll="0"/>
    <pivotField showAll="0"/>
    <pivotField showAll="0"/>
    <pivotField showAll="0"/>
    <pivotField axis="axisRow" showAll="0">
      <items count="27">
        <item x="0"/>
        <item x="21"/>
        <item x="1"/>
        <item x="4"/>
        <item x="9"/>
        <item x="6"/>
        <item x="2"/>
        <item x="7"/>
        <item x="20"/>
        <item x="8"/>
        <item x="13"/>
        <item x="10"/>
        <item x="11"/>
        <item x="12"/>
        <item x="15"/>
        <item x="14"/>
        <item x="18"/>
        <item x="16"/>
        <item x="17"/>
        <item x="5"/>
        <item x="3"/>
        <item x="19"/>
        <item x="22"/>
        <item x="23"/>
        <item x="24"/>
        <item x="25"/>
        <item t="default"/>
      </items>
    </pivotField>
    <pivotField axis="axisRow" showAll="0">
      <items count="8">
        <item x="4"/>
        <item x="0"/>
        <item x="1"/>
        <item x="2"/>
        <item x="3"/>
        <item x="5"/>
        <item x="6"/>
        <item t="default"/>
      </items>
    </pivotField>
    <pivotField axis="axisPage" showAll="0">
      <items count="8">
        <item x="0"/>
        <item x="1"/>
        <item x="2"/>
        <item x="3"/>
        <item x="4"/>
        <item x="5"/>
        <item x="6"/>
        <item t="default"/>
      </items>
    </pivotField>
    <pivotField showAll="0"/>
    <pivotField showAll="0"/>
    <pivotField showAll="0"/>
  </pivotFields>
  <rowFields count="3">
    <field x="8"/>
    <field x="9"/>
    <field x="1"/>
  </rowFields>
  <rowItems count="366">
    <i>
      <x/>
    </i>
    <i r="1">
      <x v="1"/>
    </i>
    <i r="2">
      <x v="863"/>
    </i>
    <i r="1">
      <x v="2"/>
    </i>
    <i r="2">
      <x v="524"/>
    </i>
    <i r="2">
      <x v="650"/>
    </i>
    <i r="2">
      <x v="784"/>
    </i>
    <i r="1">
      <x v="3"/>
    </i>
    <i r="2">
      <x v="57"/>
    </i>
    <i r="2">
      <x v="237"/>
    </i>
    <i r="2">
      <x v="275"/>
    </i>
    <i>
      <x v="1"/>
    </i>
    <i r="1">
      <x/>
    </i>
    <i r="2">
      <x v="304"/>
    </i>
    <i r="1">
      <x v="1"/>
    </i>
    <i r="2">
      <x v="271"/>
    </i>
    <i r="2">
      <x v="475"/>
    </i>
    <i r="1">
      <x v="2"/>
    </i>
    <i r="2">
      <x v="230"/>
    </i>
    <i r="2">
      <x v="379"/>
    </i>
    <i r="2">
      <x v="436"/>
    </i>
    <i r="2">
      <x v="658"/>
    </i>
    <i r="2">
      <x v="764"/>
    </i>
    <i r="1">
      <x v="3"/>
    </i>
    <i r="2">
      <x v="683"/>
    </i>
    <i r="2">
      <x v="718"/>
    </i>
    <i r="2">
      <x v="862"/>
    </i>
    <i r="1">
      <x v="4"/>
    </i>
    <i r="2">
      <x v="754"/>
    </i>
    <i>
      <x v="2"/>
    </i>
    <i r="1">
      <x v="1"/>
    </i>
    <i r="2">
      <x v="615"/>
    </i>
    <i r="1">
      <x v="2"/>
    </i>
    <i r="2">
      <x v="217"/>
    </i>
    <i r="2">
      <x v="293"/>
    </i>
    <i r="2">
      <x v="415"/>
    </i>
    <i r="2">
      <x v="416"/>
    </i>
    <i r="2">
      <x v="417"/>
    </i>
    <i r="2">
      <x v="721"/>
    </i>
    <i r="2">
      <x v="745"/>
    </i>
    <i r="1">
      <x v="3"/>
    </i>
    <i r="2">
      <x v="37"/>
    </i>
    <i r="2">
      <x v="270"/>
    </i>
    <i r="2">
      <x v="822"/>
    </i>
    <i>
      <x v="3"/>
    </i>
    <i r="1">
      <x/>
    </i>
    <i r="2">
      <x v="244"/>
    </i>
    <i r="1">
      <x v="2"/>
    </i>
    <i r="2">
      <x v="232"/>
    </i>
    <i r="2">
      <x v="328"/>
    </i>
    <i r="2">
      <x v="403"/>
    </i>
    <i r="2">
      <x v="765"/>
    </i>
    <i r="2">
      <x v="799"/>
    </i>
    <i r="2">
      <x v="831"/>
    </i>
    <i r="1">
      <x v="3"/>
    </i>
    <i r="2">
      <x v="107"/>
    </i>
    <i r="2">
      <x v="221"/>
    </i>
    <i r="2">
      <x v="749"/>
    </i>
    <i r="2">
      <x v="858"/>
    </i>
    <i r="1">
      <x v="4"/>
    </i>
    <i r="2">
      <x v="141"/>
    </i>
    <i>
      <x v="4"/>
    </i>
    <i r="1">
      <x/>
    </i>
    <i r="2">
      <x v="134"/>
    </i>
    <i r="2">
      <x v="287"/>
    </i>
    <i r="1">
      <x v="1"/>
    </i>
    <i r="2">
      <x v="460"/>
    </i>
    <i r="1">
      <x v="2"/>
    </i>
    <i r="2">
      <x v="98"/>
    </i>
    <i r="2">
      <x v="196"/>
    </i>
    <i r="2">
      <x v="391"/>
    </i>
    <i r="1">
      <x v="3"/>
    </i>
    <i r="2">
      <x v="14"/>
    </i>
    <i r="2">
      <x v="195"/>
    </i>
    <i r="1">
      <x v="4"/>
    </i>
    <i r="2">
      <x v="72"/>
    </i>
    <i r="2">
      <x v="361"/>
    </i>
    <i r="2">
      <x v="681"/>
    </i>
    <i>
      <x v="5"/>
    </i>
    <i r="1">
      <x/>
    </i>
    <i r="2">
      <x v="257"/>
    </i>
    <i r="1">
      <x v="1"/>
    </i>
    <i r="2">
      <x v="777"/>
    </i>
    <i r="2">
      <x v="789"/>
    </i>
    <i r="1">
      <x v="2"/>
    </i>
    <i r="2">
      <x v="66"/>
    </i>
    <i r="2">
      <x v="67"/>
    </i>
    <i r="2">
      <x v="104"/>
    </i>
    <i r="2">
      <x v="105"/>
    </i>
    <i r="2">
      <x v="177"/>
    </i>
    <i r="2">
      <x v="258"/>
    </i>
    <i r="2">
      <x v="739"/>
    </i>
    <i r="1">
      <x v="3"/>
    </i>
    <i r="2">
      <x v="25"/>
    </i>
    <i r="2">
      <x v="564"/>
    </i>
    <i r="1">
      <x v="4"/>
    </i>
    <i r="2">
      <x v="56"/>
    </i>
    <i r="2">
      <x v="88"/>
    </i>
    <i r="2">
      <x v="167"/>
    </i>
    <i r="2">
      <x v="512"/>
    </i>
    <i r="2">
      <x v="635"/>
    </i>
    <i r="2">
      <x v="773"/>
    </i>
    <i>
      <x v="6"/>
    </i>
    <i r="1">
      <x v="1"/>
    </i>
    <i r="2">
      <x v="163"/>
    </i>
    <i r="1">
      <x v="2"/>
    </i>
    <i r="2">
      <x v="424"/>
    </i>
    <i r="2">
      <x v="567"/>
    </i>
    <i r="2">
      <x v="569"/>
    </i>
    <i r="2">
      <x v="624"/>
    </i>
    <i r="1">
      <x v="3"/>
    </i>
    <i r="2">
      <x v="170"/>
    </i>
    <i r="2">
      <x v="600"/>
    </i>
    <i r="1">
      <x v="4"/>
    </i>
    <i r="2">
      <x v="622"/>
    </i>
    <i>
      <x v="7"/>
    </i>
    <i r="1">
      <x/>
    </i>
    <i r="2">
      <x v="140"/>
    </i>
    <i r="2">
      <x v="189"/>
    </i>
    <i r="1">
      <x v="1"/>
    </i>
    <i r="2">
      <x v="720"/>
    </i>
    <i r="1">
      <x v="2"/>
    </i>
    <i r="2">
      <x v="190"/>
    </i>
    <i r="2">
      <x v="394"/>
    </i>
    <i r="2">
      <x v="429"/>
    </i>
    <i>
      <x v="8"/>
    </i>
    <i r="1">
      <x/>
    </i>
    <i r="2">
      <x v="842"/>
    </i>
    <i r="1">
      <x v="1"/>
    </i>
    <i r="2">
      <x v="390"/>
    </i>
    <i r="1">
      <x v="2"/>
    </i>
    <i r="2">
      <x v="106"/>
    </i>
    <i r="2">
      <x v="235"/>
    </i>
    <i r="1">
      <x v="3"/>
    </i>
    <i r="2">
      <x v="147"/>
    </i>
    <i r="2">
      <x v="414"/>
    </i>
    <i r="1">
      <x v="4"/>
    </i>
    <i r="2">
      <x v="208"/>
    </i>
    <i>
      <x v="9"/>
    </i>
    <i r="1">
      <x/>
    </i>
    <i r="2">
      <x v="608"/>
    </i>
    <i r="1">
      <x v="1"/>
    </i>
    <i r="2">
      <x v="259"/>
    </i>
    <i r="2">
      <x v="444"/>
    </i>
    <i r="2">
      <x v="704"/>
    </i>
    <i r="1">
      <x v="2"/>
    </i>
    <i r="2">
      <x v="95"/>
    </i>
    <i r="2">
      <x v="547"/>
    </i>
    <i r="2">
      <x v="747"/>
    </i>
    <i r="1">
      <x v="3"/>
    </i>
    <i r="2">
      <x v="260"/>
    </i>
    <i r="2">
      <x v="438"/>
    </i>
    <i>
      <x v="10"/>
    </i>
    <i r="1">
      <x/>
    </i>
    <i r="2">
      <x v="847"/>
    </i>
    <i r="1">
      <x v="2"/>
    </i>
    <i r="2">
      <x v="255"/>
    </i>
    <i r="2">
      <x v="263"/>
    </i>
    <i r="2">
      <x v="432"/>
    </i>
    <i r="2">
      <x v="715"/>
    </i>
    <i r="2">
      <x v="724"/>
    </i>
    <i r="1">
      <x v="3"/>
    </i>
    <i r="2">
      <x v="536"/>
    </i>
    <i r="2">
      <x v="590"/>
    </i>
    <i r="1">
      <x v="4"/>
    </i>
    <i r="2">
      <x v="471"/>
    </i>
    <i r="2">
      <x v="870"/>
    </i>
    <i>
      <x v="11"/>
    </i>
    <i r="1">
      <x/>
    </i>
    <i r="2">
      <x v="204"/>
    </i>
    <i r="1">
      <x v="1"/>
    </i>
    <i r="2">
      <x v="855"/>
    </i>
    <i r="2">
      <x v="882"/>
    </i>
    <i r="1">
      <x v="2"/>
    </i>
    <i r="2">
      <x v="90"/>
    </i>
    <i r="2">
      <x v="242"/>
    </i>
    <i r="2">
      <x v="315"/>
    </i>
    <i r="1">
      <x v="4"/>
    </i>
    <i r="2">
      <x v="267"/>
    </i>
    <i>
      <x v="12"/>
    </i>
    <i r="1">
      <x/>
    </i>
    <i r="2">
      <x v="10"/>
    </i>
    <i r="2">
      <x v="256"/>
    </i>
    <i r="1">
      <x v="2"/>
    </i>
    <i r="2">
      <x v="534"/>
    </i>
    <i r="2">
      <x v="875"/>
    </i>
    <i r="2">
      <x v="877"/>
    </i>
    <i>
      <x v="13"/>
    </i>
    <i r="1">
      <x/>
    </i>
    <i r="2">
      <x v="80"/>
    </i>
    <i r="2">
      <x v="143"/>
    </i>
    <i r="2">
      <x v="487"/>
    </i>
    <i r="1">
      <x v="1"/>
    </i>
    <i r="2">
      <x v="212"/>
    </i>
    <i r="2">
      <x v="499"/>
    </i>
    <i r="1">
      <x v="2"/>
    </i>
    <i r="2">
      <x v="23"/>
    </i>
    <i r="2">
      <x v="71"/>
    </i>
    <i r="2">
      <x v="240"/>
    </i>
    <i r="2">
      <x v="515"/>
    </i>
    <i r="2">
      <x v="726"/>
    </i>
    <i r="1">
      <x v="3"/>
    </i>
    <i r="2">
      <x v="296"/>
    </i>
    <i r="2">
      <x v="661"/>
    </i>
    <i r="2">
      <x v="839"/>
    </i>
    <i r="1">
      <x v="4"/>
    </i>
    <i r="2">
      <x v="307"/>
    </i>
    <i>
      <x v="14"/>
    </i>
    <i r="1">
      <x/>
    </i>
    <i r="2">
      <x v="687"/>
    </i>
    <i r="1">
      <x v="1"/>
    </i>
    <i r="2">
      <x v="686"/>
    </i>
    <i r="2">
      <x v="694"/>
    </i>
    <i r="2">
      <x v="804"/>
    </i>
    <i r="1">
      <x v="2"/>
    </i>
    <i r="2">
      <x v="17"/>
    </i>
    <i r="2">
      <x v="295"/>
    </i>
    <i r="2">
      <x v="418"/>
    </i>
    <i r="2">
      <x v="689"/>
    </i>
    <i r="2">
      <x v="756"/>
    </i>
    <i r="2">
      <x v="805"/>
    </i>
    <i r="1">
      <x v="3"/>
    </i>
    <i r="2">
      <x v="530"/>
    </i>
    <i r="1">
      <x v="4"/>
    </i>
    <i r="2">
      <x v="697"/>
    </i>
    <i r="2">
      <x v="734"/>
    </i>
    <i>
      <x v="15"/>
    </i>
    <i r="1">
      <x v="1"/>
    </i>
    <i r="2">
      <x v="571"/>
    </i>
    <i r="1">
      <x v="2"/>
    </i>
    <i r="2">
      <x v="115"/>
    </i>
    <i r="2">
      <x v="305"/>
    </i>
    <i r="2">
      <x v="375"/>
    </i>
    <i r="2">
      <x v="457"/>
    </i>
    <i r="2">
      <x v="518"/>
    </i>
    <i r="2">
      <x v="760"/>
    </i>
    <i r="1">
      <x v="3"/>
    </i>
    <i r="2">
      <x v="44"/>
    </i>
    <i r="2">
      <x v="85"/>
    </i>
    <i r="2">
      <x v="477"/>
    </i>
    <i r="2">
      <x v="637"/>
    </i>
    <i r="2">
      <x v="702"/>
    </i>
    <i r="2">
      <x v="836"/>
    </i>
    <i r="1">
      <x v="4"/>
    </i>
    <i r="2">
      <x v="478"/>
    </i>
    <i r="2">
      <x v="672"/>
    </i>
    <i>
      <x v="16"/>
    </i>
    <i r="1">
      <x v="1"/>
    </i>
    <i r="2">
      <x v="316"/>
    </i>
    <i r="1">
      <x v="2"/>
    </i>
    <i r="2">
      <x v="439"/>
    </i>
    <i r="2">
      <x v="772"/>
    </i>
    <i r="1">
      <x v="3"/>
    </i>
    <i r="2">
      <x v="537"/>
    </i>
    <i r="1">
      <x v="4"/>
    </i>
    <i r="2">
      <x v="211"/>
    </i>
    <i>
      <x v="17"/>
    </i>
    <i r="1">
      <x/>
    </i>
    <i r="2">
      <x v="508"/>
    </i>
    <i r="2">
      <x v="848"/>
    </i>
    <i r="1">
      <x v="1"/>
    </i>
    <i r="2">
      <x v="26"/>
    </i>
    <i r="2">
      <x v="60"/>
    </i>
    <i r="2">
      <x v="166"/>
    </i>
    <i r="2">
      <x v="684"/>
    </i>
    <i r="1">
      <x v="2"/>
    </i>
    <i r="2">
      <x v="28"/>
    </i>
    <i r="2">
      <x v="202"/>
    </i>
    <i r="2">
      <x v="286"/>
    </i>
    <i r="2">
      <x v="407"/>
    </i>
    <i r="2">
      <x v="538"/>
    </i>
    <i>
      <x v="18"/>
    </i>
    <i r="1">
      <x/>
    </i>
    <i r="2">
      <x v="454"/>
    </i>
    <i r="1">
      <x v="1"/>
    </i>
    <i r="2">
      <x v="253"/>
    </i>
    <i r="2">
      <x v="607"/>
    </i>
    <i r="1">
      <x v="2"/>
    </i>
    <i r="2">
      <x v="180"/>
    </i>
    <i r="2">
      <x v="482"/>
    </i>
    <i r="2">
      <x v="651"/>
    </i>
    <i r="2">
      <x v="713"/>
    </i>
    <i r="2">
      <x v="861"/>
    </i>
    <i r="2">
      <x v="872"/>
    </i>
    <i>
      <x v="19"/>
    </i>
    <i r="1">
      <x v="2"/>
    </i>
    <i r="2">
      <x v="587"/>
    </i>
    <i r="2">
      <x v="591"/>
    </i>
    <i r="2">
      <x v="639"/>
    </i>
    <i r="2">
      <x v="644"/>
    </i>
    <i r="2">
      <x v="646"/>
    </i>
    <i r="1">
      <x v="3"/>
    </i>
    <i r="2">
      <x v="654"/>
    </i>
    <i r="1">
      <x v="4"/>
    </i>
    <i r="2">
      <x v="131"/>
    </i>
    <i r="2">
      <x v="228"/>
    </i>
    <i r="2">
      <x v="369"/>
    </i>
    <i r="2">
      <x v="427"/>
    </i>
    <i r="2">
      <x v="506"/>
    </i>
    <i r="2">
      <x v="596"/>
    </i>
    <i r="2">
      <x v="638"/>
    </i>
    <i r="2">
      <x v="732"/>
    </i>
    <i>
      <x v="20"/>
    </i>
    <i r="1">
      <x v="2"/>
    </i>
    <i r="2">
      <x v="458"/>
    </i>
    <i r="2">
      <x v="479"/>
    </i>
    <i r="2">
      <x v="552"/>
    </i>
    <i r="2">
      <x v="623"/>
    </i>
    <i r="1">
      <x v="3"/>
    </i>
    <i r="2">
      <x v="193"/>
    </i>
    <i r="2">
      <x v="352"/>
    </i>
    <i r="2">
      <x v="480"/>
    </i>
    <i r="2">
      <x v="485"/>
    </i>
    <i r="2">
      <x v="833"/>
    </i>
    <i r="1">
      <x v="4"/>
    </i>
    <i r="2">
      <x v="395"/>
    </i>
    <i r="2">
      <x v="481"/>
    </i>
    <i r="2">
      <x v="558"/>
    </i>
    <i r="2">
      <x v="793"/>
    </i>
    <i>
      <x v="21"/>
    </i>
    <i r="1">
      <x v="1"/>
    </i>
    <i r="2">
      <x v="522"/>
    </i>
    <i r="1">
      <x v="2"/>
    </i>
    <i r="2">
      <x v="53"/>
    </i>
    <i r="2">
      <x v="173"/>
    </i>
    <i r="2">
      <x v="309"/>
    </i>
    <i r="2">
      <x v="402"/>
    </i>
    <i r="1">
      <x v="3"/>
    </i>
    <i r="2">
      <x v="705"/>
    </i>
    <i r="2">
      <x v="706"/>
    </i>
    <i>
      <x v="22"/>
    </i>
    <i r="1">
      <x/>
    </i>
    <i r="2">
      <x v="272"/>
    </i>
    <i r="1">
      <x v="1"/>
    </i>
    <i r="2">
      <x v="285"/>
    </i>
    <i r="1">
      <x v="2"/>
    </i>
    <i r="2">
      <x v="313"/>
    </i>
    <i r="2">
      <x v="318"/>
    </i>
    <i>
      <x v="23"/>
    </i>
    <i r="1">
      <x/>
    </i>
    <i r="2">
      <x v="545"/>
    </i>
    <i r="1">
      <x v="1"/>
    </i>
    <i r="2">
      <x v="710"/>
    </i>
    <i r="1">
      <x v="2"/>
    </i>
    <i r="2">
      <x v="249"/>
    </i>
    <i r="2">
      <x v="412"/>
    </i>
    <i r="2">
      <x v="701"/>
    </i>
    <i r="2">
      <x v="787"/>
    </i>
    <i r="1">
      <x v="3"/>
    </i>
    <i r="2">
      <x v="18"/>
    </i>
    <i r="2">
      <x v="84"/>
    </i>
    <i r="2">
      <x v="153"/>
    </i>
    <i r="1">
      <x v="4"/>
    </i>
    <i r="2">
      <x v="766"/>
    </i>
    <i>
      <x v="24"/>
    </i>
    <i r="1">
      <x/>
    </i>
    <i r="2">
      <x v="838"/>
    </i>
    <i r="1">
      <x v="1"/>
    </i>
    <i r="2">
      <x v="343"/>
    </i>
    <i r="2">
      <x v="360"/>
    </i>
    <i r="2">
      <x v="368"/>
    </i>
    <i r="1">
      <x v="2"/>
    </i>
    <i r="2">
      <x v="423"/>
    </i>
    <i r="2">
      <x v="582"/>
    </i>
    <i r="2">
      <x v="818"/>
    </i>
    <i t="grand">
      <x/>
    </i>
  </rowItems>
  <colItems count="1">
    <i/>
  </colItems>
  <pageFields count="2">
    <pageField fld="0" item="0" hier="-1"/>
    <pageField fld="10" item="0" hier="-1"/>
  </pageFields>
  <dataFields count="1">
    <dataField name="Количество по полю Name" fld="1" subtotal="count" baseField="0" baseItem="0"/>
  </dataField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AB4416-2BC4-446F-AA80-1ED5B4B81949}" name="Сводная таблица4" cacheId="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P18:V27" firstHeaderRow="1" firstDataRow="2" firstDataCol="1" rowPageCount="1" colPageCount="1"/>
  <pivotFields count="20">
    <pivotField axis="axisPage" showAll="0">
      <items count="3">
        <item x="0"/>
        <item x="1"/>
        <item t="default"/>
      </items>
    </pivotField>
    <pivotField showAll="0"/>
    <pivotField dataField="1" showAll="0"/>
    <pivotField axis="axisRow" showAll="0">
      <items count="8">
        <item x="1"/>
        <item x="0"/>
        <item x="3"/>
        <item sd="0" x="2"/>
        <item sd="0" x="6"/>
        <item x="5"/>
        <item x="4"/>
        <item t="default"/>
      </items>
    </pivotField>
    <pivotField showAll="0"/>
    <pivotField showAll="0"/>
    <pivotField axis="axisCol" showAll="0">
      <items count="7">
        <item x="5"/>
        <item x="2"/>
        <item x="3"/>
        <item x="1"/>
        <item x="4"/>
        <item x="0"/>
        <item t="default"/>
      </items>
    </pivotField>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s>
  <rowFields count="1">
    <field x="3"/>
  </rowFields>
  <rowItems count="8">
    <i>
      <x/>
    </i>
    <i>
      <x v="1"/>
    </i>
    <i>
      <x v="2"/>
    </i>
    <i>
      <x v="3"/>
    </i>
    <i>
      <x v="4"/>
    </i>
    <i>
      <x v="5"/>
    </i>
    <i>
      <x v="6"/>
    </i>
    <i t="grand">
      <x/>
    </i>
  </rowItems>
  <colFields count="1">
    <field x="6"/>
  </colFields>
  <colItems count="6">
    <i>
      <x v="1"/>
    </i>
    <i>
      <x v="2"/>
    </i>
    <i>
      <x v="3"/>
    </i>
    <i>
      <x v="4"/>
    </i>
    <i>
      <x v="5"/>
    </i>
    <i t="grand">
      <x/>
    </i>
  </colItems>
  <pageFields count="1">
    <pageField fld="0" item="0" hier="-1"/>
  </pageFields>
  <dataFields count="1">
    <dataField name="Количество по полю Выбор" fld="2" subtotal="count" baseField="0" baseItem="0"/>
  </dataFields>
  <formats count="7">
    <format dxfId="12">
      <pivotArea field="3" grandCol="1" collapsedLevelsAreSubtotals="1" axis="axisRow" fieldPosition="0">
        <references count="1">
          <reference field="3" count="1">
            <x v="0"/>
          </reference>
        </references>
      </pivotArea>
    </format>
    <format dxfId="11">
      <pivotArea field="3" grandCol="1" collapsedLevelsAreSubtotals="1" axis="axisRow" fieldPosition="0">
        <references count="1">
          <reference field="3" count="1">
            <x v="1"/>
          </reference>
        </references>
      </pivotArea>
    </format>
    <format dxfId="10">
      <pivotArea field="3" grandCol="1" collapsedLevelsAreSubtotals="1" axis="axisRow" fieldPosition="0">
        <references count="1">
          <reference field="3" count="1">
            <x v="3"/>
          </reference>
        </references>
      </pivotArea>
    </format>
    <format dxfId="9">
      <pivotArea collapsedLevelsAreSubtotals="1" fieldPosition="0">
        <references count="1">
          <reference field="3" count="2">
            <x v="0"/>
            <x v="1"/>
          </reference>
        </references>
      </pivotArea>
    </format>
    <format dxfId="8">
      <pivotArea collapsedLevelsAreSubtotals="1" fieldPosition="0">
        <references count="2">
          <reference field="3" count="1">
            <x v="3"/>
          </reference>
          <reference field="6" count="5" selected="0">
            <x v="1"/>
            <x v="2"/>
            <x v="3"/>
            <x v="4"/>
            <x v="5"/>
          </reference>
        </references>
      </pivotArea>
    </format>
    <format dxfId="7">
      <pivotArea collapsedLevelsAreSubtotals="1" fieldPosition="0">
        <references count="1">
          <reference field="3" count="1">
            <x v="2"/>
          </reference>
        </references>
      </pivotArea>
    </format>
    <format dxfId="6">
      <pivotArea collapsedLevelsAreSubtotals="1" fieldPosition="0">
        <references count="1">
          <reference field="3" count="1">
            <x v="3"/>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4AFDDE-D46F-43BF-A49F-3E350AD4E2D5}" name="Сводная таблица3" cacheId="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P3:T11" firstHeaderRow="1" firstDataRow="2" firstDataCol="1" rowPageCount="1" colPageCount="1"/>
  <pivotFields count="20">
    <pivotField axis="axisPage" showAll="0">
      <items count="3">
        <item x="0"/>
        <item x="1"/>
        <item t="default"/>
      </items>
    </pivotField>
    <pivotField showAll="0"/>
    <pivotField axis="axisCol" dataField="1" showAll="0">
      <items count="5">
        <item x="0"/>
        <item x="1"/>
        <item x="2"/>
        <item h="1" x="3"/>
        <item t="default"/>
      </items>
    </pivotField>
    <pivotField axis="axisRow" showAll="0">
      <items count="8">
        <item sd="0" x="1"/>
        <item sd="0" x="0"/>
        <item x="3"/>
        <item sd="0" x="2"/>
        <item h="1" sd="0" x="6"/>
        <item x="5"/>
        <item x="4"/>
        <item t="default"/>
      </items>
    </pivotField>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s>
  <rowFields count="1">
    <field x="3"/>
  </rowFields>
  <rowItems count="7">
    <i>
      <x/>
    </i>
    <i>
      <x v="1"/>
    </i>
    <i>
      <x v="2"/>
    </i>
    <i>
      <x v="3"/>
    </i>
    <i>
      <x v="5"/>
    </i>
    <i>
      <x v="6"/>
    </i>
    <i t="grand">
      <x/>
    </i>
  </rowItems>
  <colFields count="1">
    <field x="2"/>
  </colFields>
  <colItems count="4">
    <i>
      <x/>
    </i>
    <i>
      <x v="1"/>
    </i>
    <i>
      <x v="2"/>
    </i>
    <i t="grand">
      <x/>
    </i>
  </colItems>
  <pageFields count="1">
    <pageField fld="0" item="0" hier="-1"/>
  </pageFields>
  <dataFields count="1">
    <dataField name="Количество по полю Выбор" fld="2" subtotal="count" showDataAs="percentOfTotal" baseField="0" baseItem="0" numFmtId="1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F3D1DB-E6D1-4099-8065-B1FD8BBC0812}" name="Сводная таблица2" cacheId="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X4:AB25" firstHeaderRow="1" firstDataRow="2" firstDataCol="1" rowPageCount="2" colPageCount="1"/>
  <pivotFields count="20">
    <pivotField axis="axisPage" showAll="0">
      <items count="3">
        <item x="0"/>
        <item x="1"/>
        <item t="default"/>
      </items>
    </pivotField>
    <pivotField showAll="0"/>
    <pivotField axis="axisCol" dataField="1" showAll="0">
      <items count="5">
        <item x="0"/>
        <item x="1"/>
        <item x="2"/>
        <item h="1" x="3"/>
        <item t="default"/>
      </items>
    </pivotField>
    <pivotField showAll="0"/>
    <pivotField showAll="0"/>
    <pivotField axis="axisRow" showAll="0">
      <items count="8">
        <item x="3"/>
        <item x="4"/>
        <item x="2"/>
        <item x="5"/>
        <item x="0"/>
        <item x="6"/>
        <item x="1"/>
        <item t="default"/>
      </items>
    </pivotField>
    <pivotField showAll="0"/>
    <pivotField showAll="0"/>
    <pivotField showAll="0"/>
    <pivotField showAll="0"/>
    <pivotField showAll="0"/>
    <pivotField showAll="0"/>
    <pivotField showAll="0"/>
    <pivotField showAll="0"/>
    <pivotField axis="axisRow" showAll="0" sortType="ascending">
      <items count="32">
        <item x="24"/>
        <item x="7"/>
        <item x="1"/>
        <item x="2"/>
        <item x="25"/>
        <item x="0"/>
        <item x="14"/>
        <item x="15"/>
        <item x="8"/>
        <item x="5"/>
        <item x="22"/>
        <item x="6"/>
        <item x="23"/>
        <item x="16"/>
        <item x="19"/>
        <item x="13"/>
        <item x="12"/>
        <item x="20"/>
        <item x="17"/>
        <item x="3"/>
        <item x="11"/>
        <item x="27"/>
        <item x="28"/>
        <item x="10"/>
        <item x="9"/>
        <item x="18"/>
        <item x="21"/>
        <item x="29"/>
        <item x="4"/>
        <item x="26"/>
        <item x="30"/>
        <item t="default"/>
      </items>
    </pivotField>
    <pivotField axis="axisPage" showAll="0">
      <items count="7">
        <item x="2"/>
        <item x="3"/>
        <item x="0"/>
        <item x="1"/>
        <item x="4"/>
        <item x="5"/>
        <item t="default"/>
      </items>
    </pivotField>
    <pivotField showAll="0"/>
    <pivotField showAll="0"/>
    <pivotField showAll="0"/>
    <pivotField showAll="0"/>
  </pivotFields>
  <rowFields count="2">
    <field x="5"/>
    <field x="14"/>
  </rowFields>
  <rowItems count="20">
    <i>
      <x/>
    </i>
    <i r="1">
      <x v="28"/>
    </i>
    <i>
      <x v="1"/>
    </i>
    <i r="1">
      <x v="6"/>
    </i>
    <i r="1">
      <x v="7"/>
    </i>
    <i r="1">
      <x v="13"/>
    </i>
    <i r="1">
      <x v="25"/>
    </i>
    <i>
      <x v="2"/>
    </i>
    <i r="1">
      <x v="16"/>
    </i>
    <i r="1">
      <x v="19"/>
    </i>
    <i>
      <x v="3"/>
    </i>
    <i r="1">
      <x v="17"/>
    </i>
    <i r="1">
      <x v="26"/>
    </i>
    <i>
      <x v="4"/>
    </i>
    <i r="1">
      <x v="2"/>
    </i>
    <i r="1">
      <x v="9"/>
    </i>
    <i r="1">
      <x v="15"/>
    </i>
    <i>
      <x v="6"/>
    </i>
    <i r="1">
      <x v="24"/>
    </i>
    <i t="grand">
      <x/>
    </i>
  </rowItems>
  <colFields count="1">
    <field x="2"/>
  </colFields>
  <colItems count="4">
    <i>
      <x/>
    </i>
    <i>
      <x v="1"/>
    </i>
    <i>
      <x v="2"/>
    </i>
    <i t="grand">
      <x/>
    </i>
  </colItems>
  <pageFields count="2">
    <pageField fld="0" item="0" hier="-1"/>
    <pageField fld="15" item="4" hier="-1"/>
  </pageFields>
  <dataFields count="1">
    <dataField name="Количество по полю Выбор"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B2C930-5E7B-4153-9004-E28A66702EEE}" name="Сводная таблица1" cacheId="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J3:N35" firstHeaderRow="1" firstDataRow="2" firstDataCol="1" rowPageCount="1" colPageCount="1"/>
  <pivotFields count="20">
    <pivotField axis="axisPage" showAll="0">
      <items count="3">
        <item x="0"/>
        <item x="1"/>
        <item t="default"/>
      </items>
    </pivotField>
    <pivotField showAll="0"/>
    <pivotField axis="axisCol" dataField="1" showAll="0">
      <items count="5">
        <item x="0"/>
        <item x="1"/>
        <item x="2"/>
        <item h="1" x="3"/>
        <item t="default"/>
      </items>
    </pivotField>
    <pivotField showAll="0"/>
    <pivotField showAll="0"/>
    <pivotField axis="axisRow" showAll="0">
      <items count="8">
        <item x="3"/>
        <item x="4"/>
        <item x="2"/>
        <item x="5"/>
        <item x="0"/>
        <item x="6"/>
        <item x="1"/>
        <item t="default"/>
      </items>
    </pivotField>
    <pivotField showAll="0"/>
    <pivotField showAll="0"/>
    <pivotField showAll="0"/>
    <pivotField showAll="0"/>
    <pivotField showAll="0"/>
    <pivotField showAll="0"/>
    <pivotField showAll="0"/>
    <pivotField showAll="0"/>
    <pivotField axis="axisRow" showAll="0">
      <items count="32">
        <item x="24"/>
        <item x="7"/>
        <item x="1"/>
        <item x="25"/>
        <item x="0"/>
        <item x="14"/>
        <item x="15"/>
        <item x="6"/>
        <item x="9"/>
        <item x="2"/>
        <item x="5"/>
        <item x="22"/>
        <item x="23"/>
        <item x="16"/>
        <item x="19"/>
        <item x="13"/>
        <item x="12"/>
        <item x="20"/>
        <item x="17"/>
        <item x="3"/>
        <item x="11"/>
        <item x="27"/>
        <item x="28"/>
        <item x="10"/>
        <item x="18"/>
        <item x="21"/>
        <item x="29"/>
        <item x="4"/>
        <item x="26"/>
        <item x="30"/>
        <item x="8"/>
        <item t="default"/>
      </items>
    </pivotField>
    <pivotField showAll="0"/>
    <pivotField showAll="0"/>
    <pivotField showAll="0"/>
    <pivotField showAll="0"/>
    <pivotField showAll="0"/>
  </pivotFields>
  <rowFields count="2">
    <field x="5"/>
    <field x="14"/>
  </rowFields>
  <rowItems count="31">
    <i>
      <x/>
    </i>
    <i r="1">
      <x v="20"/>
    </i>
    <i r="1">
      <x v="27"/>
    </i>
    <i>
      <x v="1"/>
    </i>
    <i r="1">
      <x v="5"/>
    </i>
    <i r="1">
      <x v="6"/>
    </i>
    <i r="1">
      <x v="13"/>
    </i>
    <i r="1">
      <x v="18"/>
    </i>
    <i r="1">
      <x v="24"/>
    </i>
    <i>
      <x v="2"/>
    </i>
    <i r="1">
      <x v="16"/>
    </i>
    <i r="1">
      <x v="19"/>
    </i>
    <i>
      <x v="3"/>
    </i>
    <i r="1">
      <x v="11"/>
    </i>
    <i r="1">
      <x v="12"/>
    </i>
    <i r="1">
      <x v="14"/>
    </i>
    <i r="1">
      <x v="17"/>
    </i>
    <i r="1">
      <x v="25"/>
    </i>
    <i>
      <x v="4"/>
    </i>
    <i r="1">
      <x v="1"/>
    </i>
    <i r="1">
      <x v="2"/>
    </i>
    <i r="1">
      <x v="4"/>
    </i>
    <i r="1">
      <x v="10"/>
    </i>
    <i r="1">
      <x v="15"/>
    </i>
    <i>
      <x v="6"/>
    </i>
    <i r="1">
      <x v="7"/>
    </i>
    <i r="1">
      <x v="8"/>
    </i>
    <i r="1">
      <x v="9"/>
    </i>
    <i r="1">
      <x v="23"/>
    </i>
    <i r="1">
      <x v="30"/>
    </i>
    <i t="grand">
      <x/>
    </i>
  </rowItems>
  <colFields count="1">
    <field x="2"/>
  </colFields>
  <colItems count="4">
    <i>
      <x/>
    </i>
    <i>
      <x v="1"/>
    </i>
    <i>
      <x v="2"/>
    </i>
    <i t="grand">
      <x/>
    </i>
  </colItems>
  <pageFields count="1">
    <pageField fld="0" item="0" hier="-1"/>
  </pageFields>
  <dataFields count="1">
    <dataField name="Количество по полю Выбор"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3FBF14-6CA4-45C8-AB78-AF8520CAE2DD}" name="Сводная таблица2" cacheId="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S17:W56" firstHeaderRow="1" firstDataRow="2" firstDataCol="1" rowPageCount="1" colPageCount="1"/>
  <pivotFields count="16">
    <pivotField showAll="0"/>
    <pivotField axis="axisPage" showAll="0">
      <items count="5">
        <item x="2"/>
        <item x="1"/>
        <item x="0"/>
        <item x="3"/>
        <item t="default"/>
      </items>
    </pivotField>
    <pivotField axis="axisRow" dataField="1" showAll="0">
      <items count="48">
        <item x="28"/>
        <item x="24"/>
        <item x="43"/>
        <item x="6"/>
        <item x="10"/>
        <item x="26"/>
        <item x="19"/>
        <item x="20"/>
        <item x="30"/>
        <item x="31"/>
        <item x="21"/>
        <item x="32"/>
        <item x="33"/>
        <item x="34"/>
        <item x="4"/>
        <item x="35"/>
        <item x="16"/>
        <item x="27"/>
        <item x="38"/>
        <item x="40"/>
        <item x="25"/>
        <item x="44"/>
        <item x="17"/>
        <item x="8"/>
        <item x="14"/>
        <item x="39"/>
        <item x="45"/>
        <item x="41"/>
        <item x="29"/>
        <item x="11"/>
        <item x="0"/>
        <item x="12"/>
        <item x="1"/>
        <item x="13"/>
        <item x="18"/>
        <item x="2"/>
        <item x="3"/>
        <item x="7"/>
        <item x="15"/>
        <item x="22"/>
        <item x="42"/>
        <item x="5"/>
        <item x="37"/>
        <item x="23"/>
        <item x="9"/>
        <item x="36"/>
        <item x="46"/>
        <item t="default"/>
      </items>
    </pivotField>
    <pivotField axis="axisCol" multipleItemSelectionAllowed="1" showAll="0">
      <items count="5">
        <item x="0"/>
        <item x="1"/>
        <item x="2"/>
        <item h="1" x="3"/>
        <item t="default"/>
      </items>
    </pivotField>
    <pivotField axis="axisRow" showAll="0" sortType="descending">
      <items count="7">
        <item x="5"/>
        <item x="2"/>
        <item x="0"/>
        <item x="4"/>
        <item x="1"/>
        <item x="3"/>
        <item t="default"/>
      </items>
    </pivotField>
    <pivotField showAll="0"/>
    <pivotField axis="axisRow" showAll="0">
      <items count="26">
        <item x="3"/>
        <item x="5"/>
        <item x="18"/>
        <item x="23"/>
        <item x="13"/>
        <item x="15"/>
        <item x="9"/>
        <item x="6"/>
        <item x="2"/>
        <item x="10"/>
        <item x="11"/>
        <item x="12"/>
        <item x="20"/>
        <item x="22"/>
        <item x="21"/>
        <item x="16"/>
        <item x="1"/>
        <item x="0"/>
        <item x="7"/>
        <item x="17"/>
        <item x="4"/>
        <item x="8"/>
        <item x="19"/>
        <item x="14"/>
        <item x="24"/>
        <item t="default"/>
      </items>
    </pivotField>
    <pivotField showAll="0"/>
    <pivotField showAll="0"/>
    <pivotField showAll="0"/>
    <pivotField showAll="0"/>
    <pivotField showAll="0"/>
    <pivotField showAll="0"/>
    <pivotField showAll="0"/>
    <pivotField showAll="0"/>
    <pivotField showAll="0"/>
  </pivotFields>
  <rowFields count="3">
    <field x="4"/>
    <field x="2"/>
    <field x="6"/>
  </rowFields>
  <rowItems count="38">
    <i>
      <x v="1"/>
    </i>
    <i r="1">
      <x v="3"/>
    </i>
    <i r="2">
      <x/>
    </i>
    <i r="1">
      <x v="35"/>
    </i>
    <i r="2">
      <x v="8"/>
    </i>
    <i r="1">
      <x v="37"/>
    </i>
    <i r="2">
      <x/>
    </i>
    <i>
      <x v="2"/>
    </i>
    <i r="1">
      <x v="23"/>
    </i>
    <i r="2">
      <x v="20"/>
    </i>
    <i r="1">
      <x v="30"/>
    </i>
    <i r="2">
      <x v="17"/>
    </i>
    <i r="1">
      <x v="44"/>
    </i>
    <i r="2">
      <x v="20"/>
    </i>
    <i>
      <x v="3"/>
    </i>
    <i r="1">
      <x v="4"/>
    </i>
    <i r="2">
      <x v="1"/>
    </i>
    <i>
      <x v="4"/>
    </i>
    <i r="1">
      <x v="29"/>
    </i>
    <i r="2">
      <x v="1"/>
    </i>
    <i r="1">
      <x v="31"/>
    </i>
    <i r="2">
      <x v="1"/>
    </i>
    <i r="1">
      <x v="32"/>
    </i>
    <i r="2">
      <x v="16"/>
    </i>
    <i r="1">
      <x v="33"/>
    </i>
    <i r="2">
      <x v="1"/>
    </i>
    <i>
      <x v="5"/>
    </i>
    <i r="1">
      <x v="14"/>
    </i>
    <i r="2">
      <x v="8"/>
    </i>
    <i r="1">
      <x v="24"/>
    </i>
    <i r="2">
      <x v="7"/>
    </i>
    <i r="1">
      <x v="36"/>
    </i>
    <i r="2">
      <x v="17"/>
    </i>
    <i r="1">
      <x v="38"/>
    </i>
    <i r="2">
      <x v="18"/>
    </i>
    <i r="1">
      <x v="41"/>
    </i>
    <i r="2">
      <x v="17"/>
    </i>
    <i t="grand">
      <x/>
    </i>
  </rowItems>
  <colFields count="1">
    <field x="3"/>
  </colFields>
  <colItems count="4">
    <i>
      <x/>
    </i>
    <i>
      <x v="1"/>
    </i>
    <i>
      <x v="2"/>
    </i>
    <i t="grand">
      <x/>
    </i>
  </colItems>
  <pageFields count="1">
    <pageField fld="1" item="2" hier="-1"/>
  </pageFields>
  <dataFields count="1">
    <dataField name="Количество по полю испытание"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37CE9F-0887-463F-924B-2CDED6A43E5F}" name="Сводная таблица1" cacheId="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S3:W11" firstHeaderRow="1" firstDataRow="2" firstDataCol="1" rowPageCount="1" colPageCount="1"/>
  <pivotFields count="16">
    <pivotField showAll="0"/>
    <pivotField axis="axisCol" showAll="0">
      <items count="5">
        <item x="2"/>
        <item x="1"/>
        <item x="0"/>
        <item x="3"/>
        <item t="default"/>
      </items>
    </pivotField>
    <pivotField dataField="1" showAll="0"/>
    <pivotField axis="axisPage" multipleItemSelectionAllowed="1" showAll="0">
      <items count="5">
        <item x="0"/>
        <item x="1"/>
        <item x="2"/>
        <item h="1" x="3"/>
        <item t="default"/>
      </items>
    </pivotField>
    <pivotField axis="axisRow" showAll="0" sortType="descending">
      <items count="7">
        <item x="5"/>
        <item x="2"/>
        <item x="0"/>
        <item x="4"/>
        <item x="1"/>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1"/>
  </colFields>
  <colItems count="4">
    <i>
      <x/>
    </i>
    <i>
      <x v="1"/>
    </i>
    <i>
      <x v="2"/>
    </i>
    <i t="grand">
      <x/>
    </i>
  </colItems>
  <pageFields count="1">
    <pageField fld="3" hier="-1"/>
  </pageFields>
  <dataFields count="1">
    <dataField name="Количество по полю испытание"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Ability" xr10:uid="{3C553FF4-FD32-4819-AFDC-3FC7AD1B1726}" sourceName="Ability">
  <data>
    <tabular pivotCacheId="944362524">
      <items count="26">
        <i x="0" s="1"/>
        <i x="21" s="1"/>
        <i x="1" s="1"/>
        <i x="4" s="1"/>
        <i x="9" s="1"/>
        <i x="6" s="1"/>
        <i x="2" s="1"/>
        <i x="7" s="1"/>
        <i x="20" s="1"/>
        <i x="8" s="1"/>
        <i x="13" s="1"/>
        <i x="10" s="1"/>
        <i x="11" s="1"/>
        <i x="12" s="1"/>
        <i x="15" s="1"/>
        <i x="14" s="1"/>
        <i x="18" s="1"/>
        <i x="16" s="1"/>
        <i x="17" s="1"/>
        <i x="5" s="1"/>
        <i x="3" s="1"/>
        <i x="19" s="1"/>
        <i x="22" s="1"/>
        <i x="23" s="1"/>
        <i x="24" s="1"/>
        <i x="2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Abil._Min" xr10:uid="{63437DBA-13DF-4041-B69B-B221F92A6464}" sourceName="Abil. Min">
  <pivotTables>
    <pivotTable tabId="5" name="Сводная таблица2"/>
  </pivotTables>
  <data>
    <tabular pivotCacheId="576813375">
      <items count="6">
        <i x="2"/>
        <i x="3"/>
        <i x="0"/>
        <i x="1"/>
        <i x="4"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ility" xr10:uid="{53088893-7C0F-4A35-A411-967DCEA7767C}" cache="Срез_Ability" caption="Ability" columnCount="3" style="SlicerStyleLight4" rowHeight="21301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il. Min" xr10:uid="{B20D9A34-3031-4955-9590-B5B7A71AD2A5}" cache="Срез_Abil._Min" caption="Abil. Min" rowHeight="213013"/>
</slicer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DEC3-3434-46AB-A2F8-185C8D27CD66}">
  <dimension ref="A1:I11"/>
  <sheetViews>
    <sheetView workbookViewId="0">
      <selection activeCell="T10" sqref="T10"/>
    </sheetView>
  </sheetViews>
  <sheetFormatPr defaultColWidth="20.25" defaultRowHeight="12.45" x14ac:dyDescent="0.2"/>
  <cols>
    <col min="2" max="2" width="7.125" bestFit="1" customWidth="1"/>
    <col min="3" max="3" width="10.25" bestFit="1" customWidth="1"/>
    <col min="4" max="4" width="5.375" bestFit="1" customWidth="1"/>
    <col min="7" max="7" width="4.875" bestFit="1" customWidth="1"/>
    <col min="9" max="9" width="7.25" bestFit="1" customWidth="1"/>
  </cols>
  <sheetData>
    <row r="1" spans="1:9" ht="13.1" thickBot="1" x14ac:dyDescent="0.25">
      <c r="A1" s="31" t="s">
        <v>2937</v>
      </c>
      <c r="B1" s="30" t="s">
        <v>2936</v>
      </c>
      <c r="C1" s="30" t="s">
        <v>2935</v>
      </c>
      <c r="D1" s="29" t="s">
        <v>2934</v>
      </c>
    </row>
    <row r="2" spans="1:9" ht="13.1" thickBot="1" x14ac:dyDescent="0.25">
      <c r="A2" s="23" t="s">
        <v>2933</v>
      </c>
      <c r="B2" s="22">
        <v>0</v>
      </c>
      <c r="C2" s="22">
        <v>-121</v>
      </c>
      <c r="D2" s="21">
        <v>-4448</v>
      </c>
    </row>
    <row r="3" spans="1:9" ht="13.1" thickBot="1" x14ac:dyDescent="0.25">
      <c r="A3" s="23" t="s">
        <v>2932</v>
      </c>
      <c r="B3" s="22">
        <v>121</v>
      </c>
      <c r="C3" s="22">
        <v>0</v>
      </c>
      <c r="D3" s="21">
        <v>-4327</v>
      </c>
      <c r="E3">
        <f>D3-B3</f>
        <v>-4448</v>
      </c>
    </row>
    <row r="4" spans="1:9" ht="21.6" thickBot="1" x14ac:dyDescent="0.25">
      <c r="A4" s="23" t="s">
        <v>2931</v>
      </c>
      <c r="B4" s="22">
        <v>2325</v>
      </c>
      <c r="C4" s="22">
        <v>2204</v>
      </c>
      <c r="D4" s="21">
        <v>-2123</v>
      </c>
      <c r="E4">
        <f>D4-B4</f>
        <v>-4448</v>
      </c>
    </row>
    <row r="5" spans="1:9" ht="21.6" thickBot="1" x14ac:dyDescent="0.25">
      <c r="A5" s="23" t="s">
        <v>2930</v>
      </c>
      <c r="B5" s="22">
        <v>2543</v>
      </c>
      <c r="C5" s="22">
        <v>2204</v>
      </c>
      <c r="D5" s="21">
        <v>-1906</v>
      </c>
      <c r="E5">
        <f>D5-B5</f>
        <v>-4449</v>
      </c>
      <c r="H5" s="24" t="s">
        <v>2929</v>
      </c>
      <c r="I5" s="24" t="s">
        <v>2928</v>
      </c>
    </row>
    <row r="6" spans="1:9" ht="21.6" thickBot="1" x14ac:dyDescent="0.25">
      <c r="A6" s="28" t="s">
        <v>2927</v>
      </c>
      <c r="B6" s="26">
        <v>3516</v>
      </c>
      <c r="C6" s="26"/>
      <c r="D6" s="25">
        <v>-933</v>
      </c>
      <c r="E6">
        <f>D6-B6</f>
        <v>-4449</v>
      </c>
      <c r="G6">
        <v>1807</v>
      </c>
      <c r="H6" s="24" t="s">
        <v>2926</v>
      </c>
      <c r="I6">
        <f t="shared" ref="I6:I11" si="0">$B$10-G6</f>
        <v>3410</v>
      </c>
    </row>
    <row r="7" spans="1:9" ht="13.1" thickBot="1" x14ac:dyDescent="0.25">
      <c r="A7" s="28" t="s">
        <v>2925</v>
      </c>
      <c r="B7" s="27">
        <f>4449+D7</f>
        <v>3699</v>
      </c>
      <c r="C7" s="26"/>
      <c r="D7" s="25">
        <v>-750</v>
      </c>
      <c r="G7">
        <v>3255</v>
      </c>
      <c r="H7" s="24" t="s">
        <v>2924</v>
      </c>
      <c r="I7">
        <f t="shared" si="0"/>
        <v>1962</v>
      </c>
    </row>
    <row r="8" spans="1:9" ht="13.1" thickBot="1" x14ac:dyDescent="0.25">
      <c r="A8" s="28" t="s">
        <v>2923</v>
      </c>
      <c r="B8" s="27">
        <f>4449+D8</f>
        <v>3749</v>
      </c>
      <c r="C8" s="26"/>
      <c r="D8" s="25">
        <v>-700</v>
      </c>
      <c r="G8">
        <v>1</v>
      </c>
      <c r="H8" s="24" t="s">
        <v>2922</v>
      </c>
      <c r="I8">
        <f t="shared" si="0"/>
        <v>5216</v>
      </c>
    </row>
    <row r="9" spans="1:9" ht="13.1" thickBot="1" x14ac:dyDescent="0.25">
      <c r="A9" s="23" t="s">
        <v>2921</v>
      </c>
      <c r="B9" s="22">
        <v>4449</v>
      </c>
      <c r="C9" s="22">
        <v>4110</v>
      </c>
      <c r="D9" s="21">
        <v>0</v>
      </c>
      <c r="E9">
        <f>D9-B9</f>
        <v>-4449</v>
      </c>
      <c r="I9">
        <f t="shared" si="0"/>
        <v>5217</v>
      </c>
    </row>
    <row r="10" spans="1:9" ht="13.1" thickBot="1" x14ac:dyDescent="0.25">
      <c r="A10" s="20" t="s">
        <v>2920</v>
      </c>
      <c r="B10" s="19">
        <v>5217</v>
      </c>
      <c r="C10" s="19">
        <v>4878</v>
      </c>
      <c r="D10" s="18">
        <v>768</v>
      </c>
      <c r="E10">
        <f>D10-B10</f>
        <v>-4449</v>
      </c>
      <c r="G10" s="17">
        <v>3475</v>
      </c>
      <c r="I10">
        <f t="shared" si="0"/>
        <v>1742</v>
      </c>
    </row>
    <row r="11" spans="1:9" x14ac:dyDescent="0.2">
      <c r="I11">
        <f t="shared" si="0"/>
        <v>5217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B8AE-589B-4196-BF99-C2DB7E117790}">
  <sheetPr>
    <tabColor theme="8" tint="0.79998168889431442"/>
  </sheetPr>
  <dimension ref="A1:AG370"/>
  <sheetViews>
    <sheetView topLeftCell="E1" zoomScale="90" zoomScaleNormal="90" workbookViewId="0">
      <selection activeCell="AD4" sqref="AD4:AE31"/>
    </sheetView>
  </sheetViews>
  <sheetFormatPr defaultRowHeight="12.45" x14ac:dyDescent="0.2"/>
  <cols>
    <col min="1" max="1" width="39.625" bestFit="1" customWidth="1"/>
    <col min="2" max="2" width="27.875" bestFit="1" customWidth="1"/>
    <col min="3" max="19" width="4.5" bestFit="1" customWidth="1"/>
    <col min="20" max="20" width="18.875" bestFit="1" customWidth="1"/>
    <col min="21" max="21" width="10.5" bestFit="1" customWidth="1"/>
    <col min="22" max="22" width="6.125" customWidth="1"/>
    <col min="23" max="23" width="7.125" bestFit="1" customWidth="1"/>
    <col min="24" max="24" width="5.5" bestFit="1" customWidth="1"/>
    <col min="25" max="25" width="6.125" bestFit="1" customWidth="1"/>
    <col min="26" max="26" width="6.75" bestFit="1" customWidth="1"/>
    <col min="27" max="27" width="5.25" bestFit="1" customWidth="1"/>
    <col min="28" max="28" width="7.125" bestFit="1" customWidth="1"/>
    <col min="29" max="29" width="14.125" bestFit="1" customWidth="1"/>
    <col min="30" max="30" width="6.875" bestFit="1" customWidth="1"/>
    <col min="31" max="31" width="15.25" bestFit="1" customWidth="1"/>
    <col min="32" max="32" width="13" bestFit="1" customWidth="1"/>
    <col min="33" max="33" width="15.25" bestFit="1" customWidth="1"/>
    <col min="34" max="34" width="12.625" bestFit="1" customWidth="1"/>
    <col min="35" max="73" width="4.5" bestFit="1" customWidth="1"/>
    <col min="74" max="85" width="9.875" bestFit="1" customWidth="1"/>
    <col min="86" max="87" width="8.875" bestFit="1" customWidth="1"/>
    <col min="88" max="88" width="13.25" bestFit="1" customWidth="1"/>
    <col min="89" max="169" width="4.5" bestFit="1" customWidth="1"/>
    <col min="170" max="198" width="9.875" bestFit="1" customWidth="1"/>
    <col min="199" max="203" width="8.875" bestFit="1" customWidth="1"/>
    <col min="204" max="204" width="13.25" bestFit="1" customWidth="1"/>
  </cols>
  <sheetData>
    <row r="1" spans="1:33" x14ac:dyDescent="0.2">
      <c r="A1" s="16" t="s">
        <v>0</v>
      </c>
      <c r="B1" t="s">
        <v>13</v>
      </c>
      <c r="T1" s="16" t="s">
        <v>0</v>
      </c>
      <c r="U1" t="s">
        <v>13</v>
      </c>
    </row>
    <row r="2" spans="1:33" x14ac:dyDescent="0.2">
      <c r="A2" s="16" t="s">
        <v>9</v>
      </c>
      <c r="B2" s="6">
        <v>1</v>
      </c>
      <c r="T2" s="16" t="s">
        <v>9</v>
      </c>
      <c r="U2" t="s">
        <v>2919</v>
      </c>
    </row>
    <row r="4" spans="1:33" x14ac:dyDescent="0.2">
      <c r="A4" s="16" t="s">
        <v>2918</v>
      </c>
      <c r="B4" t="s">
        <v>2917</v>
      </c>
      <c r="T4" s="16" t="s">
        <v>10</v>
      </c>
      <c r="U4" s="16" t="s">
        <v>7</v>
      </c>
      <c r="X4" t="s">
        <v>2904</v>
      </c>
      <c r="Y4" t="s">
        <v>2906</v>
      </c>
      <c r="Z4" t="s">
        <v>2912</v>
      </c>
      <c r="AA4" t="s">
        <v>2908</v>
      </c>
      <c r="AB4" t="s">
        <v>2905</v>
      </c>
      <c r="AD4" t="s">
        <v>10</v>
      </c>
      <c r="AE4" t="s">
        <v>7</v>
      </c>
    </row>
    <row r="5" spans="1:33" x14ac:dyDescent="0.2">
      <c r="A5" s="6" t="s">
        <v>20</v>
      </c>
      <c r="B5">
        <v>7</v>
      </c>
      <c r="T5" s="15" t="s">
        <v>2904</v>
      </c>
      <c r="U5" s="15" t="s">
        <v>20</v>
      </c>
      <c r="V5" s="6">
        <v>1</v>
      </c>
      <c r="W5" t="s">
        <v>2904</v>
      </c>
      <c r="X5" s="15">
        <f t="shared" ref="X5:AB9" si="0">IF($W5=X$4,COUNTIF($T:$T,$W5),COUNTIF($T:$T,$W5&amp;", "&amp;X$4)+COUNTIF($T:$T,X$4&amp;", "&amp;$W5))</f>
        <v>4</v>
      </c>
      <c r="Y5">
        <f t="shared" si="0"/>
        <v>2</v>
      </c>
      <c r="Z5">
        <f t="shared" si="0"/>
        <v>0</v>
      </c>
      <c r="AA5">
        <f t="shared" si="0"/>
        <v>2</v>
      </c>
      <c r="AB5">
        <f t="shared" si="0"/>
        <v>0</v>
      </c>
      <c r="AD5" t="s">
        <v>2904</v>
      </c>
      <c r="AE5" t="s">
        <v>20</v>
      </c>
      <c r="AF5">
        <v>1</v>
      </c>
      <c r="AG5" t="str">
        <f t="shared" ref="AG5:AG30" si="1">CONCATENATE("|",AE6,"|","cfs","|",5,"|","3+2b|")</f>
        <v>|Athletics|cfs|5|3+2b|</v>
      </c>
    </row>
    <row r="6" spans="1:33" x14ac:dyDescent="0.2">
      <c r="A6" s="10">
        <v>2</v>
      </c>
      <c r="B6">
        <v>1</v>
      </c>
      <c r="T6" s="15" t="s">
        <v>2904</v>
      </c>
      <c r="U6" s="15" t="s">
        <v>269</v>
      </c>
      <c r="V6" s="6">
        <v>2</v>
      </c>
      <c r="W6" t="s">
        <v>2906</v>
      </c>
      <c r="X6">
        <f t="shared" si="0"/>
        <v>2</v>
      </c>
      <c r="Y6" s="14">
        <f t="shared" si="0"/>
        <v>2</v>
      </c>
      <c r="Z6">
        <f t="shared" si="0"/>
        <v>2</v>
      </c>
      <c r="AA6">
        <f t="shared" si="0"/>
        <v>1</v>
      </c>
      <c r="AB6">
        <f t="shared" si="0"/>
        <v>1</v>
      </c>
      <c r="AD6" t="s">
        <v>2914</v>
      </c>
      <c r="AE6" t="s">
        <v>124</v>
      </c>
      <c r="AF6">
        <v>13</v>
      </c>
      <c r="AG6" t="str">
        <f t="shared" si="1"/>
        <v>|Awareness|cfs|5|3+2b|</v>
      </c>
    </row>
    <row r="7" spans="1:33" x14ac:dyDescent="0.2">
      <c r="A7" s="9" t="s">
        <v>14</v>
      </c>
      <c r="B7">
        <v>1</v>
      </c>
      <c r="T7" s="15" t="s">
        <v>2904</v>
      </c>
      <c r="U7" s="15" t="s">
        <v>1082</v>
      </c>
      <c r="V7" s="6">
        <v>3</v>
      </c>
      <c r="W7" t="s">
        <v>2912</v>
      </c>
      <c r="X7">
        <f t="shared" si="0"/>
        <v>0</v>
      </c>
      <c r="Y7">
        <f t="shared" si="0"/>
        <v>2</v>
      </c>
      <c r="Z7" s="13">
        <f t="shared" si="0"/>
        <v>2</v>
      </c>
      <c r="AA7">
        <f t="shared" si="0"/>
        <v>1</v>
      </c>
      <c r="AB7">
        <f t="shared" si="0"/>
        <v>3</v>
      </c>
      <c r="AD7" t="s">
        <v>2916</v>
      </c>
      <c r="AE7" t="s">
        <v>217</v>
      </c>
      <c r="AF7">
        <v>7</v>
      </c>
      <c r="AG7" t="str">
        <f t="shared" si="1"/>
        <v>|Brawl|cfs|5|3+2b|</v>
      </c>
    </row>
    <row r="8" spans="1:33" x14ac:dyDescent="0.2">
      <c r="A8" s="10">
        <v>3</v>
      </c>
      <c r="B8">
        <v>3</v>
      </c>
      <c r="T8" s="15" t="s">
        <v>2904</v>
      </c>
      <c r="U8" s="15" t="s">
        <v>1897</v>
      </c>
      <c r="V8" s="6">
        <v>4</v>
      </c>
      <c r="W8" t="s">
        <v>2908</v>
      </c>
      <c r="X8">
        <f t="shared" si="0"/>
        <v>2</v>
      </c>
      <c r="Y8">
        <f t="shared" si="0"/>
        <v>1</v>
      </c>
      <c r="Z8">
        <f t="shared" si="0"/>
        <v>1</v>
      </c>
      <c r="AA8" s="12">
        <f t="shared" si="0"/>
        <v>1</v>
      </c>
      <c r="AB8">
        <f t="shared" si="0"/>
        <v>3</v>
      </c>
      <c r="AD8" t="s">
        <v>2904</v>
      </c>
      <c r="AE8" t="s">
        <v>269</v>
      </c>
      <c r="AF8">
        <v>2</v>
      </c>
      <c r="AG8" t="str">
        <f t="shared" si="1"/>
        <v>|Bureaucr.|cfs|5|3+2b|</v>
      </c>
    </row>
    <row r="9" spans="1:33" x14ac:dyDescent="0.2">
      <c r="A9" s="9" t="s">
        <v>31</v>
      </c>
      <c r="B9">
        <v>1</v>
      </c>
      <c r="T9" t="s">
        <v>2903</v>
      </c>
      <c r="U9" t="s">
        <v>1430</v>
      </c>
      <c r="V9" s="6">
        <v>5</v>
      </c>
      <c r="W9" t="s">
        <v>2905</v>
      </c>
      <c r="X9">
        <f t="shared" si="0"/>
        <v>0</v>
      </c>
      <c r="Y9">
        <f t="shared" si="0"/>
        <v>1</v>
      </c>
      <c r="Z9">
        <f t="shared" si="0"/>
        <v>3</v>
      </c>
      <c r="AA9">
        <f t="shared" si="0"/>
        <v>3</v>
      </c>
      <c r="AB9" s="11">
        <f t="shared" si="0"/>
        <v>1</v>
      </c>
      <c r="AD9" t="s">
        <v>2910</v>
      </c>
      <c r="AE9" t="s">
        <v>396</v>
      </c>
      <c r="AF9">
        <v>17</v>
      </c>
      <c r="AG9" t="str">
        <f t="shared" si="1"/>
        <v>|Craft|cfs|5|3+2b|</v>
      </c>
    </row>
    <row r="10" spans="1:33" x14ac:dyDescent="0.2">
      <c r="A10" s="9" t="s">
        <v>21</v>
      </c>
      <c r="B10">
        <v>1</v>
      </c>
      <c r="T10" t="s">
        <v>2903</v>
      </c>
      <c r="U10" t="s">
        <v>1959</v>
      </c>
      <c r="V10" s="6">
        <v>6</v>
      </c>
      <c r="AD10" t="s">
        <v>2912</v>
      </c>
      <c r="AE10" t="s">
        <v>464</v>
      </c>
      <c r="AF10">
        <v>15</v>
      </c>
      <c r="AG10" t="str">
        <f t="shared" si="1"/>
        <v>|Dodge|cfs|5|3+2b|</v>
      </c>
    </row>
    <row r="11" spans="1:33" x14ac:dyDescent="0.2">
      <c r="A11" s="9" t="s">
        <v>26</v>
      </c>
      <c r="B11">
        <v>1</v>
      </c>
      <c r="T11" t="s">
        <v>2916</v>
      </c>
      <c r="U11" t="s">
        <v>217</v>
      </c>
      <c r="V11" s="6">
        <v>7</v>
      </c>
      <c r="AD11" t="s">
        <v>2916</v>
      </c>
      <c r="AE11" t="s">
        <v>598</v>
      </c>
      <c r="AF11">
        <v>8</v>
      </c>
      <c r="AG11" t="str">
        <f t="shared" si="1"/>
        <v>|Integrity|cfs|5|3+2b|</v>
      </c>
    </row>
    <row r="12" spans="1:33" x14ac:dyDescent="0.2">
      <c r="A12" s="10">
        <v>4</v>
      </c>
      <c r="B12">
        <v>3</v>
      </c>
      <c r="T12" t="s">
        <v>2916</v>
      </c>
      <c r="U12" t="s">
        <v>598</v>
      </c>
      <c r="V12" s="6">
        <v>8</v>
      </c>
      <c r="AD12" t="s">
        <v>2915</v>
      </c>
      <c r="AE12" t="s">
        <v>653</v>
      </c>
      <c r="AF12">
        <v>11</v>
      </c>
      <c r="AG12" t="str">
        <f t="shared" si="1"/>
        <v>|Investig.|cfs|5|3+2b|</v>
      </c>
    </row>
    <row r="13" spans="1:33" x14ac:dyDescent="0.2">
      <c r="A13" s="9" t="s">
        <v>33</v>
      </c>
      <c r="B13">
        <v>1</v>
      </c>
      <c r="T13" s="14" t="s">
        <v>2906</v>
      </c>
      <c r="U13" s="14" t="s">
        <v>1277</v>
      </c>
      <c r="V13" s="6">
        <v>9</v>
      </c>
      <c r="AD13" t="s">
        <v>2909</v>
      </c>
      <c r="AE13" t="s">
        <v>726</v>
      </c>
      <c r="AF13">
        <v>20</v>
      </c>
      <c r="AG13" t="str">
        <f t="shared" si="1"/>
        <v>|Larceny|cfs|5|3+2b|</v>
      </c>
    </row>
    <row r="14" spans="1:33" x14ac:dyDescent="0.2">
      <c r="A14" s="9" t="s">
        <v>39</v>
      </c>
      <c r="B14">
        <v>1</v>
      </c>
      <c r="T14" s="14" t="s">
        <v>2906</v>
      </c>
      <c r="U14" s="14" t="s">
        <v>1834</v>
      </c>
      <c r="V14" s="6">
        <v>10</v>
      </c>
      <c r="AD14" t="s">
        <v>2907</v>
      </c>
      <c r="AE14" t="s">
        <v>771</v>
      </c>
      <c r="AF14">
        <v>22</v>
      </c>
      <c r="AG14" t="str">
        <f t="shared" si="1"/>
        <v>|Linguistics|cfs|5|3+2b|</v>
      </c>
    </row>
    <row r="15" spans="1:33" x14ac:dyDescent="0.2">
      <c r="A15" s="9" t="s">
        <v>36</v>
      </c>
      <c r="B15">
        <v>1</v>
      </c>
      <c r="T15" t="s">
        <v>2915</v>
      </c>
      <c r="U15" t="s">
        <v>653</v>
      </c>
      <c r="V15" s="6">
        <v>11</v>
      </c>
      <c r="AD15" t="s">
        <v>2910</v>
      </c>
      <c r="AE15" t="s">
        <v>839</v>
      </c>
      <c r="AF15">
        <v>18</v>
      </c>
      <c r="AG15" t="str">
        <f t="shared" si="1"/>
        <v>|Lore|cfs|5|3+2b|</v>
      </c>
    </row>
    <row r="16" spans="1:33" x14ac:dyDescent="0.2">
      <c r="A16" s="6" t="s">
        <v>124</v>
      </c>
      <c r="B16">
        <v>12</v>
      </c>
      <c r="T16" t="s">
        <v>2915</v>
      </c>
      <c r="U16" t="s">
        <v>919</v>
      </c>
      <c r="V16" s="6">
        <v>12</v>
      </c>
      <c r="AD16" t="s">
        <v>2915</v>
      </c>
      <c r="AE16" t="s">
        <v>919</v>
      </c>
      <c r="AF16">
        <v>12</v>
      </c>
      <c r="AG16" t="str">
        <f t="shared" si="1"/>
        <v>|Martial Arts|cfs|5|3+2b|</v>
      </c>
    </row>
    <row r="17" spans="1:33" x14ac:dyDescent="0.2">
      <c r="A17" s="10">
        <v>1</v>
      </c>
      <c r="B17">
        <v>1</v>
      </c>
      <c r="T17" t="s">
        <v>2914</v>
      </c>
      <c r="U17" t="s">
        <v>124</v>
      </c>
      <c r="V17" s="6">
        <v>13</v>
      </c>
      <c r="AD17" t="s">
        <v>147</v>
      </c>
      <c r="AE17" t="s">
        <v>2913</v>
      </c>
      <c r="AF17">
        <v>26</v>
      </c>
      <c r="AG17" t="str">
        <f t="shared" si="1"/>
        <v>|Medicine|cfs|5|3+2b|</v>
      </c>
    </row>
    <row r="18" spans="1:33" x14ac:dyDescent="0.2">
      <c r="A18" s="9" t="s">
        <v>122</v>
      </c>
      <c r="B18">
        <v>1</v>
      </c>
      <c r="T18" t="s">
        <v>2911</v>
      </c>
      <c r="U18" t="s">
        <v>1366</v>
      </c>
      <c r="V18" s="6">
        <v>14</v>
      </c>
      <c r="AD18" t="s">
        <v>2912</v>
      </c>
      <c r="AE18" t="s">
        <v>1031</v>
      </c>
      <c r="AF18">
        <v>16</v>
      </c>
      <c r="AG18" t="str">
        <f t="shared" si="1"/>
        <v>|Melee|cfs|5|3+2b|</v>
      </c>
    </row>
    <row r="19" spans="1:33" x14ac:dyDescent="0.2">
      <c r="A19" s="10">
        <v>2</v>
      </c>
      <c r="B19">
        <v>2</v>
      </c>
      <c r="T19" s="13" t="s">
        <v>2912</v>
      </c>
      <c r="U19" s="13" t="s">
        <v>464</v>
      </c>
      <c r="V19" s="6">
        <v>15</v>
      </c>
      <c r="AD19" t="s">
        <v>2904</v>
      </c>
      <c r="AE19" t="s">
        <v>1082</v>
      </c>
      <c r="AF19">
        <v>3</v>
      </c>
      <c r="AG19" t="str">
        <f t="shared" si="1"/>
        <v>|Occult|cfs|5|3+2b|</v>
      </c>
    </row>
    <row r="20" spans="1:33" x14ac:dyDescent="0.2">
      <c r="A20" s="9" t="s">
        <v>127</v>
      </c>
      <c r="B20">
        <v>1</v>
      </c>
      <c r="T20" s="13" t="s">
        <v>2912</v>
      </c>
      <c r="U20" s="13" t="s">
        <v>1031</v>
      </c>
      <c r="V20" s="6">
        <v>16</v>
      </c>
      <c r="AD20" t="s">
        <v>2910</v>
      </c>
      <c r="AE20" t="s">
        <v>1193</v>
      </c>
      <c r="AF20">
        <v>19</v>
      </c>
      <c r="AG20" t="str">
        <f t="shared" si="1"/>
        <v>|Perform.|cfs|5|3+2b|</v>
      </c>
    </row>
    <row r="21" spans="1:33" x14ac:dyDescent="0.2">
      <c r="A21" s="9" t="s">
        <v>125</v>
      </c>
      <c r="B21">
        <v>1</v>
      </c>
      <c r="T21" t="s">
        <v>2910</v>
      </c>
      <c r="U21" t="s">
        <v>396</v>
      </c>
      <c r="V21" s="6">
        <v>17</v>
      </c>
      <c r="AD21" t="s">
        <v>2906</v>
      </c>
      <c r="AE21" t="s">
        <v>1277</v>
      </c>
      <c r="AF21">
        <v>9</v>
      </c>
      <c r="AG21" t="str">
        <f t="shared" si="1"/>
        <v>|Presence|cfs|5|3+2b|</v>
      </c>
    </row>
    <row r="22" spans="1:33" x14ac:dyDescent="0.2">
      <c r="A22" s="10">
        <v>3</v>
      </c>
      <c r="B22">
        <v>5</v>
      </c>
      <c r="T22" t="s">
        <v>2910</v>
      </c>
      <c r="U22" t="s">
        <v>839</v>
      </c>
      <c r="V22" s="6">
        <v>18</v>
      </c>
      <c r="AD22" t="s">
        <v>2911</v>
      </c>
      <c r="AE22" t="s">
        <v>1366</v>
      </c>
      <c r="AF22">
        <v>14</v>
      </c>
      <c r="AG22" t="str">
        <f t="shared" si="1"/>
        <v>|Resistan.|cfs|5|3+2b|</v>
      </c>
    </row>
    <row r="23" spans="1:33" x14ac:dyDescent="0.2">
      <c r="A23" s="9" t="s">
        <v>141</v>
      </c>
      <c r="B23">
        <v>1</v>
      </c>
      <c r="T23" t="s">
        <v>2910</v>
      </c>
      <c r="U23" t="s">
        <v>1193</v>
      </c>
      <c r="V23" s="6">
        <v>19</v>
      </c>
      <c r="AD23" t="s">
        <v>2903</v>
      </c>
      <c r="AE23" t="s">
        <v>1430</v>
      </c>
      <c r="AF23">
        <v>5</v>
      </c>
      <c r="AG23" t="str">
        <f t="shared" si="1"/>
        <v>|Ride|cfs|5|3+2b|</v>
      </c>
    </row>
    <row r="24" spans="1:33" x14ac:dyDescent="0.2">
      <c r="A24" s="9" t="s">
        <v>135</v>
      </c>
      <c r="B24">
        <v>1</v>
      </c>
      <c r="T24" t="s">
        <v>2909</v>
      </c>
      <c r="U24" t="s">
        <v>726</v>
      </c>
      <c r="V24" s="6">
        <v>20</v>
      </c>
      <c r="AD24" t="s">
        <v>2907</v>
      </c>
      <c r="AE24" t="s">
        <v>1495</v>
      </c>
      <c r="AF24">
        <v>23</v>
      </c>
      <c r="AG24" t="str">
        <f t="shared" si="1"/>
        <v>|Sail|cfs|5|3+2b|</v>
      </c>
    </row>
    <row r="25" spans="1:33" x14ac:dyDescent="0.2">
      <c r="A25" s="9" t="s">
        <v>133</v>
      </c>
      <c r="B25">
        <v>1</v>
      </c>
      <c r="T25" s="12" t="s">
        <v>2908</v>
      </c>
      <c r="U25" s="12" t="s">
        <v>1778</v>
      </c>
      <c r="V25" s="6">
        <v>21</v>
      </c>
      <c r="AD25" t="s">
        <v>2905</v>
      </c>
      <c r="AE25" t="s">
        <v>1571</v>
      </c>
      <c r="AF25">
        <v>25</v>
      </c>
      <c r="AG25" t="str">
        <f t="shared" si="1"/>
        <v>|Socialize|cfs|5|3+2b|</v>
      </c>
    </row>
    <row r="26" spans="1:33" x14ac:dyDescent="0.2">
      <c r="A26" s="9" t="s">
        <v>131</v>
      </c>
      <c r="B26">
        <v>1</v>
      </c>
      <c r="T26" t="s">
        <v>2907</v>
      </c>
      <c r="U26" t="s">
        <v>771</v>
      </c>
      <c r="V26" s="6">
        <v>22</v>
      </c>
      <c r="AD26" t="s">
        <v>2907</v>
      </c>
      <c r="AE26" t="s">
        <v>1662</v>
      </c>
      <c r="AF26">
        <v>24</v>
      </c>
      <c r="AG26" t="str">
        <f t="shared" si="1"/>
        <v>|Stealth|cfs|5|3+2b|</v>
      </c>
    </row>
    <row r="27" spans="1:33" x14ac:dyDescent="0.2">
      <c r="A27" s="9" t="s">
        <v>138</v>
      </c>
      <c r="B27">
        <v>1</v>
      </c>
      <c r="T27" t="s">
        <v>2907</v>
      </c>
      <c r="U27" t="s">
        <v>1495</v>
      </c>
      <c r="V27" s="6">
        <v>23</v>
      </c>
      <c r="AD27" t="s">
        <v>2908</v>
      </c>
      <c r="AE27" t="s">
        <v>1778</v>
      </c>
      <c r="AF27">
        <v>21</v>
      </c>
      <c r="AG27" t="str">
        <f t="shared" si="1"/>
        <v>|Survival|cfs|5|3+2b|</v>
      </c>
    </row>
    <row r="28" spans="1:33" x14ac:dyDescent="0.2">
      <c r="A28" s="10">
        <v>4</v>
      </c>
      <c r="B28">
        <v>3</v>
      </c>
      <c r="T28" t="s">
        <v>2907</v>
      </c>
      <c r="U28" t="s">
        <v>1662</v>
      </c>
      <c r="V28" s="6">
        <v>24</v>
      </c>
      <c r="AD28" t="s">
        <v>2906</v>
      </c>
      <c r="AE28" t="s">
        <v>1834</v>
      </c>
      <c r="AF28">
        <v>10</v>
      </c>
      <c r="AG28" t="str">
        <f t="shared" si="1"/>
        <v>|Thrown|cfs|5|3+2b|</v>
      </c>
    </row>
    <row r="29" spans="1:33" x14ac:dyDescent="0.2">
      <c r="A29" s="9" t="s">
        <v>150</v>
      </c>
      <c r="B29">
        <v>1</v>
      </c>
      <c r="T29" s="11" t="s">
        <v>2905</v>
      </c>
      <c r="U29" s="11" t="s">
        <v>1571</v>
      </c>
      <c r="V29" s="6">
        <v>25</v>
      </c>
      <c r="AD29" t="s">
        <v>2904</v>
      </c>
      <c r="AE29" t="s">
        <v>1897</v>
      </c>
      <c r="AF29">
        <v>4</v>
      </c>
      <c r="AG29" t="str">
        <f t="shared" si="1"/>
        <v>|War|cfs|5|3+2b|</v>
      </c>
    </row>
    <row r="30" spans="1:33" x14ac:dyDescent="0.2">
      <c r="A30" s="9" t="s">
        <v>153</v>
      </c>
      <c r="B30">
        <v>1</v>
      </c>
      <c r="T30" t="s">
        <v>2902</v>
      </c>
      <c r="V30" s="6"/>
      <c r="AD30" t="s">
        <v>2903</v>
      </c>
      <c r="AE30" t="s">
        <v>1959</v>
      </c>
      <c r="AF30">
        <v>6</v>
      </c>
      <c r="AG30" t="str">
        <f t="shared" si="1"/>
        <v>||cfs|5|3+2b|</v>
      </c>
    </row>
    <row r="31" spans="1:33" x14ac:dyDescent="0.2">
      <c r="A31" s="9" t="s">
        <v>146</v>
      </c>
      <c r="B31">
        <v>1</v>
      </c>
    </row>
    <row r="32" spans="1:33" x14ac:dyDescent="0.2">
      <c r="A32" s="10">
        <v>5</v>
      </c>
      <c r="B32">
        <v>1</v>
      </c>
    </row>
    <row r="33" spans="1:2" x14ac:dyDescent="0.2">
      <c r="A33" s="9" t="s">
        <v>156</v>
      </c>
      <c r="B33">
        <v>1</v>
      </c>
    </row>
    <row r="34" spans="1:2" x14ac:dyDescent="0.2">
      <c r="A34" s="6" t="s">
        <v>217</v>
      </c>
      <c r="B34">
        <v>11</v>
      </c>
    </row>
    <row r="35" spans="1:2" x14ac:dyDescent="0.2">
      <c r="A35" s="10">
        <v>2</v>
      </c>
      <c r="B35">
        <v>1</v>
      </c>
    </row>
    <row r="36" spans="1:2" x14ac:dyDescent="0.2">
      <c r="A36" s="9" t="s">
        <v>215</v>
      </c>
      <c r="B36">
        <v>1</v>
      </c>
    </row>
    <row r="37" spans="1:2" x14ac:dyDescent="0.2">
      <c r="A37" s="10">
        <v>3</v>
      </c>
      <c r="B37">
        <v>7</v>
      </c>
    </row>
    <row r="38" spans="1:2" x14ac:dyDescent="0.2">
      <c r="A38" s="9" t="s">
        <v>231</v>
      </c>
      <c r="B38">
        <v>1</v>
      </c>
    </row>
    <row r="39" spans="1:2" x14ac:dyDescent="0.2">
      <c r="A39" s="9" t="s">
        <v>225</v>
      </c>
      <c r="B39">
        <v>1</v>
      </c>
    </row>
    <row r="40" spans="1:2" x14ac:dyDescent="0.2">
      <c r="A40" s="9" t="s">
        <v>227</v>
      </c>
      <c r="B40">
        <v>1</v>
      </c>
    </row>
    <row r="41" spans="1:2" x14ac:dyDescent="0.2">
      <c r="A41" s="9" t="s">
        <v>220</v>
      </c>
      <c r="B41">
        <v>1</v>
      </c>
    </row>
    <row r="42" spans="1:2" x14ac:dyDescent="0.2">
      <c r="A42" s="9" t="s">
        <v>223</v>
      </c>
      <c r="B42">
        <v>1</v>
      </c>
    </row>
    <row r="43" spans="1:2" x14ac:dyDescent="0.2">
      <c r="A43" s="9" t="s">
        <v>229</v>
      </c>
      <c r="B43">
        <v>1</v>
      </c>
    </row>
    <row r="44" spans="1:2" x14ac:dyDescent="0.2">
      <c r="A44" s="9" t="s">
        <v>218</v>
      </c>
      <c r="B44">
        <v>1</v>
      </c>
    </row>
    <row r="45" spans="1:2" x14ac:dyDescent="0.2">
      <c r="A45" s="10">
        <v>4</v>
      </c>
      <c r="B45">
        <v>3</v>
      </c>
    </row>
    <row r="46" spans="1:2" x14ac:dyDescent="0.2">
      <c r="A46" s="9" t="s">
        <v>238</v>
      </c>
      <c r="B46">
        <v>1</v>
      </c>
    </row>
    <row r="47" spans="1:2" x14ac:dyDescent="0.2">
      <c r="A47" s="9" t="s">
        <v>235</v>
      </c>
      <c r="B47">
        <v>1</v>
      </c>
    </row>
    <row r="48" spans="1:2" x14ac:dyDescent="0.2">
      <c r="A48" s="9" t="s">
        <v>233</v>
      </c>
      <c r="B48">
        <v>1</v>
      </c>
    </row>
    <row r="49" spans="1:2" x14ac:dyDescent="0.2">
      <c r="A49" s="6" t="s">
        <v>269</v>
      </c>
      <c r="B49">
        <v>12</v>
      </c>
    </row>
    <row r="50" spans="1:2" x14ac:dyDescent="0.2">
      <c r="A50" s="10">
        <v>1</v>
      </c>
      <c r="B50">
        <v>1</v>
      </c>
    </row>
    <row r="51" spans="1:2" x14ac:dyDescent="0.2">
      <c r="A51" s="9" t="s">
        <v>267</v>
      </c>
      <c r="B51">
        <v>1</v>
      </c>
    </row>
    <row r="52" spans="1:2" x14ac:dyDescent="0.2">
      <c r="A52" s="10">
        <v>3</v>
      </c>
      <c r="B52">
        <v>6</v>
      </c>
    </row>
    <row r="53" spans="1:2" x14ac:dyDescent="0.2">
      <c r="A53" s="9" t="s">
        <v>272</v>
      </c>
      <c r="B53">
        <v>1</v>
      </c>
    </row>
    <row r="54" spans="1:2" x14ac:dyDescent="0.2">
      <c r="A54" s="9" t="s">
        <v>274</v>
      </c>
      <c r="B54">
        <v>1</v>
      </c>
    </row>
    <row r="55" spans="1:2" x14ac:dyDescent="0.2">
      <c r="A55" s="9" t="s">
        <v>270</v>
      </c>
      <c r="B55">
        <v>1</v>
      </c>
    </row>
    <row r="56" spans="1:2" x14ac:dyDescent="0.2">
      <c r="A56" s="9" t="s">
        <v>281</v>
      </c>
      <c r="B56">
        <v>1</v>
      </c>
    </row>
    <row r="57" spans="1:2" x14ac:dyDescent="0.2">
      <c r="A57" s="9" t="s">
        <v>278</v>
      </c>
      <c r="B57">
        <v>1</v>
      </c>
    </row>
    <row r="58" spans="1:2" x14ac:dyDescent="0.2">
      <c r="A58" s="9" t="s">
        <v>276</v>
      </c>
      <c r="B58">
        <v>1</v>
      </c>
    </row>
    <row r="59" spans="1:2" x14ac:dyDescent="0.2">
      <c r="A59" s="10">
        <v>4</v>
      </c>
      <c r="B59">
        <v>4</v>
      </c>
    </row>
    <row r="60" spans="1:2" x14ac:dyDescent="0.2">
      <c r="A60" s="9" t="s">
        <v>285</v>
      </c>
      <c r="B60">
        <v>1</v>
      </c>
    </row>
    <row r="61" spans="1:2" x14ac:dyDescent="0.2">
      <c r="A61" s="9" t="s">
        <v>287</v>
      </c>
      <c r="B61">
        <v>1</v>
      </c>
    </row>
    <row r="62" spans="1:2" x14ac:dyDescent="0.2">
      <c r="A62" s="9" t="s">
        <v>289</v>
      </c>
      <c r="B62">
        <v>1</v>
      </c>
    </row>
    <row r="63" spans="1:2" x14ac:dyDescent="0.2">
      <c r="A63" s="9" t="s">
        <v>283</v>
      </c>
      <c r="B63">
        <v>1</v>
      </c>
    </row>
    <row r="64" spans="1:2" x14ac:dyDescent="0.2">
      <c r="A64" s="10">
        <v>5</v>
      </c>
      <c r="B64">
        <v>1</v>
      </c>
    </row>
    <row r="65" spans="1:2" x14ac:dyDescent="0.2">
      <c r="A65" s="9" t="s">
        <v>291</v>
      </c>
      <c r="B65">
        <v>1</v>
      </c>
    </row>
    <row r="66" spans="1:2" x14ac:dyDescent="0.2">
      <c r="A66" s="6" t="s">
        <v>396</v>
      </c>
      <c r="B66">
        <v>11</v>
      </c>
    </row>
    <row r="67" spans="1:2" x14ac:dyDescent="0.2">
      <c r="A67" s="10">
        <v>1</v>
      </c>
      <c r="B67">
        <v>2</v>
      </c>
    </row>
    <row r="68" spans="1:2" x14ac:dyDescent="0.2">
      <c r="A68" s="9" t="s">
        <v>397</v>
      </c>
      <c r="B68">
        <v>1</v>
      </c>
    </row>
    <row r="69" spans="1:2" x14ac:dyDescent="0.2">
      <c r="A69" s="9" t="s">
        <v>394</v>
      </c>
      <c r="B69">
        <v>1</v>
      </c>
    </row>
    <row r="70" spans="1:2" x14ac:dyDescent="0.2">
      <c r="A70" s="10">
        <v>2</v>
      </c>
      <c r="B70">
        <v>1</v>
      </c>
    </row>
    <row r="71" spans="1:2" x14ac:dyDescent="0.2">
      <c r="A71" s="9" t="s">
        <v>399</v>
      </c>
      <c r="B71">
        <v>1</v>
      </c>
    </row>
    <row r="72" spans="1:2" x14ac:dyDescent="0.2">
      <c r="A72" s="10">
        <v>3</v>
      </c>
      <c r="B72">
        <v>3</v>
      </c>
    </row>
    <row r="73" spans="1:2" x14ac:dyDescent="0.2">
      <c r="A73" s="9" t="s">
        <v>403</v>
      </c>
      <c r="B73">
        <v>1</v>
      </c>
    </row>
    <row r="74" spans="1:2" x14ac:dyDescent="0.2">
      <c r="A74" s="9" t="s">
        <v>405</v>
      </c>
      <c r="B74">
        <v>1</v>
      </c>
    </row>
    <row r="75" spans="1:2" x14ac:dyDescent="0.2">
      <c r="A75" s="9" t="s">
        <v>401</v>
      </c>
      <c r="B75">
        <v>1</v>
      </c>
    </row>
    <row r="76" spans="1:2" x14ac:dyDescent="0.2">
      <c r="A76" s="10">
        <v>4</v>
      </c>
      <c r="B76">
        <v>2</v>
      </c>
    </row>
    <row r="77" spans="1:2" x14ac:dyDescent="0.2">
      <c r="A77" s="9" t="s">
        <v>408</v>
      </c>
      <c r="B77">
        <v>1</v>
      </c>
    </row>
    <row r="78" spans="1:2" x14ac:dyDescent="0.2">
      <c r="A78" s="9" t="s">
        <v>410</v>
      </c>
      <c r="B78">
        <v>1</v>
      </c>
    </row>
    <row r="79" spans="1:2" x14ac:dyDescent="0.2">
      <c r="A79" s="10">
        <v>5</v>
      </c>
      <c r="B79">
        <v>3</v>
      </c>
    </row>
    <row r="80" spans="1:2" x14ac:dyDescent="0.2">
      <c r="A80" s="9" t="s">
        <v>418</v>
      </c>
      <c r="B80">
        <v>1</v>
      </c>
    </row>
    <row r="81" spans="1:2" x14ac:dyDescent="0.2">
      <c r="A81" s="9" t="s">
        <v>412</v>
      </c>
      <c r="B81">
        <v>1</v>
      </c>
    </row>
    <row r="82" spans="1:2" x14ac:dyDescent="0.2">
      <c r="A82" s="9" t="s">
        <v>414</v>
      </c>
      <c r="B82">
        <v>1</v>
      </c>
    </row>
    <row r="83" spans="1:2" x14ac:dyDescent="0.2">
      <c r="A83" s="6" t="s">
        <v>464</v>
      </c>
      <c r="B83">
        <v>18</v>
      </c>
    </row>
    <row r="84" spans="1:2" x14ac:dyDescent="0.2">
      <c r="A84" s="10">
        <v>1</v>
      </c>
      <c r="B84">
        <v>1</v>
      </c>
    </row>
    <row r="85" spans="1:2" x14ac:dyDescent="0.2">
      <c r="A85" s="9" t="s">
        <v>462</v>
      </c>
      <c r="B85">
        <v>1</v>
      </c>
    </row>
    <row r="86" spans="1:2" x14ac:dyDescent="0.2">
      <c r="A86" s="10">
        <v>2</v>
      </c>
      <c r="B86">
        <v>2</v>
      </c>
    </row>
    <row r="87" spans="1:2" x14ac:dyDescent="0.2">
      <c r="A87" s="9" t="s">
        <v>465</v>
      </c>
      <c r="B87">
        <v>1</v>
      </c>
    </row>
    <row r="88" spans="1:2" x14ac:dyDescent="0.2">
      <c r="A88" s="9" t="s">
        <v>467</v>
      </c>
      <c r="B88">
        <v>1</v>
      </c>
    </row>
    <row r="89" spans="1:2" x14ac:dyDescent="0.2">
      <c r="A89" s="10">
        <v>3</v>
      </c>
      <c r="B89">
        <v>7</v>
      </c>
    </row>
    <row r="90" spans="1:2" x14ac:dyDescent="0.2">
      <c r="A90" s="9" t="s">
        <v>471</v>
      </c>
      <c r="B90">
        <v>1</v>
      </c>
    </row>
    <row r="91" spans="1:2" x14ac:dyDescent="0.2">
      <c r="A91" s="9" t="s">
        <v>473</v>
      </c>
      <c r="B91">
        <v>1</v>
      </c>
    </row>
    <row r="92" spans="1:2" x14ac:dyDescent="0.2">
      <c r="A92" s="9" t="s">
        <v>478</v>
      </c>
      <c r="B92">
        <v>1</v>
      </c>
    </row>
    <row r="93" spans="1:2" x14ac:dyDescent="0.2">
      <c r="A93" s="9" t="s">
        <v>475</v>
      </c>
      <c r="B93">
        <v>1</v>
      </c>
    </row>
    <row r="94" spans="1:2" x14ac:dyDescent="0.2">
      <c r="A94" s="9" t="s">
        <v>469</v>
      </c>
      <c r="B94">
        <v>1</v>
      </c>
    </row>
    <row r="95" spans="1:2" x14ac:dyDescent="0.2">
      <c r="A95" s="9" t="s">
        <v>480</v>
      </c>
      <c r="B95">
        <v>1</v>
      </c>
    </row>
    <row r="96" spans="1:2" x14ac:dyDescent="0.2">
      <c r="A96" s="9" t="s">
        <v>482</v>
      </c>
      <c r="B96">
        <v>1</v>
      </c>
    </row>
    <row r="97" spans="1:2" x14ac:dyDescent="0.2">
      <c r="A97" s="10">
        <v>4</v>
      </c>
      <c r="B97">
        <v>2</v>
      </c>
    </row>
    <row r="98" spans="1:2" x14ac:dyDescent="0.2">
      <c r="A98" s="9" t="s">
        <v>484</v>
      </c>
      <c r="B98">
        <v>1</v>
      </c>
    </row>
    <row r="99" spans="1:2" x14ac:dyDescent="0.2">
      <c r="A99" s="9" t="s">
        <v>486</v>
      </c>
      <c r="B99">
        <v>1</v>
      </c>
    </row>
    <row r="100" spans="1:2" x14ac:dyDescent="0.2">
      <c r="A100" s="10">
        <v>5</v>
      </c>
      <c r="B100">
        <v>6</v>
      </c>
    </row>
    <row r="101" spans="1:2" x14ac:dyDescent="0.2">
      <c r="A101" s="9" t="s">
        <v>497</v>
      </c>
      <c r="B101">
        <v>1</v>
      </c>
    </row>
    <row r="102" spans="1:2" x14ac:dyDescent="0.2">
      <c r="A102" s="9" t="s">
        <v>487</v>
      </c>
      <c r="B102">
        <v>1</v>
      </c>
    </row>
    <row r="103" spans="1:2" x14ac:dyDescent="0.2">
      <c r="A103" s="9" t="s">
        <v>493</v>
      </c>
      <c r="B103">
        <v>1</v>
      </c>
    </row>
    <row r="104" spans="1:2" x14ac:dyDescent="0.2">
      <c r="A104" s="9" t="s">
        <v>488</v>
      </c>
      <c r="B104">
        <v>1</v>
      </c>
    </row>
    <row r="105" spans="1:2" x14ac:dyDescent="0.2">
      <c r="A105" s="9" t="s">
        <v>491</v>
      </c>
      <c r="B105">
        <v>1</v>
      </c>
    </row>
    <row r="106" spans="1:2" x14ac:dyDescent="0.2">
      <c r="A106" s="9" t="s">
        <v>495</v>
      </c>
      <c r="B106">
        <v>1</v>
      </c>
    </row>
    <row r="107" spans="1:2" x14ac:dyDescent="0.2">
      <c r="A107" s="6" t="s">
        <v>598</v>
      </c>
      <c r="B107">
        <v>8</v>
      </c>
    </row>
    <row r="108" spans="1:2" x14ac:dyDescent="0.2">
      <c r="A108" s="10">
        <v>2</v>
      </c>
      <c r="B108">
        <v>1</v>
      </c>
    </row>
    <row r="109" spans="1:2" x14ac:dyDescent="0.2">
      <c r="A109" s="9" t="s">
        <v>596</v>
      </c>
      <c r="B109">
        <v>1</v>
      </c>
    </row>
    <row r="110" spans="1:2" x14ac:dyDescent="0.2">
      <c r="A110" s="10">
        <v>3</v>
      </c>
      <c r="B110">
        <v>4</v>
      </c>
    </row>
    <row r="111" spans="1:2" x14ac:dyDescent="0.2">
      <c r="A111" s="9" t="s">
        <v>603</v>
      </c>
      <c r="B111">
        <v>1</v>
      </c>
    </row>
    <row r="112" spans="1:2" x14ac:dyDescent="0.2">
      <c r="A112" s="9" t="s">
        <v>599</v>
      </c>
      <c r="B112">
        <v>1</v>
      </c>
    </row>
    <row r="113" spans="1:2" x14ac:dyDescent="0.2">
      <c r="A113" s="9" t="s">
        <v>601</v>
      </c>
      <c r="B113">
        <v>1</v>
      </c>
    </row>
    <row r="114" spans="1:2" x14ac:dyDescent="0.2">
      <c r="A114" s="9" t="s">
        <v>605</v>
      </c>
      <c r="B114">
        <v>1</v>
      </c>
    </row>
    <row r="115" spans="1:2" x14ac:dyDescent="0.2">
      <c r="A115" s="10">
        <v>4</v>
      </c>
      <c r="B115">
        <v>2</v>
      </c>
    </row>
    <row r="116" spans="1:2" x14ac:dyDescent="0.2">
      <c r="A116" s="9" t="s">
        <v>607</v>
      </c>
      <c r="B116">
        <v>1</v>
      </c>
    </row>
    <row r="117" spans="1:2" x14ac:dyDescent="0.2">
      <c r="A117" s="9" t="s">
        <v>609</v>
      </c>
      <c r="B117">
        <v>1</v>
      </c>
    </row>
    <row r="118" spans="1:2" x14ac:dyDescent="0.2">
      <c r="A118" s="10">
        <v>5</v>
      </c>
      <c r="B118">
        <v>1</v>
      </c>
    </row>
    <row r="119" spans="1:2" x14ac:dyDescent="0.2">
      <c r="A119" s="9" t="s">
        <v>611</v>
      </c>
      <c r="B119">
        <v>1</v>
      </c>
    </row>
    <row r="120" spans="1:2" x14ac:dyDescent="0.2">
      <c r="A120" s="6" t="s">
        <v>653</v>
      </c>
      <c r="B120">
        <v>6</v>
      </c>
    </row>
    <row r="121" spans="1:2" x14ac:dyDescent="0.2">
      <c r="A121" s="10">
        <v>1</v>
      </c>
      <c r="B121">
        <v>2</v>
      </c>
    </row>
    <row r="122" spans="1:2" x14ac:dyDescent="0.2">
      <c r="A122" s="9" t="s">
        <v>654</v>
      </c>
      <c r="B122">
        <v>1</v>
      </c>
    </row>
    <row r="123" spans="1:2" x14ac:dyDescent="0.2">
      <c r="A123" s="9" t="s">
        <v>650</v>
      </c>
      <c r="B123">
        <v>1</v>
      </c>
    </row>
    <row r="124" spans="1:2" x14ac:dyDescent="0.2">
      <c r="A124" s="10">
        <v>2</v>
      </c>
      <c r="B124">
        <v>1</v>
      </c>
    </row>
    <row r="125" spans="1:2" x14ac:dyDescent="0.2">
      <c r="A125" s="9" t="s">
        <v>656</v>
      </c>
      <c r="B125">
        <v>1</v>
      </c>
    </row>
    <row r="126" spans="1:2" x14ac:dyDescent="0.2">
      <c r="A126" s="10">
        <v>3</v>
      </c>
      <c r="B126">
        <v>3</v>
      </c>
    </row>
    <row r="127" spans="1:2" x14ac:dyDescent="0.2">
      <c r="A127" s="9" t="s">
        <v>658</v>
      </c>
      <c r="B127">
        <v>1</v>
      </c>
    </row>
    <row r="128" spans="1:2" x14ac:dyDescent="0.2">
      <c r="A128" s="9" t="s">
        <v>659</v>
      </c>
      <c r="B128">
        <v>1</v>
      </c>
    </row>
    <row r="129" spans="1:2" x14ac:dyDescent="0.2">
      <c r="A129" s="9" t="s">
        <v>662</v>
      </c>
      <c r="B129">
        <v>1</v>
      </c>
    </row>
    <row r="130" spans="1:2" x14ac:dyDescent="0.2">
      <c r="A130" s="6" t="s">
        <v>726</v>
      </c>
      <c r="B130">
        <v>7</v>
      </c>
    </row>
    <row r="131" spans="1:2" x14ac:dyDescent="0.2">
      <c r="A131" s="10">
        <v>1</v>
      </c>
      <c r="B131">
        <v>1</v>
      </c>
    </row>
    <row r="132" spans="1:2" x14ac:dyDescent="0.2">
      <c r="A132" s="9" t="s">
        <v>731</v>
      </c>
      <c r="B132">
        <v>1</v>
      </c>
    </row>
    <row r="133" spans="1:2" x14ac:dyDescent="0.2">
      <c r="A133" s="10">
        <v>2</v>
      </c>
      <c r="B133">
        <v>1</v>
      </c>
    </row>
    <row r="134" spans="1:2" x14ac:dyDescent="0.2">
      <c r="A134" s="9" t="s">
        <v>733</v>
      </c>
      <c r="B134">
        <v>1</v>
      </c>
    </row>
    <row r="135" spans="1:2" x14ac:dyDescent="0.2">
      <c r="A135" s="10">
        <v>3</v>
      </c>
      <c r="B135">
        <v>2</v>
      </c>
    </row>
    <row r="136" spans="1:2" x14ac:dyDescent="0.2">
      <c r="A136" s="9" t="s">
        <v>727</v>
      </c>
      <c r="B136">
        <v>1</v>
      </c>
    </row>
    <row r="137" spans="1:2" x14ac:dyDescent="0.2">
      <c r="A137" s="9" t="s">
        <v>724</v>
      </c>
      <c r="B137">
        <v>1</v>
      </c>
    </row>
    <row r="138" spans="1:2" x14ac:dyDescent="0.2">
      <c r="A138" s="10">
        <v>4</v>
      </c>
      <c r="B138">
        <v>2</v>
      </c>
    </row>
    <row r="139" spans="1:2" x14ac:dyDescent="0.2">
      <c r="A139" s="9" t="s">
        <v>736</v>
      </c>
      <c r="B139">
        <v>1</v>
      </c>
    </row>
    <row r="140" spans="1:2" x14ac:dyDescent="0.2">
      <c r="A140" s="9" t="s">
        <v>730</v>
      </c>
      <c r="B140">
        <v>1</v>
      </c>
    </row>
    <row r="141" spans="1:2" x14ac:dyDescent="0.2">
      <c r="A141" s="10">
        <v>5</v>
      </c>
      <c r="B141">
        <v>1</v>
      </c>
    </row>
    <row r="142" spans="1:2" x14ac:dyDescent="0.2">
      <c r="A142" s="9" t="s">
        <v>739</v>
      </c>
      <c r="B142">
        <v>1</v>
      </c>
    </row>
    <row r="143" spans="1:2" x14ac:dyDescent="0.2">
      <c r="A143" s="6" t="s">
        <v>771</v>
      </c>
      <c r="B143">
        <v>9</v>
      </c>
    </row>
    <row r="144" spans="1:2" x14ac:dyDescent="0.2">
      <c r="A144" s="10">
        <v>1</v>
      </c>
      <c r="B144">
        <v>1</v>
      </c>
    </row>
    <row r="145" spans="1:2" x14ac:dyDescent="0.2">
      <c r="A145" s="9" t="s">
        <v>769</v>
      </c>
      <c r="B145">
        <v>1</v>
      </c>
    </row>
    <row r="146" spans="1:2" x14ac:dyDescent="0.2">
      <c r="A146" s="10">
        <v>2</v>
      </c>
      <c r="B146">
        <v>3</v>
      </c>
    </row>
    <row r="147" spans="1:2" x14ac:dyDescent="0.2">
      <c r="A147" s="9" t="s">
        <v>774</v>
      </c>
      <c r="B147">
        <v>1</v>
      </c>
    </row>
    <row r="148" spans="1:2" x14ac:dyDescent="0.2">
      <c r="A148" s="9" t="s">
        <v>776</v>
      </c>
      <c r="B148">
        <v>1</v>
      </c>
    </row>
    <row r="149" spans="1:2" x14ac:dyDescent="0.2">
      <c r="A149" s="9" t="s">
        <v>772</v>
      </c>
      <c r="B149">
        <v>1</v>
      </c>
    </row>
    <row r="150" spans="1:2" x14ac:dyDescent="0.2">
      <c r="A150" s="10">
        <v>3</v>
      </c>
      <c r="B150">
        <v>3</v>
      </c>
    </row>
    <row r="151" spans="1:2" x14ac:dyDescent="0.2">
      <c r="A151" s="9" t="s">
        <v>780</v>
      </c>
      <c r="B151">
        <v>1</v>
      </c>
    </row>
    <row r="152" spans="1:2" x14ac:dyDescent="0.2">
      <c r="A152" s="9" t="s">
        <v>778</v>
      </c>
      <c r="B152">
        <v>1</v>
      </c>
    </row>
    <row r="153" spans="1:2" x14ac:dyDescent="0.2">
      <c r="A153" s="9" t="s">
        <v>782</v>
      </c>
      <c r="B153">
        <v>1</v>
      </c>
    </row>
    <row r="154" spans="1:2" x14ac:dyDescent="0.2">
      <c r="A154" s="10">
        <v>4</v>
      </c>
      <c r="B154">
        <v>2</v>
      </c>
    </row>
    <row r="155" spans="1:2" x14ac:dyDescent="0.2">
      <c r="A155" s="9" t="s">
        <v>786</v>
      </c>
      <c r="B155">
        <v>1</v>
      </c>
    </row>
    <row r="156" spans="1:2" x14ac:dyDescent="0.2">
      <c r="A156" s="9" t="s">
        <v>784</v>
      </c>
      <c r="B156">
        <v>1</v>
      </c>
    </row>
    <row r="157" spans="1:2" x14ac:dyDescent="0.2">
      <c r="A157" s="6" t="s">
        <v>839</v>
      </c>
      <c r="B157">
        <v>10</v>
      </c>
    </row>
    <row r="158" spans="1:2" x14ac:dyDescent="0.2">
      <c r="A158" s="10">
        <v>1</v>
      </c>
      <c r="B158">
        <v>1</v>
      </c>
    </row>
    <row r="159" spans="1:2" x14ac:dyDescent="0.2">
      <c r="A159" s="9" t="s">
        <v>836</v>
      </c>
      <c r="B159">
        <v>1</v>
      </c>
    </row>
    <row r="160" spans="1:2" x14ac:dyDescent="0.2">
      <c r="A160" s="10">
        <v>3</v>
      </c>
      <c r="B160">
        <v>5</v>
      </c>
    </row>
    <row r="161" spans="1:2" x14ac:dyDescent="0.2">
      <c r="A161" s="9" t="s">
        <v>840</v>
      </c>
      <c r="B161">
        <v>1</v>
      </c>
    </row>
    <row r="162" spans="1:2" x14ac:dyDescent="0.2">
      <c r="A162" s="9" t="s">
        <v>848</v>
      </c>
      <c r="B162">
        <v>1</v>
      </c>
    </row>
    <row r="163" spans="1:2" x14ac:dyDescent="0.2">
      <c r="A163" s="9" t="s">
        <v>843</v>
      </c>
      <c r="B163">
        <v>1</v>
      </c>
    </row>
    <row r="164" spans="1:2" x14ac:dyDescent="0.2">
      <c r="A164" s="9" t="s">
        <v>850</v>
      </c>
      <c r="B164">
        <v>1</v>
      </c>
    </row>
    <row r="165" spans="1:2" x14ac:dyDescent="0.2">
      <c r="A165" s="9" t="s">
        <v>845</v>
      </c>
      <c r="B165">
        <v>1</v>
      </c>
    </row>
    <row r="166" spans="1:2" x14ac:dyDescent="0.2">
      <c r="A166" s="10">
        <v>4</v>
      </c>
      <c r="B166">
        <v>2</v>
      </c>
    </row>
    <row r="167" spans="1:2" x14ac:dyDescent="0.2">
      <c r="A167" s="9" t="s">
        <v>852</v>
      </c>
      <c r="B167">
        <v>1</v>
      </c>
    </row>
    <row r="168" spans="1:2" x14ac:dyDescent="0.2">
      <c r="A168" s="9" t="s">
        <v>854</v>
      </c>
      <c r="B168">
        <v>1</v>
      </c>
    </row>
    <row r="169" spans="1:2" x14ac:dyDescent="0.2">
      <c r="A169" s="10">
        <v>5</v>
      </c>
      <c r="B169">
        <v>2</v>
      </c>
    </row>
    <row r="170" spans="1:2" x14ac:dyDescent="0.2">
      <c r="A170" s="9" t="s">
        <v>856</v>
      </c>
      <c r="B170">
        <v>1</v>
      </c>
    </row>
    <row r="171" spans="1:2" x14ac:dyDescent="0.2">
      <c r="A171" s="9" t="s">
        <v>858</v>
      </c>
      <c r="B171">
        <v>1</v>
      </c>
    </row>
    <row r="172" spans="1:2" x14ac:dyDescent="0.2">
      <c r="A172" s="6" t="s">
        <v>919</v>
      </c>
      <c r="B172">
        <v>7</v>
      </c>
    </row>
    <row r="173" spans="1:2" x14ac:dyDescent="0.2">
      <c r="A173" s="10">
        <v>1</v>
      </c>
      <c r="B173">
        <v>1</v>
      </c>
    </row>
    <row r="174" spans="1:2" x14ac:dyDescent="0.2">
      <c r="A174" s="9" t="s">
        <v>917</v>
      </c>
      <c r="B174">
        <v>1</v>
      </c>
    </row>
    <row r="175" spans="1:2" x14ac:dyDescent="0.2">
      <c r="A175" s="10">
        <v>2</v>
      </c>
      <c r="B175">
        <v>2</v>
      </c>
    </row>
    <row r="176" spans="1:2" x14ac:dyDescent="0.2">
      <c r="A176" s="9" t="s">
        <v>922</v>
      </c>
      <c r="B176">
        <v>1</v>
      </c>
    </row>
    <row r="177" spans="1:2" x14ac:dyDescent="0.2">
      <c r="A177" s="9" t="s">
        <v>920</v>
      </c>
      <c r="B177">
        <v>1</v>
      </c>
    </row>
    <row r="178" spans="1:2" x14ac:dyDescent="0.2">
      <c r="A178" s="10">
        <v>3</v>
      </c>
      <c r="B178">
        <v>3</v>
      </c>
    </row>
    <row r="179" spans="1:2" x14ac:dyDescent="0.2">
      <c r="A179" s="9" t="s">
        <v>924</v>
      </c>
      <c r="B179">
        <v>1</v>
      </c>
    </row>
    <row r="180" spans="1:2" x14ac:dyDescent="0.2">
      <c r="A180" s="9" t="s">
        <v>928</v>
      </c>
      <c r="B180">
        <v>1</v>
      </c>
    </row>
    <row r="181" spans="1:2" x14ac:dyDescent="0.2">
      <c r="A181" s="9" t="s">
        <v>926</v>
      </c>
      <c r="B181">
        <v>1</v>
      </c>
    </row>
    <row r="182" spans="1:2" x14ac:dyDescent="0.2">
      <c r="A182" s="10">
        <v>5</v>
      </c>
      <c r="B182">
        <v>1</v>
      </c>
    </row>
    <row r="183" spans="1:2" x14ac:dyDescent="0.2">
      <c r="A183" s="9" t="s">
        <v>930</v>
      </c>
      <c r="B183">
        <v>1</v>
      </c>
    </row>
    <row r="184" spans="1:2" x14ac:dyDescent="0.2">
      <c r="A184" s="6" t="s">
        <v>1031</v>
      </c>
      <c r="B184">
        <v>5</v>
      </c>
    </row>
    <row r="185" spans="1:2" x14ac:dyDescent="0.2">
      <c r="A185" s="10">
        <v>1</v>
      </c>
      <c r="B185">
        <v>2</v>
      </c>
    </row>
    <row r="186" spans="1:2" x14ac:dyDescent="0.2">
      <c r="A186" s="9" t="s">
        <v>1029</v>
      </c>
      <c r="B186">
        <v>1</v>
      </c>
    </row>
    <row r="187" spans="1:2" x14ac:dyDescent="0.2">
      <c r="A187" s="9" t="s">
        <v>1032</v>
      </c>
      <c r="B187">
        <v>1</v>
      </c>
    </row>
    <row r="188" spans="1:2" x14ac:dyDescent="0.2">
      <c r="A188" s="10">
        <v>3</v>
      </c>
      <c r="B188">
        <v>3</v>
      </c>
    </row>
    <row r="189" spans="1:2" x14ac:dyDescent="0.2">
      <c r="A189" s="9" t="s">
        <v>1034</v>
      </c>
      <c r="B189">
        <v>1</v>
      </c>
    </row>
    <row r="190" spans="1:2" x14ac:dyDescent="0.2">
      <c r="A190" s="9" t="s">
        <v>1038</v>
      </c>
      <c r="B190">
        <v>1</v>
      </c>
    </row>
    <row r="191" spans="1:2" x14ac:dyDescent="0.2">
      <c r="A191" s="9" t="s">
        <v>1036</v>
      </c>
      <c r="B191">
        <v>1</v>
      </c>
    </row>
    <row r="192" spans="1:2" x14ac:dyDescent="0.2">
      <c r="A192" s="6" t="s">
        <v>1082</v>
      </c>
      <c r="B192">
        <v>14</v>
      </c>
    </row>
    <row r="193" spans="1:2" x14ac:dyDescent="0.2">
      <c r="A193" s="10">
        <v>1</v>
      </c>
      <c r="B193">
        <v>3</v>
      </c>
    </row>
    <row r="194" spans="1:2" x14ac:dyDescent="0.2">
      <c r="A194" s="9" t="s">
        <v>1083</v>
      </c>
      <c r="B194">
        <v>1</v>
      </c>
    </row>
    <row r="195" spans="1:2" x14ac:dyDescent="0.2">
      <c r="A195" s="9" t="s">
        <v>1080</v>
      </c>
      <c r="B195">
        <v>1</v>
      </c>
    </row>
    <row r="196" spans="1:2" x14ac:dyDescent="0.2">
      <c r="A196" s="9" t="s">
        <v>1085</v>
      </c>
      <c r="B196">
        <v>1</v>
      </c>
    </row>
    <row r="197" spans="1:2" x14ac:dyDescent="0.2">
      <c r="A197" s="10">
        <v>2</v>
      </c>
      <c r="B197">
        <v>2</v>
      </c>
    </row>
    <row r="198" spans="1:2" x14ac:dyDescent="0.2">
      <c r="A198" s="9" t="s">
        <v>1086</v>
      </c>
      <c r="B198">
        <v>1</v>
      </c>
    </row>
    <row r="199" spans="1:2" x14ac:dyDescent="0.2">
      <c r="A199" s="9" t="s">
        <v>1088</v>
      </c>
      <c r="B199">
        <v>1</v>
      </c>
    </row>
    <row r="200" spans="1:2" x14ac:dyDescent="0.2">
      <c r="A200" s="10">
        <v>3</v>
      </c>
      <c r="B200">
        <v>5</v>
      </c>
    </row>
    <row r="201" spans="1:2" x14ac:dyDescent="0.2">
      <c r="A201" s="9" t="s">
        <v>1099</v>
      </c>
      <c r="B201">
        <v>1</v>
      </c>
    </row>
    <row r="202" spans="1:2" x14ac:dyDescent="0.2">
      <c r="A202" s="9" t="s">
        <v>1094</v>
      </c>
      <c r="B202">
        <v>1</v>
      </c>
    </row>
    <row r="203" spans="1:2" x14ac:dyDescent="0.2">
      <c r="A203" s="9" t="s">
        <v>1090</v>
      </c>
      <c r="B203">
        <v>1</v>
      </c>
    </row>
    <row r="204" spans="1:2" x14ac:dyDescent="0.2">
      <c r="A204" s="9" t="s">
        <v>1092</v>
      </c>
      <c r="B204">
        <v>1</v>
      </c>
    </row>
    <row r="205" spans="1:2" x14ac:dyDescent="0.2">
      <c r="A205" s="9" t="s">
        <v>1097</v>
      </c>
      <c r="B205">
        <v>1</v>
      </c>
    </row>
    <row r="206" spans="1:2" x14ac:dyDescent="0.2">
      <c r="A206" s="10">
        <v>4</v>
      </c>
      <c r="B206">
        <v>3</v>
      </c>
    </row>
    <row r="207" spans="1:2" x14ac:dyDescent="0.2">
      <c r="A207" s="9" t="s">
        <v>1105</v>
      </c>
      <c r="B207">
        <v>1</v>
      </c>
    </row>
    <row r="208" spans="1:2" x14ac:dyDescent="0.2">
      <c r="A208" s="9" t="s">
        <v>1102</v>
      </c>
      <c r="B208">
        <v>1</v>
      </c>
    </row>
    <row r="209" spans="1:2" x14ac:dyDescent="0.2">
      <c r="A209" s="9" t="s">
        <v>1100</v>
      </c>
      <c r="B209">
        <v>1</v>
      </c>
    </row>
    <row r="210" spans="1:2" x14ac:dyDescent="0.2">
      <c r="A210" s="10">
        <v>5</v>
      </c>
      <c r="B210">
        <v>1</v>
      </c>
    </row>
    <row r="211" spans="1:2" x14ac:dyDescent="0.2">
      <c r="A211" s="9" t="s">
        <v>1108</v>
      </c>
      <c r="B211">
        <v>1</v>
      </c>
    </row>
    <row r="212" spans="1:2" x14ac:dyDescent="0.2">
      <c r="A212" s="6" t="s">
        <v>1193</v>
      </c>
      <c r="B212">
        <v>13</v>
      </c>
    </row>
    <row r="213" spans="1:2" x14ac:dyDescent="0.2">
      <c r="A213" s="10">
        <v>1</v>
      </c>
      <c r="B213">
        <v>1</v>
      </c>
    </row>
    <row r="214" spans="1:2" x14ac:dyDescent="0.2">
      <c r="A214" s="9" t="s">
        <v>1191</v>
      </c>
      <c r="B214">
        <v>1</v>
      </c>
    </row>
    <row r="215" spans="1:2" x14ac:dyDescent="0.2">
      <c r="A215" s="10">
        <v>2</v>
      </c>
      <c r="B215">
        <v>3</v>
      </c>
    </row>
    <row r="216" spans="1:2" x14ac:dyDescent="0.2">
      <c r="A216" s="9" t="s">
        <v>1196</v>
      </c>
      <c r="B216">
        <v>1</v>
      </c>
    </row>
    <row r="217" spans="1:2" x14ac:dyDescent="0.2">
      <c r="A217" s="9" t="s">
        <v>1198</v>
      </c>
      <c r="B217">
        <v>1</v>
      </c>
    </row>
    <row r="218" spans="1:2" x14ac:dyDescent="0.2">
      <c r="A218" s="9" t="s">
        <v>1194</v>
      </c>
      <c r="B218">
        <v>1</v>
      </c>
    </row>
    <row r="219" spans="1:2" x14ac:dyDescent="0.2">
      <c r="A219" s="10">
        <v>3</v>
      </c>
      <c r="B219">
        <v>6</v>
      </c>
    </row>
    <row r="220" spans="1:2" x14ac:dyDescent="0.2">
      <c r="A220" s="9" t="s">
        <v>1208</v>
      </c>
      <c r="B220">
        <v>1</v>
      </c>
    </row>
    <row r="221" spans="1:2" x14ac:dyDescent="0.2">
      <c r="A221" s="9" t="s">
        <v>1204</v>
      </c>
      <c r="B221">
        <v>1</v>
      </c>
    </row>
    <row r="222" spans="1:2" x14ac:dyDescent="0.2">
      <c r="A222" s="9" t="s">
        <v>1200</v>
      </c>
      <c r="B222">
        <v>1</v>
      </c>
    </row>
    <row r="223" spans="1:2" x14ac:dyDescent="0.2">
      <c r="A223" s="9" t="s">
        <v>1202</v>
      </c>
      <c r="B223">
        <v>1</v>
      </c>
    </row>
    <row r="224" spans="1:2" x14ac:dyDescent="0.2">
      <c r="A224" s="9" t="s">
        <v>1210</v>
      </c>
      <c r="B224">
        <v>1</v>
      </c>
    </row>
    <row r="225" spans="1:2" x14ac:dyDescent="0.2">
      <c r="A225" s="9" t="s">
        <v>1206</v>
      </c>
      <c r="B225">
        <v>1</v>
      </c>
    </row>
    <row r="226" spans="1:2" x14ac:dyDescent="0.2">
      <c r="A226" s="10">
        <v>4</v>
      </c>
      <c r="B226">
        <v>1</v>
      </c>
    </row>
    <row r="227" spans="1:2" x14ac:dyDescent="0.2">
      <c r="A227" s="9" t="s">
        <v>1213</v>
      </c>
      <c r="B227">
        <v>1</v>
      </c>
    </row>
    <row r="228" spans="1:2" x14ac:dyDescent="0.2">
      <c r="A228" s="10">
        <v>5</v>
      </c>
      <c r="B228">
        <v>2</v>
      </c>
    </row>
    <row r="229" spans="1:2" x14ac:dyDescent="0.2">
      <c r="A229" s="9" t="s">
        <v>1215</v>
      </c>
      <c r="B229">
        <v>1</v>
      </c>
    </row>
    <row r="230" spans="1:2" x14ac:dyDescent="0.2">
      <c r="A230" s="9" t="s">
        <v>1217</v>
      </c>
      <c r="B230">
        <v>1</v>
      </c>
    </row>
    <row r="231" spans="1:2" x14ac:dyDescent="0.2">
      <c r="A231" s="6" t="s">
        <v>1277</v>
      </c>
      <c r="B231">
        <v>15</v>
      </c>
    </row>
    <row r="232" spans="1:2" x14ac:dyDescent="0.2">
      <c r="A232" s="10">
        <v>2</v>
      </c>
      <c r="B232">
        <v>1</v>
      </c>
    </row>
    <row r="233" spans="1:2" x14ac:dyDescent="0.2">
      <c r="A233" s="9" t="s">
        <v>1274</v>
      </c>
      <c r="B233">
        <v>1</v>
      </c>
    </row>
    <row r="234" spans="1:2" x14ac:dyDescent="0.2">
      <c r="A234" s="10">
        <v>3</v>
      </c>
      <c r="B234">
        <v>6</v>
      </c>
    </row>
    <row r="235" spans="1:2" x14ac:dyDescent="0.2">
      <c r="A235" s="9" t="s">
        <v>1286</v>
      </c>
      <c r="B235">
        <v>1</v>
      </c>
    </row>
    <row r="236" spans="1:2" x14ac:dyDescent="0.2">
      <c r="A236" s="9" t="s">
        <v>1284</v>
      </c>
      <c r="B236">
        <v>1</v>
      </c>
    </row>
    <row r="237" spans="1:2" x14ac:dyDescent="0.2">
      <c r="A237" s="9" t="s">
        <v>1280</v>
      </c>
      <c r="B237">
        <v>1</v>
      </c>
    </row>
    <row r="238" spans="1:2" x14ac:dyDescent="0.2">
      <c r="A238" s="9" t="s">
        <v>1278</v>
      </c>
      <c r="B238">
        <v>1</v>
      </c>
    </row>
    <row r="239" spans="1:2" x14ac:dyDescent="0.2">
      <c r="A239" s="9" t="s">
        <v>1282</v>
      </c>
      <c r="B239">
        <v>1</v>
      </c>
    </row>
    <row r="240" spans="1:2" x14ac:dyDescent="0.2">
      <c r="A240" s="9" t="s">
        <v>1288</v>
      </c>
      <c r="B240">
        <v>1</v>
      </c>
    </row>
    <row r="241" spans="1:2" x14ac:dyDescent="0.2">
      <c r="A241" s="10">
        <v>4</v>
      </c>
      <c r="B241">
        <v>6</v>
      </c>
    </row>
    <row r="242" spans="1:2" x14ac:dyDescent="0.2">
      <c r="A242" s="9" t="s">
        <v>1292</v>
      </c>
      <c r="B242">
        <v>1</v>
      </c>
    </row>
    <row r="243" spans="1:2" x14ac:dyDescent="0.2">
      <c r="A243" s="9" t="s">
        <v>1300</v>
      </c>
      <c r="B243">
        <v>1</v>
      </c>
    </row>
    <row r="244" spans="1:2" x14ac:dyDescent="0.2">
      <c r="A244" s="9" t="s">
        <v>1289</v>
      </c>
      <c r="B244">
        <v>1</v>
      </c>
    </row>
    <row r="245" spans="1:2" x14ac:dyDescent="0.2">
      <c r="A245" s="9" t="s">
        <v>1294</v>
      </c>
      <c r="B245">
        <v>1</v>
      </c>
    </row>
    <row r="246" spans="1:2" x14ac:dyDescent="0.2">
      <c r="A246" s="9" t="s">
        <v>1298</v>
      </c>
      <c r="B246">
        <v>1</v>
      </c>
    </row>
    <row r="247" spans="1:2" x14ac:dyDescent="0.2">
      <c r="A247" s="9" t="s">
        <v>1296</v>
      </c>
      <c r="B247">
        <v>1</v>
      </c>
    </row>
    <row r="248" spans="1:2" x14ac:dyDescent="0.2">
      <c r="A248" s="10">
        <v>5</v>
      </c>
      <c r="B248">
        <v>2</v>
      </c>
    </row>
    <row r="249" spans="1:2" x14ac:dyDescent="0.2">
      <c r="A249" s="9" t="s">
        <v>1304</v>
      </c>
      <c r="B249">
        <v>1</v>
      </c>
    </row>
    <row r="250" spans="1:2" x14ac:dyDescent="0.2">
      <c r="A250" s="9" t="s">
        <v>1302</v>
      </c>
      <c r="B250">
        <v>1</v>
      </c>
    </row>
    <row r="251" spans="1:2" x14ac:dyDescent="0.2">
      <c r="A251" s="6" t="s">
        <v>1366</v>
      </c>
      <c r="B251">
        <v>5</v>
      </c>
    </row>
    <row r="252" spans="1:2" x14ac:dyDescent="0.2">
      <c r="A252" s="10">
        <v>2</v>
      </c>
      <c r="B252">
        <v>1</v>
      </c>
    </row>
    <row r="253" spans="1:2" x14ac:dyDescent="0.2">
      <c r="A253" s="9" t="s">
        <v>1364</v>
      </c>
      <c r="B253">
        <v>1</v>
      </c>
    </row>
    <row r="254" spans="1:2" x14ac:dyDescent="0.2">
      <c r="A254" s="10">
        <v>3</v>
      </c>
      <c r="B254">
        <v>2</v>
      </c>
    </row>
    <row r="255" spans="1:2" x14ac:dyDescent="0.2">
      <c r="A255" s="9" t="s">
        <v>1367</v>
      </c>
      <c r="B255">
        <v>1</v>
      </c>
    </row>
    <row r="256" spans="1:2" x14ac:dyDescent="0.2">
      <c r="A256" s="9" t="s">
        <v>1369</v>
      </c>
      <c r="B256">
        <v>1</v>
      </c>
    </row>
    <row r="257" spans="1:2" x14ac:dyDescent="0.2">
      <c r="A257" s="10">
        <v>4</v>
      </c>
      <c r="B257">
        <v>1</v>
      </c>
    </row>
    <row r="258" spans="1:2" x14ac:dyDescent="0.2">
      <c r="A258" s="9" t="s">
        <v>1371</v>
      </c>
      <c r="B258">
        <v>1</v>
      </c>
    </row>
    <row r="259" spans="1:2" x14ac:dyDescent="0.2">
      <c r="A259" s="10">
        <v>5</v>
      </c>
      <c r="B259">
        <v>1</v>
      </c>
    </row>
    <row r="260" spans="1:2" x14ac:dyDescent="0.2">
      <c r="A260" s="9" t="s">
        <v>1373</v>
      </c>
      <c r="B260">
        <v>1</v>
      </c>
    </row>
    <row r="261" spans="1:2" x14ac:dyDescent="0.2">
      <c r="A261" s="6" t="s">
        <v>1430</v>
      </c>
      <c r="B261">
        <v>11</v>
      </c>
    </row>
    <row r="262" spans="1:2" x14ac:dyDescent="0.2">
      <c r="A262" s="10">
        <v>1</v>
      </c>
      <c r="B262">
        <v>2</v>
      </c>
    </row>
    <row r="263" spans="1:2" x14ac:dyDescent="0.2">
      <c r="A263" s="9" t="s">
        <v>1428</v>
      </c>
      <c r="B263">
        <v>1</v>
      </c>
    </row>
    <row r="264" spans="1:2" x14ac:dyDescent="0.2">
      <c r="A264" s="9" t="s">
        <v>1431</v>
      </c>
      <c r="B264">
        <v>1</v>
      </c>
    </row>
    <row r="265" spans="1:2" x14ac:dyDescent="0.2">
      <c r="A265" s="10">
        <v>2</v>
      </c>
      <c r="B265">
        <v>4</v>
      </c>
    </row>
    <row r="266" spans="1:2" x14ac:dyDescent="0.2">
      <c r="A266" s="9" t="s">
        <v>1433</v>
      </c>
      <c r="B266">
        <v>1</v>
      </c>
    </row>
    <row r="267" spans="1:2" x14ac:dyDescent="0.2">
      <c r="A267" s="9" t="s">
        <v>1441</v>
      </c>
      <c r="B267">
        <v>1</v>
      </c>
    </row>
    <row r="268" spans="1:2" x14ac:dyDescent="0.2">
      <c r="A268" s="9" t="s">
        <v>1434</v>
      </c>
      <c r="B268">
        <v>1</v>
      </c>
    </row>
    <row r="269" spans="1:2" x14ac:dyDescent="0.2">
      <c r="A269" s="9" t="s">
        <v>1437</v>
      </c>
      <c r="B269">
        <v>1</v>
      </c>
    </row>
    <row r="270" spans="1:2" x14ac:dyDescent="0.2">
      <c r="A270" s="10">
        <v>3</v>
      </c>
      <c r="B270">
        <v>5</v>
      </c>
    </row>
    <row r="271" spans="1:2" x14ac:dyDescent="0.2">
      <c r="A271" s="9" t="s">
        <v>1448</v>
      </c>
      <c r="B271">
        <v>1</v>
      </c>
    </row>
    <row r="272" spans="1:2" x14ac:dyDescent="0.2">
      <c r="A272" s="9" t="s">
        <v>1452</v>
      </c>
      <c r="B272">
        <v>1</v>
      </c>
    </row>
    <row r="273" spans="1:2" x14ac:dyDescent="0.2">
      <c r="A273" s="9" t="s">
        <v>1446</v>
      </c>
      <c r="B273">
        <v>1</v>
      </c>
    </row>
    <row r="274" spans="1:2" x14ac:dyDescent="0.2">
      <c r="A274" s="9" t="s">
        <v>1443</v>
      </c>
      <c r="B274">
        <v>1</v>
      </c>
    </row>
    <row r="275" spans="1:2" x14ac:dyDescent="0.2">
      <c r="A275" s="9" t="s">
        <v>1450</v>
      </c>
      <c r="B275">
        <v>1</v>
      </c>
    </row>
    <row r="276" spans="1:2" x14ac:dyDescent="0.2">
      <c r="A276" s="6" t="s">
        <v>1495</v>
      </c>
      <c r="B276">
        <v>9</v>
      </c>
    </row>
    <row r="277" spans="1:2" x14ac:dyDescent="0.2">
      <c r="A277" s="10">
        <v>1</v>
      </c>
      <c r="B277">
        <v>1</v>
      </c>
    </row>
    <row r="278" spans="1:2" x14ac:dyDescent="0.2">
      <c r="A278" s="9" t="s">
        <v>1493</v>
      </c>
      <c r="B278">
        <v>1</v>
      </c>
    </row>
    <row r="279" spans="1:2" x14ac:dyDescent="0.2">
      <c r="A279" s="10">
        <v>2</v>
      </c>
      <c r="B279">
        <v>2</v>
      </c>
    </row>
    <row r="280" spans="1:2" x14ac:dyDescent="0.2">
      <c r="A280" s="9" t="s">
        <v>1496</v>
      </c>
      <c r="B280">
        <v>1</v>
      </c>
    </row>
    <row r="281" spans="1:2" x14ac:dyDescent="0.2">
      <c r="A281" s="9" t="s">
        <v>1498</v>
      </c>
      <c r="B281">
        <v>1</v>
      </c>
    </row>
    <row r="282" spans="1:2" x14ac:dyDescent="0.2">
      <c r="A282" s="10">
        <v>3</v>
      </c>
      <c r="B282">
        <v>6</v>
      </c>
    </row>
    <row r="283" spans="1:2" x14ac:dyDescent="0.2">
      <c r="A283" s="9" t="s">
        <v>1500</v>
      </c>
      <c r="B283">
        <v>1</v>
      </c>
    </row>
    <row r="284" spans="1:2" x14ac:dyDescent="0.2">
      <c r="A284" s="9" t="s">
        <v>1508</v>
      </c>
      <c r="B284">
        <v>1</v>
      </c>
    </row>
    <row r="285" spans="1:2" x14ac:dyDescent="0.2">
      <c r="A285" s="9" t="s">
        <v>1504</v>
      </c>
      <c r="B285">
        <v>1</v>
      </c>
    </row>
    <row r="286" spans="1:2" x14ac:dyDescent="0.2">
      <c r="A286" s="9" t="s">
        <v>1510</v>
      </c>
      <c r="B286">
        <v>1</v>
      </c>
    </row>
    <row r="287" spans="1:2" x14ac:dyDescent="0.2">
      <c r="A287" s="9" t="s">
        <v>1502</v>
      </c>
      <c r="B287">
        <v>1</v>
      </c>
    </row>
    <row r="288" spans="1:2" x14ac:dyDescent="0.2">
      <c r="A288" s="9" t="s">
        <v>1506</v>
      </c>
      <c r="B288">
        <v>1</v>
      </c>
    </row>
    <row r="289" spans="1:2" x14ac:dyDescent="0.2">
      <c r="A289" s="6" t="s">
        <v>1571</v>
      </c>
      <c r="B289">
        <v>14</v>
      </c>
    </row>
    <row r="290" spans="1:2" x14ac:dyDescent="0.2">
      <c r="A290" s="10">
        <v>3</v>
      </c>
      <c r="B290">
        <v>5</v>
      </c>
    </row>
    <row r="291" spans="1:2" x14ac:dyDescent="0.2">
      <c r="A291" s="9" t="s">
        <v>1574</v>
      </c>
      <c r="B291">
        <v>1</v>
      </c>
    </row>
    <row r="292" spans="1:2" x14ac:dyDescent="0.2">
      <c r="A292" s="9" t="s">
        <v>1569</v>
      </c>
      <c r="B292">
        <v>1</v>
      </c>
    </row>
    <row r="293" spans="1:2" x14ac:dyDescent="0.2">
      <c r="A293" s="9" t="s">
        <v>1576</v>
      </c>
      <c r="B293">
        <v>1</v>
      </c>
    </row>
    <row r="294" spans="1:2" x14ac:dyDescent="0.2">
      <c r="A294" s="9" t="s">
        <v>1578</v>
      </c>
      <c r="B294">
        <v>1</v>
      </c>
    </row>
    <row r="295" spans="1:2" x14ac:dyDescent="0.2">
      <c r="A295" s="9" t="s">
        <v>1572</v>
      </c>
      <c r="B295">
        <v>1</v>
      </c>
    </row>
    <row r="296" spans="1:2" x14ac:dyDescent="0.2">
      <c r="A296" s="10">
        <v>4</v>
      </c>
      <c r="B296">
        <v>1</v>
      </c>
    </row>
    <row r="297" spans="1:2" x14ac:dyDescent="0.2">
      <c r="A297" s="9" t="s">
        <v>1580</v>
      </c>
      <c r="B297">
        <v>1</v>
      </c>
    </row>
    <row r="298" spans="1:2" x14ac:dyDescent="0.2">
      <c r="A298" s="10">
        <v>5</v>
      </c>
      <c r="B298">
        <v>8</v>
      </c>
    </row>
    <row r="299" spans="1:2" x14ac:dyDescent="0.2">
      <c r="A299" s="9" t="s">
        <v>1591</v>
      </c>
      <c r="B299">
        <v>1</v>
      </c>
    </row>
    <row r="300" spans="1:2" x14ac:dyDescent="0.2">
      <c r="A300" s="9" t="s">
        <v>1581</v>
      </c>
      <c r="B300">
        <v>1</v>
      </c>
    </row>
    <row r="301" spans="1:2" x14ac:dyDescent="0.2">
      <c r="A301" s="9" t="s">
        <v>1585</v>
      </c>
      <c r="B301">
        <v>1</v>
      </c>
    </row>
    <row r="302" spans="1:2" x14ac:dyDescent="0.2">
      <c r="A302" s="9" t="s">
        <v>1587</v>
      </c>
      <c r="B302">
        <v>1</v>
      </c>
    </row>
    <row r="303" spans="1:2" x14ac:dyDescent="0.2">
      <c r="A303" s="9" t="s">
        <v>1583</v>
      </c>
      <c r="B303">
        <v>1</v>
      </c>
    </row>
    <row r="304" spans="1:2" x14ac:dyDescent="0.2">
      <c r="A304" s="9" t="s">
        <v>1590</v>
      </c>
      <c r="B304">
        <v>1</v>
      </c>
    </row>
    <row r="305" spans="1:2" x14ac:dyDescent="0.2">
      <c r="A305" s="9" t="s">
        <v>1592</v>
      </c>
      <c r="B305">
        <v>1</v>
      </c>
    </row>
    <row r="306" spans="1:2" x14ac:dyDescent="0.2">
      <c r="A306" s="9" t="s">
        <v>1593</v>
      </c>
      <c r="B306">
        <v>1</v>
      </c>
    </row>
    <row r="307" spans="1:2" x14ac:dyDescent="0.2">
      <c r="A307" s="6" t="s">
        <v>1662</v>
      </c>
      <c r="B307">
        <v>13</v>
      </c>
    </row>
    <row r="308" spans="1:2" x14ac:dyDescent="0.2">
      <c r="A308" s="10">
        <v>3</v>
      </c>
      <c r="B308">
        <v>4</v>
      </c>
    </row>
    <row r="309" spans="1:2" x14ac:dyDescent="0.2">
      <c r="A309" s="9" t="s">
        <v>1660</v>
      </c>
      <c r="B309">
        <v>1</v>
      </c>
    </row>
    <row r="310" spans="1:2" x14ac:dyDescent="0.2">
      <c r="A310" s="9" t="s">
        <v>1663</v>
      </c>
      <c r="B310">
        <v>1</v>
      </c>
    </row>
    <row r="311" spans="1:2" x14ac:dyDescent="0.2">
      <c r="A311" s="9" t="s">
        <v>1665</v>
      </c>
      <c r="B311">
        <v>1</v>
      </c>
    </row>
    <row r="312" spans="1:2" x14ac:dyDescent="0.2">
      <c r="A312" s="9" t="s">
        <v>1667</v>
      </c>
      <c r="B312">
        <v>1</v>
      </c>
    </row>
    <row r="313" spans="1:2" x14ac:dyDescent="0.2">
      <c r="A313" s="10">
        <v>4</v>
      </c>
      <c r="B313">
        <v>5</v>
      </c>
    </row>
    <row r="314" spans="1:2" x14ac:dyDescent="0.2">
      <c r="A314" s="9" t="s">
        <v>1676</v>
      </c>
      <c r="B314">
        <v>1</v>
      </c>
    </row>
    <row r="315" spans="1:2" x14ac:dyDescent="0.2">
      <c r="A315" s="9" t="s">
        <v>1671</v>
      </c>
      <c r="B315">
        <v>1</v>
      </c>
    </row>
    <row r="316" spans="1:2" x14ac:dyDescent="0.2">
      <c r="A316" s="9" t="s">
        <v>1669</v>
      </c>
      <c r="B316">
        <v>1</v>
      </c>
    </row>
    <row r="317" spans="1:2" x14ac:dyDescent="0.2">
      <c r="A317" s="9" t="s">
        <v>1673</v>
      </c>
      <c r="B317">
        <v>1</v>
      </c>
    </row>
    <row r="318" spans="1:2" x14ac:dyDescent="0.2">
      <c r="A318" s="9" t="s">
        <v>1675</v>
      </c>
      <c r="B318">
        <v>1</v>
      </c>
    </row>
    <row r="319" spans="1:2" x14ac:dyDescent="0.2">
      <c r="A319" s="10">
        <v>5</v>
      </c>
      <c r="B319">
        <v>4</v>
      </c>
    </row>
    <row r="320" spans="1:2" x14ac:dyDescent="0.2">
      <c r="A320" s="9" t="s">
        <v>1682</v>
      </c>
      <c r="B320">
        <v>1</v>
      </c>
    </row>
    <row r="321" spans="1:2" x14ac:dyDescent="0.2">
      <c r="A321" s="9" t="s">
        <v>1678</v>
      </c>
      <c r="B321">
        <v>1</v>
      </c>
    </row>
    <row r="322" spans="1:2" x14ac:dyDescent="0.2">
      <c r="A322" s="9" t="s">
        <v>1685</v>
      </c>
      <c r="B322">
        <v>1</v>
      </c>
    </row>
    <row r="323" spans="1:2" x14ac:dyDescent="0.2">
      <c r="A323" s="9" t="s">
        <v>1680</v>
      </c>
      <c r="B323">
        <v>1</v>
      </c>
    </row>
    <row r="324" spans="1:2" x14ac:dyDescent="0.2">
      <c r="A324" s="6" t="s">
        <v>1778</v>
      </c>
      <c r="B324">
        <v>7</v>
      </c>
    </row>
    <row r="325" spans="1:2" x14ac:dyDescent="0.2">
      <c r="A325" s="10">
        <v>2</v>
      </c>
      <c r="B325">
        <v>1</v>
      </c>
    </row>
    <row r="326" spans="1:2" x14ac:dyDescent="0.2">
      <c r="A326" s="9" t="s">
        <v>1776</v>
      </c>
      <c r="B326">
        <v>1</v>
      </c>
    </row>
    <row r="327" spans="1:2" x14ac:dyDescent="0.2">
      <c r="A327" s="10">
        <v>3</v>
      </c>
      <c r="B327">
        <v>4</v>
      </c>
    </row>
    <row r="328" spans="1:2" x14ac:dyDescent="0.2">
      <c r="A328" s="9" t="s">
        <v>1783</v>
      </c>
      <c r="B328">
        <v>1</v>
      </c>
    </row>
    <row r="329" spans="1:2" x14ac:dyDescent="0.2">
      <c r="A329" s="9" t="s">
        <v>1781</v>
      </c>
      <c r="B329">
        <v>1</v>
      </c>
    </row>
    <row r="330" spans="1:2" x14ac:dyDescent="0.2">
      <c r="A330" s="9" t="s">
        <v>1785</v>
      </c>
      <c r="B330">
        <v>1</v>
      </c>
    </row>
    <row r="331" spans="1:2" x14ac:dyDescent="0.2">
      <c r="A331" s="9" t="s">
        <v>1779</v>
      </c>
      <c r="B331">
        <v>1</v>
      </c>
    </row>
    <row r="332" spans="1:2" x14ac:dyDescent="0.2">
      <c r="A332" s="10">
        <v>4</v>
      </c>
      <c r="B332">
        <v>2</v>
      </c>
    </row>
    <row r="333" spans="1:2" x14ac:dyDescent="0.2">
      <c r="A333" s="9" t="s">
        <v>1789</v>
      </c>
      <c r="B333">
        <v>1</v>
      </c>
    </row>
    <row r="334" spans="1:2" x14ac:dyDescent="0.2">
      <c r="A334" s="9" t="s">
        <v>1787</v>
      </c>
      <c r="B334">
        <v>1</v>
      </c>
    </row>
    <row r="335" spans="1:2" x14ac:dyDescent="0.2">
      <c r="A335" s="6" t="s">
        <v>1834</v>
      </c>
      <c r="B335">
        <v>4</v>
      </c>
    </row>
    <row r="336" spans="1:2" x14ac:dyDescent="0.2">
      <c r="A336" s="10">
        <v>1</v>
      </c>
      <c r="B336">
        <v>1</v>
      </c>
    </row>
    <row r="337" spans="1:2" x14ac:dyDescent="0.2">
      <c r="A337" s="9" t="s">
        <v>1832</v>
      </c>
      <c r="B337">
        <v>1</v>
      </c>
    </row>
    <row r="338" spans="1:2" x14ac:dyDescent="0.2">
      <c r="A338" s="10">
        <v>2</v>
      </c>
      <c r="B338">
        <v>1</v>
      </c>
    </row>
    <row r="339" spans="1:2" x14ac:dyDescent="0.2">
      <c r="A339" s="9" t="s">
        <v>1835</v>
      </c>
      <c r="B339">
        <v>1</v>
      </c>
    </row>
    <row r="340" spans="1:2" x14ac:dyDescent="0.2">
      <c r="A340" s="10">
        <v>3</v>
      </c>
      <c r="B340">
        <v>2</v>
      </c>
    </row>
    <row r="341" spans="1:2" x14ac:dyDescent="0.2">
      <c r="A341" s="9" t="s">
        <v>1837</v>
      </c>
      <c r="B341">
        <v>1</v>
      </c>
    </row>
    <row r="342" spans="1:2" x14ac:dyDescent="0.2">
      <c r="A342" s="9" t="s">
        <v>1839</v>
      </c>
      <c r="B342">
        <v>1</v>
      </c>
    </row>
    <row r="343" spans="1:2" x14ac:dyDescent="0.2">
      <c r="A343" s="6" t="s">
        <v>1897</v>
      </c>
      <c r="B343">
        <v>10</v>
      </c>
    </row>
    <row r="344" spans="1:2" x14ac:dyDescent="0.2">
      <c r="A344" s="10">
        <v>1</v>
      </c>
      <c r="B344">
        <v>1</v>
      </c>
    </row>
    <row r="345" spans="1:2" x14ac:dyDescent="0.2">
      <c r="A345" s="9" t="s">
        <v>1895</v>
      </c>
      <c r="B345">
        <v>1</v>
      </c>
    </row>
    <row r="346" spans="1:2" x14ac:dyDescent="0.2">
      <c r="A346" s="10">
        <v>2</v>
      </c>
      <c r="B346">
        <v>1</v>
      </c>
    </row>
    <row r="347" spans="1:2" x14ac:dyDescent="0.2">
      <c r="A347" s="9" t="s">
        <v>1898</v>
      </c>
      <c r="B347">
        <v>1</v>
      </c>
    </row>
    <row r="348" spans="1:2" x14ac:dyDescent="0.2">
      <c r="A348" s="10">
        <v>3</v>
      </c>
      <c r="B348">
        <v>4</v>
      </c>
    </row>
    <row r="349" spans="1:2" x14ac:dyDescent="0.2">
      <c r="A349" s="9" t="s">
        <v>1900</v>
      </c>
      <c r="B349">
        <v>1</v>
      </c>
    </row>
    <row r="350" spans="1:2" x14ac:dyDescent="0.2">
      <c r="A350" s="9" t="s">
        <v>1902</v>
      </c>
      <c r="B350">
        <v>1</v>
      </c>
    </row>
    <row r="351" spans="1:2" x14ac:dyDescent="0.2">
      <c r="A351" s="9" t="s">
        <v>1907</v>
      </c>
      <c r="B351">
        <v>1</v>
      </c>
    </row>
    <row r="352" spans="1:2" x14ac:dyDescent="0.2">
      <c r="A352" s="9" t="s">
        <v>1905</v>
      </c>
      <c r="B352">
        <v>1</v>
      </c>
    </row>
    <row r="353" spans="1:2" x14ac:dyDescent="0.2">
      <c r="A353" s="10">
        <v>4</v>
      </c>
      <c r="B353">
        <v>3</v>
      </c>
    </row>
    <row r="354" spans="1:2" x14ac:dyDescent="0.2">
      <c r="A354" s="9" t="s">
        <v>1909</v>
      </c>
      <c r="B354">
        <v>1</v>
      </c>
    </row>
    <row r="355" spans="1:2" x14ac:dyDescent="0.2">
      <c r="A355" s="9" t="s">
        <v>1911</v>
      </c>
      <c r="B355">
        <v>1</v>
      </c>
    </row>
    <row r="356" spans="1:2" x14ac:dyDescent="0.2">
      <c r="A356" s="9" t="s">
        <v>1913</v>
      </c>
      <c r="B356">
        <v>1</v>
      </c>
    </row>
    <row r="357" spans="1:2" x14ac:dyDescent="0.2">
      <c r="A357" s="10">
        <v>5</v>
      </c>
      <c r="B357">
        <v>1</v>
      </c>
    </row>
    <row r="358" spans="1:2" x14ac:dyDescent="0.2">
      <c r="A358" s="9" t="s">
        <v>1914</v>
      </c>
      <c r="B358">
        <v>1</v>
      </c>
    </row>
    <row r="359" spans="1:2" x14ac:dyDescent="0.2">
      <c r="A359" s="6" t="s">
        <v>1959</v>
      </c>
      <c r="B359">
        <v>7</v>
      </c>
    </row>
    <row r="360" spans="1:2" x14ac:dyDescent="0.2">
      <c r="A360" s="10">
        <v>1</v>
      </c>
      <c r="B360">
        <v>1</v>
      </c>
    </row>
    <row r="361" spans="1:2" x14ac:dyDescent="0.2">
      <c r="A361" s="9" t="s">
        <v>1957</v>
      </c>
      <c r="B361">
        <v>1</v>
      </c>
    </row>
    <row r="362" spans="1:2" x14ac:dyDescent="0.2">
      <c r="A362" s="10">
        <v>2</v>
      </c>
      <c r="B362">
        <v>3</v>
      </c>
    </row>
    <row r="363" spans="1:2" x14ac:dyDescent="0.2">
      <c r="A363" s="9" t="s">
        <v>1962</v>
      </c>
      <c r="B363">
        <v>1</v>
      </c>
    </row>
    <row r="364" spans="1:2" x14ac:dyDescent="0.2">
      <c r="A364" s="9" t="s">
        <v>1964</v>
      </c>
      <c r="B364">
        <v>1</v>
      </c>
    </row>
    <row r="365" spans="1:2" x14ac:dyDescent="0.2">
      <c r="A365" s="9" t="s">
        <v>1960</v>
      </c>
      <c r="B365">
        <v>1</v>
      </c>
    </row>
    <row r="366" spans="1:2" x14ac:dyDescent="0.2">
      <c r="A366" s="10">
        <v>3</v>
      </c>
      <c r="B366">
        <v>3</v>
      </c>
    </row>
    <row r="367" spans="1:2" x14ac:dyDescent="0.2">
      <c r="A367" s="9" t="s">
        <v>1966</v>
      </c>
      <c r="B367">
        <v>1</v>
      </c>
    </row>
    <row r="368" spans="1:2" x14ac:dyDescent="0.2">
      <c r="A368" s="9" t="s">
        <v>1968</v>
      </c>
      <c r="B368">
        <v>1</v>
      </c>
    </row>
    <row r="369" spans="1:2" x14ac:dyDescent="0.2">
      <c r="A369" s="9" t="s">
        <v>1970</v>
      </c>
      <c r="B369">
        <v>1</v>
      </c>
    </row>
    <row r="370" spans="1:2" x14ac:dyDescent="0.2">
      <c r="A370" s="6" t="s">
        <v>2902</v>
      </c>
      <c r="B370">
        <v>245</v>
      </c>
    </row>
  </sheetData>
  <autoFilter ref="AD4:AF29" xr:uid="{439B21C7-6C23-42C9-BF65-0759398A1545}">
    <sortState xmlns:xlrd2="http://schemas.microsoft.com/office/spreadsheetml/2017/richdata2" ref="AD5:AF30">
      <sortCondition ref="AE4:AE29"/>
    </sortState>
  </autoFilter>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2DAD-B85E-4C5E-AFC2-E5ADB0A85B39}">
  <sheetPr>
    <tabColor theme="8" tint="0.79998168889431442"/>
    <outlinePr summaryBelow="0" summaryRight="0"/>
  </sheetPr>
  <dimension ref="A1:P888"/>
  <sheetViews>
    <sheetView workbookViewId="0">
      <pane ySplit="1" topLeftCell="A639" activePane="bottomLeft" state="frozen"/>
      <selection activeCell="Y36" sqref="Y36"/>
      <selection pane="bottomLeft" activeCell="G661" sqref="G661"/>
    </sheetView>
  </sheetViews>
  <sheetFormatPr defaultColWidth="12.625" defaultRowHeight="15.05" customHeight="1" x14ac:dyDescent="0.2"/>
  <cols>
    <col min="1" max="1" width="7.5" bestFit="1" customWidth="1"/>
    <col min="2" max="2" width="29.5" customWidth="1"/>
    <col min="3" max="3" width="17.875" customWidth="1"/>
    <col min="4" max="4" width="12" bestFit="1" customWidth="1"/>
    <col min="5" max="5" width="16.125" customWidth="1"/>
    <col min="6" max="7" width="13.75" customWidth="1"/>
    <col min="8" max="8" width="8.75" bestFit="1" customWidth="1"/>
    <col min="9" max="9" width="10" bestFit="1" customWidth="1"/>
    <col min="10" max="11" width="10.625" bestFit="1" customWidth="1"/>
    <col min="12" max="13" width="14.5" customWidth="1"/>
    <col min="14" max="14" width="14.75" bestFit="1" customWidth="1"/>
    <col min="15" max="15" width="12.625" customWidth="1"/>
    <col min="16" max="16" width="42.75" bestFit="1" customWidth="1"/>
  </cols>
  <sheetData>
    <row r="1" spans="1:16" ht="15.05" customHeight="1" x14ac:dyDescent="0.25">
      <c r="A1" s="1" t="s">
        <v>0</v>
      </c>
      <c r="B1" s="1" t="s">
        <v>1</v>
      </c>
      <c r="C1" s="1" t="s">
        <v>2</v>
      </c>
      <c r="D1" s="1" t="s">
        <v>0</v>
      </c>
      <c r="E1" s="1" t="s">
        <v>3</v>
      </c>
      <c r="F1" s="1" t="s">
        <v>4</v>
      </c>
      <c r="G1" s="1" t="s">
        <v>5</v>
      </c>
      <c r="H1" s="2" t="s">
        <v>6</v>
      </c>
      <c r="I1" s="1" t="s">
        <v>7</v>
      </c>
      <c r="J1" s="1" t="s">
        <v>8</v>
      </c>
      <c r="K1" s="1" t="s">
        <v>9</v>
      </c>
      <c r="L1" s="32" t="s">
        <v>10</v>
      </c>
      <c r="M1" s="1" t="s">
        <v>11</v>
      </c>
      <c r="N1" s="1" t="s">
        <v>12</v>
      </c>
      <c r="O1" s="1"/>
      <c r="P1" s="1" t="s">
        <v>3055</v>
      </c>
    </row>
    <row r="2" spans="1:16" ht="15.05" customHeight="1" x14ac:dyDescent="0.2">
      <c r="A2" s="3" t="s">
        <v>13</v>
      </c>
      <c r="B2" s="3" t="s">
        <v>14</v>
      </c>
      <c r="C2" s="3" t="s">
        <v>15</v>
      </c>
      <c r="D2" s="3" t="s">
        <v>16</v>
      </c>
      <c r="E2" s="3" t="s">
        <v>17</v>
      </c>
      <c r="F2" s="3" t="s">
        <v>18</v>
      </c>
      <c r="G2" s="4" t="s">
        <v>19</v>
      </c>
      <c r="H2" s="5">
        <v>255</v>
      </c>
      <c r="I2" s="3" t="s">
        <v>20</v>
      </c>
      <c r="J2" s="3">
        <v>2</v>
      </c>
      <c r="K2" s="3">
        <v>1</v>
      </c>
      <c r="L2" s="3" t="s">
        <v>2904</v>
      </c>
      <c r="M2" s="3"/>
      <c r="N2" s="3"/>
      <c r="O2" s="3"/>
      <c r="P2" s="3"/>
    </row>
    <row r="3" spans="1:16" ht="15.05" customHeight="1" x14ac:dyDescent="0.2">
      <c r="A3" s="3" t="s">
        <v>13</v>
      </c>
      <c r="B3" s="3" t="s">
        <v>26</v>
      </c>
      <c r="C3" s="3" t="s">
        <v>27</v>
      </c>
      <c r="D3" s="3" t="s">
        <v>28</v>
      </c>
      <c r="E3" s="3" t="s">
        <v>29</v>
      </c>
      <c r="F3" s="3" t="s">
        <v>18</v>
      </c>
      <c r="G3" s="4" t="s">
        <v>30</v>
      </c>
      <c r="H3" s="5">
        <v>256</v>
      </c>
      <c r="I3" s="3" t="s">
        <v>20</v>
      </c>
      <c r="J3" s="3">
        <v>3</v>
      </c>
      <c r="K3" s="3">
        <v>1</v>
      </c>
      <c r="L3" s="3" t="s">
        <v>2904</v>
      </c>
      <c r="M3" s="4" t="s">
        <v>14</v>
      </c>
      <c r="N3" s="4"/>
      <c r="O3" s="4"/>
      <c r="P3" s="3"/>
    </row>
    <row r="4" spans="1:16" ht="15.05" customHeight="1" x14ac:dyDescent="0.2">
      <c r="A4" s="3" t="s">
        <v>13</v>
      </c>
      <c r="B4" s="3" t="s">
        <v>31</v>
      </c>
      <c r="C4" s="3" t="s">
        <v>15</v>
      </c>
      <c r="D4" s="3" t="s">
        <v>22</v>
      </c>
      <c r="E4" s="3" t="s">
        <v>23</v>
      </c>
      <c r="F4" s="3" t="s">
        <v>18</v>
      </c>
      <c r="G4" s="6" t="s">
        <v>32</v>
      </c>
      <c r="H4" s="5">
        <v>257</v>
      </c>
      <c r="I4" s="3" t="s">
        <v>20</v>
      </c>
      <c r="J4" s="3">
        <v>3</v>
      </c>
      <c r="K4" s="3">
        <v>1</v>
      </c>
      <c r="L4" s="3" t="s">
        <v>2904</v>
      </c>
      <c r="M4" s="4"/>
      <c r="N4" s="4"/>
      <c r="O4" s="3"/>
      <c r="P4" s="3"/>
    </row>
    <row r="5" spans="1:16" ht="15.05" customHeight="1" x14ac:dyDescent="0.2">
      <c r="A5" s="3" t="s">
        <v>13</v>
      </c>
      <c r="B5" s="3" t="s">
        <v>33</v>
      </c>
      <c r="C5" s="3" t="s">
        <v>34</v>
      </c>
      <c r="D5" s="3" t="s">
        <v>22</v>
      </c>
      <c r="E5" s="3" t="s">
        <v>29</v>
      </c>
      <c r="F5" s="3" t="s">
        <v>18</v>
      </c>
      <c r="G5" s="4" t="s">
        <v>35</v>
      </c>
      <c r="H5" s="5">
        <v>256</v>
      </c>
      <c r="I5" s="3" t="s">
        <v>20</v>
      </c>
      <c r="J5" s="3">
        <v>4</v>
      </c>
      <c r="K5" s="3">
        <v>1</v>
      </c>
      <c r="L5" s="3" t="s">
        <v>2904</v>
      </c>
      <c r="M5" s="4" t="s">
        <v>21</v>
      </c>
      <c r="N5" s="4"/>
      <c r="O5" s="4"/>
      <c r="P5" s="3"/>
    </row>
    <row r="6" spans="1:16" ht="15.05" customHeight="1" x14ac:dyDescent="0.2">
      <c r="A6" s="3" t="s">
        <v>13</v>
      </c>
      <c r="B6" s="3" t="s">
        <v>36</v>
      </c>
      <c r="C6" s="3" t="s">
        <v>34</v>
      </c>
      <c r="D6" s="3" t="s">
        <v>16</v>
      </c>
      <c r="E6" s="3" t="s">
        <v>37</v>
      </c>
      <c r="F6" s="3" t="s">
        <v>18</v>
      </c>
      <c r="G6" s="4" t="s">
        <v>38</v>
      </c>
      <c r="H6" s="5">
        <v>256</v>
      </c>
      <c r="I6" s="3" t="s">
        <v>20</v>
      </c>
      <c r="J6" s="3">
        <v>4</v>
      </c>
      <c r="K6" s="3">
        <v>1</v>
      </c>
      <c r="L6" s="3" t="s">
        <v>2904</v>
      </c>
      <c r="M6" s="3" t="s">
        <v>21</v>
      </c>
      <c r="N6" s="3"/>
      <c r="O6" s="4"/>
      <c r="P6" s="3"/>
    </row>
    <row r="7" spans="1:16" ht="15.05" customHeight="1" x14ac:dyDescent="0.2">
      <c r="A7" s="3" t="s">
        <v>13</v>
      </c>
      <c r="B7" s="3" t="s">
        <v>39</v>
      </c>
      <c r="C7" s="3" t="s">
        <v>40</v>
      </c>
      <c r="D7" s="3" t="s">
        <v>16</v>
      </c>
      <c r="E7" s="3" t="s">
        <v>29</v>
      </c>
      <c r="F7" s="3" t="s">
        <v>18</v>
      </c>
      <c r="G7" s="4" t="s">
        <v>41</v>
      </c>
      <c r="H7" s="5">
        <v>257</v>
      </c>
      <c r="I7" s="3" t="s">
        <v>20</v>
      </c>
      <c r="J7" s="3">
        <v>4</v>
      </c>
      <c r="K7" s="3">
        <v>1</v>
      </c>
      <c r="L7" s="3" t="s">
        <v>2904</v>
      </c>
      <c r="M7" s="4" t="s">
        <v>31</v>
      </c>
      <c r="N7" s="4"/>
      <c r="O7" s="3"/>
      <c r="P7" s="7"/>
    </row>
    <row r="8" spans="1:16" ht="15.05" customHeight="1" x14ac:dyDescent="0.2">
      <c r="A8" s="3" t="s">
        <v>13</v>
      </c>
      <c r="B8" s="3" t="s">
        <v>46</v>
      </c>
      <c r="C8" s="3" t="s">
        <v>47</v>
      </c>
      <c r="D8" s="3" t="s">
        <v>22</v>
      </c>
      <c r="E8" s="3" t="s">
        <v>29</v>
      </c>
      <c r="F8" s="3" t="s">
        <v>18</v>
      </c>
      <c r="G8" s="3"/>
      <c r="H8" s="5" t="s">
        <v>48</v>
      </c>
      <c r="I8" s="3" t="s">
        <v>20</v>
      </c>
      <c r="J8" s="5">
        <v>4</v>
      </c>
      <c r="K8" s="5">
        <v>2</v>
      </c>
      <c r="L8" s="3" t="s">
        <v>2904</v>
      </c>
      <c r="M8" s="4" t="s">
        <v>39</v>
      </c>
      <c r="N8" s="4"/>
      <c r="O8" s="4"/>
      <c r="P8" s="7"/>
    </row>
    <row r="9" spans="1:16" ht="15.05" customHeight="1" x14ac:dyDescent="0.2">
      <c r="A9" s="3" t="s">
        <v>13</v>
      </c>
      <c r="B9" s="3" t="s">
        <v>49</v>
      </c>
      <c r="C9" s="3" t="s">
        <v>34</v>
      </c>
      <c r="D9" s="3" t="s">
        <v>22</v>
      </c>
      <c r="E9" s="3" t="s">
        <v>50</v>
      </c>
      <c r="F9" s="3" t="s">
        <v>18</v>
      </c>
      <c r="G9" s="6" t="s">
        <v>51</v>
      </c>
      <c r="H9" s="5">
        <v>257</v>
      </c>
      <c r="I9" s="3" t="s">
        <v>20</v>
      </c>
      <c r="J9" s="3">
        <v>5</v>
      </c>
      <c r="K9" s="3">
        <v>2</v>
      </c>
      <c r="L9" s="3" t="s">
        <v>2904</v>
      </c>
      <c r="M9" s="3" t="s">
        <v>21</v>
      </c>
      <c r="N9" s="3"/>
      <c r="O9" s="3"/>
      <c r="P9" s="3"/>
    </row>
    <row r="10" spans="1:16" ht="15.05" customHeight="1" x14ac:dyDescent="0.2">
      <c r="A10" s="3" t="s">
        <v>13</v>
      </c>
      <c r="B10" s="3" t="s">
        <v>52</v>
      </c>
      <c r="C10" s="3" t="s">
        <v>53</v>
      </c>
      <c r="D10" s="3" t="s">
        <v>22</v>
      </c>
      <c r="E10" s="3" t="s">
        <v>29</v>
      </c>
      <c r="F10" s="3" t="s">
        <v>18</v>
      </c>
      <c r="G10" s="4" t="s">
        <v>54</v>
      </c>
      <c r="H10" s="5">
        <v>257</v>
      </c>
      <c r="I10" s="3" t="s">
        <v>20</v>
      </c>
      <c r="J10" s="3">
        <v>5</v>
      </c>
      <c r="K10" s="3">
        <v>2</v>
      </c>
      <c r="L10" s="3" t="s">
        <v>2904</v>
      </c>
      <c r="M10" s="6" t="s">
        <v>36</v>
      </c>
      <c r="N10" s="6"/>
      <c r="O10" s="6"/>
      <c r="P10" s="6"/>
    </row>
    <row r="11" spans="1:16" ht="15.05" customHeight="1" x14ac:dyDescent="0.2">
      <c r="A11" s="3" t="s">
        <v>13</v>
      </c>
      <c r="B11" s="3" t="s">
        <v>55</v>
      </c>
      <c r="C11" s="3" t="s">
        <v>43</v>
      </c>
      <c r="D11" s="3" t="s">
        <v>28</v>
      </c>
      <c r="E11" s="3" t="s">
        <v>29</v>
      </c>
      <c r="F11" s="3" t="s">
        <v>18</v>
      </c>
      <c r="G11" s="6" t="s">
        <v>56</v>
      </c>
      <c r="H11" s="5">
        <v>257</v>
      </c>
      <c r="I11" s="3" t="s">
        <v>20</v>
      </c>
      <c r="J11" s="3">
        <v>5</v>
      </c>
      <c r="K11" s="3">
        <v>2</v>
      </c>
      <c r="L11" s="3" t="s">
        <v>2904</v>
      </c>
      <c r="M11" s="6" t="s">
        <v>26</v>
      </c>
      <c r="N11" s="6"/>
      <c r="O11" s="6"/>
      <c r="P11" s="6"/>
    </row>
    <row r="12" spans="1:16" ht="15.05" customHeight="1" x14ac:dyDescent="0.2">
      <c r="A12" s="3" t="s">
        <v>13</v>
      </c>
      <c r="B12" s="3" t="s">
        <v>57</v>
      </c>
      <c r="C12" s="3" t="s">
        <v>34</v>
      </c>
      <c r="D12" s="3" t="s">
        <v>16</v>
      </c>
      <c r="E12" s="3" t="s">
        <v>23</v>
      </c>
      <c r="F12" s="3" t="s">
        <v>18</v>
      </c>
      <c r="G12" s="6" t="s">
        <v>58</v>
      </c>
      <c r="H12" s="5">
        <v>258</v>
      </c>
      <c r="I12" s="3" t="s">
        <v>20</v>
      </c>
      <c r="J12" s="3">
        <v>5</v>
      </c>
      <c r="K12" s="3">
        <v>2</v>
      </c>
      <c r="L12" s="3" t="s">
        <v>2904</v>
      </c>
      <c r="M12" s="6" t="s">
        <v>26</v>
      </c>
      <c r="N12" s="6"/>
      <c r="O12" s="6"/>
      <c r="P12" s="6"/>
    </row>
    <row r="13" spans="1:16" ht="15.05" customHeight="1" x14ac:dyDescent="0.2">
      <c r="A13" s="3" t="s">
        <v>13</v>
      </c>
      <c r="B13" s="3" t="s">
        <v>59</v>
      </c>
      <c r="C13" s="3" t="s">
        <v>43</v>
      </c>
      <c r="D13" s="3" t="s">
        <v>22</v>
      </c>
      <c r="E13" s="3" t="s">
        <v>17</v>
      </c>
      <c r="F13" s="3" t="s">
        <v>18</v>
      </c>
      <c r="G13" s="6" t="s">
        <v>60</v>
      </c>
      <c r="H13" s="5">
        <v>258</v>
      </c>
      <c r="I13" s="3" t="s">
        <v>20</v>
      </c>
      <c r="J13" s="3">
        <v>5</v>
      </c>
      <c r="K13" s="3">
        <v>2</v>
      </c>
      <c r="L13" s="3" t="s">
        <v>2904</v>
      </c>
      <c r="M13" s="6" t="s">
        <v>57</v>
      </c>
      <c r="N13" s="6"/>
      <c r="O13" s="6"/>
      <c r="P13" s="6"/>
    </row>
    <row r="14" spans="1:16" ht="15.05" customHeight="1" x14ac:dyDescent="0.2">
      <c r="A14" s="3" t="s">
        <v>13</v>
      </c>
      <c r="B14" s="3" t="s">
        <v>61</v>
      </c>
      <c r="C14" s="3" t="s">
        <v>34</v>
      </c>
      <c r="D14" s="3" t="s">
        <v>22</v>
      </c>
      <c r="E14" s="3" t="s">
        <v>29</v>
      </c>
      <c r="F14" s="3" t="s">
        <v>18</v>
      </c>
      <c r="G14" s="4" t="s">
        <v>62</v>
      </c>
      <c r="H14" s="5">
        <v>258</v>
      </c>
      <c r="I14" s="3" t="s">
        <v>20</v>
      </c>
      <c r="J14" s="3">
        <v>5</v>
      </c>
      <c r="K14" s="3">
        <v>2</v>
      </c>
      <c r="L14" s="3" t="s">
        <v>2904</v>
      </c>
      <c r="M14" s="4" t="s">
        <v>39</v>
      </c>
      <c r="N14" s="4"/>
      <c r="O14" s="4"/>
      <c r="P14" s="4"/>
    </row>
    <row r="15" spans="1:16" ht="15.05" customHeight="1" x14ac:dyDescent="0.2">
      <c r="A15" s="3" t="s">
        <v>13</v>
      </c>
      <c r="B15" s="3" t="s">
        <v>63</v>
      </c>
      <c r="C15" s="3" t="s">
        <v>64</v>
      </c>
      <c r="D15" s="3" t="s">
        <v>28</v>
      </c>
      <c r="E15" s="3" t="s">
        <v>29</v>
      </c>
      <c r="F15" s="3" t="s">
        <v>18</v>
      </c>
      <c r="G15" s="6" t="s">
        <v>65</v>
      </c>
      <c r="H15" s="5">
        <v>258</v>
      </c>
      <c r="I15" s="3" t="s">
        <v>20</v>
      </c>
      <c r="J15" s="3">
        <v>5</v>
      </c>
      <c r="K15" s="3">
        <v>3</v>
      </c>
      <c r="L15" s="3" t="s">
        <v>2904</v>
      </c>
      <c r="M15" s="6" t="s">
        <v>52</v>
      </c>
      <c r="N15" s="6"/>
      <c r="O15" s="6"/>
      <c r="P15" s="6"/>
    </row>
    <row r="16" spans="1:16" ht="15.05" customHeight="1" x14ac:dyDescent="0.2">
      <c r="A16" s="3" t="s">
        <v>13</v>
      </c>
      <c r="B16" s="3" t="s">
        <v>66</v>
      </c>
      <c r="C16" s="3" t="s">
        <v>67</v>
      </c>
      <c r="D16" s="3" t="s">
        <v>28</v>
      </c>
      <c r="E16" s="3" t="s">
        <v>68</v>
      </c>
      <c r="F16" s="3" t="s">
        <v>18</v>
      </c>
      <c r="G16" s="6" t="s">
        <v>69</v>
      </c>
      <c r="H16" s="5">
        <v>259</v>
      </c>
      <c r="I16" s="3" t="s">
        <v>20</v>
      </c>
      <c r="J16" s="3">
        <v>5</v>
      </c>
      <c r="K16" s="3">
        <v>3</v>
      </c>
      <c r="L16" s="3" t="s">
        <v>2904</v>
      </c>
      <c r="M16" s="6" t="s">
        <v>55</v>
      </c>
      <c r="N16" s="6"/>
      <c r="O16" s="6"/>
      <c r="P16" s="6"/>
    </row>
    <row r="17" spans="1:16" ht="15.05" customHeight="1" x14ac:dyDescent="0.2">
      <c r="A17" s="3" t="s">
        <v>13</v>
      </c>
      <c r="B17" s="3" t="s">
        <v>70</v>
      </c>
      <c r="C17" s="3" t="s">
        <v>71</v>
      </c>
      <c r="D17" s="3" t="s">
        <v>22</v>
      </c>
      <c r="E17" s="3" t="s">
        <v>29</v>
      </c>
      <c r="F17" s="3" t="s">
        <v>18</v>
      </c>
      <c r="G17" s="6" t="s">
        <v>72</v>
      </c>
      <c r="H17" s="5">
        <v>259</v>
      </c>
      <c r="I17" s="3" t="s">
        <v>20</v>
      </c>
      <c r="J17" s="3">
        <v>5</v>
      </c>
      <c r="K17" s="3">
        <v>3</v>
      </c>
      <c r="L17" s="3" t="s">
        <v>2904</v>
      </c>
      <c r="M17" s="6" t="s">
        <v>59</v>
      </c>
      <c r="N17" s="6"/>
      <c r="O17" s="6"/>
      <c r="P17" s="6"/>
    </row>
    <row r="18" spans="1:16" ht="15.05" customHeight="1" x14ac:dyDescent="0.2">
      <c r="A18" s="3" t="s">
        <v>13</v>
      </c>
      <c r="B18" s="3" t="s">
        <v>73</v>
      </c>
      <c r="C18" s="3" t="s">
        <v>74</v>
      </c>
      <c r="D18" s="3" t="s">
        <v>28</v>
      </c>
      <c r="E18" s="3" t="s">
        <v>29</v>
      </c>
      <c r="F18" s="3" t="s">
        <v>18</v>
      </c>
      <c r="G18" s="4" t="s">
        <v>75</v>
      </c>
      <c r="H18" s="5">
        <v>259</v>
      </c>
      <c r="I18" s="3" t="s">
        <v>20</v>
      </c>
      <c r="J18" s="3">
        <v>5</v>
      </c>
      <c r="K18" s="3">
        <v>3</v>
      </c>
      <c r="L18" s="3" t="s">
        <v>2904</v>
      </c>
      <c r="M18" s="4" t="s">
        <v>31</v>
      </c>
      <c r="N18" s="4"/>
      <c r="O18" s="4"/>
      <c r="P18" s="4"/>
    </row>
    <row r="19" spans="1:16" ht="15.05" customHeight="1" x14ac:dyDescent="0.2">
      <c r="A19" s="3" t="s">
        <v>13</v>
      </c>
      <c r="B19" s="3" t="s">
        <v>76</v>
      </c>
      <c r="C19" s="3" t="s">
        <v>77</v>
      </c>
      <c r="D19" s="3" t="s">
        <v>22</v>
      </c>
      <c r="E19" s="3" t="s">
        <v>17</v>
      </c>
      <c r="F19" s="3" t="s">
        <v>18</v>
      </c>
      <c r="G19" s="4" t="s">
        <v>78</v>
      </c>
      <c r="H19" s="5">
        <v>259</v>
      </c>
      <c r="I19" s="3" t="s">
        <v>20</v>
      </c>
      <c r="J19" s="3">
        <v>5</v>
      </c>
      <c r="K19" s="3">
        <v>3</v>
      </c>
      <c r="L19" s="3" t="s">
        <v>2904</v>
      </c>
      <c r="M19" s="4" t="s">
        <v>61</v>
      </c>
      <c r="N19" s="4"/>
      <c r="O19" s="4"/>
      <c r="P19" s="4"/>
    </row>
    <row r="20" spans="1:16" ht="15.05" customHeight="1" x14ac:dyDescent="0.2">
      <c r="A20" s="3" t="s">
        <v>13</v>
      </c>
      <c r="B20" s="3" t="s">
        <v>79</v>
      </c>
      <c r="C20" s="3" t="s">
        <v>80</v>
      </c>
      <c r="D20" s="3" t="s">
        <v>28</v>
      </c>
      <c r="E20" s="3" t="s">
        <v>29</v>
      </c>
      <c r="F20" s="3" t="s">
        <v>18</v>
      </c>
      <c r="G20" s="4" t="s">
        <v>81</v>
      </c>
      <c r="H20" s="5">
        <v>259</v>
      </c>
      <c r="I20" s="3" t="s">
        <v>20</v>
      </c>
      <c r="J20" s="3">
        <v>5</v>
      </c>
      <c r="K20" s="3">
        <v>3</v>
      </c>
      <c r="L20" s="3" t="s">
        <v>2904</v>
      </c>
      <c r="M20" s="4" t="s">
        <v>61</v>
      </c>
      <c r="N20" s="4"/>
      <c r="O20" s="4"/>
      <c r="P20" s="4"/>
    </row>
    <row r="21" spans="1:16" ht="15.05" customHeight="1" x14ac:dyDescent="0.2">
      <c r="A21" s="3" t="s">
        <v>13</v>
      </c>
      <c r="B21" s="3" t="s">
        <v>82</v>
      </c>
      <c r="C21" s="3" t="s">
        <v>80</v>
      </c>
      <c r="D21" s="3" t="s">
        <v>28</v>
      </c>
      <c r="E21" s="3" t="s">
        <v>29</v>
      </c>
      <c r="F21" s="3" t="s">
        <v>18</v>
      </c>
      <c r="G21" s="3" t="s">
        <v>83</v>
      </c>
      <c r="H21" s="5">
        <v>259</v>
      </c>
      <c r="I21" s="3" t="s">
        <v>20</v>
      </c>
      <c r="J21" s="3">
        <v>5</v>
      </c>
      <c r="K21" s="3">
        <v>3</v>
      </c>
      <c r="L21" s="3" t="s">
        <v>2904</v>
      </c>
      <c r="M21" s="3" t="s">
        <v>79</v>
      </c>
      <c r="N21" s="3"/>
      <c r="O21" s="3"/>
      <c r="P21" s="3"/>
    </row>
    <row r="22" spans="1:16" ht="15.05" customHeight="1" x14ac:dyDescent="0.2">
      <c r="A22" s="3" t="s">
        <v>13</v>
      </c>
      <c r="B22" s="3" t="s">
        <v>84</v>
      </c>
      <c r="C22" s="3" t="s">
        <v>43</v>
      </c>
      <c r="D22" s="3" t="s">
        <v>28</v>
      </c>
      <c r="E22" s="3" t="s">
        <v>29</v>
      </c>
      <c r="F22" s="3" t="s">
        <v>18</v>
      </c>
      <c r="G22" s="4" t="s">
        <v>85</v>
      </c>
      <c r="H22" s="5">
        <v>260</v>
      </c>
      <c r="I22" s="3" t="s">
        <v>20</v>
      </c>
      <c r="J22" s="3">
        <v>5</v>
      </c>
      <c r="K22" s="3">
        <v>3</v>
      </c>
      <c r="L22" s="3" t="s">
        <v>2904</v>
      </c>
      <c r="M22" s="3" t="s">
        <v>61</v>
      </c>
      <c r="N22" s="3"/>
      <c r="O22" s="3"/>
      <c r="P22" s="3"/>
    </row>
    <row r="23" spans="1:16" ht="15.05" customHeight="1" x14ac:dyDescent="0.2">
      <c r="A23" s="3" t="s">
        <v>13</v>
      </c>
      <c r="B23" s="3" t="s">
        <v>86</v>
      </c>
      <c r="C23" s="3" t="s">
        <v>87</v>
      </c>
      <c r="D23" s="3" t="s">
        <v>22</v>
      </c>
      <c r="E23" s="3" t="s">
        <v>29</v>
      </c>
      <c r="F23" s="3" t="s">
        <v>18</v>
      </c>
      <c r="G23" s="6" t="s">
        <v>88</v>
      </c>
      <c r="H23" s="5">
        <v>260</v>
      </c>
      <c r="I23" s="3" t="s">
        <v>20</v>
      </c>
      <c r="J23" s="3">
        <v>5</v>
      </c>
      <c r="K23" s="3">
        <v>3</v>
      </c>
      <c r="L23" s="3" t="s">
        <v>2904</v>
      </c>
      <c r="M23" s="3" t="s">
        <v>84</v>
      </c>
      <c r="N23" s="3"/>
      <c r="O23" s="3"/>
      <c r="P23" s="3"/>
    </row>
    <row r="24" spans="1:16" ht="15.05" customHeight="1" x14ac:dyDescent="0.2">
      <c r="A24" s="3" t="s">
        <v>13</v>
      </c>
      <c r="B24" s="3" t="s">
        <v>89</v>
      </c>
      <c r="C24" s="3" t="s">
        <v>67</v>
      </c>
      <c r="D24" s="3" t="s">
        <v>28</v>
      </c>
      <c r="E24" s="3" t="s">
        <v>29</v>
      </c>
      <c r="F24" s="3" t="s">
        <v>18</v>
      </c>
      <c r="G24" s="3"/>
      <c r="H24" s="5" t="s">
        <v>90</v>
      </c>
      <c r="I24" s="3" t="s">
        <v>20</v>
      </c>
      <c r="J24" s="5">
        <v>5</v>
      </c>
      <c r="K24" s="5">
        <v>3</v>
      </c>
      <c r="L24" s="3" t="s">
        <v>2904</v>
      </c>
      <c r="M24" s="3" t="s">
        <v>61</v>
      </c>
      <c r="N24" s="3"/>
      <c r="O24" s="3"/>
      <c r="P24" s="3"/>
    </row>
    <row r="25" spans="1:16" ht="15.05" customHeight="1" x14ac:dyDescent="0.2">
      <c r="A25" s="3" t="s">
        <v>13</v>
      </c>
      <c r="B25" s="3" t="s">
        <v>91</v>
      </c>
      <c r="C25" s="3" t="s">
        <v>80</v>
      </c>
      <c r="D25" s="3" t="s">
        <v>28</v>
      </c>
      <c r="E25" s="3" t="s">
        <v>29</v>
      </c>
      <c r="F25" s="3" t="s">
        <v>18</v>
      </c>
      <c r="G25" s="3" t="s">
        <v>92</v>
      </c>
      <c r="H25" s="5">
        <v>259</v>
      </c>
      <c r="I25" s="3" t="s">
        <v>20</v>
      </c>
      <c r="J25" s="3">
        <v>5</v>
      </c>
      <c r="K25" s="3">
        <v>4</v>
      </c>
      <c r="L25" s="3" t="s">
        <v>2904</v>
      </c>
      <c r="M25" s="3" t="s">
        <v>82</v>
      </c>
      <c r="N25" s="3"/>
      <c r="O25" s="3"/>
      <c r="P25" s="3"/>
    </row>
    <row r="26" spans="1:16" ht="15.05" customHeight="1" x14ac:dyDescent="0.2">
      <c r="A26" s="3" t="s">
        <v>13</v>
      </c>
      <c r="B26" s="3" t="s">
        <v>93</v>
      </c>
      <c r="C26" s="3" t="s">
        <v>34</v>
      </c>
      <c r="D26" s="3" t="s">
        <v>22</v>
      </c>
      <c r="E26" s="3" t="s">
        <v>29</v>
      </c>
      <c r="F26" s="3" t="s">
        <v>18</v>
      </c>
      <c r="G26" s="6" t="s">
        <v>94</v>
      </c>
      <c r="H26" s="5">
        <v>260</v>
      </c>
      <c r="I26" s="3" t="s">
        <v>20</v>
      </c>
      <c r="J26" s="3">
        <v>5</v>
      </c>
      <c r="K26" s="3">
        <v>4</v>
      </c>
      <c r="L26" s="3" t="s">
        <v>2904</v>
      </c>
      <c r="M26" s="4" t="s">
        <v>63</v>
      </c>
      <c r="N26" s="4"/>
      <c r="O26" s="4"/>
      <c r="P26" s="4"/>
    </row>
    <row r="27" spans="1:16" ht="15.05" customHeight="1" x14ac:dyDescent="0.2">
      <c r="A27" s="3" t="s">
        <v>13</v>
      </c>
      <c r="B27" s="3" t="s">
        <v>95</v>
      </c>
      <c r="C27" s="3" t="s">
        <v>96</v>
      </c>
      <c r="D27" s="3" t="s">
        <v>22</v>
      </c>
      <c r="E27" s="3" t="s">
        <v>97</v>
      </c>
      <c r="F27" s="3" t="s">
        <v>18</v>
      </c>
      <c r="G27" s="6" t="s">
        <v>98</v>
      </c>
      <c r="H27" s="5">
        <v>260</v>
      </c>
      <c r="I27" s="3" t="s">
        <v>20</v>
      </c>
      <c r="J27" s="3">
        <v>5</v>
      </c>
      <c r="K27" s="3">
        <v>4</v>
      </c>
      <c r="L27" s="3" t="s">
        <v>2904</v>
      </c>
      <c r="M27" s="6" t="s">
        <v>66</v>
      </c>
      <c r="N27" s="6"/>
      <c r="O27" s="6"/>
      <c r="P27" s="6"/>
    </row>
    <row r="28" spans="1:16" ht="15.05" customHeight="1" x14ac:dyDescent="0.2">
      <c r="A28" s="3" t="s">
        <v>13</v>
      </c>
      <c r="B28" s="3" t="s">
        <v>101</v>
      </c>
      <c r="C28" s="3" t="s">
        <v>102</v>
      </c>
      <c r="D28" s="3" t="s">
        <v>28</v>
      </c>
      <c r="E28" s="3" t="s">
        <v>29</v>
      </c>
      <c r="F28" s="3" t="s">
        <v>18</v>
      </c>
      <c r="G28" s="3"/>
      <c r="H28" s="5" t="s">
        <v>90</v>
      </c>
      <c r="I28" s="3" t="s">
        <v>20</v>
      </c>
      <c r="J28" s="5">
        <v>5</v>
      </c>
      <c r="K28" s="5">
        <v>4</v>
      </c>
      <c r="L28" s="3" t="s">
        <v>2904</v>
      </c>
      <c r="M28" s="3" t="s">
        <v>103</v>
      </c>
      <c r="N28" s="3"/>
      <c r="O28" s="3"/>
      <c r="P28" s="3"/>
    </row>
    <row r="29" spans="1:16" ht="15.05" customHeight="1" x14ac:dyDescent="0.2">
      <c r="A29" s="3" t="s">
        <v>13</v>
      </c>
      <c r="B29" s="3" t="s">
        <v>104</v>
      </c>
      <c r="C29" s="3" t="s">
        <v>53</v>
      </c>
      <c r="D29" s="3" t="s">
        <v>22</v>
      </c>
      <c r="E29" s="3" t="s">
        <v>50</v>
      </c>
      <c r="F29" s="3" t="s">
        <v>18</v>
      </c>
      <c r="G29" s="3" t="s">
        <v>105</v>
      </c>
      <c r="H29" s="5">
        <v>257</v>
      </c>
      <c r="I29" s="3" t="s">
        <v>20</v>
      </c>
      <c r="J29" s="3">
        <v>5</v>
      </c>
      <c r="K29" s="3">
        <v>5</v>
      </c>
      <c r="L29" s="3" t="s">
        <v>2904</v>
      </c>
      <c r="M29" s="6" t="s">
        <v>52</v>
      </c>
      <c r="N29" s="6"/>
      <c r="O29" s="6"/>
      <c r="P29" s="6"/>
    </row>
    <row r="30" spans="1:16" ht="15.05" customHeight="1" x14ac:dyDescent="0.2">
      <c r="A30" s="3" t="s">
        <v>13</v>
      </c>
      <c r="B30" s="3" t="s">
        <v>106</v>
      </c>
      <c r="C30" s="3" t="s">
        <v>80</v>
      </c>
      <c r="D30" s="3" t="s">
        <v>28</v>
      </c>
      <c r="E30" s="3" t="s">
        <v>29</v>
      </c>
      <c r="F30" s="3" t="s">
        <v>18</v>
      </c>
      <c r="G30" s="3" t="s">
        <v>107</v>
      </c>
      <c r="H30" s="5">
        <v>259</v>
      </c>
      <c r="I30" s="3" t="s">
        <v>20</v>
      </c>
      <c r="J30" s="3">
        <v>5</v>
      </c>
      <c r="K30" s="3">
        <v>5</v>
      </c>
      <c r="L30" s="3" t="s">
        <v>2904</v>
      </c>
      <c r="M30" s="3" t="s">
        <v>91</v>
      </c>
      <c r="N30" s="3"/>
      <c r="O30" s="3"/>
      <c r="P30" s="3"/>
    </row>
    <row r="31" spans="1:16" ht="15.05" customHeight="1" x14ac:dyDescent="0.2">
      <c r="A31" s="3" t="s">
        <v>13</v>
      </c>
      <c r="B31" s="3" t="s">
        <v>108</v>
      </c>
      <c r="C31" s="3" t="s">
        <v>34</v>
      </c>
      <c r="D31" s="3" t="s">
        <v>22</v>
      </c>
      <c r="E31" s="3" t="s">
        <v>29</v>
      </c>
      <c r="F31" s="3" t="s">
        <v>18</v>
      </c>
      <c r="G31" s="6" t="s">
        <v>109</v>
      </c>
      <c r="H31" s="5">
        <v>260</v>
      </c>
      <c r="I31" s="3" t="s">
        <v>20</v>
      </c>
      <c r="J31" s="3">
        <v>5</v>
      </c>
      <c r="K31" s="3">
        <v>5</v>
      </c>
      <c r="L31" s="3" t="s">
        <v>2904</v>
      </c>
      <c r="M31" s="6" t="s">
        <v>93</v>
      </c>
      <c r="N31" s="6"/>
      <c r="O31" s="6"/>
      <c r="P31" s="6"/>
    </row>
    <row r="32" spans="1:16" ht="12.45" x14ac:dyDescent="0.2">
      <c r="A32" s="3" t="s">
        <v>13</v>
      </c>
      <c r="B32" s="3" t="s">
        <v>110</v>
      </c>
      <c r="C32" s="3" t="s">
        <v>96</v>
      </c>
      <c r="D32" s="3" t="s">
        <v>22</v>
      </c>
      <c r="E32" s="3" t="s">
        <v>111</v>
      </c>
      <c r="F32" s="3" t="s">
        <v>18</v>
      </c>
      <c r="G32" s="3" t="s">
        <v>112</v>
      </c>
      <c r="H32" s="5">
        <v>260</v>
      </c>
      <c r="I32" s="3" t="s">
        <v>20</v>
      </c>
      <c r="J32" s="3">
        <v>5</v>
      </c>
      <c r="K32" s="3">
        <v>5</v>
      </c>
      <c r="L32" s="3" t="s">
        <v>2904</v>
      </c>
      <c r="M32" s="4" t="s">
        <v>95</v>
      </c>
      <c r="N32" s="4"/>
      <c r="O32" s="4"/>
      <c r="P32" s="4"/>
    </row>
    <row r="33" spans="1:16" ht="12.45" x14ac:dyDescent="0.2">
      <c r="A33" s="3" t="s">
        <v>13</v>
      </c>
      <c r="B33" s="3" t="s">
        <v>113</v>
      </c>
      <c r="C33" s="3" t="s">
        <v>15</v>
      </c>
      <c r="D33" s="3" t="s">
        <v>16</v>
      </c>
      <c r="E33" s="3" t="s">
        <v>17</v>
      </c>
      <c r="F33" s="3" t="s">
        <v>18</v>
      </c>
      <c r="G33" s="4" t="s">
        <v>114</v>
      </c>
      <c r="H33" s="5">
        <v>261</v>
      </c>
      <c r="I33" s="3" t="s">
        <v>20</v>
      </c>
      <c r="J33" s="3">
        <v>5</v>
      </c>
      <c r="K33" s="3">
        <v>5</v>
      </c>
      <c r="L33" s="3" t="s">
        <v>2904</v>
      </c>
      <c r="M33" s="3" t="s">
        <v>99</v>
      </c>
      <c r="N33" s="3"/>
      <c r="O33" s="3"/>
      <c r="P33" s="3"/>
    </row>
    <row r="34" spans="1:16" ht="12.45" x14ac:dyDescent="0.2">
      <c r="A34" s="3" t="s">
        <v>13</v>
      </c>
      <c r="B34" s="3" t="s">
        <v>115</v>
      </c>
      <c r="C34" s="3" t="s">
        <v>116</v>
      </c>
      <c r="D34" s="3" t="s">
        <v>28</v>
      </c>
      <c r="E34" s="3" t="s">
        <v>29</v>
      </c>
      <c r="F34" s="3" t="s">
        <v>18</v>
      </c>
      <c r="G34" s="3"/>
      <c r="H34" s="5" t="s">
        <v>90</v>
      </c>
      <c r="I34" s="3" t="s">
        <v>20</v>
      </c>
      <c r="J34" s="5">
        <v>5</v>
      </c>
      <c r="K34" s="5">
        <v>5</v>
      </c>
      <c r="L34" s="3" t="s">
        <v>2904</v>
      </c>
      <c r="M34" s="3" t="s">
        <v>117</v>
      </c>
      <c r="N34" s="3"/>
      <c r="O34" s="3"/>
      <c r="P34" s="3"/>
    </row>
    <row r="35" spans="1:16" ht="12.45" x14ac:dyDescent="0.2">
      <c r="A35" s="3" t="s">
        <v>13</v>
      </c>
      <c r="B35" s="3" t="s">
        <v>118</v>
      </c>
      <c r="C35" s="3" t="s">
        <v>80</v>
      </c>
      <c r="D35" s="3" t="s">
        <v>28</v>
      </c>
      <c r="E35" s="3" t="s">
        <v>29</v>
      </c>
      <c r="F35" s="3" t="s">
        <v>18</v>
      </c>
      <c r="G35" s="3" t="s">
        <v>119</v>
      </c>
      <c r="H35" s="5">
        <v>259</v>
      </c>
      <c r="I35" s="3" t="s">
        <v>20</v>
      </c>
      <c r="J35" s="3">
        <v>5</v>
      </c>
      <c r="K35" s="3">
        <v>6</v>
      </c>
      <c r="L35" s="3" t="s">
        <v>2904</v>
      </c>
      <c r="M35" s="6" t="s">
        <v>106</v>
      </c>
      <c r="N35" s="6"/>
      <c r="O35" s="6"/>
      <c r="P35" s="6"/>
    </row>
    <row r="36" spans="1:16" ht="12.45" x14ac:dyDescent="0.2">
      <c r="A36" s="3" t="s">
        <v>13</v>
      </c>
      <c r="B36" s="3" t="s">
        <v>120</v>
      </c>
      <c r="C36" s="3" t="s">
        <v>80</v>
      </c>
      <c r="D36" s="3" t="s">
        <v>28</v>
      </c>
      <c r="E36" s="3" t="s">
        <v>29</v>
      </c>
      <c r="F36" s="3" t="s">
        <v>18</v>
      </c>
      <c r="G36" s="3" t="s">
        <v>121</v>
      </c>
      <c r="H36" s="5">
        <v>259</v>
      </c>
      <c r="I36" s="3" t="s">
        <v>20</v>
      </c>
      <c r="J36" s="3">
        <v>5</v>
      </c>
      <c r="K36" s="3">
        <v>6</v>
      </c>
      <c r="L36" s="3" t="s">
        <v>2904</v>
      </c>
      <c r="M36" s="4" t="s">
        <v>118</v>
      </c>
      <c r="N36" s="4"/>
      <c r="O36" s="4"/>
      <c r="P36" s="4"/>
    </row>
    <row r="37" spans="1:16" ht="12.45" x14ac:dyDescent="0.2">
      <c r="A37" s="3" t="s">
        <v>13</v>
      </c>
      <c r="B37" s="3" t="s">
        <v>21</v>
      </c>
      <c r="C37" s="3" t="s">
        <v>15</v>
      </c>
      <c r="D37" s="3" t="s">
        <v>22</v>
      </c>
      <c r="E37" s="3" t="s">
        <v>23</v>
      </c>
      <c r="F37" s="3" t="s">
        <v>24</v>
      </c>
      <c r="G37" s="4" t="s">
        <v>25</v>
      </c>
      <c r="H37" s="5">
        <v>255</v>
      </c>
      <c r="I37" s="3" t="s">
        <v>20</v>
      </c>
      <c r="J37" s="3">
        <v>3</v>
      </c>
      <c r="K37" s="3">
        <v>1</v>
      </c>
      <c r="L37" s="3" t="s">
        <v>2904</v>
      </c>
      <c r="M37" s="4" t="s">
        <v>14</v>
      </c>
      <c r="N37" s="4"/>
      <c r="O37" s="4"/>
      <c r="P37" s="3"/>
    </row>
    <row r="38" spans="1:16" ht="12.45" x14ac:dyDescent="0.2">
      <c r="A38" s="3" t="s">
        <v>13</v>
      </c>
      <c r="B38" s="3" t="s">
        <v>42</v>
      </c>
      <c r="C38" s="3" t="s">
        <v>43</v>
      </c>
      <c r="D38" s="3" t="s">
        <v>28</v>
      </c>
      <c r="E38" s="3" t="s">
        <v>23</v>
      </c>
      <c r="F38" s="3" t="s">
        <v>44</v>
      </c>
      <c r="G38" s="6" t="s">
        <v>45</v>
      </c>
      <c r="H38" s="5">
        <v>258</v>
      </c>
      <c r="I38" s="3" t="s">
        <v>20</v>
      </c>
      <c r="J38" s="3">
        <v>4</v>
      </c>
      <c r="K38" s="3">
        <v>2</v>
      </c>
      <c r="L38" s="3" t="s">
        <v>2904</v>
      </c>
      <c r="M38" s="6" t="s">
        <v>31</v>
      </c>
      <c r="N38" s="6"/>
      <c r="O38" s="4"/>
      <c r="P38" s="7"/>
    </row>
    <row r="39" spans="1:16" ht="12.45" x14ac:dyDescent="0.2">
      <c r="A39" s="3" t="s">
        <v>13</v>
      </c>
      <c r="B39" s="3" t="s">
        <v>99</v>
      </c>
      <c r="C39" s="3" t="s">
        <v>47</v>
      </c>
      <c r="D39" s="3" t="s">
        <v>28</v>
      </c>
      <c r="E39" s="3" t="s">
        <v>23</v>
      </c>
      <c r="F39" s="3" t="s">
        <v>44</v>
      </c>
      <c r="G39" s="6" t="s">
        <v>100</v>
      </c>
      <c r="H39" s="5">
        <v>260</v>
      </c>
      <c r="I39" s="3" t="s">
        <v>20</v>
      </c>
      <c r="J39" s="3">
        <v>5</v>
      </c>
      <c r="K39" s="3">
        <v>4</v>
      </c>
      <c r="L39" s="3" t="s">
        <v>2904</v>
      </c>
      <c r="M39" s="6" t="s">
        <v>70</v>
      </c>
      <c r="N39" s="6"/>
      <c r="O39" s="6"/>
      <c r="P39" s="6"/>
    </row>
    <row r="40" spans="1:16" ht="12.45" x14ac:dyDescent="0.2">
      <c r="A40" s="3" t="s">
        <v>13</v>
      </c>
      <c r="B40" s="3" t="s">
        <v>260</v>
      </c>
      <c r="C40" s="3" t="s">
        <v>261</v>
      </c>
      <c r="D40" s="3" t="s">
        <v>22</v>
      </c>
      <c r="E40" s="3" t="s">
        <v>23</v>
      </c>
      <c r="F40" s="3" t="s">
        <v>182</v>
      </c>
      <c r="G40" s="6" t="s">
        <v>262</v>
      </c>
      <c r="H40" s="5">
        <v>273</v>
      </c>
      <c r="I40" s="3" t="s">
        <v>217</v>
      </c>
      <c r="J40" s="3">
        <v>5</v>
      </c>
      <c r="K40" s="3">
        <v>4</v>
      </c>
      <c r="L40" s="3" t="s">
        <v>2916</v>
      </c>
      <c r="M40" s="6" t="s">
        <v>258</v>
      </c>
      <c r="N40" s="6"/>
      <c r="O40" s="6"/>
      <c r="P40" s="6"/>
    </row>
    <row r="41" spans="1:16" ht="12.45" x14ac:dyDescent="0.2">
      <c r="A41" s="3" t="s">
        <v>13</v>
      </c>
      <c r="B41" s="3" t="s">
        <v>218</v>
      </c>
      <c r="C41" s="3" t="s">
        <v>147</v>
      </c>
      <c r="D41" s="3" t="s">
        <v>22</v>
      </c>
      <c r="E41" s="3" t="s">
        <v>23</v>
      </c>
      <c r="F41" s="3" t="s">
        <v>18</v>
      </c>
      <c r="G41" s="4" t="s">
        <v>219</v>
      </c>
      <c r="H41" s="5">
        <v>267</v>
      </c>
      <c r="I41" s="3" t="s">
        <v>217</v>
      </c>
      <c r="J41" s="3">
        <v>3</v>
      </c>
      <c r="K41" s="3">
        <v>1</v>
      </c>
      <c r="L41" s="3" t="s">
        <v>2916</v>
      </c>
      <c r="M41" s="6" t="s">
        <v>215</v>
      </c>
      <c r="N41" s="6"/>
      <c r="O41" s="6"/>
      <c r="P41" s="6"/>
    </row>
    <row r="42" spans="1:16" ht="12.45" x14ac:dyDescent="0.2">
      <c r="A42" s="3" t="s">
        <v>13</v>
      </c>
      <c r="B42" s="3" t="s">
        <v>225</v>
      </c>
      <c r="C42" s="3" t="s">
        <v>40</v>
      </c>
      <c r="D42" s="3" t="s">
        <v>28</v>
      </c>
      <c r="E42" s="3" t="s">
        <v>23</v>
      </c>
      <c r="F42" s="3" t="s">
        <v>18</v>
      </c>
      <c r="G42" s="6" t="s">
        <v>226</v>
      </c>
      <c r="H42" s="5">
        <v>269</v>
      </c>
      <c r="I42" s="3" t="s">
        <v>217</v>
      </c>
      <c r="J42" s="3">
        <v>3</v>
      </c>
      <c r="K42" s="3">
        <v>1</v>
      </c>
      <c r="L42" s="3" t="s">
        <v>2916</v>
      </c>
      <c r="M42" s="4" t="s">
        <v>223</v>
      </c>
      <c r="N42" s="4"/>
      <c r="O42" s="4"/>
      <c r="P42" s="4"/>
    </row>
    <row r="43" spans="1:16" ht="12.45" x14ac:dyDescent="0.2">
      <c r="A43" s="3" t="s">
        <v>13</v>
      </c>
      <c r="B43" s="3" t="s">
        <v>229</v>
      </c>
      <c r="C43" s="3" t="s">
        <v>15</v>
      </c>
      <c r="D43" s="3" t="s">
        <v>22</v>
      </c>
      <c r="E43" s="3" t="s">
        <v>23</v>
      </c>
      <c r="F43" s="3" t="s">
        <v>18</v>
      </c>
      <c r="G43" s="6" t="s">
        <v>230</v>
      </c>
      <c r="H43" s="5">
        <v>269</v>
      </c>
      <c r="I43" s="3" t="s">
        <v>217</v>
      </c>
      <c r="J43" s="3">
        <v>3</v>
      </c>
      <c r="K43" s="3">
        <v>1</v>
      </c>
      <c r="L43" s="3" t="s">
        <v>2916</v>
      </c>
      <c r="M43" s="4" t="s">
        <v>227</v>
      </c>
      <c r="N43" s="4"/>
      <c r="O43" s="4"/>
      <c r="P43" s="4"/>
    </row>
    <row r="44" spans="1:16" ht="12.45" x14ac:dyDescent="0.2">
      <c r="A44" s="3" t="s">
        <v>13</v>
      </c>
      <c r="B44" s="3" t="s">
        <v>233</v>
      </c>
      <c r="C44" s="3" t="s">
        <v>34</v>
      </c>
      <c r="D44" s="3" t="s">
        <v>22</v>
      </c>
      <c r="E44" s="3" t="s">
        <v>23</v>
      </c>
      <c r="F44" s="3" t="s">
        <v>18</v>
      </c>
      <c r="G44" s="4" t="s">
        <v>234</v>
      </c>
      <c r="H44" s="5">
        <v>267</v>
      </c>
      <c r="I44" s="3" t="s">
        <v>217</v>
      </c>
      <c r="J44" s="3">
        <v>4</v>
      </c>
      <c r="K44" s="3">
        <v>1</v>
      </c>
      <c r="L44" s="3" t="s">
        <v>2916</v>
      </c>
      <c r="M44" s="4" t="s">
        <v>220</v>
      </c>
      <c r="N44" s="4"/>
      <c r="O44" s="4"/>
      <c r="P44" s="4"/>
    </row>
    <row r="45" spans="1:16" ht="12.45" x14ac:dyDescent="0.2">
      <c r="A45" s="3" t="s">
        <v>13</v>
      </c>
      <c r="B45" s="3" t="s">
        <v>235</v>
      </c>
      <c r="C45" s="3" t="s">
        <v>236</v>
      </c>
      <c r="D45" s="3" t="s">
        <v>22</v>
      </c>
      <c r="E45" s="3" t="s">
        <v>23</v>
      </c>
      <c r="F45" s="3" t="s">
        <v>18</v>
      </c>
      <c r="G45" s="6" t="s">
        <v>237</v>
      </c>
      <c r="H45" s="5">
        <v>269</v>
      </c>
      <c r="I45" s="3" t="s">
        <v>217</v>
      </c>
      <c r="J45" s="3">
        <v>4</v>
      </c>
      <c r="K45" s="3">
        <v>1</v>
      </c>
      <c r="L45" s="3" t="s">
        <v>2916</v>
      </c>
      <c r="M45" s="4" t="s">
        <v>223</v>
      </c>
      <c r="N45" s="4"/>
      <c r="O45" s="4"/>
      <c r="P45" s="4"/>
    </row>
    <row r="46" spans="1:16" ht="12.45" x14ac:dyDescent="0.2">
      <c r="A46" s="3" t="s">
        <v>13</v>
      </c>
      <c r="B46" s="3" t="s">
        <v>238</v>
      </c>
      <c r="C46" s="3" t="s">
        <v>43</v>
      </c>
      <c r="D46" s="3" t="s">
        <v>16</v>
      </c>
      <c r="E46" s="3" t="s">
        <v>23</v>
      </c>
      <c r="F46" s="3" t="s">
        <v>18</v>
      </c>
      <c r="G46" s="4" t="s">
        <v>239</v>
      </c>
      <c r="H46" s="5">
        <v>270</v>
      </c>
      <c r="I46" s="3" t="s">
        <v>217</v>
      </c>
      <c r="J46" s="3">
        <v>4</v>
      </c>
      <c r="K46" s="3">
        <v>1</v>
      </c>
      <c r="L46" s="3" t="s">
        <v>2916</v>
      </c>
      <c r="M46" s="4"/>
      <c r="N46" s="4"/>
      <c r="O46" s="4"/>
      <c r="P46" s="4"/>
    </row>
    <row r="47" spans="1:16" ht="12.45" x14ac:dyDescent="0.2">
      <c r="A47" s="3" t="s">
        <v>13</v>
      </c>
      <c r="B47" s="3" t="s">
        <v>240</v>
      </c>
      <c r="C47" s="3" t="s">
        <v>40</v>
      </c>
      <c r="D47" s="3" t="s">
        <v>22</v>
      </c>
      <c r="E47" s="3" t="s">
        <v>23</v>
      </c>
      <c r="F47" s="3" t="s">
        <v>18</v>
      </c>
      <c r="G47" s="4" t="s">
        <v>241</v>
      </c>
      <c r="H47" s="5">
        <v>270</v>
      </c>
      <c r="I47" s="3" t="s">
        <v>217</v>
      </c>
      <c r="J47" s="3">
        <v>4</v>
      </c>
      <c r="K47" s="3">
        <v>2</v>
      </c>
      <c r="L47" s="3" t="s">
        <v>2916</v>
      </c>
      <c r="M47" s="6" t="s">
        <v>229</v>
      </c>
      <c r="N47" s="6"/>
      <c r="O47" s="6"/>
      <c r="P47" s="6"/>
    </row>
    <row r="48" spans="1:16" ht="12.45" x14ac:dyDescent="0.2">
      <c r="A48" s="3" t="s">
        <v>13</v>
      </c>
      <c r="B48" s="3" t="s">
        <v>244</v>
      </c>
      <c r="C48" s="3" t="s">
        <v>154</v>
      </c>
      <c r="D48" s="3" t="s">
        <v>22</v>
      </c>
      <c r="E48" s="3" t="s">
        <v>23</v>
      </c>
      <c r="F48" s="3" t="s">
        <v>18</v>
      </c>
      <c r="G48" s="4" t="s">
        <v>245</v>
      </c>
      <c r="H48" s="5">
        <v>270</v>
      </c>
      <c r="I48" s="3" t="s">
        <v>217</v>
      </c>
      <c r="J48" s="3">
        <v>5</v>
      </c>
      <c r="K48" s="3">
        <v>2</v>
      </c>
      <c r="L48" s="3" t="s">
        <v>2916</v>
      </c>
      <c r="M48" s="4" t="s">
        <v>233</v>
      </c>
      <c r="N48" s="4"/>
      <c r="O48" s="4"/>
      <c r="P48" s="4"/>
    </row>
    <row r="49" spans="1:16" ht="12.45" x14ac:dyDescent="0.2">
      <c r="A49" s="3" t="s">
        <v>13</v>
      </c>
      <c r="B49" s="3" t="s">
        <v>246</v>
      </c>
      <c r="C49" s="3" t="s">
        <v>34</v>
      </c>
      <c r="D49" s="3" t="s">
        <v>22</v>
      </c>
      <c r="E49" s="3" t="s">
        <v>23</v>
      </c>
      <c r="F49" s="3" t="s">
        <v>18</v>
      </c>
      <c r="G49" s="4" t="s">
        <v>247</v>
      </c>
      <c r="H49" s="5">
        <v>270</v>
      </c>
      <c r="I49" s="3" t="s">
        <v>217</v>
      </c>
      <c r="J49" s="3">
        <v>5</v>
      </c>
      <c r="K49" s="3">
        <v>2</v>
      </c>
      <c r="L49" s="3" t="s">
        <v>2916</v>
      </c>
      <c r="M49" s="6" t="s">
        <v>235</v>
      </c>
      <c r="N49" s="6"/>
      <c r="O49" s="6"/>
      <c r="P49" s="6"/>
    </row>
    <row r="50" spans="1:16" ht="12.45" x14ac:dyDescent="0.2">
      <c r="A50" s="3" t="s">
        <v>13</v>
      </c>
      <c r="B50" s="3" t="s">
        <v>248</v>
      </c>
      <c r="C50" s="3" t="s">
        <v>53</v>
      </c>
      <c r="D50" s="3" t="s">
        <v>22</v>
      </c>
      <c r="E50" s="3" t="s">
        <v>23</v>
      </c>
      <c r="F50" s="3" t="s">
        <v>18</v>
      </c>
      <c r="G50" s="4" t="s">
        <v>249</v>
      </c>
      <c r="H50" s="5">
        <v>271</v>
      </c>
      <c r="I50" s="3" t="s">
        <v>217</v>
      </c>
      <c r="J50" s="3">
        <v>5</v>
      </c>
      <c r="K50" s="3">
        <v>2</v>
      </c>
      <c r="L50" s="3" t="s">
        <v>2916</v>
      </c>
      <c r="M50" s="4" t="s">
        <v>250</v>
      </c>
      <c r="N50" s="4"/>
      <c r="O50" s="4"/>
      <c r="P50" s="4"/>
    </row>
    <row r="51" spans="1:16" ht="12.45" x14ac:dyDescent="0.2">
      <c r="A51" s="3" t="s">
        <v>13</v>
      </c>
      <c r="B51" s="3" t="s">
        <v>253</v>
      </c>
      <c r="C51" s="3" t="s">
        <v>254</v>
      </c>
      <c r="D51" s="3" t="s">
        <v>22</v>
      </c>
      <c r="E51" s="3" t="s">
        <v>23</v>
      </c>
      <c r="F51" s="3" t="s">
        <v>18</v>
      </c>
      <c r="G51" s="6" t="s">
        <v>255</v>
      </c>
      <c r="H51" s="5">
        <v>271</v>
      </c>
      <c r="I51" s="3" t="s">
        <v>217</v>
      </c>
      <c r="J51" s="3">
        <v>5</v>
      </c>
      <c r="K51" s="3">
        <v>3</v>
      </c>
      <c r="L51" s="3" t="s">
        <v>2916</v>
      </c>
      <c r="M51" s="4" t="s">
        <v>244</v>
      </c>
      <c r="N51" s="4"/>
      <c r="O51" s="4"/>
      <c r="P51" s="4"/>
    </row>
    <row r="52" spans="1:16" ht="12.45" x14ac:dyDescent="0.2">
      <c r="A52" s="3" t="s">
        <v>13</v>
      </c>
      <c r="B52" s="3" t="s">
        <v>263</v>
      </c>
      <c r="C52" s="3" t="s">
        <v>264</v>
      </c>
      <c r="D52" s="3" t="s">
        <v>28</v>
      </c>
      <c r="E52" s="3" t="s">
        <v>23</v>
      </c>
      <c r="F52" s="3" t="s">
        <v>265</v>
      </c>
      <c r="G52" s="4" t="s">
        <v>266</v>
      </c>
      <c r="H52" s="5">
        <v>273</v>
      </c>
      <c r="I52" s="3" t="s">
        <v>217</v>
      </c>
      <c r="J52" s="3">
        <v>5</v>
      </c>
      <c r="K52" s="3">
        <v>4</v>
      </c>
      <c r="L52" s="3" t="s">
        <v>2916</v>
      </c>
      <c r="M52" s="3"/>
      <c r="N52" s="3"/>
      <c r="O52" s="3"/>
      <c r="P52" s="3"/>
    </row>
    <row r="53" spans="1:16" ht="12.45" x14ac:dyDescent="0.2">
      <c r="A53" s="3" t="s">
        <v>13</v>
      </c>
      <c r="B53" s="3" t="s">
        <v>242</v>
      </c>
      <c r="C53" s="3" t="s">
        <v>147</v>
      </c>
      <c r="D53" s="3" t="s">
        <v>148</v>
      </c>
      <c r="E53" s="3" t="s">
        <v>23</v>
      </c>
      <c r="F53" s="3" t="s">
        <v>148</v>
      </c>
      <c r="G53" s="4" t="s">
        <v>243</v>
      </c>
      <c r="H53" s="5">
        <v>271</v>
      </c>
      <c r="I53" s="3" t="s">
        <v>217</v>
      </c>
      <c r="J53" s="3">
        <v>4</v>
      </c>
      <c r="K53" s="3">
        <v>2</v>
      </c>
      <c r="L53" s="3" t="s">
        <v>2916</v>
      </c>
      <c r="M53" s="6" t="s">
        <v>231</v>
      </c>
      <c r="N53" s="6"/>
      <c r="O53" s="6"/>
      <c r="P53" s="6"/>
    </row>
    <row r="54" spans="1:16" ht="12.45" x14ac:dyDescent="0.2">
      <c r="A54" s="3" t="s">
        <v>13</v>
      </c>
      <c r="B54" s="3" t="s">
        <v>251</v>
      </c>
      <c r="C54" s="3" t="s">
        <v>147</v>
      </c>
      <c r="D54" s="3" t="s">
        <v>148</v>
      </c>
      <c r="E54" s="3" t="s">
        <v>23</v>
      </c>
      <c r="F54" s="3" t="s">
        <v>148</v>
      </c>
      <c r="G54" s="4" t="s">
        <v>252</v>
      </c>
      <c r="H54" s="5">
        <v>271</v>
      </c>
      <c r="I54" s="3" t="s">
        <v>217</v>
      </c>
      <c r="J54" s="3">
        <v>5</v>
      </c>
      <c r="K54" s="3">
        <v>3</v>
      </c>
      <c r="L54" s="3" t="s">
        <v>2916</v>
      </c>
      <c r="M54" s="3" t="s">
        <v>220</v>
      </c>
      <c r="N54" s="3"/>
      <c r="O54" s="3"/>
      <c r="P54" s="3"/>
    </row>
    <row r="55" spans="1:16" ht="12.45" x14ac:dyDescent="0.2">
      <c r="A55" s="3" t="s">
        <v>13</v>
      </c>
      <c r="B55" s="3" t="s">
        <v>256</v>
      </c>
      <c r="C55" s="3" t="s">
        <v>147</v>
      </c>
      <c r="D55" s="3" t="s">
        <v>148</v>
      </c>
      <c r="E55" s="3" t="s">
        <v>23</v>
      </c>
      <c r="F55" s="3" t="s">
        <v>148</v>
      </c>
      <c r="G55" s="6" t="s">
        <v>257</v>
      </c>
      <c r="H55" s="5">
        <v>271</v>
      </c>
      <c r="I55" s="3" t="s">
        <v>217</v>
      </c>
      <c r="J55" s="3">
        <v>5</v>
      </c>
      <c r="K55" s="3">
        <v>3</v>
      </c>
      <c r="L55" s="3" t="s">
        <v>2916</v>
      </c>
      <c r="M55" s="3" t="s">
        <v>223</v>
      </c>
      <c r="N55" s="3"/>
      <c r="O55" s="3"/>
      <c r="P55" s="3"/>
    </row>
    <row r="56" spans="1:16" ht="12.45" x14ac:dyDescent="0.2">
      <c r="A56" s="3" t="s">
        <v>13</v>
      </c>
      <c r="B56" s="3" t="s">
        <v>258</v>
      </c>
      <c r="C56" s="3" t="s">
        <v>147</v>
      </c>
      <c r="D56" s="3" t="s">
        <v>148</v>
      </c>
      <c r="E56" s="3" t="s">
        <v>23</v>
      </c>
      <c r="F56" s="3" t="s">
        <v>148</v>
      </c>
      <c r="G56" s="4" t="s">
        <v>259</v>
      </c>
      <c r="H56" s="5">
        <v>272</v>
      </c>
      <c r="I56" s="3" t="s">
        <v>217</v>
      </c>
      <c r="J56" s="3">
        <v>5</v>
      </c>
      <c r="K56" s="3">
        <v>3</v>
      </c>
      <c r="L56" s="3" t="s">
        <v>2916</v>
      </c>
      <c r="M56" s="4" t="s">
        <v>227</v>
      </c>
      <c r="N56" s="4"/>
      <c r="O56" s="4"/>
      <c r="P56" s="4"/>
    </row>
    <row r="57" spans="1:16" ht="12.45" x14ac:dyDescent="0.2">
      <c r="A57" s="3" t="s">
        <v>13</v>
      </c>
      <c r="B57" s="3" t="s">
        <v>215</v>
      </c>
      <c r="C57" s="3" t="s">
        <v>175</v>
      </c>
      <c r="D57" s="3" t="s">
        <v>22</v>
      </c>
      <c r="E57" s="3" t="s">
        <v>23</v>
      </c>
      <c r="F57" s="3" t="s">
        <v>44</v>
      </c>
      <c r="G57" s="4" t="s">
        <v>216</v>
      </c>
      <c r="H57" s="5">
        <v>267</v>
      </c>
      <c r="I57" s="3" t="s">
        <v>217</v>
      </c>
      <c r="J57" s="3">
        <v>2</v>
      </c>
      <c r="K57" s="3">
        <v>1</v>
      </c>
      <c r="L57" s="3" t="s">
        <v>2916</v>
      </c>
      <c r="M57" s="6"/>
      <c r="N57" s="6"/>
      <c r="O57" s="6"/>
      <c r="P57" s="6"/>
    </row>
    <row r="58" spans="1:16" ht="12.45" x14ac:dyDescent="0.2">
      <c r="A58" s="3" t="s">
        <v>13</v>
      </c>
      <c r="B58" s="3" t="s">
        <v>220</v>
      </c>
      <c r="C58" s="3" t="s">
        <v>221</v>
      </c>
      <c r="D58" s="3" t="s">
        <v>28</v>
      </c>
      <c r="E58" s="3" t="s">
        <v>23</v>
      </c>
      <c r="F58" s="3" t="s">
        <v>44</v>
      </c>
      <c r="G58" s="4" t="s">
        <v>222</v>
      </c>
      <c r="H58" s="5">
        <v>267</v>
      </c>
      <c r="I58" s="3" t="s">
        <v>217</v>
      </c>
      <c r="J58" s="3">
        <v>3</v>
      </c>
      <c r="K58" s="3">
        <v>1</v>
      </c>
      <c r="L58" s="3" t="s">
        <v>2916</v>
      </c>
      <c r="M58" s="6" t="s">
        <v>215</v>
      </c>
      <c r="N58" s="6"/>
      <c r="O58" s="6"/>
      <c r="P58" s="6"/>
    </row>
    <row r="59" spans="1:16" ht="12.45" x14ac:dyDescent="0.2">
      <c r="A59" s="3" t="s">
        <v>13</v>
      </c>
      <c r="B59" s="3" t="s">
        <v>223</v>
      </c>
      <c r="C59" s="3" t="s">
        <v>221</v>
      </c>
      <c r="D59" s="3" t="s">
        <v>28</v>
      </c>
      <c r="E59" s="3" t="s">
        <v>23</v>
      </c>
      <c r="F59" s="3" t="s">
        <v>44</v>
      </c>
      <c r="G59" s="4" t="s">
        <v>224</v>
      </c>
      <c r="H59" s="5">
        <v>268</v>
      </c>
      <c r="I59" s="3" t="s">
        <v>217</v>
      </c>
      <c r="J59" s="3">
        <v>3</v>
      </c>
      <c r="K59" s="3">
        <v>1</v>
      </c>
      <c r="L59" s="3" t="s">
        <v>2916</v>
      </c>
      <c r="M59" s="6" t="s">
        <v>215</v>
      </c>
      <c r="N59" s="6"/>
      <c r="O59" s="6"/>
      <c r="P59" s="6"/>
    </row>
    <row r="60" spans="1:16" ht="12.45" x14ac:dyDescent="0.2">
      <c r="A60" s="3" t="s">
        <v>13</v>
      </c>
      <c r="B60" s="3" t="s">
        <v>227</v>
      </c>
      <c r="C60" s="3" t="s">
        <v>221</v>
      </c>
      <c r="D60" s="3" t="s">
        <v>28</v>
      </c>
      <c r="E60" s="3" t="s">
        <v>23</v>
      </c>
      <c r="F60" s="3" t="s">
        <v>44</v>
      </c>
      <c r="G60" s="6" t="s">
        <v>228</v>
      </c>
      <c r="H60" s="5">
        <v>269</v>
      </c>
      <c r="I60" s="3" t="s">
        <v>217</v>
      </c>
      <c r="J60" s="3">
        <v>3</v>
      </c>
      <c r="K60" s="3">
        <v>1</v>
      </c>
      <c r="L60" s="3" t="s">
        <v>2916</v>
      </c>
      <c r="M60" s="4" t="s">
        <v>215</v>
      </c>
      <c r="N60" s="4"/>
      <c r="O60" s="4"/>
      <c r="P60" s="4"/>
    </row>
    <row r="61" spans="1:16" ht="12.45" x14ac:dyDescent="0.2">
      <c r="A61" s="3" t="s">
        <v>13</v>
      </c>
      <c r="B61" s="3" t="s">
        <v>231</v>
      </c>
      <c r="C61" s="3" t="s">
        <v>34</v>
      </c>
      <c r="D61" s="3" t="s">
        <v>22</v>
      </c>
      <c r="E61" s="3" t="s">
        <v>23</v>
      </c>
      <c r="F61" s="3" t="s">
        <v>44</v>
      </c>
      <c r="G61" s="6" t="s">
        <v>232</v>
      </c>
      <c r="H61" s="5">
        <v>269</v>
      </c>
      <c r="I61" s="3" t="s">
        <v>217</v>
      </c>
      <c r="J61" s="3">
        <v>3</v>
      </c>
      <c r="K61" s="3">
        <v>1</v>
      </c>
      <c r="L61" s="3" t="s">
        <v>2916</v>
      </c>
      <c r="M61" s="4" t="s">
        <v>227</v>
      </c>
      <c r="N61" s="4"/>
      <c r="O61" s="4"/>
      <c r="P61" s="4"/>
    </row>
    <row r="62" spans="1:16" ht="12.45" x14ac:dyDescent="0.2">
      <c r="A62" s="3" t="s">
        <v>13</v>
      </c>
      <c r="B62" t="s">
        <v>596</v>
      </c>
      <c r="C62" t="s">
        <v>2939</v>
      </c>
      <c r="D62" t="s">
        <v>22</v>
      </c>
      <c r="E62" t="s">
        <v>23</v>
      </c>
      <c r="F62" t="s">
        <v>18</v>
      </c>
      <c r="G62" s="3" t="s">
        <v>597</v>
      </c>
      <c r="H62" s="5">
        <v>300</v>
      </c>
      <c r="I62" s="3" t="s">
        <v>598</v>
      </c>
      <c r="J62" s="3">
        <v>2</v>
      </c>
      <c r="K62" s="3">
        <v>1</v>
      </c>
      <c r="L62" s="3" t="s">
        <v>2916</v>
      </c>
      <c r="M62" s="4"/>
      <c r="N62" s="4"/>
      <c r="O62" s="4"/>
      <c r="P62" s="4"/>
    </row>
    <row r="63" spans="1:16" ht="12.45" x14ac:dyDescent="0.2">
      <c r="A63" s="3" t="s">
        <v>13</v>
      </c>
      <c r="B63" t="s">
        <v>599</v>
      </c>
      <c r="C63" t="s">
        <v>3054</v>
      </c>
      <c r="D63" t="s">
        <v>22</v>
      </c>
      <c r="E63" t="s">
        <v>212</v>
      </c>
      <c r="F63" t="s">
        <v>18</v>
      </c>
      <c r="G63" s="3" t="s">
        <v>600</v>
      </c>
      <c r="H63" s="5">
        <v>299</v>
      </c>
      <c r="I63" s="3" t="s">
        <v>598</v>
      </c>
      <c r="J63" s="3">
        <v>3</v>
      </c>
      <c r="K63" s="3">
        <v>1</v>
      </c>
      <c r="L63" s="3" t="s">
        <v>2916</v>
      </c>
      <c r="M63" s="6"/>
      <c r="N63" s="6"/>
      <c r="O63" s="6"/>
      <c r="P63" s="6"/>
    </row>
    <row r="64" spans="1:16" ht="12.45" x14ac:dyDescent="0.2">
      <c r="A64" s="3" t="s">
        <v>13</v>
      </c>
      <c r="B64" t="s">
        <v>601</v>
      </c>
      <c r="C64" t="s">
        <v>2940</v>
      </c>
      <c r="D64" t="s">
        <v>22</v>
      </c>
      <c r="E64" t="s">
        <v>17</v>
      </c>
      <c r="F64" t="s">
        <v>18</v>
      </c>
      <c r="G64" s="3" t="s">
        <v>602</v>
      </c>
      <c r="H64" s="5">
        <v>299</v>
      </c>
      <c r="I64" s="3" t="s">
        <v>598</v>
      </c>
      <c r="J64" s="3">
        <v>3</v>
      </c>
      <c r="K64" s="3">
        <v>1</v>
      </c>
      <c r="L64" s="3" t="s">
        <v>2916</v>
      </c>
      <c r="M64" s="6" t="s">
        <v>599</v>
      </c>
      <c r="N64" s="6"/>
      <c r="O64" s="6"/>
      <c r="P64" s="6"/>
    </row>
    <row r="65" spans="1:16" ht="12.45" x14ac:dyDescent="0.2">
      <c r="A65" s="3" t="s">
        <v>13</v>
      </c>
      <c r="B65" t="s">
        <v>603</v>
      </c>
      <c r="C65" t="s">
        <v>3053</v>
      </c>
      <c r="D65" t="s">
        <v>22</v>
      </c>
      <c r="E65" t="s">
        <v>23</v>
      </c>
      <c r="F65" t="s">
        <v>18</v>
      </c>
      <c r="G65" s="3" t="s">
        <v>604</v>
      </c>
      <c r="H65" s="5">
        <v>300</v>
      </c>
      <c r="I65" s="3" t="s">
        <v>598</v>
      </c>
      <c r="J65" s="3">
        <v>3</v>
      </c>
      <c r="K65" s="3">
        <v>1</v>
      </c>
      <c r="L65" s="3" t="s">
        <v>2916</v>
      </c>
      <c r="M65" s="6" t="s">
        <v>601</v>
      </c>
      <c r="N65" s="6"/>
      <c r="O65" s="6"/>
      <c r="P65" s="6"/>
    </row>
    <row r="66" spans="1:16" ht="12.45" x14ac:dyDescent="0.2">
      <c r="A66" s="3" t="s">
        <v>13</v>
      </c>
      <c r="B66" t="s">
        <v>605</v>
      </c>
      <c r="C66" t="s">
        <v>2945</v>
      </c>
      <c r="D66" t="s">
        <v>22</v>
      </c>
      <c r="E66" t="s">
        <v>23</v>
      </c>
      <c r="F66" t="s">
        <v>18</v>
      </c>
      <c r="G66" s="3" t="s">
        <v>606</v>
      </c>
      <c r="H66" s="5">
        <v>300</v>
      </c>
      <c r="I66" s="3" t="s">
        <v>598</v>
      </c>
      <c r="J66" s="3">
        <v>3</v>
      </c>
      <c r="K66" s="3">
        <v>1</v>
      </c>
      <c r="L66" s="3" t="s">
        <v>2916</v>
      </c>
      <c r="M66" s="6" t="s">
        <v>596</v>
      </c>
      <c r="N66" s="6"/>
      <c r="O66" s="6"/>
      <c r="P66" s="6"/>
    </row>
    <row r="67" spans="1:16" ht="12.45" x14ac:dyDescent="0.2">
      <c r="A67" s="3" t="s">
        <v>13</v>
      </c>
      <c r="B67" t="s">
        <v>607</v>
      </c>
      <c r="C67" t="s">
        <v>2945</v>
      </c>
      <c r="D67" t="s">
        <v>16</v>
      </c>
      <c r="E67" t="s">
        <v>23</v>
      </c>
      <c r="F67" t="s">
        <v>18</v>
      </c>
      <c r="G67" s="3" t="s">
        <v>608</v>
      </c>
      <c r="H67" s="5">
        <v>299</v>
      </c>
      <c r="I67" s="3" t="s">
        <v>598</v>
      </c>
      <c r="J67" s="3">
        <v>4</v>
      </c>
      <c r="K67" s="3">
        <v>1</v>
      </c>
      <c r="L67" s="3" t="s">
        <v>2916</v>
      </c>
      <c r="M67" s="4" t="s">
        <v>599</v>
      </c>
      <c r="N67" s="4"/>
      <c r="O67" s="4"/>
      <c r="P67" s="4"/>
    </row>
    <row r="68" spans="1:16" ht="12.45" x14ac:dyDescent="0.2">
      <c r="A68" s="3" t="s">
        <v>13</v>
      </c>
      <c r="B68" t="s">
        <v>620</v>
      </c>
      <c r="C68" t="s">
        <v>2940</v>
      </c>
      <c r="D68" t="s">
        <v>22</v>
      </c>
      <c r="E68" t="s">
        <v>23</v>
      </c>
      <c r="F68" t="s">
        <v>18</v>
      </c>
      <c r="G68" s="3" t="s">
        <v>621</v>
      </c>
      <c r="H68" s="5">
        <v>300</v>
      </c>
      <c r="I68" s="3" t="s">
        <v>598</v>
      </c>
      <c r="J68" s="3">
        <v>5</v>
      </c>
      <c r="K68" s="3">
        <v>2</v>
      </c>
      <c r="L68" s="3" t="s">
        <v>2916</v>
      </c>
      <c r="M68" s="6" t="s">
        <v>607</v>
      </c>
      <c r="N68" s="6"/>
      <c r="O68" s="6"/>
      <c r="P68" s="6"/>
    </row>
    <row r="69" spans="1:16" ht="12.45" x14ac:dyDescent="0.2">
      <c r="A69" s="3" t="s">
        <v>13</v>
      </c>
      <c r="B69" t="s">
        <v>624</v>
      </c>
      <c r="C69" t="s">
        <v>2971</v>
      </c>
      <c r="D69" t="s">
        <v>22</v>
      </c>
      <c r="E69" t="s">
        <v>17</v>
      </c>
      <c r="F69" t="s">
        <v>18</v>
      </c>
      <c r="G69" s="3" t="s">
        <v>625</v>
      </c>
      <c r="H69" s="5">
        <v>300</v>
      </c>
      <c r="I69" s="3" t="s">
        <v>598</v>
      </c>
      <c r="J69" s="3">
        <v>5</v>
      </c>
      <c r="K69" s="3">
        <v>2</v>
      </c>
      <c r="L69" s="3" t="s">
        <v>2916</v>
      </c>
      <c r="M69" s="3" t="s">
        <v>622</v>
      </c>
      <c r="N69" s="3"/>
      <c r="O69" s="3"/>
      <c r="P69" s="3"/>
    </row>
    <row r="70" spans="1:16" ht="12.45" x14ac:dyDescent="0.2">
      <c r="A70" s="3" t="s">
        <v>13</v>
      </c>
      <c r="B70" t="s">
        <v>626</v>
      </c>
      <c r="C70" t="s">
        <v>2940</v>
      </c>
      <c r="D70" t="s">
        <v>22</v>
      </c>
      <c r="E70" t="s">
        <v>23</v>
      </c>
      <c r="F70" t="s">
        <v>18</v>
      </c>
      <c r="G70" s="3" t="s">
        <v>627</v>
      </c>
      <c r="H70" s="5">
        <v>301</v>
      </c>
      <c r="I70" s="3" t="s">
        <v>598</v>
      </c>
      <c r="J70" s="3">
        <v>5</v>
      </c>
      <c r="K70" s="3">
        <v>2</v>
      </c>
      <c r="L70" s="3" t="s">
        <v>2916</v>
      </c>
      <c r="M70" s="3" t="s">
        <v>622</v>
      </c>
      <c r="N70" s="3"/>
      <c r="O70" s="3"/>
      <c r="P70" s="3"/>
    </row>
    <row r="71" spans="1:16" ht="12.45" x14ac:dyDescent="0.2">
      <c r="A71" s="3" t="s">
        <v>13</v>
      </c>
      <c r="B71" t="s">
        <v>628</v>
      </c>
      <c r="C71" t="s">
        <v>3052</v>
      </c>
      <c r="D71" t="s">
        <v>22</v>
      </c>
      <c r="E71" t="s">
        <v>23</v>
      </c>
      <c r="F71" t="s">
        <v>18</v>
      </c>
      <c r="G71" s="3" t="s">
        <v>629</v>
      </c>
      <c r="H71" s="5">
        <v>301</v>
      </c>
      <c r="I71" s="3" t="s">
        <v>598</v>
      </c>
      <c r="J71" s="3">
        <v>5</v>
      </c>
      <c r="K71" s="3">
        <v>2</v>
      </c>
      <c r="L71" s="3" t="s">
        <v>2916</v>
      </c>
      <c r="M71" s="4" t="s">
        <v>605</v>
      </c>
      <c r="N71" s="4"/>
      <c r="O71" s="4"/>
      <c r="P71" s="4"/>
    </row>
    <row r="72" spans="1:16" ht="12.45" x14ac:dyDescent="0.2">
      <c r="A72" s="3" t="s">
        <v>13</v>
      </c>
      <c r="B72" t="s">
        <v>632</v>
      </c>
      <c r="C72" t="s">
        <v>3051</v>
      </c>
      <c r="D72" t="s">
        <v>22</v>
      </c>
      <c r="E72" t="s">
        <v>29</v>
      </c>
      <c r="F72" t="s">
        <v>18</v>
      </c>
      <c r="G72" s="3" t="s">
        <v>633</v>
      </c>
      <c r="H72" s="5">
        <v>302</v>
      </c>
      <c r="I72" s="3" t="s">
        <v>598</v>
      </c>
      <c r="J72" s="3">
        <v>5</v>
      </c>
      <c r="K72" s="3">
        <v>2</v>
      </c>
      <c r="L72" s="3" t="s">
        <v>2916</v>
      </c>
      <c r="M72" s="6" t="s">
        <v>628</v>
      </c>
      <c r="N72" s="6"/>
      <c r="O72" s="6"/>
      <c r="P72" s="6"/>
    </row>
    <row r="73" spans="1:16" ht="12.45" x14ac:dyDescent="0.2">
      <c r="A73" s="3" t="s">
        <v>13</v>
      </c>
      <c r="B73" t="s">
        <v>634</v>
      </c>
      <c r="C73" t="s">
        <v>2971</v>
      </c>
      <c r="D73" t="s">
        <v>22</v>
      </c>
      <c r="E73" t="s">
        <v>23</v>
      </c>
      <c r="F73" t="s">
        <v>18</v>
      </c>
      <c r="G73" s="3" t="s">
        <v>635</v>
      </c>
      <c r="H73" s="5">
        <v>302</v>
      </c>
      <c r="I73" s="3" t="s">
        <v>598</v>
      </c>
      <c r="J73" s="3">
        <v>5</v>
      </c>
      <c r="K73" s="3">
        <v>3</v>
      </c>
      <c r="L73" s="3" t="s">
        <v>2916</v>
      </c>
      <c r="M73" s="4" t="s">
        <v>620</v>
      </c>
      <c r="N73" s="4"/>
      <c r="O73" s="4"/>
      <c r="P73" s="4"/>
    </row>
    <row r="74" spans="1:16" ht="12.45" x14ac:dyDescent="0.2">
      <c r="A74" s="3" t="s">
        <v>13</v>
      </c>
      <c r="B74" t="s">
        <v>636</v>
      </c>
      <c r="C74" t="s">
        <v>2940</v>
      </c>
      <c r="D74" t="s">
        <v>22</v>
      </c>
      <c r="E74" t="s">
        <v>23</v>
      </c>
      <c r="F74" t="s">
        <v>18</v>
      </c>
      <c r="G74" s="3" t="s">
        <v>637</v>
      </c>
      <c r="H74" s="5">
        <v>302</v>
      </c>
      <c r="I74" s="3" t="s">
        <v>598</v>
      </c>
      <c r="J74" s="3">
        <v>5</v>
      </c>
      <c r="K74" s="3">
        <v>3</v>
      </c>
      <c r="L74" s="3" t="s">
        <v>2916</v>
      </c>
      <c r="M74" s="4" t="s">
        <v>626</v>
      </c>
      <c r="N74" s="4"/>
      <c r="O74" s="4"/>
      <c r="P74" s="4"/>
    </row>
    <row r="75" spans="1:16" ht="12.45" x14ac:dyDescent="0.2">
      <c r="A75" s="3" t="s">
        <v>13</v>
      </c>
      <c r="B75" t="s">
        <v>648</v>
      </c>
      <c r="C75" t="s">
        <v>147</v>
      </c>
      <c r="D75" t="s">
        <v>148</v>
      </c>
      <c r="E75" t="s">
        <v>212</v>
      </c>
      <c r="F75" t="s">
        <v>18</v>
      </c>
      <c r="G75" s="3" t="s">
        <v>649</v>
      </c>
      <c r="H75" s="5">
        <v>303</v>
      </c>
      <c r="I75" s="3" t="s">
        <v>598</v>
      </c>
      <c r="J75" s="3">
        <v>5</v>
      </c>
      <c r="K75" s="3">
        <v>5</v>
      </c>
      <c r="L75" s="3" t="s">
        <v>2916</v>
      </c>
      <c r="M75" s="4" t="s">
        <v>624</v>
      </c>
      <c r="N75" s="4"/>
      <c r="O75" s="4"/>
      <c r="P75" s="4"/>
    </row>
    <row r="76" spans="1:16" ht="12.45" x14ac:dyDescent="0.2">
      <c r="A76" s="3" t="s">
        <v>13</v>
      </c>
      <c r="B76" t="s">
        <v>614</v>
      </c>
      <c r="C76" t="s">
        <v>2943</v>
      </c>
      <c r="D76" t="s">
        <v>22</v>
      </c>
      <c r="E76" t="s">
        <v>23</v>
      </c>
      <c r="F76" t="s">
        <v>615</v>
      </c>
      <c r="G76" s="3" t="s">
        <v>616</v>
      </c>
      <c r="H76" s="5">
        <v>300</v>
      </c>
      <c r="I76" s="3" t="s">
        <v>598</v>
      </c>
      <c r="J76" s="3">
        <v>4</v>
      </c>
      <c r="K76" s="3">
        <v>2</v>
      </c>
      <c r="L76" s="3" t="s">
        <v>2916</v>
      </c>
      <c r="M76" s="6" t="s">
        <v>601</v>
      </c>
      <c r="N76" s="6"/>
      <c r="O76" s="6"/>
      <c r="P76" s="6"/>
    </row>
    <row r="77" spans="1:16" ht="12.45" x14ac:dyDescent="0.2">
      <c r="A77" s="3" t="s">
        <v>13</v>
      </c>
      <c r="B77" t="s">
        <v>646</v>
      </c>
      <c r="C77" t="s">
        <v>2950</v>
      </c>
      <c r="D77" t="s">
        <v>28</v>
      </c>
      <c r="E77" t="s">
        <v>23</v>
      </c>
      <c r="F77" t="s">
        <v>615</v>
      </c>
      <c r="G77" s="3" t="s">
        <v>647</v>
      </c>
      <c r="H77" s="5">
        <v>303</v>
      </c>
      <c r="I77" s="3" t="s">
        <v>598</v>
      </c>
      <c r="J77" s="3">
        <v>5</v>
      </c>
      <c r="K77" s="3">
        <v>3</v>
      </c>
      <c r="L77" s="3" t="s">
        <v>2916</v>
      </c>
      <c r="M77" s="6" t="s">
        <v>642</v>
      </c>
      <c r="N77" s="6"/>
      <c r="O77" s="6"/>
      <c r="P77" s="6"/>
    </row>
    <row r="78" spans="1:16" ht="12.45" x14ac:dyDescent="0.2">
      <c r="A78" s="3" t="s">
        <v>13</v>
      </c>
      <c r="B78" t="s">
        <v>609</v>
      </c>
      <c r="C78" t="s">
        <v>147</v>
      </c>
      <c r="D78" t="s">
        <v>148</v>
      </c>
      <c r="E78" t="s">
        <v>23</v>
      </c>
      <c r="F78" t="s">
        <v>148</v>
      </c>
      <c r="G78" s="3" t="s">
        <v>610</v>
      </c>
      <c r="H78" s="5">
        <v>300</v>
      </c>
      <c r="I78" s="3" t="s">
        <v>598</v>
      </c>
      <c r="J78" s="3">
        <v>4</v>
      </c>
      <c r="K78" s="3">
        <v>1</v>
      </c>
      <c r="L78" s="3" t="s">
        <v>2916</v>
      </c>
      <c r="M78" s="4" t="s">
        <v>599</v>
      </c>
      <c r="N78" s="4"/>
      <c r="O78" s="4"/>
      <c r="P78" s="4"/>
    </row>
    <row r="79" spans="1:16" ht="12.45" x14ac:dyDescent="0.2">
      <c r="A79" s="3" t="s">
        <v>13</v>
      </c>
      <c r="B79" t="s">
        <v>611</v>
      </c>
      <c r="C79" t="s">
        <v>2997</v>
      </c>
      <c r="D79" t="s">
        <v>148</v>
      </c>
      <c r="E79" t="s">
        <v>23</v>
      </c>
      <c r="F79" t="s">
        <v>148</v>
      </c>
      <c r="G79" s="3" t="s">
        <v>613</v>
      </c>
      <c r="H79" s="5">
        <v>299</v>
      </c>
      <c r="I79" s="3" t="s">
        <v>598</v>
      </c>
      <c r="J79" s="3">
        <v>5</v>
      </c>
      <c r="K79" s="3">
        <v>1</v>
      </c>
      <c r="L79" s="3" t="s">
        <v>2916</v>
      </c>
      <c r="M79" s="6" t="s">
        <v>607</v>
      </c>
      <c r="N79" s="6"/>
      <c r="O79" s="6"/>
      <c r="P79" s="6"/>
    </row>
    <row r="80" spans="1:16" ht="12.45" x14ac:dyDescent="0.2">
      <c r="A80" s="3" t="s">
        <v>13</v>
      </c>
      <c r="B80" t="s">
        <v>622</v>
      </c>
      <c r="C80" t="s">
        <v>147</v>
      </c>
      <c r="D80" t="s">
        <v>148</v>
      </c>
      <c r="E80" t="s">
        <v>23</v>
      </c>
      <c r="F80" t="s">
        <v>148</v>
      </c>
      <c r="G80" s="3" t="s">
        <v>623</v>
      </c>
      <c r="H80" s="5">
        <v>300</v>
      </c>
      <c r="I80" s="3" t="s">
        <v>598</v>
      </c>
      <c r="J80" s="3">
        <v>5</v>
      </c>
      <c r="K80" s="3">
        <v>2</v>
      </c>
      <c r="L80" s="3" t="s">
        <v>2916</v>
      </c>
      <c r="M80" s="4" t="s">
        <v>609</v>
      </c>
      <c r="N80" s="4"/>
      <c r="O80" s="4"/>
      <c r="P80" s="4"/>
    </row>
    <row r="81" spans="1:16" ht="12.45" x14ac:dyDescent="0.2">
      <c r="A81" s="3" t="s">
        <v>13</v>
      </c>
      <c r="B81" t="s">
        <v>630</v>
      </c>
      <c r="C81" t="s">
        <v>147</v>
      </c>
      <c r="D81" t="s">
        <v>148</v>
      </c>
      <c r="E81" t="s">
        <v>23</v>
      </c>
      <c r="F81" t="s">
        <v>148</v>
      </c>
      <c r="G81" s="3" t="s">
        <v>631</v>
      </c>
      <c r="H81" s="5">
        <v>302</v>
      </c>
      <c r="I81" s="3" t="s">
        <v>598</v>
      </c>
      <c r="J81" s="3">
        <v>5</v>
      </c>
      <c r="K81" s="3">
        <v>2</v>
      </c>
      <c r="L81" s="3" t="s">
        <v>2916</v>
      </c>
      <c r="M81" s="3" t="s">
        <v>628</v>
      </c>
      <c r="N81" s="3"/>
      <c r="O81" s="3"/>
      <c r="P81" s="3"/>
    </row>
    <row r="82" spans="1:16" ht="12.45" x14ac:dyDescent="0.2">
      <c r="A82" s="3" t="s">
        <v>13</v>
      </c>
      <c r="B82" t="s">
        <v>638</v>
      </c>
      <c r="C82" t="s">
        <v>147</v>
      </c>
      <c r="D82" t="s">
        <v>3050</v>
      </c>
      <c r="E82" t="s">
        <v>23</v>
      </c>
      <c r="F82" t="s">
        <v>148</v>
      </c>
      <c r="G82" s="3" t="s">
        <v>639</v>
      </c>
      <c r="H82" s="5">
        <v>302</v>
      </c>
      <c r="I82" s="3" t="s">
        <v>598</v>
      </c>
      <c r="J82" s="3">
        <v>5</v>
      </c>
      <c r="K82" s="3">
        <v>3</v>
      </c>
      <c r="L82" s="3" t="s">
        <v>2916</v>
      </c>
      <c r="M82" s="4" t="s">
        <v>636</v>
      </c>
      <c r="N82" s="4"/>
      <c r="O82" s="4"/>
      <c r="P82" s="4"/>
    </row>
    <row r="83" spans="1:16" ht="12.45" x14ac:dyDescent="0.2">
      <c r="A83" s="3" t="s">
        <v>13</v>
      </c>
      <c r="B83" t="s">
        <v>644</v>
      </c>
      <c r="C83" t="s">
        <v>147</v>
      </c>
      <c r="D83" t="s">
        <v>148</v>
      </c>
      <c r="E83" t="s">
        <v>23</v>
      </c>
      <c r="F83" t="s">
        <v>148</v>
      </c>
      <c r="G83" s="3" t="s">
        <v>645</v>
      </c>
      <c r="H83" s="5">
        <v>303</v>
      </c>
      <c r="I83" s="3" t="s">
        <v>598</v>
      </c>
      <c r="J83" s="3">
        <v>5</v>
      </c>
      <c r="K83" s="3">
        <v>3</v>
      </c>
      <c r="L83" s="3" t="s">
        <v>2916</v>
      </c>
      <c r="M83" s="6" t="s">
        <v>642</v>
      </c>
      <c r="N83" s="6"/>
      <c r="O83" s="6"/>
      <c r="P83" s="6"/>
    </row>
    <row r="84" spans="1:16" ht="12.45" x14ac:dyDescent="0.2">
      <c r="A84" s="3" t="s">
        <v>13</v>
      </c>
      <c r="B84" t="s">
        <v>617</v>
      </c>
      <c r="C84" t="s">
        <v>2942</v>
      </c>
      <c r="D84" t="s">
        <v>22</v>
      </c>
      <c r="E84" t="s">
        <v>23</v>
      </c>
      <c r="F84" t="s">
        <v>44</v>
      </c>
      <c r="G84" s="3" t="str">
        <f>"+1 non-Charm bonus to Evasion for rest of scene."</f>
        <v>+1 non-Charm bonus to Evasion for rest of scene.</v>
      </c>
      <c r="H84" s="5">
        <v>301</v>
      </c>
      <c r="I84" s="3" t="s">
        <v>598</v>
      </c>
      <c r="J84" s="3">
        <v>4</v>
      </c>
      <c r="K84" s="3">
        <v>2</v>
      </c>
      <c r="L84" s="3" t="s">
        <v>2916</v>
      </c>
      <c r="M84" s="6" t="s">
        <v>596</v>
      </c>
      <c r="N84" s="6"/>
      <c r="O84" s="6"/>
      <c r="P84" s="6"/>
    </row>
    <row r="85" spans="1:16" ht="12.45" x14ac:dyDescent="0.2">
      <c r="A85" s="3" t="s">
        <v>13</v>
      </c>
      <c r="B85" t="s">
        <v>618</v>
      </c>
      <c r="C85" t="s">
        <v>2946</v>
      </c>
      <c r="D85" t="s">
        <v>22</v>
      </c>
      <c r="E85" t="s">
        <v>212</v>
      </c>
      <c r="F85" t="s">
        <v>44</v>
      </c>
      <c r="G85" s="3" t="s">
        <v>619</v>
      </c>
      <c r="H85" s="5">
        <v>301</v>
      </c>
      <c r="I85" s="3" t="s">
        <v>598</v>
      </c>
      <c r="J85" s="3">
        <v>4</v>
      </c>
      <c r="K85" s="3">
        <v>2</v>
      </c>
      <c r="L85" s="3" t="s">
        <v>2916</v>
      </c>
      <c r="M85" s="6" t="s">
        <v>605</v>
      </c>
      <c r="N85" s="6"/>
      <c r="O85" s="6"/>
      <c r="P85" s="6"/>
    </row>
    <row r="86" spans="1:16" ht="12.45" x14ac:dyDescent="0.2">
      <c r="A86" s="3" t="s">
        <v>13</v>
      </c>
      <c r="B86" t="s">
        <v>640</v>
      </c>
      <c r="C86" t="s">
        <v>2948</v>
      </c>
      <c r="D86" t="s">
        <v>22</v>
      </c>
      <c r="E86" t="s">
        <v>430</v>
      </c>
      <c r="F86" t="s">
        <v>44</v>
      </c>
      <c r="G86" s="3" t="s">
        <v>641</v>
      </c>
      <c r="H86" s="5">
        <v>302</v>
      </c>
      <c r="I86" s="3" t="s">
        <v>598</v>
      </c>
      <c r="J86" s="3">
        <v>5</v>
      </c>
      <c r="K86" s="3">
        <v>3</v>
      </c>
      <c r="L86" s="3" t="s">
        <v>2916</v>
      </c>
      <c r="M86" s="6" t="s">
        <v>632</v>
      </c>
      <c r="N86" s="6"/>
      <c r="O86" s="6"/>
      <c r="P86" s="6"/>
    </row>
    <row r="87" spans="1:16" ht="12.45" x14ac:dyDescent="0.2">
      <c r="A87" s="3" t="s">
        <v>13</v>
      </c>
      <c r="B87" t="s">
        <v>642</v>
      </c>
      <c r="C87" t="s">
        <v>3049</v>
      </c>
      <c r="D87" t="s">
        <v>28</v>
      </c>
      <c r="E87" t="s">
        <v>23</v>
      </c>
      <c r="F87" t="s">
        <v>44</v>
      </c>
      <c r="G87" s="3" t="s">
        <v>643</v>
      </c>
      <c r="H87" s="5">
        <v>303</v>
      </c>
      <c r="I87" s="3" t="s">
        <v>598</v>
      </c>
      <c r="J87" s="3">
        <v>5</v>
      </c>
      <c r="K87" s="3">
        <v>3</v>
      </c>
      <c r="L87" s="3" t="s">
        <v>2916</v>
      </c>
      <c r="M87" s="6" t="s">
        <v>632</v>
      </c>
      <c r="N87" s="6"/>
      <c r="O87" s="6"/>
      <c r="P87" s="6"/>
    </row>
    <row r="88" spans="1:16" ht="12.45" x14ac:dyDescent="0.2">
      <c r="A88" s="3" t="s">
        <v>13</v>
      </c>
      <c r="B88" t="s">
        <v>1704</v>
      </c>
      <c r="C88" t="s">
        <v>2942</v>
      </c>
      <c r="D88" t="s">
        <v>28</v>
      </c>
      <c r="E88" t="s">
        <v>23</v>
      </c>
      <c r="F88" t="s">
        <v>182</v>
      </c>
      <c r="G88" s="3" t="s">
        <v>1705</v>
      </c>
      <c r="H88" s="5">
        <v>396</v>
      </c>
      <c r="I88" s="3" t="s">
        <v>1662</v>
      </c>
      <c r="J88" s="3">
        <v>5</v>
      </c>
      <c r="K88" s="3">
        <v>2</v>
      </c>
      <c r="L88" s="3" t="s">
        <v>2907</v>
      </c>
      <c r="M88" s="6" t="s">
        <v>1667</v>
      </c>
      <c r="N88" s="6"/>
      <c r="O88" s="6"/>
      <c r="P88" s="6"/>
    </row>
    <row r="89" spans="1:16" ht="12.45" x14ac:dyDescent="0.2">
      <c r="A89" s="3" t="s">
        <v>13</v>
      </c>
      <c r="B89" t="s">
        <v>1706</v>
      </c>
      <c r="C89" t="s">
        <v>3048</v>
      </c>
      <c r="D89" t="s">
        <v>28</v>
      </c>
      <c r="E89" t="s">
        <v>430</v>
      </c>
      <c r="F89" t="s">
        <v>182</v>
      </c>
      <c r="G89" s="3" t="s">
        <v>1707</v>
      </c>
      <c r="H89" s="5">
        <v>397</v>
      </c>
      <c r="I89" s="3" t="s">
        <v>1662</v>
      </c>
      <c r="J89" s="3">
        <v>5</v>
      </c>
      <c r="K89" s="3">
        <v>2</v>
      </c>
      <c r="L89" s="3" t="s">
        <v>2907</v>
      </c>
      <c r="M89" s="6" t="s">
        <v>1704</v>
      </c>
      <c r="N89" s="6"/>
      <c r="O89" s="6"/>
      <c r="P89" s="6"/>
    </row>
    <row r="90" spans="1:16" ht="12.45" x14ac:dyDescent="0.2">
      <c r="A90" s="3" t="s">
        <v>13</v>
      </c>
      <c r="B90" t="s">
        <v>1663</v>
      </c>
      <c r="C90" t="s">
        <v>2944</v>
      </c>
      <c r="D90" t="s">
        <v>16</v>
      </c>
      <c r="E90" t="s">
        <v>142</v>
      </c>
      <c r="F90" t="s">
        <v>18</v>
      </c>
      <c r="G90" s="3" t="s">
        <v>1664</v>
      </c>
      <c r="H90" s="5">
        <v>393</v>
      </c>
      <c r="I90" s="3" t="s">
        <v>1662</v>
      </c>
      <c r="J90" s="3">
        <v>3</v>
      </c>
      <c r="K90" s="3">
        <v>1</v>
      </c>
      <c r="L90" s="3" t="s">
        <v>2907</v>
      </c>
      <c r="M90" s="6"/>
      <c r="N90" s="6"/>
      <c r="O90" s="6"/>
      <c r="P90" s="6"/>
    </row>
    <row r="91" spans="1:16" ht="12.45" x14ac:dyDescent="0.2">
      <c r="A91" s="3" t="s">
        <v>13</v>
      </c>
      <c r="B91" t="s">
        <v>1667</v>
      </c>
      <c r="C91" t="s">
        <v>3047</v>
      </c>
      <c r="D91" t="s">
        <v>22</v>
      </c>
      <c r="E91" t="s">
        <v>142</v>
      </c>
      <c r="F91" t="s">
        <v>18</v>
      </c>
      <c r="G91" s="3" t="s">
        <v>1668</v>
      </c>
      <c r="H91" s="5">
        <v>394</v>
      </c>
      <c r="I91" s="3" t="s">
        <v>1662</v>
      </c>
      <c r="J91" s="3">
        <v>3</v>
      </c>
      <c r="K91" s="3">
        <v>1</v>
      </c>
      <c r="L91" s="3" t="s">
        <v>2907</v>
      </c>
      <c r="M91" s="6"/>
      <c r="N91" s="6"/>
      <c r="O91" s="6"/>
      <c r="P91" s="6"/>
    </row>
    <row r="92" spans="1:16" ht="12.45" x14ac:dyDescent="0.2">
      <c r="A92" s="3" t="s">
        <v>13</v>
      </c>
      <c r="B92" t="s">
        <v>1669</v>
      </c>
      <c r="C92" t="s">
        <v>2944</v>
      </c>
      <c r="D92" t="s">
        <v>16</v>
      </c>
      <c r="E92" t="s">
        <v>142</v>
      </c>
      <c r="F92" t="s">
        <v>18</v>
      </c>
      <c r="G92" s="3" t="s">
        <v>1670</v>
      </c>
      <c r="H92" s="5">
        <v>393</v>
      </c>
      <c r="I92" s="3" t="s">
        <v>1662</v>
      </c>
      <c r="J92" s="3">
        <v>4</v>
      </c>
      <c r="K92" s="3">
        <v>1</v>
      </c>
      <c r="L92" s="3" t="s">
        <v>2907</v>
      </c>
      <c r="M92" s="6" t="s">
        <v>1663</v>
      </c>
      <c r="N92" s="6"/>
      <c r="O92" s="6"/>
      <c r="P92" s="6"/>
    </row>
    <row r="93" spans="1:16" ht="12.45" x14ac:dyDescent="0.2">
      <c r="A93" s="3" t="s">
        <v>13</v>
      </c>
      <c r="B93" t="s">
        <v>1671</v>
      </c>
      <c r="C93" t="s">
        <v>2939</v>
      </c>
      <c r="D93" t="s">
        <v>22</v>
      </c>
      <c r="E93" t="s">
        <v>23</v>
      </c>
      <c r="F93" t="s">
        <v>18</v>
      </c>
      <c r="G93" s="3" t="s">
        <v>1672</v>
      </c>
      <c r="H93" s="5">
        <v>394</v>
      </c>
      <c r="I93" s="3" t="s">
        <v>1662</v>
      </c>
      <c r="J93" s="3">
        <v>4</v>
      </c>
      <c r="K93" s="3">
        <v>1</v>
      </c>
      <c r="L93" s="3" t="s">
        <v>2907</v>
      </c>
      <c r="M93" s="6" t="s">
        <v>1663</v>
      </c>
      <c r="N93" s="6"/>
      <c r="O93" s="6"/>
      <c r="P93" s="6"/>
    </row>
    <row r="94" spans="1:16" ht="12.45" x14ac:dyDescent="0.2">
      <c r="A94" s="3" t="s">
        <v>13</v>
      </c>
      <c r="B94" t="s">
        <v>1673</v>
      </c>
      <c r="C94" t="s">
        <v>2945</v>
      </c>
      <c r="D94" t="s">
        <v>22</v>
      </c>
      <c r="E94" t="s">
        <v>23</v>
      </c>
      <c r="F94" t="s">
        <v>18</v>
      </c>
      <c r="G94" s="3" t="s">
        <v>1674</v>
      </c>
      <c r="H94" s="5">
        <v>394</v>
      </c>
      <c r="I94" s="3" t="s">
        <v>1662</v>
      </c>
      <c r="J94" s="3">
        <v>4</v>
      </c>
      <c r="K94" s="3">
        <v>1</v>
      </c>
      <c r="L94" s="3" t="s">
        <v>2907</v>
      </c>
      <c r="M94" s="6" t="s">
        <v>1667</v>
      </c>
      <c r="N94" s="6"/>
      <c r="O94" s="6"/>
      <c r="P94" s="6"/>
    </row>
    <row r="95" spans="1:16" ht="12.45" x14ac:dyDescent="0.2">
      <c r="A95" s="3" t="s">
        <v>13</v>
      </c>
      <c r="B95" s="3" t="s">
        <v>351</v>
      </c>
      <c r="C95" s="3" t="s">
        <v>175</v>
      </c>
      <c r="D95" s="3" t="s">
        <v>16</v>
      </c>
      <c r="E95" s="3" t="s">
        <v>50</v>
      </c>
      <c r="F95" s="3" t="s">
        <v>352</v>
      </c>
      <c r="G95" s="4" t="s">
        <v>353</v>
      </c>
      <c r="H95" s="5">
        <v>280</v>
      </c>
      <c r="I95" s="3" t="s">
        <v>269</v>
      </c>
      <c r="J95" s="3">
        <v>5</v>
      </c>
      <c r="K95" s="3">
        <v>3</v>
      </c>
      <c r="L95" s="3" t="s">
        <v>2904</v>
      </c>
      <c r="M95" s="4" t="s">
        <v>349</v>
      </c>
      <c r="N95" s="4"/>
      <c r="O95" s="4"/>
      <c r="P95" s="4"/>
    </row>
    <row r="96" spans="1:16" ht="12.45" x14ac:dyDescent="0.2">
      <c r="A96" s="3" t="s">
        <v>13</v>
      </c>
      <c r="B96" s="3" t="s">
        <v>309</v>
      </c>
      <c r="C96" s="3" t="s">
        <v>154</v>
      </c>
      <c r="D96" s="3" t="s">
        <v>22</v>
      </c>
      <c r="E96" s="3" t="s">
        <v>23</v>
      </c>
      <c r="F96" s="3" t="s">
        <v>182</v>
      </c>
      <c r="G96" s="4" t="s">
        <v>310</v>
      </c>
      <c r="H96" s="5">
        <v>278</v>
      </c>
      <c r="I96" s="3" t="s">
        <v>269</v>
      </c>
      <c r="J96" s="3">
        <v>4</v>
      </c>
      <c r="K96" s="3">
        <v>2</v>
      </c>
      <c r="L96" s="3" t="s">
        <v>2904</v>
      </c>
      <c r="M96" s="4" t="s">
        <v>278</v>
      </c>
      <c r="N96" s="4"/>
      <c r="O96" s="4"/>
      <c r="P96" s="4"/>
    </row>
    <row r="97" spans="1:16" ht="12.45" x14ac:dyDescent="0.2">
      <c r="A97" s="3" t="s">
        <v>13</v>
      </c>
      <c r="B97" s="3" t="s">
        <v>365</v>
      </c>
      <c r="C97" s="3" t="s">
        <v>154</v>
      </c>
      <c r="D97" s="3" t="s">
        <v>22</v>
      </c>
      <c r="E97" s="3" t="s">
        <v>23</v>
      </c>
      <c r="F97" s="3" t="s">
        <v>182</v>
      </c>
      <c r="G97" s="4" t="s">
        <v>366</v>
      </c>
      <c r="H97" s="5">
        <v>282</v>
      </c>
      <c r="I97" s="3" t="s">
        <v>269</v>
      </c>
      <c r="J97" s="3">
        <v>5</v>
      </c>
      <c r="K97" s="3">
        <v>3</v>
      </c>
      <c r="L97" s="3" t="s">
        <v>2904</v>
      </c>
      <c r="M97" s="6" t="s">
        <v>363</v>
      </c>
      <c r="N97" s="6"/>
      <c r="O97" s="6"/>
      <c r="P97" s="6"/>
    </row>
    <row r="98" spans="1:16" ht="12.45" x14ac:dyDescent="0.2">
      <c r="A98" s="3" t="s">
        <v>13</v>
      </c>
      <c r="B98" s="3" t="s">
        <v>267</v>
      </c>
      <c r="C98" s="3" t="s">
        <v>15</v>
      </c>
      <c r="D98" s="3" t="s">
        <v>22</v>
      </c>
      <c r="E98" s="3" t="s">
        <v>50</v>
      </c>
      <c r="F98" s="3" t="s">
        <v>18</v>
      </c>
      <c r="G98" s="6" t="s">
        <v>268</v>
      </c>
      <c r="H98" s="5">
        <v>273</v>
      </c>
      <c r="I98" s="3" t="s">
        <v>269</v>
      </c>
      <c r="J98" s="3">
        <v>1</v>
      </c>
      <c r="K98" s="3">
        <v>1</v>
      </c>
      <c r="L98" s="3" t="s">
        <v>2904</v>
      </c>
      <c r="M98" s="6"/>
      <c r="N98" s="6"/>
      <c r="O98" s="6"/>
      <c r="P98" s="6"/>
    </row>
    <row r="99" spans="1:16" ht="12.45" x14ac:dyDescent="0.2">
      <c r="A99" s="3" t="s">
        <v>13</v>
      </c>
      <c r="B99" s="3" t="s">
        <v>272</v>
      </c>
      <c r="C99" s="3" t="s">
        <v>15</v>
      </c>
      <c r="D99" s="3" t="s">
        <v>16</v>
      </c>
      <c r="E99" s="3" t="s">
        <v>17</v>
      </c>
      <c r="F99" s="3" t="s">
        <v>18</v>
      </c>
      <c r="G99" s="6" t="s">
        <v>273</v>
      </c>
      <c r="H99" s="5">
        <v>274</v>
      </c>
      <c r="I99" s="3" t="s">
        <v>269</v>
      </c>
      <c r="J99" s="3">
        <v>3</v>
      </c>
      <c r="K99" s="3">
        <v>1</v>
      </c>
      <c r="L99" s="3" t="s">
        <v>2904</v>
      </c>
      <c r="M99" s="4"/>
      <c r="N99" s="4"/>
      <c r="O99" s="4"/>
      <c r="P99" s="4"/>
    </row>
    <row r="100" spans="1:16" ht="12.45" x14ac:dyDescent="0.2">
      <c r="A100" s="3" t="s">
        <v>13</v>
      </c>
      <c r="B100" s="3" t="s">
        <v>274</v>
      </c>
      <c r="C100" s="3" t="s">
        <v>71</v>
      </c>
      <c r="D100" s="3" t="s">
        <v>22</v>
      </c>
      <c r="E100" s="3" t="s">
        <v>29</v>
      </c>
      <c r="F100" s="3" t="s">
        <v>18</v>
      </c>
      <c r="G100" s="6" t="s">
        <v>275</v>
      </c>
      <c r="H100" s="5">
        <v>274</v>
      </c>
      <c r="I100" s="3" t="s">
        <v>269</v>
      </c>
      <c r="J100" s="3">
        <v>3</v>
      </c>
      <c r="K100" s="3">
        <v>1</v>
      </c>
      <c r="L100" s="3" t="s">
        <v>2904</v>
      </c>
      <c r="M100" s="3" t="s">
        <v>272</v>
      </c>
      <c r="N100" s="3"/>
      <c r="O100" s="3"/>
      <c r="P100" s="3"/>
    </row>
    <row r="101" spans="1:16" ht="12.45" x14ac:dyDescent="0.2">
      <c r="A101" s="3" t="s">
        <v>13</v>
      </c>
      <c r="B101" s="3" t="s">
        <v>276</v>
      </c>
      <c r="C101" s="3" t="s">
        <v>15</v>
      </c>
      <c r="D101" s="3" t="s">
        <v>16</v>
      </c>
      <c r="E101" s="3" t="s">
        <v>23</v>
      </c>
      <c r="F101" s="3" t="s">
        <v>18</v>
      </c>
      <c r="G101" s="4" t="s">
        <v>277</v>
      </c>
      <c r="H101" s="5">
        <v>275</v>
      </c>
      <c r="I101" s="3" t="s">
        <v>269</v>
      </c>
      <c r="J101" s="3">
        <v>3</v>
      </c>
      <c r="K101" s="3">
        <v>1</v>
      </c>
      <c r="L101" s="3" t="s">
        <v>2904</v>
      </c>
      <c r="M101" s="4"/>
      <c r="N101" s="4"/>
      <c r="O101" s="4"/>
      <c r="P101" s="4"/>
    </row>
    <row r="102" spans="1:16" ht="12.45" x14ac:dyDescent="0.2">
      <c r="A102" s="3" t="s">
        <v>13</v>
      </c>
      <c r="B102" s="3" t="s">
        <v>278</v>
      </c>
      <c r="C102" s="3" t="s">
        <v>279</v>
      </c>
      <c r="D102" s="3" t="s">
        <v>22</v>
      </c>
      <c r="E102" s="3" t="s">
        <v>23</v>
      </c>
      <c r="F102" s="3" t="s">
        <v>18</v>
      </c>
      <c r="G102" s="6" t="s">
        <v>280</v>
      </c>
      <c r="H102" s="5">
        <v>275</v>
      </c>
      <c r="I102" s="3" t="s">
        <v>269</v>
      </c>
      <c r="J102" s="3">
        <v>3</v>
      </c>
      <c r="K102" s="3">
        <v>1</v>
      </c>
      <c r="L102" s="3" t="s">
        <v>2904</v>
      </c>
      <c r="M102" s="6" t="s">
        <v>276</v>
      </c>
      <c r="N102" s="6"/>
      <c r="O102" s="6"/>
      <c r="P102" s="6"/>
    </row>
    <row r="103" spans="1:16" ht="12.45" x14ac:dyDescent="0.2">
      <c r="A103" s="3" t="s">
        <v>13</v>
      </c>
      <c r="B103" s="3" t="s">
        <v>281</v>
      </c>
      <c r="C103" s="3" t="s">
        <v>34</v>
      </c>
      <c r="D103" s="3" t="s">
        <v>22</v>
      </c>
      <c r="E103" s="3" t="s">
        <v>23</v>
      </c>
      <c r="F103" s="3" t="s">
        <v>18</v>
      </c>
      <c r="G103" s="6" t="s">
        <v>282</v>
      </c>
      <c r="H103" s="5">
        <v>275</v>
      </c>
      <c r="I103" s="3" t="s">
        <v>269</v>
      </c>
      <c r="J103" s="3">
        <v>3</v>
      </c>
      <c r="K103" s="3">
        <v>1</v>
      </c>
      <c r="L103" s="3" t="s">
        <v>2904</v>
      </c>
      <c r="M103" s="6"/>
      <c r="N103" s="6"/>
      <c r="O103" s="6"/>
      <c r="P103" s="6"/>
    </row>
    <row r="104" spans="1:16" ht="12.45" x14ac:dyDescent="0.2">
      <c r="A104" s="3" t="s">
        <v>13</v>
      </c>
      <c r="B104" s="3" t="s">
        <v>283</v>
      </c>
      <c r="C104" s="3" t="s">
        <v>34</v>
      </c>
      <c r="D104" s="3" t="s">
        <v>22</v>
      </c>
      <c r="E104" s="3" t="s">
        <v>23</v>
      </c>
      <c r="F104" s="3" t="s">
        <v>18</v>
      </c>
      <c r="G104" s="4" t="s">
        <v>284</v>
      </c>
      <c r="H104" s="5">
        <v>274</v>
      </c>
      <c r="I104" s="3" t="s">
        <v>269</v>
      </c>
      <c r="J104" s="3">
        <v>4</v>
      </c>
      <c r="K104" s="3">
        <v>1</v>
      </c>
      <c r="L104" s="3" t="s">
        <v>2904</v>
      </c>
      <c r="M104" s="4" t="s">
        <v>272</v>
      </c>
      <c r="N104" s="4"/>
      <c r="O104" s="4"/>
      <c r="P104" s="4"/>
    </row>
    <row r="105" spans="1:16" ht="12.45" x14ac:dyDescent="0.2">
      <c r="A105" s="3" t="s">
        <v>13</v>
      </c>
      <c r="B105" s="3" t="s">
        <v>285</v>
      </c>
      <c r="C105" s="3" t="s">
        <v>175</v>
      </c>
      <c r="D105" s="3" t="s">
        <v>22</v>
      </c>
      <c r="E105" s="3" t="s">
        <v>17</v>
      </c>
      <c r="F105" s="3" t="s">
        <v>18</v>
      </c>
      <c r="G105" s="4" t="s">
        <v>286</v>
      </c>
      <c r="H105" s="5">
        <v>275</v>
      </c>
      <c r="I105" s="3" t="s">
        <v>269</v>
      </c>
      <c r="J105" s="3">
        <v>4</v>
      </c>
      <c r="K105" s="3">
        <v>1</v>
      </c>
      <c r="L105" s="3" t="s">
        <v>2904</v>
      </c>
      <c r="M105" s="3" t="s">
        <v>276</v>
      </c>
      <c r="N105" s="3"/>
      <c r="O105" s="3"/>
      <c r="P105" s="3"/>
    </row>
    <row r="106" spans="1:16" ht="12.45" x14ac:dyDescent="0.2">
      <c r="A106" s="3" t="s">
        <v>13</v>
      </c>
      <c r="B106" s="3" t="s">
        <v>287</v>
      </c>
      <c r="C106" s="3" t="s">
        <v>15</v>
      </c>
      <c r="D106" s="3" t="s">
        <v>16</v>
      </c>
      <c r="E106" s="3" t="s">
        <v>17</v>
      </c>
      <c r="F106" s="3" t="s">
        <v>18</v>
      </c>
      <c r="G106" s="4" t="s">
        <v>288</v>
      </c>
      <c r="H106" s="5">
        <v>275</v>
      </c>
      <c r="I106" s="3" t="s">
        <v>269</v>
      </c>
      <c r="J106" s="3">
        <v>4</v>
      </c>
      <c r="K106" s="3">
        <v>1</v>
      </c>
      <c r="L106" s="3" t="s">
        <v>2904</v>
      </c>
      <c r="M106" s="4" t="s">
        <v>281</v>
      </c>
      <c r="N106" s="4"/>
      <c r="O106" s="4"/>
      <c r="P106" s="4"/>
    </row>
    <row r="107" spans="1:16" ht="12.45" x14ac:dyDescent="0.2">
      <c r="A107" s="3" t="s">
        <v>13</v>
      </c>
      <c r="B107" s="3" t="s">
        <v>289</v>
      </c>
      <c r="C107" s="3" t="s">
        <v>64</v>
      </c>
      <c r="D107" s="3" t="s">
        <v>22</v>
      </c>
      <c r="E107" s="3" t="s">
        <v>29</v>
      </c>
      <c r="F107" s="3" t="s">
        <v>18</v>
      </c>
      <c r="G107" s="3"/>
      <c r="H107" s="5" t="s">
        <v>213</v>
      </c>
      <c r="I107" s="3" t="s">
        <v>269</v>
      </c>
      <c r="J107" s="5">
        <v>4</v>
      </c>
      <c r="K107" s="5">
        <v>1</v>
      </c>
      <c r="L107" s="3" t="s">
        <v>2904</v>
      </c>
      <c r="M107" s="4" t="s">
        <v>290</v>
      </c>
      <c r="N107" s="4"/>
      <c r="O107" s="4"/>
      <c r="P107" s="4"/>
    </row>
    <row r="108" spans="1:16" ht="12.45" x14ac:dyDescent="0.2">
      <c r="A108" s="3" t="s">
        <v>13</v>
      </c>
      <c r="B108" s="3" t="s">
        <v>291</v>
      </c>
      <c r="C108" s="3" t="s">
        <v>292</v>
      </c>
      <c r="D108" s="3" t="s">
        <v>148</v>
      </c>
      <c r="E108" s="3" t="s">
        <v>23</v>
      </c>
      <c r="F108" s="3" t="s">
        <v>18</v>
      </c>
      <c r="G108" s="4" t="s">
        <v>293</v>
      </c>
      <c r="H108" s="5">
        <v>275</v>
      </c>
      <c r="I108" s="3" t="s">
        <v>269</v>
      </c>
      <c r="J108" s="3">
        <v>5</v>
      </c>
      <c r="K108" s="3">
        <v>1</v>
      </c>
      <c r="L108" s="3" t="s">
        <v>2904</v>
      </c>
      <c r="M108" s="4" t="s">
        <v>276</v>
      </c>
      <c r="N108" s="4"/>
      <c r="O108" s="4"/>
      <c r="P108" s="4"/>
    </row>
    <row r="109" spans="1:16" ht="12.45" x14ac:dyDescent="0.2">
      <c r="A109" s="3" t="s">
        <v>13</v>
      </c>
      <c r="B109" s="3" t="s">
        <v>294</v>
      </c>
      <c r="C109" s="3" t="s">
        <v>80</v>
      </c>
      <c r="D109" s="3" t="s">
        <v>28</v>
      </c>
      <c r="E109" s="3" t="s">
        <v>37</v>
      </c>
      <c r="F109" s="3" t="s">
        <v>18</v>
      </c>
      <c r="G109" s="4" t="s">
        <v>295</v>
      </c>
      <c r="H109" s="5">
        <v>277</v>
      </c>
      <c r="I109" s="3" t="s">
        <v>269</v>
      </c>
      <c r="J109" s="3">
        <v>3</v>
      </c>
      <c r="K109" s="3">
        <v>2</v>
      </c>
      <c r="L109" s="3" t="s">
        <v>2904</v>
      </c>
      <c r="M109" s="4" t="s">
        <v>267</v>
      </c>
      <c r="N109" s="4"/>
      <c r="O109" s="4"/>
      <c r="P109" s="4"/>
    </row>
    <row r="110" spans="1:16" ht="12.45" x14ac:dyDescent="0.2">
      <c r="A110" s="3" t="s">
        <v>13</v>
      </c>
      <c r="B110" s="3" t="s">
        <v>296</v>
      </c>
      <c r="C110" s="3" t="s">
        <v>297</v>
      </c>
      <c r="D110" s="3" t="s">
        <v>22</v>
      </c>
      <c r="E110" s="3" t="s">
        <v>212</v>
      </c>
      <c r="F110" s="3" t="s">
        <v>18</v>
      </c>
      <c r="G110" s="6" t="s">
        <v>298</v>
      </c>
      <c r="H110" s="5">
        <v>276</v>
      </c>
      <c r="I110" s="3" t="s">
        <v>269</v>
      </c>
      <c r="J110" s="3">
        <v>4</v>
      </c>
      <c r="K110" s="3">
        <v>2</v>
      </c>
      <c r="L110" s="3" t="s">
        <v>2904</v>
      </c>
      <c r="M110" s="4" t="s">
        <v>270</v>
      </c>
      <c r="N110" s="4"/>
      <c r="O110" s="4"/>
      <c r="P110" s="4"/>
    </row>
    <row r="111" spans="1:16" ht="12.45" x14ac:dyDescent="0.2">
      <c r="A111" s="3" t="s">
        <v>13</v>
      </c>
      <c r="B111" s="3" t="s">
        <v>299</v>
      </c>
      <c r="C111" s="3" t="s">
        <v>300</v>
      </c>
      <c r="D111" s="3" t="s">
        <v>22</v>
      </c>
      <c r="E111" s="3" t="s">
        <v>29</v>
      </c>
      <c r="F111" s="3" t="s">
        <v>18</v>
      </c>
      <c r="G111" s="4" t="s">
        <v>301</v>
      </c>
      <c r="H111" s="5">
        <v>277</v>
      </c>
      <c r="I111" s="3" t="s">
        <v>269</v>
      </c>
      <c r="J111" s="3">
        <v>4</v>
      </c>
      <c r="K111" s="3">
        <v>2</v>
      </c>
      <c r="L111" s="3" t="s">
        <v>2904</v>
      </c>
      <c r="M111" s="4" t="s">
        <v>272</v>
      </c>
      <c r="N111" s="4"/>
      <c r="O111" s="4"/>
      <c r="P111" s="4"/>
    </row>
    <row r="112" spans="1:16" ht="12.45" x14ac:dyDescent="0.2">
      <c r="A112" s="3" t="s">
        <v>13</v>
      </c>
      <c r="B112" s="3" t="s">
        <v>302</v>
      </c>
      <c r="C112" s="3" t="s">
        <v>43</v>
      </c>
      <c r="D112" s="3" t="s">
        <v>22</v>
      </c>
      <c r="E112" s="3" t="s">
        <v>303</v>
      </c>
      <c r="F112" s="3" t="s">
        <v>18</v>
      </c>
      <c r="G112" s="4" t="s">
        <v>304</v>
      </c>
      <c r="H112" s="5">
        <v>277</v>
      </c>
      <c r="I112" s="3" t="s">
        <v>269</v>
      </c>
      <c r="J112" s="3">
        <v>4</v>
      </c>
      <c r="K112" s="3">
        <v>2</v>
      </c>
      <c r="L112" s="3" t="s">
        <v>2904</v>
      </c>
      <c r="M112" s="4" t="s">
        <v>272</v>
      </c>
      <c r="N112" s="4"/>
      <c r="O112" s="4"/>
      <c r="P112" s="4"/>
    </row>
    <row r="113" spans="1:16" ht="12.45" x14ac:dyDescent="0.2">
      <c r="A113" s="3" t="s">
        <v>13</v>
      </c>
      <c r="B113" s="3" t="s">
        <v>305</v>
      </c>
      <c r="C113" s="3" t="s">
        <v>175</v>
      </c>
      <c r="D113" s="3" t="s">
        <v>16</v>
      </c>
      <c r="E113" s="3" t="s">
        <v>23</v>
      </c>
      <c r="F113" s="3" t="s">
        <v>18</v>
      </c>
      <c r="G113" s="4" t="s">
        <v>306</v>
      </c>
      <c r="H113" s="5">
        <v>277</v>
      </c>
      <c r="I113" s="3" t="s">
        <v>269</v>
      </c>
      <c r="J113" s="3">
        <v>4</v>
      </c>
      <c r="K113" s="3">
        <v>2</v>
      </c>
      <c r="L113" s="3" t="s">
        <v>2904</v>
      </c>
      <c r="M113" s="4" t="s">
        <v>274</v>
      </c>
      <c r="N113" s="4"/>
      <c r="O113" s="4"/>
      <c r="P113" s="4"/>
    </row>
    <row r="114" spans="1:16" ht="12.45" x14ac:dyDescent="0.2">
      <c r="A114" s="3" t="s">
        <v>13</v>
      </c>
      <c r="B114" s="3" t="s">
        <v>307</v>
      </c>
      <c r="C114" s="3" t="s">
        <v>40</v>
      </c>
      <c r="D114" s="3" t="s">
        <v>22</v>
      </c>
      <c r="E114" s="3" t="s">
        <v>23</v>
      </c>
      <c r="F114" s="3" t="s">
        <v>18</v>
      </c>
      <c r="G114" s="4" t="s">
        <v>308</v>
      </c>
      <c r="H114" s="5">
        <v>278</v>
      </c>
      <c r="I114" s="3" t="s">
        <v>269</v>
      </c>
      <c r="J114" s="3">
        <v>4</v>
      </c>
      <c r="K114" s="3">
        <v>2</v>
      </c>
      <c r="L114" s="3" t="s">
        <v>2904</v>
      </c>
      <c r="M114" s="6" t="s">
        <v>276</v>
      </c>
      <c r="N114" s="6"/>
      <c r="O114" s="6"/>
      <c r="P114" s="6"/>
    </row>
    <row r="115" spans="1:16" ht="12.45" x14ac:dyDescent="0.2">
      <c r="A115" s="3" t="s">
        <v>13</v>
      </c>
      <c r="B115" s="3" t="s">
        <v>311</v>
      </c>
      <c r="C115" s="3" t="s">
        <v>312</v>
      </c>
      <c r="D115" s="3" t="s">
        <v>22</v>
      </c>
      <c r="E115" s="3" t="s">
        <v>313</v>
      </c>
      <c r="F115" s="3" t="s">
        <v>18</v>
      </c>
      <c r="G115" s="6" t="s">
        <v>314</v>
      </c>
      <c r="H115" s="5">
        <v>276</v>
      </c>
      <c r="I115" s="3" t="s">
        <v>269</v>
      </c>
      <c r="J115" s="3">
        <v>5</v>
      </c>
      <c r="K115" s="3">
        <v>2</v>
      </c>
      <c r="L115" s="3" t="s">
        <v>2904</v>
      </c>
      <c r="M115" s="4" t="s">
        <v>296</v>
      </c>
      <c r="N115" s="4"/>
      <c r="O115" s="4"/>
      <c r="P115" s="4"/>
    </row>
    <row r="116" spans="1:16" ht="12.45" x14ac:dyDescent="0.2">
      <c r="A116" s="3" t="s">
        <v>13</v>
      </c>
      <c r="B116" s="3" t="s">
        <v>315</v>
      </c>
      <c r="C116" s="3" t="s">
        <v>316</v>
      </c>
      <c r="D116" s="3" t="s">
        <v>22</v>
      </c>
      <c r="E116" s="3" t="s">
        <v>317</v>
      </c>
      <c r="F116" s="3" t="s">
        <v>18</v>
      </c>
      <c r="G116" s="4" t="s">
        <v>318</v>
      </c>
      <c r="H116" s="5">
        <v>277</v>
      </c>
      <c r="I116" s="3" t="s">
        <v>269</v>
      </c>
      <c r="J116" s="3">
        <v>5</v>
      </c>
      <c r="K116" s="3">
        <v>2</v>
      </c>
      <c r="L116" s="3" t="s">
        <v>2904</v>
      </c>
      <c r="M116" s="4" t="s">
        <v>283</v>
      </c>
      <c r="N116" s="4"/>
      <c r="O116" s="4"/>
      <c r="P116" s="4"/>
    </row>
    <row r="117" spans="1:16" ht="12.45" x14ac:dyDescent="0.2">
      <c r="A117" s="3" t="s">
        <v>13</v>
      </c>
      <c r="B117" s="3" t="s">
        <v>319</v>
      </c>
      <c r="C117" s="3" t="s">
        <v>43</v>
      </c>
      <c r="D117" s="3" t="s">
        <v>28</v>
      </c>
      <c r="E117" s="3" t="s">
        <v>29</v>
      </c>
      <c r="F117" s="3" t="s">
        <v>18</v>
      </c>
      <c r="G117" s="4" t="s">
        <v>320</v>
      </c>
      <c r="H117" s="5">
        <v>278</v>
      </c>
      <c r="I117" s="3" t="s">
        <v>269</v>
      </c>
      <c r="J117" s="3">
        <v>5</v>
      </c>
      <c r="K117" s="3">
        <v>2</v>
      </c>
      <c r="L117" s="3" t="s">
        <v>2904</v>
      </c>
      <c r="M117" s="3" t="s">
        <v>287</v>
      </c>
      <c r="N117" s="3"/>
      <c r="O117" s="3"/>
      <c r="P117" s="3"/>
    </row>
    <row r="118" spans="1:16" ht="12.45" x14ac:dyDescent="0.2">
      <c r="A118" s="3" t="s">
        <v>13</v>
      </c>
      <c r="B118" s="3" t="s">
        <v>323</v>
      </c>
      <c r="C118" s="3" t="s">
        <v>80</v>
      </c>
      <c r="D118" s="3" t="s">
        <v>28</v>
      </c>
      <c r="E118" s="3" t="s">
        <v>37</v>
      </c>
      <c r="F118" s="3" t="s">
        <v>18</v>
      </c>
      <c r="G118" s="3" t="s">
        <v>324</v>
      </c>
      <c r="H118" s="5">
        <v>277</v>
      </c>
      <c r="I118" s="3" t="s">
        <v>269</v>
      </c>
      <c r="J118" s="3">
        <v>3</v>
      </c>
      <c r="K118" s="3">
        <v>3</v>
      </c>
      <c r="L118" s="3" t="s">
        <v>2904</v>
      </c>
      <c r="M118" s="4" t="s">
        <v>294</v>
      </c>
      <c r="N118" s="4"/>
      <c r="O118" s="4"/>
      <c r="P118" s="4"/>
    </row>
    <row r="119" spans="1:16" ht="12.45" x14ac:dyDescent="0.2">
      <c r="A119" s="3" t="s">
        <v>13</v>
      </c>
      <c r="B119" s="3" t="s">
        <v>325</v>
      </c>
      <c r="C119" s="3" t="s">
        <v>147</v>
      </c>
      <c r="D119" s="3" t="s">
        <v>22</v>
      </c>
      <c r="E119" s="3" t="s">
        <v>23</v>
      </c>
      <c r="F119" s="3" t="s">
        <v>18</v>
      </c>
      <c r="G119" s="6" t="s">
        <v>326</v>
      </c>
      <c r="H119" s="5">
        <v>278</v>
      </c>
      <c r="I119" s="3" t="s">
        <v>269</v>
      </c>
      <c r="J119" s="3">
        <v>5</v>
      </c>
      <c r="K119" s="3">
        <v>3</v>
      </c>
      <c r="L119" s="3" t="s">
        <v>2904</v>
      </c>
      <c r="M119" s="4" t="s">
        <v>296</v>
      </c>
      <c r="N119" s="4"/>
      <c r="O119" s="4"/>
      <c r="P119" s="4"/>
    </row>
    <row r="120" spans="1:16" ht="12.45" x14ac:dyDescent="0.2">
      <c r="A120" s="3" t="s">
        <v>13</v>
      </c>
      <c r="B120" s="3" t="s">
        <v>327</v>
      </c>
      <c r="C120" s="3" t="s">
        <v>328</v>
      </c>
      <c r="D120" s="3" t="s">
        <v>28</v>
      </c>
      <c r="E120" s="3" t="s">
        <v>37</v>
      </c>
      <c r="F120" s="3" t="s">
        <v>18</v>
      </c>
      <c r="G120" s="4" t="s">
        <v>329</v>
      </c>
      <c r="H120" s="5">
        <v>278</v>
      </c>
      <c r="I120" s="3" t="s">
        <v>269</v>
      </c>
      <c r="J120" s="3">
        <v>5</v>
      </c>
      <c r="K120" s="3">
        <v>3</v>
      </c>
      <c r="L120" s="3" t="s">
        <v>2904</v>
      </c>
      <c r="M120" s="6" t="s">
        <v>294</v>
      </c>
      <c r="N120" s="6"/>
      <c r="O120" s="6"/>
      <c r="P120" s="6"/>
    </row>
    <row r="121" spans="1:16" ht="12.45" x14ac:dyDescent="0.2">
      <c r="A121" s="3" t="s">
        <v>13</v>
      </c>
      <c r="B121" s="3" t="s">
        <v>330</v>
      </c>
      <c r="C121" s="3" t="s">
        <v>175</v>
      </c>
      <c r="D121" s="3" t="s">
        <v>22</v>
      </c>
      <c r="E121" s="3" t="s">
        <v>23</v>
      </c>
      <c r="F121" s="3" t="s">
        <v>18</v>
      </c>
      <c r="G121" s="4" t="s">
        <v>331</v>
      </c>
      <c r="H121" s="5">
        <v>279</v>
      </c>
      <c r="I121" s="3" t="s">
        <v>269</v>
      </c>
      <c r="J121" s="3">
        <v>5</v>
      </c>
      <c r="K121" s="3">
        <v>3</v>
      </c>
      <c r="L121" s="3" t="s">
        <v>2904</v>
      </c>
      <c r="M121" s="4" t="s">
        <v>327</v>
      </c>
      <c r="N121" s="4"/>
      <c r="O121" s="4"/>
      <c r="P121" s="4"/>
    </row>
    <row r="122" spans="1:16" ht="12.45" x14ac:dyDescent="0.2">
      <c r="A122" s="3" t="s">
        <v>13</v>
      </c>
      <c r="B122" s="3" t="s">
        <v>332</v>
      </c>
      <c r="C122" s="3" t="s">
        <v>154</v>
      </c>
      <c r="D122" s="3" t="s">
        <v>16</v>
      </c>
      <c r="E122" s="3" t="s">
        <v>50</v>
      </c>
      <c r="F122" s="3" t="s">
        <v>18</v>
      </c>
      <c r="G122" s="4" t="s">
        <v>333</v>
      </c>
      <c r="H122" s="5">
        <v>279</v>
      </c>
      <c r="I122" s="3" t="s">
        <v>269</v>
      </c>
      <c r="J122" s="3">
        <v>5</v>
      </c>
      <c r="K122" s="3">
        <v>3</v>
      </c>
      <c r="L122" s="3" t="s">
        <v>2904</v>
      </c>
      <c r="M122" s="4" t="s">
        <v>299</v>
      </c>
      <c r="N122" s="4"/>
      <c r="O122" s="4"/>
      <c r="P122" s="4"/>
    </row>
    <row r="123" spans="1:16" ht="12.45" x14ac:dyDescent="0.2">
      <c r="A123" s="3" t="s">
        <v>13</v>
      </c>
      <c r="B123" s="3" t="s">
        <v>339</v>
      </c>
      <c r="C123" s="3" t="s">
        <v>15</v>
      </c>
      <c r="D123" s="3" t="s">
        <v>16</v>
      </c>
      <c r="E123" s="3" t="s">
        <v>23</v>
      </c>
      <c r="F123" s="3" t="s">
        <v>18</v>
      </c>
      <c r="G123" s="4" t="s">
        <v>340</v>
      </c>
      <c r="H123" s="5">
        <v>279</v>
      </c>
      <c r="I123" s="3" t="s">
        <v>269</v>
      </c>
      <c r="J123" s="3">
        <v>5</v>
      </c>
      <c r="K123" s="3">
        <v>3</v>
      </c>
      <c r="L123" s="3" t="s">
        <v>2904</v>
      </c>
      <c r="M123" s="4" t="s">
        <v>337</v>
      </c>
      <c r="N123" s="4"/>
      <c r="O123" s="4"/>
      <c r="P123" s="4"/>
    </row>
    <row r="124" spans="1:16" ht="12.45" x14ac:dyDescent="0.2">
      <c r="A124" s="3" t="s">
        <v>13</v>
      </c>
      <c r="B124" s="3" t="s">
        <v>341</v>
      </c>
      <c r="C124" s="3" t="s">
        <v>342</v>
      </c>
      <c r="D124" s="3" t="s">
        <v>16</v>
      </c>
      <c r="E124" s="3" t="s">
        <v>23</v>
      </c>
      <c r="F124" s="3" t="s">
        <v>18</v>
      </c>
      <c r="G124" s="4" t="s">
        <v>343</v>
      </c>
      <c r="H124" s="5">
        <v>279</v>
      </c>
      <c r="I124" s="3" t="s">
        <v>269</v>
      </c>
      <c r="J124" s="3">
        <v>5</v>
      </c>
      <c r="K124" s="3">
        <v>3</v>
      </c>
      <c r="L124" s="3" t="s">
        <v>2904</v>
      </c>
      <c r="M124" s="6" t="s">
        <v>307</v>
      </c>
      <c r="N124" s="6"/>
      <c r="O124" s="6"/>
      <c r="P124" s="6"/>
    </row>
    <row r="125" spans="1:16" ht="12.45" x14ac:dyDescent="0.2">
      <c r="A125" s="3" t="s">
        <v>13</v>
      </c>
      <c r="B125" s="3" t="s">
        <v>344</v>
      </c>
      <c r="C125" s="3" t="s">
        <v>154</v>
      </c>
      <c r="D125" s="3" t="s">
        <v>22</v>
      </c>
      <c r="E125" s="3" t="s">
        <v>29</v>
      </c>
      <c r="F125" s="3" t="s">
        <v>18</v>
      </c>
      <c r="G125" s="6" t="s">
        <v>345</v>
      </c>
      <c r="H125" s="5">
        <v>280</v>
      </c>
      <c r="I125" s="3" t="s">
        <v>269</v>
      </c>
      <c r="J125" s="3">
        <v>5</v>
      </c>
      <c r="K125" s="3">
        <v>3</v>
      </c>
      <c r="L125" s="3" t="s">
        <v>2904</v>
      </c>
      <c r="M125" s="4" t="s">
        <v>346</v>
      </c>
      <c r="N125" s="4"/>
      <c r="O125" s="4"/>
      <c r="P125" s="4"/>
    </row>
    <row r="126" spans="1:16" ht="12.45" x14ac:dyDescent="0.2">
      <c r="A126" s="3" t="s">
        <v>13</v>
      </c>
      <c r="B126" s="3" t="s">
        <v>347</v>
      </c>
      <c r="C126" s="3" t="s">
        <v>53</v>
      </c>
      <c r="D126" s="3" t="s">
        <v>22</v>
      </c>
      <c r="E126" s="3" t="s">
        <v>23</v>
      </c>
      <c r="F126" s="3" t="s">
        <v>18</v>
      </c>
      <c r="G126" s="4" t="s">
        <v>348</v>
      </c>
      <c r="H126" s="5">
        <v>280</v>
      </c>
      <c r="I126" s="3" t="s">
        <v>269</v>
      </c>
      <c r="J126" s="3">
        <v>5</v>
      </c>
      <c r="K126" s="3">
        <v>3</v>
      </c>
      <c r="L126" s="3" t="s">
        <v>2904</v>
      </c>
      <c r="M126" s="4" t="s">
        <v>309</v>
      </c>
      <c r="N126" s="4"/>
      <c r="O126" s="4"/>
      <c r="P126" s="4"/>
    </row>
    <row r="127" spans="1:16" ht="12.45" x14ac:dyDescent="0.2">
      <c r="A127" s="3" t="s">
        <v>13</v>
      </c>
      <c r="B127" s="3" t="s">
        <v>349</v>
      </c>
      <c r="C127" s="3" t="s">
        <v>34</v>
      </c>
      <c r="D127" s="3" t="s">
        <v>22</v>
      </c>
      <c r="E127" s="3" t="s">
        <v>17</v>
      </c>
      <c r="F127" s="3" t="s">
        <v>18</v>
      </c>
      <c r="G127" s="4" t="s">
        <v>350</v>
      </c>
      <c r="H127" s="5">
        <v>280</v>
      </c>
      <c r="I127" s="3" t="s">
        <v>269</v>
      </c>
      <c r="J127" s="3">
        <v>5</v>
      </c>
      <c r="K127" s="3">
        <v>3</v>
      </c>
      <c r="L127" s="3" t="s">
        <v>2904</v>
      </c>
      <c r="M127" s="4" t="s">
        <v>291</v>
      </c>
      <c r="N127" s="4"/>
      <c r="O127" s="4"/>
      <c r="P127" s="4"/>
    </row>
    <row r="128" spans="1:16" ht="12.45" x14ac:dyDescent="0.2">
      <c r="A128" s="3" t="s">
        <v>13</v>
      </c>
      <c r="B128" s="3" t="s">
        <v>354</v>
      </c>
      <c r="C128" s="3" t="s">
        <v>178</v>
      </c>
      <c r="D128" s="3" t="s">
        <v>28</v>
      </c>
      <c r="E128" s="3" t="s">
        <v>37</v>
      </c>
      <c r="F128" s="3" t="s">
        <v>18</v>
      </c>
      <c r="G128" s="6" t="s">
        <v>355</v>
      </c>
      <c r="H128" s="5">
        <v>280</v>
      </c>
      <c r="I128" s="3" t="s">
        <v>269</v>
      </c>
      <c r="J128" s="3">
        <v>5</v>
      </c>
      <c r="K128" s="3">
        <v>3</v>
      </c>
      <c r="L128" s="3" t="s">
        <v>2904</v>
      </c>
      <c r="M128" s="4" t="s">
        <v>351</v>
      </c>
      <c r="N128" s="4"/>
      <c r="O128" s="4"/>
      <c r="P128" s="4"/>
    </row>
    <row r="129" spans="1:16" ht="12.45" x14ac:dyDescent="0.2">
      <c r="A129" s="3" t="s">
        <v>13</v>
      </c>
      <c r="B129" s="3" t="s">
        <v>356</v>
      </c>
      <c r="C129" s="3" t="s">
        <v>67</v>
      </c>
      <c r="D129" s="3" t="s">
        <v>22</v>
      </c>
      <c r="E129" s="3" t="s">
        <v>37</v>
      </c>
      <c r="F129" s="3" t="s">
        <v>18</v>
      </c>
      <c r="G129" s="4" t="s">
        <v>357</v>
      </c>
      <c r="H129" s="5">
        <v>281</v>
      </c>
      <c r="I129" s="3" t="s">
        <v>269</v>
      </c>
      <c r="J129" s="3">
        <v>5</v>
      </c>
      <c r="K129" s="3">
        <v>3</v>
      </c>
      <c r="L129" s="3" t="s">
        <v>2904</v>
      </c>
      <c r="M129" s="4" t="s">
        <v>285</v>
      </c>
      <c r="N129" s="4"/>
      <c r="O129" s="4"/>
      <c r="P129" s="4"/>
    </row>
    <row r="130" spans="1:16" ht="12.45" x14ac:dyDescent="0.2">
      <c r="A130" s="3" t="s">
        <v>13</v>
      </c>
      <c r="B130" s="3" t="s">
        <v>358</v>
      </c>
      <c r="C130" s="3" t="s">
        <v>53</v>
      </c>
      <c r="D130" s="3" t="s">
        <v>22</v>
      </c>
      <c r="E130" s="3" t="s">
        <v>23</v>
      </c>
      <c r="F130" s="3" t="s">
        <v>18</v>
      </c>
      <c r="G130" s="6" t="s">
        <v>359</v>
      </c>
      <c r="H130" s="5">
        <v>281</v>
      </c>
      <c r="I130" s="3" t="s">
        <v>269</v>
      </c>
      <c r="J130" s="3">
        <v>5</v>
      </c>
      <c r="K130" s="3">
        <v>3</v>
      </c>
      <c r="L130" s="3" t="s">
        <v>2904</v>
      </c>
      <c r="M130" s="4" t="s">
        <v>360</v>
      </c>
      <c r="N130" s="4"/>
      <c r="O130" s="4"/>
      <c r="P130" s="4"/>
    </row>
    <row r="131" spans="1:16" ht="12.45" x14ac:dyDescent="0.2">
      <c r="A131" s="3" t="s">
        <v>13</v>
      </c>
      <c r="B131" s="3" t="s">
        <v>363</v>
      </c>
      <c r="C131" s="3" t="s">
        <v>40</v>
      </c>
      <c r="D131" s="3" t="s">
        <v>22</v>
      </c>
      <c r="E131" s="3" t="s">
        <v>23</v>
      </c>
      <c r="F131" s="3" t="s">
        <v>18</v>
      </c>
      <c r="G131" s="4" t="s">
        <v>364</v>
      </c>
      <c r="H131" s="5">
        <v>281</v>
      </c>
      <c r="I131" s="3" t="s">
        <v>269</v>
      </c>
      <c r="J131" s="3">
        <v>5</v>
      </c>
      <c r="K131" s="3">
        <v>3</v>
      </c>
      <c r="L131" s="3" t="s">
        <v>2904</v>
      </c>
      <c r="M131" s="6" t="s">
        <v>321</v>
      </c>
      <c r="N131" s="6"/>
      <c r="O131" s="6"/>
      <c r="P131" s="6"/>
    </row>
    <row r="132" spans="1:16" ht="12.45" x14ac:dyDescent="0.2">
      <c r="A132" s="3" t="s">
        <v>13</v>
      </c>
      <c r="B132" s="3" t="s">
        <v>367</v>
      </c>
      <c r="C132" s="3" t="s">
        <v>77</v>
      </c>
      <c r="D132" s="3" t="s">
        <v>28</v>
      </c>
      <c r="E132" s="3" t="s">
        <v>23</v>
      </c>
      <c r="F132" s="3" t="s">
        <v>18</v>
      </c>
      <c r="G132" s="4" t="s">
        <v>368</v>
      </c>
      <c r="H132" s="5">
        <v>282</v>
      </c>
      <c r="I132" s="3" t="s">
        <v>269</v>
      </c>
      <c r="J132" s="3">
        <v>5</v>
      </c>
      <c r="K132" s="3">
        <v>3</v>
      </c>
      <c r="L132" s="3" t="s">
        <v>2904</v>
      </c>
      <c r="M132" s="6" t="s">
        <v>365</v>
      </c>
      <c r="N132" s="6"/>
      <c r="O132" s="6"/>
      <c r="P132" s="6"/>
    </row>
    <row r="133" spans="1:16" ht="12.45" x14ac:dyDescent="0.2">
      <c r="A133" s="3" t="s">
        <v>13</v>
      </c>
      <c r="B133" s="3" t="s">
        <v>369</v>
      </c>
      <c r="C133" s="3" t="s">
        <v>370</v>
      </c>
      <c r="D133" s="3" t="s">
        <v>28</v>
      </c>
      <c r="E133" s="3" t="s">
        <v>37</v>
      </c>
      <c r="F133" s="3" t="s">
        <v>18</v>
      </c>
      <c r="G133" s="4" t="s">
        <v>371</v>
      </c>
      <c r="H133" s="5">
        <v>282</v>
      </c>
      <c r="I133" s="3" t="s">
        <v>269</v>
      </c>
      <c r="J133" s="3">
        <v>5</v>
      </c>
      <c r="K133" s="3">
        <v>4</v>
      </c>
      <c r="L133" s="3" t="s">
        <v>2904</v>
      </c>
      <c r="M133" s="4" t="s">
        <v>332</v>
      </c>
      <c r="N133" s="4"/>
      <c r="O133" s="4"/>
      <c r="P133" s="4"/>
    </row>
    <row r="134" spans="1:16" ht="12.45" x14ac:dyDescent="0.2">
      <c r="A134" s="3" t="s">
        <v>13</v>
      </c>
      <c r="B134" s="3" t="s">
        <v>375</v>
      </c>
      <c r="C134" s="3" t="s">
        <v>27</v>
      </c>
      <c r="D134" s="3" t="s">
        <v>22</v>
      </c>
      <c r="E134" s="3" t="s">
        <v>23</v>
      </c>
      <c r="F134" s="3" t="s">
        <v>18</v>
      </c>
      <c r="G134" s="4" t="s">
        <v>376</v>
      </c>
      <c r="H134" s="5">
        <v>282</v>
      </c>
      <c r="I134" s="3" t="s">
        <v>269</v>
      </c>
      <c r="J134" s="3">
        <v>5</v>
      </c>
      <c r="K134" s="3">
        <v>4</v>
      </c>
      <c r="L134" s="3" t="s">
        <v>2904</v>
      </c>
      <c r="M134" s="4" t="s">
        <v>351</v>
      </c>
      <c r="N134" s="4"/>
      <c r="O134" s="4"/>
      <c r="P134" s="4"/>
    </row>
    <row r="135" spans="1:16" ht="12.45" x14ac:dyDescent="0.2">
      <c r="A135" s="3" t="s">
        <v>13</v>
      </c>
      <c r="B135" s="3" t="s">
        <v>377</v>
      </c>
      <c r="C135" s="3" t="s">
        <v>378</v>
      </c>
      <c r="D135" s="3" t="s">
        <v>28</v>
      </c>
      <c r="E135" s="3" t="s">
        <v>68</v>
      </c>
      <c r="F135" s="3" t="s">
        <v>18</v>
      </c>
      <c r="G135" s="4" t="s">
        <v>379</v>
      </c>
      <c r="H135" s="5">
        <v>282</v>
      </c>
      <c r="I135" s="3" t="s">
        <v>269</v>
      </c>
      <c r="J135" s="3">
        <v>5</v>
      </c>
      <c r="K135" s="3">
        <v>4</v>
      </c>
      <c r="L135" s="3" t="s">
        <v>2904</v>
      </c>
      <c r="M135" s="4" t="s">
        <v>361</v>
      </c>
      <c r="N135" s="4"/>
      <c r="O135" s="4"/>
      <c r="P135" s="4"/>
    </row>
    <row r="136" spans="1:16" ht="12.45" x14ac:dyDescent="0.2">
      <c r="A136" s="3" t="s">
        <v>13</v>
      </c>
      <c r="B136" s="3" t="s">
        <v>380</v>
      </c>
      <c r="C136" s="3" t="s">
        <v>147</v>
      </c>
      <c r="D136" s="3" t="s">
        <v>22</v>
      </c>
      <c r="E136" s="3" t="s">
        <v>23</v>
      </c>
      <c r="F136" s="3" t="s">
        <v>18</v>
      </c>
      <c r="G136" s="6" t="s">
        <v>381</v>
      </c>
      <c r="H136" s="5">
        <v>283</v>
      </c>
      <c r="I136" s="3" t="s">
        <v>269</v>
      </c>
      <c r="J136" s="3">
        <v>5</v>
      </c>
      <c r="K136" s="3">
        <v>4</v>
      </c>
      <c r="L136" s="3" t="s">
        <v>2904</v>
      </c>
      <c r="M136" s="4" t="s">
        <v>367</v>
      </c>
      <c r="N136" s="4"/>
      <c r="O136" s="4"/>
      <c r="P136" s="4"/>
    </row>
    <row r="137" spans="1:16" ht="12.45" x14ac:dyDescent="0.2">
      <c r="A137" s="3" t="s">
        <v>13</v>
      </c>
      <c r="B137" s="3" t="s">
        <v>382</v>
      </c>
      <c r="C137" s="3" t="s">
        <v>77</v>
      </c>
      <c r="D137" s="3" t="s">
        <v>28</v>
      </c>
      <c r="E137" s="3" t="s">
        <v>29</v>
      </c>
      <c r="F137" s="3" t="s">
        <v>18</v>
      </c>
      <c r="G137" s="6" t="s">
        <v>383</v>
      </c>
      <c r="H137" s="5">
        <v>283</v>
      </c>
      <c r="I137" s="3" t="s">
        <v>269</v>
      </c>
      <c r="J137" s="3">
        <v>5</v>
      </c>
      <c r="K137" s="3">
        <v>5</v>
      </c>
      <c r="L137" s="3" t="s">
        <v>2904</v>
      </c>
      <c r="M137" s="6" t="s">
        <v>339</v>
      </c>
      <c r="N137" s="6"/>
      <c r="O137" s="6"/>
      <c r="P137" s="6"/>
    </row>
    <row r="138" spans="1:16" ht="12.45" x14ac:dyDescent="0.2">
      <c r="A138" s="3" t="s">
        <v>13</v>
      </c>
      <c r="B138" s="3" t="s">
        <v>384</v>
      </c>
      <c r="C138" s="3" t="s">
        <v>147</v>
      </c>
      <c r="D138" s="3" t="s">
        <v>22</v>
      </c>
      <c r="E138" s="3" t="s">
        <v>29</v>
      </c>
      <c r="F138" s="3" t="s">
        <v>18</v>
      </c>
      <c r="G138" s="6" t="s">
        <v>385</v>
      </c>
      <c r="H138" s="5">
        <v>283</v>
      </c>
      <c r="I138" s="3" t="s">
        <v>269</v>
      </c>
      <c r="J138" s="3">
        <v>5</v>
      </c>
      <c r="K138" s="3">
        <v>5</v>
      </c>
      <c r="L138" s="3" t="s">
        <v>2904</v>
      </c>
      <c r="M138" s="3" t="s">
        <v>377</v>
      </c>
      <c r="N138" s="3"/>
      <c r="O138" s="3"/>
      <c r="P138" s="3"/>
    </row>
    <row r="139" spans="1:16" ht="12.45" x14ac:dyDescent="0.2">
      <c r="A139" s="3" t="s">
        <v>13</v>
      </c>
      <c r="B139" s="3" t="s">
        <v>389</v>
      </c>
      <c r="C139" s="3" t="s">
        <v>390</v>
      </c>
      <c r="D139" s="3" t="s">
        <v>28</v>
      </c>
      <c r="E139" s="3" t="s">
        <v>29</v>
      </c>
      <c r="F139" s="3" t="s">
        <v>18</v>
      </c>
      <c r="G139" s="3"/>
      <c r="H139" s="5" t="s">
        <v>213</v>
      </c>
      <c r="I139" s="3" t="s">
        <v>269</v>
      </c>
      <c r="J139" s="5">
        <v>5</v>
      </c>
      <c r="K139" s="5">
        <v>5</v>
      </c>
      <c r="L139" s="3" t="s">
        <v>2904</v>
      </c>
      <c r="M139" s="6" t="s">
        <v>386</v>
      </c>
      <c r="N139" s="6"/>
      <c r="O139" s="6"/>
      <c r="P139" s="6"/>
    </row>
    <row r="140" spans="1:16" ht="12.45" x14ac:dyDescent="0.2">
      <c r="A140" s="3" t="s">
        <v>13</v>
      </c>
      <c r="B140" s="3" t="s">
        <v>391</v>
      </c>
      <c r="C140" s="3" t="s">
        <v>392</v>
      </c>
      <c r="D140" s="3" t="s">
        <v>28</v>
      </c>
      <c r="E140" s="3" t="s">
        <v>29</v>
      </c>
      <c r="F140" s="3" t="s">
        <v>18</v>
      </c>
      <c r="G140" s="3"/>
      <c r="H140" s="5" t="s">
        <v>393</v>
      </c>
      <c r="I140" s="3" t="s">
        <v>269</v>
      </c>
      <c r="J140" s="5">
        <v>5</v>
      </c>
      <c r="K140" s="5">
        <v>5</v>
      </c>
      <c r="L140" s="3" t="s">
        <v>2904</v>
      </c>
      <c r="M140" s="6" t="s">
        <v>389</v>
      </c>
      <c r="N140" s="6"/>
      <c r="O140" s="6"/>
      <c r="P140" s="6"/>
    </row>
    <row r="141" spans="1:16" ht="12.45" x14ac:dyDescent="0.2">
      <c r="A141" s="3" t="s">
        <v>13</v>
      </c>
      <c r="B141" s="3" t="s">
        <v>270</v>
      </c>
      <c r="C141" s="3" t="s">
        <v>34</v>
      </c>
      <c r="D141" s="3" t="s">
        <v>22</v>
      </c>
      <c r="E141" s="3" t="s">
        <v>23</v>
      </c>
      <c r="F141" s="3" t="s">
        <v>265</v>
      </c>
      <c r="G141" s="4" t="s">
        <v>271</v>
      </c>
      <c r="H141" s="5">
        <v>273</v>
      </c>
      <c r="I141" s="3" t="s">
        <v>269</v>
      </c>
      <c r="J141" s="3">
        <v>3</v>
      </c>
      <c r="K141" s="3">
        <v>1</v>
      </c>
      <c r="L141" s="3" t="s">
        <v>2904</v>
      </c>
      <c r="M141" s="4" t="s">
        <v>267</v>
      </c>
      <c r="N141" s="4"/>
      <c r="O141" s="4"/>
      <c r="P141" s="4"/>
    </row>
    <row r="142" spans="1:16" ht="12.45" x14ac:dyDescent="0.2">
      <c r="A142" s="3" t="s">
        <v>13</v>
      </c>
      <c r="B142" s="3" t="s">
        <v>321</v>
      </c>
      <c r="C142" s="3" t="s">
        <v>147</v>
      </c>
      <c r="D142" s="3" t="s">
        <v>148</v>
      </c>
      <c r="E142" s="3" t="s">
        <v>23</v>
      </c>
      <c r="F142" s="3" t="s">
        <v>148</v>
      </c>
      <c r="G142" s="4" t="s">
        <v>322</v>
      </c>
      <c r="H142" s="5">
        <v>278</v>
      </c>
      <c r="I142" s="3" t="s">
        <v>269</v>
      </c>
      <c r="J142" s="3">
        <v>5</v>
      </c>
      <c r="K142" s="3">
        <v>2</v>
      </c>
      <c r="L142" s="3" t="s">
        <v>2904</v>
      </c>
      <c r="M142" s="4" t="s">
        <v>287</v>
      </c>
      <c r="N142" s="4"/>
      <c r="O142" s="4"/>
      <c r="P142" s="4"/>
    </row>
    <row r="143" spans="1:16" ht="12.45" x14ac:dyDescent="0.2">
      <c r="A143" s="3" t="s">
        <v>13</v>
      </c>
      <c r="B143" s="3" t="s">
        <v>337</v>
      </c>
      <c r="C143" s="3" t="s">
        <v>147</v>
      </c>
      <c r="D143" s="3" t="s">
        <v>148</v>
      </c>
      <c r="E143" s="3" t="s">
        <v>23</v>
      </c>
      <c r="F143" s="3" t="s">
        <v>148</v>
      </c>
      <c r="G143" s="4" t="s">
        <v>338</v>
      </c>
      <c r="H143" s="5">
        <v>279</v>
      </c>
      <c r="I143" s="3" t="s">
        <v>269</v>
      </c>
      <c r="J143" s="3">
        <v>5</v>
      </c>
      <c r="K143" s="3">
        <v>3</v>
      </c>
      <c r="L143" s="3" t="s">
        <v>2904</v>
      </c>
      <c r="M143" s="6" t="s">
        <v>302</v>
      </c>
      <c r="N143" s="6"/>
      <c r="O143" s="6"/>
      <c r="P143" s="6"/>
    </row>
    <row r="144" spans="1:16" ht="12.45" x14ac:dyDescent="0.2">
      <c r="A144" s="3" t="s">
        <v>13</v>
      </c>
      <c r="B144" s="3" t="s">
        <v>361</v>
      </c>
      <c r="C144" s="3" t="s">
        <v>147</v>
      </c>
      <c r="D144" s="3" t="s">
        <v>148</v>
      </c>
      <c r="E144" s="3" t="s">
        <v>23</v>
      </c>
      <c r="F144" s="3" t="s">
        <v>148</v>
      </c>
      <c r="G144" s="4" t="s">
        <v>362</v>
      </c>
      <c r="H144" s="5">
        <v>281</v>
      </c>
      <c r="I144" s="3" t="s">
        <v>269</v>
      </c>
      <c r="J144" s="3">
        <v>5</v>
      </c>
      <c r="K144" s="3">
        <v>3</v>
      </c>
      <c r="L144" s="3" t="s">
        <v>2904</v>
      </c>
      <c r="M144" s="4" t="s">
        <v>319</v>
      </c>
      <c r="N144" s="4"/>
      <c r="O144" s="4"/>
      <c r="P144" s="4"/>
    </row>
    <row r="145" spans="1:16" ht="12.45" x14ac:dyDescent="0.2">
      <c r="A145" s="3" t="s">
        <v>13</v>
      </c>
      <c r="B145" s="3" t="s">
        <v>334</v>
      </c>
      <c r="C145" s="3" t="s">
        <v>335</v>
      </c>
      <c r="D145" s="3" t="s">
        <v>28</v>
      </c>
      <c r="E145" s="3" t="s">
        <v>50</v>
      </c>
      <c r="F145" s="3" t="s">
        <v>44</v>
      </c>
      <c r="G145" s="3" t="s">
        <v>336</v>
      </c>
      <c r="H145" s="5">
        <v>279</v>
      </c>
      <c r="I145" s="3" t="s">
        <v>269</v>
      </c>
      <c r="J145" s="3">
        <v>5</v>
      </c>
      <c r="K145" s="3">
        <v>3</v>
      </c>
      <c r="L145" s="3" t="s">
        <v>2904</v>
      </c>
      <c r="M145" s="4" t="s">
        <v>332</v>
      </c>
      <c r="N145" s="4"/>
      <c r="O145" s="4"/>
      <c r="P145" s="4"/>
    </row>
    <row r="146" spans="1:16" ht="12.45" x14ac:dyDescent="0.2">
      <c r="A146" s="3" t="s">
        <v>13</v>
      </c>
      <c r="B146" s="3" t="s">
        <v>372</v>
      </c>
      <c r="C146" s="3" t="s">
        <v>373</v>
      </c>
      <c r="D146" s="3" t="s">
        <v>28</v>
      </c>
      <c r="E146" s="3" t="s">
        <v>29</v>
      </c>
      <c r="F146" s="3" t="s">
        <v>44</v>
      </c>
      <c r="G146" s="4" t="s">
        <v>374</v>
      </c>
      <c r="H146" s="5">
        <v>282</v>
      </c>
      <c r="I146" s="3" t="s">
        <v>269</v>
      </c>
      <c r="J146" s="3">
        <v>5</v>
      </c>
      <c r="K146" s="3">
        <v>4</v>
      </c>
      <c r="L146" s="3" t="s">
        <v>2904</v>
      </c>
      <c r="M146" s="3" t="s">
        <v>334</v>
      </c>
      <c r="N146" s="3"/>
      <c r="O146" s="3"/>
      <c r="P146" s="3"/>
    </row>
    <row r="147" spans="1:16" ht="12.45" x14ac:dyDescent="0.2">
      <c r="A147" s="3" t="s">
        <v>13</v>
      </c>
      <c r="B147" s="3" t="s">
        <v>386</v>
      </c>
      <c r="C147" s="3" t="s">
        <v>387</v>
      </c>
      <c r="D147" s="3" t="s">
        <v>22</v>
      </c>
      <c r="E147" s="3" t="s">
        <v>23</v>
      </c>
      <c r="F147" s="3" t="s">
        <v>44</v>
      </c>
      <c r="G147" s="4" t="s">
        <v>388</v>
      </c>
      <c r="H147" s="5">
        <v>283</v>
      </c>
      <c r="I147" s="3" t="s">
        <v>269</v>
      </c>
      <c r="J147" s="3">
        <v>5</v>
      </c>
      <c r="K147" s="3">
        <v>5</v>
      </c>
      <c r="L147" s="3" t="s">
        <v>2904</v>
      </c>
      <c r="M147" s="4" t="s">
        <v>380</v>
      </c>
      <c r="N147" s="4"/>
      <c r="O147" s="4"/>
      <c r="P147" s="4"/>
    </row>
    <row r="148" spans="1:16" ht="12.45" x14ac:dyDescent="0.2">
      <c r="A148" s="3" t="s">
        <v>13</v>
      </c>
      <c r="B148" t="s">
        <v>1578</v>
      </c>
      <c r="C148" t="s">
        <v>2942</v>
      </c>
      <c r="D148" t="s">
        <v>28</v>
      </c>
      <c r="E148" t="s">
        <v>23</v>
      </c>
      <c r="F148" t="s">
        <v>182</v>
      </c>
      <c r="G148" s="3" t="s">
        <v>1579</v>
      </c>
      <c r="H148" s="5">
        <v>387</v>
      </c>
      <c r="I148" s="3" t="s">
        <v>1571</v>
      </c>
      <c r="J148" s="3">
        <v>3</v>
      </c>
      <c r="K148" s="3">
        <v>1</v>
      </c>
      <c r="L148" s="3" t="s">
        <v>2905</v>
      </c>
      <c r="M148" s="6" t="s">
        <v>1576</v>
      </c>
      <c r="N148" s="6"/>
      <c r="O148" s="6"/>
      <c r="P148" s="6"/>
    </row>
    <row r="149" spans="1:16" ht="12.45" x14ac:dyDescent="0.2">
      <c r="A149" s="3" t="s">
        <v>13</v>
      </c>
      <c r="B149" s="3" t="s">
        <v>1580</v>
      </c>
      <c r="C149" s="3" t="s">
        <v>175</v>
      </c>
      <c r="D149" s="3" t="s">
        <v>28</v>
      </c>
      <c r="E149" s="3" t="s">
        <v>23</v>
      </c>
      <c r="F149" s="3" t="s">
        <v>182</v>
      </c>
      <c r="G149" s="3"/>
      <c r="H149" s="5" t="s">
        <v>1490</v>
      </c>
      <c r="I149" s="3" t="s">
        <v>1571</v>
      </c>
      <c r="J149" s="5">
        <v>4</v>
      </c>
      <c r="K149" s="5">
        <v>1</v>
      </c>
      <c r="L149" s="3" t="s">
        <v>2905</v>
      </c>
      <c r="M149" s="6" t="s">
        <v>1576</v>
      </c>
      <c r="N149" s="6"/>
      <c r="O149" s="6"/>
      <c r="P149" s="6"/>
    </row>
    <row r="150" spans="1:16" ht="12.45" x14ac:dyDescent="0.2">
      <c r="A150" s="3" t="s">
        <v>13</v>
      </c>
      <c r="B150" t="s">
        <v>1625</v>
      </c>
      <c r="C150" t="s">
        <v>2977</v>
      </c>
      <c r="D150" t="s">
        <v>28</v>
      </c>
      <c r="E150" t="s">
        <v>23</v>
      </c>
      <c r="F150" t="s">
        <v>182</v>
      </c>
      <c r="G150" s="3" t="s">
        <v>1626</v>
      </c>
      <c r="H150" s="5">
        <v>391</v>
      </c>
      <c r="I150" s="3" t="s">
        <v>1571</v>
      </c>
      <c r="J150" s="3">
        <v>5</v>
      </c>
      <c r="K150" s="3">
        <v>3</v>
      </c>
      <c r="L150" s="3" t="s">
        <v>2905</v>
      </c>
      <c r="M150" s="6" t="s">
        <v>1597</v>
      </c>
      <c r="N150" s="6"/>
      <c r="O150" s="6"/>
      <c r="P150" s="6"/>
    </row>
    <row r="151" spans="1:16" ht="12.45" x14ac:dyDescent="0.2">
      <c r="A151" s="3" t="s">
        <v>13</v>
      </c>
      <c r="B151" t="s">
        <v>1629</v>
      </c>
      <c r="C151" t="s">
        <v>2938</v>
      </c>
      <c r="D151" t="s">
        <v>22</v>
      </c>
      <c r="E151" t="s">
        <v>23</v>
      </c>
      <c r="F151" t="s">
        <v>182</v>
      </c>
      <c r="G151" s="3" t="s">
        <v>1630</v>
      </c>
      <c r="H151" s="5">
        <v>391</v>
      </c>
      <c r="I151" s="3" t="s">
        <v>1571</v>
      </c>
      <c r="J151" s="3">
        <v>5</v>
      </c>
      <c r="K151" s="3">
        <v>3</v>
      </c>
      <c r="L151" s="3" t="s">
        <v>2905</v>
      </c>
      <c r="M151" s="6" t="s">
        <v>1605</v>
      </c>
      <c r="N151" s="6"/>
      <c r="O151" s="6"/>
      <c r="P151" s="6"/>
    </row>
    <row r="152" spans="1:16" ht="12.45" x14ac:dyDescent="0.2">
      <c r="A152" s="3" t="s">
        <v>13</v>
      </c>
      <c r="B152" t="s">
        <v>1631</v>
      </c>
      <c r="C152" t="s">
        <v>2942</v>
      </c>
      <c r="D152" t="s">
        <v>22</v>
      </c>
      <c r="E152" t="s">
        <v>430</v>
      </c>
      <c r="F152" t="s">
        <v>182</v>
      </c>
      <c r="G152" s="3" t="s">
        <v>1632</v>
      </c>
      <c r="H152" s="5">
        <v>392</v>
      </c>
      <c r="I152" s="3" t="s">
        <v>1571</v>
      </c>
      <c r="J152" s="3">
        <v>5</v>
      </c>
      <c r="K152" s="3">
        <v>3</v>
      </c>
      <c r="L152" s="3" t="s">
        <v>2905</v>
      </c>
      <c r="M152" s="6" t="s">
        <v>1607</v>
      </c>
      <c r="N152" s="6"/>
      <c r="O152" s="6"/>
      <c r="P152" s="6"/>
    </row>
    <row r="153" spans="1:16" ht="12.45" x14ac:dyDescent="0.2">
      <c r="A153" s="3" t="s">
        <v>13</v>
      </c>
      <c r="B153" t="s">
        <v>1640</v>
      </c>
      <c r="C153" t="s">
        <v>2938</v>
      </c>
      <c r="D153" t="s">
        <v>28</v>
      </c>
      <c r="E153" t="s">
        <v>23</v>
      </c>
      <c r="F153" t="s">
        <v>182</v>
      </c>
      <c r="G153" s="3" t="s">
        <v>1641</v>
      </c>
      <c r="H153" s="5">
        <v>392</v>
      </c>
      <c r="I153" s="3" t="s">
        <v>1571</v>
      </c>
      <c r="J153" s="3">
        <v>5</v>
      </c>
      <c r="K153" s="3">
        <v>3</v>
      </c>
      <c r="L153" s="3" t="s">
        <v>2905</v>
      </c>
      <c r="M153" s="3" t="s">
        <v>1638</v>
      </c>
      <c r="N153" s="3"/>
      <c r="O153" s="3"/>
      <c r="P153" s="3"/>
    </row>
    <row r="154" spans="1:16" ht="12.45" x14ac:dyDescent="0.2">
      <c r="A154" s="3" t="s">
        <v>13</v>
      </c>
      <c r="B154" t="s">
        <v>1576</v>
      </c>
      <c r="C154" t="s">
        <v>2946</v>
      </c>
      <c r="D154" t="s">
        <v>28</v>
      </c>
      <c r="E154" t="s">
        <v>23</v>
      </c>
      <c r="F154" t="s">
        <v>18</v>
      </c>
      <c r="G154" s="3" t="s">
        <v>1577</v>
      </c>
      <c r="H154" s="5">
        <v>387</v>
      </c>
      <c r="I154" s="3" t="s">
        <v>1571</v>
      </c>
      <c r="J154" s="3">
        <v>3</v>
      </c>
      <c r="K154" s="3">
        <v>1</v>
      </c>
      <c r="L154" s="3" t="s">
        <v>2905</v>
      </c>
      <c r="M154" s="6"/>
      <c r="N154" s="6"/>
      <c r="O154" s="6"/>
      <c r="P154" s="6"/>
    </row>
    <row r="155" spans="1:16" ht="12.45" x14ac:dyDescent="0.2">
      <c r="A155" s="3" t="s">
        <v>13</v>
      </c>
      <c r="B155" t="s">
        <v>1585</v>
      </c>
      <c r="C155" t="s">
        <v>2976</v>
      </c>
      <c r="D155" t="s">
        <v>22</v>
      </c>
      <c r="E155" t="s">
        <v>23</v>
      </c>
      <c r="F155" t="s">
        <v>18</v>
      </c>
      <c r="G155" s="3" t="s">
        <v>1586</v>
      </c>
      <c r="H155" s="5">
        <v>387</v>
      </c>
      <c r="I155" s="3" t="s">
        <v>1571</v>
      </c>
      <c r="J155" s="3">
        <v>5</v>
      </c>
      <c r="K155" s="3">
        <v>1</v>
      </c>
      <c r="L155" s="3" t="s">
        <v>2905</v>
      </c>
      <c r="M155" s="6"/>
      <c r="N155" s="6"/>
      <c r="O155" s="6"/>
      <c r="P155" s="6"/>
    </row>
    <row r="156" spans="1:16" ht="12.45" x14ac:dyDescent="0.2">
      <c r="A156" s="3" t="s">
        <v>13</v>
      </c>
      <c r="B156" t="s">
        <v>1587</v>
      </c>
      <c r="C156" t="s">
        <v>2944</v>
      </c>
      <c r="D156" t="s">
        <v>16</v>
      </c>
      <c r="E156" t="s">
        <v>1588</v>
      </c>
      <c r="F156" t="s">
        <v>18</v>
      </c>
      <c r="G156" s="3" t="s">
        <v>1589</v>
      </c>
      <c r="H156" s="5">
        <v>388</v>
      </c>
      <c r="I156" s="3" t="s">
        <v>1571</v>
      </c>
      <c r="J156" s="3">
        <v>5</v>
      </c>
      <c r="K156" s="3">
        <v>1</v>
      </c>
      <c r="L156" s="3" t="s">
        <v>2905</v>
      </c>
      <c r="M156" s="6" t="s">
        <v>1585</v>
      </c>
      <c r="N156" s="6"/>
      <c r="O156" s="6"/>
      <c r="P156" s="6"/>
    </row>
    <row r="157" spans="1:16" ht="12.45" x14ac:dyDescent="0.2">
      <c r="A157" s="3" t="s">
        <v>13</v>
      </c>
      <c r="B157" t="s">
        <v>1590</v>
      </c>
      <c r="C157" t="s">
        <v>2945</v>
      </c>
      <c r="D157" t="s">
        <v>16</v>
      </c>
      <c r="E157" t="s">
        <v>1588</v>
      </c>
      <c r="F157" t="s">
        <v>18</v>
      </c>
      <c r="G157" s="3" t="str">
        <f>"+Speed to a Conceal maneuver."</f>
        <v>+Speed to a Conceal maneuver.</v>
      </c>
      <c r="H157" s="5">
        <v>388</v>
      </c>
      <c r="I157" s="3" t="s">
        <v>1571</v>
      </c>
      <c r="J157" s="3">
        <v>5</v>
      </c>
      <c r="K157" s="3">
        <v>1</v>
      </c>
      <c r="L157" s="3" t="s">
        <v>2905</v>
      </c>
      <c r="M157" s="6" t="s">
        <v>1587</v>
      </c>
      <c r="N157" s="6"/>
      <c r="O157" s="6"/>
      <c r="P157" s="6"/>
    </row>
    <row r="158" spans="1:16" ht="12.45" x14ac:dyDescent="0.2">
      <c r="A158" s="3" t="s">
        <v>13</v>
      </c>
      <c r="B158" t="s">
        <v>1591</v>
      </c>
      <c r="C158" t="s">
        <v>2998</v>
      </c>
      <c r="D158" t="s">
        <v>16</v>
      </c>
      <c r="E158" t="s">
        <v>1588</v>
      </c>
      <c r="F158" t="s">
        <v>18</v>
      </c>
      <c r="G158" s="3" t="str">
        <f>"+Essence dice and +Essence non-Charm successes to a Broadside maneuver."</f>
        <v>+Essence dice and +Essence non-Charm successes to a Broadside maneuver.</v>
      </c>
      <c r="H158" s="5">
        <v>388</v>
      </c>
      <c r="I158" s="3" t="s">
        <v>1571</v>
      </c>
      <c r="J158" s="3">
        <v>5</v>
      </c>
      <c r="K158" s="3">
        <v>1</v>
      </c>
      <c r="L158" s="3" t="s">
        <v>2905</v>
      </c>
      <c r="M158" s="6" t="s">
        <v>1587</v>
      </c>
      <c r="N158" s="6"/>
      <c r="O158" s="6"/>
      <c r="P158" s="6"/>
    </row>
    <row r="159" spans="1:16" ht="12.45" x14ac:dyDescent="0.2">
      <c r="A159" s="3" t="s">
        <v>13</v>
      </c>
      <c r="B159" t="s">
        <v>1592</v>
      </c>
      <c r="C159" t="s">
        <v>2944</v>
      </c>
      <c r="D159" t="s">
        <v>16</v>
      </c>
      <c r="E159" t="s">
        <v>1588</v>
      </c>
      <c r="F159" t="s">
        <v>18</v>
      </c>
      <c r="G159" s="3" t="str">
        <f>"+1 level of damage when ramming the enemy; cancel the enemy’s Broadside maneuver."</f>
        <v>+1 level of damage when ramming the enemy; cancel the enemy’s Broadside maneuver.</v>
      </c>
      <c r="H159" s="5">
        <v>389</v>
      </c>
      <c r="I159" s="3" t="s">
        <v>1571</v>
      </c>
      <c r="J159" s="3">
        <v>5</v>
      </c>
      <c r="K159" s="3">
        <v>1</v>
      </c>
      <c r="L159" s="3" t="s">
        <v>2905</v>
      </c>
      <c r="M159" s="6" t="s">
        <v>1587</v>
      </c>
      <c r="N159" s="6"/>
      <c r="O159" s="6"/>
      <c r="P159" s="6"/>
    </row>
    <row r="160" spans="1:16" ht="12.45" x14ac:dyDescent="0.2">
      <c r="A160" s="3" t="s">
        <v>13</v>
      </c>
      <c r="B160" t="s">
        <v>1593</v>
      </c>
      <c r="C160" t="s">
        <v>2945</v>
      </c>
      <c r="D160" t="s">
        <v>16</v>
      </c>
      <c r="E160" t="s">
        <v>1588</v>
      </c>
      <c r="F160" t="s">
        <v>18</v>
      </c>
      <c r="G160" s="3" t="s">
        <v>1594</v>
      </c>
      <c r="H160" s="5">
        <v>389</v>
      </c>
      <c r="I160" s="3" t="s">
        <v>1571</v>
      </c>
      <c r="J160" s="3">
        <v>5</v>
      </c>
      <c r="K160" s="3">
        <v>1</v>
      </c>
      <c r="L160" s="3" t="s">
        <v>2905</v>
      </c>
      <c r="M160" s="6" t="s">
        <v>1587</v>
      </c>
      <c r="N160" s="6"/>
      <c r="O160" s="6"/>
      <c r="P160" s="6"/>
    </row>
    <row r="161" spans="1:16" ht="12.45" x14ac:dyDescent="0.2">
      <c r="A161" s="3" t="s">
        <v>13</v>
      </c>
      <c r="B161" t="s">
        <v>1597</v>
      </c>
      <c r="C161" t="s">
        <v>2940</v>
      </c>
      <c r="D161" t="s">
        <v>28</v>
      </c>
      <c r="E161" t="s">
        <v>23</v>
      </c>
      <c r="F161" t="s">
        <v>18</v>
      </c>
      <c r="G161" s="3" t="s">
        <v>1598</v>
      </c>
      <c r="H161" s="5">
        <v>389</v>
      </c>
      <c r="I161" s="3" t="s">
        <v>1571</v>
      </c>
      <c r="J161" s="3">
        <v>4</v>
      </c>
      <c r="K161" s="3">
        <v>2</v>
      </c>
      <c r="L161" s="3" t="s">
        <v>2905</v>
      </c>
      <c r="M161" s="3" t="s">
        <v>1574</v>
      </c>
      <c r="N161" s="3"/>
      <c r="O161" s="3"/>
      <c r="P161" s="3"/>
    </row>
    <row r="162" spans="1:16" ht="12.45" x14ac:dyDescent="0.2">
      <c r="A162" s="3" t="s">
        <v>13</v>
      </c>
      <c r="B162" t="s">
        <v>1605</v>
      </c>
      <c r="C162" t="s">
        <v>3046</v>
      </c>
      <c r="D162" t="s">
        <v>22</v>
      </c>
      <c r="E162" t="s">
        <v>23</v>
      </c>
      <c r="F162" t="s">
        <v>18</v>
      </c>
      <c r="G162" s="3" t="s">
        <v>1606</v>
      </c>
      <c r="H162" s="5">
        <v>390</v>
      </c>
      <c r="I162" s="3" t="s">
        <v>1571</v>
      </c>
      <c r="J162" s="3">
        <v>5</v>
      </c>
      <c r="K162" s="3">
        <v>2</v>
      </c>
      <c r="L162" s="3" t="s">
        <v>2905</v>
      </c>
      <c r="M162" s="6" t="s">
        <v>1603</v>
      </c>
      <c r="N162" s="6"/>
      <c r="O162" s="6"/>
      <c r="P162" s="6"/>
    </row>
    <row r="163" spans="1:16" ht="12.45" x14ac:dyDescent="0.2">
      <c r="A163" s="3" t="s">
        <v>13</v>
      </c>
      <c r="B163" t="s">
        <v>1609</v>
      </c>
      <c r="C163" t="s">
        <v>2970</v>
      </c>
      <c r="D163" t="s">
        <v>22</v>
      </c>
      <c r="E163" t="s">
        <v>23</v>
      </c>
      <c r="F163" t="s">
        <v>18</v>
      </c>
      <c r="G163" s="3" t="s">
        <v>1610</v>
      </c>
      <c r="H163" s="5">
        <v>390</v>
      </c>
      <c r="I163" s="3" t="s">
        <v>1571</v>
      </c>
      <c r="J163" s="3">
        <v>5</v>
      </c>
      <c r="K163" s="3">
        <v>2</v>
      </c>
      <c r="L163" s="3" t="s">
        <v>2905</v>
      </c>
      <c r="M163" s="3" t="s">
        <v>1611</v>
      </c>
      <c r="N163" s="6" t="b">
        <f>OR(COUNTIFS(CharmSelectionCategory,"&lt;&gt;",CharmSelectionName,"Immortal Mariner's Advantage"),COUNTIFS(CharmSelectionCategory,"&lt;&gt;",CharmSelectionName,"Salty Dog Method"))</f>
        <v>0</v>
      </c>
      <c r="O163" s="6"/>
      <c r="P163" s="6" t="s">
        <v>1611</v>
      </c>
    </row>
    <row r="164" spans="1:16" ht="12.45" x14ac:dyDescent="0.2">
      <c r="A164" s="3" t="s">
        <v>13</v>
      </c>
      <c r="B164" t="s">
        <v>1620</v>
      </c>
      <c r="C164" t="s">
        <v>2962</v>
      </c>
      <c r="D164" t="s">
        <v>22</v>
      </c>
      <c r="E164" t="s">
        <v>1588</v>
      </c>
      <c r="F164" t="s">
        <v>18</v>
      </c>
      <c r="G164" s="3" t="s">
        <v>1621</v>
      </c>
      <c r="H164" s="5">
        <v>391</v>
      </c>
      <c r="I164" s="3" t="s">
        <v>1571</v>
      </c>
      <c r="J164" s="3">
        <v>5</v>
      </c>
      <c r="K164" s="3">
        <v>2</v>
      </c>
      <c r="L164" s="3" t="s">
        <v>2905</v>
      </c>
      <c r="M164" t="s">
        <v>1592</v>
      </c>
      <c r="N164" s="6"/>
      <c r="O164" s="6"/>
      <c r="P164" s="6"/>
    </row>
    <row r="165" spans="1:16" ht="12.45" x14ac:dyDescent="0.2">
      <c r="A165" s="3" t="s">
        <v>13</v>
      </c>
      <c r="B165" t="s">
        <v>1622</v>
      </c>
      <c r="C165" t="s">
        <v>2945</v>
      </c>
      <c r="D165" t="s">
        <v>16</v>
      </c>
      <c r="E165" t="s">
        <v>1588</v>
      </c>
      <c r="F165" t="s">
        <v>18</v>
      </c>
      <c r="G165" s="3" t="str">
        <f>"+3 non-Charm dice to Join Battle on a boat."</f>
        <v>+3 non-Charm dice to Join Battle on a boat.</v>
      </c>
      <c r="H165" s="5">
        <v>391</v>
      </c>
      <c r="I165" s="3" t="s">
        <v>1571</v>
      </c>
      <c r="J165" s="3">
        <v>5</v>
      </c>
      <c r="K165" s="3">
        <v>2</v>
      </c>
      <c r="L165" s="3" t="s">
        <v>2905</v>
      </c>
      <c r="M165" s="6" t="s">
        <v>1620</v>
      </c>
      <c r="N165" s="6"/>
      <c r="O165" s="6"/>
      <c r="P165" s="6"/>
    </row>
    <row r="166" spans="1:16" ht="12.45" x14ac:dyDescent="0.2">
      <c r="A166" s="3" t="s">
        <v>13</v>
      </c>
      <c r="B166" t="s">
        <v>1623</v>
      </c>
      <c r="C166" t="s">
        <v>2940</v>
      </c>
      <c r="D166" t="s">
        <v>16</v>
      </c>
      <c r="E166" t="s">
        <v>1588</v>
      </c>
      <c r="F166" t="s">
        <v>18</v>
      </c>
      <c r="G166" s="3" t="s">
        <v>1624</v>
      </c>
      <c r="H166" s="5">
        <v>391</v>
      </c>
      <c r="I166" s="3" t="s">
        <v>1571</v>
      </c>
      <c r="J166" s="3">
        <v>5</v>
      </c>
      <c r="K166" s="3">
        <v>2</v>
      </c>
      <c r="L166" s="3" t="s">
        <v>2905</v>
      </c>
      <c r="M166" s="6" t="s">
        <v>1593</v>
      </c>
      <c r="N166" s="6"/>
      <c r="O166" s="6"/>
      <c r="P166" s="6"/>
    </row>
    <row r="167" spans="1:16" ht="12.45" x14ac:dyDescent="0.2">
      <c r="A167" s="3" t="s">
        <v>13</v>
      </c>
      <c r="B167" t="s">
        <v>1642</v>
      </c>
      <c r="C167" t="s">
        <v>2944</v>
      </c>
      <c r="D167" t="s">
        <v>22</v>
      </c>
      <c r="E167" t="s">
        <v>1588</v>
      </c>
      <c r="F167" t="s">
        <v>18</v>
      </c>
      <c r="G167" s="3" t="s">
        <v>1643</v>
      </c>
      <c r="H167" s="5">
        <v>393</v>
      </c>
      <c r="I167" s="3" t="s">
        <v>1571</v>
      </c>
      <c r="J167" s="3">
        <v>5</v>
      </c>
      <c r="K167" s="3">
        <v>3</v>
      </c>
      <c r="L167" s="3" t="s">
        <v>2905</v>
      </c>
      <c r="M167" s="3" t="s">
        <v>1618</v>
      </c>
      <c r="N167" s="3"/>
      <c r="O167" s="3"/>
      <c r="P167" s="3"/>
    </row>
    <row r="168" spans="1:16" ht="12.45" x14ac:dyDescent="0.2">
      <c r="A168" s="3" t="s">
        <v>13</v>
      </c>
      <c r="B168" s="3" t="s">
        <v>1651</v>
      </c>
      <c r="C168" s="3" t="s">
        <v>154</v>
      </c>
      <c r="D168" s="3" t="s">
        <v>22</v>
      </c>
      <c r="E168" s="3" t="s">
        <v>23</v>
      </c>
      <c r="F168" s="3" t="s">
        <v>18</v>
      </c>
      <c r="G168" s="3"/>
      <c r="H168" s="5" t="s">
        <v>1652</v>
      </c>
      <c r="I168" s="3" t="s">
        <v>1571</v>
      </c>
      <c r="J168" s="5">
        <v>5</v>
      </c>
      <c r="K168" s="5">
        <v>3</v>
      </c>
      <c r="L168" s="3" t="s">
        <v>2905</v>
      </c>
      <c r="M168" s="6"/>
      <c r="N168" s="6"/>
      <c r="O168" s="6"/>
      <c r="P168" s="6"/>
    </row>
    <row r="169" spans="1:16" ht="12.45" x14ac:dyDescent="0.2">
      <c r="A169" s="3" t="s">
        <v>13</v>
      </c>
      <c r="B169" s="3" t="s">
        <v>1655</v>
      </c>
      <c r="C169" s="3" t="s">
        <v>47</v>
      </c>
      <c r="D169" s="3" t="s">
        <v>28</v>
      </c>
      <c r="E169" s="3" t="s">
        <v>1656</v>
      </c>
      <c r="F169" s="3" t="s">
        <v>18</v>
      </c>
      <c r="G169" s="3"/>
      <c r="H169" s="5" t="s">
        <v>1652</v>
      </c>
      <c r="I169" s="3" t="s">
        <v>1571</v>
      </c>
      <c r="J169" s="5">
        <v>5</v>
      </c>
      <c r="K169" s="5">
        <v>3</v>
      </c>
      <c r="L169" s="3" t="s">
        <v>2905</v>
      </c>
      <c r="M169" s="6" t="s">
        <v>1657</v>
      </c>
      <c r="N169" s="6" t="b">
        <f>COUNTIFS(CharmSelectionCategory,"Sail")&gt;=5</f>
        <v>0</v>
      </c>
      <c r="O169" s="6"/>
      <c r="P169" s="6" t="s">
        <v>1657</v>
      </c>
    </row>
    <row r="170" spans="1:16" ht="12.45" x14ac:dyDescent="0.2">
      <c r="A170" s="3" t="s">
        <v>13</v>
      </c>
      <c r="B170" t="s">
        <v>1599</v>
      </c>
      <c r="C170" t="s">
        <v>2946</v>
      </c>
      <c r="D170" t="s">
        <v>22</v>
      </c>
      <c r="E170" t="s">
        <v>23</v>
      </c>
      <c r="F170" t="s">
        <v>563</v>
      </c>
      <c r="G170" s="3" t="s">
        <v>1600</v>
      </c>
      <c r="H170" s="5">
        <v>389</v>
      </c>
      <c r="I170" s="3" t="s">
        <v>1571</v>
      </c>
      <c r="J170" s="3">
        <v>4</v>
      </c>
      <c r="K170" s="3">
        <v>2</v>
      </c>
      <c r="L170" s="3" t="s">
        <v>2905</v>
      </c>
      <c r="M170" s="3" t="s">
        <v>1578</v>
      </c>
      <c r="N170" s="3"/>
      <c r="O170" s="3"/>
      <c r="P170" s="3"/>
    </row>
    <row r="171" spans="1:16" ht="12.45" x14ac:dyDescent="0.2">
      <c r="A171" s="3" t="s">
        <v>13</v>
      </c>
      <c r="B171" t="s">
        <v>1601</v>
      </c>
      <c r="C171" t="s">
        <v>2946</v>
      </c>
      <c r="D171" t="s">
        <v>22</v>
      </c>
      <c r="E171" t="s">
        <v>23</v>
      </c>
      <c r="F171" t="s">
        <v>563</v>
      </c>
      <c r="G171" s="3" t="s">
        <v>1602</v>
      </c>
      <c r="H171" s="5">
        <v>389</v>
      </c>
      <c r="I171" s="3" t="s">
        <v>1571</v>
      </c>
      <c r="J171" s="3">
        <v>4</v>
      </c>
      <c r="K171" s="3">
        <v>2</v>
      </c>
      <c r="L171" s="3" t="s">
        <v>2905</v>
      </c>
      <c r="M171" s="6" t="s">
        <v>1578</v>
      </c>
      <c r="N171" s="6"/>
      <c r="O171" s="6"/>
      <c r="P171" s="6"/>
    </row>
    <row r="172" spans="1:16" ht="12.45" x14ac:dyDescent="0.2">
      <c r="A172" s="3" t="s">
        <v>13</v>
      </c>
      <c r="B172" t="s">
        <v>1627</v>
      </c>
      <c r="C172" t="s">
        <v>2938</v>
      </c>
      <c r="D172" t="s">
        <v>22</v>
      </c>
      <c r="E172" t="s">
        <v>23</v>
      </c>
      <c r="F172" t="s">
        <v>563</v>
      </c>
      <c r="G172" s="3" t="s">
        <v>1628</v>
      </c>
      <c r="H172" s="5">
        <v>391</v>
      </c>
      <c r="I172" s="3" t="s">
        <v>1571</v>
      </c>
      <c r="J172" s="3">
        <v>5</v>
      </c>
      <c r="K172" s="3">
        <v>3</v>
      </c>
      <c r="L172" s="3" t="s">
        <v>2905</v>
      </c>
      <c r="M172" s="6" t="s">
        <v>1603</v>
      </c>
      <c r="N172" s="6"/>
      <c r="O172" s="6"/>
      <c r="P172" s="6"/>
    </row>
    <row r="173" spans="1:16" ht="12.45" x14ac:dyDescent="0.2">
      <c r="A173" s="3" t="s">
        <v>13</v>
      </c>
      <c r="B173" t="s">
        <v>1614</v>
      </c>
      <c r="C173" t="s">
        <v>2944</v>
      </c>
      <c r="D173" t="s">
        <v>22</v>
      </c>
      <c r="E173" t="s">
        <v>23</v>
      </c>
      <c r="F173" t="s">
        <v>683</v>
      </c>
      <c r="G173" s="3" t="s">
        <v>1615</v>
      </c>
      <c r="H173" s="5">
        <v>390</v>
      </c>
      <c r="I173" s="3" t="s">
        <v>1571</v>
      </c>
      <c r="J173" s="3">
        <v>5</v>
      </c>
      <c r="K173" s="3">
        <v>2</v>
      </c>
      <c r="L173" s="3" t="s">
        <v>2905</v>
      </c>
      <c r="M173" s="3" t="s">
        <v>1611</v>
      </c>
      <c r="N173" s="6" t="b">
        <f>OR(COUNTIFS(CharmSelectionCategory,"&lt;&gt;",CharmSelectionName,"Immortal Mariner's Advantage"),COUNTIFS(CharmSelectionCategory,"&lt;&gt;",CharmSelectionName,"Salty Dog Method"))</f>
        <v>0</v>
      </c>
      <c r="O173" s="6"/>
      <c r="P173" s="6" t="s">
        <v>1611</v>
      </c>
    </row>
    <row r="174" spans="1:16" ht="12.45" x14ac:dyDescent="0.2">
      <c r="A174" s="3" t="s">
        <v>13</v>
      </c>
      <c r="B174" t="s">
        <v>1616</v>
      </c>
      <c r="C174" t="s">
        <v>2942</v>
      </c>
      <c r="D174" t="s">
        <v>22</v>
      </c>
      <c r="E174" t="s">
        <v>23</v>
      </c>
      <c r="F174" t="s">
        <v>683</v>
      </c>
      <c r="G174" s="3" t="s">
        <v>1617</v>
      </c>
      <c r="H174" s="5">
        <v>390</v>
      </c>
      <c r="I174" s="3" t="s">
        <v>1571</v>
      </c>
      <c r="J174" s="3">
        <v>5</v>
      </c>
      <c r="K174" s="3">
        <v>2</v>
      </c>
      <c r="L174" s="3" t="s">
        <v>2905</v>
      </c>
      <c r="M174" s="6" t="s">
        <v>1614</v>
      </c>
      <c r="N174" s="6"/>
      <c r="O174" s="6"/>
      <c r="P174" s="6"/>
    </row>
    <row r="175" spans="1:16" ht="12.45" x14ac:dyDescent="0.2">
      <c r="A175" s="3" t="s">
        <v>13</v>
      </c>
      <c r="B175" t="s">
        <v>1637</v>
      </c>
      <c r="C175" t="s">
        <v>2951</v>
      </c>
      <c r="D175" t="s">
        <v>28</v>
      </c>
      <c r="E175" t="s">
        <v>1588</v>
      </c>
      <c r="F175" t="s">
        <v>683</v>
      </c>
      <c r="G175" s="3" t="str">
        <f>"+(Essence) auto-successes to fighting a storm for the next hour."</f>
        <v>+(Essence) auto-successes to fighting a storm for the next hour.</v>
      </c>
      <c r="H175" s="5">
        <v>392</v>
      </c>
      <c r="I175" s="3" t="s">
        <v>1571</v>
      </c>
      <c r="J175" s="3">
        <v>5</v>
      </c>
      <c r="K175" s="3">
        <v>3</v>
      </c>
      <c r="L175" s="3" t="s">
        <v>2905</v>
      </c>
      <c r="M175" s="3" t="s">
        <v>1616</v>
      </c>
      <c r="N175" s="3"/>
      <c r="O175" s="3"/>
      <c r="P175" s="3"/>
    </row>
    <row r="176" spans="1:16" ht="12.45" x14ac:dyDescent="0.2">
      <c r="A176" s="3" t="s">
        <v>13</v>
      </c>
      <c r="B176" s="3" t="s">
        <v>1649</v>
      </c>
      <c r="C176" s="3" t="s">
        <v>694</v>
      </c>
      <c r="D176" s="3" t="s">
        <v>22</v>
      </c>
      <c r="E176" s="3" t="s">
        <v>23</v>
      </c>
      <c r="F176" s="3" t="s">
        <v>683</v>
      </c>
      <c r="G176" s="3"/>
      <c r="H176" s="5" t="s">
        <v>1490</v>
      </c>
      <c r="I176" s="3" t="s">
        <v>1571</v>
      </c>
      <c r="J176" s="5">
        <v>5</v>
      </c>
      <c r="K176" s="5">
        <v>3</v>
      </c>
      <c r="L176" s="3" t="s">
        <v>2905</v>
      </c>
      <c r="M176" s="6" t="s">
        <v>1650</v>
      </c>
      <c r="N176" s="6"/>
      <c r="O176" s="6"/>
      <c r="P176" s="6"/>
    </row>
    <row r="177" spans="1:16" ht="12.45" x14ac:dyDescent="0.2">
      <c r="A177" s="3" t="s">
        <v>13</v>
      </c>
      <c r="B177" t="s">
        <v>1603</v>
      </c>
      <c r="C177" t="s">
        <v>2946</v>
      </c>
      <c r="D177" t="s">
        <v>22</v>
      </c>
      <c r="E177" t="s">
        <v>23</v>
      </c>
      <c r="F177" t="s">
        <v>615</v>
      </c>
      <c r="G177" s="3" t="s">
        <v>1604</v>
      </c>
      <c r="H177" s="5">
        <v>389</v>
      </c>
      <c r="I177" s="3" t="s">
        <v>1571</v>
      </c>
      <c r="J177" s="3">
        <v>5</v>
      </c>
      <c r="K177" s="3">
        <v>2</v>
      </c>
      <c r="L177" s="3" t="s">
        <v>2905</v>
      </c>
      <c r="M177" s="6" t="s">
        <v>1576</v>
      </c>
      <c r="N177" s="6"/>
      <c r="O177" s="6"/>
      <c r="P177" s="6"/>
    </row>
    <row r="178" spans="1:16" ht="12.45" x14ac:dyDescent="0.2">
      <c r="A178" s="3" t="s">
        <v>13</v>
      </c>
      <c r="B178" t="s">
        <v>540</v>
      </c>
      <c r="C178" t="s">
        <v>2938</v>
      </c>
      <c r="D178" t="s">
        <v>28</v>
      </c>
      <c r="E178" t="s">
        <v>23</v>
      </c>
      <c r="F178" t="s">
        <v>182</v>
      </c>
      <c r="G178" s="3" t="s">
        <v>541</v>
      </c>
      <c r="H178" s="5">
        <v>290</v>
      </c>
      <c r="I178" s="3" t="s">
        <v>464</v>
      </c>
      <c r="J178" s="3">
        <v>5</v>
      </c>
      <c r="K178" s="3">
        <v>3</v>
      </c>
      <c r="L178" s="3" t="s">
        <v>2912</v>
      </c>
      <c r="M178" s="3" t="s">
        <v>515</v>
      </c>
      <c r="N178" s="3"/>
      <c r="O178" s="3"/>
      <c r="P178" s="3"/>
    </row>
    <row r="179" spans="1:16" ht="12.45" x14ac:dyDescent="0.2">
      <c r="A179" s="3" t="s">
        <v>13</v>
      </c>
      <c r="B179" t="s">
        <v>462</v>
      </c>
      <c r="C179" t="s">
        <v>2948</v>
      </c>
      <c r="D179" t="s">
        <v>16</v>
      </c>
      <c r="E179" t="s">
        <v>23</v>
      </c>
      <c r="F179" t="s">
        <v>18</v>
      </c>
      <c r="G179" s="3" t="s">
        <v>463</v>
      </c>
      <c r="H179" s="5">
        <v>297</v>
      </c>
      <c r="I179" s="3" t="s">
        <v>464</v>
      </c>
      <c r="J179" s="3">
        <v>1</v>
      </c>
      <c r="K179" s="3">
        <v>1</v>
      </c>
      <c r="L179" s="3" t="s">
        <v>2912</v>
      </c>
      <c r="M179" s="4"/>
      <c r="N179" s="4"/>
      <c r="O179" s="4"/>
      <c r="P179" s="4"/>
    </row>
    <row r="180" spans="1:16" ht="12.45" x14ac:dyDescent="0.2">
      <c r="A180" s="3" t="s">
        <v>13</v>
      </c>
      <c r="B180" t="s">
        <v>478</v>
      </c>
      <c r="C180" t="s">
        <v>2938</v>
      </c>
      <c r="D180" t="s">
        <v>28</v>
      </c>
      <c r="E180" t="s">
        <v>23</v>
      </c>
      <c r="F180" t="s">
        <v>18</v>
      </c>
      <c r="G180" s="3" t="s">
        <v>479</v>
      </c>
      <c r="H180" s="5">
        <v>295</v>
      </c>
      <c r="I180" s="3" t="s">
        <v>464</v>
      </c>
      <c r="J180" s="3">
        <v>3</v>
      </c>
      <c r="K180" s="3">
        <v>1</v>
      </c>
      <c r="L180" s="3" t="s">
        <v>2912</v>
      </c>
      <c r="M180" s="3"/>
      <c r="N180" s="3"/>
      <c r="O180" s="3"/>
      <c r="P180" s="3"/>
    </row>
    <row r="181" spans="1:16" ht="12.45" x14ac:dyDescent="0.2">
      <c r="A181" s="3" t="s">
        <v>13</v>
      </c>
      <c r="B181" t="s">
        <v>480</v>
      </c>
      <c r="C181" t="s">
        <v>2948</v>
      </c>
      <c r="D181" t="s">
        <v>16</v>
      </c>
      <c r="E181" t="s">
        <v>23</v>
      </c>
      <c r="F181" t="s">
        <v>18</v>
      </c>
      <c r="G181" s="3" t="s">
        <v>481</v>
      </c>
      <c r="H181" s="5">
        <v>297</v>
      </c>
      <c r="I181" s="3" t="s">
        <v>464</v>
      </c>
      <c r="J181" s="3">
        <v>3</v>
      </c>
      <c r="K181" s="3">
        <v>1</v>
      </c>
      <c r="L181" s="3" t="s">
        <v>2912</v>
      </c>
      <c r="M181" s="4" t="s">
        <v>462</v>
      </c>
      <c r="N181" s="4"/>
      <c r="O181" s="4"/>
      <c r="P181" s="4"/>
    </row>
    <row r="182" spans="1:16" ht="12.45" x14ac:dyDescent="0.2">
      <c r="A182" s="3" t="s">
        <v>13</v>
      </c>
      <c r="B182" t="s">
        <v>482</v>
      </c>
      <c r="C182" t="s">
        <v>2948</v>
      </c>
      <c r="D182" t="s">
        <v>16</v>
      </c>
      <c r="E182" t="s">
        <v>23</v>
      </c>
      <c r="F182" t="s">
        <v>18</v>
      </c>
      <c r="G182" s="3" t="s">
        <v>483</v>
      </c>
      <c r="H182" s="5">
        <v>297</v>
      </c>
      <c r="I182" s="3" t="s">
        <v>464</v>
      </c>
      <c r="J182" s="3">
        <v>3</v>
      </c>
      <c r="K182" s="3">
        <v>1</v>
      </c>
      <c r="L182" s="3" t="s">
        <v>2912</v>
      </c>
      <c r="M182" s="4" t="s">
        <v>462</v>
      </c>
      <c r="N182" s="4"/>
      <c r="O182" s="4"/>
      <c r="P182" s="4"/>
    </row>
    <row r="183" spans="1:16" ht="12.45" x14ac:dyDescent="0.2">
      <c r="A183" s="3" t="s">
        <v>13</v>
      </c>
      <c r="B183" t="s">
        <v>484</v>
      </c>
      <c r="C183" t="s">
        <v>3045</v>
      </c>
      <c r="D183" t="s">
        <v>28</v>
      </c>
      <c r="E183" t="s">
        <v>23</v>
      </c>
      <c r="F183" t="s">
        <v>18</v>
      </c>
      <c r="G183" s="3" t="s">
        <v>485</v>
      </c>
      <c r="H183" s="5">
        <v>289</v>
      </c>
      <c r="I183" s="3" t="s">
        <v>464</v>
      </c>
      <c r="J183" s="3">
        <v>4</v>
      </c>
      <c r="K183" s="3">
        <v>1</v>
      </c>
      <c r="L183" s="3" t="s">
        <v>2912</v>
      </c>
      <c r="M183" s="3"/>
      <c r="N183" s="3"/>
      <c r="O183" s="3"/>
      <c r="P183" s="3"/>
    </row>
    <row r="184" spans="1:16" ht="12.45" x14ac:dyDescent="0.2">
      <c r="A184" s="3" t="s">
        <v>13</v>
      </c>
      <c r="B184" t="s">
        <v>493</v>
      </c>
      <c r="C184" t="s">
        <v>2940</v>
      </c>
      <c r="D184" t="s">
        <v>28</v>
      </c>
      <c r="E184" t="s">
        <v>23</v>
      </c>
      <c r="F184" t="s">
        <v>18</v>
      </c>
      <c r="G184" s="3" t="s">
        <v>494</v>
      </c>
      <c r="H184" s="5">
        <v>294</v>
      </c>
      <c r="I184" s="3" t="s">
        <v>464</v>
      </c>
      <c r="J184" s="3">
        <v>5</v>
      </c>
      <c r="K184" s="3">
        <v>1</v>
      </c>
      <c r="L184" s="3" t="s">
        <v>2912</v>
      </c>
      <c r="M184" s="4" t="s">
        <v>475</v>
      </c>
      <c r="N184" s="4"/>
      <c r="O184" s="4"/>
      <c r="P184" s="4"/>
    </row>
    <row r="185" spans="1:16" ht="12.45" x14ac:dyDescent="0.2">
      <c r="A185" s="3" t="s">
        <v>13</v>
      </c>
      <c r="B185" t="s">
        <v>495</v>
      </c>
      <c r="C185" t="s">
        <v>2971</v>
      </c>
      <c r="D185" t="s">
        <v>28</v>
      </c>
      <c r="E185" t="s">
        <v>23</v>
      </c>
      <c r="F185" t="s">
        <v>18</v>
      </c>
      <c r="G185" s="3" t="s">
        <v>496</v>
      </c>
      <c r="H185" s="5">
        <v>295</v>
      </c>
      <c r="I185" s="3" t="s">
        <v>464</v>
      </c>
      <c r="J185" s="3">
        <v>5</v>
      </c>
      <c r="K185" s="3">
        <v>1</v>
      </c>
      <c r="L185" s="3" t="s">
        <v>2912</v>
      </c>
      <c r="M185" s="4" t="s">
        <v>478</v>
      </c>
      <c r="N185" s="4"/>
      <c r="O185" s="4"/>
      <c r="P185" s="4"/>
    </row>
    <row r="186" spans="1:16" ht="12.45" x14ac:dyDescent="0.2">
      <c r="A186" s="3" t="s">
        <v>13</v>
      </c>
      <c r="B186" t="s">
        <v>499</v>
      </c>
      <c r="C186" t="s">
        <v>147</v>
      </c>
      <c r="D186" t="s">
        <v>22</v>
      </c>
      <c r="E186" t="s">
        <v>23</v>
      </c>
      <c r="F186" t="s">
        <v>18</v>
      </c>
      <c r="G186" s="3" t="s">
        <v>500</v>
      </c>
      <c r="H186" s="5">
        <v>297</v>
      </c>
      <c r="I186" s="3" t="s">
        <v>464</v>
      </c>
      <c r="J186" s="3">
        <v>3</v>
      </c>
      <c r="K186" s="3">
        <v>2</v>
      </c>
      <c r="L186" s="3" t="s">
        <v>2912</v>
      </c>
      <c r="M186" s="3" t="s">
        <v>462</v>
      </c>
      <c r="N186" s="3"/>
      <c r="O186" s="3"/>
      <c r="P186" s="3"/>
    </row>
    <row r="187" spans="1:16" ht="12.45" x14ac:dyDescent="0.2">
      <c r="A187" s="3" t="s">
        <v>13</v>
      </c>
      <c r="B187" t="s">
        <v>501</v>
      </c>
      <c r="C187" t="s">
        <v>3044</v>
      </c>
      <c r="D187" t="s">
        <v>22</v>
      </c>
      <c r="E187" t="s">
        <v>502</v>
      </c>
      <c r="F187" t="s">
        <v>18</v>
      </c>
      <c r="G187" s="3" t="s">
        <v>503</v>
      </c>
      <c r="H187" s="5">
        <v>298</v>
      </c>
      <c r="I187" s="3" t="s">
        <v>464</v>
      </c>
      <c r="J187" s="3">
        <v>3</v>
      </c>
      <c r="K187" s="3">
        <v>2</v>
      </c>
      <c r="L187" s="3" t="s">
        <v>2912</v>
      </c>
      <c r="M187" s="4" t="s">
        <v>462</v>
      </c>
      <c r="N187" s="4"/>
      <c r="O187" s="4"/>
      <c r="P187" s="4"/>
    </row>
    <row r="188" spans="1:16" ht="12.45" x14ac:dyDescent="0.2">
      <c r="A188" s="3" t="s">
        <v>13</v>
      </c>
      <c r="B188" t="s">
        <v>504</v>
      </c>
      <c r="C188" t="s">
        <v>3041</v>
      </c>
      <c r="D188" t="s">
        <v>28</v>
      </c>
      <c r="E188" t="s">
        <v>23</v>
      </c>
      <c r="F188" t="s">
        <v>18</v>
      </c>
      <c r="G188" s="3" t="s">
        <v>505</v>
      </c>
      <c r="H188" s="5">
        <v>296</v>
      </c>
      <c r="I188" s="3" t="s">
        <v>464</v>
      </c>
      <c r="J188" s="3">
        <v>4</v>
      </c>
      <c r="K188" s="3">
        <v>2</v>
      </c>
      <c r="L188" s="3" t="s">
        <v>2912</v>
      </c>
      <c r="M188" s="3" t="s">
        <v>506</v>
      </c>
      <c r="N188" s="3"/>
      <c r="O188" s="3"/>
      <c r="P188" s="3"/>
    </row>
    <row r="189" spans="1:16" ht="12.45" x14ac:dyDescent="0.2">
      <c r="A189" s="3" t="s">
        <v>13</v>
      </c>
      <c r="B189" t="s">
        <v>507</v>
      </c>
      <c r="C189" t="s">
        <v>3043</v>
      </c>
      <c r="D189" t="s">
        <v>22</v>
      </c>
      <c r="E189" t="s">
        <v>502</v>
      </c>
      <c r="F189" t="s">
        <v>18</v>
      </c>
      <c r="G189" s="3" t="s">
        <v>508</v>
      </c>
      <c r="H189" s="5">
        <v>298</v>
      </c>
      <c r="I189" s="3" t="s">
        <v>464</v>
      </c>
      <c r="J189" s="3">
        <v>4</v>
      </c>
      <c r="K189" s="3">
        <v>2</v>
      </c>
      <c r="L189" s="3" t="s">
        <v>2912</v>
      </c>
      <c r="M189" s="4" t="s">
        <v>501</v>
      </c>
      <c r="N189" s="4"/>
      <c r="O189" s="4"/>
      <c r="P189" s="4"/>
    </row>
    <row r="190" spans="1:16" ht="12.45" x14ac:dyDescent="0.2">
      <c r="A190" s="3" t="s">
        <v>13</v>
      </c>
      <c r="B190" t="s">
        <v>513</v>
      </c>
      <c r="C190" t="s">
        <v>2948</v>
      </c>
      <c r="D190" t="s">
        <v>28</v>
      </c>
      <c r="E190" t="s">
        <v>142</v>
      </c>
      <c r="F190" t="s">
        <v>18</v>
      </c>
      <c r="G190" s="3" t="s">
        <v>514</v>
      </c>
      <c r="H190" s="5">
        <v>289</v>
      </c>
      <c r="I190" s="3" t="s">
        <v>464</v>
      </c>
      <c r="J190" s="3">
        <v>5</v>
      </c>
      <c r="K190" s="3">
        <v>2</v>
      </c>
      <c r="L190" s="3" t="s">
        <v>2912</v>
      </c>
      <c r="M190" s="4" t="s">
        <v>484</v>
      </c>
      <c r="N190" s="4"/>
      <c r="O190" s="4"/>
      <c r="P190" s="4"/>
    </row>
    <row r="191" spans="1:16" ht="12.45" x14ac:dyDescent="0.2">
      <c r="A191" s="3" t="s">
        <v>13</v>
      </c>
      <c r="B191" t="s">
        <v>523</v>
      </c>
      <c r="C191" t="s">
        <v>2938</v>
      </c>
      <c r="D191" t="s">
        <v>22</v>
      </c>
      <c r="E191" t="s">
        <v>23</v>
      </c>
      <c r="F191" t="s">
        <v>18</v>
      </c>
      <c r="G191" s="3" t="s">
        <v>524</v>
      </c>
      <c r="H191" s="5">
        <v>293</v>
      </c>
      <c r="I191" s="3" t="s">
        <v>464</v>
      </c>
      <c r="J191" s="3">
        <v>5</v>
      </c>
      <c r="K191" s="3">
        <v>2</v>
      </c>
      <c r="L191" s="3" t="s">
        <v>2912</v>
      </c>
      <c r="M191" s="4" t="s">
        <v>475</v>
      </c>
      <c r="N191" s="4"/>
      <c r="O191" s="4"/>
      <c r="P191" s="4"/>
    </row>
    <row r="192" spans="1:16" ht="12.45" x14ac:dyDescent="0.2">
      <c r="A192" s="3" t="s">
        <v>13</v>
      </c>
      <c r="B192" t="s">
        <v>527</v>
      </c>
      <c r="C192" t="s">
        <v>2940</v>
      </c>
      <c r="D192" t="s">
        <v>28</v>
      </c>
      <c r="E192" t="s">
        <v>23</v>
      </c>
      <c r="F192" t="s">
        <v>18</v>
      </c>
      <c r="G192" s="3" t="s">
        <v>528</v>
      </c>
      <c r="H192" s="5">
        <v>295</v>
      </c>
      <c r="I192" s="3" t="s">
        <v>464</v>
      </c>
      <c r="J192" s="3">
        <v>5</v>
      </c>
      <c r="K192" s="3">
        <v>2</v>
      </c>
      <c r="L192" s="3" t="s">
        <v>2912</v>
      </c>
      <c r="M192" s="4" t="s">
        <v>525</v>
      </c>
      <c r="N192" s="4"/>
      <c r="O192" s="4"/>
      <c r="P192" s="4"/>
    </row>
    <row r="193" spans="1:16" ht="12.45" x14ac:dyDescent="0.2">
      <c r="A193" s="3" t="s">
        <v>13</v>
      </c>
      <c r="B193" t="s">
        <v>531</v>
      </c>
      <c r="C193" t="s">
        <v>532</v>
      </c>
      <c r="D193" t="s">
        <v>16</v>
      </c>
      <c r="E193" t="s">
        <v>23</v>
      </c>
      <c r="F193" t="s">
        <v>18</v>
      </c>
      <c r="G193" s="3" t="s">
        <v>533</v>
      </c>
      <c r="H193" s="5">
        <v>297</v>
      </c>
      <c r="I193" s="3" t="s">
        <v>464</v>
      </c>
      <c r="J193" s="3">
        <v>5</v>
      </c>
      <c r="K193" s="3">
        <v>2</v>
      </c>
      <c r="L193" s="3" t="s">
        <v>2912</v>
      </c>
      <c r="M193" s="3" t="s">
        <v>482</v>
      </c>
      <c r="N193" s="3"/>
      <c r="O193" s="3"/>
      <c r="P193" s="3"/>
    </row>
    <row r="194" spans="1:16" ht="12.45" x14ac:dyDescent="0.2">
      <c r="A194" s="3" t="s">
        <v>13</v>
      </c>
      <c r="B194" t="s">
        <v>534</v>
      </c>
      <c r="C194" t="s">
        <v>2946</v>
      </c>
      <c r="D194" t="s">
        <v>28</v>
      </c>
      <c r="E194" t="s">
        <v>23</v>
      </c>
      <c r="F194" t="s">
        <v>18</v>
      </c>
      <c r="G194" s="3" t="s">
        <v>535</v>
      </c>
      <c r="H194" s="5">
        <v>290</v>
      </c>
      <c r="I194" s="3" t="s">
        <v>464</v>
      </c>
      <c r="J194" s="3">
        <v>5</v>
      </c>
      <c r="K194" s="3">
        <v>3</v>
      </c>
      <c r="L194" s="3" t="s">
        <v>2912</v>
      </c>
      <c r="M194" s="4" t="s">
        <v>518</v>
      </c>
      <c r="N194" s="4"/>
      <c r="O194" s="4"/>
      <c r="P194" s="4"/>
    </row>
    <row r="195" spans="1:16" ht="12.45" x14ac:dyDescent="0.2">
      <c r="A195" s="3" t="s">
        <v>13</v>
      </c>
      <c r="B195" t="s">
        <v>542</v>
      </c>
      <c r="C195" t="s">
        <v>147</v>
      </c>
      <c r="D195" t="s">
        <v>22</v>
      </c>
      <c r="E195" t="s">
        <v>23</v>
      </c>
      <c r="F195" t="s">
        <v>18</v>
      </c>
      <c r="G195" s="3" t="s">
        <v>543</v>
      </c>
      <c r="H195" s="5">
        <v>290</v>
      </c>
      <c r="I195" s="3" t="s">
        <v>464</v>
      </c>
      <c r="J195" s="3">
        <v>5</v>
      </c>
      <c r="K195" s="3">
        <v>3</v>
      </c>
      <c r="L195" s="3" t="s">
        <v>2912</v>
      </c>
      <c r="M195" s="6" t="s">
        <v>540</v>
      </c>
      <c r="N195" s="6"/>
      <c r="O195" s="6"/>
      <c r="P195" s="6"/>
    </row>
    <row r="196" spans="1:16" ht="12.45" x14ac:dyDescent="0.2">
      <c r="A196" s="3" t="s">
        <v>13</v>
      </c>
      <c r="B196" t="s">
        <v>546</v>
      </c>
      <c r="C196" t="s">
        <v>2946</v>
      </c>
      <c r="D196" t="s">
        <v>28</v>
      </c>
      <c r="E196" t="s">
        <v>547</v>
      </c>
      <c r="F196" t="s">
        <v>18</v>
      </c>
      <c r="G196" s="3" t="s">
        <v>548</v>
      </c>
      <c r="H196" s="5">
        <v>294</v>
      </c>
      <c r="I196" s="3" t="s">
        <v>464</v>
      </c>
      <c r="J196" s="3">
        <v>5</v>
      </c>
      <c r="K196" s="3">
        <v>3</v>
      </c>
      <c r="L196" s="3" t="s">
        <v>2912</v>
      </c>
      <c r="M196" s="4" t="s">
        <v>549</v>
      </c>
      <c r="N196" s="4"/>
      <c r="O196" s="4"/>
      <c r="P196" s="4"/>
    </row>
    <row r="197" spans="1:16" ht="12.45" x14ac:dyDescent="0.2">
      <c r="A197" s="3" t="s">
        <v>13</v>
      </c>
      <c r="B197" s="3" t="s">
        <v>550</v>
      </c>
      <c r="C197" s="3" t="s">
        <v>67</v>
      </c>
      <c r="D197" s="3" t="s">
        <v>28</v>
      </c>
      <c r="E197" s="3" t="s">
        <v>23</v>
      </c>
      <c r="F197" s="3" t="s">
        <v>18</v>
      </c>
      <c r="G197" s="3" t="s">
        <v>551</v>
      </c>
      <c r="H197" s="5">
        <v>295</v>
      </c>
      <c r="I197" s="3" t="s">
        <v>464</v>
      </c>
      <c r="J197" s="3">
        <v>5</v>
      </c>
      <c r="K197" s="3">
        <v>3</v>
      </c>
      <c r="L197" s="3" t="s">
        <v>2912</v>
      </c>
      <c r="M197" s="4" t="s">
        <v>495</v>
      </c>
      <c r="N197" s="4"/>
      <c r="O197" s="4"/>
      <c r="P197" s="4"/>
    </row>
    <row r="198" spans="1:16" ht="12.45" x14ac:dyDescent="0.2">
      <c r="A198" s="3" t="s">
        <v>13</v>
      </c>
      <c r="B198" t="s">
        <v>552</v>
      </c>
      <c r="C198" t="s">
        <v>3042</v>
      </c>
      <c r="D198" t="s">
        <v>16</v>
      </c>
      <c r="E198" t="s">
        <v>23</v>
      </c>
      <c r="F198" t="s">
        <v>18</v>
      </c>
      <c r="G198" s="3" t="s">
        <v>553</v>
      </c>
      <c r="H198" s="5">
        <v>296</v>
      </c>
      <c r="I198" s="3" t="s">
        <v>464</v>
      </c>
      <c r="J198" s="3">
        <v>5</v>
      </c>
      <c r="K198" s="3">
        <v>3</v>
      </c>
      <c r="L198" s="3" t="s">
        <v>2912</v>
      </c>
      <c r="M198" s="4" t="s">
        <v>527</v>
      </c>
      <c r="N198" s="4"/>
      <c r="O198" s="4"/>
      <c r="P198" s="4"/>
    </row>
    <row r="199" spans="1:16" ht="12.45" x14ac:dyDescent="0.2">
      <c r="A199" s="3" t="s">
        <v>13</v>
      </c>
      <c r="B199" t="s">
        <v>554</v>
      </c>
      <c r="C199" t="s">
        <v>2946</v>
      </c>
      <c r="D199" t="s">
        <v>22</v>
      </c>
      <c r="E199" t="s">
        <v>23</v>
      </c>
      <c r="F199" t="s">
        <v>18</v>
      </c>
      <c r="G199" s="3" t="s">
        <v>555</v>
      </c>
      <c r="H199" s="5">
        <v>296</v>
      </c>
      <c r="I199" s="3" t="s">
        <v>464</v>
      </c>
      <c r="J199" s="3">
        <v>5</v>
      </c>
      <c r="K199" s="3">
        <v>3</v>
      </c>
      <c r="L199" s="3" t="s">
        <v>2912</v>
      </c>
      <c r="M199" s="4" t="s">
        <v>529</v>
      </c>
      <c r="N199" s="4"/>
      <c r="O199" s="4"/>
      <c r="P199" s="4"/>
    </row>
    <row r="200" spans="1:16" ht="12.45" x14ac:dyDescent="0.2">
      <c r="A200" s="3" t="s">
        <v>13</v>
      </c>
      <c r="B200" t="s">
        <v>556</v>
      </c>
      <c r="C200" t="s">
        <v>3041</v>
      </c>
      <c r="D200" t="s">
        <v>28</v>
      </c>
      <c r="E200" t="s">
        <v>23</v>
      </c>
      <c r="F200" t="s">
        <v>18</v>
      </c>
      <c r="G200" s="3" t="s">
        <v>557</v>
      </c>
      <c r="H200" s="5">
        <v>296</v>
      </c>
      <c r="I200" s="3" t="s">
        <v>464</v>
      </c>
      <c r="J200" s="3">
        <v>5</v>
      </c>
      <c r="K200" s="3">
        <v>3</v>
      </c>
      <c r="L200" s="3" t="s">
        <v>2912</v>
      </c>
      <c r="M200" s="4" t="s">
        <v>504</v>
      </c>
      <c r="N200" s="4"/>
      <c r="O200" s="4"/>
      <c r="P200" s="4"/>
    </row>
    <row r="201" spans="1:16" ht="12.45" x14ac:dyDescent="0.2">
      <c r="A201" s="3" t="s">
        <v>13</v>
      </c>
      <c r="B201" t="s">
        <v>559</v>
      </c>
      <c r="C201" t="s">
        <v>560</v>
      </c>
      <c r="D201" t="s">
        <v>16</v>
      </c>
      <c r="E201" t="s">
        <v>23</v>
      </c>
      <c r="F201" t="s">
        <v>18</v>
      </c>
      <c r="G201" s="3" t="s">
        <v>561</v>
      </c>
      <c r="H201" s="5">
        <v>297</v>
      </c>
      <c r="I201" s="3" t="s">
        <v>464</v>
      </c>
      <c r="J201" s="3">
        <v>5</v>
      </c>
      <c r="K201" s="3">
        <v>3</v>
      </c>
      <c r="L201" s="3" t="s">
        <v>2912</v>
      </c>
      <c r="M201" s="6" t="s">
        <v>531</v>
      </c>
      <c r="N201" s="6"/>
      <c r="O201" s="6"/>
      <c r="P201" s="6"/>
    </row>
    <row r="202" spans="1:16" ht="12.45" x14ac:dyDescent="0.2">
      <c r="A202" s="3" t="s">
        <v>13</v>
      </c>
      <c r="B202" t="s">
        <v>565</v>
      </c>
      <c r="C202" t="s">
        <v>3040</v>
      </c>
      <c r="D202" t="s">
        <v>22</v>
      </c>
      <c r="E202" t="s">
        <v>23</v>
      </c>
      <c r="F202" t="s">
        <v>18</v>
      </c>
      <c r="G202" s="3" t="s">
        <v>566</v>
      </c>
      <c r="H202" s="5">
        <v>298</v>
      </c>
      <c r="I202" s="3" t="s">
        <v>464</v>
      </c>
      <c r="J202" s="3">
        <v>5</v>
      </c>
      <c r="K202" s="3">
        <v>3</v>
      </c>
      <c r="L202" s="3" t="s">
        <v>2912</v>
      </c>
      <c r="M202" s="3" t="s">
        <v>562</v>
      </c>
      <c r="N202" s="3"/>
      <c r="O202" s="3"/>
      <c r="P202" s="3"/>
    </row>
    <row r="203" spans="1:16" ht="12.45" x14ac:dyDescent="0.2">
      <c r="A203" s="3" t="s">
        <v>13</v>
      </c>
      <c r="B203" t="s">
        <v>567</v>
      </c>
      <c r="C203" t="s">
        <v>3039</v>
      </c>
      <c r="D203" t="s">
        <v>16</v>
      </c>
      <c r="E203" t="s">
        <v>23</v>
      </c>
      <c r="F203" t="s">
        <v>18</v>
      </c>
      <c r="G203" s="3" t="s">
        <v>568</v>
      </c>
      <c r="H203" s="5">
        <v>298</v>
      </c>
      <c r="I203" s="3" t="s">
        <v>464</v>
      </c>
      <c r="J203" s="3">
        <v>5</v>
      </c>
      <c r="K203" s="3">
        <v>3</v>
      </c>
      <c r="L203" s="3" t="s">
        <v>2912</v>
      </c>
      <c r="M203" s="4" t="s">
        <v>569</v>
      </c>
      <c r="N203" s="4"/>
      <c r="O203" s="4"/>
      <c r="P203" s="4"/>
    </row>
    <row r="204" spans="1:16" ht="12.45" x14ac:dyDescent="0.2">
      <c r="A204" s="3" t="s">
        <v>13</v>
      </c>
      <c r="B204" s="3" t="s">
        <v>573</v>
      </c>
      <c r="C204" s="3" t="s">
        <v>392</v>
      </c>
      <c r="D204" s="3" t="s">
        <v>22</v>
      </c>
      <c r="E204" s="3" t="s">
        <v>23</v>
      </c>
      <c r="F204" s="3" t="s">
        <v>18</v>
      </c>
      <c r="G204" s="3"/>
      <c r="H204" s="5" t="s">
        <v>458</v>
      </c>
      <c r="I204" s="3" t="s">
        <v>464</v>
      </c>
      <c r="J204" s="5">
        <v>5</v>
      </c>
      <c r="K204" s="5">
        <v>3</v>
      </c>
      <c r="L204" s="3" t="s">
        <v>2912</v>
      </c>
      <c r="M204" s="4" t="s">
        <v>523</v>
      </c>
      <c r="N204" s="4"/>
      <c r="O204" s="4"/>
      <c r="P204" s="4"/>
    </row>
    <row r="205" spans="1:16" ht="12.45" x14ac:dyDescent="0.2">
      <c r="A205" s="3" t="s">
        <v>13</v>
      </c>
      <c r="B205" t="s">
        <v>574</v>
      </c>
      <c r="C205" t="s">
        <v>2938</v>
      </c>
      <c r="D205" t="s">
        <v>22</v>
      </c>
      <c r="E205" t="s">
        <v>23</v>
      </c>
      <c r="F205" t="s">
        <v>18</v>
      </c>
      <c r="G205" s="3" t="s">
        <v>575</v>
      </c>
      <c r="H205" s="5">
        <v>291</v>
      </c>
      <c r="I205" s="3" t="s">
        <v>464</v>
      </c>
      <c r="J205" s="3">
        <v>5</v>
      </c>
      <c r="K205" s="3">
        <v>4</v>
      </c>
      <c r="L205" s="3" t="s">
        <v>2912</v>
      </c>
      <c r="M205" s="4" t="s">
        <v>538</v>
      </c>
      <c r="N205" s="4"/>
      <c r="O205" s="4"/>
      <c r="P205" s="4"/>
    </row>
    <row r="206" spans="1:16" ht="12.45" x14ac:dyDescent="0.2">
      <c r="A206" s="3" t="s">
        <v>13</v>
      </c>
      <c r="C206" t="s">
        <v>3038</v>
      </c>
      <c r="D206" t="s">
        <v>28</v>
      </c>
      <c r="E206" t="s">
        <v>23</v>
      </c>
      <c r="F206" t="s">
        <v>18</v>
      </c>
      <c r="G206" s="3" t="s">
        <v>578</v>
      </c>
      <c r="H206" s="5">
        <v>297</v>
      </c>
      <c r="I206" s="3" t="s">
        <v>464</v>
      </c>
      <c r="J206" s="3">
        <v>5</v>
      </c>
      <c r="K206" s="3">
        <v>4</v>
      </c>
      <c r="L206" s="3" t="s">
        <v>2912</v>
      </c>
      <c r="M206" s="3"/>
      <c r="N206" s="3"/>
      <c r="O206" s="3"/>
      <c r="P206" s="3"/>
    </row>
    <row r="207" spans="1:16" ht="12.45" x14ac:dyDescent="0.2">
      <c r="A207" s="3" t="s">
        <v>13</v>
      </c>
      <c r="B207" t="s">
        <v>583</v>
      </c>
      <c r="C207" t="s">
        <v>3037</v>
      </c>
      <c r="D207" t="s">
        <v>28</v>
      </c>
      <c r="E207" t="s">
        <v>23</v>
      </c>
      <c r="F207" t="s">
        <v>18</v>
      </c>
      <c r="G207" s="3" t="s">
        <v>584</v>
      </c>
      <c r="H207" s="5">
        <v>291</v>
      </c>
      <c r="I207" s="3" t="s">
        <v>464</v>
      </c>
      <c r="J207" s="3">
        <v>5</v>
      </c>
      <c r="K207" s="3">
        <v>5</v>
      </c>
      <c r="L207" s="3" t="s">
        <v>2912</v>
      </c>
      <c r="M207" s="4" t="s">
        <v>574</v>
      </c>
      <c r="N207" s="4"/>
      <c r="O207" s="4"/>
      <c r="P207" s="4"/>
    </row>
    <row r="208" spans="1:16" ht="12.45" x14ac:dyDescent="0.2">
      <c r="A208" s="3" t="s">
        <v>13</v>
      </c>
      <c r="B208" t="s">
        <v>589</v>
      </c>
      <c r="C208" t="s">
        <v>147</v>
      </c>
      <c r="D208" t="s">
        <v>22</v>
      </c>
      <c r="E208" t="s">
        <v>23</v>
      </c>
      <c r="F208" t="s">
        <v>18</v>
      </c>
      <c r="G208" s="3" t="s">
        <v>590</v>
      </c>
      <c r="H208" s="5">
        <v>292</v>
      </c>
      <c r="I208" s="3" t="s">
        <v>464</v>
      </c>
      <c r="J208" s="3">
        <v>5</v>
      </c>
      <c r="K208" s="3">
        <v>5</v>
      </c>
      <c r="L208" s="3" t="s">
        <v>2912</v>
      </c>
      <c r="M208" s="6" t="s">
        <v>591</v>
      </c>
      <c r="N208" s="6"/>
      <c r="O208" s="6"/>
      <c r="P208" s="6"/>
    </row>
    <row r="209" spans="1:16" ht="12.45" x14ac:dyDescent="0.2">
      <c r="A209" s="3" t="s">
        <v>13</v>
      </c>
      <c r="B209" t="s">
        <v>592</v>
      </c>
      <c r="C209" t="s">
        <v>3036</v>
      </c>
      <c r="D209" t="s">
        <v>22</v>
      </c>
      <c r="E209" t="s">
        <v>23</v>
      </c>
      <c r="F209" t="s">
        <v>18</v>
      </c>
      <c r="G209" s="3" t="s">
        <v>593</v>
      </c>
      <c r="H209" s="5">
        <v>292</v>
      </c>
      <c r="I209" s="3" t="s">
        <v>464</v>
      </c>
      <c r="J209" s="3" t="s">
        <v>594</v>
      </c>
      <c r="K209" s="3">
        <v>5</v>
      </c>
      <c r="L209" s="3" t="s">
        <v>2912</v>
      </c>
      <c r="M209" s="6" t="s">
        <v>595</v>
      </c>
      <c r="N209" s="6"/>
      <c r="O209" s="6"/>
      <c r="P209" s="6"/>
    </row>
    <row r="210" spans="1:16" ht="12.45" x14ac:dyDescent="0.2">
      <c r="A210" s="3" t="s">
        <v>13</v>
      </c>
      <c r="B210" t="s">
        <v>562</v>
      </c>
      <c r="C210" t="s">
        <v>3035</v>
      </c>
      <c r="D210" t="s">
        <v>28</v>
      </c>
      <c r="E210" t="s">
        <v>23</v>
      </c>
      <c r="F210" t="s">
        <v>563</v>
      </c>
      <c r="G210" s="3" t="s">
        <v>564</v>
      </c>
      <c r="H210" s="5">
        <v>298</v>
      </c>
      <c r="I210" s="3" t="s">
        <v>464</v>
      </c>
      <c r="J210" s="3">
        <v>5</v>
      </c>
      <c r="K210" s="3">
        <v>3</v>
      </c>
      <c r="L210" s="3" t="s">
        <v>2912</v>
      </c>
      <c r="M210" s="4" t="s">
        <v>507</v>
      </c>
      <c r="N210" s="4"/>
      <c r="O210" s="4"/>
      <c r="P210" s="4"/>
    </row>
    <row r="211" spans="1:16" ht="12.45" x14ac:dyDescent="0.2">
      <c r="A211" s="3" t="s">
        <v>13</v>
      </c>
      <c r="B211" t="s">
        <v>475</v>
      </c>
      <c r="C211" t="s">
        <v>2948</v>
      </c>
      <c r="D211" t="s">
        <v>28</v>
      </c>
      <c r="E211" t="s">
        <v>142</v>
      </c>
      <c r="F211" t="s">
        <v>476</v>
      </c>
      <c r="G211" s="3" t="s">
        <v>477</v>
      </c>
      <c r="H211" s="5">
        <v>292</v>
      </c>
      <c r="I211" s="3" t="s">
        <v>464</v>
      </c>
      <c r="J211" s="3">
        <v>3</v>
      </c>
      <c r="K211" s="3">
        <v>1</v>
      </c>
      <c r="L211" s="3" t="s">
        <v>2912</v>
      </c>
      <c r="M211" s="3"/>
      <c r="N211" s="3"/>
      <c r="O211" s="3"/>
      <c r="P211" s="3"/>
    </row>
    <row r="212" spans="1:16" ht="12.45" x14ac:dyDescent="0.2">
      <c r="A212" s="3" t="s">
        <v>13</v>
      </c>
      <c r="B212" t="s">
        <v>491</v>
      </c>
      <c r="C212" t="s">
        <v>2948</v>
      </c>
      <c r="D212" t="s">
        <v>28</v>
      </c>
      <c r="E212" t="s">
        <v>142</v>
      </c>
      <c r="F212" t="s">
        <v>476</v>
      </c>
      <c r="G212" s="3" t="s">
        <v>492</v>
      </c>
      <c r="H212" s="5">
        <v>294</v>
      </c>
      <c r="I212" s="3" t="s">
        <v>464</v>
      </c>
      <c r="J212" s="3">
        <v>5</v>
      </c>
      <c r="K212" s="3">
        <v>1</v>
      </c>
      <c r="L212" s="3" t="s">
        <v>2912</v>
      </c>
      <c r="M212" s="4" t="s">
        <v>475</v>
      </c>
      <c r="N212" s="4"/>
      <c r="O212" s="4"/>
      <c r="P212" s="4"/>
    </row>
    <row r="213" spans="1:16" ht="12.45" x14ac:dyDescent="0.2">
      <c r="A213" s="3" t="s">
        <v>13</v>
      </c>
      <c r="B213" t="s">
        <v>529</v>
      </c>
      <c r="C213" t="s">
        <v>2977</v>
      </c>
      <c r="D213" t="s">
        <v>28</v>
      </c>
      <c r="E213" t="s">
        <v>23</v>
      </c>
      <c r="F213" t="s">
        <v>476</v>
      </c>
      <c r="G213" s="3" t="s">
        <v>530</v>
      </c>
      <c r="H213" s="5">
        <v>296</v>
      </c>
      <c r="I213" s="3" t="s">
        <v>464</v>
      </c>
      <c r="J213" s="3">
        <v>5</v>
      </c>
      <c r="K213" s="3">
        <v>2</v>
      </c>
      <c r="L213" s="3" t="s">
        <v>2912</v>
      </c>
      <c r="M213" s="3" t="s">
        <v>495</v>
      </c>
      <c r="N213" s="3"/>
      <c r="O213" s="3"/>
      <c r="P213" s="3"/>
    </row>
    <row r="214" spans="1:16" ht="12.45" x14ac:dyDescent="0.2">
      <c r="A214" s="3" t="s">
        <v>13</v>
      </c>
      <c r="B214" t="s">
        <v>465</v>
      </c>
      <c r="C214" t="s">
        <v>147</v>
      </c>
      <c r="D214" t="s">
        <v>148</v>
      </c>
      <c r="F214" t="s">
        <v>148</v>
      </c>
      <c r="G214" s="3" t="s">
        <v>466</v>
      </c>
      <c r="H214" s="5">
        <v>289</v>
      </c>
      <c r="I214" s="3" t="s">
        <v>464</v>
      </c>
      <c r="J214" s="3">
        <v>2</v>
      </c>
      <c r="K214" s="3">
        <v>1</v>
      </c>
      <c r="L214" s="3" t="s">
        <v>2912</v>
      </c>
      <c r="M214" s="6"/>
      <c r="N214" s="6"/>
      <c r="O214" s="6"/>
      <c r="P214" s="6"/>
    </row>
    <row r="215" spans="1:16" ht="12.45" x14ac:dyDescent="0.2">
      <c r="A215" s="3" t="s">
        <v>13</v>
      </c>
      <c r="B215" t="s">
        <v>467</v>
      </c>
      <c r="C215" t="s">
        <v>147</v>
      </c>
      <c r="D215" t="s">
        <v>148</v>
      </c>
      <c r="E215" t="s">
        <v>23</v>
      </c>
      <c r="F215" t="s">
        <v>148</v>
      </c>
      <c r="G215" s="3" t="s">
        <v>468</v>
      </c>
      <c r="H215" s="5">
        <v>297</v>
      </c>
      <c r="I215" s="3" t="s">
        <v>464</v>
      </c>
      <c r="J215" s="3">
        <v>2</v>
      </c>
      <c r="K215" s="3">
        <v>1</v>
      </c>
      <c r="L215" s="3" t="s">
        <v>2912</v>
      </c>
      <c r="M215" s="4" t="s">
        <v>462</v>
      </c>
      <c r="N215" s="4"/>
      <c r="O215" s="4"/>
      <c r="P215" s="4"/>
    </row>
    <row r="216" spans="1:16" ht="12.45" x14ac:dyDescent="0.2">
      <c r="A216" s="3" t="s">
        <v>13</v>
      </c>
      <c r="B216" t="s">
        <v>469</v>
      </c>
      <c r="C216" t="s">
        <v>147</v>
      </c>
      <c r="D216" t="s">
        <v>148</v>
      </c>
      <c r="E216" t="s">
        <v>23</v>
      </c>
      <c r="F216" t="s">
        <v>148</v>
      </c>
      <c r="G216" s="3" t="s">
        <v>470</v>
      </c>
      <c r="H216" s="5">
        <v>289</v>
      </c>
      <c r="I216" s="3" t="s">
        <v>464</v>
      </c>
      <c r="J216" s="3">
        <v>3</v>
      </c>
      <c r="K216" s="3">
        <v>1</v>
      </c>
      <c r="L216" s="3" t="s">
        <v>2912</v>
      </c>
      <c r="M216" s="4" t="s">
        <v>465</v>
      </c>
      <c r="N216" s="4"/>
      <c r="O216" s="4"/>
      <c r="P216" s="4"/>
    </row>
    <row r="217" spans="1:16" ht="12.45" x14ac:dyDescent="0.2">
      <c r="A217" s="3" t="s">
        <v>13</v>
      </c>
      <c r="B217" t="s">
        <v>471</v>
      </c>
      <c r="C217" t="s">
        <v>147</v>
      </c>
      <c r="D217" t="s">
        <v>148</v>
      </c>
      <c r="E217" t="s">
        <v>23</v>
      </c>
      <c r="F217" t="s">
        <v>148</v>
      </c>
      <c r="G217" s="3" t="s">
        <v>472</v>
      </c>
      <c r="H217" s="5">
        <v>292</v>
      </c>
      <c r="I217" s="3" t="s">
        <v>464</v>
      </c>
      <c r="J217" s="3">
        <v>3</v>
      </c>
      <c r="K217" s="3">
        <v>1</v>
      </c>
      <c r="L217" s="3" t="s">
        <v>2912</v>
      </c>
      <c r="M217" s="4"/>
      <c r="N217" s="4"/>
      <c r="O217" s="4"/>
      <c r="P217" s="4"/>
    </row>
    <row r="218" spans="1:16" ht="12.45" x14ac:dyDescent="0.2">
      <c r="A218" s="3" t="s">
        <v>13</v>
      </c>
      <c r="B218" s="3" t="s">
        <v>473</v>
      </c>
      <c r="C218" s="3" t="s">
        <v>147</v>
      </c>
      <c r="D218" s="3" t="s">
        <v>148</v>
      </c>
      <c r="E218" s="3" t="s">
        <v>23</v>
      </c>
      <c r="F218" s="3" t="s">
        <v>148</v>
      </c>
      <c r="G218" s="3" t="s">
        <v>474</v>
      </c>
      <c r="H218" s="5">
        <v>292</v>
      </c>
      <c r="I218" s="3" t="s">
        <v>464</v>
      </c>
      <c r="J218" s="3">
        <v>3</v>
      </c>
      <c r="K218" s="3">
        <v>1</v>
      </c>
      <c r="L218" s="3" t="s">
        <v>2912</v>
      </c>
      <c r="M218" s="4" t="s">
        <v>471</v>
      </c>
      <c r="N218" s="4"/>
      <c r="O218" s="4"/>
      <c r="P218" s="4"/>
    </row>
    <row r="219" spans="1:16" ht="12.45" x14ac:dyDescent="0.2">
      <c r="A219" s="3" t="s">
        <v>13</v>
      </c>
      <c r="B219" t="s">
        <v>486</v>
      </c>
      <c r="C219" t="s">
        <v>147</v>
      </c>
      <c r="D219" t="s">
        <v>148</v>
      </c>
      <c r="E219" t="s">
        <v>23</v>
      </c>
      <c r="F219" t="s">
        <v>148</v>
      </c>
      <c r="G219" s="3" t="str">
        <f>"+1sp per objective on a Basic project"</f>
        <v>+1sp per objective on a Basic project</v>
      </c>
      <c r="H219" s="5">
        <v>292</v>
      </c>
      <c r="I219" s="3" t="s">
        <v>464</v>
      </c>
      <c r="J219" s="3">
        <v>4</v>
      </c>
      <c r="K219" s="3">
        <v>1</v>
      </c>
      <c r="L219" s="3" t="s">
        <v>2912</v>
      </c>
      <c r="M219" s="4" t="s">
        <v>471</v>
      </c>
      <c r="N219" s="4"/>
      <c r="O219" s="4"/>
      <c r="P219" s="4"/>
    </row>
    <row r="220" spans="1:16" ht="12.45" x14ac:dyDescent="0.2">
      <c r="A220" s="3" t="s">
        <v>13</v>
      </c>
      <c r="B220" t="s">
        <v>487</v>
      </c>
      <c r="C220" t="s">
        <v>147</v>
      </c>
      <c r="D220" t="s">
        <v>148</v>
      </c>
      <c r="E220" t="s">
        <v>23</v>
      </c>
      <c r="F220" t="s">
        <v>148</v>
      </c>
      <c r="G220" s="3" t="str">
        <f>"+1gp when meeting all objectives on a project"</f>
        <v>+1gp when meeting all objectives on a project</v>
      </c>
      <c r="H220" s="5">
        <v>292</v>
      </c>
      <c r="I220" s="3" t="s">
        <v>464</v>
      </c>
      <c r="J220" s="3">
        <v>5</v>
      </c>
      <c r="K220" s="3">
        <v>1</v>
      </c>
      <c r="L220" s="3" t="s">
        <v>2912</v>
      </c>
      <c r="M220" s="4" t="s">
        <v>486</v>
      </c>
      <c r="N220" s="4"/>
      <c r="O220" s="4"/>
      <c r="P220" s="4"/>
    </row>
    <row r="221" spans="1:16" ht="12.45" x14ac:dyDescent="0.2">
      <c r="A221" s="3" t="s">
        <v>13</v>
      </c>
      <c r="B221" t="s">
        <v>488</v>
      </c>
      <c r="C221" t="s">
        <v>147</v>
      </c>
      <c r="D221" t="s">
        <v>148</v>
      </c>
      <c r="E221" t="s">
        <v>23</v>
      </c>
      <c r="F221" t="s">
        <v>148</v>
      </c>
      <c r="G221" s="3" t="s">
        <v>489</v>
      </c>
      <c r="H221" s="5">
        <v>292</v>
      </c>
      <c r="I221" s="3" t="s">
        <v>464</v>
      </c>
      <c r="J221" s="3">
        <v>5</v>
      </c>
      <c r="K221" s="3">
        <v>1</v>
      </c>
      <c r="L221" s="3" t="s">
        <v>2912</v>
      </c>
      <c r="M221" s="4" t="s">
        <v>490</v>
      </c>
      <c r="N221" s="4"/>
      <c r="O221" s="4"/>
      <c r="P221" s="4"/>
    </row>
    <row r="222" spans="1:16" ht="12.45" x14ac:dyDescent="0.2">
      <c r="A222" s="3" t="s">
        <v>13</v>
      </c>
      <c r="B222" t="s">
        <v>497</v>
      </c>
      <c r="C222" t="s">
        <v>147</v>
      </c>
      <c r="D222" t="s">
        <v>148</v>
      </c>
      <c r="E222" t="s">
        <v>23</v>
      </c>
      <c r="F222" t="s">
        <v>148</v>
      </c>
      <c r="G222" s="3" t="s">
        <v>498</v>
      </c>
      <c r="H222" s="5">
        <v>295</v>
      </c>
      <c r="I222" s="3" t="s">
        <v>464</v>
      </c>
      <c r="J222" s="3">
        <v>5</v>
      </c>
      <c r="K222" s="3">
        <v>1</v>
      </c>
      <c r="L222" s="3" t="s">
        <v>2912</v>
      </c>
      <c r="M222" s="6" t="s">
        <v>495</v>
      </c>
      <c r="N222" s="6"/>
      <c r="O222" s="6"/>
      <c r="P222" s="6"/>
    </row>
    <row r="223" spans="1:16" ht="12.45" x14ac:dyDescent="0.2">
      <c r="A223" s="3" t="s">
        <v>13</v>
      </c>
      <c r="B223" t="s">
        <v>509</v>
      </c>
      <c r="C223" t="s">
        <v>147</v>
      </c>
      <c r="D223" t="s">
        <v>148</v>
      </c>
      <c r="E223" t="s">
        <v>23</v>
      </c>
      <c r="F223" t="s">
        <v>148</v>
      </c>
      <c r="G223" s="3" t="s">
        <v>510</v>
      </c>
      <c r="H223" s="5">
        <v>298</v>
      </c>
      <c r="I223" s="3" t="s">
        <v>464</v>
      </c>
      <c r="J223" s="3">
        <v>4</v>
      </c>
      <c r="K223" s="3">
        <v>2</v>
      </c>
      <c r="L223" s="3" t="s">
        <v>2912</v>
      </c>
      <c r="M223" s="4" t="s">
        <v>501</v>
      </c>
      <c r="N223" s="4"/>
      <c r="O223" s="4"/>
      <c r="P223" s="4"/>
    </row>
    <row r="224" spans="1:16" ht="12.45" x14ac:dyDescent="0.2">
      <c r="A224" s="3" t="s">
        <v>13</v>
      </c>
      <c r="B224" t="s">
        <v>511</v>
      </c>
      <c r="C224" t="s">
        <v>147</v>
      </c>
      <c r="D224" t="s">
        <v>148</v>
      </c>
      <c r="E224" t="s">
        <v>23</v>
      </c>
      <c r="F224" t="s">
        <v>148</v>
      </c>
      <c r="G224" s="3" t="s">
        <v>512</v>
      </c>
      <c r="H224" s="5">
        <v>289</v>
      </c>
      <c r="I224" s="3" t="s">
        <v>464</v>
      </c>
      <c r="J224" s="3">
        <v>5</v>
      </c>
      <c r="K224" s="3">
        <v>2</v>
      </c>
      <c r="L224" s="3" t="s">
        <v>2912</v>
      </c>
      <c r="M224" s="4" t="s">
        <v>484</v>
      </c>
      <c r="N224" s="4"/>
      <c r="O224" s="4"/>
      <c r="P224" s="4"/>
    </row>
    <row r="225" spans="1:16" ht="12.45" x14ac:dyDescent="0.2">
      <c r="A225" s="3" t="s">
        <v>13</v>
      </c>
      <c r="B225" t="s">
        <v>515</v>
      </c>
      <c r="C225" t="s">
        <v>147</v>
      </c>
      <c r="D225" t="s">
        <v>148</v>
      </c>
      <c r="E225" t="s">
        <v>23</v>
      </c>
      <c r="F225" t="s">
        <v>148</v>
      </c>
      <c r="G225" s="3" t="s">
        <v>516</v>
      </c>
      <c r="H225" s="5">
        <v>290</v>
      </c>
      <c r="I225" s="3" t="s">
        <v>464</v>
      </c>
      <c r="J225" s="3">
        <v>5</v>
      </c>
      <c r="K225" s="3">
        <v>2</v>
      </c>
      <c r="L225" s="3" t="s">
        <v>2912</v>
      </c>
      <c r="M225" s="4" t="s">
        <v>517</v>
      </c>
      <c r="N225" s="4"/>
      <c r="O225" s="4"/>
      <c r="P225" s="4"/>
    </row>
    <row r="226" spans="1:16" ht="12.45" x14ac:dyDescent="0.2">
      <c r="A226" s="3" t="s">
        <v>13</v>
      </c>
      <c r="B226" t="s">
        <v>518</v>
      </c>
      <c r="C226" t="s">
        <v>147</v>
      </c>
      <c r="D226" t="s">
        <v>148</v>
      </c>
      <c r="E226" t="s">
        <v>430</v>
      </c>
      <c r="F226" t="s">
        <v>148</v>
      </c>
      <c r="G226" s="3" t="s">
        <v>519</v>
      </c>
      <c r="H226" s="5">
        <v>290</v>
      </c>
      <c r="I226" s="3" t="s">
        <v>464</v>
      </c>
      <c r="J226" s="3">
        <v>5</v>
      </c>
      <c r="K226" s="3">
        <v>2</v>
      </c>
      <c r="L226" s="3" t="s">
        <v>2912</v>
      </c>
      <c r="M226" s="4" t="s">
        <v>515</v>
      </c>
      <c r="N226" s="4"/>
      <c r="O226" s="4"/>
      <c r="P226" s="4"/>
    </row>
    <row r="227" spans="1:16" ht="12.45" x14ac:dyDescent="0.2">
      <c r="A227" s="3" t="s">
        <v>13</v>
      </c>
      <c r="B227" t="s">
        <v>520</v>
      </c>
      <c r="C227" t="s">
        <v>147</v>
      </c>
      <c r="D227" t="s">
        <v>148</v>
      </c>
      <c r="E227" t="s">
        <v>23</v>
      </c>
      <c r="F227" t="s">
        <v>148</v>
      </c>
      <c r="G227" s="3" t="s">
        <v>521</v>
      </c>
      <c r="H227" s="5">
        <v>293</v>
      </c>
      <c r="I227" s="3" t="s">
        <v>464</v>
      </c>
      <c r="J227" s="3">
        <v>5</v>
      </c>
      <c r="K227" s="3">
        <v>2</v>
      </c>
      <c r="L227" s="3" t="s">
        <v>2912</v>
      </c>
      <c r="M227" s="6" t="s">
        <v>522</v>
      </c>
      <c r="N227" s="6"/>
      <c r="O227" s="6"/>
      <c r="P227" s="6"/>
    </row>
    <row r="228" spans="1:16" ht="12.45" x14ac:dyDescent="0.2">
      <c r="A228" s="3" t="s">
        <v>13</v>
      </c>
      <c r="B228" t="s">
        <v>536</v>
      </c>
      <c r="C228" t="s">
        <v>147</v>
      </c>
      <c r="D228" t="s">
        <v>148</v>
      </c>
      <c r="E228" t="s">
        <v>23</v>
      </c>
      <c r="F228" t="s">
        <v>148</v>
      </c>
      <c r="G228" s="3" t="s">
        <v>537</v>
      </c>
      <c r="H228" s="5">
        <v>290</v>
      </c>
      <c r="I228" s="3" t="s">
        <v>464</v>
      </c>
      <c r="J228" s="3">
        <v>5</v>
      </c>
      <c r="K228" s="3">
        <v>3</v>
      </c>
      <c r="L228" s="3" t="s">
        <v>2912</v>
      </c>
      <c r="M228" s="4" t="s">
        <v>534</v>
      </c>
      <c r="N228" s="4"/>
      <c r="O228" s="4"/>
      <c r="P228" s="4"/>
    </row>
    <row r="229" spans="1:16" ht="12.45" x14ac:dyDescent="0.2">
      <c r="A229" s="3" t="s">
        <v>13</v>
      </c>
      <c r="B229" t="s">
        <v>538</v>
      </c>
      <c r="C229" t="s">
        <v>147</v>
      </c>
      <c r="D229" t="s">
        <v>148</v>
      </c>
      <c r="E229" t="s">
        <v>23</v>
      </c>
      <c r="F229" t="s">
        <v>148</v>
      </c>
      <c r="G229" s="3" t="s">
        <v>539</v>
      </c>
      <c r="H229" s="5">
        <v>290</v>
      </c>
      <c r="I229" s="3" t="s">
        <v>464</v>
      </c>
      <c r="J229" s="3">
        <v>5</v>
      </c>
      <c r="K229" s="3">
        <v>3</v>
      </c>
      <c r="L229" s="3" t="s">
        <v>2912</v>
      </c>
      <c r="M229" s="3" t="s">
        <v>536</v>
      </c>
      <c r="N229" s="3"/>
      <c r="O229" s="3"/>
      <c r="P229" s="3"/>
    </row>
    <row r="230" spans="1:16" ht="12.45" x14ac:dyDescent="0.2">
      <c r="A230" s="3" t="s">
        <v>13</v>
      </c>
      <c r="B230" t="s">
        <v>544</v>
      </c>
      <c r="C230" t="s">
        <v>147</v>
      </c>
      <c r="D230" t="s">
        <v>148</v>
      </c>
      <c r="E230" t="s">
        <v>23</v>
      </c>
      <c r="F230" t="s">
        <v>148</v>
      </c>
      <c r="G230" s="3" t="s">
        <v>545</v>
      </c>
      <c r="H230" s="5">
        <v>294</v>
      </c>
      <c r="I230" s="3" t="s">
        <v>464</v>
      </c>
      <c r="J230" s="3">
        <v>5</v>
      </c>
      <c r="K230" s="3">
        <v>3</v>
      </c>
      <c r="L230" s="3" t="s">
        <v>2912</v>
      </c>
      <c r="M230" s="4" t="s">
        <v>520</v>
      </c>
      <c r="N230" s="4"/>
      <c r="O230" s="4"/>
      <c r="P230" s="4"/>
    </row>
    <row r="231" spans="1:16" ht="12.45" x14ac:dyDescent="0.2">
      <c r="A231" s="3" t="s">
        <v>13</v>
      </c>
      <c r="C231" t="s">
        <v>147</v>
      </c>
      <c r="D231" t="s">
        <v>148</v>
      </c>
      <c r="E231" t="s">
        <v>23</v>
      </c>
      <c r="F231" t="s">
        <v>148</v>
      </c>
      <c r="G231" s="3" t="s">
        <v>558</v>
      </c>
      <c r="H231" s="5">
        <v>297</v>
      </c>
      <c r="I231" s="3" t="s">
        <v>464</v>
      </c>
      <c r="J231" s="3">
        <v>5</v>
      </c>
      <c r="K231" s="3">
        <v>3</v>
      </c>
      <c r="L231" s="3" t="s">
        <v>2912</v>
      </c>
      <c r="M231" s="4"/>
      <c r="N231" s="4"/>
      <c r="O231" s="4"/>
      <c r="P231" s="4"/>
    </row>
    <row r="232" spans="1:16" ht="12.45" x14ac:dyDescent="0.2">
      <c r="A232" s="3" t="s">
        <v>13</v>
      </c>
      <c r="B232" t="s">
        <v>570</v>
      </c>
      <c r="C232" t="s">
        <v>147</v>
      </c>
      <c r="D232" t="s">
        <v>148</v>
      </c>
      <c r="E232" t="s">
        <v>23</v>
      </c>
      <c r="F232" t="s">
        <v>148</v>
      </c>
      <c r="G232" s="3" t="s">
        <v>571</v>
      </c>
      <c r="H232" s="5">
        <v>299</v>
      </c>
      <c r="I232" s="3" t="s">
        <v>464</v>
      </c>
      <c r="J232" s="3">
        <v>5</v>
      </c>
      <c r="K232" s="3">
        <v>3</v>
      </c>
      <c r="L232" s="3" t="s">
        <v>2912</v>
      </c>
      <c r="M232" s="4" t="s">
        <v>572</v>
      </c>
      <c r="N232" s="4"/>
      <c r="O232" s="4"/>
      <c r="P232" s="4"/>
    </row>
    <row r="233" spans="1:16" ht="12.45" x14ac:dyDescent="0.2">
      <c r="A233" s="3" t="s">
        <v>13</v>
      </c>
      <c r="B233" t="s">
        <v>576</v>
      </c>
      <c r="C233" t="s">
        <v>147</v>
      </c>
      <c r="D233" t="s">
        <v>148</v>
      </c>
      <c r="E233" t="s">
        <v>430</v>
      </c>
      <c r="F233" t="s">
        <v>148</v>
      </c>
      <c r="G233" s="3" t="s">
        <v>577</v>
      </c>
      <c r="H233" s="5">
        <v>291</v>
      </c>
      <c r="I233" s="3" t="s">
        <v>464</v>
      </c>
      <c r="J233" s="3">
        <v>5</v>
      </c>
      <c r="K233" s="3">
        <v>4</v>
      </c>
      <c r="L233" s="3" t="s">
        <v>2912</v>
      </c>
      <c r="M233" s="4" t="s">
        <v>538</v>
      </c>
      <c r="N233" s="4"/>
      <c r="O233" s="4"/>
      <c r="P233" s="4"/>
    </row>
    <row r="234" spans="1:16" ht="12.45" x14ac:dyDescent="0.2">
      <c r="A234" s="3" t="s">
        <v>13</v>
      </c>
      <c r="B234" t="s">
        <v>579</v>
      </c>
      <c r="C234" t="s">
        <v>147</v>
      </c>
      <c r="D234" t="s">
        <v>148</v>
      </c>
      <c r="E234" t="s">
        <v>23</v>
      </c>
      <c r="F234" t="s">
        <v>148</v>
      </c>
      <c r="G234" s="3" t="s">
        <v>580</v>
      </c>
      <c r="H234" s="5">
        <v>299</v>
      </c>
      <c r="I234" s="3" t="s">
        <v>464</v>
      </c>
      <c r="J234" s="3">
        <v>5</v>
      </c>
      <c r="K234" s="3">
        <v>4</v>
      </c>
      <c r="L234" s="3" t="s">
        <v>2912</v>
      </c>
      <c r="M234" s="4" t="s">
        <v>567</v>
      </c>
      <c r="N234" s="4"/>
      <c r="O234" s="4"/>
      <c r="P234" s="4"/>
    </row>
    <row r="235" spans="1:16" ht="12.45" x14ac:dyDescent="0.2">
      <c r="A235" s="3" t="s">
        <v>13</v>
      </c>
      <c r="B235" t="s">
        <v>581</v>
      </c>
      <c r="C235" t="s">
        <v>147</v>
      </c>
      <c r="D235" t="s">
        <v>148</v>
      </c>
      <c r="E235" t="s">
        <v>23</v>
      </c>
      <c r="F235" t="s">
        <v>148</v>
      </c>
      <c r="G235" s="3" t="s">
        <v>582</v>
      </c>
      <c r="H235" s="5">
        <v>299</v>
      </c>
      <c r="I235" s="3" t="s">
        <v>464</v>
      </c>
      <c r="J235" s="3">
        <v>5</v>
      </c>
      <c r="K235" s="3">
        <v>4</v>
      </c>
      <c r="L235" s="3" t="s">
        <v>2912</v>
      </c>
      <c r="M235" s="6" t="s">
        <v>570</v>
      </c>
      <c r="N235" s="6"/>
      <c r="O235" s="6"/>
      <c r="P235" s="6"/>
    </row>
    <row r="236" spans="1:16" ht="12.45" x14ac:dyDescent="0.2">
      <c r="A236" s="3" t="s">
        <v>13</v>
      </c>
      <c r="B236" t="s">
        <v>585</v>
      </c>
      <c r="C236" t="s">
        <v>147</v>
      </c>
      <c r="D236" t="s">
        <v>148</v>
      </c>
      <c r="E236" t="s">
        <v>23</v>
      </c>
      <c r="F236" t="s">
        <v>148</v>
      </c>
      <c r="G236" s="3" t="s">
        <v>586</v>
      </c>
      <c r="H236" s="5">
        <v>291</v>
      </c>
      <c r="I236" s="3" t="s">
        <v>464</v>
      </c>
      <c r="J236" s="3">
        <v>5</v>
      </c>
      <c r="K236" s="3">
        <v>5</v>
      </c>
      <c r="L236" s="3" t="s">
        <v>2912</v>
      </c>
      <c r="M236" s="4" t="s">
        <v>583</v>
      </c>
      <c r="N236" s="4"/>
      <c r="O236" s="4"/>
      <c r="P236" s="4"/>
    </row>
    <row r="237" spans="1:16" ht="12.45" x14ac:dyDescent="0.2">
      <c r="A237" s="3" t="s">
        <v>13</v>
      </c>
      <c r="B237" t="s">
        <v>587</v>
      </c>
      <c r="C237" t="s">
        <v>147</v>
      </c>
      <c r="D237" t="s">
        <v>148</v>
      </c>
      <c r="E237" t="s">
        <v>23</v>
      </c>
      <c r="F237" t="s">
        <v>148</v>
      </c>
      <c r="G237" s="3" t="s">
        <v>588</v>
      </c>
      <c r="H237" s="5">
        <v>291</v>
      </c>
      <c r="I237" s="3" t="s">
        <v>464</v>
      </c>
      <c r="J237" s="3">
        <v>5</v>
      </c>
      <c r="K237" s="3">
        <v>5</v>
      </c>
      <c r="L237" s="3" t="s">
        <v>2912</v>
      </c>
      <c r="M237" s="6" t="s">
        <v>576</v>
      </c>
      <c r="N237" s="6"/>
      <c r="O237" s="6"/>
      <c r="P237" s="6"/>
    </row>
    <row r="238" spans="1:16" ht="12.45" x14ac:dyDescent="0.2">
      <c r="A238" s="3" t="s">
        <v>13</v>
      </c>
      <c r="B238" t="s">
        <v>525</v>
      </c>
      <c r="C238" t="s">
        <v>2948</v>
      </c>
      <c r="D238" t="s">
        <v>28</v>
      </c>
      <c r="E238" t="s">
        <v>142</v>
      </c>
      <c r="F238" t="s">
        <v>44</v>
      </c>
      <c r="G238" s="3" t="s">
        <v>526</v>
      </c>
      <c r="H238" s="5">
        <v>295</v>
      </c>
      <c r="I238" s="3" t="s">
        <v>464</v>
      </c>
      <c r="J238" s="3">
        <v>5</v>
      </c>
      <c r="K238" s="3">
        <v>2</v>
      </c>
      <c r="L238" s="3" t="s">
        <v>2912</v>
      </c>
      <c r="M238" s="4" t="s">
        <v>493</v>
      </c>
      <c r="N238" s="4"/>
      <c r="O238" s="4"/>
      <c r="P238" s="4"/>
    </row>
    <row r="239" spans="1:16" ht="12.45" x14ac:dyDescent="0.2">
      <c r="A239" s="3" t="s">
        <v>13</v>
      </c>
      <c r="B239" s="3" t="s">
        <v>1676</v>
      </c>
      <c r="C239" s="3" t="s">
        <v>34</v>
      </c>
      <c r="D239" s="3" t="s">
        <v>16</v>
      </c>
      <c r="E239" s="3" t="s">
        <v>23</v>
      </c>
      <c r="F239" s="3" t="s">
        <v>18</v>
      </c>
      <c r="G239" s="3"/>
      <c r="H239" s="5" t="s">
        <v>1677</v>
      </c>
      <c r="I239" s="3" t="s">
        <v>1662</v>
      </c>
      <c r="J239" s="5">
        <v>4</v>
      </c>
      <c r="K239" s="5">
        <v>1</v>
      </c>
      <c r="L239" s="3" t="s">
        <v>2907</v>
      </c>
      <c r="M239" s="6" t="s">
        <v>1663</v>
      </c>
      <c r="N239" s="6"/>
      <c r="O239" s="6"/>
      <c r="P239" s="6"/>
    </row>
    <row r="240" spans="1:16" ht="12.45" x14ac:dyDescent="0.2">
      <c r="A240" s="3" t="s">
        <v>13</v>
      </c>
      <c r="B240" t="s">
        <v>1678</v>
      </c>
      <c r="C240" t="s">
        <v>2944</v>
      </c>
      <c r="D240" t="s">
        <v>16</v>
      </c>
      <c r="E240" t="s">
        <v>142</v>
      </c>
      <c r="F240" t="s">
        <v>18</v>
      </c>
      <c r="G240" s="3" t="s">
        <v>1679</v>
      </c>
      <c r="H240" s="5">
        <v>393</v>
      </c>
      <c r="I240" s="3" t="s">
        <v>1662</v>
      </c>
      <c r="J240" s="3">
        <v>5</v>
      </c>
      <c r="K240" s="3">
        <v>1</v>
      </c>
      <c r="L240" s="3" t="s">
        <v>2907</v>
      </c>
      <c r="M240" s="6" t="s">
        <v>1669</v>
      </c>
      <c r="N240" s="6"/>
      <c r="O240" s="6"/>
      <c r="P240" s="6"/>
    </row>
    <row r="241" spans="1:16" ht="12.45" x14ac:dyDescent="0.2">
      <c r="A241" s="3" t="s">
        <v>13</v>
      </c>
      <c r="B241" t="s">
        <v>1680</v>
      </c>
      <c r="C241" t="s">
        <v>2945</v>
      </c>
      <c r="D241" t="s">
        <v>16</v>
      </c>
      <c r="E241" t="s">
        <v>142</v>
      </c>
      <c r="F241" t="s">
        <v>18</v>
      </c>
      <c r="G241" s="3" t="s">
        <v>1681</v>
      </c>
      <c r="H241" s="5">
        <v>394</v>
      </c>
      <c r="I241" s="3" t="s">
        <v>1662</v>
      </c>
      <c r="J241" s="3">
        <v>5</v>
      </c>
      <c r="K241" s="3">
        <v>1</v>
      </c>
      <c r="L241" s="3" t="s">
        <v>2907</v>
      </c>
      <c r="M241" s="6" t="s">
        <v>1665</v>
      </c>
      <c r="N241" s="6"/>
      <c r="O241" s="6"/>
      <c r="P241" s="6"/>
    </row>
    <row r="242" spans="1:16" ht="12.45" x14ac:dyDescent="0.2">
      <c r="A242" s="3" t="s">
        <v>13</v>
      </c>
      <c r="B242" t="s">
        <v>1682</v>
      </c>
      <c r="C242" t="s">
        <v>2939</v>
      </c>
      <c r="D242" t="s">
        <v>22</v>
      </c>
      <c r="E242" t="s">
        <v>142</v>
      </c>
      <c r="F242" t="s">
        <v>18</v>
      </c>
      <c r="G242" s="3" t="s">
        <v>1683</v>
      </c>
      <c r="H242" s="5">
        <v>394</v>
      </c>
      <c r="I242" s="3" t="s">
        <v>1662</v>
      </c>
      <c r="J242" s="3">
        <v>5</v>
      </c>
      <c r="K242" s="3">
        <v>1</v>
      </c>
      <c r="L242" s="3" t="s">
        <v>2907</v>
      </c>
      <c r="M242" s="6" t="s">
        <v>1684</v>
      </c>
      <c r="N242" s="6"/>
      <c r="O242" s="6"/>
      <c r="P242" s="6"/>
    </row>
    <row r="243" spans="1:16" ht="12.45" x14ac:dyDescent="0.2">
      <c r="A243" s="3" t="s">
        <v>13</v>
      </c>
      <c r="B243" s="3" t="s">
        <v>1685</v>
      </c>
      <c r="C243" s="3" t="s">
        <v>34</v>
      </c>
      <c r="D243" s="3" t="s">
        <v>16</v>
      </c>
      <c r="E243" s="3" t="s">
        <v>23</v>
      </c>
      <c r="F243" s="3" t="s">
        <v>18</v>
      </c>
      <c r="G243" s="3"/>
      <c r="H243" s="5" t="s">
        <v>1677</v>
      </c>
      <c r="I243" s="3" t="s">
        <v>1662</v>
      </c>
      <c r="J243" s="5">
        <v>5</v>
      </c>
      <c r="K243" s="5">
        <v>1</v>
      </c>
      <c r="L243" s="3" t="s">
        <v>2907</v>
      </c>
      <c r="M243" s="3" t="s">
        <v>1676</v>
      </c>
      <c r="N243" s="3"/>
      <c r="O243" s="3"/>
      <c r="P243" s="3"/>
    </row>
    <row r="244" spans="1:16" ht="12.45" x14ac:dyDescent="0.2">
      <c r="A244" s="3" t="s">
        <v>13</v>
      </c>
      <c r="B244" t="s">
        <v>1686</v>
      </c>
      <c r="C244" t="s">
        <v>2944</v>
      </c>
      <c r="D244" t="s">
        <v>28</v>
      </c>
      <c r="E244" t="s">
        <v>23</v>
      </c>
      <c r="F244" t="s">
        <v>18</v>
      </c>
      <c r="G244" s="3" t="s">
        <v>1687</v>
      </c>
      <c r="H244" s="5">
        <v>394</v>
      </c>
      <c r="I244" s="3" t="s">
        <v>1662</v>
      </c>
      <c r="J244" s="3">
        <v>4</v>
      </c>
      <c r="K244" s="3">
        <v>2</v>
      </c>
      <c r="L244" s="3" t="s">
        <v>2907</v>
      </c>
      <c r="M244" s="3" t="s">
        <v>1660</v>
      </c>
      <c r="N244" s="3"/>
      <c r="O244" s="3"/>
      <c r="P244" s="3"/>
    </row>
    <row r="245" spans="1:16" ht="12.45" x14ac:dyDescent="0.2">
      <c r="A245" s="3" t="s">
        <v>13</v>
      </c>
      <c r="B245" t="s">
        <v>1688</v>
      </c>
      <c r="C245" t="s">
        <v>2944</v>
      </c>
      <c r="D245" t="s">
        <v>16</v>
      </c>
      <c r="E245" t="s">
        <v>23</v>
      </c>
      <c r="F245" t="s">
        <v>18</v>
      </c>
      <c r="G245" s="3" t="s">
        <v>1689</v>
      </c>
      <c r="H245" s="5">
        <v>395</v>
      </c>
      <c r="I245" s="3" t="s">
        <v>1662</v>
      </c>
      <c r="J245" s="3">
        <v>5</v>
      </c>
      <c r="K245" s="3">
        <v>2</v>
      </c>
      <c r="L245" s="3" t="s">
        <v>2907</v>
      </c>
      <c r="M245" s="3" t="s">
        <v>1660</v>
      </c>
      <c r="N245" s="3"/>
      <c r="O245" s="3"/>
      <c r="P245" s="3"/>
    </row>
    <row r="246" spans="1:16" ht="12.45" x14ac:dyDescent="0.2">
      <c r="A246" s="3" t="s">
        <v>13</v>
      </c>
      <c r="B246" t="s">
        <v>1690</v>
      </c>
      <c r="C246" t="s">
        <v>2942</v>
      </c>
      <c r="D246" t="s">
        <v>16</v>
      </c>
      <c r="E246" t="s">
        <v>142</v>
      </c>
      <c r="F246" t="s">
        <v>18</v>
      </c>
      <c r="G246" s="3" t="s">
        <v>1691</v>
      </c>
      <c r="H246" s="5">
        <v>395</v>
      </c>
      <c r="I246" s="3" t="s">
        <v>1662</v>
      </c>
      <c r="J246" s="3">
        <v>5</v>
      </c>
      <c r="K246" s="3">
        <v>2</v>
      </c>
      <c r="L246" s="3" t="s">
        <v>2907</v>
      </c>
      <c r="M246" s="6" t="s">
        <v>1688</v>
      </c>
      <c r="N246" s="6"/>
      <c r="O246" s="6"/>
      <c r="P246" s="6"/>
    </row>
    <row r="247" spans="1:16" ht="12.45" x14ac:dyDescent="0.2">
      <c r="A247" s="3" t="s">
        <v>13</v>
      </c>
      <c r="B247" t="s">
        <v>1692</v>
      </c>
      <c r="C247" t="s">
        <v>2940</v>
      </c>
      <c r="D247" t="s">
        <v>22</v>
      </c>
      <c r="E247" t="s">
        <v>142</v>
      </c>
      <c r="F247" t="s">
        <v>18</v>
      </c>
      <c r="G247" s="3" t="s">
        <v>1693</v>
      </c>
      <c r="H247" s="5">
        <v>395</v>
      </c>
      <c r="I247" s="3" t="s">
        <v>1662</v>
      </c>
      <c r="J247" s="3">
        <v>5</v>
      </c>
      <c r="K247" s="3">
        <v>2</v>
      </c>
      <c r="L247" s="3" t="s">
        <v>2907</v>
      </c>
      <c r="M247" s="6" t="s">
        <v>1663</v>
      </c>
      <c r="N247" s="6"/>
      <c r="O247" s="6"/>
      <c r="P247" s="6"/>
    </row>
    <row r="248" spans="1:16" ht="12.45" x14ac:dyDescent="0.2">
      <c r="A248" s="3" t="s">
        <v>13</v>
      </c>
      <c r="B248" t="s">
        <v>1696</v>
      </c>
      <c r="C248" t="s">
        <v>2948</v>
      </c>
      <c r="D248" t="s">
        <v>28</v>
      </c>
      <c r="E248" t="s">
        <v>23</v>
      </c>
      <c r="F248" t="s">
        <v>18</v>
      </c>
      <c r="G248" s="3" t="s">
        <v>1697</v>
      </c>
      <c r="H248" s="5">
        <v>395</v>
      </c>
      <c r="I248" s="3" t="s">
        <v>1662</v>
      </c>
      <c r="J248" s="3">
        <v>5</v>
      </c>
      <c r="K248" s="3">
        <v>2</v>
      </c>
      <c r="L248" s="3" t="s">
        <v>2907</v>
      </c>
      <c r="M248" s="6" t="s">
        <v>1671</v>
      </c>
      <c r="N248" s="6"/>
      <c r="O248" s="6"/>
      <c r="P248" s="6"/>
    </row>
    <row r="249" spans="1:16" ht="12.45" x14ac:dyDescent="0.2">
      <c r="A249" s="3" t="s">
        <v>13</v>
      </c>
      <c r="B249" t="s">
        <v>1698</v>
      </c>
      <c r="C249" t="s">
        <v>2944</v>
      </c>
      <c r="D249" t="s">
        <v>22</v>
      </c>
      <c r="E249" t="s">
        <v>23</v>
      </c>
      <c r="F249" t="s">
        <v>18</v>
      </c>
      <c r="G249" s="3" t="s">
        <v>1699</v>
      </c>
      <c r="H249" s="5">
        <v>396</v>
      </c>
      <c r="I249" s="3" t="s">
        <v>1662</v>
      </c>
      <c r="J249" s="3">
        <v>5</v>
      </c>
      <c r="K249" s="3">
        <v>2</v>
      </c>
      <c r="L249" s="3" t="s">
        <v>2907</v>
      </c>
      <c r="M249" s="6" t="s">
        <v>1682</v>
      </c>
      <c r="N249" s="6"/>
      <c r="O249" s="6"/>
      <c r="P249" s="6"/>
    </row>
    <row r="250" spans="1:16" ht="12.45" x14ac:dyDescent="0.2">
      <c r="A250" s="3" t="s">
        <v>13</v>
      </c>
      <c r="B250" t="s">
        <v>1700</v>
      </c>
      <c r="C250" t="s">
        <v>2944</v>
      </c>
      <c r="D250" t="s">
        <v>22</v>
      </c>
      <c r="E250" t="s">
        <v>23</v>
      </c>
      <c r="F250" t="s">
        <v>18</v>
      </c>
      <c r="G250" s="3" t="s">
        <v>1701</v>
      </c>
      <c r="H250" s="5">
        <v>396</v>
      </c>
      <c r="I250" s="3" t="s">
        <v>1662</v>
      </c>
      <c r="J250" s="3">
        <v>5</v>
      </c>
      <c r="K250" s="3">
        <v>2</v>
      </c>
      <c r="L250" s="3" t="s">
        <v>2907</v>
      </c>
      <c r="M250" s="6" t="s">
        <v>1682</v>
      </c>
      <c r="N250" s="6"/>
      <c r="O250" s="6"/>
      <c r="P250" s="6"/>
    </row>
    <row r="251" spans="1:16" ht="12.45" x14ac:dyDescent="0.2">
      <c r="A251" s="3" t="s">
        <v>13</v>
      </c>
      <c r="B251" t="s">
        <v>1702</v>
      </c>
      <c r="C251" t="s">
        <v>2943</v>
      </c>
      <c r="D251" t="s">
        <v>22</v>
      </c>
      <c r="E251" t="s">
        <v>142</v>
      </c>
      <c r="F251" t="s">
        <v>18</v>
      </c>
      <c r="G251" s="3" t="s">
        <v>1703</v>
      </c>
      <c r="H251" s="5">
        <v>396</v>
      </c>
      <c r="I251" s="3" t="s">
        <v>1662</v>
      </c>
      <c r="J251" s="3">
        <v>5</v>
      </c>
      <c r="K251" s="3">
        <v>2</v>
      </c>
      <c r="L251" s="3" t="s">
        <v>2907</v>
      </c>
      <c r="M251" s="6" t="s">
        <v>1667</v>
      </c>
      <c r="N251" s="6"/>
      <c r="O251" s="6"/>
      <c r="P251" s="6"/>
    </row>
    <row r="252" spans="1:16" ht="12.45" x14ac:dyDescent="0.2">
      <c r="A252" s="3" t="s">
        <v>13</v>
      </c>
      <c r="B252" t="s">
        <v>1708</v>
      </c>
      <c r="C252" t="s">
        <v>2962</v>
      </c>
      <c r="D252" t="s">
        <v>22</v>
      </c>
      <c r="E252" t="s">
        <v>23</v>
      </c>
      <c r="F252" t="s">
        <v>18</v>
      </c>
      <c r="G252" s="3" t="s">
        <v>1709</v>
      </c>
      <c r="H252" s="5">
        <v>397</v>
      </c>
      <c r="I252" s="3" t="s">
        <v>1662</v>
      </c>
      <c r="J252" s="3">
        <v>5</v>
      </c>
      <c r="K252" s="3">
        <v>2</v>
      </c>
      <c r="L252" s="3" t="s">
        <v>2907</v>
      </c>
      <c r="M252" s="6" t="s">
        <v>1706</v>
      </c>
      <c r="N252" s="6"/>
      <c r="O252" s="6"/>
      <c r="P252" s="6"/>
    </row>
    <row r="253" spans="1:16" ht="12.45" x14ac:dyDescent="0.2">
      <c r="A253" s="3" t="s">
        <v>13</v>
      </c>
      <c r="B253" s="3" t="s">
        <v>1710</v>
      </c>
      <c r="C253" s="3" t="s">
        <v>53</v>
      </c>
      <c r="D253" s="3" t="s">
        <v>22</v>
      </c>
      <c r="E253" s="3" t="s">
        <v>23</v>
      </c>
      <c r="F253" s="3" t="s">
        <v>18</v>
      </c>
      <c r="G253" s="3"/>
      <c r="H253" s="5" t="s">
        <v>1711</v>
      </c>
      <c r="I253" s="3" t="s">
        <v>1662</v>
      </c>
      <c r="J253" s="5">
        <v>5</v>
      </c>
      <c r="K253" s="5">
        <v>2</v>
      </c>
      <c r="L253" s="3" t="s">
        <v>2907</v>
      </c>
      <c r="M253" s="6" t="s">
        <v>1680</v>
      </c>
      <c r="N253" s="6"/>
      <c r="O253" s="6"/>
      <c r="P253" s="6"/>
    </row>
    <row r="254" spans="1:16" ht="12.45" x14ac:dyDescent="0.2">
      <c r="A254" s="3" t="s">
        <v>13</v>
      </c>
      <c r="B254" t="s">
        <v>1712</v>
      </c>
      <c r="C254" t="s">
        <v>2944</v>
      </c>
      <c r="D254" t="s">
        <v>22</v>
      </c>
      <c r="E254" t="s">
        <v>23</v>
      </c>
      <c r="F254" t="s">
        <v>18</v>
      </c>
      <c r="G254" s="3" t="s">
        <v>1713</v>
      </c>
      <c r="H254" s="5">
        <v>397</v>
      </c>
      <c r="I254" s="3" t="s">
        <v>1662</v>
      </c>
      <c r="J254" s="3">
        <v>5</v>
      </c>
      <c r="K254" s="3">
        <v>3</v>
      </c>
      <c r="L254" s="3" t="s">
        <v>2907</v>
      </c>
      <c r="M254" s="6" t="s">
        <v>1688</v>
      </c>
      <c r="N254" s="6"/>
      <c r="O254" s="6"/>
      <c r="P254" s="6"/>
    </row>
    <row r="255" spans="1:16" ht="12.45" x14ac:dyDescent="0.2">
      <c r="A255" s="3" t="s">
        <v>13</v>
      </c>
      <c r="B255" t="s">
        <v>1714</v>
      </c>
      <c r="C255" t="s">
        <v>2951</v>
      </c>
      <c r="D255" t="s">
        <v>28</v>
      </c>
      <c r="E255" t="s">
        <v>23</v>
      </c>
      <c r="F255" t="s">
        <v>18</v>
      </c>
      <c r="G255" s="3" t="s">
        <v>1715</v>
      </c>
      <c r="H255" s="5">
        <v>397</v>
      </c>
      <c r="I255" s="3" t="s">
        <v>1662</v>
      </c>
      <c r="J255" s="3">
        <v>5</v>
      </c>
      <c r="K255" s="3">
        <v>3</v>
      </c>
      <c r="L255" s="3" t="s">
        <v>2907</v>
      </c>
      <c r="M255" s="6" t="s">
        <v>1712</v>
      </c>
      <c r="N255" s="6"/>
      <c r="O255" s="6"/>
      <c r="P255" s="6"/>
    </row>
    <row r="256" spans="1:16" ht="12.45" x14ac:dyDescent="0.2">
      <c r="A256" s="3" t="s">
        <v>13</v>
      </c>
      <c r="B256" t="s">
        <v>1716</v>
      </c>
      <c r="C256" t="s">
        <v>2951</v>
      </c>
      <c r="D256" t="s">
        <v>22</v>
      </c>
      <c r="E256" t="s">
        <v>1717</v>
      </c>
      <c r="F256" t="s">
        <v>18</v>
      </c>
      <c r="G256" s="3" t="s">
        <v>1718</v>
      </c>
      <c r="H256" s="5">
        <v>397</v>
      </c>
      <c r="I256" s="3" t="s">
        <v>1662</v>
      </c>
      <c r="J256" s="3">
        <v>5</v>
      </c>
      <c r="K256" s="3">
        <v>3</v>
      </c>
      <c r="L256" s="3" t="s">
        <v>2907</v>
      </c>
      <c r="M256" s="6" t="s">
        <v>1688</v>
      </c>
      <c r="N256" s="6"/>
      <c r="O256" s="6"/>
      <c r="P256" s="6"/>
    </row>
    <row r="257" spans="1:16" ht="12.45" x14ac:dyDescent="0.2">
      <c r="A257" s="3" t="s">
        <v>13</v>
      </c>
      <c r="B257" t="s">
        <v>1719</v>
      </c>
      <c r="C257" t="s">
        <v>2970</v>
      </c>
      <c r="D257" t="s">
        <v>28</v>
      </c>
      <c r="E257" t="s">
        <v>23</v>
      </c>
      <c r="F257" t="s">
        <v>18</v>
      </c>
      <c r="G257" s="3" t="s">
        <v>1720</v>
      </c>
      <c r="H257" s="5">
        <v>398</v>
      </c>
      <c r="I257" s="3" t="s">
        <v>1662</v>
      </c>
      <c r="J257" s="3">
        <v>5</v>
      </c>
      <c r="K257" s="3">
        <v>3</v>
      </c>
      <c r="L257" s="3" t="s">
        <v>2907</v>
      </c>
      <c r="M257" s="6" t="s">
        <v>1716</v>
      </c>
      <c r="N257" s="6"/>
      <c r="O257" s="6"/>
      <c r="P257" s="6"/>
    </row>
    <row r="258" spans="1:16" ht="12.45" x14ac:dyDescent="0.2">
      <c r="A258" s="3" t="s">
        <v>13</v>
      </c>
      <c r="B258" t="s">
        <v>1723</v>
      </c>
      <c r="C258" t="s">
        <v>2940</v>
      </c>
      <c r="D258" t="s">
        <v>22</v>
      </c>
      <c r="E258" t="s">
        <v>142</v>
      </c>
      <c r="F258" t="s">
        <v>18</v>
      </c>
      <c r="G258" s="3" t="s">
        <v>1724</v>
      </c>
      <c r="H258" s="5">
        <v>398</v>
      </c>
      <c r="I258" s="3" t="s">
        <v>1662</v>
      </c>
      <c r="J258" s="3">
        <v>5</v>
      </c>
      <c r="K258" s="3">
        <v>3</v>
      </c>
      <c r="L258" s="3" t="s">
        <v>2907</v>
      </c>
      <c r="M258" s="6" t="s">
        <v>1688</v>
      </c>
      <c r="N258" s="6"/>
      <c r="O258" s="6"/>
      <c r="P258" s="6"/>
    </row>
    <row r="259" spans="1:16" ht="12.45" x14ac:dyDescent="0.2">
      <c r="A259" s="3" t="s">
        <v>13</v>
      </c>
      <c r="B259" t="s">
        <v>1725</v>
      </c>
      <c r="C259" t="s">
        <v>2942</v>
      </c>
      <c r="D259" t="s">
        <v>22</v>
      </c>
      <c r="E259" t="s">
        <v>1726</v>
      </c>
      <c r="F259" t="s">
        <v>18</v>
      </c>
      <c r="G259" s="3" t="s">
        <v>1727</v>
      </c>
      <c r="H259" s="5">
        <v>398</v>
      </c>
      <c r="I259" s="3" t="s">
        <v>1662</v>
      </c>
      <c r="J259" s="3">
        <v>5</v>
      </c>
      <c r="K259" s="3">
        <v>3</v>
      </c>
      <c r="L259" s="3" t="s">
        <v>2907</v>
      </c>
      <c r="M259" s="6" t="s">
        <v>1728</v>
      </c>
      <c r="N259" s="6"/>
      <c r="O259" s="6"/>
      <c r="P259" s="6"/>
    </row>
    <row r="260" spans="1:16" ht="12.45" x14ac:dyDescent="0.2">
      <c r="A260" s="3" t="s">
        <v>13</v>
      </c>
      <c r="B260" t="s">
        <v>1731</v>
      </c>
      <c r="C260" t="s">
        <v>2962</v>
      </c>
      <c r="D260" t="s">
        <v>22</v>
      </c>
      <c r="E260" t="s">
        <v>23</v>
      </c>
      <c r="F260" t="s">
        <v>18</v>
      </c>
      <c r="G260" s="3" t="s">
        <v>1732</v>
      </c>
      <c r="H260" s="5">
        <v>399</v>
      </c>
      <c r="I260" s="3" t="s">
        <v>1662</v>
      </c>
      <c r="J260" s="3">
        <v>5</v>
      </c>
      <c r="K260" s="3">
        <v>3</v>
      </c>
      <c r="L260" s="3" t="s">
        <v>2907</v>
      </c>
      <c r="M260" s="6" t="s">
        <v>1700</v>
      </c>
      <c r="N260" s="6"/>
      <c r="O260" s="6"/>
      <c r="P260" s="6"/>
    </row>
    <row r="261" spans="1:16" ht="12.45" x14ac:dyDescent="0.2">
      <c r="A261" s="3" t="s">
        <v>13</v>
      </c>
      <c r="B261" t="s">
        <v>1733</v>
      </c>
      <c r="C261" t="s">
        <v>2962</v>
      </c>
      <c r="D261" t="s">
        <v>22</v>
      </c>
      <c r="E261" t="s">
        <v>23</v>
      </c>
      <c r="F261" t="s">
        <v>18</v>
      </c>
      <c r="G261" s="3" t="s">
        <v>1734</v>
      </c>
      <c r="H261" s="5">
        <v>399</v>
      </c>
      <c r="I261" s="3" t="s">
        <v>1662</v>
      </c>
      <c r="J261" s="3">
        <v>5</v>
      </c>
      <c r="K261" s="3">
        <v>3</v>
      </c>
      <c r="L261" s="3" t="s">
        <v>2907</v>
      </c>
      <c r="M261" s="6" t="s">
        <v>1731</v>
      </c>
      <c r="N261" s="6"/>
      <c r="O261" s="6"/>
      <c r="P261" s="6"/>
    </row>
    <row r="262" spans="1:16" ht="12.45" x14ac:dyDescent="0.2">
      <c r="A262" s="3" t="s">
        <v>13</v>
      </c>
      <c r="B262" t="s">
        <v>1735</v>
      </c>
      <c r="C262" t="s">
        <v>2948</v>
      </c>
      <c r="D262" t="s">
        <v>28</v>
      </c>
      <c r="E262" t="s">
        <v>23</v>
      </c>
      <c r="F262" t="s">
        <v>18</v>
      </c>
      <c r="G262" s="3" t="s">
        <v>1736</v>
      </c>
      <c r="H262" s="5">
        <v>399</v>
      </c>
      <c r="I262" s="3" t="s">
        <v>1662</v>
      </c>
      <c r="J262" s="3">
        <v>5</v>
      </c>
      <c r="K262" s="3">
        <v>3</v>
      </c>
      <c r="L262" s="3" t="s">
        <v>2907</v>
      </c>
      <c r="M262" s="3" t="s">
        <v>1731</v>
      </c>
      <c r="N262" s="3"/>
      <c r="O262" s="3"/>
      <c r="P262" s="3"/>
    </row>
    <row r="263" spans="1:16" ht="12.45" x14ac:dyDescent="0.2">
      <c r="A263" s="3" t="s">
        <v>13</v>
      </c>
      <c r="B263" t="s">
        <v>1737</v>
      </c>
      <c r="C263" t="s">
        <v>2971</v>
      </c>
      <c r="D263" t="s">
        <v>22</v>
      </c>
      <c r="E263" t="s">
        <v>142</v>
      </c>
      <c r="F263" t="s">
        <v>18</v>
      </c>
      <c r="G263" s="3" t="s">
        <v>1738</v>
      </c>
      <c r="H263" s="5">
        <v>399</v>
      </c>
      <c r="I263" s="3" t="s">
        <v>1662</v>
      </c>
      <c r="J263" s="3">
        <v>5</v>
      </c>
      <c r="K263" s="3">
        <v>3</v>
      </c>
      <c r="L263" s="3" t="s">
        <v>2907</v>
      </c>
      <c r="M263" s="6" t="s">
        <v>1702</v>
      </c>
      <c r="N263" s="6"/>
      <c r="O263" s="6"/>
      <c r="P263" s="6"/>
    </row>
    <row r="264" spans="1:16" ht="12.45" x14ac:dyDescent="0.2">
      <c r="A264" s="3" t="s">
        <v>13</v>
      </c>
      <c r="B264" t="s">
        <v>1739</v>
      </c>
      <c r="C264" t="s">
        <v>2971</v>
      </c>
      <c r="D264" t="s">
        <v>22</v>
      </c>
      <c r="E264" t="s">
        <v>23</v>
      </c>
      <c r="F264" t="s">
        <v>18</v>
      </c>
      <c r="G264" s="3" t="s">
        <v>1740</v>
      </c>
      <c r="H264" s="5">
        <v>399</v>
      </c>
      <c r="I264" s="3" t="s">
        <v>1662</v>
      </c>
      <c r="J264" s="3">
        <v>5</v>
      </c>
      <c r="K264" s="3">
        <v>3</v>
      </c>
      <c r="L264" s="3" t="s">
        <v>2907</v>
      </c>
      <c r="M264" s="6" t="s">
        <v>1741</v>
      </c>
      <c r="N264" s="6"/>
      <c r="O264" s="6"/>
      <c r="P264" s="6"/>
    </row>
    <row r="265" spans="1:16" ht="12.45" x14ac:dyDescent="0.2">
      <c r="A265" s="3" t="s">
        <v>13</v>
      </c>
      <c r="B265" t="s">
        <v>693</v>
      </c>
      <c r="C265" t="s">
        <v>694</v>
      </c>
      <c r="D265" t="s">
        <v>22</v>
      </c>
      <c r="E265" t="s">
        <v>651</v>
      </c>
      <c r="F265" t="s">
        <v>695</v>
      </c>
      <c r="G265" s="3" t="s">
        <v>652</v>
      </c>
      <c r="H265" s="5">
        <v>303</v>
      </c>
      <c r="I265" s="3" t="s">
        <v>653</v>
      </c>
      <c r="J265" s="3">
        <v>5</v>
      </c>
      <c r="K265" s="3">
        <v>3</v>
      </c>
      <c r="L265" s="3" t="s">
        <v>2915</v>
      </c>
      <c r="M265" s="6" t="s">
        <v>658</v>
      </c>
      <c r="N265" s="6"/>
      <c r="O265" s="6"/>
      <c r="P265" s="6"/>
    </row>
    <row r="266" spans="1:16" ht="12.45" x14ac:dyDescent="0.2">
      <c r="A266" s="3" t="s">
        <v>13</v>
      </c>
      <c r="B266" t="s">
        <v>708</v>
      </c>
      <c r="C266" t="s">
        <v>2938</v>
      </c>
      <c r="D266" t="s">
        <v>22</v>
      </c>
      <c r="E266" t="s">
        <v>651</v>
      </c>
      <c r="F266" t="s">
        <v>182</v>
      </c>
      <c r="G266" s="3" t="s">
        <v>709</v>
      </c>
      <c r="H266" s="5">
        <v>309</v>
      </c>
      <c r="I266" s="3" t="s">
        <v>653</v>
      </c>
      <c r="J266" s="3">
        <v>5</v>
      </c>
      <c r="K266" s="3">
        <v>3</v>
      </c>
      <c r="L266" s="3" t="s">
        <v>2915</v>
      </c>
      <c r="M266" s="6" t="s">
        <v>678</v>
      </c>
      <c r="N266" s="6"/>
      <c r="O266" s="6"/>
      <c r="P266" s="6"/>
    </row>
    <row r="267" spans="1:16" ht="12.45" x14ac:dyDescent="0.2">
      <c r="A267" s="3" t="s">
        <v>13</v>
      </c>
      <c r="B267" s="3" t="s">
        <v>715</v>
      </c>
      <c r="C267" s="3" t="s">
        <v>175</v>
      </c>
      <c r="D267" s="3" t="s">
        <v>28</v>
      </c>
      <c r="E267" s="3" t="s">
        <v>23</v>
      </c>
      <c r="F267" s="3" t="s">
        <v>182</v>
      </c>
      <c r="G267" s="3"/>
      <c r="H267" s="5" t="s">
        <v>716</v>
      </c>
      <c r="I267" s="3" t="s">
        <v>653</v>
      </c>
      <c r="J267" s="5">
        <v>5</v>
      </c>
      <c r="K267" s="5">
        <v>3</v>
      </c>
      <c r="L267" s="3" t="s">
        <v>2915</v>
      </c>
      <c r="M267" s="4" t="s">
        <v>680</v>
      </c>
      <c r="N267" s="4"/>
      <c r="O267" s="4"/>
      <c r="P267" s="4"/>
    </row>
    <row r="268" spans="1:16" ht="12.45" x14ac:dyDescent="0.2">
      <c r="A268" s="3" t="s">
        <v>13</v>
      </c>
      <c r="B268" t="s">
        <v>721</v>
      </c>
      <c r="C268" t="s">
        <v>2977</v>
      </c>
      <c r="D268" t="s">
        <v>22</v>
      </c>
      <c r="E268" t="s">
        <v>23</v>
      </c>
      <c r="F268" t="s">
        <v>182</v>
      </c>
      <c r="G268" s="3" t="s">
        <v>722</v>
      </c>
      <c r="H268" s="5">
        <v>311</v>
      </c>
      <c r="I268" s="3" t="s">
        <v>653</v>
      </c>
      <c r="J268" s="3">
        <v>5</v>
      </c>
      <c r="K268" s="3">
        <v>4</v>
      </c>
      <c r="L268" s="3" t="s">
        <v>2915</v>
      </c>
      <c r="M268" s="6" t="s">
        <v>723</v>
      </c>
      <c r="N268" s="6"/>
      <c r="O268" s="6"/>
      <c r="P268" s="6"/>
    </row>
    <row r="269" spans="1:16" ht="12.45" x14ac:dyDescent="0.2">
      <c r="A269" s="3" t="s">
        <v>13</v>
      </c>
      <c r="B269" t="s">
        <v>650</v>
      </c>
      <c r="C269" t="s">
        <v>2939</v>
      </c>
      <c r="D269" t="s">
        <v>22</v>
      </c>
      <c r="E269" t="s">
        <v>651</v>
      </c>
      <c r="F269" t="s">
        <v>18</v>
      </c>
      <c r="G269" s="3" t="s">
        <v>652</v>
      </c>
      <c r="H269" s="5">
        <v>303</v>
      </c>
      <c r="I269" s="3" t="s">
        <v>653</v>
      </c>
      <c r="J269" s="3">
        <v>1</v>
      </c>
      <c r="K269" s="3">
        <v>1</v>
      </c>
      <c r="L269" s="3" t="s">
        <v>2915</v>
      </c>
      <c r="M269" s="3"/>
      <c r="N269" s="4"/>
      <c r="O269" s="4"/>
      <c r="P269" s="4"/>
    </row>
    <row r="270" spans="1:16" ht="12.45" x14ac:dyDescent="0.2">
      <c r="A270" s="3" t="s">
        <v>13</v>
      </c>
      <c r="B270" t="s">
        <v>664</v>
      </c>
      <c r="C270" t="s">
        <v>3034</v>
      </c>
      <c r="D270" t="s">
        <v>22</v>
      </c>
      <c r="E270" t="s">
        <v>23</v>
      </c>
      <c r="F270" t="s">
        <v>18</v>
      </c>
      <c r="G270" s="3" t="s">
        <v>665</v>
      </c>
      <c r="H270" s="5">
        <v>305</v>
      </c>
      <c r="I270" s="3" t="s">
        <v>653</v>
      </c>
      <c r="J270" s="3">
        <v>3</v>
      </c>
      <c r="K270" s="3">
        <v>2</v>
      </c>
      <c r="L270" s="3" t="s">
        <v>2915</v>
      </c>
      <c r="M270" s="4" t="s">
        <v>650</v>
      </c>
      <c r="N270" s="4"/>
      <c r="O270" s="4"/>
      <c r="P270" s="4"/>
    </row>
    <row r="271" spans="1:16" ht="12.45" x14ac:dyDescent="0.2">
      <c r="A271" s="3" t="s">
        <v>13</v>
      </c>
      <c r="B271" t="s">
        <v>669</v>
      </c>
      <c r="C271" t="s">
        <v>2940</v>
      </c>
      <c r="D271" t="s">
        <v>28</v>
      </c>
      <c r="E271" t="s">
        <v>670</v>
      </c>
      <c r="F271" t="s">
        <v>18</v>
      </c>
      <c r="G271" s="3" t="s">
        <v>671</v>
      </c>
      <c r="H271" s="5">
        <v>306</v>
      </c>
      <c r="I271" s="3" t="s">
        <v>653</v>
      </c>
      <c r="J271" s="3">
        <v>4</v>
      </c>
      <c r="K271" s="3">
        <v>2</v>
      </c>
      <c r="L271" s="3" t="s">
        <v>2915</v>
      </c>
      <c r="M271" s="4" t="s">
        <v>666</v>
      </c>
      <c r="N271" s="4"/>
      <c r="O271" s="4"/>
      <c r="P271" s="4"/>
    </row>
    <row r="272" spans="1:16" ht="12.45" x14ac:dyDescent="0.2">
      <c r="A272" s="3" t="s">
        <v>13</v>
      </c>
      <c r="B272" t="s">
        <v>672</v>
      </c>
      <c r="C272" t="s">
        <v>2971</v>
      </c>
      <c r="D272" t="s">
        <v>22</v>
      </c>
      <c r="E272" t="s">
        <v>651</v>
      </c>
      <c r="F272" t="s">
        <v>18</v>
      </c>
      <c r="G272" s="3" t="s">
        <v>673</v>
      </c>
      <c r="H272" s="5">
        <v>306</v>
      </c>
      <c r="I272" s="3" t="s">
        <v>653</v>
      </c>
      <c r="J272" s="3">
        <v>4</v>
      </c>
      <c r="K272" s="3">
        <v>2</v>
      </c>
      <c r="L272" s="3" t="s">
        <v>2915</v>
      </c>
      <c r="M272" s="4" t="s">
        <v>656</v>
      </c>
      <c r="N272" s="4"/>
      <c r="O272" s="4"/>
      <c r="P272" s="4"/>
    </row>
    <row r="273" spans="1:16" ht="12.45" x14ac:dyDescent="0.2">
      <c r="A273" s="3" t="s">
        <v>13</v>
      </c>
      <c r="B273" t="s">
        <v>674</v>
      </c>
      <c r="C273" t="s">
        <v>147</v>
      </c>
      <c r="D273" t="s">
        <v>22</v>
      </c>
      <c r="E273" t="s">
        <v>651</v>
      </c>
      <c r="F273" t="s">
        <v>18</v>
      </c>
      <c r="G273" s="3" t="s">
        <v>675</v>
      </c>
      <c r="H273" s="5">
        <v>306</v>
      </c>
      <c r="I273" s="3" t="s">
        <v>653</v>
      </c>
      <c r="J273" s="3">
        <v>5</v>
      </c>
      <c r="K273" s="3">
        <v>2</v>
      </c>
      <c r="L273" s="3" t="s">
        <v>2915</v>
      </c>
      <c r="M273" s="4" t="s">
        <v>669</v>
      </c>
      <c r="N273" s="4"/>
      <c r="O273" s="4"/>
      <c r="P273" s="4"/>
    </row>
    <row r="274" spans="1:16" ht="12.45" x14ac:dyDescent="0.2">
      <c r="A274" s="3" t="s">
        <v>13</v>
      </c>
      <c r="B274" t="s">
        <v>676</v>
      </c>
      <c r="C274" t="s">
        <v>147</v>
      </c>
      <c r="D274" t="s">
        <v>22</v>
      </c>
      <c r="E274" t="s">
        <v>651</v>
      </c>
      <c r="F274" t="s">
        <v>18</v>
      </c>
      <c r="G274" s="3" t="s">
        <v>677</v>
      </c>
      <c r="H274" s="5">
        <v>306</v>
      </c>
      <c r="I274" s="3" t="s">
        <v>653</v>
      </c>
      <c r="J274" s="3">
        <v>5</v>
      </c>
      <c r="K274" s="3">
        <v>2</v>
      </c>
      <c r="L274" s="3" t="s">
        <v>2915</v>
      </c>
      <c r="M274" s="4" t="s">
        <v>669</v>
      </c>
      <c r="N274" s="4"/>
      <c r="O274" s="4"/>
      <c r="P274" s="4"/>
    </row>
    <row r="275" spans="1:16" ht="12.45" x14ac:dyDescent="0.2">
      <c r="A275" s="3" t="s">
        <v>13</v>
      </c>
      <c r="B275" t="s">
        <v>680</v>
      </c>
      <c r="C275" t="s">
        <v>2944</v>
      </c>
      <c r="D275" t="s">
        <v>22</v>
      </c>
      <c r="E275" t="s">
        <v>23</v>
      </c>
      <c r="F275" t="s">
        <v>18</v>
      </c>
      <c r="G275" s="3" t="s">
        <v>681</v>
      </c>
      <c r="H275" s="5">
        <v>307</v>
      </c>
      <c r="I275" s="3" t="s">
        <v>653</v>
      </c>
      <c r="J275" s="3">
        <v>5</v>
      </c>
      <c r="K275" s="3">
        <v>2</v>
      </c>
      <c r="L275" s="3" t="s">
        <v>2915</v>
      </c>
      <c r="M275" s="4" t="s">
        <v>678</v>
      </c>
      <c r="N275" s="4"/>
      <c r="O275" s="4"/>
      <c r="P275" s="4"/>
    </row>
    <row r="276" spans="1:16" ht="12.45" x14ac:dyDescent="0.2">
      <c r="A276" s="3" t="s">
        <v>13</v>
      </c>
      <c r="B276" t="s">
        <v>691</v>
      </c>
      <c r="C276" t="s">
        <v>2971</v>
      </c>
      <c r="D276" t="s">
        <v>28</v>
      </c>
      <c r="E276" t="s">
        <v>23</v>
      </c>
      <c r="F276" t="s">
        <v>18</v>
      </c>
      <c r="G276" s="3" t="s">
        <v>692</v>
      </c>
      <c r="H276" s="5">
        <v>308</v>
      </c>
      <c r="I276" s="3" t="s">
        <v>653</v>
      </c>
      <c r="J276" s="3">
        <v>5</v>
      </c>
      <c r="K276" s="3">
        <v>2</v>
      </c>
      <c r="L276" s="3" t="s">
        <v>2915</v>
      </c>
      <c r="M276" s="6" t="s">
        <v>689</v>
      </c>
      <c r="N276" s="6"/>
      <c r="O276" s="6"/>
      <c r="P276" s="6"/>
    </row>
    <row r="277" spans="1:16" ht="12.45" x14ac:dyDescent="0.2">
      <c r="A277" s="3" t="s">
        <v>13</v>
      </c>
      <c r="B277" t="s">
        <v>696</v>
      </c>
      <c r="C277" t="s">
        <v>147</v>
      </c>
      <c r="D277" t="s">
        <v>22</v>
      </c>
      <c r="E277" t="s">
        <v>23</v>
      </c>
      <c r="F277" t="s">
        <v>18</v>
      </c>
      <c r="G277" s="3" t="s">
        <v>697</v>
      </c>
      <c r="H277" s="5">
        <v>308</v>
      </c>
      <c r="I277" s="3" t="s">
        <v>653</v>
      </c>
      <c r="J277" s="3">
        <v>5</v>
      </c>
      <c r="K277" s="3">
        <v>3</v>
      </c>
      <c r="L277" s="3" t="s">
        <v>2915</v>
      </c>
      <c r="M277" s="4" t="s">
        <v>664</v>
      </c>
      <c r="N277" s="4"/>
      <c r="O277" s="4"/>
      <c r="P277" s="4"/>
    </row>
    <row r="278" spans="1:16" ht="12.45" x14ac:dyDescent="0.2">
      <c r="A278" s="3" t="s">
        <v>13</v>
      </c>
      <c r="B278" t="s">
        <v>698</v>
      </c>
      <c r="C278" t="s">
        <v>147</v>
      </c>
      <c r="D278" t="s">
        <v>16</v>
      </c>
      <c r="E278" t="s">
        <v>651</v>
      </c>
      <c r="F278" t="s">
        <v>18</v>
      </c>
      <c r="G278" s="3" t="s">
        <v>699</v>
      </c>
      <c r="H278" s="5">
        <v>308</v>
      </c>
      <c r="I278" s="3" t="s">
        <v>653</v>
      </c>
      <c r="J278" s="3">
        <v>5</v>
      </c>
      <c r="K278" s="3">
        <v>3</v>
      </c>
      <c r="L278" s="3" t="s">
        <v>2915</v>
      </c>
      <c r="M278" s="4" t="s">
        <v>696</v>
      </c>
      <c r="N278" s="4"/>
      <c r="O278" s="4"/>
      <c r="P278" s="4"/>
    </row>
    <row r="279" spans="1:16" ht="12.45" x14ac:dyDescent="0.2">
      <c r="A279" s="3" t="s">
        <v>13</v>
      </c>
      <c r="B279" t="s">
        <v>700</v>
      </c>
      <c r="C279" t="s">
        <v>2963</v>
      </c>
      <c r="D279" t="s">
        <v>28</v>
      </c>
      <c r="E279" t="s">
        <v>23</v>
      </c>
      <c r="F279" t="s">
        <v>18</v>
      </c>
      <c r="G279" s="3" t="s">
        <v>701</v>
      </c>
      <c r="H279" s="5">
        <v>308</v>
      </c>
      <c r="I279" s="3" t="s">
        <v>653</v>
      </c>
      <c r="J279" s="3">
        <v>5</v>
      </c>
      <c r="K279" s="3">
        <v>3</v>
      </c>
      <c r="L279" s="3" t="s">
        <v>2915</v>
      </c>
      <c r="M279" s="6" t="s">
        <v>664</v>
      </c>
      <c r="N279" s="6"/>
      <c r="O279" s="6"/>
      <c r="P279" s="6"/>
    </row>
    <row r="280" spans="1:16" ht="12.45" x14ac:dyDescent="0.2">
      <c r="A280" s="3" t="s">
        <v>13</v>
      </c>
      <c r="B280" t="s">
        <v>702</v>
      </c>
      <c r="C280" t="s">
        <v>147</v>
      </c>
      <c r="D280" t="s">
        <v>22</v>
      </c>
      <c r="E280" t="s">
        <v>23</v>
      </c>
      <c r="F280" t="s">
        <v>18</v>
      </c>
      <c r="G280" s="3" t="s">
        <v>703</v>
      </c>
      <c r="H280" s="5">
        <v>309</v>
      </c>
      <c r="I280" s="3" t="s">
        <v>653</v>
      </c>
      <c r="J280" s="3">
        <v>5</v>
      </c>
      <c r="K280" s="3">
        <v>3</v>
      </c>
      <c r="L280" s="3" t="s">
        <v>2915</v>
      </c>
      <c r="M280" s="6" t="s">
        <v>667</v>
      </c>
      <c r="N280" s="6"/>
      <c r="O280" s="6"/>
      <c r="P280" s="6"/>
    </row>
    <row r="281" spans="1:16" ht="12.45" x14ac:dyDescent="0.2">
      <c r="A281" s="3" t="s">
        <v>13</v>
      </c>
      <c r="B281" t="s">
        <v>704</v>
      </c>
      <c r="C281" t="s">
        <v>147</v>
      </c>
      <c r="D281" t="s">
        <v>148</v>
      </c>
      <c r="E281" t="s">
        <v>651</v>
      </c>
      <c r="F281" t="s">
        <v>18</v>
      </c>
      <c r="G281" s="3" t="s">
        <v>705</v>
      </c>
      <c r="H281" s="5">
        <v>309</v>
      </c>
      <c r="I281" s="3" t="s">
        <v>653</v>
      </c>
      <c r="J281" s="3">
        <v>5</v>
      </c>
      <c r="K281" s="3">
        <v>3</v>
      </c>
      <c r="L281" s="3" t="s">
        <v>2915</v>
      </c>
      <c r="M281" s="4" t="s">
        <v>669</v>
      </c>
      <c r="N281" s="4"/>
      <c r="O281" s="4"/>
      <c r="P281" s="4"/>
    </row>
    <row r="282" spans="1:16" ht="12.45" x14ac:dyDescent="0.2">
      <c r="A282" s="3" t="s">
        <v>13</v>
      </c>
      <c r="B282" t="s">
        <v>706</v>
      </c>
      <c r="C282" t="s">
        <v>2944</v>
      </c>
      <c r="D282" t="s">
        <v>22</v>
      </c>
      <c r="E282" t="s">
        <v>23</v>
      </c>
      <c r="F282" t="s">
        <v>18</v>
      </c>
      <c r="G282" s="3" t="s">
        <v>707</v>
      </c>
      <c r="H282" s="5">
        <v>309</v>
      </c>
      <c r="I282" s="3" t="s">
        <v>653</v>
      </c>
      <c r="J282" s="3">
        <v>5</v>
      </c>
      <c r="K282" s="3">
        <v>3</v>
      </c>
      <c r="L282" s="3" t="s">
        <v>2915</v>
      </c>
      <c r="M282" s="4" t="s">
        <v>678</v>
      </c>
      <c r="N282" s="4"/>
      <c r="O282" s="4"/>
      <c r="P282" s="4"/>
    </row>
    <row r="283" spans="1:16" ht="12.45" x14ac:dyDescent="0.2">
      <c r="A283" s="3" t="s">
        <v>13</v>
      </c>
      <c r="B283" t="s">
        <v>710</v>
      </c>
      <c r="C283" t="s">
        <v>2939</v>
      </c>
      <c r="D283" t="s">
        <v>16</v>
      </c>
      <c r="E283" t="s">
        <v>651</v>
      </c>
      <c r="F283" t="s">
        <v>18</v>
      </c>
      <c r="G283" s="3" t="s">
        <v>711</v>
      </c>
      <c r="H283" s="5">
        <v>310</v>
      </c>
      <c r="I283" s="3" t="s">
        <v>653</v>
      </c>
      <c r="J283" s="3">
        <v>5</v>
      </c>
      <c r="K283" s="3">
        <v>3</v>
      </c>
      <c r="L283" s="3" t="s">
        <v>2915</v>
      </c>
      <c r="M283" s="4" t="s">
        <v>691</v>
      </c>
      <c r="N283" s="4"/>
      <c r="O283" s="4"/>
      <c r="P283" s="4"/>
    </row>
    <row r="284" spans="1:16" ht="12.45" x14ac:dyDescent="0.2">
      <c r="A284" s="3" t="s">
        <v>13</v>
      </c>
      <c r="B284" t="s">
        <v>712</v>
      </c>
      <c r="C284" t="s">
        <v>2963</v>
      </c>
      <c r="D284" t="s">
        <v>22</v>
      </c>
      <c r="E284" t="s">
        <v>651</v>
      </c>
      <c r="F284" t="s">
        <v>18</v>
      </c>
      <c r="G284" s="3" t="s">
        <v>713</v>
      </c>
      <c r="H284" s="5">
        <v>310</v>
      </c>
      <c r="I284" s="3" t="s">
        <v>653</v>
      </c>
      <c r="J284" s="3">
        <v>5</v>
      </c>
      <c r="K284" s="3">
        <v>3</v>
      </c>
      <c r="L284" s="3" t="s">
        <v>2915</v>
      </c>
      <c r="M284" s="4" t="s">
        <v>714</v>
      </c>
      <c r="N284" s="4"/>
      <c r="O284" s="4"/>
      <c r="P284" s="4"/>
    </row>
    <row r="285" spans="1:16" ht="12.45" x14ac:dyDescent="0.2">
      <c r="A285" s="3" t="s">
        <v>13</v>
      </c>
      <c r="B285" s="3" t="s">
        <v>717</v>
      </c>
      <c r="C285" s="3" t="s">
        <v>154</v>
      </c>
      <c r="D285" s="3" t="s">
        <v>22</v>
      </c>
      <c r="E285" s="3" t="s">
        <v>651</v>
      </c>
      <c r="F285" s="3" t="s">
        <v>18</v>
      </c>
      <c r="G285" s="3"/>
      <c r="H285" s="5" t="s">
        <v>718</v>
      </c>
      <c r="I285" s="3" t="s">
        <v>653</v>
      </c>
      <c r="J285" s="5">
        <v>5</v>
      </c>
      <c r="K285" s="5">
        <v>3</v>
      </c>
      <c r="L285" s="3" t="s">
        <v>2915</v>
      </c>
      <c r="M285" s="4" t="s">
        <v>672</v>
      </c>
      <c r="N285" s="4"/>
      <c r="O285" s="4"/>
      <c r="P285" s="4"/>
    </row>
    <row r="286" spans="1:16" ht="12.45" x14ac:dyDescent="0.2">
      <c r="A286" s="3" t="s">
        <v>13</v>
      </c>
      <c r="B286" t="s">
        <v>682</v>
      </c>
      <c r="C286" t="s">
        <v>2948</v>
      </c>
      <c r="D286" t="s">
        <v>28</v>
      </c>
      <c r="E286" t="s">
        <v>651</v>
      </c>
      <c r="F286" t="s">
        <v>683</v>
      </c>
      <c r="G286" s="3" t="s">
        <v>684</v>
      </c>
      <c r="H286" s="5">
        <v>307</v>
      </c>
      <c r="I286" s="3" t="s">
        <v>653</v>
      </c>
      <c r="J286" s="3">
        <v>5</v>
      </c>
      <c r="K286" s="3">
        <v>2</v>
      </c>
      <c r="L286" s="3" t="s">
        <v>2915</v>
      </c>
      <c r="M286" s="6" t="s">
        <v>659</v>
      </c>
      <c r="N286" s="6"/>
      <c r="O286" s="6"/>
      <c r="P286" s="6"/>
    </row>
    <row r="287" spans="1:16" ht="12.45" x14ac:dyDescent="0.2">
      <c r="A287" s="3" t="s">
        <v>13</v>
      </c>
      <c r="B287" t="s">
        <v>654</v>
      </c>
      <c r="C287" t="s">
        <v>3033</v>
      </c>
      <c r="D287" t="s">
        <v>148</v>
      </c>
      <c r="E287" t="s">
        <v>430</v>
      </c>
      <c r="F287" t="s">
        <v>148</v>
      </c>
      <c r="G287" s="3" t="s">
        <v>655</v>
      </c>
      <c r="H287" s="5">
        <v>304</v>
      </c>
      <c r="I287" s="3" t="s">
        <v>653</v>
      </c>
      <c r="J287" s="3">
        <v>1</v>
      </c>
      <c r="K287" s="3">
        <v>1</v>
      </c>
      <c r="L287" s="3" t="s">
        <v>2915</v>
      </c>
      <c r="M287" s="3"/>
      <c r="N287" s="4"/>
      <c r="O287" s="4"/>
      <c r="P287" s="4"/>
    </row>
    <row r="288" spans="1:16" ht="12.45" x14ac:dyDescent="0.2">
      <c r="A288" s="3" t="s">
        <v>13</v>
      </c>
      <c r="B288" t="s">
        <v>656</v>
      </c>
      <c r="C288" t="s">
        <v>147</v>
      </c>
      <c r="D288" t="s">
        <v>148</v>
      </c>
      <c r="E288" t="s">
        <v>651</v>
      </c>
      <c r="F288" t="s">
        <v>148</v>
      </c>
      <c r="G288" s="3" t="s">
        <v>657</v>
      </c>
      <c r="H288" s="5">
        <v>303</v>
      </c>
      <c r="I288" s="3" t="s">
        <v>653</v>
      </c>
      <c r="J288" s="3">
        <v>2</v>
      </c>
      <c r="K288" s="3">
        <v>1</v>
      </c>
      <c r="L288" s="3" t="s">
        <v>2915</v>
      </c>
      <c r="M288" s="3"/>
      <c r="N288" s="4"/>
      <c r="O288" s="4"/>
      <c r="P288" s="4"/>
    </row>
    <row r="289" spans="1:16" ht="12.45" x14ac:dyDescent="0.2">
      <c r="A289" s="3" t="s">
        <v>13</v>
      </c>
      <c r="B289" t="s">
        <v>659</v>
      </c>
      <c r="C289" t="s">
        <v>3032</v>
      </c>
      <c r="D289" t="s">
        <v>148</v>
      </c>
      <c r="E289" t="s">
        <v>23</v>
      </c>
      <c r="F289" t="s">
        <v>148</v>
      </c>
      <c r="G289" s="3" t="s">
        <v>661</v>
      </c>
      <c r="H289" s="5">
        <v>304</v>
      </c>
      <c r="I289" s="3" t="s">
        <v>653</v>
      </c>
      <c r="J289" s="3">
        <v>3</v>
      </c>
      <c r="K289" s="3">
        <v>1</v>
      </c>
      <c r="L289" s="3" t="s">
        <v>2915</v>
      </c>
      <c r="M289" s="3"/>
      <c r="N289" s="3"/>
      <c r="O289" s="3"/>
      <c r="P289" s="3"/>
    </row>
    <row r="290" spans="1:16" ht="12.45" x14ac:dyDescent="0.2">
      <c r="A290" s="3" t="s">
        <v>13</v>
      </c>
      <c r="B290" t="s">
        <v>662</v>
      </c>
      <c r="C290" t="s">
        <v>147</v>
      </c>
      <c r="D290" t="s">
        <v>148</v>
      </c>
      <c r="E290" t="s">
        <v>23</v>
      </c>
      <c r="F290" t="s">
        <v>148</v>
      </c>
      <c r="G290" s="3" t="s">
        <v>663</v>
      </c>
      <c r="H290" s="5">
        <v>305</v>
      </c>
      <c r="I290" s="3" t="s">
        <v>653</v>
      </c>
      <c r="J290" s="3">
        <v>3</v>
      </c>
      <c r="K290" s="3">
        <v>1</v>
      </c>
      <c r="L290" s="3" t="s">
        <v>2915</v>
      </c>
      <c r="M290" s="4" t="s">
        <v>654</v>
      </c>
      <c r="N290" s="4"/>
      <c r="O290" s="4"/>
      <c r="P290" s="4"/>
    </row>
    <row r="291" spans="1:16" ht="12.45" x14ac:dyDescent="0.2">
      <c r="A291" s="3" t="s">
        <v>13</v>
      </c>
      <c r="B291" t="s">
        <v>667</v>
      </c>
      <c r="C291" t="s">
        <v>147</v>
      </c>
      <c r="D291" t="s">
        <v>148</v>
      </c>
      <c r="E291" t="s">
        <v>651</v>
      </c>
      <c r="F291" t="s">
        <v>148</v>
      </c>
      <c r="G291" s="3" t="s">
        <v>668</v>
      </c>
      <c r="H291" s="5">
        <v>305</v>
      </c>
      <c r="I291" s="3" t="s">
        <v>653</v>
      </c>
      <c r="J291" s="3">
        <v>4</v>
      </c>
      <c r="K291" s="3">
        <v>2</v>
      </c>
      <c r="L291" s="3" t="s">
        <v>2915</v>
      </c>
      <c r="M291" s="4" t="s">
        <v>656</v>
      </c>
      <c r="N291" s="4"/>
      <c r="O291" s="4"/>
      <c r="P291" s="4"/>
    </row>
    <row r="292" spans="1:16" ht="12.45" x14ac:dyDescent="0.2">
      <c r="A292" s="3" t="s">
        <v>13</v>
      </c>
      <c r="B292" t="s">
        <v>678</v>
      </c>
      <c r="C292" t="s">
        <v>147</v>
      </c>
      <c r="D292" t="s">
        <v>148</v>
      </c>
      <c r="E292" t="s">
        <v>651</v>
      </c>
      <c r="F292" t="s">
        <v>148</v>
      </c>
      <c r="G292" s="3" t="s">
        <v>679</v>
      </c>
      <c r="H292" s="5">
        <v>307</v>
      </c>
      <c r="I292" s="3" t="s">
        <v>653</v>
      </c>
      <c r="J292" s="3">
        <v>5</v>
      </c>
      <c r="K292" s="3">
        <v>2</v>
      </c>
      <c r="L292" s="3" t="s">
        <v>2915</v>
      </c>
      <c r="M292" s="6" t="s">
        <v>672</v>
      </c>
      <c r="N292" s="6"/>
      <c r="O292" s="6"/>
      <c r="P292" s="6"/>
    </row>
    <row r="293" spans="1:16" ht="12.45" x14ac:dyDescent="0.2">
      <c r="A293" s="3" t="s">
        <v>13</v>
      </c>
      <c r="B293" t="s">
        <v>685</v>
      </c>
      <c r="C293" t="s">
        <v>3001</v>
      </c>
      <c r="D293" t="s">
        <v>148</v>
      </c>
      <c r="E293" t="s">
        <v>23</v>
      </c>
      <c r="F293" t="s">
        <v>148</v>
      </c>
      <c r="G293" s="3" t="s">
        <v>686</v>
      </c>
      <c r="H293" s="5">
        <v>307</v>
      </c>
      <c r="I293" s="3" t="s">
        <v>653</v>
      </c>
      <c r="J293" s="3">
        <v>5</v>
      </c>
      <c r="K293" s="3">
        <v>2</v>
      </c>
      <c r="L293" s="3" t="s">
        <v>2915</v>
      </c>
      <c r="M293" s="4" t="s">
        <v>654</v>
      </c>
      <c r="N293" s="4"/>
      <c r="O293" s="4"/>
      <c r="P293" s="4"/>
    </row>
    <row r="294" spans="1:16" ht="12.45" x14ac:dyDescent="0.2">
      <c r="A294" s="3" t="s">
        <v>13</v>
      </c>
      <c r="B294" t="s">
        <v>687</v>
      </c>
      <c r="C294" t="s">
        <v>3001</v>
      </c>
      <c r="D294" t="s">
        <v>148</v>
      </c>
      <c r="E294" t="s">
        <v>23</v>
      </c>
      <c r="F294" t="s">
        <v>148</v>
      </c>
      <c r="G294" s="3" t="s">
        <v>688</v>
      </c>
      <c r="H294" s="5">
        <v>307</v>
      </c>
      <c r="I294" s="3" t="s">
        <v>653</v>
      </c>
      <c r="J294" s="3">
        <v>5</v>
      </c>
      <c r="K294" s="3">
        <v>2</v>
      </c>
      <c r="L294" s="3" t="s">
        <v>2915</v>
      </c>
      <c r="M294" s="4" t="s">
        <v>685</v>
      </c>
      <c r="N294" s="4"/>
      <c r="O294" s="4"/>
      <c r="P294" s="4"/>
    </row>
    <row r="295" spans="1:16" ht="12.45" x14ac:dyDescent="0.2">
      <c r="A295" s="3" t="s">
        <v>13</v>
      </c>
      <c r="B295" t="s">
        <v>689</v>
      </c>
      <c r="C295" t="s">
        <v>147</v>
      </c>
      <c r="D295" t="s">
        <v>148</v>
      </c>
      <c r="E295" t="s">
        <v>23</v>
      </c>
      <c r="F295" t="s">
        <v>148</v>
      </c>
      <c r="G295" s="3" t="s">
        <v>690</v>
      </c>
      <c r="H295" s="5">
        <v>308</v>
      </c>
      <c r="I295" s="3" t="s">
        <v>653</v>
      </c>
      <c r="J295" s="3">
        <v>5</v>
      </c>
      <c r="K295" s="3">
        <v>2</v>
      </c>
      <c r="L295" s="3" t="s">
        <v>2915</v>
      </c>
      <c r="M295" s="3"/>
      <c r="N295" s="3"/>
      <c r="O295" s="3"/>
      <c r="P295" s="3"/>
    </row>
    <row r="296" spans="1:16" ht="12.45" x14ac:dyDescent="0.2">
      <c r="A296" s="3" t="s">
        <v>13</v>
      </c>
      <c r="B296" t="s">
        <v>719</v>
      </c>
      <c r="C296" t="s">
        <v>147</v>
      </c>
      <c r="D296" t="s">
        <v>148</v>
      </c>
      <c r="E296" t="s">
        <v>651</v>
      </c>
      <c r="F296" t="s">
        <v>148</v>
      </c>
      <c r="G296" s="3" t="s">
        <v>720</v>
      </c>
      <c r="H296" s="5">
        <v>310</v>
      </c>
      <c r="I296" s="3" t="s">
        <v>653</v>
      </c>
      <c r="J296" s="3">
        <v>5</v>
      </c>
      <c r="K296" s="3">
        <v>4</v>
      </c>
      <c r="L296" s="3" t="s">
        <v>2915</v>
      </c>
      <c r="M296" s="4" t="s">
        <v>704</v>
      </c>
      <c r="N296" s="4"/>
      <c r="O296" s="4"/>
      <c r="P296" s="4"/>
    </row>
    <row r="297" spans="1:16" ht="12.45" x14ac:dyDescent="0.2">
      <c r="A297" s="3" t="s">
        <v>13</v>
      </c>
      <c r="B297" t="s">
        <v>658</v>
      </c>
      <c r="C297" t="s">
        <v>43</v>
      </c>
      <c r="D297" t="s">
        <v>22</v>
      </c>
      <c r="E297" t="s">
        <v>651</v>
      </c>
      <c r="F297" t="s">
        <v>44</v>
      </c>
      <c r="G297" s="3" t="s">
        <v>652</v>
      </c>
      <c r="H297" s="5">
        <v>303</v>
      </c>
      <c r="I297" s="3" t="s">
        <v>653</v>
      </c>
      <c r="J297" s="3">
        <v>3</v>
      </c>
      <c r="K297" s="3">
        <v>1</v>
      </c>
      <c r="L297" s="3" t="s">
        <v>2915</v>
      </c>
      <c r="M297" s="4" t="s">
        <v>650</v>
      </c>
      <c r="N297" s="4"/>
      <c r="O297" s="4"/>
      <c r="P297" s="4"/>
    </row>
    <row r="298" spans="1:16" ht="12.45" x14ac:dyDescent="0.2">
      <c r="A298" s="3" t="s">
        <v>13</v>
      </c>
      <c r="B298" t="s">
        <v>666</v>
      </c>
      <c r="C298" t="s">
        <v>2946</v>
      </c>
      <c r="D298" t="s">
        <v>28</v>
      </c>
      <c r="E298" t="s">
        <v>23</v>
      </c>
      <c r="F298" t="s">
        <v>44</v>
      </c>
      <c r="G298" s="3" t="str">
        <f>"+1 Resolve when defending with Ties/Principles. Effect stacks with multiple Solars."</f>
        <v>+1 Resolve when defending with Ties/Principles. Effect stacks with multiple Solars.</v>
      </c>
      <c r="H298" s="5">
        <v>306</v>
      </c>
      <c r="I298" s="3" t="s">
        <v>653</v>
      </c>
      <c r="J298" s="3">
        <v>3</v>
      </c>
      <c r="K298" s="3">
        <v>2</v>
      </c>
      <c r="L298" s="3" t="s">
        <v>2915</v>
      </c>
      <c r="M298" s="4" t="s">
        <v>656</v>
      </c>
      <c r="N298" s="4"/>
      <c r="O298" s="4"/>
      <c r="P298" s="4"/>
    </row>
    <row r="299" spans="1:16" ht="12.45" x14ac:dyDescent="0.2">
      <c r="A299" s="3" t="s">
        <v>13</v>
      </c>
      <c r="B299" t="s">
        <v>1742</v>
      </c>
      <c r="C299" t="s">
        <v>2938</v>
      </c>
      <c r="D299" t="s">
        <v>28</v>
      </c>
      <c r="E299" t="s">
        <v>23</v>
      </c>
      <c r="F299" t="s">
        <v>18</v>
      </c>
      <c r="G299" s="3" t="s">
        <v>1743</v>
      </c>
      <c r="H299" s="5">
        <v>399</v>
      </c>
      <c r="I299" s="3" t="s">
        <v>1662</v>
      </c>
      <c r="J299" s="3">
        <v>5</v>
      </c>
      <c r="K299" s="3">
        <v>3</v>
      </c>
      <c r="L299" s="3" t="s">
        <v>2907</v>
      </c>
      <c r="M299" s="6" t="s">
        <v>1744</v>
      </c>
      <c r="N299" s="6"/>
      <c r="O299" s="6"/>
      <c r="P299" s="6"/>
    </row>
    <row r="300" spans="1:16" ht="12.45" x14ac:dyDescent="0.2">
      <c r="A300" s="3" t="s">
        <v>13</v>
      </c>
      <c r="B300" t="s">
        <v>1745</v>
      </c>
      <c r="C300" t="s">
        <v>2992</v>
      </c>
      <c r="D300" t="s">
        <v>28</v>
      </c>
      <c r="E300" t="s">
        <v>23</v>
      </c>
      <c r="F300" t="s">
        <v>18</v>
      </c>
      <c r="G300" s="3" t="s">
        <v>1746</v>
      </c>
      <c r="H300" s="5">
        <v>400</v>
      </c>
      <c r="I300" s="3" t="s">
        <v>1662</v>
      </c>
      <c r="J300" s="3">
        <v>5</v>
      </c>
      <c r="K300" s="3">
        <v>3</v>
      </c>
      <c r="L300" s="3" t="s">
        <v>2907</v>
      </c>
      <c r="M300" s="6" t="s">
        <v>1747</v>
      </c>
      <c r="N300" s="6"/>
      <c r="O300" s="6"/>
      <c r="P300" s="6"/>
    </row>
    <row r="301" spans="1:16" ht="12.45" x14ac:dyDescent="0.2">
      <c r="A301" s="3" t="s">
        <v>13</v>
      </c>
      <c r="B301" t="s">
        <v>1759</v>
      </c>
      <c r="C301" t="s">
        <v>2962</v>
      </c>
      <c r="D301" t="s">
        <v>22</v>
      </c>
      <c r="E301" t="s">
        <v>23</v>
      </c>
      <c r="F301" t="s">
        <v>18</v>
      </c>
      <c r="G301" s="3" t="s">
        <v>1760</v>
      </c>
      <c r="H301" s="5">
        <v>399</v>
      </c>
      <c r="I301" s="3" t="s">
        <v>1662</v>
      </c>
      <c r="J301" s="3">
        <v>5</v>
      </c>
      <c r="K301" s="3">
        <v>4</v>
      </c>
      <c r="L301" s="3" t="s">
        <v>2907</v>
      </c>
      <c r="M301" s="6" t="s">
        <v>1733</v>
      </c>
      <c r="N301" s="6"/>
      <c r="O301" s="6"/>
      <c r="P301" s="6"/>
    </row>
    <row r="302" spans="1:16" ht="12.45" x14ac:dyDescent="0.2">
      <c r="A302" s="3" t="s">
        <v>13</v>
      </c>
      <c r="B302" t="s">
        <v>1761</v>
      </c>
      <c r="C302" t="s">
        <v>2938</v>
      </c>
      <c r="D302" t="s">
        <v>28</v>
      </c>
      <c r="E302" t="s">
        <v>23</v>
      </c>
      <c r="F302" t="s">
        <v>18</v>
      </c>
      <c r="G302" s="3" t="s">
        <v>1762</v>
      </c>
      <c r="H302" s="5">
        <v>402</v>
      </c>
      <c r="I302" s="3" t="s">
        <v>1662</v>
      </c>
      <c r="J302" s="3">
        <v>5</v>
      </c>
      <c r="K302" s="3">
        <v>4</v>
      </c>
      <c r="L302" s="3" t="s">
        <v>2907</v>
      </c>
      <c r="M302" s="6" t="s">
        <v>1745</v>
      </c>
      <c r="N302" s="6"/>
      <c r="O302" s="6"/>
      <c r="P302" s="6"/>
    </row>
    <row r="303" spans="1:16" ht="12.45" x14ac:dyDescent="0.2">
      <c r="A303" s="3" t="s">
        <v>13</v>
      </c>
      <c r="B303" t="s">
        <v>1769</v>
      </c>
      <c r="C303" t="s">
        <v>2938</v>
      </c>
      <c r="D303" t="s">
        <v>22</v>
      </c>
      <c r="E303" t="s">
        <v>142</v>
      </c>
      <c r="F303" t="s">
        <v>18</v>
      </c>
      <c r="G303" s="3" t="s">
        <v>1770</v>
      </c>
      <c r="H303" s="5">
        <v>402</v>
      </c>
      <c r="I303" s="3" t="s">
        <v>1662</v>
      </c>
      <c r="J303" s="3">
        <v>5</v>
      </c>
      <c r="K303" s="3">
        <v>5</v>
      </c>
      <c r="L303" s="3" t="s">
        <v>2907</v>
      </c>
      <c r="M303" s="6" t="s">
        <v>1771</v>
      </c>
      <c r="N303" s="6"/>
      <c r="O303" s="6"/>
      <c r="P303" s="6"/>
    </row>
    <row r="304" spans="1:16" ht="12.45" x14ac:dyDescent="0.2">
      <c r="A304" s="3" t="s">
        <v>13</v>
      </c>
      <c r="B304" t="s">
        <v>1772</v>
      </c>
      <c r="C304" t="s">
        <v>3031</v>
      </c>
      <c r="D304" t="s">
        <v>22</v>
      </c>
      <c r="E304" t="s">
        <v>23</v>
      </c>
      <c r="F304" t="s">
        <v>18</v>
      </c>
      <c r="G304" s="3" t="s">
        <v>1773</v>
      </c>
      <c r="H304" s="5">
        <v>403</v>
      </c>
      <c r="I304" s="3" t="s">
        <v>1662</v>
      </c>
      <c r="J304" s="3">
        <v>5</v>
      </c>
      <c r="K304" s="3">
        <v>5</v>
      </c>
      <c r="L304" s="3" t="s">
        <v>2907</v>
      </c>
      <c r="M304" s="6" t="s">
        <v>1767</v>
      </c>
      <c r="N304" s="6"/>
      <c r="O304" s="6"/>
      <c r="P304" s="6"/>
    </row>
    <row r="305" spans="1:16" ht="12.45" x14ac:dyDescent="0.2">
      <c r="A305" s="3" t="s">
        <v>13</v>
      </c>
      <c r="B305" t="s">
        <v>1774</v>
      </c>
      <c r="C305" t="s">
        <v>3030</v>
      </c>
      <c r="D305" t="s">
        <v>22</v>
      </c>
      <c r="E305" t="s">
        <v>23</v>
      </c>
      <c r="F305" t="s">
        <v>18</v>
      </c>
      <c r="G305" s="3" t="s">
        <v>1775</v>
      </c>
      <c r="H305" s="5">
        <v>403</v>
      </c>
      <c r="I305" s="3" t="s">
        <v>1662</v>
      </c>
      <c r="J305" s="3">
        <v>5</v>
      </c>
      <c r="K305" s="3">
        <v>5</v>
      </c>
      <c r="L305" s="3" t="s">
        <v>2907</v>
      </c>
      <c r="M305" s="6" t="s">
        <v>1772</v>
      </c>
      <c r="N305" s="6"/>
      <c r="O305" s="6"/>
      <c r="P305" s="6"/>
    </row>
    <row r="306" spans="1:16" ht="12.45" x14ac:dyDescent="0.2">
      <c r="A306" s="3" t="s">
        <v>13</v>
      </c>
      <c r="B306" t="s">
        <v>1665</v>
      </c>
      <c r="C306" t="s">
        <v>2939</v>
      </c>
      <c r="D306" t="s">
        <v>22</v>
      </c>
      <c r="E306" t="s">
        <v>23</v>
      </c>
      <c r="F306" t="s">
        <v>615</v>
      </c>
      <c r="G306" s="3" t="s">
        <v>1666</v>
      </c>
      <c r="H306" s="5">
        <v>394</v>
      </c>
      <c r="I306" s="3" t="s">
        <v>1662</v>
      </c>
      <c r="J306" s="3">
        <v>3</v>
      </c>
      <c r="K306" s="3">
        <v>1</v>
      </c>
      <c r="L306" s="3" t="s">
        <v>2907</v>
      </c>
      <c r="M306" s="6" t="s">
        <v>1663</v>
      </c>
      <c r="N306" s="6"/>
      <c r="O306" s="6"/>
      <c r="P306" s="6"/>
    </row>
    <row r="307" spans="1:16" ht="12.45" x14ac:dyDescent="0.2">
      <c r="A307" s="3" t="s">
        <v>13</v>
      </c>
      <c r="B307" t="s">
        <v>1694</v>
      </c>
      <c r="C307" t="s">
        <v>147</v>
      </c>
      <c r="D307" t="s">
        <v>148</v>
      </c>
      <c r="E307" t="s">
        <v>23</v>
      </c>
      <c r="F307" t="s">
        <v>148</v>
      </c>
      <c r="G307" s="3" t="s">
        <v>1695</v>
      </c>
      <c r="H307" s="5">
        <v>395</v>
      </c>
      <c r="I307" s="3" t="s">
        <v>1662</v>
      </c>
      <c r="J307" s="3">
        <v>5</v>
      </c>
      <c r="K307" s="3">
        <v>2</v>
      </c>
      <c r="L307" s="3" t="s">
        <v>2907</v>
      </c>
      <c r="M307" s="6" t="s">
        <v>1692</v>
      </c>
      <c r="N307" s="6"/>
      <c r="O307" s="6"/>
      <c r="P307" s="6"/>
    </row>
    <row r="308" spans="1:16" ht="12.45" x14ac:dyDescent="0.2">
      <c r="A308" s="3" t="s">
        <v>13</v>
      </c>
      <c r="B308" t="s">
        <v>1721</v>
      </c>
      <c r="C308" t="s">
        <v>147</v>
      </c>
      <c r="D308" t="s">
        <v>148</v>
      </c>
      <c r="E308" t="s">
        <v>23</v>
      </c>
      <c r="F308" t="s">
        <v>148</v>
      </c>
      <c r="G308" s="3" t="s">
        <v>1722</v>
      </c>
      <c r="H308" s="5">
        <v>398</v>
      </c>
      <c r="I308" s="3" t="s">
        <v>1662</v>
      </c>
      <c r="J308" s="3">
        <v>5</v>
      </c>
      <c r="K308" s="3">
        <v>3</v>
      </c>
      <c r="L308" s="3" t="s">
        <v>2907</v>
      </c>
      <c r="M308" s="6" t="s">
        <v>1719</v>
      </c>
      <c r="N308" s="6"/>
      <c r="O308" s="6"/>
      <c r="P308" s="6"/>
    </row>
    <row r="309" spans="1:16" ht="12.45" x14ac:dyDescent="0.2">
      <c r="A309" s="3" t="s">
        <v>13</v>
      </c>
      <c r="B309" t="s">
        <v>1729</v>
      </c>
      <c r="C309" t="s">
        <v>147</v>
      </c>
      <c r="D309" t="s">
        <v>148</v>
      </c>
      <c r="E309" t="s">
        <v>23</v>
      </c>
      <c r="F309" t="s">
        <v>148</v>
      </c>
      <c r="G309" s="3" t="s">
        <v>1730</v>
      </c>
      <c r="H309" s="5">
        <v>398</v>
      </c>
      <c r="I309" s="3" t="s">
        <v>1662</v>
      </c>
      <c r="J309" s="3">
        <v>5</v>
      </c>
      <c r="K309" s="3">
        <v>3</v>
      </c>
      <c r="L309" s="3" t="s">
        <v>2907</v>
      </c>
      <c r="M309" s="6" t="s">
        <v>1696</v>
      </c>
      <c r="N309" s="6"/>
      <c r="O309" s="6"/>
      <c r="P309" s="6"/>
    </row>
    <row r="310" spans="1:16" ht="12.45" x14ac:dyDescent="0.2">
      <c r="A310" s="3" t="s">
        <v>13</v>
      </c>
      <c r="B310" t="s">
        <v>1748</v>
      </c>
      <c r="C310" t="s">
        <v>147</v>
      </c>
      <c r="D310" t="s">
        <v>148</v>
      </c>
      <c r="E310" t="s">
        <v>23</v>
      </c>
      <c r="F310" t="s">
        <v>148</v>
      </c>
      <c r="G310" s="3" t="s">
        <v>1749</v>
      </c>
      <c r="H310" s="5">
        <v>400</v>
      </c>
      <c r="I310" s="3" t="s">
        <v>1662</v>
      </c>
      <c r="J310" s="3">
        <v>5</v>
      </c>
      <c r="K310" s="3">
        <v>3</v>
      </c>
      <c r="L310" s="3" t="s">
        <v>2907</v>
      </c>
      <c r="M310" s="3" t="s">
        <v>1745</v>
      </c>
      <c r="N310" s="3"/>
      <c r="O310" s="3"/>
      <c r="P310" s="3"/>
    </row>
    <row r="311" spans="1:16" ht="12.45" x14ac:dyDescent="0.2">
      <c r="A311" s="3" t="s">
        <v>13</v>
      </c>
      <c r="B311" t="s">
        <v>1750</v>
      </c>
      <c r="C311" t="s">
        <v>3029</v>
      </c>
      <c r="D311" t="s">
        <v>148</v>
      </c>
      <c r="E311" t="s">
        <v>142</v>
      </c>
      <c r="F311" t="s">
        <v>148</v>
      </c>
      <c r="G311" s="3" t="s">
        <v>1752</v>
      </c>
      <c r="H311" s="5">
        <v>400</v>
      </c>
      <c r="I311" s="3" t="s">
        <v>1662</v>
      </c>
      <c r="J311" s="3">
        <v>5</v>
      </c>
      <c r="K311" s="3">
        <v>3</v>
      </c>
      <c r="L311" s="3" t="s">
        <v>2907</v>
      </c>
      <c r="M311" s="6" t="s">
        <v>1708</v>
      </c>
      <c r="N311" s="6"/>
      <c r="O311" s="6"/>
      <c r="P311" s="6"/>
    </row>
    <row r="312" spans="1:16" ht="12.45" x14ac:dyDescent="0.2">
      <c r="A312" s="3" t="s">
        <v>13</v>
      </c>
      <c r="B312" t="s">
        <v>1753</v>
      </c>
      <c r="C312" t="s">
        <v>147</v>
      </c>
      <c r="D312" t="s">
        <v>148</v>
      </c>
      <c r="E312" t="s">
        <v>23</v>
      </c>
      <c r="F312" t="s">
        <v>148</v>
      </c>
      <c r="G312" s="3" t="s">
        <v>1754</v>
      </c>
      <c r="H312" s="5">
        <v>401</v>
      </c>
      <c r="I312" s="3" t="s">
        <v>1662</v>
      </c>
      <c r="J312" s="3">
        <v>5</v>
      </c>
      <c r="K312" s="3">
        <v>3</v>
      </c>
      <c r="L312" s="3" t="s">
        <v>2907</v>
      </c>
      <c r="M312" s="6" t="s">
        <v>1750</v>
      </c>
      <c r="N312" s="6"/>
      <c r="O312" s="6"/>
      <c r="P312" s="6"/>
    </row>
    <row r="313" spans="1:16" ht="12.45" x14ac:dyDescent="0.2">
      <c r="A313" s="3" t="s">
        <v>13</v>
      </c>
      <c r="B313" t="s">
        <v>1755</v>
      </c>
      <c r="C313" t="s">
        <v>147</v>
      </c>
      <c r="D313" t="s">
        <v>148</v>
      </c>
      <c r="E313" t="s">
        <v>23</v>
      </c>
      <c r="F313" t="s">
        <v>148</v>
      </c>
      <c r="G313" s="3" t="s">
        <v>1756</v>
      </c>
      <c r="H313" s="5">
        <v>401</v>
      </c>
      <c r="I313" s="3" t="s">
        <v>1662</v>
      </c>
      <c r="J313" s="3">
        <v>5</v>
      </c>
      <c r="K313" s="3">
        <v>3</v>
      </c>
      <c r="L313" s="3" t="s">
        <v>2907</v>
      </c>
      <c r="M313" s="6" t="s">
        <v>1753</v>
      </c>
      <c r="N313" s="6"/>
      <c r="O313" s="6"/>
      <c r="P313" s="6"/>
    </row>
    <row r="314" spans="1:16" ht="12.45" x14ac:dyDescent="0.2">
      <c r="A314" s="3" t="s">
        <v>13</v>
      </c>
      <c r="B314" t="s">
        <v>1757</v>
      </c>
      <c r="C314" t="s">
        <v>147</v>
      </c>
      <c r="D314" t="s">
        <v>148</v>
      </c>
      <c r="E314" t="s">
        <v>23</v>
      </c>
      <c r="F314" t="s">
        <v>148</v>
      </c>
      <c r="G314" s="3" t="s">
        <v>1758</v>
      </c>
      <c r="H314" s="5">
        <v>402</v>
      </c>
      <c r="I314" s="3" t="s">
        <v>1662</v>
      </c>
      <c r="J314" s="3">
        <v>5</v>
      </c>
      <c r="K314" s="3">
        <v>3</v>
      </c>
      <c r="L314" s="3" t="s">
        <v>2907</v>
      </c>
      <c r="M314" s="3"/>
      <c r="N314" s="6"/>
      <c r="O314" s="6"/>
      <c r="P314" s="6"/>
    </row>
    <row r="315" spans="1:16" ht="12.45" x14ac:dyDescent="0.2">
      <c r="A315" s="3" t="s">
        <v>13</v>
      </c>
      <c r="B315" t="s">
        <v>1763</v>
      </c>
      <c r="C315" t="s">
        <v>147</v>
      </c>
      <c r="D315" t="s">
        <v>148</v>
      </c>
      <c r="E315" t="s">
        <v>23</v>
      </c>
      <c r="F315" t="s">
        <v>148</v>
      </c>
      <c r="G315" s="3" t="s">
        <v>1764</v>
      </c>
      <c r="H315" s="5">
        <v>402</v>
      </c>
      <c r="I315" s="3" t="s">
        <v>1662</v>
      </c>
      <c r="J315" s="3">
        <v>5</v>
      </c>
      <c r="K315" s="3">
        <v>4</v>
      </c>
      <c r="L315" s="3" t="s">
        <v>2907</v>
      </c>
      <c r="M315" s="6" t="s">
        <v>1748</v>
      </c>
      <c r="N315" s="6"/>
      <c r="O315" s="6"/>
      <c r="P315" s="6"/>
    </row>
    <row r="316" spans="1:16" ht="12.45" x14ac:dyDescent="0.2">
      <c r="A316" s="3" t="s">
        <v>13</v>
      </c>
      <c r="B316" t="s">
        <v>1767</v>
      </c>
      <c r="C316" t="s">
        <v>147</v>
      </c>
      <c r="D316" t="s">
        <v>148</v>
      </c>
      <c r="E316" t="s">
        <v>23</v>
      </c>
      <c r="F316" t="s">
        <v>148</v>
      </c>
      <c r="G316" s="3" t="s">
        <v>1768</v>
      </c>
      <c r="H316" s="5">
        <v>402</v>
      </c>
      <c r="I316" s="3" t="s">
        <v>1662</v>
      </c>
      <c r="J316" s="3">
        <v>5</v>
      </c>
      <c r="K316" s="3">
        <v>4</v>
      </c>
      <c r="L316" s="3" t="s">
        <v>2907</v>
      </c>
      <c r="M316" s="6" t="s">
        <v>1755</v>
      </c>
      <c r="N316" s="6"/>
      <c r="O316" s="6"/>
      <c r="P316" s="6"/>
    </row>
    <row r="317" spans="1:16" ht="12.45" x14ac:dyDescent="0.2">
      <c r="A317" s="3" t="s">
        <v>13</v>
      </c>
      <c r="B317" t="s">
        <v>1660</v>
      </c>
      <c r="C317" t="s">
        <v>2940</v>
      </c>
      <c r="D317" t="s">
        <v>22</v>
      </c>
      <c r="E317" t="s">
        <v>23</v>
      </c>
      <c r="F317" t="s">
        <v>44</v>
      </c>
      <c r="G317" s="3" t="s">
        <v>1661</v>
      </c>
      <c r="H317" s="5">
        <v>393</v>
      </c>
      <c r="I317" s="3" t="s">
        <v>1662</v>
      </c>
      <c r="J317" s="3">
        <v>3</v>
      </c>
      <c r="K317" s="3">
        <v>1</v>
      </c>
      <c r="L317" s="3" t="s">
        <v>2907</v>
      </c>
      <c r="M317" s="6"/>
      <c r="N317" s="6"/>
      <c r="O317" s="6"/>
      <c r="P317" s="6"/>
    </row>
    <row r="318" spans="1:16" ht="12.45" x14ac:dyDescent="0.2">
      <c r="A318" s="3" t="s">
        <v>13</v>
      </c>
      <c r="B318" t="s">
        <v>802</v>
      </c>
      <c r="C318" t="s">
        <v>2951</v>
      </c>
      <c r="D318" t="s">
        <v>28</v>
      </c>
      <c r="E318" t="s">
        <v>23</v>
      </c>
      <c r="F318" t="s">
        <v>182</v>
      </c>
      <c r="G318" s="3" t="s">
        <v>803</v>
      </c>
      <c r="H318" s="5">
        <v>318</v>
      </c>
      <c r="I318" s="3" t="s">
        <v>771</v>
      </c>
      <c r="J318" s="3">
        <v>5</v>
      </c>
      <c r="K318" s="3">
        <v>2</v>
      </c>
      <c r="L318" s="3" t="s">
        <v>2907</v>
      </c>
      <c r="M318" s="3" t="s">
        <v>796</v>
      </c>
      <c r="N318" s="3"/>
      <c r="O318" s="3"/>
      <c r="P318" s="3"/>
    </row>
    <row r="319" spans="1:16" ht="12.45" x14ac:dyDescent="0.2">
      <c r="A319" s="3" t="s">
        <v>13</v>
      </c>
      <c r="B319" t="s">
        <v>823</v>
      </c>
      <c r="C319" t="s">
        <v>3028</v>
      </c>
      <c r="D319" t="s">
        <v>22</v>
      </c>
      <c r="E319" t="s">
        <v>23</v>
      </c>
      <c r="F319" t="s">
        <v>182</v>
      </c>
      <c r="G319" s="3" t="s">
        <v>824</v>
      </c>
      <c r="H319" s="5">
        <v>321</v>
      </c>
      <c r="I319" s="3" t="s">
        <v>771</v>
      </c>
      <c r="J319" s="3">
        <v>5</v>
      </c>
      <c r="K319" s="3">
        <v>3</v>
      </c>
      <c r="L319" s="3" t="s">
        <v>2907</v>
      </c>
      <c r="M319" s="4" t="s">
        <v>807</v>
      </c>
      <c r="N319" s="4"/>
      <c r="O319" s="4"/>
      <c r="P319" s="4"/>
    </row>
    <row r="320" spans="1:16" ht="12.45" x14ac:dyDescent="0.2">
      <c r="A320" s="3" t="s">
        <v>13</v>
      </c>
      <c r="B320" t="s">
        <v>829</v>
      </c>
      <c r="C320" t="s">
        <v>2959</v>
      </c>
      <c r="D320" t="s">
        <v>22</v>
      </c>
      <c r="E320" t="s">
        <v>23</v>
      </c>
      <c r="F320" t="s">
        <v>182</v>
      </c>
      <c r="G320" s="3" t="s">
        <v>830</v>
      </c>
      <c r="H320" s="5">
        <v>321</v>
      </c>
      <c r="I320" s="3" t="s">
        <v>771</v>
      </c>
      <c r="J320" s="3">
        <v>5</v>
      </c>
      <c r="K320" s="3">
        <v>4</v>
      </c>
      <c r="L320" s="3" t="s">
        <v>2907</v>
      </c>
      <c r="M320" s="4" t="s">
        <v>831</v>
      </c>
      <c r="N320" s="4"/>
      <c r="O320" s="4"/>
      <c r="P320" s="4"/>
    </row>
    <row r="321" spans="1:16" ht="12.45" x14ac:dyDescent="0.2">
      <c r="A321" s="3" t="s">
        <v>13</v>
      </c>
      <c r="B321" t="s">
        <v>774</v>
      </c>
      <c r="C321" t="s">
        <v>2944</v>
      </c>
      <c r="D321" t="s">
        <v>16</v>
      </c>
      <c r="E321" t="s">
        <v>142</v>
      </c>
      <c r="F321" t="s">
        <v>18</v>
      </c>
      <c r="G321" s="3" t="s">
        <v>775</v>
      </c>
      <c r="H321" s="5">
        <v>316</v>
      </c>
      <c r="I321" s="3" t="s">
        <v>771</v>
      </c>
      <c r="J321" s="3">
        <v>2</v>
      </c>
      <c r="K321" s="3">
        <v>1</v>
      </c>
      <c r="L321" s="3" t="s">
        <v>2907</v>
      </c>
      <c r="M321" s="4"/>
      <c r="N321" s="4"/>
      <c r="O321" s="4"/>
      <c r="P321" s="4"/>
    </row>
    <row r="322" spans="1:16" ht="12.45" x14ac:dyDescent="0.2">
      <c r="A322" s="3" t="s">
        <v>13</v>
      </c>
      <c r="B322" t="s">
        <v>776</v>
      </c>
      <c r="C322" t="s">
        <v>3027</v>
      </c>
      <c r="D322" t="s">
        <v>22</v>
      </c>
      <c r="E322" t="s">
        <v>23</v>
      </c>
      <c r="F322" t="s">
        <v>18</v>
      </c>
      <c r="G322" s="3" t="s">
        <v>777</v>
      </c>
      <c r="H322" s="5">
        <v>317</v>
      </c>
      <c r="I322" s="3" t="s">
        <v>771</v>
      </c>
      <c r="J322" s="3">
        <v>2</v>
      </c>
      <c r="K322" s="3">
        <v>1</v>
      </c>
      <c r="L322" s="3" t="s">
        <v>2907</v>
      </c>
      <c r="M322" s="4"/>
      <c r="N322" s="4"/>
      <c r="O322" s="4"/>
      <c r="P322" s="4"/>
    </row>
    <row r="323" spans="1:16" ht="12.45" x14ac:dyDescent="0.2">
      <c r="A323" s="3" t="s">
        <v>13</v>
      </c>
      <c r="B323" t="s">
        <v>778</v>
      </c>
      <c r="C323" t="s">
        <v>2944</v>
      </c>
      <c r="D323" t="s">
        <v>22</v>
      </c>
      <c r="E323" t="s">
        <v>23</v>
      </c>
      <c r="F323" t="s">
        <v>18</v>
      </c>
      <c r="G323" s="3" t="s">
        <v>779</v>
      </c>
      <c r="H323" s="5">
        <v>316</v>
      </c>
      <c r="I323" s="3" t="s">
        <v>771</v>
      </c>
      <c r="J323" s="3">
        <v>3</v>
      </c>
      <c r="K323" s="3">
        <v>1</v>
      </c>
      <c r="L323" s="3" t="s">
        <v>2907</v>
      </c>
      <c r="M323" s="4" t="s">
        <v>772</v>
      </c>
      <c r="N323" s="4"/>
      <c r="O323" s="4"/>
      <c r="P323" s="4"/>
    </row>
    <row r="324" spans="1:16" ht="12.45" x14ac:dyDescent="0.2">
      <c r="A324" s="3" t="s">
        <v>13</v>
      </c>
      <c r="B324" t="s">
        <v>780</v>
      </c>
      <c r="C324" t="s">
        <v>2945</v>
      </c>
      <c r="D324" t="s">
        <v>16</v>
      </c>
      <c r="E324" t="s">
        <v>23</v>
      </c>
      <c r="F324" t="s">
        <v>18</v>
      </c>
      <c r="G324" s="3" t="s">
        <v>781</v>
      </c>
      <c r="H324" s="5">
        <v>316</v>
      </c>
      <c r="I324" s="3" t="s">
        <v>771</v>
      </c>
      <c r="J324" s="3">
        <v>3</v>
      </c>
      <c r="K324" s="3">
        <v>1</v>
      </c>
      <c r="L324" s="3" t="s">
        <v>2907</v>
      </c>
      <c r="M324" s="4" t="s">
        <v>769</v>
      </c>
      <c r="N324" s="4"/>
      <c r="O324" s="4"/>
      <c r="P324" s="4"/>
    </row>
    <row r="325" spans="1:16" ht="12.45" x14ac:dyDescent="0.2">
      <c r="A325" s="3" t="s">
        <v>13</v>
      </c>
      <c r="B325" t="s">
        <v>782</v>
      </c>
      <c r="C325" t="s">
        <v>2939</v>
      </c>
      <c r="D325" t="s">
        <v>16</v>
      </c>
      <c r="E325" t="s">
        <v>23</v>
      </c>
      <c r="F325" t="s">
        <v>18</v>
      </c>
      <c r="G325" s="3" t="s">
        <v>783</v>
      </c>
      <c r="H325" s="5">
        <v>316</v>
      </c>
      <c r="I325" s="3" t="s">
        <v>771</v>
      </c>
      <c r="J325" s="3">
        <v>3</v>
      </c>
      <c r="K325" s="3">
        <v>1</v>
      </c>
      <c r="L325" s="3" t="s">
        <v>2907</v>
      </c>
      <c r="M325" s="4"/>
      <c r="N325" s="4"/>
      <c r="O325" s="4"/>
      <c r="P325" s="4"/>
    </row>
    <row r="326" spans="1:16" ht="12.45" x14ac:dyDescent="0.2">
      <c r="A326" s="3" t="s">
        <v>13</v>
      </c>
      <c r="B326" t="s">
        <v>784</v>
      </c>
      <c r="C326" t="s">
        <v>2944</v>
      </c>
      <c r="D326" t="s">
        <v>22</v>
      </c>
      <c r="E326" t="s">
        <v>23</v>
      </c>
      <c r="F326" t="s">
        <v>18</v>
      </c>
      <c r="G326" s="3" t="s">
        <v>785</v>
      </c>
      <c r="H326" s="5">
        <v>316</v>
      </c>
      <c r="I326" s="3" t="s">
        <v>771</v>
      </c>
      <c r="J326" s="3">
        <v>4</v>
      </c>
      <c r="K326" s="3">
        <v>1</v>
      </c>
      <c r="L326" s="3" t="s">
        <v>2907</v>
      </c>
      <c r="M326" s="4" t="s">
        <v>782</v>
      </c>
      <c r="N326" s="4"/>
      <c r="O326" s="4"/>
      <c r="P326" s="4"/>
    </row>
    <row r="327" spans="1:16" ht="12.45" x14ac:dyDescent="0.2">
      <c r="A327" s="3" t="s">
        <v>13</v>
      </c>
      <c r="B327" t="s">
        <v>789</v>
      </c>
      <c r="C327" t="s">
        <v>147</v>
      </c>
      <c r="D327" t="s">
        <v>22</v>
      </c>
      <c r="E327" t="s">
        <v>23</v>
      </c>
      <c r="F327" t="s">
        <v>18</v>
      </c>
      <c r="G327" s="3" t="s">
        <v>790</v>
      </c>
      <c r="H327" s="5">
        <v>317</v>
      </c>
      <c r="I327" s="3" t="s">
        <v>771</v>
      </c>
      <c r="J327" s="3">
        <v>3</v>
      </c>
      <c r="K327" s="3">
        <v>2</v>
      </c>
      <c r="L327" s="3" t="s">
        <v>2907</v>
      </c>
      <c r="M327" s="4" t="s">
        <v>778</v>
      </c>
      <c r="N327" s="4"/>
      <c r="O327" s="4"/>
      <c r="P327" s="4"/>
    </row>
    <row r="328" spans="1:16" ht="12.45" x14ac:dyDescent="0.2">
      <c r="A328" s="3" t="s">
        <v>13</v>
      </c>
      <c r="B328" t="s">
        <v>791</v>
      </c>
      <c r="C328" t="s">
        <v>2971</v>
      </c>
      <c r="D328" t="s">
        <v>22</v>
      </c>
      <c r="E328" t="s">
        <v>23</v>
      </c>
      <c r="F328" t="s">
        <v>18</v>
      </c>
      <c r="G328" s="3" t="s">
        <v>792</v>
      </c>
      <c r="H328" s="5">
        <v>317</v>
      </c>
      <c r="I328" s="3" t="s">
        <v>771</v>
      </c>
      <c r="J328" s="3">
        <v>3</v>
      </c>
      <c r="K328" s="3">
        <v>2</v>
      </c>
      <c r="L328" s="3" t="s">
        <v>2907</v>
      </c>
      <c r="M328" s="4"/>
      <c r="N328" s="4"/>
      <c r="O328" s="4"/>
      <c r="P328" s="4"/>
    </row>
    <row r="329" spans="1:16" ht="12.45" x14ac:dyDescent="0.2">
      <c r="A329" s="3" t="s">
        <v>13</v>
      </c>
      <c r="B329" t="s">
        <v>794</v>
      </c>
      <c r="C329" t="s">
        <v>2940</v>
      </c>
      <c r="D329" t="s">
        <v>22</v>
      </c>
      <c r="E329" t="s">
        <v>23</v>
      </c>
      <c r="F329" t="s">
        <v>18</v>
      </c>
      <c r="G329" s="3" t="s">
        <v>795</v>
      </c>
      <c r="H329" s="5">
        <v>317</v>
      </c>
      <c r="I329" s="3" t="s">
        <v>771</v>
      </c>
      <c r="J329" s="3">
        <v>4</v>
      </c>
      <c r="K329" s="3">
        <v>2</v>
      </c>
      <c r="L329" s="3" t="s">
        <v>2907</v>
      </c>
      <c r="M329" s="4" t="s">
        <v>780</v>
      </c>
      <c r="N329" s="4"/>
      <c r="O329" s="4"/>
      <c r="P329" s="4"/>
    </row>
    <row r="330" spans="1:16" ht="12.45" x14ac:dyDescent="0.2">
      <c r="A330" s="3" t="s">
        <v>13</v>
      </c>
      <c r="B330" t="s">
        <v>796</v>
      </c>
      <c r="C330" t="s">
        <v>3026</v>
      </c>
      <c r="D330" t="s">
        <v>22</v>
      </c>
      <c r="E330" t="s">
        <v>23</v>
      </c>
      <c r="F330" t="s">
        <v>18</v>
      </c>
      <c r="G330" s="3" t="s">
        <v>797</v>
      </c>
      <c r="H330" s="5">
        <v>318</v>
      </c>
      <c r="I330" s="3" t="s">
        <v>771</v>
      </c>
      <c r="J330" s="3">
        <v>4</v>
      </c>
      <c r="K330" s="3">
        <v>2</v>
      </c>
      <c r="L330" s="3" t="s">
        <v>2907</v>
      </c>
      <c r="M330" s="3" t="s">
        <v>791</v>
      </c>
      <c r="N330" s="3"/>
      <c r="O330" s="3"/>
      <c r="P330" s="3"/>
    </row>
    <row r="331" spans="1:16" ht="12.45" x14ac:dyDescent="0.2">
      <c r="A331" s="3" t="s">
        <v>13</v>
      </c>
      <c r="B331" t="s">
        <v>798</v>
      </c>
      <c r="C331" t="s">
        <v>2939</v>
      </c>
      <c r="D331" t="s">
        <v>22</v>
      </c>
      <c r="E331" t="s">
        <v>23</v>
      </c>
      <c r="F331" t="s">
        <v>18</v>
      </c>
      <c r="G331" s="3" t="s">
        <v>799</v>
      </c>
      <c r="H331" s="5">
        <v>318</v>
      </c>
      <c r="I331" s="3" t="s">
        <v>771</v>
      </c>
      <c r="J331" s="3">
        <v>4</v>
      </c>
      <c r="K331" s="3">
        <v>2</v>
      </c>
      <c r="L331" s="3" t="s">
        <v>2907</v>
      </c>
      <c r="M331" s="3" t="s">
        <v>784</v>
      </c>
      <c r="N331" s="3"/>
      <c r="O331" s="3"/>
      <c r="P331" s="3"/>
    </row>
    <row r="332" spans="1:16" ht="12.45" x14ac:dyDescent="0.2">
      <c r="A332" s="3" t="s">
        <v>13</v>
      </c>
      <c r="B332" t="s">
        <v>800</v>
      </c>
      <c r="C332" t="s">
        <v>2948</v>
      </c>
      <c r="D332" t="s">
        <v>16</v>
      </c>
      <c r="E332" t="s">
        <v>142</v>
      </c>
      <c r="F332" t="s">
        <v>18</v>
      </c>
      <c r="G332" s="3" t="s">
        <v>801</v>
      </c>
      <c r="H332" s="5">
        <v>319</v>
      </c>
      <c r="I332" s="3" t="s">
        <v>771</v>
      </c>
      <c r="J332" s="3">
        <v>4</v>
      </c>
      <c r="K332" s="3">
        <v>2</v>
      </c>
      <c r="L332" s="3" t="s">
        <v>2907</v>
      </c>
      <c r="M332" s="3" t="s">
        <v>774</v>
      </c>
      <c r="N332" s="3"/>
      <c r="O332" s="3"/>
      <c r="P332" s="3"/>
    </row>
    <row r="333" spans="1:16" ht="12.45" x14ac:dyDescent="0.2">
      <c r="A333" s="3" t="s">
        <v>13</v>
      </c>
      <c r="B333" t="s">
        <v>804</v>
      </c>
      <c r="C333" t="s">
        <v>2970</v>
      </c>
      <c r="D333" t="s">
        <v>16</v>
      </c>
      <c r="E333" t="s">
        <v>23</v>
      </c>
      <c r="F333" t="s">
        <v>18</v>
      </c>
      <c r="G333" s="3" t="s">
        <v>805</v>
      </c>
      <c r="H333" s="5">
        <v>319</v>
      </c>
      <c r="I333" s="3" t="s">
        <v>771</v>
      </c>
      <c r="J333" s="3">
        <v>5</v>
      </c>
      <c r="K333" s="3">
        <v>2</v>
      </c>
      <c r="L333" s="3" t="s">
        <v>2907</v>
      </c>
      <c r="M333" s="3" t="s">
        <v>806</v>
      </c>
      <c r="N333" s="3"/>
      <c r="O333" s="3"/>
      <c r="P333" s="3"/>
    </row>
    <row r="334" spans="1:16" ht="12.45" x14ac:dyDescent="0.2">
      <c r="A334" s="3" t="s">
        <v>13</v>
      </c>
      <c r="B334" t="s">
        <v>809</v>
      </c>
      <c r="C334" t="s">
        <v>2942</v>
      </c>
      <c r="D334" t="s">
        <v>22</v>
      </c>
      <c r="E334" t="s">
        <v>23</v>
      </c>
      <c r="F334" t="s">
        <v>18</v>
      </c>
      <c r="G334" s="3" t="s">
        <v>810</v>
      </c>
      <c r="H334" s="5">
        <v>320</v>
      </c>
      <c r="I334" s="3" t="s">
        <v>771</v>
      </c>
      <c r="J334" s="3">
        <v>4</v>
      </c>
      <c r="K334" s="3">
        <v>3</v>
      </c>
      <c r="L334" s="3" t="s">
        <v>2907</v>
      </c>
      <c r="M334" s="4" t="s">
        <v>774</v>
      </c>
      <c r="N334" s="4"/>
      <c r="O334" s="4"/>
      <c r="P334" s="4"/>
    </row>
    <row r="335" spans="1:16" ht="12.45" x14ac:dyDescent="0.2">
      <c r="A335" s="3" t="s">
        <v>13</v>
      </c>
      <c r="B335" t="s">
        <v>811</v>
      </c>
      <c r="C335" t="s">
        <v>2938</v>
      </c>
      <c r="D335" t="s">
        <v>22</v>
      </c>
      <c r="E335" t="s">
        <v>23</v>
      </c>
      <c r="F335" t="s">
        <v>18</v>
      </c>
      <c r="G335" s="3" t="s">
        <v>812</v>
      </c>
      <c r="H335" s="5">
        <v>321</v>
      </c>
      <c r="I335" s="3" t="s">
        <v>771</v>
      </c>
      <c r="J335" s="3">
        <v>4</v>
      </c>
      <c r="K335" s="3">
        <v>3</v>
      </c>
      <c r="L335" s="3" t="s">
        <v>2907</v>
      </c>
      <c r="M335" s="3" t="s">
        <v>776</v>
      </c>
      <c r="N335" s="3"/>
      <c r="O335" s="3"/>
      <c r="P335" s="3"/>
    </row>
    <row r="336" spans="1:16" ht="12.45" x14ac:dyDescent="0.2">
      <c r="A336" s="3" t="s">
        <v>13</v>
      </c>
      <c r="B336" t="s">
        <v>813</v>
      </c>
      <c r="C336" t="s">
        <v>2970</v>
      </c>
      <c r="D336" t="s">
        <v>22</v>
      </c>
      <c r="E336" t="s">
        <v>23</v>
      </c>
      <c r="F336" t="s">
        <v>18</v>
      </c>
      <c r="G336" s="3" t="s">
        <v>814</v>
      </c>
      <c r="H336" s="5">
        <v>320</v>
      </c>
      <c r="I336" s="3" t="s">
        <v>771</v>
      </c>
      <c r="J336" s="3">
        <v>5</v>
      </c>
      <c r="K336" s="3">
        <v>3</v>
      </c>
      <c r="L336" s="3" t="s">
        <v>2907</v>
      </c>
      <c r="M336" s="3" t="s">
        <v>815</v>
      </c>
      <c r="N336" s="3"/>
      <c r="O336" s="3"/>
      <c r="P336" s="3"/>
    </row>
    <row r="337" spans="1:16" ht="12.45" x14ac:dyDescent="0.2">
      <c r="A337" s="3" t="s">
        <v>13</v>
      </c>
      <c r="B337" t="s">
        <v>816</v>
      </c>
      <c r="C337" t="s">
        <v>2948</v>
      </c>
      <c r="D337" t="s">
        <v>16</v>
      </c>
      <c r="E337" t="s">
        <v>23</v>
      </c>
      <c r="F337" t="s">
        <v>18</v>
      </c>
      <c r="G337" s="3" t="s">
        <v>817</v>
      </c>
      <c r="H337" s="5">
        <v>320</v>
      </c>
      <c r="I337" s="3" t="s">
        <v>771</v>
      </c>
      <c r="J337" s="3">
        <v>5</v>
      </c>
      <c r="K337" s="3">
        <v>3</v>
      </c>
      <c r="L337" s="3" t="s">
        <v>2907</v>
      </c>
      <c r="M337" s="6" t="s">
        <v>804</v>
      </c>
      <c r="N337" s="6"/>
      <c r="O337" s="6"/>
      <c r="P337" s="6"/>
    </row>
    <row r="338" spans="1:16" ht="12.45" x14ac:dyDescent="0.2">
      <c r="A338" s="3" t="s">
        <v>13</v>
      </c>
      <c r="B338" t="s">
        <v>818</v>
      </c>
      <c r="C338" t="s">
        <v>3025</v>
      </c>
      <c r="D338" t="s">
        <v>16</v>
      </c>
      <c r="E338" t="s">
        <v>23</v>
      </c>
      <c r="F338" t="s">
        <v>18</v>
      </c>
      <c r="G338" s="3" t="s">
        <v>819</v>
      </c>
      <c r="H338" s="5">
        <v>320</v>
      </c>
      <c r="I338" s="3" t="s">
        <v>771</v>
      </c>
      <c r="J338" s="3">
        <v>5</v>
      </c>
      <c r="K338" s="3">
        <v>3</v>
      </c>
      <c r="L338" s="3" t="s">
        <v>2907</v>
      </c>
      <c r="M338" s="4" t="s">
        <v>820</v>
      </c>
      <c r="N338" s="4"/>
      <c r="O338" s="4"/>
      <c r="P338" s="4"/>
    </row>
    <row r="339" spans="1:16" ht="12.45" x14ac:dyDescent="0.2">
      <c r="A339" s="3" t="s">
        <v>13</v>
      </c>
      <c r="B339" t="s">
        <v>821</v>
      </c>
      <c r="C339" t="s">
        <v>2938</v>
      </c>
      <c r="D339" t="s">
        <v>16</v>
      </c>
      <c r="E339" t="s">
        <v>142</v>
      </c>
      <c r="F339" t="s">
        <v>18</v>
      </c>
      <c r="G339" s="3" t="s">
        <v>822</v>
      </c>
      <c r="H339" s="5">
        <v>321</v>
      </c>
      <c r="I339" s="3" t="s">
        <v>771</v>
      </c>
      <c r="J339" s="3">
        <v>5</v>
      </c>
      <c r="K339" s="3">
        <v>3</v>
      </c>
      <c r="L339" s="3" t="s">
        <v>2907</v>
      </c>
      <c r="M339" s="6" t="s">
        <v>786</v>
      </c>
      <c r="N339" s="6"/>
      <c r="O339" s="6"/>
      <c r="P339" s="6"/>
    </row>
    <row r="340" spans="1:16" ht="12.45" x14ac:dyDescent="0.2">
      <c r="A340" s="3" t="s">
        <v>13</v>
      </c>
      <c r="B340" s="3" t="s">
        <v>825</v>
      </c>
      <c r="C340" s="3" t="s">
        <v>71</v>
      </c>
      <c r="D340" s="3" t="s">
        <v>28</v>
      </c>
      <c r="E340" s="3" t="s">
        <v>142</v>
      </c>
      <c r="F340" s="3" t="s">
        <v>18</v>
      </c>
      <c r="G340" s="3"/>
      <c r="H340" s="5" t="s">
        <v>826</v>
      </c>
      <c r="I340" s="3" t="s">
        <v>771</v>
      </c>
      <c r="J340" s="5">
        <v>5</v>
      </c>
      <c r="K340" s="5">
        <v>3</v>
      </c>
      <c r="L340" s="3" t="s">
        <v>2907</v>
      </c>
      <c r="M340" s="4" t="s">
        <v>802</v>
      </c>
      <c r="N340" s="4"/>
      <c r="O340" s="4"/>
      <c r="P340" s="4"/>
    </row>
    <row r="341" spans="1:16" ht="12.45" x14ac:dyDescent="0.2">
      <c r="A341" s="3" t="s">
        <v>13</v>
      </c>
      <c r="B341" t="s">
        <v>827</v>
      </c>
      <c r="C341" t="s">
        <v>2970</v>
      </c>
      <c r="D341" t="s">
        <v>22</v>
      </c>
      <c r="E341" t="s">
        <v>23</v>
      </c>
      <c r="F341" t="s">
        <v>18</v>
      </c>
      <c r="G341" s="3" t="s">
        <v>828</v>
      </c>
      <c r="H341" s="5">
        <v>320</v>
      </c>
      <c r="I341" s="3" t="s">
        <v>771</v>
      </c>
      <c r="J341" s="3">
        <v>5</v>
      </c>
      <c r="K341" s="3">
        <v>4</v>
      </c>
      <c r="L341" s="3" t="s">
        <v>2907</v>
      </c>
      <c r="M341" s="6" t="s">
        <v>813</v>
      </c>
      <c r="N341" s="6"/>
      <c r="O341" s="6"/>
      <c r="P341" s="6"/>
    </row>
    <row r="342" spans="1:16" ht="12.45" x14ac:dyDescent="0.2">
      <c r="A342" s="3" t="s">
        <v>13</v>
      </c>
      <c r="B342" t="s">
        <v>834</v>
      </c>
      <c r="C342" t="s">
        <v>147</v>
      </c>
      <c r="D342" t="s">
        <v>22</v>
      </c>
      <c r="E342" t="s">
        <v>142</v>
      </c>
      <c r="F342" t="s">
        <v>18</v>
      </c>
      <c r="G342" s="3" t="s">
        <v>835</v>
      </c>
      <c r="H342" s="5">
        <v>322</v>
      </c>
      <c r="I342" s="3" t="s">
        <v>771</v>
      </c>
      <c r="J342" s="3">
        <v>5</v>
      </c>
      <c r="K342" s="3">
        <v>5</v>
      </c>
      <c r="L342" s="3" t="s">
        <v>2907</v>
      </c>
      <c r="M342" s="4" t="s">
        <v>832</v>
      </c>
      <c r="N342" s="4"/>
      <c r="O342" s="4"/>
      <c r="P342" s="4"/>
    </row>
    <row r="343" spans="1:16" ht="12.45" x14ac:dyDescent="0.2">
      <c r="A343" s="3" t="s">
        <v>13</v>
      </c>
      <c r="B343" t="s">
        <v>832</v>
      </c>
      <c r="C343" t="s">
        <v>2940</v>
      </c>
      <c r="D343" t="s">
        <v>22</v>
      </c>
      <c r="E343" t="s">
        <v>23</v>
      </c>
      <c r="F343" t="s">
        <v>615</v>
      </c>
      <c r="G343" s="3" t="s">
        <v>833</v>
      </c>
      <c r="H343" s="5">
        <v>322</v>
      </c>
      <c r="I343" s="3" t="s">
        <v>771</v>
      </c>
      <c r="J343" s="3">
        <v>5</v>
      </c>
      <c r="K343" s="3">
        <v>5</v>
      </c>
      <c r="L343" s="3" t="s">
        <v>2907</v>
      </c>
      <c r="M343" s="6" t="s">
        <v>829</v>
      </c>
      <c r="N343" s="6"/>
      <c r="O343" s="6"/>
      <c r="P343" s="6"/>
    </row>
    <row r="344" spans="1:16" ht="12.45" x14ac:dyDescent="0.2">
      <c r="A344" s="3" t="s">
        <v>13</v>
      </c>
      <c r="B344" t="s">
        <v>769</v>
      </c>
      <c r="C344" t="s">
        <v>147</v>
      </c>
      <c r="D344" t="s">
        <v>148</v>
      </c>
      <c r="E344" t="s">
        <v>23</v>
      </c>
      <c r="F344" t="s">
        <v>148</v>
      </c>
      <c r="G344" s="3" t="s">
        <v>770</v>
      </c>
      <c r="H344" s="5">
        <v>315</v>
      </c>
      <c r="I344" s="3" t="s">
        <v>771</v>
      </c>
      <c r="J344" s="3">
        <v>1</v>
      </c>
      <c r="K344" s="3">
        <v>1</v>
      </c>
      <c r="L344" s="3" t="s">
        <v>2907</v>
      </c>
      <c r="M344" s="4"/>
      <c r="N344" s="4"/>
      <c r="O344" s="4"/>
      <c r="P344" s="4"/>
    </row>
    <row r="345" spans="1:16" ht="12.45" x14ac:dyDescent="0.2">
      <c r="A345" s="3" t="s">
        <v>13</v>
      </c>
      <c r="B345" s="3" t="s">
        <v>793</v>
      </c>
      <c r="C345" s="3" t="s">
        <v>147</v>
      </c>
      <c r="D345" s="3" t="s">
        <v>148</v>
      </c>
      <c r="E345" s="3" t="s">
        <v>23</v>
      </c>
      <c r="F345" s="3" t="s">
        <v>148</v>
      </c>
      <c r="G345" s="3"/>
      <c r="H345" s="5" t="s">
        <v>725</v>
      </c>
      <c r="I345" s="3" t="s">
        <v>771</v>
      </c>
      <c r="J345" s="5">
        <v>3</v>
      </c>
      <c r="K345" s="5">
        <v>2</v>
      </c>
      <c r="L345" s="3" t="s">
        <v>2907</v>
      </c>
      <c r="M345" s="3" t="s">
        <v>772</v>
      </c>
      <c r="N345" s="3"/>
      <c r="O345" s="3"/>
      <c r="P345" s="3"/>
    </row>
    <row r="346" spans="1:16" ht="12.45" x14ac:dyDescent="0.2">
      <c r="A346" s="3" t="s">
        <v>13</v>
      </c>
      <c r="B346" t="s">
        <v>807</v>
      </c>
      <c r="C346" t="s">
        <v>3024</v>
      </c>
      <c r="D346" t="s">
        <v>148</v>
      </c>
      <c r="E346" t="s">
        <v>142</v>
      </c>
      <c r="F346" t="s">
        <v>148</v>
      </c>
      <c r="G346" s="3" t="s">
        <v>808</v>
      </c>
      <c r="H346" s="5">
        <v>319</v>
      </c>
      <c r="I346" s="3" t="s">
        <v>771</v>
      </c>
      <c r="J346" s="3">
        <v>5</v>
      </c>
      <c r="K346" s="3">
        <v>2</v>
      </c>
      <c r="L346" s="3" t="s">
        <v>2907</v>
      </c>
      <c r="M346" s="3" t="s">
        <v>786</v>
      </c>
      <c r="N346" s="3"/>
      <c r="O346" s="3"/>
      <c r="P346" s="3"/>
    </row>
    <row r="347" spans="1:16" ht="12.45" x14ac:dyDescent="0.2">
      <c r="A347" s="3" t="s">
        <v>13</v>
      </c>
      <c r="B347" t="s">
        <v>772</v>
      </c>
      <c r="C347" t="s">
        <v>2948</v>
      </c>
      <c r="D347" t="s">
        <v>22</v>
      </c>
      <c r="E347" t="s">
        <v>23</v>
      </c>
      <c r="F347" t="s">
        <v>44</v>
      </c>
      <c r="G347" s="3" t="s">
        <v>773</v>
      </c>
      <c r="H347" s="5">
        <v>315</v>
      </c>
      <c r="I347" s="3" t="s">
        <v>771</v>
      </c>
      <c r="J347" s="3">
        <v>2</v>
      </c>
      <c r="K347" s="3">
        <v>1</v>
      </c>
      <c r="L347" s="3" t="s">
        <v>2907</v>
      </c>
      <c r="M347" s="3" t="s">
        <v>769</v>
      </c>
      <c r="N347" s="3"/>
      <c r="O347" s="3"/>
      <c r="P347" s="3"/>
    </row>
    <row r="348" spans="1:16" ht="12.45" x14ac:dyDescent="0.2">
      <c r="A348" s="3" t="s">
        <v>13</v>
      </c>
      <c r="B348" t="s">
        <v>786</v>
      </c>
      <c r="C348" t="s">
        <v>2948</v>
      </c>
      <c r="D348" t="s">
        <v>28</v>
      </c>
      <c r="E348" t="s">
        <v>23</v>
      </c>
      <c r="F348" t="s">
        <v>787</v>
      </c>
      <c r="G348" s="3" t="s">
        <v>788</v>
      </c>
      <c r="H348" s="5">
        <v>317</v>
      </c>
      <c r="I348" s="3" t="s">
        <v>771</v>
      </c>
      <c r="J348" s="3">
        <v>4</v>
      </c>
      <c r="K348" s="3">
        <v>1</v>
      </c>
      <c r="L348" s="3" t="s">
        <v>2907</v>
      </c>
      <c r="M348" s="4"/>
      <c r="N348" s="4"/>
      <c r="O348" s="4"/>
      <c r="P348" s="4"/>
    </row>
    <row r="349" spans="1:16" ht="12.45" x14ac:dyDescent="0.2">
      <c r="A349" s="3" t="s">
        <v>13</v>
      </c>
      <c r="B349" t="s">
        <v>1612</v>
      </c>
      <c r="C349" t="s">
        <v>2939</v>
      </c>
      <c r="D349" t="s">
        <v>22</v>
      </c>
      <c r="E349" t="s">
        <v>23</v>
      </c>
      <c r="F349" t="s">
        <v>615</v>
      </c>
      <c r="G349" s="3" t="s">
        <v>1613</v>
      </c>
      <c r="H349" s="5">
        <v>390</v>
      </c>
      <c r="I349" s="3" t="s">
        <v>1571</v>
      </c>
      <c r="J349" s="3">
        <v>5</v>
      </c>
      <c r="K349" s="3">
        <v>2</v>
      </c>
      <c r="L349" s="3" t="s">
        <v>2905</v>
      </c>
      <c r="M349" s="6" t="s">
        <v>1609</v>
      </c>
      <c r="N349" s="6"/>
      <c r="O349" s="6"/>
      <c r="P349" s="6"/>
    </row>
    <row r="350" spans="1:16" ht="12.45" x14ac:dyDescent="0.2">
      <c r="A350" s="3" t="s">
        <v>13</v>
      </c>
      <c r="B350" t="s">
        <v>1569</v>
      </c>
      <c r="C350" t="s">
        <v>147</v>
      </c>
      <c r="D350" t="s">
        <v>148</v>
      </c>
      <c r="E350" t="s">
        <v>23</v>
      </c>
      <c r="F350" t="s">
        <v>148</v>
      </c>
      <c r="G350" s="3" t="s">
        <v>1570</v>
      </c>
      <c r="H350" s="5">
        <v>386</v>
      </c>
      <c r="I350" s="3" t="s">
        <v>1571</v>
      </c>
      <c r="J350" s="3">
        <v>3</v>
      </c>
      <c r="K350" s="3">
        <v>1</v>
      </c>
      <c r="L350" s="3" t="s">
        <v>2905</v>
      </c>
      <c r="M350" s="6"/>
      <c r="N350" s="6"/>
      <c r="O350" s="6"/>
      <c r="P350" s="6"/>
    </row>
    <row r="351" spans="1:16" ht="12.45" x14ac:dyDescent="0.2">
      <c r="A351" s="3" t="s">
        <v>13</v>
      </c>
      <c r="B351" t="s">
        <v>1572</v>
      </c>
      <c r="C351" t="s">
        <v>147</v>
      </c>
      <c r="D351" t="s">
        <v>148</v>
      </c>
      <c r="E351" t="s">
        <v>23</v>
      </c>
      <c r="F351" t="s">
        <v>148</v>
      </c>
      <c r="G351" s="3" t="s">
        <v>1573</v>
      </c>
      <c r="H351" s="5">
        <v>386</v>
      </c>
      <c r="I351" s="3" t="s">
        <v>1571</v>
      </c>
      <c r="J351" s="3">
        <v>3</v>
      </c>
      <c r="K351" s="3">
        <v>1</v>
      </c>
      <c r="L351" s="3" t="s">
        <v>2905</v>
      </c>
      <c r="M351" s="6" t="s">
        <v>1569</v>
      </c>
      <c r="N351" s="6"/>
      <c r="O351" s="6"/>
      <c r="P351" s="6"/>
    </row>
    <row r="352" spans="1:16" ht="12.45" x14ac:dyDescent="0.2">
      <c r="A352" s="3" t="s">
        <v>13</v>
      </c>
      <c r="B352" t="s">
        <v>1581</v>
      </c>
      <c r="C352" t="s">
        <v>147</v>
      </c>
      <c r="D352" t="s">
        <v>148</v>
      </c>
      <c r="E352" t="s">
        <v>23</v>
      </c>
      <c r="F352" t="s">
        <v>148</v>
      </c>
      <c r="G352" s="3" t="s">
        <v>1582</v>
      </c>
      <c r="H352" s="5">
        <v>386</v>
      </c>
      <c r="I352" s="3" t="s">
        <v>1571</v>
      </c>
      <c r="J352" s="3">
        <v>5</v>
      </c>
      <c r="K352" s="3">
        <v>1</v>
      </c>
      <c r="L352" s="3" t="s">
        <v>2905</v>
      </c>
      <c r="M352" s="6" t="s">
        <v>1569</v>
      </c>
      <c r="N352" s="6"/>
      <c r="O352" s="6"/>
      <c r="P352" s="6"/>
    </row>
    <row r="353" spans="1:16" ht="12.45" x14ac:dyDescent="0.2">
      <c r="A353" s="3" t="s">
        <v>13</v>
      </c>
      <c r="B353" t="s">
        <v>1583</v>
      </c>
      <c r="C353" t="s">
        <v>147</v>
      </c>
      <c r="D353" t="s">
        <v>148</v>
      </c>
      <c r="E353" t="s">
        <v>23</v>
      </c>
      <c r="F353" t="s">
        <v>148</v>
      </c>
      <c r="G353" s="3" t="s">
        <v>1584</v>
      </c>
      <c r="H353" s="5">
        <v>387</v>
      </c>
      <c r="I353" s="3" t="s">
        <v>1571</v>
      </c>
      <c r="J353" s="3">
        <v>5</v>
      </c>
      <c r="K353" s="3">
        <v>1</v>
      </c>
      <c r="L353" s="3" t="s">
        <v>2905</v>
      </c>
      <c r="M353" s="6" t="s">
        <v>1576</v>
      </c>
      <c r="N353" s="6"/>
      <c r="O353" s="6"/>
      <c r="P353" s="6"/>
    </row>
    <row r="354" spans="1:16" ht="12.45" x14ac:dyDescent="0.2">
      <c r="A354" s="3" t="s">
        <v>13</v>
      </c>
      <c r="B354" t="s">
        <v>1595</v>
      </c>
      <c r="C354" t="s">
        <v>147</v>
      </c>
      <c r="D354" t="s">
        <v>148</v>
      </c>
      <c r="E354" t="s">
        <v>23</v>
      </c>
      <c r="F354" t="s">
        <v>148</v>
      </c>
      <c r="G354" s="3" t="s">
        <v>1596</v>
      </c>
      <c r="H354" s="5">
        <v>389</v>
      </c>
      <c r="I354" s="3" t="s">
        <v>1571</v>
      </c>
      <c r="J354" s="3">
        <v>4</v>
      </c>
      <c r="K354" s="3">
        <v>2</v>
      </c>
      <c r="L354" s="3" t="s">
        <v>2905</v>
      </c>
      <c r="M354" s="6" t="s">
        <v>1569</v>
      </c>
      <c r="N354" s="6"/>
      <c r="O354" s="6"/>
      <c r="P354" s="6"/>
    </row>
    <row r="355" spans="1:16" ht="12.45" x14ac:dyDescent="0.2">
      <c r="A355" s="3" t="s">
        <v>13</v>
      </c>
      <c r="B355" t="s">
        <v>1644</v>
      </c>
      <c r="C355" t="s">
        <v>147</v>
      </c>
      <c r="D355" t="s">
        <v>148</v>
      </c>
      <c r="E355" t="s">
        <v>1588</v>
      </c>
      <c r="F355" t="s">
        <v>148</v>
      </c>
      <c r="G355" s="3" t="s">
        <v>1645</v>
      </c>
      <c r="H355" s="5">
        <v>393</v>
      </c>
      <c r="I355" s="3" t="s">
        <v>1571</v>
      </c>
      <c r="J355" s="3">
        <v>5</v>
      </c>
      <c r="K355" s="3">
        <v>3</v>
      </c>
      <c r="L355" s="3" t="s">
        <v>2905</v>
      </c>
      <c r="M355" s="6" t="s">
        <v>1642</v>
      </c>
      <c r="N355" s="6"/>
      <c r="O355" s="6"/>
      <c r="P355" s="6"/>
    </row>
    <row r="356" spans="1:16" ht="12.45" x14ac:dyDescent="0.2">
      <c r="A356" s="3" t="s">
        <v>13</v>
      </c>
      <c r="B356" t="s">
        <v>1607</v>
      </c>
      <c r="C356" t="s">
        <v>2940</v>
      </c>
      <c r="D356" t="s">
        <v>28</v>
      </c>
      <c r="E356" t="s">
        <v>23</v>
      </c>
      <c r="F356" t="s">
        <v>44</v>
      </c>
      <c r="G356" s="3" t="s">
        <v>1608</v>
      </c>
      <c r="H356" s="5">
        <v>390</v>
      </c>
      <c r="I356" s="3" t="s">
        <v>1571</v>
      </c>
      <c r="J356" s="3">
        <v>5</v>
      </c>
      <c r="K356" s="3">
        <v>2</v>
      </c>
      <c r="L356" s="3" t="s">
        <v>2905</v>
      </c>
      <c r="M356" s="6" t="s">
        <v>1603</v>
      </c>
      <c r="N356" s="6"/>
      <c r="O356" s="6"/>
      <c r="P356" s="6"/>
    </row>
    <row r="357" spans="1:16" ht="12.45" x14ac:dyDescent="0.2">
      <c r="A357" s="3" t="s">
        <v>13</v>
      </c>
      <c r="B357" t="s">
        <v>1618</v>
      </c>
      <c r="C357" t="s">
        <v>2942</v>
      </c>
      <c r="D357" t="s">
        <v>22</v>
      </c>
      <c r="E357" t="s">
        <v>1588</v>
      </c>
      <c r="F357" t="s">
        <v>44</v>
      </c>
      <c r="G357" s="3" t="s">
        <v>1619</v>
      </c>
      <c r="H357" s="5">
        <v>390</v>
      </c>
      <c r="I357" s="3" t="s">
        <v>1571</v>
      </c>
      <c r="J357" s="3">
        <v>5</v>
      </c>
      <c r="K357" s="3">
        <v>2</v>
      </c>
      <c r="L357" s="3" t="s">
        <v>2905</v>
      </c>
      <c r="M357" s="6" t="s">
        <v>1587</v>
      </c>
      <c r="N357" s="6"/>
      <c r="O357" s="6"/>
      <c r="P357" s="6"/>
    </row>
    <row r="358" spans="1:16" ht="12.45" x14ac:dyDescent="0.2">
      <c r="A358" s="3" t="s">
        <v>13</v>
      </c>
      <c r="B358" t="s">
        <v>1633</v>
      </c>
      <c r="C358" t="s">
        <v>1634</v>
      </c>
      <c r="D358" t="s">
        <v>22</v>
      </c>
      <c r="E358" t="s">
        <v>23</v>
      </c>
      <c r="F358" t="s">
        <v>44</v>
      </c>
      <c r="G358" s="3" t="s">
        <v>1635</v>
      </c>
      <c r="H358" s="5">
        <v>392</v>
      </c>
      <c r="I358" s="3" t="s">
        <v>1571</v>
      </c>
      <c r="J358" s="3">
        <v>5</v>
      </c>
      <c r="K358" s="3">
        <v>3</v>
      </c>
      <c r="L358" s="3" t="s">
        <v>2905</v>
      </c>
      <c r="M358" s="6" t="s">
        <v>1636</v>
      </c>
      <c r="N358" s="6"/>
      <c r="O358" s="6"/>
      <c r="P358" s="6"/>
    </row>
    <row r="359" spans="1:16" ht="12.45" x14ac:dyDescent="0.2">
      <c r="A359" s="3" t="s">
        <v>13</v>
      </c>
      <c r="B359" t="s">
        <v>1638</v>
      </c>
      <c r="C359" t="s">
        <v>2938</v>
      </c>
      <c r="D359" t="s">
        <v>28</v>
      </c>
      <c r="E359" t="s">
        <v>23</v>
      </c>
      <c r="F359" t="s">
        <v>44</v>
      </c>
      <c r="G359" s="3" t="s">
        <v>1639</v>
      </c>
      <c r="H359" s="5">
        <v>392</v>
      </c>
      <c r="I359" s="3" t="s">
        <v>1571</v>
      </c>
      <c r="J359" s="3">
        <v>5</v>
      </c>
      <c r="K359" s="3">
        <v>3</v>
      </c>
      <c r="L359" s="3" t="s">
        <v>2905</v>
      </c>
      <c r="M359" s="6" t="s">
        <v>1587</v>
      </c>
      <c r="N359" s="6"/>
      <c r="O359" s="6"/>
      <c r="P359" s="6"/>
    </row>
    <row r="360" spans="1:16" ht="12.45" x14ac:dyDescent="0.2">
      <c r="A360" s="3" t="s">
        <v>13</v>
      </c>
      <c r="B360" t="s">
        <v>1646</v>
      </c>
      <c r="C360" t="s">
        <v>2938</v>
      </c>
      <c r="D360" t="s">
        <v>28</v>
      </c>
      <c r="E360" t="s">
        <v>23</v>
      </c>
      <c r="F360" t="s">
        <v>44</v>
      </c>
      <c r="G360" s="3" t="s">
        <v>1647</v>
      </c>
      <c r="H360" s="5">
        <v>393</v>
      </c>
      <c r="I360" s="3" t="s">
        <v>1571</v>
      </c>
      <c r="J360" s="3">
        <v>5</v>
      </c>
      <c r="K360" s="3">
        <v>3</v>
      </c>
      <c r="L360" s="3" t="s">
        <v>2905</v>
      </c>
      <c r="M360" s="6" t="s">
        <v>1648</v>
      </c>
      <c r="N360" s="6" t="b">
        <f>COUNTIFS(CharmSelectionCategory,"Sail")&gt;=10</f>
        <v>0</v>
      </c>
      <c r="O360" s="6"/>
      <c r="P360" s="6" t="s">
        <v>1648</v>
      </c>
    </row>
    <row r="361" spans="1:16" ht="12.45" x14ac:dyDescent="0.2">
      <c r="A361" s="3" t="s">
        <v>13</v>
      </c>
      <c r="B361" s="3" t="s">
        <v>1653</v>
      </c>
      <c r="C361" s="3" t="s">
        <v>264</v>
      </c>
      <c r="D361" s="3" t="s">
        <v>28</v>
      </c>
      <c r="E361" s="3" t="s">
        <v>1654</v>
      </c>
      <c r="F361" s="3" t="s">
        <v>44</v>
      </c>
      <c r="G361" s="3"/>
      <c r="H361" s="5" t="s">
        <v>1652</v>
      </c>
      <c r="I361" s="3" t="s">
        <v>1571</v>
      </c>
      <c r="J361" s="5">
        <v>5</v>
      </c>
      <c r="K361" s="5">
        <v>3</v>
      </c>
      <c r="L361" s="3" t="s">
        <v>2905</v>
      </c>
      <c r="M361" s="6"/>
      <c r="N361" s="6"/>
      <c r="O361" s="6"/>
      <c r="P361" s="6"/>
    </row>
    <row r="362" spans="1:16" ht="12.45" x14ac:dyDescent="0.2">
      <c r="A362" s="3" t="s">
        <v>13</v>
      </c>
      <c r="B362" s="3" t="s">
        <v>1658</v>
      </c>
      <c r="C362" s="3" t="s">
        <v>264</v>
      </c>
      <c r="D362" s="3" t="s">
        <v>22</v>
      </c>
      <c r="E362" s="3" t="s">
        <v>1656</v>
      </c>
      <c r="F362" s="3" t="s">
        <v>44</v>
      </c>
      <c r="G362" s="3"/>
      <c r="H362" s="5" t="s">
        <v>1659</v>
      </c>
      <c r="I362" s="3" t="s">
        <v>1571</v>
      </c>
      <c r="J362" s="5">
        <v>5</v>
      </c>
      <c r="K362" s="5">
        <v>3</v>
      </c>
      <c r="L362" s="3" t="s">
        <v>2905</v>
      </c>
      <c r="M362" s="6" t="s">
        <v>1618</v>
      </c>
      <c r="N362" s="6"/>
      <c r="O362" s="6"/>
      <c r="P362" s="6"/>
    </row>
    <row r="363" spans="1:16" ht="12.45" x14ac:dyDescent="0.2">
      <c r="A363" s="3" t="s">
        <v>13</v>
      </c>
      <c r="B363" t="s">
        <v>1574</v>
      </c>
      <c r="C363" t="s">
        <v>2942</v>
      </c>
      <c r="D363" t="s">
        <v>28</v>
      </c>
      <c r="E363" t="s">
        <v>23</v>
      </c>
      <c r="F363" t="s">
        <v>1575</v>
      </c>
      <c r="G363" s="3" t="str">
        <f>"+2 dice to avoid hazards, or +2 successes if you’ve avoided these specific hazards before."</f>
        <v>+2 dice to avoid hazards, or +2 successes if you’ve avoided these specific hazards before.</v>
      </c>
      <c r="H363" s="5">
        <v>386</v>
      </c>
      <c r="I363" s="3" t="s">
        <v>1571</v>
      </c>
      <c r="J363" s="3">
        <v>3</v>
      </c>
      <c r="K363" s="3">
        <v>1</v>
      </c>
      <c r="L363" s="3" t="s">
        <v>2905</v>
      </c>
      <c r="M363" s="6" t="s">
        <v>1569</v>
      </c>
      <c r="N363" s="6"/>
      <c r="O363" s="6"/>
      <c r="P363" s="6"/>
    </row>
    <row r="364" spans="1:16" ht="12.45" x14ac:dyDescent="0.2">
      <c r="A364" s="3" t="s">
        <v>13</v>
      </c>
      <c r="B364" t="s">
        <v>429</v>
      </c>
      <c r="C364" t="s">
        <v>2940</v>
      </c>
      <c r="D364" t="s">
        <v>28</v>
      </c>
      <c r="E364" t="s">
        <v>430</v>
      </c>
      <c r="F364" t="s">
        <v>182</v>
      </c>
      <c r="G364" s="3" t="s">
        <v>431</v>
      </c>
      <c r="H364" s="5">
        <v>286</v>
      </c>
      <c r="I364" s="3" t="s">
        <v>396</v>
      </c>
      <c r="J364" s="3">
        <v>5</v>
      </c>
      <c r="K364" s="3">
        <v>2</v>
      </c>
      <c r="L364" s="3" t="s">
        <v>2910</v>
      </c>
      <c r="M364" s="4" t="s">
        <v>397</v>
      </c>
      <c r="N364" s="4"/>
      <c r="O364" s="4"/>
      <c r="P364" s="4"/>
    </row>
    <row r="365" spans="1:16" ht="12.45" x14ac:dyDescent="0.2">
      <c r="A365" s="3" t="s">
        <v>13</v>
      </c>
      <c r="B365" t="s">
        <v>444</v>
      </c>
      <c r="C365" t="s">
        <v>3023</v>
      </c>
      <c r="D365" t="s">
        <v>28</v>
      </c>
      <c r="E365" t="s">
        <v>23</v>
      </c>
      <c r="F365" t="s">
        <v>182</v>
      </c>
      <c r="G365" s="3" t="s">
        <v>445</v>
      </c>
      <c r="H365" s="5">
        <v>288</v>
      </c>
      <c r="I365" s="3" t="s">
        <v>396</v>
      </c>
      <c r="J365" s="3">
        <v>5</v>
      </c>
      <c r="K365" s="3">
        <v>3</v>
      </c>
      <c r="L365" s="3" t="s">
        <v>2910</v>
      </c>
      <c r="M365" s="4" t="s">
        <v>429</v>
      </c>
      <c r="N365" s="4"/>
      <c r="O365" s="4"/>
      <c r="P365" s="4"/>
    </row>
    <row r="366" spans="1:16" ht="12.45" x14ac:dyDescent="0.2">
      <c r="A366" s="3" t="s">
        <v>13</v>
      </c>
      <c r="B366" s="3" t="s">
        <v>450</v>
      </c>
      <c r="C366" s="3" t="s">
        <v>175</v>
      </c>
      <c r="D366" s="3" t="s">
        <v>28</v>
      </c>
      <c r="E366" s="3" t="s">
        <v>142</v>
      </c>
      <c r="F366" s="3" t="s">
        <v>182</v>
      </c>
      <c r="G366" s="3"/>
      <c r="H366" s="5" t="s">
        <v>393</v>
      </c>
      <c r="I366" s="3" t="s">
        <v>396</v>
      </c>
      <c r="J366" s="5">
        <v>5</v>
      </c>
      <c r="K366" s="5">
        <v>3</v>
      </c>
      <c r="L366" s="3" t="s">
        <v>2910</v>
      </c>
      <c r="M366" s="4" t="s">
        <v>424</v>
      </c>
      <c r="N366" s="4"/>
      <c r="O366" s="4"/>
      <c r="P366" s="4"/>
    </row>
    <row r="367" spans="1:16" ht="12.45" x14ac:dyDescent="0.2">
      <c r="A367" s="3" t="s">
        <v>13</v>
      </c>
      <c r="B367" t="s">
        <v>451</v>
      </c>
      <c r="C367" t="s">
        <v>2938</v>
      </c>
      <c r="D367" t="s">
        <v>28</v>
      </c>
      <c r="E367" t="s">
        <v>430</v>
      </c>
      <c r="F367" t="s">
        <v>182</v>
      </c>
      <c r="G367" s="3" t="s">
        <v>452</v>
      </c>
      <c r="H367" s="5">
        <v>288</v>
      </c>
      <c r="I367" s="3" t="s">
        <v>396</v>
      </c>
      <c r="J367" s="3">
        <v>5</v>
      </c>
      <c r="K367" s="3">
        <v>4</v>
      </c>
      <c r="L367" s="3" t="s">
        <v>2910</v>
      </c>
      <c r="M367" s="4" t="s">
        <v>444</v>
      </c>
      <c r="N367" s="4"/>
      <c r="O367" s="4"/>
      <c r="P367" s="4"/>
    </row>
    <row r="368" spans="1:16" ht="12.45" x14ac:dyDescent="0.2">
      <c r="A368" s="3" t="s">
        <v>13</v>
      </c>
      <c r="B368" s="3" t="s">
        <v>394</v>
      </c>
      <c r="C368" s="3" t="s">
        <v>15</v>
      </c>
      <c r="D368" s="3" t="s">
        <v>28</v>
      </c>
      <c r="E368" s="3" t="s">
        <v>23</v>
      </c>
      <c r="F368" s="3" t="s">
        <v>18</v>
      </c>
      <c r="G368" s="3" t="s">
        <v>395</v>
      </c>
      <c r="H368" s="5">
        <v>283</v>
      </c>
      <c r="I368" s="3" t="s">
        <v>396</v>
      </c>
      <c r="J368" s="3">
        <v>1</v>
      </c>
      <c r="K368" s="3">
        <v>1</v>
      </c>
      <c r="L368" s="3" t="s">
        <v>2910</v>
      </c>
      <c r="M368" s="6"/>
      <c r="N368" s="6"/>
      <c r="O368" s="6"/>
      <c r="P368" s="6"/>
    </row>
    <row r="369" spans="1:16" ht="12.45" x14ac:dyDescent="0.2">
      <c r="A369" s="3" t="s">
        <v>13</v>
      </c>
      <c r="B369" s="3" t="s">
        <v>399</v>
      </c>
      <c r="C369" s="3" t="s">
        <v>175</v>
      </c>
      <c r="D369" s="3" t="s">
        <v>28</v>
      </c>
      <c r="E369" s="3" t="s">
        <v>23</v>
      </c>
      <c r="F369" s="3" t="s">
        <v>18</v>
      </c>
      <c r="G369" s="3" t="s">
        <v>400</v>
      </c>
      <c r="H369" s="5">
        <v>284</v>
      </c>
      <c r="I369" s="3" t="s">
        <v>396</v>
      </c>
      <c r="J369" s="3">
        <v>2</v>
      </c>
      <c r="K369" s="3">
        <v>1</v>
      </c>
      <c r="L369" s="3" t="s">
        <v>2910</v>
      </c>
      <c r="M369" s="4" t="s">
        <v>397</v>
      </c>
      <c r="N369" s="4"/>
      <c r="O369" s="4"/>
      <c r="P369" s="4"/>
    </row>
    <row r="370" spans="1:16" ht="12.45" x14ac:dyDescent="0.2">
      <c r="A370" s="3" t="s">
        <v>13</v>
      </c>
      <c r="B370" s="3" t="s">
        <v>401</v>
      </c>
      <c r="C370" s="3" t="s">
        <v>34</v>
      </c>
      <c r="D370" s="3" t="s">
        <v>28</v>
      </c>
      <c r="E370" s="3" t="s">
        <v>23</v>
      </c>
      <c r="F370" s="3" t="s">
        <v>18</v>
      </c>
      <c r="G370" s="3" t="s">
        <v>402</v>
      </c>
      <c r="H370" s="5">
        <v>284</v>
      </c>
      <c r="I370" s="3" t="s">
        <v>396</v>
      </c>
      <c r="J370" s="3">
        <v>3</v>
      </c>
      <c r="K370" s="3">
        <v>1</v>
      </c>
      <c r="L370" s="3" t="s">
        <v>2910</v>
      </c>
      <c r="M370" s="4" t="s">
        <v>394</v>
      </c>
      <c r="N370" s="4"/>
      <c r="O370" s="4"/>
      <c r="P370" s="4"/>
    </row>
    <row r="371" spans="1:16" ht="12.45" x14ac:dyDescent="0.2">
      <c r="A371" s="3" t="s">
        <v>13</v>
      </c>
      <c r="B371" s="3" t="s">
        <v>403</v>
      </c>
      <c r="C371" s="3" t="s">
        <v>34</v>
      </c>
      <c r="D371" s="3" t="s">
        <v>22</v>
      </c>
      <c r="E371" s="3" t="s">
        <v>23</v>
      </c>
      <c r="F371" s="3" t="s">
        <v>18</v>
      </c>
      <c r="G371" s="3" t="s">
        <v>404</v>
      </c>
      <c r="H371" s="5">
        <v>284</v>
      </c>
      <c r="I371" s="3" t="s">
        <v>396</v>
      </c>
      <c r="J371" s="3">
        <v>3</v>
      </c>
      <c r="K371" s="3">
        <v>1</v>
      </c>
      <c r="L371" s="3" t="s">
        <v>2910</v>
      </c>
      <c r="M371" s="4" t="s">
        <v>394</v>
      </c>
      <c r="N371" s="4"/>
      <c r="O371" s="4"/>
      <c r="P371" s="4"/>
    </row>
    <row r="372" spans="1:16" ht="12.45" x14ac:dyDescent="0.2">
      <c r="A372" s="3" t="s">
        <v>13</v>
      </c>
      <c r="B372" s="3" t="s">
        <v>412</v>
      </c>
      <c r="C372" s="3" t="s">
        <v>15</v>
      </c>
      <c r="D372" s="3" t="s">
        <v>28</v>
      </c>
      <c r="E372" s="3" t="s">
        <v>23</v>
      </c>
      <c r="F372" s="3" t="s">
        <v>18</v>
      </c>
      <c r="G372" s="3" t="s">
        <v>413</v>
      </c>
      <c r="H372" s="5">
        <v>284</v>
      </c>
      <c r="I372" s="3" t="s">
        <v>396</v>
      </c>
      <c r="J372" s="3">
        <v>5</v>
      </c>
      <c r="K372" s="3">
        <v>1</v>
      </c>
      <c r="L372" s="3" t="s">
        <v>2910</v>
      </c>
      <c r="M372" s="4" t="s">
        <v>408</v>
      </c>
      <c r="N372" s="4"/>
      <c r="O372" s="4"/>
      <c r="P372" s="4"/>
    </row>
    <row r="373" spans="1:16" ht="12.45" x14ac:dyDescent="0.2">
      <c r="A373" s="3" t="s">
        <v>13</v>
      </c>
      <c r="B373" t="s">
        <v>421</v>
      </c>
      <c r="C373" t="s">
        <v>2951</v>
      </c>
      <c r="D373" t="s">
        <v>16</v>
      </c>
      <c r="E373" t="s">
        <v>23</v>
      </c>
      <c r="F373" t="s">
        <v>18</v>
      </c>
      <c r="G373" s="3" t="s">
        <v>422</v>
      </c>
      <c r="H373" s="5">
        <v>285</v>
      </c>
      <c r="I373" s="3" t="s">
        <v>396</v>
      </c>
      <c r="J373" s="3">
        <v>5</v>
      </c>
      <c r="K373" s="3">
        <v>2</v>
      </c>
      <c r="L373" s="3" t="s">
        <v>2910</v>
      </c>
      <c r="M373" s="4" t="s">
        <v>423</v>
      </c>
      <c r="N373" s="4"/>
      <c r="O373" s="4"/>
      <c r="P373" s="4"/>
    </row>
    <row r="374" spans="1:16" ht="12.45" x14ac:dyDescent="0.2">
      <c r="A374" s="3" t="s">
        <v>13</v>
      </c>
      <c r="B374" t="s">
        <v>426</v>
      </c>
      <c r="C374" t="s">
        <v>2946</v>
      </c>
      <c r="D374" t="s">
        <v>22</v>
      </c>
      <c r="E374" t="s">
        <v>23</v>
      </c>
      <c r="F374" t="s">
        <v>18</v>
      </c>
      <c r="G374" s="3" t="s">
        <v>427</v>
      </c>
      <c r="H374" s="5">
        <v>286</v>
      </c>
      <c r="I374" s="3" t="s">
        <v>396</v>
      </c>
      <c r="J374" s="3">
        <v>5</v>
      </c>
      <c r="K374" s="3">
        <v>2</v>
      </c>
      <c r="L374" s="3" t="s">
        <v>2910</v>
      </c>
      <c r="M374" s="6" t="s">
        <v>428</v>
      </c>
      <c r="N374" s="6"/>
      <c r="O374" s="6"/>
      <c r="P374" s="6"/>
    </row>
    <row r="375" spans="1:16" ht="12.45" x14ac:dyDescent="0.2">
      <c r="A375" s="3" t="s">
        <v>13</v>
      </c>
      <c r="B375" t="s">
        <v>432</v>
      </c>
      <c r="C375" t="s">
        <v>2939</v>
      </c>
      <c r="D375" t="s">
        <v>16</v>
      </c>
      <c r="E375" t="s">
        <v>23</v>
      </c>
      <c r="F375" t="s">
        <v>18</v>
      </c>
      <c r="G375" s="3" t="s">
        <v>433</v>
      </c>
      <c r="H375" s="5">
        <v>286</v>
      </c>
      <c r="I375" s="3" t="s">
        <v>396</v>
      </c>
      <c r="J375" s="3">
        <v>5</v>
      </c>
      <c r="K375" s="3">
        <v>2</v>
      </c>
      <c r="L375" s="3" t="s">
        <v>2910</v>
      </c>
      <c r="M375" s="4" t="s">
        <v>405</v>
      </c>
      <c r="N375" s="4"/>
      <c r="O375" s="4"/>
      <c r="P375" s="4"/>
    </row>
    <row r="376" spans="1:16" ht="12.45" x14ac:dyDescent="0.2">
      <c r="A376" s="3" t="s">
        <v>13</v>
      </c>
      <c r="B376" s="3" t="s">
        <v>434</v>
      </c>
      <c r="C376" s="3" t="s">
        <v>47</v>
      </c>
      <c r="D376" s="3" t="s">
        <v>28</v>
      </c>
      <c r="E376" s="3" t="s">
        <v>142</v>
      </c>
      <c r="F376" s="3" t="s">
        <v>18</v>
      </c>
      <c r="G376" s="3"/>
      <c r="H376" s="5" t="s">
        <v>393</v>
      </c>
      <c r="I376" s="3" t="s">
        <v>396</v>
      </c>
      <c r="J376" s="5">
        <v>5</v>
      </c>
      <c r="K376" s="5">
        <v>2</v>
      </c>
      <c r="L376" s="3" t="s">
        <v>2910</v>
      </c>
      <c r="M376" s="4" t="s">
        <v>410</v>
      </c>
      <c r="N376" s="4"/>
      <c r="O376" s="4"/>
      <c r="P376" s="4"/>
    </row>
    <row r="377" spans="1:16" ht="12.45" x14ac:dyDescent="0.2">
      <c r="A377" s="3" t="s">
        <v>13</v>
      </c>
      <c r="B377" t="s">
        <v>437</v>
      </c>
      <c r="C377" t="s">
        <v>2946</v>
      </c>
      <c r="D377" t="s">
        <v>28</v>
      </c>
      <c r="E377" t="s">
        <v>438</v>
      </c>
      <c r="F377" t="s">
        <v>18</v>
      </c>
      <c r="G377" s="3" t="s">
        <v>439</v>
      </c>
      <c r="H377" s="5">
        <v>286</v>
      </c>
      <c r="I377" s="3" t="s">
        <v>396</v>
      </c>
      <c r="J377" s="3">
        <v>5</v>
      </c>
      <c r="K377" s="3">
        <v>3</v>
      </c>
      <c r="L377" s="3" t="s">
        <v>2910</v>
      </c>
      <c r="M377" s="4" t="s">
        <v>421</v>
      </c>
      <c r="N377" s="4"/>
      <c r="O377" s="4"/>
      <c r="P377" s="4"/>
    </row>
    <row r="378" spans="1:16" ht="12.45" x14ac:dyDescent="0.2">
      <c r="A378" s="3" t="s">
        <v>13</v>
      </c>
      <c r="B378" t="s">
        <v>453</v>
      </c>
      <c r="C378" t="s">
        <v>2940</v>
      </c>
      <c r="D378" t="s">
        <v>16</v>
      </c>
      <c r="E378" t="s">
        <v>23</v>
      </c>
      <c r="F378" t="s">
        <v>18</v>
      </c>
      <c r="G378" s="3" t="s">
        <v>454</v>
      </c>
      <c r="H378" s="5">
        <v>288</v>
      </c>
      <c r="I378" s="3" t="s">
        <v>396</v>
      </c>
      <c r="J378" s="3">
        <v>5</v>
      </c>
      <c r="K378" s="3">
        <v>4</v>
      </c>
      <c r="L378" s="3" t="s">
        <v>2910</v>
      </c>
      <c r="M378" s="4" t="s">
        <v>446</v>
      </c>
      <c r="N378" s="4"/>
      <c r="O378" s="4"/>
      <c r="P378" s="4"/>
    </row>
    <row r="379" spans="1:16" ht="12.45" x14ac:dyDescent="0.2">
      <c r="A379" s="3" t="s">
        <v>13</v>
      </c>
      <c r="B379" s="3" t="s">
        <v>455</v>
      </c>
      <c r="C379" s="3" t="s">
        <v>175</v>
      </c>
      <c r="D379" s="3" t="s">
        <v>28</v>
      </c>
      <c r="E379" s="3" t="s">
        <v>142</v>
      </c>
      <c r="F379" s="3" t="s">
        <v>18</v>
      </c>
      <c r="G379" s="3"/>
      <c r="H379" s="5" t="s">
        <v>456</v>
      </c>
      <c r="I379" s="3" t="s">
        <v>396</v>
      </c>
      <c r="J379" s="5">
        <v>5</v>
      </c>
      <c r="K379" s="5">
        <v>4</v>
      </c>
      <c r="L379" s="3" t="s">
        <v>2910</v>
      </c>
      <c r="M379" s="6" t="s">
        <v>450</v>
      </c>
      <c r="N379" s="6"/>
      <c r="O379" s="6"/>
      <c r="P379" s="6"/>
    </row>
    <row r="380" spans="1:16" ht="12.45" x14ac:dyDescent="0.2">
      <c r="A380" s="3" t="s">
        <v>13</v>
      </c>
      <c r="B380" s="3" t="s">
        <v>457</v>
      </c>
      <c r="C380" s="3" t="s">
        <v>415</v>
      </c>
      <c r="D380" s="3" t="s">
        <v>28</v>
      </c>
      <c r="E380" s="3" t="s">
        <v>23</v>
      </c>
      <c r="F380" s="3" t="s">
        <v>18</v>
      </c>
      <c r="G380" s="3"/>
      <c r="H380" s="5" t="s">
        <v>458</v>
      </c>
      <c r="I380" s="3" t="s">
        <v>396</v>
      </c>
      <c r="J380" s="5">
        <v>5</v>
      </c>
      <c r="K380" s="5">
        <v>4</v>
      </c>
      <c r="L380" s="3" t="s">
        <v>2910</v>
      </c>
      <c r="M380" s="6" t="s">
        <v>448</v>
      </c>
      <c r="N380" s="6"/>
      <c r="O380" s="6"/>
      <c r="P380" s="6"/>
    </row>
    <row r="381" spans="1:16" ht="12.45" x14ac:dyDescent="0.2">
      <c r="A381" s="3" t="s">
        <v>13</v>
      </c>
      <c r="B381" s="3" t="s">
        <v>418</v>
      </c>
      <c r="C381" s="3" t="s">
        <v>264</v>
      </c>
      <c r="D381" s="3" t="s">
        <v>28</v>
      </c>
      <c r="E381" s="3" t="s">
        <v>23</v>
      </c>
      <c r="F381" s="3" t="s">
        <v>419</v>
      </c>
      <c r="G381" s="3" t="s">
        <v>420</v>
      </c>
      <c r="H381" s="5">
        <v>285</v>
      </c>
      <c r="I381" s="3" t="s">
        <v>396</v>
      </c>
      <c r="J381" s="3">
        <v>5</v>
      </c>
      <c r="K381" s="3">
        <v>1</v>
      </c>
      <c r="L381" s="3" t="s">
        <v>2910</v>
      </c>
      <c r="M381" s="6" t="s">
        <v>414</v>
      </c>
      <c r="N381" s="6"/>
      <c r="O381" s="6"/>
      <c r="P381" s="6"/>
    </row>
    <row r="382" spans="1:16" ht="12.45" x14ac:dyDescent="0.2">
      <c r="A382" s="3" t="s">
        <v>13</v>
      </c>
      <c r="B382" t="s">
        <v>459</v>
      </c>
      <c r="C382" t="s">
        <v>2938</v>
      </c>
      <c r="D382" t="s">
        <v>28</v>
      </c>
      <c r="E382" t="s">
        <v>23</v>
      </c>
      <c r="F382" t="s">
        <v>460</v>
      </c>
      <c r="G382" s="3" t="s">
        <v>461</v>
      </c>
      <c r="H382" s="5">
        <v>289</v>
      </c>
      <c r="I382" s="3" t="s">
        <v>396</v>
      </c>
      <c r="J382" s="3">
        <v>5</v>
      </c>
      <c r="K382" s="3">
        <v>5</v>
      </c>
      <c r="L382" s="3" t="s">
        <v>2910</v>
      </c>
      <c r="M382" s="6" t="s">
        <v>451</v>
      </c>
      <c r="N382" s="6"/>
      <c r="O382" s="6"/>
      <c r="P382" s="6"/>
    </row>
    <row r="383" spans="1:16" ht="12.45" x14ac:dyDescent="0.2">
      <c r="A383" s="3" t="s">
        <v>13</v>
      </c>
      <c r="B383" s="3" t="s">
        <v>410</v>
      </c>
      <c r="C383" s="3" t="s">
        <v>147</v>
      </c>
      <c r="D383" s="3" t="s">
        <v>148</v>
      </c>
      <c r="E383" s="3" t="s">
        <v>23</v>
      </c>
      <c r="F383" s="3" t="s">
        <v>148</v>
      </c>
      <c r="G383" s="3" t="s">
        <v>411</v>
      </c>
      <c r="H383" s="5">
        <v>285</v>
      </c>
      <c r="I383" s="3" t="s">
        <v>396</v>
      </c>
      <c r="J383" s="3">
        <v>4</v>
      </c>
      <c r="K383" s="3">
        <v>1</v>
      </c>
      <c r="L383" s="3" t="s">
        <v>2910</v>
      </c>
      <c r="M383" s="4" t="s">
        <v>399</v>
      </c>
      <c r="N383" s="4"/>
      <c r="O383" s="4"/>
      <c r="P383" s="4"/>
    </row>
    <row r="384" spans="1:16" ht="12.45" x14ac:dyDescent="0.2">
      <c r="A384" s="3" t="s">
        <v>13</v>
      </c>
      <c r="B384" t="s">
        <v>996</v>
      </c>
      <c r="C384" t="s">
        <v>3022</v>
      </c>
      <c r="D384" t="s">
        <v>28</v>
      </c>
      <c r="E384" t="s">
        <v>547</v>
      </c>
      <c r="F384" t="s">
        <v>182</v>
      </c>
      <c r="G384" s="3" t="s">
        <v>997</v>
      </c>
      <c r="H384" s="5">
        <v>338</v>
      </c>
      <c r="I384" s="3" t="s">
        <v>919</v>
      </c>
      <c r="J384" s="3">
        <v>5</v>
      </c>
      <c r="K384" s="3">
        <v>4</v>
      </c>
      <c r="L384" s="3" t="s">
        <v>2915</v>
      </c>
      <c r="M384" s="4" t="s">
        <v>998</v>
      </c>
      <c r="N384" s="4"/>
      <c r="O384" s="4"/>
      <c r="P384" s="4"/>
    </row>
    <row r="385" spans="1:16" ht="12.45" x14ac:dyDescent="0.2">
      <c r="A385" s="3" t="s">
        <v>13</v>
      </c>
      <c r="B385" t="s">
        <v>917</v>
      </c>
      <c r="C385" t="s">
        <v>2944</v>
      </c>
      <c r="D385" t="s">
        <v>28</v>
      </c>
      <c r="E385" t="s">
        <v>23</v>
      </c>
      <c r="F385" t="s">
        <v>18</v>
      </c>
      <c r="G385" s="3" t="s">
        <v>918</v>
      </c>
      <c r="H385" s="5">
        <v>331</v>
      </c>
      <c r="I385" s="3" t="s">
        <v>919</v>
      </c>
      <c r="J385" s="3">
        <v>1</v>
      </c>
      <c r="K385" s="3">
        <v>1</v>
      </c>
      <c r="L385" s="3" t="s">
        <v>2915</v>
      </c>
      <c r="M385" s="4"/>
      <c r="N385" s="4"/>
      <c r="O385" s="4"/>
      <c r="P385" s="4"/>
    </row>
    <row r="386" spans="1:16" ht="12.45" x14ac:dyDescent="0.2">
      <c r="A386" s="3" t="s">
        <v>13</v>
      </c>
      <c r="B386" t="s">
        <v>922</v>
      </c>
      <c r="C386" t="s">
        <v>2946</v>
      </c>
      <c r="D386" t="s">
        <v>28</v>
      </c>
      <c r="E386" t="s">
        <v>23</v>
      </c>
      <c r="F386" t="s">
        <v>18</v>
      </c>
      <c r="G386" s="3" t="s">
        <v>923</v>
      </c>
      <c r="H386" s="5">
        <v>331</v>
      </c>
      <c r="I386" s="3" t="s">
        <v>919</v>
      </c>
      <c r="J386" s="3">
        <v>2</v>
      </c>
      <c r="K386" s="3">
        <v>1</v>
      </c>
      <c r="L386" s="3" t="s">
        <v>2915</v>
      </c>
      <c r="M386" s="4" t="s">
        <v>917</v>
      </c>
      <c r="N386" s="4"/>
      <c r="O386" s="4"/>
      <c r="P386" s="4"/>
    </row>
    <row r="387" spans="1:16" ht="12.45" x14ac:dyDescent="0.2">
      <c r="A387" s="3" t="s">
        <v>13</v>
      </c>
      <c r="B387" t="s">
        <v>930</v>
      </c>
      <c r="C387" t="s">
        <v>3021</v>
      </c>
      <c r="D387" t="s">
        <v>28</v>
      </c>
      <c r="E387" t="s">
        <v>23</v>
      </c>
      <c r="F387" t="s">
        <v>18</v>
      </c>
      <c r="G387" s="3" t="s">
        <v>931</v>
      </c>
      <c r="H387" s="5">
        <v>331</v>
      </c>
      <c r="I387" s="3" t="s">
        <v>919</v>
      </c>
      <c r="J387" s="3">
        <v>5</v>
      </c>
      <c r="K387" s="3">
        <v>1</v>
      </c>
      <c r="L387" s="3" t="s">
        <v>2915</v>
      </c>
      <c r="M387" s="4" t="s">
        <v>928</v>
      </c>
      <c r="N387" s="4"/>
      <c r="O387" s="4"/>
      <c r="P387" s="4"/>
    </row>
    <row r="388" spans="1:16" ht="12.45" x14ac:dyDescent="0.2">
      <c r="A388" s="3" t="s">
        <v>13</v>
      </c>
      <c r="B388" t="s">
        <v>934</v>
      </c>
      <c r="C388" t="s">
        <v>3020</v>
      </c>
      <c r="D388" t="s">
        <v>28</v>
      </c>
      <c r="E388" t="s">
        <v>23</v>
      </c>
      <c r="F388" t="s">
        <v>18</v>
      </c>
      <c r="G388" s="3" t="s">
        <v>935</v>
      </c>
      <c r="H388" s="5">
        <v>332</v>
      </c>
      <c r="I388" s="3" t="s">
        <v>919</v>
      </c>
      <c r="J388" s="3">
        <v>4</v>
      </c>
      <c r="K388" s="3">
        <v>2</v>
      </c>
      <c r="L388" s="3" t="s">
        <v>2915</v>
      </c>
      <c r="M388" s="4" t="s">
        <v>922</v>
      </c>
      <c r="N388" s="4"/>
      <c r="O388" s="4"/>
      <c r="P388" s="4"/>
    </row>
    <row r="389" spans="1:16" ht="12.45" x14ac:dyDescent="0.2">
      <c r="A389" s="3" t="s">
        <v>13</v>
      </c>
      <c r="B389" t="s">
        <v>940</v>
      </c>
      <c r="C389" t="s">
        <v>3019</v>
      </c>
      <c r="D389" t="s">
        <v>22</v>
      </c>
      <c r="E389" t="s">
        <v>23</v>
      </c>
      <c r="F389" t="s">
        <v>18</v>
      </c>
      <c r="G389" s="3" t="s">
        <v>941</v>
      </c>
      <c r="H389" s="5">
        <v>331</v>
      </c>
      <c r="I389" s="3" t="s">
        <v>919</v>
      </c>
      <c r="J389" s="3">
        <v>5</v>
      </c>
      <c r="K389" s="3">
        <v>2</v>
      </c>
      <c r="L389" s="3" t="s">
        <v>2915</v>
      </c>
      <c r="M389" s="4" t="s">
        <v>930</v>
      </c>
      <c r="N389" s="4"/>
      <c r="O389" s="4"/>
      <c r="P389" s="4"/>
    </row>
    <row r="390" spans="1:16" ht="12.45" x14ac:dyDescent="0.2">
      <c r="A390" s="3" t="s">
        <v>13</v>
      </c>
      <c r="B390" t="s">
        <v>942</v>
      </c>
      <c r="C390" t="s">
        <v>2944</v>
      </c>
      <c r="D390" t="s">
        <v>16</v>
      </c>
      <c r="E390" t="s">
        <v>23</v>
      </c>
      <c r="F390" t="s">
        <v>18</v>
      </c>
      <c r="G390" s="3" t="s">
        <v>943</v>
      </c>
      <c r="H390" s="5">
        <v>332</v>
      </c>
      <c r="I390" s="3" t="s">
        <v>919</v>
      </c>
      <c r="J390" s="3">
        <v>5</v>
      </c>
      <c r="K390" s="3">
        <v>2</v>
      </c>
      <c r="L390" s="3" t="s">
        <v>2915</v>
      </c>
      <c r="M390" s="4" t="s">
        <v>932</v>
      </c>
      <c r="N390" s="4"/>
      <c r="O390" s="4"/>
      <c r="P390" s="4"/>
    </row>
    <row r="391" spans="1:16" ht="12.45" x14ac:dyDescent="0.2">
      <c r="A391" s="3" t="s">
        <v>13</v>
      </c>
      <c r="B391" t="s">
        <v>944</v>
      </c>
      <c r="C391" t="s">
        <v>2948</v>
      </c>
      <c r="D391" t="s">
        <v>28</v>
      </c>
      <c r="E391" t="s">
        <v>142</v>
      </c>
      <c r="F391" t="s">
        <v>18</v>
      </c>
      <c r="G391" s="3" t="s">
        <v>945</v>
      </c>
      <c r="H391" s="5">
        <v>332</v>
      </c>
      <c r="I391" s="3" t="s">
        <v>919</v>
      </c>
      <c r="J391" s="3">
        <v>5</v>
      </c>
      <c r="K391" s="3">
        <v>2</v>
      </c>
      <c r="L391" s="3" t="s">
        <v>2915</v>
      </c>
      <c r="M391" s="4" t="s">
        <v>942</v>
      </c>
      <c r="N391" s="4"/>
      <c r="O391" s="4"/>
      <c r="P391" s="4"/>
    </row>
    <row r="392" spans="1:16" ht="12.45" x14ac:dyDescent="0.2">
      <c r="A392" s="3" t="s">
        <v>13</v>
      </c>
      <c r="B392" t="s">
        <v>952</v>
      </c>
      <c r="C392" t="s">
        <v>2971</v>
      </c>
      <c r="D392" t="s">
        <v>28</v>
      </c>
      <c r="E392" t="s">
        <v>23</v>
      </c>
      <c r="F392" t="s">
        <v>18</v>
      </c>
      <c r="G392" s="3" t="s">
        <v>953</v>
      </c>
      <c r="H392" s="5">
        <v>333</v>
      </c>
      <c r="I392" s="3" t="s">
        <v>919</v>
      </c>
      <c r="J392" s="3">
        <v>5</v>
      </c>
      <c r="K392" s="3">
        <v>3</v>
      </c>
      <c r="L392" s="3" t="s">
        <v>2915</v>
      </c>
      <c r="M392" s="4" t="s">
        <v>944</v>
      </c>
      <c r="N392" s="4"/>
      <c r="O392" s="4"/>
      <c r="P392" s="4"/>
    </row>
    <row r="393" spans="1:16" ht="12.45" x14ac:dyDescent="0.2">
      <c r="A393" s="3" t="s">
        <v>13</v>
      </c>
      <c r="B393" t="s">
        <v>954</v>
      </c>
      <c r="C393" t="s">
        <v>2957</v>
      </c>
      <c r="D393" t="s">
        <v>28</v>
      </c>
      <c r="E393" t="s">
        <v>23</v>
      </c>
      <c r="F393" t="s">
        <v>18</v>
      </c>
      <c r="G393" s="3" t="s">
        <v>955</v>
      </c>
      <c r="H393" s="5">
        <v>333</v>
      </c>
      <c r="I393" s="3" t="s">
        <v>919</v>
      </c>
      <c r="J393" s="3">
        <v>5</v>
      </c>
      <c r="K393" s="3">
        <v>3</v>
      </c>
      <c r="L393" s="3" t="s">
        <v>2915</v>
      </c>
      <c r="M393" s="4" t="s">
        <v>952</v>
      </c>
      <c r="N393" s="4"/>
      <c r="O393" s="4"/>
      <c r="P393" s="4"/>
    </row>
    <row r="394" spans="1:16" ht="12.45" x14ac:dyDescent="0.2">
      <c r="A394" s="3" t="s">
        <v>13</v>
      </c>
      <c r="B394" t="s">
        <v>958</v>
      </c>
      <c r="C394" t="s">
        <v>3018</v>
      </c>
      <c r="D394" t="s">
        <v>28</v>
      </c>
      <c r="E394" t="s">
        <v>29</v>
      </c>
      <c r="F394" t="s">
        <v>18</v>
      </c>
      <c r="G394" s="3" t="s">
        <v>959</v>
      </c>
      <c r="H394" s="5">
        <v>333</v>
      </c>
      <c r="I394" s="3" t="s">
        <v>919</v>
      </c>
      <c r="J394" s="3">
        <v>5</v>
      </c>
      <c r="K394" s="3">
        <v>3</v>
      </c>
      <c r="L394" s="3" t="s">
        <v>2915</v>
      </c>
      <c r="M394" s="6" t="s">
        <v>934</v>
      </c>
      <c r="N394" s="6"/>
      <c r="O394" s="6"/>
      <c r="P394" s="6"/>
    </row>
    <row r="395" spans="1:16" ht="12.45" x14ac:dyDescent="0.2">
      <c r="A395" s="3" t="s">
        <v>13</v>
      </c>
      <c r="B395" t="s">
        <v>960</v>
      </c>
      <c r="C395" t="s">
        <v>2970</v>
      </c>
      <c r="D395" t="s">
        <v>28</v>
      </c>
      <c r="E395" t="s">
        <v>23</v>
      </c>
      <c r="F395" t="s">
        <v>18</v>
      </c>
      <c r="G395" s="3" t="s">
        <v>961</v>
      </c>
      <c r="H395" s="5">
        <v>333</v>
      </c>
      <c r="I395" s="3" t="s">
        <v>919</v>
      </c>
      <c r="J395" s="3">
        <v>5</v>
      </c>
      <c r="K395" s="3">
        <v>3</v>
      </c>
      <c r="L395" s="3" t="s">
        <v>2915</v>
      </c>
      <c r="M395" s="4" t="s">
        <v>958</v>
      </c>
      <c r="N395" s="4"/>
      <c r="O395" s="4"/>
      <c r="P395" s="4"/>
    </row>
    <row r="396" spans="1:16" ht="12.45" x14ac:dyDescent="0.2">
      <c r="A396" s="3" t="s">
        <v>13</v>
      </c>
      <c r="B396" t="s">
        <v>962</v>
      </c>
      <c r="C396" t="s">
        <v>2951</v>
      </c>
      <c r="D396" t="s">
        <v>28</v>
      </c>
      <c r="E396" t="s">
        <v>142</v>
      </c>
      <c r="F396" t="s">
        <v>18</v>
      </c>
      <c r="G396" s="3" t="s">
        <v>963</v>
      </c>
      <c r="H396" s="5">
        <v>334</v>
      </c>
      <c r="I396" s="3" t="s">
        <v>919</v>
      </c>
      <c r="J396" s="3">
        <v>5</v>
      </c>
      <c r="K396" s="3">
        <v>3</v>
      </c>
      <c r="L396" s="3" t="s">
        <v>2915</v>
      </c>
      <c r="M396" s="6" t="s">
        <v>960</v>
      </c>
      <c r="N396" s="6"/>
      <c r="O396" s="6"/>
      <c r="P396" s="6"/>
    </row>
    <row r="397" spans="1:16" ht="12.45" x14ac:dyDescent="0.2">
      <c r="A397" s="3" t="s">
        <v>13</v>
      </c>
      <c r="B397" t="s">
        <v>964</v>
      </c>
      <c r="C397" t="s">
        <v>2938</v>
      </c>
      <c r="D397" t="s">
        <v>22</v>
      </c>
      <c r="E397" t="s">
        <v>303</v>
      </c>
      <c r="F397" t="s">
        <v>18</v>
      </c>
      <c r="G397" s="3" t="s">
        <v>965</v>
      </c>
      <c r="H397" s="5">
        <v>334</v>
      </c>
      <c r="I397" s="3" t="s">
        <v>919</v>
      </c>
      <c r="J397" s="3">
        <v>5</v>
      </c>
      <c r="K397" s="3">
        <v>3</v>
      </c>
      <c r="L397" s="3" t="s">
        <v>2915</v>
      </c>
      <c r="M397" s="6" t="s">
        <v>960</v>
      </c>
      <c r="N397" s="6"/>
      <c r="O397" s="6"/>
      <c r="P397" s="6"/>
    </row>
    <row r="398" spans="1:16" ht="12.45" x14ac:dyDescent="0.2">
      <c r="A398" s="3" t="s">
        <v>13</v>
      </c>
      <c r="B398" t="s">
        <v>968</v>
      </c>
      <c r="C398" t="s">
        <v>969</v>
      </c>
      <c r="D398" t="s">
        <v>22</v>
      </c>
      <c r="E398" t="s">
        <v>142</v>
      </c>
      <c r="F398" t="s">
        <v>18</v>
      </c>
      <c r="G398" s="3" t="s">
        <v>970</v>
      </c>
      <c r="H398" s="5">
        <v>334</v>
      </c>
      <c r="I398" s="3" t="s">
        <v>919</v>
      </c>
      <c r="J398" s="3">
        <v>5</v>
      </c>
      <c r="K398" s="3">
        <v>3</v>
      </c>
      <c r="L398" s="3" t="s">
        <v>2915</v>
      </c>
      <c r="M398" s="4" t="s">
        <v>966</v>
      </c>
      <c r="N398" s="4"/>
      <c r="O398" s="4"/>
      <c r="P398" s="4"/>
    </row>
    <row r="399" spans="1:16" ht="12.45" x14ac:dyDescent="0.2">
      <c r="A399" s="3" t="s">
        <v>13</v>
      </c>
      <c r="B399" t="s">
        <v>971</v>
      </c>
      <c r="C399" t="s">
        <v>972</v>
      </c>
      <c r="D399" t="s">
        <v>28</v>
      </c>
      <c r="E399" t="s">
        <v>212</v>
      </c>
      <c r="F399" t="s">
        <v>18</v>
      </c>
      <c r="G399" s="3" t="s">
        <v>973</v>
      </c>
      <c r="H399" s="5">
        <v>334</v>
      </c>
      <c r="I399" s="3" t="s">
        <v>919</v>
      </c>
      <c r="J399" s="3">
        <v>5</v>
      </c>
      <c r="K399" s="3">
        <v>3</v>
      </c>
      <c r="L399" s="3" t="s">
        <v>2915</v>
      </c>
      <c r="M399" s="3" t="s">
        <v>968</v>
      </c>
      <c r="N399" s="3"/>
      <c r="O399" s="3"/>
      <c r="P399" s="3"/>
    </row>
    <row r="400" spans="1:16" ht="12.45" x14ac:dyDescent="0.2">
      <c r="A400" s="3" t="s">
        <v>13</v>
      </c>
      <c r="B400" t="s">
        <v>976</v>
      </c>
      <c r="C400" t="s">
        <v>2957</v>
      </c>
      <c r="D400" t="s">
        <v>28</v>
      </c>
      <c r="E400" t="s">
        <v>23</v>
      </c>
      <c r="F400" t="s">
        <v>18</v>
      </c>
      <c r="G400" s="3" t="s">
        <v>977</v>
      </c>
      <c r="H400" s="5">
        <v>334</v>
      </c>
      <c r="I400" s="3" t="s">
        <v>919</v>
      </c>
      <c r="J400" s="3">
        <v>5</v>
      </c>
      <c r="K400" s="3">
        <v>3</v>
      </c>
      <c r="L400" s="3" t="s">
        <v>2915</v>
      </c>
      <c r="M400" s="3"/>
      <c r="N400" s="3"/>
      <c r="O400" s="3"/>
      <c r="P400" s="3"/>
    </row>
    <row r="401" spans="1:16" ht="12.45" x14ac:dyDescent="0.2">
      <c r="A401" s="3" t="s">
        <v>13</v>
      </c>
      <c r="B401" t="s">
        <v>978</v>
      </c>
      <c r="C401" t="s">
        <v>3017</v>
      </c>
      <c r="D401" t="s">
        <v>28</v>
      </c>
      <c r="E401" t="s">
        <v>23</v>
      </c>
      <c r="F401" t="s">
        <v>18</v>
      </c>
      <c r="G401" s="3" t="s">
        <v>979</v>
      </c>
      <c r="H401" s="5">
        <v>335</v>
      </c>
      <c r="I401" s="3" t="s">
        <v>919</v>
      </c>
      <c r="J401" s="3">
        <v>5</v>
      </c>
      <c r="K401" s="3">
        <v>3</v>
      </c>
      <c r="L401" s="3" t="s">
        <v>2915</v>
      </c>
      <c r="M401" s="4" t="s">
        <v>980</v>
      </c>
      <c r="N401" s="4"/>
      <c r="O401" s="4"/>
      <c r="P401" s="4"/>
    </row>
    <row r="402" spans="1:16" ht="12.45" x14ac:dyDescent="0.2">
      <c r="A402" s="3" t="s">
        <v>13</v>
      </c>
      <c r="B402" t="s">
        <v>985</v>
      </c>
      <c r="C402" t="s">
        <v>3016</v>
      </c>
      <c r="D402" t="s">
        <v>22</v>
      </c>
      <c r="E402" t="s">
        <v>23</v>
      </c>
      <c r="F402" t="s">
        <v>18</v>
      </c>
      <c r="G402" s="3" t="s">
        <v>986</v>
      </c>
      <c r="H402" s="5">
        <v>338</v>
      </c>
      <c r="I402" s="3" t="s">
        <v>919</v>
      </c>
      <c r="J402" s="3">
        <v>5</v>
      </c>
      <c r="K402" s="3">
        <v>3</v>
      </c>
      <c r="L402" s="3" t="s">
        <v>2915</v>
      </c>
      <c r="M402" s="4" t="s">
        <v>978</v>
      </c>
      <c r="N402" s="4"/>
      <c r="O402" s="4"/>
      <c r="P402" s="4"/>
    </row>
    <row r="403" spans="1:16" ht="12.45" x14ac:dyDescent="0.2">
      <c r="A403" s="3" t="s">
        <v>13</v>
      </c>
      <c r="B403" s="3" t="s">
        <v>989</v>
      </c>
      <c r="C403" s="3" t="s">
        <v>15</v>
      </c>
      <c r="D403" s="3" t="s">
        <v>22</v>
      </c>
      <c r="E403" s="3" t="s">
        <v>23</v>
      </c>
      <c r="F403" s="3" t="s">
        <v>18</v>
      </c>
      <c r="G403" s="3"/>
      <c r="H403" s="5" t="s">
        <v>947</v>
      </c>
      <c r="I403" s="3" t="s">
        <v>919</v>
      </c>
      <c r="J403" s="5">
        <v>5</v>
      </c>
      <c r="K403" s="5">
        <v>3</v>
      </c>
      <c r="L403" s="3" t="s">
        <v>2915</v>
      </c>
      <c r="M403" s="6" t="s">
        <v>932</v>
      </c>
      <c r="N403" s="6"/>
      <c r="O403" s="6"/>
      <c r="P403" s="6"/>
    </row>
    <row r="404" spans="1:16" ht="12.45" x14ac:dyDescent="0.2">
      <c r="A404" s="3" t="s">
        <v>13</v>
      </c>
      <c r="B404" s="3" t="s">
        <v>990</v>
      </c>
      <c r="C404" s="3" t="s">
        <v>47</v>
      </c>
      <c r="D404" s="3" t="s">
        <v>22</v>
      </c>
      <c r="E404" s="3" t="s">
        <v>142</v>
      </c>
      <c r="F404" s="3" t="s">
        <v>18</v>
      </c>
      <c r="G404" s="3"/>
      <c r="H404" s="5" t="s">
        <v>947</v>
      </c>
      <c r="I404" s="3" t="s">
        <v>919</v>
      </c>
      <c r="J404" s="5">
        <v>5</v>
      </c>
      <c r="K404" s="5">
        <v>3</v>
      </c>
      <c r="L404" s="3" t="s">
        <v>2915</v>
      </c>
      <c r="M404" s="6" t="s">
        <v>944</v>
      </c>
      <c r="N404" s="6"/>
      <c r="O404" s="6"/>
      <c r="P404" s="6"/>
    </row>
    <row r="405" spans="1:16" ht="12.45" x14ac:dyDescent="0.2">
      <c r="A405" s="3" t="s">
        <v>13</v>
      </c>
      <c r="B405" t="s">
        <v>993</v>
      </c>
      <c r="C405" t="s">
        <v>2946</v>
      </c>
      <c r="D405" t="s">
        <v>28</v>
      </c>
      <c r="E405" t="s">
        <v>23</v>
      </c>
      <c r="F405" t="s">
        <v>18</v>
      </c>
      <c r="G405" s="3" t="s">
        <v>994</v>
      </c>
      <c r="H405" s="5">
        <v>338</v>
      </c>
      <c r="I405" s="3" t="s">
        <v>919</v>
      </c>
      <c r="J405" s="3" t="s">
        <v>594</v>
      </c>
      <c r="K405" s="3">
        <v>3</v>
      </c>
      <c r="L405" s="3" t="s">
        <v>2915</v>
      </c>
      <c r="M405" s="4" t="s">
        <v>995</v>
      </c>
      <c r="N405" s="4"/>
      <c r="O405" s="4"/>
      <c r="P405" s="4"/>
    </row>
    <row r="406" spans="1:16" ht="12.45" x14ac:dyDescent="0.2">
      <c r="A406" s="3" t="s">
        <v>13</v>
      </c>
      <c r="B406" t="s">
        <v>999</v>
      </c>
      <c r="C406" t="s">
        <v>2959</v>
      </c>
      <c r="D406" t="s">
        <v>28</v>
      </c>
      <c r="E406" t="s">
        <v>23</v>
      </c>
      <c r="F406" t="s">
        <v>18</v>
      </c>
      <c r="G406" s="3" t="s">
        <v>1000</v>
      </c>
      <c r="H406" s="5">
        <v>339</v>
      </c>
      <c r="I406" s="3" t="s">
        <v>919</v>
      </c>
      <c r="J406" s="3">
        <v>5</v>
      </c>
      <c r="K406" s="3">
        <v>4</v>
      </c>
      <c r="L406" s="3" t="s">
        <v>2915</v>
      </c>
      <c r="M406" s="4" t="s">
        <v>944</v>
      </c>
      <c r="N406" s="4"/>
      <c r="O406" s="4"/>
      <c r="P406" s="4"/>
    </row>
    <row r="407" spans="1:16" ht="12.45" x14ac:dyDescent="0.2">
      <c r="A407" s="3" t="s">
        <v>13</v>
      </c>
      <c r="B407" t="s">
        <v>1001</v>
      </c>
      <c r="C407" t="s">
        <v>2960</v>
      </c>
      <c r="D407" t="s">
        <v>28</v>
      </c>
      <c r="E407" t="s">
        <v>142</v>
      </c>
      <c r="F407" t="s">
        <v>18</v>
      </c>
      <c r="G407" s="3" t="s">
        <v>1002</v>
      </c>
      <c r="H407" s="5">
        <v>339</v>
      </c>
      <c r="I407" s="3" t="s">
        <v>919</v>
      </c>
      <c r="J407" s="3">
        <v>5</v>
      </c>
      <c r="K407" s="3">
        <v>4</v>
      </c>
      <c r="L407" s="3" t="s">
        <v>2915</v>
      </c>
      <c r="M407" s="4" t="s">
        <v>1003</v>
      </c>
      <c r="N407" s="4"/>
      <c r="O407" s="4"/>
      <c r="P407" s="4"/>
    </row>
    <row r="408" spans="1:16" ht="12.45" x14ac:dyDescent="0.2">
      <c r="A408" s="3" t="s">
        <v>13</v>
      </c>
      <c r="B408" t="s">
        <v>1004</v>
      </c>
      <c r="C408" t="s">
        <v>147</v>
      </c>
      <c r="D408" t="s">
        <v>28</v>
      </c>
      <c r="E408" t="s">
        <v>23</v>
      </c>
      <c r="F408" t="s">
        <v>18</v>
      </c>
      <c r="G408" s="3" t="s">
        <v>1005</v>
      </c>
      <c r="H408" s="5">
        <v>339</v>
      </c>
      <c r="I408" s="3" t="s">
        <v>919</v>
      </c>
      <c r="J408" s="3">
        <v>5</v>
      </c>
      <c r="K408" s="3">
        <v>4</v>
      </c>
      <c r="L408" s="3" t="s">
        <v>2915</v>
      </c>
      <c r="M408" s="4" t="s">
        <v>971</v>
      </c>
      <c r="N408" s="4"/>
      <c r="O408" s="4"/>
      <c r="P408" s="4"/>
    </row>
    <row r="409" spans="1:16" ht="12.45" x14ac:dyDescent="0.2">
      <c r="A409" s="3" t="s">
        <v>13</v>
      </c>
      <c r="B409" t="s">
        <v>1006</v>
      </c>
      <c r="C409" t="s">
        <v>147</v>
      </c>
      <c r="D409" t="s">
        <v>28</v>
      </c>
      <c r="E409" t="s">
        <v>23</v>
      </c>
      <c r="F409" t="s">
        <v>18</v>
      </c>
      <c r="G409" s="3" t="s">
        <v>1007</v>
      </c>
      <c r="H409" s="5">
        <v>340</v>
      </c>
      <c r="I409" s="3" t="s">
        <v>919</v>
      </c>
      <c r="J409" s="3">
        <v>5</v>
      </c>
      <c r="K409" s="3">
        <v>4</v>
      </c>
      <c r="L409" s="3" t="s">
        <v>2915</v>
      </c>
      <c r="M409" s="4" t="s">
        <v>974</v>
      </c>
      <c r="N409" s="4"/>
      <c r="O409" s="4"/>
      <c r="P409" s="4"/>
    </row>
    <row r="410" spans="1:16" ht="12.45" x14ac:dyDescent="0.2">
      <c r="A410" s="3" t="s">
        <v>13</v>
      </c>
      <c r="B410" t="s">
        <v>1012</v>
      </c>
      <c r="C410" t="s">
        <v>3015</v>
      </c>
      <c r="D410" t="s">
        <v>22</v>
      </c>
      <c r="E410" t="s">
        <v>23</v>
      </c>
      <c r="F410" t="s">
        <v>18</v>
      </c>
      <c r="G410" s="3" t="s">
        <v>1013</v>
      </c>
      <c r="H410" s="5">
        <v>340</v>
      </c>
      <c r="I410" s="3" t="s">
        <v>919</v>
      </c>
      <c r="J410" s="3">
        <v>5</v>
      </c>
      <c r="K410" s="3">
        <v>4</v>
      </c>
      <c r="L410" s="3" t="s">
        <v>2915</v>
      </c>
      <c r="M410" s="6" t="s">
        <v>985</v>
      </c>
      <c r="N410" s="6"/>
      <c r="O410" s="6"/>
      <c r="P410" s="6"/>
    </row>
    <row r="411" spans="1:16" ht="12.45" x14ac:dyDescent="0.2">
      <c r="A411" s="3" t="s">
        <v>13</v>
      </c>
      <c r="B411" s="3" t="s">
        <v>1016</v>
      </c>
      <c r="C411" s="3" t="s">
        <v>178</v>
      </c>
      <c r="D411" s="3" t="s">
        <v>28</v>
      </c>
      <c r="E411" s="3" t="s">
        <v>23</v>
      </c>
      <c r="F411" s="3" t="s">
        <v>18</v>
      </c>
      <c r="G411" s="3"/>
      <c r="H411" s="5" t="s">
        <v>992</v>
      </c>
      <c r="I411" s="3" t="s">
        <v>919</v>
      </c>
      <c r="J411" s="5">
        <v>5</v>
      </c>
      <c r="K411" s="5">
        <v>4</v>
      </c>
      <c r="L411" s="3" t="s">
        <v>2915</v>
      </c>
      <c r="M411" s="4" t="s">
        <v>990</v>
      </c>
      <c r="N411" s="4"/>
      <c r="O411" s="4"/>
      <c r="P411" s="4"/>
    </row>
    <row r="412" spans="1:16" ht="12.45" x14ac:dyDescent="0.2">
      <c r="A412" s="3" t="s">
        <v>13</v>
      </c>
      <c r="B412" t="s">
        <v>1019</v>
      </c>
      <c r="C412" t="s">
        <v>3014</v>
      </c>
      <c r="D412" t="s">
        <v>28</v>
      </c>
      <c r="E412" t="s">
        <v>23</v>
      </c>
      <c r="F412" t="s">
        <v>18</v>
      </c>
      <c r="G412" s="3" t="s">
        <v>1021</v>
      </c>
      <c r="H412" s="5">
        <v>340</v>
      </c>
      <c r="I412" s="3" t="s">
        <v>919</v>
      </c>
      <c r="J412" s="3">
        <v>5</v>
      </c>
      <c r="K412" s="3">
        <v>5</v>
      </c>
      <c r="L412" s="3" t="s">
        <v>2915</v>
      </c>
      <c r="M412" s="3" t="s">
        <v>999</v>
      </c>
      <c r="N412" s="3"/>
      <c r="O412" s="3"/>
      <c r="P412" s="3"/>
    </row>
    <row r="413" spans="1:16" ht="12.45" x14ac:dyDescent="0.2">
      <c r="A413" s="3" t="s">
        <v>13</v>
      </c>
      <c r="B413" t="s">
        <v>1022</v>
      </c>
      <c r="C413" t="s">
        <v>2977</v>
      </c>
      <c r="D413" t="s">
        <v>22</v>
      </c>
      <c r="E413" t="s">
        <v>23</v>
      </c>
      <c r="F413" t="s">
        <v>18</v>
      </c>
      <c r="G413" s="3" t="s">
        <v>1023</v>
      </c>
      <c r="H413" s="5">
        <v>341</v>
      </c>
      <c r="I413" s="3" t="s">
        <v>919</v>
      </c>
      <c r="J413" s="3">
        <v>5</v>
      </c>
      <c r="K413" s="3">
        <v>5</v>
      </c>
      <c r="L413" s="3" t="s">
        <v>2915</v>
      </c>
      <c r="M413" s="4" t="s">
        <v>1006</v>
      </c>
      <c r="N413" s="4"/>
      <c r="O413" s="4"/>
      <c r="P413" s="4"/>
    </row>
    <row r="414" spans="1:16" ht="12.45" x14ac:dyDescent="0.2">
      <c r="A414" s="3" t="s">
        <v>13</v>
      </c>
      <c r="B414" t="s">
        <v>1024</v>
      </c>
      <c r="C414" t="s">
        <v>3013</v>
      </c>
      <c r="D414" t="s">
        <v>22</v>
      </c>
      <c r="E414" t="s">
        <v>212</v>
      </c>
      <c r="F414" t="s">
        <v>18</v>
      </c>
      <c r="G414" s="3" t="s">
        <v>1025</v>
      </c>
      <c r="H414" s="5">
        <v>341</v>
      </c>
      <c r="I414" s="3" t="s">
        <v>919</v>
      </c>
      <c r="J414" s="3">
        <v>5</v>
      </c>
      <c r="K414" s="3">
        <v>5</v>
      </c>
      <c r="L414" s="3" t="s">
        <v>2915</v>
      </c>
      <c r="M414" s="4" t="s">
        <v>1026</v>
      </c>
      <c r="N414" s="4"/>
      <c r="O414" s="4"/>
      <c r="P414" s="4"/>
    </row>
    <row r="415" spans="1:16" ht="12.45" x14ac:dyDescent="0.2">
      <c r="A415" s="3" t="s">
        <v>13</v>
      </c>
      <c r="B415" t="s">
        <v>924</v>
      </c>
      <c r="C415" t="s">
        <v>2938</v>
      </c>
      <c r="D415" t="s">
        <v>28</v>
      </c>
      <c r="E415" t="s">
        <v>23</v>
      </c>
      <c r="F415" t="s">
        <v>683</v>
      </c>
      <c r="G415" s="3" t="s">
        <v>925</v>
      </c>
      <c r="H415" s="5">
        <v>330</v>
      </c>
      <c r="I415" s="3" t="s">
        <v>919</v>
      </c>
      <c r="J415" s="3">
        <v>3</v>
      </c>
      <c r="K415" s="3">
        <v>1</v>
      </c>
      <c r="L415" s="3" t="s">
        <v>2915</v>
      </c>
      <c r="M415" s="4" t="s">
        <v>920</v>
      </c>
      <c r="N415" s="4"/>
      <c r="O415" s="4"/>
      <c r="P415" s="4"/>
    </row>
    <row r="416" spans="1:16" ht="12.45" x14ac:dyDescent="0.2">
      <c r="A416" s="3" t="s">
        <v>13</v>
      </c>
      <c r="B416" t="s">
        <v>926</v>
      </c>
      <c r="C416" t="s">
        <v>147</v>
      </c>
      <c r="D416" t="s">
        <v>148</v>
      </c>
      <c r="E416" t="s">
        <v>23</v>
      </c>
      <c r="F416" t="s">
        <v>148</v>
      </c>
      <c r="G416" s="3" t="s">
        <v>927</v>
      </c>
      <c r="H416" s="5">
        <v>330</v>
      </c>
      <c r="I416" s="3" t="s">
        <v>919</v>
      </c>
      <c r="J416" s="3">
        <v>3</v>
      </c>
      <c r="K416" s="3">
        <v>1</v>
      </c>
      <c r="L416" s="3" t="s">
        <v>2915</v>
      </c>
      <c r="M416" s="6"/>
      <c r="N416" s="6"/>
      <c r="O416" s="6"/>
      <c r="P416" s="6"/>
    </row>
    <row r="417" spans="1:16" ht="12.45" x14ac:dyDescent="0.2">
      <c r="A417" s="3" t="s">
        <v>13</v>
      </c>
      <c r="B417" t="s">
        <v>932</v>
      </c>
      <c r="C417" t="s">
        <v>147</v>
      </c>
      <c r="D417" t="s">
        <v>148</v>
      </c>
      <c r="E417" t="s">
        <v>23</v>
      </c>
      <c r="F417" t="s">
        <v>148</v>
      </c>
      <c r="G417" s="3" t="s">
        <v>933</v>
      </c>
      <c r="H417" s="5">
        <v>332</v>
      </c>
      <c r="I417" s="3" t="s">
        <v>919</v>
      </c>
      <c r="J417" s="3">
        <v>4</v>
      </c>
      <c r="K417" s="3">
        <v>2</v>
      </c>
      <c r="L417" s="3" t="s">
        <v>2915</v>
      </c>
      <c r="M417" s="3" t="s">
        <v>926</v>
      </c>
      <c r="N417" s="4"/>
      <c r="O417" s="4"/>
      <c r="P417" s="4"/>
    </row>
    <row r="418" spans="1:16" ht="12.45" x14ac:dyDescent="0.2">
      <c r="A418" s="3" t="s">
        <v>13</v>
      </c>
      <c r="B418" t="s">
        <v>936</v>
      </c>
      <c r="C418" t="s">
        <v>147</v>
      </c>
      <c r="D418" t="s">
        <v>148</v>
      </c>
      <c r="E418" t="s">
        <v>23</v>
      </c>
      <c r="F418" t="s">
        <v>148</v>
      </c>
      <c r="G418" s="3" t="s">
        <v>937</v>
      </c>
      <c r="H418" s="5">
        <v>332</v>
      </c>
      <c r="I418" s="3" t="s">
        <v>919</v>
      </c>
      <c r="J418" s="3">
        <v>4</v>
      </c>
      <c r="K418" s="3">
        <v>2</v>
      </c>
      <c r="L418" s="3" t="s">
        <v>2915</v>
      </c>
      <c r="M418" s="4" t="s">
        <v>922</v>
      </c>
      <c r="N418" s="4"/>
      <c r="O418" s="4"/>
      <c r="P418" s="4"/>
    </row>
    <row r="419" spans="1:16" ht="12.45" x14ac:dyDescent="0.2">
      <c r="A419" s="3" t="s">
        <v>13</v>
      </c>
      <c r="B419" s="3" t="s">
        <v>946</v>
      </c>
      <c r="C419" s="3" t="s">
        <v>147</v>
      </c>
      <c r="D419" s="3" t="s">
        <v>148</v>
      </c>
      <c r="E419" s="3" t="s">
        <v>23</v>
      </c>
      <c r="F419" s="3" t="s">
        <v>148</v>
      </c>
      <c r="G419" s="3"/>
      <c r="H419" s="5" t="s">
        <v>947</v>
      </c>
      <c r="I419" s="3" t="s">
        <v>919</v>
      </c>
      <c r="J419" s="5">
        <v>5</v>
      </c>
      <c r="K419" s="5">
        <v>2</v>
      </c>
      <c r="L419" s="3" t="s">
        <v>2915</v>
      </c>
      <c r="M419" s="4" t="s">
        <v>930</v>
      </c>
      <c r="N419" s="4"/>
      <c r="O419" s="4"/>
      <c r="P419" s="4"/>
    </row>
    <row r="420" spans="1:16" ht="12.45" x14ac:dyDescent="0.2">
      <c r="A420" s="3" t="s">
        <v>13</v>
      </c>
      <c r="B420" t="s">
        <v>948</v>
      </c>
      <c r="C420" t="s">
        <v>147</v>
      </c>
      <c r="D420" t="s">
        <v>148</v>
      </c>
      <c r="E420" t="s">
        <v>23</v>
      </c>
      <c r="F420" t="s">
        <v>148</v>
      </c>
      <c r="G420" s="3" t="s">
        <v>949</v>
      </c>
      <c r="H420" s="5">
        <v>332</v>
      </c>
      <c r="I420" s="3" t="s">
        <v>919</v>
      </c>
      <c r="J420" s="3">
        <v>5</v>
      </c>
      <c r="K420" s="3">
        <v>3</v>
      </c>
      <c r="L420" s="3" t="s">
        <v>2915</v>
      </c>
      <c r="M420" s="4" t="s">
        <v>930</v>
      </c>
      <c r="N420" s="4"/>
      <c r="O420" s="4"/>
      <c r="P420" s="4"/>
    </row>
    <row r="421" spans="1:16" ht="12.45" x14ac:dyDescent="0.2">
      <c r="A421" s="3" t="s">
        <v>13</v>
      </c>
      <c r="B421" t="s">
        <v>950</v>
      </c>
      <c r="C421" t="s">
        <v>147</v>
      </c>
      <c r="D421" t="s">
        <v>148</v>
      </c>
      <c r="E421" t="s">
        <v>23</v>
      </c>
      <c r="F421" t="s">
        <v>148</v>
      </c>
      <c r="G421" s="3" t="s">
        <v>951</v>
      </c>
      <c r="H421" s="5">
        <v>333</v>
      </c>
      <c r="I421" s="3" t="s">
        <v>919</v>
      </c>
      <c r="J421" s="3">
        <v>5</v>
      </c>
      <c r="K421" s="3">
        <v>3</v>
      </c>
      <c r="L421" s="3" t="s">
        <v>2915</v>
      </c>
      <c r="M421" s="4" t="s">
        <v>948</v>
      </c>
      <c r="N421" s="4"/>
      <c r="O421" s="4"/>
      <c r="P421" s="4"/>
    </row>
    <row r="422" spans="1:16" ht="12.45" x14ac:dyDescent="0.2">
      <c r="A422" s="3" t="s">
        <v>13</v>
      </c>
      <c r="B422" t="s">
        <v>956</v>
      </c>
      <c r="C422" t="s">
        <v>147</v>
      </c>
      <c r="D422" t="s">
        <v>148</v>
      </c>
      <c r="E422" t="s">
        <v>23</v>
      </c>
      <c r="F422" t="s">
        <v>148</v>
      </c>
      <c r="G422" s="3" t="s">
        <v>957</v>
      </c>
      <c r="H422" s="5">
        <v>333</v>
      </c>
      <c r="I422" s="3" t="s">
        <v>919</v>
      </c>
      <c r="J422" s="3">
        <v>5</v>
      </c>
      <c r="K422" s="3">
        <v>3</v>
      </c>
      <c r="L422" s="3" t="s">
        <v>2915</v>
      </c>
      <c r="M422" s="3" t="s">
        <v>944</v>
      </c>
      <c r="N422" s="3"/>
      <c r="O422" s="3"/>
      <c r="P422" s="3"/>
    </row>
    <row r="423" spans="1:16" ht="12.45" x14ac:dyDescent="0.2">
      <c r="A423" s="3" t="s">
        <v>13</v>
      </c>
      <c r="B423" t="s">
        <v>966</v>
      </c>
      <c r="C423" t="s">
        <v>147</v>
      </c>
      <c r="D423" t="s">
        <v>148</v>
      </c>
      <c r="E423" t="s">
        <v>23</v>
      </c>
      <c r="F423" t="s">
        <v>148</v>
      </c>
      <c r="G423" s="3" t="s">
        <v>967</v>
      </c>
      <c r="H423" s="5">
        <v>334</v>
      </c>
      <c r="I423" s="3" t="s">
        <v>919</v>
      </c>
      <c r="J423" s="3">
        <v>5</v>
      </c>
      <c r="K423" s="3">
        <v>3</v>
      </c>
      <c r="L423" s="3" t="s">
        <v>2915</v>
      </c>
      <c r="M423" s="4" t="s">
        <v>936</v>
      </c>
      <c r="N423" s="4"/>
      <c r="O423" s="4"/>
      <c r="P423" s="4"/>
    </row>
    <row r="424" spans="1:16" ht="12.45" x14ac:dyDescent="0.2">
      <c r="A424" s="3" t="s">
        <v>13</v>
      </c>
      <c r="B424" t="s">
        <v>974</v>
      </c>
      <c r="C424" t="s">
        <v>147</v>
      </c>
      <c r="D424" t="s">
        <v>148</v>
      </c>
      <c r="E424" t="s">
        <v>23</v>
      </c>
      <c r="F424" t="s">
        <v>148</v>
      </c>
      <c r="G424" s="3" t="s">
        <v>975</v>
      </c>
      <c r="H424" s="5">
        <v>334</v>
      </c>
      <c r="I424" s="3" t="s">
        <v>919</v>
      </c>
      <c r="J424" s="3">
        <v>5</v>
      </c>
      <c r="K424" s="3">
        <v>3</v>
      </c>
      <c r="L424" s="3" t="s">
        <v>2915</v>
      </c>
      <c r="M424" s="4" t="s">
        <v>968</v>
      </c>
      <c r="N424" s="4"/>
      <c r="O424" s="4"/>
      <c r="P424" s="4"/>
    </row>
    <row r="425" spans="1:16" ht="12.45" x14ac:dyDescent="0.2">
      <c r="A425" s="3" t="s">
        <v>13</v>
      </c>
      <c r="B425" t="s">
        <v>981</v>
      </c>
      <c r="C425" t="s">
        <v>147</v>
      </c>
      <c r="D425" t="s">
        <v>148</v>
      </c>
      <c r="E425" t="s">
        <v>23</v>
      </c>
      <c r="F425" t="s">
        <v>148</v>
      </c>
      <c r="G425" s="3" t="s">
        <v>982</v>
      </c>
      <c r="H425" s="5">
        <v>337</v>
      </c>
      <c r="I425" s="3" t="s">
        <v>919</v>
      </c>
      <c r="J425" s="3">
        <v>5</v>
      </c>
      <c r="K425" s="3">
        <v>3</v>
      </c>
      <c r="L425" s="3" t="s">
        <v>2915</v>
      </c>
      <c r="M425" s="3" t="s">
        <v>978</v>
      </c>
      <c r="N425" s="3"/>
      <c r="O425" s="3"/>
      <c r="P425" s="3"/>
    </row>
    <row r="426" spans="1:16" ht="12.45" x14ac:dyDescent="0.2">
      <c r="A426" s="3" t="s">
        <v>13</v>
      </c>
      <c r="B426" t="s">
        <v>983</v>
      </c>
      <c r="C426" t="s">
        <v>147</v>
      </c>
      <c r="D426" t="s">
        <v>148</v>
      </c>
      <c r="E426" t="s">
        <v>23</v>
      </c>
      <c r="F426" t="s">
        <v>148</v>
      </c>
      <c r="G426" s="3" t="s">
        <v>984</v>
      </c>
      <c r="H426" s="5">
        <v>338</v>
      </c>
      <c r="I426" s="3" t="s">
        <v>919</v>
      </c>
      <c r="J426" s="3">
        <v>5</v>
      </c>
      <c r="K426" s="3">
        <v>3</v>
      </c>
      <c r="L426" s="3" t="s">
        <v>2915</v>
      </c>
      <c r="M426" s="4" t="s">
        <v>978</v>
      </c>
      <c r="N426" s="4"/>
      <c r="O426" s="4"/>
      <c r="P426" s="4"/>
    </row>
    <row r="427" spans="1:16" ht="12.45" x14ac:dyDescent="0.2">
      <c r="A427" s="3" t="s">
        <v>13</v>
      </c>
      <c r="B427" t="s">
        <v>987</v>
      </c>
      <c r="C427" t="s">
        <v>147</v>
      </c>
      <c r="D427" t="s">
        <v>148</v>
      </c>
      <c r="E427" t="s">
        <v>23</v>
      </c>
      <c r="F427" t="s">
        <v>148</v>
      </c>
      <c r="G427" s="3" t="s">
        <v>988</v>
      </c>
      <c r="H427" s="5">
        <v>338</v>
      </c>
      <c r="I427" s="3" t="s">
        <v>919</v>
      </c>
      <c r="J427" s="3">
        <v>5</v>
      </c>
      <c r="K427" s="3">
        <v>3</v>
      </c>
      <c r="L427" s="3" t="s">
        <v>2915</v>
      </c>
      <c r="M427" s="4" t="s">
        <v>978</v>
      </c>
      <c r="N427" s="4"/>
      <c r="O427" s="4"/>
      <c r="P427" s="4"/>
    </row>
    <row r="428" spans="1:16" ht="12.45" x14ac:dyDescent="0.2">
      <c r="A428" s="3" t="s">
        <v>13</v>
      </c>
      <c r="B428" s="3" t="s">
        <v>991</v>
      </c>
      <c r="C428" s="3" t="s">
        <v>147</v>
      </c>
      <c r="D428" s="3" t="s">
        <v>148</v>
      </c>
      <c r="E428" s="3" t="s">
        <v>23</v>
      </c>
      <c r="F428" s="3" t="s">
        <v>148</v>
      </c>
      <c r="G428" s="3"/>
      <c r="H428" s="5" t="s">
        <v>992</v>
      </c>
      <c r="I428" s="3" t="s">
        <v>919</v>
      </c>
      <c r="J428" s="5">
        <v>5</v>
      </c>
      <c r="K428" s="5">
        <v>3</v>
      </c>
      <c r="L428" s="3" t="s">
        <v>2915</v>
      </c>
      <c r="M428" s="4" t="s">
        <v>954</v>
      </c>
      <c r="N428" s="4"/>
      <c r="O428" s="4"/>
      <c r="P428" s="4"/>
    </row>
    <row r="429" spans="1:16" ht="12.45" x14ac:dyDescent="0.2">
      <c r="A429" s="3" t="s">
        <v>13</v>
      </c>
      <c r="B429" t="s">
        <v>1008</v>
      </c>
      <c r="C429" t="s">
        <v>147</v>
      </c>
      <c r="D429" t="s">
        <v>148</v>
      </c>
      <c r="E429" t="s">
        <v>23</v>
      </c>
      <c r="F429" t="s">
        <v>148</v>
      </c>
      <c r="G429" s="3" t="s">
        <v>1009</v>
      </c>
      <c r="H429" s="5">
        <v>340</v>
      </c>
      <c r="I429" s="3" t="s">
        <v>919</v>
      </c>
      <c r="J429" s="3">
        <v>5</v>
      </c>
      <c r="K429" s="3">
        <v>4</v>
      </c>
      <c r="L429" s="3" t="s">
        <v>2915</v>
      </c>
      <c r="M429" s="6" t="s">
        <v>983</v>
      </c>
      <c r="N429" s="6"/>
      <c r="O429" s="6"/>
      <c r="P429" s="6"/>
    </row>
    <row r="430" spans="1:16" ht="12.45" x14ac:dyDescent="0.2">
      <c r="A430" s="3" t="s">
        <v>13</v>
      </c>
      <c r="B430" t="s">
        <v>1010</v>
      </c>
      <c r="C430" t="s">
        <v>147</v>
      </c>
      <c r="D430" t="s">
        <v>148</v>
      </c>
      <c r="E430" t="s">
        <v>23</v>
      </c>
      <c r="F430" t="s">
        <v>148</v>
      </c>
      <c r="G430" s="3" t="s">
        <v>1011</v>
      </c>
      <c r="H430" s="5">
        <v>340</v>
      </c>
      <c r="I430" s="3" t="s">
        <v>919</v>
      </c>
      <c r="J430" s="3">
        <v>5</v>
      </c>
      <c r="K430" s="3">
        <v>4</v>
      </c>
      <c r="L430" s="3" t="s">
        <v>2915</v>
      </c>
      <c r="M430" s="4" t="s">
        <v>1008</v>
      </c>
      <c r="N430" s="4"/>
      <c r="O430" s="4"/>
      <c r="P430" s="4"/>
    </row>
    <row r="431" spans="1:16" ht="12.45" x14ac:dyDescent="0.2">
      <c r="A431" s="3" t="s">
        <v>13</v>
      </c>
      <c r="B431" t="s">
        <v>1014</v>
      </c>
      <c r="C431" t="s">
        <v>147</v>
      </c>
      <c r="D431" t="s">
        <v>148</v>
      </c>
      <c r="E431" t="s">
        <v>23</v>
      </c>
      <c r="F431" t="s">
        <v>148</v>
      </c>
      <c r="G431" s="3" t="s">
        <v>1015</v>
      </c>
      <c r="H431" s="5">
        <v>340</v>
      </c>
      <c r="I431" s="3" t="s">
        <v>919</v>
      </c>
      <c r="J431" s="3">
        <v>5</v>
      </c>
      <c r="K431" s="3">
        <v>4</v>
      </c>
      <c r="L431" s="3" t="s">
        <v>2915</v>
      </c>
      <c r="M431" s="6" t="s">
        <v>987</v>
      </c>
      <c r="N431" s="6"/>
      <c r="O431" s="6"/>
      <c r="P431" s="6"/>
    </row>
    <row r="432" spans="1:16" ht="12.45" x14ac:dyDescent="0.2">
      <c r="A432" s="3" t="s">
        <v>13</v>
      </c>
      <c r="B432" t="s">
        <v>1017</v>
      </c>
      <c r="C432" t="s">
        <v>147</v>
      </c>
      <c r="D432" t="s">
        <v>148</v>
      </c>
      <c r="E432" t="s">
        <v>23</v>
      </c>
      <c r="F432" t="s">
        <v>148</v>
      </c>
      <c r="G432" s="3" t="s">
        <v>1018</v>
      </c>
      <c r="H432" s="5">
        <v>340</v>
      </c>
      <c r="I432" s="3" t="s">
        <v>919</v>
      </c>
      <c r="J432" s="3">
        <v>5</v>
      </c>
      <c r="K432" s="3">
        <v>5</v>
      </c>
      <c r="L432" s="3" t="s">
        <v>2915</v>
      </c>
      <c r="M432" s="4" t="s">
        <v>1010</v>
      </c>
      <c r="N432" s="4"/>
      <c r="O432" s="4"/>
      <c r="P432" s="4"/>
    </row>
    <row r="433" spans="1:16" ht="12.45" x14ac:dyDescent="0.2">
      <c r="A433" s="3" t="s">
        <v>13</v>
      </c>
      <c r="B433" t="s">
        <v>1027</v>
      </c>
      <c r="C433" t="s">
        <v>147</v>
      </c>
      <c r="D433" t="s">
        <v>148</v>
      </c>
      <c r="E433" t="s">
        <v>23</v>
      </c>
      <c r="F433" t="s">
        <v>148</v>
      </c>
      <c r="G433" s="3" t="s">
        <v>1028</v>
      </c>
      <c r="H433" s="5">
        <v>341</v>
      </c>
      <c r="I433" s="3" t="s">
        <v>919</v>
      </c>
      <c r="J433" s="3">
        <v>5</v>
      </c>
      <c r="K433" s="3">
        <v>5</v>
      </c>
      <c r="L433" s="3" t="s">
        <v>2915</v>
      </c>
      <c r="M433" s="4" t="s">
        <v>1014</v>
      </c>
      <c r="N433" s="4"/>
      <c r="O433" s="4"/>
      <c r="P433" s="4"/>
    </row>
    <row r="434" spans="1:16" ht="12.45" x14ac:dyDescent="0.2">
      <c r="A434" s="3" t="s">
        <v>13</v>
      </c>
      <c r="B434" t="s">
        <v>928</v>
      </c>
      <c r="C434" t="s">
        <v>2942</v>
      </c>
      <c r="D434" t="s">
        <v>22</v>
      </c>
      <c r="E434" t="s">
        <v>23</v>
      </c>
      <c r="F434" t="s">
        <v>44</v>
      </c>
      <c r="G434" s="3" t="s">
        <v>929</v>
      </c>
      <c r="H434" s="5">
        <v>330</v>
      </c>
      <c r="I434" s="3" t="s">
        <v>919</v>
      </c>
      <c r="J434" s="3">
        <v>3</v>
      </c>
      <c r="K434" s="3">
        <v>1</v>
      </c>
      <c r="L434" s="3" t="s">
        <v>2915</v>
      </c>
      <c r="M434" s="3" t="s">
        <v>926</v>
      </c>
      <c r="N434" s="3"/>
      <c r="O434" s="3"/>
      <c r="P434" s="3"/>
    </row>
    <row r="435" spans="1:16" ht="12.45" x14ac:dyDescent="0.2">
      <c r="A435" s="3" t="s">
        <v>13</v>
      </c>
      <c r="B435" t="s">
        <v>938</v>
      </c>
      <c r="C435" t="s">
        <v>2938</v>
      </c>
      <c r="D435" t="s">
        <v>16</v>
      </c>
      <c r="E435" t="s">
        <v>142</v>
      </c>
      <c r="F435" t="s">
        <v>44</v>
      </c>
      <c r="G435" s="3" t="s">
        <v>939</v>
      </c>
      <c r="H435" s="5">
        <v>331</v>
      </c>
      <c r="I435" s="3" t="s">
        <v>919</v>
      </c>
      <c r="J435" s="3">
        <v>5</v>
      </c>
      <c r="K435" s="3">
        <v>2</v>
      </c>
      <c r="L435" s="3" t="s">
        <v>2915</v>
      </c>
      <c r="M435" s="4" t="s">
        <v>930</v>
      </c>
      <c r="N435" s="4"/>
      <c r="O435" s="4"/>
      <c r="P435" s="4"/>
    </row>
    <row r="436" spans="1:16" ht="12.45" x14ac:dyDescent="0.2">
      <c r="A436" s="3" t="s">
        <v>13</v>
      </c>
      <c r="B436" t="s">
        <v>920</v>
      </c>
      <c r="C436" t="s">
        <v>2946</v>
      </c>
      <c r="D436" t="s">
        <v>22</v>
      </c>
      <c r="E436" t="s">
        <v>23</v>
      </c>
      <c r="F436" t="s">
        <v>751</v>
      </c>
      <c r="G436" s="3" t="s">
        <v>921</v>
      </c>
      <c r="H436" s="5">
        <v>330</v>
      </c>
      <c r="I436" s="3" t="s">
        <v>919</v>
      </c>
      <c r="J436" s="3">
        <v>2</v>
      </c>
      <c r="K436" s="3">
        <v>1</v>
      </c>
      <c r="L436" s="3" t="s">
        <v>2915</v>
      </c>
      <c r="M436" s="4"/>
      <c r="N436" s="4"/>
      <c r="O436" s="4"/>
      <c r="P436" s="4"/>
    </row>
    <row r="437" spans="1:16" ht="12.45" x14ac:dyDescent="0.2">
      <c r="A437" s="3" t="s">
        <v>13</v>
      </c>
      <c r="B437" t="s">
        <v>1046</v>
      </c>
      <c r="C437" t="s">
        <v>2960</v>
      </c>
      <c r="D437" t="s">
        <v>28</v>
      </c>
      <c r="E437" t="s">
        <v>23</v>
      </c>
      <c r="F437" t="s">
        <v>182</v>
      </c>
      <c r="G437" s="3" t="s">
        <v>1047</v>
      </c>
      <c r="H437" s="5">
        <v>343</v>
      </c>
      <c r="I437" s="3" t="s">
        <v>1031</v>
      </c>
      <c r="J437" s="3">
        <v>4</v>
      </c>
      <c r="K437" s="3">
        <v>2</v>
      </c>
      <c r="L437" s="3" t="s">
        <v>2912</v>
      </c>
      <c r="M437" s="6" t="s">
        <v>1040</v>
      </c>
      <c r="N437" s="6"/>
      <c r="O437" s="6"/>
      <c r="P437" s="6"/>
    </row>
    <row r="438" spans="1:16" ht="12.45" x14ac:dyDescent="0.2">
      <c r="A438" s="3" t="s">
        <v>13</v>
      </c>
      <c r="B438" s="3" t="s">
        <v>1078</v>
      </c>
      <c r="C438" s="3" t="s">
        <v>392</v>
      </c>
      <c r="D438" s="3" t="s">
        <v>22</v>
      </c>
      <c r="E438" s="3" t="s">
        <v>23</v>
      </c>
      <c r="F438" s="3" t="s">
        <v>182</v>
      </c>
      <c r="G438" s="3"/>
      <c r="H438" s="5" t="s">
        <v>1079</v>
      </c>
      <c r="I438" s="3" t="s">
        <v>1031</v>
      </c>
      <c r="J438" s="5">
        <v>5</v>
      </c>
      <c r="K438" s="5">
        <v>5</v>
      </c>
      <c r="L438" s="3" t="s">
        <v>2912</v>
      </c>
      <c r="M438" t="s">
        <v>1063</v>
      </c>
      <c r="N438" s="4"/>
      <c r="O438" s="4"/>
      <c r="P438" s="4"/>
    </row>
    <row r="439" spans="1:16" ht="12.45" x14ac:dyDescent="0.2">
      <c r="A439" s="3" t="s">
        <v>13</v>
      </c>
      <c r="B439" t="s">
        <v>1029</v>
      </c>
      <c r="C439" t="s">
        <v>2944</v>
      </c>
      <c r="D439" t="s">
        <v>28</v>
      </c>
      <c r="E439" t="s">
        <v>23</v>
      </c>
      <c r="F439" t="s">
        <v>18</v>
      </c>
      <c r="G439" s="3" t="s">
        <v>1030</v>
      </c>
      <c r="H439" s="5">
        <v>341</v>
      </c>
      <c r="I439" s="3" t="s">
        <v>1031</v>
      </c>
      <c r="J439" s="3">
        <v>1</v>
      </c>
      <c r="K439" s="3">
        <v>1</v>
      </c>
      <c r="L439" s="3" t="s">
        <v>2912</v>
      </c>
      <c r="M439" s="3"/>
      <c r="N439" s="3"/>
      <c r="O439" s="3"/>
      <c r="P439" s="3"/>
    </row>
    <row r="440" spans="1:16" ht="12.45" x14ac:dyDescent="0.2">
      <c r="A440" s="3" t="s">
        <v>13</v>
      </c>
      <c r="B440" t="s">
        <v>1032</v>
      </c>
      <c r="C440" t="s">
        <v>2939</v>
      </c>
      <c r="D440" t="s">
        <v>16</v>
      </c>
      <c r="E440" t="s">
        <v>23</v>
      </c>
      <c r="F440" t="s">
        <v>18</v>
      </c>
      <c r="G440" s="3" t="s">
        <v>1033</v>
      </c>
      <c r="H440" s="5">
        <v>342</v>
      </c>
      <c r="I440" s="3" t="s">
        <v>1031</v>
      </c>
      <c r="J440" s="3">
        <v>1</v>
      </c>
      <c r="K440" s="3">
        <v>1</v>
      </c>
      <c r="L440" s="3" t="s">
        <v>2912</v>
      </c>
      <c r="M440" s="6"/>
      <c r="N440" s="6"/>
      <c r="O440" s="6"/>
      <c r="P440" s="6"/>
    </row>
    <row r="441" spans="1:16" ht="12.45" x14ac:dyDescent="0.2">
      <c r="A441" s="3" t="s">
        <v>13</v>
      </c>
      <c r="B441" t="s">
        <v>1034</v>
      </c>
      <c r="C441" t="s">
        <v>2962</v>
      </c>
      <c r="D441" t="s">
        <v>22</v>
      </c>
      <c r="E441" t="s">
        <v>23</v>
      </c>
      <c r="F441" t="s">
        <v>18</v>
      </c>
      <c r="G441" s="3" t="s">
        <v>1035</v>
      </c>
      <c r="H441" s="5">
        <v>341</v>
      </c>
      <c r="I441" s="3" t="s">
        <v>1031</v>
      </c>
      <c r="J441" s="3">
        <v>3</v>
      </c>
      <c r="K441" s="3">
        <v>1</v>
      </c>
      <c r="L441" s="3" t="s">
        <v>2912</v>
      </c>
      <c r="M441" s="4" t="s">
        <v>1029</v>
      </c>
      <c r="N441" s="4"/>
      <c r="O441" s="4"/>
      <c r="P441" s="4"/>
    </row>
    <row r="442" spans="1:16" ht="12.45" x14ac:dyDescent="0.2">
      <c r="A442" s="3" t="s">
        <v>13</v>
      </c>
      <c r="B442" t="s">
        <v>1036</v>
      </c>
      <c r="C442" t="s">
        <v>2946</v>
      </c>
      <c r="D442" t="s">
        <v>28</v>
      </c>
      <c r="E442" t="s">
        <v>23</v>
      </c>
      <c r="F442" t="s">
        <v>18</v>
      </c>
      <c r="G442" s="3" t="s">
        <v>1037</v>
      </c>
      <c r="H442" s="5">
        <v>342</v>
      </c>
      <c r="I442" s="3" t="s">
        <v>1031</v>
      </c>
      <c r="J442" s="3">
        <v>3</v>
      </c>
      <c r="K442" s="3">
        <v>1</v>
      </c>
      <c r="L442" s="3" t="s">
        <v>2912</v>
      </c>
      <c r="M442" s="4"/>
      <c r="N442" s="4"/>
      <c r="O442" s="4"/>
      <c r="P442" s="4"/>
    </row>
    <row r="443" spans="1:16" ht="12.45" x14ac:dyDescent="0.2">
      <c r="A443" s="3" t="s">
        <v>13</v>
      </c>
      <c r="B443" t="s">
        <v>1038</v>
      </c>
      <c r="C443" t="s">
        <v>2960</v>
      </c>
      <c r="D443" t="s">
        <v>28</v>
      </c>
      <c r="E443" t="s">
        <v>23</v>
      </c>
      <c r="F443" t="s">
        <v>18</v>
      </c>
      <c r="G443" s="3" t="s">
        <v>1039</v>
      </c>
      <c r="H443" s="5">
        <v>342</v>
      </c>
      <c r="I443" s="3" t="s">
        <v>1031</v>
      </c>
      <c r="J443" s="3">
        <v>3</v>
      </c>
      <c r="K443" s="3">
        <v>1</v>
      </c>
      <c r="L443" s="3" t="s">
        <v>2912</v>
      </c>
      <c r="M443" s="4" t="s">
        <v>1036</v>
      </c>
      <c r="N443" s="4"/>
      <c r="O443" s="4"/>
      <c r="P443" s="4"/>
    </row>
    <row r="444" spans="1:16" ht="12.45" x14ac:dyDescent="0.2">
      <c r="A444" s="3" t="s">
        <v>13</v>
      </c>
      <c r="B444" t="s">
        <v>1040</v>
      </c>
      <c r="C444" t="s">
        <v>2940</v>
      </c>
      <c r="D444" t="s">
        <v>22</v>
      </c>
      <c r="E444" t="s">
        <v>23</v>
      </c>
      <c r="F444" t="s">
        <v>18</v>
      </c>
      <c r="G444" s="3" t="s">
        <v>1041</v>
      </c>
      <c r="H444" s="5">
        <v>343</v>
      </c>
      <c r="I444" s="3" t="s">
        <v>1031</v>
      </c>
      <c r="J444" s="3">
        <v>3</v>
      </c>
      <c r="K444" s="3">
        <v>2</v>
      </c>
      <c r="L444" s="3" t="s">
        <v>2912</v>
      </c>
      <c r="M444" s="3" t="s">
        <v>1032</v>
      </c>
      <c r="N444" s="3"/>
      <c r="O444" s="3"/>
      <c r="P444" s="3"/>
    </row>
    <row r="445" spans="1:16" ht="12.45" x14ac:dyDescent="0.2">
      <c r="A445" s="3" t="s">
        <v>13</v>
      </c>
      <c r="B445" t="s">
        <v>1044</v>
      </c>
      <c r="C445" t="s">
        <v>3012</v>
      </c>
      <c r="D445" t="s">
        <v>22</v>
      </c>
      <c r="E445" t="s">
        <v>23</v>
      </c>
      <c r="F445" t="s">
        <v>18</v>
      </c>
      <c r="G445" s="3" t="s">
        <v>1045</v>
      </c>
      <c r="H445" s="5">
        <v>342</v>
      </c>
      <c r="I445" s="3" t="s">
        <v>1031</v>
      </c>
      <c r="J445" s="3">
        <v>4</v>
      </c>
      <c r="K445" s="3">
        <v>2</v>
      </c>
      <c r="L445" s="3" t="s">
        <v>2912</v>
      </c>
      <c r="M445" s="4" t="s">
        <v>1038</v>
      </c>
      <c r="N445" s="4"/>
      <c r="O445" s="4"/>
      <c r="P445" s="4"/>
    </row>
    <row r="446" spans="1:16" ht="12.45" x14ac:dyDescent="0.2">
      <c r="A446" s="3" t="s">
        <v>13</v>
      </c>
      <c r="B446" t="s">
        <v>1048</v>
      </c>
      <c r="C446" t="s">
        <v>2940</v>
      </c>
      <c r="D446" t="s">
        <v>28</v>
      </c>
      <c r="E446" t="s">
        <v>29</v>
      </c>
      <c r="F446" t="s">
        <v>18</v>
      </c>
      <c r="G446" s="3" t="s">
        <v>1049</v>
      </c>
      <c r="H446" s="5">
        <v>342</v>
      </c>
      <c r="I446" s="3" t="s">
        <v>1031</v>
      </c>
      <c r="J446" s="3">
        <v>5</v>
      </c>
      <c r="K446" s="3">
        <v>2</v>
      </c>
      <c r="L446" s="3" t="s">
        <v>2912</v>
      </c>
      <c r="M446" s="6" t="s">
        <v>1044</v>
      </c>
      <c r="N446" s="6"/>
      <c r="O446" s="6"/>
      <c r="P446" s="6"/>
    </row>
    <row r="447" spans="1:16" ht="12.45" x14ac:dyDescent="0.2">
      <c r="A447" s="3" t="s">
        <v>13</v>
      </c>
      <c r="B447" t="s">
        <v>1050</v>
      </c>
      <c r="C447" t="s">
        <v>2971</v>
      </c>
      <c r="D447" t="s">
        <v>22</v>
      </c>
      <c r="E447" t="s">
        <v>23</v>
      </c>
      <c r="F447" t="s">
        <v>18</v>
      </c>
      <c r="G447" s="3" t="s">
        <v>1051</v>
      </c>
      <c r="H447" s="5">
        <v>344</v>
      </c>
      <c r="I447" s="3" t="s">
        <v>1031</v>
      </c>
      <c r="J447" s="3">
        <v>5</v>
      </c>
      <c r="K447" s="3">
        <v>2</v>
      </c>
      <c r="L447" s="3" t="s">
        <v>2912</v>
      </c>
      <c r="M447" s="6" t="s">
        <v>1040</v>
      </c>
      <c r="N447" s="6"/>
      <c r="O447" s="6"/>
      <c r="P447" s="6"/>
    </row>
    <row r="448" spans="1:16" ht="12.45" x14ac:dyDescent="0.2">
      <c r="A448" s="3" t="s">
        <v>13</v>
      </c>
      <c r="B448" t="s">
        <v>1052</v>
      </c>
      <c r="C448" t="s">
        <v>2960</v>
      </c>
      <c r="D448" t="s">
        <v>28</v>
      </c>
      <c r="E448" t="s">
        <v>23</v>
      </c>
      <c r="F448" t="s">
        <v>18</v>
      </c>
      <c r="G448" s="3" t="s">
        <v>1053</v>
      </c>
      <c r="H448" s="5">
        <v>344</v>
      </c>
      <c r="I448" s="3" t="s">
        <v>1031</v>
      </c>
      <c r="J448" s="3">
        <v>5</v>
      </c>
      <c r="K448" s="3">
        <v>3</v>
      </c>
      <c r="L448" s="3" t="s">
        <v>2912</v>
      </c>
      <c r="M448" s="6" t="s">
        <v>1044</v>
      </c>
      <c r="N448" s="6"/>
      <c r="O448" s="6"/>
      <c r="P448" s="6"/>
    </row>
    <row r="449" spans="1:16" ht="12.45" x14ac:dyDescent="0.2">
      <c r="A449" s="3" t="s">
        <v>13</v>
      </c>
      <c r="B449" t="s">
        <v>1054</v>
      </c>
      <c r="C449" t="s">
        <v>2938</v>
      </c>
      <c r="D449" t="s">
        <v>22</v>
      </c>
      <c r="E449" t="s">
        <v>23</v>
      </c>
      <c r="F449" t="s">
        <v>18</v>
      </c>
      <c r="G449" s="3" t="s">
        <v>1055</v>
      </c>
      <c r="H449" s="5">
        <v>344</v>
      </c>
      <c r="I449" s="3" t="s">
        <v>1031</v>
      </c>
      <c r="J449" s="3">
        <v>5</v>
      </c>
      <c r="K449" s="3">
        <v>3</v>
      </c>
      <c r="L449" s="3" t="s">
        <v>2912</v>
      </c>
      <c r="M449" t="s">
        <v>1052</v>
      </c>
      <c r="N449" s="6"/>
      <c r="O449" s="6"/>
      <c r="P449" s="6"/>
    </row>
    <row r="450" spans="1:16" ht="12.45" x14ac:dyDescent="0.2">
      <c r="A450" s="3" t="s">
        <v>13</v>
      </c>
      <c r="B450" t="s">
        <v>1056</v>
      </c>
      <c r="C450" t="s">
        <v>2938</v>
      </c>
      <c r="D450" t="s">
        <v>28</v>
      </c>
      <c r="E450" t="s">
        <v>23</v>
      </c>
      <c r="F450" t="s">
        <v>18</v>
      </c>
      <c r="G450" s="3" t="s">
        <v>1057</v>
      </c>
      <c r="H450" s="5">
        <v>344</v>
      </c>
      <c r="I450" s="3" t="s">
        <v>1031</v>
      </c>
      <c r="J450" s="3">
        <v>5</v>
      </c>
      <c r="K450" s="3">
        <v>3</v>
      </c>
      <c r="L450" s="3" t="s">
        <v>2912</v>
      </c>
      <c r="M450" s="4" t="s">
        <v>1052</v>
      </c>
      <c r="N450" s="4"/>
      <c r="O450" s="4"/>
      <c r="P450" s="4"/>
    </row>
    <row r="451" spans="1:16" ht="12.45" x14ac:dyDescent="0.2">
      <c r="A451" s="3" t="s">
        <v>13</v>
      </c>
      <c r="B451" t="s">
        <v>1058</v>
      </c>
      <c r="C451" t="s">
        <v>147</v>
      </c>
      <c r="D451" t="s">
        <v>28</v>
      </c>
      <c r="E451" t="s">
        <v>23</v>
      </c>
      <c r="F451" t="s">
        <v>18</v>
      </c>
      <c r="G451" s="3" t="s">
        <v>1059</v>
      </c>
      <c r="H451" s="5">
        <v>344</v>
      </c>
      <c r="I451" s="3" t="s">
        <v>1031</v>
      </c>
      <c r="J451" s="3">
        <v>5</v>
      </c>
      <c r="K451" s="3">
        <v>3</v>
      </c>
      <c r="L451" s="3" t="s">
        <v>2912</v>
      </c>
      <c r="M451" s="4" t="s">
        <v>1060</v>
      </c>
      <c r="N451" s="4"/>
      <c r="O451" s="4"/>
      <c r="P451" s="4"/>
    </row>
    <row r="452" spans="1:16" ht="12.45" x14ac:dyDescent="0.2">
      <c r="A452" s="3" t="s">
        <v>13</v>
      </c>
      <c r="B452" t="s">
        <v>1061</v>
      </c>
      <c r="C452" t="s">
        <v>3011</v>
      </c>
      <c r="D452" t="s">
        <v>22</v>
      </c>
      <c r="E452" t="s">
        <v>23</v>
      </c>
      <c r="F452" t="s">
        <v>18</v>
      </c>
      <c r="G452" s="3" t="s">
        <v>1062</v>
      </c>
      <c r="H452" s="5">
        <v>345</v>
      </c>
      <c r="I452" s="3" t="s">
        <v>1031</v>
      </c>
      <c r="J452" s="3">
        <v>5</v>
      </c>
      <c r="K452" s="3">
        <v>3</v>
      </c>
      <c r="L452" s="3" t="s">
        <v>2912</v>
      </c>
      <c r="M452" s="6" t="s">
        <v>1046</v>
      </c>
      <c r="N452" s="6"/>
      <c r="O452" s="6"/>
      <c r="P452" s="6"/>
    </row>
    <row r="453" spans="1:16" ht="12.45" x14ac:dyDescent="0.2">
      <c r="A453" s="3" t="s">
        <v>13</v>
      </c>
      <c r="B453" t="s">
        <v>1072</v>
      </c>
      <c r="C453" t="s">
        <v>2946</v>
      </c>
      <c r="D453" t="s">
        <v>22</v>
      </c>
      <c r="E453" t="s">
        <v>142</v>
      </c>
      <c r="F453" t="s">
        <v>18</v>
      </c>
      <c r="G453" s="3" t="s">
        <v>1073</v>
      </c>
      <c r="H453" s="5">
        <v>345</v>
      </c>
      <c r="I453" s="3" t="s">
        <v>1031</v>
      </c>
      <c r="J453" s="3">
        <v>5</v>
      </c>
      <c r="K453" s="3">
        <v>4</v>
      </c>
      <c r="L453" s="3" t="s">
        <v>2912</v>
      </c>
      <c r="M453" s="4" t="s">
        <v>1070</v>
      </c>
      <c r="N453" s="4"/>
      <c r="O453" s="4"/>
      <c r="P453" s="4"/>
    </row>
    <row r="454" spans="1:16" ht="12.45" x14ac:dyDescent="0.2">
      <c r="A454" s="3" t="s">
        <v>13</v>
      </c>
      <c r="B454" t="s">
        <v>1042</v>
      </c>
      <c r="C454" t="s">
        <v>147</v>
      </c>
      <c r="D454" t="s">
        <v>148</v>
      </c>
      <c r="E454" t="s">
        <v>23</v>
      </c>
      <c r="F454" t="s">
        <v>148</v>
      </c>
      <c r="G454" s="3" t="s">
        <v>1043</v>
      </c>
      <c r="H454" s="5">
        <v>342</v>
      </c>
      <c r="I454" s="3" t="s">
        <v>1031</v>
      </c>
      <c r="J454" s="3">
        <v>4</v>
      </c>
      <c r="K454" s="3">
        <v>2</v>
      </c>
      <c r="L454" s="3" t="s">
        <v>2912</v>
      </c>
      <c r="M454" s="6" t="s">
        <v>1034</v>
      </c>
      <c r="N454" s="6"/>
      <c r="O454" s="6"/>
      <c r="P454" s="6"/>
    </row>
    <row r="455" spans="1:16" ht="12.45" x14ac:dyDescent="0.2">
      <c r="A455" s="3" t="s">
        <v>13</v>
      </c>
      <c r="B455" t="s">
        <v>1065</v>
      </c>
      <c r="C455" t="s">
        <v>147</v>
      </c>
      <c r="D455" t="s">
        <v>148</v>
      </c>
      <c r="E455" t="s">
        <v>23</v>
      </c>
      <c r="F455" t="s">
        <v>148</v>
      </c>
      <c r="G455" s="3" t="s">
        <v>1066</v>
      </c>
      <c r="H455" s="5">
        <v>345</v>
      </c>
      <c r="I455" s="3" t="s">
        <v>1031</v>
      </c>
      <c r="J455" s="3">
        <v>5</v>
      </c>
      <c r="K455" s="3">
        <v>4</v>
      </c>
      <c r="L455" s="3" t="s">
        <v>2912</v>
      </c>
      <c r="M455" s="3" t="s">
        <v>1067</v>
      </c>
      <c r="N455" s="4" t="b">
        <f>COUNTIF(CharmSelectionCategory,I455)&gt;0</f>
        <v>0</v>
      </c>
      <c r="O455" s="4"/>
      <c r="P455" s="4" t="s">
        <v>1067</v>
      </c>
    </row>
    <row r="456" spans="1:16" ht="12.45" x14ac:dyDescent="0.2">
      <c r="A456" s="3" t="s">
        <v>13</v>
      </c>
      <c r="B456" t="s">
        <v>1068</v>
      </c>
      <c r="C456" t="s">
        <v>147</v>
      </c>
      <c r="D456" t="s">
        <v>148</v>
      </c>
      <c r="E456" t="s">
        <v>23</v>
      </c>
      <c r="F456" t="s">
        <v>148</v>
      </c>
      <c r="G456" s="3" t="s">
        <v>1069</v>
      </c>
      <c r="H456" s="5">
        <v>345</v>
      </c>
      <c r="I456" s="3" t="s">
        <v>1031</v>
      </c>
      <c r="J456" s="3">
        <v>5</v>
      </c>
      <c r="K456" s="3">
        <v>4</v>
      </c>
      <c r="L456" s="3" t="s">
        <v>2912</v>
      </c>
      <c r="M456" t="s">
        <v>1065</v>
      </c>
      <c r="N456" s="4"/>
      <c r="O456" s="4"/>
      <c r="P456" s="4"/>
    </row>
    <row r="457" spans="1:16" ht="12.45" x14ac:dyDescent="0.2">
      <c r="A457" s="3" t="s">
        <v>13</v>
      </c>
      <c r="B457" t="s">
        <v>1070</v>
      </c>
      <c r="C457" t="s">
        <v>147</v>
      </c>
      <c r="D457" t="s">
        <v>148</v>
      </c>
      <c r="E457" t="s">
        <v>23</v>
      </c>
      <c r="F457" t="s">
        <v>148</v>
      </c>
      <c r="G457" s="3" t="s">
        <v>1071</v>
      </c>
      <c r="H457" s="5">
        <v>345</v>
      </c>
      <c r="I457" s="3" t="s">
        <v>1031</v>
      </c>
      <c r="J457" s="3">
        <v>5</v>
      </c>
      <c r="K457" s="3">
        <v>4</v>
      </c>
      <c r="L457" s="3" t="s">
        <v>2912</v>
      </c>
      <c r="M457" s="4" t="s">
        <v>1068</v>
      </c>
      <c r="N457" s="4"/>
      <c r="O457" s="4"/>
      <c r="P457" s="4"/>
    </row>
    <row r="458" spans="1:16" ht="12.45" x14ac:dyDescent="0.2">
      <c r="A458" s="3" t="s">
        <v>13</v>
      </c>
      <c r="B458" t="s">
        <v>1074</v>
      </c>
      <c r="C458" t="s">
        <v>147</v>
      </c>
      <c r="D458" t="s">
        <v>148</v>
      </c>
      <c r="E458" t="s">
        <v>23</v>
      </c>
      <c r="F458" t="s">
        <v>148</v>
      </c>
      <c r="G458" s="3" t="s">
        <v>1075</v>
      </c>
      <c r="H458" s="5">
        <v>345</v>
      </c>
      <c r="I458" s="3" t="s">
        <v>1031</v>
      </c>
      <c r="J458" s="3">
        <v>5</v>
      </c>
      <c r="K458" s="3">
        <v>5</v>
      </c>
      <c r="L458" s="3" t="s">
        <v>2912</v>
      </c>
      <c r="M458" s="6" t="s">
        <v>1072</v>
      </c>
      <c r="N458" s="6"/>
      <c r="O458" s="6"/>
      <c r="P458" s="6"/>
    </row>
    <row r="459" spans="1:16" ht="12.45" x14ac:dyDescent="0.2">
      <c r="A459" s="3" t="s">
        <v>13</v>
      </c>
      <c r="B459" t="s">
        <v>1076</v>
      </c>
      <c r="C459" t="s">
        <v>147</v>
      </c>
      <c r="D459" t="s">
        <v>148</v>
      </c>
      <c r="E459" t="s">
        <v>23</v>
      </c>
      <c r="F459" t="s">
        <v>148</v>
      </c>
      <c r="G459" s="3" t="s">
        <v>1077</v>
      </c>
      <c r="H459" s="5">
        <v>346</v>
      </c>
      <c r="I459" s="3" t="s">
        <v>1031</v>
      </c>
      <c r="J459" s="3">
        <v>5</v>
      </c>
      <c r="K459" s="3">
        <v>5</v>
      </c>
      <c r="L459" s="3" t="s">
        <v>2912</v>
      </c>
      <c r="M459" s="4" t="s">
        <v>1072</v>
      </c>
      <c r="N459" s="4"/>
      <c r="O459" s="4"/>
      <c r="P459" s="4"/>
    </row>
    <row r="460" spans="1:16" ht="12.45" x14ac:dyDescent="0.2">
      <c r="A460" s="3" t="s">
        <v>13</v>
      </c>
      <c r="B460" t="s">
        <v>1063</v>
      </c>
      <c r="C460" t="s">
        <v>2963</v>
      </c>
      <c r="D460" t="s">
        <v>22</v>
      </c>
      <c r="E460" t="s">
        <v>23</v>
      </c>
      <c r="F460" t="s">
        <v>44</v>
      </c>
      <c r="G460" s="3" t="s">
        <v>1064</v>
      </c>
      <c r="H460" s="5">
        <v>345</v>
      </c>
      <c r="I460" s="3" t="s">
        <v>1031</v>
      </c>
      <c r="J460" s="3">
        <v>5</v>
      </c>
      <c r="K460" s="3">
        <v>3</v>
      </c>
      <c r="L460" s="3" t="s">
        <v>2912</v>
      </c>
      <c r="M460" s="4" t="s">
        <v>1040</v>
      </c>
      <c r="N460" s="4"/>
      <c r="O460" s="4"/>
      <c r="P460" s="4"/>
    </row>
    <row r="461" spans="1:16" ht="12.45" x14ac:dyDescent="0.2">
      <c r="A461" s="3" t="s">
        <v>13</v>
      </c>
      <c r="B461" t="s">
        <v>1097</v>
      </c>
      <c r="C461" t="s">
        <v>2939</v>
      </c>
      <c r="D461" t="s">
        <v>28</v>
      </c>
      <c r="E461" t="s">
        <v>23</v>
      </c>
      <c r="F461" t="s">
        <v>182</v>
      </c>
      <c r="G461" s="3" t="s">
        <v>1098</v>
      </c>
      <c r="H461" s="5">
        <v>347</v>
      </c>
      <c r="I461" s="3" t="s">
        <v>1082</v>
      </c>
      <c r="J461" s="3">
        <v>3</v>
      </c>
      <c r="K461" s="3">
        <v>1</v>
      </c>
      <c r="L461" s="3" t="s">
        <v>2904</v>
      </c>
      <c r="M461" s="4" t="s">
        <v>1083</v>
      </c>
      <c r="N461" s="4"/>
      <c r="O461" s="4"/>
      <c r="P461" s="4"/>
    </row>
    <row r="462" spans="1:16" ht="12.45" x14ac:dyDescent="0.2">
      <c r="A462" s="3" t="s">
        <v>13</v>
      </c>
      <c r="B462" s="3" t="s">
        <v>1181</v>
      </c>
      <c r="C462" s="3" t="s">
        <v>1182</v>
      </c>
      <c r="D462" s="3" t="s">
        <v>28</v>
      </c>
      <c r="E462" s="3" t="s">
        <v>17</v>
      </c>
      <c r="F462" s="3" t="s">
        <v>182</v>
      </c>
      <c r="G462" s="3"/>
      <c r="H462" s="5" t="s">
        <v>1177</v>
      </c>
      <c r="I462" s="3" t="s">
        <v>1082</v>
      </c>
      <c r="J462" s="5">
        <v>5</v>
      </c>
      <c r="K462" s="5">
        <v>3</v>
      </c>
      <c r="L462" s="3" t="s">
        <v>2904</v>
      </c>
      <c r="M462" s="6" t="s">
        <v>1114</v>
      </c>
      <c r="N462" s="6"/>
      <c r="O462" s="6"/>
      <c r="P462" s="6"/>
    </row>
    <row r="463" spans="1:16" ht="12.45" x14ac:dyDescent="0.2">
      <c r="A463" s="3" t="s">
        <v>13</v>
      </c>
      <c r="B463" t="s">
        <v>1080</v>
      </c>
      <c r="C463" t="s">
        <v>2945</v>
      </c>
      <c r="D463" t="s">
        <v>22</v>
      </c>
      <c r="E463" t="s">
        <v>23</v>
      </c>
      <c r="F463" t="s">
        <v>18</v>
      </c>
      <c r="G463" s="3" t="s">
        <v>1081</v>
      </c>
      <c r="H463" s="5">
        <v>346</v>
      </c>
      <c r="I463" s="3" t="s">
        <v>1082</v>
      </c>
      <c r="J463" s="3">
        <v>1</v>
      </c>
      <c r="K463" s="3">
        <v>1</v>
      </c>
      <c r="L463" s="3" t="s">
        <v>2904</v>
      </c>
      <c r="M463" s="4"/>
      <c r="N463" s="4"/>
      <c r="O463" s="4"/>
      <c r="P463" s="4"/>
    </row>
    <row r="464" spans="1:16" ht="12.45" x14ac:dyDescent="0.2">
      <c r="A464" s="3" t="s">
        <v>13</v>
      </c>
      <c r="B464" t="s">
        <v>1083</v>
      </c>
      <c r="C464" t="s">
        <v>2939</v>
      </c>
      <c r="D464" t="s">
        <v>22</v>
      </c>
      <c r="E464" t="s">
        <v>23</v>
      </c>
      <c r="F464" t="s">
        <v>18</v>
      </c>
      <c r="G464" s="3" t="s">
        <v>1084</v>
      </c>
      <c r="H464" s="5">
        <v>347</v>
      </c>
      <c r="I464" s="3" t="s">
        <v>1082</v>
      </c>
      <c r="J464" s="3">
        <v>1</v>
      </c>
      <c r="K464" s="3">
        <v>1</v>
      </c>
      <c r="L464" s="3" t="s">
        <v>2904</v>
      </c>
      <c r="M464" s="4"/>
      <c r="N464" s="4"/>
      <c r="O464" s="4"/>
      <c r="P464" s="4"/>
    </row>
    <row r="465" spans="1:16" ht="12.45" x14ac:dyDescent="0.2">
      <c r="A465" s="3" t="s">
        <v>13</v>
      </c>
      <c r="B465" s="3" t="s">
        <v>1085</v>
      </c>
      <c r="C465" s="3" t="s">
        <v>15</v>
      </c>
      <c r="D465" s="3" t="s">
        <v>22</v>
      </c>
      <c r="E465" s="3" t="s">
        <v>50</v>
      </c>
      <c r="F465" s="3" t="s">
        <v>18</v>
      </c>
      <c r="G465" s="3"/>
      <c r="H465" s="5" t="s">
        <v>1079</v>
      </c>
      <c r="I465" s="3" t="s">
        <v>1082</v>
      </c>
      <c r="J465" s="5">
        <v>1</v>
      </c>
      <c r="K465" s="5">
        <v>1</v>
      </c>
      <c r="L465" s="3" t="s">
        <v>2904</v>
      </c>
      <c r="M465" s="4"/>
      <c r="N465" s="4"/>
      <c r="O465" s="4"/>
      <c r="P465" s="4"/>
    </row>
    <row r="466" spans="1:16" ht="12.45" x14ac:dyDescent="0.2">
      <c r="A466" s="3" t="s">
        <v>13</v>
      </c>
      <c r="B466" t="s">
        <v>1086</v>
      </c>
      <c r="C466" t="s">
        <v>2944</v>
      </c>
      <c r="D466" t="s">
        <v>16</v>
      </c>
      <c r="E466" t="s">
        <v>17</v>
      </c>
      <c r="F466" t="s">
        <v>18</v>
      </c>
      <c r="G466" s="3" t="s">
        <v>1087</v>
      </c>
      <c r="H466" s="5">
        <v>346</v>
      </c>
      <c r="I466" s="3" t="s">
        <v>1082</v>
      </c>
      <c r="J466" s="3">
        <v>2</v>
      </c>
      <c r="K466" s="3">
        <v>1</v>
      </c>
      <c r="L466" s="3" t="s">
        <v>2904</v>
      </c>
      <c r="M466" s="4"/>
      <c r="N466" s="4"/>
      <c r="O466" s="4"/>
      <c r="P466" s="4"/>
    </row>
    <row r="467" spans="1:16" ht="12.45" x14ac:dyDescent="0.2">
      <c r="A467" s="3" t="s">
        <v>13</v>
      </c>
      <c r="B467" t="s">
        <v>1088</v>
      </c>
      <c r="C467" t="s">
        <v>2944</v>
      </c>
      <c r="D467" t="s">
        <v>22</v>
      </c>
      <c r="E467" t="s">
        <v>23</v>
      </c>
      <c r="F467" t="s">
        <v>18</v>
      </c>
      <c r="G467" s="3" t="s">
        <v>1089</v>
      </c>
      <c r="H467" s="5">
        <v>346</v>
      </c>
      <c r="I467" s="3" t="s">
        <v>1082</v>
      </c>
      <c r="J467" s="3">
        <v>2</v>
      </c>
      <c r="K467" s="3">
        <v>1</v>
      </c>
      <c r="L467" s="3" t="s">
        <v>2904</v>
      </c>
      <c r="M467" s="4" t="s">
        <v>1086</v>
      </c>
      <c r="N467" s="4"/>
      <c r="O467" s="4"/>
      <c r="P467" s="4"/>
    </row>
    <row r="468" spans="1:16" ht="12.45" x14ac:dyDescent="0.2">
      <c r="A468" s="3" t="s">
        <v>13</v>
      </c>
      <c r="B468" t="s">
        <v>1090</v>
      </c>
      <c r="C468" t="s">
        <v>3010</v>
      </c>
      <c r="D468" t="s">
        <v>16</v>
      </c>
      <c r="E468" t="s">
        <v>50</v>
      </c>
      <c r="F468" t="s">
        <v>18</v>
      </c>
      <c r="G468" s="3" t="s">
        <v>1091</v>
      </c>
      <c r="H468" s="5">
        <v>346</v>
      </c>
      <c r="I468" s="3" t="s">
        <v>1082</v>
      </c>
      <c r="J468" s="3">
        <v>3</v>
      </c>
      <c r="K468" s="3">
        <v>1</v>
      </c>
      <c r="L468" s="3" t="s">
        <v>2904</v>
      </c>
      <c r="M468" s="6" t="s">
        <v>1086</v>
      </c>
      <c r="N468" s="6"/>
      <c r="O468" s="6"/>
      <c r="P468" s="6"/>
    </row>
    <row r="469" spans="1:16" ht="12.45" x14ac:dyDescent="0.2">
      <c r="A469" s="3" t="s">
        <v>13</v>
      </c>
      <c r="B469" t="s">
        <v>1092</v>
      </c>
      <c r="C469" t="s">
        <v>3009</v>
      </c>
      <c r="D469" t="s">
        <v>22</v>
      </c>
      <c r="E469" t="s">
        <v>23</v>
      </c>
      <c r="F469" t="s">
        <v>18</v>
      </c>
      <c r="G469" s="3" t="s">
        <v>1093</v>
      </c>
      <c r="H469" s="5">
        <v>346</v>
      </c>
      <c r="I469" s="3" t="s">
        <v>1082</v>
      </c>
      <c r="J469" s="3">
        <v>3</v>
      </c>
      <c r="K469" s="3">
        <v>1</v>
      </c>
      <c r="L469" s="3" t="s">
        <v>2904</v>
      </c>
      <c r="M469" s="6" t="s">
        <v>1088</v>
      </c>
      <c r="N469" s="6"/>
      <c r="O469" s="6"/>
      <c r="P469" s="6"/>
    </row>
    <row r="470" spans="1:16" ht="12.45" x14ac:dyDescent="0.2">
      <c r="A470" s="3" t="s">
        <v>13</v>
      </c>
      <c r="B470" s="3" t="s">
        <v>1099</v>
      </c>
      <c r="C470" s="3" t="s">
        <v>34</v>
      </c>
      <c r="D470" s="3" t="s">
        <v>22</v>
      </c>
      <c r="E470" s="3" t="s">
        <v>17</v>
      </c>
      <c r="F470" s="3" t="s">
        <v>18</v>
      </c>
      <c r="G470" s="3"/>
      <c r="H470" s="5" t="s">
        <v>1079</v>
      </c>
      <c r="I470" s="3" t="s">
        <v>1082</v>
      </c>
      <c r="J470" s="5">
        <v>3</v>
      </c>
      <c r="K470" s="5">
        <v>1</v>
      </c>
      <c r="L470" s="3" t="s">
        <v>2904</v>
      </c>
      <c r="M470" s="4" t="s">
        <v>1080</v>
      </c>
      <c r="N470" s="4"/>
      <c r="O470" s="4"/>
      <c r="P470" s="4"/>
    </row>
    <row r="471" spans="1:16" ht="12.45" x14ac:dyDescent="0.2">
      <c r="A471" s="3" t="s">
        <v>13</v>
      </c>
      <c r="B471" t="s">
        <v>1102</v>
      </c>
      <c r="C471" t="s">
        <v>2944</v>
      </c>
      <c r="D471" t="s">
        <v>22</v>
      </c>
      <c r="E471" t="s">
        <v>1103</v>
      </c>
      <c r="F471" t="s">
        <v>18</v>
      </c>
      <c r="G471" s="3" t="s">
        <v>1104</v>
      </c>
      <c r="H471" s="5">
        <v>347</v>
      </c>
      <c r="I471" s="3" t="s">
        <v>1082</v>
      </c>
      <c r="J471" s="3">
        <v>4</v>
      </c>
      <c r="K471" s="3">
        <v>1</v>
      </c>
      <c r="L471" s="3" t="s">
        <v>2904</v>
      </c>
      <c r="M471" s="4" t="s">
        <v>1080</v>
      </c>
      <c r="N471" s="4"/>
      <c r="O471" s="4"/>
      <c r="P471" s="4"/>
    </row>
    <row r="472" spans="1:16" ht="12.45" x14ac:dyDescent="0.2">
      <c r="A472" s="3" t="s">
        <v>13</v>
      </c>
      <c r="B472" s="3" t="s">
        <v>1105</v>
      </c>
      <c r="C472" s="3" t="s">
        <v>1106</v>
      </c>
      <c r="D472" s="3" t="s">
        <v>22</v>
      </c>
      <c r="E472" s="3" t="s">
        <v>17</v>
      </c>
      <c r="F472" s="3" t="s">
        <v>18</v>
      </c>
      <c r="G472" s="3"/>
      <c r="H472" s="5" t="s">
        <v>1107</v>
      </c>
      <c r="I472" s="3" t="s">
        <v>1082</v>
      </c>
      <c r="J472" s="5">
        <v>4</v>
      </c>
      <c r="K472" s="5">
        <v>1</v>
      </c>
      <c r="L472" s="3" t="s">
        <v>2904</v>
      </c>
      <c r="M472" s="4" t="s">
        <v>1090</v>
      </c>
      <c r="N472" s="4"/>
      <c r="O472" s="4"/>
      <c r="P472" s="4"/>
    </row>
    <row r="473" spans="1:16" ht="12.45" x14ac:dyDescent="0.2">
      <c r="A473" s="3" t="s">
        <v>13</v>
      </c>
      <c r="B473" t="s">
        <v>1108</v>
      </c>
      <c r="C473" t="s">
        <v>2944</v>
      </c>
      <c r="D473" t="s">
        <v>22</v>
      </c>
      <c r="E473" t="s">
        <v>23</v>
      </c>
      <c r="F473" t="s">
        <v>18</v>
      </c>
      <c r="G473" s="3" t="s">
        <v>1109</v>
      </c>
      <c r="H473" s="5">
        <v>347</v>
      </c>
      <c r="I473" s="3" t="s">
        <v>1082</v>
      </c>
      <c r="J473" s="3">
        <v>5</v>
      </c>
      <c r="K473" s="3">
        <v>1</v>
      </c>
      <c r="L473" s="3" t="s">
        <v>2904</v>
      </c>
      <c r="M473" s="4" t="s">
        <v>1100</v>
      </c>
      <c r="N473" s="4"/>
      <c r="O473" s="4"/>
      <c r="P473" s="4"/>
    </row>
    <row r="474" spans="1:16" ht="12.45" x14ac:dyDescent="0.2">
      <c r="A474" s="3" t="s">
        <v>13</v>
      </c>
      <c r="B474" t="s">
        <v>1110</v>
      </c>
      <c r="C474" t="s">
        <v>3008</v>
      </c>
      <c r="D474" t="s">
        <v>22</v>
      </c>
      <c r="E474" t="s">
        <v>23</v>
      </c>
      <c r="F474" t="s">
        <v>18</v>
      </c>
      <c r="G474" s="3" t="s">
        <v>1111</v>
      </c>
      <c r="H474" s="5">
        <v>349</v>
      </c>
      <c r="I474" s="3" t="s">
        <v>1082</v>
      </c>
      <c r="J474" s="3">
        <v>3</v>
      </c>
      <c r="K474" s="3">
        <v>2</v>
      </c>
      <c r="L474" s="3" t="s">
        <v>2904</v>
      </c>
      <c r="M474" s="4" t="s">
        <v>1080</v>
      </c>
      <c r="N474" s="4"/>
      <c r="O474" s="4"/>
      <c r="P474" s="4"/>
    </row>
    <row r="475" spans="1:16" ht="12.45" x14ac:dyDescent="0.2">
      <c r="A475" s="3" t="s">
        <v>13</v>
      </c>
      <c r="B475" t="s">
        <v>1114</v>
      </c>
      <c r="C475" t="s">
        <v>2939</v>
      </c>
      <c r="D475" t="s">
        <v>22</v>
      </c>
      <c r="E475" t="s">
        <v>17</v>
      </c>
      <c r="F475" t="s">
        <v>18</v>
      </c>
      <c r="G475" s="3" t="s">
        <v>1115</v>
      </c>
      <c r="H475" s="5">
        <v>347</v>
      </c>
      <c r="I475" s="3" t="s">
        <v>1082</v>
      </c>
      <c r="J475" s="3">
        <v>4</v>
      </c>
      <c r="K475" s="3">
        <v>2</v>
      </c>
      <c r="L475" s="3" t="s">
        <v>2904</v>
      </c>
      <c r="M475" s="4" t="s">
        <v>1090</v>
      </c>
      <c r="N475" s="4"/>
      <c r="O475" s="4"/>
      <c r="P475" s="4"/>
    </row>
    <row r="476" spans="1:16" ht="12.45" x14ac:dyDescent="0.2">
      <c r="A476" s="3" t="s">
        <v>13</v>
      </c>
      <c r="B476" t="s">
        <v>1118</v>
      </c>
      <c r="C476" t="s">
        <v>2977</v>
      </c>
      <c r="D476" t="s">
        <v>28</v>
      </c>
      <c r="E476" t="s">
        <v>1119</v>
      </c>
      <c r="F476" t="s">
        <v>18</v>
      </c>
      <c r="G476" s="3" t="s">
        <v>1120</v>
      </c>
      <c r="H476" s="5">
        <v>350</v>
      </c>
      <c r="I476" s="3" t="s">
        <v>1082</v>
      </c>
      <c r="J476" s="3">
        <v>4</v>
      </c>
      <c r="K476" s="3">
        <v>2</v>
      </c>
      <c r="L476" s="3" t="s">
        <v>2904</v>
      </c>
      <c r="M476" s="4" t="s">
        <v>1121</v>
      </c>
      <c r="N476" s="4"/>
      <c r="O476" s="4"/>
      <c r="P476" s="4"/>
    </row>
    <row r="477" spans="1:16" ht="12.45" x14ac:dyDescent="0.2">
      <c r="A477" s="3" t="s">
        <v>13</v>
      </c>
      <c r="B477" t="s">
        <v>1122</v>
      </c>
      <c r="C477" t="s">
        <v>3007</v>
      </c>
      <c r="D477" t="s">
        <v>28</v>
      </c>
      <c r="E477" t="s">
        <v>29</v>
      </c>
      <c r="F477" t="s">
        <v>18</v>
      </c>
      <c r="G477" s="3" t="s">
        <v>1124</v>
      </c>
      <c r="H477" s="5">
        <v>350</v>
      </c>
      <c r="I477" s="3" t="s">
        <v>1082</v>
      </c>
      <c r="J477" s="3">
        <v>4</v>
      </c>
      <c r="K477" s="3">
        <v>2</v>
      </c>
      <c r="L477" s="3" t="s">
        <v>2904</v>
      </c>
      <c r="M477" s="3" t="s">
        <v>1121</v>
      </c>
      <c r="N477" s="3"/>
      <c r="O477" s="3"/>
      <c r="P477" s="3"/>
    </row>
    <row r="478" spans="1:16" ht="12.45" x14ac:dyDescent="0.2">
      <c r="A478" s="3" t="s">
        <v>13</v>
      </c>
      <c r="B478" t="s">
        <v>1125</v>
      </c>
      <c r="C478" t="s">
        <v>2945</v>
      </c>
      <c r="D478" t="s">
        <v>22</v>
      </c>
      <c r="E478" t="s">
        <v>17</v>
      </c>
      <c r="F478" t="s">
        <v>18</v>
      </c>
      <c r="G478" s="3" t="s">
        <v>1126</v>
      </c>
      <c r="H478" s="5">
        <v>350</v>
      </c>
      <c r="I478" s="3" t="s">
        <v>1082</v>
      </c>
      <c r="J478" s="3">
        <v>4</v>
      </c>
      <c r="K478" s="3">
        <v>2</v>
      </c>
      <c r="L478" s="3" t="s">
        <v>2904</v>
      </c>
      <c r="M478" s="3" t="s">
        <v>1122</v>
      </c>
      <c r="N478" s="3"/>
      <c r="O478" s="3"/>
      <c r="P478" s="3"/>
    </row>
    <row r="479" spans="1:16" ht="12.45" x14ac:dyDescent="0.2">
      <c r="A479" s="3" t="s">
        <v>13</v>
      </c>
      <c r="B479" s="3" t="s">
        <v>1127</v>
      </c>
      <c r="C479" s="3" t="s">
        <v>1128</v>
      </c>
      <c r="D479" s="3" t="s">
        <v>22</v>
      </c>
      <c r="E479" s="3" t="s">
        <v>17</v>
      </c>
      <c r="F479" s="3" t="s">
        <v>18</v>
      </c>
      <c r="G479" s="3"/>
      <c r="H479" s="5" t="s">
        <v>1107</v>
      </c>
      <c r="I479" s="3" t="s">
        <v>1082</v>
      </c>
      <c r="J479" s="5">
        <v>4</v>
      </c>
      <c r="K479" s="5">
        <v>2</v>
      </c>
      <c r="L479" s="3" t="s">
        <v>2904</v>
      </c>
      <c r="M479" s="4" t="s">
        <v>1090</v>
      </c>
      <c r="N479" s="4"/>
      <c r="O479" s="4"/>
      <c r="P479" s="4"/>
    </row>
    <row r="480" spans="1:16" ht="12.45" x14ac:dyDescent="0.2">
      <c r="A480" s="3" t="s">
        <v>13</v>
      </c>
      <c r="B480" t="s">
        <v>1131</v>
      </c>
      <c r="C480" t="s">
        <v>2946</v>
      </c>
      <c r="D480" t="s">
        <v>28</v>
      </c>
      <c r="E480" t="s">
        <v>29</v>
      </c>
      <c r="F480" t="s">
        <v>18</v>
      </c>
      <c r="G480" s="3" t="s">
        <v>1132</v>
      </c>
      <c r="H480" s="5">
        <v>347</v>
      </c>
      <c r="I480" s="3" t="s">
        <v>1082</v>
      </c>
      <c r="J480" s="3">
        <v>5</v>
      </c>
      <c r="K480" s="3">
        <v>2</v>
      </c>
      <c r="L480" s="3" t="s">
        <v>2904</v>
      </c>
      <c r="M480" s="4" t="s">
        <v>1092</v>
      </c>
      <c r="N480" s="4"/>
      <c r="O480" s="4"/>
      <c r="P480" s="4"/>
    </row>
    <row r="481" spans="1:16" ht="12.45" x14ac:dyDescent="0.2">
      <c r="A481" s="3" t="s">
        <v>13</v>
      </c>
      <c r="B481" t="s">
        <v>1135</v>
      </c>
      <c r="C481" t="s">
        <v>3006</v>
      </c>
      <c r="D481" t="s">
        <v>22</v>
      </c>
      <c r="E481" t="s">
        <v>1136</v>
      </c>
      <c r="F481" t="s">
        <v>18</v>
      </c>
      <c r="G481" s="3" t="s">
        <v>1137</v>
      </c>
      <c r="H481" s="5">
        <v>349</v>
      </c>
      <c r="I481" s="3" t="s">
        <v>1082</v>
      </c>
      <c r="J481" s="3">
        <v>5</v>
      </c>
      <c r="K481" s="3">
        <v>2</v>
      </c>
      <c r="L481" s="3" t="s">
        <v>2904</v>
      </c>
      <c r="M481" s="6" t="s">
        <v>1094</v>
      </c>
      <c r="N481" s="6"/>
      <c r="O481" s="6"/>
      <c r="P481" s="6"/>
    </row>
    <row r="482" spans="1:16" ht="12.45" x14ac:dyDescent="0.2">
      <c r="A482" s="3" t="s">
        <v>13</v>
      </c>
      <c r="B482" t="s">
        <v>1144</v>
      </c>
      <c r="C482" t="s">
        <v>2952</v>
      </c>
      <c r="D482" t="s">
        <v>16</v>
      </c>
      <c r="E482" t="s">
        <v>1145</v>
      </c>
      <c r="F482" t="s">
        <v>18</v>
      </c>
      <c r="G482" s="3" t="s">
        <v>1146</v>
      </c>
      <c r="H482" s="5">
        <v>350</v>
      </c>
      <c r="I482" s="3" t="s">
        <v>1082</v>
      </c>
      <c r="J482" s="3">
        <v>5</v>
      </c>
      <c r="K482" s="3">
        <v>3</v>
      </c>
      <c r="L482" s="3" t="s">
        <v>2904</v>
      </c>
      <c r="M482" s="6" t="s">
        <v>1114</v>
      </c>
      <c r="N482" s="6"/>
      <c r="O482" s="6"/>
      <c r="P482" s="6"/>
    </row>
    <row r="483" spans="1:16" ht="12.45" x14ac:dyDescent="0.2">
      <c r="A483" s="3" t="s">
        <v>13</v>
      </c>
      <c r="B483" t="s">
        <v>1149</v>
      </c>
      <c r="C483" t="s">
        <v>2970</v>
      </c>
      <c r="D483" t="s">
        <v>22</v>
      </c>
      <c r="E483" t="s">
        <v>23</v>
      </c>
      <c r="F483" t="s">
        <v>18</v>
      </c>
      <c r="G483" s="3" t="s">
        <v>1150</v>
      </c>
      <c r="H483" s="5">
        <v>351</v>
      </c>
      <c r="I483" s="3" t="s">
        <v>1082</v>
      </c>
      <c r="J483" s="3">
        <v>5</v>
      </c>
      <c r="K483" s="3">
        <v>3</v>
      </c>
      <c r="L483" s="3" t="s">
        <v>2904</v>
      </c>
      <c r="M483" s="6" t="s">
        <v>1151</v>
      </c>
      <c r="N483" s="6"/>
      <c r="O483" s="6"/>
      <c r="P483" s="6"/>
    </row>
    <row r="484" spans="1:16" ht="12.45" x14ac:dyDescent="0.2">
      <c r="A484" s="3" t="s">
        <v>13</v>
      </c>
      <c r="B484" t="s">
        <v>1152</v>
      </c>
      <c r="C484" t="s">
        <v>2971</v>
      </c>
      <c r="D484" t="s">
        <v>22</v>
      </c>
      <c r="E484" t="s">
        <v>1153</v>
      </c>
      <c r="F484" t="s">
        <v>18</v>
      </c>
      <c r="G484" s="3" t="s">
        <v>1154</v>
      </c>
      <c r="H484" s="5">
        <v>351</v>
      </c>
      <c r="I484" s="3" t="s">
        <v>1082</v>
      </c>
      <c r="J484" s="3">
        <v>5</v>
      </c>
      <c r="K484" s="3">
        <v>3</v>
      </c>
      <c r="L484" s="3" t="s">
        <v>2904</v>
      </c>
      <c r="M484" s="6" t="s">
        <v>1155</v>
      </c>
      <c r="N484" s="6"/>
      <c r="O484" s="6"/>
      <c r="P484" s="6"/>
    </row>
    <row r="485" spans="1:16" ht="12.45" x14ac:dyDescent="0.2">
      <c r="A485" s="3" t="s">
        <v>13</v>
      </c>
      <c r="B485" t="s">
        <v>1156</v>
      </c>
      <c r="C485" t="s">
        <v>2950</v>
      </c>
      <c r="D485" t="s">
        <v>22</v>
      </c>
      <c r="E485" t="s">
        <v>303</v>
      </c>
      <c r="F485" t="s">
        <v>18</v>
      </c>
      <c r="G485" s="3" t="s">
        <v>1157</v>
      </c>
      <c r="H485" s="5">
        <v>352</v>
      </c>
      <c r="I485" s="3" t="s">
        <v>1082</v>
      </c>
      <c r="J485" s="3">
        <v>5</v>
      </c>
      <c r="K485" s="3">
        <v>3</v>
      </c>
      <c r="L485" s="3" t="s">
        <v>2904</v>
      </c>
      <c r="M485" s="6" t="s">
        <v>1152</v>
      </c>
      <c r="N485" s="6"/>
      <c r="O485" s="6"/>
      <c r="P485" s="6"/>
    </row>
    <row r="486" spans="1:16" ht="12.45" x14ac:dyDescent="0.2">
      <c r="A486" s="3" t="s">
        <v>13</v>
      </c>
      <c r="B486" t="s">
        <v>1166</v>
      </c>
      <c r="C486" t="s">
        <v>3005</v>
      </c>
      <c r="D486" t="s">
        <v>28</v>
      </c>
      <c r="E486" t="s">
        <v>29</v>
      </c>
      <c r="F486" t="s">
        <v>18</v>
      </c>
      <c r="G486" s="3" t="s">
        <v>1167</v>
      </c>
      <c r="H486" s="5">
        <v>353</v>
      </c>
      <c r="I486" s="3" t="s">
        <v>1082</v>
      </c>
      <c r="J486" s="3">
        <v>5</v>
      </c>
      <c r="K486" s="3">
        <v>3</v>
      </c>
      <c r="L486" s="3" t="s">
        <v>2904</v>
      </c>
      <c r="M486" s="6" t="s">
        <v>1162</v>
      </c>
      <c r="N486" s="6"/>
      <c r="O486" s="6"/>
      <c r="P486" s="6"/>
    </row>
    <row r="487" spans="1:16" ht="12.45" x14ac:dyDescent="0.2">
      <c r="A487" s="3" t="s">
        <v>13</v>
      </c>
      <c r="B487" s="3" t="s">
        <v>1171</v>
      </c>
      <c r="C487" s="3" t="s">
        <v>67</v>
      </c>
      <c r="D487" s="3" t="s">
        <v>22</v>
      </c>
      <c r="E487" s="3" t="s">
        <v>313</v>
      </c>
      <c r="F487" s="3" t="s">
        <v>18</v>
      </c>
      <c r="G487" s="3"/>
      <c r="H487" s="5" t="s">
        <v>1107</v>
      </c>
      <c r="I487" s="3" t="s">
        <v>1082</v>
      </c>
      <c r="J487" s="5">
        <v>5</v>
      </c>
      <c r="K487" s="5">
        <v>3</v>
      </c>
      <c r="L487" s="3" t="s">
        <v>2904</v>
      </c>
      <c r="M487" s="6" t="s">
        <v>1172</v>
      </c>
      <c r="N487" s="6"/>
      <c r="O487" s="6"/>
      <c r="P487" s="6"/>
    </row>
    <row r="488" spans="1:16" ht="12.45" x14ac:dyDescent="0.2">
      <c r="A488" s="3" t="s">
        <v>13</v>
      </c>
      <c r="B488" s="3" t="s">
        <v>1173</v>
      </c>
      <c r="C488" s="3" t="s">
        <v>175</v>
      </c>
      <c r="D488" s="3" t="s">
        <v>22</v>
      </c>
      <c r="E488" s="3" t="s">
        <v>29</v>
      </c>
      <c r="F488" s="3" t="s">
        <v>18</v>
      </c>
      <c r="G488" s="3"/>
      <c r="H488" s="5" t="s">
        <v>1174</v>
      </c>
      <c r="I488" s="3" t="s">
        <v>1082</v>
      </c>
      <c r="J488" s="5">
        <v>5</v>
      </c>
      <c r="K488" s="5">
        <v>3</v>
      </c>
      <c r="L488" s="3" t="s">
        <v>2904</v>
      </c>
      <c r="M488" s="6" t="s">
        <v>1156</v>
      </c>
      <c r="N488" s="6"/>
      <c r="O488" s="6"/>
      <c r="P488" s="6"/>
    </row>
    <row r="489" spans="1:16" ht="12.45" x14ac:dyDescent="0.2">
      <c r="A489" s="3" t="s">
        <v>13</v>
      </c>
      <c r="B489" s="3" t="s">
        <v>1175</v>
      </c>
      <c r="C489" s="3" t="s">
        <v>67</v>
      </c>
      <c r="D489" s="3" t="s">
        <v>22</v>
      </c>
      <c r="E489" s="3" t="s">
        <v>1176</v>
      </c>
      <c r="F489" s="3" t="s">
        <v>18</v>
      </c>
      <c r="G489" s="3"/>
      <c r="H489" s="5" t="s">
        <v>1177</v>
      </c>
      <c r="I489" s="3" t="s">
        <v>1082</v>
      </c>
      <c r="J489" s="5">
        <v>5</v>
      </c>
      <c r="K489" s="5">
        <v>3</v>
      </c>
      <c r="L489" s="3" t="s">
        <v>2904</v>
      </c>
      <c r="M489" s="6" t="s">
        <v>1156</v>
      </c>
      <c r="N489" s="6"/>
      <c r="O489" s="6"/>
      <c r="P489" s="6"/>
    </row>
    <row r="490" spans="1:16" ht="12.45" x14ac:dyDescent="0.2">
      <c r="A490" s="3" t="s">
        <v>13</v>
      </c>
      <c r="B490" s="3" t="s">
        <v>1178</v>
      </c>
      <c r="C490" s="3" t="s">
        <v>64</v>
      </c>
      <c r="D490" s="3" t="s">
        <v>16</v>
      </c>
      <c r="E490" s="3" t="s">
        <v>1179</v>
      </c>
      <c r="F490" s="3" t="s">
        <v>18</v>
      </c>
      <c r="G490" s="3"/>
      <c r="H490" s="5" t="s">
        <v>1177</v>
      </c>
      <c r="I490" s="3" t="s">
        <v>1082</v>
      </c>
      <c r="J490" s="5">
        <v>5</v>
      </c>
      <c r="K490" s="5">
        <v>3</v>
      </c>
      <c r="L490" s="3" t="s">
        <v>2904</v>
      </c>
      <c r="M490" s="3" t="s">
        <v>1180</v>
      </c>
      <c r="N490" s="3"/>
      <c r="O490" s="3"/>
      <c r="P490" s="3"/>
    </row>
    <row r="491" spans="1:16" ht="12.45" x14ac:dyDescent="0.2">
      <c r="A491" s="3" t="s">
        <v>13</v>
      </c>
      <c r="B491" t="s">
        <v>1183</v>
      </c>
      <c r="C491" t="s">
        <v>2963</v>
      </c>
      <c r="D491" t="s">
        <v>28</v>
      </c>
      <c r="E491" t="s">
        <v>1184</v>
      </c>
      <c r="F491" t="s">
        <v>18</v>
      </c>
      <c r="G491" s="3" t="s">
        <v>1185</v>
      </c>
      <c r="H491" s="5">
        <v>353</v>
      </c>
      <c r="I491" s="3" t="s">
        <v>1082</v>
      </c>
      <c r="J491" s="3">
        <v>5</v>
      </c>
      <c r="K491" s="3">
        <v>4</v>
      </c>
      <c r="L491" s="3" t="s">
        <v>2904</v>
      </c>
      <c r="M491" s="6" t="s">
        <v>1147</v>
      </c>
      <c r="N491" s="6"/>
      <c r="O491" s="6"/>
      <c r="P491" s="6"/>
    </row>
    <row r="492" spans="1:16" ht="12.45" x14ac:dyDescent="0.2">
      <c r="A492" s="3" t="s">
        <v>13</v>
      </c>
      <c r="B492" t="s">
        <v>1186</v>
      </c>
      <c r="C492" t="s">
        <v>3004</v>
      </c>
      <c r="D492" t="s">
        <v>22</v>
      </c>
      <c r="E492" t="s">
        <v>1187</v>
      </c>
      <c r="F492" t="s">
        <v>18</v>
      </c>
      <c r="G492" s="3" t="s">
        <v>1188</v>
      </c>
      <c r="H492" s="5">
        <v>353</v>
      </c>
      <c r="I492" s="3" t="s">
        <v>1082</v>
      </c>
      <c r="J492" s="3">
        <v>5</v>
      </c>
      <c r="K492" s="3">
        <v>5</v>
      </c>
      <c r="L492" s="3" t="s">
        <v>2904</v>
      </c>
      <c r="M492" s="3" t="s">
        <v>1183</v>
      </c>
      <c r="N492" s="3"/>
      <c r="O492" s="3"/>
      <c r="P492" s="3"/>
    </row>
    <row r="493" spans="1:16" ht="12.45" x14ac:dyDescent="0.2">
      <c r="A493" s="3" t="s">
        <v>13</v>
      </c>
      <c r="B493" t="s">
        <v>1138</v>
      </c>
      <c r="C493" t="s">
        <v>2950</v>
      </c>
      <c r="D493" t="s">
        <v>22</v>
      </c>
      <c r="E493" t="s">
        <v>23</v>
      </c>
      <c r="F493" t="s">
        <v>615</v>
      </c>
      <c r="G493" s="3" t="s">
        <v>1139</v>
      </c>
      <c r="H493" s="5">
        <v>349</v>
      </c>
      <c r="I493" s="3" t="s">
        <v>1082</v>
      </c>
      <c r="J493" s="3">
        <v>5</v>
      </c>
      <c r="K493" s="3">
        <v>2</v>
      </c>
      <c r="L493" s="3" t="s">
        <v>2904</v>
      </c>
      <c r="M493" s="4" t="s">
        <v>1100</v>
      </c>
      <c r="N493" s="4"/>
      <c r="O493" s="4"/>
      <c r="P493" s="4"/>
    </row>
    <row r="494" spans="1:16" ht="12.45" x14ac:dyDescent="0.2">
      <c r="A494" s="3" t="s">
        <v>13</v>
      </c>
      <c r="B494" t="s">
        <v>1116</v>
      </c>
      <c r="C494" t="s">
        <v>147</v>
      </c>
      <c r="D494" t="s">
        <v>148</v>
      </c>
      <c r="E494" t="s">
        <v>23</v>
      </c>
      <c r="F494" t="s">
        <v>148</v>
      </c>
      <c r="G494" s="3" t="s">
        <v>1117</v>
      </c>
      <c r="H494" s="5">
        <v>349</v>
      </c>
      <c r="I494" s="3" t="s">
        <v>1082</v>
      </c>
      <c r="J494" s="3">
        <v>4</v>
      </c>
      <c r="K494" s="3">
        <v>2</v>
      </c>
      <c r="L494" s="3" t="s">
        <v>2904</v>
      </c>
      <c r="M494" s="4" t="s">
        <v>1100</v>
      </c>
      <c r="N494" s="4"/>
      <c r="O494" s="4"/>
      <c r="P494" s="4"/>
    </row>
    <row r="495" spans="1:16" ht="12.45" x14ac:dyDescent="0.2">
      <c r="A495" s="3" t="s">
        <v>13</v>
      </c>
      <c r="B495" t="s">
        <v>1129</v>
      </c>
      <c r="C495" t="s">
        <v>2974</v>
      </c>
      <c r="D495" t="s">
        <v>148</v>
      </c>
      <c r="E495" t="s">
        <v>23</v>
      </c>
      <c r="F495" t="s">
        <v>148</v>
      </c>
      <c r="G495" s="3" t="s">
        <v>1130</v>
      </c>
      <c r="H495" s="5">
        <v>347</v>
      </c>
      <c r="I495" s="3" t="s">
        <v>1082</v>
      </c>
      <c r="J495" s="3">
        <v>5</v>
      </c>
      <c r="K495" s="3">
        <v>2</v>
      </c>
      <c r="L495" s="3" t="s">
        <v>2904</v>
      </c>
      <c r="M495" s="6" t="s">
        <v>1088</v>
      </c>
      <c r="N495" s="6"/>
      <c r="O495" s="6"/>
      <c r="P495" s="6"/>
    </row>
    <row r="496" spans="1:16" ht="12.45" x14ac:dyDescent="0.2">
      <c r="A496" s="3" t="s">
        <v>13</v>
      </c>
      <c r="B496" t="s">
        <v>1142</v>
      </c>
      <c r="C496" t="s">
        <v>147</v>
      </c>
      <c r="D496" t="s">
        <v>148</v>
      </c>
      <c r="E496" t="s">
        <v>23</v>
      </c>
      <c r="F496" t="s">
        <v>148</v>
      </c>
      <c r="G496" s="3" t="s">
        <v>1143</v>
      </c>
      <c r="H496" s="5">
        <v>350</v>
      </c>
      <c r="I496" s="3" t="s">
        <v>1082</v>
      </c>
      <c r="J496" s="3">
        <v>5</v>
      </c>
      <c r="K496" s="3">
        <v>3</v>
      </c>
      <c r="L496" s="3" t="s">
        <v>2904</v>
      </c>
      <c r="M496" s="6" t="s">
        <v>1114</v>
      </c>
      <c r="N496" s="6"/>
      <c r="O496" s="6"/>
      <c r="P496" s="6"/>
    </row>
    <row r="497" spans="1:16" ht="12.45" x14ac:dyDescent="0.2">
      <c r="A497" s="3" t="s">
        <v>13</v>
      </c>
      <c r="B497" t="s">
        <v>1147</v>
      </c>
      <c r="C497" t="s">
        <v>147</v>
      </c>
      <c r="D497" t="s">
        <v>148</v>
      </c>
      <c r="E497" t="s">
        <v>23</v>
      </c>
      <c r="F497" t="s">
        <v>148</v>
      </c>
      <c r="G497" s="3" t="s">
        <v>1148</v>
      </c>
      <c r="H497" s="5">
        <v>351</v>
      </c>
      <c r="I497" s="3" t="s">
        <v>1082</v>
      </c>
      <c r="J497" s="3">
        <v>5</v>
      </c>
      <c r="K497" s="3">
        <v>3</v>
      </c>
      <c r="L497" s="3" t="s">
        <v>2904</v>
      </c>
      <c r="M497" s="6" t="s">
        <v>1131</v>
      </c>
      <c r="N497" s="6"/>
      <c r="O497" s="6"/>
      <c r="P497" s="6"/>
    </row>
    <row r="498" spans="1:16" ht="12.45" x14ac:dyDescent="0.2">
      <c r="A498" s="3" t="s">
        <v>13</v>
      </c>
      <c r="B498" t="s">
        <v>1158</v>
      </c>
      <c r="C498" t="s">
        <v>3003</v>
      </c>
      <c r="D498" t="s">
        <v>148</v>
      </c>
      <c r="E498" t="s">
        <v>23</v>
      </c>
      <c r="F498" t="s">
        <v>148</v>
      </c>
      <c r="G498" s="3" t="s">
        <v>1159</v>
      </c>
      <c r="H498" s="5">
        <v>352</v>
      </c>
      <c r="I498" s="3" t="s">
        <v>1082</v>
      </c>
      <c r="J498" s="3">
        <v>5</v>
      </c>
      <c r="K498" s="3">
        <v>3</v>
      </c>
      <c r="L498" s="3" t="s">
        <v>2904</v>
      </c>
      <c r="M498" s="6" t="s">
        <v>1156</v>
      </c>
      <c r="N498" s="6"/>
      <c r="O498" s="6"/>
      <c r="P498" s="6"/>
    </row>
    <row r="499" spans="1:16" ht="12.45" x14ac:dyDescent="0.2">
      <c r="A499" s="3" t="s">
        <v>13</v>
      </c>
      <c r="B499" t="s">
        <v>1164</v>
      </c>
      <c r="C499" t="s">
        <v>147</v>
      </c>
      <c r="D499" t="s">
        <v>148</v>
      </c>
      <c r="E499" t="s">
        <v>23</v>
      </c>
      <c r="F499" t="s">
        <v>148</v>
      </c>
      <c r="G499" s="3" t="s">
        <v>1165</v>
      </c>
      <c r="H499" s="5">
        <v>352</v>
      </c>
      <c r="I499" s="3" t="s">
        <v>1082</v>
      </c>
      <c r="J499" s="3">
        <v>5</v>
      </c>
      <c r="K499" s="3">
        <v>3</v>
      </c>
      <c r="L499" s="3" t="s">
        <v>2904</v>
      </c>
      <c r="M499" s="6" t="s">
        <v>1162</v>
      </c>
      <c r="N499" s="6"/>
      <c r="O499" s="6"/>
      <c r="P499" s="6"/>
    </row>
    <row r="500" spans="1:16" ht="12.45" x14ac:dyDescent="0.2">
      <c r="A500" s="3" t="s">
        <v>13</v>
      </c>
      <c r="B500" t="s">
        <v>1189</v>
      </c>
      <c r="C500" t="s">
        <v>3002</v>
      </c>
      <c r="D500" t="s">
        <v>148</v>
      </c>
      <c r="E500" t="s">
        <v>29</v>
      </c>
      <c r="F500" t="s">
        <v>148</v>
      </c>
      <c r="G500" s="3" t="s">
        <v>1190</v>
      </c>
      <c r="H500" s="5">
        <v>353</v>
      </c>
      <c r="I500" s="3" t="s">
        <v>1082</v>
      </c>
      <c r="J500" s="3">
        <v>5</v>
      </c>
      <c r="K500" s="3">
        <v>5</v>
      </c>
      <c r="L500" s="3" t="s">
        <v>2904</v>
      </c>
      <c r="M500" s="6" t="s">
        <v>1135</v>
      </c>
      <c r="N500" s="6"/>
      <c r="O500" s="6"/>
      <c r="P500" s="6"/>
    </row>
    <row r="501" spans="1:16" ht="12.45" x14ac:dyDescent="0.2">
      <c r="A501" s="3" t="s">
        <v>13</v>
      </c>
      <c r="B501" t="s">
        <v>1100</v>
      </c>
      <c r="C501" t="s">
        <v>2945</v>
      </c>
      <c r="D501" t="s">
        <v>22</v>
      </c>
      <c r="E501" t="s">
        <v>23</v>
      </c>
      <c r="F501" t="s">
        <v>44</v>
      </c>
      <c r="G501" s="3" t="s">
        <v>1101</v>
      </c>
      <c r="H501" s="5">
        <v>346</v>
      </c>
      <c r="I501" s="3" t="s">
        <v>1082</v>
      </c>
      <c r="J501" s="3">
        <v>4</v>
      </c>
      <c r="K501" s="3">
        <v>1</v>
      </c>
      <c r="L501" s="3" t="s">
        <v>2904</v>
      </c>
      <c r="M501" s="3" t="s">
        <v>1080</v>
      </c>
      <c r="N501" s="3"/>
      <c r="O501" s="3"/>
      <c r="P501" s="3"/>
    </row>
    <row r="502" spans="1:16" ht="12.45" x14ac:dyDescent="0.2">
      <c r="A502" s="3" t="s">
        <v>13</v>
      </c>
      <c r="B502" t="s">
        <v>1112</v>
      </c>
      <c r="C502" t="s">
        <v>2946</v>
      </c>
      <c r="D502" t="s">
        <v>28</v>
      </c>
      <c r="E502" t="s">
        <v>23</v>
      </c>
      <c r="F502" t="s">
        <v>44</v>
      </c>
      <c r="G502" s="3" t="s">
        <v>1113</v>
      </c>
      <c r="H502" s="5">
        <v>350</v>
      </c>
      <c r="I502" s="3" t="s">
        <v>1082</v>
      </c>
      <c r="J502" s="3">
        <v>3</v>
      </c>
      <c r="K502" s="3">
        <v>2</v>
      </c>
      <c r="L502" s="3" t="s">
        <v>2904</v>
      </c>
      <c r="M502" s="6" t="s">
        <v>1097</v>
      </c>
      <c r="N502" s="6"/>
      <c r="O502" s="6"/>
      <c r="P502" s="6"/>
    </row>
    <row r="503" spans="1:16" ht="12.45" x14ac:dyDescent="0.2">
      <c r="A503" s="3" t="s">
        <v>13</v>
      </c>
      <c r="B503" t="s">
        <v>1133</v>
      </c>
      <c r="C503" t="s">
        <v>2946</v>
      </c>
      <c r="D503" t="s">
        <v>28</v>
      </c>
      <c r="E503" t="s">
        <v>23</v>
      </c>
      <c r="F503" t="s">
        <v>44</v>
      </c>
      <c r="G503" s="3" t="s">
        <v>1134</v>
      </c>
      <c r="H503" s="5">
        <v>348</v>
      </c>
      <c r="I503" s="3" t="s">
        <v>1082</v>
      </c>
      <c r="J503" s="3">
        <v>5</v>
      </c>
      <c r="K503" s="3">
        <v>2</v>
      </c>
      <c r="L503" s="3" t="s">
        <v>2904</v>
      </c>
      <c r="M503" s="4" t="s">
        <v>1094</v>
      </c>
      <c r="N503" s="4"/>
      <c r="O503" s="4"/>
      <c r="P503" s="4"/>
    </row>
    <row r="504" spans="1:16" ht="12.45" x14ac:dyDescent="0.2">
      <c r="A504" s="3" t="s">
        <v>13</v>
      </c>
      <c r="B504" t="s">
        <v>1160</v>
      </c>
      <c r="C504" t="s">
        <v>2938</v>
      </c>
      <c r="D504" t="s">
        <v>28</v>
      </c>
      <c r="E504" t="s">
        <v>23</v>
      </c>
      <c r="F504" t="s">
        <v>44</v>
      </c>
      <c r="G504" s="3" t="s">
        <v>1161</v>
      </c>
      <c r="H504" s="5">
        <v>352</v>
      </c>
      <c r="I504" s="3" t="s">
        <v>1082</v>
      </c>
      <c r="J504" s="3">
        <v>5</v>
      </c>
      <c r="K504" s="3">
        <v>3</v>
      </c>
      <c r="L504" s="3" t="s">
        <v>2904</v>
      </c>
      <c r="M504" s="6" t="s">
        <v>1112</v>
      </c>
      <c r="N504" s="6"/>
      <c r="O504" s="6"/>
      <c r="P504" s="6"/>
    </row>
    <row r="505" spans="1:16" ht="12.45" x14ac:dyDescent="0.2">
      <c r="A505" s="3" t="s">
        <v>13</v>
      </c>
      <c r="B505" t="s">
        <v>1162</v>
      </c>
      <c r="C505" t="s">
        <v>2946</v>
      </c>
      <c r="D505" t="s">
        <v>28</v>
      </c>
      <c r="E505" t="s">
        <v>23</v>
      </c>
      <c r="F505" t="s">
        <v>44</v>
      </c>
      <c r="G505" s="3" t="s">
        <v>1163</v>
      </c>
      <c r="H505" s="5">
        <v>352</v>
      </c>
      <c r="I505" s="3" t="s">
        <v>1082</v>
      </c>
      <c r="J505" s="3">
        <v>5</v>
      </c>
      <c r="K505" s="3">
        <v>3</v>
      </c>
      <c r="L505" s="3" t="s">
        <v>2904</v>
      </c>
      <c r="M505" s="6" t="s">
        <v>1125</v>
      </c>
      <c r="N505" s="6"/>
      <c r="O505" s="6"/>
      <c r="P505" s="6"/>
    </row>
    <row r="506" spans="1:16" ht="12.45" x14ac:dyDescent="0.2">
      <c r="A506" s="3" t="s">
        <v>13</v>
      </c>
      <c r="B506" s="3" t="s">
        <v>1168</v>
      </c>
      <c r="C506" s="3" t="s">
        <v>1169</v>
      </c>
      <c r="D506" s="3" t="s">
        <v>22</v>
      </c>
      <c r="E506" s="3" t="s">
        <v>212</v>
      </c>
      <c r="F506" s="3" t="s">
        <v>44</v>
      </c>
      <c r="G506" s="3"/>
      <c r="H506" s="5" t="s">
        <v>1107</v>
      </c>
      <c r="I506" s="3" t="s">
        <v>1082</v>
      </c>
      <c r="J506" s="5">
        <v>5</v>
      </c>
      <c r="K506" s="5">
        <v>3</v>
      </c>
      <c r="L506" s="3" t="s">
        <v>2904</v>
      </c>
      <c r="M506" s="6" t="s">
        <v>1170</v>
      </c>
      <c r="N506" s="6"/>
      <c r="O506" s="6"/>
      <c r="P506" s="6"/>
    </row>
    <row r="507" spans="1:16" ht="12.45" x14ac:dyDescent="0.2">
      <c r="A507" s="3" t="s">
        <v>13</v>
      </c>
      <c r="B507" t="s">
        <v>1094</v>
      </c>
      <c r="C507" t="s">
        <v>2940</v>
      </c>
      <c r="D507" t="s">
        <v>22</v>
      </c>
      <c r="E507" t="s">
        <v>23</v>
      </c>
      <c r="F507" t="s">
        <v>1095</v>
      </c>
      <c r="G507" s="3" t="s">
        <v>1096</v>
      </c>
      <c r="H507" s="5">
        <v>346</v>
      </c>
      <c r="I507" s="3" t="s">
        <v>1082</v>
      </c>
      <c r="J507" s="3">
        <v>3</v>
      </c>
      <c r="K507" s="3">
        <v>1</v>
      </c>
      <c r="L507" s="3" t="s">
        <v>2904</v>
      </c>
      <c r="M507" s="6" t="s">
        <v>1080</v>
      </c>
      <c r="N507" s="6"/>
      <c r="O507" s="6"/>
      <c r="P507" s="6"/>
    </row>
    <row r="508" spans="1:16" ht="12.45" x14ac:dyDescent="0.2">
      <c r="A508" s="3" t="s">
        <v>13</v>
      </c>
      <c r="B508" t="s">
        <v>1140</v>
      </c>
      <c r="C508" t="s">
        <v>2940</v>
      </c>
      <c r="D508" t="s">
        <v>28</v>
      </c>
      <c r="E508" t="s">
        <v>1103</v>
      </c>
      <c r="F508" t="s">
        <v>1095</v>
      </c>
      <c r="G508" s="3" t="s">
        <v>1141</v>
      </c>
      <c r="H508" s="5">
        <v>349</v>
      </c>
      <c r="I508" s="3" t="s">
        <v>1082</v>
      </c>
      <c r="J508" s="3">
        <v>5</v>
      </c>
      <c r="K508" s="3">
        <v>2</v>
      </c>
      <c r="L508" s="3" t="s">
        <v>2904</v>
      </c>
      <c r="M508" s="6" t="s">
        <v>1102</v>
      </c>
      <c r="N508" s="6"/>
      <c r="O508" s="6"/>
      <c r="P508" s="6"/>
    </row>
    <row r="509" spans="1:16" ht="12.45" x14ac:dyDescent="0.2">
      <c r="A509" s="3" t="s">
        <v>13</v>
      </c>
      <c r="B509" t="s">
        <v>424</v>
      </c>
      <c r="C509" t="s">
        <v>147</v>
      </c>
      <c r="D509" t="s">
        <v>148</v>
      </c>
      <c r="E509" t="s">
        <v>23</v>
      </c>
      <c r="F509" t="s">
        <v>148</v>
      </c>
      <c r="G509" s="3" t="s">
        <v>425</v>
      </c>
      <c r="H509" s="5">
        <v>286</v>
      </c>
      <c r="I509" s="3" t="s">
        <v>396</v>
      </c>
      <c r="J509" s="3">
        <v>5</v>
      </c>
      <c r="K509" s="3">
        <v>2</v>
      </c>
      <c r="L509" s="3" t="s">
        <v>2910</v>
      </c>
      <c r="M509" s="6" t="s">
        <v>412</v>
      </c>
      <c r="N509" s="6"/>
      <c r="O509" s="6"/>
      <c r="P509" s="6"/>
    </row>
    <row r="510" spans="1:16" ht="12.45" x14ac:dyDescent="0.2">
      <c r="A510" s="3" t="s">
        <v>13</v>
      </c>
      <c r="B510" t="s">
        <v>435</v>
      </c>
      <c r="C510" t="s">
        <v>147</v>
      </c>
      <c r="D510" t="s">
        <v>148</v>
      </c>
      <c r="E510" t="s">
        <v>23</v>
      </c>
      <c r="F510" t="s">
        <v>148</v>
      </c>
      <c r="G510" s="3" t="s">
        <v>436</v>
      </c>
      <c r="H510" s="5">
        <v>286</v>
      </c>
      <c r="I510" s="3" t="s">
        <v>396</v>
      </c>
      <c r="J510" s="3">
        <v>5</v>
      </c>
      <c r="K510" s="3">
        <v>3</v>
      </c>
      <c r="L510" s="3" t="s">
        <v>2910</v>
      </c>
      <c r="M510" s="3" t="s">
        <v>421</v>
      </c>
      <c r="N510" s="3"/>
      <c r="O510" s="3"/>
      <c r="P510" s="3"/>
    </row>
    <row r="511" spans="1:16" ht="12.45" x14ac:dyDescent="0.2">
      <c r="A511" s="3" t="s">
        <v>13</v>
      </c>
      <c r="B511" t="s">
        <v>440</v>
      </c>
      <c r="C511" t="s">
        <v>3001</v>
      </c>
      <c r="D511" t="s">
        <v>148</v>
      </c>
      <c r="E511" t="s">
        <v>23</v>
      </c>
      <c r="F511" t="s">
        <v>148</v>
      </c>
      <c r="G511" s="3" t="s">
        <v>441</v>
      </c>
      <c r="H511" s="5">
        <v>287</v>
      </c>
      <c r="I511" s="3" t="s">
        <v>396</v>
      </c>
      <c r="J511" s="3">
        <v>5</v>
      </c>
      <c r="K511" s="3">
        <v>3</v>
      </c>
      <c r="L511" s="3" t="s">
        <v>2910</v>
      </c>
      <c r="M511" s="3" t="s">
        <v>426</v>
      </c>
      <c r="N511" s="3"/>
      <c r="O511" s="3"/>
      <c r="P511" s="3"/>
    </row>
    <row r="512" spans="1:16" ht="12.45" x14ac:dyDescent="0.2">
      <c r="A512" s="3" t="s">
        <v>13</v>
      </c>
      <c r="B512" t="s">
        <v>442</v>
      </c>
      <c r="C512" t="s">
        <v>147</v>
      </c>
      <c r="D512" t="s">
        <v>148</v>
      </c>
      <c r="E512" t="s">
        <v>23</v>
      </c>
      <c r="F512" t="s">
        <v>148</v>
      </c>
      <c r="G512" s="3" t="s">
        <v>443</v>
      </c>
      <c r="H512" s="5">
        <v>287</v>
      </c>
      <c r="I512" s="3" t="s">
        <v>396</v>
      </c>
      <c r="J512" s="3">
        <v>5</v>
      </c>
      <c r="K512" s="3">
        <v>3</v>
      </c>
      <c r="L512" s="3" t="s">
        <v>2910</v>
      </c>
      <c r="M512" s="6" t="s">
        <v>440</v>
      </c>
      <c r="N512" s="6"/>
      <c r="O512" s="6"/>
      <c r="P512" s="6"/>
    </row>
    <row r="513" spans="1:16" ht="12.45" x14ac:dyDescent="0.2">
      <c r="A513" s="3" t="s">
        <v>13</v>
      </c>
      <c r="B513" t="s">
        <v>446</v>
      </c>
      <c r="C513" t="s">
        <v>147</v>
      </c>
      <c r="D513" t="s">
        <v>148</v>
      </c>
      <c r="E513" t="s">
        <v>23</v>
      </c>
      <c r="F513" t="s">
        <v>148</v>
      </c>
      <c r="G513" s="3" t="s">
        <v>447</v>
      </c>
      <c r="H513" s="5">
        <v>288</v>
      </c>
      <c r="I513" s="3" t="s">
        <v>396</v>
      </c>
      <c r="J513" s="3">
        <v>5</v>
      </c>
      <c r="K513" s="3">
        <v>3</v>
      </c>
      <c r="L513" s="3" t="s">
        <v>2910</v>
      </c>
      <c r="M513" s="4" t="s">
        <v>432</v>
      </c>
      <c r="N513" s="4"/>
      <c r="O513" s="4"/>
      <c r="P513" s="4"/>
    </row>
    <row r="514" spans="1:16" ht="12.45" x14ac:dyDescent="0.2">
      <c r="A514" s="3" t="s">
        <v>13</v>
      </c>
      <c r="B514" t="s">
        <v>448</v>
      </c>
      <c r="C514" t="s">
        <v>147</v>
      </c>
      <c r="D514" t="s">
        <v>148</v>
      </c>
      <c r="E514" t="s">
        <v>23</v>
      </c>
      <c r="F514" t="s">
        <v>148</v>
      </c>
      <c r="G514" s="3" t="s">
        <v>449</v>
      </c>
      <c r="H514" s="5">
        <v>288</v>
      </c>
      <c r="I514" s="3" t="s">
        <v>396</v>
      </c>
      <c r="J514" s="3">
        <v>5</v>
      </c>
      <c r="K514" s="3">
        <v>3</v>
      </c>
      <c r="L514" s="3" t="s">
        <v>2910</v>
      </c>
      <c r="M514" s="6" t="s">
        <v>442</v>
      </c>
      <c r="N514" s="6"/>
      <c r="O514" s="6"/>
      <c r="P514" s="6"/>
    </row>
    <row r="515" spans="1:16" ht="12.45" x14ac:dyDescent="0.2">
      <c r="A515" s="3" t="s">
        <v>13</v>
      </c>
      <c r="B515" s="3" t="s">
        <v>397</v>
      </c>
      <c r="C515" s="3" t="s">
        <v>175</v>
      </c>
      <c r="D515" s="3" t="s">
        <v>22</v>
      </c>
      <c r="E515" s="3" t="s">
        <v>23</v>
      </c>
      <c r="F515" s="3" t="s">
        <v>44</v>
      </c>
      <c r="G515" s="3" t="s">
        <v>398</v>
      </c>
      <c r="H515" s="5">
        <v>284</v>
      </c>
      <c r="I515" s="3" t="s">
        <v>396</v>
      </c>
      <c r="J515" s="3">
        <v>1</v>
      </c>
      <c r="K515" s="3">
        <v>1</v>
      </c>
      <c r="L515" s="3" t="s">
        <v>2910</v>
      </c>
      <c r="M515" s="4"/>
      <c r="N515" s="4"/>
      <c r="O515" s="4"/>
      <c r="P515" s="4"/>
    </row>
    <row r="516" spans="1:16" ht="12.45" x14ac:dyDescent="0.2">
      <c r="A516" s="3" t="s">
        <v>13</v>
      </c>
      <c r="B516" s="3" t="s">
        <v>405</v>
      </c>
      <c r="C516" s="3" t="s">
        <v>154</v>
      </c>
      <c r="D516" s="3" t="s">
        <v>22</v>
      </c>
      <c r="E516" s="3" t="s">
        <v>23</v>
      </c>
      <c r="F516" s="3" t="s">
        <v>44</v>
      </c>
      <c r="G516" s="3" t="s">
        <v>406</v>
      </c>
      <c r="H516" s="5">
        <v>285</v>
      </c>
      <c r="I516" s="3" t="s">
        <v>396</v>
      </c>
      <c r="J516" s="3">
        <v>3</v>
      </c>
      <c r="K516" s="3">
        <v>1</v>
      </c>
      <c r="L516" s="3" t="s">
        <v>2910</v>
      </c>
      <c r="M516" s="4" t="s">
        <v>407</v>
      </c>
      <c r="N516" s="4"/>
      <c r="O516" s="4"/>
      <c r="P516" s="4"/>
    </row>
    <row r="517" spans="1:16" ht="12.45" x14ac:dyDescent="0.2">
      <c r="A517" s="3" t="s">
        <v>13</v>
      </c>
      <c r="B517" s="3" t="s">
        <v>408</v>
      </c>
      <c r="C517" s="3" t="s">
        <v>175</v>
      </c>
      <c r="D517" s="3" t="s">
        <v>22</v>
      </c>
      <c r="E517" s="3" t="s">
        <v>23</v>
      </c>
      <c r="F517" s="3" t="s">
        <v>44</v>
      </c>
      <c r="G517" s="3" t="s">
        <v>409</v>
      </c>
      <c r="H517" s="5">
        <v>284</v>
      </c>
      <c r="I517" s="3" t="s">
        <v>396</v>
      </c>
      <c r="J517" s="3">
        <v>4</v>
      </c>
      <c r="K517" s="3">
        <v>1</v>
      </c>
      <c r="L517" s="3" t="s">
        <v>2910</v>
      </c>
      <c r="M517" s="4" t="s">
        <v>403</v>
      </c>
      <c r="N517" s="4"/>
      <c r="O517" s="4"/>
      <c r="P517" s="4"/>
    </row>
    <row r="518" spans="1:16" ht="12.45" x14ac:dyDescent="0.2">
      <c r="A518" s="3" t="s">
        <v>13</v>
      </c>
      <c r="B518" s="3" t="s">
        <v>414</v>
      </c>
      <c r="C518" s="3" t="s">
        <v>415</v>
      </c>
      <c r="D518" s="3" t="s">
        <v>28</v>
      </c>
      <c r="E518" s="3" t="s">
        <v>23</v>
      </c>
      <c r="F518" s="3" t="s">
        <v>416</v>
      </c>
      <c r="G518" s="3" t="s">
        <v>417</v>
      </c>
      <c r="H518" s="5">
        <v>285</v>
      </c>
      <c r="I518" s="3" t="s">
        <v>396</v>
      </c>
      <c r="J518" s="3">
        <v>5</v>
      </c>
      <c r="K518" s="3">
        <v>1</v>
      </c>
      <c r="L518" s="3" t="s">
        <v>2910</v>
      </c>
      <c r="M518" s="4" t="s">
        <v>397</v>
      </c>
      <c r="N518" s="4"/>
      <c r="O518" s="4"/>
      <c r="P518" s="4"/>
    </row>
    <row r="519" spans="1:16" ht="12.45" x14ac:dyDescent="0.2">
      <c r="A519" s="3" t="s">
        <v>13</v>
      </c>
      <c r="B519" t="s">
        <v>882</v>
      </c>
      <c r="C519" t="s">
        <v>2965</v>
      </c>
      <c r="D519" t="s">
        <v>16</v>
      </c>
      <c r="E519" t="s">
        <v>883</v>
      </c>
      <c r="F519" t="s">
        <v>182</v>
      </c>
      <c r="G519" s="3" t="s">
        <v>884</v>
      </c>
      <c r="H519" s="5">
        <v>326</v>
      </c>
      <c r="I519" s="3" t="s">
        <v>839</v>
      </c>
      <c r="J519" s="3">
        <v>5</v>
      </c>
      <c r="K519" s="3">
        <v>3</v>
      </c>
      <c r="L519" s="3" t="s">
        <v>2910</v>
      </c>
      <c r="M519" s="6" t="s">
        <v>862</v>
      </c>
      <c r="N519" s="6"/>
      <c r="O519" s="6"/>
      <c r="P519" s="6"/>
    </row>
    <row r="520" spans="1:16" ht="12.45" x14ac:dyDescent="0.2">
      <c r="A520" s="3" t="s">
        <v>13</v>
      </c>
      <c r="B520" t="s">
        <v>892</v>
      </c>
      <c r="C520" t="s">
        <v>2948</v>
      </c>
      <c r="D520" t="s">
        <v>22</v>
      </c>
      <c r="E520" t="s">
        <v>23</v>
      </c>
      <c r="F520" t="s">
        <v>182</v>
      </c>
      <c r="G520" s="3" t="s">
        <v>893</v>
      </c>
      <c r="H520" s="5">
        <v>328</v>
      </c>
      <c r="I520" s="3" t="s">
        <v>839</v>
      </c>
      <c r="J520" s="3">
        <v>5</v>
      </c>
      <c r="K520" s="3">
        <v>3</v>
      </c>
      <c r="L520" s="3" t="s">
        <v>2910</v>
      </c>
      <c r="M520" s="6" t="s">
        <v>894</v>
      </c>
      <c r="N520" s="6"/>
      <c r="O520" s="6"/>
      <c r="P520" s="6"/>
    </row>
    <row r="521" spans="1:16" ht="12.45" x14ac:dyDescent="0.2">
      <c r="A521" s="3" t="s">
        <v>13</v>
      </c>
      <c r="B521" t="s">
        <v>895</v>
      </c>
      <c r="C521" t="s">
        <v>3000</v>
      </c>
      <c r="D521" t="s">
        <v>22</v>
      </c>
      <c r="E521" t="s">
        <v>23</v>
      </c>
      <c r="F521" t="s">
        <v>182</v>
      </c>
      <c r="G521" s="3" t="s">
        <v>896</v>
      </c>
      <c r="H521" s="5">
        <v>328</v>
      </c>
      <c r="I521" s="3" t="s">
        <v>839</v>
      </c>
      <c r="J521" s="3">
        <v>5</v>
      </c>
      <c r="K521" s="3">
        <v>3</v>
      </c>
      <c r="L521" s="3" t="s">
        <v>2910</v>
      </c>
      <c r="M521" s="6" t="s">
        <v>873</v>
      </c>
      <c r="N521" s="6"/>
      <c r="O521" s="6"/>
      <c r="P521" s="6"/>
    </row>
    <row r="522" spans="1:16" ht="12.45" x14ac:dyDescent="0.2">
      <c r="A522" s="3" t="s">
        <v>13</v>
      </c>
      <c r="B522" s="3" t="s">
        <v>905</v>
      </c>
      <c r="C522" s="3" t="s">
        <v>906</v>
      </c>
      <c r="D522" s="3" t="s">
        <v>28</v>
      </c>
      <c r="E522" s="3" t="s">
        <v>841</v>
      </c>
      <c r="F522" s="3" t="s">
        <v>182</v>
      </c>
      <c r="G522" s="3"/>
      <c r="H522" s="5" t="s">
        <v>826</v>
      </c>
      <c r="I522" s="3" t="s">
        <v>839</v>
      </c>
      <c r="J522" s="5">
        <v>5</v>
      </c>
      <c r="K522" s="5">
        <v>3</v>
      </c>
      <c r="L522" s="3" t="s">
        <v>2910</v>
      </c>
      <c r="M522" s="4" t="s">
        <v>888</v>
      </c>
      <c r="N522" s="4"/>
      <c r="O522" s="4"/>
      <c r="P522" s="4"/>
    </row>
    <row r="523" spans="1:16" ht="12.45" x14ac:dyDescent="0.2">
      <c r="A523" s="3" t="s">
        <v>13</v>
      </c>
      <c r="B523" t="s">
        <v>836</v>
      </c>
      <c r="C523" t="s">
        <v>2944</v>
      </c>
      <c r="D523" t="s">
        <v>22</v>
      </c>
      <c r="E523" t="s">
        <v>837</v>
      </c>
      <c r="F523" t="s">
        <v>18</v>
      </c>
      <c r="G523" s="3" t="s">
        <v>838</v>
      </c>
      <c r="H523" s="5">
        <v>322</v>
      </c>
      <c r="I523" s="3" t="s">
        <v>839</v>
      </c>
      <c r="J523" s="3">
        <v>1</v>
      </c>
      <c r="K523" s="3">
        <v>1</v>
      </c>
      <c r="L523" s="3" t="s">
        <v>2910</v>
      </c>
      <c r="M523" s="4"/>
      <c r="N523" s="4"/>
      <c r="O523" s="4"/>
      <c r="P523" s="4"/>
    </row>
    <row r="524" spans="1:16" ht="12.45" x14ac:dyDescent="0.2">
      <c r="A524" s="3" t="s">
        <v>13</v>
      </c>
      <c r="B524" t="s">
        <v>840</v>
      </c>
      <c r="C524" t="s">
        <v>2939</v>
      </c>
      <c r="D524" t="s">
        <v>16</v>
      </c>
      <c r="E524" t="s">
        <v>841</v>
      </c>
      <c r="F524" t="s">
        <v>18</v>
      </c>
      <c r="G524" s="3" t="s">
        <v>842</v>
      </c>
      <c r="H524" s="5">
        <v>323</v>
      </c>
      <c r="I524" s="3" t="s">
        <v>839</v>
      </c>
      <c r="J524" s="3">
        <v>3</v>
      </c>
      <c r="K524" s="3">
        <v>1</v>
      </c>
      <c r="L524" s="3" t="s">
        <v>2910</v>
      </c>
      <c r="M524" s="4" t="s">
        <v>836</v>
      </c>
      <c r="N524" s="4"/>
      <c r="O524" s="4"/>
      <c r="P524" s="4"/>
    </row>
    <row r="525" spans="1:16" ht="12.45" x14ac:dyDescent="0.2">
      <c r="A525" s="3" t="s">
        <v>13</v>
      </c>
      <c r="B525" t="s">
        <v>843</v>
      </c>
      <c r="C525" t="s">
        <v>2942</v>
      </c>
      <c r="D525" t="s">
        <v>28</v>
      </c>
      <c r="E525" t="s">
        <v>837</v>
      </c>
      <c r="F525" t="s">
        <v>18</v>
      </c>
      <c r="G525" s="3" t="s">
        <v>844</v>
      </c>
      <c r="H525" s="5">
        <v>323</v>
      </c>
      <c r="I525" s="3" t="s">
        <v>839</v>
      </c>
      <c r="J525" s="3">
        <v>3</v>
      </c>
      <c r="K525" s="3">
        <v>1</v>
      </c>
      <c r="L525" s="3" t="s">
        <v>2910</v>
      </c>
      <c r="M525" s="6"/>
      <c r="N525" s="6"/>
      <c r="O525" s="6"/>
      <c r="P525" s="6"/>
    </row>
    <row r="526" spans="1:16" ht="12.45" x14ac:dyDescent="0.2">
      <c r="A526" s="3" t="s">
        <v>13</v>
      </c>
      <c r="B526" t="s">
        <v>848</v>
      </c>
      <c r="C526" t="s">
        <v>2945</v>
      </c>
      <c r="D526" t="s">
        <v>16</v>
      </c>
      <c r="E526" t="s">
        <v>837</v>
      </c>
      <c r="F526" t="s">
        <v>18</v>
      </c>
      <c r="G526" s="3" t="s">
        <v>849</v>
      </c>
      <c r="H526" s="5">
        <v>323</v>
      </c>
      <c r="I526" s="3" t="s">
        <v>839</v>
      </c>
      <c r="J526" s="3">
        <v>3</v>
      </c>
      <c r="K526" s="3">
        <v>1</v>
      </c>
      <c r="L526" s="3" t="s">
        <v>2910</v>
      </c>
      <c r="M526" s="4"/>
      <c r="N526" s="4"/>
      <c r="O526" s="4"/>
      <c r="P526" s="4"/>
    </row>
    <row r="527" spans="1:16" ht="12.45" x14ac:dyDescent="0.2">
      <c r="A527" s="3" t="s">
        <v>13</v>
      </c>
      <c r="B527" t="s">
        <v>850</v>
      </c>
      <c r="C527" t="s">
        <v>2939</v>
      </c>
      <c r="D527" t="s">
        <v>22</v>
      </c>
      <c r="E527" t="s">
        <v>23</v>
      </c>
      <c r="F527" t="s">
        <v>18</v>
      </c>
      <c r="G527" s="3" t="s">
        <v>851</v>
      </c>
      <c r="H527" s="5">
        <v>324</v>
      </c>
      <c r="I527" s="3" t="s">
        <v>839</v>
      </c>
      <c r="J527" s="3">
        <v>3</v>
      </c>
      <c r="K527" s="3">
        <v>1</v>
      </c>
      <c r="L527" s="3" t="s">
        <v>2910</v>
      </c>
      <c r="M527" s="4"/>
      <c r="N527" s="4"/>
      <c r="O527" s="4"/>
      <c r="P527" s="4"/>
    </row>
    <row r="528" spans="1:16" ht="12.45" x14ac:dyDescent="0.2">
      <c r="A528" s="3" t="s">
        <v>13</v>
      </c>
      <c r="B528" t="s">
        <v>852</v>
      </c>
      <c r="C528" t="s">
        <v>2939</v>
      </c>
      <c r="D528" t="s">
        <v>16</v>
      </c>
      <c r="E528" t="s">
        <v>23</v>
      </c>
      <c r="F528" t="s">
        <v>18</v>
      </c>
      <c r="G528" s="3" t="s">
        <v>853</v>
      </c>
      <c r="H528" s="5">
        <v>324</v>
      </c>
      <c r="I528" s="3" t="s">
        <v>839</v>
      </c>
      <c r="J528" s="3">
        <v>4</v>
      </c>
      <c r="K528" s="3">
        <v>1</v>
      </c>
      <c r="L528" s="3" t="s">
        <v>2910</v>
      </c>
      <c r="M528" s="4" t="s">
        <v>850</v>
      </c>
      <c r="N528" s="4"/>
      <c r="O528" s="4"/>
      <c r="P528" s="4"/>
    </row>
    <row r="529" spans="1:16" ht="12.45" x14ac:dyDescent="0.2">
      <c r="A529" s="3" t="s">
        <v>13</v>
      </c>
      <c r="B529" t="s">
        <v>854</v>
      </c>
      <c r="C529" t="s">
        <v>2971</v>
      </c>
      <c r="D529" t="s">
        <v>22</v>
      </c>
      <c r="E529" t="s">
        <v>23</v>
      </c>
      <c r="F529" t="s">
        <v>18</v>
      </c>
      <c r="G529" s="3" t="s">
        <v>855</v>
      </c>
      <c r="H529" s="5">
        <v>324</v>
      </c>
      <c r="I529" s="3" t="s">
        <v>839</v>
      </c>
      <c r="J529" s="3">
        <v>4</v>
      </c>
      <c r="K529" s="3">
        <v>1</v>
      </c>
      <c r="L529" s="3" t="s">
        <v>2910</v>
      </c>
      <c r="M529" s="4"/>
      <c r="N529" s="4"/>
      <c r="O529" s="4"/>
      <c r="P529" s="4"/>
    </row>
    <row r="530" spans="1:16" ht="12.45" x14ac:dyDescent="0.2">
      <c r="A530" s="3" t="s">
        <v>13</v>
      </c>
      <c r="B530" t="s">
        <v>858</v>
      </c>
      <c r="C530" t="s">
        <v>2945</v>
      </c>
      <c r="D530" t="s">
        <v>22</v>
      </c>
      <c r="E530" t="s">
        <v>23</v>
      </c>
      <c r="F530" t="s">
        <v>18</v>
      </c>
      <c r="G530" s="3" t="s">
        <v>859</v>
      </c>
      <c r="H530" s="5">
        <v>324</v>
      </c>
      <c r="I530" s="3" t="s">
        <v>839</v>
      </c>
      <c r="J530" s="3">
        <v>5</v>
      </c>
      <c r="K530" s="3">
        <v>1</v>
      </c>
      <c r="L530" s="3" t="s">
        <v>2910</v>
      </c>
      <c r="M530" s="3" t="s">
        <v>854</v>
      </c>
      <c r="N530" s="3"/>
      <c r="O530" s="3"/>
      <c r="P530" s="3"/>
    </row>
    <row r="531" spans="1:16" ht="12.45" x14ac:dyDescent="0.2">
      <c r="A531" s="3" t="s">
        <v>13</v>
      </c>
      <c r="B531" t="s">
        <v>860</v>
      </c>
      <c r="C531" t="s">
        <v>2944</v>
      </c>
      <c r="D531" t="s">
        <v>28</v>
      </c>
      <c r="E531" t="s">
        <v>841</v>
      </c>
      <c r="F531" t="s">
        <v>18</v>
      </c>
      <c r="G531" s="3" t="s">
        <v>861</v>
      </c>
      <c r="H531" s="5">
        <v>324</v>
      </c>
      <c r="I531" s="3" t="s">
        <v>839</v>
      </c>
      <c r="J531" s="3">
        <v>4</v>
      </c>
      <c r="K531" s="3">
        <v>2</v>
      </c>
      <c r="L531" s="3" t="s">
        <v>2910</v>
      </c>
      <c r="M531" s="3" t="s">
        <v>840</v>
      </c>
      <c r="N531" s="3"/>
      <c r="O531" s="3"/>
      <c r="P531" s="3"/>
    </row>
    <row r="532" spans="1:16" ht="12.45" x14ac:dyDescent="0.2">
      <c r="A532" s="3" t="s">
        <v>13</v>
      </c>
      <c r="B532" t="s">
        <v>862</v>
      </c>
      <c r="C532" t="s">
        <v>2939</v>
      </c>
      <c r="D532" t="s">
        <v>16</v>
      </c>
      <c r="E532" t="s">
        <v>863</v>
      </c>
      <c r="F532" t="s">
        <v>18</v>
      </c>
      <c r="G532" s="3" t="s">
        <v>864</v>
      </c>
      <c r="H532" s="5">
        <v>325</v>
      </c>
      <c r="I532" s="3" t="s">
        <v>839</v>
      </c>
      <c r="J532" s="3">
        <v>4</v>
      </c>
      <c r="K532" s="3">
        <v>2</v>
      </c>
      <c r="L532" s="3" t="s">
        <v>2910</v>
      </c>
      <c r="M532" s="4" t="s">
        <v>843</v>
      </c>
      <c r="N532" s="4"/>
      <c r="O532" s="4"/>
      <c r="P532" s="4"/>
    </row>
    <row r="533" spans="1:16" ht="12.45" x14ac:dyDescent="0.2">
      <c r="A533" s="3" t="s">
        <v>13</v>
      </c>
      <c r="B533" t="s">
        <v>865</v>
      </c>
      <c r="C533" t="s">
        <v>2942</v>
      </c>
      <c r="D533" t="s">
        <v>28</v>
      </c>
      <c r="E533" t="s">
        <v>837</v>
      </c>
      <c r="F533" t="s">
        <v>18</v>
      </c>
      <c r="G533" s="3" t="s">
        <v>866</v>
      </c>
      <c r="H533" s="5">
        <v>325</v>
      </c>
      <c r="I533" s="3" t="s">
        <v>839</v>
      </c>
      <c r="J533" s="3">
        <v>5</v>
      </c>
      <c r="K533" s="3">
        <v>2</v>
      </c>
      <c r="L533" s="3" t="s">
        <v>2910</v>
      </c>
      <c r="M533" s="4" t="s">
        <v>860</v>
      </c>
      <c r="N533" s="4"/>
      <c r="O533" s="4"/>
      <c r="P533" s="4"/>
    </row>
    <row r="534" spans="1:16" ht="12.45" x14ac:dyDescent="0.2">
      <c r="A534" s="3" t="s">
        <v>13</v>
      </c>
      <c r="B534" t="s">
        <v>867</v>
      </c>
      <c r="C534" t="s">
        <v>2962</v>
      </c>
      <c r="D534" t="s">
        <v>16</v>
      </c>
      <c r="E534" t="s">
        <v>863</v>
      </c>
      <c r="F534" t="s">
        <v>18</v>
      </c>
      <c r="G534" s="3" t="s">
        <v>868</v>
      </c>
      <c r="H534" s="5">
        <v>325</v>
      </c>
      <c r="I534" s="3" t="s">
        <v>839</v>
      </c>
      <c r="J534" s="3">
        <v>5</v>
      </c>
      <c r="K534" s="3">
        <v>2</v>
      </c>
      <c r="L534" s="3" t="s">
        <v>2910</v>
      </c>
      <c r="M534" s="3" t="s">
        <v>862</v>
      </c>
      <c r="N534" s="3"/>
      <c r="O534" s="3"/>
      <c r="P534" s="3"/>
    </row>
    <row r="535" spans="1:16" ht="12.45" x14ac:dyDescent="0.2">
      <c r="A535" s="3" t="s">
        <v>13</v>
      </c>
      <c r="B535" t="s">
        <v>871</v>
      </c>
      <c r="C535" t="s">
        <v>2939</v>
      </c>
      <c r="D535" t="s">
        <v>22</v>
      </c>
      <c r="E535" t="s">
        <v>23</v>
      </c>
      <c r="F535" t="s">
        <v>18</v>
      </c>
      <c r="G535" s="3" t="s">
        <v>872</v>
      </c>
      <c r="H535" s="5">
        <v>326</v>
      </c>
      <c r="I535" s="3" t="s">
        <v>839</v>
      </c>
      <c r="J535" s="3">
        <v>5</v>
      </c>
      <c r="K535" s="3">
        <v>2</v>
      </c>
      <c r="L535" s="3" t="s">
        <v>2910</v>
      </c>
      <c r="M535" s="3" t="s">
        <v>858</v>
      </c>
      <c r="N535" s="3"/>
      <c r="O535" s="3"/>
      <c r="P535" s="3"/>
    </row>
    <row r="536" spans="1:16" ht="12.45" x14ac:dyDescent="0.2">
      <c r="A536" s="3" t="s">
        <v>13</v>
      </c>
      <c r="B536" t="s">
        <v>875</v>
      </c>
      <c r="C536" t="s">
        <v>34</v>
      </c>
      <c r="D536" t="s">
        <v>16</v>
      </c>
      <c r="E536" t="s">
        <v>837</v>
      </c>
      <c r="F536" t="s">
        <v>18</v>
      </c>
      <c r="G536" s="3" t="s">
        <v>876</v>
      </c>
      <c r="H536" s="5">
        <v>323</v>
      </c>
      <c r="I536" s="3" t="s">
        <v>839</v>
      </c>
      <c r="J536" s="3">
        <v>5</v>
      </c>
      <c r="K536" s="3">
        <v>3</v>
      </c>
      <c r="L536" s="3" t="s">
        <v>2910</v>
      </c>
      <c r="M536" s="4" t="s">
        <v>848</v>
      </c>
      <c r="N536" s="4"/>
      <c r="O536" s="4"/>
      <c r="P536" s="4"/>
    </row>
    <row r="537" spans="1:16" ht="12.45" x14ac:dyDescent="0.2">
      <c r="A537" s="3" t="s">
        <v>13</v>
      </c>
      <c r="B537" t="s">
        <v>877</v>
      </c>
      <c r="C537" t="s">
        <v>2999</v>
      </c>
      <c r="D537" t="s">
        <v>148</v>
      </c>
      <c r="E537" t="s">
        <v>841</v>
      </c>
      <c r="F537" t="s">
        <v>18</v>
      </c>
      <c r="G537" s="3" t="s">
        <v>878</v>
      </c>
      <c r="H537" s="5">
        <v>326</v>
      </c>
      <c r="I537" s="3" t="s">
        <v>839</v>
      </c>
      <c r="J537" s="3">
        <v>5</v>
      </c>
      <c r="K537" s="3">
        <v>3</v>
      </c>
      <c r="L537" s="3" t="s">
        <v>2910</v>
      </c>
      <c r="M537" s="3" t="s">
        <v>860</v>
      </c>
      <c r="N537" s="3"/>
      <c r="O537" s="3"/>
      <c r="P537" s="3"/>
    </row>
    <row r="538" spans="1:16" ht="12.45" x14ac:dyDescent="0.2">
      <c r="A538" s="3" t="s">
        <v>13</v>
      </c>
      <c r="B538" t="s">
        <v>885</v>
      </c>
      <c r="C538" t="s">
        <v>2939</v>
      </c>
      <c r="D538" t="s">
        <v>28</v>
      </c>
      <c r="E538" t="s">
        <v>841</v>
      </c>
      <c r="F538" t="s">
        <v>18</v>
      </c>
      <c r="G538" s="3" t="s">
        <v>886</v>
      </c>
      <c r="H538" s="5">
        <v>327</v>
      </c>
      <c r="I538" s="3" t="s">
        <v>839</v>
      </c>
      <c r="J538" s="3">
        <v>5</v>
      </c>
      <c r="K538" s="3">
        <v>3</v>
      </c>
      <c r="L538" s="3" t="s">
        <v>2910</v>
      </c>
      <c r="M538" s="6" t="s">
        <v>887</v>
      </c>
      <c r="N538" s="6"/>
      <c r="O538" s="6"/>
      <c r="P538" s="6"/>
    </row>
    <row r="539" spans="1:16" ht="12.45" x14ac:dyDescent="0.2">
      <c r="A539" s="3" t="s">
        <v>13</v>
      </c>
      <c r="B539" t="s">
        <v>888</v>
      </c>
      <c r="C539" t="s">
        <v>2950</v>
      </c>
      <c r="D539" t="s">
        <v>28</v>
      </c>
      <c r="E539" t="s">
        <v>889</v>
      </c>
      <c r="F539" t="s">
        <v>18</v>
      </c>
      <c r="G539" s="3" t="s">
        <v>890</v>
      </c>
      <c r="H539" s="5">
        <v>327</v>
      </c>
      <c r="I539" s="3" t="s">
        <v>839</v>
      </c>
      <c r="J539" s="3">
        <v>5</v>
      </c>
      <c r="K539" s="3">
        <v>3</v>
      </c>
      <c r="L539" s="3" t="s">
        <v>2910</v>
      </c>
      <c r="M539" s="4" t="s">
        <v>891</v>
      </c>
      <c r="N539" s="4"/>
      <c r="O539" s="4"/>
      <c r="P539" s="4"/>
    </row>
    <row r="540" spans="1:16" ht="12.45" x14ac:dyDescent="0.2">
      <c r="A540" s="3" t="s">
        <v>13</v>
      </c>
      <c r="B540" t="s">
        <v>900</v>
      </c>
      <c r="C540" t="s">
        <v>2946</v>
      </c>
      <c r="D540" t="s">
        <v>28</v>
      </c>
      <c r="E540" t="s">
        <v>142</v>
      </c>
      <c r="F540" t="s">
        <v>18</v>
      </c>
      <c r="G540" s="3" t="s">
        <v>901</v>
      </c>
      <c r="H540" s="5">
        <v>329</v>
      </c>
      <c r="I540" s="3" t="s">
        <v>839</v>
      </c>
      <c r="J540" s="3">
        <v>5</v>
      </c>
      <c r="K540" s="3">
        <v>3</v>
      </c>
      <c r="L540" s="3" t="s">
        <v>2910</v>
      </c>
      <c r="M540" s="4" t="s">
        <v>895</v>
      </c>
      <c r="N540" s="4"/>
      <c r="O540" s="4"/>
      <c r="P540" s="4"/>
    </row>
    <row r="541" spans="1:16" ht="12.45" x14ac:dyDescent="0.2">
      <c r="A541" s="3" t="s">
        <v>13</v>
      </c>
      <c r="B541" t="s">
        <v>902</v>
      </c>
      <c r="C541" t="s">
        <v>2965</v>
      </c>
      <c r="D541" t="s">
        <v>16</v>
      </c>
      <c r="E541" t="s">
        <v>142</v>
      </c>
      <c r="F541" t="s">
        <v>18</v>
      </c>
      <c r="G541" s="3" t="s">
        <v>903</v>
      </c>
      <c r="H541" s="5">
        <v>329</v>
      </c>
      <c r="I541" s="3" t="s">
        <v>839</v>
      </c>
      <c r="J541" s="3">
        <v>5</v>
      </c>
      <c r="K541" s="3">
        <v>3</v>
      </c>
      <c r="L541" s="3" t="s">
        <v>2910</v>
      </c>
      <c r="M541" s="4" t="s">
        <v>900</v>
      </c>
      <c r="N541" s="4"/>
      <c r="O541" s="4"/>
      <c r="P541" s="4"/>
    </row>
    <row r="542" spans="1:16" ht="12.45" x14ac:dyDescent="0.2">
      <c r="A542" s="3" t="s">
        <v>13</v>
      </c>
      <c r="B542" s="3" t="s">
        <v>904</v>
      </c>
      <c r="C542" s="3" t="s">
        <v>694</v>
      </c>
      <c r="D542" s="3" t="s">
        <v>28</v>
      </c>
      <c r="E542" s="3" t="s">
        <v>23</v>
      </c>
      <c r="F542" s="3" t="s">
        <v>18</v>
      </c>
      <c r="G542" s="3"/>
      <c r="H542" s="5" t="s">
        <v>826</v>
      </c>
      <c r="I542" s="3" t="s">
        <v>839</v>
      </c>
      <c r="J542" s="5">
        <v>5</v>
      </c>
      <c r="K542" s="5">
        <v>3</v>
      </c>
      <c r="L542" s="3" t="s">
        <v>2910</v>
      </c>
      <c r="M542" s="4" t="s">
        <v>860</v>
      </c>
      <c r="N542" s="4"/>
      <c r="O542" s="4"/>
      <c r="P542" s="4"/>
    </row>
    <row r="543" spans="1:16" ht="12.45" x14ac:dyDescent="0.2">
      <c r="A543" s="3" t="s">
        <v>13</v>
      </c>
      <c r="B543" t="s">
        <v>907</v>
      </c>
      <c r="C543" t="s">
        <v>766</v>
      </c>
      <c r="D543" t="s">
        <v>16</v>
      </c>
      <c r="E543" t="s">
        <v>142</v>
      </c>
      <c r="F543" t="s">
        <v>18</v>
      </c>
      <c r="G543" s="3" t="s">
        <v>908</v>
      </c>
      <c r="H543" s="5">
        <v>329</v>
      </c>
      <c r="I543" s="3" t="s">
        <v>839</v>
      </c>
      <c r="J543" s="3">
        <v>5</v>
      </c>
      <c r="K543" s="3">
        <v>4</v>
      </c>
      <c r="L543" s="3" t="s">
        <v>2910</v>
      </c>
      <c r="M543" s="4" t="s">
        <v>902</v>
      </c>
      <c r="N543" s="4"/>
      <c r="O543" s="4"/>
      <c r="P543" s="4"/>
    </row>
    <row r="544" spans="1:16" ht="12.45" x14ac:dyDescent="0.2">
      <c r="A544" s="3" t="s">
        <v>13</v>
      </c>
      <c r="B544" t="s">
        <v>911</v>
      </c>
      <c r="C544" t="s">
        <v>2951</v>
      </c>
      <c r="D544" t="s">
        <v>28</v>
      </c>
      <c r="E544" t="s">
        <v>889</v>
      </c>
      <c r="F544" t="s">
        <v>18</v>
      </c>
      <c r="G544" s="3" t="s">
        <v>912</v>
      </c>
      <c r="H544" s="5">
        <v>329</v>
      </c>
      <c r="I544" s="3" t="s">
        <v>839</v>
      </c>
      <c r="J544" s="3">
        <v>5</v>
      </c>
      <c r="K544" s="3">
        <v>4</v>
      </c>
      <c r="L544" s="3" t="s">
        <v>2910</v>
      </c>
      <c r="M544" s="4" t="s">
        <v>888</v>
      </c>
      <c r="N544" s="4"/>
      <c r="O544" s="4"/>
      <c r="P544" s="4"/>
    </row>
    <row r="545" spans="1:16" ht="12.45" x14ac:dyDescent="0.2">
      <c r="A545" s="3" t="s">
        <v>13</v>
      </c>
      <c r="B545" t="s">
        <v>913</v>
      </c>
      <c r="C545" t="s">
        <v>154</v>
      </c>
      <c r="D545" t="s">
        <v>16</v>
      </c>
      <c r="E545" t="s">
        <v>837</v>
      </c>
      <c r="F545" t="s">
        <v>18</v>
      </c>
      <c r="G545" s="3" t="s">
        <v>914</v>
      </c>
      <c r="H545" s="5">
        <v>323</v>
      </c>
      <c r="I545" s="3" t="s">
        <v>839</v>
      </c>
      <c r="J545" s="3">
        <v>5</v>
      </c>
      <c r="K545" s="3">
        <v>5</v>
      </c>
      <c r="L545" s="3" t="s">
        <v>2910</v>
      </c>
      <c r="M545" s="4" t="s">
        <v>875</v>
      </c>
      <c r="N545" s="4"/>
      <c r="O545" s="4"/>
      <c r="P545" s="4"/>
    </row>
    <row r="546" spans="1:16" ht="12.45" x14ac:dyDescent="0.2">
      <c r="A546" s="3" t="s">
        <v>13</v>
      </c>
      <c r="B546" t="s">
        <v>915</v>
      </c>
      <c r="C546" t="s">
        <v>392</v>
      </c>
      <c r="D546" t="s">
        <v>16</v>
      </c>
      <c r="E546" t="s">
        <v>142</v>
      </c>
      <c r="F546" t="s">
        <v>18</v>
      </c>
      <c r="G546" s="3" t="s">
        <v>916</v>
      </c>
      <c r="H546" s="5">
        <v>329</v>
      </c>
      <c r="I546" s="3" t="s">
        <v>839</v>
      </c>
      <c r="J546" s="3">
        <v>5</v>
      </c>
      <c r="K546" s="3">
        <v>5</v>
      </c>
      <c r="L546" s="3" t="s">
        <v>2910</v>
      </c>
      <c r="M546" s="6" t="s">
        <v>907</v>
      </c>
      <c r="N546" s="6"/>
      <c r="O546" s="6"/>
      <c r="P546" s="6"/>
    </row>
    <row r="547" spans="1:16" ht="12.45" x14ac:dyDescent="0.2">
      <c r="A547" s="3" t="s">
        <v>13</v>
      </c>
      <c r="B547" t="s">
        <v>845</v>
      </c>
      <c r="C547" t="s">
        <v>2944</v>
      </c>
      <c r="D547" t="s">
        <v>28</v>
      </c>
      <c r="E547" t="s">
        <v>142</v>
      </c>
      <c r="F547" t="s">
        <v>846</v>
      </c>
      <c r="G547" s="3" t="s">
        <v>847</v>
      </c>
      <c r="H547" s="5">
        <v>323</v>
      </c>
      <c r="I547" s="3" t="s">
        <v>839</v>
      </c>
      <c r="J547" s="3">
        <v>3</v>
      </c>
      <c r="K547" s="3">
        <v>1</v>
      </c>
      <c r="L547" s="3" t="s">
        <v>2910</v>
      </c>
      <c r="M547" s="6"/>
      <c r="N547" s="6"/>
      <c r="O547" s="6"/>
      <c r="P547" s="6"/>
    </row>
    <row r="548" spans="1:16" ht="12.45" x14ac:dyDescent="0.2">
      <c r="A548" s="3" t="s">
        <v>13</v>
      </c>
      <c r="B548" t="s">
        <v>1288</v>
      </c>
      <c r="C548" t="s">
        <v>2940</v>
      </c>
      <c r="D548" t="s">
        <v>22</v>
      </c>
      <c r="E548" t="s">
        <v>23</v>
      </c>
      <c r="F548" t="s">
        <v>182</v>
      </c>
      <c r="G548" s="3" t="str">
        <f>"+1 Appearance. Seduce without appealing to an Intimacy. Roll influence once; apply as different influence to all present."</f>
        <v>+1 Appearance. Seduce without appealing to an Intimacy. Roll influence once; apply as different influence to all present.</v>
      </c>
      <c r="H548" s="5">
        <v>368</v>
      </c>
      <c r="I548" s="3" t="s">
        <v>1277</v>
      </c>
      <c r="J548" s="3">
        <v>3</v>
      </c>
      <c r="K548" s="3">
        <v>1</v>
      </c>
      <c r="L548" s="3" t="s">
        <v>2906</v>
      </c>
      <c r="M548" s="6" t="s">
        <v>1278</v>
      </c>
      <c r="N548" s="6"/>
      <c r="O548" s="6"/>
      <c r="P548" s="6"/>
    </row>
    <row r="549" spans="1:16" ht="12.45" x14ac:dyDescent="0.2">
      <c r="A549" s="3" t="s">
        <v>13</v>
      </c>
      <c r="B549" t="s">
        <v>1278</v>
      </c>
      <c r="C549" t="s">
        <v>2945</v>
      </c>
      <c r="D549" t="s">
        <v>16</v>
      </c>
      <c r="E549" t="s">
        <v>142</v>
      </c>
      <c r="F549" t="s">
        <v>18</v>
      </c>
      <c r="G549" s="3" t="s">
        <v>1279</v>
      </c>
      <c r="H549" s="5">
        <v>361</v>
      </c>
      <c r="I549" s="3" t="s">
        <v>1277</v>
      </c>
      <c r="J549" s="3">
        <v>3</v>
      </c>
      <c r="K549" s="3">
        <v>1</v>
      </c>
      <c r="L549" s="3" t="s">
        <v>2906</v>
      </c>
      <c r="M549" s="6"/>
      <c r="N549" s="6"/>
      <c r="O549" s="6"/>
      <c r="P549" s="6"/>
    </row>
    <row r="550" spans="1:16" ht="12.45" x14ac:dyDescent="0.2">
      <c r="A550" s="3" t="s">
        <v>13</v>
      </c>
      <c r="B550" t="s">
        <v>1280</v>
      </c>
      <c r="C550" t="s">
        <v>2939</v>
      </c>
      <c r="D550" t="s">
        <v>16</v>
      </c>
      <c r="E550" t="s">
        <v>23</v>
      </c>
      <c r="F550" t="s">
        <v>18</v>
      </c>
      <c r="G550" s="3" t="s">
        <v>1281</v>
      </c>
      <c r="H550" s="5">
        <v>364</v>
      </c>
      <c r="I550" s="3" t="s">
        <v>1277</v>
      </c>
      <c r="J550" s="3">
        <v>3</v>
      </c>
      <c r="K550" s="3">
        <v>1</v>
      </c>
      <c r="L550" s="3" t="s">
        <v>2906</v>
      </c>
      <c r="M550" s="6" t="s">
        <v>1278</v>
      </c>
      <c r="N550" s="6"/>
      <c r="O550" s="6"/>
      <c r="P550" s="6"/>
    </row>
    <row r="551" spans="1:16" ht="12.45" x14ac:dyDescent="0.2">
      <c r="A551" s="3" t="s">
        <v>13</v>
      </c>
      <c r="B551" t="s">
        <v>1282</v>
      </c>
      <c r="C551" t="s">
        <v>2939</v>
      </c>
      <c r="D551" t="s">
        <v>16</v>
      </c>
      <c r="E551" t="s">
        <v>23</v>
      </c>
      <c r="F551" t="s">
        <v>18</v>
      </c>
      <c r="G551" s="3" t="s">
        <v>1283</v>
      </c>
      <c r="H551" s="5">
        <v>365</v>
      </c>
      <c r="I551" s="3" t="s">
        <v>1277</v>
      </c>
      <c r="J551" s="3">
        <v>3</v>
      </c>
      <c r="K551" s="3">
        <v>1</v>
      </c>
      <c r="L551" s="3" t="s">
        <v>2906</v>
      </c>
      <c r="M551" s="6" t="s">
        <v>1278</v>
      </c>
      <c r="N551" s="6"/>
      <c r="O551" s="6"/>
      <c r="P551" s="6"/>
    </row>
    <row r="552" spans="1:16" ht="12.45" x14ac:dyDescent="0.2">
      <c r="A552" s="3" t="s">
        <v>13</v>
      </c>
      <c r="B552" t="s">
        <v>1284</v>
      </c>
      <c r="C552" t="s">
        <v>15</v>
      </c>
      <c r="D552" t="s">
        <v>16</v>
      </c>
      <c r="E552" t="s">
        <v>23</v>
      </c>
      <c r="F552" t="s">
        <v>18</v>
      </c>
      <c r="G552" s="3" t="s">
        <v>1285</v>
      </c>
      <c r="H552" s="5">
        <v>366</v>
      </c>
      <c r="I552" s="3" t="s">
        <v>1277</v>
      </c>
      <c r="J552" s="3">
        <v>3</v>
      </c>
      <c r="K552" s="3">
        <v>1</v>
      </c>
      <c r="L552" s="3" t="s">
        <v>2906</v>
      </c>
      <c r="M552" s="6" t="s">
        <v>1278</v>
      </c>
      <c r="N552" s="6"/>
      <c r="O552" s="6"/>
      <c r="P552" s="6"/>
    </row>
    <row r="553" spans="1:16" ht="12.45" x14ac:dyDescent="0.2">
      <c r="A553" s="3" t="s">
        <v>13</v>
      </c>
      <c r="B553" t="s">
        <v>1286</v>
      </c>
      <c r="C553" t="s">
        <v>2939</v>
      </c>
      <c r="D553" t="s">
        <v>16</v>
      </c>
      <c r="E553" t="s">
        <v>142</v>
      </c>
      <c r="F553" t="s">
        <v>18</v>
      </c>
      <c r="G553" s="3" t="s">
        <v>1287</v>
      </c>
      <c r="H553" s="5">
        <v>368</v>
      </c>
      <c r="I553" s="3" t="s">
        <v>1277</v>
      </c>
      <c r="J553" s="3">
        <v>3</v>
      </c>
      <c r="K553" s="3">
        <v>1</v>
      </c>
      <c r="L553" s="3" t="s">
        <v>2906</v>
      </c>
      <c r="M553" s="6" t="s">
        <v>1278</v>
      </c>
      <c r="N553" s="6"/>
      <c r="O553" s="6"/>
      <c r="P553" s="6"/>
    </row>
    <row r="554" spans="1:16" ht="12.45" x14ac:dyDescent="0.2">
      <c r="A554" s="3" t="s">
        <v>13</v>
      </c>
      <c r="B554" t="s">
        <v>1292</v>
      </c>
      <c r="C554" t="s">
        <v>15</v>
      </c>
      <c r="D554" t="s">
        <v>22</v>
      </c>
      <c r="E554" t="s">
        <v>23</v>
      </c>
      <c r="F554" t="s">
        <v>18</v>
      </c>
      <c r="G554" s="3" t="s">
        <v>1293</v>
      </c>
      <c r="H554" s="5">
        <v>367</v>
      </c>
      <c r="I554" s="3" t="s">
        <v>1277</v>
      </c>
      <c r="J554" s="3">
        <v>4</v>
      </c>
      <c r="K554" s="3">
        <v>1</v>
      </c>
      <c r="L554" s="3" t="s">
        <v>2906</v>
      </c>
      <c r="M554" s="6" t="s">
        <v>1284</v>
      </c>
      <c r="N554" s="6"/>
      <c r="O554" s="6"/>
      <c r="P554" s="6"/>
    </row>
    <row r="555" spans="1:16" ht="12.45" x14ac:dyDescent="0.2">
      <c r="A555" s="3" t="s">
        <v>13</v>
      </c>
      <c r="B555" t="s">
        <v>1294</v>
      </c>
      <c r="C555" t="s">
        <v>740</v>
      </c>
      <c r="D555" t="s">
        <v>28</v>
      </c>
      <c r="E555" t="s">
        <v>23</v>
      </c>
      <c r="F555" t="s">
        <v>18</v>
      </c>
      <c r="G555" s="3" t="s">
        <v>1295</v>
      </c>
      <c r="H555" s="5">
        <v>367</v>
      </c>
      <c r="I555" s="3" t="s">
        <v>1277</v>
      </c>
      <c r="J555" s="3">
        <v>4</v>
      </c>
      <c r="K555" s="3">
        <v>1</v>
      </c>
      <c r="L555" s="3" t="s">
        <v>2906</v>
      </c>
      <c r="M555" s="6" t="s">
        <v>1284</v>
      </c>
      <c r="N555" s="6"/>
      <c r="O555" s="6"/>
      <c r="P555" s="6"/>
    </row>
    <row r="556" spans="1:16" ht="12.45" x14ac:dyDescent="0.2">
      <c r="A556" s="3" t="s">
        <v>13</v>
      </c>
      <c r="B556" t="s">
        <v>1296</v>
      </c>
      <c r="C556" t="s">
        <v>2945</v>
      </c>
      <c r="D556" t="s">
        <v>16</v>
      </c>
      <c r="E556" t="s">
        <v>142</v>
      </c>
      <c r="F556" t="s">
        <v>18</v>
      </c>
      <c r="G556" s="3" t="s">
        <v>1297</v>
      </c>
      <c r="H556" s="5">
        <v>368</v>
      </c>
      <c r="I556" s="3" t="s">
        <v>1277</v>
      </c>
      <c r="J556" s="3">
        <v>4</v>
      </c>
      <c r="K556" s="3">
        <v>1</v>
      </c>
      <c r="L556" s="3" t="s">
        <v>2906</v>
      </c>
      <c r="M556" s="6" t="s">
        <v>1278</v>
      </c>
      <c r="N556" s="6"/>
      <c r="O556" s="6"/>
      <c r="P556" s="6"/>
    </row>
    <row r="557" spans="1:16" ht="12.45" x14ac:dyDescent="0.2">
      <c r="A557" s="3" t="s">
        <v>13</v>
      </c>
      <c r="B557" t="s">
        <v>1298</v>
      </c>
      <c r="C557" t="s">
        <v>2939</v>
      </c>
      <c r="D557" t="s">
        <v>16</v>
      </c>
      <c r="E557" t="s">
        <v>23</v>
      </c>
      <c r="F557" t="s">
        <v>18</v>
      </c>
      <c r="G557" s="3" t="s">
        <v>1299</v>
      </c>
      <c r="H557" s="5">
        <v>368</v>
      </c>
      <c r="I557" s="3" t="s">
        <v>1277</v>
      </c>
      <c r="J557" s="3">
        <v>4</v>
      </c>
      <c r="K557" s="3">
        <v>1</v>
      </c>
      <c r="L557" s="3" t="s">
        <v>2906</v>
      </c>
      <c r="M557" s="6" t="s">
        <v>1278</v>
      </c>
      <c r="N557" s="6"/>
      <c r="O557" s="6"/>
      <c r="P557" s="6"/>
    </row>
    <row r="558" spans="1:16" ht="12.45" x14ac:dyDescent="0.2">
      <c r="A558" s="3" t="s">
        <v>13</v>
      </c>
      <c r="B558" t="s">
        <v>1300</v>
      </c>
      <c r="C558" t="s">
        <v>2943</v>
      </c>
      <c r="D558" t="s">
        <v>28</v>
      </c>
      <c r="E558" t="s">
        <v>142</v>
      </c>
      <c r="F558" t="s">
        <v>18</v>
      </c>
      <c r="G558" s="3" t="s">
        <v>1301</v>
      </c>
      <c r="H558" s="5">
        <v>368</v>
      </c>
      <c r="I558" s="3" t="s">
        <v>1277</v>
      </c>
      <c r="J558" s="3">
        <v>4</v>
      </c>
      <c r="K558" s="3">
        <v>1</v>
      </c>
      <c r="L558" s="3" t="s">
        <v>2906</v>
      </c>
      <c r="M558" s="6" t="s">
        <v>1288</v>
      </c>
      <c r="N558" s="6"/>
      <c r="O558" s="6"/>
      <c r="P558" s="6"/>
    </row>
    <row r="559" spans="1:16" ht="12.45" x14ac:dyDescent="0.2">
      <c r="A559" s="3" t="s">
        <v>13</v>
      </c>
      <c r="B559" t="s">
        <v>1302</v>
      </c>
      <c r="C559" t="s">
        <v>2950</v>
      </c>
      <c r="D559" t="s">
        <v>28</v>
      </c>
      <c r="E559" t="s">
        <v>23</v>
      </c>
      <c r="F559" t="s">
        <v>18</v>
      </c>
      <c r="G559" s="3" t="s">
        <v>1303</v>
      </c>
      <c r="H559" s="5">
        <v>361</v>
      </c>
      <c r="I559" s="3" t="s">
        <v>1277</v>
      </c>
      <c r="J559" s="3">
        <v>5</v>
      </c>
      <c r="K559" s="3">
        <v>1</v>
      </c>
      <c r="L559" s="3" t="s">
        <v>2906</v>
      </c>
      <c r="M559" s="6" t="s">
        <v>1278</v>
      </c>
      <c r="N559" s="6"/>
      <c r="O559" s="6"/>
      <c r="P559" s="6"/>
    </row>
    <row r="560" spans="1:16" ht="12.45" x14ac:dyDescent="0.2">
      <c r="A560" s="3" t="s">
        <v>13</v>
      </c>
      <c r="B560" t="s">
        <v>1311</v>
      </c>
      <c r="C560" t="s">
        <v>2946</v>
      </c>
      <c r="D560" t="s">
        <v>28</v>
      </c>
      <c r="E560" t="s">
        <v>23</v>
      </c>
      <c r="F560" t="s">
        <v>18</v>
      </c>
      <c r="G560" s="3" t="s">
        <v>1312</v>
      </c>
      <c r="H560" s="5">
        <v>364</v>
      </c>
      <c r="I560" s="3" t="s">
        <v>1277</v>
      </c>
      <c r="J560" s="3">
        <v>4</v>
      </c>
      <c r="K560" s="3">
        <v>2</v>
      </c>
      <c r="L560" s="3" t="s">
        <v>2906</v>
      </c>
      <c r="M560" s="6" t="s">
        <v>1280</v>
      </c>
      <c r="N560" s="6"/>
      <c r="O560" s="6"/>
      <c r="P560" s="6"/>
    </row>
    <row r="561" spans="1:16" ht="12.45" x14ac:dyDescent="0.2">
      <c r="A561" s="3" t="s">
        <v>13</v>
      </c>
      <c r="B561" t="s">
        <v>1313</v>
      </c>
      <c r="C561" t="s">
        <v>2946</v>
      </c>
      <c r="D561" t="s">
        <v>28</v>
      </c>
      <c r="E561" t="s">
        <v>142</v>
      </c>
      <c r="F561" t="s">
        <v>18</v>
      </c>
      <c r="G561" s="3" t="s">
        <v>1314</v>
      </c>
      <c r="H561" s="5">
        <v>366</v>
      </c>
      <c r="I561" s="3" t="s">
        <v>1277</v>
      </c>
      <c r="J561" s="3">
        <v>4</v>
      </c>
      <c r="K561" s="3">
        <v>2</v>
      </c>
      <c r="L561" s="3" t="s">
        <v>2906</v>
      </c>
      <c r="M561" s="6" t="s">
        <v>1282</v>
      </c>
      <c r="N561" s="6"/>
      <c r="O561" s="6"/>
      <c r="P561" s="6"/>
    </row>
    <row r="562" spans="1:16" ht="12.45" x14ac:dyDescent="0.2">
      <c r="A562" s="3" t="s">
        <v>13</v>
      </c>
      <c r="B562" s="3" t="s">
        <v>1317</v>
      </c>
      <c r="C562" s="3" t="s">
        <v>1318</v>
      </c>
      <c r="D562" s="3" t="s">
        <v>22</v>
      </c>
      <c r="E562" s="3" t="s">
        <v>23</v>
      </c>
      <c r="F562" s="3" t="s">
        <v>18</v>
      </c>
      <c r="G562" s="3"/>
      <c r="H562" s="5" t="s">
        <v>1319</v>
      </c>
      <c r="I562" s="3" t="s">
        <v>1277</v>
      </c>
      <c r="J562" s="5">
        <v>4</v>
      </c>
      <c r="K562" s="5">
        <v>2</v>
      </c>
      <c r="L562" s="3" t="s">
        <v>2906</v>
      </c>
      <c r="M562" s="3" t="s">
        <v>1289</v>
      </c>
      <c r="N562" s="3"/>
      <c r="O562" s="3"/>
      <c r="P562" s="3"/>
    </row>
    <row r="563" spans="1:16" ht="12.45" x14ac:dyDescent="0.2">
      <c r="A563" s="3" t="s">
        <v>13</v>
      </c>
      <c r="B563" s="3" t="s">
        <v>1320</v>
      </c>
      <c r="C563" s="3" t="s">
        <v>15</v>
      </c>
      <c r="D563" s="3" t="s">
        <v>16</v>
      </c>
      <c r="E563" s="3" t="s">
        <v>142</v>
      </c>
      <c r="F563" s="3" t="s">
        <v>18</v>
      </c>
      <c r="G563" s="3"/>
      <c r="H563" s="5" t="s">
        <v>1321</v>
      </c>
      <c r="I563" s="3" t="s">
        <v>1277</v>
      </c>
      <c r="J563" s="5">
        <v>4</v>
      </c>
      <c r="K563" s="5">
        <v>2</v>
      </c>
      <c r="L563" s="3" t="s">
        <v>2906</v>
      </c>
      <c r="M563" s="6" t="s">
        <v>1315</v>
      </c>
      <c r="N563" s="6"/>
      <c r="O563" s="6"/>
      <c r="P563" s="6"/>
    </row>
    <row r="564" spans="1:16" ht="12.45" x14ac:dyDescent="0.2">
      <c r="A564" s="3" t="s">
        <v>13</v>
      </c>
      <c r="B564" t="s">
        <v>1322</v>
      </c>
      <c r="C564" t="s">
        <v>2950</v>
      </c>
      <c r="D564" t="s">
        <v>16</v>
      </c>
      <c r="E564" t="s">
        <v>23</v>
      </c>
      <c r="F564" t="s">
        <v>18</v>
      </c>
      <c r="G564" s="3" t="s">
        <v>1323</v>
      </c>
      <c r="H564" s="5">
        <v>364</v>
      </c>
      <c r="I564" s="3" t="s">
        <v>1277</v>
      </c>
      <c r="J564" s="3">
        <v>5</v>
      </c>
      <c r="K564" s="3">
        <v>2</v>
      </c>
      <c r="L564" s="3" t="s">
        <v>2906</v>
      </c>
      <c r="M564" s="6" t="s">
        <v>1311</v>
      </c>
      <c r="N564" s="6"/>
      <c r="O564" s="6"/>
      <c r="P564" s="6"/>
    </row>
    <row r="565" spans="1:16" ht="12.45" x14ac:dyDescent="0.2">
      <c r="A565" s="3" t="s">
        <v>13</v>
      </c>
      <c r="B565" t="s">
        <v>1326</v>
      </c>
      <c r="C565" t="s">
        <v>2943</v>
      </c>
      <c r="D565" t="s">
        <v>22</v>
      </c>
      <c r="E565" t="s">
        <v>23</v>
      </c>
      <c r="F565" t="s">
        <v>18</v>
      </c>
      <c r="G565" s="3" t="s">
        <v>1327</v>
      </c>
      <c r="H565" s="5">
        <v>366</v>
      </c>
      <c r="I565" s="3" t="s">
        <v>1277</v>
      </c>
      <c r="J565" s="3">
        <v>5</v>
      </c>
      <c r="K565" s="3">
        <v>2</v>
      </c>
      <c r="L565" s="3" t="s">
        <v>2906</v>
      </c>
      <c r="M565" s="6" t="s">
        <v>1289</v>
      </c>
      <c r="N565" s="6"/>
      <c r="O565" s="6"/>
      <c r="P565" s="6"/>
    </row>
    <row r="566" spans="1:16" ht="12.45" x14ac:dyDescent="0.2">
      <c r="A566" s="3" t="s">
        <v>13</v>
      </c>
      <c r="B566" t="s">
        <v>1330</v>
      </c>
      <c r="C566" t="s">
        <v>2942</v>
      </c>
      <c r="D566" t="s">
        <v>28</v>
      </c>
      <c r="E566" t="s">
        <v>142</v>
      </c>
      <c r="F566" t="s">
        <v>18</v>
      </c>
      <c r="G566" s="3" t="s">
        <v>1331</v>
      </c>
      <c r="H566" s="5">
        <v>367</v>
      </c>
      <c r="I566" s="3" t="s">
        <v>1277</v>
      </c>
      <c r="J566" s="3">
        <v>5</v>
      </c>
      <c r="K566" s="3">
        <v>2</v>
      </c>
      <c r="L566" s="3" t="s">
        <v>2906</v>
      </c>
      <c r="M566" s="3" t="s">
        <v>1294</v>
      </c>
      <c r="N566" s="3"/>
      <c r="O566" s="3"/>
      <c r="P566" s="3"/>
    </row>
    <row r="567" spans="1:16" ht="12.45" x14ac:dyDescent="0.2">
      <c r="A567" s="3" t="s">
        <v>13</v>
      </c>
      <c r="B567" t="s">
        <v>1337</v>
      </c>
      <c r="C567" t="s">
        <v>2998</v>
      </c>
      <c r="D567" t="s">
        <v>22</v>
      </c>
      <c r="E567" t="s">
        <v>23</v>
      </c>
      <c r="F567" t="s">
        <v>18</v>
      </c>
      <c r="G567" s="3" t="s">
        <v>1338</v>
      </c>
      <c r="H567" s="5">
        <v>362</v>
      </c>
      <c r="I567" s="3" t="s">
        <v>1277</v>
      </c>
      <c r="J567" s="3">
        <v>5</v>
      </c>
      <c r="K567" s="3">
        <v>3</v>
      </c>
      <c r="L567" s="3" t="s">
        <v>2906</v>
      </c>
      <c r="M567" s="3" t="s">
        <v>1334</v>
      </c>
      <c r="N567" s="3"/>
      <c r="O567" s="3"/>
      <c r="P567" s="3"/>
    </row>
    <row r="568" spans="1:16" ht="12.45" x14ac:dyDescent="0.2">
      <c r="A568" s="3" t="s">
        <v>13</v>
      </c>
      <c r="B568" t="s">
        <v>1339</v>
      </c>
      <c r="C568" t="s">
        <v>2938</v>
      </c>
      <c r="D568" t="s">
        <v>28</v>
      </c>
      <c r="E568" t="s">
        <v>889</v>
      </c>
      <c r="F568" t="s">
        <v>18</v>
      </c>
      <c r="G568" s="3" t="s">
        <v>1340</v>
      </c>
      <c r="H568" s="5">
        <v>363</v>
      </c>
      <c r="I568" s="3" t="s">
        <v>1277</v>
      </c>
      <c r="J568" s="3">
        <v>5</v>
      </c>
      <c r="K568" s="3">
        <v>3</v>
      </c>
      <c r="L568" s="3" t="s">
        <v>2906</v>
      </c>
      <c r="M568" s="3"/>
      <c r="N568" s="6"/>
      <c r="O568" s="6"/>
      <c r="P568" s="6"/>
    </row>
    <row r="569" spans="1:16" ht="12.45" x14ac:dyDescent="0.2">
      <c r="A569" s="3" t="s">
        <v>13</v>
      </c>
      <c r="B569" t="s">
        <v>1341</v>
      </c>
      <c r="C569" t="s">
        <v>2938</v>
      </c>
      <c r="D569" t="s">
        <v>28</v>
      </c>
      <c r="E569" t="s">
        <v>23</v>
      </c>
      <c r="F569" t="s">
        <v>18</v>
      </c>
      <c r="G569" s="3" t="s">
        <v>1342</v>
      </c>
      <c r="H569" s="5">
        <v>363</v>
      </c>
      <c r="I569" s="3" t="s">
        <v>1277</v>
      </c>
      <c r="J569" s="3">
        <v>5</v>
      </c>
      <c r="K569" s="3">
        <v>3</v>
      </c>
      <c r="L569" s="3" t="s">
        <v>2906</v>
      </c>
      <c r="M569" s="3"/>
      <c r="N569" s="6"/>
      <c r="O569" s="6"/>
      <c r="P569" s="6"/>
    </row>
    <row r="570" spans="1:16" ht="12.45" x14ac:dyDescent="0.2">
      <c r="A570" s="3" t="s">
        <v>13</v>
      </c>
      <c r="B570" t="s">
        <v>1343</v>
      </c>
      <c r="C570" t="s">
        <v>2950</v>
      </c>
      <c r="D570" t="s">
        <v>22</v>
      </c>
      <c r="E570" t="s">
        <v>23</v>
      </c>
      <c r="F570" t="s">
        <v>18</v>
      </c>
      <c r="G570" s="3" t="s">
        <v>1344</v>
      </c>
      <c r="H570" s="5">
        <v>364</v>
      </c>
      <c r="I570" s="3" t="s">
        <v>1277</v>
      </c>
      <c r="J570" s="3">
        <v>5</v>
      </c>
      <c r="K570" s="3">
        <v>3</v>
      </c>
      <c r="L570" s="3" t="s">
        <v>2906</v>
      </c>
      <c r="M570" t="s">
        <v>1322</v>
      </c>
      <c r="N570" s="6"/>
      <c r="O570" s="6"/>
      <c r="P570" s="6"/>
    </row>
    <row r="571" spans="1:16" ht="12.45" x14ac:dyDescent="0.2">
      <c r="A571" s="3" t="s">
        <v>13</v>
      </c>
      <c r="B571" t="s">
        <v>1347</v>
      </c>
      <c r="C571" t="s">
        <v>2943</v>
      </c>
      <c r="D571" t="s">
        <v>28</v>
      </c>
      <c r="E571" t="s">
        <v>142</v>
      </c>
      <c r="F571" t="s">
        <v>18</v>
      </c>
      <c r="G571" s="3" t="s">
        <v>1348</v>
      </c>
      <c r="H571" s="5">
        <v>367</v>
      </c>
      <c r="I571" s="3" t="s">
        <v>1277</v>
      </c>
      <c r="J571" s="3">
        <v>5</v>
      </c>
      <c r="K571" s="3">
        <v>3</v>
      </c>
      <c r="L571" s="3" t="s">
        <v>2906</v>
      </c>
      <c r="M571" s="6" t="s">
        <v>1349</v>
      </c>
      <c r="N571" s="6"/>
      <c r="O571" s="6"/>
      <c r="P571" s="6"/>
    </row>
    <row r="572" spans="1:16" ht="12.45" x14ac:dyDescent="0.2">
      <c r="A572" s="3" t="s">
        <v>13</v>
      </c>
      <c r="B572" s="3" t="s">
        <v>1350</v>
      </c>
      <c r="C572" s="3" t="s">
        <v>43</v>
      </c>
      <c r="D572" s="3" t="s">
        <v>22</v>
      </c>
      <c r="E572" s="3" t="s">
        <v>142</v>
      </c>
      <c r="F572" s="3" t="s">
        <v>18</v>
      </c>
      <c r="G572" s="3"/>
      <c r="H572" s="5" t="s">
        <v>1319</v>
      </c>
      <c r="I572" s="3" t="s">
        <v>1277</v>
      </c>
      <c r="J572" s="5">
        <v>5</v>
      </c>
      <c r="K572" s="5">
        <v>3</v>
      </c>
      <c r="L572" s="3" t="s">
        <v>2906</v>
      </c>
      <c r="M572" s="6" t="s">
        <v>1351</v>
      </c>
      <c r="N572" s="6"/>
      <c r="O572" s="6"/>
      <c r="P572" s="6"/>
    </row>
    <row r="573" spans="1:16" ht="12.45" x14ac:dyDescent="0.2">
      <c r="A573" s="3" t="s">
        <v>13</v>
      </c>
      <c r="B573" s="3" t="s">
        <v>1352</v>
      </c>
      <c r="C573" s="3" t="s">
        <v>175</v>
      </c>
      <c r="D573" s="3" t="s">
        <v>22</v>
      </c>
      <c r="E573" s="3" t="s">
        <v>23</v>
      </c>
      <c r="F573" s="3" t="s">
        <v>18</v>
      </c>
      <c r="G573" s="3"/>
      <c r="H573" s="5" t="s">
        <v>1321</v>
      </c>
      <c r="I573" s="3" t="s">
        <v>1277</v>
      </c>
      <c r="J573" s="5">
        <v>5</v>
      </c>
      <c r="K573" s="5">
        <v>3</v>
      </c>
      <c r="L573" s="3" t="s">
        <v>2906</v>
      </c>
      <c r="M573" s="6" t="s">
        <v>1320</v>
      </c>
      <c r="N573" s="6"/>
      <c r="O573" s="6"/>
      <c r="P573" s="6"/>
    </row>
    <row r="574" spans="1:16" ht="12.45" x14ac:dyDescent="0.2">
      <c r="A574" s="3" t="s">
        <v>13</v>
      </c>
      <c r="B574" t="s">
        <v>1357</v>
      </c>
      <c r="C574" t="s">
        <v>43</v>
      </c>
      <c r="D574" t="s">
        <v>22</v>
      </c>
      <c r="E574" t="s">
        <v>889</v>
      </c>
      <c r="F574" t="s">
        <v>18</v>
      </c>
      <c r="G574" s="3" t="s">
        <v>1358</v>
      </c>
      <c r="H574" s="5">
        <v>363</v>
      </c>
      <c r="I574" s="3" t="s">
        <v>1277</v>
      </c>
      <c r="J574" s="3">
        <v>5</v>
      </c>
      <c r="K574" s="3">
        <v>4</v>
      </c>
      <c r="L574" s="3" t="s">
        <v>2906</v>
      </c>
      <c r="M574" s="6" t="s">
        <v>1339</v>
      </c>
      <c r="N574" s="6"/>
      <c r="O574" s="6"/>
      <c r="P574" s="6"/>
    </row>
    <row r="575" spans="1:16" ht="12.45" x14ac:dyDescent="0.2">
      <c r="A575" s="3" t="s">
        <v>13</v>
      </c>
      <c r="B575" t="s">
        <v>1361</v>
      </c>
      <c r="C575" t="s">
        <v>1362</v>
      </c>
      <c r="D575" t="s">
        <v>22</v>
      </c>
      <c r="E575" t="s">
        <v>23</v>
      </c>
      <c r="F575" t="s">
        <v>18</v>
      </c>
      <c r="G575" s="3" t="s">
        <v>1363</v>
      </c>
      <c r="H575" s="5">
        <v>362</v>
      </c>
      <c r="I575" s="3" t="s">
        <v>1277</v>
      </c>
      <c r="J575" s="3">
        <v>5</v>
      </c>
      <c r="K575" s="3">
        <v>5</v>
      </c>
      <c r="L575" s="3" t="s">
        <v>2906</v>
      </c>
      <c r="M575" s="6" t="s">
        <v>1359</v>
      </c>
      <c r="N575" s="6"/>
      <c r="O575" s="6"/>
      <c r="P575" s="6"/>
    </row>
    <row r="576" spans="1:16" ht="12.45" x14ac:dyDescent="0.2">
      <c r="A576" s="3" t="s">
        <v>13</v>
      </c>
      <c r="B576" t="s">
        <v>1274</v>
      </c>
      <c r="C576" t="s">
        <v>2940</v>
      </c>
      <c r="D576" t="s">
        <v>16</v>
      </c>
      <c r="E576" t="s">
        <v>23</v>
      </c>
      <c r="F576" t="s">
        <v>1275</v>
      </c>
      <c r="G576" s="3" t="s">
        <v>1276</v>
      </c>
      <c r="H576" s="5">
        <v>362</v>
      </c>
      <c r="I576" s="3" t="s">
        <v>1277</v>
      </c>
      <c r="J576" s="3">
        <v>2</v>
      </c>
      <c r="K576" s="3">
        <v>1</v>
      </c>
      <c r="L576" s="3" t="s">
        <v>2906</v>
      </c>
      <c r="M576" s="6"/>
      <c r="N576" s="6"/>
      <c r="O576" s="6"/>
      <c r="P576" s="6"/>
    </row>
    <row r="577" spans="1:16" ht="12.45" x14ac:dyDescent="0.2">
      <c r="A577" s="3" t="s">
        <v>13</v>
      </c>
      <c r="B577" t="s">
        <v>1334</v>
      </c>
      <c r="C577" t="s">
        <v>2962</v>
      </c>
      <c r="D577" t="s">
        <v>22</v>
      </c>
      <c r="E577" t="s">
        <v>23</v>
      </c>
      <c r="F577" t="s">
        <v>1335</v>
      </c>
      <c r="G577" s="3" t="s">
        <v>1336</v>
      </c>
      <c r="H577" s="5">
        <v>362</v>
      </c>
      <c r="I577" s="3" t="s">
        <v>1277</v>
      </c>
      <c r="J577" s="3">
        <v>5</v>
      </c>
      <c r="K577" s="3">
        <v>3</v>
      </c>
      <c r="L577" s="3" t="s">
        <v>2906</v>
      </c>
      <c r="M577" s="3" t="s">
        <v>1332</v>
      </c>
      <c r="N577" s="3"/>
      <c r="O577" s="3"/>
      <c r="P577" s="3"/>
    </row>
    <row r="578" spans="1:16" ht="12.45" x14ac:dyDescent="0.2">
      <c r="A578" s="3" t="s">
        <v>13</v>
      </c>
      <c r="B578" t="s">
        <v>1359</v>
      </c>
      <c r="C578" t="s">
        <v>2970</v>
      </c>
      <c r="D578" t="s">
        <v>22</v>
      </c>
      <c r="E578" t="s">
        <v>23</v>
      </c>
      <c r="F578" t="s">
        <v>1275</v>
      </c>
      <c r="G578" s="3" t="s">
        <v>1360</v>
      </c>
      <c r="H578" s="5">
        <v>362</v>
      </c>
      <c r="I578" s="3" t="s">
        <v>1277</v>
      </c>
      <c r="J578" s="3">
        <v>5</v>
      </c>
      <c r="K578" s="3">
        <v>5</v>
      </c>
      <c r="L578" s="3" t="s">
        <v>2906</v>
      </c>
      <c r="M578" s="6" t="s">
        <v>1355</v>
      </c>
      <c r="N578" s="6"/>
      <c r="O578" s="6"/>
      <c r="P578" s="6"/>
    </row>
    <row r="579" spans="1:16" ht="12.45" x14ac:dyDescent="0.2">
      <c r="A579" s="3" t="s">
        <v>13</v>
      </c>
      <c r="B579" t="s">
        <v>1289</v>
      </c>
      <c r="C579" t="s">
        <v>2939</v>
      </c>
      <c r="D579" t="s">
        <v>28</v>
      </c>
      <c r="E579" t="s">
        <v>23</v>
      </c>
      <c r="F579" t="s">
        <v>1290</v>
      </c>
      <c r="G579" s="3" t="s">
        <v>1291</v>
      </c>
      <c r="H579" s="5">
        <v>365</v>
      </c>
      <c r="I579" s="3" t="s">
        <v>1277</v>
      </c>
      <c r="J579" s="3">
        <v>4</v>
      </c>
      <c r="K579" s="3">
        <v>1</v>
      </c>
      <c r="L579" s="3" t="s">
        <v>2906</v>
      </c>
      <c r="M579" s="6" t="s">
        <v>1282</v>
      </c>
      <c r="N579" s="6"/>
      <c r="O579" s="6"/>
      <c r="P579" s="6"/>
    </row>
    <row r="580" spans="1:16" ht="12.45" x14ac:dyDescent="0.2">
      <c r="A580" s="3" t="s">
        <v>13</v>
      </c>
      <c r="B580" t="s">
        <v>1324</v>
      </c>
      <c r="C580" t="s">
        <v>2939</v>
      </c>
      <c r="D580" t="s">
        <v>28</v>
      </c>
      <c r="E580" t="s">
        <v>23</v>
      </c>
      <c r="F580" t="s">
        <v>1290</v>
      </c>
      <c r="G580" s="3" t="s">
        <v>1325</v>
      </c>
      <c r="H580" s="5">
        <v>365</v>
      </c>
      <c r="I580" s="3" t="s">
        <v>1277</v>
      </c>
      <c r="J580" s="3">
        <v>5</v>
      </c>
      <c r="K580" s="3">
        <v>2</v>
      </c>
      <c r="L580" s="3" t="s">
        <v>2906</v>
      </c>
      <c r="M580" s="3" t="s">
        <v>1289</v>
      </c>
      <c r="N580" s="3"/>
      <c r="O580" s="3"/>
      <c r="P580" s="3"/>
    </row>
    <row r="581" spans="1:16" ht="12.45" x14ac:dyDescent="0.2">
      <c r="A581" s="3" t="s">
        <v>13</v>
      </c>
      <c r="B581" t="s">
        <v>1328</v>
      </c>
      <c r="C581" t="s">
        <v>2939</v>
      </c>
      <c r="D581" t="s">
        <v>28</v>
      </c>
      <c r="E581" t="s">
        <v>23</v>
      </c>
      <c r="F581" t="s">
        <v>1290</v>
      </c>
      <c r="G581" s="3" t="s">
        <v>1329</v>
      </c>
      <c r="H581" s="5">
        <v>366</v>
      </c>
      <c r="I581" s="3" t="s">
        <v>1277</v>
      </c>
      <c r="J581" s="3">
        <v>5</v>
      </c>
      <c r="K581" s="3">
        <v>2</v>
      </c>
      <c r="L581" s="3" t="s">
        <v>2906</v>
      </c>
      <c r="M581" s="6" t="s">
        <v>1313</v>
      </c>
      <c r="N581" s="6"/>
      <c r="O581" s="6"/>
      <c r="P581" s="6"/>
    </row>
    <row r="582" spans="1:16" ht="12.45" x14ac:dyDescent="0.2">
      <c r="A582" s="3" t="s">
        <v>13</v>
      </c>
      <c r="B582" t="s">
        <v>1345</v>
      </c>
      <c r="C582" t="s">
        <v>2951</v>
      </c>
      <c r="D582" t="s">
        <v>28</v>
      </c>
      <c r="E582" t="s">
        <v>23</v>
      </c>
      <c r="F582" t="s">
        <v>1290</v>
      </c>
      <c r="G582" s="3" t="s">
        <v>1346</v>
      </c>
      <c r="H582" s="5">
        <v>366</v>
      </c>
      <c r="I582" s="3" t="s">
        <v>1277</v>
      </c>
      <c r="J582" s="3">
        <v>5</v>
      </c>
      <c r="K582" s="3">
        <v>3</v>
      </c>
      <c r="L582" s="3" t="s">
        <v>2906</v>
      </c>
      <c r="M582" s="6" t="s">
        <v>1324</v>
      </c>
      <c r="N582" s="6"/>
      <c r="O582" s="6"/>
      <c r="P582" s="6"/>
    </row>
    <row r="583" spans="1:16" ht="12.45" x14ac:dyDescent="0.2">
      <c r="A583" s="3" t="s">
        <v>13</v>
      </c>
      <c r="B583" t="s">
        <v>1306</v>
      </c>
      <c r="C583" t="s">
        <v>147</v>
      </c>
      <c r="D583" t="s">
        <v>148</v>
      </c>
      <c r="E583" t="s">
        <v>23</v>
      </c>
      <c r="F583" t="s">
        <v>148</v>
      </c>
      <c r="G583" s="3" t="s">
        <v>1307</v>
      </c>
      <c r="H583" s="5">
        <v>361</v>
      </c>
      <c r="I583" s="3" t="s">
        <v>1277</v>
      </c>
      <c r="J583" s="3">
        <v>4</v>
      </c>
      <c r="K583" s="3">
        <v>2</v>
      </c>
      <c r="L583" s="3" t="s">
        <v>2906</v>
      </c>
      <c r="M583" t="s">
        <v>1278</v>
      </c>
      <c r="N583" s="6"/>
      <c r="O583" s="6"/>
      <c r="P583" s="6"/>
    </row>
    <row r="584" spans="1:16" ht="12.45" x14ac:dyDescent="0.2">
      <c r="A584" s="3" t="s">
        <v>13</v>
      </c>
      <c r="B584" t="s">
        <v>1308</v>
      </c>
      <c r="C584" t="s">
        <v>2997</v>
      </c>
      <c r="D584" t="s">
        <v>148</v>
      </c>
      <c r="E584" t="s">
        <v>23</v>
      </c>
      <c r="F584" t="s">
        <v>148</v>
      </c>
      <c r="G584" s="3" t="s">
        <v>1309</v>
      </c>
      <c r="H584" s="5">
        <v>363</v>
      </c>
      <c r="I584" s="3" t="s">
        <v>1277</v>
      </c>
      <c r="J584" s="3">
        <v>4</v>
      </c>
      <c r="K584" s="3">
        <v>2</v>
      </c>
      <c r="L584" s="3" t="s">
        <v>2906</v>
      </c>
      <c r="M584" s="6" t="s">
        <v>1310</v>
      </c>
      <c r="N584" s="6"/>
      <c r="O584" s="6"/>
      <c r="P584" s="6"/>
    </row>
    <row r="585" spans="1:16" ht="12.45" x14ac:dyDescent="0.2">
      <c r="A585" s="3" t="s">
        <v>13</v>
      </c>
      <c r="B585" t="s">
        <v>1355</v>
      </c>
      <c r="C585" t="s">
        <v>147</v>
      </c>
      <c r="D585" t="s">
        <v>148</v>
      </c>
      <c r="E585" t="s">
        <v>142</v>
      </c>
      <c r="F585" t="s">
        <v>148</v>
      </c>
      <c r="G585" s="3" t="s">
        <v>1356</v>
      </c>
      <c r="H585" s="5">
        <v>362</v>
      </c>
      <c r="I585" s="3" t="s">
        <v>1277</v>
      </c>
      <c r="J585" s="3">
        <v>5</v>
      </c>
      <c r="K585" s="3">
        <v>4</v>
      </c>
      <c r="L585" s="3" t="s">
        <v>2906</v>
      </c>
      <c r="M585" s="6" t="s">
        <v>1332</v>
      </c>
      <c r="N585" s="6"/>
      <c r="O585" s="6"/>
      <c r="P585" s="6"/>
    </row>
    <row r="586" spans="1:16" ht="12.45" x14ac:dyDescent="0.2">
      <c r="A586" s="3" t="s">
        <v>13</v>
      </c>
      <c r="B586" t="s">
        <v>1304</v>
      </c>
      <c r="C586" t="s">
        <v>2944</v>
      </c>
      <c r="D586" t="s">
        <v>22</v>
      </c>
      <c r="E586" t="s">
        <v>23</v>
      </c>
      <c r="F586" t="s">
        <v>44</v>
      </c>
      <c r="G586" s="3" t="s">
        <v>1305</v>
      </c>
      <c r="H586" s="5">
        <v>368</v>
      </c>
      <c r="I586" s="3" t="s">
        <v>1277</v>
      </c>
      <c r="J586" s="3">
        <v>5</v>
      </c>
      <c r="K586" s="3">
        <v>1</v>
      </c>
      <c r="L586" s="3" t="s">
        <v>2906</v>
      </c>
      <c r="M586" s="6" t="s">
        <v>1286</v>
      </c>
      <c r="N586" s="6"/>
      <c r="O586" s="6"/>
      <c r="P586" s="6"/>
    </row>
    <row r="587" spans="1:16" ht="12.45" x14ac:dyDescent="0.2">
      <c r="A587" s="3" t="s">
        <v>13</v>
      </c>
      <c r="B587" t="s">
        <v>1315</v>
      </c>
      <c r="C587" t="s">
        <v>2939</v>
      </c>
      <c r="D587" t="s">
        <v>28</v>
      </c>
      <c r="E587" t="s">
        <v>23</v>
      </c>
      <c r="F587" t="s">
        <v>44</v>
      </c>
      <c r="G587" s="3" t="s">
        <v>1316</v>
      </c>
      <c r="H587" s="5">
        <v>367</v>
      </c>
      <c r="I587" s="3" t="s">
        <v>1277</v>
      </c>
      <c r="J587" s="3">
        <v>4</v>
      </c>
      <c r="K587" s="3">
        <v>2</v>
      </c>
      <c r="L587" s="3" t="s">
        <v>2906</v>
      </c>
      <c r="M587" s="6" t="s">
        <v>1278</v>
      </c>
      <c r="N587" s="6"/>
      <c r="O587" s="6"/>
      <c r="P587" s="6"/>
    </row>
    <row r="588" spans="1:16" ht="12.45" x14ac:dyDescent="0.2">
      <c r="A588" s="3" t="s">
        <v>13</v>
      </c>
      <c r="B588" t="s">
        <v>1332</v>
      </c>
      <c r="C588" t="s">
        <v>2946</v>
      </c>
      <c r="D588" t="s">
        <v>22</v>
      </c>
      <c r="E588" t="s">
        <v>23</v>
      </c>
      <c r="F588" t="s">
        <v>44</v>
      </c>
      <c r="G588" s="3" t="s">
        <v>1333</v>
      </c>
      <c r="H588" s="5">
        <v>362</v>
      </c>
      <c r="I588" s="3" t="s">
        <v>1277</v>
      </c>
      <c r="J588" s="3">
        <v>5</v>
      </c>
      <c r="K588" s="3">
        <v>3</v>
      </c>
      <c r="L588" s="3" t="s">
        <v>2906</v>
      </c>
      <c r="M588" s="6" t="s">
        <v>1306</v>
      </c>
      <c r="N588" s="6"/>
      <c r="O588" s="6"/>
      <c r="P588" s="6"/>
    </row>
    <row r="589" spans="1:16" ht="12.45" x14ac:dyDescent="0.2">
      <c r="A589" s="3" t="s">
        <v>13</v>
      </c>
      <c r="B589" s="3" t="s">
        <v>1353</v>
      </c>
      <c r="C589" s="3" t="s">
        <v>1354</v>
      </c>
      <c r="D589" s="3" t="s">
        <v>28</v>
      </c>
      <c r="E589" s="3" t="s">
        <v>23</v>
      </c>
      <c r="F589" s="3" t="s">
        <v>44</v>
      </c>
      <c r="G589" s="3"/>
      <c r="H589" s="5" t="s">
        <v>1321</v>
      </c>
      <c r="I589" s="3" t="s">
        <v>1277</v>
      </c>
      <c r="J589" s="5">
        <v>5</v>
      </c>
      <c r="K589" s="5">
        <v>3</v>
      </c>
      <c r="L589" s="3" t="s">
        <v>2906</v>
      </c>
      <c r="M589" s="6" t="s">
        <v>1280</v>
      </c>
      <c r="N589" s="6"/>
      <c r="O589" s="6"/>
      <c r="P589" s="6"/>
    </row>
    <row r="590" spans="1:16" ht="12.45" x14ac:dyDescent="0.2">
      <c r="A590" s="3" t="s">
        <v>13</v>
      </c>
      <c r="B590" t="s">
        <v>879</v>
      </c>
      <c r="C590" t="s">
        <v>2939</v>
      </c>
      <c r="D590" t="s">
        <v>22</v>
      </c>
      <c r="E590" t="s">
        <v>841</v>
      </c>
      <c r="F590" t="s">
        <v>880</v>
      </c>
      <c r="G590" s="3" t="s">
        <v>881</v>
      </c>
      <c r="H590" s="5">
        <v>326</v>
      </c>
      <c r="I590" s="3" t="s">
        <v>839</v>
      </c>
      <c r="J590" s="3">
        <v>5</v>
      </c>
      <c r="K590" s="3">
        <v>3</v>
      </c>
      <c r="L590" s="3" t="s">
        <v>2910</v>
      </c>
      <c r="M590" s="4" t="s">
        <v>877</v>
      </c>
      <c r="N590" s="4"/>
      <c r="O590" s="4"/>
      <c r="P590" s="4"/>
    </row>
    <row r="591" spans="1:16" ht="12.45" x14ac:dyDescent="0.2">
      <c r="A591" s="3" t="s">
        <v>13</v>
      </c>
      <c r="B591" t="s">
        <v>897</v>
      </c>
      <c r="C591" t="s">
        <v>2939</v>
      </c>
      <c r="D591" t="s">
        <v>22</v>
      </c>
      <c r="E591" t="s">
        <v>142</v>
      </c>
      <c r="F591" t="s">
        <v>898</v>
      </c>
      <c r="G591" s="3" t="s">
        <v>899</v>
      </c>
      <c r="H591" s="5">
        <v>328</v>
      </c>
      <c r="I591" s="3" t="s">
        <v>839</v>
      </c>
      <c r="J591" s="3">
        <v>5</v>
      </c>
      <c r="K591" s="3">
        <v>3</v>
      </c>
      <c r="L591" s="3" t="s">
        <v>2910</v>
      </c>
      <c r="M591" s="4" t="s">
        <v>895</v>
      </c>
      <c r="N591" s="4"/>
      <c r="O591" s="4"/>
      <c r="P591" s="4"/>
    </row>
    <row r="592" spans="1:16" ht="12.45" x14ac:dyDescent="0.2">
      <c r="A592" s="3" t="s">
        <v>13</v>
      </c>
      <c r="B592" t="s">
        <v>909</v>
      </c>
      <c r="C592" t="s">
        <v>147</v>
      </c>
      <c r="D592" t="s">
        <v>148</v>
      </c>
      <c r="E592" t="s">
        <v>841</v>
      </c>
      <c r="F592" t="s">
        <v>148</v>
      </c>
      <c r="G592" s="3" t="s">
        <v>910</v>
      </c>
      <c r="H592" s="5">
        <v>329</v>
      </c>
      <c r="I592" s="3" t="s">
        <v>839</v>
      </c>
      <c r="J592" s="3">
        <v>5</v>
      </c>
      <c r="K592" s="3">
        <v>4</v>
      </c>
      <c r="L592" s="3" t="s">
        <v>2910</v>
      </c>
      <c r="M592" s="4" t="s">
        <v>879</v>
      </c>
      <c r="N592" s="4"/>
      <c r="O592" s="4"/>
      <c r="P592" s="4"/>
    </row>
    <row r="593" spans="1:16" ht="12.45" x14ac:dyDescent="0.2">
      <c r="A593" s="3" t="s">
        <v>13</v>
      </c>
      <c r="B593" t="s">
        <v>856</v>
      </c>
      <c r="C593" t="s">
        <v>2996</v>
      </c>
      <c r="D593" t="s">
        <v>22</v>
      </c>
      <c r="E593" t="s">
        <v>23</v>
      </c>
      <c r="F593" t="s">
        <v>44</v>
      </c>
      <c r="G593" s="3" t="s">
        <v>857</v>
      </c>
      <c r="H593" s="5">
        <v>324</v>
      </c>
      <c r="I593" s="3" t="s">
        <v>839</v>
      </c>
      <c r="J593" s="3">
        <v>5</v>
      </c>
      <c r="K593" s="3">
        <v>1</v>
      </c>
      <c r="L593" s="3" t="s">
        <v>2910</v>
      </c>
      <c r="M593" s="4"/>
      <c r="N593" s="4"/>
      <c r="O593" s="4"/>
      <c r="P593" s="4"/>
    </row>
    <row r="594" spans="1:16" ht="12.45" x14ac:dyDescent="0.2">
      <c r="A594" s="3" t="s">
        <v>13</v>
      </c>
      <c r="B594" t="s">
        <v>869</v>
      </c>
      <c r="C594" t="s">
        <v>2946</v>
      </c>
      <c r="D594" t="s">
        <v>22</v>
      </c>
      <c r="E594" t="s">
        <v>23</v>
      </c>
      <c r="F594" t="s">
        <v>44</v>
      </c>
      <c r="G594" s="3" t="s">
        <v>870</v>
      </c>
      <c r="H594" s="5">
        <v>325</v>
      </c>
      <c r="I594" s="3" t="s">
        <v>839</v>
      </c>
      <c r="J594" s="3">
        <v>5</v>
      </c>
      <c r="K594" s="3">
        <v>2</v>
      </c>
      <c r="L594" s="3" t="s">
        <v>2910</v>
      </c>
      <c r="M594" s="6" t="s">
        <v>856</v>
      </c>
      <c r="N594" s="6"/>
      <c r="O594" s="6"/>
      <c r="P594" s="6"/>
    </row>
    <row r="595" spans="1:16" ht="12.45" x14ac:dyDescent="0.2">
      <c r="A595" s="3" t="s">
        <v>13</v>
      </c>
      <c r="B595" t="s">
        <v>873</v>
      </c>
      <c r="C595" t="s">
        <v>2950</v>
      </c>
      <c r="D595" t="s">
        <v>22</v>
      </c>
      <c r="E595" t="s">
        <v>23</v>
      </c>
      <c r="F595" t="s">
        <v>44</v>
      </c>
      <c r="G595" s="3" t="s">
        <v>874</v>
      </c>
      <c r="H595" s="5">
        <v>326</v>
      </c>
      <c r="I595" s="3" t="s">
        <v>839</v>
      </c>
      <c r="J595" s="3">
        <v>5</v>
      </c>
      <c r="K595" s="3">
        <v>2</v>
      </c>
      <c r="L595" s="3" t="s">
        <v>2910</v>
      </c>
      <c r="M595" s="4" t="s">
        <v>854</v>
      </c>
      <c r="N595" s="4"/>
      <c r="O595" s="4"/>
      <c r="P595" s="4"/>
    </row>
    <row r="596" spans="1:16" ht="12.45" x14ac:dyDescent="0.2">
      <c r="A596" s="3" t="s">
        <v>13</v>
      </c>
      <c r="B596" t="s">
        <v>1254</v>
      </c>
      <c r="C596" t="s">
        <v>2995</v>
      </c>
      <c r="D596" t="s">
        <v>22</v>
      </c>
      <c r="E596" t="s">
        <v>430</v>
      </c>
      <c r="F596" t="s">
        <v>182</v>
      </c>
      <c r="G596" s="3" t="s">
        <v>1255</v>
      </c>
      <c r="H596" s="5">
        <v>359</v>
      </c>
      <c r="I596" s="3" t="s">
        <v>1193</v>
      </c>
      <c r="J596" s="3">
        <v>5</v>
      </c>
      <c r="K596" s="3">
        <v>3</v>
      </c>
      <c r="L596" s="3" t="s">
        <v>2910</v>
      </c>
      <c r="M596" s="6" t="s">
        <v>1230</v>
      </c>
      <c r="N596" s="6"/>
      <c r="O596" s="6"/>
      <c r="P596" s="6"/>
    </row>
    <row r="597" spans="1:16" ht="12.45" x14ac:dyDescent="0.2">
      <c r="A597" s="3" t="s">
        <v>13</v>
      </c>
      <c r="B597" t="s">
        <v>1194</v>
      </c>
      <c r="C597" t="s">
        <v>147</v>
      </c>
      <c r="D597" t="s">
        <v>22</v>
      </c>
      <c r="E597" t="s">
        <v>23</v>
      </c>
      <c r="F597" t="s">
        <v>18</v>
      </c>
      <c r="G597" s="3" t="s">
        <v>1195</v>
      </c>
      <c r="H597" s="5">
        <v>354</v>
      </c>
      <c r="I597" s="3" t="s">
        <v>1193</v>
      </c>
      <c r="J597" s="3">
        <v>2</v>
      </c>
      <c r="K597" s="3">
        <v>1</v>
      </c>
      <c r="L597" s="3" t="s">
        <v>2910</v>
      </c>
      <c r="M597" s="6" t="s">
        <v>1191</v>
      </c>
      <c r="N597" s="6"/>
      <c r="O597" s="6"/>
      <c r="P597" s="6"/>
    </row>
    <row r="598" spans="1:16" ht="12.45" x14ac:dyDescent="0.2">
      <c r="A598" s="3" t="s">
        <v>13</v>
      </c>
      <c r="B598" t="s">
        <v>1196</v>
      </c>
      <c r="C598" t="s">
        <v>2939</v>
      </c>
      <c r="D598" t="s">
        <v>16</v>
      </c>
      <c r="E598" t="s">
        <v>17</v>
      </c>
      <c r="F598" t="s">
        <v>18</v>
      </c>
      <c r="G598" s="3" t="s">
        <v>1197</v>
      </c>
      <c r="H598" s="5">
        <v>354</v>
      </c>
      <c r="I598" s="3" t="s">
        <v>1193</v>
      </c>
      <c r="J598" s="3">
        <v>2</v>
      </c>
      <c r="K598" s="3">
        <v>1</v>
      </c>
      <c r="L598" s="3" t="s">
        <v>2910</v>
      </c>
      <c r="M598" s="6" t="s">
        <v>1191</v>
      </c>
      <c r="N598" s="6"/>
      <c r="O598" s="6"/>
      <c r="P598" s="6"/>
    </row>
    <row r="599" spans="1:16" ht="12.45" x14ac:dyDescent="0.2">
      <c r="A599" s="3" t="s">
        <v>13</v>
      </c>
      <c r="B599" t="s">
        <v>1198</v>
      </c>
      <c r="C599" t="s">
        <v>2939</v>
      </c>
      <c r="D599" t="s">
        <v>28</v>
      </c>
      <c r="E599" t="s">
        <v>23</v>
      </c>
      <c r="F599" t="s">
        <v>18</v>
      </c>
      <c r="G599" s="3" t="s">
        <v>1199</v>
      </c>
      <c r="H599" s="5">
        <v>355</v>
      </c>
      <c r="I599" s="3" t="s">
        <v>1193</v>
      </c>
      <c r="J599" s="3">
        <v>2</v>
      </c>
      <c r="K599" s="3">
        <v>1</v>
      </c>
      <c r="L599" s="3" t="s">
        <v>2910</v>
      </c>
      <c r="M599" s="6"/>
      <c r="N599" s="6"/>
      <c r="O599" s="6"/>
      <c r="P599" s="6"/>
    </row>
    <row r="600" spans="1:16" ht="12.45" x14ac:dyDescent="0.2">
      <c r="A600" s="3" t="s">
        <v>13</v>
      </c>
      <c r="B600" t="s">
        <v>1204</v>
      </c>
      <c r="C600" t="s">
        <v>2944</v>
      </c>
      <c r="D600" t="s">
        <v>16</v>
      </c>
      <c r="E600" t="s">
        <v>29</v>
      </c>
      <c r="F600" t="s">
        <v>18</v>
      </c>
      <c r="G600" s="3" t="s">
        <v>1205</v>
      </c>
      <c r="H600" s="5">
        <v>354</v>
      </c>
      <c r="I600" s="3" t="s">
        <v>1193</v>
      </c>
      <c r="J600" s="3">
        <v>3</v>
      </c>
      <c r="K600" s="3">
        <v>1</v>
      </c>
      <c r="L600" s="3" t="s">
        <v>2910</v>
      </c>
      <c r="M600" s="6" t="s">
        <v>1196</v>
      </c>
      <c r="N600" s="6"/>
      <c r="O600" s="6"/>
      <c r="P600" s="6"/>
    </row>
    <row r="601" spans="1:16" ht="12.45" x14ac:dyDescent="0.2">
      <c r="A601" s="3" t="s">
        <v>13</v>
      </c>
      <c r="B601" t="s">
        <v>1206</v>
      </c>
      <c r="C601" t="s">
        <v>2948</v>
      </c>
      <c r="D601" t="s">
        <v>22</v>
      </c>
      <c r="E601" t="s">
        <v>23</v>
      </c>
      <c r="F601" t="s">
        <v>18</v>
      </c>
      <c r="G601" s="3" t="s">
        <v>1207</v>
      </c>
      <c r="H601" s="5">
        <v>355</v>
      </c>
      <c r="I601" s="3" t="s">
        <v>1193</v>
      </c>
      <c r="J601" s="3">
        <v>3</v>
      </c>
      <c r="K601" s="3">
        <v>1</v>
      </c>
      <c r="L601" s="3" t="s">
        <v>2910</v>
      </c>
      <c r="M601" s="3" t="s">
        <v>1196</v>
      </c>
      <c r="N601" s="3"/>
      <c r="O601" s="3"/>
      <c r="P601" s="3"/>
    </row>
    <row r="602" spans="1:16" ht="12.45" x14ac:dyDescent="0.2">
      <c r="A602" s="3" t="s">
        <v>13</v>
      </c>
      <c r="B602" t="s">
        <v>1213</v>
      </c>
      <c r="C602" t="s">
        <v>2950</v>
      </c>
      <c r="D602" t="s">
        <v>22</v>
      </c>
      <c r="E602" t="s">
        <v>17</v>
      </c>
      <c r="F602" t="s">
        <v>18</v>
      </c>
      <c r="G602" s="3" t="s">
        <v>1214</v>
      </c>
      <c r="H602" s="5">
        <v>355</v>
      </c>
      <c r="I602" s="3" t="s">
        <v>1193</v>
      </c>
      <c r="J602" s="3">
        <v>4</v>
      </c>
      <c r="K602" s="3">
        <v>1</v>
      </c>
      <c r="L602" s="3" t="s">
        <v>2910</v>
      </c>
      <c r="M602" s="3" t="s">
        <v>1204</v>
      </c>
      <c r="N602" s="3"/>
      <c r="O602" s="3"/>
      <c r="P602" s="3"/>
    </row>
    <row r="603" spans="1:16" ht="12.45" x14ac:dyDescent="0.2">
      <c r="A603" s="3" t="s">
        <v>13</v>
      </c>
      <c r="B603" t="s">
        <v>1217</v>
      </c>
      <c r="C603" t="s">
        <v>147</v>
      </c>
      <c r="D603" t="s">
        <v>22</v>
      </c>
      <c r="E603" t="s">
        <v>23</v>
      </c>
      <c r="F603" t="s">
        <v>18</v>
      </c>
      <c r="G603" s="3" t="s">
        <v>1218</v>
      </c>
      <c r="H603" s="5">
        <v>356</v>
      </c>
      <c r="I603" s="3" t="s">
        <v>1193</v>
      </c>
      <c r="J603" s="3">
        <v>5</v>
      </c>
      <c r="K603" s="3">
        <v>1</v>
      </c>
      <c r="L603" s="3" t="s">
        <v>2910</v>
      </c>
      <c r="M603" s="6" t="s">
        <v>1208</v>
      </c>
      <c r="N603" s="6"/>
      <c r="O603" s="6"/>
      <c r="P603" s="6"/>
    </row>
    <row r="604" spans="1:16" ht="12.45" x14ac:dyDescent="0.2">
      <c r="A604" s="3" t="s">
        <v>13</v>
      </c>
      <c r="B604" t="s">
        <v>1221</v>
      </c>
      <c r="C604" t="s">
        <v>2994</v>
      </c>
      <c r="D604" t="s">
        <v>16</v>
      </c>
      <c r="E604" t="s">
        <v>29</v>
      </c>
      <c r="F604" t="s">
        <v>18</v>
      </c>
      <c r="G604" s="3" t="s">
        <v>1222</v>
      </c>
      <c r="H604" s="5">
        <v>356</v>
      </c>
      <c r="I604" s="3" t="s">
        <v>1193</v>
      </c>
      <c r="J604" s="3">
        <v>4</v>
      </c>
      <c r="K604" s="3">
        <v>2</v>
      </c>
      <c r="L604" s="3" t="s">
        <v>2910</v>
      </c>
      <c r="M604" s="6" t="s">
        <v>1202</v>
      </c>
      <c r="N604" s="6"/>
      <c r="O604" s="6"/>
      <c r="P604" s="6"/>
    </row>
    <row r="605" spans="1:16" ht="12.45" x14ac:dyDescent="0.2">
      <c r="A605" s="3" t="s">
        <v>13</v>
      </c>
      <c r="B605" t="s">
        <v>1228</v>
      </c>
      <c r="C605" t="s">
        <v>2943</v>
      </c>
      <c r="D605" t="s">
        <v>28</v>
      </c>
      <c r="E605" t="s">
        <v>23</v>
      </c>
      <c r="F605" t="s">
        <v>18</v>
      </c>
      <c r="G605" s="3" t="s">
        <v>1229</v>
      </c>
      <c r="H605" s="5">
        <v>357</v>
      </c>
      <c r="I605" s="3" t="s">
        <v>1193</v>
      </c>
      <c r="J605" s="3">
        <v>4</v>
      </c>
      <c r="K605" s="3">
        <v>2</v>
      </c>
      <c r="L605" s="3" t="s">
        <v>2910</v>
      </c>
      <c r="M605" s="6" t="s">
        <v>1198</v>
      </c>
      <c r="N605" s="6"/>
      <c r="O605" s="6"/>
      <c r="P605" s="6"/>
    </row>
    <row r="606" spans="1:16" ht="12.45" x14ac:dyDescent="0.2">
      <c r="A606" s="3" t="s">
        <v>13</v>
      </c>
      <c r="B606" t="s">
        <v>1230</v>
      </c>
      <c r="C606" t="s">
        <v>147</v>
      </c>
      <c r="D606" t="s">
        <v>148</v>
      </c>
      <c r="E606" t="s">
        <v>23</v>
      </c>
      <c r="F606" t="s">
        <v>18</v>
      </c>
      <c r="G606" s="3" t="s">
        <v>1231</v>
      </c>
      <c r="H606" s="5">
        <v>357</v>
      </c>
      <c r="I606" s="3" t="s">
        <v>1193</v>
      </c>
      <c r="J606" s="3">
        <v>4</v>
      </c>
      <c r="K606" s="3">
        <v>2</v>
      </c>
      <c r="L606" s="3" t="s">
        <v>2910</v>
      </c>
      <c r="M606" s="6" t="s">
        <v>1208</v>
      </c>
      <c r="N606" s="6"/>
      <c r="O606" s="6"/>
      <c r="P606" s="6"/>
    </row>
    <row r="607" spans="1:16" ht="12.45" x14ac:dyDescent="0.2">
      <c r="A607" s="3" t="s">
        <v>13</v>
      </c>
      <c r="B607" t="s">
        <v>1232</v>
      </c>
      <c r="C607" t="s">
        <v>2942</v>
      </c>
      <c r="D607" t="s">
        <v>22</v>
      </c>
      <c r="E607" t="s">
        <v>23</v>
      </c>
      <c r="F607" t="s">
        <v>18</v>
      </c>
      <c r="G607" s="3" t="s">
        <v>1233</v>
      </c>
      <c r="H607" s="5">
        <v>356</v>
      </c>
      <c r="I607" s="3" t="s">
        <v>1193</v>
      </c>
      <c r="J607" s="3">
        <v>5</v>
      </c>
      <c r="K607" s="3">
        <v>2</v>
      </c>
      <c r="L607" s="3" t="s">
        <v>2910</v>
      </c>
      <c r="M607" s="6" t="s">
        <v>1191</v>
      </c>
      <c r="N607" s="6"/>
      <c r="O607" s="6"/>
      <c r="P607" s="6"/>
    </row>
    <row r="608" spans="1:16" ht="12.45" x14ac:dyDescent="0.2">
      <c r="A608" s="3" t="s">
        <v>13</v>
      </c>
      <c r="B608" t="s">
        <v>1234</v>
      </c>
      <c r="C608" t="s">
        <v>2946</v>
      </c>
      <c r="D608" t="s">
        <v>22</v>
      </c>
      <c r="E608" t="s">
        <v>23</v>
      </c>
      <c r="F608" t="s">
        <v>18</v>
      </c>
      <c r="G608" s="3" t="s">
        <v>1235</v>
      </c>
      <c r="H608" s="5">
        <v>356</v>
      </c>
      <c r="I608" s="3" t="s">
        <v>1193</v>
      </c>
      <c r="J608" s="3">
        <v>5</v>
      </c>
      <c r="K608" s="3">
        <v>2</v>
      </c>
      <c r="L608" s="3" t="s">
        <v>2910</v>
      </c>
      <c r="M608" s="6" t="s">
        <v>1204</v>
      </c>
      <c r="N608" s="6"/>
      <c r="O608" s="6"/>
      <c r="P608" s="6"/>
    </row>
    <row r="609" spans="1:16" ht="12.45" x14ac:dyDescent="0.2">
      <c r="A609" s="3" t="s">
        <v>13</v>
      </c>
      <c r="B609" t="s">
        <v>1236</v>
      </c>
      <c r="C609" t="s">
        <v>2943</v>
      </c>
      <c r="D609" t="s">
        <v>28</v>
      </c>
      <c r="E609" t="s">
        <v>23</v>
      </c>
      <c r="F609" t="s">
        <v>18</v>
      </c>
      <c r="G609" s="3" t="s">
        <v>1237</v>
      </c>
      <c r="H609" s="5">
        <v>356</v>
      </c>
      <c r="I609" s="3" t="s">
        <v>1193</v>
      </c>
      <c r="J609" s="3">
        <v>5</v>
      </c>
      <c r="K609" s="3">
        <v>2</v>
      </c>
      <c r="L609" s="3" t="s">
        <v>2910</v>
      </c>
      <c r="M609" s="6" t="s">
        <v>1234</v>
      </c>
      <c r="N609" s="6"/>
      <c r="O609" s="6"/>
      <c r="P609" s="6"/>
    </row>
    <row r="610" spans="1:16" ht="12.45" x14ac:dyDescent="0.2">
      <c r="A610" s="3" t="s">
        <v>13</v>
      </c>
      <c r="B610" t="s">
        <v>1244</v>
      </c>
      <c r="C610" t="s">
        <v>2948</v>
      </c>
      <c r="D610" t="s">
        <v>28</v>
      </c>
      <c r="E610" t="s">
        <v>23</v>
      </c>
      <c r="F610" t="s">
        <v>18</v>
      </c>
      <c r="G610" s="3" t="s">
        <v>1245</v>
      </c>
      <c r="H610" s="5">
        <v>358</v>
      </c>
      <c r="I610" s="3" t="s">
        <v>1193</v>
      </c>
      <c r="J610" s="3">
        <v>5</v>
      </c>
      <c r="K610" s="3">
        <v>3</v>
      </c>
      <c r="L610" s="3" t="s">
        <v>2910</v>
      </c>
      <c r="M610" s="6" t="s">
        <v>1236</v>
      </c>
      <c r="N610" s="6"/>
      <c r="O610" s="6"/>
      <c r="P610" s="6"/>
    </row>
    <row r="611" spans="1:16" ht="12.45" x14ac:dyDescent="0.2">
      <c r="A611" s="3" t="s">
        <v>13</v>
      </c>
      <c r="B611" t="s">
        <v>1252</v>
      </c>
      <c r="C611" t="s">
        <v>2993</v>
      </c>
      <c r="D611" t="s">
        <v>28</v>
      </c>
      <c r="E611" t="s">
        <v>23</v>
      </c>
      <c r="F611" t="s">
        <v>18</v>
      </c>
      <c r="G611" s="3" t="s">
        <v>1253</v>
      </c>
      <c r="H611" s="5">
        <v>358</v>
      </c>
      <c r="I611" s="3" t="s">
        <v>1193</v>
      </c>
      <c r="J611" s="3">
        <v>5</v>
      </c>
      <c r="K611" s="3">
        <v>3</v>
      </c>
      <c r="L611" s="3" t="s">
        <v>2910</v>
      </c>
      <c r="M611" s="6" t="s">
        <v>1228</v>
      </c>
      <c r="N611" s="6"/>
      <c r="O611" s="6"/>
      <c r="P611" s="6"/>
    </row>
    <row r="612" spans="1:16" ht="12.45" x14ac:dyDescent="0.2">
      <c r="A612" s="3" t="s">
        <v>13</v>
      </c>
      <c r="B612" s="3" t="s">
        <v>1256</v>
      </c>
      <c r="C612" s="3" t="s">
        <v>1257</v>
      </c>
      <c r="D612" s="3" t="s">
        <v>22</v>
      </c>
      <c r="E612" s="3" t="s">
        <v>23</v>
      </c>
      <c r="F612" s="3" t="s">
        <v>18</v>
      </c>
      <c r="G612" s="3"/>
      <c r="H612" s="5" t="s">
        <v>1239</v>
      </c>
      <c r="I612" s="3" t="s">
        <v>1193</v>
      </c>
      <c r="J612" s="5">
        <v>5</v>
      </c>
      <c r="K612" s="5">
        <v>3</v>
      </c>
      <c r="L612" s="3" t="s">
        <v>2910</v>
      </c>
      <c r="M612" s="6" t="s">
        <v>1228</v>
      </c>
      <c r="N612" s="6"/>
      <c r="O612" s="6"/>
      <c r="P612" s="6"/>
    </row>
    <row r="613" spans="1:16" ht="12.45" x14ac:dyDescent="0.2">
      <c r="A613" s="3" t="s">
        <v>13</v>
      </c>
      <c r="B613" t="s">
        <v>1263</v>
      </c>
      <c r="C613" t="s">
        <v>2963</v>
      </c>
      <c r="D613" t="s">
        <v>22</v>
      </c>
      <c r="E613" t="s">
        <v>23</v>
      </c>
      <c r="F613" t="s">
        <v>18</v>
      </c>
      <c r="G613" s="3" t="s">
        <v>1264</v>
      </c>
      <c r="H613" s="5">
        <v>359</v>
      </c>
      <c r="I613" s="3" t="s">
        <v>1193</v>
      </c>
      <c r="J613" s="3">
        <v>5</v>
      </c>
      <c r="K613" s="3">
        <v>4</v>
      </c>
      <c r="L613" s="3" t="s">
        <v>2910</v>
      </c>
      <c r="M613" s="3" t="s">
        <v>1248</v>
      </c>
      <c r="N613" s="3"/>
      <c r="O613" s="3"/>
      <c r="P613" s="3"/>
    </row>
    <row r="614" spans="1:16" ht="12.45" x14ac:dyDescent="0.2">
      <c r="A614" s="3" t="s">
        <v>13</v>
      </c>
      <c r="B614" t="s">
        <v>1265</v>
      </c>
      <c r="C614" t="s">
        <v>1266</v>
      </c>
      <c r="D614" t="s">
        <v>22</v>
      </c>
      <c r="E614" t="s">
        <v>23</v>
      </c>
      <c r="F614" t="s">
        <v>18</v>
      </c>
      <c r="G614" s="3" t="s">
        <v>1267</v>
      </c>
      <c r="H614" s="5">
        <v>359</v>
      </c>
      <c r="I614" s="3" t="s">
        <v>1193</v>
      </c>
      <c r="J614" s="3">
        <v>5</v>
      </c>
      <c r="K614" s="3">
        <v>5</v>
      </c>
      <c r="L614" s="3" t="s">
        <v>2910</v>
      </c>
      <c r="M614" s="3" t="s">
        <v>1259</v>
      </c>
      <c r="N614" s="3"/>
      <c r="O614" s="3"/>
      <c r="P614" s="3"/>
    </row>
    <row r="615" spans="1:16" ht="12.45" x14ac:dyDescent="0.2">
      <c r="A615" s="3" t="s">
        <v>13</v>
      </c>
      <c r="B615" t="s">
        <v>1268</v>
      </c>
      <c r="C615" t="s">
        <v>2992</v>
      </c>
      <c r="D615" t="s">
        <v>28</v>
      </c>
      <c r="E615" t="s">
        <v>142</v>
      </c>
      <c r="F615" t="s">
        <v>18</v>
      </c>
      <c r="G615" s="3" t="s">
        <v>1270</v>
      </c>
      <c r="H615" s="5">
        <v>360</v>
      </c>
      <c r="I615" s="3" t="s">
        <v>1193</v>
      </c>
      <c r="J615" s="3">
        <v>5</v>
      </c>
      <c r="K615" s="3">
        <v>5</v>
      </c>
      <c r="L615" s="3" t="s">
        <v>2910</v>
      </c>
      <c r="M615" s="6" t="s">
        <v>1271</v>
      </c>
      <c r="N615" s="6"/>
      <c r="O615" s="6"/>
      <c r="P615" s="6"/>
    </row>
    <row r="616" spans="1:16" ht="12.45" x14ac:dyDescent="0.2">
      <c r="A616" s="3" t="s">
        <v>13</v>
      </c>
      <c r="B616" t="s">
        <v>1200</v>
      </c>
      <c r="C616" t="s">
        <v>147</v>
      </c>
      <c r="D616" t="s">
        <v>148</v>
      </c>
      <c r="E616" t="s">
        <v>23</v>
      </c>
      <c r="F616" t="s">
        <v>148</v>
      </c>
      <c r="G616" s="3" t="s">
        <v>1201</v>
      </c>
      <c r="H616" s="5">
        <v>354</v>
      </c>
      <c r="I616" s="3" t="s">
        <v>1193</v>
      </c>
      <c r="J616" s="3">
        <v>3</v>
      </c>
      <c r="K616" s="3">
        <v>1</v>
      </c>
      <c r="L616" s="3" t="s">
        <v>2910</v>
      </c>
      <c r="M616" s="6" t="s">
        <v>1194</v>
      </c>
      <c r="N616" s="6"/>
      <c r="O616" s="6"/>
      <c r="P616" s="6"/>
    </row>
    <row r="617" spans="1:16" ht="12.45" x14ac:dyDescent="0.2">
      <c r="A617" s="3" t="s">
        <v>13</v>
      </c>
      <c r="B617" t="s">
        <v>1210</v>
      </c>
      <c r="C617" t="s">
        <v>147</v>
      </c>
      <c r="D617" t="s">
        <v>148</v>
      </c>
      <c r="E617" t="s">
        <v>23</v>
      </c>
      <c r="F617" t="s">
        <v>148</v>
      </c>
      <c r="G617" s="3" t="s">
        <v>1211</v>
      </c>
      <c r="H617" s="5">
        <v>360</v>
      </c>
      <c r="I617" s="3" t="s">
        <v>1193</v>
      </c>
      <c r="J617" s="3">
        <v>3</v>
      </c>
      <c r="K617" s="3">
        <v>1</v>
      </c>
      <c r="L617" s="3" t="s">
        <v>2910</v>
      </c>
      <c r="M617" s="6"/>
      <c r="N617" s="6"/>
      <c r="O617" s="6"/>
      <c r="P617" s="6"/>
    </row>
    <row r="618" spans="1:16" ht="12.45" x14ac:dyDescent="0.2">
      <c r="A618" s="3" t="s">
        <v>13</v>
      </c>
      <c r="B618" s="3" t="s">
        <v>1238</v>
      </c>
      <c r="C618" s="3" t="s">
        <v>2991</v>
      </c>
      <c r="D618" s="3" t="s">
        <v>148</v>
      </c>
      <c r="E618" s="3" t="s">
        <v>23</v>
      </c>
      <c r="F618" s="3" t="s">
        <v>148</v>
      </c>
      <c r="G618" s="3"/>
      <c r="H618" s="5" t="s">
        <v>1239</v>
      </c>
      <c r="I618" s="3" t="s">
        <v>1193</v>
      </c>
      <c r="J618" s="5">
        <v>5</v>
      </c>
      <c r="K618" s="5">
        <v>2</v>
      </c>
      <c r="L618" s="3" t="s">
        <v>2910</v>
      </c>
      <c r="M618" s="6" t="s">
        <v>1208</v>
      </c>
      <c r="N618" s="6"/>
      <c r="O618" s="6"/>
      <c r="P618" s="6"/>
    </row>
    <row r="619" spans="1:16" ht="12.45" x14ac:dyDescent="0.2">
      <c r="A619" s="3" t="s">
        <v>13</v>
      </c>
      <c r="B619" t="s">
        <v>1240</v>
      </c>
      <c r="C619" t="s">
        <v>147</v>
      </c>
      <c r="D619" t="s">
        <v>148</v>
      </c>
      <c r="E619" t="s">
        <v>23</v>
      </c>
      <c r="F619" t="s">
        <v>148</v>
      </c>
      <c r="G619" s="3" t="s">
        <v>1241</v>
      </c>
      <c r="H619" s="5">
        <v>361</v>
      </c>
      <c r="I619" s="3" t="s">
        <v>1193</v>
      </c>
      <c r="J619" s="3">
        <v>4</v>
      </c>
      <c r="K619" s="3">
        <v>3</v>
      </c>
      <c r="L619" s="3" t="s">
        <v>2910</v>
      </c>
      <c r="M619" s="6" t="s">
        <v>1210</v>
      </c>
      <c r="N619" s="6"/>
      <c r="O619" s="6"/>
      <c r="P619" s="6"/>
    </row>
    <row r="620" spans="1:16" ht="12.45" x14ac:dyDescent="0.2">
      <c r="A620" s="3" t="s">
        <v>13</v>
      </c>
      <c r="B620" t="s">
        <v>1448</v>
      </c>
      <c r="C620" t="s">
        <v>2990</v>
      </c>
      <c r="D620" t="s">
        <v>22</v>
      </c>
      <c r="E620" t="s">
        <v>23</v>
      </c>
      <c r="F620" t="s">
        <v>182</v>
      </c>
      <c r="G620" s="3" t="s">
        <v>1449</v>
      </c>
      <c r="H620" s="5">
        <v>376</v>
      </c>
      <c r="I620" s="3" t="s">
        <v>1430</v>
      </c>
      <c r="J620" s="3">
        <v>3</v>
      </c>
      <c r="K620" s="3">
        <v>1</v>
      </c>
      <c r="L620" s="3" t="s">
        <v>2903</v>
      </c>
      <c r="M620" s="6" t="s">
        <v>1431</v>
      </c>
      <c r="N620" s="6"/>
      <c r="O620" s="6"/>
      <c r="P620" s="6"/>
    </row>
    <row r="621" spans="1:16" ht="12.45" x14ac:dyDescent="0.2">
      <c r="A621" s="3" t="s">
        <v>13</v>
      </c>
      <c r="B621" t="s">
        <v>1474</v>
      </c>
      <c r="C621" t="s">
        <v>2938</v>
      </c>
      <c r="D621" t="s">
        <v>28</v>
      </c>
      <c r="E621" t="s">
        <v>23</v>
      </c>
      <c r="F621" t="s">
        <v>182</v>
      </c>
      <c r="G621" s="3" t="s">
        <v>1475</v>
      </c>
      <c r="H621" s="5">
        <v>378</v>
      </c>
      <c r="I621" s="3" t="s">
        <v>1430</v>
      </c>
      <c r="J621" s="3">
        <v>4</v>
      </c>
      <c r="K621" s="3">
        <v>3</v>
      </c>
      <c r="L621" s="3" t="s">
        <v>2903</v>
      </c>
      <c r="M621" s="6" t="s">
        <v>1456</v>
      </c>
      <c r="N621" s="6"/>
      <c r="O621" s="6"/>
      <c r="P621" s="6"/>
    </row>
    <row r="622" spans="1:16" ht="12.45" x14ac:dyDescent="0.2">
      <c r="A622" s="3" t="s">
        <v>13</v>
      </c>
      <c r="B622" s="3" t="s">
        <v>1433</v>
      </c>
      <c r="C622" s="3" t="s">
        <v>34</v>
      </c>
      <c r="D622" s="3" t="s">
        <v>22</v>
      </c>
      <c r="E622" s="3" t="s">
        <v>23</v>
      </c>
      <c r="F622" s="3" t="s">
        <v>18</v>
      </c>
      <c r="G622" s="3"/>
      <c r="H622" s="5" t="s">
        <v>1427</v>
      </c>
      <c r="I622" s="3" t="s">
        <v>1430</v>
      </c>
      <c r="J622" s="5">
        <v>2</v>
      </c>
      <c r="K622" s="5">
        <v>1</v>
      </c>
      <c r="L622" s="3" t="s">
        <v>2903</v>
      </c>
      <c r="M622" s="6" t="s">
        <v>1431</v>
      </c>
      <c r="N622" s="6"/>
      <c r="O622" s="6"/>
      <c r="P622" s="6"/>
    </row>
    <row r="623" spans="1:16" ht="12.45" x14ac:dyDescent="0.2">
      <c r="A623" s="3" t="s">
        <v>13</v>
      </c>
      <c r="B623" t="s">
        <v>1431</v>
      </c>
      <c r="C623" t="s">
        <v>2945</v>
      </c>
      <c r="D623" t="s">
        <v>28</v>
      </c>
      <c r="E623" t="s">
        <v>23</v>
      </c>
      <c r="F623" t="s">
        <v>18</v>
      </c>
      <c r="G623" s="3" t="s">
        <v>1432</v>
      </c>
      <c r="H623" s="5">
        <v>376</v>
      </c>
      <c r="I623" s="3" t="s">
        <v>1430</v>
      </c>
      <c r="J623" s="3">
        <v>1</v>
      </c>
      <c r="K623" s="3">
        <v>1</v>
      </c>
      <c r="L623" s="3" t="s">
        <v>2903</v>
      </c>
      <c r="M623" s="6"/>
      <c r="N623" s="6"/>
      <c r="O623" s="6"/>
      <c r="P623" s="6"/>
    </row>
    <row r="624" spans="1:16" ht="12.45" x14ac:dyDescent="0.2">
      <c r="A624" s="3" t="s">
        <v>13</v>
      </c>
      <c r="B624" t="s">
        <v>1437</v>
      </c>
      <c r="C624" s="3" t="s">
        <v>1438</v>
      </c>
      <c r="D624" t="s">
        <v>22</v>
      </c>
      <c r="E624" t="s">
        <v>1439</v>
      </c>
      <c r="F624" t="s">
        <v>18</v>
      </c>
      <c r="G624" s="3" t="s">
        <v>1440</v>
      </c>
      <c r="H624" s="5">
        <v>374</v>
      </c>
      <c r="I624" s="3" t="s">
        <v>1430</v>
      </c>
      <c r="J624" s="3">
        <v>2</v>
      </c>
      <c r="K624" s="3">
        <v>1</v>
      </c>
      <c r="L624" s="3" t="s">
        <v>2903</v>
      </c>
      <c r="M624" s="6" t="s">
        <v>1434</v>
      </c>
      <c r="N624" s="6"/>
      <c r="O624" s="6"/>
      <c r="P624" s="6"/>
    </row>
    <row r="625" spans="1:16" ht="12.45" x14ac:dyDescent="0.2">
      <c r="A625" s="3" t="s">
        <v>13</v>
      </c>
      <c r="B625" t="s">
        <v>1441</v>
      </c>
      <c r="C625" t="s">
        <v>2960</v>
      </c>
      <c r="D625" t="s">
        <v>28</v>
      </c>
      <c r="E625" t="s">
        <v>142</v>
      </c>
      <c r="F625" t="s">
        <v>18</v>
      </c>
      <c r="G625" s="3" t="s">
        <v>1442</v>
      </c>
      <c r="H625" s="5">
        <v>375</v>
      </c>
      <c r="I625" s="3" t="s">
        <v>1430</v>
      </c>
      <c r="J625" s="3">
        <v>2</v>
      </c>
      <c r="K625" s="3">
        <v>1</v>
      </c>
      <c r="L625" s="3" t="s">
        <v>2903</v>
      </c>
      <c r="M625" s="6" t="s">
        <v>1428</v>
      </c>
      <c r="N625" s="6"/>
      <c r="O625" s="6"/>
      <c r="P625" s="6"/>
    </row>
    <row r="626" spans="1:16" ht="12.45" x14ac:dyDescent="0.2">
      <c r="A626" s="3" t="s">
        <v>13</v>
      </c>
      <c r="B626" t="s">
        <v>1446</v>
      </c>
      <c r="C626" t="s">
        <v>2942</v>
      </c>
      <c r="D626" t="s">
        <v>28</v>
      </c>
      <c r="E626" t="s">
        <v>212</v>
      </c>
      <c r="F626" t="s">
        <v>18</v>
      </c>
      <c r="G626" s="3" t="s">
        <v>1447</v>
      </c>
      <c r="H626" s="5">
        <v>376</v>
      </c>
      <c r="I626" s="3" t="s">
        <v>1430</v>
      </c>
      <c r="J626" s="3">
        <v>3</v>
      </c>
      <c r="K626" s="3">
        <v>1</v>
      </c>
      <c r="L626" s="3" t="s">
        <v>2903</v>
      </c>
      <c r="M626" s="6" t="s">
        <v>1428</v>
      </c>
      <c r="N626" s="6"/>
      <c r="O626" s="6"/>
      <c r="P626" s="6"/>
    </row>
    <row r="627" spans="1:16" ht="12.45" x14ac:dyDescent="0.2">
      <c r="A627" s="3" t="s">
        <v>13</v>
      </c>
      <c r="B627" t="s">
        <v>1452</v>
      </c>
      <c r="C627" t="s">
        <v>2989</v>
      </c>
      <c r="D627" t="s">
        <v>22</v>
      </c>
      <c r="E627" t="s">
        <v>1454</v>
      </c>
      <c r="F627" t="s">
        <v>18</v>
      </c>
      <c r="G627" s="3" t="s">
        <v>1455</v>
      </c>
      <c r="H627" s="5">
        <v>376</v>
      </c>
      <c r="I627" s="3" t="s">
        <v>1430</v>
      </c>
      <c r="J627" s="3">
        <v>3</v>
      </c>
      <c r="K627" s="3">
        <v>1</v>
      </c>
      <c r="L627" s="3" t="s">
        <v>2903</v>
      </c>
      <c r="M627" s="6"/>
      <c r="N627" s="6"/>
      <c r="O627" s="6"/>
      <c r="P627" s="6"/>
    </row>
    <row r="628" spans="1:16" ht="12.45" x14ac:dyDescent="0.2">
      <c r="A628" s="3" t="s">
        <v>13</v>
      </c>
      <c r="B628" t="s">
        <v>1456</v>
      </c>
      <c r="C628" t="s">
        <v>2944</v>
      </c>
      <c r="D628" t="s">
        <v>22</v>
      </c>
      <c r="E628" t="s">
        <v>23</v>
      </c>
      <c r="F628" t="s">
        <v>18</v>
      </c>
      <c r="G628" s="3" t="s">
        <v>1457</v>
      </c>
      <c r="H628" s="5">
        <v>377</v>
      </c>
      <c r="I628" s="3" t="s">
        <v>1430</v>
      </c>
      <c r="J628" s="3">
        <v>3</v>
      </c>
      <c r="K628" s="3">
        <v>2</v>
      </c>
      <c r="L628" s="3" t="s">
        <v>2903</v>
      </c>
      <c r="M628" s="6" t="s">
        <v>1431</v>
      </c>
      <c r="N628" s="6"/>
      <c r="O628" s="6"/>
      <c r="P628" s="6"/>
    </row>
    <row r="629" spans="1:16" ht="12.45" x14ac:dyDescent="0.2">
      <c r="A629" s="3" t="s">
        <v>13</v>
      </c>
      <c r="B629" t="s">
        <v>1464</v>
      </c>
      <c r="C629" t="s">
        <v>2988</v>
      </c>
      <c r="D629" t="s">
        <v>22</v>
      </c>
      <c r="E629" t="s">
        <v>1136</v>
      </c>
      <c r="F629" t="s">
        <v>18</v>
      </c>
      <c r="G629" s="3" t="s">
        <v>1465</v>
      </c>
      <c r="H629" s="5">
        <v>377</v>
      </c>
      <c r="I629" s="3" t="s">
        <v>1430</v>
      </c>
      <c r="J629" s="3">
        <v>4</v>
      </c>
      <c r="K629" s="3">
        <v>2</v>
      </c>
      <c r="L629" s="3" t="s">
        <v>2903</v>
      </c>
      <c r="M629" s="6" t="s">
        <v>1452</v>
      </c>
      <c r="N629" s="6"/>
      <c r="O629" s="6"/>
      <c r="P629" s="6"/>
    </row>
    <row r="630" spans="1:16" ht="12.45" x14ac:dyDescent="0.2">
      <c r="A630" s="3" t="s">
        <v>13</v>
      </c>
      <c r="B630" t="s">
        <v>1466</v>
      </c>
      <c r="C630" t="s">
        <v>2987</v>
      </c>
      <c r="D630" t="s">
        <v>22</v>
      </c>
      <c r="E630" t="s">
        <v>29</v>
      </c>
      <c r="F630" t="s">
        <v>18</v>
      </c>
      <c r="G630" s="3" t="s">
        <v>1467</v>
      </c>
      <c r="H630" s="5">
        <v>377</v>
      </c>
      <c r="I630" s="3" t="s">
        <v>1430</v>
      </c>
      <c r="J630" s="3">
        <v>5</v>
      </c>
      <c r="K630" s="3">
        <v>2</v>
      </c>
      <c r="L630" s="3" t="s">
        <v>2903</v>
      </c>
      <c r="M630" s="3" t="s">
        <v>1468</v>
      </c>
      <c r="N630" s="3"/>
      <c r="O630" s="3"/>
      <c r="P630" s="3"/>
    </row>
    <row r="631" spans="1:16" ht="12.45" x14ac:dyDescent="0.2">
      <c r="A631" s="3" t="s">
        <v>13</v>
      </c>
      <c r="B631" t="s">
        <v>1479</v>
      </c>
      <c r="C631" t="s">
        <v>2944</v>
      </c>
      <c r="D631" t="s">
        <v>22</v>
      </c>
      <c r="E631" t="s">
        <v>23</v>
      </c>
      <c r="F631" t="s">
        <v>18</v>
      </c>
      <c r="G631" s="3" t="s">
        <v>1480</v>
      </c>
      <c r="H631" s="5">
        <v>378</v>
      </c>
      <c r="I631" s="3" t="s">
        <v>1430</v>
      </c>
      <c r="J631" s="3">
        <v>5</v>
      </c>
      <c r="K631" s="3">
        <v>3</v>
      </c>
      <c r="L631" s="3" t="s">
        <v>2903</v>
      </c>
      <c r="M631" s="6" t="s">
        <v>1476</v>
      </c>
      <c r="N631" s="6"/>
      <c r="O631" s="6"/>
      <c r="P631" s="6"/>
    </row>
    <row r="632" spans="1:16" ht="12.45" x14ac:dyDescent="0.2">
      <c r="A632" s="3" t="s">
        <v>13</v>
      </c>
      <c r="B632" t="s">
        <v>1481</v>
      </c>
      <c r="C632" t="s">
        <v>2942</v>
      </c>
      <c r="D632" t="s">
        <v>22</v>
      </c>
      <c r="E632" t="s">
        <v>29</v>
      </c>
      <c r="F632" t="s">
        <v>18</v>
      </c>
      <c r="G632" s="3" t="s">
        <v>1482</v>
      </c>
      <c r="H632" s="5">
        <v>378</v>
      </c>
      <c r="I632" s="3" t="s">
        <v>1430</v>
      </c>
      <c r="J632" s="3">
        <v>5</v>
      </c>
      <c r="K632" s="3">
        <v>3</v>
      </c>
      <c r="L632" s="3" t="s">
        <v>2903</v>
      </c>
      <c r="M632" s="6" t="s">
        <v>1466</v>
      </c>
      <c r="N632" s="6"/>
      <c r="O632" s="6"/>
      <c r="P632" s="6"/>
    </row>
    <row r="633" spans="1:16" ht="12.45" x14ac:dyDescent="0.2">
      <c r="A633" s="3" t="s">
        <v>13</v>
      </c>
      <c r="B633" t="s">
        <v>1485</v>
      </c>
      <c r="C633" t="s">
        <v>2943</v>
      </c>
      <c r="D633" t="s">
        <v>22</v>
      </c>
      <c r="E633" t="s">
        <v>29</v>
      </c>
      <c r="F633" t="s">
        <v>18</v>
      </c>
      <c r="G633" s="3" t="s">
        <v>1486</v>
      </c>
      <c r="H633" s="5">
        <v>379</v>
      </c>
      <c r="I633" s="3" t="s">
        <v>1430</v>
      </c>
      <c r="J633" s="3">
        <v>5</v>
      </c>
      <c r="K633" s="3">
        <v>3</v>
      </c>
      <c r="L633" s="3" t="s">
        <v>2903</v>
      </c>
      <c r="M633" s="6" t="s">
        <v>1464</v>
      </c>
      <c r="N633" s="6"/>
      <c r="O633" s="6"/>
      <c r="P633" s="6"/>
    </row>
    <row r="634" spans="1:16" ht="12.45" x14ac:dyDescent="0.2">
      <c r="A634" s="3" t="s">
        <v>13</v>
      </c>
      <c r="B634" t="s">
        <v>1443</v>
      </c>
      <c r="C634" t="s">
        <v>2986</v>
      </c>
      <c r="D634" t="s">
        <v>22</v>
      </c>
      <c r="E634" t="s">
        <v>50</v>
      </c>
      <c r="F634" t="s">
        <v>1444</v>
      </c>
      <c r="G634" s="3" t="s">
        <v>1445</v>
      </c>
      <c r="H634" s="5">
        <v>374</v>
      </c>
      <c r="I634" s="3" t="s">
        <v>1430</v>
      </c>
      <c r="J634" s="3">
        <v>3</v>
      </c>
      <c r="K634" s="3">
        <v>1</v>
      </c>
      <c r="L634" s="3" t="s">
        <v>2903</v>
      </c>
      <c r="M634" s="6" t="s">
        <v>1437</v>
      </c>
      <c r="N634" s="6"/>
      <c r="O634" s="6"/>
      <c r="P634" s="6"/>
    </row>
    <row r="635" spans="1:16" ht="12.45" x14ac:dyDescent="0.2">
      <c r="A635" s="3" t="s">
        <v>13</v>
      </c>
      <c r="B635" t="s">
        <v>1462</v>
      </c>
      <c r="C635" t="s">
        <v>2942</v>
      </c>
      <c r="D635" t="s">
        <v>22</v>
      </c>
      <c r="E635" t="s">
        <v>23</v>
      </c>
      <c r="F635" t="s">
        <v>563</v>
      </c>
      <c r="G635" s="3" t="s">
        <v>1463</v>
      </c>
      <c r="H635" s="5">
        <v>377</v>
      </c>
      <c r="I635" s="3" t="s">
        <v>1430</v>
      </c>
      <c r="J635" s="3">
        <v>4</v>
      </c>
      <c r="K635" s="3">
        <v>2</v>
      </c>
      <c r="L635" s="3" t="s">
        <v>2903</v>
      </c>
      <c r="M635" s="6" t="s">
        <v>1450</v>
      </c>
      <c r="N635" s="6"/>
      <c r="O635" s="6"/>
      <c r="P635" s="6"/>
    </row>
    <row r="636" spans="1:16" ht="12.45" x14ac:dyDescent="0.2">
      <c r="A636" s="3" t="s">
        <v>13</v>
      </c>
      <c r="B636" t="s">
        <v>1483</v>
      </c>
      <c r="C636" t="s">
        <v>2951</v>
      </c>
      <c r="D636" t="s">
        <v>22</v>
      </c>
      <c r="E636" t="s">
        <v>23</v>
      </c>
      <c r="F636" t="s">
        <v>563</v>
      </c>
      <c r="G636" s="3" t="s">
        <v>1484</v>
      </c>
      <c r="H636" s="5">
        <v>379</v>
      </c>
      <c r="I636" s="3" t="s">
        <v>1430</v>
      </c>
      <c r="J636" s="3">
        <v>5</v>
      </c>
      <c r="K636" s="3">
        <v>3</v>
      </c>
      <c r="L636" s="3" t="s">
        <v>2903</v>
      </c>
      <c r="M636" s="6" t="s">
        <v>1462</v>
      </c>
      <c r="N636" s="6"/>
      <c r="O636" s="6"/>
      <c r="P636" s="6"/>
    </row>
    <row r="637" spans="1:16" ht="12.45" x14ac:dyDescent="0.2">
      <c r="A637" s="3" t="s">
        <v>13</v>
      </c>
      <c r="B637" t="s">
        <v>1434</v>
      </c>
      <c r="C637" t="s">
        <v>2944</v>
      </c>
      <c r="D637" t="s">
        <v>22</v>
      </c>
      <c r="E637" t="s">
        <v>50</v>
      </c>
      <c r="F637" t="s">
        <v>1435</v>
      </c>
      <c r="G637" s="3" t="s">
        <v>1436</v>
      </c>
      <c r="H637" s="5">
        <v>374</v>
      </c>
      <c r="I637" s="3" t="s">
        <v>1430</v>
      </c>
      <c r="J637" s="3">
        <v>2</v>
      </c>
      <c r="K637" s="3">
        <v>1</v>
      </c>
      <c r="L637" s="3" t="s">
        <v>2903</v>
      </c>
      <c r="M637" s="6"/>
      <c r="N637" s="6"/>
      <c r="O637" s="6"/>
      <c r="P637" s="6"/>
    </row>
    <row r="638" spans="1:16" ht="12.45" x14ac:dyDescent="0.2">
      <c r="A638" s="3" t="s">
        <v>13</v>
      </c>
      <c r="B638" t="s">
        <v>1460</v>
      </c>
      <c r="C638" t="s">
        <v>2948</v>
      </c>
      <c r="D638" t="s">
        <v>22</v>
      </c>
      <c r="E638" t="s">
        <v>1439</v>
      </c>
      <c r="F638" t="s">
        <v>615</v>
      </c>
      <c r="G638" s="3" t="s">
        <v>1461</v>
      </c>
      <c r="H638" s="5">
        <v>377</v>
      </c>
      <c r="I638" s="3" t="s">
        <v>1430</v>
      </c>
      <c r="J638" s="3">
        <v>4</v>
      </c>
      <c r="K638" s="3">
        <v>2</v>
      </c>
      <c r="L638" s="3" t="s">
        <v>2903</v>
      </c>
      <c r="M638" s="3" t="s">
        <v>1443</v>
      </c>
      <c r="N638" s="3"/>
      <c r="O638" s="3"/>
      <c r="P638" s="3"/>
    </row>
    <row r="639" spans="1:16" ht="12.45" x14ac:dyDescent="0.2">
      <c r="A639" s="3" t="s">
        <v>13</v>
      </c>
      <c r="B639" t="s">
        <v>1428</v>
      </c>
      <c r="C639" t="s">
        <v>147</v>
      </c>
      <c r="D639" t="s">
        <v>148</v>
      </c>
      <c r="E639" t="s">
        <v>430</v>
      </c>
      <c r="F639" t="s">
        <v>148</v>
      </c>
      <c r="G639" s="3" t="s">
        <v>1429</v>
      </c>
      <c r="H639" s="5">
        <v>375</v>
      </c>
      <c r="I639" s="3" t="s">
        <v>1430</v>
      </c>
      <c r="J639" s="3">
        <v>1</v>
      </c>
      <c r="K639" s="3">
        <v>1</v>
      </c>
      <c r="L639" s="3" t="s">
        <v>2903</v>
      </c>
      <c r="M639" s="6"/>
      <c r="N639" s="6"/>
      <c r="O639" s="6"/>
      <c r="P639" s="6"/>
    </row>
    <row r="640" spans="1:16" ht="12.45" x14ac:dyDescent="0.2">
      <c r="A640" s="3" t="s">
        <v>13</v>
      </c>
      <c r="B640" t="s">
        <v>1469</v>
      </c>
      <c r="C640" t="s">
        <v>147</v>
      </c>
      <c r="D640" t="s">
        <v>148</v>
      </c>
      <c r="E640" t="s">
        <v>23</v>
      </c>
      <c r="F640" t="s">
        <v>148</v>
      </c>
      <c r="G640" s="3" t="s">
        <v>1470</v>
      </c>
      <c r="H640" s="5">
        <v>377</v>
      </c>
      <c r="I640" s="3" t="s">
        <v>1430</v>
      </c>
      <c r="J640" s="3">
        <v>5</v>
      </c>
      <c r="K640" s="3">
        <v>2</v>
      </c>
      <c r="L640" s="3" t="s">
        <v>2903</v>
      </c>
      <c r="M640" s="6" t="s">
        <v>1471</v>
      </c>
      <c r="N640" s="6"/>
      <c r="O640" s="6"/>
      <c r="P640" s="6"/>
    </row>
    <row r="641" spans="1:16" ht="12.45" x14ac:dyDescent="0.2">
      <c r="A641" s="3" t="s">
        <v>13</v>
      </c>
      <c r="B641" t="s">
        <v>1491</v>
      </c>
      <c r="C641" t="s">
        <v>147</v>
      </c>
      <c r="D641" t="s">
        <v>148</v>
      </c>
      <c r="E641" t="s">
        <v>1145</v>
      </c>
      <c r="F641" t="s">
        <v>148</v>
      </c>
      <c r="G641" s="3" t="s">
        <v>1492</v>
      </c>
      <c r="H641" s="5">
        <v>380</v>
      </c>
      <c r="I641" s="3" t="s">
        <v>1430</v>
      </c>
      <c r="J641" s="3">
        <v>5</v>
      </c>
      <c r="K641" s="3">
        <v>5</v>
      </c>
      <c r="L641" s="3" t="s">
        <v>2903</v>
      </c>
      <c r="M641" s="6" t="s">
        <v>1466</v>
      </c>
      <c r="N641" s="6"/>
      <c r="O641" s="6"/>
      <c r="P641" s="6"/>
    </row>
    <row r="642" spans="1:16" ht="12.45" x14ac:dyDescent="0.2">
      <c r="A642" s="3" t="s">
        <v>13</v>
      </c>
      <c r="B642" s="3" t="s">
        <v>1489</v>
      </c>
      <c r="C642" s="3" t="s">
        <v>64</v>
      </c>
      <c r="D642" s="3" t="s">
        <v>22</v>
      </c>
      <c r="E642" s="3" t="s">
        <v>50</v>
      </c>
      <c r="F642" s="3" t="s">
        <v>44</v>
      </c>
      <c r="G642" s="3"/>
      <c r="H642" s="5" t="s">
        <v>1490</v>
      </c>
      <c r="I642" s="3" t="s">
        <v>1430</v>
      </c>
      <c r="J642" s="5">
        <v>5</v>
      </c>
      <c r="K642" s="5">
        <v>4</v>
      </c>
      <c r="L642" s="3" t="s">
        <v>2903</v>
      </c>
      <c r="M642" s="6" t="s">
        <v>1481</v>
      </c>
      <c r="N642" s="6"/>
      <c r="O642" s="6"/>
      <c r="P642" s="6"/>
    </row>
    <row r="643" spans="1:16" ht="12.45" x14ac:dyDescent="0.2">
      <c r="A643" s="3" t="s">
        <v>13</v>
      </c>
      <c r="B643" t="s">
        <v>1450</v>
      </c>
      <c r="C643" t="s">
        <v>2944</v>
      </c>
      <c r="D643" t="s">
        <v>22</v>
      </c>
      <c r="E643" t="s">
        <v>23</v>
      </c>
      <c r="F643" t="s">
        <v>44</v>
      </c>
      <c r="G643" s="3" t="s">
        <v>1451</v>
      </c>
      <c r="H643" s="5">
        <v>376</v>
      </c>
      <c r="I643" s="3" t="s">
        <v>1430</v>
      </c>
      <c r="J643" s="3">
        <v>3</v>
      </c>
      <c r="K643" s="3">
        <v>1</v>
      </c>
      <c r="L643" s="3" t="s">
        <v>2903</v>
      </c>
      <c r="M643" s="3"/>
      <c r="N643" s="3"/>
      <c r="O643" s="3"/>
      <c r="P643" s="3"/>
    </row>
    <row r="644" spans="1:16" ht="12.45" x14ac:dyDescent="0.2">
      <c r="A644" s="3" t="s">
        <v>13</v>
      </c>
      <c r="B644" t="s">
        <v>1458</v>
      </c>
      <c r="C644" t="s">
        <v>2940</v>
      </c>
      <c r="D644" t="s">
        <v>28</v>
      </c>
      <c r="E644" t="s">
        <v>50</v>
      </c>
      <c r="F644" t="s">
        <v>44</v>
      </c>
      <c r="G644" s="3" t="s">
        <v>1459</v>
      </c>
      <c r="H644" s="5">
        <v>376</v>
      </c>
      <c r="I644" s="3" t="s">
        <v>1430</v>
      </c>
      <c r="J644" s="3">
        <v>4</v>
      </c>
      <c r="K644" s="3">
        <v>2</v>
      </c>
      <c r="L644" s="3" t="s">
        <v>2903</v>
      </c>
      <c r="M644" s="6" t="s">
        <v>1443</v>
      </c>
      <c r="N644" s="6"/>
      <c r="O644" s="6"/>
      <c r="P644" s="6"/>
    </row>
    <row r="645" spans="1:16" ht="12.45" x14ac:dyDescent="0.2">
      <c r="A645" s="3" t="s">
        <v>13</v>
      </c>
      <c r="B645" t="s">
        <v>1472</v>
      </c>
      <c r="C645" t="s">
        <v>2940</v>
      </c>
      <c r="D645" t="s">
        <v>28</v>
      </c>
      <c r="E645" t="s">
        <v>23</v>
      </c>
      <c r="F645" t="s">
        <v>44</v>
      </c>
      <c r="G645" s="3" t="s">
        <v>1473</v>
      </c>
      <c r="H645" s="5">
        <v>378</v>
      </c>
      <c r="I645" s="3" t="s">
        <v>1430</v>
      </c>
      <c r="J645" s="3">
        <v>5</v>
      </c>
      <c r="K645" s="3">
        <v>2</v>
      </c>
      <c r="L645" s="3" t="s">
        <v>2903</v>
      </c>
      <c r="M645" s="6" t="s">
        <v>1464</v>
      </c>
      <c r="N645" s="6"/>
      <c r="O645" s="6"/>
      <c r="P645" s="6"/>
    </row>
    <row r="646" spans="1:16" ht="12.45" x14ac:dyDescent="0.2">
      <c r="A646" s="3" t="s">
        <v>13</v>
      </c>
      <c r="B646" t="s">
        <v>1487</v>
      </c>
      <c r="C646" t="s">
        <v>2938</v>
      </c>
      <c r="D646" t="s">
        <v>28</v>
      </c>
      <c r="E646" t="s">
        <v>23</v>
      </c>
      <c r="F646" t="s">
        <v>44</v>
      </c>
      <c r="G646" s="3" t="s">
        <v>1488</v>
      </c>
      <c r="H646" s="5">
        <v>379</v>
      </c>
      <c r="I646" s="3" t="s">
        <v>1430</v>
      </c>
      <c r="J646" s="3">
        <v>5</v>
      </c>
      <c r="K646" s="3">
        <v>3</v>
      </c>
      <c r="L646" s="3" t="s">
        <v>2903</v>
      </c>
      <c r="M646" s="6" t="s">
        <v>1472</v>
      </c>
      <c r="N646" s="6"/>
      <c r="O646" s="6"/>
      <c r="P646" s="6"/>
    </row>
    <row r="647" spans="1:16" ht="12.45" x14ac:dyDescent="0.2">
      <c r="A647" s="3" t="s">
        <v>13</v>
      </c>
      <c r="B647" t="s">
        <v>1476</v>
      </c>
      <c r="C647" t="s">
        <v>2985</v>
      </c>
      <c r="D647" t="s">
        <v>28</v>
      </c>
      <c r="E647" t="s">
        <v>23</v>
      </c>
      <c r="F647" t="s">
        <v>1477</v>
      </c>
      <c r="G647" s="3" t="s">
        <v>1478</v>
      </c>
      <c r="H647" s="5">
        <v>378</v>
      </c>
      <c r="I647" s="3" t="s">
        <v>1430</v>
      </c>
      <c r="J647" s="3">
        <v>5</v>
      </c>
      <c r="K647" s="3">
        <v>3</v>
      </c>
      <c r="L647" s="3" t="s">
        <v>2903</v>
      </c>
      <c r="M647" s="6" t="s">
        <v>1469</v>
      </c>
      <c r="N647" s="6"/>
      <c r="O647" s="6"/>
      <c r="P647" s="6"/>
    </row>
    <row r="648" spans="1:16" ht="12.45" x14ac:dyDescent="0.2">
      <c r="A648" s="3" t="s">
        <v>13</v>
      </c>
      <c r="B648" t="s">
        <v>1498</v>
      </c>
      <c r="C648" t="s">
        <v>2950</v>
      </c>
      <c r="D648" t="s">
        <v>16</v>
      </c>
      <c r="E648" t="s">
        <v>23</v>
      </c>
      <c r="F648" t="s">
        <v>18</v>
      </c>
      <c r="G648" s="3" t="s">
        <v>1499</v>
      </c>
      <c r="H648" s="5">
        <v>381</v>
      </c>
      <c r="I648" s="3" t="s">
        <v>1495</v>
      </c>
      <c r="J648" s="3">
        <v>2</v>
      </c>
      <c r="K648" s="3">
        <v>1</v>
      </c>
      <c r="L648" s="3" t="s">
        <v>2907</v>
      </c>
      <c r="M648" s="6"/>
      <c r="N648" s="6"/>
      <c r="O648" s="6"/>
      <c r="P648" s="6"/>
    </row>
    <row r="649" spans="1:16" ht="12.45" x14ac:dyDescent="0.2">
      <c r="A649" s="3" t="s">
        <v>13</v>
      </c>
      <c r="B649" t="s">
        <v>1500</v>
      </c>
      <c r="C649" t="s">
        <v>2942</v>
      </c>
      <c r="D649" t="s">
        <v>22</v>
      </c>
      <c r="E649" t="s">
        <v>23</v>
      </c>
      <c r="F649" t="s">
        <v>18</v>
      </c>
      <c r="G649" s="3" t="s">
        <v>1501</v>
      </c>
      <c r="H649" s="5">
        <v>380</v>
      </c>
      <c r="I649" s="3" t="s">
        <v>1495</v>
      </c>
      <c r="J649" s="3">
        <v>3</v>
      </c>
      <c r="K649" s="3">
        <v>1</v>
      </c>
      <c r="L649" s="3" t="s">
        <v>2907</v>
      </c>
      <c r="M649" s="6" t="s">
        <v>1496</v>
      </c>
      <c r="N649" s="6"/>
      <c r="O649" s="6"/>
      <c r="P649" s="6"/>
    </row>
    <row r="650" spans="1:16" ht="12.45" x14ac:dyDescent="0.2">
      <c r="A650" s="3" t="s">
        <v>13</v>
      </c>
      <c r="B650" t="s">
        <v>1502</v>
      </c>
      <c r="C650" t="s">
        <v>2984</v>
      </c>
      <c r="D650" t="s">
        <v>22</v>
      </c>
      <c r="E650" t="s">
        <v>23</v>
      </c>
      <c r="F650" t="s">
        <v>18</v>
      </c>
      <c r="G650" s="3" t="s">
        <v>1503</v>
      </c>
      <c r="H650" s="5">
        <v>380</v>
      </c>
      <c r="I650" s="3" t="s">
        <v>1495</v>
      </c>
      <c r="J650" s="3">
        <v>3</v>
      </c>
      <c r="K650" s="3">
        <v>1</v>
      </c>
      <c r="L650" s="3" t="s">
        <v>2907</v>
      </c>
      <c r="M650" s="6" t="s">
        <v>1496</v>
      </c>
      <c r="N650" s="6"/>
      <c r="O650" s="6"/>
      <c r="P650" s="6"/>
    </row>
    <row r="651" spans="1:16" ht="12.45" x14ac:dyDescent="0.2">
      <c r="A651" s="3" t="s">
        <v>13</v>
      </c>
      <c r="B651" t="s">
        <v>1504</v>
      </c>
      <c r="C651" t="s">
        <v>2939</v>
      </c>
      <c r="D651" t="s">
        <v>22</v>
      </c>
      <c r="E651" t="s">
        <v>23</v>
      </c>
      <c r="F651" t="s">
        <v>18</v>
      </c>
      <c r="G651" s="3" t="s">
        <v>1505</v>
      </c>
      <c r="H651" s="5">
        <v>381</v>
      </c>
      <c r="I651" s="3" t="s">
        <v>1495</v>
      </c>
      <c r="J651" s="3">
        <v>3</v>
      </c>
      <c r="K651" s="3">
        <v>1</v>
      </c>
      <c r="L651" s="3" t="s">
        <v>2907</v>
      </c>
      <c r="M651" s="6" t="s">
        <v>1493</v>
      </c>
      <c r="N651" s="6"/>
      <c r="O651" s="6"/>
      <c r="P651" s="6"/>
    </row>
    <row r="652" spans="1:16" ht="12.45" x14ac:dyDescent="0.2">
      <c r="A652" s="3" t="s">
        <v>13</v>
      </c>
      <c r="B652" t="s">
        <v>1508</v>
      </c>
      <c r="C652" t="s">
        <v>2983</v>
      </c>
      <c r="D652" t="s">
        <v>22</v>
      </c>
      <c r="E652" t="s">
        <v>23</v>
      </c>
      <c r="F652" t="s">
        <v>18</v>
      </c>
      <c r="G652" s="3" t="s">
        <v>1509</v>
      </c>
      <c r="H652" s="5">
        <v>381</v>
      </c>
      <c r="I652" s="3" t="s">
        <v>1495</v>
      </c>
      <c r="J652" s="3">
        <v>3</v>
      </c>
      <c r="K652" s="3">
        <v>1</v>
      </c>
      <c r="L652" s="3" t="s">
        <v>2907</v>
      </c>
      <c r="M652" s="6" t="s">
        <v>1506</v>
      </c>
      <c r="N652" s="6"/>
      <c r="O652" s="6"/>
      <c r="P652" s="6"/>
    </row>
    <row r="653" spans="1:16" ht="12.45" x14ac:dyDescent="0.2">
      <c r="A653" s="3" t="s">
        <v>13</v>
      </c>
      <c r="B653" t="s">
        <v>1513</v>
      </c>
      <c r="C653" t="s">
        <v>2982</v>
      </c>
      <c r="D653" t="s">
        <v>28</v>
      </c>
      <c r="E653" t="s">
        <v>23</v>
      </c>
      <c r="F653" t="s">
        <v>18</v>
      </c>
      <c r="G653" s="3" t="s">
        <v>1514</v>
      </c>
      <c r="H653" s="5">
        <v>381</v>
      </c>
      <c r="I653" s="3" t="s">
        <v>1495</v>
      </c>
      <c r="J653" s="3">
        <v>3</v>
      </c>
      <c r="K653" s="3">
        <v>2</v>
      </c>
      <c r="L653" s="3" t="s">
        <v>2907</v>
      </c>
      <c r="M653" s="6" t="s">
        <v>1493</v>
      </c>
      <c r="N653" s="6"/>
      <c r="O653" s="6"/>
      <c r="P653" s="6"/>
    </row>
    <row r="654" spans="1:16" ht="12.45" x14ac:dyDescent="0.2">
      <c r="A654" s="3" t="s">
        <v>13</v>
      </c>
      <c r="B654" t="s">
        <v>1515</v>
      </c>
      <c r="C654" t="s">
        <v>147</v>
      </c>
      <c r="D654" t="s">
        <v>22</v>
      </c>
      <c r="E654" t="s">
        <v>23</v>
      </c>
      <c r="F654" t="s">
        <v>18</v>
      </c>
      <c r="G654" s="3" t="s">
        <v>1516</v>
      </c>
      <c r="H654" s="5">
        <v>383</v>
      </c>
      <c r="I654" s="3" t="s">
        <v>1495</v>
      </c>
      <c r="J654" s="3">
        <v>3</v>
      </c>
      <c r="K654" s="3">
        <v>2</v>
      </c>
      <c r="L654" s="3" t="s">
        <v>2907</v>
      </c>
      <c r="M654" s="6" t="s">
        <v>1498</v>
      </c>
      <c r="N654" s="6"/>
      <c r="O654" s="6"/>
      <c r="P654" s="6"/>
    </row>
    <row r="655" spans="1:16" ht="12.45" x14ac:dyDescent="0.2">
      <c r="A655" s="3" t="s">
        <v>13</v>
      </c>
      <c r="B655" t="s">
        <v>1517</v>
      </c>
      <c r="C655" t="s">
        <v>2981</v>
      </c>
      <c r="D655" t="s">
        <v>22</v>
      </c>
      <c r="E655" t="s">
        <v>212</v>
      </c>
      <c r="F655" t="s">
        <v>18</v>
      </c>
      <c r="G655" s="3" t="s">
        <v>1518</v>
      </c>
      <c r="H655" s="5">
        <v>382</v>
      </c>
      <c r="I655" s="3" t="s">
        <v>1495</v>
      </c>
      <c r="J655" s="3">
        <v>4</v>
      </c>
      <c r="K655" s="3">
        <v>2</v>
      </c>
      <c r="L655" s="3" t="s">
        <v>2907</v>
      </c>
      <c r="M655" s="6" t="s">
        <v>1500</v>
      </c>
      <c r="N655" s="6"/>
      <c r="O655" s="6"/>
      <c r="P655" s="6"/>
    </row>
    <row r="656" spans="1:16" ht="12.45" x14ac:dyDescent="0.2">
      <c r="A656" s="3" t="s">
        <v>13</v>
      </c>
      <c r="B656" t="s">
        <v>1519</v>
      </c>
      <c r="C656" t="s">
        <v>2939</v>
      </c>
      <c r="D656" t="s">
        <v>16</v>
      </c>
      <c r="E656" t="s">
        <v>23</v>
      </c>
      <c r="F656" t="s">
        <v>18</v>
      </c>
      <c r="G656" s="3" t="s">
        <v>1520</v>
      </c>
      <c r="H656" s="5">
        <v>382</v>
      </c>
      <c r="I656" s="3" t="s">
        <v>1495</v>
      </c>
      <c r="J656" s="3">
        <v>4</v>
      </c>
      <c r="K656" s="3">
        <v>2</v>
      </c>
      <c r="L656" s="3" t="s">
        <v>2907</v>
      </c>
      <c r="M656" s="6" t="s">
        <v>1502</v>
      </c>
      <c r="N656" s="6"/>
      <c r="O656" s="6"/>
      <c r="P656" s="6"/>
    </row>
    <row r="657" spans="1:16" ht="12.45" x14ac:dyDescent="0.2">
      <c r="A657" s="3" t="s">
        <v>13</v>
      </c>
      <c r="B657" t="s">
        <v>1521</v>
      </c>
      <c r="C657" t="s">
        <v>2980</v>
      </c>
      <c r="D657" t="s">
        <v>22</v>
      </c>
      <c r="E657" t="s">
        <v>23</v>
      </c>
      <c r="F657" t="s">
        <v>18</v>
      </c>
      <c r="G657" s="3" t="s">
        <v>1522</v>
      </c>
      <c r="H657" s="5">
        <v>382</v>
      </c>
      <c r="I657" s="3" t="s">
        <v>1495</v>
      </c>
      <c r="J657" s="3">
        <v>4</v>
      </c>
      <c r="K657" s="3">
        <v>2</v>
      </c>
      <c r="L657" s="3" t="s">
        <v>2907</v>
      </c>
      <c r="M657" s="6" t="s">
        <v>1504</v>
      </c>
      <c r="N657" s="6"/>
      <c r="O657" s="6"/>
      <c r="P657" s="6"/>
    </row>
    <row r="658" spans="1:16" ht="12.45" x14ac:dyDescent="0.2">
      <c r="A658" s="3" t="s">
        <v>13</v>
      </c>
      <c r="B658" t="s">
        <v>1523</v>
      </c>
      <c r="C658" t="s">
        <v>2940</v>
      </c>
      <c r="D658" t="s">
        <v>22</v>
      </c>
      <c r="E658" t="s">
        <v>1103</v>
      </c>
      <c r="F658" t="s">
        <v>18</v>
      </c>
      <c r="G658" s="3" t="s">
        <v>1524</v>
      </c>
      <c r="H658" s="5">
        <v>383</v>
      </c>
      <c r="I658" s="3" t="s">
        <v>1495</v>
      </c>
      <c r="J658" s="3">
        <v>4</v>
      </c>
      <c r="K658" s="3">
        <v>2</v>
      </c>
      <c r="L658" s="3" t="s">
        <v>2907</v>
      </c>
      <c r="M658" s="6" t="s">
        <v>1506</v>
      </c>
      <c r="N658" s="6"/>
      <c r="O658" s="6"/>
      <c r="P658" s="6"/>
    </row>
    <row r="659" spans="1:16" ht="12.45" x14ac:dyDescent="0.2">
      <c r="A659" s="3" t="s">
        <v>13</v>
      </c>
      <c r="B659" t="s">
        <v>1525</v>
      </c>
      <c r="C659" t="s">
        <v>2942</v>
      </c>
      <c r="D659" t="s">
        <v>22</v>
      </c>
      <c r="E659" t="s">
        <v>23</v>
      </c>
      <c r="F659" t="s">
        <v>18</v>
      </c>
      <c r="G659" s="3" t="s">
        <v>1526</v>
      </c>
      <c r="H659" s="5">
        <v>383</v>
      </c>
      <c r="I659" s="3" t="s">
        <v>1495</v>
      </c>
      <c r="J659" s="3">
        <v>4</v>
      </c>
      <c r="K659" s="3">
        <v>2</v>
      </c>
      <c r="L659" s="3" t="s">
        <v>2907</v>
      </c>
      <c r="M659" s="6" t="s">
        <v>1506</v>
      </c>
      <c r="N659" s="6"/>
      <c r="O659" s="6"/>
      <c r="P659" s="6"/>
    </row>
    <row r="660" spans="1:16" ht="12.45" x14ac:dyDescent="0.2">
      <c r="A660" s="3" t="s">
        <v>13</v>
      </c>
      <c r="B660" t="s">
        <v>1533</v>
      </c>
      <c r="C660" t="s">
        <v>2979</v>
      </c>
      <c r="D660" t="s">
        <v>16</v>
      </c>
      <c r="E660" t="s">
        <v>23</v>
      </c>
      <c r="F660" t="s">
        <v>18</v>
      </c>
      <c r="G660" s="3" t="s">
        <v>1534</v>
      </c>
      <c r="H660" s="5">
        <v>382</v>
      </c>
      <c r="I660" s="3" t="s">
        <v>1495</v>
      </c>
      <c r="J660" s="3">
        <v>5</v>
      </c>
      <c r="K660" s="3">
        <v>2</v>
      </c>
      <c r="L660" s="3" t="s">
        <v>2907</v>
      </c>
      <c r="M660" s="6" t="s">
        <v>1502</v>
      </c>
      <c r="N660" s="6"/>
      <c r="O660" s="6"/>
      <c r="P660" s="6"/>
    </row>
    <row r="661" spans="1:16" ht="12.45" x14ac:dyDescent="0.2">
      <c r="A661" s="3" t="s">
        <v>13</v>
      </c>
      <c r="B661" t="s">
        <v>1535</v>
      </c>
      <c r="C661" t="s">
        <v>2943</v>
      </c>
      <c r="D661" t="s">
        <v>16</v>
      </c>
      <c r="E661" t="s">
        <v>23</v>
      </c>
      <c r="F661" t="s">
        <v>18</v>
      </c>
      <c r="G661" s="3" t="s">
        <v>1536</v>
      </c>
      <c r="H661" s="5">
        <v>383</v>
      </c>
      <c r="I661" s="3" t="s">
        <v>1495</v>
      </c>
      <c r="J661" s="3">
        <v>5</v>
      </c>
      <c r="K661" s="3">
        <v>2</v>
      </c>
      <c r="L661" s="3" t="s">
        <v>2907</v>
      </c>
      <c r="M661" s="6" t="s">
        <v>1521</v>
      </c>
      <c r="N661" s="6"/>
      <c r="O661" s="6"/>
      <c r="P661" s="6"/>
    </row>
    <row r="662" spans="1:16" ht="12.45" x14ac:dyDescent="0.2">
      <c r="A662" s="3" t="s">
        <v>13</v>
      </c>
      <c r="B662" t="s">
        <v>1537</v>
      </c>
      <c r="C662" t="s">
        <v>2978</v>
      </c>
      <c r="D662" t="s">
        <v>28</v>
      </c>
      <c r="E662" t="s">
        <v>23</v>
      </c>
      <c r="F662" t="s">
        <v>18</v>
      </c>
      <c r="G662" s="3" t="s">
        <v>1538</v>
      </c>
      <c r="H662" s="5">
        <v>383</v>
      </c>
      <c r="I662" s="3" t="s">
        <v>1495</v>
      </c>
      <c r="J662" s="3">
        <v>5</v>
      </c>
      <c r="K662" s="3">
        <v>2</v>
      </c>
      <c r="L662" s="3" t="s">
        <v>2907</v>
      </c>
      <c r="M662" s="3" t="s">
        <v>1508</v>
      </c>
      <c r="N662" s="3"/>
      <c r="O662" s="3"/>
      <c r="P662" s="3"/>
    </row>
    <row r="663" spans="1:16" ht="12.45" x14ac:dyDescent="0.2">
      <c r="A663" s="3" t="s">
        <v>13</v>
      </c>
      <c r="B663" t="s">
        <v>1539</v>
      </c>
      <c r="C663" t="s">
        <v>2945</v>
      </c>
      <c r="D663" t="s">
        <v>22</v>
      </c>
      <c r="E663" t="s">
        <v>23</v>
      </c>
      <c r="F663" t="s">
        <v>18</v>
      </c>
      <c r="G663" s="3" t="s">
        <v>1540</v>
      </c>
      <c r="H663" s="5">
        <v>383</v>
      </c>
      <c r="I663" s="3" t="s">
        <v>1495</v>
      </c>
      <c r="J663" s="3">
        <v>5</v>
      </c>
      <c r="K663" s="3">
        <v>2</v>
      </c>
      <c r="L663" s="3" t="s">
        <v>2907</v>
      </c>
      <c r="M663" s="3" t="s">
        <v>1525</v>
      </c>
      <c r="N663" s="3"/>
      <c r="O663" s="3"/>
      <c r="P663" s="3"/>
    </row>
    <row r="664" spans="1:16" ht="12.45" x14ac:dyDescent="0.2">
      <c r="A664" s="3" t="s">
        <v>13</v>
      </c>
      <c r="B664" t="s">
        <v>1547</v>
      </c>
      <c r="C664" t="s">
        <v>2977</v>
      </c>
      <c r="D664" t="s">
        <v>16</v>
      </c>
      <c r="E664" t="s">
        <v>23</v>
      </c>
      <c r="F664" t="s">
        <v>18</v>
      </c>
      <c r="G664" s="3" t="s">
        <v>1548</v>
      </c>
      <c r="H664" s="5">
        <v>384</v>
      </c>
      <c r="I664" s="3" t="s">
        <v>1495</v>
      </c>
      <c r="J664" s="3">
        <v>5</v>
      </c>
      <c r="K664" s="3">
        <v>3</v>
      </c>
      <c r="L664" s="3" t="s">
        <v>2907</v>
      </c>
      <c r="M664" s="6" t="s">
        <v>1517</v>
      </c>
      <c r="N664" s="6"/>
      <c r="O664" s="6"/>
      <c r="P664" s="6"/>
    </row>
    <row r="665" spans="1:16" ht="12.45" x14ac:dyDescent="0.2">
      <c r="A665" s="3" t="s">
        <v>13</v>
      </c>
      <c r="B665" t="s">
        <v>1551</v>
      </c>
      <c r="C665" t="s">
        <v>2939</v>
      </c>
      <c r="D665" t="s">
        <v>22</v>
      </c>
      <c r="E665" t="s">
        <v>23</v>
      </c>
      <c r="F665" t="s">
        <v>18</v>
      </c>
      <c r="G665" s="3" t="s">
        <v>1552</v>
      </c>
      <c r="H665" s="5">
        <v>384</v>
      </c>
      <c r="I665" s="3" t="s">
        <v>1495</v>
      </c>
      <c r="J665" s="3">
        <v>5</v>
      </c>
      <c r="K665" s="3">
        <v>3</v>
      </c>
      <c r="L665" s="3" t="s">
        <v>2907</v>
      </c>
      <c r="M665" s="3" t="s">
        <v>1529</v>
      </c>
      <c r="N665" s="3"/>
      <c r="O665" s="3"/>
      <c r="P665" s="3"/>
    </row>
    <row r="666" spans="1:16" ht="12.45" x14ac:dyDescent="0.2">
      <c r="A666" s="3" t="s">
        <v>13</v>
      </c>
      <c r="B666" t="s">
        <v>1557</v>
      </c>
      <c r="C666" t="s">
        <v>2962</v>
      </c>
      <c r="D666" t="s">
        <v>22</v>
      </c>
      <c r="E666" t="s">
        <v>23</v>
      </c>
      <c r="F666" t="s">
        <v>18</v>
      </c>
      <c r="G666" s="3" t="s">
        <v>1558</v>
      </c>
      <c r="H666" s="5">
        <v>385</v>
      </c>
      <c r="I666" s="3" t="s">
        <v>1495</v>
      </c>
      <c r="J666" s="3">
        <v>5</v>
      </c>
      <c r="K666" s="3">
        <v>3</v>
      </c>
      <c r="L666" s="3" t="s">
        <v>2907</v>
      </c>
      <c r="M666" s="6" t="s">
        <v>1555</v>
      </c>
      <c r="N666" s="6"/>
      <c r="O666" s="6"/>
      <c r="P666" s="6"/>
    </row>
    <row r="667" spans="1:16" ht="12.45" x14ac:dyDescent="0.2">
      <c r="A667" s="3" t="s">
        <v>13</v>
      </c>
      <c r="B667" t="s">
        <v>1559</v>
      </c>
      <c r="C667" t="s">
        <v>2976</v>
      </c>
      <c r="D667" t="s">
        <v>22</v>
      </c>
      <c r="E667" t="s">
        <v>23</v>
      </c>
      <c r="F667" t="s">
        <v>18</v>
      </c>
      <c r="G667" s="3" t="s">
        <v>1560</v>
      </c>
      <c r="H667" s="5">
        <v>385</v>
      </c>
      <c r="I667" s="3" t="s">
        <v>1495</v>
      </c>
      <c r="J667" s="3">
        <v>5</v>
      </c>
      <c r="K667" s="3">
        <v>3</v>
      </c>
      <c r="L667" s="3" t="s">
        <v>2907</v>
      </c>
      <c r="M667" s="6" t="s">
        <v>1513</v>
      </c>
      <c r="N667" s="6"/>
      <c r="O667" s="6"/>
      <c r="P667" s="6"/>
    </row>
    <row r="668" spans="1:16" ht="12.45" x14ac:dyDescent="0.2">
      <c r="A668" s="3" t="s">
        <v>13</v>
      </c>
      <c r="B668" t="s">
        <v>1565</v>
      </c>
      <c r="C668" t="s">
        <v>2946</v>
      </c>
      <c r="D668" t="s">
        <v>22</v>
      </c>
      <c r="E668" t="s">
        <v>303</v>
      </c>
      <c r="F668" t="s">
        <v>18</v>
      </c>
      <c r="G668" s="3" t="s">
        <v>1566</v>
      </c>
      <c r="H668" s="5">
        <v>386</v>
      </c>
      <c r="I668" s="3" t="s">
        <v>1495</v>
      </c>
      <c r="J668" s="3">
        <v>5</v>
      </c>
      <c r="K668" s="3">
        <v>3</v>
      </c>
      <c r="L668" s="3" t="s">
        <v>2907</v>
      </c>
      <c r="M668" s="6" t="s">
        <v>1523</v>
      </c>
      <c r="N668" s="6"/>
      <c r="O668" s="6"/>
      <c r="P668" s="6"/>
    </row>
    <row r="669" spans="1:16" ht="12.45" x14ac:dyDescent="0.2">
      <c r="A669" s="3" t="s">
        <v>13</v>
      </c>
      <c r="B669" s="3" t="s">
        <v>1510</v>
      </c>
      <c r="C669" s="3" t="s">
        <v>40</v>
      </c>
      <c r="D669" s="3" t="s">
        <v>22</v>
      </c>
      <c r="E669" s="3" t="s">
        <v>23</v>
      </c>
      <c r="F669" s="3" t="s">
        <v>1511</v>
      </c>
      <c r="G669" s="3"/>
      <c r="H669" s="5" t="s">
        <v>1490</v>
      </c>
      <c r="I669" s="3" t="s">
        <v>1495</v>
      </c>
      <c r="J669" s="5">
        <v>3</v>
      </c>
      <c r="K669" s="5">
        <v>1</v>
      </c>
      <c r="L669" s="3" t="s">
        <v>2907</v>
      </c>
      <c r="M669" s="6" t="s">
        <v>1512</v>
      </c>
      <c r="N669" s="6"/>
      <c r="O669" s="6"/>
      <c r="P669" s="6"/>
    </row>
    <row r="670" spans="1:16" ht="12.45" x14ac:dyDescent="0.2">
      <c r="A670" s="3" t="s">
        <v>13</v>
      </c>
      <c r="B670" t="s">
        <v>1543</v>
      </c>
      <c r="C670" t="s">
        <v>2938</v>
      </c>
      <c r="D670" t="s">
        <v>22</v>
      </c>
      <c r="E670" t="s">
        <v>23</v>
      </c>
      <c r="F670" t="s">
        <v>563</v>
      </c>
      <c r="G670" s="3" t="s">
        <v>1544</v>
      </c>
      <c r="H670" s="5">
        <v>383</v>
      </c>
      <c r="I670" s="3" t="s">
        <v>1495</v>
      </c>
      <c r="J670" s="3">
        <v>5</v>
      </c>
      <c r="K670" s="3">
        <v>3</v>
      </c>
      <c r="L670" s="3" t="s">
        <v>2907</v>
      </c>
      <c r="M670" s="3" t="s">
        <v>1493</v>
      </c>
      <c r="N670" s="3"/>
      <c r="O670" s="3"/>
      <c r="P670" s="3"/>
    </row>
    <row r="671" spans="1:16" ht="12.45" x14ac:dyDescent="0.2">
      <c r="A671" s="3" t="s">
        <v>13</v>
      </c>
      <c r="B671" t="s">
        <v>1561</v>
      </c>
      <c r="C671" t="s">
        <v>2942</v>
      </c>
      <c r="D671" t="s">
        <v>22</v>
      </c>
      <c r="E671" t="s">
        <v>23</v>
      </c>
      <c r="F671" t="s">
        <v>563</v>
      </c>
      <c r="G671" s="3" t="s">
        <v>1562</v>
      </c>
      <c r="H671" s="5">
        <v>385</v>
      </c>
      <c r="I671" s="3" t="s">
        <v>1495</v>
      </c>
      <c r="J671" s="3">
        <v>5</v>
      </c>
      <c r="K671" s="3">
        <v>3</v>
      </c>
      <c r="L671" s="3" t="s">
        <v>2907</v>
      </c>
      <c r="M671" s="6" t="s">
        <v>1559</v>
      </c>
      <c r="N671" s="6"/>
      <c r="O671" s="6"/>
      <c r="P671" s="6"/>
    </row>
    <row r="672" spans="1:16" ht="12.45" x14ac:dyDescent="0.2">
      <c r="A672" s="3" t="s">
        <v>13</v>
      </c>
      <c r="B672" t="s">
        <v>1496</v>
      </c>
      <c r="C672" t="s">
        <v>2942</v>
      </c>
      <c r="D672" t="s">
        <v>22</v>
      </c>
      <c r="E672" t="s">
        <v>23</v>
      </c>
      <c r="F672" t="s">
        <v>683</v>
      </c>
      <c r="G672" s="3" t="s">
        <v>1497</v>
      </c>
      <c r="H672" s="5">
        <v>380</v>
      </c>
      <c r="I672" s="3" t="s">
        <v>1495</v>
      </c>
      <c r="J672" s="3">
        <v>2</v>
      </c>
      <c r="K672" s="3">
        <v>1</v>
      </c>
      <c r="L672" s="3" t="s">
        <v>2907</v>
      </c>
      <c r="M672" s="6" t="s">
        <v>1493</v>
      </c>
      <c r="N672" s="6"/>
      <c r="O672" s="6"/>
      <c r="P672" s="6"/>
    </row>
    <row r="673" spans="1:16" ht="12.45" x14ac:dyDescent="0.2">
      <c r="A673" s="3" t="s">
        <v>13</v>
      </c>
      <c r="B673" t="s">
        <v>1531</v>
      </c>
      <c r="C673" t="s">
        <v>2945</v>
      </c>
      <c r="D673" t="s">
        <v>22</v>
      </c>
      <c r="E673" t="s">
        <v>23</v>
      </c>
      <c r="F673" t="s">
        <v>615</v>
      </c>
      <c r="G673" s="3" t="s">
        <v>1532</v>
      </c>
      <c r="H673" s="5">
        <v>382</v>
      </c>
      <c r="I673" s="3" t="s">
        <v>1495</v>
      </c>
      <c r="J673" s="3">
        <v>5</v>
      </c>
      <c r="K673" s="3">
        <v>2</v>
      </c>
      <c r="L673" s="3" t="s">
        <v>2907</v>
      </c>
      <c r="M673" s="4" t="s">
        <v>1519</v>
      </c>
      <c r="N673" s="4"/>
      <c r="O673" s="4"/>
      <c r="P673" s="4"/>
    </row>
    <row r="674" spans="1:16" ht="12.45" x14ac:dyDescent="0.2">
      <c r="A674" s="3" t="s">
        <v>13</v>
      </c>
      <c r="B674" t="s">
        <v>1555</v>
      </c>
      <c r="C674" t="s">
        <v>2939</v>
      </c>
      <c r="D674" t="s">
        <v>22</v>
      </c>
      <c r="E674" t="s">
        <v>23</v>
      </c>
      <c r="F674" t="s">
        <v>615</v>
      </c>
      <c r="G674" s="3" t="s">
        <v>1556</v>
      </c>
      <c r="H674" s="5">
        <v>385</v>
      </c>
      <c r="I674" s="3" t="s">
        <v>1495</v>
      </c>
      <c r="J674" s="3">
        <v>5</v>
      </c>
      <c r="K674" s="3">
        <v>3</v>
      </c>
      <c r="L674" s="3" t="s">
        <v>2907</v>
      </c>
      <c r="M674" s="6" t="s">
        <v>1533</v>
      </c>
      <c r="N674" s="6"/>
      <c r="O674" s="6"/>
      <c r="P674" s="6"/>
    </row>
    <row r="675" spans="1:16" ht="12.45" x14ac:dyDescent="0.2">
      <c r="A675" s="3" t="s">
        <v>13</v>
      </c>
      <c r="B675" t="s">
        <v>1493</v>
      </c>
      <c r="C675" t="s">
        <v>147</v>
      </c>
      <c r="D675" t="s">
        <v>148</v>
      </c>
      <c r="E675" t="s">
        <v>23</v>
      </c>
      <c r="F675" t="s">
        <v>148</v>
      </c>
      <c r="G675" s="3" t="s">
        <v>1494</v>
      </c>
      <c r="H675" s="5">
        <v>380</v>
      </c>
      <c r="I675" s="3" t="s">
        <v>1495</v>
      </c>
      <c r="J675" s="3">
        <v>1</v>
      </c>
      <c r="K675" s="3">
        <v>1</v>
      </c>
      <c r="L675" s="3" t="s">
        <v>2907</v>
      </c>
      <c r="M675" s="6"/>
      <c r="N675" s="6"/>
      <c r="O675" s="6"/>
      <c r="P675" s="6"/>
    </row>
    <row r="676" spans="1:16" ht="12.45" x14ac:dyDescent="0.2">
      <c r="A676" s="3" t="s">
        <v>13</v>
      </c>
      <c r="B676" t="s">
        <v>1506</v>
      </c>
      <c r="C676" t="s">
        <v>2975</v>
      </c>
      <c r="D676" t="s">
        <v>22</v>
      </c>
      <c r="E676" t="s">
        <v>23</v>
      </c>
      <c r="F676" t="s">
        <v>148</v>
      </c>
      <c r="G676" s="3" t="s">
        <v>1507</v>
      </c>
      <c r="H676" s="5">
        <v>381</v>
      </c>
      <c r="I676" s="3" t="s">
        <v>1495</v>
      </c>
      <c r="J676" s="3">
        <v>3</v>
      </c>
      <c r="K676" s="3">
        <v>1</v>
      </c>
      <c r="L676" s="3" t="s">
        <v>2907</v>
      </c>
      <c r="M676" s="6" t="s">
        <v>1498</v>
      </c>
      <c r="N676" s="6"/>
      <c r="O676" s="6"/>
      <c r="P676" s="6"/>
    </row>
    <row r="677" spans="1:16" ht="12.45" x14ac:dyDescent="0.2">
      <c r="A677" s="3" t="s">
        <v>13</v>
      </c>
      <c r="B677" t="s">
        <v>1529</v>
      </c>
      <c r="C677" t="s">
        <v>2974</v>
      </c>
      <c r="D677" t="s">
        <v>148</v>
      </c>
      <c r="E677" t="s">
        <v>23</v>
      </c>
      <c r="F677" t="s">
        <v>148</v>
      </c>
      <c r="G677" s="3" t="s">
        <v>1530</v>
      </c>
      <c r="H677" s="5">
        <v>382</v>
      </c>
      <c r="I677" s="3" t="s">
        <v>1495</v>
      </c>
      <c r="J677" s="3">
        <v>5</v>
      </c>
      <c r="K677" s="3">
        <v>2</v>
      </c>
      <c r="L677" s="3" t="s">
        <v>2907</v>
      </c>
      <c r="M677" s="6" t="s">
        <v>1519</v>
      </c>
      <c r="N677" s="6"/>
      <c r="O677" s="6"/>
      <c r="P677" s="6"/>
    </row>
    <row r="678" spans="1:16" ht="12.45" x14ac:dyDescent="0.2">
      <c r="A678" s="3" t="s">
        <v>13</v>
      </c>
      <c r="B678" t="s">
        <v>1541</v>
      </c>
      <c r="C678" t="s">
        <v>147</v>
      </c>
      <c r="D678" t="s">
        <v>148</v>
      </c>
      <c r="E678" t="s">
        <v>23</v>
      </c>
      <c r="F678" t="s">
        <v>148</v>
      </c>
      <c r="G678" s="3" t="s">
        <v>1542</v>
      </c>
      <c r="H678" s="5">
        <v>386</v>
      </c>
      <c r="I678" s="3" t="s">
        <v>1495</v>
      </c>
      <c r="J678" s="3">
        <v>4</v>
      </c>
      <c r="K678" s="3">
        <v>3</v>
      </c>
      <c r="L678" s="3" t="s">
        <v>2907</v>
      </c>
      <c r="M678" s="3" t="s">
        <v>1515</v>
      </c>
      <c r="N678" s="3"/>
      <c r="O678" s="3"/>
      <c r="P678" s="3"/>
    </row>
    <row r="679" spans="1:16" ht="12.45" x14ac:dyDescent="0.2">
      <c r="A679" s="3" t="s">
        <v>13</v>
      </c>
      <c r="B679" t="s">
        <v>1545</v>
      </c>
      <c r="C679" t="s">
        <v>147</v>
      </c>
      <c r="D679" t="s">
        <v>148</v>
      </c>
      <c r="E679" t="s">
        <v>23</v>
      </c>
      <c r="F679" t="s">
        <v>148</v>
      </c>
      <c r="G679" s="3" t="s">
        <v>1546</v>
      </c>
      <c r="H679" s="5">
        <v>384</v>
      </c>
      <c r="I679" s="3" t="s">
        <v>1495</v>
      </c>
      <c r="J679" s="3">
        <v>5</v>
      </c>
      <c r="K679" s="3">
        <v>3</v>
      </c>
      <c r="L679" s="3" t="s">
        <v>2907</v>
      </c>
      <c r="M679" s="6" t="s">
        <v>1493</v>
      </c>
      <c r="N679" s="6"/>
      <c r="O679" s="6"/>
      <c r="P679" s="6"/>
    </row>
    <row r="680" spans="1:16" ht="12.45" x14ac:dyDescent="0.2">
      <c r="A680" s="3" t="s">
        <v>13</v>
      </c>
      <c r="B680" t="s">
        <v>1549</v>
      </c>
      <c r="C680" t="s">
        <v>147</v>
      </c>
      <c r="D680" t="s">
        <v>148</v>
      </c>
      <c r="E680" t="s">
        <v>23</v>
      </c>
      <c r="F680" t="s">
        <v>148</v>
      </c>
      <c r="G680" s="3" t="s">
        <v>1550</v>
      </c>
      <c r="H680" s="5">
        <v>384</v>
      </c>
      <c r="I680" s="3" t="s">
        <v>1495</v>
      </c>
      <c r="J680" s="3">
        <v>5</v>
      </c>
      <c r="K680" s="3">
        <v>3</v>
      </c>
      <c r="L680" s="3" t="s">
        <v>2907</v>
      </c>
      <c r="M680" s="6" t="s">
        <v>1529</v>
      </c>
      <c r="N680" s="6"/>
      <c r="O680" s="6"/>
      <c r="P680" s="6"/>
    </row>
    <row r="681" spans="1:16" ht="12.45" x14ac:dyDescent="0.2">
      <c r="A681" s="3" t="s">
        <v>13</v>
      </c>
      <c r="B681" t="s">
        <v>1563</v>
      </c>
      <c r="C681" t="s">
        <v>147</v>
      </c>
      <c r="D681" t="s">
        <v>148</v>
      </c>
      <c r="E681" t="s">
        <v>23</v>
      </c>
      <c r="F681" t="s">
        <v>148</v>
      </c>
      <c r="G681" s="3" t="s">
        <v>1564</v>
      </c>
      <c r="H681" s="5">
        <v>385</v>
      </c>
      <c r="I681" s="3" t="s">
        <v>1495</v>
      </c>
      <c r="J681" s="3">
        <v>5</v>
      </c>
      <c r="K681" s="3">
        <v>3</v>
      </c>
      <c r="L681" s="3" t="s">
        <v>2907</v>
      </c>
      <c r="M681" s="6" t="s">
        <v>1515</v>
      </c>
      <c r="N681" s="6"/>
      <c r="O681" s="6"/>
      <c r="P681" s="6"/>
    </row>
    <row r="682" spans="1:16" ht="12.45" x14ac:dyDescent="0.2">
      <c r="A682" s="3" t="s">
        <v>13</v>
      </c>
      <c r="B682" t="s">
        <v>1527</v>
      </c>
      <c r="C682" t="s">
        <v>2940</v>
      </c>
      <c r="D682" t="s">
        <v>22</v>
      </c>
      <c r="E682" t="s">
        <v>212</v>
      </c>
      <c r="F682" t="s">
        <v>44</v>
      </c>
      <c r="G682" s="3" t="s">
        <v>1528</v>
      </c>
      <c r="H682" s="5">
        <v>382</v>
      </c>
      <c r="I682" s="3" t="s">
        <v>1495</v>
      </c>
      <c r="J682" s="3">
        <v>5</v>
      </c>
      <c r="K682" s="3">
        <v>2</v>
      </c>
      <c r="L682" s="3" t="s">
        <v>2907</v>
      </c>
      <c r="M682" s="6" t="s">
        <v>1519</v>
      </c>
      <c r="N682" s="6"/>
      <c r="O682" s="6"/>
      <c r="P682" s="6"/>
    </row>
    <row r="683" spans="1:16" ht="12.45" x14ac:dyDescent="0.2">
      <c r="A683" s="3" t="s">
        <v>13</v>
      </c>
      <c r="B683" t="s">
        <v>1553</v>
      </c>
      <c r="C683" t="s">
        <v>2973</v>
      </c>
      <c r="D683" t="s">
        <v>28</v>
      </c>
      <c r="E683" t="s">
        <v>212</v>
      </c>
      <c r="F683" t="s">
        <v>44</v>
      </c>
      <c r="G683" s="3" t="s">
        <v>1554</v>
      </c>
      <c r="H683" s="5">
        <v>385</v>
      </c>
      <c r="I683" s="3" t="s">
        <v>1495</v>
      </c>
      <c r="J683" s="3">
        <v>5</v>
      </c>
      <c r="K683" s="3">
        <v>3</v>
      </c>
      <c r="L683" s="3" t="s">
        <v>2907</v>
      </c>
      <c r="M683" s="6" t="s">
        <v>1533</v>
      </c>
      <c r="N683" s="6"/>
      <c r="O683" s="6"/>
      <c r="P683" s="6"/>
    </row>
    <row r="684" spans="1:16" ht="12.45" x14ac:dyDescent="0.2">
      <c r="A684" s="3" t="s">
        <v>13</v>
      </c>
      <c r="B684" t="s">
        <v>1567</v>
      </c>
      <c r="C684" t="s">
        <v>2940</v>
      </c>
      <c r="D684" t="s">
        <v>28</v>
      </c>
      <c r="E684" t="s">
        <v>23</v>
      </c>
      <c r="F684" t="s">
        <v>44</v>
      </c>
      <c r="G684" s="3" t="s">
        <v>1568</v>
      </c>
      <c r="H684" s="5">
        <v>386</v>
      </c>
      <c r="I684" s="3" t="s">
        <v>1495</v>
      </c>
      <c r="J684" s="3">
        <v>5</v>
      </c>
      <c r="K684" s="3">
        <v>3</v>
      </c>
      <c r="L684" s="3" t="s">
        <v>2907</v>
      </c>
      <c r="M684" s="6" t="s">
        <v>1539</v>
      </c>
      <c r="N684" s="6"/>
      <c r="O684" s="6"/>
      <c r="P684" s="6"/>
    </row>
    <row r="685" spans="1:16" ht="12.45" x14ac:dyDescent="0.2">
      <c r="A685" s="3" t="s">
        <v>13</v>
      </c>
      <c r="B685" t="s">
        <v>1242</v>
      </c>
      <c r="C685" t="s">
        <v>147</v>
      </c>
      <c r="D685" t="s">
        <v>148</v>
      </c>
      <c r="E685" t="s">
        <v>23</v>
      </c>
      <c r="F685" t="s">
        <v>148</v>
      </c>
      <c r="G685" s="3" t="s">
        <v>1243</v>
      </c>
      <c r="H685" s="5">
        <v>358</v>
      </c>
      <c r="I685" s="3" t="s">
        <v>1193</v>
      </c>
      <c r="J685" s="3">
        <v>5</v>
      </c>
      <c r="K685" s="3">
        <v>3</v>
      </c>
      <c r="L685" s="3" t="s">
        <v>2910</v>
      </c>
      <c r="M685" s="6" t="s">
        <v>1232</v>
      </c>
      <c r="N685" s="6"/>
      <c r="O685" s="6"/>
      <c r="P685" s="6"/>
    </row>
    <row r="686" spans="1:16" ht="12.45" x14ac:dyDescent="0.2">
      <c r="A686" s="3" t="s">
        <v>13</v>
      </c>
      <c r="B686" t="s">
        <v>1246</v>
      </c>
      <c r="C686" t="s">
        <v>147</v>
      </c>
      <c r="D686" t="s">
        <v>148</v>
      </c>
      <c r="E686" t="s">
        <v>23</v>
      </c>
      <c r="F686" t="s">
        <v>148</v>
      </c>
      <c r="G686" s="3" t="s">
        <v>1247</v>
      </c>
      <c r="H686" s="5">
        <v>358</v>
      </c>
      <c r="I686" s="3" t="s">
        <v>1193</v>
      </c>
      <c r="J686" s="3">
        <v>5</v>
      </c>
      <c r="K686" s="3">
        <v>3</v>
      </c>
      <c r="L686" s="3" t="s">
        <v>2910</v>
      </c>
      <c r="M686" s="6" t="s">
        <v>1226</v>
      </c>
      <c r="N686" s="6"/>
      <c r="O686" s="6"/>
      <c r="P686" s="6"/>
    </row>
    <row r="687" spans="1:16" ht="12.45" x14ac:dyDescent="0.2">
      <c r="A687" s="3" t="s">
        <v>13</v>
      </c>
      <c r="B687" t="s">
        <v>1248</v>
      </c>
      <c r="C687" t="s">
        <v>147</v>
      </c>
      <c r="D687" t="s">
        <v>148</v>
      </c>
      <c r="E687" t="s">
        <v>23</v>
      </c>
      <c r="F687" t="s">
        <v>148</v>
      </c>
      <c r="G687" s="3" t="s">
        <v>1249</v>
      </c>
      <c r="H687" s="5">
        <v>358</v>
      </c>
      <c r="I687" s="3" t="s">
        <v>1193</v>
      </c>
      <c r="J687" s="3">
        <v>5</v>
      </c>
      <c r="K687" s="3">
        <v>3</v>
      </c>
      <c r="L687" s="3" t="s">
        <v>2910</v>
      </c>
      <c r="M687" s="6" t="s">
        <v>1226</v>
      </c>
      <c r="N687" s="6"/>
      <c r="O687" s="6"/>
      <c r="P687" s="6"/>
    </row>
    <row r="688" spans="1:16" ht="12.45" x14ac:dyDescent="0.2">
      <c r="A688" s="3" t="s">
        <v>13</v>
      </c>
      <c r="B688" t="s">
        <v>1250</v>
      </c>
      <c r="C688" t="s">
        <v>147</v>
      </c>
      <c r="D688" t="s">
        <v>148</v>
      </c>
      <c r="E688" t="s">
        <v>23</v>
      </c>
      <c r="F688" t="s">
        <v>148</v>
      </c>
      <c r="G688" s="3" t="s">
        <v>1251</v>
      </c>
      <c r="H688" s="5">
        <v>358</v>
      </c>
      <c r="I688" s="3" t="s">
        <v>1193</v>
      </c>
      <c r="J688" s="3">
        <v>5</v>
      </c>
      <c r="K688" s="3">
        <v>3</v>
      </c>
      <c r="L688" s="3" t="s">
        <v>2910</v>
      </c>
      <c r="M688" s="6" t="s">
        <v>1248</v>
      </c>
      <c r="N688" s="6"/>
      <c r="O688" s="6"/>
      <c r="P688" s="6"/>
    </row>
    <row r="689" spans="1:16" ht="12.45" x14ac:dyDescent="0.2">
      <c r="A689" s="3" t="s">
        <v>13</v>
      </c>
      <c r="B689" t="s">
        <v>1259</v>
      </c>
      <c r="C689" t="s">
        <v>147</v>
      </c>
      <c r="D689" t="s">
        <v>148</v>
      </c>
      <c r="E689" t="s">
        <v>23</v>
      </c>
      <c r="F689" t="s">
        <v>148</v>
      </c>
      <c r="G689" s="3" t="s">
        <v>1260</v>
      </c>
      <c r="H689" s="5">
        <v>359</v>
      </c>
      <c r="I689" s="3" t="s">
        <v>1193</v>
      </c>
      <c r="J689" s="3">
        <v>5</v>
      </c>
      <c r="K689" s="3">
        <v>4</v>
      </c>
      <c r="L689" s="3" t="s">
        <v>2910</v>
      </c>
      <c r="M689" s="6" t="s">
        <v>1242</v>
      </c>
      <c r="N689" s="6"/>
      <c r="O689" s="6"/>
      <c r="P689" s="6"/>
    </row>
    <row r="690" spans="1:16" ht="12.45" x14ac:dyDescent="0.2">
      <c r="A690" s="3" t="s">
        <v>13</v>
      </c>
      <c r="B690" t="s">
        <v>1261</v>
      </c>
      <c r="C690" t="s">
        <v>2972</v>
      </c>
      <c r="D690" t="s">
        <v>148</v>
      </c>
      <c r="E690" t="s">
        <v>23</v>
      </c>
      <c r="F690" t="s">
        <v>148</v>
      </c>
      <c r="G690" s="3" t="s">
        <v>1262</v>
      </c>
      <c r="H690" s="5">
        <v>359</v>
      </c>
      <c r="I690" s="3" t="s">
        <v>1193</v>
      </c>
      <c r="J690" s="3">
        <v>5</v>
      </c>
      <c r="K690" s="3">
        <v>4</v>
      </c>
      <c r="L690" s="3" t="s">
        <v>2910</v>
      </c>
      <c r="M690" s="6" t="s">
        <v>1244</v>
      </c>
      <c r="N690" s="6"/>
      <c r="O690" s="6"/>
      <c r="P690" s="6"/>
    </row>
    <row r="691" spans="1:16" ht="12.45" x14ac:dyDescent="0.2">
      <c r="A691" s="3" t="s">
        <v>13</v>
      </c>
      <c r="B691" t="s">
        <v>1272</v>
      </c>
      <c r="C691" t="s">
        <v>147</v>
      </c>
      <c r="D691" t="s">
        <v>148</v>
      </c>
      <c r="E691" t="s">
        <v>23</v>
      </c>
      <c r="F691" t="s">
        <v>148</v>
      </c>
      <c r="G691" s="3" t="s">
        <v>1273</v>
      </c>
      <c r="H691" s="5">
        <v>361</v>
      </c>
      <c r="I691" s="3" t="s">
        <v>1193</v>
      </c>
      <c r="J691" s="3">
        <v>5</v>
      </c>
      <c r="K691" s="3">
        <v>5</v>
      </c>
      <c r="L691" s="3" t="s">
        <v>2910</v>
      </c>
      <c r="M691" s="3" t="s">
        <v>1240</v>
      </c>
      <c r="N691" s="3"/>
      <c r="O691" s="3"/>
      <c r="P691" s="3"/>
    </row>
    <row r="692" spans="1:16" ht="12.45" x14ac:dyDescent="0.2">
      <c r="A692" s="3" t="s">
        <v>13</v>
      </c>
      <c r="B692" t="s">
        <v>1191</v>
      </c>
      <c r="C692" t="s">
        <v>2944</v>
      </c>
      <c r="D692" t="s">
        <v>22</v>
      </c>
      <c r="E692" t="s">
        <v>23</v>
      </c>
      <c r="F692" t="s">
        <v>44</v>
      </c>
      <c r="G692" s="3" t="s">
        <v>1192</v>
      </c>
      <c r="H692" s="5">
        <v>354</v>
      </c>
      <c r="I692" s="3" t="s">
        <v>1193</v>
      </c>
      <c r="J692" s="3">
        <v>1</v>
      </c>
      <c r="K692" s="3">
        <v>1</v>
      </c>
      <c r="L692" s="3" t="s">
        <v>2910</v>
      </c>
      <c r="M692" s="6"/>
      <c r="N692" s="6"/>
      <c r="O692" s="6"/>
      <c r="P692" s="6"/>
    </row>
    <row r="693" spans="1:16" ht="12.45" x14ac:dyDescent="0.2">
      <c r="A693" s="3" t="s">
        <v>13</v>
      </c>
      <c r="B693" t="s">
        <v>1202</v>
      </c>
      <c r="C693" t="s">
        <v>2940</v>
      </c>
      <c r="D693" t="s">
        <v>28</v>
      </c>
      <c r="E693" t="s">
        <v>23</v>
      </c>
      <c r="F693" t="s">
        <v>44</v>
      </c>
      <c r="G693" s="3" t="s">
        <v>1203</v>
      </c>
      <c r="H693" s="5">
        <v>354</v>
      </c>
      <c r="I693" s="3" t="s">
        <v>1193</v>
      </c>
      <c r="J693" s="3">
        <v>3</v>
      </c>
      <c r="K693" s="3">
        <v>1</v>
      </c>
      <c r="L693" s="3" t="s">
        <v>2910</v>
      </c>
      <c r="M693" s="6" t="s">
        <v>1196</v>
      </c>
      <c r="N693" s="6"/>
      <c r="O693" s="6"/>
      <c r="P693" s="6"/>
    </row>
    <row r="694" spans="1:16" ht="12.45" x14ac:dyDescent="0.2">
      <c r="A694" s="3" t="s">
        <v>13</v>
      </c>
      <c r="B694" t="s">
        <v>1208</v>
      </c>
      <c r="C694" t="s">
        <v>2948</v>
      </c>
      <c r="D694" t="s">
        <v>22</v>
      </c>
      <c r="E694" t="s">
        <v>23</v>
      </c>
      <c r="F694" t="s">
        <v>44</v>
      </c>
      <c r="G694" s="3" t="s">
        <v>1209</v>
      </c>
      <c r="H694" s="5">
        <v>356</v>
      </c>
      <c r="I694" s="3" t="s">
        <v>1193</v>
      </c>
      <c r="J694" s="3">
        <v>3</v>
      </c>
      <c r="K694" s="3">
        <v>1</v>
      </c>
      <c r="L694" s="3" t="s">
        <v>2910</v>
      </c>
      <c r="M694" s="6"/>
      <c r="N694" s="6"/>
      <c r="O694" s="6"/>
      <c r="P694" s="6"/>
    </row>
    <row r="695" spans="1:16" ht="12.45" x14ac:dyDescent="0.2">
      <c r="A695" s="3" t="s">
        <v>13</v>
      </c>
      <c r="B695" t="s">
        <v>1215</v>
      </c>
      <c r="C695" t="s">
        <v>2944</v>
      </c>
      <c r="D695" t="s">
        <v>28</v>
      </c>
      <c r="E695" t="s">
        <v>23</v>
      </c>
      <c r="F695" t="s">
        <v>44</v>
      </c>
      <c r="G695" s="3" t="s">
        <v>1216</v>
      </c>
      <c r="H695" s="5">
        <v>355</v>
      </c>
      <c r="I695" s="3" t="s">
        <v>1193</v>
      </c>
      <c r="J695" s="3">
        <v>5</v>
      </c>
      <c r="K695" s="3">
        <v>1</v>
      </c>
      <c r="L695" s="3" t="s">
        <v>2910</v>
      </c>
      <c r="M695" s="6" t="s">
        <v>1213</v>
      </c>
      <c r="N695" s="6"/>
      <c r="O695" s="6"/>
      <c r="P695" s="6"/>
    </row>
    <row r="696" spans="1:16" ht="12.45" x14ac:dyDescent="0.2">
      <c r="A696" s="3" t="s">
        <v>13</v>
      </c>
      <c r="B696" t="s">
        <v>1219</v>
      </c>
      <c r="C696" t="s">
        <v>2948</v>
      </c>
      <c r="D696" t="s">
        <v>28</v>
      </c>
      <c r="E696" t="s">
        <v>23</v>
      </c>
      <c r="F696" t="s">
        <v>44</v>
      </c>
      <c r="G696" s="3" t="s">
        <v>1220</v>
      </c>
      <c r="H696" s="5">
        <v>357</v>
      </c>
      <c r="I696" s="3" t="s">
        <v>1193</v>
      </c>
      <c r="J696" s="3">
        <v>3</v>
      </c>
      <c r="K696" s="3">
        <v>2</v>
      </c>
      <c r="L696" s="3" t="s">
        <v>2910</v>
      </c>
      <c r="M696" s="6" t="s">
        <v>1196</v>
      </c>
      <c r="N696" s="6"/>
      <c r="O696" s="6"/>
      <c r="P696" s="6"/>
    </row>
    <row r="697" spans="1:16" ht="12.45" x14ac:dyDescent="0.2">
      <c r="A697" s="3" t="s">
        <v>13</v>
      </c>
      <c r="B697" t="s">
        <v>1223</v>
      </c>
      <c r="C697" t="s">
        <v>2971</v>
      </c>
      <c r="D697" t="s">
        <v>22</v>
      </c>
      <c r="E697" t="s">
        <v>23</v>
      </c>
      <c r="F697" t="s">
        <v>44</v>
      </c>
      <c r="G697" s="3" t="s">
        <v>1224</v>
      </c>
      <c r="H697" s="5">
        <v>357</v>
      </c>
      <c r="I697" s="3" t="s">
        <v>1193</v>
      </c>
      <c r="J697" s="3">
        <v>4</v>
      </c>
      <c r="K697" s="3">
        <v>2</v>
      </c>
      <c r="L697" s="3" t="s">
        <v>2910</v>
      </c>
      <c r="M697" s="6" t="s">
        <v>1225</v>
      </c>
      <c r="N697" s="6"/>
      <c r="O697" s="6"/>
      <c r="P697" s="6"/>
    </row>
    <row r="698" spans="1:16" ht="12.45" x14ac:dyDescent="0.2">
      <c r="A698" s="3" t="s">
        <v>13</v>
      </c>
      <c r="B698" s="3" t="s">
        <v>1258</v>
      </c>
      <c r="C698" s="3" t="s">
        <v>67</v>
      </c>
      <c r="D698" s="3" t="s">
        <v>22</v>
      </c>
      <c r="E698" s="3" t="s">
        <v>23</v>
      </c>
      <c r="F698" s="3" t="s">
        <v>44</v>
      </c>
      <c r="G698" s="3"/>
      <c r="H698" s="5" t="s">
        <v>1239</v>
      </c>
      <c r="I698" s="3" t="s">
        <v>1193</v>
      </c>
      <c r="J698" s="5">
        <v>5</v>
      </c>
      <c r="K698" s="5">
        <v>3</v>
      </c>
      <c r="L698" s="3" t="s">
        <v>2910</v>
      </c>
      <c r="M698" s="6" t="s">
        <v>1236</v>
      </c>
      <c r="N698" s="6"/>
      <c r="O698" s="6"/>
      <c r="P698" s="6"/>
    </row>
    <row r="699" spans="1:16" ht="12.45" x14ac:dyDescent="0.2">
      <c r="A699" s="3" t="s">
        <v>13</v>
      </c>
      <c r="B699" t="s">
        <v>1226</v>
      </c>
      <c r="C699" t="s">
        <v>2938</v>
      </c>
      <c r="D699" t="s">
        <v>28</v>
      </c>
      <c r="E699" t="s">
        <v>23</v>
      </c>
      <c r="F699" t="s">
        <v>751</v>
      </c>
      <c r="G699" s="3" t="s">
        <v>1227</v>
      </c>
      <c r="H699" s="5">
        <v>357</v>
      </c>
      <c r="I699" s="3" t="s">
        <v>1193</v>
      </c>
      <c r="J699" s="3">
        <v>4</v>
      </c>
      <c r="K699" s="3">
        <v>2</v>
      </c>
      <c r="L699" s="3" t="s">
        <v>2910</v>
      </c>
      <c r="M699" s="6" t="s">
        <v>1219</v>
      </c>
      <c r="N699" s="6"/>
      <c r="O699" s="6"/>
      <c r="P699" s="6"/>
    </row>
    <row r="700" spans="1:16" ht="12.45" x14ac:dyDescent="0.2">
      <c r="A700" s="3" t="s">
        <v>13</v>
      </c>
      <c r="B700" t="s">
        <v>1384</v>
      </c>
      <c r="C700" t="s">
        <v>2963</v>
      </c>
      <c r="D700" t="s">
        <v>28</v>
      </c>
      <c r="E700" t="s">
        <v>23</v>
      </c>
      <c r="F700" t="s">
        <v>182</v>
      </c>
      <c r="G700" s="3" t="s">
        <v>1385</v>
      </c>
      <c r="H700" s="5">
        <v>370</v>
      </c>
      <c r="I700" s="3" t="s">
        <v>1366</v>
      </c>
      <c r="J700" s="3">
        <v>5</v>
      </c>
      <c r="K700" s="3">
        <v>2</v>
      </c>
      <c r="L700" s="3" t="s">
        <v>2911</v>
      </c>
      <c r="M700" s="3" t="s">
        <v>1378</v>
      </c>
      <c r="N700" s="3"/>
      <c r="O700" s="3"/>
      <c r="P700" s="3"/>
    </row>
    <row r="701" spans="1:16" ht="12.45" x14ac:dyDescent="0.2">
      <c r="A701" s="3" t="s">
        <v>13</v>
      </c>
      <c r="B701" t="s">
        <v>1386</v>
      </c>
      <c r="C701" t="s">
        <v>2946</v>
      </c>
      <c r="D701" t="s">
        <v>28</v>
      </c>
      <c r="E701" t="s">
        <v>23</v>
      </c>
      <c r="F701" t="s">
        <v>182</v>
      </c>
      <c r="G701" s="3" t="s">
        <v>1387</v>
      </c>
      <c r="H701" s="5">
        <v>371</v>
      </c>
      <c r="I701" s="3" t="s">
        <v>1366</v>
      </c>
      <c r="J701" s="3">
        <v>5</v>
      </c>
      <c r="K701" s="3">
        <v>2</v>
      </c>
      <c r="L701" s="3" t="s">
        <v>2911</v>
      </c>
      <c r="M701" s="6" t="s">
        <v>1380</v>
      </c>
      <c r="N701" s="6"/>
      <c r="O701" s="6"/>
      <c r="P701" s="6"/>
    </row>
    <row r="702" spans="1:16" ht="12.45" x14ac:dyDescent="0.2">
      <c r="A702" s="3" t="s">
        <v>13</v>
      </c>
      <c r="B702" t="s">
        <v>1401</v>
      </c>
      <c r="C702" t="s">
        <v>2938</v>
      </c>
      <c r="D702" t="s">
        <v>28</v>
      </c>
      <c r="E702" t="s">
        <v>1402</v>
      </c>
      <c r="F702" t="s">
        <v>182</v>
      </c>
      <c r="G702" s="3" t="s">
        <v>1403</v>
      </c>
      <c r="H702" s="5">
        <v>372</v>
      </c>
      <c r="I702" s="3" t="s">
        <v>1366</v>
      </c>
      <c r="J702" s="3">
        <v>5</v>
      </c>
      <c r="K702" s="3">
        <v>3</v>
      </c>
      <c r="L702" s="3" t="s">
        <v>2911</v>
      </c>
      <c r="M702" s="6" t="s">
        <v>1404</v>
      </c>
      <c r="N702" s="6"/>
      <c r="O702" s="6"/>
      <c r="P702" s="6"/>
    </row>
    <row r="703" spans="1:16" ht="12.45" x14ac:dyDescent="0.2">
      <c r="A703" s="3" t="s">
        <v>13</v>
      </c>
      <c r="B703" t="s">
        <v>1409</v>
      </c>
      <c r="C703" t="s">
        <v>2940</v>
      </c>
      <c r="D703" t="s">
        <v>28</v>
      </c>
      <c r="E703" t="s">
        <v>430</v>
      </c>
      <c r="F703" t="s">
        <v>182</v>
      </c>
      <c r="G703" s="3" t="s">
        <v>1410</v>
      </c>
      <c r="H703" s="5">
        <v>373</v>
      </c>
      <c r="I703" s="3" t="s">
        <v>1366</v>
      </c>
      <c r="J703" s="3">
        <v>5</v>
      </c>
      <c r="K703" s="3">
        <v>3</v>
      </c>
      <c r="L703" s="3" t="s">
        <v>2911</v>
      </c>
      <c r="M703" s="6" t="s">
        <v>1407</v>
      </c>
      <c r="N703" s="6"/>
      <c r="O703" s="6"/>
      <c r="P703" s="6"/>
    </row>
    <row r="704" spans="1:16" ht="12.45" x14ac:dyDescent="0.2">
      <c r="A704" s="3" t="s">
        <v>13</v>
      </c>
      <c r="B704" t="s">
        <v>1419</v>
      </c>
      <c r="C704" t="s">
        <v>2946</v>
      </c>
      <c r="D704" t="s">
        <v>28</v>
      </c>
      <c r="E704" t="s">
        <v>23</v>
      </c>
      <c r="F704" t="s">
        <v>182</v>
      </c>
      <c r="G704" s="3" t="s">
        <v>1420</v>
      </c>
      <c r="H704" s="5">
        <v>374</v>
      </c>
      <c r="I704" s="3" t="s">
        <v>1366</v>
      </c>
      <c r="J704" s="3">
        <v>5</v>
      </c>
      <c r="K704" s="3">
        <v>4</v>
      </c>
      <c r="L704" s="3" t="s">
        <v>2911</v>
      </c>
      <c r="M704" s="6" t="s">
        <v>1421</v>
      </c>
      <c r="N704" s="6"/>
      <c r="O704" s="6"/>
      <c r="P704" s="6"/>
    </row>
    <row r="705" spans="1:16" ht="12.45" x14ac:dyDescent="0.2">
      <c r="A705" s="3" t="s">
        <v>13</v>
      </c>
      <c r="B705" s="3" t="s">
        <v>1424</v>
      </c>
      <c r="C705" s="3" t="s">
        <v>1425</v>
      </c>
      <c r="D705" s="3" t="s">
        <v>28</v>
      </c>
      <c r="E705" s="3" t="s">
        <v>23</v>
      </c>
      <c r="F705" s="3" t="s">
        <v>182</v>
      </c>
      <c r="G705" s="3"/>
      <c r="H705" s="5" t="s">
        <v>1416</v>
      </c>
      <c r="I705" s="3" t="s">
        <v>1366</v>
      </c>
      <c r="J705" s="5">
        <v>5</v>
      </c>
      <c r="K705" s="5">
        <v>4</v>
      </c>
      <c r="L705" s="3" t="s">
        <v>2911</v>
      </c>
      <c r="M705" s="6" t="s">
        <v>1407</v>
      </c>
      <c r="N705" s="6"/>
      <c r="O705" s="6"/>
      <c r="P705" s="6"/>
    </row>
    <row r="706" spans="1:16" ht="12.45" x14ac:dyDescent="0.2">
      <c r="A706" s="3" t="s">
        <v>13</v>
      </c>
      <c r="B706" s="3" t="s">
        <v>1426</v>
      </c>
      <c r="C706" s="3" t="s">
        <v>761</v>
      </c>
      <c r="D706" s="3" t="s">
        <v>28</v>
      </c>
      <c r="E706" s="3" t="s">
        <v>23</v>
      </c>
      <c r="F706" s="3" t="s">
        <v>182</v>
      </c>
      <c r="G706" s="3"/>
      <c r="H706" s="5" t="s">
        <v>1427</v>
      </c>
      <c r="I706" s="3" t="s">
        <v>1366</v>
      </c>
      <c r="J706" s="5">
        <v>5</v>
      </c>
      <c r="K706" s="5">
        <v>5</v>
      </c>
      <c r="L706" s="3" t="s">
        <v>2911</v>
      </c>
      <c r="M706" s="6" t="s">
        <v>1419</v>
      </c>
      <c r="N706" s="6"/>
      <c r="O706" s="6"/>
      <c r="P706" s="6"/>
    </row>
    <row r="707" spans="1:16" ht="12.45" x14ac:dyDescent="0.2">
      <c r="A707" s="3" t="s">
        <v>13</v>
      </c>
      <c r="B707" t="s">
        <v>1367</v>
      </c>
      <c r="C707" t="s">
        <v>2944</v>
      </c>
      <c r="D707" t="s">
        <v>16</v>
      </c>
      <c r="E707" t="s">
        <v>23</v>
      </c>
      <c r="F707" t="s">
        <v>18</v>
      </c>
      <c r="G707" s="3" t="s">
        <v>1368</v>
      </c>
      <c r="H707" s="5">
        <v>369</v>
      </c>
      <c r="I707" s="3" t="s">
        <v>1366</v>
      </c>
      <c r="J707" s="3">
        <v>3</v>
      </c>
      <c r="K707" s="3">
        <v>1</v>
      </c>
      <c r="L707" s="3" t="s">
        <v>2911</v>
      </c>
      <c r="M707" s="6"/>
      <c r="N707" s="6"/>
      <c r="O707" s="6"/>
      <c r="P707" s="6"/>
    </row>
    <row r="708" spans="1:16" ht="12.45" x14ac:dyDescent="0.2">
      <c r="A708" s="3" t="s">
        <v>13</v>
      </c>
      <c r="B708" s="3" t="s">
        <v>1371</v>
      </c>
      <c r="C708" s="3" t="s">
        <v>34</v>
      </c>
      <c r="D708" s="3" t="s">
        <v>22</v>
      </c>
      <c r="E708" s="3" t="s">
        <v>23</v>
      </c>
      <c r="F708" s="3" t="s">
        <v>18</v>
      </c>
      <c r="G708" s="3"/>
      <c r="H708" s="5" t="s">
        <v>1372</v>
      </c>
      <c r="I708" s="3" t="s">
        <v>1366</v>
      </c>
      <c r="J708" s="5">
        <v>4</v>
      </c>
      <c r="K708" s="5">
        <v>1</v>
      </c>
      <c r="L708" s="3" t="s">
        <v>2911</v>
      </c>
      <c r="M708" s="6" t="s">
        <v>1364</v>
      </c>
      <c r="N708" s="6"/>
      <c r="O708" s="6"/>
      <c r="P708" s="6"/>
    </row>
    <row r="709" spans="1:16" ht="12.45" x14ac:dyDescent="0.2">
      <c r="A709" s="3" t="s">
        <v>13</v>
      </c>
      <c r="B709" t="s">
        <v>1376</v>
      </c>
      <c r="C709" t="s">
        <v>2944</v>
      </c>
      <c r="D709" t="s">
        <v>16</v>
      </c>
      <c r="E709" t="s">
        <v>23</v>
      </c>
      <c r="F709" t="s">
        <v>18</v>
      </c>
      <c r="G709" s="3" t="s">
        <v>1377</v>
      </c>
      <c r="H709" s="5">
        <v>370</v>
      </c>
      <c r="I709" s="3" t="s">
        <v>1366</v>
      </c>
      <c r="J709" s="3">
        <v>4</v>
      </c>
      <c r="K709" s="3">
        <v>2</v>
      </c>
      <c r="L709" s="3" t="s">
        <v>2911</v>
      </c>
      <c r="M709" s="6" t="s">
        <v>1367</v>
      </c>
      <c r="N709" s="6"/>
      <c r="O709" s="6"/>
      <c r="P709" s="6"/>
    </row>
    <row r="710" spans="1:16" ht="12.45" x14ac:dyDescent="0.2">
      <c r="A710" s="3" t="s">
        <v>13</v>
      </c>
      <c r="B710" t="s">
        <v>1380</v>
      </c>
      <c r="C710" t="s">
        <v>2942</v>
      </c>
      <c r="D710" t="s">
        <v>16</v>
      </c>
      <c r="E710" t="s">
        <v>23</v>
      </c>
      <c r="F710" t="s">
        <v>18</v>
      </c>
      <c r="G710" s="3" t="s">
        <v>1381</v>
      </c>
      <c r="H710" s="5">
        <v>371</v>
      </c>
      <c r="I710" s="3" t="s">
        <v>1366</v>
      </c>
      <c r="J710" s="3">
        <v>4</v>
      </c>
      <c r="K710" s="3">
        <v>2</v>
      </c>
      <c r="L710" s="3" t="s">
        <v>2911</v>
      </c>
      <c r="M710" s="6" t="s">
        <v>1375</v>
      </c>
      <c r="N710" s="6"/>
      <c r="O710" s="6"/>
      <c r="P710" s="6"/>
    </row>
    <row r="711" spans="1:16" ht="12.45" x14ac:dyDescent="0.2">
      <c r="A711" s="3" t="s">
        <v>13</v>
      </c>
      <c r="B711" t="s">
        <v>1382</v>
      </c>
      <c r="C711" t="s">
        <v>2944</v>
      </c>
      <c r="D711" t="s">
        <v>28</v>
      </c>
      <c r="E711" t="s">
        <v>23</v>
      </c>
      <c r="F711" t="s">
        <v>18</v>
      </c>
      <c r="G711" s="3" t="s">
        <v>1383</v>
      </c>
      <c r="H711" s="5">
        <v>370</v>
      </c>
      <c r="I711" s="3" t="s">
        <v>1366</v>
      </c>
      <c r="J711" s="3">
        <v>5</v>
      </c>
      <c r="K711" s="3">
        <v>2</v>
      </c>
      <c r="L711" s="3" t="s">
        <v>2911</v>
      </c>
      <c r="M711" s="6" t="s">
        <v>1376</v>
      </c>
      <c r="N711" s="6"/>
      <c r="O711" s="6"/>
      <c r="P711" s="6"/>
    </row>
    <row r="712" spans="1:16" ht="12.45" x14ac:dyDescent="0.2">
      <c r="A712" s="3" t="s">
        <v>13</v>
      </c>
      <c r="B712" t="s">
        <v>1388</v>
      </c>
      <c r="C712" t="s">
        <v>2943</v>
      </c>
      <c r="D712" t="s">
        <v>16</v>
      </c>
      <c r="E712" t="s">
        <v>23</v>
      </c>
      <c r="F712" t="s">
        <v>18</v>
      </c>
      <c r="G712" s="3" t="s">
        <v>1389</v>
      </c>
      <c r="H712" s="5">
        <v>371</v>
      </c>
      <c r="I712" s="3" t="s">
        <v>1366</v>
      </c>
      <c r="J712" s="3">
        <v>5</v>
      </c>
      <c r="K712" s="3">
        <v>3</v>
      </c>
      <c r="L712" s="3" t="s">
        <v>2911</v>
      </c>
      <c r="M712" s="6" t="s">
        <v>1390</v>
      </c>
      <c r="N712" s="6"/>
      <c r="O712" s="6"/>
      <c r="P712" s="6"/>
    </row>
    <row r="713" spans="1:16" ht="12.45" x14ac:dyDescent="0.2">
      <c r="A713" s="3" t="s">
        <v>13</v>
      </c>
      <c r="B713" t="s">
        <v>1391</v>
      </c>
      <c r="C713" t="s">
        <v>2970</v>
      </c>
      <c r="D713" t="s">
        <v>22</v>
      </c>
      <c r="E713" t="s">
        <v>23</v>
      </c>
      <c r="F713" t="s">
        <v>18</v>
      </c>
      <c r="G713" s="3" t="s">
        <v>1392</v>
      </c>
      <c r="H713" s="5">
        <v>371</v>
      </c>
      <c r="I713" s="3" t="s">
        <v>1366</v>
      </c>
      <c r="J713" s="3">
        <v>5</v>
      </c>
      <c r="K713" s="3">
        <v>3</v>
      </c>
      <c r="L713" s="3" t="s">
        <v>2911</v>
      </c>
      <c r="M713" s="6" t="s">
        <v>1376</v>
      </c>
      <c r="N713" s="6"/>
      <c r="O713" s="6"/>
      <c r="P713" s="6"/>
    </row>
    <row r="714" spans="1:16" ht="12.45" x14ac:dyDescent="0.2">
      <c r="A714" s="3" t="s">
        <v>13</v>
      </c>
      <c r="B714" t="s">
        <v>1397</v>
      </c>
      <c r="C714" t="s">
        <v>2944</v>
      </c>
      <c r="D714" t="s">
        <v>22</v>
      </c>
      <c r="E714" t="s">
        <v>23</v>
      </c>
      <c r="F714" t="s">
        <v>18</v>
      </c>
      <c r="G714" s="3" t="s">
        <v>1398</v>
      </c>
      <c r="H714" s="5">
        <v>372</v>
      </c>
      <c r="I714" s="3" t="s">
        <v>1366</v>
      </c>
      <c r="J714" s="3">
        <v>5</v>
      </c>
      <c r="K714" s="3">
        <v>3</v>
      </c>
      <c r="L714" s="3" t="s">
        <v>2911</v>
      </c>
      <c r="M714" s="6" t="s">
        <v>1378</v>
      </c>
      <c r="N714" s="6"/>
      <c r="O714" s="6"/>
      <c r="P714" s="6"/>
    </row>
    <row r="715" spans="1:16" ht="12.45" x14ac:dyDescent="0.2">
      <c r="A715" s="3" t="s">
        <v>13</v>
      </c>
      <c r="B715" t="s">
        <v>1399</v>
      </c>
      <c r="C715" t="s">
        <v>2950</v>
      </c>
      <c r="D715" t="s">
        <v>22</v>
      </c>
      <c r="E715" t="s">
        <v>23</v>
      </c>
      <c r="F715" t="s">
        <v>18</v>
      </c>
      <c r="G715" s="3" t="s">
        <v>1400</v>
      </c>
      <c r="H715" s="5">
        <v>372</v>
      </c>
      <c r="I715" s="3" t="s">
        <v>1366</v>
      </c>
      <c r="J715" s="3">
        <v>5</v>
      </c>
      <c r="K715" s="3">
        <v>3</v>
      </c>
      <c r="L715" s="3" t="s">
        <v>2911</v>
      </c>
      <c r="M715" s="6" t="s">
        <v>1397</v>
      </c>
      <c r="N715" s="6"/>
      <c r="O715" s="6"/>
      <c r="P715" s="6"/>
    </row>
    <row r="716" spans="1:16" ht="12.45" x14ac:dyDescent="0.2">
      <c r="A716" s="3" t="s">
        <v>13</v>
      </c>
      <c r="B716" t="s">
        <v>1407</v>
      </c>
      <c r="C716" t="s">
        <v>2969</v>
      </c>
      <c r="D716" t="s">
        <v>28</v>
      </c>
      <c r="E716" t="s">
        <v>23</v>
      </c>
      <c r="F716" t="s">
        <v>18</v>
      </c>
      <c r="G716" s="3" t="s">
        <v>1408</v>
      </c>
      <c r="H716" s="5">
        <v>373</v>
      </c>
      <c r="I716" s="3" t="s">
        <v>1366</v>
      </c>
      <c r="J716" s="3">
        <v>5</v>
      </c>
      <c r="K716" s="3">
        <v>3</v>
      </c>
      <c r="L716" s="3" t="s">
        <v>2911</v>
      </c>
      <c r="M716" s="6" t="s">
        <v>1384</v>
      </c>
      <c r="N716" s="6"/>
      <c r="O716" s="6"/>
      <c r="P716" s="6"/>
    </row>
    <row r="717" spans="1:16" ht="12.45" x14ac:dyDescent="0.2">
      <c r="A717" s="3" t="s">
        <v>13</v>
      </c>
      <c r="B717" t="s">
        <v>1411</v>
      </c>
      <c r="C717" t="s">
        <v>2962</v>
      </c>
      <c r="D717" t="s">
        <v>16</v>
      </c>
      <c r="E717" t="s">
        <v>23</v>
      </c>
      <c r="F717" t="s">
        <v>18</v>
      </c>
      <c r="G717" s="3" t="s">
        <v>1412</v>
      </c>
      <c r="H717" s="5">
        <v>373</v>
      </c>
      <c r="I717" s="3" t="s">
        <v>1366</v>
      </c>
      <c r="J717" s="3">
        <v>5</v>
      </c>
      <c r="K717" s="3">
        <v>3</v>
      </c>
      <c r="L717" s="3" t="s">
        <v>2911</v>
      </c>
      <c r="M717" s="6" t="s">
        <v>1386</v>
      </c>
      <c r="N717" s="6"/>
      <c r="O717" s="6"/>
      <c r="P717" s="6"/>
    </row>
    <row r="718" spans="1:16" ht="12.45" x14ac:dyDescent="0.2">
      <c r="A718" s="3" t="s">
        <v>13</v>
      </c>
      <c r="B718" s="3" t="s">
        <v>1413</v>
      </c>
      <c r="C718" s="3" t="s">
        <v>67</v>
      </c>
      <c r="D718" s="3" t="s">
        <v>28</v>
      </c>
      <c r="E718" s="3" t="s">
        <v>29</v>
      </c>
      <c r="F718" s="3" t="s">
        <v>18</v>
      </c>
      <c r="G718" s="3"/>
      <c r="H718" s="5" t="s">
        <v>1372</v>
      </c>
      <c r="I718" s="3" t="s">
        <v>1366</v>
      </c>
      <c r="J718" s="5">
        <v>5</v>
      </c>
      <c r="K718" s="5">
        <v>3</v>
      </c>
      <c r="L718" s="3" t="s">
        <v>2911</v>
      </c>
      <c r="M718" s="6" t="s">
        <v>1388</v>
      </c>
      <c r="N718" s="6"/>
      <c r="O718" s="6"/>
      <c r="P718" s="6"/>
    </row>
    <row r="719" spans="1:16" ht="12.45" x14ac:dyDescent="0.2">
      <c r="A719" s="3" t="s">
        <v>13</v>
      </c>
      <c r="B719" s="3" t="s">
        <v>1414</v>
      </c>
      <c r="C719" s="3" t="s">
        <v>154</v>
      </c>
      <c r="D719" s="3" t="s">
        <v>22</v>
      </c>
      <c r="E719" s="3" t="s">
        <v>23</v>
      </c>
      <c r="F719" s="3" t="s">
        <v>18</v>
      </c>
      <c r="G719" s="3"/>
      <c r="H719" s="5" t="s">
        <v>1372</v>
      </c>
      <c r="I719" s="3" t="s">
        <v>1366</v>
      </c>
      <c r="J719" s="5">
        <v>5</v>
      </c>
      <c r="K719" s="5">
        <v>3</v>
      </c>
      <c r="L719" s="3" t="s">
        <v>2911</v>
      </c>
      <c r="M719" s="6" t="s">
        <v>1378</v>
      </c>
      <c r="N719" s="6"/>
      <c r="O719" s="6"/>
      <c r="P719" s="6"/>
    </row>
    <row r="720" spans="1:16" ht="12.45" x14ac:dyDescent="0.2">
      <c r="A720" s="3" t="s">
        <v>13</v>
      </c>
      <c r="B720" s="3" t="s">
        <v>1415</v>
      </c>
      <c r="C720" s="3" t="s">
        <v>47</v>
      </c>
      <c r="D720" s="3" t="s">
        <v>22</v>
      </c>
      <c r="E720" s="3" t="s">
        <v>142</v>
      </c>
      <c r="F720" s="3" t="s">
        <v>18</v>
      </c>
      <c r="G720" s="3"/>
      <c r="H720" s="5" t="s">
        <v>1416</v>
      </c>
      <c r="I720" s="3" t="s">
        <v>1366</v>
      </c>
      <c r="J720" s="5">
        <v>5</v>
      </c>
      <c r="K720" s="5">
        <v>3</v>
      </c>
      <c r="L720" s="3" t="s">
        <v>2911</v>
      </c>
      <c r="M720" s="6" t="s">
        <v>1380</v>
      </c>
      <c r="N720" s="6"/>
      <c r="O720" s="6"/>
      <c r="P720" s="6"/>
    </row>
    <row r="721" spans="1:16" ht="12.45" x14ac:dyDescent="0.2">
      <c r="A721" s="3" t="s">
        <v>13</v>
      </c>
      <c r="B721" t="s">
        <v>1417</v>
      </c>
      <c r="C721" t="s">
        <v>147</v>
      </c>
      <c r="D721" t="s">
        <v>22</v>
      </c>
      <c r="E721" t="s">
        <v>23</v>
      </c>
      <c r="F721" t="s">
        <v>18</v>
      </c>
      <c r="G721" s="3" t="s">
        <v>1418</v>
      </c>
      <c r="H721" s="5">
        <v>373</v>
      </c>
      <c r="I721" s="3" t="s">
        <v>1366</v>
      </c>
      <c r="J721" s="3">
        <v>5</v>
      </c>
      <c r="K721" s="3">
        <v>4</v>
      </c>
      <c r="L721" s="3" t="s">
        <v>2911</v>
      </c>
      <c r="M721" s="6" t="s">
        <v>1393</v>
      </c>
      <c r="N721" s="6"/>
      <c r="O721" s="6"/>
      <c r="P721" s="6"/>
    </row>
    <row r="722" spans="1:16" ht="12.45" x14ac:dyDescent="0.2">
      <c r="A722" s="3" t="s">
        <v>13</v>
      </c>
      <c r="B722" t="s">
        <v>1369</v>
      </c>
      <c r="C722" t="s">
        <v>147</v>
      </c>
      <c r="D722" t="s">
        <v>148</v>
      </c>
      <c r="E722" t="s">
        <v>23</v>
      </c>
      <c r="F722" t="s">
        <v>148</v>
      </c>
      <c r="G722" s="3" t="s">
        <v>1370</v>
      </c>
      <c r="H722" s="5">
        <v>370</v>
      </c>
      <c r="I722" s="3" t="s">
        <v>1366</v>
      </c>
      <c r="J722" s="3">
        <v>3</v>
      </c>
      <c r="K722" s="3">
        <v>1</v>
      </c>
      <c r="L722" s="3" t="s">
        <v>2911</v>
      </c>
      <c r="M722" s="6"/>
      <c r="N722" s="6"/>
      <c r="O722" s="6"/>
      <c r="P722" s="6"/>
    </row>
    <row r="723" spans="1:16" ht="12.45" x14ac:dyDescent="0.2">
      <c r="A723" s="3" t="s">
        <v>13</v>
      </c>
      <c r="B723" t="s">
        <v>1373</v>
      </c>
      <c r="C723" t="s">
        <v>147</v>
      </c>
      <c r="D723" t="s">
        <v>148</v>
      </c>
      <c r="E723" t="s">
        <v>23</v>
      </c>
      <c r="F723" t="s">
        <v>148</v>
      </c>
      <c r="G723" s="3" t="s">
        <v>1374</v>
      </c>
      <c r="H723" s="5">
        <v>370</v>
      </c>
      <c r="I723" s="3" t="s">
        <v>1366</v>
      </c>
      <c r="J723" s="3">
        <v>5</v>
      </c>
      <c r="K723" s="3">
        <v>1</v>
      </c>
      <c r="L723" s="3" t="s">
        <v>2911</v>
      </c>
      <c r="M723" s="3" t="s">
        <v>1375</v>
      </c>
      <c r="N723" s="3"/>
      <c r="O723" s="3"/>
      <c r="P723" s="3"/>
    </row>
    <row r="724" spans="1:16" ht="12.45" x14ac:dyDescent="0.2">
      <c r="A724" s="3" t="s">
        <v>13</v>
      </c>
      <c r="B724" t="s">
        <v>1405</v>
      </c>
      <c r="C724" t="s">
        <v>147</v>
      </c>
      <c r="D724" t="s">
        <v>148</v>
      </c>
      <c r="E724" t="s">
        <v>23</v>
      </c>
      <c r="F724" t="s">
        <v>148</v>
      </c>
      <c r="G724" s="3" t="s">
        <v>1406</v>
      </c>
      <c r="H724" s="5">
        <v>372</v>
      </c>
      <c r="I724" s="3" t="s">
        <v>1366</v>
      </c>
      <c r="J724" s="3">
        <v>5</v>
      </c>
      <c r="K724" s="3">
        <v>3</v>
      </c>
      <c r="L724" s="3" t="s">
        <v>2911</v>
      </c>
      <c r="M724" s="6" t="s">
        <v>1384</v>
      </c>
      <c r="N724" s="6"/>
      <c r="O724" s="6"/>
      <c r="P724" s="6"/>
    </row>
    <row r="725" spans="1:16" ht="12.45" x14ac:dyDescent="0.2">
      <c r="A725" s="3" t="s">
        <v>13</v>
      </c>
      <c r="B725" t="s">
        <v>1364</v>
      </c>
      <c r="C725" t="s">
        <v>2968</v>
      </c>
      <c r="D725" t="s">
        <v>22</v>
      </c>
      <c r="E725" t="s">
        <v>23</v>
      </c>
      <c r="F725" t="s">
        <v>44</v>
      </c>
      <c r="G725" s="3" t="s">
        <v>1365</v>
      </c>
      <c r="H725" s="5">
        <v>369</v>
      </c>
      <c r="I725" s="3" t="s">
        <v>1366</v>
      </c>
      <c r="J725" s="3">
        <v>2</v>
      </c>
      <c r="K725" s="3">
        <v>1</v>
      </c>
      <c r="L725" s="3" t="s">
        <v>2911</v>
      </c>
      <c r="M725" s="6"/>
      <c r="N725" s="6"/>
      <c r="O725" s="6"/>
      <c r="P725" s="6"/>
    </row>
    <row r="726" spans="1:16" ht="12.45" x14ac:dyDescent="0.2">
      <c r="A726" s="3" t="s">
        <v>13</v>
      </c>
      <c r="B726" t="s">
        <v>1378</v>
      </c>
      <c r="C726" t="s">
        <v>2948</v>
      </c>
      <c r="D726" t="s">
        <v>28</v>
      </c>
      <c r="E726" t="s">
        <v>23</v>
      </c>
      <c r="F726" t="s">
        <v>44</v>
      </c>
      <c r="G726" s="3" t="s">
        <v>1379</v>
      </c>
      <c r="H726" s="5">
        <v>370</v>
      </c>
      <c r="I726" s="3" t="s">
        <v>1366</v>
      </c>
      <c r="J726" s="3">
        <v>4</v>
      </c>
      <c r="K726" s="3">
        <v>2</v>
      </c>
      <c r="L726" s="3" t="s">
        <v>2911</v>
      </c>
      <c r="M726" s="6" t="s">
        <v>1364</v>
      </c>
      <c r="N726" s="6"/>
      <c r="O726" s="6"/>
      <c r="P726" s="6"/>
    </row>
    <row r="727" spans="1:16" ht="12.45" x14ac:dyDescent="0.2">
      <c r="A727" s="3" t="s">
        <v>13</v>
      </c>
      <c r="B727" t="s">
        <v>1393</v>
      </c>
      <c r="C727" t="s">
        <v>2946</v>
      </c>
      <c r="D727" t="s">
        <v>22</v>
      </c>
      <c r="E727" t="s">
        <v>23</v>
      </c>
      <c r="F727" t="s">
        <v>44</v>
      </c>
      <c r="G727" s="3" t="s">
        <v>1394</v>
      </c>
      <c r="H727" s="5">
        <v>371</v>
      </c>
      <c r="I727" s="3" t="s">
        <v>1366</v>
      </c>
      <c r="J727" s="3">
        <v>5</v>
      </c>
      <c r="K727" s="3">
        <v>3</v>
      </c>
      <c r="L727" s="3" t="s">
        <v>2911</v>
      </c>
      <c r="M727" s="6" t="s">
        <v>1378</v>
      </c>
      <c r="N727" s="6"/>
      <c r="O727" s="6"/>
      <c r="P727" s="6"/>
    </row>
    <row r="728" spans="1:16" ht="12.45" x14ac:dyDescent="0.2">
      <c r="A728" s="3" t="s">
        <v>13</v>
      </c>
      <c r="B728" t="s">
        <v>1395</v>
      </c>
      <c r="C728" t="s">
        <v>2963</v>
      </c>
      <c r="D728" t="s">
        <v>22</v>
      </c>
      <c r="E728" t="s">
        <v>23</v>
      </c>
      <c r="F728" t="s">
        <v>44</v>
      </c>
      <c r="G728" s="3" t="s">
        <v>1396</v>
      </c>
      <c r="H728" s="5">
        <v>371</v>
      </c>
      <c r="I728" s="3" t="s">
        <v>1366</v>
      </c>
      <c r="J728" s="3">
        <v>5</v>
      </c>
      <c r="K728" s="3">
        <v>3</v>
      </c>
      <c r="L728" s="3" t="s">
        <v>2911</v>
      </c>
      <c r="M728" s="6" t="s">
        <v>1378</v>
      </c>
      <c r="N728" s="6"/>
      <c r="O728" s="6"/>
      <c r="P728" s="6"/>
    </row>
    <row r="729" spans="1:16" ht="12.45" x14ac:dyDescent="0.2">
      <c r="A729" s="3" t="s">
        <v>13</v>
      </c>
      <c r="B729" t="s">
        <v>1422</v>
      </c>
      <c r="C729" t="s">
        <v>2967</v>
      </c>
      <c r="D729" t="s">
        <v>22</v>
      </c>
      <c r="E729" t="s">
        <v>23</v>
      </c>
      <c r="F729" t="s">
        <v>44</v>
      </c>
      <c r="G729" s="3" t="s">
        <v>1423</v>
      </c>
      <c r="H729" s="5">
        <v>374</v>
      </c>
      <c r="I729" s="3" t="s">
        <v>1366</v>
      </c>
      <c r="J729" s="3">
        <v>5</v>
      </c>
      <c r="K729" s="3">
        <v>4</v>
      </c>
      <c r="L729" s="3" t="s">
        <v>2911</v>
      </c>
      <c r="M729" s="6" t="s">
        <v>1395</v>
      </c>
      <c r="N729" s="6"/>
      <c r="O729" s="6"/>
      <c r="P729" s="6"/>
    </row>
    <row r="730" spans="1:16" ht="12.45" x14ac:dyDescent="0.2">
      <c r="A730" s="3" t="s">
        <v>13</v>
      </c>
      <c r="B730" s="3" t="s">
        <v>1675</v>
      </c>
      <c r="C730" s="3" t="s">
        <v>34</v>
      </c>
      <c r="D730" s="3" t="s">
        <v>22</v>
      </c>
      <c r="E730" s="3" t="s">
        <v>23</v>
      </c>
      <c r="F730" s="3" t="s">
        <v>44</v>
      </c>
      <c r="G730" s="3"/>
      <c r="H730" s="5" t="s">
        <v>1659</v>
      </c>
      <c r="I730" s="3" t="s">
        <v>1662</v>
      </c>
      <c r="J730" s="5">
        <v>4</v>
      </c>
      <c r="K730" s="5">
        <v>1</v>
      </c>
      <c r="L730" s="3" t="s">
        <v>2907</v>
      </c>
      <c r="M730" s="6" t="s">
        <v>1663</v>
      </c>
      <c r="N730" s="6"/>
      <c r="O730" s="6"/>
      <c r="P730" s="6"/>
    </row>
    <row r="731" spans="1:16" ht="12.45" x14ac:dyDescent="0.2">
      <c r="A731" s="3" t="s">
        <v>13</v>
      </c>
      <c r="B731" t="s">
        <v>1765</v>
      </c>
      <c r="C731" t="s">
        <v>2950</v>
      </c>
      <c r="D731" t="s">
        <v>22</v>
      </c>
      <c r="E731" t="s">
        <v>23</v>
      </c>
      <c r="F731" t="s">
        <v>44</v>
      </c>
      <c r="G731" s="3" t="s">
        <v>1766</v>
      </c>
      <c r="H731" s="5">
        <v>402</v>
      </c>
      <c r="I731" s="3" t="s">
        <v>1662</v>
      </c>
      <c r="J731" s="3">
        <v>5</v>
      </c>
      <c r="K731" s="3">
        <v>4</v>
      </c>
      <c r="L731" s="3" t="s">
        <v>2907</v>
      </c>
      <c r="M731" s="3" t="s">
        <v>1763</v>
      </c>
      <c r="N731" s="3"/>
      <c r="O731" s="3"/>
      <c r="P731" s="3"/>
    </row>
    <row r="732" spans="1:16" ht="12.45" x14ac:dyDescent="0.2">
      <c r="A732" s="3" t="s">
        <v>13</v>
      </c>
      <c r="B732" t="s">
        <v>1779</v>
      </c>
      <c r="C732" t="s">
        <v>2940</v>
      </c>
      <c r="D732" t="s">
        <v>22</v>
      </c>
      <c r="E732" t="s">
        <v>142</v>
      </c>
      <c r="F732" t="s">
        <v>182</v>
      </c>
      <c r="G732" s="3" t="s">
        <v>1780</v>
      </c>
      <c r="H732" s="5">
        <v>403</v>
      </c>
      <c r="I732" s="3" t="s">
        <v>1778</v>
      </c>
      <c r="J732" s="3">
        <v>3</v>
      </c>
      <c r="K732" s="3">
        <v>1</v>
      </c>
      <c r="L732" s="3" t="s">
        <v>2908</v>
      </c>
      <c r="M732" s="6" t="s">
        <v>1776</v>
      </c>
      <c r="N732" s="6"/>
      <c r="O732" s="6"/>
      <c r="P732" s="6"/>
    </row>
    <row r="733" spans="1:16" ht="12.45" x14ac:dyDescent="0.2">
      <c r="A733" s="3" t="s">
        <v>13</v>
      </c>
      <c r="B733" t="s">
        <v>1787</v>
      </c>
      <c r="C733" t="s">
        <v>2940</v>
      </c>
      <c r="D733" t="s">
        <v>28</v>
      </c>
      <c r="E733" t="s">
        <v>142</v>
      </c>
      <c r="F733" t="s">
        <v>182</v>
      </c>
      <c r="G733" s="3" t="s">
        <v>1788</v>
      </c>
      <c r="H733" s="5">
        <v>404</v>
      </c>
      <c r="I733" s="3" t="s">
        <v>1778</v>
      </c>
      <c r="J733" s="3">
        <v>4</v>
      </c>
      <c r="K733" s="3">
        <v>1</v>
      </c>
      <c r="L733" s="3" t="s">
        <v>2908</v>
      </c>
      <c r="M733" s="6" t="s">
        <v>1783</v>
      </c>
      <c r="N733" s="6"/>
      <c r="O733" s="6"/>
      <c r="P733" s="6"/>
    </row>
    <row r="734" spans="1:16" ht="12.45" x14ac:dyDescent="0.2">
      <c r="A734" s="3" t="s">
        <v>13</v>
      </c>
      <c r="B734" s="3" t="s">
        <v>1789</v>
      </c>
      <c r="C734" s="3" t="s">
        <v>175</v>
      </c>
      <c r="D734" s="3" t="s">
        <v>28</v>
      </c>
      <c r="E734" s="3" t="s">
        <v>142</v>
      </c>
      <c r="F734" s="3" t="s">
        <v>182</v>
      </c>
      <c r="G734" s="3"/>
      <c r="H734" s="5" t="s">
        <v>1711</v>
      </c>
      <c r="I734" s="3" t="s">
        <v>1778</v>
      </c>
      <c r="J734" s="5">
        <v>4</v>
      </c>
      <c r="K734" s="5">
        <v>1</v>
      </c>
      <c r="L734" s="3" t="s">
        <v>2908</v>
      </c>
      <c r="M734" s="6" t="s">
        <v>1776</v>
      </c>
      <c r="N734" s="6"/>
      <c r="O734" s="6"/>
      <c r="P734" s="6"/>
    </row>
    <row r="735" spans="1:16" ht="12.45" x14ac:dyDescent="0.2">
      <c r="A735" s="3" t="s">
        <v>13</v>
      </c>
      <c r="B735" t="s">
        <v>1790</v>
      </c>
      <c r="C735" t="s">
        <v>2963</v>
      </c>
      <c r="D735" t="s">
        <v>22</v>
      </c>
      <c r="E735" t="s">
        <v>142</v>
      </c>
      <c r="F735" t="s">
        <v>182</v>
      </c>
      <c r="G735" s="3" t="s">
        <v>1791</v>
      </c>
      <c r="H735" s="5">
        <v>405</v>
      </c>
      <c r="I735" s="3" t="s">
        <v>1778</v>
      </c>
      <c r="J735" s="3">
        <v>4</v>
      </c>
      <c r="K735" s="3">
        <v>2</v>
      </c>
      <c r="L735" s="3" t="s">
        <v>2908</v>
      </c>
      <c r="M735" s="3" t="s">
        <v>1779</v>
      </c>
      <c r="N735" s="3"/>
      <c r="O735" s="3"/>
      <c r="P735" s="3"/>
    </row>
    <row r="736" spans="1:16" ht="12.45" x14ac:dyDescent="0.2">
      <c r="A736" s="3" t="s">
        <v>13</v>
      </c>
      <c r="B736" t="s">
        <v>1805</v>
      </c>
      <c r="C736" t="s">
        <v>2966</v>
      </c>
      <c r="D736" t="s">
        <v>22</v>
      </c>
      <c r="E736" t="s">
        <v>547</v>
      </c>
      <c r="F736" t="s">
        <v>182</v>
      </c>
      <c r="G736" s="3" t="s">
        <v>1806</v>
      </c>
      <c r="H736" s="5">
        <v>406</v>
      </c>
      <c r="I736" s="3" t="s">
        <v>1778</v>
      </c>
      <c r="J736" s="3">
        <v>5</v>
      </c>
      <c r="K736" s="3">
        <v>3</v>
      </c>
      <c r="L736" s="3" t="s">
        <v>2908</v>
      </c>
      <c r="M736" s="6" t="s">
        <v>1790</v>
      </c>
      <c r="N736" s="6"/>
      <c r="O736" s="6"/>
      <c r="P736" s="6"/>
    </row>
    <row r="737" spans="1:16" ht="12.45" x14ac:dyDescent="0.2">
      <c r="A737" s="3" t="s">
        <v>13</v>
      </c>
      <c r="B737" t="s">
        <v>1807</v>
      </c>
      <c r="C737" t="s">
        <v>2938</v>
      </c>
      <c r="D737" t="s">
        <v>22</v>
      </c>
      <c r="E737" t="s">
        <v>142</v>
      </c>
      <c r="F737" t="s">
        <v>182</v>
      </c>
      <c r="G737" s="3" t="s">
        <v>1808</v>
      </c>
      <c r="H737" s="5">
        <v>407</v>
      </c>
      <c r="I737" s="3" t="s">
        <v>1778</v>
      </c>
      <c r="J737" s="3">
        <v>5</v>
      </c>
      <c r="K737" s="3">
        <v>3</v>
      </c>
      <c r="L737" s="3" t="s">
        <v>2908</v>
      </c>
      <c r="M737" s="6" t="s">
        <v>1792</v>
      </c>
      <c r="N737" s="6"/>
      <c r="O737" s="6"/>
      <c r="P737" s="6"/>
    </row>
    <row r="738" spans="1:16" ht="12.45" x14ac:dyDescent="0.2">
      <c r="A738" s="3" t="s">
        <v>13</v>
      </c>
      <c r="B738" t="s">
        <v>1816</v>
      </c>
      <c r="C738" t="s">
        <v>2965</v>
      </c>
      <c r="D738" t="s">
        <v>22</v>
      </c>
      <c r="E738" t="s">
        <v>1817</v>
      </c>
      <c r="F738" t="s">
        <v>182</v>
      </c>
      <c r="G738" s="3" t="s">
        <v>1818</v>
      </c>
      <c r="H738" s="5">
        <v>407</v>
      </c>
      <c r="I738" s="3" t="s">
        <v>1778</v>
      </c>
      <c r="J738" s="3">
        <v>5</v>
      </c>
      <c r="K738" s="3">
        <v>3</v>
      </c>
      <c r="L738" s="3" t="s">
        <v>2908</v>
      </c>
      <c r="M738" t="s">
        <v>1796</v>
      </c>
      <c r="N738" s="6"/>
      <c r="O738" s="6"/>
      <c r="P738" s="6"/>
    </row>
    <row r="739" spans="1:16" ht="12.45" x14ac:dyDescent="0.2">
      <c r="A739" s="3" t="s">
        <v>13</v>
      </c>
      <c r="B739" t="s">
        <v>1830</v>
      </c>
      <c r="C739" t="s">
        <v>2938</v>
      </c>
      <c r="D739" t="s">
        <v>22</v>
      </c>
      <c r="E739" t="s">
        <v>1817</v>
      </c>
      <c r="F739" t="s">
        <v>182</v>
      </c>
      <c r="G739" s="3" t="s">
        <v>1831</v>
      </c>
      <c r="H739" s="5">
        <v>409</v>
      </c>
      <c r="I739" s="3" t="s">
        <v>1778</v>
      </c>
      <c r="J739" s="3">
        <v>5</v>
      </c>
      <c r="K739" s="3">
        <v>4</v>
      </c>
      <c r="L739" s="3" t="s">
        <v>2908</v>
      </c>
      <c r="M739" t="s">
        <v>1819</v>
      </c>
      <c r="N739" s="6"/>
      <c r="O739" s="6"/>
      <c r="P739" s="6"/>
    </row>
    <row r="740" spans="1:16" ht="12.45" x14ac:dyDescent="0.2">
      <c r="A740" s="3" t="s">
        <v>13</v>
      </c>
      <c r="B740" t="s">
        <v>1776</v>
      </c>
      <c r="C740" t="s">
        <v>2950</v>
      </c>
      <c r="D740" t="s">
        <v>22</v>
      </c>
      <c r="E740" t="s">
        <v>23</v>
      </c>
      <c r="F740" t="s">
        <v>18</v>
      </c>
      <c r="G740" s="3" t="s">
        <v>1777</v>
      </c>
      <c r="H740" s="5">
        <v>403</v>
      </c>
      <c r="I740" s="3" t="s">
        <v>1778</v>
      </c>
      <c r="J740" s="3">
        <v>2</v>
      </c>
      <c r="K740" s="3">
        <v>1</v>
      </c>
      <c r="L740" s="3" t="s">
        <v>2908</v>
      </c>
      <c r="M740" s="6"/>
      <c r="N740" s="6"/>
      <c r="O740" s="6"/>
      <c r="P740" s="6"/>
    </row>
    <row r="741" spans="1:16" ht="12.45" x14ac:dyDescent="0.2">
      <c r="A741" s="3" t="s">
        <v>13</v>
      </c>
      <c r="B741" t="s">
        <v>1783</v>
      </c>
      <c r="C741" t="s">
        <v>2944</v>
      </c>
      <c r="D741" t="s">
        <v>16</v>
      </c>
      <c r="E741" t="s">
        <v>23</v>
      </c>
      <c r="F741" t="s">
        <v>18</v>
      </c>
      <c r="G741" s="3" t="s">
        <v>1784</v>
      </c>
      <c r="H741" s="5">
        <v>404</v>
      </c>
      <c r="I741" s="3" t="s">
        <v>1778</v>
      </c>
      <c r="J741" s="3">
        <v>3</v>
      </c>
      <c r="K741" s="3">
        <v>1</v>
      </c>
      <c r="L741" s="3" t="s">
        <v>2908</v>
      </c>
      <c r="M741" s="6"/>
      <c r="N741" s="6"/>
      <c r="O741" s="6"/>
      <c r="P741" s="6"/>
    </row>
    <row r="742" spans="1:16" ht="12.45" x14ac:dyDescent="0.2">
      <c r="A742" s="3" t="s">
        <v>13</v>
      </c>
      <c r="B742" t="s">
        <v>1785</v>
      </c>
      <c r="C742" t="s">
        <v>2944</v>
      </c>
      <c r="D742" t="s">
        <v>28</v>
      </c>
      <c r="E742" t="s">
        <v>142</v>
      </c>
      <c r="F742" t="s">
        <v>18</v>
      </c>
      <c r="G742" s="3" t="s">
        <v>1786</v>
      </c>
      <c r="H742" s="5">
        <v>405</v>
      </c>
      <c r="I742" s="3" t="s">
        <v>1778</v>
      </c>
      <c r="J742" s="3">
        <v>3</v>
      </c>
      <c r="K742" s="3">
        <v>1</v>
      </c>
      <c r="L742" s="3" t="s">
        <v>2908</v>
      </c>
      <c r="M742" s="6" t="s">
        <v>1783</v>
      </c>
      <c r="N742" s="6"/>
      <c r="O742" s="6"/>
      <c r="P742" s="6"/>
    </row>
    <row r="743" spans="1:16" ht="12.45" x14ac:dyDescent="0.2">
      <c r="A743" s="3" t="s">
        <v>13</v>
      </c>
      <c r="B743" t="s">
        <v>1794</v>
      </c>
      <c r="C743" t="s">
        <v>2943</v>
      </c>
      <c r="D743" t="s">
        <v>28</v>
      </c>
      <c r="E743" t="s">
        <v>142</v>
      </c>
      <c r="F743" t="s">
        <v>18</v>
      </c>
      <c r="G743" s="3" t="s">
        <v>1795</v>
      </c>
      <c r="H743" s="5">
        <v>405</v>
      </c>
      <c r="I743" s="3" t="s">
        <v>1778</v>
      </c>
      <c r="J743" s="3">
        <v>4</v>
      </c>
      <c r="K743" s="3">
        <v>2</v>
      </c>
      <c r="L743" s="3" t="s">
        <v>2908</v>
      </c>
      <c r="M743" s="6" t="s">
        <v>1783</v>
      </c>
      <c r="N743" s="6"/>
      <c r="O743" s="6"/>
      <c r="P743" s="6"/>
    </row>
    <row r="744" spans="1:16" ht="12.45" x14ac:dyDescent="0.2">
      <c r="A744" s="3" t="s">
        <v>13</v>
      </c>
      <c r="B744" t="s">
        <v>1796</v>
      </c>
      <c r="C744" t="s">
        <v>2939</v>
      </c>
      <c r="D744" t="s">
        <v>22</v>
      </c>
      <c r="E744" t="s">
        <v>142</v>
      </c>
      <c r="F744" t="s">
        <v>18</v>
      </c>
      <c r="G744" s="3" t="s">
        <v>1797</v>
      </c>
      <c r="H744" s="5">
        <v>406</v>
      </c>
      <c r="I744" s="3" t="s">
        <v>1778</v>
      </c>
      <c r="J744" s="3">
        <v>4</v>
      </c>
      <c r="K744" s="3">
        <v>2</v>
      </c>
      <c r="L744" s="3" t="s">
        <v>2908</v>
      </c>
      <c r="M744" s="6" t="s">
        <v>1785</v>
      </c>
      <c r="N744" s="6"/>
      <c r="O744" s="6"/>
      <c r="P744" s="6"/>
    </row>
    <row r="745" spans="1:16" ht="12.45" x14ac:dyDescent="0.2">
      <c r="A745" s="3" t="s">
        <v>13</v>
      </c>
      <c r="B745" t="s">
        <v>1798</v>
      </c>
      <c r="C745" t="s">
        <v>2945</v>
      </c>
      <c r="D745" t="s">
        <v>22</v>
      </c>
      <c r="E745" t="s">
        <v>23</v>
      </c>
      <c r="F745" t="s">
        <v>18</v>
      </c>
      <c r="G745" s="3" t="s">
        <v>1799</v>
      </c>
      <c r="H745" s="5">
        <v>405</v>
      </c>
      <c r="I745" s="3" t="s">
        <v>1778</v>
      </c>
      <c r="J745" s="3">
        <v>5</v>
      </c>
      <c r="K745" s="3">
        <v>2</v>
      </c>
      <c r="L745" s="3" t="s">
        <v>2908</v>
      </c>
      <c r="M745" s="6" t="s">
        <v>1794</v>
      </c>
      <c r="N745" s="6"/>
      <c r="O745" s="6"/>
      <c r="P745" s="6"/>
    </row>
    <row r="746" spans="1:16" ht="12.45" x14ac:dyDescent="0.2">
      <c r="A746" s="3" t="s">
        <v>13</v>
      </c>
      <c r="B746" t="s">
        <v>1800</v>
      </c>
      <c r="C746" t="s">
        <v>2964</v>
      </c>
      <c r="D746" t="s">
        <v>22</v>
      </c>
      <c r="E746" t="s">
        <v>23</v>
      </c>
      <c r="F746" t="s">
        <v>18</v>
      </c>
      <c r="G746" s="3" t="s">
        <v>1801</v>
      </c>
      <c r="H746" s="5">
        <v>405</v>
      </c>
      <c r="I746" s="3" t="s">
        <v>1778</v>
      </c>
      <c r="J746" s="3">
        <v>5</v>
      </c>
      <c r="K746" s="3">
        <v>2</v>
      </c>
      <c r="L746" s="3" t="s">
        <v>2908</v>
      </c>
      <c r="M746" s="3" t="s">
        <v>1787</v>
      </c>
      <c r="N746" s="3"/>
      <c r="O746" s="3"/>
      <c r="P746" s="3"/>
    </row>
    <row r="747" spans="1:16" ht="12.45" x14ac:dyDescent="0.2">
      <c r="A747" s="3" t="s">
        <v>13</v>
      </c>
      <c r="B747" t="s">
        <v>1802</v>
      </c>
      <c r="C747" t="s">
        <v>2944</v>
      </c>
      <c r="D747" t="s">
        <v>22</v>
      </c>
      <c r="E747" t="s">
        <v>142</v>
      </c>
      <c r="F747" t="s">
        <v>18</v>
      </c>
      <c r="G747" s="3" t="s">
        <v>1803</v>
      </c>
      <c r="H747" s="5">
        <v>406</v>
      </c>
      <c r="I747" s="3" t="s">
        <v>1778</v>
      </c>
      <c r="J747" s="3">
        <v>5</v>
      </c>
      <c r="K747" s="3">
        <v>2</v>
      </c>
      <c r="L747" s="3" t="s">
        <v>2908</v>
      </c>
      <c r="M747" s="6" t="s">
        <v>1796</v>
      </c>
      <c r="N747" s="6"/>
      <c r="O747" s="6"/>
      <c r="P747" s="6"/>
    </row>
    <row r="748" spans="1:16" ht="12.45" x14ac:dyDescent="0.2">
      <c r="A748" s="3" t="s">
        <v>13</v>
      </c>
      <c r="B748" s="3" t="s">
        <v>1804</v>
      </c>
      <c r="C748" s="3" t="s">
        <v>43</v>
      </c>
      <c r="D748" s="3" t="s">
        <v>22</v>
      </c>
      <c r="E748" s="3" t="s">
        <v>142</v>
      </c>
      <c r="F748" s="3" t="s">
        <v>18</v>
      </c>
      <c r="G748" s="3"/>
      <c r="H748" s="5" t="s">
        <v>1711</v>
      </c>
      <c r="I748" s="3" t="s">
        <v>1778</v>
      </c>
      <c r="J748" s="5">
        <v>5</v>
      </c>
      <c r="K748" s="5">
        <v>2</v>
      </c>
      <c r="L748" s="3" t="s">
        <v>2908</v>
      </c>
      <c r="M748" s="6" t="s">
        <v>1787</v>
      </c>
      <c r="N748" s="6"/>
      <c r="O748" s="6"/>
      <c r="P748" s="6"/>
    </row>
    <row r="749" spans="1:16" ht="12.45" x14ac:dyDescent="0.2">
      <c r="A749" s="3" t="s">
        <v>13</v>
      </c>
      <c r="B749" t="s">
        <v>1819</v>
      </c>
      <c r="C749" t="s">
        <v>2946</v>
      </c>
      <c r="D749" t="s">
        <v>22</v>
      </c>
      <c r="E749" t="s">
        <v>142</v>
      </c>
      <c r="F749" t="s">
        <v>18</v>
      </c>
      <c r="G749" s="3" t="s">
        <v>1820</v>
      </c>
      <c r="H749" s="5">
        <v>408</v>
      </c>
      <c r="I749" s="3" t="s">
        <v>1778</v>
      </c>
      <c r="J749" s="3">
        <v>5</v>
      </c>
      <c r="K749" s="3">
        <v>3</v>
      </c>
      <c r="L749" s="3" t="s">
        <v>2908</v>
      </c>
      <c r="M749" t="s">
        <v>1802</v>
      </c>
      <c r="N749" s="6"/>
      <c r="O749" s="6"/>
      <c r="P749" s="6"/>
    </row>
    <row r="750" spans="1:16" ht="12.45" x14ac:dyDescent="0.2">
      <c r="A750" s="3" t="s">
        <v>13</v>
      </c>
      <c r="B750" s="3" t="s">
        <v>1821</v>
      </c>
      <c r="C750" s="3" t="s">
        <v>154</v>
      </c>
      <c r="D750" s="3" t="s">
        <v>16</v>
      </c>
      <c r="E750" s="3" t="s">
        <v>1822</v>
      </c>
      <c r="F750" s="3" t="s">
        <v>18</v>
      </c>
      <c r="G750" s="3"/>
      <c r="H750" s="5" t="s">
        <v>1823</v>
      </c>
      <c r="I750" s="3" t="s">
        <v>1778</v>
      </c>
      <c r="J750" s="5">
        <v>5</v>
      </c>
      <c r="K750" s="5">
        <v>3</v>
      </c>
      <c r="L750" s="3" t="s">
        <v>2908</v>
      </c>
      <c r="M750" t="s">
        <v>1824</v>
      </c>
      <c r="N750" s="6"/>
      <c r="O750" s="6"/>
      <c r="P750" s="6"/>
    </row>
    <row r="751" spans="1:16" ht="12.45" x14ac:dyDescent="0.2">
      <c r="A751" s="3" t="s">
        <v>13</v>
      </c>
      <c r="B751" t="s">
        <v>1827</v>
      </c>
      <c r="C751" t="s">
        <v>2963</v>
      </c>
      <c r="D751" t="s">
        <v>22</v>
      </c>
      <c r="E751" t="s">
        <v>1817</v>
      </c>
      <c r="F751" t="s">
        <v>18</v>
      </c>
      <c r="G751" s="3" t="s">
        <v>1828</v>
      </c>
      <c r="H751" s="5">
        <v>408</v>
      </c>
      <c r="I751" s="3" t="s">
        <v>1778</v>
      </c>
      <c r="J751" s="3">
        <v>5</v>
      </c>
      <c r="K751" s="3">
        <v>4</v>
      </c>
      <c r="L751" s="3" t="s">
        <v>2908</v>
      </c>
      <c r="M751" s="6" t="s">
        <v>1829</v>
      </c>
      <c r="N751" s="6"/>
      <c r="O751" s="6"/>
      <c r="P751" s="6"/>
    </row>
    <row r="752" spans="1:16" ht="12.45" x14ac:dyDescent="0.2">
      <c r="A752" s="3" t="s">
        <v>13</v>
      </c>
      <c r="B752" t="s">
        <v>1809</v>
      </c>
      <c r="C752" t="s">
        <v>2948</v>
      </c>
      <c r="D752" t="s">
        <v>22</v>
      </c>
      <c r="E752" t="s">
        <v>547</v>
      </c>
      <c r="F752" t="s">
        <v>683</v>
      </c>
      <c r="G752" s="3" t="s">
        <v>1810</v>
      </c>
      <c r="H752" s="5">
        <v>407</v>
      </c>
      <c r="I752" s="3" t="s">
        <v>1778</v>
      </c>
      <c r="J752" s="3">
        <v>5</v>
      </c>
      <c r="K752" s="3">
        <v>3</v>
      </c>
      <c r="L752" s="3" t="s">
        <v>2908</v>
      </c>
      <c r="M752" s="6" t="s">
        <v>1811</v>
      </c>
      <c r="N752" s="6"/>
      <c r="O752" s="6"/>
      <c r="P752" s="6"/>
    </row>
    <row r="753" spans="1:16" ht="12.45" x14ac:dyDescent="0.2">
      <c r="A753" s="3" t="s">
        <v>13</v>
      </c>
      <c r="B753" t="s">
        <v>1814</v>
      </c>
      <c r="C753" t="s">
        <v>147</v>
      </c>
      <c r="D753" t="s">
        <v>148</v>
      </c>
      <c r="E753" t="s">
        <v>23</v>
      </c>
      <c r="F753" t="s">
        <v>148</v>
      </c>
      <c r="G753" s="3" t="s">
        <v>1815</v>
      </c>
      <c r="H753" s="5">
        <v>407</v>
      </c>
      <c r="I753" s="3" t="s">
        <v>1778</v>
      </c>
      <c r="J753" s="3">
        <v>5</v>
      </c>
      <c r="K753" s="3">
        <v>3</v>
      </c>
      <c r="L753" s="3" t="s">
        <v>2908</v>
      </c>
      <c r="M753" t="s">
        <v>1798</v>
      </c>
      <c r="N753" s="6"/>
      <c r="O753" s="6"/>
      <c r="P753" s="6"/>
    </row>
    <row r="754" spans="1:16" ht="12.45" x14ac:dyDescent="0.2">
      <c r="A754" s="3" t="s">
        <v>13</v>
      </c>
      <c r="B754" t="s">
        <v>1825</v>
      </c>
      <c r="C754" t="s">
        <v>147</v>
      </c>
      <c r="D754" t="s">
        <v>148</v>
      </c>
      <c r="E754" t="s">
        <v>23</v>
      </c>
      <c r="F754" t="s">
        <v>148</v>
      </c>
      <c r="G754" s="3" t="s">
        <v>1826</v>
      </c>
      <c r="H754" s="5">
        <v>408</v>
      </c>
      <c r="I754" s="3" t="s">
        <v>1778</v>
      </c>
      <c r="J754" s="3">
        <v>5</v>
      </c>
      <c r="K754" s="3">
        <v>4</v>
      </c>
      <c r="L754" s="3" t="s">
        <v>2908</v>
      </c>
      <c r="M754" t="s">
        <v>1809</v>
      </c>
      <c r="N754" s="6"/>
      <c r="O754" s="6"/>
      <c r="P754" s="6"/>
    </row>
    <row r="755" spans="1:16" ht="12.45" x14ac:dyDescent="0.2">
      <c r="A755" s="3" t="s">
        <v>13</v>
      </c>
      <c r="B755" t="s">
        <v>1781</v>
      </c>
      <c r="C755" t="s">
        <v>2944</v>
      </c>
      <c r="D755" t="s">
        <v>28</v>
      </c>
      <c r="E755" t="s">
        <v>23</v>
      </c>
      <c r="F755" t="s">
        <v>44</v>
      </c>
      <c r="G755" s="3" t="s">
        <v>1782</v>
      </c>
      <c r="H755" s="5">
        <v>403</v>
      </c>
      <c r="I755" s="3" t="s">
        <v>1778</v>
      </c>
      <c r="J755" s="3">
        <v>3</v>
      </c>
      <c r="K755" s="3">
        <v>1</v>
      </c>
      <c r="L755" s="3" t="s">
        <v>2908</v>
      </c>
      <c r="M755" s="6"/>
      <c r="N755" s="6"/>
      <c r="O755" s="6"/>
      <c r="P755" s="6"/>
    </row>
    <row r="756" spans="1:16" ht="12.45" x14ac:dyDescent="0.2">
      <c r="A756" s="3" t="s">
        <v>13</v>
      </c>
      <c r="B756" t="s">
        <v>1792</v>
      </c>
      <c r="C756" t="s">
        <v>2946</v>
      </c>
      <c r="D756" t="s">
        <v>28</v>
      </c>
      <c r="E756" t="s">
        <v>142</v>
      </c>
      <c r="F756" t="s">
        <v>44</v>
      </c>
      <c r="G756" s="3" t="s">
        <v>1793</v>
      </c>
      <c r="H756" s="5">
        <v>405</v>
      </c>
      <c r="I756" s="3" t="s">
        <v>1778</v>
      </c>
      <c r="J756" s="3">
        <v>4</v>
      </c>
      <c r="K756" s="3">
        <v>2</v>
      </c>
      <c r="L756" s="3" t="s">
        <v>2908</v>
      </c>
      <c r="M756" s="6" t="s">
        <v>1781</v>
      </c>
      <c r="N756" s="6"/>
      <c r="O756" s="6"/>
      <c r="P756" s="6"/>
    </row>
    <row r="757" spans="1:16" ht="12.45" x14ac:dyDescent="0.2">
      <c r="A757" s="3" t="s">
        <v>13</v>
      </c>
      <c r="B757" t="s">
        <v>1812</v>
      </c>
      <c r="C757" t="s">
        <v>2944</v>
      </c>
      <c r="D757" t="s">
        <v>22</v>
      </c>
      <c r="E757" t="s">
        <v>23</v>
      </c>
      <c r="F757" t="s">
        <v>44</v>
      </c>
      <c r="G757" s="3" t="s">
        <v>1813</v>
      </c>
      <c r="H757" s="5">
        <v>407</v>
      </c>
      <c r="I757" s="3" t="s">
        <v>1778</v>
      </c>
      <c r="J757" s="3">
        <v>5</v>
      </c>
      <c r="K757" s="3">
        <v>3</v>
      </c>
      <c r="L757" s="3" t="s">
        <v>2908</v>
      </c>
      <c r="M757" t="s">
        <v>1809</v>
      </c>
      <c r="N757" s="6"/>
      <c r="O757" s="6"/>
      <c r="P757" s="6"/>
    </row>
    <row r="758" spans="1:16" ht="12.45" x14ac:dyDescent="0.2">
      <c r="A758" s="3" t="s">
        <v>13</v>
      </c>
      <c r="B758" s="3" t="s">
        <v>724</v>
      </c>
      <c r="C758" s="3" t="s">
        <v>15</v>
      </c>
      <c r="D758" s="3" t="s">
        <v>16</v>
      </c>
      <c r="E758" s="3" t="s">
        <v>23</v>
      </c>
      <c r="F758" s="3" t="s">
        <v>18</v>
      </c>
      <c r="G758" s="3"/>
      <c r="H758" s="5" t="s">
        <v>725</v>
      </c>
      <c r="I758" s="3" t="s">
        <v>726</v>
      </c>
      <c r="J758" s="5">
        <v>3</v>
      </c>
      <c r="K758" s="5">
        <v>1</v>
      </c>
      <c r="L758" s="3" t="s">
        <v>2909</v>
      </c>
      <c r="M758" s="4" t="s">
        <v>727</v>
      </c>
      <c r="N758" s="4"/>
      <c r="O758" s="4"/>
      <c r="P758" s="4"/>
    </row>
    <row r="759" spans="1:16" ht="12.45" x14ac:dyDescent="0.2">
      <c r="A759" s="3" t="s">
        <v>13</v>
      </c>
      <c r="B759" t="s">
        <v>731</v>
      </c>
      <c r="C759" t="s">
        <v>147</v>
      </c>
      <c r="D759" t="s">
        <v>22</v>
      </c>
      <c r="E759" t="s">
        <v>23</v>
      </c>
      <c r="F759" t="s">
        <v>18</v>
      </c>
      <c r="G759" s="3" t="s">
        <v>732</v>
      </c>
      <c r="H759" s="5">
        <v>311</v>
      </c>
      <c r="I759" s="3" t="s">
        <v>726</v>
      </c>
      <c r="J759" s="3">
        <v>1</v>
      </c>
      <c r="K759" s="3">
        <v>1</v>
      </c>
      <c r="L759" s="3" t="s">
        <v>2909</v>
      </c>
      <c r="M759" s="4"/>
      <c r="N759" s="4"/>
      <c r="O759" s="4"/>
      <c r="P759" s="4"/>
    </row>
    <row r="760" spans="1:16" ht="12.45" x14ac:dyDescent="0.2">
      <c r="A760" s="3" t="s">
        <v>13</v>
      </c>
      <c r="B760" t="s">
        <v>727</v>
      </c>
      <c r="C760" t="s">
        <v>2940</v>
      </c>
      <c r="D760" t="s">
        <v>28</v>
      </c>
      <c r="E760" t="s">
        <v>142</v>
      </c>
      <c r="F760" t="s">
        <v>18</v>
      </c>
      <c r="G760" s="3" t="s">
        <v>735</v>
      </c>
      <c r="H760" s="5">
        <v>312</v>
      </c>
      <c r="I760" s="3" t="s">
        <v>726</v>
      </c>
      <c r="J760" s="3">
        <v>3</v>
      </c>
      <c r="K760" s="3">
        <v>1</v>
      </c>
      <c r="L760" s="3" t="s">
        <v>2909</v>
      </c>
      <c r="M760" s="4" t="s">
        <v>731</v>
      </c>
      <c r="N760" s="4"/>
      <c r="O760" s="4"/>
      <c r="P760" s="4"/>
    </row>
    <row r="761" spans="1:16" ht="12.45" x14ac:dyDescent="0.2">
      <c r="A761" s="3" t="s">
        <v>13</v>
      </c>
      <c r="B761" t="s">
        <v>730</v>
      </c>
      <c r="C761" t="s">
        <v>2944</v>
      </c>
      <c r="D761" t="s">
        <v>22</v>
      </c>
      <c r="E761" t="s">
        <v>23</v>
      </c>
      <c r="F761" t="s">
        <v>18</v>
      </c>
      <c r="G761" s="3" t="s">
        <v>738</v>
      </c>
      <c r="H761" s="5">
        <v>312</v>
      </c>
      <c r="I761" s="3" t="s">
        <v>726</v>
      </c>
      <c r="J761" s="3">
        <v>4</v>
      </c>
      <c r="K761" s="3">
        <v>1</v>
      </c>
      <c r="L761" s="3" t="s">
        <v>2909</v>
      </c>
      <c r="M761" s="6" t="s">
        <v>727</v>
      </c>
      <c r="N761" s="6"/>
      <c r="O761" s="6"/>
      <c r="P761" s="6"/>
    </row>
    <row r="762" spans="1:16" ht="12.45" x14ac:dyDescent="0.2">
      <c r="A762" s="3" t="s">
        <v>13</v>
      </c>
      <c r="B762" t="s">
        <v>739</v>
      </c>
      <c r="C762" t="s">
        <v>2962</v>
      </c>
      <c r="D762" t="s">
        <v>28</v>
      </c>
      <c r="E762" t="s">
        <v>23</v>
      </c>
      <c r="F762" t="s">
        <v>18</v>
      </c>
      <c r="G762" s="3" t="s">
        <v>741</v>
      </c>
      <c r="H762" s="5">
        <v>312</v>
      </c>
      <c r="I762" s="3" t="s">
        <v>726</v>
      </c>
      <c r="J762" s="3">
        <v>5</v>
      </c>
      <c r="K762" s="3">
        <v>1</v>
      </c>
      <c r="L762" s="3" t="s">
        <v>2909</v>
      </c>
      <c r="M762" s="3" t="s">
        <v>727</v>
      </c>
      <c r="N762" s="3"/>
      <c r="O762" s="3"/>
      <c r="P762" s="3"/>
    </row>
    <row r="763" spans="1:16" ht="12.45" x14ac:dyDescent="0.2">
      <c r="A763" s="3" t="s">
        <v>13</v>
      </c>
      <c r="B763" t="s">
        <v>744</v>
      </c>
      <c r="C763" t="s">
        <v>2961</v>
      </c>
      <c r="D763" t="s">
        <v>22</v>
      </c>
      <c r="E763" t="s">
        <v>23</v>
      </c>
      <c r="F763" t="s">
        <v>18</v>
      </c>
      <c r="G763" s="3" t="s">
        <v>745</v>
      </c>
      <c r="H763" s="5">
        <v>312</v>
      </c>
      <c r="I763" s="3" t="s">
        <v>726</v>
      </c>
      <c r="J763" s="3">
        <v>5</v>
      </c>
      <c r="K763" s="3">
        <v>2</v>
      </c>
      <c r="L763" s="3" t="s">
        <v>2909</v>
      </c>
      <c r="M763" s="3" t="s">
        <v>739</v>
      </c>
      <c r="N763" s="3"/>
      <c r="O763" s="3"/>
      <c r="P763" s="3"/>
    </row>
    <row r="764" spans="1:16" ht="12.45" x14ac:dyDescent="0.2">
      <c r="A764" s="3" t="s">
        <v>13</v>
      </c>
      <c r="B764" t="s">
        <v>746</v>
      </c>
      <c r="C764" t="s">
        <v>2946</v>
      </c>
      <c r="D764" t="s">
        <v>16</v>
      </c>
      <c r="E764" t="s">
        <v>142</v>
      </c>
      <c r="F764" t="s">
        <v>18</v>
      </c>
      <c r="G764" s="3" t="s">
        <v>747</v>
      </c>
      <c r="H764" s="5">
        <v>313</v>
      </c>
      <c r="I764" s="3" t="s">
        <v>726</v>
      </c>
      <c r="J764" s="3">
        <v>5</v>
      </c>
      <c r="K764" s="3">
        <v>2</v>
      </c>
      <c r="L764" s="3" t="s">
        <v>2909</v>
      </c>
      <c r="M764" s="4" t="s">
        <v>730</v>
      </c>
      <c r="N764" s="4"/>
      <c r="O764" s="4"/>
      <c r="P764" s="4"/>
    </row>
    <row r="765" spans="1:16" ht="12.45" x14ac:dyDescent="0.2">
      <c r="A765" s="3" t="s">
        <v>13</v>
      </c>
      <c r="B765" t="s">
        <v>753</v>
      </c>
      <c r="C765" t="s">
        <v>2944</v>
      </c>
      <c r="D765" t="s">
        <v>16</v>
      </c>
      <c r="E765" t="s">
        <v>142</v>
      </c>
      <c r="F765" t="s">
        <v>18</v>
      </c>
      <c r="G765" s="3" t="s">
        <v>754</v>
      </c>
      <c r="H765" s="5">
        <v>313</v>
      </c>
      <c r="I765" s="3" t="s">
        <v>726</v>
      </c>
      <c r="J765" s="3">
        <v>5</v>
      </c>
      <c r="K765" s="3">
        <v>3</v>
      </c>
      <c r="L765" s="3" t="s">
        <v>2909</v>
      </c>
      <c r="M765" s="4" t="s">
        <v>755</v>
      </c>
      <c r="N765" s="4"/>
      <c r="O765" s="4"/>
      <c r="P765" s="4"/>
    </row>
    <row r="766" spans="1:16" ht="12.45" x14ac:dyDescent="0.2">
      <c r="A766" s="3" t="s">
        <v>13</v>
      </c>
      <c r="B766" t="s">
        <v>756</v>
      </c>
      <c r="C766" t="s">
        <v>2938</v>
      </c>
      <c r="D766" t="s">
        <v>28</v>
      </c>
      <c r="E766" t="s">
        <v>23</v>
      </c>
      <c r="F766" t="s">
        <v>18</v>
      </c>
      <c r="G766" s="3" t="s">
        <v>757</v>
      </c>
      <c r="H766" s="5">
        <v>313</v>
      </c>
      <c r="I766" s="3" t="s">
        <v>726</v>
      </c>
      <c r="J766" s="3">
        <v>5</v>
      </c>
      <c r="K766" s="3">
        <v>3</v>
      </c>
      <c r="L766" s="3" t="s">
        <v>2909</v>
      </c>
      <c r="M766" s="4" t="s">
        <v>753</v>
      </c>
      <c r="N766" s="4"/>
      <c r="O766" s="4"/>
      <c r="P766" s="4"/>
    </row>
    <row r="767" spans="1:16" ht="12.45" x14ac:dyDescent="0.2">
      <c r="A767" s="3" t="s">
        <v>13</v>
      </c>
      <c r="B767" t="s">
        <v>758</v>
      </c>
      <c r="C767" t="s">
        <v>2940</v>
      </c>
      <c r="D767" t="s">
        <v>28</v>
      </c>
      <c r="E767" t="s">
        <v>23</v>
      </c>
      <c r="F767" t="s">
        <v>18</v>
      </c>
      <c r="G767" s="3" t="s">
        <v>759</v>
      </c>
      <c r="H767" s="5">
        <v>314</v>
      </c>
      <c r="I767" s="3" t="s">
        <v>726</v>
      </c>
      <c r="J767" s="3">
        <v>5</v>
      </c>
      <c r="K767" s="3">
        <v>3</v>
      </c>
      <c r="L767" s="3" t="s">
        <v>2909</v>
      </c>
      <c r="M767" s="6" t="s">
        <v>756</v>
      </c>
      <c r="N767" s="6"/>
      <c r="O767" s="6"/>
      <c r="P767" s="6"/>
    </row>
    <row r="768" spans="1:16" ht="12.45" x14ac:dyDescent="0.2">
      <c r="A768" s="3" t="s">
        <v>13</v>
      </c>
      <c r="B768" t="s">
        <v>760</v>
      </c>
      <c r="C768" t="s">
        <v>2960</v>
      </c>
      <c r="D768" t="s">
        <v>22</v>
      </c>
      <c r="E768" t="s">
        <v>23</v>
      </c>
      <c r="F768" t="s">
        <v>18</v>
      </c>
      <c r="G768" s="3" t="s">
        <v>762</v>
      </c>
      <c r="H768" s="5">
        <v>314</v>
      </c>
      <c r="I768" s="3" t="s">
        <v>726</v>
      </c>
      <c r="J768" s="3">
        <v>5</v>
      </c>
      <c r="K768" s="3">
        <v>4</v>
      </c>
      <c r="L768" s="3" t="s">
        <v>2909</v>
      </c>
      <c r="M768" s="4" t="s">
        <v>748</v>
      </c>
      <c r="N768" s="4"/>
      <c r="O768" s="4"/>
      <c r="P768" s="4"/>
    </row>
    <row r="769" spans="1:16" ht="12.45" x14ac:dyDescent="0.2">
      <c r="A769" s="3" t="s">
        <v>13</v>
      </c>
      <c r="B769" t="s">
        <v>763</v>
      </c>
      <c r="C769" t="s">
        <v>2950</v>
      </c>
      <c r="D769" t="s">
        <v>22</v>
      </c>
      <c r="E769" t="s">
        <v>23</v>
      </c>
      <c r="F769" t="s">
        <v>18</v>
      </c>
      <c r="G769" s="3" t="s">
        <v>764</v>
      </c>
      <c r="H769" s="5">
        <v>315</v>
      </c>
      <c r="I769" s="3" t="s">
        <v>726</v>
      </c>
      <c r="J769" s="3">
        <v>5</v>
      </c>
      <c r="K769" s="3">
        <v>4</v>
      </c>
      <c r="L769" s="3" t="s">
        <v>2909</v>
      </c>
      <c r="M769" s="6" t="s">
        <v>758</v>
      </c>
      <c r="N769" s="6"/>
      <c r="O769" s="6"/>
      <c r="P769" s="6"/>
    </row>
    <row r="770" spans="1:16" ht="12.45" x14ac:dyDescent="0.2">
      <c r="A770" s="3" t="s">
        <v>13</v>
      </c>
      <c r="B770" t="s">
        <v>765</v>
      </c>
      <c r="C770" t="s">
        <v>2959</v>
      </c>
      <c r="D770" t="s">
        <v>28</v>
      </c>
      <c r="E770" t="s">
        <v>23</v>
      </c>
      <c r="F770" t="s">
        <v>18</v>
      </c>
      <c r="G770" s="3" t="s">
        <v>767</v>
      </c>
      <c r="H770" s="5">
        <v>315</v>
      </c>
      <c r="I770" s="3" t="s">
        <v>726</v>
      </c>
      <c r="J770" s="3">
        <v>5</v>
      </c>
      <c r="K770" s="3">
        <v>5</v>
      </c>
      <c r="L770" s="3" t="s">
        <v>2909</v>
      </c>
      <c r="M770" s="6" t="s">
        <v>768</v>
      </c>
      <c r="N770" s="6"/>
      <c r="O770" s="6"/>
      <c r="P770" s="6"/>
    </row>
    <row r="771" spans="1:16" ht="12.45" x14ac:dyDescent="0.2">
      <c r="A771" s="3" t="s">
        <v>13</v>
      </c>
      <c r="B771" s="3" t="s">
        <v>728</v>
      </c>
      <c r="C771" s="3" t="s">
        <v>34</v>
      </c>
      <c r="D771" s="3" t="s">
        <v>28</v>
      </c>
      <c r="E771" s="3" t="s">
        <v>142</v>
      </c>
      <c r="F771" s="3" t="s">
        <v>729</v>
      </c>
      <c r="G771" s="3"/>
      <c r="H771" s="5" t="s">
        <v>725</v>
      </c>
      <c r="I771" s="3" t="s">
        <v>726</v>
      </c>
      <c r="J771" s="5">
        <v>4</v>
      </c>
      <c r="K771" s="5">
        <v>2</v>
      </c>
      <c r="L771" s="3" t="s">
        <v>2909</v>
      </c>
      <c r="M771" s="3" t="s">
        <v>730</v>
      </c>
      <c r="N771" s="3"/>
      <c r="O771" s="3"/>
      <c r="P771" s="3"/>
    </row>
    <row r="772" spans="1:16" ht="12.45" x14ac:dyDescent="0.2">
      <c r="A772" s="3" t="s">
        <v>13</v>
      </c>
      <c r="B772" t="s">
        <v>733</v>
      </c>
      <c r="C772" t="s">
        <v>147</v>
      </c>
      <c r="D772" t="s">
        <v>148</v>
      </c>
      <c r="E772" t="s">
        <v>23</v>
      </c>
      <c r="F772" t="s">
        <v>148</v>
      </c>
      <c r="G772" s="3" t="s">
        <v>734</v>
      </c>
      <c r="H772" s="5">
        <v>311</v>
      </c>
      <c r="I772" s="3" t="s">
        <v>726</v>
      </c>
      <c r="J772" s="3">
        <v>2</v>
      </c>
      <c r="K772" s="3">
        <v>1</v>
      </c>
      <c r="L772" s="3" t="s">
        <v>2909</v>
      </c>
      <c r="M772" s="6" t="s">
        <v>731</v>
      </c>
      <c r="N772" s="6"/>
      <c r="O772" s="6"/>
      <c r="P772" s="6"/>
    </row>
    <row r="773" spans="1:16" ht="12.45" x14ac:dyDescent="0.2">
      <c r="A773" s="3" t="s">
        <v>13</v>
      </c>
      <c r="B773" t="s">
        <v>736</v>
      </c>
      <c r="C773" t="s">
        <v>147</v>
      </c>
      <c r="D773" t="s">
        <v>148</v>
      </c>
      <c r="E773" t="s">
        <v>23</v>
      </c>
      <c r="F773" t="s">
        <v>148</v>
      </c>
      <c r="G773" s="3" t="s">
        <v>737</v>
      </c>
      <c r="H773" s="5">
        <v>312</v>
      </c>
      <c r="I773" s="3" t="s">
        <v>726</v>
      </c>
      <c r="J773" s="3">
        <v>4</v>
      </c>
      <c r="K773" s="3">
        <v>1</v>
      </c>
      <c r="L773" s="3" t="s">
        <v>2909</v>
      </c>
      <c r="M773" s="3" t="s">
        <v>727</v>
      </c>
      <c r="N773" s="3"/>
      <c r="O773" s="3"/>
      <c r="P773" s="3"/>
    </row>
    <row r="774" spans="1:16" ht="12.45" x14ac:dyDescent="0.2">
      <c r="A774" s="3" t="s">
        <v>13</v>
      </c>
      <c r="B774" t="s">
        <v>742</v>
      </c>
      <c r="C774" t="s">
        <v>147</v>
      </c>
      <c r="D774" t="s">
        <v>148</v>
      </c>
      <c r="E774" t="s">
        <v>142</v>
      </c>
      <c r="F774" t="s">
        <v>148</v>
      </c>
      <c r="G774" s="3" t="s">
        <v>743</v>
      </c>
      <c r="H774" s="5">
        <v>312</v>
      </c>
      <c r="I774" s="3" t="s">
        <v>726</v>
      </c>
      <c r="J774" s="3">
        <v>5</v>
      </c>
      <c r="K774" s="3">
        <v>2</v>
      </c>
      <c r="L774" s="3" t="s">
        <v>2909</v>
      </c>
      <c r="M774" s="3" t="s">
        <v>736</v>
      </c>
      <c r="N774" s="3"/>
      <c r="O774" s="3"/>
      <c r="P774" s="3"/>
    </row>
    <row r="775" spans="1:16" ht="12.45" x14ac:dyDescent="0.2">
      <c r="A775" s="3" t="s">
        <v>13</v>
      </c>
      <c r="B775" t="s">
        <v>748</v>
      </c>
      <c r="C775" t="s">
        <v>2948</v>
      </c>
      <c r="D775" t="s">
        <v>22</v>
      </c>
      <c r="E775" t="s">
        <v>142</v>
      </c>
      <c r="F775" t="s">
        <v>44</v>
      </c>
      <c r="G775" s="3" t="s">
        <v>749</v>
      </c>
      <c r="H775" s="5">
        <v>313</v>
      </c>
      <c r="I775" s="3" t="s">
        <v>726</v>
      </c>
      <c r="J775" s="3">
        <v>5</v>
      </c>
      <c r="K775" s="3">
        <v>3</v>
      </c>
      <c r="L775" s="3" t="s">
        <v>2909</v>
      </c>
      <c r="M775" s="4" t="s">
        <v>742</v>
      </c>
      <c r="N775" s="4"/>
      <c r="O775" s="4"/>
      <c r="P775" s="4"/>
    </row>
    <row r="776" spans="1:16" ht="12.45" x14ac:dyDescent="0.2">
      <c r="A776" s="3" t="s">
        <v>13</v>
      </c>
      <c r="B776" t="s">
        <v>750</v>
      </c>
      <c r="C776" t="s">
        <v>2958</v>
      </c>
      <c r="D776" t="s">
        <v>22</v>
      </c>
      <c r="E776" t="s">
        <v>23</v>
      </c>
      <c r="F776" t="s">
        <v>751</v>
      </c>
      <c r="G776" s="3" t="s">
        <v>752</v>
      </c>
      <c r="H776" s="5">
        <v>313</v>
      </c>
      <c r="I776" s="3" t="s">
        <v>726</v>
      </c>
      <c r="J776" s="3">
        <v>5</v>
      </c>
      <c r="K776" s="3">
        <v>3</v>
      </c>
      <c r="L776" s="3" t="s">
        <v>2909</v>
      </c>
      <c r="M776" s="3" t="s">
        <v>739</v>
      </c>
      <c r="N776" s="3"/>
      <c r="O776" s="3"/>
      <c r="P776" s="3"/>
    </row>
    <row r="777" spans="1:16" ht="12.45" x14ac:dyDescent="0.2">
      <c r="A777" s="3" t="s">
        <v>13</v>
      </c>
      <c r="B777" s="3" t="s">
        <v>150</v>
      </c>
      <c r="C777" s="3" t="s">
        <v>34</v>
      </c>
      <c r="D777" s="3" t="s">
        <v>22</v>
      </c>
      <c r="E777" s="3" t="s">
        <v>142</v>
      </c>
      <c r="F777" s="3" t="s">
        <v>151</v>
      </c>
      <c r="G777" s="4" t="s">
        <v>152</v>
      </c>
      <c r="H777" s="5">
        <v>263</v>
      </c>
      <c r="I777" s="3" t="s">
        <v>124</v>
      </c>
      <c r="J777" s="3">
        <v>4</v>
      </c>
      <c r="K777" s="3">
        <v>1</v>
      </c>
      <c r="L777" s="3" t="s">
        <v>2914</v>
      </c>
      <c r="M777" s="4" t="s">
        <v>141</v>
      </c>
      <c r="N777" s="4"/>
      <c r="O777" s="4"/>
      <c r="P777" s="4"/>
    </row>
    <row r="778" spans="1:16" ht="12.45" x14ac:dyDescent="0.2">
      <c r="A778" s="3" t="s">
        <v>13</v>
      </c>
      <c r="B778" s="3" t="s">
        <v>181</v>
      </c>
      <c r="C778" s="3" t="s">
        <v>43</v>
      </c>
      <c r="D778" s="3" t="s">
        <v>22</v>
      </c>
      <c r="E778" s="3" t="s">
        <v>23</v>
      </c>
      <c r="F778" s="3" t="s">
        <v>182</v>
      </c>
      <c r="G778" s="6" t="s">
        <v>183</v>
      </c>
      <c r="H778" s="5">
        <v>265</v>
      </c>
      <c r="I778" s="3" t="s">
        <v>124</v>
      </c>
      <c r="J778" s="3">
        <v>5</v>
      </c>
      <c r="K778" s="3">
        <v>3</v>
      </c>
      <c r="L778" s="3" t="s">
        <v>2914</v>
      </c>
      <c r="M778" s="4" t="s">
        <v>177</v>
      </c>
      <c r="N778" s="4"/>
      <c r="O778" s="4"/>
      <c r="P778" s="4"/>
    </row>
    <row r="779" spans="1:16" ht="12.45" x14ac:dyDescent="0.2">
      <c r="A779" s="3" t="s">
        <v>13</v>
      </c>
      <c r="B779" s="3" t="s">
        <v>125</v>
      </c>
      <c r="C779" s="3" t="s">
        <v>40</v>
      </c>
      <c r="D779" s="3" t="s">
        <v>16</v>
      </c>
      <c r="E779" s="3" t="s">
        <v>23</v>
      </c>
      <c r="F779" s="3" t="s">
        <v>18</v>
      </c>
      <c r="G779" s="6" t="s">
        <v>126</v>
      </c>
      <c r="H779" s="5">
        <v>261</v>
      </c>
      <c r="I779" s="3" t="s">
        <v>124</v>
      </c>
      <c r="J779" s="3">
        <v>2</v>
      </c>
      <c r="K779" s="3">
        <v>1</v>
      </c>
      <c r="L779" s="3" t="s">
        <v>2914</v>
      </c>
      <c r="M779" s="4"/>
      <c r="N779" s="4"/>
      <c r="O779" s="4"/>
      <c r="P779" s="4"/>
    </row>
    <row r="780" spans="1:16" ht="12.45" x14ac:dyDescent="0.2">
      <c r="A780" s="3" t="s">
        <v>13</v>
      </c>
      <c r="B780" s="3" t="s">
        <v>127</v>
      </c>
      <c r="C780" s="3" t="s">
        <v>128</v>
      </c>
      <c r="D780" s="3" t="s">
        <v>22</v>
      </c>
      <c r="E780" s="3" t="s">
        <v>23</v>
      </c>
      <c r="F780" s="3" t="s">
        <v>18</v>
      </c>
      <c r="G780" s="4" t="s">
        <v>129</v>
      </c>
      <c r="H780" s="5">
        <v>261</v>
      </c>
      <c r="I780" s="3" t="s">
        <v>124</v>
      </c>
      <c r="J780" s="3">
        <v>2</v>
      </c>
      <c r="K780" s="3">
        <v>1</v>
      </c>
      <c r="L780" s="3" t="s">
        <v>2914</v>
      </c>
      <c r="M780" s="3" t="s">
        <v>130</v>
      </c>
      <c r="N780" s="3"/>
      <c r="O780" s="3"/>
      <c r="P780" s="3"/>
    </row>
    <row r="781" spans="1:16" ht="12.45" x14ac:dyDescent="0.2">
      <c r="A781" s="3" t="s">
        <v>13</v>
      </c>
      <c r="B781" s="3" t="s">
        <v>131</v>
      </c>
      <c r="C781" s="3" t="s">
        <v>34</v>
      </c>
      <c r="D781" s="3" t="s">
        <v>22</v>
      </c>
      <c r="E781" s="3" t="s">
        <v>23</v>
      </c>
      <c r="F781" s="3" t="s">
        <v>18</v>
      </c>
      <c r="G781" s="6" t="s">
        <v>132</v>
      </c>
      <c r="H781" s="5">
        <v>261</v>
      </c>
      <c r="I781" s="3" t="s">
        <v>124</v>
      </c>
      <c r="J781" s="3">
        <v>3</v>
      </c>
      <c r="K781" s="3">
        <v>1</v>
      </c>
      <c r="L781" s="3" t="s">
        <v>2914</v>
      </c>
      <c r="M781" s="6" t="s">
        <v>125</v>
      </c>
      <c r="N781" s="6"/>
      <c r="O781" s="6"/>
      <c r="P781" s="6"/>
    </row>
    <row r="782" spans="1:16" ht="12.45" x14ac:dyDescent="0.2">
      <c r="A782" s="3" t="s">
        <v>13</v>
      </c>
      <c r="B782" s="3" t="s">
        <v>133</v>
      </c>
      <c r="C782" s="3" t="s">
        <v>34</v>
      </c>
      <c r="D782" s="3" t="s">
        <v>16</v>
      </c>
      <c r="E782" s="3" t="s">
        <v>23</v>
      </c>
      <c r="F782" s="3" t="s">
        <v>18</v>
      </c>
      <c r="G782" t="s">
        <v>134</v>
      </c>
      <c r="H782" s="5">
        <v>262</v>
      </c>
      <c r="I782" s="3" t="s">
        <v>124</v>
      </c>
      <c r="J782" s="3">
        <v>3</v>
      </c>
      <c r="K782" s="3">
        <v>1</v>
      </c>
      <c r="L782" s="3" t="s">
        <v>2914</v>
      </c>
      <c r="M782" s="4"/>
      <c r="N782" s="4"/>
      <c r="O782" s="4"/>
      <c r="P782" s="4"/>
    </row>
    <row r="783" spans="1:16" ht="12.45" x14ac:dyDescent="0.2">
      <c r="A783" s="3" t="s">
        <v>13</v>
      </c>
      <c r="B783" s="3" t="s">
        <v>138</v>
      </c>
      <c r="C783" s="3" t="s">
        <v>27</v>
      </c>
      <c r="D783" s="3" t="s">
        <v>16</v>
      </c>
      <c r="E783" s="3" t="s">
        <v>29</v>
      </c>
      <c r="F783" s="3" t="s">
        <v>18</v>
      </c>
      <c r="G783" s="4" t="s">
        <v>139</v>
      </c>
      <c r="H783" s="5">
        <v>262</v>
      </c>
      <c r="I783" s="3" t="s">
        <v>124</v>
      </c>
      <c r="J783" s="3">
        <v>3</v>
      </c>
      <c r="K783" s="3">
        <v>1</v>
      </c>
      <c r="L783" s="3" t="s">
        <v>2914</v>
      </c>
      <c r="M783" s="4" t="s">
        <v>140</v>
      </c>
      <c r="N783" s="4"/>
      <c r="O783" s="4"/>
      <c r="P783" s="4"/>
    </row>
    <row r="784" spans="1:16" ht="12.45" x14ac:dyDescent="0.2">
      <c r="A784" s="3" t="s">
        <v>13</v>
      </c>
      <c r="B784" s="3" t="s">
        <v>153</v>
      </c>
      <c r="C784" s="3" t="s">
        <v>154</v>
      </c>
      <c r="D784" s="3" t="s">
        <v>22</v>
      </c>
      <c r="E784" s="3" t="s">
        <v>23</v>
      </c>
      <c r="F784" s="3" t="s">
        <v>18</v>
      </c>
      <c r="G784" s="3"/>
      <c r="H784" s="5" t="s">
        <v>155</v>
      </c>
      <c r="I784" s="3" t="s">
        <v>124</v>
      </c>
      <c r="J784" s="5">
        <v>4</v>
      </c>
      <c r="K784" s="5">
        <v>1</v>
      </c>
      <c r="L784" s="3" t="s">
        <v>2914</v>
      </c>
      <c r="M784" s="6" t="s">
        <v>135</v>
      </c>
      <c r="N784" s="6"/>
      <c r="O784" s="6"/>
      <c r="P784" s="6"/>
    </row>
    <row r="785" spans="1:16" ht="12.45" x14ac:dyDescent="0.2">
      <c r="A785" s="3" t="s">
        <v>13</v>
      </c>
      <c r="B785" s="3" t="s">
        <v>162</v>
      </c>
      <c r="C785" s="3" t="s">
        <v>15</v>
      </c>
      <c r="D785" s="3" t="s">
        <v>16</v>
      </c>
      <c r="E785" s="3" t="s">
        <v>29</v>
      </c>
      <c r="F785" s="3" t="s">
        <v>18</v>
      </c>
      <c r="G785" s="6" t="s">
        <v>163</v>
      </c>
      <c r="H785" s="5">
        <v>264</v>
      </c>
      <c r="I785" s="3" t="s">
        <v>124</v>
      </c>
      <c r="J785" s="3">
        <v>3</v>
      </c>
      <c r="K785" s="3">
        <v>2</v>
      </c>
      <c r="L785" s="3" t="s">
        <v>2914</v>
      </c>
      <c r="M785" s="6" t="s">
        <v>135</v>
      </c>
      <c r="N785" s="6"/>
      <c r="O785" s="6"/>
      <c r="P785" s="6"/>
    </row>
    <row r="786" spans="1:16" ht="12.45" x14ac:dyDescent="0.2">
      <c r="A786" s="3" t="s">
        <v>13</v>
      </c>
      <c r="B786" s="3" t="s">
        <v>170</v>
      </c>
      <c r="C786" s="3" t="s">
        <v>27</v>
      </c>
      <c r="D786" s="3" t="s">
        <v>16</v>
      </c>
      <c r="E786" s="3" t="s">
        <v>50</v>
      </c>
      <c r="F786" s="3" t="s">
        <v>18</v>
      </c>
      <c r="G786" s="4" t="s">
        <v>171</v>
      </c>
      <c r="H786" s="5">
        <v>264</v>
      </c>
      <c r="I786" s="3" t="s">
        <v>124</v>
      </c>
      <c r="J786" s="3">
        <v>5</v>
      </c>
      <c r="K786" s="3">
        <v>2</v>
      </c>
      <c r="L786" s="3" t="s">
        <v>2914</v>
      </c>
      <c r="M786" s="4" t="s">
        <v>145</v>
      </c>
      <c r="N786" s="4"/>
      <c r="O786" s="4"/>
      <c r="P786" s="4"/>
    </row>
    <row r="787" spans="1:16" ht="12.45" x14ac:dyDescent="0.2">
      <c r="A787" s="3" t="s">
        <v>13</v>
      </c>
      <c r="B787" s="3" t="s">
        <v>174</v>
      </c>
      <c r="C787" s="3" t="s">
        <v>175</v>
      </c>
      <c r="D787" s="3" t="s">
        <v>22</v>
      </c>
      <c r="E787" s="3" t="s">
        <v>23</v>
      </c>
      <c r="F787" s="3" t="s">
        <v>18</v>
      </c>
      <c r="G787" s="6" t="s">
        <v>176</v>
      </c>
      <c r="H787" s="5">
        <v>265</v>
      </c>
      <c r="I787" s="3" t="s">
        <v>124</v>
      </c>
      <c r="J787" s="3">
        <v>5</v>
      </c>
      <c r="K787" s="3">
        <v>2</v>
      </c>
      <c r="L787" s="3" t="s">
        <v>2914</v>
      </c>
      <c r="M787" s="4" t="s">
        <v>135</v>
      </c>
      <c r="N787" s="4"/>
      <c r="O787" s="4"/>
      <c r="P787" s="4"/>
    </row>
    <row r="788" spans="1:16" ht="12.45" x14ac:dyDescent="0.2">
      <c r="A788" s="3" t="s">
        <v>13</v>
      </c>
      <c r="B788" s="3" t="s">
        <v>184</v>
      </c>
      <c r="C788" s="3" t="s">
        <v>43</v>
      </c>
      <c r="D788" s="3" t="s">
        <v>16</v>
      </c>
      <c r="E788" s="3" t="s">
        <v>23</v>
      </c>
      <c r="F788" s="3" t="s">
        <v>18</v>
      </c>
      <c r="G788" s="4" t="s">
        <v>185</v>
      </c>
      <c r="H788" s="5">
        <v>265</v>
      </c>
      <c r="I788" s="3" t="s">
        <v>124</v>
      </c>
      <c r="J788" s="3">
        <v>5</v>
      </c>
      <c r="K788" s="3">
        <v>3</v>
      </c>
      <c r="L788" s="3" t="s">
        <v>2914</v>
      </c>
      <c r="M788" s="6" t="s">
        <v>167</v>
      </c>
      <c r="N788" s="6"/>
      <c r="O788" s="6"/>
      <c r="P788" s="6"/>
    </row>
    <row r="789" spans="1:16" ht="12.45" x14ac:dyDescent="0.2">
      <c r="A789" s="3" t="s">
        <v>13</v>
      </c>
      <c r="B789" s="3" t="s">
        <v>186</v>
      </c>
      <c r="C789" s="3" t="s">
        <v>187</v>
      </c>
      <c r="D789" s="3" t="s">
        <v>16</v>
      </c>
      <c r="E789" s="3" t="s">
        <v>23</v>
      </c>
      <c r="F789" s="3" t="s">
        <v>18</v>
      </c>
      <c r="G789" s="4" t="s">
        <v>188</v>
      </c>
      <c r="H789" s="5">
        <v>265</v>
      </c>
      <c r="I789" s="3" t="s">
        <v>124</v>
      </c>
      <c r="J789" s="3">
        <v>5</v>
      </c>
      <c r="K789" s="3">
        <v>3</v>
      </c>
      <c r="L789" s="3" t="s">
        <v>2914</v>
      </c>
      <c r="M789" s="4" t="s">
        <v>172</v>
      </c>
      <c r="N789" s="4"/>
      <c r="O789" s="4"/>
      <c r="P789" s="4"/>
    </row>
    <row r="790" spans="1:16" ht="12.45" x14ac:dyDescent="0.2">
      <c r="A790" s="3" t="s">
        <v>13</v>
      </c>
      <c r="B790" s="3" t="s">
        <v>189</v>
      </c>
      <c r="C790" s="3" t="s">
        <v>27</v>
      </c>
      <c r="D790" s="3" t="s">
        <v>22</v>
      </c>
      <c r="E790" s="3" t="s">
        <v>23</v>
      </c>
      <c r="F790" s="3" t="s">
        <v>18</v>
      </c>
      <c r="G790" s="4" t="s">
        <v>190</v>
      </c>
      <c r="H790" s="5">
        <v>265</v>
      </c>
      <c r="I790" s="3" t="s">
        <v>124</v>
      </c>
      <c r="J790" s="3">
        <v>5</v>
      </c>
      <c r="K790" s="3">
        <v>3</v>
      </c>
      <c r="L790" s="3" t="s">
        <v>2914</v>
      </c>
      <c r="M790" s="6" t="s">
        <v>191</v>
      </c>
      <c r="N790" s="6"/>
      <c r="O790" s="6"/>
      <c r="P790" s="6"/>
    </row>
    <row r="791" spans="1:16" ht="12.45" x14ac:dyDescent="0.2">
      <c r="A791" s="3" t="s">
        <v>13</v>
      </c>
      <c r="B791" s="3" t="s">
        <v>192</v>
      </c>
      <c r="C791" s="3" t="s">
        <v>154</v>
      </c>
      <c r="D791" s="3" t="s">
        <v>16</v>
      </c>
      <c r="E791" s="3" t="s">
        <v>23</v>
      </c>
      <c r="F791" s="3" t="s">
        <v>18</v>
      </c>
      <c r="G791" s="4" t="s">
        <v>193</v>
      </c>
      <c r="H791" s="5">
        <v>266</v>
      </c>
      <c r="I791" s="3" t="s">
        <v>124</v>
      </c>
      <c r="J791" s="3">
        <v>5</v>
      </c>
      <c r="K791" s="3">
        <v>3</v>
      </c>
      <c r="L791" s="3" t="s">
        <v>2914</v>
      </c>
      <c r="M791" s="6" t="s">
        <v>174</v>
      </c>
      <c r="N791" s="6"/>
      <c r="O791" s="6"/>
      <c r="P791" s="6"/>
    </row>
    <row r="792" spans="1:16" ht="12.45" x14ac:dyDescent="0.2">
      <c r="A792" s="3" t="s">
        <v>13</v>
      </c>
      <c r="B792" s="3" t="s">
        <v>208</v>
      </c>
      <c r="C792" s="3" t="s">
        <v>53</v>
      </c>
      <c r="D792" s="3" t="s">
        <v>16</v>
      </c>
      <c r="E792" s="3" t="s">
        <v>23</v>
      </c>
      <c r="F792" s="3" t="s">
        <v>18</v>
      </c>
      <c r="G792" s="4" t="s">
        <v>209</v>
      </c>
      <c r="H792" s="5">
        <v>267</v>
      </c>
      <c r="I792" s="3" t="s">
        <v>124</v>
      </c>
      <c r="J792" s="3">
        <v>5</v>
      </c>
      <c r="K792" s="3">
        <v>5</v>
      </c>
      <c r="L792" s="3" t="s">
        <v>2914</v>
      </c>
      <c r="M792" s="4" t="s">
        <v>204</v>
      </c>
      <c r="N792" s="4"/>
      <c r="O792" s="4"/>
      <c r="P792" s="4"/>
    </row>
    <row r="793" spans="1:16" ht="12.45" x14ac:dyDescent="0.2">
      <c r="A793" s="3" t="s">
        <v>13</v>
      </c>
      <c r="B793" s="3" t="s">
        <v>177</v>
      </c>
      <c r="C793" s="3" t="s">
        <v>178</v>
      </c>
      <c r="D793" s="3" t="s">
        <v>28</v>
      </c>
      <c r="E793" s="3" t="s">
        <v>23</v>
      </c>
      <c r="F793" s="3" t="s">
        <v>179</v>
      </c>
      <c r="G793" s="6" t="s">
        <v>180</v>
      </c>
      <c r="H793" s="5">
        <v>265</v>
      </c>
      <c r="I793" s="3" t="s">
        <v>124</v>
      </c>
      <c r="J793" s="3">
        <v>5</v>
      </c>
      <c r="K793" s="3">
        <v>3</v>
      </c>
      <c r="L793" s="3" t="s">
        <v>2914</v>
      </c>
      <c r="M793" s="4" t="s">
        <v>164</v>
      </c>
      <c r="N793" s="4"/>
      <c r="O793" s="4"/>
      <c r="P793" s="4"/>
    </row>
    <row r="794" spans="1:16" ht="12.45" x14ac:dyDescent="0.2">
      <c r="A794" s="3" t="s">
        <v>13</v>
      </c>
      <c r="B794" s="3" t="s">
        <v>156</v>
      </c>
      <c r="C794" s="3" t="s">
        <v>157</v>
      </c>
      <c r="D794" s="3" t="s">
        <v>16</v>
      </c>
      <c r="E794" s="3" t="s">
        <v>23</v>
      </c>
      <c r="F794" s="3" t="s">
        <v>158</v>
      </c>
      <c r="G794" s="6" t="s">
        <v>159</v>
      </c>
      <c r="H794" s="5">
        <v>262</v>
      </c>
      <c r="I794" s="3" t="s">
        <v>124</v>
      </c>
      <c r="J794" s="3">
        <v>5</v>
      </c>
      <c r="K794" s="3">
        <v>1</v>
      </c>
      <c r="L794" s="3" t="s">
        <v>2914</v>
      </c>
      <c r="M794" s="4" t="s">
        <v>135</v>
      </c>
      <c r="N794" s="4"/>
      <c r="O794" s="4"/>
      <c r="P794" s="4"/>
    </row>
    <row r="795" spans="1:16" ht="12.45" x14ac:dyDescent="0.2">
      <c r="A795" s="3" t="s">
        <v>13</v>
      </c>
      <c r="B795" s="3" t="s">
        <v>167</v>
      </c>
      <c r="C795" s="3" t="s">
        <v>43</v>
      </c>
      <c r="D795" s="3" t="s">
        <v>22</v>
      </c>
      <c r="E795" s="3" t="s">
        <v>23</v>
      </c>
      <c r="F795" s="3" t="s">
        <v>168</v>
      </c>
      <c r="G795" s="4" t="s">
        <v>169</v>
      </c>
      <c r="H795" s="5">
        <v>264</v>
      </c>
      <c r="I795" s="3" t="s">
        <v>124</v>
      </c>
      <c r="J795" s="3">
        <v>4</v>
      </c>
      <c r="K795" s="3">
        <v>2</v>
      </c>
      <c r="L795" s="3" t="s">
        <v>2914</v>
      </c>
      <c r="M795" s="6" t="s">
        <v>133</v>
      </c>
      <c r="N795" s="6"/>
      <c r="O795" s="6"/>
      <c r="P795" s="6"/>
    </row>
    <row r="796" spans="1:16" ht="12.45" x14ac:dyDescent="0.2">
      <c r="A796" s="3" t="s">
        <v>13</v>
      </c>
      <c r="B796" s="3" t="s">
        <v>141</v>
      </c>
      <c r="C796" s="3" t="s">
        <v>34</v>
      </c>
      <c r="D796" s="3" t="s">
        <v>22</v>
      </c>
      <c r="E796" s="3" t="s">
        <v>142</v>
      </c>
      <c r="F796" s="3" t="s">
        <v>143</v>
      </c>
      <c r="G796" s="4" t="s">
        <v>144</v>
      </c>
      <c r="H796" s="5">
        <v>263</v>
      </c>
      <c r="I796" s="3" t="s">
        <v>124</v>
      </c>
      <c r="J796" s="3">
        <v>3</v>
      </c>
      <c r="K796" s="3">
        <v>1</v>
      </c>
      <c r="L796" s="3" t="s">
        <v>2914</v>
      </c>
      <c r="M796" s="4" t="s">
        <v>145</v>
      </c>
      <c r="N796" s="4"/>
      <c r="O796" s="4"/>
      <c r="P796" s="4"/>
    </row>
    <row r="797" spans="1:16" ht="12.45" x14ac:dyDescent="0.2">
      <c r="A797" s="3" t="s">
        <v>13</v>
      </c>
      <c r="B797" s="3" t="s">
        <v>146</v>
      </c>
      <c r="C797" s="3" t="s">
        <v>147</v>
      </c>
      <c r="D797" s="3" t="s">
        <v>148</v>
      </c>
      <c r="E797" s="3" t="s">
        <v>23</v>
      </c>
      <c r="F797" s="3" t="s">
        <v>148</v>
      </c>
      <c r="G797" s="4" t="s">
        <v>149</v>
      </c>
      <c r="H797" s="5">
        <v>262</v>
      </c>
      <c r="I797" s="3" t="s">
        <v>124</v>
      </c>
      <c r="J797" s="3">
        <v>4</v>
      </c>
      <c r="K797" s="3">
        <v>1</v>
      </c>
      <c r="L797" s="3" t="s">
        <v>2914</v>
      </c>
      <c r="M797" s="4" t="s">
        <v>133</v>
      </c>
      <c r="N797" s="4"/>
      <c r="O797" s="4"/>
      <c r="P797" s="4"/>
    </row>
    <row r="798" spans="1:16" ht="12.45" x14ac:dyDescent="0.2">
      <c r="A798" s="3" t="s">
        <v>13</v>
      </c>
      <c r="B798" s="3" t="s">
        <v>160</v>
      </c>
      <c r="C798" s="3" t="s">
        <v>147</v>
      </c>
      <c r="D798" s="3" t="s">
        <v>148</v>
      </c>
      <c r="E798" s="3" t="s">
        <v>23</v>
      </c>
      <c r="F798" s="3" t="s">
        <v>148</v>
      </c>
      <c r="G798" s="6" t="s">
        <v>161</v>
      </c>
      <c r="H798" s="5">
        <v>264</v>
      </c>
      <c r="I798" s="3" t="s">
        <v>124</v>
      </c>
      <c r="J798" s="3">
        <v>3</v>
      </c>
      <c r="K798" s="3">
        <v>2</v>
      </c>
      <c r="L798" s="3" t="s">
        <v>2914</v>
      </c>
      <c r="M798" s="6" t="s">
        <v>133</v>
      </c>
      <c r="N798" s="6"/>
      <c r="O798" s="6"/>
      <c r="P798" s="6"/>
    </row>
    <row r="799" spans="1:16" ht="12.45" x14ac:dyDescent="0.2">
      <c r="A799" s="3" t="s">
        <v>13</v>
      </c>
      <c r="B799" s="3" t="s">
        <v>164</v>
      </c>
      <c r="C799" s="3" t="s">
        <v>165</v>
      </c>
      <c r="D799" s="3" t="s">
        <v>148</v>
      </c>
      <c r="E799" s="3" t="s">
        <v>23</v>
      </c>
      <c r="F799" s="3" t="s">
        <v>148</v>
      </c>
      <c r="G799" s="4" t="s">
        <v>166</v>
      </c>
      <c r="H799" s="5">
        <v>264</v>
      </c>
      <c r="I799" s="3" t="s">
        <v>124</v>
      </c>
      <c r="J799" s="3">
        <v>4</v>
      </c>
      <c r="K799" s="3">
        <v>2</v>
      </c>
      <c r="L799" s="3" t="s">
        <v>2914</v>
      </c>
      <c r="M799" s="6" t="s">
        <v>131</v>
      </c>
      <c r="N799" s="6"/>
      <c r="O799" s="6"/>
      <c r="P799" s="6"/>
    </row>
    <row r="800" spans="1:16" ht="12.45" x14ac:dyDescent="0.2">
      <c r="A800" s="3" t="s">
        <v>13</v>
      </c>
      <c r="B800" s="3" t="s">
        <v>172</v>
      </c>
      <c r="C800" s="3" t="s">
        <v>147</v>
      </c>
      <c r="D800" s="3" t="s">
        <v>148</v>
      </c>
      <c r="E800" s="3" t="s">
        <v>23</v>
      </c>
      <c r="F800" s="3" t="s">
        <v>148</v>
      </c>
      <c r="G800" s="4" t="s">
        <v>173</v>
      </c>
      <c r="H800" s="5">
        <v>264</v>
      </c>
      <c r="I800" s="3" t="s">
        <v>124</v>
      </c>
      <c r="J800" s="3">
        <v>5</v>
      </c>
      <c r="K800" s="3">
        <v>2</v>
      </c>
      <c r="L800" s="3" t="s">
        <v>2914</v>
      </c>
      <c r="M800" s="4" t="s">
        <v>146</v>
      </c>
      <c r="N800" s="4"/>
      <c r="O800" s="4"/>
      <c r="P800" s="4"/>
    </row>
    <row r="801" spans="1:16" ht="12.45" x14ac:dyDescent="0.2">
      <c r="A801" s="3" t="s">
        <v>13</v>
      </c>
      <c r="B801" s="3" t="s">
        <v>194</v>
      </c>
      <c r="C801" s="3" t="s">
        <v>147</v>
      </c>
      <c r="D801" s="3" t="s">
        <v>148</v>
      </c>
      <c r="E801" s="3" t="s">
        <v>23</v>
      </c>
      <c r="F801" s="3" t="s">
        <v>148</v>
      </c>
      <c r="G801" s="4" t="s">
        <v>195</v>
      </c>
      <c r="H801" s="5">
        <v>266</v>
      </c>
      <c r="I801" s="3" t="s">
        <v>124</v>
      </c>
      <c r="J801" s="3">
        <v>5</v>
      </c>
      <c r="K801" s="3">
        <v>3</v>
      </c>
      <c r="L801" s="3" t="s">
        <v>2914</v>
      </c>
      <c r="M801" s="4" t="s">
        <v>192</v>
      </c>
      <c r="N801" s="4"/>
      <c r="O801" s="4"/>
      <c r="P801" s="4"/>
    </row>
    <row r="802" spans="1:16" ht="12.45" x14ac:dyDescent="0.2">
      <c r="A802" s="3" t="s">
        <v>13</v>
      </c>
      <c r="B802" s="3" t="s">
        <v>196</v>
      </c>
      <c r="C802" s="3" t="s">
        <v>147</v>
      </c>
      <c r="D802" s="3" t="s">
        <v>148</v>
      </c>
      <c r="E802" s="3" t="s">
        <v>23</v>
      </c>
      <c r="F802" s="3" t="s">
        <v>148</v>
      </c>
      <c r="G802" s="6" t="s">
        <v>197</v>
      </c>
      <c r="H802" s="5">
        <v>266</v>
      </c>
      <c r="I802" s="3" t="s">
        <v>124</v>
      </c>
      <c r="J802" s="3">
        <v>5</v>
      </c>
      <c r="K802" s="3">
        <v>3</v>
      </c>
      <c r="L802" s="3" t="s">
        <v>2914</v>
      </c>
      <c r="M802" s="4" t="s">
        <v>198</v>
      </c>
      <c r="N802" s="4"/>
      <c r="O802" s="4"/>
      <c r="P802" s="4"/>
    </row>
    <row r="803" spans="1:16" ht="12.45" x14ac:dyDescent="0.2">
      <c r="A803" s="3" t="s">
        <v>13</v>
      </c>
      <c r="B803" s="3" t="s">
        <v>199</v>
      </c>
      <c r="C803" s="3" t="s">
        <v>147</v>
      </c>
      <c r="D803" s="3" t="s">
        <v>148</v>
      </c>
      <c r="E803" s="3" t="s">
        <v>23</v>
      </c>
      <c r="F803" s="3" t="s">
        <v>148</v>
      </c>
      <c r="G803" s="4" t="s">
        <v>200</v>
      </c>
      <c r="H803" s="5">
        <v>266</v>
      </c>
      <c r="I803" s="3" t="s">
        <v>124</v>
      </c>
      <c r="J803" s="3">
        <v>5</v>
      </c>
      <c r="K803" s="3">
        <v>4</v>
      </c>
      <c r="L803" s="3" t="s">
        <v>2914</v>
      </c>
      <c r="M803" s="3" t="s">
        <v>189</v>
      </c>
      <c r="N803" s="3"/>
      <c r="O803" s="3"/>
      <c r="P803" s="3"/>
    </row>
    <row r="804" spans="1:16" ht="12.45" x14ac:dyDescent="0.2">
      <c r="A804" s="3" t="s">
        <v>13</v>
      </c>
      <c r="B804" s="3" t="s">
        <v>201</v>
      </c>
      <c r="C804" s="3" t="s">
        <v>147</v>
      </c>
      <c r="D804" s="3" t="s">
        <v>148</v>
      </c>
      <c r="E804" s="3" t="s">
        <v>23</v>
      </c>
      <c r="F804" s="3" t="s">
        <v>148</v>
      </c>
      <c r="G804" s="6" t="s">
        <v>202</v>
      </c>
      <c r="H804" s="5">
        <v>266</v>
      </c>
      <c r="I804" s="3" t="s">
        <v>124</v>
      </c>
      <c r="J804" s="3">
        <v>5</v>
      </c>
      <c r="K804" s="3">
        <v>4</v>
      </c>
      <c r="L804" s="3" t="s">
        <v>2914</v>
      </c>
      <c r="M804" s="4" t="s">
        <v>203</v>
      </c>
      <c r="N804" s="4"/>
      <c r="O804" s="4"/>
      <c r="P804" s="4"/>
    </row>
    <row r="805" spans="1:16" ht="12.45" x14ac:dyDescent="0.2">
      <c r="A805" s="3" t="s">
        <v>13</v>
      </c>
      <c r="B805" s="3" t="s">
        <v>204</v>
      </c>
      <c r="C805" s="3" t="s">
        <v>147</v>
      </c>
      <c r="D805" s="3" t="s">
        <v>148</v>
      </c>
      <c r="E805" s="3" t="s">
        <v>23</v>
      </c>
      <c r="F805" s="3" t="s">
        <v>148</v>
      </c>
      <c r="G805" s="6" t="s">
        <v>205</v>
      </c>
      <c r="H805" s="5">
        <v>266</v>
      </c>
      <c r="I805" s="3" t="s">
        <v>124</v>
      </c>
      <c r="J805" s="3">
        <v>5</v>
      </c>
      <c r="K805" s="3">
        <v>4</v>
      </c>
      <c r="L805" s="3" t="s">
        <v>2914</v>
      </c>
      <c r="M805" s="4" t="s">
        <v>194</v>
      </c>
      <c r="N805" s="4"/>
      <c r="O805" s="4"/>
      <c r="P805" s="4"/>
    </row>
    <row r="806" spans="1:16" ht="12.45" x14ac:dyDescent="0.2">
      <c r="A806" s="3" t="s">
        <v>13</v>
      </c>
      <c r="B806" s="3" t="s">
        <v>206</v>
      </c>
      <c r="C806" s="3" t="s">
        <v>147</v>
      </c>
      <c r="D806" s="3" t="s">
        <v>148</v>
      </c>
      <c r="E806" s="3" t="s">
        <v>23</v>
      </c>
      <c r="F806" s="3" t="s">
        <v>148</v>
      </c>
      <c r="G806" s="4" t="s">
        <v>207</v>
      </c>
      <c r="H806" s="5">
        <v>266</v>
      </c>
      <c r="I806" s="3" t="s">
        <v>124</v>
      </c>
      <c r="J806" s="3">
        <v>5</v>
      </c>
      <c r="K806" s="3">
        <v>5</v>
      </c>
      <c r="L806" s="3" t="s">
        <v>2914</v>
      </c>
      <c r="M806" s="4" t="s">
        <v>199</v>
      </c>
      <c r="N806" s="4"/>
      <c r="O806" s="4"/>
      <c r="P806" s="4"/>
    </row>
    <row r="807" spans="1:16" ht="12.45" x14ac:dyDescent="0.2">
      <c r="A807" s="3" t="s">
        <v>13</v>
      </c>
      <c r="B807" s="3" t="s">
        <v>122</v>
      </c>
      <c r="C807" s="3" t="s">
        <v>34</v>
      </c>
      <c r="D807" s="3" t="s">
        <v>22</v>
      </c>
      <c r="E807" s="3" t="s">
        <v>23</v>
      </c>
      <c r="F807" s="3" t="s">
        <v>44</v>
      </c>
      <c r="G807" s="6" t="s">
        <v>123</v>
      </c>
      <c r="H807" s="5">
        <v>261</v>
      </c>
      <c r="I807" s="3" t="s">
        <v>124</v>
      </c>
      <c r="J807" s="3">
        <v>1</v>
      </c>
      <c r="K807" s="3">
        <v>1</v>
      </c>
      <c r="L807" s="3" t="s">
        <v>2914</v>
      </c>
      <c r="M807" s="3"/>
      <c r="N807" s="3"/>
      <c r="O807" s="3"/>
      <c r="P807" s="3"/>
    </row>
    <row r="808" spans="1:16" ht="12.45" x14ac:dyDescent="0.2">
      <c r="A808" s="3" t="s">
        <v>13</v>
      </c>
      <c r="B808" s="3" t="s">
        <v>135</v>
      </c>
      <c r="C808" s="3" t="s">
        <v>136</v>
      </c>
      <c r="D808" s="3" t="s">
        <v>28</v>
      </c>
      <c r="E808" s="3" t="s">
        <v>23</v>
      </c>
      <c r="F808" s="3" t="s">
        <v>44</v>
      </c>
      <c r="G808" s="4" t="s">
        <v>137</v>
      </c>
      <c r="H808" s="5">
        <v>262</v>
      </c>
      <c r="I808" s="3" t="s">
        <v>124</v>
      </c>
      <c r="J808" s="3">
        <v>3</v>
      </c>
      <c r="K808" s="3">
        <v>1</v>
      </c>
      <c r="L808" s="3" t="s">
        <v>2914</v>
      </c>
      <c r="M808" s="4"/>
      <c r="N808" s="4"/>
      <c r="O808" s="4"/>
      <c r="P808" s="4"/>
    </row>
    <row r="809" spans="1:16" ht="12.45" x14ac:dyDescent="0.2">
      <c r="A809" s="3" t="s">
        <v>13</v>
      </c>
      <c r="B809" s="3" t="s">
        <v>210</v>
      </c>
      <c r="C809" s="3" t="s">
        <v>211</v>
      </c>
      <c r="D809" s="3" t="s">
        <v>28</v>
      </c>
      <c r="E809" s="3" t="s">
        <v>212</v>
      </c>
      <c r="F809" s="3" t="s">
        <v>44</v>
      </c>
      <c r="G809" s="3"/>
      <c r="H809" s="5" t="s">
        <v>213</v>
      </c>
      <c r="I809" s="3" t="s">
        <v>124</v>
      </c>
      <c r="J809" s="5">
        <v>5</v>
      </c>
      <c r="K809" s="5">
        <v>5</v>
      </c>
      <c r="L809" s="3" t="s">
        <v>2914</v>
      </c>
      <c r="M809" s="6" t="s">
        <v>214</v>
      </c>
      <c r="N809" s="6"/>
      <c r="O809" s="6"/>
      <c r="P809" s="6"/>
    </row>
    <row r="810" spans="1:16" ht="12.45" x14ac:dyDescent="0.2">
      <c r="A810" s="3" t="s">
        <v>13</v>
      </c>
      <c r="B810" t="s">
        <v>1849</v>
      </c>
      <c r="C810" t="s">
        <v>2946</v>
      </c>
      <c r="D810" t="s">
        <v>22</v>
      </c>
      <c r="E810" t="s">
        <v>23</v>
      </c>
      <c r="F810" t="s">
        <v>182</v>
      </c>
      <c r="G810" s="3" t="s">
        <v>1850</v>
      </c>
      <c r="H810" s="5">
        <v>409</v>
      </c>
      <c r="I810" s="3" t="s">
        <v>1834</v>
      </c>
      <c r="J810" s="3">
        <v>4</v>
      </c>
      <c r="K810" s="3">
        <v>2</v>
      </c>
      <c r="L810" s="3" t="s">
        <v>2906</v>
      </c>
      <c r="M810" s="6" t="s">
        <v>1837</v>
      </c>
      <c r="N810" s="6"/>
      <c r="O810" s="6"/>
      <c r="P810" s="6"/>
    </row>
    <row r="811" spans="1:16" ht="12.45" x14ac:dyDescent="0.2">
      <c r="A811" s="3" t="s">
        <v>13</v>
      </c>
      <c r="B811" t="s">
        <v>1872</v>
      </c>
      <c r="C811" t="s">
        <v>2948</v>
      </c>
      <c r="D811" t="s">
        <v>28</v>
      </c>
      <c r="E811" t="s">
        <v>23</v>
      </c>
      <c r="F811" t="s">
        <v>182</v>
      </c>
      <c r="G811" s="3" t="s">
        <v>1873</v>
      </c>
      <c r="H811" s="5">
        <v>412</v>
      </c>
      <c r="I811" s="3" t="s">
        <v>1834</v>
      </c>
      <c r="J811" s="3">
        <v>5</v>
      </c>
      <c r="K811" s="3">
        <v>3</v>
      </c>
      <c r="L811" s="3" t="s">
        <v>2906</v>
      </c>
      <c r="M811" s="6" t="s">
        <v>1870</v>
      </c>
      <c r="N811" s="6"/>
      <c r="O811" s="6"/>
      <c r="P811" s="6"/>
    </row>
    <row r="812" spans="1:16" ht="12.45" x14ac:dyDescent="0.2">
      <c r="A812" s="3" t="s">
        <v>13</v>
      </c>
      <c r="B812" t="s">
        <v>1879</v>
      </c>
      <c r="C812" t="s">
        <v>2946</v>
      </c>
      <c r="D812" t="s">
        <v>22</v>
      </c>
      <c r="E812" t="s">
        <v>23</v>
      </c>
      <c r="F812" t="s">
        <v>182</v>
      </c>
      <c r="G812" s="3" t="s">
        <v>1880</v>
      </c>
      <c r="H812" s="5">
        <v>413</v>
      </c>
      <c r="I812" s="3" t="s">
        <v>1834</v>
      </c>
      <c r="J812" s="3">
        <v>5</v>
      </c>
      <c r="K812" s="3">
        <v>3</v>
      </c>
      <c r="L812" s="3" t="s">
        <v>2906</v>
      </c>
      <c r="M812" s="6" t="s">
        <v>1881</v>
      </c>
      <c r="N812" s="6"/>
      <c r="O812" s="6"/>
      <c r="P812" s="6"/>
    </row>
    <row r="813" spans="1:16" ht="12.45" x14ac:dyDescent="0.2">
      <c r="A813" s="3" t="s">
        <v>13</v>
      </c>
      <c r="B813" t="s">
        <v>1886</v>
      </c>
      <c r="C813" t="s">
        <v>2957</v>
      </c>
      <c r="D813" t="s">
        <v>22</v>
      </c>
      <c r="E813" t="s">
        <v>23</v>
      </c>
      <c r="F813" t="s">
        <v>182</v>
      </c>
      <c r="G813" s="3" t="s">
        <v>1887</v>
      </c>
      <c r="H813" s="5">
        <v>414</v>
      </c>
      <c r="I813" s="3" t="s">
        <v>1834</v>
      </c>
      <c r="J813" s="3">
        <v>5</v>
      </c>
      <c r="K813" s="3">
        <v>3</v>
      </c>
      <c r="L813" s="3" t="s">
        <v>2906</v>
      </c>
      <c r="M813" s="6" t="s">
        <v>1888</v>
      </c>
      <c r="N813" s="6"/>
      <c r="O813" s="6"/>
      <c r="P813" s="6"/>
    </row>
    <row r="814" spans="1:16" ht="12.45" x14ac:dyDescent="0.2">
      <c r="A814" s="3" t="s">
        <v>13</v>
      </c>
      <c r="B814" s="3" t="s">
        <v>2956</v>
      </c>
      <c r="C814" s="3" t="s">
        <v>47</v>
      </c>
      <c r="D814" s="3" t="s">
        <v>28</v>
      </c>
      <c r="E814" s="3" t="s">
        <v>23</v>
      </c>
      <c r="F814" s="3" t="s">
        <v>182</v>
      </c>
      <c r="G814" s="3"/>
      <c r="H814" s="5" t="s">
        <v>1840</v>
      </c>
      <c r="I814" s="3" t="s">
        <v>1834</v>
      </c>
      <c r="J814" s="5">
        <v>5</v>
      </c>
      <c r="K814" s="5">
        <v>3</v>
      </c>
      <c r="L814" s="3" t="s">
        <v>2906</v>
      </c>
      <c r="M814" s="6" t="s">
        <v>1889</v>
      </c>
      <c r="N814" s="6"/>
      <c r="O814" s="6"/>
      <c r="P814" s="6"/>
    </row>
    <row r="815" spans="1:16" ht="12.45" x14ac:dyDescent="0.2">
      <c r="A815" s="3" t="s">
        <v>13</v>
      </c>
      <c r="B815" s="3" t="s">
        <v>1839</v>
      </c>
      <c r="C815" s="3" t="s">
        <v>147</v>
      </c>
      <c r="D815" s="3" t="s">
        <v>28</v>
      </c>
      <c r="E815" s="3" t="s">
        <v>23</v>
      </c>
      <c r="F815" s="3" t="s">
        <v>18</v>
      </c>
      <c r="G815" s="3"/>
      <c r="H815" s="5" t="s">
        <v>1840</v>
      </c>
      <c r="I815" s="3" t="s">
        <v>1834</v>
      </c>
      <c r="J815" s="5">
        <v>3</v>
      </c>
      <c r="K815" s="5">
        <v>1</v>
      </c>
      <c r="L815" s="3" t="s">
        <v>2906</v>
      </c>
      <c r="M815" s="6" t="s">
        <v>1841</v>
      </c>
      <c r="N815" s="6"/>
      <c r="O815" s="6"/>
      <c r="P815" s="6"/>
    </row>
    <row r="816" spans="1:16" ht="12.45" x14ac:dyDescent="0.2">
      <c r="A816" s="3" t="s">
        <v>13</v>
      </c>
      <c r="B816" t="s">
        <v>1842</v>
      </c>
      <c r="C816" t="s">
        <v>2955</v>
      </c>
      <c r="D816" t="s">
        <v>28</v>
      </c>
      <c r="E816" t="s">
        <v>23</v>
      </c>
      <c r="F816" t="s">
        <v>18</v>
      </c>
      <c r="G816" s="3" t="s">
        <v>1844</v>
      </c>
      <c r="H816" s="5">
        <v>410</v>
      </c>
      <c r="I816" s="3" t="s">
        <v>1834</v>
      </c>
      <c r="J816" s="3">
        <v>3</v>
      </c>
      <c r="K816" s="3">
        <v>2</v>
      </c>
      <c r="L816" s="3" t="s">
        <v>2906</v>
      </c>
      <c r="M816" s="6" t="s">
        <v>1835</v>
      </c>
      <c r="N816" s="6"/>
      <c r="O816" s="6"/>
      <c r="P816" s="6"/>
    </row>
    <row r="817" spans="1:16" ht="12.45" x14ac:dyDescent="0.2">
      <c r="A817" s="3" t="s">
        <v>13</v>
      </c>
      <c r="B817" t="s">
        <v>1845</v>
      </c>
      <c r="C817" t="s">
        <v>2942</v>
      </c>
      <c r="D817" t="s">
        <v>28</v>
      </c>
      <c r="E817" t="s">
        <v>142</v>
      </c>
      <c r="F817" t="s">
        <v>18</v>
      </c>
      <c r="G817" s="3" t="s">
        <v>1846</v>
      </c>
      <c r="H817" s="5">
        <v>411</v>
      </c>
      <c r="I817" s="3" t="s">
        <v>1834</v>
      </c>
      <c r="J817" s="3">
        <v>3</v>
      </c>
      <c r="K817" s="3">
        <v>2</v>
      </c>
      <c r="L817" s="3" t="s">
        <v>2906</v>
      </c>
      <c r="M817" s="6" t="s">
        <v>1842</v>
      </c>
      <c r="N817" s="6"/>
      <c r="O817" s="6"/>
      <c r="P817" s="6"/>
    </row>
    <row r="818" spans="1:16" ht="12.45" x14ac:dyDescent="0.2">
      <c r="A818" s="3" t="s">
        <v>13</v>
      </c>
      <c r="B818" t="s">
        <v>1847</v>
      </c>
      <c r="C818" t="s">
        <v>2944</v>
      </c>
      <c r="D818" t="s">
        <v>22</v>
      </c>
      <c r="E818" t="s">
        <v>142</v>
      </c>
      <c r="F818" t="s">
        <v>18</v>
      </c>
      <c r="G818" s="3" t="s">
        <v>1848</v>
      </c>
      <c r="H818" s="5">
        <v>412</v>
      </c>
      <c r="I818" s="3" t="s">
        <v>1834</v>
      </c>
      <c r="J818" s="3">
        <v>3</v>
      </c>
      <c r="K818" s="3">
        <v>2</v>
      </c>
      <c r="L818" s="3" t="s">
        <v>2906</v>
      </c>
      <c r="M818" s="6" t="s">
        <v>1845</v>
      </c>
      <c r="N818" s="6"/>
      <c r="O818" s="6"/>
      <c r="P818" s="6"/>
    </row>
    <row r="819" spans="1:16" ht="12.45" x14ac:dyDescent="0.2">
      <c r="A819" s="3" t="s">
        <v>13</v>
      </c>
      <c r="B819" t="s">
        <v>1853</v>
      </c>
      <c r="C819" t="s">
        <v>2954</v>
      </c>
      <c r="D819" t="s">
        <v>16</v>
      </c>
      <c r="E819" t="s">
        <v>23</v>
      </c>
      <c r="F819" t="s">
        <v>18</v>
      </c>
      <c r="G819" s="3" t="s">
        <v>1855</v>
      </c>
      <c r="H819" s="5">
        <v>411</v>
      </c>
      <c r="I819" s="3" t="s">
        <v>1834</v>
      </c>
      <c r="J819" s="3">
        <v>4</v>
      </c>
      <c r="K819" s="3">
        <v>2</v>
      </c>
      <c r="L819" s="3" t="s">
        <v>2906</v>
      </c>
      <c r="M819" s="6" t="s">
        <v>1842</v>
      </c>
      <c r="N819" s="6"/>
      <c r="O819" s="6"/>
      <c r="P819" s="6"/>
    </row>
    <row r="820" spans="1:16" ht="12.45" x14ac:dyDescent="0.2">
      <c r="A820" s="3" t="s">
        <v>13</v>
      </c>
      <c r="B820" t="s">
        <v>1856</v>
      </c>
      <c r="C820" t="s">
        <v>2942</v>
      </c>
      <c r="D820" t="s">
        <v>16</v>
      </c>
      <c r="E820" t="s">
        <v>23</v>
      </c>
      <c r="F820" t="s">
        <v>18</v>
      </c>
      <c r="G820" s="3" t="s">
        <v>1857</v>
      </c>
      <c r="H820" s="5">
        <v>410</v>
      </c>
      <c r="I820" s="3" t="s">
        <v>1834</v>
      </c>
      <c r="J820" s="3">
        <v>5</v>
      </c>
      <c r="K820" s="3">
        <v>2</v>
      </c>
      <c r="L820" s="3" t="s">
        <v>2906</v>
      </c>
      <c r="M820" s="6" t="s">
        <v>1849</v>
      </c>
      <c r="N820" s="6"/>
      <c r="O820" s="6"/>
      <c r="P820" s="6"/>
    </row>
    <row r="821" spans="1:16" ht="12.45" x14ac:dyDescent="0.2">
      <c r="A821" s="3" t="s">
        <v>13</v>
      </c>
      <c r="B821" t="s">
        <v>1858</v>
      </c>
      <c r="C821" t="s">
        <v>2944</v>
      </c>
      <c r="D821" t="s">
        <v>22</v>
      </c>
      <c r="E821" t="s">
        <v>23</v>
      </c>
      <c r="F821" t="s">
        <v>18</v>
      </c>
      <c r="G821" s="3" t="s">
        <v>1859</v>
      </c>
      <c r="H821" s="5">
        <v>411</v>
      </c>
      <c r="I821" s="3" t="s">
        <v>1834</v>
      </c>
      <c r="J821" s="3">
        <v>5</v>
      </c>
      <c r="K821" s="3">
        <v>2</v>
      </c>
      <c r="L821" s="3" t="s">
        <v>2906</v>
      </c>
      <c r="M821" s="6" t="s">
        <v>1851</v>
      </c>
      <c r="N821" s="6"/>
      <c r="O821" s="6"/>
      <c r="P821" s="6"/>
    </row>
    <row r="822" spans="1:16" ht="12.45" x14ac:dyDescent="0.2">
      <c r="A822" s="3" t="s">
        <v>13</v>
      </c>
      <c r="B822" t="s">
        <v>1870</v>
      </c>
      <c r="C822" t="s">
        <v>2943</v>
      </c>
      <c r="D822" t="s">
        <v>16</v>
      </c>
      <c r="E822" t="s">
        <v>23</v>
      </c>
      <c r="F822" t="s">
        <v>18</v>
      </c>
      <c r="G822" s="3" t="s">
        <v>1871</v>
      </c>
      <c r="H822" s="5">
        <v>412</v>
      </c>
      <c r="I822" s="3" t="s">
        <v>1834</v>
      </c>
      <c r="J822" s="3">
        <v>5</v>
      </c>
      <c r="K822" s="3">
        <v>3</v>
      </c>
      <c r="L822" s="3" t="s">
        <v>2906</v>
      </c>
      <c r="M822" t="s">
        <v>1856</v>
      </c>
      <c r="N822" s="6"/>
      <c r="O822" s="6"/>
      <c r="P822" s="6"/>
    </row>
    <row r="823" spans="1:16" ht="12.45" x14ac:dyDescent="0.2">
      <c r="A823" s="3" t="s">
        <v>13</v>
      </c>
      <c r="B823" t="s">
        <v>1874</v>
      </c>
      <c r="C823" t="s">
        <v>2940</v>
      </c>
      <c r="D823" t="s">
        <v>22</v>
      </c>
      <c r="E823" t="s">
        <v>29</v>
      </c>
      <c r="F823" t="s">
        <v>18</v>
      </c>
      <c r="G823" s="3" t="s">
        <v>1875</v>
      </c>
      <c r="H823" s="5">
        <v>413</v>
      </c>
      <c r="I823" s="3" t="s">
        <v>1834</v>
      </c>
      <c r="J823" s="3">
        <v>5</v>
      </c>
      <c r="K823" s="3">
        <v>3</v>
      </c>
      <c r="L823" s="3" t="s">
        <v>2906</v>
      </c>
      <c r="M823" s="6" t="s">
        <v>1858</v>
      </c>
      <c r="N823" s="6"/>
      <c r="O823" s="6"/>
      <c r="P823" s="6"/>
    </row>
    <row r="824" spans="1:16" ht="12.45" x14ac:dyDescent="0.2">
      <c r="A824" s="3" t="s">
        <v>13</v>
      </c>
      <c r="B824" s="3" t="s">
        <v>1894</v>
      </c>
      <c r="C824" s="3" t="s">
        <v>147</v>
      </c>
      <c r="D824" s="3" t="s">
        <v>22</v>
      </c>
      <c r="E824" s="3" t="s">
        <v>23</v>
      </c>
      <c r="F824" s="3" t="s">
        <v>18</v>
      </c>
      <c r="G824" s="3"/>
      <c r="H824" s="5" t="s">
        <v>1893</v>
      </c>
      <c r="I824" s="3" t="s">
        <v>1834</v>
      </c>
      <c r="J824" s="5">
        <v>5</v>
      </c>
      <c r="K824" s="5">
        <v>5</v>
      </c>
      <c r="L824" s="3" t="s">
        <v>2906</v>
      </c>
      <c r="M824" s="6" t="s">
        <v>1891</v>
      </c>
      <c r="N824" s="6"/>
      <c r="O824" s="6"/>
      <c r="P824" s="6"/>
    </row>
    <row r="825" spans="1:16" ht="12.45" x14ac:dyDescent="0.2">
      <c r="A825" s="3" t="s">
        <v>13</v>
      </c>
      <c r="B825" t="s">
        <v>1837</v>
      </c>
      <c r="C825" t="s">
        <v>2940</v>
      </c>
      <c r="D825" t="s">
        <v>22</v>
      </c>
      <c r="E825" t="s">
        <v>23</v>
      </c>
      <c r="F825" t="s">
        <v>563</v>
      </c>
      <c r="G825" s="3" t="s">
        <v>1838</v>
      </c>
      <c r="H825" s="5">
        <v>409</v>
      </c>
      <c r="I825" s="3" t="s">
        <v>1834</v>
      </c>
      <c r="J825" s="3">
        <v>3</v>
      </c>
      <c r="K825" s="3">
        <v>1</v>
      </c>
      <c r="L825" s="3" t="s">
        <v>2906</v>
      </c>
      <c r="M825" s="6"/>
      <c r="N825" s="6"/>
      <c r="O825" s="6"/>
      <c r="P825" s="6"/>
    </row>
    <row r="826" spans="1:16" ht="12.45" x14ac:dyDescent="0.2">
      <c r="A826" s="3" t="s">
        <v>13</v>
      </c>
      <c r="B826" t="s">
        <v>1832</v>
      </c>
      <c r="C826" t="s">
        <v>2944</v>
      </c>
      <c r="D826" t="s">
        <v>28</v>
      </c>
      <c r="E826" t="s">
        <v>23</v>
      </c>
      <c r="F826" t="s">
        <v>683</v>
      </c>
      <c r="G826" s="3" t="s">
        <v>1833</v>
      </c>
      <c r="H826" s="5">
        <v>409</v>
      </c>
      <c r="I826" s="3" t="s">
        <v>1834</v>
      </c>
      <c r="J826" s="3">
        <v>1</v>
      </c>
      <c r="K826" s="3">
        <v>1</v>
      </c>
      <c r="L826" s="3" t="s">
        <v>2906</v>
      </c>
      <c r="M826" s="6"/>
      <c r="N826" s="6"/>
      <c r="O826" s="6"/>
      <c r="P826" s="6"/>
    </row>
    <row r="827" spans="1:16" ht="12.45" x14ac:dyDescent="0.2">
      <c r="A827" s="3" t="s">
        <v>13</v>
      </c>
      <c r="B827" t="s">
        <v>1864</v>
      </c>
      <c r="C827" t="s">
        <v>2939</v>
      </c>
      <c r="D827" t="s">
        <v>22</v>
      </c>
      <c r="E827" t="s">
        <v>23</v>
      </c>
      <c r="F827" t="s">
        <v>615</v>
      </c>
      <c r="G827" s="3" t="s">
        <v>1865</v>
      </c>
      <c r="H827" s="5">
        <v>412</v>
      </c>
      <c r="I827" s="3" t="s">
        <v>1834</v>
      </c>
      <c r="J827" s="3">
        <v>5</v>
      </c>
      <c r="K827" s="3">
        <v>2</v>
      </c>
      <c r="L827" s="3" t="s">
        <v>2906</v>
      </c>
      <c r="M827" s="3" t="s">
        <v>1845</v>
      </c>
      <c r="N827" s="3"/>
      <c r="O827" s="3"/>
      <c r="P827" s="3"/>
    </row>
    <row r="828" spans="1:16" ht="12.45" x14ac:dyDescent="0.2">
      <c r="A828" s="3" t="s">
        <v>13</v>
      </c>
      <c r="B828" t="s">
        <v>1882</v>
      </c>
      <c r="C828" t="s">
        <v>2944</v>
      </c>
      <c r="D828" t="s">
        <v>22</v>
      </c>
      <c r="E828" t="s">
        <v>23</v>
      </c>
      <c r="F828" t="s">
        <v>615</v>
      </c>
      <c r="G828" s="3" t="s">
        <v>1883</v>
      </c>
      <c r="H828" s="5">
        <v>414</v>
      </c>
      <c r="I828" s="3" t="s">
        <v>1834</v>
      </c>
      <c r="J828" s="3">
        <v>5</v>
      </c>
      <c r="K828" s="3">
        <v>3</v>
      </c>
      <c r="L828" s="3" t="s">
        <v>2906</v>
      </c>
      <c r="M828" s="6" t="s">
        <v>1864</v>
      </c>
      <c r="N828" s="6"/>
      <c r="O828" s="6"/>
      <c r="P828" s="6"/>
    </row>
    <row r="829" spans="1:16" ht="12.45" x14ac:dyDescent="0.2">
      <c r="A829" s="3" t="s">
        <v>13</v>
      </c>
      <c r="B829" t="s">
        <v>1851</v>
      </c>
      <c r="C829" t="s">
        <v>2938</v>
      </c>
      <c r="D829" t="s">
        <v>28</v>
      </c>
      <c r="E829" t="s">
        <v>23</v>
      </c>
      <c r="F829" t="s">
        <v>460</v>
      </c>
      <c r="G829" s="3" t="s">
        <v>1852</v>
      </c>
      <c r="H829" s="5">
        <v>410</v>
      </c>
      <c r="I829" s="3" t="s">
        <v>1834</v>
      </c>
      <c r="J829" s="3">
        <v>4</v>
      </c>
      <c r="K829" s="3">
        <v>2</v>
      </c>
      <c r="L829" s="3" t="s">
        <v>2906</v>
      </c>
      <c r="M829" s="6" t="s">
        <v>1842</v>
      </c>
      <c r="N829" s="6"/>
      <c r="O829" s="6"/>
      <c r="P829" s="6"/>
    </row>
    <row r="830" spans="1:16" ht="12.45" x14ac:dyDescent="0.2">
      <c r="A830" s="3" t="s">
        <v>13</v>
      </c>
      <c r="B830" t="s">
        <v>1860</v>
      </c>
      <c r="C830" t="s">
        <v>147</v>
      </c>
      <c r="D830" t="s">
        <v>148</v>
      </c>
      <c r="E830" t="s">
        <v>430</v>
      </c>
      <c r="F830" t="s">
        <v>148</v>
      </c>
      <c r="G830" s="3" t="s">
        <v>1861</v>
      </c>
      <c r="H830" s="5">
        <v>411</v>
      </c>
      <c r="I830" s="3" t="s">
        <v>1834</v>
      </c>
      <c r="J830" s="3">
        <v>5</v>
      </c>
      <c r="K830" s="3">
        <v>2</v>
      </c>
      <c r="L830" s="3" t="s">
        <v>2906</v>
      </c>
      <c r="M830" s="6" t="s">
        <v>1853</v>
      </c>
      <c r="N830" s="6"/>
      <c r="O830" s="6"/>
      <c r="P830" s="6"/>
    </row>
    <row r="831" spans="1:16" ht="12.45" x14ac:dyDescent="0.2">
      <c r="A831" s="3" t="s">
        <v>13</v>
      </c>
      <c r="B831" t="s">
        <v>1862</v>
      </c>
      <c r="C831" t="s">
        <v>147</v>
      </c>
      <c r="D831" t="s">
        <v>148</v>
      </c>
      <c r="E831" t="s">
        <v>430</v>
      </c>
      <c r="F831" t="s">
        <v>148</v>
      </c>
      <c r="G831" s="3" t="s">
        <v>1863</v>
      </c>
      <c r="H831" s="5">
        <v>411</v>
      </c>
      <c r="I831" s="3" t="s">
        <v>1834</v>
      </c>
      <c r="J831" s="3">
        <v>5</v>
      </c>
      <c r="K831" s="3">
        <v>2</v>
      </c>
      <c r="L831" s="3" t="s">
        <v>2906</v>
      </c>
      <c r="M831" s="3" t="s">
        <v>1853</v>
      </c>
      <c r="N831" s="3"/>
      <c r="O831" s="3"/>
      <c r="P831" s="3"/>
    </row>
    <row r="832" spans="1:16" ht="12.45" x14ac:dyDescent="0.2">
      <c r="A832" s="3" t="s">
        <v>13</v>
      </c>
      <c r="B832" t="s">
        <v>1866</v>
      </c>
      <c r="C832" t="s">
        <v>147</v>
      </c>
      <c r="D832" t="s">
        <v>148</v>
      </c>
      <c r="E832" t="s">
        <v>23</v>
      </c>
      <c r="F832" t="s">
        <v>148</v>
      </c>
      <c r="G832" s="3" t="s">
        <v>1867</v>
      </c>
      <c r="H832" s="5">
        <v>414</v>
      </c>
      <c r="I832" s="3" t="s">
        <v>1834</v>
      </c>
      <c r="J832" s="3">
        <v>4</v>
      </c>
      <c r="K832" s="3">
        <v>3</v>
      </c>
      <c r="L832" s="3" t="s">
        <v>2906</v>
      </c>
      <c r="M832" s="3" t="s">
        <v>1847</v>
      </c>
      <c r="N832" s="3"/>
      <c r="O832" s="3"/>
      <c r="P832" s="3"/>
    </row>
    <row r="833" spans="1:16" ht="12.45" x14ac:dyDescent="0.2">
      <c r="A833" s="3" t="s">
        <v>13</v>
      </c>
      <c r="B833" t="s">
        <v>1868</v>
      </c>
      <c r="C833" t="s">
        <v>147</v>
      </c>
      <c r="D833" t="s">
        <v>148</v>
      </c>
      <c r="E833" t="s">
        <v>23</v>
      </c>
      <c r="F833" t="s">
        <v>148</v>
      </c>
      <c r="G833" s="3" t="s">
        <v>1869</v>
      </c>
      <c r="H833" s="5">
        <v>412</v>
      </c>
      <c r="I833" s="3" t="s">
        <v>1834</v>
      </c>
      <c r="J833" s="3">
        <v>5</v>
      </c>
      <c r="K833" s="3">
        <v>3</v>
      </c>
      <c r="L833" s="3" t="s">
        <v>2906</v>
      </c>
      <c r="M833" t="s">
        <v>1837</v>
      </c>
      <c r="N833" s="6"/>
      <c r="O833" s="6"/>
      <c r="P833" s="6"/>
    </row>
    <row r="834" spans="1:16" ht="12.45" x14ac:dyDescent="0.2">
      <c r="A834" s="3" t="s">
        <v>13</v>
      </c>
      <c r="B834" t="s">
        <v>1876</v>
      </c>
      <c r="C834" t="s">
        <v>147</v>
      </c>
      <c r="D834" t="s">
        <v>148</v>
      </c>
      <c r="E834" t="s">
        <v>23</v>
      </c>
      <c r="F834" t="s">
        <v>148</v>
      </c>
      <c r="G834" s="3" t="s">
        <v>1877</v>
      </c>
      <c r="H834" s="5">
        <v>413</v>
      </c>
      <c r="I834" s="3" t="s">
        <v>1834</v>
      </c>
      <c r="J834" s="3">
        <v>5</v>
      </c>
      <c r="K834" s="3">
        <v>3</v>
      </c>
      <c r="L834" s="3" t="s">
        <v>2906</v>
      </c>
      <c r="M834" s="6" t="s">
        <v>1878</v>
      </c>
      <c r="N834" s="6"/>
      <c r="O834" s="6"/>
      <c r="P834" s="6"/>
    </row>
    <row r="835" spans="1:16" ht="12.45" x14ac:dyDescent="0.2">
      <c r="A835" s="3" t="s">
        <v>13</v>
      </c>
      <c r="B835" t="s">
        <v>1884</v>
      </c>
      <c r="C835" t="s">
        <v>147</v>
      </c>
      <c r="D835" t="s">
        <v>148</v>
      </c>
      <c r="E835" t="s">
        <v>23</v>
      </c>
      <c r="F835" t="s">
        <v>148</v>
      </c>
      <c r="G835" s="3" t="s">
        <v>1885</v>
      </c>
      <c r="H835" s="5">
        <v>414</v>
      </c>
      <c r="I835" s="3" t="s">
        <v>1834</v>
      </c>
      <c r="J835" s="3">
        <v>5</v>
      </c>
      <c r="K835" s="3">
        <v>3</v>
      </c>
      <c r="L835" s="3" t="s">
        <v>2906</v>
      </c>
      <c r="M835" s="6" t="s">
        <v>1866</v>
      </c>
      <c r="N835" s="6"/>
      <c r="O835" s="6"/>
      <c r="P835" s="6"/>
    </row>
    <row r="836" spans="1:16" ht="12.45" x14ac:dyDescent="0.2">
      <c r="A836" s="3" t="s">
        <v>13</v>
      </c>
      <c r="B836" t="s">
        <v>1835</v>
      </c>
      <c r="C836" t="s">
        <v>2944</v>
      </c>
      <c r="D836" t="s">
        <v>28</v>
      </c>
      <c r="E836" t="s">
        <v>23</v>
      </c>
      <c r="F836" t="s">
        <v>44</v>
      </c>
      <c r="G836" s="3" t="s">
        <v>1836</v>
      </c>
      <c r="H836" s="5">
        <v>409</v>
      </c>
      <c r="I836" s="3" t="s">
        <v>1834</v>
      </c>
      <c r="J836" s="3">
        <v>2</v>
      </c>
      <c r="K836" s="3">
        <v>1</v>
      </c>
      <c r="L836" s="3" t="s">
        <v>2906</v>
      </c>
      <c r="M836" s="6"/>
      <c r="N836" s="6"/>
      <c r="O836" s="6"/>
      <c r="P836" s="6"/>
    </row>
    <row r="837" spans="1:16" ht="12.45" x14ac:dyDescent="0.2">
      <c r="A837" s="3" t="s">
        <v>13</v>
      </c>
      <c r="B837" s="3" t="s">
        <v>1890</v>
      </c>
      <c r="C837" s="3" t="s">
        <v>694</v>
      </c>
      <c r="D837" s="3" t="s">
        <v>28</v>
      </c>
      <c r="E837" s="3" t="s">
        <v>23</v>
      </c>
      <c r="F837" s="3" t="s">
        <v>44</v>
      </c>
      <c r="G837" s="3"/>
      <c r="H837" s="5" t="s">
        <v>1840</v>
      </c>
      <c r="I837" s="3" t="s">
        <v>1834</v>
      </c>
      <c r="J837" s="5">
        <v>5</v>
      </c>
      <c r="K837" s="5">
        <v>3</v>
      </c>
      <c r="L837" s="3" t="s">
        <v>2906</v>
      </c>
      <c r="M837" s="6" t="s">
        <v>1874</v>
      </c>
      <c r="N837" s="6"/>
      <c r="O837" s="6"/>
      <c r="P837" s="6"/>
    </row>
    <row r="838" spans="1:16" ht="12.45" x14ac:dyDescent="0.2">
      <c r="A838" s="3" t="s">
        <v>13</v>
      </c>
      <c r="B838" s="3" t="s">
        <v>1891</v>
      </c>
      <c r="C838" s="3" t="s">
        <v>1892</v>
      </c>
      <c r="D838" s="3" t="s">
        <v>22</v>
      </c>
      <c r="E838" s="3" t="s">
        <v>23</v>
      </c>
      <c r="F838" s="3" t="s">
        <v>44</v>
      </c>
      <c r="G838" s="3"/>
      <c r="H838" s="5" t="s">
        <v>1893</v>
      </c>
      <c r="I838" s="3" t="s">
        <v>1834</v>
      </c>
      <c r="J838" s="5">
        <v>5</v>
      </c>
      <c r="K838" s="5">
        <v>4</v>
      </c>
      <c r="L838" s="3" t="s">
        <v>2906</v>
      </c>
      <c r="M838" s="6" t="s">
        <v>1886</v>
      </c>
      <c r="N838" s="6"/>
      <c r="O838" s="6"/>
      <c r="P838" s="6"/>
    </row>
    <row r="839" spans="1:16" ht="12.45" x14ac:dyDescent="0.2">
      <c r="A839" s="3" t="s">
        <v>13</v>
      </c>
      <c r="B839" t="s">
        <v>1895</v>
      </c>
      <c r="C839" t="s">
        <v>2939</v>
      </c>
      <c r="D839" t="s">
        <v>16</v>
      </c>
      <c r="E839" t="s">
        <v>1439</v>
      </c>
      <c r="F839" t="s">
        <v>18</v>
      </c>
      <c r="G839" s="3" t="s">
        <v>1896</v>
      </c>
      <c r="H839" s="5">
        <v>415</v>
      </c>
      <c r="I839" s="3" t="s">
        <v>1897</v>
      </c>
      <c r="J839" s="3">
        <v>1</v>
      </c>
      <c r="K839" s="3">
        <v>1</v>
      </c>
      <c r="L839" s="3" t="s">
        <v>2904</v>
      </c>
      <c r="M839" s="6"/>
      <c r="N839" s="6"/>
      <c r="O839" s="6"/>
      <c r="P839" s="6"/>
    </row>
    <row r="840" spans="1:16" ht="12.45" x14ac:dyDescent="0.2">
      <c r="A840" s="3" t="s">
        <v>13</v>
      </c>
      <c r="B840" t="s">
        <v>1898</v>
      </c>
      <c r="C840" t="s">
        <v>2945</v>
      </c>
      <c r="D840" t="s">
        <v>16</v>
      </c>
      <c r="E840" t="s">
        <v>29</v>
      </c>
      <c r="F840" t="s">
        <v>18</v>
      </c>
      <c r="G840" s="3" t="s">
        <v>1899</v>
      </c>
      <c r="H840" s="5">
        <v>415</v>
      </c>
      <c r="I840" s="3" t="s">
        <v>1897</v>
      </c>
      <c r="J840" s="3">
        <v>2</v>
      </c>
      <c r="K840" s="3">
        <v>1</v>
      </c>
      <c r="L840" s="3" t="s">
        <v>2904</v>
      </c>
      <c r="M840" s="6" t="s">
        <v>1895</v>
      </c>
      <c r="N840" s="6"/>
      <c r="O840" s="6"/>
      <c r="P840" s="6"/>
    </row>
    <row r="841" spans="1:16" ht="12.45" x14ac:dyDescent="0.2">
      <c r="A841" s="3" t="s">
        <v>13</v>
      </c>
      <c r="B841" t="s">
        <v>1900</v>
      </c>
      <c r="C841" t="s">
        <v>2944</v>
      </c>
      <c r="D841" t="s">
        <v>16</v>
      </c>
      <c r="E841" t="s">
        <v>23</v>
      </c>
      <c r="F841" t="s">
        <v>18</v>
      </c>
      <c r="G841" s="3" t="s">
        <v>1901</v>
      </c>
      <c r="H841" s="5">
        <v>415</v>
      </c>
      <c r="I841" s="3" t="s">
        <v>1897</v>
      </c>
      <c r="J841" s="3">
        <v>3</v>
      </c>
      <c r="K841" s="3">
        <v>1</v>
      </c>
      <c r="L841" s="3" t="s">
        <v>2904</v>
      </c>
      <c r="M841" s="6" t="s">
        <v>1898</v>
      </c>
      <c r="N841" s="6"/>
      <c r="O841" s="6"/>
      <c r="P841" s="6"/>
    </row>
    <row r="842" spans="1:16" ht="12.45" x14ac:dyDescent="0.2">
      <c r="A842" s="3" t="s">
        <v>13</v>
      </c>
      <c r="B842" t="s">
        <v>1902</v>
      </c>
      <c r="C842" t="s">
        <v>2944</v>
      </c>
      <c r="D842" t="s">
        <v>16</v>
      </c>
      <c r="E842" t="s">
        <v>1903</v>
      </c>
      <c r="F842" t="s">
        <v>18</v>
      </c>
      <c r="G842" s="3" t="s">
        <v>1904</v>
      </c>
      <c r="H842" s="5">
        <v>415</v>
      </c>
      <c r="I842" s="3" t="s">
        <v>1897</v>
      </c>
      <c r="J842" s="3">
        <v>3</v>
      </c>
      <c r="K842" s="3">
        <v>1</v>
      </c>
      <c r="L842" s="3" t="s">
        <v>2904</v>
      </c>
      <c r="M842" s="6" t="s">
        <v>1895</v>
      </c>
      <c r="N842" s="6"/>
      <c r="O842" s="6"/>
      <c r="P842" s="6"/>
    </row>
    <row r="843" spans="1:16" ht="12.45" x14ac:dyDescent="0.2">
      <c r="A843" s="3" t="s">
        <v>13</v>
      </c>
      <c r="B843" t="s">
        <v>1905</v>
      </c>
      <c r="C843" t="s">
        <v>2939</v>
      </c>
      <c r="D843" t="s">
        <v>16</v>
      </c>
      <c r="E843" t="s">
        <v>17</v>
      </c>
      <c r="F843" t="s">
        <v>18</v>
      </c>
      <c r="G843" s="3" t="s">
        <v>1906</v>
      </c>
      <c r="H843" s="5">
        <v>416</v>
      </c>
      <c r="I843" s="3" t="s">
        <v>1897</v>
      </c>
      <c r="J843" s="3">
        <v>3</v>
      </c>
      <c r="K843" s="3">
        <v>1</v>
      </c>
      <c r="L843" s="3" t="s">
        <v>2904</v>
      </c>
      <c r="M843" s="6"/>
      <c r="N843" s="6"/>
      <c r="O843" s="6"/>
      <c r="P843" s="6"/>
    </row>
    <row r="844" spans="1:16" ht="12.45" x14ac:dyDescent="0.2">
      <c r="A844" s="3" t="s">
        <v>13</v>
      </c>
      <c r="B844" s="3" t="s">
        <v>1907</v>
      </c>
      <c r="C844" s="3" t="s">
        <v>15</v>
      </c>
      <c r="D844" s="3" t="s">
        <v>22</v>
      </c>
      <c r="E844" s="3" t="s">
        <v>23</v>
      </c>
      <c r="F844" s="3" t="s">
        <v>18</v>
      </c>
      <c r="G844" s="3"/>
      <c r="H844" s="5" t="s">
        <v>1908</v>
      </c>
      <c r="I844" s="3" t="s">
        <v>1897</v>
      </c>
      <c r="J844" s="5">
        <v>3</v>
      </c>
      <c r="K844" s="5">
        <v>1</v>
      </c>
      <c r="L844" s="3" t="s">
        <v>2904</v>
      </c>
      <c r="M844" s="6"/>
      <c r="N844" s="6"/>
      <c r="O844" s="6"/>
      <c r="P844" s="6"/>
    </row>
    <row r="845" spans="1:16" ht="12.45" x14ac:dyDescent="0.2">
      <c r="A845" s="3" t="s">
        <v>13</v>
      </c>
      <c r="B845" t="s">
        <v>1909</v>
      </c>
      <c r="C845" t="s">
        <v>2944</v>
      </c>
      <c r="D845" t="s">
        <v>28</v>
      </c>
      <c r="E845" t="s">
        <v>17</v>
      </c>
      <c r="F845" t="s">
        <v>18</v>
      </c>
      <c r="G845" s="3" t="s">
        <v>1910</v>
      </c>
      <c r="H845" s="5">
        <v>416</v>
      </c>
      <c r="I845" s="3" t="s">
        <v>1897</v>
      </c>
      <c r="J845" s="3">
        <v>4</v>
      </c>
      <c r="K845" s="3">
        <v>1</v>
      </c>
      <c r="L845" s="3" t="s">
        <v>2904</v>
      </c>
      <c r="M845" s="6" t="s">
        <v>1895</v>
      </c>
      <c r="N845" s="6"/>
      <c r="O845" s="6"/>
      <c r="P845" s="6"/>
    </row>
    <row r="846" spans="1:16" ht="12.45" x14ac:dyDescent="0.2">
      <c r="A846" s="3" t="s">
        <v>13</v>
      </c>
      <c r="B846" t="s">
        <v>1911</v>
      </c>
      <c r="C846" t="s">
        <v>2946</v>
      </c>
      <c r="D846" t="s">
        <v>22</v>
      </c>
      <c r="E846" t="s">
        <v>29</v>
      </c>
      <c r="F846" t="s">
        <v>18</v>
      </c>
      <c r="G846" s="3" t="s">
        <v>1912</v>
      </c>
      <c r="H846" s="5">
        <v>416</v>
      </c>
      <c r="I846" s="3" t="s">
        <v>1897</v>
      </c>
      <c r="J846" s="3">
        <v>4</v>
      </c>
      <c r="K846" s="3">
        <v>1</v>
      </c>
      <c r="L846" s="3" t="s">
        <v>2904</v>
      </c>
      <c r="M846" s="6" t="s">
        <v>1905</v>
      </c>
      <c r="N846" s="6"/>
      <c r="O846" s="6"/>
      <c r="P846" s="6"/>
    </row>
    <row r="847" spans="1:16" ht="12.45" x14ac:dyDescent="0.2">
      <c r="A847" s="3" t="s">
        <v>13</v>
      </c>
      <c r="B847" s="3" t="s">
        <v>1913</v>
      </c>
      <c r="C847" s="3" t="s">
        <v>34</v>
      </c>
      <c r="D847" s="3" t="s">
        <v>16</v>
      </c>
      <c r="E847" s="3" t="s">
        <v>29</v>
      </c>
      <c r="F847" s="3" t="s">
        <v>18</v>
      </c>
      <c r="G847" s="3"/>
      <c r="H847" s="5" t="s">
        <v>1908</v>
      </c>
      <c r="I847" s="3" t="s">
        <v>1897</v>
      </c>
      <c r="J847" s="5">
        <v>4</v>
      </c>
      <c r="K847" s="5">
        <v>1</v>
      </c>
      <c r="L847" s="3" t="s">
        <v>2904</v>
      </c>
      <c r="M847" s="3" t="s">
        <v>1907</v>
      </c>
      <c r="N847" s="3"/>
      <c r="O847" s="3"/>
      <c r="P847" s="3"/>
    </row>
    <row r="848" spans="1:16" ht="12.45" x14ac:dyDescent="0.2">
      <c r="A848" s="3" t="s">
        <v>13</v>
      </c>
      <c r="B848" s="3" t="s">
        <v>1914</v>
      </c>
      <c r="C848" s="3" t="s">
        <v>77</v>
      </c>
      <c r="D848" s="3" t="s">
        <v>22</v>
      </c>
      <c r="E848" s="3" t="s">
        <v>29</v>
      </c>
      <c r="F848" s="3" t="s">
        <v>18</v>
      </c>
      <c r="G848" s="3"/>
      <c r="H848" s="5" t="s">
        <v>1908</v>
      </c>
      <c r="I848" s="3" t="s">
        <v>1897</v>
      </c>
      <c r="J848" s="5">
        <v>5</v>
      </c>
      <c r="K848" s="5">
        <v>1</v>
      </c>
      <c r="L848" s="3" t="s">
        <v>2904</v>
      </c>
      <c r="M848" s="6" t="s">
        <v>1909</v>
      </c>
      <c r="N848" s="6"/>
      <c r="O848" s="6"/>
      <c r="P848" s="6"/>
    </row>
    <row r="849" spans="1:16" ht="12.45" x14ac:dyDescent="0.2">
      <c r="A849" s="3" t="s">
        <v>13</v>
      </c>
      <c r="B849" t="s">
        <v>1915</v>
      </c>
      <c r="C849" t="s">
        <v>2945</v>
      </c>
      <c r="D849" t="s">
        <v>16</v>
      </c>
      <c r="E849" t="s">
        <v>17</v>
      </c>
      <c r="F849" t="s">
        <v>18</v>
      </c>
      <c r="G849" s="3" t="s">
        <v>1916</v>
      </c>
      <c r="H849" s="5">
        <v>416</v>
      </c>
      <c r="I849" s="3" t="s">
        <v>1897</v>
      </c>
      <c r="J849" s="3">
        <v>4</v>
      </c>
      <c r="K849" s="3">
        <v>2</v>
      </c>
      <c r="L849" s="3" t="s">
        <v>2904</v>
      </c>
      <c r="M849" s="6" t="s">
        <v>1900</v>
      </c>
      <c r="N849" s="6"/>
      <c r="O849" s="6"/>
      <c r="P849" s="6"/>
    </row>
    <row r="850" spans="1:16" ht="12.45" x14ac:dyDescent="0.2">
      <c r="A850" s="3" t="s">
        <v>13</v>
      </c>
      <c r="B850" t="s">
        <v>1917</v>
      </c>
      <c r="C850" t="s">
        <v>2953</v>
      </c>
      <c r="D850" t="s">
        <v>16</v>
      </c>
      <c r="E850" t="s">
        <v>1822</v>
      </c>
      <c r="F850" t="s">
        <v>18</v>
      </c>
      <c r="G850" s="3" t="s">
        <v>1918</v>
      </c>
      <c r="H850" s="5">
        <v>416</v>
      </c>
      <c r="I850" s="3" t="s">
        <v>1897</v>
      </c>
      <c r="J850" s="3">
        <v>4</v>
      </c>
      <c r="K850" s="3">
        <v>2</v>
      </c>
      <c r="L850" s="3" t="s">
        <v>2904</v>
      </c>
      <c r="M850" s="6" t="s">
        <v>1902</v>
      </c>
      <c r="N850" s="6"/>
      <c r="O850" s="6"/>
      <c r="P850" s="6"/>
    </row>
    <row r="851" spans="1:16" ht="12.45" x14ac:dyDescent="0.2">
      <c r="A851" s="3" t="s">
        <v>13</v>
      </c>
      <c r="B851" t="s">
        <v>1919</v>
      </c>
      <c r="C851" t="s">
        <v>2944</v>
      </c>
      <c r="D851" t="s">
        <v>16</v>
      </c>
      <c r="E851" t="s">
        <v>1119</v>
      </c>
      <c r="F851" t="s">
        <v>18</v>
      </c>
      <c r="G851" s="3" t="s">
        <v>1920</v>
      </c>
      <c r="H851" s="5">
        <v>417</v>
      </c>
      <c r="I851" s="3" t="s">
        <v>1897</v>
      </c>
      <c r="J851" s="3">
        <v>4</v>
      </c>
      <c r="K851" s="3">
        <v>2</v>
      </c>
      <c r="L851" s="3" t="s">
        <v>2904</v>
      </c>
      <c r="M851" s="6" t="s">
        <v>1902</v>
      </c>
      <c r="N851" s="6"/>
      <c r="O851" s="6"/>
      <c r="P851" s="6"/>
    </row>
    <row r="852" spans="1:16" ht="12.45" x14ac:dyDescent="0.2">
      <c r="A852" s="3" t="s">
        <v>13</v>
      </c>
      <c r="B852" t="s">
        <v>1921</v>
      </c>
      <c r="C852" t="s">
        <v>2945</v>
      </c>
      <c r="D852" t="s">
        <v>16</v>
      </c>
      <c r="E852" t="s">
        <v>29</v>
      </c>
      <c r="F852" t="s">
        <v>18</v>
      </c>
      <c r="G852" s="3" t="s">
        <v>1922</v>
      </c>
      <c r="H852" s="5">
        <v>417</v>
      </c>
      <c r="I852" s="3" t="s">
        <v>1897</v>
      </c>
      <c r="J852" s="3">
        <v>5</v>
      </c>
      <c r="K852" s="3">
        <v>2</v>
      </c>
      <c r="L852" s="3" t="s">
        <v>2904</v>
      </c>
      <c r="M852" s="3" t="s">
        <v>1919</v>
      </c>
      <c r="N852" s="3"/>
      <c r="O852" s="3"/>
      <c r="P852" s="3"/>
    </row>
    <row r="853" spans="1:16" ht="12.45" x14ac:dyDescent="0.2">
      <c r="A853" s="3" t="s">
        <v>13</v>
      </c>
      <c r="B853" t="s">
        <v>1925</v>
      </c>
      <c r="C853" t="s">
        <v>2952</v>
      </c>
      <c r="D853" t="s">
        <v>22</v>
      </c>
      <c r="E853" t="s">
        <v>23</v>
      </c>
      <c r="F853" t="s">
        <v>18</v>
      </c>
      <c r="G853" s="3" t="s">
        <v>1926</v>
      </c>
      <c r="H853" s="5">
        <v>417</v>
      </c>
      <c r="I853" s="3" t="s">
        <v>1897</v>
      </c>
      <c r="J853" s="3">
        <v>5</v>
      </c>
      <c r="K853" s="3">
        <v>2</v>
      </c>
      <c r="L853" s="3" t="s">
        <v>2904</v>
      </c>
      <c r="M853" s="6" t="s">
        <v>1923</v>
      </c>
      <c r="N853" s="6"/>
      <c r="O853" s="6"/>
      <c r="P853" s="6"/>
    </row>
    <row r="854" spans="1:16" ht="12.45" x14ac:dyDescent="0.2">
      <c r="A854" s="3" t="s">
        <v>13</v>
      </c>
      <c r="B854" t="s">
        <v>1927</v>
      </c>
      <c r="C854" t="s">
        <v>2952</v>
      </c>
      <c r="D854" t="s">
        <v>22</v>
      </c>
      <c r="E854" t="s">
        <v>23</v>
      </c>
      <c r="F854" t="s">
        <v>18</v>
      </c>
      <c r="G854" s="3" t="s">
        <v>1928</v>
      </c>
      <c r="H854" s="5">
        <v>417</v>
      </c>
      <c r="I854" s="3" t="s">
        <v>1897</v>
      </c>
      <c r="J854" s="3">
        <v>5</v>
      </c>
      <c r="K854" s="3">
        <v>2</v>
      </c>
      <c r="L854" s="3" t="s">
        <v>2904</v>
      </c>
      <c r="M854" s="6" t="s">
        <v>1925</v>
      </c>
      <c r="N854" s="6"/>
      <c r="O854" s="6"/>
      <c r="P854" s="6"/>
    </row>
    <row r="855" spans="1:16" ht="12.45" x14ac:dyDescent="0.2">
      <c r="A855" s="3" t="s">
        <v>13</v>
      </c>
      <c r="B855" t="s">
        <v>1929</v>
      </c>
      <c r="C855" t="s">
        <v>2944</v>
      </c>
      <c r="D855" t="s">
        <v>22</v>
      </c>
      <c r="E855" t="s">
        <v>142</v>
      </c>
      <c r="F855" t="s">
        <v>18</v>
      </c>
      <c r="G855" s="3" t="s">
        <v>1930</v>
      </c>
      <c r="H855" s="5">
        <v>417</v>
      </c>
      <c r="I855" s="3" t="s">
        <v>1897</v>
      </c>
      <c r="J855" s="3">
        <v>5</v>
      </c>
      <c r="K855" s="3">
        <v>2</v>
      </c>
      <c r="L855" s="3" t="s">
        <v>2904</v>
      </c>
      <c r="M855" s="6" t="s">
        <v>1902</v>
      </c>
      <c r="N855" s="6"/>
      <c r="O855" s="6"/>
      <c r="P855" s="6"/>
    </row>
    <row r="856" spans="1:16" ht="12.45" x14ac:dyDescent="0.2">
      <c r="A856" s="3" t="s">
        <v>13</v>
      </c>
      <c r="B856" t="s">
        <v>1931</v>
      </c>
      <c r="C856" t="s">
        <v>2951</v>
      </c>
      <c r="D856" t="s">
        <v>28</v>
      </c>
      <c r="E856" t="s">
        <v>1439</v>
      </c>
      <c r="F856" t="s">
        <v>18</v>
      </c>
      <c r="G856" s="3" t="s">
        <v>1932</v>
      </c>
      <c r="H856" s="5">
        <v>417</v>
      </c>
      <c r="I856" s="3" t="s">
        <v>1897</v>
      </c>
      <c r="J856" s="3">
        <v>5</v>
      </c>
      <c r="K856" s="3">
        <v>2</v>
      </c>
      <c r="L856" s="3" t="s">
        <v>2904</v>
      </c>
      <c r="M856" s="6" t="s">
        <v>1911</v>
      </c>
      <c r="N856" s="6"/>
      <c r="O856" s="6"/>
      <c r="P856" s="6"/>
    </row>
    <row r="857" spans="1:16" ht="12.45" x14ac:dyDescent="0.2">
      <c r="A857" s="3" t="s">
        <v>13</v>
      </c>
      <c r="B857" s="3" t="s">
        <v>1933</v>
      </c>
      <c r="C857" s="3" t="s">
        <v>53</v>
      </c>
      <c r="D857" s="3" t="s">
        <v>28</v>
      </c>
      <c r="E857" s="3" t="s">
        <v>29</v>
      </c>
      <c r="F857" s="3" t="s">
        <v>18</v>
      </c>
      <c r="G857" s="3"/>
      <c r="H857" s="5" t="s">
        <v>1908</v>
      </c>
      <c r="I857" s="3" t="s">
        <v>1897</v>
      </c>
      <c r="J857" s="5">
        <v>5</v>
      </c>
      <c r="K857" s="5">
        <v>2</v>
      </c>
      <c r="L857" s="3" t="s">
        <v>2904</v>
      </c>
      <c r="M857" s="6" t="s">
        <v>1913</v>
      </c>
      <c r="N857" s="6"/>
      <c r="O857" s="6"/>
      <c r="P857" s="6"/>
    </row>
    <row r="858" spans="1:16" ht="12.45" x14ac:dyDescent="0.2">
      <c r="A858" s="3" t="s">
        <v>13</v>
      </c>
      <c r="B858" s="3" t="s">
        <v>1934</v>
      </c>
      <c r="C858" s="3" t="s">
        <v>27</v>
      </c>
      <c r="D858" s="3" t="s">
        <v>28</v>
      </c>
      <c r="E858" s="3" t="s">
        <v>29</v>
      </c>
      <c r="F858" s="3" t="s">
        <v>18</v>
      </c>
      <c r="G858" s="3"/>
      <c r="H858" s="5" t="s">
        <v>1935</v>
      </c>
      <c r="I858" s="3" t="s">
        <v>1897</v>
      </c>
      <c r="J858" s="5">
        <v>5</v>
      </c>
      <c r="K858" s="5">
        <v>2</v>
      </c>
      <c r="L858" s="3" t="s">
        <v>2904</v>
      </c>
      <c r="M858" s="6" t="s">
        <v>1913</v>
      </c>
      <c r="N858" s="6"/>
      <c r="O858" s="6"/>
      <c r="P858" s="6"/>
    </row>
    <row r="859" spans="1:16" ht="12.45" x14ac:dyDescent="0.2">
      <c r="A859" s="3" t="s">
        <v>13</v>
      </c>
      <c r="B859" t="s">
        <v>1936</v>
      </c>
      <c r="C859" t="s">
        <v>147</v>
      </c>
      <c r="D859" t="s">
        <v>148</v>
      </c>
      <c r="E859" t="s">
        <v>23</v>
      </c>
      <c r="F859" t="s">
        <v>18</v>
      </c>
      <c r="G859" s="3" t="s">
        <v>1937</v>
      </c>
      <c r="H859" s="5">
        <v>418</v>
      </c>
      <c r="I859" s="3" t="s">
        <v>1897</v>
      </c>
      <c r="J859" s="3">
        <v>5</v>
      </c>
      <c r="K859" s="3">
        <v>3</v>
      </c>
      <c r="L859" s="3" t="s">
        <v>2904</v>
      </c>
      <c r="M859" s="6" t="s">
        <v>1915</v>
      </c>
      <c r="N859" s="6"/>
      <c r="O859" s="6"/>
      <c r="P859" s="6"/>
    </row>
    <row r="860" spans="1:16" ht="12.45" x14ac:dyDescent="0.2">
      <c r="A860" s="3" t="s">
        <v>13</v>
      </c>
      <c r="B860" t="s">
        <v>1938</v>
      </c>
      <c r="C860" t="s">
        <v>2946</v>
      </c>
      <c r="D860" t="s">
        <v>22</v>
      </c>
      <c r="E860" t="s">
        <v>1822</v>
      </c>
      <c r="F860" t="s">
        <v>18</v>
      </c>
      <c r="G860" s="3" t="s">
        <v>1939</v>
      </c>
      <c r="H860" s="5">
        <v>418</v>
      </c>
      <c r="I860" s="3" t="s">
        <v>1897</v>
      </c>
      <c r="J860" s="3">
        <v>5</v>
      </c>
      <c r="K860" s="3">
        <v>3</v>
      </c>
      <c r="L860" s="3" t="s">
        <v>2904</v>
      </c>
      <c r="M860" s="6" t="s">
        <v>1919</v>
      </c>
      <c r="N860" s="6"/>
      <c r="O860" s="6"/>
      <c r="P860" s="6"/>
    </row>
    <row r="861" spans="1:16" ht="12.45" x14ac:dyDescent="0.2">
      <c r="A861" s="3" t="s">
        <v>13</v>
      </c>
      <c r="B861" t="s">
        <v>1940</v>
      </c>
      <c r="C861" t="s">
        <v>2950</v>
      </c>
      <c r="D861" t="s">
        <v>16</v>
      </c>
      <c r="E861" t="s">
        <v>29</v>
      </c>
      <c r="F861" t="s">
        <v>18</v>
      </c>
      <c r="G861" s="3" t="s">
        <v>1941</v>
      </c>
      <c r="H861" s="5">
        <v>418</v>
      </c>
      <c r="I861" s="3" t="s">
        <v>1897</v>
      </c>
      <c r="J861" s="3">
        <v>5</v>
      </c>
      <c r="K861" s="3">
        <v>3</v>
      </c>
      <c r="L861" s="3" t="s">
        <v>2904</v>
      </c>
      <c r="M861" s="6" t="s">
        <v>1919</v>
      </c>
      <c r="N861" s="6"/>
      <c r="O861" s="6"/>
      <c r="P861" s="6"/>
    </row>
    <row r="862" spans="1:16" ht="12.45" x14ac:dyDescent="0.2">
      <c r="A862" s="3" t="s">
        <v>13</v>
      </c>
      <c r="B862" t="s">
        <v>1942</v>
      </c>
      <c r="C862" t="s">
        <v>2949</v>
      </c>
      <c r="D862" t="s">
        <v>28</v>
      </c>
      <c r="E862" t="s">
        <v>303</v>
      </c>
      <c r="F862" t="s">
        <v>18</v>
      </c>
      <c r="G862" s="3" t="s">
        <v>1943</v>
      </c>
      <c r="H862" s="5">
        <v>418</v>
      </c>
      <c r="I862" s="3" t="s">
        <v>1897</v>
      </c>
      <c r="J862" s="3">
        <v>5</v>
      </c>
      <c r="K862" s="3">
        <v>3</v>
      </c>
      <c r="L862" s="3" t="s">
        <v>2904</v>
      </c>
      <c r="M862" s="6" t="s">
        <v>1940</v>
      </c>
      <c r="N862" s="6"/>
      <c r="O862" s="6"/>
      <c r="P862" s="6"/>
    </row>
    <row r="863" spans="1:16" ht="12.45" x14ac:dyDescent="0.2">
      <c r="A863" s="3" t="s">
        <v>13</v>
      </c>
      <c r="B863" t="s">
        <v>1944</v>
      </c>
      <c r="C863" t="s">
        <v>2942</v>
      </c>
      <c r="D863" t="s">
        <v>22</v>
      </c>
      <c r="E863" t="s">
        <v>23</v>
      </c>
      <c r="F863" t="s">
        <v>18</v>
      </c>
      <c r="G863" s="3" t="s">
        <v>1945</v>
      </c>
      <c r="H863" s="5">
        <v>419</v>
      </c>
      <c r="I863" s="3" t="s">
        <v>1897</v>
      </c>
      <c r="J863" s="3">
        <v>5</v>
      </c>
      <c r="K863" s="3">
        <v>3</v>
      </c>
      <c r="L863" s="3" t="s">
        <v>2904</v>
      </c>
      <c r="M863" s="6" t="s">
        <v>1940</v>
      </c>
      <c r="N863" s="6"/>
      <c r="O863" s="6"/>
      <c r="P863" s="6"/>
    </row>
    <row r="864" spans="1:16" ht="12.45" x14ac:dyDescent="0.2">
      <c r="A864" s="3" t="s">
        <v>13</v>
      </c>
      <c r="B864" t="s">
        <v>1946</v>
      </c>
      <c r="C864" t="s">
        <v>2946</v>
      </c>
      <c r="D864" t="s">
        <v>22</v>
      </c>
      <c r="E864" t="s">
        <v>1439</v>
      </c>
      <c r="F864" t="s">
        <v>18</v>
      </c>
      <c r="G864" s="3" t="s">
        <v>1947</v>
      </c>
      <c r="H864" s="5">
        <v>419</v>
      </c>
      <c r="I864" s="3" t="s">
        <v>1897</v>
      </c>
      <c r="J864" s="3">
        <v>5</v>
      </c>
      <c r="K864" s="3">
        <v>3</v>
      </c>
      <c r="L864" s="3" t="s">
        <v>2904</v>
      </c>
      <c r="M864" s="6" t="s">
        <v>1925</v>
      </c>
      <c r="N864" s="6"/>
      <c r="O864" s="6"/>
      <c r="P864" s="6"/>
    </row>
    <row r="865" spans="1:16" ht="12.45" x14ac:dyDescent="0.2">
      <c r="A865" s="3" t="s">
        <v>13</v>
      </c>
      <c r="B865" t="s">
        <v>1948</v>
      </c>
      <c r="C865" t="s">
        <v>2948</v>
      </c>
      <c r="D865" t="s">
        <v>16</v>
      </c>
      <c r="E865" t="s">
        <v>29</v>
      </c>
      <c r="F865" t="s">
        <v>18</v>
      </c>
      <c r="G865" s="3" t="s">
        <v>1949</v>
      </c>
      <c r="H865" s="5">
        <v>419</v>
      </c>
      <c r="I865" s="3" t="s">
        <v>1897</v>
      </c>
      <c r="J865" s="3">
        <v>5</v>
      </c>
      <c r="K865" s="3">
        <v>3</v>
      </c>
      <c r="L865" s="3" t="s">
        <v>2904</v>
      </c>
      <c r="M865" s="6" t="s">
        <v>1929</v>
      </c>
      <c r="N865" s="6"/>
      <c r="O865" s="6"/>
      <c r="P865" s="6"/>
    </row>
    <row r="866" spans="1:16" ht="12.45" x14ac:dyDescent="0.2">
      <c r="A866" s="3" t="s">
        <v>13</v>
      </c>
      <c r="B866" t="s">
        <v>1950</v>
      </c>
      <c r="C866" t="s">
        <v>2947</v>
      </c>
      <c r="D866" t="s">
        <v>28</v>
      </c>
      <c r="E866" t="s">
        <v>29</v>
      </c>
      <c r="F866" t="s">
        <v>18</v>
      </c>
      <c r="G866" s="3" t="s">
        <v>1951</v>
      </c>
      <c r="H866" s="5">
        <v>419</v>
      </c>
      <c r="I866" s="3" t="s">
        <v>1897</v>
      </c>
      <c r="J866" s="3">
        <v>5</v>
      </c>
      <c r="K866" s="3">
        <v>3</v>
      </c>
      <c r="L866" s="3" t="s">
        <v>2904</v>
      </c>
      <c r="M866" s="6" t="s">
        <v>1911</v>
      </c>
      <c r="N866" s="6"/>
      <c r="O866" s="6"/>
      <c r="P866" s="6"/>
    </row>
    <row r="867" spans="1:16" ht="12.45" x14ac:dyDescent="0.2">
      <c r="A867" s="3" t="s">
        <v>13</v>
      </c>
      <c r="B867" s="3" t="s">
        <v>1952</v>
      </c>
      <c r="C867" s="3" t="s">
        <v>1953</v>
      </c>
      <c r="D867" s="3" t="s">
        <v>28</v>
      </c>
      <c r="E867" s="3" t="s">
        <v>29</v>
      </c>
      <c r="F867" s="3" t="s">
        <v>18</v>
      </c>
      <c r="G867" s="3"/>
      <c r="H867" s="5" t="s">
        <v>1935</v>
      </c>
      <c r="I867" s="3" t="s">
        <v>1897</v>
      </c>
      <c r="J867" s="5">
        <v>5</v>
      </c>
      <c r="K867" s="5">
        <v>3</v>
      </c>
      <c r="L867" s="3" t="s">
        <v>2904</v>
      </c>
      <c r="M867" s="6" t="s">
        <v>1954</v>
      </c>
      <c r="N867" s="6"/>
      <c r="O867" s="6"/>
      <c r="P867" s="6"/>
    </row>
    <row r="868" spans="1:16" ht="12.45" x14ac:dyDescent="0.2">
      <c r="A868" s="3" t="s">
        <v>13</v>
      </c>
      <c r="B868" t="s">
        <v>1955</v>
      </c>
      <c r="C868" t="s">
        <v>2946</v>
      </c>
      <c r="D868" t="s">
        <v>28</v>
      </c>
      <c r="E868" t="s">
        <v>23</v>
      </c>
      <c r="F868" t="s">
        <v>18</v>
      </c>
      <c r="G868" s="3" t="s">
        <v>1956</v>
      </c>
      <c r="H868" s="5">
        <v>419</v>
      </c>
      <c r="I868" s="3" t="s">
        <v>1897</v>
      </c>
      <c r="J868" s="3">
        <v>5</v>
      </c>
      <c r="K868" s="3">
        <v>4</v>
      </c>
      <c r="L868" s="3" t="s">
        <v>2904</v>
      </c>
      <c r="M868" s="6" t="s">
        <v>1948</v>
      </c>
      <c r="N868" s="6"/>
      <c r="O868" s="6"/>
      <c r="P868" s="6"/>
    </row>
    <row r="869" spans="1:16" ht="12.45" x14ac:dyDescent="0.2">
      <c r="A869" s="3" t="s">
        <v>13</v>
      </c>
      <c r="B869" t="s">
        <v>1923</v>
      </c>
      <c r="C869" t="s">
        <v>147</v>
      </c>
      <c r="D869" t="s">
        <v>148</v>
      </c>
      <c r="E869" t="s">
        <v>23</v>
      </c>
      <c r="F869" t="s">
        <v>148</v>
      </c>
      <c r="G869" s="3" t="s">
        <v>1924</v>
      </c>
      <c r="H869" s="5">
        <v>417</v>
      </c>
      <c r="I869" s="3" t="s">
        <v>1897</v>
      </c>
      <c r="J869" s="3">
        <v>5</v>
      </c>
      <c r="K869" s="3">
        <v>2</v>
      </c>
      <c r="L869" s="3" t="s">
        <v>2904</v>
      </c>
      <c r="M869" s="6" t="s">
        <v>1919</v>
      </c>
      <c r="N869" s="6"/>
      <c r="O869" s="6"/>
      <c r="P869" s="6"/>
    </row>
    <row r="870" spans="1:16" ht="12.45" x14ac:dyDescent="0.2">
      <c r="A870" s="3" t="s">
        <v>13</v>
      </c>
      <c r="B870" t="s">
        <v>1966</v>
      </c>
      <c r="C870" t="s">
        <v>2940</v>
      </c>
      <c r="D870" t="s">
        <v>28</v>
      </c>
      <c r="E870" t="s">
        <v>23</v>
      </c>
      <c r="F870" t="s">
        <v>182</v>
      </c>
      <c r="G870" s="3" t="s">
        <v>1967</v>
      </c>
      <c r="H870" s="5">
        <v>420</v>
      </c>
      <c r="I870" s="3" t="s">
        <v>1959</v>
      </c>
      <c r="J870" s="3">
        <v>3</v>
      </c>
      <c r="K870" s="3">
        <v>1</v>
      </c>
      <c r="L870" s="3" t="s">
        <v>2903</v>
      </c>
      <c r="M870" s="6" t="s">
        <v>1957</v>
      </c>
      <c r="N870" s="6"/>
      <c r="O870" s="6"/>
      <c r="P870" s="6"/>
    </row>
    <row r="871" spans="1:16" ht="12.45" x14ac:dyDescent="0.2">
      <c r="A871" s="3" t="s">
        <v>13</v>
      </c>
      <c r="B871" t="s">
        <v>1974</v>
      </c>
      <c r="C871" t="s">
        <v>2938</v>
      </c>
      <c r="D871" t="s">
        <v>28</v>
      </c>
      <c r="E871" t="s">
        <v>23</v>
      </c>
      <c r="F871" t="s">
        <v>182</v>
      </c>
      <c r="G871" s="3" t="s">
        <v>1975</v>
      </c>
      <c r="H871" s="5">
        <v>421</v>
      </c>
      <c r="I871" s="3" t="s">
        <v>1959</v>
      </c>
      <c r="J871" s="3">
        <v>4</v>
      </c>
      <c r="K871" s="3">
        <v>2</v>
      </c>
      <c r="L871" s="3" t="s">
        <v>2903</v>
      </c>
      <c r="M871" s="6" t="s">
        <v>1966</v>
      </c>
      <c r="N871" s="6"/>
      <c r="O871" s="6"/>
      <c r="P871" s="6"/>
    </row>
    <row r="872" spans="1:16" ht="12.45" x14ac:dyDescent="0.2">
      <c r="A872" s="3" t="s">
        <v>13</v>
      </c>
      <c r="B872" t="s">
        <v>1957</v>
      </c>
      <c r="C872" t="s">
        <v>2944</v>
      </c>
      <c r="D872" t="s">
        <v>16</v>
      </c>
      <c r="E872" t="s">
        <v>23</v>
      </c>
      <c r="F872" t="s">
        <v>18</v>
      </c>
      <c r="G872" s="3" t="s">
        <v>1958</v>
      </c>
      <c r="H872" s="5">
        <v>420</v>
      </c>
      <c r="I872" s="3" t="s">
        <v>1959</v>
      </c>
      <c r="J872" s="3">
        <v>1</v>
      </c>
      <c r="K872" s="3">
        <v>1</v>
      </c>
      <c r="L872" s="3" t="s">
        <v>2903</v>
      </c>
      <c r="M872" s="3"/>
      <c r="N872" s="3"/>
      <c r="O872" s="3"/>
      <c r="P872" s="3"/>
    </row>
    <row r="873" spans="1:16" ht="12.45" x14ac:dyDescent="0.2">
      <c r="A873" s="3" t="s">
        <v>13</v>
      </c>
      <c r="B873" t="s">
        <v>1960</v>
      </c>
      <c r="C873" t="s">
        <v>2944</v>
      </c>
      <c r="D873" t="s">
        <v>28</v>
      </c>
      <c r="E873" t="s">
        <v>23</v>
      </c>
      <c r="F873" t="s">
        <v>18</v>
      </c>
      <c r="G873" s="3" t="s">
        <v>1961</v>
      </c>
      <c r="H873" s="5">
        <v>420</v>
      </c>
      <c r="I873" s="3" t="s">
        <v>1959</v>
      </c>
      <c r="J873" s="3">
        <v>2</v>
      </c>
      <c r="K873" s="3">
        <v>1</v>
      </c>
      <c r="L873" s="3" t="s">
        <v>2903</v>
      </c>
      <c r="M873" s="6" t="s">
        <v>1957</v>
      </c>
      <c r="N873" s="6"/>
      <c r="O873" s="6"/>
      <c r="P873" s="6"/>
    </row>
    <row r="874" spans="1:16" ht="12.45" x14ac:dyDescent="0.2">
      <c r="A874" s="3" t="s">
        <v>13</v>
      </c>
      <c r="B874" t="s">
        <v>1962</v>
      </c>
      <c r="C874" t="s">
        <v>2945</v>
      </c>
      <c r="D874" t="s">
        <v>16</v>
      </c>
      <c r="E874" t="s">
        <v>23</v>
      </c>
      <c r="F874" t="s">
        <v>18</v>
      </c>
      <c r="G874" s="3" t="s">
        <v>1963</v>
      </c>
      <c r="H874" s="5">
        <v>421</v>
      </c>
      <c r="I874" s="3" t="s">
        <v>1959</v>
      </c>
      <c r="J874" s="3">
        <v>2</v>
      </c>
      <c r="K874" s="3">
        <v>1</v>
      </c>
      <c r="L874" s="3" t="s">
        <v>2903</v>
      </c>
      <c r="M874" s="6" t="s">
        <v>1957</v>
      </c>
      <c r="N874" s="6"/>
      <c r="O874" s="6"/>
      <c r="P874" s="6"/>
    </row>
    <row r="875" spans="1:16" ht="12.45" x14ac:dyDescent="0.2">
      <c r="A875" s="3" t="s">
        <v>13</v>
      </c>
      <c r="B875" t="s">
        <v>1964</v>
      </c>
      <c r="C875" t="s">
        <v>2944</v>
      </c>
      <c r="D875" t="s">
        <v>16</v>
      </c>
      <c r="E875" t="s">
        <v>23</v>
      </c>
      <c r="F875" t="s">
        <v>18</v>
      </c>
      <c r="G875" s="3" t="s">
        <v>1965</v>
      </c>
      <c r="H875" s="5">
        <v>421</v>
      </c>
      <c r="I875" s="3" t="s">
        <v>1959</v>
      </c>
      <c r="J875" s="3">
        <v>2</v>
      </c>
      <c r="K875" s="3">
        <v>1</v>
      </c>
      <c r="L875" s="3" t="s">
        <v>2903</v>
      </c>
      <c r="M875" s="6"/>
      <c r="N875" s="6"/>
      <c r="O875" s="6"/>
      <c r="P875" s="6"/>
    </row>
    <row r="876" spans="1:16" ht="12.45" x14ac:dyDescent="0.2">
      <c r="A876" s="3" t="s">
        <v>13</v>
      </c>
      <c r="B876" t="s">
        <v>1968</v>
      </c>
      <c r="C876" t="s">
        <v>2944</v>
      </c>
      <c r="D876" t="s">
        <v>22</v>
      </c>
      <c r="E876" t="s">
        <v>23</v>
      </c>
      <c r="F876" t="s">
        <v>18</v>
      </c>
      <c r="G876" s="3" t="s">
        <v>1969</v>
      </c>
      <c r="H876" s="5">
        <v>421</v>
      </c>
      <c r="I876" s="3" t="s">
        <v>1959</v>
      </c>
      <c r="J876" s="3">
        <v>3</v>
      </c>
      <c r="K876" s="3">
        <v>1</v>
      </c>
      <c r="L876" s="3" t="s">
        <v>2903</v>
      </c>
      <c r="M876" s="3" t="s">
        <v>1957</v>
      </c>
      <c r="N876" s="3"/>
      <c r="O876" s="3"/>
      <c r="P876" s="3"/>
    </row>
    <row r="877" spans="1:16" ht="12.45" x14ac:dyDescent="0.2">
      <c r="A877" s="3" t="s">
        <v>13</v>
      </c>
      <c r="B877" t="s">
        <v>1972</v>
      </c>
      <c r="C877" t="s">
        <v>2939</v>
      </c>
      <c r="D877" t="s">
        <v>16</v>
      </c>
      <c r="E877" t="s">
        <v>23</v>
      </c>
      <c r="F877" t="s">
        <v>18</v>
      </c>
      <c r="G877" s="3" t="s">
        <v>1973</v>
      </c>
      <c r="H877" s="5">
        <v>422</v>
      </c>
      <c r="I877" s="3" t="s">
        <v>1959</v>
      </c>
      <c r="J877" s="3">
        <v>3</v>
      </c>
      <c r="K877" s="3">
        <v>2</v>
      </c>
      <c r="L877" s="3" t="s">
        <v>2903</v>
      </c>
      <c r="M877" s="6" t="s">
        <v>1962</v>
      </c>
      <c r="N877" s="6"/>
      <c r="O877" s="6"/>
      <c r="P877" s="6"/>
    </row>
    <row r="878" spans="1:16" ht="12.45" x14ac:dyDescent="0.2">
      <c r="A878" s="3" t="s">
        <v>13</v>
      </c>
      <c r="B878" t="s">
        <v>1976</v>
      </c>
      <c r="C878" t="s">
        <v>2943</v>
      </c>
      <c r="D878" t="s">
        <v>22</v>
      </c>
      <c r="E878" t="s">
        <v>23</v>
      </c>
      <c r="F878" t="s">
        <v>18</v>
      </c>
      <c r="G878" s="3" t="s">
        <v>1977</v>
      </c>
      <c r="H878" s="5">
        <v>421</v>
      </c>
      <c r="I878" s="3" t="s">
        <v>1959</v>
      </c>
      <c r="J878" s="3">
        <v>4</v>
      </c>
      <c r="K878" s="3">
        <v>2</v>
      </c>
      <c r="L878" s="3" t="s">
        <v>2903</v>
      </c>
      <c r="M878" s="6" t="s">
        <v>1968</v>
      </c>
      <c r="N878" s="6"/>
      <c r="O878" s="6"/>
      <c r="P878" s="6"/>
    </row>
    <row r="879" spans="1:16" ht="12.45" x14ac:dyDescent="0.2">
      <c r="A879" s="3" t="s">
        <v>13</v>
      </c>
      <c r="B879" t="s">
        <v>1978</v>
      </c>
      <c r="C879" t="s">
        <v>2942</v>
      </c>
      <c r="D879" t="s">
        <v>16</v>
      </c>
      <c r="E879" t="s">
        <v>23</v>
      </c>
      <c r="F879" t="s">
        <v>18</v>
      </c>
      <c r="G879" s="3" t="s">
        <v>1979</v>
      </c>
      <c r="H879" s="5">
        <v>422</v>
      </c>
      <c r="I879" s="3" t="s">
        <v>1959</v>
      </c>
      <c r="J879" s="3">
        <v>4</v>
      </c>
      <c r="K879" s="3">
        <v>2</v>
      </c>
      <c r="L879" s="3" t="s">
        <v>2903</v>
      </c>
      <c r="M879" s="6" t="s">
        <v>1972</v>
      </c>
      <c r="N879" s="6"/>
      <c r="O879" s="6"/>
      <c r="P879" s="6"/>
    </row>
    <row r="880" spans="1:16" ht="12.45" x14ac:dyDescent="0.2">
      <c r="A880" s="3" t="s">
        <v>13</v>
      </c>
      <c r="B880" t="s">
        <v>1980</v>
      </c>
      <c r="C880" t="s">
        <v>2941</v>
      </c>
      <c r="D880" t="s">
        <v>28</v>
      </c>
      <c r="E880" t="s">
        <v>23</v>
      </c>
      <c r="F880" t="s">
        <v>18</v>
      </c>
      <c r="G880" s="3" t="s">
        <v>1981</v>
      </c>
      <c r="H880" s="5">
        <v>422</v>
      </c>
      <c r="I880" s="3" t="s">
        <v>1959</v>
      </c>
      <c r="J880" s="3">
        <v>4</v>
      </c>
      <c r="K880" s="3">
        <v>2</v>
      </c>
      <c r="L880" s="3" t="s">
        <v>2903</v>
      </c>
      <c r="M880" s="6" t="s">
        <v>1964</v>
      </c>
      <c r="N880" s="6"/>
      <c r="O880" s="6"/>
      <c r="P880" s="6"/>
    </row>
    <row r="881" spans="1:16" ht="12.45" x14ac:dyDescent="0.2">
      <c r="A881" s="3" t="s">
        <v>13</v>
      </c>
      <c r="B881" t="s">
        <v>1982</v>
      </c>
      <c r="C881" t="s">
        <v>2940</v>
      </c>
      <c r="D881" t="s">
        <v>22</v>
      </c>
      <c r="E881" t="s">
        <v>23</v>
      </c>
      <c r="F881" t="s">
        <v>18</v>
      </c>
      <c r="G881" s="3" t="s">
        <v>1983</v>
      </c>
      <c r="H881" s="5">
        <v>423</v>
      </c>
      <c r="I881" s="3" t="s">
        <v>1959</v>
      </c>
      <c r="J881" s="3">
        <v>4</v>
      </c>
      <c r="K881" s="3">
        <v>2</v>
      </c>
      <c r="L881" s="3" t="s">
        <v>2903</v>
      </c>
      <c r="M881" s="6" t="s">
        <v>1964</v>
      </c>
      <c r="N881" s="6"/>
      <c r="O881" s="6"/>
      <c r="P881" s="6"/>
    </row>
    <row r="882" spans="1:16" ht="12.45" x14ac:dyDescent="0.2">
      <c r="A882" s="3" t="s">
        <v>13</v>
      </c>
      <c r="B882" t="s">
        <v>1984</v>
      </c>
      <c r="C882" t="s">
        <v>2938</v>
      </c>
      <c r="D882" t="s">
        <v>28</v>
      </c>
      <c r="E882" t="s">
        <v>23</v>
      </c>
      <c r="F882" t="s">
        <v>18</v>
      </c>
      <c r="G882" s="3" t="s">
        <v>1985</v>
      </c>
      <c r="H882" s="5">
        <v>423</v>
      </c>
      <c r="I882" s="3" t="s">
        <v>1959</v>
      </c>
      <c r="J882" s="3">
        <v>5</v>
      </c>
      <c r="K882" s="3">
        <v>3</v>
      </c>
      <c r="L882" s="3" t="s">
        <v>2903</v>
      </c>
      <c r="M882" t="s">
        <v>1976</v>
      </c>
      <c r="N882" s="6"/>
      <c r="O882" s="6"/>
      <c r="P882" s="6"/>
    </row>
    <row r="883" spans="1:16" ht="12.45" x14ac:dyDescent="0.2">
      <c r="A883" s="3" t="s">
        <v>13</v>
      </c>
      <c r="B883" t="s">
        <v>1986</v>
      </c>
      <c r="C883" t="s">
        <v>2938</v>
      </c>
      <c r="D883" t="s">
        <v>22</v>
      </c>
      <c r="E883" t="s">
        <v>23</v>
      </c>
      <c r="F883" t="s">
        <v>18</v>
      </c>
      <c r="G883" s="3" t="s">
        <v>1987</v>
      </c>
      <c r="H883" s="5">
        <v>423</v>
      </c>
      <c r="I883" s="3" t="s">
        <v>1959</v>
      </c>
      <c r="J883" s="3">
        <v>5</v>
      </c>
      <c r="K883" s="3">
        <v>3</v>
      </c>
      <c r="L883" s="3" t="s">
        <v>2903</v>
      </c>
      <c r="M883" s="6" t="s">
        <v>1984</v>
      </c>
      <c r="N883" s="6"/>
      <c r="O883" s="6"/>
      <c r="P883" s="6"/>
    </row>
    <row r="884" spans="1:16" ht="12.45" x14ac:dyDescent="0.2">
      <c r="A884" s="3" t="s">
        <v>13</v>
      </c>
      <c r="B884" t="s">
        <v>1990</v>
      </c>
      <c r="C884" t="s">
        <v>2939</v>
      </c>
      <c r="D884" t="s">
        <v>22</v>
      </c>
      <c r="E884" t="s">
        <v>23</v>
      </c>
      <c r="F884" t="s">
        <v>18</v>
      </c>
      <c r="G884" s="3" t="s">
        <v>1991</v>
      </c>
      <c r="H884" s="5">
        <v>423</v>
      </c>
      <c r="I884" s="3" t="s">
        <v>1959</v>
      </c>
      <c r="J884" s="3">
        <v>5</v>
      </c>
      <c r="K884" s="3">
        <v>3</v>
      </c>
      <c r="L884" s="3" t="s">
        <v>2903</v>
      </c>
      <c r="M884" s="6" t="s">
        <v>1982</v>
      </c>
      <c r="N884" s="6"/>
      <c r="O884" s="6"/>
      <c r="P884" s="6"/>
    </row>
    <row r="885" spans="1:16" ht="12.45" x14ac:dyDescent="0.2">
      <c r="A885" s="3" t="s">
        <v>13</v>
      </c>
      <c r="B885" s="3" t="s">
        <v>1995</v>
      </c>
      <c r="C885" s="3" t="s">
        <v>175</v>
      </c>
      <c r="D885" s="3" t="s">
        <v>22</v>
      </c>
      <c r="E885" s="3" t="s">
        <v>23</v>
      </c>
      <c r="F885" s="3" t="s">
        <v>18</v>
      </c>
      <c r="G885" s="3"/>
      <c r="H885" s="5" t="s">
        <v>1971</v>
      </c>
      <c r="I885" s="3" t="s">
        <v>1959</v>
      </c>
      <c r="J885" s="5">
        <v>5</v>
      </c>
      <c r="K885" s="5">
        <v>4</v>
      </c>
      <c r="L885" s="3" t="s">
        <v>2903</v>
      </c>
      <c r="M885" s="3" t="s">
        <v>1988</v>
      </c>
      <c r="N885" s="3"/>
      <c r="O885" s="3"/>
      <c r="P885" s="3"/>
    </row>
    <row r="886" spans="1:16" ht="12.45" x14ac:dyDescent="0.2">
      <c r="A886" s="3" t="s">
        <v>13</v>
      </c>
      <c r="B886" t="s">
        <v>1988</v>
      </c>
      <c r="C886" t="s">
        <v>147</v>
      </c>
      <c r="D886" t="s">
        <v>148</v>
      </c>
      <c r="E886" t="s">
        <v>23</v>
      </c>
      <c r="F886" t="s">
        <v>148</v>
      </c>
      <c r="G886" s="3" t="s">
        <v>1989</v>
      </c>
      <c r="H886" s="5">
        <v>423</v>
      </c>
      <c r="I886" s="3" t="s">
        <v>1959</v>
      </c>
      <c r="J886" s="3">
        <v>5</v>
      </c>
      <c r="K886" s="3">
        <v>3</v>
      </c>
      <c r="L886" s="3" t="s">
        <v>2903</v>
      </c>
      <c r="M886" s="6" t="s">
        <v>1978</v>
      </c>
      <c r="N886" s="6"/>
      <c r="O886" s="6"/>
      <c r="P886" s="6"/>
    </row>
    <row r="887" spans="1:16" ht="12.45" x14ac:dyDescent="0.2">
      <c r="A887" s="3" t="s">
        <v>13</v>
      </c>
      <c r="B887" s="3" t="s">
        <v>1970</v>
      </c>
      <c r="C887" s="3" t="s">
        <v>175</v>
      </c>
      <c r="D887" s="3" t="s">
        <v>22</v>
      </c>
      <c r="E887" s="3" t="s">
        <v>23</v>
      </c>
      <c r="F887" s="3" t="s">
        <v>44</v>
      </c>
      <c r="G887" s="3"/>
      <c r="H887" s="5" t="s">
        <v>1971</v>
      </c>
      <c r="I887" s="3" t="s">
        <v>1959</v>
      </c>
      <c r="J887" s="5">
        <v>3</v>
      </c>
      <c r="K887" s="5">
        <v>1</v>
      </c>
      <c r="L887" s="3" t="s">
        <v>2903</v>
      </c>
      <c r="M887" s="6" t="s">
        <v>1962</v>
      </c>
      <c r="N887" s="6"/>
      <c r="O887" s="6"/>
      <c r="P887" s="6"/>
    </row>
    <row r="888" spans="1:16" ht="12.45" x14ac:dyDescent="0.2">
      <c r="A888" s="3" t="s">
        <v>13</v>
      </c>
      <c r="B888" t="s">
        <v>1992</v>
      </c>
      <c r="C888" t="s">
        <v>2938</v>
      </c>
      <c r="D888" t="s">
        <v>28</v>
      </c>
      <c r="E888" t="s">
        <v>23</v>
      </c>
      <c r="F888" t="s">
        <v>44</v>
      </c>
      <c r="G888" s="3" t="s">
        <v>1993</v>
      </c>
      <c r="H888" s="5">
        <v>423</v>
      </c>
      <c r="I888" s="3" t="s">
        <v>1959</v>
      </c>
      <c r="J888" s="3">
        <v>5</v>
      </c>
      <c r="K888" s="3">
        <v>3</v>
      </c>
      <c r="L888" s="3" t="s">
        <v>2903</v>
      </c>
      <c r="M888" s="3" t="s">
        <v>1994</v>
      </c>
      <c r="N888" s="3"/>
      <c r="O888" s="3"/>
      <c r="P888" s="3"/>
    </row>
  </sheetData>
  <autoFilter ref="A1:P888" xr:uid="{47D7CADD-6F22-4EBE-9848-A5E2F2DB2D1B}">
    <sortState xmlns:xlrd2="http://schemas.microsoft.com/office/spreadsheetml/2017/richdata2" ref="A148:P363">
      <sortCondition ref="L1:L888"/>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278F7-2F35-4A41-B344-9F3712D4D0D0}">
  <sheetPr filterMode="1">
    <tabColor rgb="FFFF9900"/>
    <outlinePr summaryBelow="0" summaryRight="0"/>
  </sheetPr>
  <dimension ref="A1:V506"/>
  <sheetViews>
    <sheetView tabSelected="1" workbookViewId="0">
      <pane ySplit="1" topLeftCell="A2" activePane="bottomLeft" state="frozen"/>
      <selection pane="bottomLeft" activeCell="C516" sqref="C516"/>
    </sheetView>
  </sheetViews>
  <sheetFormatPr defaultColWidth="12.625" defaultRowHeight="15.05" customHeight="1" outlineLevelCol="1" x14ac:dyDescent="0.2"/>
  <cols>
    <col min="1" max="1" width="7.5" bestFit="1" customWidth="1"/>
    <col min="2" max="2" width="37.5" bestFit="1" customWidth="1"/>
    <col min="3" max="3" width="9.5" bestFit="1" customWidth="1"/>
    <col min="4" max="4" width="14.625" bestFit="1" customWidth="1"/>
    <col min="5" max="5" width="24.5" bestFit="1" customWidth="1"/>
    <col min="6" max="7" width="9.5" customWidth="1"/>
    <col min="8" max="8" width="16.875" customWidth="1" outlineLevel="1"/>
    <col min="9" max="9" width="12.75" customWidth="1" outlineLevel="1"/>
    <col min="10" max="10" width="4.625" customWidth="1" outlineLevel="1"/>
    <col min="11" max="11" width="7.25" customWidth="1" outlineLevel="1"/>
    <col min="12" max="12" width="8.75" customWidth="1" outlineLevel="1"/>
    <col min="13" max="13" width="16.125" customWidth="1"/>
    <col min="14" max="14" width="8.875" customWidth="1"/>
    <col min="15" max="15" width="20.75" customWidth="1"/>
    <col min="16" max="17" width="10.625" bestFit="1" customWidth="1"/>
    <col min="18" max="18" width="6.75" customWidth="1"/>
    <col min="19" max="19" width="30.375" customWidth="1"/>
    <col min="20" max="22" width="12.625" customWidth="1"/>
  </cols>
  <sheetData>
    <row r="1" spans="1:22" ht="13.1" x14ac:dyDescent="0.25">
      <c r="A1" s="1" t="s">
        <v>0</v>
      </c>
      <c r="B1" s="1" t="s">
        <v>1</v>
      </c>
      <c r="C1" s="41" t="s">
        <v>3128</v>
      </c>
      <c r="D1" s="41" t="s">
        <v>3137</v>
      </c>
      <c r="E1" s="41" t="s">
        <v>3145</v>
      </c>
      <c r="F1" s="41" t="s">
        <v>3109</v>
      </c>
      <c r="G1" s="41" t="s">
        <v>3167</v>
      </c>
      <c r="H1" s="41" t="s">
        <v>3132</v>
      </c>
      <c r="I1" s="1" t="s">
        <v>2</v>
      </c>
      <c r="J1" s="1" t="s">
        <v>0</v>
      </c>
      <c r="K1" s="1" t="s">
        <v>3</v>
      </c>
      <c r="L1" s="1" t="s">
        <v>4</v>
      </c>
      <c r="M1" s="1" t="s">
        <v>5</v>
      </c>
      <c r="N1" s="2" t="s">
        <v>6</v>
      </c>
      <c r="O1" s="1" t="s">
        <v>7</v>
      </c>
      <c r="P1" s="1" t="s">
        <v>8</v>
      </c>
      <c r="Q1" s="1" t="s">
        <v>9</v>
      </c>
      <c r="R1" s="1" t="s">
        <v>10</v>
      </c>
      <c r="S1" s="1" t="s">
        <v>11</v>
      </c>
      <c r="T1" s="1" t="s">
        <v>12</v>
      </c>
      <c r="U1" s="1"/>
      <c r="V1" s="1"/>
    </row>
    <row r="2" spans="1:22" ht="12.45" hidden="1" x14ac:dyDescent="0.2">
      <c r="A2" s="3" t="s">
        <v>2138</v>
      </c>
      <c r="B2" t="s">
        <v>2046</v>
      </c>
      <c r="C2" s="24" t="s">
        <v>3136</v>
      </c>
      <c r="D2" s="24" t="s">
        <v>3148</v>
      </c>
      <c r="E2" s="24" t="s">
        <v>3192</v>
      </c>
      <c r="F2" t="str">
        <f>VLOOKUP(O2,pearl!$B:$E,4,0)</f>
        <v>♄</v>
      </c>
      <c r="G2" t="str">
        <f>VLOOKUP(IF(F2="Дом",H2,F2),pearl!$D$28:$F$32,3,0)</f>
        <v>Сатурн</v>
      </c>
      <c r="H2" t="str">
        <f>VLOOKUP(O2,pearl!$B:$E,3,0)</f>
        <v>♄Телега с сеном</v>
      </c>
      <c r="I2" t="s">
        <v>53</v>
      </c>
      <c r="J2" t="s">
        <v>28</v>
      </c>
      <c r="K2" t="s">
        <v>889</v>
      </c>
      <c r="L2" t="s">
        <v>182</v>
      </c>
      <c r="M2" s="24" t="s">
        <v>3194</v>
      </c>
      <c r="N2" t="s">
        <v>2829</v>
      </c>
      <c r="O2" t="s">
        <v>3131</v>
      </c>
      <c r="P2" s="8">
        <v>3</v>
      </c>
      <c r="Q2" s="8">
        <v>1</v>
      </c>
      <c r="R2" s="8">
        <v>0</v>
      </c>
      <c r="S2" t="s">
        <v>23</v>
      </c>
      <c r="T2" s="3"/>
      <c r="U2" s="3"/>
      <c r="V2" s="3"/>
    </row>
    <row r="3" spans="1:22" ht="12.45" hidden="1" x14ac:dyDescent="0.2">
      <c r="A3" s="3" t="s">
        <v>2138</v>
      </c>
      <c r="B3" t="s">
        <v>2813</v>
      </c>
      <c r="C3" s="24" t="s">
        <v>3136</v>
      </c>
      <c r="D3" s="24" t="s">
        <v>3148</v>
      </c>
      <c r="E3" s="24" t="s">
        <v>3156</v>
      </c>
      <c r="F3" t="str">
        <f>VLOOKUP(O3,pearl!$B:$E,4,0)</f>
        <v>♄</v>
      </c>
      <c r="G3" t="str">
        <f>VLOOKUP(IF(F3="Дом",H3,F3),pearl!$D$28:$F$32,3,0)</f>
        <v>Сатурн</v>
      </c>
      <c r="H3" t="str">
        <f>VLOOKUP(O3,pearl!$B:$E,3,0)</f>
        <v>♄Ворон</v>
      </c>
      <c r="I3" t="s">
        <v>154</v>
      </c>
      <c r="J3" t="s">
        <v>28</v>
      </c>
      <c r="K3" t="s">
        <v>142</v>
      </c>
      <c r="L3" t="s">
        <v>182</v>
      </c>
      <c r="N3" t="s">
        <v>2809</v>
      </c>
      <c r="O3" t="s">
        <v>217</v>
      </c>
      <c r="P3" s="8">
        <v>4</v>
      </c>
      <c r="Q3" s="8">
        <v>1</v>
      </c>
      <c r="R3" s="8">
        <v>0</v>
      </c>
      <c r="S3" t="s">
        <v>23</v>
      </c>
      <c r="T3" s="3"/>
      <c r="U3" s="3"/>
      <c r="V3" s="3"/>
    </row>
    <row r="4" spans="1:22" ht="12.45" hidden="1" x14ac:dyDescent="0.2">
      <c r="A4" s="3" t="s">
        <v>2138</v>
      </c>
      <c r="B4" t="s">
        <v>2815</v>
      </c>
      <c r="C4" s="24" t="s">
        <v>3136</v>
      </c>
      <c r="D4" s="24" t="s">
        <v>3148</v>
      </c>
      <c r="E4" s="24" t="s">
        <v>3157</v>
      </c>
      <c r="F4" t="str">
        <f>VLOOKUP(O4,pearl!$B:$E,4,0)</f>
        <v>♄</v>
      </c>
      <c r="G4" t="str">
        <f>VLOOKUP(IF(F4="Дом",H4,F4),pearl!$D$28:$F$32,3,0)</f>
        <v>Сатурн</v>
      </c>
      <c r="H4" t="str">
        <f>VLOOKUP(O4,pearl!$B:$E,3,0)</f>
        <v>♄Ворон</v>
      </c>
      <c r="I4" t="s">
        <v>43</v>
      </c>
      <c r="J4" t="s">
        <v>28</v>
      </c>
      <c r="K4" t="s">
        <v>142</v>
      </c>
      <c r="L4" t="s">
        <v>18</v>
      </c>
      <c r="N4" t="s">
        <v>2816</v>
      </c>
      <c r="O4" t="s">
        <v>217</v>
      </c>
      <c r="P4" s="8">
        <v>4</v>
      </c>
      <c r="Q4" s="8">
        <v>2</v>
      </c>
      <c r="R4" s="8">
        <v>0</v>
      </c>
      <c r="S4" t="s">
        <v>2813</v>
      </c>
      <c r="T4" s="3"/>
      <c r="U4" s="3"/>
      <c r="V4" s="3"/>
    </row>
    <row r="5" spans="1:22" ht="12.45" hidden="1" x14ac:dyDescent="0.2">
      <c r="A5" s="3" t="s">
        <v>2138</v>
      </c>
      <c r="B5" t="s">
        <v>2005</v>
      </c>
      <c r="C5" s="24" t="s">
        <v>3136</v>
      </c>
      <c r="D5" s="24" t="s">
        <v>3148</v>
      </c>
      <c r="E5" s="24" t="s">
        <v>3154</v>
      </c>
      <c r="F5" t="str">
        <f>VLOOKUP(O5,pearl!$B:$E,4,0)</f>
        <v>♄</v>
      </c>
      <c r="G5" t="str">
        <f>VLOOKUP(IF(F5="Дом",H5,F5),pearl!$D$28:$F$32,3,0)</f>
        <v>Сатурн</v>
      </c>
      <c r="H5" t="str">
        <f>VLOOKUP(O5,pearl!$B:$E,3,0)</f>
        <v>♄Ворон</v>
      </c>
      <c r="I5" t="s">
        <v>2112</v>
      </c>
      <c r="J5" t="s">
        <v>148</v>
      </c>
      <c r="K5" t="s">
        <v>2805</v>
      </c>
      <c r="L5" t="s">
        <v>148</v>
      </c>
      <c r="N5" t="s">
        <v>2806</v>
      </c>
      <c r="O5" t="s">
        <v>217</v>
      </c>
      <c r="P5" s="8">
        <v>3</v>
      </c>
      <c r="Q5" s="8">
        <v>1</v>
      </c>
      <c r="R5" s="8">
        <v>0</v>
      </c>
      <c r="S5" t="s">
        <v>2004</v>
      </c>
      <c r="T5" s="3"/>
      <c r="U5" s="3"/>
      <c r="V5" s="3"/>
    </row>
    <row r="6" spans="1:22" ht="12.45" hidden="1" x14ac:dyDescent="0.2">
      <c r="A6" s="3" t="s">
        <v>2138</v>
      </c>
      <c r="B6" t="s">
        <v>2808</v>
      </c>
      <c r="C6" s="24" t="s">
        <v>3136</v>
      </c>
      <c r="D6" s="24" t="s">
        <v>3148</v>
      </c>
      <c r="E6" s="24" t="s">
        <v>3154</v>
      </c>
      <c r="F6" t="str">
        <f>VLOOKUP(O6,pearl!$B:$E,4,0)</f>
        <v>♄</v>
      </c>
      <c r="G6" t="str">
        <f>VLOOKUP(IF(F6="Дом",H6,F6),pearl!$D$28:$F$32,3,0)</f>
        <v>Сатурн</v>
      </c>
      <c r="H6" t="str">
        <f>VLOOKUP(O6,pearl!$B:$E,3,0)</f>
        <v>♄Ворон</v>
      </c>
      <c r="I6" t="s">
        <v>154</v>
      </c>
      <c r="J6" t="s">
        <v>22</v>
      </c>
      <c r="K6" t="s">
        <v>23</v>
      </c>
      <c r="L6" t="s">
        <v>18</v>
      </c>
      <c r="N6" t="s">
        <v>2806</v>
      </c>
      <c r="O6" t="s">
        <v>217</v>
      </c>
      <c r="P6" s="8">
        <v>3</v>
      </c>
      <c r="Q6" s="8">
        <v>1</v>
      </c>
      <c r="R6" s="8">
        <v>0</v>
      </c>
      <c r="S6" t="s">
        <v>2004</v>
      </c>
      <c r="T6" s="3"/>
      <c r="U6" s="3"/>
      <c r="V6" s="3"/>
    </row>
    <row r="7" spans="1:22" ht="12.45" hidden="1" x14ac:dyDescent="0.2">
      <c r="A7" s="3" t="s">
        <v>2138</v>
      </c>
      <c r="B7" t="s">
        <v>2004</v>
      </c>
      <c r="C7" s="24" t="s">
        <v>3136</v>
      </c>
      <c r="D7" s="24" t="s">
        <v>3148</v>
      </c>
      <c r="E7" s="24" t="s">
        <v>3154</v>
      </c>
      <c r="F7" t="str">
        <f>VLOOKUP(O7,pearl!$B:$E,4,0)</f>
        <v>♄</v>
      </c>
      <c r="G7" t="str">
        <f>VLOOKUP(IF(F7="Дом",H7,F7),pearl!$D$28:$F$32,3,0)</f>
        <v>Сатурн</v>
      </c>
      <c r="H7" t="str">
        <f>VLOOKUP(O7,pearl!$B:$E,3,0)</f>
        <v>♄Ворон</v>
      </c>
      <c r="I7" t="s">
        <v>147</v>
      </c>
      <c r="J7" t="s">
        <v>148</v>
      </c>
      <c r="K7" t="s">
        <v>2219</v>
      </c>
      <c r="L7" t="s">
        <v>148</v>
      </c>
      <c r="N7" t="s">
        <v>2803</v>
      </c>
      <c r="O7" t="s">
        <v>217</v>
      </c>
      <c r="P7" s="8">
        <v>1</v>
      </c>
      <c r="Q7" s="8">
        <v>1</v>
      </c>
      <c r="R7" s="8">
        <v>0</v>
      </c>
      <c r="S7" t="s">
        <v>23</v>
      </c>
      <c r="T7" s="3"/>
      <c r="U7" s="3"/>
      <c r="V7" s="3"/>
    </row>
    <row r="8" spans="1:22" ht="12.45" hidden="1" x14ac:dyDescent="0.2">
      <c r="A8" s="3" t="s">
        <v>2138</v>
      </c>
      <c r="B8" t="s">
        <v>2466</v>
      </c>
      <c r="C8" s="24" t="s">
        <v>3135</v>
      </c>
      <c r="D8" s="24" t="s">
        <v>3148</v>
      </c>
      <c r="E8" s="24" t="s">
        <v>3164</v>
      </c>
      <c r="F8" t="str">
        <f>VLOOKUP(O8,pearl!$B:$E,4,0)</f>
        <v>Дом</v>
      </c>
      <c r="G8" t="str">
        <f>VLOOKUP(IF(F8="Дом",H8,F8),pearl!$D$28:$F$32,3,0)</f>
        <v>Марс</v>
      </c>
      <c r="H8" t="str">
        <f>VLOOKUP(O8,pearl!$B:$E,3,0)</f>
        <v>♂</v>
      </c>
      <c r="I8" t="s">
        <v>147</v>
      </c>
      <c r="J8" t="s">
        <v>148</v>
      </c>
      <c r="K8" t="s">
        <v>23</v>
      </c>
      <c r="L8" t="s">
        <v>148</v>
      </c>
      <c r="N8" t="s">
        <v>2463</v>
      </c>
      <c r="O8" s="3" t="s">
        <v>2454</v>
      </c>
      <c r="P8" s="8">
        <v>2</v>
      </c>
      <c r="Q8" s="8">
        <v>1</v>
      </c>
      <c r="R8" s="8">
        <v>0</v>
      </c>
      <c r="S8" t="s">
        <v>2455</v>
      </c>
      <c r="T8" s="3"/>
      <c r="U8" s="3"/>
      <c r="V8" s="3"/>
    </row>
    <row r="9" spans="1:22" ht="12.45" x14ac:dyDescent="0.2">
      <c r="A9" s="3" t="s">
        <v>2138</v>
      </c>
      <c r="B9" t="s">
        <v>2380</v>
      </c>
      <c r="C9" s="24" t="s">
        <v>3135</v>
      </c>
      <c r="D9" s="45" t="s">
        <v>3148</v>
      </c>
      <c r="E9" s="24" t="s">
        <v>3187</v>
      </c>
      <c r="F9" t="str">
        <f>VLOOKUP(O9,pearl!$B:$E,4,0)</f>
        <v>♄</v>
      </c>
      <c r="G9" t="str">
        <f>VLOOKUP(IF(F9="Дом",H9,F9),pearl!$D$28:$F$32,3,0)</f>
        <v>Сатурн</v>
      </c>
      <c r="H9" t="str">
        <f>VLOOKUP(O9,pearl!$B:$E,3,0)</f>
        <v>♄Меч</v>
      </c>
      <c r="I9" t="s">
        <v>175</v>
      </c>
      <c r="J9" t="s">
        <v>22</v>
      </c>
      <c r="K9" t="s">
        <v>142</v>
      </c>
      <c r="L9" t="s">
        <v>18</v>
      </c>
      <c r="M9" s="24" t="s">
        <v>3193</v>
      </c>
      <c r="N9" t="s">
        <v>2860</v>
      </c>
      <c r="O9" t="s">
        <v>653</v>
      </c>
      <c r="P9" s="8">
        <v>2</v>
      </c>
      <c r="Q9" s="8">
        <v>1</v>
      </c>
      <c r="R9" s="8">
        <v>0</v>
      </c>
      <c r="S9" t="s">
        <v>23</v>
      </c>
      <c r="T9" s="3"/>
      <c r="U9" s="3"/>
      <c r="V9" s="3"/>
    </row>
    <row r="10" spans="1:22" ht="12.45" hidden="1" x14ac:dyDescent="0.2">
      <c r="A10" s="3" t="s">
        <v>2138</v>
      </c>
      <c r="B10" t="s">
        <v>2273</v>
      </c>
      <c r="C10" s="24" t="s">
        <v>3135</v>
      </c>
      <c r="D10" s="24" t="s">
        <v>3148</v>
      </c>
      <c r="E10" s="24" t="s">
        <v>3165</v>
      </c>
      <c r="F10" t="str">
        <f>VLOOKUP(O10,pearl!$B:$E,4,0)</f>
        <v>☿</v>
      </c>
      <c r="G10" t="str">
        <f>VLOOKUP(IF(F10="Дом",H10,F10),pearl!$D$28:$F$32,3,0)</f>
        <v>Меркурий</v>
      </c>
      <c r="H10" t="str">
        <f>VLOOKUP(O10,pearl!$B:$E,3,0)</f>
        <v>☿Чайка</v>
      </c>
      <c r="I10" t="s">
        <v>34</v>
      </c>
      <c r="J10" t="s">
        <v>16</v>
      </c>
      <c r="K10" t="s">
        <v>2274</v>
      </c>
      <c r="L10" t="s">
        <v>18</v>
      </c>
      <c r="N10" t="s">
        <v>2266</v>
      </c>
      <c r="O10" t="s">
        <v>1897</v>
      </c>
      <c r="P10" s="8">
        <v>3</v>
      </c>
      <c r="Q10" s="8">
        <v>1</v>
      </c>
      <c r="R10" s="8">
        <v>0</v>
      </c>
      <c r="S10" t="s">
        <v>23</v>
      </c>
      <c r="T10" s="3"/>
      <c r="U10" s="3"/>
      <c r="V10" s="3"/>
    </row>
    <row r="11" spans="1:22" ht="12.45" hidden="1" x14ac:dyDescent="0.2">
      <c r="A11" s="3" t="s">
        <v>2138</v>
      </c>
      <c r="B11" t="s">
        <v>2866</v>
      </c>
      <c r="C11" s="24" t="s">
        <v>3135</v>
      </c>
      <c r="D11" s="45" t="s">
        <v>3148</v>
      </c>
      <c r="E11" s="24" t="s">
        <v>3192</v>
      </c>
      <c r="F11" t="str">
        <f>VLOOKUP(O11,pearl!$B:$E,4,0)</f>
        <v>♄</v>
      </c>
      <c r="G11" t="str">
        <f>VLOOKUP(IF(F11="Дом",H11,F11),pearl!$D$28:$F$32,3,0)</f>
        <v>Сатурн</v>
      </c>
      <c r="H11" t="str">
        <f>VLOOKUP(O11,pearl!$B:$E,3,0)</f>
        <v>♄Меч</v>
      </c>
      <c r="I11" t="s">
        <v>175</v>
      </c>
      <c r="J11" t="s">
        <v>22</v>
      </c>
      <c r="K11" t="s">
        <v>23</v>
      </c>
      <c r="L11" t="s">
        <v>18</v>
      </c>
      <c r="M11" s="24" t="s">
        <v>3191</v>
      </c>
      <c r="N11" t="s">
        <v>2867</v>
      </c>
      <c r="O11" t="s">
        <v>653</v>
      </c>
      <c r="P11" s="8">
        <v>5</v>
      </c>
      <c r="Q11" s="8">
        <v>3</v>
      </c>
      <c r="R11" s="8">
        <v>0</v>
      </c>
      <c r="S11" t="s">
        <v>2859</v>
      </c>
      <c r="T11" s="3"/>
      <c r="U11" s="3"/>
      <c r="V11" s="3"/>
    </row>
    <row r="12" spans="1:22" ht="12.45" hidden="1" x14ac:dyDescent="0.2">
      <c r="A12" s="3" t="s">
        <v>2138</v>
      </c>
      <c r="B12" t="s">
        <v>2811</v>
      </c>
      <c r="C12" s="24" t="s">
        <v>3135</v>
      </c>
      <c r="D12" s="24" t="s">
        <v>3148</v>
      </c>
      <c r="E12" s="24" t="s">
        <v>3158</v>
      </c>
      <c r="F12" t="str">
        <f>VLOOKUP(O12,pearl!$B:$E,4,0)</f>
        <v>♄</v>
      </c>
      <c r="G12" t="str">
        <f>VLOOKUP(IF(F12="Дом",H12,F12),pearl!$D$28:$F$32,3,0)</f>
        <v>Сатурн</v>
      </c>
      <c r="H12" t="str">
        <f>VLOOKUP(O12,pearl!$B:$E,3,0)</f>
        <v>♄Ворон</v>
      </c>
      <c r="I12" t="s">
        <v>2812</v>
      </c>
      <c r="J12" t="s">
        <v>28</v>
      </c>
      <c r="K12" t="s">
        <v>430</v>
      </c>
      <c r="L12" t="s">
        <v>2106</v>
      </c>
      <c r="N12" t="s">
        <v>2809</v>
      </c>
      <c r="O12" t="s">
        <v>217</v>
      </c>
      <c r="P12" s="8">
        <v>5</v>
      </c>
      <c r="Q12" s="8">
        <v>3</v>
      </c>
      <c r="R12" s="8">
        <v>0</v>
      </c>
      <c r="S12" t="s">
        <v>2810</v>
      </c>
      <c r="T12" s="3"/>
      <c r="U12" s="3"/>
      <c r="V12" s="3"/>
    </row>
    <row r="13" spans="1:22" ht="12.45" hidden="1" x14ac:dyDescent="0.2">
      <c r="A13" s="3" t="s">
        <v>2138</v>
      </c>
      <c r="B13" t="s">
        <v>2817</v>
      </c>
      <c r="C13" s="24" t="s">
        <v>3135</v>
      </c>
      <c r="D13" s="24" t="s">
        <v>3148</v>
      </c>
      <c r="E13" s="24" t="s">
        <v>3156</v>
      </c>
      <c r="F13" t="str">
        <f>VLOOKUP(O13,pearl!$B:$E,4,0)</f>
        <v>♄</v>
      </c>
      <c r="G13" t="str">
        <f>VLOOKUP(IF(F13="Дом",H13,F13),pearl!$D$28:$F$32,3,0)</f>
        <v>Сатурн</v>
      </c>
      <c r="H13" t="str">
        <f>VLOOKUP(O13,pearl!$B:$E,3,0)</f>
        <v>♄Ворон</v>
      </c>
      <c r="I13" t="s">
        <v>43</v>
      </c>
      <c r="J13" t="s">
        <v>28</v>
      </c>
      <c r="K13" t="s">
        <v>23</v>
      </c>
      <c r="L13" t="s">
        <v>2133</v>
      </c>
      <c r="N13" t="s">
        <v>2816</v>
      </c>
      <c r="O13" t="s">
        <v>217</v>
      </c>
      <c r="P13" s="8">
        <v>5</v>
      </c>
      <c r="Q13" s="8">
        <v>2</v>
      </c>
      <c r="R13" s="8">
        <v>0</v>
      </c>
      <c r="S13" t="s">
        <v>2818</v>
      </c>
      <c r="T13" s="3"/>
      <c r="U13" s="3"/>
      <c r="V13" s="3"/>
    </row>
    <row r="14" spans="1:22" ht="12.45" hidden="1" x14ac:dyDescent="0.2">
      <c r="A14" s="3" t="s">
        <v>2138</v>
      </c>
      <c r="B14" t="s">
        <v>2820</v>
      </c>
      <c r="C14" s="24" t="s">
        <v>3135</v>
      </c>
      <c r="D14" s="24" t="s">
        <v>3148</v>
      </c>
      <c r="E14" s="24" t="s">
        <v>3157</v>
      </c>
      <c r="F14" t="str">
        <f>VLOOKUP(O14,pearl!$B:$E,4,0)</f>
        <v>♄</v>
      </c>
      <c r="G14" t="str">
        <f>VLOOKUP(IF(F14="Дом",H14,F14),pearl!$D$28:$F$32,3,0)</f>
        <v>Сатурн</v>
      </c>
      <c r="H14" t="str">
        <f>VLOOKUP(O14,pearl!$B:$E,3,0)</f>
        <v>♄Ворон</v>
      </c>
      <c r="I14" t="s">
        <v>178</v>
      </c>
      <c r="J14" t="s">
        <v>28</v>
      </c>
      <c r="K14" t="s">
        <v>2652</v>
      </c>
      <c r="L14" t="s">
        <v>18</v>
      </c>
      <c r="N14" t="s">
        <v>2816</v>
      </c>
      <c r="O14" t="s">
        <v>217</v>
      </c>
      <c r="P14" s="8">
        <v>5</v>
      </c>
      <c r="Q14" s="8">
        <v>3</v>
      </c>
      <c r="R14" s="8">
        <v>0</v>
      </c>
      <c r="S14" t="s">
        <v>2821</v>
      </c>
      <c r="T14" s="3"/>
      <c r="U14" s="3"/>
      <c r="V14" s="3"/>
    </row>
    <row r="15" spans="1:22" ht="12.45" hidden="1" x14ac:dyDescent="0.2">
      <c r="A15" s="3" t="s">
        <v>2138</v>
      </c>
      <c r="B15" t="s">
        <v>2853</v>
      </c>
      <c r="C15" s="24" t="s">
        <v>3135</v>
      </c>
      <c r="D15" s="24" t="s">
        <v>3151</v>
      </c>
      <c r="E15" s="24" t="s">
        <v>3149</v>
      </c>
      <c r="F15" t="str">
        <f>VLOOKUP(O15,pearl!$B:$E,4,0)</f>
        <v>♄</v>
      </c>
      <c r="G15" t="str">
        <f>VLOOKUP(IF(F15="Дом",H15,F15),pearl!$D$28:$F$32,3,0)</f>
        <v>Сатурн</v>
      </c>
      <c r="H15" t="str">
        <f>VLOOKUP(O15,pearl!$B:$E,3,0)</f>
        <v>♄Меч</v>
      </c>
      <c r="I15" t="s">
        <v>40</v>
      </c>
      <c r="J15" t="s">
        <v>22</v>
      </c>
      <c r="K15" t="s">
        <v>23</v>
      </c>
      <c r="L15" t="s">
        <v>182</v>
      </c>
      <c r="M15" s="24" t="s">
        <v>3195</v>
      </c>
      <c r="N15" t="s">
        <v>2854</v>
      </c>
      <c r="O15" t="s">
        <v>653</v>
      </c>
      <c r="P15" s="8">
        <v>4</v>
      </c>
      <c r="Q15" s="8">
        <v>1</v>
      </c>
      <c r="R15" s="8">
        <v>0</v>
      </c>
      <c r="S15" t="s">
        <v>2855</v>
      </c>
      <c r="T15" s="3"/>
      <c r="U15" s="3"/>
      <c r="V15" s="3"/>
    </row>
    <row r="16" spans="1:22" ht="12.45" x14ac:dyDescent="0.2">
      <c r="A16" s="3" t="s">
        <v>2138</v>
      </c>
      <c r="B16" t="s">
        <v>2146</v>
      </c>
      <c r="C16" s="24" t="s">
        <v>3136</v>
      </c>
      <c r="D16" s="24" t="s">
        <v>3151</v>
      </c>
      <c r="E16" s="24" t="s">
        <v>3164</v>
      </c>
      <c r="F16" t="str">
        <f>VLOOKUP(O16,pearl!$B:$E,4,0)</f>
        <v>Дом</v>
      </c>
      <c r="G16" t="str">
        <f>VLOOKUP(IF(F16="Дом",H16,F16),pearl!$D$28:$F$32,3,0)</f>
        <v>Меркурий</v>
      </c>
      <c r="H16" t="str">
        <f>VLOOKUP(O16,pearl!$B:$E,3,0)</f>
        <v>☿</v>
      </c>
      <c r="I16" t="s">
        <v>34</v>
      </c>
      <c r="J16" t="s">
        <v>22</v>
      </c>
      <c r="K16" t="s">
        <v>142</v>
      </c>
      <c r="L16" t="s">
        <v>2106</v>
      </c>
      <c r="N16" t="s">
        <v>2145</v>
      </c>
      <c r="O16" t="s">
        <v>2142</v>
      </c>
      <c r="P16" s="8">
        <v>2</v>
      </c>
      <c r="Q16" s="8">
        <v>1</v>
      </c>
      <c r="R16" s="8">
        <v>0</v>
      </c>
      <c r="S16" t="s">
        <v>2147</v>
      </c>
      <c r="T16" s="3"/>
      <c r="U16" s="3"/>
      <c r="V16" s="3"/>
    </row>
    <row r="17" spans="1:22" ht="12.45" hidden="1" x14ac:dyDescent="0.2">
      <c r="A17" s="3" t="s">
        <v>2138</v>
      </c>
      <c r="B17" t="s">
        <v>2852</v>
      </c>
      <c r="C17" s="24" t="s">
        <v>3135</v>
      </c>
      <c r="D17" s="24" t="s">
        <v>3151</v>
      </c>
      <c r="E17" s="24" t="s">
        <v>3149</v>
      </c>
      <c r="F17" t="str">
        <f>VLOOKUP(O17,pearl!$B:$E,4,0)</f>
        <v>♄</v>
      </c>
      <c r="G17" t="str">
        <f>VLOOKUP(IF(F17="Дом",H17,F17),pearl!$D$28:$F$32,3,0)</f>
        <v>Сатурн</v>
      </c>
      <c r="H17" t="str">
        <f>VLOOKUP(O17,pearl!$B:$E,3,0)</f>
        <v>♄Меч</v>
      </c>
      <c r="I17" t="s">
        <v>147</v>
      </c>
      <c r="J17" t="s">
        <v>148</v>
      </c>
      <c r="K17" t="s">
        <v>23</v>
      </c>
      <c r="L17" t="s">
        <v>148</v>
      </c>
      <c r="M17" s="24" t="s">
        <v>3195</v>
      </c>
      <c r="N17" t="s">
        <v>2850</v>
      </c>
      <c r="O17" t="s">
        <v>653</v>
      </c>
      <c r="P17" s="8">
        <v>1</v>
      </c>
      <c r="Q17" s="8">
        <v>1</v>
      </c>
      <c r="R17" s="8">
        <v>0</v>
      </c>
      <c r="S17" t="s">
        <v>23</v>
      </c>
      <c r="T17" s="3"/>
      <c r="U17" s="3"/>
      <c r="V17" s="3"/>
    </row>
    <row r="18" spans="1:22" ht="12.45" hidden="1" x14ac:dyDescent="0.2">
      <c r="A18" s="3" t="s">
        <v>2138</v>
      </c>
      <c r="B18" t="s">
        <v>2267</v>
      </c>
      <c r="C18" s="24" t="s">
        <v>3136</v>
      </c>
      <c r="D18" s="24" t="s">
        <v>3151</v>
      </c>
      <c r="E18" s="24" t="s">
        <v>3166</v>
      </c>
      <c r="F18" t="str">
        <f>VLOOKUP(O18,pearl!$B:$E,4,0)</f>
        <v>☿</v>
      </c>
      <c r="G18" t="str">
        <f>VLOOKUP(IF(F18="Дом",H18,F18),pearl!$D$28:$F$32,3,0)</f>
        <v>Меркурий</v>
      </c>
      <c r="H18" t="str">
        <f>VLOOKUP(O18,pearl!$B:$E,3,0)</f>
        <v>☿Чайка</v>
      </c>
      <c r="I18" t="s">
        <v>175</v>
      </c>
      <c r="J18" t="s">
        <v>16</v>
      </c>
      <c r="K18" t="s">
        <v>2268</v>
      </c>
      <c r="L18" t="s">
        <v>18</v>
      </c>
      <c r="N18" t="s">
        <v>2266</v>
      </c>
      <c r="O18" t="s">
        <v>1897</v>
      </c>
      <c r="P18" s="8">
        <v>3</v>
      </c>
      <c r="Q18" s="8">
        <v>1</v>
      </c>
      <c r="R18" s="8">
        <v>0</v>
      </c>
      <c r="S18" t="s">
        <v>23</v>
      </c>
      <c r="T18" s="3"/>
      <c r="U18" s="3"/>
      <c r="V18" s="3"/>
    </row>
    <row r="19" spans="1:22" ht="12.45" hidden="1" x14ac:dyDescent="0.2">
      <c r="A19" s="3" t="s">
        <v>2138</v>
      </c>
      <c r="B19" t="s">
        <v>2269</v>
      </c>
      <c r="C19" s="24" t="s">
        <v>3136</v>
      </c>
      <c r="D19" s="24" t="s">
        <v>3151</v>
      </c>
      <c r="E19" s="24" t="s">
        <v>3166</v>
      </c>
      <c r="F19" t="str">
        <f>VLOOKUP(O19,pearl!$B:$E,4,0)</f>
        <v>☿</v>
      </c>
      <c r="G19" t="str">
        <f>VLOOKUP(IF(F19="Дом",H19,F19),pearl!$D$28:$F$32,3,0)</f>
        <v>Меркурий</v>
      </c>
      <c r="H19" t="str">
        <f>VLOOKUP(O19,pearl!$B:$E,3,0)</f>
        <v>☿Чайка</v>
      </c>
      <c r="I19" t="s">
        <v>2270</v>
      </c>
      <c r="J19" t="s">
        <v>22</v>
      </c>
      <c r="K19" t="s">
        <v>23</v>
      </c>
      <c r="L19" t="s">
        <v>18</v>
      </c>
      <c r="N19" t="s">
        <v>2266</v>
      </c>
      <c r="O19" t="s">
        <v>1897</v>
      </c>
      <c r="P19" s="8">
        <v>3</v>
      </c>
      <c r="Q19" s="8">
        <v>1</v>
      </c>
      <c r="R19" s="8">
        <v>0</v>
      </c>
      <c r="S19" t="s">
        <v>2267</v>
      </c>
      <c r="T19" s="3"/>
      <c r="U19" s="3"/>
      <c r="V19" s="3"/>
    </row>
    <row r="20" spans="1:22" ht="12.45" hidden="1" x14ac:dyDescent="0.2">
      <c r="A20" s="3" t="s">
        <v>2138</v>
      </c>
      <c r="B20" t="s">
        <v>2148</v>
      </c>
      <c r="C20" s="24" t="s">
        <v>3136</v>
      </c>
      <c r="D20" s="24" t="s">
        <v>3151</v>
      </c>
      <c r="E20" s="24" t="s">
        <v>3199</v>
      </c>
      <c r="F20" t="str">
        <f>VLOOKUP(O20,pearl!$B:$E,4,0)</f>
        <v>Дом</v>
      </c>
      <c r="G20" t="str">
        <f>VLOOKUP(IF(F20="Дом",H20,F20),pearl!$D$28:$F$32,3,0)</f>
        <v>Меркурий</v>
      </c>
      <c r="H20" t="str">
        <f>VLOOKUP(O20,pearl!$B:$E,3,0)</f>
        <v>☿</v>
      </c>
      <c r="I20" t="s">
        <v>175</v>
      </c>
      <c r="J20" t="s">
        <v>16</v>
      </c>
      <c r="K20" t="s">
        <v>142</v>
      </c>
      <c r="L20" t="s">
        <v>18</v>
      </c>
      <c r="N20" t="s">
        <v>2145</v>
      </c>
      <c r="O20" t="s">
        <v>2142</v>
      </c>
      <c r="P20" s="8">
        <v>3</v>
      </c>
      <c r="Q20" s="8">
        <v>1</v>
      </c>
      <c r="R20" s="8">
        <v>0</v>
      </c>
      <c r="S20" t="s">
        <v>2146</v>
      </c>
      <c r="T20" s="3"/>
      <c r="U20" s="3"/>
      <c r="V20" s="3"/>
    </row>
    <row r="21" spans="1:22" ht="12.45" hidden="1" x14ac:dyDescent="0.2">
      <c r="A21" s="3" t="s">
        <v>2138</v>
      </c>
      <c r="B21" t="s">
        <v>2000</v>
      </c>
      <c r="C21" s="24" t="s">
        <v>3136</v>
      </c>
      <c r="D21" s="24" t="s">
        <v>3151</v>
      </c>
      <c r="E21" s="24" t="s">
        <v>3153</v>
      </c>
      <c r="F21" t="str">
        <f>VLOOKUP(O21,pearl!$B:$E,4,0)</f>
        <v>♄</v>
      </c>
      <c r="G21" t="str">
        <f>VLOOKUP(IF(F21="Дом",H21,F21),pearl!$D$28:$F$32,3,0)</f>
        <v>Сатурн</v>
      </c>
      <c r="H21" t="str">
        <f>VLOOKUP(O21,pearl!$B:$E,3,0)</f>
        <v>♄Восходящий Дым</v>
      </c>
      <c r="I21" t="s">
        <v>34</v>
      </c>
      <c r="J21" t="s">
        <v>22</v>
      </c>
      <c r="K21" t="s">
        <v>142</v>
      </c>
      <c r="L21" t="s">
        <v>18</v>
      </c>
      <c r="M21" s="24" t="s">
        <v>3196</v>
      </c>
      <c r="N21" t="s">
        <v>2782</v>
      </c>
      <c r="O21" t="s">
        <v>124</v>
      </c>
      <c r="P21" s="8">
        <v>2</v>
      </c>
      <c r="Q21" s="8">
        <v>1</v>
      </c>
      <c r="R21" s="8">
        <v>0</v>
      </c>
      <c r="S21" t="s">
        <v>23</v>
      </c>
      <c r="T21" s="3"/>
      <c r="U21" s="3"/>
      <c r="V21" s="3"/>
    </row>
    <row r="22" spans="1:22" ht="12.45" hidden="1" x14ac:dyDescent="0.2">
      <c r="A22" s="3" t="s">
        <v>2138</v>
      </c>
      <c r="B22" t="s">
        <v>2056</v>
      </c>
      <c r="C22" s="24" t="s">
        <v>3136</v>
      </c>
      <c r="D22" s="24" t="s">
        <v>3151</v>
      </c>
      <c r="E22" s="24" t="s">
        <v>3150</v>
      </c>
      <c r="F22" t="str">
        <f>VLOOKUP(O22,pearl!$B:$E,4,0)</f>
        <v>♄</v>
      </c>
      <c r="G22" t="str">
        <f>VLOOKUP(IF(F22="Дом",H22,F22),pearl!$D$28:$F$32,3,0)</f>
        <v>Сатурн</v>
      </c>
      <c r="H22" t="str">
        <f>VLOOKUP(O22,pearl!$B:$E,3,0)</f>
        <v>♄Телега с сеном</v>
      </c>
      <c r="I22" t="s">
        <v>175</v>
      </c>
      <c r="J22" t="s">
        <v>28</v>
      </c>
      <c r="K22" t="s">
        <v>23</v>
      </c>
      <c r="L22" t="s">
        <v>18</v>
      </c>
      <c r="M22" s="24" t="s">
        <v>3197</v>
      </c>
      <c r="N22" t="s">
        <v>2829</v>
      </c>
      <c r="O22" t="s">
        <v>3131</v>
      </c>
      <c r="P22" s="8">
        <v>2</v>
      </c>
      <c r="Q22" s="8">
        <v>1</v>
      </c>
      <c r="R22" s="8">
        <v>0</v>
      </c>
      <c r="S22" t="s">
        <v>23</v>
      </c>
      <c r="T22" s="3"/>
      <c r="U22" s="3"/>
      <c r="V22" s="3"/>
    </row>
    <row r="23" spans="1:22" ht="12.45" hidden="1" x14ac:dyDescent="0.2">
      <c r="A23" s="3" t="s">
        <v>2138</v>
      </c>
      <c r="B23" t="s">
        <v>2080</v>
      </c>
      <c r="C23" s="24" t="s">
        <v>3136</v>
      </c>
      <c r="D23" s="24" t="s">
        <v>3151</v>
      </c>
      <c r="E23" s="24" t="s">
        <v>3161</v>
      </c>
      <c r="F23" t="str">
        <f>VLOOKUP(O23,pearl!$B:$E,4,0)</f>
        <v>Дом</v>
      </c>
      <c r="G23" t="str">
        <f>VLOOKUP(IF(F23="Дом",H23,F23),pearl!$D$28:$F$32,3,0)</f>
        <v>Сатурн</v>
      </c>
      <c r="H23" t="str">
        <f>VLOOKUP(O23,pearl!$B:$E,3,0)</f>
        <v>♄</v>
      </c>
      <c r="I23" t="s">
        <v>15</v>
      </c>
      <c r="J23" t="s">
        <v>28</v>
      </c>
      <c r="K23" t="s">
        <v>23</v>
      </c>
      <c r="L23" t="s">
        <v>18</v>
      </c>
      <c r="M23" s="24" t="s">
        <v>3198</v>
      </c>
      <c r="N23" t="s">
        <v>2771</v>
      </c>
      <c r="O23" t="s">
        <v>2768</v>
      </c>
      <c r="P23" s="8">
        <v>1</v>
      </c>
      <c r="Q23" s="8">
        <v>1</v>
      </c>
      <c r="R23" s="8">
        <v>0</v>
      </c>
      <c r="S23" t="s">
        <v>2772</v>
      </c>
      <c r="T23" s="3"/>
      <c r="U23" s="3"/>
      <c r="V23" s="3"/>
    </row>
    <row r="24" spans="1:22" ht="12.45" hidden="1" x14ac:dyDescent="0.2">
      <c r="A24" s="3" t="s">
        <v>2138</v>
      </c>
      <c r="B24" t="s">
        <v>2006</v>
      </c>
      <c r="C24" s="24" t="s">
        <v>3136</v>
      </c>
      <c r="D24" s="24" t="s">
        <v>3151</v>
      </c>
      <c r="E24" s="24" t="s">
        <v>3155</v>
      </c>
      <c r="F24" t="str">
        <f>VLOOKUP(O24,pearl!$B:$E,4,0)</f>
        <v>♄</v>
      </c>
      <c r="G24" t="str">
        <f>VLOOKUP(IF(F24="Дом",H24,F24),pearl!$D$28:$F$32,3,0)</f>
        <v>Сатурн</v>
      </c>
      <c r="H24" t="str">
        <f>VLOOKUP(O24,pearl!$B:$E,3,0)</f>
        <v>♄Ворон</v>
      </c>
      <c r="I24" t="s">
        <v>154</v>
      </c>
      <c r="J24" t="s">
        <v>28</v>
      </c>
      <c r="K24" t="s">
        <v>23</v>
      </c>
      <c r="L24" t="s">
        <v>18</v>
      </c>
      <c r="N24" t="s">
        <v>2809</v>
      </c>
      <c r="O24" t="s">
        <v>217</v>
      </c>
      <c r="P24" s="8">
        <v>3</v>
      </c>
      <c r="Q24" s="8">
        <v>1</v>
      </c>
      <c r="R24" s="8">
        <v>0</v>
      </c>
      <c r="S24" t="s">
        <v>23</v>
      </c>
      <c r="T24" s="3"/>
      <c r="U24" s="3"/>
      <c r="V24" s="3"/>
    </row>
    <row r="25" spans="1:22" ht="12.45" hidden="1" x14ac:dyDescent="0.2">
      <c r="A25" s="3" t="s">
        <v>2138</v>
      </c>
      <c r="B25" t="s">
        <v>2810</v>
      </c>
      <c r="C25" s="24" t="s">
        <v>3136</v>
      </c>
      <c r="D25" s="24" t="s">
        <v>3151</v>
      </c>
      <c r="E25" s="24" t="s">
        <v>3155</v>
      </c>
      <c r="F25" t="str">
        <f>VLOOKUP(O25,pearl!$B:$E,4,0)</f>
        <v>♄</v>
      </c>
      <c r="G25" t="str">
        <f>VLOOKUP(IF(F25="Дом",H25,F25),pearl!$D$28:$F$32,3,0)</f>
        <v>Сатурн</v>
      </c>
      <c r="H25" t="str">
        <f>VLOOKUP(O25,pearl!$B:$E,3,0)</f>
        <v>♄Ворон</v>
      </c>
      <c r="I25" t="s">
        <v>175</v>
      </c>
      <c r="J25" t="s">
        <v>28</v>
      </c>
      <c r="K25" t="s">
        <v>430</v>
      </c>
      <c r="L25" t="s">
        <v>2106</v>
      </c>
      <c r="N25" t="s">
        <v>2809</v>
      </c>
      <c r="O25" t="s">
        <v>217</v>
      </c>
      <c r="P25" s="8">
        <v>4</v>
      </c>
      <c r="Q25" s="8">
        <v>1</v>
      </c>
      <c r="R25" s="8">
        <v>0</v>
      </c>
      <c r="S25" t="s">
        <v>2006</v>
      </c>
      <c r="T25" s="3"/>
      <c r="U25" s="3"/>
      <c r="V25" s="3"/>
    </row>
    <row r="26" spans="1:22" ht="12.45" hidden="1" x14ac:dyDescent="0.2">
      <c r="A26" s="3" t="s">
        <v>2138</v>
      </c>
      <c r="B26" t="s">
        <v>2287</v>
      </c>
      <c r="C26" s="24" t="s">
        <v>3135</v>
      </c>
      <c r="D26" s="24" t="s">
        <v>3151</v>
      </c>
      <c r="E26" s="24" t="s">
        <v>3166</v>
      </c>
      <c r="F26" t="str">
        <f>VLOOKUP(O26,pearl!$B:$E,4,0)</f>
        <v>☿</v>
      </c>
      <c r="G26" t="str">
        <f>VLOOKUP(IF(F26="Дом",H26,F26),pearl!$D$28:$F$32,3,0)</f>
        <v>Меркурий</v>
      </c>
      <c r="H26" t="str">
        <f>VLOOKUP(O26,pearl!$B:$E,3,0)</f>
        <v>☿Чайка</v>
      </c>
      <c r="I26" t="s">
        <v>2110</v>
      </c>
      <c r="J26" t="s">
        <v>148</v>
      </c>
      <c r="K26" t="s">
        <v>23</v>
      </c>
      <c r="L26" t="s">
        <v>148</v>
      </c>
      <c r="N26" t="s">
        <v>2288</v>
      </c>
      <c r="O26" t="s">
        <v>1897</v>
      </c>
      <c r="P26" s="8">
        <v>5</v>
      </c>
      <c r="Q26" s="8">
        <v>2</v>
      </c>
      <c r="R26" s="8">
        <v>0</v>
      </c>
      <c r="S26" t="s">
        <v>2269</v>
      </c>
      <c r="T26" s="3"/>
      <c r="U26" s="3"/>
      <c r="V26" s="3"/>
    </row>
    <row r="27" spans="1:22" ht="12.45" hidden="1" x14ac:dyDescent="0.2">
      <c r="A27" s="3" t="s">
        <v>2138</v>
      </c>
      <c r="B27" t="s">
        <v>2067</v>
      </c>
      <c r="C27" s="24" t="s">
        <v>3135</v>
      </c>
      <c r="D27" s="24" t="s">
        <v>3148</v>
      </c>
      <c r="E27" s="24" t="s">
        <v>3173</v>
      </c>
      <c r="F27" t="str">
        <f>VLOOKUP(O27,pearl!$B:$E,4,0)</f>
        <v>♂</v>
      </c>
      <c r="G27" t="str">
        <f>VLOOKUP(IF(F27="Дом",H27,F27),pearl!$D$28:$F$32,3,0)</f>
        <v>Марс</v>
      </c>
      <c r="H27" t="str">
        <f>VLOOKUP(O27,pearl!$B:$E,3,0)</f>
        <v>Щит♂</v>
      </c>
      <c r="I27" t="s">
        <v>2584</v>
      </c>
      <c r="J27" t="s">
        <v>28</v>
      </c>
      <c r="K27" t="s">
        <v>1903</v>
      </c>
      <c r="L27" t="s">
        <v>2115</v>
      </c>
      <c r="N27" t="s">
        <v>2585</v>
      </c>
      <c r="O27" t="s">
        <v>1366</v>
      </c>
      <c r="P27" s="8">
        <v>2</v>
      </c>
      <c r="Q27" s="8">
        <v>1</v>
      </c>
      <c r="R27" s="8">
        <v>0</v>
      </c>
      <c r="S27" t="s">
        <v>23</v>
      </c>
      <c r="T27" s="3"/>
      <c r="U27" s="3"/>
      <c r="V27" s="3"/>
    </row>
    <row r="28" spans="1:22" ht="12.45" hidden="1" x14ac:dyDescent="0.2">
      <c r="A28" s="3" t="s">
        <v>2138</v>
      </c>
      <c r="B28" t="s">
        <v>2579</v>
      </c>
      <c r="C28" s="24" t="s">
        <v>3136</v>
      </c>
      <c r="D28" s="24" t="s">
        <v>3151</v>
      </c>
      <c r="E28" s="24" t="s">
        <v>3174</v>
      </c>
      <c r="F28" t="str">
        <f>VLOOKUP(O28,pearl!$B:$E,4,0)</f>
        <v>♂</v>
      </c>
      <c r="G28" t="str">
        <f>VLOOKUP(IF(F28="Дом",H28,F28),pearl!$D$28:$F$32,3,0)</f>
        <v>Марс</v>
      </c>
      <c r="H28" t="str">
        <f>VLOOKUP(O28,pearl!$B:$E,3,0)</f>
        <v>Щит♂</v>
      </c>
      <c r="I28" t="s">
        <v>71</v>
      </c>
      <c r="J28" t="s">
        <v>28</v>
      </c>
      <c r="K28" t="s">
        <v>438</v>
      </c>
      <c r="L28" t="s">
        <v>18</v>
      </c>
      <c r="N28" t="s">
        <v>2580</v>
      </c>
      <c r="O28" t="s">
        <v>1366</v>
      </c>
      <c r="P28" s="8">
        <v>2</v>
      </c>
      <c r="Q28" s="8">
        <v>1</v>
      </c>
      <c r="R28" s="8">
        <v>0</v>
      </c>
      <c r="S28" t="s">
        <v>23</v>
      </c>
      <c r="T28" s="3"/>
      <c r="U28" s="3"/>
      <c r="V28" s="3"/>
    </row>
    <row r="29" spans="1:22" ht="12.45" hidden="1" x14ac:dyDescent="0.2">
      <c r="A29" s="3" t="s">
        <v>2138</v>
      </c>
      <c r="B29" t="s">
        <v>2007</v>
      </c>
      <c r="C29" s="24" t="s">
        <v>3135</v>
      </c>
      <c r="D29" s="24" t="s">
        <v>3151</v>
      </c>
      <c r="E29" s="24" t="s">
        <v>3159</v>
      </c>
      <c r="F29" t="str">
        <f>VLOOKUP(O29,pearl!$B:$E,4,0)</f>
        <v>♄</v>
      </c>
      <c r="G29" t="str">
        <f>VLOOKUP(IF(F29="Дом",H29,F29),pearl!$D$28:$F$32,3,0)</f>
        <v>Сатурн</v>
      </c>
      <c r="H29" t="str">
        <f>VLOOKUP(O29,pearl!$B:$E,3,0)</f>
        <v>♄Ворон</v>
      </c>
      <c r="I29" t="s">
        <v>47</v>
      </c>
      <c r="J29" t="s">
        <v>28</v>
      </c>
      <c r="K29" t="s">
        <v>2219</v>
      </c>
      <c r="L29" t="s">
        <v>18</v>
      </c>
      <c r="N29" t="s">
        <v>2809</v>
      </c>
      <c r="O29" t="s">
        <v>217</v>
      </c>
      <c r="P29" s="8">
        <v>1</v>
      </c>
      <c r="Q29" s="8">
        <v>1</v>
      </c>
      <c r="R29" s="8">
        <v>0</v>
      </c>
      <c r="S29" t="s">
        <v>23</v>
      </c>
      <c r="T29" s="3"/>
      <c r="U29" s="3"/>
      <c r="V29" s="3"/>
    </row>
    <row r="30" spans="1:22" ht="12.45" hidden="1" x14ac:dyDescent="0.2">
      <c r="A30" s="3" t="s">
        <v>2138</v>
      </c>
      <c r="B30" t="s">
        <v>2264</v>
      </c>
      <c r="C30" s="24" t="s">
        <v>3136</v>
      </c>
      <c r="D30" s="45" t="s">
        <v>3146</v>
      </c>
      <c r="E30" s="24" t="s">
        <v>3165</v>
      </c>
      <c r="F30" t="str">
        <f>VLOOKUP(O30,pearl!$B:$E,4,0)</f>
        <v>☿</v>
      </c>
      <c r="G30" t="str">
        <f>VLOOKUP(IF(F30="Дом",H30,F30),pearl!$D$28:$F$32,3,0)</f>
        <v>Меркурий</v>
      </c>
      <c r="H30" t="str">
        <f>VLOOKUP(O30,pearl!$B:$E,3,0)</f>
        <v>☿Чайка</v>
      </c>
      <c r="I30" t="s">
        <v>40</v>
      </c>
      <c r="J30" t="s">
        <v>16</v>
      </c>
      <c r="K30" t="s">
        <v>2265</v>
      </c>
      <c r="L30" t="s">
        <v>18</v>
      </c>
      <c r="N30" t="s">
        <v>2266</v>
      </c>
      <c r="O30" t="s">
        <v>1897</v>
      </c>
      <c r="P30" s="8">
        <v>3</v>
      </c>
      <c r="Q30" s="8">
        <v>1</v>
      </c>
      <c r="R30" s="8">
        <v>0</v>
      </c>
      <c r="S30" t="s">
        <v>23</v>
      </c>
      <c r="T30" s="3"/>
      <c r="U30" s="3"/>
      <c r="V30" s="3"/>
    </row>
    <row r="31" spans="1:22" ht="12.45" hidden="1" x14ac:dyDescent="0.2">
      <c r="A31" s="3" t="s">
        <v>2138</v>
      </c>
      <c r="B31" t="s">
        <v>2097</v>
      </c>
      <c r="C31" s="24" t="s">
        <v>3136</v>
      </c>
      <c r="D31" s="45" t="s">
        <v>3146</v>
      </c>
      <c r="E31" s="24" t="s">
        <v>3165</v>
      </c>
      <c r="F31" t="str">
        <f>VLOOKUP(O31,pearl!$B:$E,4,0)</f>
        <v>☿</v>
      </c>
      <c r="G31" t="str">
        <f>VLOOKUP(IF(F31="Дом",H31,F31),pearl!$D$28:$F$32,3,0)</f>
        <v>Меркурий</v>
      </c>
      <c r="H31" t="str">
        <f>VLOOKUP(O31,pearl!$B:$E,3,0)</f>
        <v>☿Чайка</v>
      </c>
      <c r="I31" t="s">
        <v>740</v>
      </c>
      <c r="J31" t="s">
        <v>28</v>
      </c>
      <c r="K31" t="s">
        <v>29</v>
      </c>
      <c r="L31" t="s">
        <v>18</v>
      </c>
      <c r="N31" t="s">
        <v>2276</v>
      </c>
      <c r="O31" t="s">
        <v>1897</v>
      </c>
      <c r="P31" s="8">
        <v>3</v>
      </c>
      <c r="Q31" s="8">
        <v>1</v>
      </c>
      <c r="R31" s="8">
        <v>0</v>
      </c>
      <c r="S31" t="s">
        <v>23</v>
      </c>
      <c r="T31" s="3"/>
      <c r="U31" s="3"/>
      <c r="V31" s="3"/>
    </row>
    <row r="32" spans="1:22" ht="12.45" hidden="1" x14ac:dyDescent="0.2">
      <c r="A32" s="3" t="s">
        <v>2138</v>
      </c>
      <c r="B32" t="s">
        <v>2773</v>
      </c>
      <c r="C32" s="24" t="s">
        <v>3136</v>
      </c>
      <c r="D32" s="45" t="s">
        <v>3146</v>
      </c>
      <c r="E32" t="s">
        <v>3187</v>
      </c>
      <c r="F32" t="str">
        <f>VLOOKUP(O32,pearl!$B:$E,4,0)</f>
        <v>Дом</v>
      </c>
      <c r="G32" t="str">
        <f>VLOOKUP(IF(F32="Дом",H32,F32),pearl!$D$28:$F$32,3,0)</f>
        <v>Сатурн</v>
      </c>
      <c r="H32" t="str">
        <f>VLOOKUP(O32,pearl!$B:$E,3,0)</f>
        <v>♄</v>
      </c>
      <c r="I32" t="s">
        <v>34</v>
      </c>
      <c r="J32" t="s">
        <v>28</v>
      </c>
      <c r="K32" t="s">
        <v>142</v>
      </c>
      <c r="L32" t="s">
        <v>148</v>
      </c>
      <c r="M32" s="24" t="s">
        <v>3160</v>
      </c>
      <c r="N32" t="s">
        <v>2771</v>
      </c>
      <c r="O32" t="s">
        <v>2768</v>
      </c>
      <c r="P32" s="8">
        <v>3</v>
      </c>
      <c r="Q32" s="8">
        <v>1</v>
      </c>
      <c r="R32" s="8">
        <v>0</v>
      </c>
      <c r="S32" t="s">
        <v>2769</v>
      </c>
      <c r="T32" s="3"/>
      <c r="U32" s="3"/>
      <c r="V32" s="3"/>
    </row>
    <row r="33" spans="1:22" ht="12.45" hidden="1" x14ac:dyDescent="0.2">
      <c r="A33" s="3" t="s">
        <v>2138</v>
      </c>
      <c r="B33" t="s">
        <v>2460</v>
      </c>
      <c r="C33" s="24" t="s">
        <v>3135</v>
      </c>
      <c r="D33" s="45" t="s">
        <v>3146</v>
      </c>
      <c r="E33" s="24" t="s">
        <v>3165</v>
      </c>
      <c r="F33" t="str">
        <f>VLOOKUP(O33,pearl!$B:$E,4,0)</f>
        <v>Дом</v>
      </c>
      <c r="G33" t="str">
        <f>VLOOKUP(IF(F33="Дом",H33,F33),pearl!$D$28:$F$32,3,0)</f>
        <v>Марс</v>
      </c>
      <c r="H33" t="str">
        <f>VLOOKUP(O33,pearl!$B:$E,3,0)</f>
        <v>♂</v>
      </c>
      <c r="I33" t="s">
        <v>165</v>
      </c>
      <c r="J33" t="s">
        <v>148</v>
      </c>
      <c r="K33" t="s">
        <v>23</v>
      </c>
      <c r="L33" t="s">
        <v>148</v>
      </c>
      <c r="M33" t="s">
        <v>3190</v>
      </c>
      <c r="N33" t="s">
        <v>2459</v>
      </c>
      <c r="O33" t="s">
        <v>2454</v>
      </c>
      <c r="P33" s="8">
        <v>1</v>
      </c>
      <c r="Q33" s="8">
        <v>1</v>
      </c>
      <c r="R33" s="8">
        <v>0</v>
      </c>
      <c r="S33" t="s">
        <v>23</v>
      </c>
      <c r="T33" s="3"/>
      <c r="U33" s="3"/>
      <c r="V33" s="3"/>
    </row>
    <row r="34" spans="1:22" ht="12.45" hidden="1" x14ac:dyDescent="0.2">
      <c r="A34" s="3" t="s">
        <v>2138</v>
      </c>
      <c r="B34" t="s">
        <v>2588</v>
      </c>
      <c r="C34" s="24" t="s">
        <v>3135</v>
      </c>
      <c r="D34" s="45" t="s">
        <v>3146</v>
      </c>
      <c r="E34" s="24" t="s">
        <v>3165</v>
      </c>
      <c r="F34" t="str">
        <f>VLOOKUP(O34,pearl!$B:$E,4,0)</f>
        <v>♂</v>
      </c>
      <c r="G34" t="str">
        <f>VLOOKUP(IF(F34="Дом",H34,F34),pearl!$D$28:$F$32,3,0)</f>
        <v>Марс</v>
      </c>
      <c r="H34" t="str">
        <f>VLOOKUP(O34,pearl!$B:$E,3,0)</f>
        <v>Щит♂</v>
      </c>
      <c r="I34" t="s">
        <v>34</v>
      </c>
      <c r="J34" t="s">
        <v>22</v>
      </c>
      <c r="K34" t="s">
        <v>23</v>
      </c>
      <c r="L34" t="s">
        <v>18</v>
      </c>
      <c r="M34" t="s">
        <v>3189</v>
      </c>
      <c r="N34" t="s">
        <v>2585</v>
      </c>
      <c r="O34" t="s">
        <v>1366</v>
      </c>
      <c r="P34" s="8">
        <v>4</v>
      </c>
      <c r="Q34" s="8">
        <v>1</v>
      </c>
      <c r="R34" s="8">
        <v>0</v>
      </c>
      <c r="S34" t="s">
        <v>23</v>
      </c>
      <c r="T34" s="3"/>
      <c r="U34" s="3"/>
      <c r="V34" s="3"/>
    </row>
    <row r="35" spans="1:22" ht="12.45" hidden="1" x14ac:dyDescent="0.2">
      <c r="A35" s="3" t="s">
        <v>2138</v>
      </c>
      <c r="B35" t="s">
        <v>2304</v>
      </c>
      <c r="C35" s="24" t="s">
        <v>3136</v>
      </c>
      <c r="D35" s="24" t="s">
        <v>3185</v>
      </c>
      <c r="E35" s="24"/>
      <c r="F35" t="str">
        <f>VLOOKUP(O35,pearl!$B:$E,4,0)</f>
        <v>Дом</v>
      </c>
      <c r="G35" t="str">
        <f>VLOOKUP(IF(F35="Дом",H35,F35),pearl!$D$28:$F$32,3,0)</f>
        <v>Венера</v>
      </c>
      <c r="H35" t="str">
        <f>VLOOKUP(O35,pearl!$B:$E,3,0)</f>
        <v>♀</v>
      </c>
      <c r="I35" t="s">
        <v>2082</v>
      </c>
      <c r="J35" t="s">
        <v>28</v>
      </c>
      <c r="K35" t="s">
        <v>2140</v>
      </c>
      <c r="L35" t="s">
        <v>2115</v>
      </c>
      <c r="M35" t="s">
        <v>3186</v>
      </c>
      <c r="N35" t="s">
        <v>2305</v>
      </c>
      <c r="O35" t="s">
        <v>2306</v>
      </c>
      <c r="P35" s="8">
        <v>3</v>
      </c>
      <c r="Q35" s="8">
        <v>1</v>
      </c>
      <c r="R35" s="8">
        <v>0</v>
      </c>
      <c r="S35" t="s">
        <v>2307</v>
      </c>
      <c r="T35" s="3"/>
      <c r="U35" s="3"/>
      <c r="V35" s="3"/>
    </row>
    <row r="36" spans="1:22" ht="12.45" hidden="1" x14ac:dyDescent="0.2">
      <c r="A36" s="3" t="s">
        <v>2138</v>
      </c>
      <c r="B36" t="s">
        <v>2308</v>
      </c>
      <c r="C36" s="24" t="s">
        <v>3136</v>
      </c>
      <c r="D36" s="24" t="s">
        <v>3185</v>
      </c>
      <c r="E36" s="24"/>
      <c r="F36" t="str">
        <f>VLOOKUP(O36,pearl!$B:$E,4,0)</f>
        <v>Дом</v>
      </c>
      <c r="G36" t="str">
        <f>VLOOKUP(IF(F36="Дом",H36,F36),pearl!$D$28:$F$32,3,0)</f>
        <v>Венера</v>
      </c>
      <c r="H36" t="str">
        <f>VLOOKUP(O36,pearl!$B:$E,3,0)</f>
        <v>♀</v>
      </c>
      <c r="I36" t="s">
        <v>2309</v>
      </c>
      <c r="J36" t="s">
        <v>28</v>
      </c>
      <c r="K36" t="s">
        <v>2140</v>
      </c>
      <c r="L36" t="s">
        <v>2115</v>
      </c>
      <c r="M36" t="s">
        <v>3186</v>
      </c>
      <c r="N36" t="s">
        <v>2305</v>
      </c>
      <c r="O36" t="s">
        <v>2306</v>
      </c>
      <c r="P36" s="8">
        <v>3</v>
      </c>
      <c r="Q36" s="8">
        <v>1</v>
      </c>
      <c r="R36" s="8">
        <v>0</v>
      </c>
      <c r="S36" t="s">
        <v>2307</v>
      </c>
      <c r="T36" s="3"/>
      <c r="U36" s="3"/>
      <c r="V36" s="3"/>
    </row>
    <row r="37" spans="1:22" ht="12.45" hidden="1" x14ac:dyDescent="0.2">
      <c r="A37" s="3" t="s">
        <v>2138</v>
      </c>
      <c r="B37" t="s">
        <v>2766</v>
      </c>
      <c r="C37" s="24" t="s">
        <v>3136</v>
      </c>
      <c r="D37" s="24" t="s">
        <v>3185</v>
      </c>
      <c r="E37" s="24" t="s">
        <v>3162</v>
      </c>
      <c r="F37" t="str">
        <f>VLOOKUP(O37,pearl!$B:$E,4,0)</f>
        <v>Дом</v>
      </c>
      <c r="G37" t="str">
        <f>VLOOKUP(IF(F37="Дом",H37,F37),pearl!$D$28:$F$32,3,0)</f>
        <v>Сатурн</v>
      </c>
      <c r="H37" t="str">
        <f>VLOOKUP(O37,pearl!$B:$E,3,0)</f>
        <v>♄</v>
      </c>
      <c r="I37" t="s">
        <v>2082</v>
      </c>
      <c r="J37" t="s">
        <v>28</v>
      </c>
      <c r="K37" t="s">
        <v>2452</v>
      </c>
      <c r="L37" t="s">
        <v>2115</v>
      </c>
      <c r="M37" t="s">
        <v>3186</v>
      </c>
      <c r="N37" t="s">
        <v>2767</v>
      </c>
      <c r="O37" t="s">
        <v>2768</v>
      </c>
      <c r="P37" s="8">
        <v>3</v>
      </c>
      <c r="Q37" s="8">
        <v>1</v>
      </c>
      <c r="R37" s="8">
        <v>0</v>
      </c>
      <c r="S37" t="s">
        <v>2769</v>
      </c>
      <c r="T37" s="3"/>
      <c r="U37" s="3"/>
      <c r="V37" s="3"/>
    </row>
    <row r="38" spans="1:22" ht="12.45" hidden="1" x14ac:dyDescent="0.2">
      <c r="A38" s="3" t="s">
        <v>2138</v>
      </c>
      <c r="B38" t="s">
        <v>2634</v>
      </c>
      <c r="C38" s="24" t="s">
        <v>3114</v>
      </c>
      <c r="D38" s="24" t="s">
        <v>3185</v>
      </c>
      <c r="E38" s="24"/>
      <c r="F38" t="str">
        <f>VLOOKUP(O38,pearl!$B:$E,4,0)</f>
        <v>Дом</v>
      </c>
      <c r="G38" t="str">
        <f>VLOOKUP(IF(F38="Дом",H38,F38),pearl!$D$28:$F$32,3,0)</f>
        <v>Юпитер</v>
      </c>
      <c r="H38" t="str">
        <f>VLOOKUP(O38,pearl!$B:$E,3,0)</f>
        <v>♃</v>
      </c>
      <c r="I38" t="s">
        <v>2082</v>
      </c>
      <c r="J38" t="s">
        <v>28</v>
      </c>
      <c r="K38" t="s">
        <v>2140</v>
      </c>
      <c r="L38" t="s">
        <v>2115</v>
      </c>
      <c r="M38" t="s">
        <v>3186</v>
      </c>
      <c r="N38" t="s">
        <v>2632</v>
      </c>
      <c r="O38" t="s">
        <v>2635</v>
      </c>
      <c r="P38" s="8">
        <v>3</v>
      </c>
      <c r="Q38" s="8">
        <v>1</v>
      </c>
      <c r="R38" s="8">
        <v>0</v>
      </c>
      <c r="S38" t="s">
        <v>2636</v>
      </c>
      <c r="T38" s="3"/>
      <c r="U38" s="3"/>
      <c r="V38" s="3"/>
    </row>
    <row r="39" spans="1:22" ht="12.45" hidden="1" x14ac:dyDescent="0.2">
      <c r="A39" s="3" t="s">
        <v>2138</v>
      </c>
      <c r="B39" t="s">
        <v>2139</v>
      </c>
      <c r="C39" s="24" t="s">
        <v>3135</v>
      </c>
      <c r="D39" s="24" t="s">
        <v>3185</v>
      </c>
      <c r="E39" s="24"/>
      <c r="F39" t="str">
        <f>VLOOKUP(O39,pearl!$B:$E,4,0)</f>
        <v>Дом</v>
      </c>
      <c r="G39" t="str">
        <f>VLOOKUP(IF(F39="Дом",H39,F39),pearl!$D$28:$F$32,3,0)</f>
        <v>Меркурий</v>
      </c>
      <c r="H39" t="str">
        <f>VLOOKUP(O39,pearl!$B:$E,3,0)</f>
        <v>☿</v>
      </c>
      <c r="I39" t="s">
        <v>2082</v>
      </c>
      <c r="J39" t="s">
        <v>28</v>
      </c>
      <c r="K39" t="s">
        <v>2140</v>
      </c>
      <c r="L39" t="s">
        <v>2115</v>
      </c>
      <c r="M39" t="s">
        <v>3186</v>
      </c>
      <c r="N39" t="s">
        <v>2141</v>
      </c>
      <c r="O39" t="s">
        <v>2142</v>
      </c>
      <c r="P39" s="8">
        <v>3</v>
      </c>
      <c r="Q39" s="8">
        <v>1</v>
      </c>
      <c r="R39" s="8">
        <v>0</v>
      </c>
      <c r="S39" t="s">
        <v>2143</v>
      </c>
      <c r="T39" s="3"/>
      <c r="U39" s="3"/>
      <c r="V39" s="3"/>
    </row>
    <row r="40" spans="1:22" ht="12.45" hidden="1" x14ac:dyDescent="0.2">
      <c r="A40" s="3" t="s">
        <v>2138</v>
      </c>
      <c r="B40" t="s">
        <v>2144</v>
      </c>
      <c r="C40" s="24" t="s">
        <v>3135</v>
      </c>
      <c r="D40" s="24" t="s">
        <v>3185</v>
      </c>
      <c r="E40" s="24"/>
      <c r="F40" t="str">
        <f>VLOOKUP(O40,pearl!$B:$E,4,0)</f>
        <v>Дом</v>
      </c>
      <c r="G40" t="str">
        <f>VLOOKUP(IF(F40="Дом",H40,F40),pearl!$D$28:$F$32,3,0)</f>
        <v>Меркурий</v>
      </c>
      <c r="H40" t="str">
        <f>VLOOKUP(O40,pearl!$B:$E,3,0)</f>
        <v>☿</v>
      </c>
      <c r="I40" t="s">
        <v>2082</v>
      </c>
      <c r="J40" t="s">
        <v>28</v>
      </c>
      <c r="K40" t="s">
        <v>2140</v>
      </c>
      <c r="L40" t="s">
        <v>2115</v>
      </c>
      <c r="M40" t="s">
        <v>3186</v>
      </c>
      <c r="N40" t="s">
        <v>2145</v>
      </c>
      <c r="O40" t="s">
        <v>2142</v>
      </c>
      <c r="P40" s="8">
        <v>3</v>
      </c>
      <c r="Q40" s="8">
        <v>1</v>
      </c>
      <c r="R40" s="8">
        <v>0</v>
      </c>
      <c r="S40" t="s">
        <v>2143</v>
      </c>
      <c r="T40" s="3"/>
      <c r="U40" s="3"/>
      <c r="V40" s="3"/>
    </row>
    <row r="41" spans="1:22" ht="12.45" hidden="1" x14ac:dyDescent="0.2">
      <c r="A41" s="3" t="s">
        <v>2138</v>
      </c>
      <c r="B41" t="s">
        <v>1428</v>
      </c>
      <c r="C41" s="24" t="s">
        <v>3136</v>
      </c>
      <c r="D41" s="24" t="s">
        <v>3178</v>
      </c>
      <c r="E41" s="24" t="s">
        <v>3179</v>
      </c>
      <c r="F41" t="str">
        <f>VLOOKUP(O41,pearl!$B:$E,4,0)</f>
        <v>☿</v>
      </c>
      <c r="G41" t="str">
        <f>VLOOKUP(IF(F41="Дом",H41,F41),pearl!$D$28:$F$32,3,0)</f>
        <v>Меркурий</v>
      </c>
      <c r="H41" t="str">
        <f>VLOOKUP(O41,pearl!$B:$E,3,0)</f>
        <v>☿Мачта</v>
      </c>
      <c r="I41" t="s">
        <v>147</v>
      </c>
      <c r="J41" t="s">
        <v>148</v>
      </c>
      <c r="K41" t="s">
        <v>23</v>
      </c>
      <c r="L41" t="s">
        <v>148</v>
      </c>
      <c r="M41" s="24" t="s">
        <v>3163</v>
      </c>
      <c r="N41" t="s">
        <v>2161</v>
      </c>
      <c r="O41" s="24" t="s">
        <v>3133</v>
      </c>
      <c r="P41" s="8">
        <v>1</v>
      </c>
      <c r="Q41" s="8">
        <v>1</v>
      </c>
      <c r="R41" s="8">
        <v>0</v>
      </c>
      <c r="S41" t="s">
        <v>23</v>
      </c>
      <c r="T41" s="3"/>
      <c r="U41" s="3"/>
      <c r="V41" s="3"/>
    </row>
    <row r="42" spans="1:22" ht="12.45" hidden="1" x14ac:dyDescent="0.2">
      <c r="A42" s="3" t="s">
        <v>2138</v>
      </c>
      <c r="B42" t="s">
        <v>2578</v>
      </c>
      <c r="C42" s="24" t="s">
        <v>3136</v>
      </c>
      <c r="D42" s="24" t="s">
        <v>3178</v>
      </c>
      <c r="E42" s="24" t="s">
        <v>3179</v>
      </c>
      <c r="F42" t="str">
        <f>VLOOKUP(O42,pearl!$B:$E,4,0)</f>
        <v>♂</v>
      </c>
      <c r="G42" t="str">
        <f>VLOOKUP(IF(F42="Дом",H42,F42),pearl!$D$28:$F$32,3,0)</f>
        <v>Марс</v>
      </c>
      <c r="H42" t="str">
        <f>VLOOKUP(O42,pearl!$B:$E,3,0)</f>
        <v>Щит♂</v>
      </c>
      <c r="I42" t="s">
        <v>154</v>
      </c>
      <c r="J42" t="s">
        <v>22</v>
      </c>
      <c r="K42" t="s">
        <v>1439</v>
      </c>
      <c r="L42" t="s">
        <v>18</v>
      </c>
      <c r="M42" t="s">
        <v>3177</v>
      </c>
      <c r="N42" t="s">
        <v>2573</v>
      </c>
      <c r="O42" t="s">
        <v>1366</v>
      </c>
      <c r="P42" s="8">
        <v>2</v>
      </c>
      <c r="Q42" s="8">
        <v>1</v>
      </c>
      <c r="R42" s="8">
        <v>0</v>
      </c>
      <c r="S42" t="s">
        <v>23</v>
      </c>
      <c r="T42" s="3"/>
      <c r="U42" s="3"/>
      <c r="V42" s="3"/>
    </row>
    <row r="43" spans="1:22" ht="12.45" hidden="1" x14ac:dyDescent="0.2">
      <c r="A43" s="3" t="s">
        <v>2138</v>
      </c>
      <c r="B43" t="s">
        <v>2069</v>
      </c>
      <c r="C43" s="24" t="s">
        <v>3135</v>
      </c>
      <c r="D43" s="24" t="s">
        <v>3178</v>
      </c>
      <c r="E43" s="24" t="s">
        <v>3165</v>
      </c>
      <c r="F43" t="str">
        <f>VLOOKUP(O43,pearl!$B:$E,4,0)</f>
        <v>♂</v>
      </c>
      <c r="G43" t="str">
        <f>VLOOKUP(IF(F43="Дом",H43,F43),pearl!$D$28:$F$32,3,0)</f>
        <v>Марс</v>
      </c>
      <c r="H43" t="str">
        <f>VLOOKUP(O43,pearl!$B:$E,3,0)</f>
        <v>Щит♂</v>
      </c>
      <c r="I43" t="s">
        <v>27</v>
      </c>
      <c r="J43" t="s">
        <v>28</v>
      </c>
      <c r="K43" t="s">
        <v>23</v>
      </c>
      <c r="L43" t="s">
        <v>2106</v>
      </c>
      <c r="M43" t="s">
        <v>3188</v>
      </c>
      <c r="N43" t="s">
        <v>2585</v>
      </c>
      <c r="O43" t="s">
        <v>1366</v>
      </c>
      <c r="P43" s="8">
        <v>3</v>
      </c>
      <c r="Q43" s="8">
        <v>1</v>
      </c>
      <c r="R43" s="8">
        <v>0</v>
      </c>
      <c r="S43" t="s">
        <v>23</v>
      </c>
      <c r="T43" s="3"/>
      <c r="U43" s="3"/>
      <c r="V43" s="3"/>
    </row>
    <row r="44" spans="1:22" ht="12.45" hidden="1" x14ac:dyDescent="0.2">
      <c r="A44" s="3" t="s">
        <v>2138</v>
      </c>
      <c r="B44" t="s">
        <v>2788</v>
      </c>
      <c r="C44" s="24" t="s">
        <v>3114</v>
      </c>
      <c r="D44" s="24" t="s">
        <v>3176</v>
      </c>
      <c r="E44" s="24" t="s">
        <v>3152</v>
      </c>
      <c r="F44" t="str">
        <f>VLOOKUP(O44,pearl!$B:$E,4,0)</f>
        <v>♄</v>
      </c>
      <c r="G44" t="str">
        <f>VLOOKUP(IF(F44="Дом",H44,F44),pearl!$D$28:$F$32,3,0)</f>
        <v>Сатурн</v>
      </c>
      <c r="H44" t="str">
        <f>VLOOKUP(O44,pearl!$B:$E,3,0)</f>
        <v>♄Восходящий Дым</v>
      </c>
      <c r="I44" t="s">
        <v>34</v>
      </c>
      <c r="J44" t="s">
        <v>16</v>
      </c>
      <c r="K44" t="s">
        <v>142</v>
      </c>
      <c r="L44" t="s">
        <v>18</v>
      </c>
      <c r="M44" t="s">
        <v>3181</v>
      </c>
      <c r="N44" t="s">
        <v>2789</v>
      </c>
      <c r="O44" t="s">
        <v>124</v>
      </c>
      <c r="P44" s="8">
        <v>4</v>
      </c>
      <c r="Q44" s="8">
        <v>2</v>
      </c>
      <c r="R44" s="8">
        <v>0</v>
      </c>
      <c r="S44" t="s">
        <v>1999</v>
      </c>
      <c r="T44" s="3"/>
      <c r="U44" s="3"/>
      <c r="V44" s="3"/>
    </row>
    <row r="45" spans="1:22" ht="12.45" hidden="1" x14ac:dyDescent="0.2">
      <c r="A45" s="3" t="s">
        <v>2138</v>
      </c>
      <c r="B45" t="s">
        <v>2050</v>
      </c>
      <c r="C45" s="24" t="s">
        <v>3114</v>
      </c>
      <c r="D45" s="24" t="s">
        <v>3176</v>
      </c>
      <c r="E45" s="24" t="s">
        <v>3165</v>
      </c>
      <c r="F45" t="str">
        <f>VLOOKUP(O45,pearl!$B:$E,4,0)</f>
        <v>♂</v>
      </c>
      <c r="G45" t="str">
        <f>VLOOKUP(IF(F45="Дом",H45,F45),pearl!$D$28:$F$32,3,0)</f>
        <v>Марс</v>
      </c>
      <c r="H45" t="str">
        <f>VLOOKUP(O45,pearl!$B:$E,3,0)</f>
        <v>Копье♂</v>
      </c>
      <c r="I45" t="s">
        <v>175</v>
      </c>
      <c r="J45" t="s">
        <v>22</v>
      </c>
      <c r="K45" t="s">
        <v>2109</v>
      </c>
      <c r="L45" t="s">
        <v>18</v>
      </c>
      <c r="M45" t="s">
        <v>3184</v>
      </c>
      <c r="N45" t="s">
        <v>2560</v>
      </c>
      <c r="O45" t="s">
        <v>1082</v>
      </c>
      <c r="P45" s="8">
        <v>5</v>
      </c>
      <c r="Q45" s="8">
        <v>2</v>
      </c>
      <c r="R45" s="8">
        <v>0</v>
      </c>
      <c r="S45" t="s">
        <v>2048</v>
      </c>
      <c r="T45" s="3"/>
      <c r="U45" s="3"/>
      <c r="V45" s="3"/>
    </row>
    <row r="46" spans="1:22" ht="12.45" hidden="1" x14ac:dyDescent="0.2">
      <c r="A46" s="3" t="s">
        <v>2138</v>
      </c>
      <c r="B46" t="s">
        <v>2002</v>
      </c>
      <c r="C46" s="24" t="s">
        <v>3114</v>
      </c>
      <c r="D46" s="24" t="s">
        <v>3176</v>
      </c>
      <c r="E46" s="24" t="s">
        <v>3165</v>
      </c>
      <c r="F46" t="str">
        <f>VLOOKUP(O46,pearl!$B:$E,4,0)</f>
        <v>♄</v>
      </c>
      <c r="G46" t="str">
        <f>VLOOKUP(IF(F46="Дом",H46,F46),pearl!$D$28:$F$32,3,0)</f>
        <v>Сатурн</v>
      </c>
      <c r="H46" t="str">
        <f>VLOOKUP(O46,pearl!$B:$E,3,0)</f>
        <v>♄Восходящий Дым</v>
      </c>
      <c r="I46" t="s">
        <v>2786</v>
      </c>
      <c r="J46" t="s">
        <v>28</v>
      </c>
      <c r="K46" t="s">
        <v>212</v>
      </c>
      <c r="L46" t="s">
        <v>2106</v>
      </c>
      <c r="M46" t="s">
        <v>3175</v>
      </c>
      <c r="N46" t="s">
        <v>2784</v>
      </c>
      <c r="O46" t="s">
        <v>124</v>
      </c>
      <c r="P46" s="8">
        <v>3</v>
      </c>
      <c r="Q46" s="8">
        <v>1</v>
      </c>
      <c r="R46" s="8">
        <v>0</v>
      </c>
      <c r="S46" t="s">
        <v>23</v>
      </c>
      <c r="T46" s="3"/>
      <c r="U46" s="3"/>
      <c r="V46" s="3"/>
    </row>
    <row r="47" spans="1:22" ht="12.45" hidden="1" x14ac:dyDescent="0.2">
      <c r="A47" s="3" t="s">
        <v>2138</v>
      </c>
      <c r="B47" t="s">
        <v>2051</v>
      </c>
      <c r="C47" s="24" t="s">
        <v>3135</v>
      </c>
      <c r="D47" s="24" t="s">
        <v>3176</v>
      </c>
      <c r="E47" s="24" t="s">
        <v>3165</v>
      </c>
      <c r="F47" t="str">
        <f>VLOOKUP(O47,pearl!$B:$E,4,0)</f>
        <v>♂</v>
      </c>
      <c r="G47" t="str">
        <f>VLOOKUP(IF(F47="Дом",H47,F47),pearl!$D$28:$F$32,3,0)</f>
        <v>Марс</v>
      </c>
      <c r="H47" t="str">
        <f>VLOOKUP(O47,pearl!$B:$E,3,0)</f>
        <v>Копье♂</v>
      </c>
      <c r="I47" t="s">
        <v>53</v>
      </c>
      <c r="J47" t="s">
        <v>22</v>
      </c>
      <c r="K47" t="s">
        <v>2265</v>
      </c>
      <c r="L47" t="s">
        <v>18</v>
      </c>
      <c r="M47" t="s">
        <v>3182</v>
      </c>
      <c r="N47" t="s">
        <v>2552</v>
      </c>
      <c r="O47" t="s">
        <v>1082</v>
      </c>
      <c r="P47" s="8">
        <v>3</v>
      </c>
      <c r="Q47" s="8">
        <v>1</v>
      </c>
      <c r="R47" s="8">
        <v>0</v>
      </c>
      <c r="S47" t="s">
        <v>23</v>
      </c>
      <c r="T47" s="3"/>
      <c r="U47" s="3"/>
      <c r="V47" s="3"/>
    </row>
    <row r="48" spans="1:22" ht="12.45" hidden="1" x14ac:dyDescent="0.2">
      <c r="A48" s="3" t="s">
        <v>2138</v>
      </c>
      <c r="B48" t="s">
        <v>2049</v>
      </c>
      <c r="C48" s="24" t="s">
        <v>3135</v>
      </c>
      <c r="D48" s="24" t="s">
        <v>3176</v>
      </c>
      <c r="E48" s="24" t="s">
        <v>3165</v>
      </c>
      <c r="F48" t="str">
        <f>VLOOKUP(O48,pearl!$B:$E,4,0)</f>
        <v>♂</v>
      </c>
      <c r="G48" t="str">
        <f>VLOOKUP(IF(F48="Дом",H48,F48),pearl!$D$28:$F$32,3,0)</f>
        <v>Марс</v>
      </c>
      <c r="H48" t="str">
        <f>VLOOKUP(O48,pearl!$B:$E,3,0)</f>
        <v>Копье♂</v>
      </c>
      <c r="I48" t="s">
        <v>175</v>
      </c>
      <c r="J48" t="s">
        <v>16</v>
      </c>
      <c r="K48" t="s">
        <v>2265</v>
      </c>
      <c r="L48" t="s">
        <v>18</v>
      </c>
      <c r="M48" t="s">
        <v>3183</v>
      </c>
      <c r="N48" t="s">
        <v>2552</v>
      </c>
      <c r="O48" t="s">
        <v>1082</v>
      </c>
      <c r="P48" s="8">
        <v>4</v>
      </c>
      <c r="Q48" s="8">
        <v>1</v>
      </c>
      <c r="R48" s="8">
        <v>0</v>
      </c>
      <c r="S48" t="s">
        <v>2051</v>
      </c>
      <c r="T48" s="3"/>
      <c r="U48" s="3"/>
      <c r="V48" s="3"/>
    </row>
    <row r="49" spans="1:22" ht="12.45" hidden="1" x14ac:dyDescent="0.2">
      <c r="A49" s="3" t="s">
        <v>2138</v>
      </c>
      <c r="B49" t="s">
        <v>2875</v>
      </c>
      <c r="C49" s="24" t="s">
        <v>3135</v>
      </c>
      <c r="D49" s="24" t="s">
        <v>3176</v>
      </c>
      <c r="E49" s="24" t="s">
        <v>3140</v>
      </c>
      <c r="F49" t="str">
        <f>VLOOKUP(O49,pearl!$B:$E,4,0)</f>
        <v>♄</v>
      </c>
      <c r="G49" t="str">
        <f>VLOOKUP(IF(F49="Дом",H49,F49),pearl!$D$28:$F$32,3,0)</f>
        <v>Сатурн</v>
      </c>
      <c r="H49" t="str">
        <f>VLOOKUP(O49,pearl!$B:$E,3,0)</f>
        <v>♄Труп</v>
      </c>
      <c r="I49" t="s">
        <v>15</v>
      </c>
      <c r="J49" t="s">
        <v>28</v>
      </c>
      <c r="K49" t="s">
        <v>23</v>
      </c>
      <c r="L49" t="s">
        <v>18</v>
      </c>
      <c r="M49" t="s">
        <v>3139</v>
      </c>
      <c r="N49" t="s">
        <v>2874</v>
      </c>
      <c r="O49" t="s">
        <v>1031</v>
      </c>
      <c r="P49" s="8">
        <v>1</v>
      </c>
      <c r="Q49" s="8">
        <v>1</v>
      </c>
      <c r="R49" s="8">
        <v>0</v>
      </c>
      <c r="S49" t="s">
        <v>2045</v>
      </c>
      <c r="T49" s="3"/>
      <c r="U49" s="3"/>
      <c r="V49" s="3"/>
    </row>
    <row r="50" spans="1:22" ht="12.45" hidden="1" x14ac:dyDescent="0.2">
      <c r="A50" s="3" t="s">
        <v>2138</v>
      </c>
      <c r="B50" t="s">
        <v>2876</v>
      </c>
      <c r="C50" s="24" t="s">
        <v>3135</v>
      </c>
      <c r="D50" s="24" t="s">
        <v>3176</v>
      </c>
      <c r="E50" s="24" t="s">
        <v>3140</v>
      </c>
      <c r="F50" t="str">
        <f>VLOOKUP(O50,pearl!$B:$E,4,0)</f>
        <v>♄</v>
      </c>
      <c r="G50" t="str">
        <f>VLOOKUP(IF(F50="Дом",H50,F50),pearl!$D$28:$F$32,3,0)</f>
        <v>Сатурн</v>
      </c>
      <c r="H50" t="str">
        <f>VLOOKUP(O50,pearl!$B:$E,3,0)</f>
        <v>♄Труп</v>
      </c>
      <c r="I50" t="s">
        <v>175</v>
      </c>
      <c r="J50" t="s">
        <v>28</v>
      </c>
      <c r="K50" t="s">
        <v>142</v>
      </c>
      <c r="L50" t="s">
        <v>18</v>
      </c>
      <c r="M50" t="s">
        <v>3141</v>
      </c>
      <c r="N50" t="s">
        <v>2877</v>
      </c>
      <c r="O50" t="s">
        <v>1031</v>
      </c>
      <c r="P50" s="8">
        <v>5</v>
      </c>
      <c r="Q50" s="8">
        <v>1</v>
      </c>
      <c r="R50" s="8">
        <v>0</v>
      </c>
      <c r="S50" t="s">
        <v>2875</v>
      </c>
      <c r="T50" s="3"/>
      <c r="U50" s="3"/>
      <c r="V50" s="3"/>
    </row>
    <row r="51" spans="1:22" ht="12.45" hidden="1" x14ac:dyDescent="0.2">
      <c r="A51" s="3" t="s">
        <v>2138</v>
      </c>
      <c r="B51" t="s">
        <v>2045</v>
      </c>
      <c r="C51" s="24" t="s">
        <v>3135</v>
      </c>
      <c r="D51" s="24" t="s">
        <v>3176</v>
      </c>
      <c r="E51" s="24" t="s">
        <v>3140</v>
      </c>
      <c r="F51" t="str">
        <f>VLOOKUP(O51,pearl!$B:$E,4,0)</f>
        <v>♄</v>
      </c>
      <c r="G51" t="str">
        <f>VLOOKUP(IF(F51="Дом",H51,F51),pearl!$D$28:$F$32,3,0)</f>
        <v>Сатурн</v>
      </c>
      <c r="H51" t="str">
        <f>VLOOKUP(O51,pearl!$B:$E,3,0)</f>
        <v>♄Труп</v>
      </c>
      <c r="I51" t="s">
        <v>175</v>
      </c>
      <c r="J51" t="s">
        <v>28</v>
      </c>
      <c r="K51" t="s">
        <v>2123</v>
      </c>
      <c r="L51" t="s">
        <v>18</v>
      </c>
      <c r="M51" t="s">
        <v>3138</v>
      </c>
      <c r="N51" t="s">
        <v>2874</v>
      </c>
      <c r="O51" t="s">
        <v>1031</v>
      </c>
      <c r="P51" s="8">
        <v>1</v>
      </c>
      <c r="Q51" s="8">
        <v>1</v>
      </c>
      <c r="R51" s="8">
        <v>0</v>
      </c>
      <c r="S51" t="s">
        <v>23</v>
      </c>
      <c r="T51" s="3"/>
      <c r="U51" s="3"/>
      <c r="V51" s="3"/>
    </row>
    <row r="52" spans="1:22" ht="12.45" hidden="1" x14ac:dyDescent="0.2">
      <c r="A52" s="3" t="s">
        <v>2138</v>
      </c>
      <c r="B52" t="s">
        <v>2884</v>
      </c>
      <c r="C52" s="24" t="s">
        <v>3135</v>
      </c>
      <c r="D52" s="24" t="s">
        <v>3176</v>
      </c>
      <c r="E52" s="24" t="s">
        <v>3180</v>
      </c>
      <c r="F52" t="str">
        <f>VLOOKUP(O52,pearl!$B:$E,4,0)</f>
        <v>♄</v>
      </c>
      <c r="G52" t="str">
        <f>VLOOKUP(IF(F52="Дом",H52,F52),pearl!$D$28:$F$32,3,0)</f>
        <v>Сатурн</v>
      </c>
      <c r="H52" t="str">
        <f>VLOOKUP(O52,pearl!$B:$E,3,0)</f>
        <v>♄Труп</v>
      </c>
      <c r="I52" t="s">
        <v>53</v>
      </c>
      <c r="J52" t="s">
        <v>28</v>
      </c>
      <c r="K52" t="s">
        <v>23</v>
      </c>
      <c r="L52" t="s">
        <v>182</v>
      </c>
      <c r="M52" t="s">
        <v>3142</v>
      </c>
      <c r="N52" t="s">
        <v>2881</v>
      </c>
      <c r="O52" t="s">
        <v>1031</v>
      </c>
      <c r="P52" s="8">
        <v>3</v>
      </c>
      <c r="Q52" s="8">
        <v>1</v>
      </c>
      <c r="R52" s="8">
        <v>0</v>
      </c>
      <c r="S52" t="s">
        <v>23</v>
      </c>
      <c r="T52" s="3"/>
      <c r="U52" s="3"/>
      <c r="V52" s="3"/>
    </row>
    <row r="53" spans="1:22" ht="12.45" hidden="1" x14ac:dyDescent="0.2">
      <c r="A53" s="3" t="s">
        <v>2138</v>
      </c>
      <c r="B53" t="s">
        <v>2887</v>
      </c>
      <c r="C53" s="24" t="s">
        <v>3135</v>
      </c>
      <c r="D53" s="24" t="s">
        <v>3176</v>
      </c>
      <c r="E53" s="24" t="s">
        <v>3180</v>
      </c>
      <c r="F53" t="str">
        <f>VLOOKUP(O53,pearl!$B:$E,4,0)</f>
        <v>♄</v>
      </c>
      <c r="G53" t="str">
        <f>VLOOKUP(IF(F53="Дом",H53,F53),pearl!$D$28:$F$32,3,0)</f>
        <v>Сатурн</v>
      </c>
      <c r="H53" t="str">
        <f>VLOOKUP(O53,pearl!$B:$E,3,0)</f>
        <v>♄Труп</v>
      </c>
      <c r="I53" t="s">
        <v>154</v>
      </c>
      <c r="J53" t="s">
        <v>28</v>
      </c>
      <c r="K53" t="s">
        <v>142</v>
      </c>
      <c r="L53" t="s">
        <v>2106</v>
      </c>
      <c r="M53" t="s">
        <v>3144</v>
      </c>
      <c r="N53" t="s">
        <v>2886</v>
      </c>
      <c r="O53" t="s">
        <v>1031</v>
      </c>
      <c r="P53" s="8">
        <v>4</v>
      </c>
      <c r="Q53" s="8">
        <v>2</v>
      </c>
      <c r="R53" s="8">
        <v>0</v>
      </c>
      <c r="S53" t="s">
        <v>2888</v>
      </c>
      <c r="T53" s="3"/>
      <c r="U53" s="3"/>
      <c r="V53" s="3"/>
    </row>
    <row r="54" spans="1:22" ht="12.45" hidden="1" x14ac:dyDescent="0.2">
      <c r="A54" s="3" t="s">
        <v>2138</v>
      </c>
      <c r="B54" t="s">
        <v>2029</v>
      </c>
      <c r="C54" s="24" t="s">
        <v>3135</v>
      </c>
      <c r="D54" s="24" t="s">
        <v>3176</v>
      </c>
      <c r="E54" s="24" t="s">
        <v>3180</v>
      </c>
      <c r="F54" t="str">
        <f>VLOOKUP(O54,pearl!$B:$E,4,0)</f>
        <v>♄</v>
      </c>
      <c r="G54" t="str">
        <f>VLOOKUP(IF(F54="Дом",H54,F54),pearl!$D$28:$F$32,3,0)</f>
        <v>Сатурн</v>
      </c>
      <c r="H54" t="str">
        <f>VLOOKUP(O54,pearl!$B:$E,3,0)</f>
        <v>♄Труп</v>
      </c>
      <c r="I54" t="s">
        <v>694</v>
      </c>
      <c r="J54" t="s">
        <v>28</v>
      </c>
      <c r="K54" t="s">
        <v>23</v>
      </c>
      <c r="L54" t="s">
        <v>18</v>
      </c>
      <c r="M54" t="s">
        <v>3143</v>
      </c>
      <c r="N54" t="s">
        <v>2886</v>
      </c>
      <c r="O54" t="s">
        <v>1031</v>
      </c>
      <c r="P54" s="8">
        <v>3</v>
      </c>
      <c r="Q54" s="8">
        <v>1</v>
      </c>
      <c r="R54" s="8">
        <v>0</v>
      </c>
      <c r="S54" t="s">
        <v>23</v>
      </c>
      <c r="T54" s="3"/>
      <c r="U54" s="3"/>
      <c r="V54" s="3"/>
    </row>
    <row r="55" spans="1:22" ht="12.45" hidden="1" x14ac:dyDescent="0.2">
      <c r="A55" s="3" t="s">
        <v>2138</v>
      </c>
      <c r="B55" t="s">
        <v>2329</v>
      </c>
      <c r="C55" s="24" t="s">
        <v>3136</v>
      </c>
      <c r="D55" s="24"/>
      <c r="E55" s="24"/>
      <c r="F55" t="str">
        <f>VLOOKUP(O55,pearl!$B:$E,4,0)</f>
        <v>♀</v>
      </c>
      <c r="G55" t="str">
        <f>VLOOKUP(IF(F55="Дом",H55,F55),pearl!$D$28:$F$32,3,0)</f>
        <v>Венера</v>
      </c>
      <c r="H55" t="str">
        <f>VLOOKUP(O55,pearl!$B:$E,3,0)</f>
        <v>♀Павлин</v>
      </c>
      <c r="I55" t="s">
        <v>27</v>
      </c>
      <c r="J55" t="s">
        <v>28</v>
      </c>
      <c r="K55" t="s">
        <v>23</v>
      </c>
      <c r="L55" t="s">
        <v>2330</v>
      </c>
      <c r="N55" t="s">
        <v>2326</v>
      </c>
      <c r="O55" t="s">
        <v>464</v>
      </c>
      <c r="P55" s="8">
        <v>3</v>
      </c>
      <c r="Q55" s="8">
        <v>1</v>
      </c>
      <c r="R55" s="8">
        <v>0</v>
      </c>
      <c r="S55" t="s">
        <v>23</v>
      </c>
      <c r="T55" s="3"/>
      <c r="U55" s="3"/>
      <c r="V55" s="3"/>
    </row>
    <row r="56" spans="1:22" ht="12.45" hidden="1" x14ac:dyDescent="0.2">
      <c r="A56" s="3" t="s">
        <v>2138</v>
      </c>
      <c r="B56" t="s">
        <v>2324</v>
      </c>
      <c r="C56" s="24" t="s">
        <v>3136</v>
      </c>
      <c r="D56" s="24"/>
      <c r="E56" s="24"/>
      <c r="F56" t="str">
        <f>VLOOKUP(O56,pearl!$B:$E,4,0)</f>
        <v>♀</v>
      </c>
      <c r="G56" t="str">
        <f>VLOOKUP(IF(F56="Дом",H56,F56),pearl!$D$28:$F$32,3,0)</f>
        <v>Венера</v>
      </c>
      <c r="H56" t="str">
        <f>VLOOKUP(O56,pearl!$B:$E,3,0)</f>
        <v>♀Павлин</v>
      </c>
      <c r="I56" t="s">
        <v>2325</v>
      </c>
      <c r="J56" t="s">
        <v>16</v>
      </c>
      <c r="K56" t="s">
        <v>23</v>
      </c>
      <c r="L56" t="s">
        <v>18</v>
      </c>
      <c r="N56" t="s">
        <v>2326</v>
      </c>
      <c r="O56" t="s">
        <v>464</v>
      </c>
      <c r="P56" s="8">
        <v>2</v>
      </c>
      <c r="Q56" s="8">
        <v>1</v>
      </c>
      <c r="R56" s="8">
        <v>0</v>
      </c>
      <c r="S56" t="s">
        <v>23</v>
      </c>
      <c r="T56" s="3"/>
      <c r="U56" s="3"/>
      <c r="V56" s="3"/>
    </row>
    <row r="57" spans="1:22" ht="12.45" hidden="1" x14ac:dyDescent="0.2">
      <c r="A57" s="3" t="s">
        <v>2138</v>
      </c>
      <c r="B57" t="s">
        <v>2018</v>
      </c>
      <c r="C57" s="24" t="s">
        <v>3136</v>
      </c>
      <c r="D57" s="24"/>
      <c r="E57" s="24"/>
      <c r="F57" t="str">
        <f>VLOOKUP(O57,pearl!$B:$E,4,0)</f>
        <v>♀</v>
      </c>
      <c r="G57" t="str">
        <f>VLOOKUP(IF(F57="Дом",H57,F57),pearl!$D$28:$F$32,3,0)</f>
        <v>Венера</v>
      </c>
      <c r="H57" t="str">
        <f>VLOOKUP(O57,pearl!$B:$E,3,0)</f>
        <v>♀Павлин</v>
      </c>
      <c r="I57" t="s">
        <v>53</v>
      </c>
      <c r="J57" t="s">
        <v>28</v>
      </c>
      <c r="K57" t="s">
        <v>2332</v>
      </c>
      <c r="L57" t="s">
        <v>182</v>
      </c>
      <c r="N57" t="s">
        <v>2333</v>
      </c>
      <c r="O57" t="s">
        <v>464</v>
      </c>
      <c r="P57" s="8">
        <v>3</v>
      </c>
      <c r="Q57" s="8">
        <v>1</v>
      </c>
      <c r="R57" s="8">
        <v>0</v>
      </c>
      <c r="S57" t="s">
        <v>23</v>
      </c>
      <c r="T57" s="3"/>
      <c r="U57" s="3"/>
      <c r="V57" s="3"/>
    </row>
    <row r="58" spans="1:22" ht="12.45" hidden="1" x14ac:dyDescent="0.2">
      <c r="A58" s="3" t="s">
        <v>2138</v>
      </c>
      <c r="B58" t="s">
        <v>2017</v>
      </c>
      <c r="C58" s="24" t="s">
        <v>3136</v>
      </c>
      <c r="D58" s="24"/>
      <c r="E58" s="24"/>
      <c r="F58" t="str">
        <f>VLOOKUP(O58,pearl!$B:$E,4,0)</f>
        <v>♀</v>
      </c>
      <c r="G58" t="str">
        <f>VLOOKUP(IF(F58="Дом",H58,F58),pearl!$D$28:$F$32,3,0)</f>
        <v>Венера</v>
      </c>
      <c r="H58" t="str">
        <f>VLOOKUP(O58,pearl!$B:$E,3,0)</f>
        <v>♀Павлин</v>
      </c>
      <c r="I58" t="s">
        <v>147</v>
      </c>
      <c r="J58" t="s">
        <v>148</v>
      </c>
      <c r="K58" t="s">
        <v>23</v>
      </c>
      <c r="L58" t="s">
        <v>148</v>
      </c>
      <c r="N58" t="s">
        <v>2322</v>
      </c>
      <c r="O58" t="s">
        <v>464</v>
      </c>
      <c r="P58" s="8">
        <v>1</v>
      </c>
      <c r="Q58" s="8">
        <v>1</v>
      </c>
      <c r="R58" s="8">
        <v>0</v>
      </c>
      <c r="S58" t="s">
        <v>23</v>
      </c>
      <c r="T58" s="3"/>
      <c r="U58" s="3"/>
      <c r="V58" s="3"/>
    </row>
    <row r="59" spans="1:22" ht="12.45" hidden="1" x14ac:dyDescent="0.2">
      <c r="A59" s="3" t="s">
        <v>2138</v>
      </c>
      <c r="B59" t="s">
        <v>2016</v>
      </c>
      <c r="C59" s="24" t="s">
        <v>3136</v>
      </c>
      <c r="D59" s="24"/>
      <c r="E59" s="24"/>
      <c r="F59" t="str">
        <f>VLOOKUP(O59,pearl!$B:$E,4,0)</f>
        <v>♀</v>
      </c>
      <c r="G59" t="str">
        <f>VLOOKUP(IF(F59="Дом",H59,F59),pearl!$D$28:$F$32,3,0)</f>
        <v>Венера</v>
      </c>
      <c r="H59" t="str">
        <f>VLOOKUP(O59,pearl!$B:$E,3,0)</f>
        <v>♀Павлин</v>
      </c>
      <c r="I59" t="s">
        <v>147</v>
      </c>
      <c r="J59" t="s">
        <v>148</v>
      </c>
      <c r="K59" t="s">
        <v>23</v>
      </c>
      <c r="L59" t="s">
        <v>148</v>
      </c>
      <c r="N59" t="s">
        <v>2322</v>
      </c>
      <c r="O59" t="s">
        <v>464</v>
      </c>
      <c r="P59" s="8">
        <v>1</v>
      </c>
      <c r="Q59" s="8">
        <v>1</v>
      </c>
      <c r="R59" s="8">
        <v>0</v>
      </c>
      <c r="S59" t="s">
        <v>23</v>
      </c>
      <c r="T59" s="3"/>
      <c r="U59" s="3"/>
      <c r="V59" s="3"/>
    </row>
    <row r="60" spans="1:22" ht="12.45" hidden="1" x14ac:dyDescent="0.2">
      <c r="A60" s="3" t="s">
        <v>2138</v>
      </c>
      <c r="B60" t="s">
        <v>2338</v>
      </c>
      <c r="C60" s="24" t="s">
        <v>3136</v>
      </c>
      <c r="D60" s="24"/>
      <c r="E60" s="24"/>
      <c r="F60" t="str">
        <f>VLOOKUP(O60,pearl!$B:$E,4,0)</f>
        <v>♀</v>
      </c>
      <c r="G60" t="str">
        <f>VLOOKUP(IF(F60="Дом",H60,F60),pearl!$D$28:$F$32,3,0)</f>
        <v>Венера</v>
      </c>
      <c r="H60" t="str">
        <f>VLOOKUP(O60,pearl!$B:$E,3,0)</f>
        <v>♀Павлин</v>
      </c>
      <c r="I60" t="s">
        <v>53</v>
      </c>
      <c r="J60" t="s">
        <v>28</v>
      </c>
      <c r="K60" t="s">
        <v>2336</v>
      </c>
      <c r="L60" t="s">
        <v>2339</v>
      </c>
      <c r="N60" t="s">
        <v>2337</v>
      </c>
      <c r="O60" t="s">
        <v>464</v>
      </c>
      <c r="P60" s="8">
        <v>4</v>
      </c>
      <c r="Q60" s="8">
        <v>2</v>
      </c>
      <c r="R60" s="8">
        <v>0</v>
      </c>
      <c r="S60" t="s">
        <v>2018</v>
      </c>
      <c r="T60" s="3"/>
      <c r="U60" s="3"/>
      <c r="V60" s="3"/>
    </row>
    <row r="61" spans="1:22" ht="12.45" hidden="1" x14ac:dyDescent="0.2">
      <c r="A61" s="3" t="s">
        <v>2138</v>
      </c>
      <c r="B61" t="s">
        <v>2340</v>
      </c>
      <c r="C61" s="24" t="s">
        <v>3136</v>
      </c>
      <c r="D61" s="24"/>
      <c r="E61" s="24"/>
      <c r="F61" t="str">
        <f>VLOOKUP(O61,pearl!$B:$E,4,0)</f>
        <v>♀</v>
      </c>
      <c r="G61" t="str">
        <f>VLOOKUP(IF(F61="Дом",H61,F61),pearl!$D$28:$F$32,3,0)</f>
        <v>Венера</v>
      </c>
      <c r="H61" t="str">
        <f>VLOOKUP(O61,pearl!$B:$E,3,0)</f>
        <v>♀Павлин</v>
      </c>
      <c r="I61" t="s">
        <v>254</v>
      </c>
      <c r="J61" t="s">
        <v>28</v>
      </c>
      <c r="K61" t="s">
        <v>2332</v>
      </c>
      <c r="L61" t="s">
        <v>182</v>
      </c>
      <c r="N61" t="s">
        <v>2337</v>
      </c>
      <c r="O61" t="s">
        <v>464</v>
      </c>
      <c r="P61" s="8">
        <v>5</v>
      </c>
      <c r="Q61" s="8">
        <v>2</v>
      </c>
      <c r="R61" s="8">
        <v>0</v>
      </c>
      <c r="S61" t="s">
        <v>2341</v>
      </c>
      <c r="T61" s="3"/>
      <c r="U61" s="3"/>
      <c r="V61" s="3"/>
    </row>
    <row r="62" spans="1:22" ht="12.45" hidden="1" x14ac:dyDescent="0.2">
      <c r="A62" s="3" t="s">
        <v>2138</v>
      </c>
      <c r="B62" t="s">
        <v>2327</v>
      </c>
      <c r="C62" s="24" t="s">
        <v>3136</v>
      </c>
      <c r="D62" s="24"/>
      <c r="E62" s="24"/>
      <c r="F62" t="str">
        <f>VLOOKUP(O62,pearl!$B:$E,4,0)</f>
        <v>♀</v>
      </c>
      <c r="G62" t="str">
        <f>VLOOKUP(IF(F62="Дом",H62,F62),pearl!$D$28:$F$32,3,0)</f>
        <v>Венера</v>
      </c>
      <c r="H62" t="str">
        <f>VLOOKUP(O62,pearl!$B:$E,3,0)</f>
        <v>♀Павлин</v>
      </c>
      <c r="I62" t="s">
        <v>2328</v>
      </c>
      <c r="J62" t="s">
        <v>16</v>
      </c>
      <c r="K62" t="s">
        <v>23</v>
      </c>
      <c r="L62" t="s">
        <v>18</v>
      </c>
      <c r="N62" t="s">
        <v>2326</v>
      </c>
      <c r="O62" t="s">
        <v>464</v>
      </c>
      <c r="P62" s="8">
        <v>4</v>
      </c>
      <c r="Q62" s="8">
        <v>1</v>
      </c>
      <c r="R62" s="8">
        <v>0</v>
      </c>
      <c r="S62" t="s">
        <v>2324</v>
      </c>
      <c r="T62" s="3"/>
      <c r="U62" s="3"/>
      <c r="V62" s="3"/>
    </row>
    <row r="63" spans="1:22" ht="12.45" hidden="1" x14ac:dyDescent="0.2">
      <c r="A63" s="3" t="s">
        <v>2138</v>
      </c>
      <c r="B63" t="s">
        <v>2356</v>
      </c>
      <c r="C63" s="24" t="s">
        <v>3136</v>
      </c>
      <c r="D63" s="24"/>
      <c r="E63" s="24"/>
      <c r="F63" t="str">
        <f>VLOOKUP(O63,pearl!$B:$E,4,0)</f>
        <v>♀</v>
      </c>
      <c r="G63" t="str">
        <f>VLOOKUP(IF(F63="Дом",H63,F63),pearl!$D$28:$F$32,3,0)</f>
        <v>Венера</v>
      </c>
      <c r="H63" t="str">
        <f>VLOOKUP(O63,pearl!$B:$E,3,0)</f>
        <v>♀Кувшин</v>
      </c>
      <c r="I63" t="s">
        <v>40</v>
      </c>
      <c r="J63" t="s">
        <v>22</v>
      </c>
      <c r="K63" t="s">
        <v>17</v>
      </c>
      <c r="L63" t="s">
        <v>18</v>
      </c>
      <c r="N63" t="s">
        <v>2354</v>
      </c>
      <c r="O63" t="s">
        <v>598</v>
      </c>
      <c r="P63" s="8">
        <v>1</v>
      </c>
      <c r="Q63" s="8">
        <v>1</v>
      </c>
      <c r="R63" s="8">
        <v>0</v>
      </c>
      <c r="S63" t="s">
        <v>23</v>
      </c>
      <c r="T63" s="3"/>
      <c r="U63" s="3"/>
      <c r="V63" s="3"/>
    </row>
    <row r="64" spans="1:22" ht="12.45" hidden="1" x14ac:dyDescent="0.2">
      <c r="A64" s="3" t="s">
        <v>2138</v>
      </c>
      <c r="B64" t="s">
        <v>2360</v>
      </c>
      <c r="C64" s="24" t="s">
        <v>3136</v>
      </c>
      <c r="D64" s="24"/>
      <c r="E64" s="24"/>
      <c r="F64" t="str">
        <f>VLOOKUP(O64,pearl!$B:$E,4,0)</f>
        <v>♀</v>
      </c>
      <c r="G64" t="str">
        <f>VLOOKUP(IF(F64="Дом",H64,F64),pearl!$D$28:$F$32,3,0)</f>
        <v>Венера</v>
      </c>
      <c r="H64" t="str">
        <f>VLOOKUP(O64,pearl!$B:$E,3,0)</f>
        <v>♀Кувшин</v>
      </c>
      <c r="I64" t="s">
        <v>43</v>
      </c>
      <c r="J64" t="s">
        <v>28</v>
      </c>
      <c r="K64" t="s">
        <v>2361</v>
      </c>
      <c r="L64" t="s">
        <v>18</v>
      </c>
      <c r="N64" t="s">
        <v>2359</v>
      </c>
      <c r="O64" t="s">
        <v>598</v>
      </c>
      <c r="P64" s="8">
        <v>5</v>
      </c>
      <c r="Q64" s="8">
        <v>1</v>
      </c>
      <c r="R64" s="8">
        <v>0</v>
      </c>
      <c r="S64" t="s">
        <v>2356</v>
      </c>
      <c r="T64" s="3"/>
      <c r="U64" s="3"/>
      <c r="V64" s="3"/>
    </row>
    <row r="65" spans="1:22" ht="12.45" hidden="1" x14ac:dyDescent="0.2">
      <c r="A65" s="3" t="s">
        <v>2138</v>
      </c>
      <c r="B65" t="s">
        <v>2095</v>
      </c>
      <c r="C65" s="24" t="s">
        <v>3136</v>
      </c>
      <c r="D65" s="24"/>
      <c r="E65" s="24"/>
      <c r="F65" t="str">
        <f>VLOOKUP(O65,pearl!$B:$E,4,0)</f>
        <v>♀</v>
      </c>
      <c r="G65" t="str">
        <f>VLOOKUP(IF(F65="Дом",H65,F65),pearl!$D$28:$F$32,3,0)</f>
        <v>Венера</v>
      </c>
      <c r="H65" t="str">
        <f>VLOOKUP(O65,pearl!$B:$E,3,0)</f>
        <v>♀Кувшин</v>
      </c>
      <c r="I65" t="s">
        <v>71</v>
      </c>
      <c r="J65" t="s">
        <v>22</v>
      </c>
      <c r="K65" t="s">
        <v>2105</v>
      </c>
      <c r="L65" t="s">
        <v>18</v>
      </c>
      <c r="N65" t="s">
        <v>2364</v>
      </c>
      <c r="O65" t="s">
        <v>598</v>
      </c>
      <c r="P65" s="8">
        <v>4</v>
      </c>
      <c r="Q65" s="8">
        <v>2</v>
      </c>
      <c r="R65" s="8">
        <v>0</v>
      </c>
      <c r="S65" t="s">
        <v>2356</v>
      </c>
      <c r="T65" s="3"/>
      <c r="U65" s="3"/>
      <c r="V65" s="3"/>
    </row>
    <row r="66" spans="1:22" ht="12.45" hidden="1" x14ac:dyDescent="0.2">
      <c r="A66" s="3" t="s">
        <v>2138</v>
      </c>
      <c r="B66" t="s">
        <v>2357</v>
      </c>
      <c r="C66" s="24" t="s">
        <v>3136</v>
      </c>
      <c r="D66" s="24"/>
      <c r="E66" s="24"/>
      <c r="F66" t="str">
        <f>VLOOKUP(O66,pearl!$B:$E,4,0)</f>
        <v>♀</v>
      </c>
      <c r="G66" t="str">
        <f>VLOOKUP(IF(F66="Дом",H66,F66),pearl!$D$28:$F$32,3,0)</f>
        <v>Венера</v>
      </c>
      <c r="H66" t="str">
        <f>VLOOKUP(O66,pearl!$B:$E,3,0)</f>
        <v>♀Кувшин</v>
      </c>
      <c r="I66" t="s">
        <v>175</v>
      </c>
      <c r="J66" t="s">
        <v>22</v>
      </c>
      <c r="K66" t="s">
        <v>2358</v>
      </c>
      <c r="L66" t="s">
        <v>18</v>
      </c>
      <c r="N66" t="s">
        <v>2359</v>
      </c>
      <c r="O66" t="s">
        <v>598</v>
      </c>
      <c r="P66" s="8">
        <v>3</v>
      </c>
      <c r="Q66" s="8">
        <v>1</v>
      </c>
      <c r="R66" s="8">
        <v>0</v>
      </c>
      <c r="S66" t="s">
        <v>2356</v>
      </c>
      <c r="T66" s="3"/>
      <c r="U66" s="3"/>
      <c r="V66" s="3"/>
    </row>
    <row r="67" spans="1:22" ht="12.45" hidden="1" x14ac:dyDescent="0.2">
      <c r="A67" s="3" t="s">
        <v>2138</v>
      </c>
      <c r="B67" t="s">
        <v>122</v>
      </c>
      <c r="C67" s="24" t="s">
        <v>3136</v>
      </c>
      <c r="D67" s="24"/>
      <c r="E67" s="24"/>
      <c r="F67" t="str">
        <f>VLOOKUP(O67,pearl!$B:$E,4,0)</f>
        <v>♀</v>
      </c>
      <c r="G67" t="str">
        <f>VLOOKUP(IF(F67="Дом",H67,F67),pearl!$D$28:$F$32,3,0)</f>
        <v>Венера</v>
      </c>
      <c r="H67" t="str">
        <f>VLOOKUP(O67,pearl!$B:$E,3,0)</f>
        <v>♀Кувшин</v>
      </c>
      <c r="I67" t="s">
        <v>34</v>
      </c>
      <c r="J67" t="s">
        <v>22</v>
      </c>
      <c r="K67" t="s">
        <v>23</v>
      </c>
      <c r="L67" t="s">
        <v>2106</v>
      </c>
      <c r="N67" t="s">
        <v>2359</v>
      </c>
      <c r="O67" t="s">
        <v>598</v>
      </c>
      <c r="P67" s="8">
        <v>1</v>
      </c>
      <c r="Q67" s="8">
        <v>1</v>
      </c>
      <c r="R67" s="8">
        <v>0</v>
      </c>
      <c r="S67" t="s">
        <v>23</v>
      </c>
      <c r="T67" s="3"/>
      <c r="U67" s="3"/>
      <c r="V67" s="3"/>
    </row>
    <row r="68" spans="1:22" ht="12.45" hidden="1" x14ac:dyDescent="0.2">
      <c r="A68" s="3" t="s">
        <v>2138</v>
      </c>
      <c r="B68" t="s">
        <v>2025</v>
      </c>
      <c r="C68" s="24" t="s">
        <v>3136</v>
      </c>
      <c r="D68" s="24"/>
      <c r="E68" s="24"/>
      <c r="F68" t="str">
        <f>VLOOKUP(O68,pearl!$B:$E,4,0)</f>
        <v>♀</v>
      </c>
      <c r="G68" t="str">
        <f>VLOOKUP(IF(F68="Дом",H68,F68),pearl!$D$28:$F$32,3,0)</f>
        <v>Венера</v>
      </c>
      <c r="H68" t="str">
        <f>VLOOKUP(O68,pearl!$B:$E,3,0)</f>
        <v>♀Кувшин</v>
      </c>
      <c r="I68" t="s">
        <v>43</v>
      </c>
      <c r="J68" t="s">
        <v>22</v>
      </c>
      <c r="K68" t="s">
        <v>142</v>
      </c>
      <c r="L68" t="s">
        <v>18</v>
      </c>
      <c r="N68" t="s">
        <v>2364</v>
      </c>
      <c r="O68" t="s">
        <v>598</v>
      </c>
      <c r="P68" s="8">
        <v>3</v>
      </c>
      <c r="Q68" s="8">
        <v>1</v>
      </c>
      <c r="R68" s="8">
        <v>0</v>
      </c>
      <c r="S68" t="s">
        <v>23</v>
      </c>
      <c r="T68" s="3"/>
      <c r="U68" s="3"/>
      <c r="V68" s="3"/>
    </row>
    <row r="69" spans="1:22" ht="12.45" hidden="1" x14ac:dyDescent="0.2">
      <c r="A69" s="3" t="s">
        <v>2138</v>
      </c>
      <c r="B69" t="s">
        <v>2381</v>
      </c>
      <c r="C69" s="24" t="s">
        <v>3136</v>
      </c>
      <c r="D69" s="24"/>
      <c r="E69" s="24"/>
      <c r="F69" t="str">
        <f>VLOOKUP(O69,pearl!$B:$E,4,0)</f>
        <v>♀</v>
      </c>
      <c r="G69" t="str">
        <f>VLOOKUP(IF(F69="Дом",H69,F69),pearl!$D$28:$F$32,3,0)</f>
        <v>Венера</v>
      </c>
      <c r="H69" t="str">
        <f>VLOOKUP(O69,pearl!$B:$E,3,0)</f>
        <v>♀Колонна</v>
      </c>
      <c r="I69" t="s">
        <v>27</v>
      </c>
      <c r="J69" t="s">
        <v>28</v>
      </c>
      <c r="K69" t="s">
        <v>2165</v>
      </c>
      <c r="L69" t="s">
        <v>182</v>
      </c>
      <c r="N69" t="s">
        <v>2379</v>
      </c>
      <c r="O69" t="s">
        <v>839</v>
      </c>
      <c r="P69" s="8">
        <v>4</v>
      </c>
      <c r="Q69" s="8">
        <v>1</v>
      </c>
      <c r="R69" s="8">
        <v>0</v>
      </c>
      <c r="S69" t="s">
        <v>2380</v>
      </c>
      <c r="T69" s="3"/>
      <c r="U69" s="3"/>
      <c r="V69" s="3"/>
    </row>
    <row r="70" spans="1:22" ht="12.45" hidden="1" x14ac:dyDescent="0.2">
      <c r="A70" s="3" t="s">
        <v>2138</v>
      </c>
      <c r="B70" t="s">
        <v>2378</v>
      </c>
      <c r="C70" s="24" t="s">
        <v>3136</v>
      </c>
      <c r="D70" s="24"/>
      <c r="E70" s="24"/>
      <c r="F70" t="str">
        <f>VLOOKUP(O70,pearl!$B:$E,4,0)</f>
        <v>♀</v>
      </c>
      <c r="G70" t="str">
        <f>VLOOKUP(IF(F70="Дом",H70,F70),pearl!$D$28:$F$32,3,0)</f>
        <v>Венера</v>
      </c>
      <c r="H70" t="str">
        <f>VLOOKUP(O70,pearl!$B:$E,3,0)</f>
        <v>♀Колонна</v>
      </c>
      <c r="I70" t="s">
        <v>264</v>
      </c>
      <c r="J70" t="s">
        <v>28</v>
      </c>
      <c r="K70" t="s">
        <v>23</v>
      </c>
      <c r="L70" t="s">
        <v>18</v>
      </c>
      <c r="N70" t="s">
        <v>2379</v>
      </c>
      <c r="O70" t="s">
        <v>839</v>
      </c>
      <c r="P70" s="8">
        <v>3</v>
      </c>
      <c r="Q70" s="8">
        <v>1</v>
      </c>
      <c r="R70" s="8">
        <v>0</v>
      </c>
      <c r="S70" t="s">
        <v>23</v>
      </c>
      <c r="T70" s="3"/>
      <c r="U70" s="3"/>
      <c r="V70" s="3"/>
    </row>
    <row r="71" spans="1:22" ht="12.45" x14ac:dyDescent="0.2">
      <c r="A71" s="3" t="s">
        <v>2138</v>
      </c>
      <c r="B71" t="s">
        <v>2380</v>
      </c>
      <c r="C71" s="24" t="s">
        <v>3136</v>
      </c>
      <c r="D71" s="24"/>
      <c r="E71" s="24"/>
      <c r="F71" t="str">
        <f>VLOOKUP(O71,pearl!$B:$E,4,0)</f>
        <v>♀</v>
      </c>
      <c r="G71" t="str">
        <f>VLOOKUP(IF(F71="Дом",H71,F71),pearl!$D$28:$F$32,3,0)</f>
        <v>Венера</v>
      </c>
      <c r="H71" t="str">
        <f>VLOOKUP(O71,pearl!$B:$E,3,0)</f>
        <v>♀Колонна</v>
      </c>
      <c r="I71" t="s">
        <v>34</v>
      </c>
      <c r="J71" t="s">
        <v>28</v>
      </c>
      <c r="K71" t="s">
        <v>142</v>
      </c>
      <c r="L71" t="s">
        <v>18</v>
      </c>
      <c r="N71" t="s">
        <v>2379</v>
      </c>
      <c r="O71" t="s">
        <v>839</v>
      </c>
      <c r="P71" s="8">
        <v>3</v>
      </c>
      <c r="Q71" s="8">
        <v>1</v>
      </c>
      <c r="R71" s="8">
        <v>0</v>
      </c>
      <c r="S71" t="s">
        <v>23</v>
      </c>
      <c r="T71" s="3"/>
      <c r="U71" s="3"/>
      <c r="V71" s="3"/>
    </row>
    <row r="72" spans="1:22" ht="12.45" hidden="1" x14ac:dyDescent="0.2">
      <c r="A72" s="3" t="s">
        <v>2138</v>
      </c>
      <c r="B72" t="s">
        <v>2384</v>
      </c>
      <c r="C72" s="24" t="s">
        <v>3136</v>
      </c>
      <c r="D72" s="24"/>
      <c r="E72" s="24"/>
      <c r="F72" t="str">
        <f>VLOOKUP(O72,pearl!$B:$E,4,0)</f>
        <v>♀</v>
      </c>
      <c r="G72" t="str">
        <f>VLOOKUP(IF(F72="Дом",H72,F72),pearl!$D$28:$F$32,3,0)</f>
        <v>Венера</v>
      </c>
      <c r="H72" t="str">
        <f>VLOOKUP(O72,pearl!$B:$E,3,0)</f>
        <v>♀Колонна</v>
      </c>
      <c r="I72" t="s">
        <v>53</v>
      </c>
      <c r="J72" t="s">
        <v>28</v>
      </c>
      <c r="K72" t="s">
        <v>23</v>
      </c>
      <c r="L72" t="s">
        <v>2106</v>
      </c>
      <c r="N72" t="s">
        <v>2383</v>
      </c>
      <c r="O72" t="s">
        <v>839</v>
      </c>
      <c r="P72" s="8">
        <v>3</v>
      </c>
      <c r="Q72" s="8">
        <v>1</v>
      </c>
      <c r="R72" s="8">
        <v>0</v>
      </c>
      <c r="S72" t="s">
        <v>23</v>
      </c>
      <c r="T72" s="3"/>
      <c r="U72" s="3"/>
      <c r="V72" s="3"/>
    </row>
    <row r="73" spans="1:22" ht="12.45" hidden="1" x14ac:dyDescent="0.2">
      <c r="A73" s="3" t="s">
        <v>2138</v>
      </c>
      <c r="B73" t="s">
        <v>2061</v>
      </c>
      <c r="C73" s="24" t="s">
        <v>3136</v>
      </c>
      <c r="D73" s="24"/>
      <c r="E73" s="24"/>
      <c r="F73" t="str">
        <f>VLOOKUP(O73,pearl!$B:$E,4,0)</f>
        <v>♀</v>
      </c>
      <c r="G73" t="str">
        <f>VLOOKUP(IF(F73="Дом",H73,F73),pearl!$D$28:$F$32,3,0)</f>
        <v>Венера</v>
      </c>
      <c r="H73" t="str">
        <f>VLOOKUP(O73,pearl!$B:$E,3,0)</f>
        <v>♀Музыкант</v>
      </c>
      <c r="I73" t="s">
        <v>147</v>
      </c>
      <c r="J73" t="s">
        <v>148</v>
      </c>
      <c r="K73" t="s">
        <v>17</v>
      </c>
      <c r="L73" t="s">
        <v>148</v>
      </c>
      <c r="N73" t="s">
        <v>2398</v>
      </c>
      <c r="O73" t="s">
        <v>3126</v>
      </c>
      <c r="P73" s="8">
        <v>1</v>
      </c>
      <c r="Q73" s="8">
        <v>1</v>
      </c>
      <c r="R73" s="8">
        <v>0</v>
      </c>
      <c r="S73" t="s">
        <v>23</v>
      </c>
      <c r="T73" s="3"/>
      <c r="U73" s="3"/>
      <c r="V73" s="3"/>
    </row>
    <row r="74" spans="1:22" ht="12.45" hidden="1" x14ac:dyDescent="0.2">
      <c r="A74" s="3" t="s">
        <v>2138</v>
      </c>
      <c r="B74" t="s">
        <v>2059</v>
      </c>
      <c r="C74" s="24" t="s">
        <v>3136</v>
      </c>
      <c r="D74" s="24"/>
      <c r="E74" s="24"/>
      <c r="F74" t="str">
        <f>VLOOKUP(O74,pearl!$B:$E,4,0)</f>
        <v>♀</v>
      </c>
      <c r="G74" t="str">
        <f>VLOOKUP(IF(F74="Дом",H74,F74),pearl!$D$28:$F$32,3,0)</f>
        <v>Венера</v>
      </c>
      <c r="H74" t="str">
        <f>VLOOKUP(O74,pearl!$B:$E,3,0)</f>
        <v>♀Музыкант</v>
      </c>
      <c r="I74" t="s">
        <v>53</v>
      </c>
      <c r="J74" t="s">
        <v>28</v>
      </c>
      <c r="K74" t="s">
        <v>23</v>
      </c>
      <c r="L74" t="s">
        <v>2116</v>
      </c>
      <c r="N74" t="s">
        <v>2400</v>
      </c>
      <c r="O74" t="s">
        <v>3126</v>
      </c>
      <c r="P74" s="8">
        <v>1</v>
      </c>
      <c r="Q74" s="8">
        <v>1</v>
      </c>
      <c r="R74" s="8">
        <v>0</v>
      </c>
      <c r="S74" t="s">
        <v>23</v>
      </c>
      <c r="T74" s="3"/>
      <c r="U74" s="3"/>
      <c r="V74" s="3"/>
    </row>
    <row r="75" spans="1:22" ht="12.45" x14ac:dyDescent="0.2">
      <c r="A75" s="3" t="s">
        <v>2138</v>
      </c>
      <c r="B75" t="s">
        <v>2410</v>
      </c>
      <c r="C75" s="24" t="s">
        <v>3136</v>
      </c>
      <c r="D75" s="24"/>
      <c r="E75" s="24"/>
      <c r="F75" t="str">
        <f>VLOOKUP(O75,pearl!$B:$E,4,0)</f>
        <v>♀</v>
      </c>
      <c r="G75" t="str">
        <f>VLOOKUP(IF(F75="Дом",H75,F75),pearl!$D$28:$F$32,3,0)</f>
        <v>Венера</v>
      </c>
      <c r="H75" t="str">
        <f>VLOOKUP(O75,pearl!$B:$E,3,0)</f>
        <v>♀Музыкант</v>
      </c>
      <c r="I75" t="s">
        <v>154</v>
      </c>
      <c r="J75" t="s">
        <v>16</v>
      </c>
      <c r="K75" t="s">
        <v>142</v>
      </c>
      <c r="L75" t="s">
        <v>18</v>
      </c>
      <c r="N75" t="s">
        <v>2409</v>
      </c>
      <c r="O75" t="s">
        <v>3126</v>
      </c>
      <c r="P75" s="8">
        <v>3</v>
      </c>
      <c r="Q75" s="8">
        <v>1</v>
      </c>
      <c r="R75" s="8">
        <v>0</v>
      </c>
      <c r="S75" t="s">
        <v>23</v>
      </c>
      <c r="T75" s="3"/>
      <c r="U75" s="3"/>
      <c r="V75" s="3"/>
    </row>
    <row r="76" spans="1:22" ht="12.45" x14ac:dyDescent="0.2">
      <c r="A76" s="3" t="s">
        <v>2138</v>
      </c>
      <c r="B76" t="s">
        <v>2062</v>
      </c>
      <c r="C76" s="24" t="s">
        <v>3136</v>
      </c>
      <c r="D76" s="24"/>
      <c r="E76" s="24"/>
      <c r="F76" t="str">
        <f>VLOOKUP(O76,pearl!$B:$E,4,0)</f>
        <v>♀</v>
      </c>
      <c r="G76" t="str">
        <f>VLOOKUP(IF(F76="Дом",H76,F76),pearl!$D$28:$F$32,3,0)</f>
        <v>Венера</v>
      </c>
      <c r="H76" t="str">
        <f>VLOOKUP(O76,pearl!$B:$E,3,0)</f>
        <v>♀Музыкант</v>
      </c>
      <c r="I76" t="s">
        <v>175</v>
      </c>
      <c r="J76" t="s">
        <v>28</v>
      </c>
      <c r="K76" t="s">
        <v>142</v>
      </c>
      <c r="L76" t="s">
        <v>18</v>
      </c>
      <c r="N76" t="s">
        <v>2400</v>
      </c>
      <c r="O76" t="s">
        <v>3126</v>
      </c>
      <c r="P76" s="8">
        <v>2</v>
      </c>
      <c r="Q76" s="8">
        <v>1</v>
      </c>
      <c r="R76" s="8">
        <v>0</v>
      </c>
      <c r="S76" t="s">
        <v>23</v>
      </c>
      <c r="T76" s="3"/>
      <c r="U76" s="3"/>
      <c r="V76" s="3"/>
    </row>
    <row r="77" spans="1:22" ht="12.45" hidden="1" x14ac:dyDescent="0.2">
      <c r="A77" s="3" t="s">
        <v>2138</v>
      </c>
      <c r="B77" t="s">
        <v>2430</v>
      </c>
      <c r="C77" s="24" t="s">
        <v>3136</v>
      </c>
      <c r="D77" s="24"/>
      <c r="E77" s="24"/>
      <c r="F77" t="str">
        <f>VLOOKUP(O77,pearl!$B:$E,4,0)</f>
        <v>♀</v>
      </c>
      <c r="G77" t="str">
        <f>VLOOKUP(IF(F77="Дом",H77,F77),pearl!$D$28:$F$32,3,0)</f>
        <v>Венера</v>
      </c>
      <c r="H77" t="str">
        <f>VLOOKUP(O77,pearl!$B:$E,3,0)</f>
        <v>♀Любовники</v>
      </c>
      <c r="I77" t="s">
        <v>154</v>
      </c>
      <c r="J77" t="s">
        <v>16</v>
      </c>
      <c r="K77" t="s">
        <v>23</v>
      </c>
      <c r="L77" t="s">
        <v>18</v>
      </c>
      <c r="N77" t="s">
        <v>2431</v>
      </c>
      <c r="O77" t="s">
        <v>1662</v>
      </c>
      <c r="P77" s="8">
        <v>2</v>
      </c>
      <c r="Q77" s="8">
        <v>1</v>
      </c>
      <c r="R77" s="8">
        <v>0</v>
      </c>
      <c r="S77" t="s">
        <v>23</v>
      </c>
      <c r="T77" s="3"/>
      <c r="U77" s="3"/>
      <c r="V77" s="3"/>
    </row>
    <row r="78" spans="1:22" ht="12.45" hidden="1" x14ac:dyDescent="0.2">
      <c r="A78" s="3" t="s">
        <v>2138</v>
      </c>
      <c r="B78" t="s">
        <v>2084</v>
      </c>
      <c r="C78" s="24" t="s">
        <v>3136</v>
      </c>
      <c r="D78" s="24"/>
      <c r="E78" s="24"/>
      <c r="F78" t="str">
        <f>VLOOKUP(O78,pearl!$B:$E,4,0)</f>
        <v>♀</v>
      </c>
      <c r="G78" t="str">
        <f>VLOOKUP(IF(F78="Дом",H78,F78),pearl!$D$28:$F$32,3,0)</f>
        <v>Венера</v>
      </c>
      <c r="H78" t="str">
        <f>VLOOKUP(O78,pearl!$B:$E,3,0)</f>
        <v>♀Любовники</v>
      </c>
      <c r="I78" t="s">
        <v>34</v>
      </c>
      <c r="J78" t="s">
        <v>16</v>
      </c>
      <c r="K78" t="s">
        <v>23</v>
      </c>
      <c r="L78" t="s">
        <v>18</v>
      </c>
      <c r="N78" t="s">
        <v>2437</v>
      </c>
      <c r="O78" t="s">
        <v>1662</v>
      </c>
      <c r="P78" s="8">
        <v>3</v>
      </c>
      <c r="Q78" s="8">
        <v>2</v>
      </c>
      <c r="R78" s="8">
        <v>0</v>
      </c>
      <c r="S78" t="s">
        <v>2088</v>
      </c>
      <c r="T78" s="3"/>
      <c r="U78" s="3"/>
      <c r="V78" s="3"/>
    </row>
    <row r="79" spans="1:22" ht="12.45" hidden="1" x14ac:dyDescent="0.2">
      <c r="A79" s="3" t="s">
        <v>2138</v>
      </c>
      <c r="B79" t="s">
        <v>2088</v>
      </c>
      <c r="C79" s="24" t="s">
        <v>3136</v>
      </c>
      <c r="D79" s="24"/>
      <c r="E79" s="24"/>
      <c r="F79" t="str">
        <f>VLOOKUP(O79,pearl!$B:$E,4,0)</f>
        <v>♀</v>
      </c>
      <c r="G79" t="str">
        <f>VLOOKUP(IF(F79="Дом",H79,F79),pearl!$D$28:$F$32,3,0)</f>
        <v>Венера</v>
      </c>
      <c r="H79" t="str">
        <f>VLOOKUP(O79,pearl!$B:$E,3,0)</f>
        <v>♀Любовники</v>
      </c>
      <c r="I79" t="s">
        <v>40</v>
      </c>
      <c r="J79" t="s">
        <v>16</v>
      </c>
      <c r="K79" t="s">
        <v>23</v>
      </c>
      <c r="L79" t="s">
        <v>18</v>
      </c>
      <c r="N79" t="s">
        <v>2433</v>
      </c>
      <c r="O79" t="s">
        <v>1662</v>
      </c>
      <c r="P79" s="8">
        <v>3</v>
      </c>
      <c r="Q79" s="8">
        <v>1</v>
      </c>
      <c r="R79" s="8">
        <v>0</v>
      </c>
      <c r="S79" t="s">
        <v>23</v>
      </c>
      <c r="T79" s="3"/>
      <c r="U79" s="3"/>
      <c r="V79" s="3"/>
    </row>
    <row r="80" spans="1:22" ht="12.45" hidden="1" x14ac:dyDescent="0.2">
      <c r="A80" s="3" t="s">
        <v>2138</v>
      </c>
      <c r="B80" t="s">
        <v>2442</v>
      </c>
      <c r="C80" s="24" t="s">
        <v>3136</v>
      </c>
      <c r="D80" s="24"/>
      <c r="E80" s="24"/>
      <c r="F80" t="str">
        <f>VLOOKUP(O80,pearl!$B:$E,4,0)</f>
        <v>♀</v>
      </c>
      <c r="G80" t="str">
        <f>VLOOKUP(IF(F80="Дом",H80,F80),pearl!$D$28:$F$32,3,0)</f>
        <v>Венера</v>
      </c>
      <c r="H80" t="str">
        <f>VLOOKUP(O80,pearl!$B:$E,3,0)</f>
        <v>♀Любовники</v>
      </c>
      <c r="I80" t="s">
        <v>64</v>
      </c>
      <c r="J80" t="s">
        <v>22</v>
      </c>
      <c r="K80" t="s">
        <v>23</v>
      </c>
      <c r="L80" t="s">
        <v>18</v>
      </c>
      <c r="N80" t="s">
        <v>2440</v>
      </c>
      <c r="O80" t="s">
        <v>1662</v>
      </c>
      <c r="P80" s="8">
        <v>4</v>
      </c>
      <c r="Q80" s="8">
        <v>3</v>
      </c>
      <c r="R80" s="8">
        <v>0</v>
      </c>
      <c r="S80" t="s">
        <v>2443</v>
      </c>
      <c r="T80" s="3"/>
      <c r="U80" s="3"/>
      <c r="V80" s="3"/>
    </row>
    <row r="81" spans="1:22" ht="12.45" hidden="1" x14ac:dyDescent="0.2">
      <c r="A81" s="3" t="s">
        <v>2138</v>
      </c>
      <c r="B81" t="s">
        <v>2089</v>
      </c>
      <c r="C81" s="24" t="s">
        <v>3136</v>
      </c>
      <c r="D81" s="24"/>
      <c r="E81" s="24"/>
      <c r="F81" t="str">
        <f>VLOOKUP(O81,pearl!$B:$E,4,0)</f>
        <v>♀</v>
      </c>
      <c r="G81" t="str">
        <f>VLOOKUP(IF(F81="Дом",H81,F81),pearl!$D$28:$F$32,3,0)</f>
        <v>Венера</v>
      </c>
      <c r="H81" t="str">
        <f>VLOOKUP(O81,pearl!$B:$E,3,0)</f>
        <v>♀Любовники</v>
      </c>
      <c r="I81" t="s">
        <v>175</v>
      </c>
      <c r="J81" t="s">
        <v>22</v>
      </c>
      <c r="K81" t="s">
        <v>23</v>
      </c>
      <c r="L81" t="s">
        <v>18</v>
      </c>
      <c r="N81" t="s">
        <v>2431</v>
      </c>
      <c r="O81" t="s">
        <v>1662</v>
      </c>
      <c r="P81" s="8">
        <v>2</v>
      </c>
      <c r="Q81" s="8">
        <v>1</v>
      </c>
      <c r="R81" s="8">
        <v>0</v>
      </c>
      <c r="S81" t="s">
        <v>23</v>
      </c>
      <c r="T81" s="3"/>
      <c r="U81" s="3"/>
      <c r="V81" s="3"/>
    </row>
    <row r="82" spans="1:22" ht="12.45" hidden="1" x14ac:dyDescent="0.2">
      <c r="A82" s="3" t="s">
        <v>2138</v>
      </c>
      <c r="B82" t="s">
        <v>2436</v>
      </c>
      <c r="C82" s="24" t="s">
        <v>3136</v>
      </c>
      <c r="D82" s="24"/>
      <c r="E82" s="24"/>
      <c r="F82" t="str">
        <f>VLOOKUP(O82,pearl!$B:$E,4,0)</f>
        <v>♀</v>
      </c>
      <c r="G82" t="str">
        <f>VLOOKUP(IF(F82="Дом",H82,F82),pearl!$D$28:$F$32,3,0)</f>
        <v>Венера</v>
      </c>
      <c r="H82" t="str">
        <f>VLOOKUP(O82,pearl!$B:$E,3,0)</f>
        <v>♀Любовники</v>
      </c>
      <c r="I82" t="s">
        <v>147</v>
      </c>
      <c r="J82" t="s">
        <v>148</v>
      </c>
      <c r="K82" t="s">
        <v>23</v>
      </c>
      <c r="L82" t="s">
        <v>148</v>
      </c>
      <c r="N82" t="s">
        <v>2437</v>
      </c>
      <c r="O82" t="s">
        <v>1662</v>
      </c>
      <c r="P82" s="8">
        <v>3</v>
      </c>
      <c r="Q82" s="8">
        <v>1</v>
      </c>
      <c r="R82" s="8">
        <v>0</v>
      </c>
      <c r="S82" t="s">
        <v>23</v>
      </c>
      <c r="T82" s="3"/>
      <c r="U82" s="3"/>
      <c r="V82" s="3"/>
    </row>
    <row r="83" spans="1:22" ht="12.45" hidden="1" x14ac:dyDescent="0.2">
      <c r="A83" s="3" t="s">
        <v>2138</v>
      </c>
      <c r="B83" t="s">
        <v>2438</v>
      </c>
      <c r="C83" s="24" t="s">
        <v>3136</v>
      </c>
      <c r="D83" s="24"/>
      <c r="E83" s="24"/>
      <c r="F83" t="str">
        <f>VLOOKUP(O83,pearl!$B:$E,4,0)</f>
        <v>♀</v>
      </c>
      <c r="G83" t="str">
        <f>VLOOKUP(IF(F83="Дом",H83,F83),pearl!$D$28:$F$32,3,0)</f>
        <v>Венера</v>
      </c>
      <c r="H83" t="str">
        <f>VLOOKUP(O83,pearl!$B:$E,3,0)</f>
        <v>♀Любовники</v>
      </c>
      <c r="I83" t="s">
        <v>761</v>
      </c>
      <c r="J83" t="s">
        <v>22</v>
      </c>
      <c r="K83" t="s">
        <v>23</v>
      </c>
      <c r="L83" t="s">
        <v>2106</v>
      </c>
      <c r="N83" t="s">
        <v>2437</v>
      </c>
      <c r="O83" t="s">
        <v>1662</v>
      </c>
      <c r="P83" s="8">
        <v>4</v>
      </c>
      <c r="Q83" s="8">
        <v>2</v>
      </c>
      <c r="R83" s="8">
        <v>0</v>
      </c>
      <c r="S83" t="s">
        <v>2088</v>
      </c>
      <c r="T83" s="3"/>
      <c r="U83" s="3"/>
      <c r="V83" s="3"/>
    </row>
    <row r="84" spans="1:22" ht="12.45" hidden="1" x14ac:dyDescent="0.2">
      <c r="A84" s="3" t="s">
        <v>2138</v>
      </c>
      <c r="B84" t="s">
        <v>2317</v>
      </c>
      <c r="C84" s="24" t="s">
        <v>3136</v>
      </c>
      <c r="D84" s="24"/>
      <c r="E84" s="24"/>
      <c r="F84" t="str">
        <f>VLOOKUP(O84,pearl!$B:$E,4,0)</f>
        <v>Дом</v>
      </c>
      <c r="G84" t="str">
        <f>VLOOKUP(IF(F84="Дом",H84,F84),pearl!$D$28:$F$32,3,0)</f>
        <v>Венера</v>
      </c>
      <c r="H84" t="str">
        <f>VLOOKUP(O84,pearl!$B:$E,3,0)</f>
        <v>♀</v>
      </c>
      <c r="I84" t="s">
        <v>2318</v>
      </c>
      <c r="J84" t="s">
        <v>28</v>
      </c>
      <c r="K84" t="s">
        <v>889</v>
      </c>
      <c r="L84" t="s">
        <v>2115</v>
      </c>
      <c r="N84" t="s">
        <v>2319</v>
      </c>
      <c r="O84" t="s">
        <v>2306</v>
      </c>
      <c r="P84" s="8">
        <v>5</v>
      </c>
      <c r="Q84" s="8">
        <v>3</v>
      </c>
      <c r="R84" s="8">
        <v>0</v>
      </c>
      <c r="S84" t="s">
        <v>2316</v>
      </c>
      <c r="T84" s="3"/>
      <c r="U84" s="3"/>
      <c r="V84" s="3"/>
    </row>
    <row r="85" spans="1:22" ht="12.45" hidden="1" x14ac:dyDescent="0.2">
      <c r="A85" s="3" t="s">
        <v>2138</v>
      </c>
      <c r="B85" t="s">
        <v>2310</v>
      </c>
      <c r="C85" s="24" t="s">
        <v>3136</v>
      </c>
      <c r="D85" s="24"/>
      <c r="E85" s="24"/>
      <c r="F85" t="str">
        <f>VLOOKUP(O85,pearl!$B:$E,4,0)</f>
        <v>Дом</v>
      </c>
      <c r="G85" t="str">
        <f>VLOOKUP(IF(F85="Дом",H85,F85),pearl!$D$28:$F$32,3,0)</f>
        <v>Венера</v>
      </c>
      <c r="H85" t="str">
        <f>VLOOKUP(O85,pearl!$B:$E,3,0)</f>
        <v>♀</v>
      </c>
      <c r="I85" t="s">
        <v>154</v>
      </c>
      <c r="J85" t="s">
        <v>22</v>
      </c>
      <c r="K85" t="s">
        <v>23</v>
      </c>
      <c r="L85" t="s">
        <v>18</v>
      </c>
      <c r="N85" t="s">
        <v>2311</v>
      </c>
      <c r="O85" t="s">
        <v>2306</v>
      </c>
      <c r="P85" s="8">
        <v>3</v>
      </c>
      <c r="Q85" s="8">
        <v>1</v>
      </c>
      <c r="R85" s="8">
        <v>0</v>
      </c>
      <c r="S85" t="s">
        <v>2307</v>
      </c>
      <c r="T85" s="3"/>
      <c r="U85" s="3"/>
      <c r="V85" s="3"/>
    </row>
    <row r="86" spans="1:22" ht="12.45" hidden="1" x14ac:dyDescent="0.2">
      <c r="A86" s="3" t="s">
        <v>2138</v>
      </c>
      <c r="B86" t="s">
        <v>2015</v>
      </c>
      <c r="C86" s="24" t="s">
        <v>3114</v>
      </c>
      <c r="D86" s="24"/>
      <c r="E86" s="24"/>
      <c r="F86" t="str">
        <f>VLOOKUP(O86,pearl!$B:$E,4,0)</f>
        <v>♀</v>
      </c>
      <c r="G86" t="str">
        <f>VLOOKUP(IF(F86="Дом",H86,F86),pearl!$D$28:$F$32,3,0)</f>
        <v>Венера</v>
      </c>
      <c r="H86" t="str">
        <f>VLOOKUP(O86,pearl!$B:$E,3,0)</f>
        <v>♀Павлин</v>
      </c>
      <c r="I86" t="s">
        <v>147</v>
      </c>
      <c r="J86" t="s">
        <v>148</v>
      </c>
      <c r="K86" t="s">
        <v>23</v>
      </c>
      <c r="L86" t="s">
        <v>148</v>
      </c>
      <c r="N86" t="s">
        <v>2337</v>
      </c>
      <c r="O86" t="s">
        <v>464</v>
      </c>
      <c r="P86" s="8">
        <v>3</v>
      </c>
      <c r="Q86" s="8">
        <v>1</v>
      </c>
      <c r="R86" s="8">
        <v>0</v>
      </c>
      <c r="S86" t="s">
        <v>23</v>
      </c>
      <c r="T86" s="3"/>
      <c r="U86" s="3"/>
      <c r="V86" s="3"/>
    </row>
    <row r="87" spans="1:22" ht="12.45" hidden="1" x14ac:dyDescent="0.2">
      <c r="A87" s="3" t="s">
        <v>2138</v>
      </c>
      <c r="B87" t="s">
        <v>2444</v>
      </c>
      <c r="C87" s="24" t="s">
        <v>3114</v>
      </c>
      <c r="D87" s="24"/>
      <c r="E87" s="24"/>
      <c r="F87" t="str">
        <f>VLOOKUP(O87,pearl!$B:$E,4,0)</f>
        <v>♀</v>
      </c>
      <c r="G87" t="str">
        <f>VLOOKUP(IF(F87="Дом",H87,F87),pearl!$D$28:$F$32,3,0)</f>
        <v>Венера</v>
      </c>
      <c r="H87" t="str">
        <f>VLOOKUP(O87,pearl!$B:$E,3,0)</f>
        <v>♀Любовники</v>
      </c>
      <c r="I87" t="s">
        <v>2014</v>
      </c>
      <c r="J87" t="s">
        <v>22</v>
      </c>
      <c r="K87" t="s">
        <v>29</v>
      </c>
      <c r="L87" t="s">
        <v>2135</v>
      </c>
      <c r="N87" t="s">
        <v>2440</v>
      </c>
      <c r="O87" t="s">
        <v>1662</v>
      </c>
      <c r="P87" s="8">
        <v>5</v>
      </c>
      <c r="Q87" s="8">
        <v>3</v>
      </c>
      <c r="R87" s="8">
        <v>0</v>
      </c>
      <c r="S87" t="s">
        <v>2088</v>
      </c>
      <c r="T87" s="3"/>
      <c r="U87" s="3"/>
      <c r="V87" s="3"/>
    </row>
    <row r="88" spans="1:22" ht="12.45" hidden="1" x14ac:dyDescent="0.2">
      <c r="A88" s="3" t="s">
        <v>2138</v>
      </c>
      <c r="B88" t="s">
        <v>2313</v>
      </c>
      <c r="C88" s="24" t="s">
        <v>3114</v>
      </c>
      <c r="D88" s="24"/>
      <c r="E88" s="24"/>
      <c r="F88" t="str">
        <f>VLOOKUP(O88,pearl!$B:$E,4,0)</f>
        <v>Дом</v>
      </c>
      <c r="G88" t="str">
        <f>VLOOKUP(IF(F88="Дом",H88,F88),pearl!$D$28:$F$32,3,0)</f>
        <v>Венера</v>
      </c>
      <c r="H88" t="str">
        <f>VLOOKUP(O88,pearl!$B:$E,3,0)</f>
        <v>♀</v>
      </c>
      <c r="I88" t="s">
        <v>43</v>
      </c>
      <c r="J88" t="s">
        <v>22</v>
      </c>
      <c r="K88" t="s">
        <v>142</v>
      </c>
      <c r="L88" t="s">
        <v>2106</v>
      </c>
      <c r="N88" t="s">
        <v>2311</v>
      </c>
      <c r="O88" t="s">
        <v>2306</v>
      </c>
      <c r="P88" s="8">
        <v>3</v>
      </c>
      <c r="Q88" s="8">
        <v>1</v>
      </c>
      <c r="R88" s="8">
        <v>0</v>
      </c>
      <c r="S88" t="s">
        <v>2307</v>
      </c>
      <c r="T88" s="3"/>
      <c r="U88" s="3"/>
      <c r="V88" s="3"/>
    </row>
    <row r="89" spans="1:22" ht="12.45" hidden="1" x14ac:dyDescent="0.2">
      <c r="A89" s="3" t="s">
        <v>2138</v>
      </c>
      <c r="B89" t="s">
        <v>2334</v>
      </c>
      <c r="C89" s="24" t="s">
        <v>3135</v>
      </c>
      <c r="D89" s="24"/>
      <c r="E89" s="24"/>
      <c r="F89" t="str">
        <f>VLOOKUP(O89,pearl!$B:$E,4,0)</f>
        <v>♀</v>
      </c>
      <c r="G89" t="str">
        <f>VLOOKUP(IF(F89="Дом",H89,F89),pearl!$D$28:$F$32,3,0)</f>
        <v>Венера</v>
      </c>
      <c r="H89" t="str">
        <f>VLOOKUP(O89,pearl!$B:$E,3,0)</f>
        <v>♀Павлин</v>
      </c>
      <c r="I89" t="s">
        <v>264</v>
      </c>
      <c r="J89" t="s">
        <v>28</v>
      </c>
      <c r="K89" t="s">
        <v>142</v>
      </c>
      <c r="L89" t="s">
        <v>18</v>
      </c>
      <c r="N89" t="s">
        <v>2333</v>
      </c>
      <c r="O89" t="s">
        <v>464</v>
      </c>
      <c r="P89" s="8">
        <v>3</v>
      </c>
      <c r="Q89" s="8">
        <v>1</v>
      </c>
      <c r="R89" s="8">
        <v>0</v>
      </c>
      <c r="S89" t="s">
        <v>23</v>
      </c>
      <c r="T89" s="3"/>
      <c r="U89" s="3"/>
      <c r="V89" s="3"/>
    </row>
    <row r="90" spans="1:22" ht="12.45" hidden="1" x14ac:dyDescent="0.2">
      <c r="A90" s="3" t="s">
        <v>2138</v>
      </c>
      <c r="B90" t="s">
        <v>2335</v>
      </c>
      <c r="C90" s="24" t="s">
        <v>3135</v>
      </c>
      <c r="D90" s="24"/>
      <c r="E90" s="24"/>
      <c r="F90" t="str">
        <f>VLOOKUP(O90,pearl!$B:$E,4,0)</f>
        <v>♀</v>
      </c>
      <c r="G90" t="str">
        <f>VLOOKUP(IF(F90="Дом",H90,F90),pearl!$D$28:$F$32,3,0)</f>
        <v>Венера</v>
      </c>
      <c r="H90" t="str">
        <f>VLOOKUP(O90,pearl!$B:$E,3,0)</f>
        <v>♀Павлин</v>
      </c>
      <c r="I90" t="s">
        <v>264</v>
      </c>
      <c r="J90" t="s">
        <v>28</v>
      </c>
      <c r="K90" t="s">
        <v>2336</v>
      </c>
      <c r="L90" t="s">
        <v>18</v>
      </c>
      <c r="N90" t="s">
        <v>2333</v>
      </c>
      <c r="O90" t="s">
        <v>464</v>
      </c>
      <c r="P90" s="8">
        <v>5</v>
      </c>
      <c r="Q90" s="8">
        <v>1</v>
      </c>
      <c r="R90" s="8">
        <v>0</v>
      </c>
      <c r="S90" t="s">
        <v>2334</v>
      </c>
      <c r="T90" s="3"/>
      <c r="U90" s="3"/>
      <c r="V90" s="3"/>
    </row>
    <row r="91" spans="1:22" ht="12.45" hidden="1" x14ac:dyDescent="0.2">
      <c r="A91" s="3" t="s">
        <v>2138</v>
      </c>
      <c r="B91" t="s">
        <v>2369</v>
      </c>
      <c r="C91" s="24" t="s">
        <v>3135</v>
      </c>
      <c r="D91" s="24"/>
      <c r="E91" s="24"/>
      <c r="F91" t="str">
        <f>VLOOKUP(O91,pearl!$B:$E,4,0)</f>
        <v>♀</v>
      </c>
      <c r="G91" t="str">
        <f>VLOOKUP(IF(F91="Дом",H91,F91),pearl!$D$28:$F$32,3,0)</f>
        <v>Венера</v>
      </c>
      <c r="H91" t="str">
        <f>VLOOKUP(O91,pearl!$B:$E,3,0)</f>
        <v>♀Кувшин</v>
      </c>
      <c r="I91" t="s">
        <v>175</v>
      </c>
      <c r="J91" t="s">
        <v>22</v>
      </c>
      <c r="K91" t="s">
        <v>2109</v>
      </c>
      <c r="L91" t="s">
        <v>18</v>
      </c>
      <c r="N91" t="s">
        <v>2367</v>
      </c>
      <c r="O91" t="s">
        <v>598</v>
      </c>
      <c r="P91" s="8">
        <v>5</v>
      </c>
      <c r="Q91" s="8">
        <v>2</v>
      </c>
      <c r="R91" s="8">
        <v>0</v>
      </c>
      <c r="S91" t="s">
        <v>2356</v>
      </c>
      <c r="T91" s="3"/>
      <c r="U91" s="3"/>
      <c r="V91" s="3"/>
    </row>
    <row r="92" spans="1:22" ht="12.45" hidden="1" x14ac:dyDescent="0.2">
      <c r="A92" s="3" t="s">
        <v>2138</v>
      </c>
      <c r="B92" t="s">
        <v>2363</v>
      </c>
      <c r="C92" s="24" t="s">
        <v>3135</v>
      </c>
      <c r="D92" s="24"/>
      <c r="E92" s="24"/>
      <c r="F92" t="str">
        <f>VLOOKUP(O92,pearl!$B:$E,4,0)</f>
        <v>♀</v>
      </c>
      <c r="G92" t="str">
        <f>VLOOKUP(IF(F92="Дом",H92,F92),pearl!$D$28:$F$32,3,0)</f>
        <v>Венера</v>
      </c>
      <c r="H92" t="str">
        <f>VLOOKUP(O92,pearl!$B:$E,3,0)</f>
        <v>♀Кувшин</v>
      </c>
      <c r="I92" t="s">
        <v>34</v>
      </c>
      <c r="J92" t="s">
        <v>28</v>
      </c>
      <c r="K92" t="s">
        <v>29</v>
      </c>
      <c r="L92" t="s">
        <v>18</v>
      </c>
      <c r="N92" t="s">
        <v>2364</v>
      </c>
      <c r="O92" t="s">
        <v>598</v>
      </c>
      <c r="P92" s="8">
        <v>3</v>
      </c>
      <c r="Q92" s="8">
        <v>1</v>
      </c>
      <c r="R92" s="8">
        <v>0</v>
      </c>
      <c r="S92" t="s">
        <v>23</v>
      </c>
      <c r="T92" s="3"/>
      <c r="U92" s="3"/>
      <c r="V92" s="3"/>
    </row>
    <row r="93" spans="1:22" ht="12.45" hidden="1" x14ac:dyDescent="0.2">
      <c r="A93" s="3" t="s">
        <v>2138</v>
      </c>
      <c r="B93" t="s">
        <v>2026</v>
      </c>
      <c r="C93" s="24" t="s">
        <v>3135</v>
      </c>
      <c r="D93" s="24"/>
      <c r="E93" s="24"/>
      <c r="F93" t="str">
        <f>VLOOKUP(O93,pearl!$B:$E,4,0)</f>
        <v>♀</v>
      </c>
      <c r="G93" t="str">
        <f>VLOOKUP(IF(F93="Дом",H93,F93),pearl!$D$28:$F$32,3,0)</f>
        <v>Венера</v>
      </c>
      <c r="H93" t="str">
        <f>VLOOKUP(O93,pearl!$B:$E,3,0)</f>
        <v>♀Кувшин</v>
      </c>
      <c r="I93" t="s">
        <v>43</v>
      </c>
      <c r="J93" t="s">
        <v>28</v>
      </c>
      <c r="K93" t="s">
        <v>142</v>
      </c>
      <c r="L93" t="s">
        <v>18</v>
      </c>
      <c r="N93" t="s">
        <v>2367</v>
      </c>
      <c r="O93" t="s">
        <v>598</v>
      </c>
      <c r="P93" s="8">
        <v>5</v>
      </c>
      <c r="Q93" s="8">
        <v>2</v>
      </c>
      <c r="R93" s="8">
        <v>0</v>
      </c>
      <c r="S93" t="s">
        <v>2025</v>
      </c>
      <c r="T93" s="3"/>
      <c r="U93" s="3"/>
      <c r="V93" s="3"/>
    </row>
    <row r="94" spans="1:22" ht="12.45" hidden="1" x14ac:dyDescent="0.2">
      <c r="A94" s="3" t="s">
        <v>2138</v>
      </c>
      <c r="B94" t="s">
        <v>2389</v>
      </c>
      <c r="C94" s="24" t="s">
        <v>3135</v>
      </c>
      <c r="D94" s="24"/>
      <c r="E94" s="24"/>
      <c r="F94" t="str">
        <f>VLOOKUP(O94,pearl!$B:$E,4,0)</f>
        <v>♀</v>
      </c>
      <c r="G94" t="str">
        <f>VLOOKUP(IF(F94="Дом",H94,F94),pearl!$D$28:$F$32,3,0)</f>
        <v>Венера</v>
      </c>
      <c r="H94" t="str">
        <f>VLOOKUP(O94,pearl!$B:$E,3,0)</f>
        <v>♀Колонна</v>
      </c>
      <c r="I94" t="s">
        <v>2134</v>
      </c>
      <c r="J94" t="s">
        <v>22</v>
      </c>
      <c r="K94" t="s">
        <v>430</v>
      </c>
      <c r="L94" t="s">
        <v>182</v>
      </c>
      <c r="N94" t="s">
        <v>2388</v>
      </c>
      <c r="O94" t="s">
        <v>839</v>
      </c>
      <c r="P94" s="8">
        <v>5</v>
      </c>
      <c r="Q94" s="8">
        <v>3</v>
      </c>
      <c r="R94" s="8">
        <v>0</v>
      </c>
      <c r="S94" t="s">
        <v>2390</v>
      </c>
      <c r="T94" s="3"/>
      <c r="U94" s="3"/>
      <c r="V94" s="3"/>
    </row>
    <row r="95" spans="1:22" ht="12.45" hidden="1" x14ac:dyDescent="0.2">
      <c r="A95" s="3" t="s">
        <v>2138</v>
      </c>
      <c r="B95" t="s">
        <v>2382</v>
      </c>
      <c r="C95" s="24" t="s">
        <v>3135</v>
      </c>
      <c r="D95" s="24"/>
      <c r="E95" s="24"/>
      <c r="F95" t="str">
        <f>VLOOKUP(O95,pearl!$B:$E,4,0)</f>
        <v>♀</v>
      </c>
      <c r="G95" t="str">
        <f>VLOOKUP(IF(F95="Дом",H95,F95),pearl!$D$28:$F$32,3,0)</f>
        <v>Венера</v>
      </c>
      <c r="H95" t="str">
        <f>VLOOKUP(O95,pearl!$B:$E,3,0)</f>
        <v>♀Колонна</v>
      </c>
      <c r="I95" t="s">
        <v>264</v>
      </c>
      <c r="J95" t="s">
        <v>28</v>
      </c>
      <c r="K95" t="s">
        <v>889</v>
      </c>
      <c r="L95" t="s">
        <v>18</v>
      </c>
      <c r="N95" t="s">
        <v>2383</v>
      </c>
      <c r="O95" t="s">
        <v>839</v>
      </c>
      <c r="P95" s="8">
        <v>3</v>
      </c>
      <c r="Q95" s="8">
        <v>1</v>
      </c>
      <c r="R95" s="8">
        <v>0</v>
      </c>
      <c r="S95" t="s">
        <v>23</v>
      </c>
      <c r="T95" s="3"/>
      <c r="U95" s="3"/>
      <c r="V95" s="3"/>
    </row>
    <row r="96" spans="1:22" ht="12.45" hidden="1" x14ac:dyDescent="0.2">
      <c r="A96" s="3" t="s">
        <v>2138</v>
      </c>
      <c r="B96" t="s">
        <v>2406</v>
      </c>
      <c r="C96" s="24" t="s">
        <v>3135</v>
      </c>
      <c r="D96" s="24"/>
      <c r="E96" s="24"/>
      <c r="F96" t="str">
        <f>VLOOKUP(O96,pearl!$B:$E,4,0)</f>
        <v>♀</v>
      </c>
      <c r="G96" t="str">
        <f>VLOOKUP(IF(F96="Дом",H96,F96),pearl!$D$28:$F$32,3,0)</f>
        <v>Венера</v>
      </c>
      <c r="H96" t="str">
        <f>VLOOKUP(O96,pearl!$B:$E,3,0)</f>
        <v>♀Музыкант</v>
      </c>
      <c r="I96" t="s">
        <v>147</v>
      </c>
      <c r="J96" t="s">
        <v>148</v>
      </c>
      <c r="K96" t="s">
        <v>23</v>
      </c>
      <c r="L96" t="s">
        <v>148</v>
      </c>
      <c r="N96" t="s">
        <v>2405</v>
      </c>
      <c r="O96" t="s">
        <v>3126</v>
      </c>
      <c r="P96" s="8">
        <v>3</v>
      </c>
      <c r="Q96" s="8">
        <v>1</v>
      </c>
      <c r="R96" s="8">
        <v>0</v>
      </c>
      <c r="S96" t="s">
        <v>23</v>
      </c>
      <c r="T96" s="3"/>
      <c r="U96" s="3"/>
      <c r="V96" s="3"/>
    </row>
    <row r="97" spans="1:22" ht="12.45" hidden="1" x14ac:dyDescent="0.2">
      <c r="A97" s="3" t="s">
        <v>2138</v>
      </c>
      <c r="B97" t="s">
        <v>2407</v>
      </c>
      <c r="C97" s="24" t="s">
        <v>3135</v>
      </c>
      <c r="D97" s="24"/>
      <c r="E97" s="24"/>
      <c r="F97" t="str">
        <f>VLOOKUP(O97,pearl!$B:$E,4,0)</f>
        <v>♀</v>
      </c>
      <c r="G97" t="str">
        <f>VLOOKUP(IF(F97="Дом",H97,F97),pearl!$D$28:$F$32,3,0)</f>
        <v>Венера</v>
      </c>
      <c r="H97" t="str">
        <f>VLOOKUP(O97,pearl!$B:$E,3,0)</f>
        <v>♀Музыкант</v>
      </c>
      <c r="I97" t="s">
        <v>147</v>
      </c>
      <c r="J97" t="s">
        <v>148</v>
      </c>
      <c r="K97" t="s">
        <v>23</v>
      </c>
      <c r="L97" t="s">
        <v>148</v>
      </c>
      <c r="N97" t="s">
        <v>2405</v>
      </c>
      <c r="O97" t="s">
        <v>3126</v>
      </c>
      <c r="P97" s="8">
        <v>3</v>
      </c>
      <c r="Q97" s="8">
        <v>1</v>
      </c>
      <c r="R97" s="8">
        <v>0</v>
      </c>
      <c r="S97" t="s">
        <v>23</v>
      </c>
      <c r="T97" s="3"/>
      <c r="U97" s="3"/>
      <c r="V97" s="3"/>
    </row>
    <row r="98" spans="1:22" ht="12.45" hidden="1" x14ac:dyDescent="0.2">
      <c r="A98" s="3" t="s">
        <v>2138</v>
      </c>
      <c r="B98" t="s">
        <v>2085</v>
      </c>
      <c r="C98" s="24" t="s">
        <v>3135</v>
      </c>
      <c r="D98" s="24"/>
      <c r="E98" s="24"/>
      <c r="F98" t="str">
        <f>VLOOKUP(O98,pearl!$B:$E,4,0)</f>
        <v>♀</v>
      </c>
      <c r="G98" t="str">
        <f>VLOOKUP(IF(F98="Дом",H98,F98),pearl!$D$28:$F$32,3,0)</f>
        <v>Венера</v>
      </c>
      <c r="H98" t="str">
        <f>VLOOKUP(O98,pearl!$B:$E,3,0)</f>
        <v>♀Любовники</v>
      </c>
      <c r="I98" t="s">
        <v>43</v>
      </c>
      <c r="J98" t="s">
        <v>28</v>
      </c>
      <c r="K98" t="s">
        <v>889</v>
      </c>
      <c r="L98" t="s">
        <v>18</v>
      </c>
      <c r="N98" t="s">
        <v>2437</v>
      </c>
      <c r="O98" t="s">
        <v>1662</v>
      </c>
      <c r="P98" s="8">
        <v>5</v>
      </c>
      <c r="Q98" s="8">
        <v>2</v>
      </c>
      <c r="R98" s="8">
        <v>0</v>
      </c>
      <c r="S98" t="s">
        <v>2087</v>
      </c>
      <c r="T98" s="3"/>
      <c r="U98" s="3"/>
      <c r="V98" s="3"/>
    </row>
    <row r="99" spans="1:22" ht="12.45" hidden="1" x14ac:dyDescent="0.2">
      <c r="A99" s="3" t="s">
        <v>2138</v>
      </c>
      <c r="B99" t="s">
        <v>2087</v>
      </c>
      <c r="C99" s="24" t="s">
        <v>3135</v>
      </c>
      <c r="D99" s="24"/>
      <c r="E99" s="24"/>
      <c r="F99" t="str">
        <f>VLOOKUP(O99,pearl!$B:$E,4,0)</f>
        <v>♀</v>
      </c>
      <c r="G99" t="str">
        <f>VLOOKUP(IF(F99="Дом",H99,F99),pearl!$D$28:$F$32,3,0)</f>
        <v>Венера</v>
      </c>
      <c r="H99" t="str">
        <f>VLOOKUP(O99,pearl!$B:$E,3,0)</f>
        <v>♀Любовники</v>
      </c>
      <c r="I99" t="s">
        <v>71</v>
      </c>
      <c r="J99" t="s">
        <v>28</v>
      </c>
      <c r="K99" t="s">
        <v>2435</v>
      </c>
      <c r="L99" t="s">
        <v>182</v>
      </c>
      <c r="N99" t="s">
        <v>2433</v>
      </c>
      <c r="O99" t="s">
        <v>1662</v>
      </c>
      <c r="P99" s="8">
        <v>3</v>
      </c>
      <c r="Q99" s="8">
        <v>1</v>
      </c>
      <c r="R99" s="8">
        <v>0</v>
      </c>
      <c r="S99" t="s">
        <v>23</v>
      </c>
      <c r="T99" s="3"/>
      <c r="U99" s="3"/>
      <c r="V99" s="3"/>
    </row>
    <row r="100" spans="1:22" ht="12.45" hidden="1" x14ac:dyDescent="0.2">
      <c r="A100" s="3" t="s">
        <v>2138</v>
      </c>
      <c r="B100" t="s">
        <v>2315</v>
      </c>
      <c r="C100" s="24" t="s">
        <v>3135</v>
      </c>
      <c r="D100" s="24"/>
      <c r="E100" s="24"/>
      <c r="F100" t="str">
        <f>VLOOKUP(O100,pearl!$B:$E,4,0)</f>
        <v>Дом</v>
      </c>
      <c r="G100" t="str">
        <f>VLOOKUP(IF(F100="Дом",H100,F100),pearl!$D$28:$F$32,3,0)</f>
        <v>Венера</v>
      </c>
      <c r="H100" t="str">
        <f>VLOOKUP(O100,pearl!$B:$E,3,0)</f>
        <v>♀</v>
      </c>
      <c r="I100" t="s">
        <v>740</v>
      </c>
      <c r="J100" t="s">
        <v>16</v>
      </c>
      <c r="K100" t="s">
        <v>142</v>
      </c>
      <c r="L100" t="s">
        <v>18</v>
      </c>
      <c r="N100" t="s">
        <v>2311</v>
      </c>
      <c r="O100" t="s">
        <v>2306</v>
      </c>
      <c r="P100" s="8">
        <v>4</v>
      </c>
      <c r="Q100" s="8">
        <v>2</v>
      </c>
      <c r="R100" s="8">
        <v>0</v>
      </c>
      <c r="S100" t="s">
        <v>2316</v>
      </c>
      <c r="T100" s="3"/>
      <c r="U100" s="3"/>
      <c r="V100" s="3"/>
    </row>
    <row r="101" spans="1:22" ht="12.45" hidden="1" x14ac:dyDescent="0.2">
      <c r="A101" s="3" t="s">
        <v>2138</v>
      </c>
      <c r="B101" t="s">
        <v>2321</v>
      </c>
      <c r="C101" s="24" t="s">
        <v>3135</v>
      </c>
      <c r="D101" s="24"/>
      <c r="E101" s="24"/>
      <c r="F101" t="str">
        <f>VLOOKUP(O101,pearl!$B:$E,4,0)</f>
        <v>Дом</v>
      </c>
      <c r="G101" t="str">
        <f>VLOOKUP(IF(F101="Дом",H101,F101),pearl!$D$28:$F$32,3,0)</f>
        <v>Венера</v>
      </c>
      <c r="H101" t="str">
        <f>VLOOKUP(O101,pearl!$B:$E,3,0)</f>
        <v>♀</v>
      </c>
      <c r="I101" t="s">
        <v>264</v>
      </c>
      <c r="J101" t="s">
        <v>22</v>
      </c>
      <c r="K101" t="s">
        <v>438</v>
      </c>
      <c r="L101" t="s">
        <v>18</v>
      </c>
      <c r="N101" t="s">
        <v>2319</v>
      </c>
      <c r="O101" t="s">
        <v>2306</v>
      </c>
      <c r="P101" s="8">
        <v>5</v>
      </c>
      <c r="Q101" s="8">
        <v>4</v>
      </c>
      <c r="R101" s="8">
        <v>0</v>
      </c>
      <c r="S101" t="s">
        <v>2317</v>
      </c>
      <c r="T101" s="3"/>
      <c r="U101" s="3"/>
      <c r="V101" s="3"/>
    </row>
    <row r="102" spans="1:22" ht="12.45" hidden="1" x14ac:dyDescent="0.2">
      <c r="A102" s="3" t="s">
        <v>2138</v>
      </c>
      <c r="B102" t="s">
        <v>2581</v>
      </c>
      <c r="C102" s="24" t="s">
        <v>3136</v>
      </c>
      <c r="D102" s="24" t="s">
        <v>3151</v>
      </c>
      <c r="E102" s="24" t="s">
        <v>3187</v>
      </c>
      <c r="F102" t="str">
        <f>VLOOKUP(O102,pearl!$B:$E,4,0)</f>
        <v>♂</v>
      </c>
      <c r="G102" t="str">
        <f>VLOOKUP(IF(F102="Дом",H102,F102),pearl!$D$28:$F$32,3,0)</f>
        <v>Марс</v>
      </c>
      <c r="H102" t="str">
        <f>VLOOKUP(O102,pearl!$B:$E,3,0)</f>
        <v>Щит♂</v>
      </c>
      <c r="I102" t="s">
        <v>53</v>
      </c>
      <c r="J102" t="s">
        <v>28</v>
      </c>
      <c r="K102" t="s">
        <v>889</v>
      </c>
      <c r="L102" t="s">
        <v>18</v>
      </c>
      <c r="N102" t="s">
        <v>2580</v>
      </c>
      <c r="O102" t="s">
        <v>1366</v>
      </c>
      <c r="P102" s="8">
        <v>3</v>
      </c>
      <c r="Q102" s="8">
        <v>1</v>
      </c>
      <c r="R102" s="8">
        <v>0</v>
      </c>
      <c r="S102" t="s">
        <v>2579</v>
      </c>
      <c r="T102" s="3"/>
      <c r="U102" s="3"/>
      <c r="V102" s="3"/>
    </row>
    <row r="103" spans="1:22" ht="12.45" hidden="1" x14ac:dyDescent="0.2">
      <c r="A103" s="3" t="s">
        <v>2138</v>
      </c>
      <c r="B103" t="s">
        <v>2582</v>
      </c>
      <c r="C103" s="24" t="s">
        <v>3136</v>
      </c>
      <c r="D103" s="24" t="s">
        <v>3151</v>
      </c>
      <c r="E103" s="24" t="s">
        <v>3187</v>
      </c>
      <c r="F103" t="str">
        <f>VLOOKUP(O103,pearl!$B:$E,4,0)</f>
        <v>♂</v>
      </c>
      <c r="G103" t="str">
        <f>VLOOKUP(IF(F103="Дом",H103,F103),pearl!$D$28:$F$32,3,0)</f>
        <v>Марс</v>
      </c>
      <c r="H103" t="str">
        <f>VLOOKUP(O103,pearl!$B:$E,3,0)</f>
        <v>Щит♂</v>
      </c>
      <c r="I103" t="s">
        <v>43</v>
      </c>
      <c r="J103" t="s">
        <v>28</v>
      </c>
      <c r="K103" t="s">
        <v>438</v>
      </c>
      <c r="L103" t="s">
        <v>2583</v>
      </c>
      <c r="N103" t="s">
        <v>2580</v>
      </c>
      <c r="O103" t="s">
        <v>1366</v>
      </c>
      <c r="P103" s="8">
        <v>3</v>
      </c>
      <c r="Q103" s="8">
        <v>1</v>
      </c>
      <c r="R103" s="8">
        <v>0</v>
      </c>
      <c r="S103" t="s">
        <v>2579</v>
      </c>
      <c r="T103" s="3"/>
      <c r="U103" s="3"/>
      <c r="V103" s="3"/>
    </row>
    <row r="104" spans="1:22" ht="12.45" hidden="1" x14ac:dyDescent="0.2">
      <c r="A104" s="3" t="s">
        <v>2138</v>
      </c>
      <c r="B104" t="s">
        <v>2599</v>
      </c>
      <c r="C104" s="24" t="s">
        <v>3135</v>
      </c>
      <c r="D104" s="24" t="s">
        <v>3148</v>
      </c>
      <c r="E104" s="24" t="s">
        <v>3202</v>
      </c>
      <c r="F104" t="str">
        <f>VLOOKUP(O104,pearl!$B:$E,4,0)</f>
        <v>♂</v>
      </c>
      <c r="G104" t="str">
        <f>VLOOKUP(IF(F104="Дом",H104,F104),pearl!$D$28:$F$32,3,0)</f>
        <v>Марс</v>
      </c>
      <c r="H104" t="str">
        <f>VLOOKUP(O104,pearl!$B:$E,3,0)</f>
        <v>Щит♂</v>
      </c>
      <c r="I104" t="s">
        <v>264</v>
      </c>
      <c r="J104" t="s">
        <v>28</v>
      </c>
      <c r="K104" t="s">
        <v>23</v>
      </c>
      <c r="L104" t="s">
        <v>18</v>
      </c>
      <c r="N104" t="s">
        <v>2598</v>
      </c>
      <c r="O104" t="s">
        <v>1366</v>
      </c>
      <c r="P104" s="8">
        <v>5</v>
      </c>
      <c r="Q104" s="8">
        <v>4</v>
      </c>
      <c r="R104" s="8">
        <v>0</v>
      </c>
      <c r="S104" t="s">
        <v>2600</v>
      </c>
      <c r="T104" s="3"/>
      <c r="U104" s="3"/>
      <c r="V104" s="3"/>
    </row>
    <row r="105" spans="1:22" ht="12.45" hidden="1" x14ac:dyDescent="0.2">
      <c r="A105" s="3" t="s">
        <v>2138</v>
      </c>
      <c r="B105" t="s">
        <v>2596</v>
      </c>
      <c r="C105" s="24" t="s">
        <v>3135</v>
      </c>
      <c r="D105" s="24" t="s">
        <v>3151</v>
      </c>
      <c r="E105" s="24" t="s">
        <v>3201</v>
      </c>
      <c r="F105" t="str">
        <f>VLOOKUP(O105,pearl!$B:$E,4,0)</f>
        <v>♂</v>
      </c>
      <c r="G105" t="str">
        <f>VLOOKUP(IF(F105="Дом",H105,F105),pearl!$D$28:$F$32,3,0)</f>
        <v>Марс</v>
      </c>
      <c r="H105" t="str">
        <f>VLOOKUP(O105,pearl!$B:$E,3,0)</f>
        <v>Щит♂</v>
      </c>
      <c r="I105" t="s">
        <v>27</v>
      </c>
      <c r="J105" t="s">
        <v>28</v>
      </c>
      <c r="K105" t="s">
        <v>889</v>
      </c>
      <c r="L105" t="s">
        <v>18</v>
      </c>
      <c r="N105" t="s">
        <v>2594</v>
      </c>
      <c r="O105" t="s">
        <v>1366</v>
      </c>
      <c r="P105" s="8">
        <v>5</v>
      </c>
      <c r="Q105" s="8">
        <v>3</v>
      </c>
      <c r="R105" s="8">
        <v>0</v>
      </c>
      <c r="S105" t="s">
        <v>2590</v>
      </c>
      <c r="T105" s="3"/>
      <c r="U105" s="3"/>
      <c r="V105" s="3"/>
    </row>
    <row r="106" spans="1:22" ht="12.45" hidden="1" x14ac:dyDescent="0.2">
      <c r="A106" s="3" t="s">
        <v>2138</v>
      </c>
      <c r="B106" t="s">
        <v>2065</v>
      </c>
      <c r="C106" s="24" t="s">
        <v>3135</v>
      </c>
      <c r="D106" s="24" t="s">
        <v>3148</v>
      </c>
      <c r="E106" s="24" t="s">
        <v>3202</v>
      </c>
      <c r="F106" t="str">
        <f>VLOOKUP(O106,pearl!$B:$E,4,0)</f>
        <v>♂</v>
      </c>
      <c r="G106" t="str">
        <f>VLOOKUP(IF(F106="Дом",H106,F106),pearl!$D$28:$F$32,3,0)</f>
        <v>Марс</v>
      </c>
      <c r="H106" t="str">
        <f>VLOOKUP(O106,pearl!$B:$E,3,0)</f>
        <v>Щит♂</v>
      </c>
      <c r="I106" t="s">
        <v>740</v>
      </c>
      <c r="J106" t="s">
        <v>22</v>
      </c>
      <c r="K106" t="s">
        <v>889</v>
      </c>
      <c r="L106" t="s">
        <v>18</v>
      </c>
      <c r="N106" t="s">
        <v>2589</v>
      </c>
      <c r="O106" t="s">
        <v>1366</v>
      </c>
      <c r="P106" s="8">
        <v>5</v>
      </c>
      <c r="Q106" s="8">
        <v>2</v>
      </c>
      <c r="R106" s="8">
        <v>0</v>
      </c>
      <c r="S106" t="s">
        <v>2579</v>
      </c>
      <c r="T106" s="3"/>
      <c r="U106" s="3"/>
      <c r="V106" s="3"/>
    </row>
    <row r="107" spans="1:22" ht="12.45" hidden="1" x14ac:dyDescent="0.2">
      <c r="A107" s="3" t="s">
        <v>2138</v>
      </c>
      <c r="B107" t="s">
        <v>2586</v>
      </c>
      <c r="C107" s="24" t="s">
        <v>3135</v>
      </c>
      <c r="D107" s="24" t="s">
        <v>3146</v>
      </c>
      <c r="E107" s="24" t="s">
        <v>3179</v>
      </c>
      <c r="F107" t="str">
        <f>VLOOKUP(O107,pearl!$B:$E,4,0)</f>
        <v>♂</v>
      </c>
      <c r="G107" t="str">
        <f>VLOOKUP(IF(F107="Дом",H107,F107),pearl!$D$28:$F$32,3,0)</f>
        <v>Марс</v>
      </c>
      <c r="H107" t="str">
        <f>VLOOKUP(O107,pearl!$B:$E,3,0)</f>
        <v>Щит♂</v>
      </c>
      <c r="I107" t="s">
        <v>147</v>
      </c>
      <c r="J107" t="s">
        <v>148</v>
      </c>
      <c r="K107" t="s">
        <v>23</v>
      </c>
      <c r="L107" t="s">
        <v>148</v>
      </c>
      <c r="M107" s="24" t="s">
        <v>3200</v>
      </c>
      <c r="N107" t="s">
        <v>2585</v>
      </c>
      <c r="O107" t="s">
        <v>1366</v>
      </c>
      <c r="P107" s="8">
        <v>3</v>
      </c>
      <c r="Q107" s="8">
        <v>1</v>
      </c>
      <c r="R107" s="8">
        <v>0</v>
      </c>
      <c r="S107" t="s">
        <v>23</v>
      </c>
      <c r="T107" s="3"/>
      <c r="U107" s="3"/>
      <c r="V107" s="3"/>
    </row>
    <row r="108" spans="1:22" ht="12.45" hidden="1" x14ac:dyDescent="0.2">
      <c r="A108" s="3" t="s">
        <v>2138</v>
      </c>
      <c r="B108" t="s">
        <v>2597</v>
      </c>
      <c r="C108" s="24" t="s">
        <v>3135</v>
      </c>
      <c r="D108" s="24" t="s">
        <v>3148</v>
      </c>
      <c r="E108" s="24" t="s">
        <v>3202</v>
      </c>
      <c r="F108" t="str">
        <f>VLOOKUP(O108,pearl!$B:$E,4,0)</f>
        <v>♂</v>
      </c>
      <c r="G108" t="str">
        <f>VLOOKUP(IF(F108="Дом",H108,F108),pearl!$D$28:$F$32,3,0)</f>
        <v>Марс</v>
      </c>
      <c r="H108" t="str">
        <f>VLOOKUP(O108,pearl!$B:$E,3,0)</f>
        <v>Щит♂</v>
      </c>
      <c r="I108" t="s">
        <v>2136</v>
      </c>
      <c r="J108" t="s">
        <v>28</v>
      </c>
      <c r="K108" t="s">
        <v>889</v>
      </c>
      <c r="L108" t="s">
        <v>182</v>
      </c>
      <c r="N108" t="s">
        <v>2598</v>
      </c>
      <c r="O108" t="s">
        <v>1366</v>
      </c>
      <c r="P108" s="8">
        <v>5</v>
      </c>
      <c r="Q108" s="8">
        <v>3</v>
      </c>
      <c r="R108" s="8">
        <v>0</v>
      </c>
      <c r="S108" t="s">
        <v>2065</v>
      </c>
      <c r="T108" s="3"/>
      <c r="U108" s="3"/>
      <c r="V108" s="3"/>
    </row>
    <row r="109" spans="1:22" ht="12.45" hidden="1" x14ac:dyDescent="0.2">
      <c r="A109" s="3" t="s">
        <v>2138</v>
      </c>
      <c r="B109" t="s">
        <v>2698</v>
      </c>
      <c r="C109" s="24" t="s">
        <v>3136</v>
      </c>
      <c r="D109" s="24"/>
      <c r="E109" s="24"/>
      <c r="F109" t="str">
        <f>VLOOKUP(O109,pearl!$B:$E,4,0)</f>
        <v>♃</v>
      </c>
      <c r="G109" t="str">
        <f>VLOOKUP(IF(F109="Дом",H109,F109),pearl!$D$28:$F$32,3,0)</f>
        <v>Юпитер</v>
      </c>
      <c r="H109" t="str">
        <f>VLOOKUP(O109,pearl!$B:$E,3,0)</f>
        <v>Сокровищница♃</v>
      </c>
      <c r="I109" t="s">
        <v>34</v>
      </c>
      <c r="J109" t="s">
        <v>16</v>
      </c>
      <c r="K109" t="s">
        <v>142</v>
      </c>
      <c r="L109" t="s">
        <v>18</v>
      </c>
      <c r="N109" t="s">
        <v>2699</v>
      </c>
      <c r="O109" t="s">
        <v>919</v>
      </c>
      <c r="P109" s="8">
        <v>3</v>
      </c>
      <c r="Q109" s="8">
        <v>1</v>
      </c>
      <c r="R109" s="8">
        <v>0</v>
      </c>
      <c r="S109" t="s">
        <v>23</v>
      </c>
      <c r="T109" s="3"/>
      <c r="U109" s="3"/>
      <c r="V109" s="3"/>
    </row>
    <row r="110" spans="1:22" ht="12.45" hidden="1" x14ac:dyDescent="0.2">
      <c r="A110" s="3" t="s">
        <v>2138</v>
      </c>
      <c r="B110" t="s">
        <v>2711</v>
      </c>
      <c r="C110" s="24" t="s">
        <v>3136</v>
      </c>
      <c r="D110" s="24"/>
      <c r="E110" s="24"/>
      <c r="F110" t="str">
        <f>VLOOKUP(O110,pearl!$B:$E,4,0)</f>
        <v>♃</v>
      </c>
      <c r="G110" t="str">
        <f>VLOOKUP(IF(F110="Дом",H110,F110),pearl!$D$28:$F$32,3,0)</f>
        <v>Юпитер</v>
      </c>
      <c r="H110" t="str">
        <f>VLOOKUP(O110,pearl!$B:$E,3,0)</f>
        <v>Чародей♃</v>
      </c>
      <c r="I110" t="s">
        <v>175</v>
      </c>
      <c r="J110" t="s">
        <v>22</v>
      </c>
      <c r="K110" t="s">
        <v>142</v>
      </c>
      <c r="L110" t="s">
        <v>2106</v>
      </c>
      <c r="N110" t="s">
        <v>2712</v>
      </c>
      <c r="O110" t="s">
        <v>1193</v>
      </c>
      <c r="P110" s="8">
        <v>1</v>
      </c>
      <c r="Q110" s="8">
        <v>1</v>
      </c>
      <c r="R110" s="8">
        <v>0</v>
      </c>
      <c r="S110" t="s">
        <v>23</v>
      </c>
      <c r="T110" s="3"/>
      <c r="U110" s="3"/>
      <c r="V110" s="3"/>
    </row>
    <row r="111" spans="1:22" ht="12.45" hidden="1" x14ac:dyDescent="0.2">
      <c r="A111" s="3" t="s">
        <v>2138</v>
      </c>
      <c r="B111" t="s">
        <v>2714</v>
      </c>
      <c r="C111" s="24" t="s">
        <v>3136</v>
      </c>
      <c r="D111" s="24"/>
      <c r="E111" s="24"/>
      <c r="F111" t="str">
        <f>VLOOKUP(O111,pearl!$B:$E,4,0)</f>
        <v>♃</v>
      </c>
      <c r="G111" t="str">
        <f>VLOOKUP(IF(F111="Дом",H111,F111),pearl!$D$28:$F$32,3,0)</f>
        <v>Юпитер</v>
      </c>
      <c r="H111" t="str">
        <f>VLOOKUP(O111,pearl!$B:$E,3,0)</f>
        <v>Чародей♃</v>
      </c>
      <c r="I111" t="s">
        <v>165</v>
      </c>
      <c r="J111" t="s">
        <v>148</v>
      </c>
      <c r="K111" t="s">
        <v>142</v>
      </c>
      <c r="L111" t="s">
        <v>148</v>
      </c>
      <c r="N111" t="s">
        <v>2712</v>
      </c>
      <c r="O111" t="s">
        <v>1193</v>
      </c>
      <c r="P111" s="8">
        <v>2</v>
      </c>
      <c r="Q111" s="8">
        <v>1</v>
      </c>
      <c r="R111" s="8">
        <v>0</v>
      </c>
      <c r="S111" t="s">
        <v>2053</v>
      </c>
      <c r="T111" s="3"/>
      <c r="U111" s="3"/>
      <c r="V111" s="3"/>
    </row>
    <row r="112" spans="1:22" ht="12.45" hidden="1" x14ac:dyDescent="0.2">
      <c r="A112" s="3" t="s">
        <v>2138</v>
      </c>
      <c r="B112" t="s">
        <v>2715</v>
      </c>
      <c r="C112" s="24" t="s">
        <v>3136</v>
      </c>
      <c r="D112" s="24"/>
      <c r="E112" s="24"/>
      <c r="F112" t="str">
        <f>VLOOKUP(O112,pearl!$B:$E,4,0)</f>
        <v>♃</v>
      </c>
      <c r="G112" t="str">
        <f>VLOOKUP(IF(F112="Дом",H112,F112),pearl!$D$28:$F$32,3,0)</f>
        <v>Юпитер</v>
      </c>
      <c r="H112" t="str">
        <f>VLOOKUP(O112,pearl!$B:$E,3,0)</f>
        <v>Чародей♃</v>
      </c>
      <c r="I112" t="s">
        <v>751</v>
      </c>
      <c r="J112" t="s">
        <v>28</v>
      </c>
      <c r="K112" t="s">
        <v>142</v>
      </c>
      <c r="L112" t="s">
        <v>18</v>
      </c>
      <c r="N112" t="s">
        <v>2716</v>
      </c>
      <c r="O112" t="s">
        <v>1193</v>
      </c>
      <c r="P112" s="8">
        <v>2</v>
      </c>
      <c r="Q112" s="8">
        <v>1</v>
      </c>
      <c r="R112" s="8">
        <v>0</v>
      </c>
      <c r="S112" t="s">
        <v>2053</v>
      </c>
      <c r="T112" s="3"/>
      <c r="U112" s="3"/>
      <c r="V112" s="3"/>
    </row>
    <row r="113" spans="1:22" ht="12.45" x14ac:dyDescent="0.2">
      <c r="A113" s="3" t="s">
        <v>2138</v>
      </c>
      <c r="B113" t="s">
        <v>2053</v>
      </c>
      <c r="C113" s="24" t="s">
        <v>3136</v>
      </c>
      <c r="D113" s="24"/>
      <c r="E113" s="24"/>
      <c r="F113" t="str">
        <f>VLOOKUP(O113,pearl!$B:$E,4,0)</f>
        <v>♃</v>
      </c>
      <c r="G113" t="str">
        <f>VLOOKUP(IF(F113="Дом",H113,F113),pearl!$D$28:$F$32,3,0)</f>
        <v>Юпитер</v>
      </c>
      <c r="H113" t="str">
        <f>VLOOKUP(O113,pearl!$B:$E,3,0)</f>
        <v>Чародей♃</v>
      </c>
      <c r="I113" t="s">
        <v>154</v>
      </c>
      <c r="J113" t="s">
        <v>22</v>
      </c>
      <c r="K113" t="s">
        <v>23</v>
      </c>
      <c r="L113" t="s">
        <v>2106</v>
      </c>
      <c r="N113" t="s">
        <v>2712</v>
      </c>
      <c r="O113" t="s">
        <v>1193</v>
      </c>
      <c r="P113" s="8">
        <v>1</v>
      </c>
      <c r="Q113" s="8">
        <v>1</v>
      </c>
      <c r="R113" s="8">
        <v>0</v>
      </c>
      <c r="S113" t="s">
        <v>23</v>
      </c>
      <c r="T113" s="3"/>
      <c r="U113" s="3"/>
      <c r="V113" s="3"/>
    </row>
    <row r="114" spans="1:22" ht="12.45" hidden="1" x14ac:dyDescent="0.2">
      <c r="A114" s="3" t="s">
        <v>2138</v>
      </c>
      <c r="B114" t="s">
        <v>2713</v>
      </c>
      <c r="C114" s="24" t="s">
        <v>3136</v>
      </c>
      <c r="D114" s="24"/>
      <c r="E114" s="24"/>
      <c r="F114" t="str">
        <f>VLOOKUP(O114,pearl!$B:$E,4,0)</f>
        <v>♃</v>
      </c>
      <c r="G114" t="str">
        <f>VLOOKUP(IF(F114="Дом",H114,F114),pearl!$D$28:$F$32,3,0)</f>
        <v>Юпитер</v>
      </c>
      <c r="H114" t="str">
        <f>VLOOKUP(O114,pearl!$B:$E,3,0)</f>
        <v>Чародей♃</v>
      </c>
      <c r="I114" t="s">
        <v>147</v>
      </c>
      <c r="J114" t="s">
        <v>148</v>
      </c>
      <c r="K114" t="s">
        <v>23</v>
      </c>
      <c r="L114" t="s">
        <v>148</v>
      </c>
      <c r="N114" t="s">
        <v>2712</v>
      </c>
      <c r="O114" t="s">
        <v>1193</v>
      </c>
      <c r="P114" s="8">
        <v>3</v>
      </c>
      <c r="Q114" s="8">
        <v>1</v>
      </c>
      <c r="R114" s="8">
        <v>0</v>
      </c>
      <c r="S114" t="s">
        <v>2711</v>
      </c>
      <c r="T114" s="3"/>
      <c r="U114" s="3"/>
      <c r="V114" s="3"/>
    </row>
    <row r="115" spans="1:22" ht="12.45" x14ac:dyDescent="0.2">
      <c r="A115" s="3" t="s">
        <v>2138</v>
      </c>
      <c r="B115" t="s">
        <v>2717</v>
      </c>
      <c r="C115" s="24" t="s">
        <v>3136</v>
      </c>
      <c r="D115" s="24"/>
      <c r="E115" s="24"/>
      <c r="F115" t="str">
        <f>VLOOKUP(O115,pearl!$B:$E,4,0)</f>
        <v>♃</v>
      </c>
      <c r="G115" t="str">
        <f>VLOOKUP(IF(F115="Дом",H115,F115),pearl!$D$28:$F$32,3,0)</f>
        <v>Юпитер</v>
      </c>
      <c r="H115" t="str">
        <f>VLOOKUP(O115,pearl!$B:$E,3,0)</f>
        <v>Чародей♃</v>
      </c>
      <c r="I115" t="s">
        <v>34</v>
      </c>
      <c r="J115" t="s">
        <v>22</v>
      </c>
      <c r="K115" t="s">
        <v>23</v>
      </c>
      <c r="L115" t="s">
        <v>2106</v>
      </c>
      <c r="N115" t="s">
        <v>2716</v>
      </c>
      <c r="O115" t="s">
        <v>1193</v>
      </c>
      <c r="P115" s="8">
        <v>2</v>
      </c>
      <c r="Q115" s="8">
        <v>1</v>
      </c>
      <c r="R115" s="8">
        <v>0</v>
      </c>
      <c r="S115" t="s">
        <v>2053</v>
      </c>
      <c r="T115" s="3"/>
      <c r="U115" s="3"/>
      <c r="V115" s="3"/>
    </row>
    <row r="116" spans="1:22" ht="12.45" hidden="1" x14ac:dyDescent="0.2">
      <c r="A116" s="3" t="s">
        <v>2138</v>
      </c>
      <c r="B116" t="s">
        <v>1210</v>
      </c>
      <c r="C116" s="24" t="s">
        <v>3136</v>
      </c>
      <c r="D116" s="24"/>
      <c r="E116" s="24"/>
      <c r="F116" t="str">
        <f>VLOOKUP(O116,pearl!$B:$E,4,0)</f>
        <v>♃</v>
      </c>
      <c r="G116" t="str">
        <f>VLOOKUP(IF(F116="Дом",H116,F116),pearl!$D$28:$F$32,3,0)</f>
        <v>Юпитер</v>
      </c>
      <c r="H116" t="str">
        <f>VLOOKUP(O116,pearl!$B:$E,3,0)</f>
        <v>Чародей♃</v>
      </c>
      <c r="I116" t="s">
        <v>147</v>
      </c>
      <c r="J116" t="s">
        <v>148</v>
      </c>
      <c r="K116" t="s">
        <v>23</v>
      </c>
      <c r="L116" t="s">
        <v>148</v>
      </c>
      <c r="N116" t="s">
        <v>2733</v>
      </c>
      <c r="O116" t="s">
        <v>1193</v>
      </c>
      <c r="P116" s="8">
        <v>3</v>
      </c>
      <c r="Q116" s="8">
        <v>1</v>
      </c>
      <c r="R116" s="8">
        <v>0</v>
      </c>
      <c r="S116" t="s">
        <v>2735</v>
      </c>
      <c r="T116" s="3"/>
      <c r="U116" s="3"/>
      <c r="V116" s="3"/>
    </row>
    <row r="117" spans="1:22" ht="12.45" hidden="1" x14ac:dyDescent="0.2">
      <c r="A117" s="3" t="s">
        <v>2138</v>
      </c>
      <c r="B117" t="s">
        <v>2740</v>
      </c>
      <c r="C117" s="24" t="s">
        <v>3136</v>
      </c>
      <c r="D117" s="24"/>
      <c r="E117" s="24"/>
      <c r="F117" t="str">
        <f>VLOOKUP(O117,pearl!$B:$E,4,0)</f>
        <v>♃</v>
      </c>
      <c r="G117" t="str">
        <f>VLOOKUP(IF(F117="Дом",H117,F117),pearl!$D$28:$F$32,3,0)</f>
        <v>Юпитер</v>
      </c>
      <c r="H117" t="str">
        <f>VLOOKUP(O117,pearl!$B:$E,3,0)</f>
        <v>Маска♃</v>
      </c>
      <c r="I117" t="s">
        <v>147</v>
      </c>
      <c r="J117" t="s">
        <v>148</v>
      </c>
      <c r="K117" t="s">
        <v>23</v>
      </c>
      <c r="L117" t="s">
        <v>148</v>
      </c>
      <c r="N117" t="s">
        <v>2738</v>
      </c>
      <c r="O117" t="s">
        <v>1778</v>
      </c>
      <c r="P117" s="8">
        <v>1</v>
      </c>
      <c r="Q117" s="8">
        <v>1</v>
      </c>
      <c r="R117" s="8">
        <v>0</v>
      </c>
      <c r="S117" t="s">
        <v>23</v>
      </c>
      <c r="T117" s="3"/>
      <c r="U117" s="3"/>
      <c r="V117" s="3"/>
    </row>
    <row r="118" spans="1:22" ht="12.45" hidden="1" x14ac:dyDescent="0.2">
      <c r="A118" s="3" t="s">
        <v>2138</v>
      </c>
      <c r="B118" t="s">
        <v>2742</v>
      </c>
      <c r="C118" s="24" t="s">
        <v>3136</v>
      </c>
      <c r="D118" s="24"/>
      <c r="E118" s="24"/>
      <c r="F118" t="str">
        <f>VLOOKUP(O118,pearl!$B:$E,4,0)</f>
        <v>♃</v>
      </c>
      <c r="G118" t="str">
        <f>VLOOKUP(IF(F118="Дом",H118,F118),pearl!$D$28:$F$32,3,0)</f>
        <v>Юпитер</v>
      </c>
      <c r="H118" t="str">
        <f>VLOOKUP(O118,pearl!$B:$E,3,0)</f>
        <v>Маска♃</v>
      </c>
      <c r="I118" t="s">
        <v>264</v>
      </c>
      <c r="J118" t="s">
        <v>22</v>
      </c>
      <c r="K118" t="s">
        <v>2743</v>
      </c>
      <c r="L118" t="s">
        <v>563</v>
      </c>
      <c r="N118" t="s">
        <v>2744</v>
      </c>
      <c r="O118" t="s">
        <v>1778</v>
      </c>
      <c r="P118" s="8">
        <v>3</v>
      </c>
      <c r="Q118" s="8">
        <v>1</v>
      </c>
      <c r="R118" s="8">
        <v>0</v>
      </c>
      <c r="S118" t="s">
        <v>23</v>
      </c>
      <c r="T118" s="3"/>
      <c r="U118" s="3"/>
      <c r="V118" s="3"/>
    </row>
    <row r="119" spans="1:22" ht="12.45" hidden="1" x14ac:dyDescent="0.2">
      <c r="A119" s="3" t="s">
        <v>2138</v>
      </c>
      <c r="B119" t="s">
        <v>2761</v>
      </c>
      <c r="C119" s="24" t="s">
        <v>3136</v>
      </c>
      <c r="D119" s="24"/>
      <c r="E119" s="24"/>
      <c r="F119" t="str">
        <f>VLOOKUP(O119,pearl!$B:$E,4,0)</f>
        <v>♃</v>
      </c>
      <c r="G119" t="str">
        <f>VLOOKUP(IF(F119="Дом",H119,F119),pearl!$D$28:$F$32,3,0)</f>
        <v>Юпитер</v>
      </c>
      <c r="H119" t="str">
        <f>VLOOKUP(O119,pearl!$B:$E,3,0)</f>
        <v>Маска♃</v>
      </c>
      <c r="I119" t="s">
        <v>264</v>
      </c>
      <c r="J119" t="s">
        <v>22</v>
      </c>
      <c r="K119" t="s">
        <v>438</v>
      </c>
      <c r="L119" t="s">
        <v>563</v>
      </c>
      <c r="N119" t="s">
        <v>2759</v>
      </c>
      <c r="O119" t="s">
        <v>1778</v>
      </c>
      <c r="P119" s="8">
        <v>5</v>
      </c>
      <c r="Q119" s="8">
        <v>4</v>
      </c>
      <c r="R119" s="8">
        <v>0</v>
      </c>
      <c r="S119" t="s">
        <v>2762</v>
      </c>
      <c r="T119" s="3"/>
      <c r="U119" s="3"/>
      <c r="V119" s="3"/>
    </row>
    <row r="120" spans="1:22" ht="12.45" hidden="1" x14ac:dyDescent="0.2">
      <c r="A120" s="3" t="s">
        <v>2138</v>
      </c>
      <c r="B120" t="s">
        <v>2656</v>
      </c>
      <c r="C120" s="24" t="s">
        <v>3114</v>
      </c>
      <c r="D120" s="24"/>
      <c r="E120" s="24"/>
      <c r="F120" t="str">
        <f>VLOOKUP(O120,pearl!$B:$E,4,0)</f>
        <v>♃</v>
      </c>
      <c r="G120" t="str">
        <f>VLOOKUP(IF(F120="Дом",H120,F120),pearl!$D$28:$F$32,3,0)</f>
        <v>Юпитер</v>
      </c>
      <c r="H120" t="str">
        <f>VLOOKUP(O120,pearl!$B:$E,3,0)</f>
        <v>Ключ♃</v>
      </c>
      <c r="I120" t="s">
        <v>175</v>
      </c>
      <c r="J120" t="s">
        <v>22</v>
      </c>
      <c r="K120" t="s">
        <v>142</v>
      </c>
      <c r="L120" t="s">
        <v>18</v>
      </c>
      <c r="N120" t="s">
        <v>2654</v>
      </c>
      <c r="O120" t="s">
        <v>3130</v>
      </c>
      <c r="P120" s="8">
        <v>3</v>
      </c>
      <c r="Q120" s="8">
        <v>1</v>
      </c>
      <c r="R120" s="8">
        <v>0</v>
      </c>
      <c r="S120" t="s">
        <v>2031</v>
      </c>
      <c r="T120" s="3"/>
      <c r="U120" s="3"/>
      <c r="V120" s="3"/>
    </row>
    <row r="121" spans="1:22" ht="12.45" hidden="1" x14ac:dyDescent="0.2">
      <c r="A121" s="3" t="s">
        <v>2138</v>
      </c>
      <c r="B121" t="s">
        <v>2680</v>
      </c>
      <c r="C121" s="24" t="s">
        <v>3114</v>
      </c>
      <c r="D121" s="24"/>
      <c r="E121" s="24"/>
      <c r="F121" t="str">
        <f>VLOOKUP(O121,pearl!$B:$E,4,0)</f>
        <v>♃</v>
      </c>
      <c r="G121" t="str">
        <f>VLOOKUP(IF(F121="Дом",H121,F121),pearl!$D$28:$F$32,3,0)</f>
        <v>Юпитер</v>
      </c>
      <c r="H121" t="str">
        <f>VLOOKUP(O121,pearl!$B:$E,3,0)</f>
        <v>Стражи♃</v>
      </c>
      <c r="I121" t="s">
        <v>47</v>
      </c>
      <c r="J121" t="s">
        <v>28</v>
      </c>
      <c r="K121" t="s">
        <v>2681</v>
      </c>
      <c r="L121" t="s">
        <v>2682</v>
      </c>
      <c r="N121" t="s">
        <v>2679</v>
      </c>
      <c r="O121" t="s">
        <v>771</v>
      </c>
      <c r="P121" s="8">
        <v>3</v>
      </c>
      <c r="Q121" s="8">
        <v>1</v>
      </c>
      <c r="R121" s="8">
        <v>0</v>
      </c>
      <c r="S121" t="s">
        <v>2677</v>
      </c>
      <c r="T121" s="3"/>
      <c r="U121" s="3"/>
      <c r="V121" s="3"/>
    </row>
    <row r="122" spans="1:22" ht="12.45" hidden="1" x14ac:dyDescent="0.2">
      <c r="A122" s="3" t="s">
        <v>2138</v>
      </c>
      <c r="B122" t="s">
        <v>2094</v>
      </c>
      <c r="C122" s="24" t="s">
        <v>3114</v>
      </c>
      <c r="D122" s="24"/>
      <c r="E122" s="24"/>
      <c r="F122" t="str">
        <f>VLOOKUP(O122,pearl!$B:$E,4,0)</f>
        <v>♃</v>
      </c>
      <c r="G122" t="str">
        <f>VLOOKUP(IF(F122="Дом",H122,F122),pearl!$D$28:$F$32,3,0)</f>
        <v>Юпитер</v>
      </c>
      <c r="H122" t="str">
        <f>VLOOKUP(O122,pearl!$B:$E,3,0)</f>
        <v>Стражи♃</v>
      </c>
      <c r="I122" t="s">
        <v>740</v>
      </c>
      <c r="J122" t="s">
        <v>28</v>
      </c>
      <c r="K122" t="s">
        <v>23</v>
      </c>
      <c r="L122" t="s">
        <v>18</v>
      </c>
      <c r="N122" t="s">
        <v>2676</v>
      </c>
      <c r="O122" t="s">
        <v>771</v>
      </c>
      <c r="P122" s="8">
        <v>3</v>
      </c>
      <c r="Q122" s="8">
        <v>1</v>
      </c>
      <c r="R122" s="8">
        <v>0</v>
      </c>
      <c r="S122" t="s">
        <v>23</v>
      </c>
      <c r="T122" s="3"/>
      <c r="U122" s="3"/>
      <c r="V122" s="3"/>
    </row>
    <row r="123" spans="1:22" ht="12.45" hidden="1" x14ac:dyDescent="0.2">
      <c r="A123" s="3" t="s">
        <v>2138</v>
      </c>
      <c r="B123" t="s">
        <v>2677</v>
      </c>
      <c r="C123" s="24" t="s">
        <v>3114</v>
      </c>
      <c r="D123" s="24"/>
      <c r="E123" s="24"/>
      <c r="F123" t="str">
        <f>VLOOKUP(O123,pearl!$B:$E,4,0)</f>
        <v>♃</v>
      </c>
      <c r="G123" t="str">
        <f>VLOOKUP(IF(F123="Дом",H123,F123),pearl!$D$28:$F$32,3,0)</f>
        <v>Юпитер</v>
      </c>
      <c r="H123" t="str">
        <f>VLOOKUP(O123,pearl!$B:$E,3,0)</f>
        <v>Стражи♃</v>
      </c>
      <c r="I123" t="s">
        <v>2137</v>
      </c>
      <c r="J123" t="s">
        <v>28</v>
      </c>
      <c r="K123" t="s">
        <v>2678</v>
      </c>
      <c r="L123" t="s">
        <v>182</v>
      </c>
      <c r="N123" t="s">
        <v>2679</v>
      </c>
      <c r="O123" t="s">
        <v>771</v>
      </c>
      <c r="P123" s="8">
        <v>3</v>
      </c>
      <c r="Q123" s="8">
        <v>1</v>
      </c>
      <c r="R123" s="8">
        <v>0</v>
      </c>
      <c r="S123" t="s">
        <v>23</v>
      </c>
      <c r="T123" s="3"/>
      <c r="U123" s="3"/>
      <c r="V123" s="3"/>
    </row>
    <row r="124" spans="1:22" ht="12.45" hidden="1" x14ac:dyDescent="0.2">
      <c r="A124" s="3" t="s">
        <v>2138</v>
      </c>
      <c r="B124" t="s">
        <v>2043</v>
      </c>
      <c r="C124" s="24" t="s">
        <v>3114</v>
      </c>
      <c r="D124" s="24"/>
      <c r="E124" s="24"/>
      <c r="F124" t="str">
        <f>VLOOKUP(O124,pearl!$B:$E,4,0)</f>
        <v>♃</v>
      </c>
      <c r="G124" t="str">
        <f>VLOOKUP(IF(F124="Дом",H124,F124),pearl!$D$28:$F$32,3,0)</f>
        <v>Юпитер</v>
      </c>
      <c r="H124" t="str">
        <f>VLOOKUP(O124,pearl!$B:$E,3,0)</f>
        <v>Сокровищница♃</v>
      </c>
      <c r="I124" t="s">
        <v>264</v>
      </c>
      <c r="J124" t="s">
        <v>28</v>
      </c>
      <c r="K124" t="s">
        <v>23</v>
      </c>
      <c r="L124" t="s">
        <v>18</v>
      </c>
      <c r="N124" t="s">
        <v>2699</v>
      </c>
      <c r="O124" t="s">
        <v>919</v>
      </c>
      <c r="P124" s="8">
        <v>3</v>
      </c>
      <c r="Q124" s="8">
        <v>2</v>
      </c>
      <c r="R124" s="8">
        <v>0</v>
      </c>
      <c r="S124" t="s">
        <v>2037</v>
      </c>
      <c r="T124" s="3"/>
      <c r="U124" s="3"/>
      <c r="V124" s="3"/>
    </row>
    <row r="125" spans="1:22" ht="12.45" hidden="1" x14ac:dyDescent="0.2">
      <c r="A125" s="3" t="s">
        <v>2138</v>
      </c>
      <c r="B125" t="s">
        <v>2719</v>
      </c>
      <c r="C125" s="24" t="s">
        <v>3114</v>
      </c>
      <c r="D125" s="24"/>
      <c r="E125" s="24"/>
      <c r="F125" t="str">
        <f>VLOOKUP(O125,pearl!$B:$E,4,0)</f>
        <v>♃</v>
      </c>
      <c r="G125" t="str">
        <f>VLOOKUP(IF(F125="Дом",H125,F125),pearl!$D$28:$F$32,3,0)</f>
        <v>Юпитер</v>
      </c>
      <c r="H125" t="str">
        <f>VLOOKUP(O125,pearl!$B:$E,3,0)</f>
        <v>Чародей♃</v>
      </c>
      <c r="I125" t="s">
        <v>147</v>
      </c>
      <c r="J125" t="s">
        <v>148</v>
      </c>
      <c r="K125" t="s">
        <v>23</v>
      </c>
      <c r="L125" t="s">
        <v>148</v>
      </c>
      <c r="N125" t="s">
        <v>2716</v>
      </c>
      <c r="O125" t="s">
        <v>1193</v>
      </c>
      <c r="P125" s="8">
        <v>3</v>
      </c>
      <c r="Q125" s="8">
        <v>1</v>
      </c>
      <c r="R125" s="8">
        <v>0</v>
      </c>
      <c r="S125" t="s">
        <v>23</v>
      </c>
      <c r="T125" s="3"/>
      <c r="U125" s="3"/>
      <c r="V125" s="3"/>
    </row>
    <row r="126" spans="1:22" ht="12.45" hidden="1" x14ac:dyDescent="0.2">
      <c r="A126" s="3" t="s">
        <v>2138</v>
      </c>
      <c r="B126" t="s">
        <v>2643</v>
      </c>
      <c r="C126" s="24" t="s">
        <v>3114</v>
      </c>
      <c r="D126" s="24"/>
      <c r="E126" s="24"/>
      <c r="F126" t="str">
        <f>VLOOKUP(O126,pearl!$B:$E,4,0)</f>
        <v>Дом</v>
      </c>
      <c r="G126" t="str">
        <f>VLOOKUP(IF(F126="Дом",H126,F126),pearl!$D$28:$F$32,3,0)</f>
        <v>Юпитер</v>
      </c>
      <c r="H126" t="str">
        <f>VLOOKUP(O126,pearl!$B:$E,3,0)</f>
        <v>♃</v>
      </c>
      <c r="I126" t="s">
        <v>15</v>
      </c>
      <c r="J126" t="s">
        <v>22</v>
      </c>
      <c r="K126" t="s">
        <v>23</v>
      </c>
      <c r="L126" t="s">
        <v>182</v>
      </c>
      <c r="N126" t="s">
        <v>2640</v>
      </c>
      <c r="O126" t="s">
        <v>2635</v>
      </c>
      <c r="P126" s="8">
        <v>3</v>
      </c>
      <c r="Q126" s="8">
        <v>1</v>
      </c>
      <c r="R126" s="8">
        <v>0</v>
      </c>
      <c r="S126" t="s">
        <v>2636</v>
      </c>
      <c r="T126" s="3"/>
      <c r="U126" s="3"/>
      <c r="V126" s="3"/>
    </row>
    <row r="127" spans="1:22" ht="12.45" hidden="1" x14ac:dyDescent="0.2">
      <c r="A127" s="3" t="s">
        <v>2138</v>
      </c>
      <c r="B127" t="s">
        <v>2030</v>
      </c>
      <c r="C127" s="24" t="s">
        <v>3135</v>
      </c>
      <c r="D127" s="24"/>
      <c r="E127" s="24"/>
      <c r="F127" t="str">
        <f>VLOOKUP(O127,pearl!$B:$E,4,0)</f>
        <v>♃</v>
      </c>
      <c r="G127" t="str">
        <f>VLOOKUP(IF(F127="Дом",H127,F127),pearl!$D$28:$F$32,3,0)</f>
        <v>Юпитер</v>
      </c>
      <c r="H127" t="str">
        <f>VLOOKUP(O127,pearl!$B:$E,3,0)</f>
        <v>Ключ♃</v>
      </c>
      <c r="I127" t="s">
        <v>175</v>
      </c>
      <c r="J127" t="s">
        <v>28</v>
      </c>
      <c r="K127" t="s">
        <v>2652</v>
      </c>
      <c r="L127" t="s">
        <v>18</v>
      </c>
      <c r="N127" t="s">
        <v>2653</v>
      </c>
      <c r="O127" t="s">
        <v>3130</v>
      </c>
      <c r="P127" s="8">
        <v>1</v>
      </c>
      <c r="Q127" s="8">
        <v>1</v>
      </c>
      <c r="R127" s="8">
        <v>0</v>
      </c>
      <c r="S127" t="s">
        <v>23</v>
      </c>
      <c r="T127" s="3"/>
      <c r="U127" s="3"/>
      <c r="V127" s="3"/>
    </row>
    <row r="128" spans="1:22" ht="12.45" hidden="1" x14ac:dyDescent="0.2">
      <c r="A128" s="3" t="s">
        <v>2138</v>
      </c>
      <c r="B128" t="s">
        <v>2037</v>
      </c>
      <c r="C128" s="24" t="s">
        <v>3135</v>
      </c>
      <c r="D128" s="24"/>
      <c r="E128" s="24"/>
      <c r="F128" t="str">
        <f>VLOOKUP(O128,pearl!$B:$E,4,0)</f>
        <v>♃</v>
      </c>
      <c r="G128" t="str">
        <f>VLOOKUP(IF(F128="Дом",H128,F128),pearl!$D$28:$F$32,3,0)</f>
        <v>Юпитер</v>
      </c>
      <c r="H128" t="str">
        <f>VLOOKUP(O128,pearl!$B:$E,3,0)</f>
        <v>Сокровищница♃</v>
      </c>
      <c r="I128" t="s">
        <v>15</v>
      </c>
      <c r="J128" t="s">
        <v>28</v>
      </c>
      <c r="K128" t="s">
        <v>430</v>
      </c>
      <c r="L128" t="s">
        <v>182</v>
      </c>
      <c r="N128" t="s">
        <v>2693</v>
      </c>
      <c r="O128" t="s">
        <v>919</v>
      </c>
      <c r="P128" s="8">
        <v>1</v>
      </c>
      <c r="Q128" s="8">
        <v>1</v>
      </c>
      <c r="R128" s="8">
        <v>0</v>
      </c>
      <c r="S128" t="s">
        <v>23</v>
      </c>
      <c r="T128" s="3"/>
      <c r="U128" s="3"/>
      <c r="V128" s="3"/>
    </row>
    <row r="129" spans="1:22" ht="12.45" hidden="1" x14ac:dyDescent="0.2">
      <c r="A129" s="3" t="s">
        <v>2138</v>
      </c>
      <c r="B129" t="s">
        <v>2695</v>
      </c>
      <c r="C129" s="24" t="s">
        <v>3135</v>
      </c>
      <c r="D129" s="24"/>
      <c r="E129" s="24"/>
      <c r="F129" t="str">
        <f>VLOOKUP(O129,pearl!$B:$E,4,0)</f>
        <v>♃</v>
      </c>
      <c r="G129" t="str">
        <f>VLOOKUP(IF(F129="Дом",H129,F129),pearl!$D$28:$F$32,3,0)</f>
        <v>Юпитер</v>
      </c>
      <c r="H129" t="str">
        <f>VLOOKUP(O129,pearl!$B:$E,3,0)</f>
        <v>Сокровищница♃</v>
      </c>
      <c r="I129" t="s">
        <v>15</v>
      </c>
      <c r="J129" t="s">
        <v>16</v>
      </c>
      <c r="K129" t="s">
        <v>23</v>
      </c>
      <c r="L129" t="s">
        <v>18</v>
      </c>
      <c r="N129" t="s">
        <v>2693</v>
      </c>
      <c r="O129" t="s">
        <v>919</v>
      </c>
      <c r="P129" s="8">
        <v>2</v>
      </c>
      <c r="Q129" s="8">
        <v>1</v>
      </c>
      <c r="R129" s="8">
        <v>0</v>
      </c>
      <c r="S129" t="s">
        <v>2037</v>
      </c>
      <c r="T129" s="3"/>
      <c r="U129" s="3"/>
      <c r="V129" s="3"/>
    </row>
    <row r="130" spans="1:22" ht="12.45" hidden="1" x14ac:dyDescent="0.2">
      <c r="A130" s="3" t="s">
        <v>2138</v>
      </c>
      <c r="B130" t="s">
        <v>1240</v>
      </c>
      <c r="C130" s="24" t="s">
        <v>3135</v>
      </c>
      <c r="D130" s="24"/>
      <c r="E130" s="24"/>
      <c r="F130" t="str">
        <f>VLOOKUP(O130,pearl!$B:$E,4,0)</f>
        <v>♃</v>
      </c>
      <c r="G130" t="str">
        <f>VLOOKUP(IF(F130="Дом",H130,F130),pearl!$D$28:$F$32,3,0)</f>
        <v>Юпитер</v>
      </c>
      <c r="H130" t="str">
        <f>VLOOKUP(O130,pearl!$B:$E,3,0)</f>
        <v>Чародей♃</v>
      </c>
      <c r="I130" t="s">
        <v>147</v>
      </c>
      <c r="J130" t="s">
        <v>148</v>
      </c>
      <c r="K130" t="s">
        <v>23</v>
      </c>
      <c r="L130" t="s">
        <v>148</v>
      </c>
      <c r="N130" t="s">
        <v>2738</v>
      </c>
      <c r="O130" t="s">
        <v>1193</v>
      </c>
      <c r="P130" s="8">
        <v>5</v>
      </c>
      <c r="Q130" s="8">
        <v>3</v>
      </c>
      <c r="R130" s="8">
        <v>0</v>
      </c>
      <c r="S130" t="s">
        <v>2739</v>
      </c>
      <c r="T130" s="3"/>
      <c r="U130" s="3"/>
      <c r="V130" s="3"/>
    </row>
    <row r="131" spans="1:22" ht="12.45" hidden="1" x14ac:dyDescent="0.2">
      <c r="A131" s="3" t="s">
        <v>2138</v>
      </c>
      <c r="B131" t="s">
        <v>2723</v>
      </c>
      <c r="C131" s="24" t="s">
        <v>3135</v>
      </c>
      <c r="D131" s="24"/>
      <c r="E131" s="24"/>
      <c r="F131" t="str">
        <f>VLOOKUP(O131,pearl!$B:$E,4,0)</f>
        <v>♃</v>
      </c>
      <c r="G131" t="str">
        <f>VLOOKUP(IF(F131="Дом",H131,F131),pearl!$D$28:$F$32,3,0)</f>
        <v>Юпитер</v>
      </c>
      <c r="H131" t="str">
        <f>VLOOKUP(O131,pearl!$B:$E,3,0)</f>
        <v>Чародей♃</v>
      </c>
      <c r="I131" t="s">
        <v>43</v>
      </c>
      <c r="J131" t="s">
        <v>28</v>
      </c>
      <c r="K131" t="s">
        <v>23</v>
      </c>
      <c r="L131" t="s">
        <v>182</v>
      </c>
      <c r="N131" t="s">
        <v>2722</v>
      </c>
      <c r="O131" t="s">
        <v>1193</v>
      </c>
      <c r="P131" s="8">
        <v>3</v>
      </c>
      <c r="Q131" s="8">
        <v>2</v>
      </c>
      <c r="R131" s="8">
        <v>0</v>
      </c>
      <c r="S131" t="s">
        <v>2717</v>
      </c>
      <c r="T131" s="3"/>
      <c r="U131" s="3"/>
      <c r="V131" s="3"/>
    </row>
    <row r="132" spans="1:22" ht="12.45" hidden="1" x14ac:dyDescent="0.2">
      <c r="A132" s="3" t="s">
        <v>2138</v>
      </c>
      <c r="B132" t="s">
        <v>2745</v>
      </c>
      <c r="C132" s="24" t="s">
        <v>3135</v>
      </c>
      <c r="D132" s="24"/>
      <c r="E132" s="24"/>
      <c r="F132" t="str">
        <f>VLOOKUP(O132,pearl!$B:$E,4,0)</f>
        <v>♃</v>
      </c>
      <c r="G132" t="str">
        <f>VLOOKUP(IF(F132="Дом",H132,F132),pearl!$D$28:$F$32,3,0)</f>
        <v>Юпитер</v>
      </c>
      <c r="H132" t="str">
        <f>VLOOKUP(O132,pearl!$B:$E,3,0)</f>
        <v>Маска♃</v>
      </c>
      <c r="I132" t="s">
        <v>2746</v>
      </c>
      <c r="J132" t="s">
        <v>28</v>
      </c>
      <c r="K132" t="s">
        <v>2336</v>
      </c>
      <c r="L132" t="s">
        <v>182</v>
      </c>
      <c r="N132" t="s">
        <v>2744</v>
      </c>
      <c r="O132" t="s">
        <v>1778</v>
      </c>
      <c r="P132" s="8">
        <v>5</v>
      </c>
      <c r="Q132" s="8">
        <v>2</v>
      </c>
      <c r="R132" s="8">
        <v>0</v>
      </c>
      <c r="S132" t="s">
        <v>2742</v>
      </c>
      <c r="T132" s="3"/>
      <c r="U132" s="3"/>
      <c r="V132" s="3"/>
    </row>
    <row r="133" spans="1:22" ht="12.45" hidden="1" x14ac:dyDescent="0.2">
      <c r="A133" s="3" t="s">
        <v>2138</v>
      </c>
      <c r="B133" t="s">
        <v>2751</v>
      </c>
      <c r="C133" s="24" t="s">
        <v>3135</v>
      </c>
      <c r="D133" s="24"/>
      <c r="E133" s="24"/>
      <c r="F133" t="str">
        <f>VLOOKUP(O133,pearl!$B:$E,4,0)</f>
        <v>♃</v>
      </c>
      <c r="G133" t="str">
        <f>VLOOKUP(IF(F133="Дом",H133,F133),pearl!$D$28:$F$32,3,0)</f>
        <v>Юпитер</v>
      </c>
      <c r="H133" t="str">
        <f>VLOOKUP(O133,pearl!$B:$E,3,0)</f>
        <v>Маска♃</v>
      </c>
      <c r="I133" t="s">
        <v>264</v>
      </c>
      <c r="J133" t="s">
        <v>28</v>
      </c>
      <c r="K133" t="s">
        <v>2752</v>
      </c>
      <c r="L133" t="s">
        <v>751</v>
      </c>
      <c r="N133" t="s">
        <v>2750</v>
      </c>
      <c r="O133" t="s">
        <v>1778</v>
      </c>
      <c r="P133" s="8">
        <v>5</v>
      </c>
      <c r="Q133" s="8">
        <v>3</v>
      </c>
      <c r="R133" s="8">
        <v>0</v>
      </c>
      <c r="S133" t="s">
        <v>2753</v>
      </c>
      <c r="T133" s="3"/>
      <c r="U133" s="3"/>
      <c r="V133" s="3"/>
    </row>
    <row r="134" spans="1:22" ht="12.45" hidden="1" x14ac:dyDescent="0.2">
      <c r="A134" s="3" t="s">
        <v>2138</v>
      </c>
      <c r="B134" t="s">
        <v>2641</v>
      </c>
      <c r="C134" s="24" t="s">
        <v>3135</v>
      </c>
      <c r="D134" s="24"/>
      <c r="E134" s="24"/>
      <c r="F134" t="str">
        <f>VLOOKUP(O134,pearl!$B:$E,4,0)</f>
        <v>Дом</v>
      </c>
      <c r="G134" t="str">
        <f>VLOOKUP(IF(F134="Дом",H134,F134),pearl!$D$28:$F$32,3,0)</f>
        <v>Юпитер</v>
      </c>
      <c r="H134" t="str">
        <f>VLOOKUP(O134,pearl!$B:$E,3,0)</f>
        <v>♃</v>
      </c>
      <c r="I134" t="s">
        <v>47</v>
      </c>
      <c r="J134" t="s">
        <v>16</v>
      </c>
      <c r="K134" t="s">
        <v>142</v>
      </c>
      <c r="L134" t="s">
        <v>18</v>
      </c>
      <c r="N134" t="s">
        <v>2640</v>
      </c>
      <c r="O134" t="s">
        <v>2635</v>
      </c>
      <c r="P134" s="8">
        <v>3</v>
      </c>
      <c r="Q134" s="8">
        <v>1</v>
      </c>
      <c r="R134" s="8">
        <v>0</v>
      </c>
      <c r="S134" t="s">
        <v>2636</v>
      </c>
      <c r="T134" s="3"/>
      <c r="U134" s="3"/>
      <c r="V134" s="3"/>
    </row>
    <row r="135" spans="1:22" ht="12.45" hidden="1" x14ac:dyDescent="0.2">
      <c r="A135" s="3" t="s">
        <v>2138</v>
      </c>
      <c r="B135" t="s">
        <v>2349</v>
      </c>
      <c r="C135" s="24"/>
      <c r="D135" s="24"/>
      <c r="E135" s="24"/>
      <c r="F135" t="str">
        <f>VLOOKUP(O135,pearl!$B:$E,4,0)</f>
        <v>♀</v>
      </c>
      <c r="G135" t="str">
        <f>VLOOKUP(IF(F135="Дом",H135,F135),pearl!$D$28:$F$32,3,0)</f>
        <v>Венера</v>
      </c>
      <c r="H135" t="str">
        <f>VLOOKUP(O135,pearl!$B:$E,3,0)</f>
        <v>♀Павлин</v>
      </c>
      <c r="I135" t="s">
        <v>1269</v>
      </c>
      <c r="J135" t="s">
        <v>28</v>
      </c>
      <c r="K135" t="s">
        <v>142</v>
      </c>
      <c r="L135" t="s">
        <v>18</v>
      </c>
      <c r="N135" t="s">
        <v>2346</v>
      </c>
      <c r="O135" t="s">
        <v>464</v>
      </c>
      <c r="P135" s="8">
        <v>5</v>
      </c>
      <c r="Q135" s="8">
        <v>3</v>
      </c>
      <c r="R135" s="8">
        <v>0</v>
      </c>
      <c r="S135" t="s">
        <v>2334</v>
      </c>
      <c r="T135" s="3"/>
      <c r="U135" s="3"/>
      <c r="V135" s="3"/>
    </row>
    <row r="136" spans="1:22" ht="12.45" hidden="1" x14ac:dyDescent="0.2">
      <c r="A136" s="3" t="s">
        <v>2138</v>
      </c>
      <c r="B136" t="s">
        <v>2019</v>
      </c>
      <c r="C136" s="24"/>
      <c r="D136" s="24"/>
      <c r="E136" s="24"/>
      <c r="F136" t="str">
        <f>VLOOKUP(O136,pearl!$B:$E,4,0)</f>
        <v>♀</v>
      </c>
      <c r="G136" t="str">
        <f>VLOOKUP(IF(F136="Дом",H136,F136),pearl!$D$28:$F$32,3,0)</f>
        <v>Венера</v>
      </c>
      <c r="H136" t="str">
        <f>VLOOKUP(O136,pearl!$B:$E,3,0)</f>
        <v>♀Павлин</v>
      </c>
      <c r="I136" t="s">
        <v>415</v>
      </c>
      <c r="J136" t="s">
        <v>28</v>
      </c>
      <c r="K136" t="s">
        <v>142</v>
      </c>
      <c r="L136" t="s">
        <v>18</v>
      </c>
      <c r="N136" t="s">
        <v>2333</v>
      </c>
      <c r="O136" t="s">
        <v>464</v>
      </c>
      <c r="P136" s="8">
        <v>3</v>
      </c>
      <c r="Q136" s="8">
        <v>1</v>
      </c>
      <c r="R136" s="8">
        <v>0</v>
      </c>
      <c r="S136" t="s">
        <v>23</v>
      </c>
      <c r="T136" s="3"/>
      <c r="U136" s="3"/>
      <c r="V136" s="3"/>
    </row>
    <row r="137" spans="1:22" ht="12.45" hidden="1" x14ac:dyDescent="0.2">
      <c r="A137" s="3" t="s">
        <v>2138</v>
      </c>
      <c r="B137" t="s">
        <v>2323</v>
      </c>
      <c r="C137" s="24"/>
      <c r="D137" s="24"/>
      <c r="E137" s="24"/>
      <c r="F137" t="str">
        <f>VLOOKUP(O137,pearl!$B:$E,4,0)</f>
        <v>♀</v>
      </c>
      <c r="G137" t="str">
        <f>VLOOKUP(IF(F137="Дом",H137,F137),pearl!$D$28:$F$32,3,0)</f>
        <v>Венера</v>
      </c>
      <c r="H137" t="str">
        <f>VLOOKUP(O137,pearl!$B:$E,3,0)</f>
        <v>♀Павлин</v>
      </c>
      <c r="I137" t="s">
        <v>147</v>
      </c>
      <c r="J137" t="s">
        <v>148</v>
      </c>
      <c r="K137" t="s">
        <v>23</v>
      </c>
      <c r="L137" t="s">
        <v>148</v>
      </c>
      <c r="N137" t="s">
        <v>2322</v>
      </c>
      <c r="O137" t="s">
        <v>464</v>
      </c>
      <c r="P137" s="8">
        <v>1</v>
      </c>
      <c r="Q137" s="8">
        <v>1</v>
      </c>
      <c r="R137" s="8">
        <v>0</v>
      </c>
      <c r="S137" t="s">
        <v>23</v>
      </c>
      <c r="T137" s="3"/>
      <c r="U137" s="3"/>
      <c r="V137" s="3"/>
    </row>
    <row r="138" spans="1:22" ht="12.45" hidden="1" x14ac:dyDescent="0.2">
      <c r="A138" s="3" t="s">
        <v>2138</v>
      </c>
      <c r="B138" t="s">
        <v>2350</v>
      </c>
      <c r="C138" s="24"/>
      <c r="D138" s="24"/>
      <c r="E138" s="24"/>
      <c r="F138" t="str">
        <f>VLOOKUP(O138,pearl!$B:$E,4,0)</f>
        <v>♀</v>
      </c>
      <c r="G138" t="str">
        <f>VLOOKUP(IF(F138="Дом",H138,F138),pearl!$D$28:$F$32,3,0)</f>
        <v>Венера</v>
      </c>
      <c r="H138" t="str">
        <f>VLOOKUP(O138,pearl!$B:$E,3,0)</f>
        <v>♀Павлин</v>
      </c>
      <c r="I138" t="s">
        <v>264</v>
      </c>
      <c r="J138" t="s">
        <v>28</v>
      </c>
      <c r="K138" t="s">
        <v>2165</v>
      </c>
      <c r="L138" t="s">
        <v>18</v>
      </c>
      <c r="N138" t="s">
        <v>2351</v>
      </c>
      <c r="O138" t="s">
        <v>464</v>
      </c>
      <c r="P138" s="8">
        <v>5</v>
      </c>
      <c r="Q138" s="8">
        <v>3</v>
      </c>
      <c r="R138" s="8">
        <v>0</v>
      </c>
      <c r="S138" t="s">
        <v>2347</v>
      </c>
      <c r="T138" s="3"/>
      <c r="U138" s="3"/>
      <c r="V138" s="3"/>
    </row>
    <row r="139" spans="1:22" ht="12.45" hidden="1" x14ac:dyDescent="0.2">
      <c r="A139" s="3" t="s">
        <v>2138</v>
      </c>
      <c r="B139" t="s">
        <v>2342</v>
      </c>
      <c r="C139" s="24"/>
      <c r="D139" s="24"/>
      <c r="E139" s="24"/>
      <c r="F139" t="str">
        <f>VLOOKUP(O139,pearl!$B:$E,4,0)</f>
        <v>♀</v>
      </c>
      <c r="G139" t="str">
        <f>VLOOKUP(IF(F139="Дом",H139,F139),pearl!$D$28:$F$32,3,0)</f>
        <v>Венера</v>
      </c>
      <c r="H139" t="str">
        <f>VLOOKUP(O139,pearl!$B:$E,3,0)</f>
        <v>♀Павлин</v>
      </c>
      <c r="I139" t="s">
        <v>43</v>
      </c>
      <c r="J139" t="s">
        <v>28</v>
      </c>
      <c r="K139" t="s">
        <v>23</v>
      </c>
      <c r="L139" t="s">
        <v>563</v>
      </c>
      <c r="N139" t="s">
        <v>2343</v>
      </c>
      <c r="O139" t="s">
        <v>464</v>
      </c>
      <c r="P139" s="8">
        <v>5</v>
      </c>
      <c r="Q139" s="8">
        <v>2</v>
      </c>
      <c r="R139" s="8">
        <v>0</v>
      </c>
      <c r="S139" t="s">
        <v>2335</v>
      </c>
      <c r="T139" s="3"/>
      <c r="U139" s="3"/>
      <c r="V139" s="3"/>
    </row>
    <row r="140" spans="1:22" ht="12.45" hidden="1" x14ac:dyDescent="0.2">
      <c r="A140" s="3" t="s">
        <v>2138</v>
      </c>
      <c r="B140" t="s">
        <v>2023</v>
      </c>
      <c r="C140" s="24"/>
      <c r="D140" s="24"/>
      <c r="E140" s="24"/>
      <c r="F140" t="str">
        <f>VLOOKUP(O140,pearl!$B:$E,4,0)</f>
        <v>♀</v>
      </c>
      <c r="G140" t="str">
        <f>VLOOKUP(IF(F140="Дом",H140,F140),pearl!$D$28:$F$32,3,0)</f>
        <v>Венера</v>
      </c>
      <c r="H140" t="str">
        <f>VLOOKUP(O140,pearl!$B:$E,3,0)</f>
        <v>♀Павлин</v>
      </c>
      <c r="I140" t="s">
        <v>2353</v>
      </c>
      <c r="J140" t="s">
        <v>28</v>
      </c>
      <c r="K140" t="s">
        <v>23</v>
      </c>
      <c r="L140" t="s">
        <v>2033</v>
      </c>
      <c r="N140" t="s">
        <v>2354</v>
      </c>
      <c r="O140" t="s">
        <v>464</v>
      </c>
      <c r="P140" s="8">
        <v>5</v>
      </c>
      <c r="Q140" s="8">
        <v>5</v>
      </c>
      <c r="R140" s="8">
        <v>0</v>
      </c>
      <c r="S140" t="s">
        <v>2355</v>
      </c>
      <c r="T140" s="3"/>
      <c r="U140" s="3"/>
      <c r="V140" s="3"/>
    </row>
    <row r="141" spans="1:22" ht="12.45" hidden="1" x14ac:dyDescent="0.2">
      <c r="A141" s="3" t="s">
        <v>2138</v>
      </c>
      <c r="B141" t="s">
        <v>2344</v>
      </c>
      <c r="C141" s="24"/>
      <c r="D141" s="24"/>
      <c r="E141" s="24"/>
      <c r="F141" t="str">
        <f>VLOOKUP(O141,pearl!$B:$E,4,0)</f>
        <v>♀</v>
      </c>
      <c r="G141" t="str">
        <f>VLOOKUP(IF(F141="Дом",H141,F141),pearl!$D$28:$F$32,3,0)</f>
        <v>Венера</v>
      </c>
      <c r="H141" t="str">
        <f>VLOOKUP(O141,pearl!$B:$E,3,0)</f>
        <v>♀Павлин</v>
      </c>
      <c r="I141" t="s">
        <v>43</v>
      </c>
      <c r="J141" t="s">
        <v>28</v>
      </c>
      <c r="K141" t="s">
        <v>23</v>
      </c>
      <c r="L141" t="s">
        <v>2345</v>
      </c>
      <c r="N141" t="s">
        <v>2346</v>
      </c>
      <c r="O141" t="s">
        <v>464</v>
      </c>
      <c r="P141" s="8">
        <v>5</v>
      </c>
      <c r="Q141" s="8">
        <v>2</v>
      </c>
      <c r="R141" s="8">
        <v>0</v>
      </c>
      <c r="S141" t="s">
        <v>2331</v>
      </c>
      <c r="T141" s="3"/>
      <c r="U141" s="3"/>
      <c r="V141" s="3"/>
    </row>
    <row r="142" spans="1:22" ht="12.45" hidden="1" x14ac:dyDescent="0.2">
      <c r="A142" s="3" t="s">
        <v>2138</v>
      </c>
      <c r="B142" t="s">
        <v>2347</v>
      </c>
      <c r="C142" s="24"/>
      <c r="D142" s="24"/>
      <c r="E142" s="24"/>
      <c r="F142" t="str">
        <f>VLOOKUP(O142,pearl!$B:$E,4,0)</f>
        <v>♀</v>
      </c>
      <c r="G142" t="str">
        <f>VLOOKUP(IF(F142="Дом",H142,F142),pearl!$D$28:$F$32,3,0)</f>
        <v>Венера</v>
      </c>
      <c r="H142" t="str">
        <f>VLOOKUP(O142,pearl!$B:$E,3,0)</f>
        <v>♀Павлин</v>
      </c>
      <c r="I142" t="s">
        <v>147</v>
      </c>
      <c r="J142" t="s">
        <v>148</v>
      </c>
      <c r="K142" t="s">
        <v>430</v>
      </c>
      <c r="L142" t="s">
        <v>148</v>
      </c>
      <c r="N142" t="s">
        <v>2346</v>
      </c>
      <c r="O142" t="s">
        <v>464</v>
      </c>
      <c r="P142" s="8">
        <v>5</v>
      </c>
      <c r="Q142" s="8">
        <v>2</v>
      </c>
      <c r="R142" s="8">
        <v>0</v>
      </c>
      <c r="S142" t="s">
        <v>2344</v>
      </c>
      <c r="T142" s="3"/>
      <c r="U142" s="3"/>
      <c r="V142" s="3"/>
    </row>
    <row r="143" spans="1:22" ht="12.45" hidden="1" x14ac:dyDescent="0.2">
      <c r="A143" s="3" t="s">
        <v>2138</v>
      </c>
      <c r="B143" t="s">
        <v>2352</v>
      </c>
      <c r="C143" s="24"/>
      <c r="D143" s="24"/>
      <c r="E143" s="24"/>
      <c r="F143" t="str">
        <f>VLOOKUP(O143,pearl!$B:$E,4,0)</f>
        <v>♀</v>
      </c>
      <c r="G143" t="str">
        <f>VLOOKUP(IF(F143="Дом",H143,F143),pearl!$D$28:$F$32,3,0)</f>
        <v>Венера</v>
      </c>
      <c r="H143" t="str">
        <f>VLOOKUP(O143,pearl!$B:$E,3,0)</f>
        <v>♀Павлин</v>
      </c>
      <c r="I143" t="s">
        <v>264</v>
      </c>
      <c r="J143" t="s">
        <v>28</v>
      </c>
      <c r="K143" t="s">
        <v>23</v>
      </c>
      <c r="L143" t="s">
        <v>182</v>
      </c>
      <c r="N143" t="s">
        <v>2351</v>
      </c>
      <c r="O143" t="s">
        <v>464</v>
      </c>
      <c r="P143" s="8">
        <v>5</v>
      </c>
      <c r="Q143" s="8">
        <v>4</v>
      </c>
      <c r="R143" s="8">
        <v>0</v>
      </c>
      <c r="S143" t="s">
        <v>2350</v>
      </c>
      <c r="T143" s="3"/>
      <c r="U143" s="3"/>
      <c r="V143" s="3"/>
    </row>
    <row r="144" spans="1:22" ht="12.45" hidden="1" x14ac:dyDescent="0.2">
      <c r="A144" s="3" t="s">
        <v>2138</v>
      </c>
      <c r="B144" t="s">
        <v>2348</v>
      </c>
      <c r="C144" s="24"/>
      <c r="D144" s="24"/>
      <c r="E144" s="24"/>
      <c r="F144" t="str">
        <f>VLOOKUP(O144,pearl!$B:$E,4,0)</f>
        <v>♀</v>
      </c>
      <c r="G144" t="str">
        <f>VLOOKUP(IF(F144="Дом",H144,F144),pearl!$D$28:$F$32,3,0)</f>
        <v>Венера</v>
      </c>
      <c r="H144" t="str">
        <f>VLOOKUP(O144,pearl!$B:$E,3,0)</f>
        <v>♀Павлин</v>
      </c>
      <c r="I144" t="s">
        <v>47</v>
      </c>
      <c r="J144" t="s">
        <v>28</v>
      </c>
      <c r="K144" t="s">
        <v>142</v>
      </c>
      <c r="L144" t="s">
        <v>18</v>
      </c>
      <c r="N144" t="s">
        <v>2346</v>
      </c>
      <c r="O144" t="s">
        <v>464</v>
      </c>
      <c r="P144" s="8">
        <v>5</v>
      </c>
      <c r="Q144" s="8">
        <v>2</v>
      </c>
      <c r="R144" s="8">
        <v>0</v>
      </c>
      <c r="S144" t="s">
        <v>2017</v>
      </c>
      <c r="T144" s="3"/>
      <c r="U144" s="3"/>
      <c r="V144" s="3"/>
    </row>
    <row r="145" spans="1:22" ht="12.45" hidden="1" x14ac:dyDescent="0.2">
      <c r="A145" s="3" t="s">
        <v>2138</v>
      </c>
      <c r="B145" t="s">
        <v>2331</v>
      </c>
      <c r="C145" s="24"/>
      <c r="D145" s="24"/>
      <c r="E145" s="24"/>
      <c r="F145" t="str">
        <f>VLOOKUP(O145,pearl!$B:$E,4,0)</f>
        <v>♀</v>
      </c>
      <c r="G145" t="str">
        <f>VLOOKUP(IF(F145="Дом",H145,F145),pearl!$D$28:$F$32,3,0)</f>
        <v>Венера</v>
      </c>
      <c r="H145" t="str">
        <f>VLOOKUP(O145,pearl!$B:$E,3,0)</f>
        <v>♀Павлин</v>
      </c>
      <c r="I145" t="s">
        <v>27</v>
      </c>
      <c r="J145" t="s">
        <v>28</v>
      </c>
      <c r="K145" t="s">
        <v>2165</v>
      </c>
      <c r="L145" t="s">
        <v>182</v>
      </c>
      <c r="N145" t="s">
        <v>2326</v>
      </c>
      <c r="O145" t="s">
        <v>464</v>
      </c>
      <c r="P145" s="8">
        <v>4</v>
      </c>
      <c r="Q145" s="8">
        <v>1</v>
      </c>
      <c r="R145" s="8">
        <v>0</v>
      </c>
      <c r="S145" t="s">
        <v>2329</v>
      </c>
      <c r="T145" s="3"/>
      <c r="U145" s="3"/>
      <c r="V145" s="3"/>
    </row>
    <row r="146" spans="1:22" ht="12.45" hidden="1" x14ac:dyDescent="0.2">
      <c r="A146" s="3" t="s">
        <v>2138</v>
      </c>
      <c r="B146" t="s">
        <v>2362</v>
      </c>
      <c r="C146" s="24"/>
      <c r="D146" s="24"/>
      <c r="E146" s="24"/>
      <c r="F146" t="str">
        <f>VLOOKUP(O146,pearl!$B:$E,4,0)</f>
        <v>♀</v>
      </c>
      <c r="G146" t="str">
        <f>VLOOKUP(IF(F146="Дом",H146,F146),pearl!$D$28:$F$32,3,0)</f>
        <v>Венера</v>
      </c>
      <c r="H146" t="str">
        <f>VLOOKUP(O146,pearl!$B:$E,3,0)</f>
        <v>♀Кувшин</v>
      </c>
      <c r="I146" t="s">
        <v>147</v>
      </c>
      <c r="J146" t="s">
        <v>148</v>
      </c>
      <c r="K146" t="s">
        <v>142</v>
      </c>
      <c r="L146" t="s">
        <v>148</v>
      </c>
      <c r="N146" t="s">
        <v>2359</v>
      </c>
      <c r="O146" t="s">
        <v>598</v>
      </c>
      <c r="P146" s="8">
        <v>1</v>
      </c>
      <c r="Q146" s="8">
        <v>1</v>
      </c>
      <c r="R146" s="8">
        <v>0</v>
      </c>
      <c r="S146" t="s">
        <v>23</v>
      </c>
      <c r="T146" s="3"/>
      <c r="U146" s="3"/>
      <c r="V146" s="3"/>
    </row>
    <row r="147" spans="1:22" ht="12.45" hidden="1" x14ac:dyDescent="0.2">
      <c r="A147" s="3" t="s">
        <v>2138</v>
      </c>
      <c r="B147" t="s">
        <v>2368</v>
      </c>
      <c r="C147" s="24"/>
      <c r="D147" s="24"/>
      <c r="E147" s="24"/>
      <c r="F147" t="str">
        <f>VLOOKUP(O147,pearl!$B:$E,4,0)</f>
        <v>♀</v>
      </c>
      <c r="G147" t="str">
        <f>VLOOKUP(IF(F147="Дом",H147,F147),pearl!$D$28:$F$32,3,0)</f>
        <v>Венера</v>
      </c>
      <c r="H147" t="str">
        <f>VLOOKUP(O147,pearl!$B:$E,3,0)</f>
        <v>♀Кувшин</v>
      </c>
      <c r="I147" t="s">
        <v>2129</v>
      </c>
      <c r="J147" t="s">
        <v>148</v>
      </c>
      <c r="K147" t="s">
        <v>212</v>
      </c>
      <c r="L147" t="s">
        <v>148</v>
      </c>
      <c r="N147" t="s">
        <v>2367</v>
      </c>
      <c r="O147" t="s">
        <v>598</v>
      </c>
      <c r="P147" s="8">
        <v>4</v>
      </c>
      <c r="Q147" s="8">
        <v>2</v>
      </c>
      <c r="R147" s="8">
        <v>0</v>
      </c>
      <c r="S147" t="s">
        <v>2024</v>
      </c>
      <c r="T147" s="3"/>
      <c r="U147" s="3"/>
      <c r="V147" s="3"/>
    </row>
    <row r="148" spans="1:22" ht="12.45" hidden="1" x14ac:dyDescent="0.2">
      <c r="A148" s="3" t="s">
        <v>2138</v>
      </c>
      <c r="B148" t="s">
        <v>2366</v>
      </c>
      <c r="C148" s="24"/>
      <c r="D148" s="24"/>
      <c r="E148" s="24"/>
      <c r="F148" t="str">
        <f>VLOOKUP(O148,pearl!$B:$E,4,0)</f>
        <v>♀</v>
      </c>
      <c r="G148" t="str">
        <f>VLOOKUP(IF(F148="Дом",H148,F148),pearl!$D$28:$F$32,3,0)</f>
        <v>Венера</v>
      </c>
      <c r="H148" t="str">
        <f>VLOOKUP(O148,pearl!$B:$E,3,0)</f>
        <v>♀Кувшин</v>
      </c>
      <c r="I148" t="s">
        <v>43</v>
      </c>
      <c r="J148" t="s">
        <v>22</v>
      </c>
      <c r="K148" t="s">
        <v>142</v>
      </c>
      <c r="L148" t="s">
        <v>18</v>
      </c>
      <c r="N148" t="s">
        <v>2367</v>
      </c>
      <c r="O148" t="s">
        <v>598</v>
      </c>
      <c r="P148" s="8">
        <v>4</v>
      </c>
      <c r="Q148" s="8">
        <v>2</v>
      </c>
      <c r="R148" s="8">
        <v>0</v>
      </c>
      <c r="S148" t="s">
        <v>2357</v>
      </c>
      <c r="T148" s="3"/>
      <c r="U148" s="3"/>
      <c r="V148" s="3"/>
    </row>
    <row r="149" spans="1:22" ht="12.45" hidden="1" x14ac:dyDescent="0.2">
      <c r="A149" s="3" t="s">
        <v>2138</v>
      </c>
      <c r="B149" t="s">
        <v>2365</v>
      </c>
      <c r="C149" s="24"/>
      <c r="D149" s="24"/>
      <c r="E149" s="24"/>
      <c r="F149" t="str">
        <f>VLOOKUP(O149,pearl!$B:$E,4,0)</f>
        <v>♀</v>
      </c>
      <c r="G149" t="str">
        <f>VLOOKUP(IF(F149="Дом",H149,F149),pearl!$D$28:$F$32,3,0)</f>
        <v>Венера</v>
      </c>
      <c r="H149" t="str">
        <f>VLOOKUP(O149,pearl!$B:$E,3,0)</f>
        <v>♀Кувшин</v>
      </c>
      <c r="I149" t="s">
        <v>27</v>
      </c>
      <c r="J149" t="s">
        <v>28</v>
      </c>
      <c r="K149" t="s">
        <v>2165</v>
      </c>
      <c r="L149" t="s">
        <v>182</v>
      </c>
      <c r="N149" t="s">
        <v>2364</v>
      </c>
      <c r="O149" t="s">
        <v>598</v>
      </c>
      <c r="P149" s="8">
        <v>4</v>
      </c>
      <c r="Q149" s="8">
        <v>1</v>
      </c>
      <c r="R149" s="8">
        <v>0</v>
      </c>
      <c r="S149" t="s">
        <v>2025</v>
      </c>
      <c r="T149" s="3"/>
      <c r="U149" s="3"/>
      <c r="V149" s="3"/>
    </row>
    <row r="150" spans="1:22" ht="12.45" hidden="1" x14ac:dyDescent="0.2">
      <c r="A150" s="3" t="s">
        <v>2138</v>
      </c>
      <c r="B150" t="s">
        <v>2374</v>
      </c>
      <c r="C150" s="24"/>
      <c r="D150" s="24"/>
      <c r="E150" s="24"/>
      <c r="F150" t="str">
        <f>VLOOKUP(O150,pearl!$B:$E,4,0)</f>
        <v>♀</v>
      </c>
      <c r="G150" t="str">
        <f>VLOOKUP(IF(F150="Дом",H150,F150),pearl!$D$28:$F$32,3,0)</f>
        <v>Венера</v>
      </c>
      <c r="H150" t="str">
        <f>VLOOKUP(O150,pearl!$B:$E,3,0)</f>
        <v>♀Кувшин</v>
      </c>
      <c r="I150" t="s">
        <v>392</v>
      </c>
      <c r="J150" t="s">
        <v>28</v>
      </c>
      <c r="K150" t="s">
        <v>2375</v>
      </c>
      <c r="L150" t="s">
        <v>2376</v>
      </c>
      <c r="N150" t="s">
        <v>2372</v>
      </c>
      <c r="O150" t="s">
        <v>598</v>
      </c>
      <c r="P150" s="8">
        <v>5</v>
      </c>
      <c r="Q150" s="8">
        <v>5</v>
      </c>
      <c r="R150" s="8">
        <v>0</v>
      </c>
      <c r="S150" t="s">
        <v>2377</v>
      </c>
      <c r="T150" s="3"/>
      <c r="U150" s="3"/>
      <c r="V150" s="3"/>
    </row>
    <row r="151" spans="1:22" ht="12.45" hidden="1" x14ac:dyDescent="0.2">
      <c r="A151" s="3" t="s">
        <v>2138</v>
      </c>
      <c r="B151" t="s">
        <v>2373</v>
      </c>
      <c r="C151" s="24"/>
      <c r="D151" s="24"/>
      <c r="E151" s="24"/>
      <c r="F151" t="str">
        <f>VLOOKUP(O151,pearl!$B:$E,4,0)</f>
        <v>♀</v>
      </c>
      <c r="G151" t="str">
        <f>VLOOKUP(IF(F151="Дом",H151,F151),pearl!$D$28:$F$32,3,0)</f>
        <v>Венера</v>
      </c>
      <c r="H151" t="str">
        <f>VLOOKUP(O151,pearl!$B:$E,3,0)</f>
        <v>♀Кувшин</v>
      </c>
      <c r="I151" t="s">
        <v>43</v>
      </c>
      <c r="J151" t="s">
        <v>28</v>
      </c>
      <c r="K151" t="s">
        <v>17</v>
      </c>
      <c r="L151" t="s">
        <v>182</v>
      </c>
      <c r="N151" t="s">
        <v>2372</v>
      </c>
      <c r="O151" t="s">
        <v>598</v>
      </c>
      <c r="P151" s="8">
        <v>5</v>
      </c>
      <c r="Q151" s="8">
        <v>4</v>
      </c>
      <c r="R151" s="8">
        <v>0</v>
      </c>
      <c r="S151" t="s">
        <v>2095</v>
      </c>
      <c r="T151" s="3"/>
      <c r="U151" s="3"/>
      <c r="V151" s="3"/>
    </row>
    <row r="152" spans="1:22" ht="12.45" hidden="1" x14ac:dyDescent="0.2">
      <c r="A152" s="3" t="s">
        <v>2138</v>
      </c>
      <c r="B152" t="s">
        <v>2371</v>
      </c>
      <c r="C152" s="24"/>
      <c r="D152" s="24"/>
      <c r="E152" s="24"/>
      <c r="F152" t="str">
        <f>VLOOKUP(O152,pearl!$B:$E,4,0)</f>
        <v>♀</v>
      </c>
      <c r="G152" t="str">
        <f>VLOOKUP(IF(F152="Дом",H152,F152),pearl!$D$28:$F$32,3,0)</f>
        <v>Венера</v>
      </c>
      <c r="H152" t="str">
        <f>VLOOKUP(O152,pearl!$B:$E,3,0)</f>
        <v>♀Кувшин</v>
      </c>
      <c r="I152" t="s">
        <v>43</v>
      </c>
      <c r="J152" t="s">
        <v>28</v>
      </c>
      <c r="K152" t="s">
        <v>142</v>
      </c>
      <c r="L152" t="s">
        <v>18</v>
      </c>
      <c r="N152" t="s">
        <v>2372</v>
      </c>
      <c r="O152" t="s">
        <v>598</v>
      </c>
      <c r="P152" s="8">
        <v>5</v>
      </c>
      <c r="Q152" s="8">
        <v>3</v>
      </c>
      <c r="R152" s="8">
        <v>0</v>
      </c>
      <c r="S152" t="s">
        <v>2365</v>
      </c>
      <c r="T152" s="3"/>
      <c r="U152" s="3"/>
      <c r="V152" s="3"/>
    </row>
    <row r="153" spans="1:22" ht="12.45" hidden="1" x14ac:dyDescent="0.2">
      <c r="A153" s="3" t="s">
        <v>2138</v>
      </c>
      <c r="B153" t="s">
        <v>2024</v>
      </c>
      <c r="C153" s="24"/>
      <c r="D153" s="24"/>
      <c r="E153" s="24"/>
      <c r="F153" t="str">
        <f>VLOOKUP(O153,pearl!$B:$E,4,0)</f>
        <v>♀</v>
      </c>
      <c r="G153" t="str">
        <f>VLOOKUP(IF(F153="Дом",H153,F153),pearl!$D$28:$F$32,3,0)</f>
        <v>Венера</v>
      </c>
      <c r="H153" t="str">
        <f>VLOOKUP(O153,pearl!$B:$E,3,0)</f>
        <v>♀Кувшин</v>
      </c>
      <c r="I153" t="s">
        <v>34</v>
      </c>
      <c r="J153" t="s">
        <v>22</v>
      </c>
      <c r="K153" t="s">
        <v>17</v>
      </c>
      <c r="L153" t="s">
        <v>2106</v>
      </c>
      <c r="N153" t="s">
        <v>2359</v>
      </c>
      <c r="O153" t="s">
        <v>598</v>
      </c>
      <c r="P153" s="8">
        <v>4</v>
      </c>
      <c r="Q153" s="8">
        <v>1</v>
      </c>
      <c r="R153" s="8">
        <v>0</v>
      </c>
      <c r="S153" t="s">
        <v>2356</v>
      </c>
      <c r="T153" s="3"/>
      <c r="U153" s="3"/>
      <c r="V153" s="3"/>
    </row>
    <row r="154" spans="1:22" ht="12.45" hidden="1" x14ac:dyDescent="0.2">
      <c r="A154" s="3" t="s">
        <v>2138</v>
      </c>
      <c r="B154" t="s">
        <v>2370</v>
      </c>
      <c r="C154" s="24"/>
      <c r="D154" s="24"/>
      <c r="E154" s="24"/>
      <c r="F154" t="str">
        <f>VLOOKUP(O154,pearl!$B:$E,4,0)</f>
        <v>♀</v>
      </c>
      <c r="G154" t="str">
        <f>VLOOKUP(IF(F154="Дом",H154,F154),pearl!$D$28:$F$32,3,0)</f>
        <v>Венера</v>
      </c>
      <c r="H154" t="str">
        <f>VLOOKUP(O154,pearl!$B:$E,3,0)</f>
        <v>♀Кувшин</v>
      </c>
      <c r="I154" t="s">
        <v>154</v>
      </c>
      <c r="J154" t="s">
        <v>22</v>
      </c>
      <c r="K154" t="s">
        <v>17</v>
      </c>
      <c r="L154" t="s">
        <v>18</v>
      </c>
      <c r="N154" t="s">
        <v>2367</v>
      </c>
      <c r="O154" t="s">
        <v>598</v>
      </c>
      <c r="P154" s="8">
        <v>5</v>
      </c>
      <c r="Q154" s="8">
        <v>2</v>
      </c>
      <c r="R154" s="8">
        <v>0</v>
      </c>
      <c r="S154" t="s">
        <v>2024</v>
      </c>
      <c r="T154" s="3"/>
      <c r="U154" s="3"/>
      <c r="V154" s="3"/>
    </row>
    <row r="155" spans="1:22" ht="12.45" hidden="1" x14ac:dyDescent="0.2">
      <c r="A155" s="3" t="s">
        <v>2138</v>
      </c>
      <c r="B155" t="s">
        <v>2391</v>
      </c>
      <c r="C155" s="24"/>
      <c r="D155" s="24"/>
      <c r="E155" s="24"/>
      <c r="F155" t="str">
        <f>VLOOKUP(O155,pearl!$B:$E,4,0)</f>
        <v>♀</v>
      </c>
      <c r="G155" t="str">
        <f>VLOOKUP(IF(F155="Дом",H155,F155),pearl!$D$28:$F$32,3,0)</f>
        <v>Венера</v>
      </c>
      <c r="H155" t="str">
        <f>VLOOKUP(O155,pearl!$B:$E,3,0)</f>
        <v>♀Колонна</v>
      </c>
      <c r="I155" t="s">
        <v>147</v>
      </c>
      <c r="J155" t="s">
        <v>148</v>
      </c>
      <c r="K155" t="s">
        <v>23</v>
      </c>
      <c r="L155" t="s">
        <v>148</v>
      </c>
      <c r="N155" t="s">
        <v>2388</v>
      </c>
      <c r="O155" t="s">
        <v>839</v>
      </c>
      <c r="P155" s="8">
        <v>5</v>
      </c>
      <c r="Q155" s="8">
        <v>3</v>
      </c>
      <c r="R155" s="8">
        <v>0</v>
      </c>
      <c r="S155" t="s">
        <v>2389</v>
      </c>
      <c r="T155" s="3"/>
      <c r="U155" s="3"/>
      <c r="V155" s="3"/>
    </row>
    <row r="156" spans="1:22" ht="12.45" hidden="1" x14ac:dyDescent="0.2">
      <c r="A156" s="3" t="s">
        <v>2138</v>
      </c>
      <c r="B156" t="s">
        <v>2392</v>
      </c>
      <c r="C156" s="24"/>
      <c r="D156" s="24"/>
      <c r="E156" s="24"/>
      <c r="F156" t="str">
        <f>VLOOKUP(O156,pearl!$B:$E,4,0)</f>
        <v>♀</v>
      </c>
      <c r="G156" t="str">
        <f>VLOOKUP(IF(F156="Дом",H156,F156),pearl!$D$28:$F$32,3,0)</f>
        <v>Венера</v>
      </c>
      <c r="H156" t="str">
        <f>VLOOKUP(O156,pearl!$B:$E,3,0)</f>
        <v>♀Колонна</v>
      </c>
      <c r="I156" t="s">
        <v>147</v>
      </c>
      <c r="J156" t="s">
        <v>148</v>
      </c>
      <c r="K156" t="s">
        <v>23</v>
      </c>
      <c r="L156" t="s">
        <v>148</v>
      </c>
      <c r="N156" t="s">
        <v>2393</v>
      </c>
      <c r="O156" t="s">
        <v>839</v>
      </c>
      <c r="P156" s="8">
        <v>5</v>
      </c>
      <c r="Q156" s="8">
        <v>3</v>
      </c>
      <c r="R156" s="8">
        <v>0</v>
      </c>
      <c r="S156" t="s">
        <v>2386</v>
      </c>
      <c r="T156" s="3"/>
      <c r="U156" s="3"/>
      <c r="V156" s="3"/>
    </row>
    <row r="157" spans="1:22" ht="12.45" hidden="1" x14ac:dyDescent="0.2">
      <c r="A157" s="3" t="s">
        <v>2138</v>
      </c>
      <c r="B157" t="s">
        <v>2036</v>
      </c>
      <c r="C157" s="24"/>
      <c r="D157" s="24"/>
      <c r="E157" s="24"/>
      <c r="F157" t="str">
        <f>VLOOKUP(O157,pearl!$B:$E,4,0)</f>
        <v>♀</v>
      </c>
      <c r="G157" t="str">
        <f>VLOOKUP(IF(F157="Дом",H157,F157),pearl!$D$28:$F$32,3,0)</f>
        <v>Венера</v>
      </c>
      <c r="H157" t="str">
        <f>VLOOKUP(O157,pearl!$B:$E,3,0)</f>
        <v>♀Колонна</v>
      </c>
      <c r="I157" t="s">
        <v>43</v>
      </c>
      <c r="J157" t="s">
        <v>28</v>
      </c>
      <c r="K157" t="s">
        <v>142</v>
      </c>
      <c r="L157" t="s">
        <v>18</v>
      </c>
      <c r="N157" t="s">
        <v>2388</v>
      </c>
      <c r="O157" t="s">
        <v>839</v>
      </c>
      <c r="P157" s="8">
        <v>5</v>
      </c>
      <c r="Q157" s="8">
        <v>2</v>
      </c>
      <c r="R157" s="8">
        <v>0</v>
      </c>
      <c r="S157" t="s">
        <v>2387</v>
      </c>
      <c r="T157" s="3"/>
      <c r="U157" s="3"/>
      <c r="V157" s="3"/>
    </row>
    <row r="158" spans="1:22" ht="12.45" hidden="1" x14ac:dyDescent="0.2">
      <c r="A158" s="3" t="s">
        <v>2138</v>
      </c>
      <c r="B158" t="s">
        <v>2387</v>
      </c>
      <c r="C158" s="24"/>
      <c r="D158" s="24"/>
      <c r="E158" s="24"/>
      <c r="F158" t="str">
        <f>VLOOKUP(O158,pearl!$B:$E,4,0)</f>
        <v>♀</v>
      </c>
      <c r="G158" t="str">
        <f>VLOOKUP(IF(F158="Дом",H158,F158),pearl!$D$28:$F$32,3,0)</f>
        <v>Венера</v>
      </c>
      <c r="H158" t="str">
        <f>VLOOKUP(O158,pearl!$B:$E,3,0)</f>
        <v>♀Колонна</v>
      </c>
      <c r="I158" t="s">
        <v>43</v>
      </c>
      <c r="J158" t="s">
        <v>16</v>
      </c>
      <c r="K158" t="s">
        <v>142</v>
      </c>
      <c r="L158" t="s">
        <v>18</v>
      </c>
      <c r="N158" t="s">
        <v>2388</v>
      </c>
      <c r="O158" t="s">
        <v>839</v>
      </c>
      <c r="P158" s="8">
        <v>5</v>
      </c>
      <c r="Q158" s="8">
        <v>2</v>
      </c>
      <c r="R158" s="8">
        <v>0</v>
      </c>
      <c r="S158" t="s">
        <v>2384</v>
      </c>
      <c r="T158" s="3"/>
      <c r="U158" s="3"/>
      <c r="V158" s="3"/>
    </row>
    <row r="159" spans="1:22" ht="12.45" hidden="1" x14ac:dyDescent="0.2">
      <c r="A159" s="3" t="s">
        <v>2138</v>
      </c>
      <c r="B159" t="s">
        <v>2035</v>
      </c>
      <c r="C159" s="24"/>
      <c r="D159" s="24"/>
      <c r="E159" s="24"/>
      <c r="F159" t="str">
        <f>VLOOKUP(O159,pearl!$B:$E,4,0)</f>
        <v>♀</v>
      </c>
      <c r="G159" t="str">
        <f>VLOOKUP(IF(F159="Дом",H159,F159),pearl!$D$28:$F$32,3,0)</f>
        <v>Венера</v>
      </c>
      <c r="H159" t="str">
        <f>VLOOKUP(O159,pearl!$B:$E,3,0)</f>
        <v>♀Колонна</v>
      </c>
      <c r="I159" t="s">
        <v>264</v>
      </c>
      <c r="J159" t="s">
        <v>28</v>
      </c>
      <c r="K159" t="s">
        <v>2165</v>
      </c>
      <c r="L159" t="s">
        <v>18</v>
      </c>
      <c r="N159" t="s">
        <v>2385</v>
      </c>
      <c r="O159" t="s">
        <v>839</v>
      </c>
      <c r="P159" s="8">
        <v>4</v>
      </c>
      <c r="Q159" s="8">
        <v>1</v>
      </c>
      <c r="R159" s="8">
        <v>0</v>
      </c>
      <c r="S159" t="s">
        <v>2384</v>
      </c>
      <c r="T159" s="3"/>
      <c r="U159" s="3"/>
      <c r="V159" s="3"/>
    </row>
    <row r="160" spans="1:22" ht="12.45" hidden="1" x14ac:dyDescent="0.2">
      <c r="A160" s="3" t="s">
        <v>2138</v>
      </c>
      <c r="B160" t="s">
        <v>2386</v>
      </c>
      <c r="C160" s="24"/>
      <c r="D160" s="24"/>
      <c r="E160" s="24"/>
      <c r="F160" t="str">
        <f>VLOOKUP(O160,pearl!$B:$E,4,0)</f>
        <v>♀</v>
      </c>
      <c r="G160" t="str">
        <f>VLOOKUP(IF(F160="Дом",H160,F160),pearl!$D$28:$F$32,3,0)</f>
        <v>Венера</v>
      </c>
      <c r="H160" t="str">
        <f>VLOOKUP(O160,pearl!$B:$E,3,0)</f>
        <v>♀Колонна</v>
      </c>
      <c r="I160" t="s">
        <v>264</v>
      </c>
      <c r="J160" t="s">
        <v>28</v>
      </c>
      <c r="K160" t="s">
        <v>2165</v>
      </c>
      <c r="L160" t="s">
        <v>18</v>
      </c>
      <c r="N160" t="s">
        <v>2385</v>
      </c>
      <c r="O160" t="s">
        <v>839</v>
      </c>
      <c r="P160" s="8">
        <v>5</v>
      </c>
      <c r="Q160" s="8">
        <v>3</v>
      </c>
      <c r="R160" s="8">
        <v>0</v>
      </c>
      <c r="S160" t="s">
        <v>2035</v>
      </c>
      <c r="T160" s="3"/>
      <c r="U160" s="3"/>
      <c r="V160" s="3"/>
    </row>
    <row r="161" spans="1:22" ht="12.45" hidden="1" x14ac:dyDescent="0.2">
      <c r="A161" s="3" t="s">
        <v>2138</v>
      </c>
      <c r="B161" t="s">
        <v>2397</v>
      </c>
      <c r="C161" s="24"/>
      <c r="D161" s="24"/>
      <c r="E161" s="24"/>
      <c r="F161" t="str">
        <f>VLOOKUP(O161,pearl!$B:$E,4,0)</f>
        <v>♀</v>
      </c>
      <c r="G161" t="str">
        <f>VLOOKUP(IF(F161="Дом",H161,F161),pearl!$D$28:$F$32,3,0)</f>
        <v>Венера</v>
      </c>
      <c r="H161" t="str">
        <f>VLOOKUP(O161,pearl!$B:$E,3,0)</f>
        <v>♀Колонна</v>
      </c>
      <c r="I161" t="s">
        <v>264</v>
      </c>
      <c r="J161" t="s">
        <v>28</v>
      </c>
      <c r="K161" t="s">
        <v>430</v>
      </c>
      <c r="L161" t="s">
        <v>182</v>
      </c>
      <c r="N161" t="s">
        <v>2398</v>
      </c>
      <c r="O161" t="s">
        <v>839</v>
      </c>
      <c r="P161" s="8">
        <v>5</v>
      </c>
      <c r="Q161" s="8">
        <v>5</v>
      </c>
      <c r="R161" s="8">
        <v>0</v>
      </c>
      <c r="S161" t="s">
        <v>2399</v>
      </c>
      <c r="T161" s="3"/>
      <c r="U161" s="3"/>
      <c r="V161" s="3"/>
    </row>
    <row r="162" spans="1:22" ht="12.45" hidden="1" x14ac:dyDescent="0.2">
      <c r="A162" s="3" t="s">
        <v>2138</v>
      </c>
      <c r="B162" t="s">
        <v>2394</v>
      </c>
      <c r="C162" s="24"/>
      <c r="D162" s="24"/>
      <c r="E162" s="24"/>
      <c r="F162" t="str">
        <f>VLOOKUP(O162,pearl!$B:$E,4,0)</f>
        <v>♀</v>
      </c>
      <c r="G162" t="str">
        <f>VLOOKUP(IF(F162="Дом",H162,F162),pearl!$D$28:$F$32,3,0)</f>
        <v>Венера</v>
      </c>
      <c r="H162" t="str">
        <f>VLOOKUP(O162,pearl!$B:$E,3,0)</f>
        <v>♀Колонна</v>
      </c>
      <c r="I162" t="s">
        <v>43</v>
      </c>
      <c r="J162" t="s">
        <v>28</v>
      </c>
      <c r="K162" t="s">
        <v>438</v>
      </c>
      <c r="L162" t="s">
        <v>182</v>
      </c>
      <c r="N162" t="s">
        <v>2393</v>
      </c>
      <c r="O162" t="s">
        <v>839</v>
      </c>
      <c r="P162" s="8">
        <v>5</v>
      </c>
      <c r="Q162" s="8">
        <v>4</v>
      </c>
      <c r="R162" s="8">
        <v>0</v>
      </c>
      <c r="S162" t="s">
        <v>2387</v>
      </c>
      <c r="T162" s="3"/>
      <c r="U162" s="3"/>
      <c r="V162" s="3"/>
    </row>
    <row r="163" spans="1:22" ht="12.45" hidden="1" x14ac:dyDescent="0.2">
      <c r="A163" s="3" t="s">
        <v>2138</v>
      </c>
      <c r="B163" t="s">
        <v>2395</v>
      </c>
      <c r="C163" s="24"/>
      <c r="D163" s="24"/>
      <c r="E163" s="24"/>
      <c r="F163" t="str">
        <f>VLOOKUP(O163,pearl!$B:$E,4,0)</f>
        <v>♀</v>
      </c>
      <c r="G163" t="str">
        <f>VLOOKUP(IF(F163="Дом",H163,F163),pearl!$D$28:$F$32,3,0)</f>
        <v>Венера</v>
      </c>
      <c r="H163" t="str">
        <f>VLOOKUP(O163,pearl!$B:$E,3,0)</f>
        <v>♀Колонна</v>
      </c>
      <c r="I163" t="s">
        <v>1854</v>
      </c>
      <c r="J163" t="s">
        <v>28</v>
      </c>
      <c r="K163" t="s">
        <v>2336</v>
      </c>
      <c r="L163" t="s">
        <v>18</v>
      </c>
      <c r="N163" t="s">
        <v>2393</v>
      </c>
      <c r="O163" t="s">
        <v>839</v>
      </c>
      <c r="P163" s="8">
        <v>5</v>
      </c>
      <c r="Q163" s="8">
        <v>4</v>
      </c>
      <c r="R163" s="8">
        <v>0</v>
      </c>
      <c r="S163" t="s">
        <v>2396</v>
      </c>
      <c r="T163" s="3"/>
      <c r="U163" s="3"/>
      <c r="V163" s="3"/>
    </row>
    <row r="164" spans="1:22" ht="12.45" hidden="1" x14ac:dyDescent="0.2">
      <c r="A164" s="3" t="s">
        <v>2138</v>
      </c>
      <c r="B164" t="s">
        <v>2424</v>
      </c>
      <c r="C164" s="24"/>
      <c r="D164" s="24"/>
      <c r="E164" s="24"/>
      <c r="F164" t="str">
        <f>VLOOKUP(O164,pearl!$B:$E,4,0)</f>
        <v>♀</v>
      </c>
      <c r="G164" t="str">
        <f>VLOOKUP(IF(F164="Дом",H164,F164),pearl!$D$28:$F$32,3,0)</f>
        <v>Венера</v>
      </c>
      <c r="H164" t="str">
        <f>VLOOKUP(O164,pearl!$B:$E,3,0)</f>
        <v>♀Музыкант</v>
      </c>
      <c r="I164" t="s">
        <v>392</v>
      </c>
      <c r="J164" t="s">
        <v>28</v>
      </c>
      <c r="K164" t="s">
        <v>142</v>
      </c>
      <c r="L164" t="s">
        <v>2106</v>
      </c>
      <c r="N164" t="s">
        <v>2419</v>
      </c>
      <c r="O164" t="s">
        <v>3126</v>
      </c>
      <c r="P164" s="8">
        <v>5</v>
      </c>
      <c r="Q164" s="8">
        <v>4</v>
      </c>
      <c r="R164" s="8">
        <v>0</v>
      </c>
      <c r="S164" t="s">
        <v>2425</v>
      </c>
      <c r="T164" s="3"/>
      <c r="U164" s="3"/>
      <c r="V164" s="3"/>
    </row>
    <row r="165" spans="1:22" ht="12.45" hidden="1" x14ac:dyDescent="0.2">
      <c r="A165" s="3" t="s">
        <v>2138</v>
      </c>
      <c r="B165" t="s">
        <v>2401</v>
      </c>
      <c r="C165" s="24"/>
      <c r="D165" s="24"/>
      <c r="E165" s="24"/>
      <c r="F165" t="str">
        <f>VLOOKUP(O165,pearl!$B:$E,4,0)</f>
        <v>♀</v>
      </c>
      <c r="G165" t="str">
        <f>VLOOKUP(IF(F165="Дом",H165,F165),pearl!$D$28:$F$32,3,0)</f>
        <v>Венера</v>
      </c>
      <c r="H165" t="str">
        <f>VLOOKUP(O165,pearl!$B:$E,3,0)</f>
        <v>♀Музыкант</v>
      </c>
      <c r="I165" t="s">
        <v>147</v>
      </c>
      <c r="J165" t="s">
        <v>148</v>
      </c>
      <c r="K165" t="s">
        <v>23</v>
      </c>
      <c r="L165" t="s">
        <v>148</v>
      </c>
      <c r="N165" t="s">
        <v>2400</v>
      </c>
      <c r="O165" t="s">
        <v>3126</v>
      </c>
      <c r="P165" s="8">
        <v>3</v>
      </c>
      <c r="Q165" s="8">
        <v>1</v>
      </c>
      <c r="R165" s="8">
        <v>0</v>
      </c>
      <c r="S165" t="s">
        <v>23</v>
      </c>
      <c r="T165" s="3"/>
      <c r="U165" s="3"/>
      <c r="V165" s="3"/>
    </row>
    <row r="166" spans="1:22" ht="12.45" hidden="1" x14ac:dyDescent="0.2">
      <c r="A166" s="3" t="s">
        <v>2138</v>
      </c>
      <c r="B166" t="s">
        <v>2402</v>
      </c>
      <c r="C166" s="24"/>
      <c r="D166" s="24"/>
      <c r="E166" s="24"/>
      <c r="F166" t="str">
        <f>VLOOKUP(O166,pearl!$B:$E,4,0)</f>
        <v>♀</v>
      </c>
      <c r="G166" t="str">
        <f>VLOOKUP(IF(F166="Дом",H166,F166),pearl!$D$28:$F$32,3,0)</f>
        <v>Венера</v>
      </c>
      <c r="H166" t="str">
        <f>VLOOKUP(O166,pearl!$B:$E,3,0)</f>
        <v>♀Музыкант</v>
      </c>
      <c r="I166" t="s">
        <v>264</v>
      </c>
      <c r="J166" t="s">
        <v>148</v>
      </c>
      <c r="K166" t="s">
        <v>23</v>
      </c>
      <c r="L166" t="s">
        <v>148</v>
      </c>
      <c r="M166" s="15" t="s">
        <v>2403</v>
      </c>
      <c r="N166" t="s">
        <v>2400</v>
      </c>
      <c r="O166" t="s">
        <v>3126</v>
      </c>
      <c r="P166" s="8">
        <v>5</v>
      </c>
      <c r="Q166" s="8">
        <v>3</v>
      </c>
      <c r="R166" s="8">
        <v>0</v>
      </c>
      <c r="S166" t="s">
        <v>2401</v>
      </c>
      <c r="T166" s="3"/>
      <c r="U166" s="3"/>
      <c r="V166" s="3"/>
    </row>
    <row r="167" spans="1:22" ht="12.45" hidden="1" x14ac:dyDescent="0.2">
      <c r="A167" s="3" t="s">
        <v>2138</v>
      </c>
      <c r="B167" t="s">
        <v>2408</v>
      </c>
      <c r="C167" s="24"/>
      <c r="D167" s="24"/>
      <c r="E167" s="24"/>
      <c r="F167" t="str">
        <f>VLOOKUP(O167,pearl!$B:$E,4,0)</f>
        <v>♀</v>
      </c>
      <c r="G167" t="str">
        <f>VLOOKUP(IF(F167="Дом",H167,F167),pearl!$D$28:$F$32,3,0)</f>
        <v>Венера</v>
      </c>
      <c r="H167" t="str">
        <f>VLOOKUP(O167,pearl!$B:$E,3,0)</f>
        <v>♀Музыкант</v>
      </c>
      <c r="I167" t="s">
        <v>27</v>
      </c>
      <c r="J167" t="s">
        <v>28</v>
      </c>
      <c r="K167" t="s">
        <v>2165</v>
      </c>
      <c r="L167" t="s">
        <v>182</v>
      </c>
      <c r="N167" t="s">
        <v>2409</v>
      </c>
      <c r="O167" t="s">
        <v>3126</v>
      </c>
      <c r="P167" s="8">
        <v>4</v>
      </c>
      <c r="Q167" s="8">
        <v>1</v>
      </c>
      <c r="R167" s="8">
        <v>0</v>
      </c>
      <c r="S167" t="s">
        <v>2407</v>
      </c>
      <c r="T167" s="3"/>
      <c r="U167" s="3"/>
      <c r="V167" s="3"/>
    </row>
    <row r="168" spans="1:22" ht="12.45" hidden="1" x14ac:dyDescent="0.2">
      <c r="A168" s="3" t="s">
        <v>2138</v>
      </c>
      <c r="B168" t="s">
        <v>2418</v>
      </c>
      <c r="C168" s="24"/>
      <c r="D168" s="24"/>
      <c r="E168" s="24"/>
      <c r="F168" t="str">
        <f>VLOOKUP(O168,pearl!$B:$E,4,0)</f>
        <v>♀</v>
      </c>
      <c r="G168" t="str">
        <f>VLOOKUP(IF(F168="Дом",H168,F168),pearl!$D$28:$F$32,3,0)</f>
        <v>Венера</v>
      </c>
      <c r="H168" t="str">
        <f>VLOOKUP(O168,pearl!$B:$E,3,0)</f>
        <v>♀Музыкант</v>
      </c>
      <c r="I168" t="s">
        <v>15</v>
      </c>
      <c r="J168" t="s">
        <v>28</v>
      </c>
      <c r="K168" t="s">
        <v>23</v>
      </c>
      <c r="L168" t="s">
        <v>1290</v>
      </c>
      <c r="N168" t="s">
        <v>2417</v>
      </c>
      <c r="O168" t="s">
        <v>3126</v>
      </c>
      <c r="P168" s="8">
        <v>5</v>
      </c>
      <c r="Q168" s="8">
        <v>2</v>
      </c>
      <c r="R168" s="8">
        <v>0</v>
      </c>
      <c r="S168" t="s">
        <v>2410</v>
      </c>
      <c r="T168" s="3"/>
      <c r="U168" s="3"/>
      <c r="V168" s="3"/>
    </row>
    <row r="169" spans="1:22" ht="12.45" hidden="1" x14ac:dyDescent="0.2">
      <c r="A169" s="3" t="s">
        <v>2138</v>
      </c>
      <c r="B169" t="s">
        <v>2426</v>
      </c>
      <c r="C169" s="24"/>
      <c r="D169" s="24"/>
      <c r="E169" s="24"/>
      <c r="F169" t="str">
        <f>VLOOKUP(O169,pearl!$B:$E,4,0)</f>
        <v>♀</v>
      </c>
      <c r="G169" t="str">
        <f>VLOOKUP(IF(F169="Дом",H169,F169),pearl!$D$28:$F$32,3,0)</f>
        <v>Венера</v>
      </c>
      <c r="H169" t="str">
        <f>VLOOKUP(O169,pearl!$B:$E,3,0)</f>
        <v>♀Музыкант</v>
      </c>
      <c r="I169" t="s">
        <v>264</v>
      </c>
      <c r="J169" t="s">
        <v>22</v>
      </c>
      <c r="K169" t="s">
        <v>142</v>
      </c>
      <c r="L169" t="s">
        <v>18</v>
      </c>
      <c r="N169" t="s">
        <v>2427</v>
      </c>
      <c r="O169" t="s">
        <v>3126</v>
      </c>
      <c r="P169" s="8">
        <v>5</v>
      </c>
      <c r="Q169" s="8">
        <v>4</v>
      </c>
      <c r="R169" s="8">
        <v>0</v>
      </c>
      <c r="S169" t="s">
        <v>2428</v>
      </c>
      <c r="T169" s="3"/>
      <c r="U169" s="3"/>
      <c r="V169" s="3"/>
    </row>
    <row r="170" spans="1:22" ht="12.45" hidden="1" x14ac:dyDescent="0.2">
      <c r="A170" s="3" t="s">
        <v>2138</v>
      </c>
      <c r="B170" t="s">
        <v>2064</v>
      </c>
      <c r="C170" s="24"/>
      <c r="D170" s="24"/>
      <c r="E170" s="24"/>
      <c r="F170" t="str">
        <f>VLOOKUP(O170,pearl!$B:$E,4,0)</f>
        <v>♀</v>
      </c>
      <c r="G170" t="str">
        <f>VLOOKUP(IF(F170="Дом",H170,F170),pearl!$D$28:$F$32,3,0)</f>
        <v>Венера</v>
      </c>
      <c r="H170" t="str">
        <f>VLOOKUP(O170,pearl!$B:$E,3,0)</f>
        <v>♀Музыкант</v>
      </c>
      <c r="I170" t="s">
        <v>392</v>
      </c>
      <c r="J170" t="s">
        <v>28</v>
      </c>
      <c r="K170" t="s">
        <v>23</v>
      </c>
      <c r="L170" t="s">
        <v>18</v>
      </c>
      <c r="N170" t="s">
        <v>2427</v>
      </c>
      <c r="O170" t="s">
        <v>3126</v>
      </c>
      <c r="P170" s="8">
        <v>5</v>
      </c>
      <c r="Q170" s="8">
        <v>5</v>
      </c>
      <c r="R170" s="8">
        <v>0</v>
      </c>
      <c r="S170" t="s">
        <v>2429</v>
      </c>
      <c r="T170" s="3"/>
      <c r="U170" s="3"/>
      <c r="V170" s="3"/>
    </row>
    <row r="171" spans="1:22" ht="12.45" hidden="1" x14ac:dyDescent="0.2">
      <c r="A171" s="3" t="s">
        <v>2138</v>
      </c>
      <c r="B171" t="s">
        <v>2060</v>
      </c>
      <c r="C171" s="24"/>
      <c r="D171" s="24"/>
      <c r="E171" s="24"/>
      <c r="F171" t="str">
        <f>VLOOKUP(O171,pearl!$B:$E,4,0)</f>
        <v>♀</v>
      </c>
      <c r="G171" t="str">
        <f>VLOOKUP(IF(F171="Дом",H171,F171),pearl!$D$28:$F$32,3,0)</f>
        <v>Венера</v>
      </c>
      <c r="H171" t="str">
        <f>VLOOKUP(O171,pearl!$B:$E,3,0)</f>
        <v>♀Музыкант</v>
      </c>
      <c r="I171" t="s">
        <v>154</v>
      </c>
      <c r="J171" t="s">
        <v>28</v>
      </c>
      <c r="K171" t="s">
        <v>142</v>
      </c>
      <c r="L171" t="s">
        <v>2122</v>
      </c>
      <c r="N171" t="s">
        <v>2405</v>
      </c>
      <c r="O171" t="s">
        <v>3126</v>
      </c>
      <c r="P171" s="8">
        <v>3</v>
      </c>
      <c r="Q171" s="8">
        <v>1</v>
      </c>
      <c r="R171" s="8">
        <v>0</v>
      </c>
      <c r="S171" t="s">
        <v>2407</v>
      </c>
      <c r="T171" s="3"/>
      <c r="U171" s="3"/>
      <c r="V171" s="3"/>
    </row>
    <row r="172" spans="1:22" ht="12.45" hidden="1" x14ac:dyDescent="0.2">
      <c r="A172" s="3" t="s">
        <v>2138</v>
      </c>
      <c r="B172" t="s">
        <v>2420</v>
      </c>
      <c r="C172" s="24"/>
      <c r="D172" s="24"/>
      <c r="E172" s="24"/>
      <c r="F172" t="str">
        <f>VLOOKUP(O172,pearl!$B:$E,4,0)</f>
        <v>♀</v>
      </c>
      <c r="G172" t="str">
        <f>VLOOKUP(IF(F172="Дом",H172,F172),pearl!$D$28:$F$32,3,0)</f>
        <v>Венера</v>
      </c>
      <c r="H172" t="str">
        <f>VLOOKUP(O172,pearl!$B:$E,3,0)</f>
        <v>♀Музыкант</v>
      </c>
      <c r="I172" t="s">
        <v>64</v>
      </c>
      <c r="J172" t="s">
        <v>16</v>
      </c>
      <c r="K172" t="s">
        <v>142</v>
      </c>
      <c r="L172" t="s">
        <v>18</v>
      </c>
      <c r="N172" t="s">
        <v>2419</v>
      </c>
      <c r="O172" t="s">
        <v>3126</v>
      </c>
      <c r="P172" s="8">
        <v>5</v>
      </c>
      <c r="Q172" s="8">
        <v>3</v>
      </c>
      <c r="R172" s="8">
        <v>0</v>
      </c>
      <c r="S172" t="s">
        <v>2421</v>
      </c>
      <c r="T172" s="3"/>
      <c r="U172" s="3"/>
      <c r="V172" s="3"/>
    </row>
    <row r="173" spans="1:22" ht="12.45" hidden="1" x14ac:dyDescent="0.2">
      <c r="A173" s="3" t="s">
        <v>2138</v>
      </c>
      <c r="B173" t="s">
        <v>2416</v>
      </c>
      <c r="C173" s="24"/>
      <c r="D173" s="24"/>
      <c r="E173" s="24"/>
      <c r="F173" t="str">
        <f>VLOOKUP(O173,pearl!$B:$E,4,0)</f>
        <v>♀</v>
      </c>
      <c r="G173" t="str">
        <f>VLOOKUP(IF(F173="Дом",H173,F173),pearl!$D$28:$F$32,3,0)</f>
        <v>Венера</v>
      </c>
      <c r="H173" t="str">
        <f>VLOOKUP(O173,pearl!$B:$E,3,0)</f>
        <v>♀Музыкант</v>
      </c>
      <c r="I173" t="s">
        <v>53</v>
      </c>
      <c r="J173" t="s">
        <v>28</v>
      </c>
      <c r="K173" t="s">
        <v>23</v>
      </c>
      <c r="L173" t="s">
        <v>18</v>
      </c>
      <c r="N173" t="s">
        <v>2417</v>
      </c>
      <c r="O173" t="s">
        <v>3126</v>
      </c>
      <c r="P173" s="8">
        <v>4</v>
      </c>
      <c r="Q173" s="8">
        <v>2</v>
      </c>
      <c r="R173" s="8">
        <v>0</v>
      </c>
      <c r="S173" t="s">
        <v>2062</v>
      </c>
      <c r="T173" s="3"/>
      <c r="U173" s="3"/>
      <c r="V173" s="3"/>
    </row>
    <row r="174" spans="1:22" ht="12.45" hidden="1" x14ac:dyDescent="0.2">
      <c r="A174" s="3" t="s">
        <v>2138</v>
      </c>
      <c r="B174" t="s">
        <v>2404</v>
      </c>
      <c r="C174" s="24"/>
      <c r="D174" s="24"/>
      <c r="E174" s="24"/>
      <c r="F174" t="str">
        <f>VLOOKUP(O174,pearl!$B:$E,4,0)</f>
        <v>♀</v>
      </c>
      <c r="G174" t="str">
        <f>VLOOKUP(IF(F174="Дом",H174,F174),pearl!$D$28:$F$32,3,0)</f>
        <v>Венера</v>
      </c>
      <c r="H174" t="str">
        <f>VLOOKUP(O174,pearl!$B:$E,3,0)</f>
        <v>♀Музыкант</v>
      </c>
      <c r="I174" t="s">
        <v>264</v>
      </c>
      <c r="J174" t="s">
        <v>22</v>
      </c>
      <c r="K174" t="s">
        <v>142</v>
      </c>
      <c r="L174" t="s">
        <v>18</v>
      </c>
      <c r="N174" t="s">
        <v>2405</v>
      </c>
      <c r="O174" t="s">
        <v>3126</v>
      </c>
      <c r="P174" s="8">
        <v>5</v>
      </c>
      <c r="Q174" s="8">
        <v>1</v>
      </c>
      <c r="R174" s="8">
        <v>0</v>
      </c>
      <c r="S174" t="s">
        <v>2401</v>
      </c>
      <c r="T174" s="3"/>
      <c r="U174" s="3"/>
      <c r="V174" s="3"/>
    </row>
    <row r="175" spans="1:22" ht="12.45" hidden="1" x14ac:dyDescent="0.2">
      <c r="A175" s="3" t="s">
        <v>2138</v>
      </c>
      <c r="B175" t="s">
        <v>2411</v>
      </c>
      <c r="C175" s="24"/>
      <c r="D175" s="24"/>
      <c r="E175" s="24"/>
      <c r="F175" t="str">
        <f>VLOOKUP(O175,pearl!$B:$E,4,0)</f>
        <v>♀</v>
      </c>
      <c r="G175" t="str">
        <f>VLOOKUP(IF(F175="Дом",H175,F175),pearl!$D$28:$F$32,3,0)</f>
        <v>Венера</v>
      </c>
      <c r="H175" t="str">
        <f>VLOOKUP(O175,pearl!$B:$E,3,0)</f>
        <v>♀Музыкант</v>
      </c>
      <c r="I175" t="s">
        <v>740</v>
      </c>
      <c r="J175" t="s">
        <v>16</v>
      </c>
      <c r="K175" t="s">
        <v>23</v>
      </c>
      <c r="L175" t="s">
        <v>18</v>
      </c>
      <c r="N175" t="s">
        <v>2409</v>
      </c>
      <c r="O175" t="s">
        <v>3126</v>
      </c>
      <c r="P175" s="8">
        <v>4</v>
      </c>
      <c r="Q175" s="8">
        <v>1</v>
      </c>
      <c r="R175" s="8">
        <v>0</v>
      </c>
      <c r="S175" t="s">
        <v>2412</v>
      </c>
      <c r="T175" s="3"/>
      <c r="U175" s="3"/>
      <c r="V175" s="3"/>
    </row>
    <row r="176" spans="1:22" ht="12.45" hidden="1" x14ac:dyDescent="0.2">
      <c r="A176" s="3" t="s">
        <v>2138</v>
      </c>
      <c r="B176" t="s">
        <v>2020</v>
      </c>
      <c r="C176" s="24"/>
      <c r="D176" s="24"/>
      <c r="E176" s="24"/>
      <c r="F176" t="str">
        <f>VLOOKUP(O176,pearl!$B:$E,4,0)</f>
        <v>♀</v>
      </c>
      <c r="G176" t="str">
        <f>VLOOKUP(IF(F176="Дом",H176,F176),pearl!$D$28:$F$32,3,0)</f>
        <v>Венера</v>
      </c>
      <c r="H176" t="str">
        <f>VLOOKUP(O176,pearl!$B:$E,3,0)</f>
        <v>♀Музыкант</v>
      </c>
      <c r="I176" t="s">
        <v>43</v>
      </c>
      <c r="J176" t="s">
        <v>28</v>
      </c>
      <c r="K176" t="s">
        <v>23</v>
      </c>
      <c r="L176" t="s">
        <v>18</v>
      </c>
      <c r="N176" t="s">
        <v>2419</v>
      </c>
      <c r="O176" t="s">
        <v>3126</v>
      </c>
      <c r="P176" s="8">
        <v>5</v>
      </c>
      <c r="Q176" s="8">
        <v>2</v>
      </c>
      <c r="R176" s="8">
        <v>0</v>
      </c>
      <c r="S176" t="s">
        <v>2410</v>
      </c>
      <c r="T176" s="3"/>
      <c r="U176" s="3"/>
      <c r="V176" s="3"/>
    </row>
    <row r="177" spans="1:22" ht="12.45" hidden="1" x14ac:dyDescent="0.2">
      <c r="A177" s="3" t="s">
        <v>2138</v>
      </c>
      <c r="B177" t="s">
        <v>2058</v>
      </c>
      <c r="C177" s="24"/>
      <c r="D177" s="24"/>
      <c r="E177" s="24"/>
      <c r="F177" t="str">
        <f>VLOOKUP(O177,pearl!$B:$E,4,0)</f>
        <v>♀</v>
      </c>
      <c r="G177" t="str">
        <f>VLOOKUP(IF(F177="Дом",H177,F177),pearl!$D$28:$F$32,3,0)</f>
        <v>Венера</v>
      </c>
      <c r="H177" t="str">
        <f>VLOOKUP(O177,pearl!$B:$E,3,0)</f>
        <v>♀Музыкант</v>
      </c>
      <c r="I177" t="s">
        <v>43</v>
      </c>
      <c r="J177" t="s">
        <v>22</v>
      </c>
      <c r="K177" t="s">
        <v>889</v>
      </c>
      <c r="L177" t="s">
        <v>18</v>
      </c>
      <c r="N177" t="s">
        <v>2417</v>
      </c>
      <c r="O177" t="s">
        <v>3126</v>
      </c>
      <c r="P177" s="8">
        <v>4</v>
      </c>
      <c r="Q177" s="8">
        <v>2</v>
      </c>
      <c r="R177" s="8">
        <v>0</v>
      </c>
      <c r="S177" t="s">
        <v>2060</v>
      </c>
      <c r="T177" s="3"/>
      <c r="U177" s="3"/>
      <c r="V177" s="3"/>
    </row>
    <row r="178" spans="1:22" ht="12.45" hidden="1" x14ac:dyDescent="0.2">
      <c r="A178" s="3" t="s">
        <v>2138</v>
      </c>
      <c r="B178" t="s">
        <v>2422</v>
      </c>
      <c r="C178" s="24"/>
      <c r="D178" s="24"/>
      <c r="E178" s="24"/>
      <c r="F178" t="str">
        <f>VLOOKUP(O178,pearl!$B:$E,4,0)</f>
        <v>♀</v>
      </c>
      <c r="G178" t="str">
        <f>VLOOKUP(IF(F178="Дом",H178,F178),pearl!$D$28:$F$32,3,0)</f>
        <v>Венера</v>
      </c>
      <c r="H178" t="str">
        <f>VLOOKUP(O178,pearl!$B:$E,3,0)</f>
        <v>♀Музыкант</v>
      </c>
      <c r="I178" t="s">
        <v>43</v>
      </c>
      <c r="J178" t="s">
        <v>22</v>
      </c>
      <c r="K178" t="s">
        <v>1153</v>
      </c>
      <c r="L178" t="s">
        <v>18</v>
      </c>
      <c r="N178" t="s">
        <v>2419</v>
      </c>
      <c r="O178" t="s">
        <v>3126</v>
      </c>
      <c r="P178" s="8">
        <v>5</v>
      </c>
      <c r="Q178" s="8">
        <v>3</v>
      </c>
      <c r="R178" s="8">
        <v>0</v>
      </c>
      <c r="S178" t="s">
        <v>2423</v>
      </c>
      <c r="T178" s="3"/>
      <c r="U178" s="3"/>
      <c r="V178" s="3"/>
    </row>
    <row r="179" spans="1:22" ht="12.45" hidden="1" x14ac:dyDescent="0.2">
      <c r="A179" s="3" t="s">
        <v>2138</v>
      </c>
      <c r="B179" t="s">
        <v>2413</v>
      </c>
      <c r="C179" s="24"/>
      <c r="D179" s="24"/>
      <c r="E179" s="24"/>
      <c r="F179" t="str">
        <f>VLOOKUP(O179,pearl!$B:$E,4,0)</f>
        <v>♀</v>
      </c>
      <c r="G179" t="str">
        <f>VLOOKUP(IF(F179="Дом",H179,F179),pearl!$D$28:$F$32,3,0)</f>
        <v>Венера</v>
      </c>
      <c r="H179" t="str">
        <f>VLOOKUP(O179,pearl!$B:$E,3,0)</f>
        <v>♀Музыкант</v>
      </c>
      <c r="I179" t="s">
        <v>2414</v>
      </c>
      <c r="J179" t="s">
        <v>22</v>
      </c>
      <c r="K179" t="s">
        <v>2415</v>
      </c>
      <c r="L179" t="s">
        <v>2106</v>
      </c>
      <c r="N179" t="s">
        <v>2409</v>
      </c>
      <c r="O179" t="s">
        <v>3126</v>
      </c>
      <c r="P179" s="8">
        <v>3</v>
      </c>
      <c r="Q179" s="8">
        <v>2</v>
      </c>
      <c r="R179" s="8">
        <v>0</v>
      </c>
      <c r="S179" t="s">
        <v>2410</v>
      </c>
      <c r="T179" s="3"/>
      <c r="U179" s="3"/>
      <c r="V179" s="3"/>
    </row>
    <row r="180" spans="1:22" ht="12.45" hidden="1" x14ac:dyDescent="0.2">
      <c r="A180" s="3" t="s">
        <v>2138</v>
      </c>
      <c r="B180" t="s">
        <v>2432</v>
      </c>
      <c r="C180" s="24"/>
      <c r="D180" s="24"/>
      <c r="E180" s="24"/>
      <c r="F180" t="str">
        <f>VLOOKUP(O180,pearl!$B:$E,4,0)</f>
        <v>♀</v>
      </c>
      <c r="G180" t="str">
        <f>VLOOKUP(IF(F180="Дом",H180,F180),pearl!$D$28:$F$32,3,0)</f>
        <v>Венера</v>
      </c>
      <c r="H180" t="str">
        <f>VLOOKUP(O180,pearl!$B:$E,3,0)</f>
        <v>♀Любовники</v>
      </c>
      <c r="I180" t="s">
        <v>15</v>
      </c>
      <c r="J180" t="s">
        <v>22</v>
      </c>
      <c r="K180" t="s">
        <v>23</v>
      </c>
      <c r="L180" t="s">
        <v>18</v>
      </c>
      <c r="N180" t="s">
        <v>2431</v>
      </c>
      <c r="O180" t="s">
        <v>1662</v>
      </c>
      <c r="P180" s="8">
        <v>3</v>
      </c>
      <c r="Q180" s="8">
        <v>1</v>
      </c>
      <c r="R180" s="8">
        <v>0</v>
      </c>
      <c r="S180" t="s">
        <v>2430</v>
      </c>
      <c r="T180" s="3"/>
      <c r="U180" s="3"/>
      <c r="V180" s="3"/>
    </row>
    <row r="181" spans="1:22" ht="12.45" hidden="1" x14ac:dyDescent="0.2">
      <c r="A181" s="3" t="s">
        <v>2138</v>
      </c>
      <c r="B181" t="s">
        <v>2447</v>
      </c>
      <c r="C181" s="24"/>
      <c r="D181" s="24"/>
      <c r="E181" s="24"/>
      <c r="F181" t="str">
        <f>VLOOKUP(O181,pearl!$B:$E,4,0)</f>
        <v>♀</v>
      </c>
      <c r="G181" t="str">
        <f>VLOOKUP(IF(F181="Дом",H181,F181),pearl!$D$28:$F$32,3,0)</f>
        <v>Венера</v>
      </c>
      <c r="H181" t="str">
        <f>VLOOKUP(O181,pearl!$B:$E,3,0)</f>
        <v>♀Любовники</v>
      </c>
      <c r="I181" t="s">
        <v>2108</v>
      </c>
      <c r="J181" t="s">
        <v>28</v>
      </c>
      <c r="K181" t="s">
        <v>2448</v>
      </c>
      <c r="L181" t="s">
        <v>18</v>
      </c>
      <c r="N181" t="s">
        <v>2446</v>
      </c>
      <c r="O181" t="s">
        <v>1662</v>
      </c>
      <c r="P181" s="8">
        <v>5</v>
      </c>
      <c r="Q181" s="8">
        <v>4</v>
      </c>
      <c r="R181" s="8">
        <v>0</v>
      </c>
      <c r="S181" t="s">
        <v>2449</v>
      </c>
      <c r="T181" s="3"/>
      <c r="U181" s="3"/>
      <c r="V181" s="3"/>
    </row>
    <row r="182" spans="1:22" ht="12.45" hidden="1" x14ac:dyDescent="0.2">
      <c r="A182" s="3" t="s">
        <v>2138</v>
      </c>
      <c r="B182" t="s">
        <v>2445</v>
      </c>
      <c r="C182" s="24"/>
      <c r="D182" s="24"/>
      <c r="E182" s="24"/>
      <c r="F182" t="str">
        <f>VLOOKUP(O182,pearl!$B:$E,4,0)</f>
        <v>♀</v>
      </c>
      <c r="G182" t="str">
        <f>VLOOKUP(IF(F182="Дом",H182,F182),pearl!$D$28:$F$32,3,0)</f>
        <v>Венера</v>
      </c>
      <c r="H182" t="str">
        <f>VLOOKUP(O182,pearl!$B:$E,3,0)</f>
        <v>♀Любовники</v>
      </c>
      <c r="I182" t="s">
        <v>43</v>
      </c>
      <c r="J182" t="s">
        <v>22</v>
      </c>
      <c r="K182" t="s">
        <v>142</v>
      </c>
      <c r="L182" t="s">
        <v>182</v>
      </c>
      <c r="N182" t="s">
        <v>2446</v>
      </c>
      <c r="O182" t="s">
        <v>1662</v>
      </c>
      <c r="P182" s="8">
        <v>5</v>
      </c>
      <c r="Q182" s="8">
        <v>3</v>
      </c>
      <c r="R182" s="8">
        <v>0</v>
      </c>
      <c r="S182" t="s">
        <v>2439</v>
      </c>
      <c r="T182" s="3"/>
      <c r="U182" s="3"/>
      <c r="V182" s="3"/>
    </row>
    <row r="183" spans="1:22" ht="12.45" hidden="1" x14ac:dyDescent="0.2">
      <c r="A183" s="3" t="s">
        <v>2138</v>
      </c>
      <c r="B183" t="s">
        <v>2434</v>
      </c>
      <c r="C183" s="24"/>
      <c r="D183" s="24"/>
      <c r="E183" s="24"/>
      <c r="F183" t="str">
        <f>VLOOKUP(O183,pearl!$B:$E,4,0)</f>
        <v>♀</v>
      </c>
      <c r="G183" t="str">
        <f>VLOOKUP(IF(F183="Дом",H183,F183),pearl!$D$28:$F$32,3,0)</f>
        <v>Венера</v>
      </c>
      <c r="H183" t="str">
        <f>VLOOKUP(O183,pearl!$B:$E,3,0)</f>
        <v>♀Любовники</v>
      </c>
      <c r="I183" t="s">
        <v>27</v>
      </c>
      <c r="J183" t="s">
        <v>28</v>
      </c>
      <c r="K183" t="s">
        <v>2165</v>
      </c>
      <c r="L183" t="s">
        <v>182</v>
      </c>
      <c r="N183" t="s">
        <v>2433</v>
      </c>
      <c r="O183" t="s">
        <v>1662</v>
      </c>
      <c r="P183" s="8">
        <v>4</v>
      </c>
      <c r="Q183" s="8">
        <v>1</v>
      </c>
      <c r="R183" s="8">
        <v>0</v>
      </c>
      <c r="S183" t="s">
        <v>2088</v>
      </c>
      <c r="T183" s="3"/>
      <c r="U183" s="3"/>
      <c r="V183" s="3"/>
    </row>
    <row r="184" spans="1:22" ht="12.45" hidden="1" x14ac:dyDescent="0.2">
      <c r="A184" s="3" t="s">
        <v>2138</v>
      </c>
      <c r="B184" t="s">
        <v>2441</v>
      </c>
      <c r="C184" s="24"/>
      <c r="D184" s="24"/>
      <c r="E184" s="24"/>
      <c r="F184" t="str">
        <f>VLOOKUP(O184,pearl!$B:$E,4,0)</f>
        <v>♀</v>
      </c>
      <c r="G184" t="str">
        <f>VLOOKUP(IF(F184="Дом",H184,F184),pearl!$D$28:$F$32,3,0)</f>
        <v>Венера</v>
      </c>
      <c r="H184" t="str">
        <f>VLOOKUP(O184,pearl!$B:$E,3,0)</f>
        <v>♀Любовники</v>
      </c>
      <c r="I184" t="s">
        <v>154</v>
      </c>
      <c r="J184" t="s">
        <v>28</v>
      </c>
      <c r="K184" t="s">
        <v>142</v>
      </c>
      <c r="L184" t="s">
        <v>18</v>
      </c>
      <c r="N184" t="s">
        <v>2440</v>
      </c>
      <c r="O184" t="s">
        <v>1662</v>
      </c>
      <c r="P184" s="8">
        <v>5</v>
      </c>
      <c r="Q184" s="8">
        <v>2</v>
      </c>
      <c r="R184" s="8">
        <v>0</v>
      </c>
      <c r="S184" t="s">
        <v>2089</v>
      </c>
      <c r="T184" s="3"/>
      <c r="U184" s="3"/>
      <c r="V184" s="3"/>
    </row>
    <row r="185" spans="1:22" ht="12.45" hidden="1" x14ac:dyDescent="0.2">
      <c r="A185" s="3" t="s">
        <v>2138</v>
      </c>
      <c r="B185" t="s">
        <v>2439</v>
      </c>
      <c r="C185" s="24"/>
      <c r="D185" s="24"/>
      <c r="E185" s="24"/>
      <c r="F185" t="str">
        <f>VLOOKUP(O185,pearl!$B:$E,4,0)</f>
        <v>♀</v>
      </c>
      <c r="G185" t="str">
        <f>VLOOKUP(IF(F185="Дом",H185,F185),pearl!$D$28:$F$32,3,0)</f>
        <v>Венера</v>
      </c>
      <c r="H185" t="str">
        <f>VLOOKUP(O185,pearl!$B:$E,3,0)</f>
        <v>♀Любовники</v>
      </c>
      <c r="I185" t="s">
        <v>27</v>
      </c>
      <c r="J185" t="s">
        <v>16</v>
      </c>
      <c r="K185" t="s">
        <v>142</v>
      </c>
      <c r="L185" t="s">
        <v>18</v>
      </c>
      <c r="N185" t="s">
        <v>2440</v>
      </c>
      <c r="O185" t="s">
        <v>1662</v>
      </c>
      <c r="P185" s="8">
        <v>5</v>
      </c>
      <c r="Q185" s="8">
        <v>2</v>
      </c>
      <c r="R185" s="8">
        <v>0</v>
      </c>
      <c r="S185" t="s">
        <v>2085</v>
      </c>
      <c r="T185" s="3"/>
      <c r="U185" s="3"/>
      <c r="V185" s="3"/>
    </row>
    <row r="186" spans="1:22" ht="12.45" hidden="1" x14ac:dyDescent="0.2">
      <c r="A186" s="3" t="s">
        <v>2138</v>
      </c>
      <c r="B186" t="s">
        <v>2090</v>
      </c>
      <c r="C186" s="24"/>
      <c r="D186" s="24"/>
      <c r="E186" s="24"/>
      <c r="F186" t="str">
        <f>VLOOKUP(O186,pearl!$B:$E,4,0)</f>
        <v>♀</v>
      </c>
      <c r="G186" t="str">
        <f>VLOOKUP(IF(F186="Дом",H186,F186),pearl!$D$28:$F$32,3,0)</f>
        <v>Венера</v>
      </c>
      <c r="H186" t="str">
        <f>VLOOKUP(O186,pearl!$B:$E,3,0)</f>
        <v>♀Любовники</v>
      </c>
      <c r="I186" t="s">
        <v>2108</v>
      </c>
      <c r="J186" t="s">
        <v>28</v>
      </c>
      <c r="K186" t="s">
        <v>2435</v>
      </c>
      <c r="L186" t="s">
        <v>182</v>
      </c>
      <c r="N186" t="s">
        <v>2446</v>
      </c>
      <c r="O186" t="s">
        <v>1662</v>
      </c>
      <c r="P186" s="8">
        <v>5</v>
      </c>
      <c r="Q186" s="8">
        <v>5</v>
      </c>
      <c r="R186" s="8">
        <v>0</v>
      </c>
      <c r="S186" t="s">
        <v>2450</v>
      </c>
      <c r="T186" s="3"/>
      <c r="U186" s="3"/>
      <c r="V186" s="3"/>
    </row>
    <row r="187" spans="1:22" ht="12.45" hidden="1" x14ac:dyDescent="0.2">
      <c r="A187" s="3" t="s">
        <v>2138</v>
      </c>
      <c r="B187" t="s">
        <v>2312</v>
      </c>
      <c r="F187" t="str">
        <f>VLOOKUP(O187,pearl!$B:$E,4,0)</f>
        <v>Дом</v>
      </c>
      <c r="G187" t="str">
        <f>VLOOKUP(IF(F187="Дом",H187,F187),pearl!$D$28:$F$32,3,0)</f>
        <v>Венера</v>
      </c>
      <c r="H187" t="str">
        <f>VLOOKUP(O187,pearl!$B:$E,3,0)</f>
        <v>♀</v>
      </c>
      <c r="I187" t="s">
        <v>175</v>
      </c>
      <c r="J187" t="s">
        <v>22</v>
      </c>
      <c r="K187" t="s">
        <v>142</v>
      </c>
      <c r="L187" t="s">
        <v>2106</v>
      </c>
      <c r="N187" t="s">
        <v>2311</v>
      </c>
      <c r="O187" t="s">
        <v>2306</v>
      </c>
      <c r="P187" s="8">
        <v>3</v>
      </c>
      <c r="Q187" s="8">
        <v>1</v>
      </c>
      <c r="R187" s="8">
        <v>0</v>
      </c>
      <c r="S187" t="s">
        <v>2307</v>
      </c>
      <c r="T187" s="3"/>
      <c r="U187" s="3"/>
      <c r="V187" s="3"/>
    </row>
    <row r="188" spans="1:22" ht="12.45" hidden="1" x14ac:dyDescent="0.2">
      <c r="A188" s="3" t="s">
        <v>2138</v>
      </c>
      <c r="B188" t="s">
        <v>2320</v>
      </c>
      <c r="F188" t="str">
        <f>VLOOKUP(O188,pearl!$B:$E,4,0)</f>
        <v>Дом</v>
      </c>
      <c r="G188" t="str">
        <f>VLOOKUP(IF(F188="Дом",H188,F188),pearl!$D$28:$F$32,3,0)</f>
        <v>Венера</v>
      </c>
      <c r="H188" t="str">
        <f>VLOOKUP(O188,pearl!$B:$E,3,0)</f>
        <v>♀</v>
      </c>
      <c r="I188" t="s">
        <v>264</v>
      </c>
      <c r="J188" t="s">
        <v>28</v>
      </c>
      <c r="K188" t="s">
        <v>142</v>
      </c>
      <c r="L188" t="s">
        <v>182</v>
      </c>
      <c r="N188" t="s">
        <v>2319</v>
      </c>
      <c r="O188" t="s">
        <v>2306</v>
      </c>
      <c r="P188" s="8">
        <v>5</v>
      </c>
      <c r="Q188" s="8">
        <v>4</v>
      </c>
      <c r="R188" s="8">
        <v>0</v>
      </c>
      <c r="S188" t="s">
        <v>2314</v>
      </c>
      <c r="T188" s="3"/>
      <c r="U188" s="3"/>
      <c r="V188" s="3"/>
    </row>
    <row r="189" spans="1:22" ht="12.45" hidden="1" x14ac:dyDescent="0.2">
      <c r="A189" s="3" t="s">
        <v>2138</v>
      </c>
      <c r="B189" t="s">
        <v>2314</v>
      </c>
      <c r="F189" t="str">
        <f>VLOOKUP(O189,pearl!$B:$E,4,0)</f>
        <v>Дом</v>
      </c>
      <c r="G189" t="str">
        <f>VLOOKUP(IF(F189="Дом",H189,F189),pearl!$D$28:$F$32,3,0)</f>
        <v>Венера</v>
      </c>
      <c r="H189" t="str">
        <f>VLOOKUP(O189,pearl!$B:$E,3,0)</f>
        <v>♀</v>
      </c>
      <c r="I189" t="s">
        <v>43</v>
      </c>
      <c r="J189" t="s">
        <v>22</v>
      </c>
      <c r="K189" t="s">
        <v>142</v>
      </c>
      <c r="L189" t="s">
        <v>182</v>
      </c>
      <c r="N189" t="s">
        <v>2311</v>
      </c>
      <c r="O189" t="s">
        <v>2306</v>
      </c>
      <c r="P189" s="8">
        <v>4</v>
      </c>
      <c r="Q189" s="8">
        <v>2</v>
      </c>
      <c r="R189" s="8">
        <v>0</v>
      </c>
      <c r="S189" t="s">
        <v>2313</v>
      </c>
      <c r="T189" s="3"/>
      <c r="U189" s="3"/>
      <c r="V189" s="3"/>
    </row>
    <row r="190" spans="1:22" ht="12.45" hidden="1" x14ac:dyDescent="0.2">
      <c r="A190" s="3" t="s">
        <v>2138</v>
      </c>
      <c r="B190" t="s">
        <v>2508</v>
      </c>
      <c r="C190" s="24"/>
      <c r="D190" s="24"/>
      <c r="E190" s="24"/>
      <c r="F190" t="str">
        <f>VLOOKUP(O190,pearl!$B:$E,4,0)</f>
        <v>♂</v>
      </c>
      <c r="G190" t="str">
        <f>VLOOKUP(IF(F190="Дом",H190,F190),pearl!$D$28:$F$32,3,0)</f>
        <v>Марс</v>
      </c>
      <c r="H190" t="str">
        <f>VLOOKUP(O190,pearl!$B:$E,3,0)</f>
        <v>Колчан♂</v>
      </c>
      <c r="I190" t="s">
        <v>43</v>
      </c>
      <c r="J190" t="s">
        <v>16</v>
      </c>
      <c r="K190" t="s">
        <v>29</v>
      </c>
      <c r="L190" t="s">
        <v>18</v>
      </c>
      <c r="N190" t="s">
        <v>2507</v>
      </c>
      <c r="O190" t="s">
        <v>20</v>
      </c>
      <c r="P190" s="8">
        <v>5</v>
      </c>
      <c r="Q190" s="8">
        <v>4</v>
      </c>
      <c r="R190" s="8">
        <v>0</v>
      </c>
      <c r="S190" t="s">
        <v>2509</v>
      </c>
      <c r="T190" s="3"/>
      <c r="U190" s="3"/>
      <c r="V190" s="3"/>
    </row>
    <row r="191" spans="1:22" ht="12.45" hidden="1" x14ac:dyDescent="0.2">
      <c r="A191" s="3" t="s">
        <v>2138</v>
      </c>
      <c r="B191" t="s">
        <v>2479</v>
      </c>
      <c r="C191" s="24"/>
      <c r="D191" s="24"/>
      <c r="E191" s="24"/>
      <c r="F191" t="str">
        <f>VLOOKUP(O191,pearl!$B:$E,4,0)</f>
        <v>♂</v>
      </c>
      <c r="G191" t="str">
        <f>VLOOKUP(IF(F191="Дом",H191,F191),pearl!$D$28:$F$32,3,0)</f>
        <v>Марс</v>
      </c>
      <c r="H191" t="str">
        <f>VLOOKUP(O191,pearl!$B:$E,3,0)</f>
        <v>Колчан♂</v>
      </c>
      <c r="I191" t="s">
        <v>15</v>
      </c>
      <c r="J191" t="s">
        <v>16</v>
      </c>
      <c r="K191" t="s">
        <v>2265</v>
      </c>
      <c r="L191" t="s">
        <v>18</v>
      </c>
      <c r="N191" t="s">
        <v>2480</v>
      </c>
      <c r="O191" s="3" t="s">
        <v>20</v>
      </c>
      <c r="P191" s="8">
        <v>2</v>
      </c>
      <c r="Q191" s="8">
        <v>1</v>
      </c>
      <c r="R191" s="8">
        <v>0</v>
      </c>
      <c r="S191" t="s">
        <v>23</v>
      </c>
      <c r="T191" s="3"/>
      <c r="U191" s="3"/>
      <c r="V191" s="3"/>
    </row>
    <row r="192" spans="1:22" ht="12.45" hidden="1" x14ac:dyDescent="0.2">
      <c r="A192" s="3" t="s">
        <v>2138</v>
      </c>
      <c r="B192" t="s">
        <v>2482</v>
      </c>
      <c r="C192" s="24"/>
      <c r="D192" s="24"/>
      <c r="E192" s="24"/>
      <c r="F192" t="str">
        <f>VLOOKUP(O192,pearl!$B:$E,4,0)</f>
        <v>♂</v>
      </c>
      <c r="G192" t="str">
        <f>VLOOKUP(IF(F192="Дом",H192,F192),pearl!$D$28:$F$32,3,0)</f>
        <v>Марс</v>
      </c>
      <c r="H192" t="str">
        <f>VLOOKUP(O192,pearl!$B:$E,3,0)</f>
        <v>Колчан♂</v>
      </c>
      <c r="I192" t="s">
        <v>175</v>
      </c>
      <c r="J192" t="s">
        <v>16</v>
      </c>
      <c r="K192" t="s">
        <v>1822</v>
      </c>
      <c r="L192" t="s">
        <v>18</v>
      </c>
      <c r="N192" t="s">
        <v>2480</v>
      </c>
      <c r="O192" t="s">
        <v>20</v>
      </c>
      <c r="P192" s="8">
        <v>3</v>
      </c>
      <c r="Q192" s="8">
        <v>1</v>
      </c>
      <c r="R192" s="8">
        <v>0</v>
      </c>
      <c r="S192" t="s">
        <v>2481</v>
      </c>
      <c r="T192" s="3"/>
      <c r="U192" s="3"/>
      <c r="V192" s="3"/>
    </row>
    <row r="193" spans="1:22" ht="12.45" hidden="1" x14ac:dyDescent="0.2">
      <c r="A193" s="3" t="s">
        <v>2138</v>
      </c>
      <c r="B193" t="s">
        <v>2496</v>
      </c>
      <c r="C193" s="24"/>
      <c r="D193" s="24"/>
      <c r="E193" s="24"/>
      <c r="F193" t="str">
        <f>VLOOKUP(O193,pearl!$B:$E,4,0)</f>
        <v>♂</v>
      </c>
      <c r="G193" t="str">
        <f>VLOOKUP(IF(F193="Дом",H193,F193),pearl!$D$28:$F$32,3,0)</f>
        <v>Марс</v>
      </c>
      <c r="H193" t="str">
        <f>VLOOKUP(O193,pearl!$B:$E,3,0)</f>
        <v>Колчан♂</v>
      </c>
      <c r="I193" t="s">
        <v>147</v>
      </c>
      <c r="J193" t="s">
        <v>148</v>
      </c>
      <c r="K193" t="s">
        <v>23</v>
      </c>
      <c r="L193" t="s">
        <v>148</v>
      </c>
      <c r="N193" t="s">
        <v>2497</v>
      </c>
      <c r="O193" t="s">
        <v>20</v>
      </c>
      <c r="P193" s="8">
        <v>5</v>
      </c>
      <c r="Q193" s="8">
        <v>3</v>
      </c>
      <c r="R193" s="8">
        <v>0</v>
      </c>
      <c r="S193" t="s">
        <v>2498</v>
      </c>
      <c r="T193" s="3"/>
      <c r="U193" s="3"/>
      <c r="V193" s="3"/>
    </row>
    <row r="194" spans="1:22" ht="12.45" hidden="1" x14ac:dyDescent="0.2">
      <c r="A194" s="3" t="s">
        <v>2138</v>
      </c>
      <c r="B194" t="s">
        <v>2487</v>
      </c>
      <c r="C194" s="24"/>
      <c r="D194" s="24"/>
      <c r="E194" s="24"/>
      <c r="F194" t="str">
        <f>VLOOKUP(O194,pearl!$B:$E,4,0)</f>
        <v>♂</v>
      </c>
      <c r="G194" t="str">
        <f>VLOOKUP(IF(F194="Дом",H194,F194),pearl!$D$28:$F$32,3,0)</f>
        <v>Марс</v>
      </c>
      <c r="H194" t="str">
        <f>VLOOKUP(O194,pearl!$B:$E,3,0)</f>
        <v>Колчан♂</v>
      </c>
      <c r="I194" t="s">
        <v>761</v>
      </c>
      <c r="J194" t="s">
        <v>28</v>
      </c>
      <c r="K194" t="s">
        <v>2488</v>
      </c>
      <c r="L194" t="s">
        <v>18</v>
      </c>
      <c r="N194" t="s">
        <v>2485</v>
      </c>
      <c r="O194" t="s">
        <v>20</v>
      </c>
      <c r="P194" s="8">
        <v>4</v>
      </c>
      <c r="Q194" s="8">
        <v>1</v>
      </c>
      <c r="R194" s="8">
        <v>0</v>
      </c>
      <c r="S194" t="s">
        <v>2489</v>
      </c>
      <c r="T194" s="3"/>
      <c r="U194" s="3"/>
      <c r="V194" s="3"/>
    </row>
    <row r="195" spans="1:22" ht="12.45" hidden="1" x14ac:dyDescent="0.2">
      <c r="A195" s="3" t="s">
        <v>2138</v>
      </c>
      <c r="B195" t="s">
        <v>2499</v>
      </c>
      <c r="C195" s="24"/>
      <c r="D195" s="24"/>
      <c r="E195" s="24"/>
      <c r="F195" t="str">
        <f>VLOOKUP(O195,pearl!$B:$E,4,0)</f>
        <v>♂</v>
      </c>
      <c r="G195" t="str">
        <f>VLOOKUP(IF(F195="Дом",H195,F195),pearl!$D$28:$F$32,3,0)</f>
        <v>Марс</v>
      </c>
      <c r="H195" t="str">
        <f>VLOOKUP(O195,pearl!$B:$E,3,0)</f>
        <v>Колчан♂</v>
      </c>
      <c r="I195" t="s">
        <v>43</v>
      </c>
      <c r="J195" t="s">
        <v>22</v>
      </c>
      <c r="K195" t="s">
        <v>2500</v>
      </c>
      <c r="L195" t="s">
        <v>18</v>
      </c>
      <c r="N195" t="s">
        <v>2497</v>
      </c>
      <c r="O195" t="s">
        <v>20</v>
      </c>
      <c r="P195" s="8">
        <v>5</v>
      </c>
      <c r="Q195" s="8">
        <v>3</v>
      </c>
      <c r="R195" s="8">
        <v>0</v>
      </c>
      <c r="S195" t="s">
        <v>2482</v>
      </c>
      <c r="T195" s="3"/>
      <c r="U195" s="3"/>
      <c r="V195" s="3"/>
    </row>
    <row r="196" spans="1:22" ht="12.45" hidden="1" x14ac:dyDescent="0.2">
      <c r="A196" s="3" t="s">
        <v>2138</v>
      </c>
      <c r="B196" t="s">
        <v>2492</v>
      </c>
      <c r="C196" s="24"/>
      <c r="D196" s="24"/>
      <c r="E196" s="24"/>
      <c r="F196" t="str">
        <f>VLOOKUP(O196,pearl!$B:$E,4,0)</f>
        <v>♂</v>
      </c>
      <c r="G196" t="str">
        <f>VLOOKUP(IF(F196="Дом",H196,F196),pearl!$D$28:$F$32,3,0)</f>
        <v>Марс</v>
      </c>
      <c r="H196" t="str">
        <f>VLOOKUP(O196,pearl!$B:$E,3,0)</f>
        <v>Колчан♂</v>
      </c>
      <c r="I196" t="s">
        <v>43</v>
      </c>
      <c r="J196" t="s">
        <v>28</v>
      </c>
      <c r="K196" t="s">
        <v>29</v>
      </c>
      <c r="L196" t="s">
        <v>18</v>
      </c>
      <c r="N196" t="s">
        <v>2491</v>
      </c>
      <c r="O196" t="s">
        <v>20</v>
      </c>
      <c r="P196" s="8">
        <v>5</v>
      </c>
      <c r="Q196" s="8">
        <v>2</v>
      </c>
      <c r="R196" s="8">
        <v>0</v>
      </c>
      <c r="S196" t="s">
        <v>2479</v>
      </c>
      <c r="T196" s="3"/>
      <c r="U196" s="3"/>
      <c r="V196" s="3"/>
    </row>
    <row r="197" spans="1:22" ht="12.45" hidden="1" x14ac:dyDescent="0.2">
      <c r="A197" s="3" t="s">
        <v>2138</v>
      </c>
      <c r="B197" t="s">
        <v>1997</v>
      </c>
      <c r="C197" s="24"/>
      <c r="D197" s="24"/>
      <c r="E197" s="24"/>
      <c r="F197" t="str">
        <f>VLOOKUP(O197,pearl!$B:$E,4,0)</f>
        <v>♂</v>
      </c>
      <c r="G197" t="str">
        <f>VLOOKUP(IF(F197="Дом",H197,F197),pearl!$D$28:$F$32,3,0)</f>
        <v>Марс</v>
      </c>
      <c r="H197" t="str">
        <f>VLOOKUP(O197,pearl!$B:$E,3,0)</f>
        <v>Колчан♂</v>
      </c>
      <c r="I197" t="s">
        <v>2014</v>
      </c>
      <c r="J197" t="s">
        <v>28</v>
      </c>
      <c r="K197" t="s">
        <v>29</v>
      </c>
      <c r="L197" t="s">
        <v>18</v>
      </c>
      <c r="N197" t="s">
        <v>2497</v>
      </c>
      <c r="O197" t="s">
        <v>20</v>
      </c>
      <c r="P197" s="8">
        <v>5</v>
      </c>
      <c r="Q197" s="8">
        <v>3</v>
      </c>
      <c r="R197" s="8">
        <v>0</v>
      </c>
      <c r="S197" t="s">
        <v>2501</v>
      </c>
      <c r="T197" s="3"/>
      <c r="U197" s="3"/>
      <c r="V197" s="3"/>
    </row>
    <row r="198" spans="1:22" ht="12.45" hidden="1" x14ac:dyDescent="0.2">
      <c r="A198" s="3" t="s">
        <v>2138</v>
      </c>
      <c r="B198" t="s">
        <v>2481</v>
      </c>
      <c r="C198" s="24"/>
      <c r="D198" s="24"/>
      <c r="E198" s="24"/>
      <c r="F198" t="str">
        <f>VLOOKUP(O198,pearl!$B:$E,4,0)</f>
        <v>♂</v>
      </c>
      <c r="G198" t="str">
        <f>VLOOKUP(IF(F198="Дом",H198,F198),pearl!$D$28:$F$32,3,0)</f>
        <v>Марс</v>
      </c>
      <c r="H198" t="str">
        <f>VLOOKUP(O198,pearl!$B:$E,3,0)</f>
        <v>Колчан♂</v>
      </c>
      <c r="I198" t="s">
        <v>175</v>
      </c>
      <c r="J198" t="s">
        <v>16</v>
      </c>
      <c r="K198" t="s">
        <v>2268</v>
      </c>
      <c r="L198" t="s">
        <v>18</v>
      </c>
      <c r="N198" t="s">
        <v>2480</v>
      </c>
      <c r="O198" t="s">
        <v>20</v>
      </c>
      <c r="P198" s="8">
        <v>2</v>
      </c>
      <c r="Q198" s="8">
        <v>1</v>
      </c>
      <c r="R198" s="8">
        <v>0</v>
      </c>
      <c r="S198" t="s">
        <v>23</v>
      </c>
      <c r="T198" s="3"/>
      <c r="U198" s="3"/>
      <c r="V198" s="3"/>
    </row>
    <row r="199" spans="1:22" ht="12.45" hidden="1" x14ac:dyDescent="0.2">
      <c r="A199" s="3" t="s">
        <v>2138</v>
      </c>
      <c r="B199" t="s">
        <v>1996</v>
      </c>
      <c r="C199" s="24"/>
      <c r="D199" s="24"/>
      <c r="E199" s="24"/>
      <c r="F199" t="str">
        <f>VLOOKUP(O199,pearl!$B:$E,4,0)</f>
        <v>♂</v>
      </c>
      <c r="G199" t="str">
        <f>VLOOKUP(IF(F199="Дом",H199,F199),pearl!$D$28:$F$32,3,0)</f>
        <v>Марс</v>
      </c>
      <c r="H199" t="str">
        <f>VLOOKUP(O199,pearl!$B:$E,3,0)</f>
        <v>Колчан♂</v>
      </c>
      <c r="I199" t="s">
        <v>40</v>
      </c>
      <c r="J199" t="s">
        <v>16</v>
      </c>
      <c r="K199" t="s">
        <v>2265</v>
      </c>
      <c r="L199" t="s">
        <v>18</v>
      </c>
      <c r="N199" t="s">
        <v>2485</v>
      </c>
      <c r="O199" t="s">
        <v>20</v>
      </c>
      <c r="P199" s="8">
        <v>3</v>
      </c>
      <c r="Q199" s="8">
        <v>1</v>
      </c>
      <c r="R199" s="8">
        <v>0</v>
      </c>
      <c r="S199" t="s">
        <v>23</v>
      </c>
      <c r="T199" s="3"/>
      <c r="U199" s="3"/>
      <c r="V199" s="3"/>
    </row>
    <row r="200" spans="1:22" ht="12.45" hidden="1" x14ac:dyDescent="0.2">
      <c r="A200" s="3" t="s">
        <v>2138</v>
      </c>
      <c r="B200" t="s">
        <v>2495</v>
      </c>
      <c r="C200" s="24"/>
      <c r="D200" s="24"/>
      <c r="E200" s="24"/>
      <c r="F200" t="str">
        <f>VLOOKUP(O200,pearl!$B:$E,4,0)</f>
        <v>♂</v>
      </c>
      <c r="G200" t="str">
        <f>VLOOKUP(IF(F200="Дом",H200,F200),pearl!$D$28:$F$32,3,0)</f>
        <v>Марс</v>
      </c>
      <c r="H200" t="str">
        <f>VLOOKUP(O200,pearl!$B:$E,3,0)</f>
        <v>Колчан♂</v>
      </c>
      <c r="I200" t="s">
        <v>64</v>
      </c>
      <c r="J200" t="s">
        <v>22</v>
      </c>
      <c r="K200" t="s">
        <v>2268</v>
      </c>
      <c r="L200" t="s">
        <v>18</v>
      </c>
      <c r="N200" t="s">
        <v>2491</v>
      </c>
      <c r="O200" t="s">
        <v>20</v>
      </c>
      <c r="P200" s="8">
        <v>5</v>
      </c>
      <c r="Q200" s="8">
        <v>2</v>
      </c>
      <c r="R200" s="8">
        <v>0</v>
      </c>
      <c r="S200" t="s">
        <v>2482</v>
      </c>
      <c r="T200" s="3"/>
      <c r="U200" s="3"/>
      <c r="V200" s="3"/>
    </row>
    <row r="201" spans="1:22" ht="12.45" hidden="1" x14ac:dyDescent="0.2">
      <c r="A201" s="3" t="s">
        <v>2138</v>
      </c>
      <c r="B201" t="s">
        <v>2483</v>
      </c>
      <c r="C201" s="24"/>
      <c r="D201" s="24"/>
      <c r="E201" s="24"/>
      <c r="F201" t="str">
        <f>VLOOKUP(O201,pearl!$B:$E,4,0)</f>
        <v>♂</v>
      </c>
      <c r="G201" t="str">
        <f>VLOOKUP(IF(F201="Дом",H201,F201),pearl!$D$28:$F$32,3,0)</f>
        <v>Марс</v>
      </c>
      <c r="H201" t="str">
        <f>VLOOKUP(O201,pearl!$B:$E,3,0)</f>
        <v>Колчан♂</v>
      </c>
      <c r="I201" t="s">
        <v>2125</v>
      </c>
      <c r="J201" t="s">
        <v>148</v>
      </c>
      <c r="K201" t="s">
        <v>29</v>
      </c>
      <c r="L201" t="s">
        <v>148</v>
      </c>
      <c r="N201" t="s">
        <v>2480</v>
      </c>
      <c r="O201" t="s">
        <v>20</v>
      </c>
      <c r="P201" s="8">
        <v>4</v>
      </c>
      <c r="Q201" s="8">
        <v>1</v>
      </c>
      <c r="R201" s="8">
        <v>0</v>
      </c>
      <c r="S201" t="s">
        <v>2481</v>
      </c>
      <c r="T201" s="3"/>
      <c r="U201" s="3"/>
      <c r="V201" s="3"/>
    </row>
    <row r="202" spans="1:22" ht="12.45" hidden="1" x14ac:dyDescent="0.2">
      <c r="A202" s="3" t="s">
        <v>2138</v>
      </c>
      <c r="B202" t="s">
        <v>2511</v>
      </c>
      <c r="C202" s="24"/>
      <c r="D202" s="24"/>
      <c r="E202" s="24"/>
      <c r="F202" t="str">
        <f>VLOOKUP(O202,pearl!$B:$E,4,0)</f>
        <v>♂</v>
      </c>
      <c r="G202" t="str">
        <f>VLOOKUP(IF(F202="Дом",H202,F202),pearl!$D$28:$F$32,3,0)</f>
        <v>Марс</v>
      </c>
      <c r="H202" t="str">
        <f>VLOOKUP(O202,pearl!$B:$E,3,0)</f>
        <v>Колчан♂</v>
      </c>
      <c r="I202" t="s">
        <v>392</v>
      </c>
      <c r="J202" t="s">
        <v>22</v>
      </c>
      <c r="K202" t="s">
        <v>751</v>
      </c>
      <c r="L202" t="s">
        <v>2106</v>
      </c>
      <c r="N202" t="s">
        <v>2507</v>
      </c>
      <c r="O202" t="s">
        <v>20</v>
      </c>
      <c r="P202" s="8">
        <v>5</v>
      </c>
      <c r="Q202" s="8">
        <v>5</v>
      </c>
      <c r="R202" s="8">
        <v>0</v>
      </c>
      <c r="S202" t="s">
        <v>2512</v>
      </c>
      <c r="T202" s="3"/>
      <c r="U202" s="3"/>
      <c r="V202" s="3"/>
    </row>
    <row r="203" spans="1:22" ht="12.45" hidden="1" x14ac:dyDescent="0.2">
      <c r="A203" s="3" t="s">
        <v>2138</v>
      </c>
      <c r="B203" t="s">
        <v>2484</v>
      </c>
      <c r="C203" s="24"/>
      <c r="D203" s="24"/>
      <c r="E203" s="24"/>
      <c r="F203" t="str">
        <f>VLOOKUP(O203,pearl!$B:$E,4,0)</f>
        <v>♂</v>
      </c>
      <c r="G203" t="str">
        <f>VLOOKUP(IF(F203="Дом",H203,F203),pearl!$D$28:$F$32,3,0)</f>
        <v>Марс</v>
      </c>
      <c r="H203" t="str">
        <f>VLOOKUP(O203,pearl!$B:$E,3,0)</f>
        <v>Колчан♂</v>
      </c>
      <c r="I203" t="s">
        <v>53</v>
      </c>
      <c r="J203" t="s">
        <v>28</v>
      </c>
      <c r="K203" t="s">
        <v>2268</v>
      </c>
      <c r="L203" t="s">
        <v>18</v>
      </c>
      <c r="N203" t="s">
        <v>2485</v>
      </c>
      <c r="O203" t="s">
        <v>20</v>
      </c>
      <c r="P203" s="8">
        <v>5</v>
      </c>
      <c r="Q203" s="8">
        <v>1</v>
      </c>
      <c r="R203" s="8">
        <v>0</v>
      </c>
      <c r="S203" t="s">
        <v>2481</v>
      </c>
      <c r="T203" s="3"/>
      <c r="U203" s="3"/>
      <c r="V203" s="3"/>
    </row>
    <row r="204" spans="1:22" ht="12.45" hidden="1" x14ac:dyDescent="0.2">
      <c r="A204" s="3" t="s">
        <v>2138</v>
      </c>
      <c r="B204" t="s">
        <v>2490</v>
      </c>
      <c r="C204" s="24"/>
      <c r="D204" s="24"/>
      <c r="E204" s="24"/>
      <c r="F204" t="str">
        <f>VLOOKUP(O204,pearl!$B:$E,4,0)</f>
        <v>♂</v>
      </c>
      <c r="G204" t="str">
        <f>VLOOKUP(IF(F204="Дом",H204,F204),pearl!$D$28:$F$32,3,0)</f>
        <v>Марс</v>
      </c>
      <c r="H204" t="str">
        <f>VLOOKUP(O204,pearl!$B:$E,3,0)</f>
        <v>Колчан♂</v>
      </c>
      <c r="I204" t="s">
        <v>77</v>
      </c>
      <c r="J204" t="s">
        <v>28</v>
      </c>
      <c r="K204" t="s">
        <v>2268</v>
      </c>
      <c r="L204" t="s">
        <v>18</v>
      </c>
      <c r="N204" t="s">
        <v>2491</v>
      </c>
      <c r="O204" t="s">
        <v>20</v>
      </c>
      <c r="P204" s="8">
        <v>4</v>
      </c>
      <c r="Q204" s="8">
        <v>2</v>
      </c>
      <c r="R204" s="8">
        <v>0</v>
      </c>
      <c r="S204" t="s">
        <v>2481</v>
      </c>
      <c r="T204" s="3"/>
      <c r="U204" s="3"/>
      <c r="V204" s="3"/>
    </row>
    <row r="205" spans="1:22" ht="12.45" hidden="1" x14ac:dyDescent="0.2">
      <c r="A205" s="3" t="s">
        <v>2138</v>
      </c>
      <c r="B205" t="s">
        <v>1998</v>
      </c>
      <c r="C205" s="24"/>
      <c r="D205" s="24"/>
      <c r="E205" s="24"/>
      <c r="F205" t="str">
        <f>VLOOKUP(O205,pearl!$B:$E,4,0)</f>
        <v>♂</v>
      </c>
      <c r="G205" t="str">
        <f>VLOOKUP(IF(F205="Дом",H205,F205),pearl!$D$28:$F$32,3,0)</f>
        <v>Марс</v>
      </c>
      <c r="H205" t="str">
        <f>VLOOKUP(O205,pearl!$B:$E,3,0)</f>
        <v>Колчан♂</v>
      </c>
      <c r="I205" t="s">
        <v>154</v>
      </c>
      <c r="J205" t="s">
        <v>22</v>
      </c>
      <c r="K205" t="s">
        <v>17</v>
      </c>
      <c r="L205" t="s">
        <v>18</v>
      </c>
      <c r="N205" t="s">
        <v>2485</v>
      </c>
      <c r="O205" t="s">
        <v>20</v>
      </c>
      <c r="P205" s="8">
        <v>2</v>
      </c>
      <c r="Q205" s="8">
        <v>1</v>
      </c>
      <c r="R205" s="8">
        <v>0</v>
      </c>
      <c r="S205" t="s">
        <v>23</v>
      </c>
      <c r="T205" s="3"/>
      <c r="U205" s="3"/>
      <c r="V205" s="3"/>
    </row>
    <row r="206" spans="1:22" ht="12.45" hidden="1" x14ac:dyDescent="0.2">
      <c r="A206" s="3" t="s">
        <v>2138</v>
      </c>
      <c r="B206" t="s">
        <v>2493</v>
      </c>
      <c r="C206" s="24"/>
      <c r="D206" s="24"/>
      <c r="E206" s="24"/>
      <c r="F206" t="str">
        <f>VLOOKUP(O206,pearl!$B:$E,4,0)</f>
        <v>♂</v>
      </c>
      <c r="G206" t="str">
        <f>VLOOKUP(IF(F206="Дом",H206,F206),pearl!$D$28:$F$32,3,0)</f>
        <v>Марс</v>
      </c>
      <c r="H206" t="str">
        <f>VLOOKUP(O206,pearl!$B:$E,3,0)</f>
        <v>Колчан♂</v>
      </c>
      <c r="I206" t="s">
        <v>64</v>
      </c>
      <c r="J206" t="s">
        <v>28</v>
      </c>
      <c r="K206" t="s">
        <v>17</v>
      </c>
      <c r="L206" t="s">
        <v>18</v>
      </c>
      <c r="N206" t="s">
        <v>2491</v>
      </c>
      <c r="O206" t="s">
        <v>20</v>
      </c>
      <c r="P206" s="8">
        <v>5</v>
      </c>
      <c r="Q206" s="8">
        <v>2</v>
      </c>
      <c r="R206" s="8">
        <v>0</v>
      </c>
      <c r="S206" t="s">
        <v>2492</v>
      </c>
      <c r="T206" s="3"/>
      <c r="U206" s="3"/>
      <c r="V206" s="3"/>
    </row>
    <row r="207" spans="1:22" ht="12.45" hidden="1" x14ac:dyDescent="0.2">
      <c r="A207" s="3" t="s">
        <v>2138</v>
      </c>
      <c r="B207" t="s">
        <v>2505</v>
      </c>
      <c r="C207" s="24"/>
      <c r="D207" s="24"/>
      <c r="E207" s="24"/>
      <c r="F207" t="str">
        <f>VLOOKUP(O207,pearl!$B:$E,4,0)</f>
        <v>♂</v>
      </c>
      <c r="G207" t="str">
        <f>VLOOKUP(IF(F207="Дом",H207,F207),pearl!$D$28:$F$32,3,0)</f>
        <v>Марс</v>
      </c>
      <c r="H207" t="str">
        <f>VLOOKUP(O207,pearl!$B:$E,3,0)</f>
        <v>Колчан♂</v>
      </c>
      <c r="I207" t="s">
        <v>740</v>
      </c>
      <c r="J207" t="s">
        <v>22</v>
      </c>
      <c r="K207" t="s">
        <v>2506</v>
      </c>
      <c r="L207" t="s">
        <v>182</v>
      </c>
      <c r="N207" t="s">
        <v>2507</v>
      </c>
      <c r="O207" t="s">
        <v>20</v>
      </c>
      <c r="P207" s="8">
        <v>5</v>
      </c>
      <c r="Q207" s="8">
        <v>3</v>
      </c>
      <c r="R207" s="8">
        <v>0</v>
      </c>
      <c r="S207" t="s">
        <v>2504</v>
      </c>
      <c r="T207" s="3"/>
      <c r="U207" s="3"/>
      <c r="V207" s="3"/>
    </row>
    <row r="208" spans="1:22" ht="12.45" hidden="1" x14ac:dyDescent="0.2">
      <c r="A208" s="3" t="s">
        <v>2138</v>
      </c>
      <c r="B208" t="s">
        <v>2502</v>
      </c>
      <c r="C208" s="24"/>
      <c r="D208" s="24"/>
      <c r="E208" s="24"/>
      <c r="F208" t="str">
        <f>VLOOKUP(O208,pearl!$B:$E,4,0)</f>
        <v>♂</v>
      </c>
      <c r="G208" t="str">
        <f>VLOOKUP(IF(F208="Дом",H208,F208),pearl!$D$28:$F$32,3,0)</f>
        <v>Марс</v>
      </c>
      <c r="H208" t="str">
        <f>VLOOKUP(O208,pearl!$B:$E,3,0)</f>
        <v>Колчан♂</v>
      </c>
      <c r="I208" t="s">
        <v>43</v>
      </c>
      <c r="J208" t="s">
        <v>22</v>
      </c>
      <c r="K208" t="s">
        <v>2503</v>
      </c>
      <c r="L208" t="s">
        <v>2106</v>
      </c>
      <c r="N208" t="s">
        <v>2497</v>
      </c>
      <c r="O208" t="s">
        <v>20</v>
      </c>
      <c r="P208" s="8">
        <v>5</v>
      </c>
      <c r="Q208" s="8">
        <v>3</v>
      </c>
      <c r="R208" s="8">
        <v>0</v>
      </c>
      <c r="S208" t="s">
        <v>2486</v>
      </c>
      <c r="T208" s="3"/>
      <c r="U208" s="3"/>
      <c r="V208" s="3"/>
    </row>
    <row r="209" spans="1:22" ht="12.45" hidden="1" x14ac:dyDescent="0.2">
      <c r="A209" s="3" t="s">
        <v>2138</v>
      </c>
      <c r="B209" t="s">
        <v>2504</v>
      </c>
      <c r="C209" s="24"/>
      <c r="D209" s="24"/>
      <c r="E209" s="24"/>
      <c r="F209" t="str">
        <f>VLOOKUP(O209,pearl!$B:$E,4,0)</f>
        <v>♂</v>
      </c>
      <c r="G209" t="str">
        <f>VLOOKUP(IF(F209="Дом",H209,F209),pearl!$D$28:$F$32,3,0)</f>
        <v>Марс</v>
      </c>
      <c r="H209" t="str">
        <f>VLOOKUP(O209,pearl!$B:$E,3,0)</f>
        <v>Колчан♂</v>
      </c>
      <c r="I209" t="s">
        <v>64</v>
      </c>
      <c r="J209" t="s">
        <v>28</v>
      </c>
      <c r="K209" t="s">
        <v>2268</v>
      </c>
      <c r="L209" t="s">
        <v>18</v>
      </c>
      <c r="N209" t="s">
        <v>2497</v>
      </c>
      <c r="O209" t="s">
        <v>20</v>
      </c>
      <c r="P209" s="8">
        <v>5</v>
      </c>
      <c r="Q209" s="8">
        <v>3</v>
      </c>
      <c r="R209" s="8">
        <v>0</v>
      </c>
      <c r="S209" t="s">
        <v>2486</v>
      </c>
      <c r="T209" s="3"/>
      <c r="U209" s="3"/>
      <c r="V209" s="3"/>
    </row>
    <row r="210" spans="1:22" ht="12.45" hidden="1" x14ac:dyDescent="0.2">
      <c r="A210" s="3" t="s">
        <v>2138</v>
      </c>
      <c r="B210" t="s">
        <v>2486</v>
      </c>
      <c r="C210" s="24"/>
      <c r="D210" s="24"/>
      <c r="E210" s="24"/>
      <c r="F210" t="str">
        <f>VLOOKUP(O210,pearl!$B:$E,4,0)</f>
        <v>♂</v>
      </c>
      <c r="G210" t="str">
        <f>VLOOKUP(IF(F210="Дом",H210,F210),pearl!$D$28:$F$32,3,0)</f>
        <v>Марс</v>
      </c>
      <c r="H210" t="str">
        <f>VLOOKUP(O210,pearl!$B:$E,3,0)</f>
        <v>Колчан♂</v>
      </c>
      <c r="I210" t="s">
        <v>64</v>
      </c>
      <c r="J210" t="s">
        <v>28</v>
      </c>
      <c r="K210" t="s">
        <v>23</v>
      </c>
      <c r="L210" t="s">
        <v>18</v>
      </c>
      <c r="N210" t="s">
        <v>2485</v>
      </c>
      <c r="O210" t="s">
        <v>20</v>
      </c>
      <c r="P210" s="8">
        <v>3</v>
      </c>
      <c r="Q210" s="8">
        <v>1</v>
      </c>
      <c r="R210" s="8">
        <v>0</v>
      </c>
      <c r="S210" t="s">
        <v>1996</v>
      </c>
      <c r="T210" s="3"/>
      <c r="U210" s="3"/>
      <c r="V210" s="3"/>
    </row>
    <row r="211" spans="1:22" ht="12.45" hidden="1" x14ac:dyDescent="0.2">
      <c r="A211" s="3" t="s">
        <v>2138</v>
      </c>
      <c r="B211" t="s">
        <v>2494</v>
      </c>
      <c r="C211" s="24"/>
      <c r="D211" s="24"/>
      <c r="E211" s="24"/>
      <c r="F211" t="str">
        <f>VLOOKUP(O211,pearl!$B:$E,4,0)</f>
        <v>♂</v>
      </c>
      <c r="G211" t="str">
        <f>VLOOKUP(IF(F211="Дом",H211,F211),pearl!$D$28:$F$32,3,0)</f>
        <v>Марс</v>
      </c>
      <c r="H211" t="str">
        <f>VLOOKUP(O211,pearl!$B:$E,3,0)</f>
        <v>Колчан♂</v>
      </c>
      <c r="I211" t="s">
        <v>64</v>
      </c>
      <c r="J211" t="s">
        <v>16</v>
      </c>
      <c r="K211" t="s">
        <v>50</v>
      </c>
      <c r="L211" t="s">
        <v>18</v>
      </c>
      <c r="N211" t="s">
        <v>2491</v>
      </c>
      <c r="O211" t="s">
        <v>20</v>
      </c>
      <c r="P211" s="8">
        <v>5</v>
      </c>
      <c r="Q211" s="8">
        <v>2</v>
      </c>
      <c r="R211" s="8">
        <v>0</v>
      </c>
      <c r="S211" t="s">
        <v>2493</v>
      </c>
      <c r="T211" s="3"/>
      <c r="U211" s="3"/>
      <c r="V211" s="3"/>
    </row>
    <row r="212" spans="1:22" ht="12.45" hidden="1" x14ac:dyDescent="0.2">
      <c r="A212" s="3" t="s">
        <v>2138</v>
      </c>
      <c r="B212" t="s">
        <v>2510</v>
      </c>
      <c r="C212" s="24"/>
      <c r="D212" s="24"/>
      <c r="E212" s="24"/>
      <c r="F212" t="str">
        <f>VLOOKUP(O212,pearl!$B:$E,4,0)</f>
        <v>♂</v>
      </c>
      <c r="G212" t="str">
        <f>VLOOKUP(IF(F212="Дом",H212,F212),pearl!$D$28:$F$32,3,0)</f>
        <v>Марс</v>
      </c>
      <c r="H212" t="str">
        <f>VLOOKUP(O212,pearl!$B:$E,3,0)</f>
        <v>Колчан♂</v>
      </c>
      <c r="I212" t="s">
        <v>264</v>
      </c>
      <c r="J212" t="s">
        <v>28</v>
      </c>
      <c r="K212" t="s">
        <v>2268</v>
      </c>
      <c r="L212" t="s">
        <v>18</v>
      </c>
      <c r="N212" t="s">
        <v>2507</v>
      </c>
      <c r="O212" t="s">
        <v>20</v>
      </c>
      <c r="P212" s="8">
        <v>5</v>
      </c>
      <c r="Q212" s="8">
        <v>4</v>
      </c>
      <c r="R212" s="8">
        <v>0</v>
      </c>
      <c r="S212" t="s">
        <v>2504</v>
      </c>
      <c r="T212" s="3"/>
      <c r="U212" s="3"/>
      <c r="V212" s="3"/>
    </row>
    <row r="213" spans="1:22" ht="12.45" hidden="1" x14ac:dyDescent="0.2">
      <c r="A213" s="3" t="s">
        <v>2138</v>
      </c>
      <c r="B213" t="s">
        <v>2539</v>
      </c>
      <c r="C213" s="24"/>
      <c r="D213" s="24"/>
      <c r="E213" s="24"/>
      <c r="F213" t="str">
        <f>VLOOKUP(O213,pearl!$B:$E,4,0)</f>
        <v>♂</v>
      </c>
      <c r="G213" t="str">
        <f>VLOOKUP(IF(F213="Дом",H213,F213),pearl!$D$28:$F$32,3,0)</f>
        <v>Марс</v>
      </c>
      <c r="H213" t="str">
        <f>VLOOKUP(O213,pearl!$B:$E,3,0)</f>
        <v>Перчатка♂</v>
      </c>
      <c r="I213" t="s">
        <v>264</v>
      </c>
      <c r="J213" t="s">
        <v>28</v>
      </c>
      <c r="K213" t="s">
        <v>1439</v>
      </c>
      <c r="L213" t="s">
        <v>18</v>
      </c>
      <c r="N213" t="s">
        <v>2534</v>
      </c>
      <c r="O213" t="s">
        <v>269</v>
      </c>
      <c r="P213" s="8">
        <v>5</v>
      </c>
      <c r="Q213" s="8">
        <v>3</v>
      </c>
      <c r="R213" s="8">
        <v>0</v>
      </c>
      <c r="S213" t="s">
        <v>2533</v>
      </c>
      <c r="T213" s="3"/>
      <c r="U213" s="3"/>
      <c r="V213" s="3"/>
    </row>
    <row r="214" spans="1:22" ht="12.45" hidden="1" x14ac:dyDescent="0.2">
      <c r="A214" s="3" t="s">
        <v>2138</v>
      </c>
      <c r="B214" t="s">
        <v>2536</v>
      </c>
      <c r="C214" s="24"/>
      <c r="D214" s="24"/>
      <c r="E214" s="24"/>
      <c r="F214" t="str">
        <f>VLOOKUP(O214,pearl!$B:$E,4,0)</f>
        <v>♂</v>
      </c>
      <c r="G214" t="str">
        <f>VLOOKUP(IF(F214="Дом",H214,F214),pearl!$D$28:$F$32,3,0)</f>
        <v>Марс</v>
      </c>
      <c r="H214" t="str">
        <f>VLOOKUP(O214,pearl!$B:$E,3,0)</f>
        <v>Перчатка♂</v>
      </c>
      <c r="I214" t="s">
        <v>43</v>
      </c>
      <c r="J214" t="s">
        <v>22</v>
      </c>
      <c r="K214" t="s">
        <v>1103</v>
      </c>
      <c r="L214" t="s">
        <v>18</v>
      </c>
      <c r="N214" t="s">
        <v>2534</v>
      </c>
      <c r="O214" t="s">
        <v>269</v>
      </c>
      <c r="P214" s="8">
        <v>5</v>
      </c>
      <c r="Q214" s="8">
        <v>3</v>
      </c>
      <c r="R214" s="8">
        <v>0</v>
      </c>
      <c r="S214" t="s">
        <v>2010</v>
      </c>
      <c r="T214" s="3"/>
      <c r="U214" s="3"/>
      <c r="V214" s="3"/>
    </row>
    <row r="215" spans="1:22" ht="12.45" hidden="1" x14ac:dyDescent="0.2">
      <c r="A215" s="3" t="s">
        <v>2138</v>
      </c>
      <c r="B215" t="s">
        <v>2528</v>
      </c>
      <c r="C215" s="24"/>
      <c r="D215" s="24"/>
      <c r="E215" s="24"/>
      <c r="F215" t="str">
        <f>VLOOKUP(O215,pearl!$B:$E,4,0)</f>
        <v>♂</v>
      </c>
      <c r="G215" t="str">
        <f>VLOOKUP(IF(F215="Дом",H215,F215),pearl!$D$28:$F$32,3,0)</f>
        <v>Марс</v>
      </c>
      <c r="H215" t="str">
        <f>VLOOKUP(O215,pearl!$B:$E,3,0)</f>
        <v>Перчатка♂</v>
      </c>
      <c r="I215" t="s">
        <v>175</v>
      </c>
      <c r="J215" t="s">
        <v>16</v>
      </c>
      <c r="K215" t="s">
        <v>1822</v>
      </c>
      <c r="L215" t="s">
        <v>2135</v>
      </c>
      <c r="N215" t="s">
        <v>2526</v>
      </c>
      <c r="O215" t="s">
        <v>269</v>
      </c>
      <c r="P215" s="8">
        <v>4</v>
      </c>
      <c r="Q215" s="8">
        <v>2</v>
      </c>
      <c r="R215" s="8">
        <v>0</v>
      </c>
      <c r="S215" t="s">
        <v>2521</v>
      </c>
      <c r="T215" s="3"/>
      <c r="U215" s="3"/>
      <c r="V215" s="3"/>
    </row>
    <row r="216" spans="1:22" ht="12.45" hidden="1" x14ac:dyDescent="0.2">
      <c r="A216" s="3" t="s">
        <v>2138</v>
      </c>
      <c r="B216" t="s">
        <v>2010</v>
      </c>
      <c r="C216" s="24"/>
      <c r="D216" s="24"/>
      <c r="E216" s="24"/>
      <c r="F216" t="str">
        <f>VLOOKUP(O216,pearl!$B:$E,4,0)</f>
        <v>♂</v>
      </c>
      <c r="G216" t="str">
        <f>VLOOKUP(IF(F216="Дом",H216,F216),pearl!$D$28:$F$32,3,0)</f>
        <v>Марс</v>
      </c>
      <c r="H216" t="str">
        <f>VLOOKUP(O216,pearl!$B:$E,3,0)</f>
        <v>Перчатка♂</v>
      </c>
      <c r="I216" t="s">
        <v>27</v>
      </c>
      <c r="J216" t="s">
        <v>22</v>
      </c>
      <c r="K216" t="s">
        <v>303</v>
      </c>
      <c r="L216" t="s">
        <v>18</v>
      </c>
      <c r="N216" t="s">
        <v>2534</v>
      </c>
      <c r="O216" t="s">
        <v>269</v>
      </c>
      <c r="P216" s="8">
        <v>5</v>
      </c>
      <c r="Q216" s="8">
        <v>3</v>
      </c>
      <c r="R216" s="8">
        <v>0</v>
      </c>
      <c r="S216" t="s">
        <v>2535</v>
      </c>
      <c r="T216" s="3"/>
      <c r="U216" s="3"/>
      <c r="V216" s="3"/>
    </row>
    <row r="217" spans="1:22" ht="12.45" hidden="1" x14ac:dyDescent="0.2">
      <c r="A217" s="3" t="s">
        <v>2138</v>
      </c>
      <c r="B217" t="s">
        <v>2540</v>
      </c>
      <c r="C217" s="24"/>
      <c r="D217" s="24"/>
      <c r="E217" s="24"/>
      <c r="F217" t="str">
        <f>VLOOKUP(O217,pearl!$B:$E,4,0)</f>
        <v>♂</v>
      </c>
      <c r="G217" t="str">
        <f>VLOOKUP(IF(F217="Дом",H217,F217),pearl!$D$28:$F$32,3,0)</f>
        <v>Марс</v>
      </c>
      <c r="H217" t="str">
        <f>VLOOKUP(O217,pearl!$B:$E,3,0)</f>
        <v>Перчатка♂</v>
      </c>
      <c r="I217" t="s">
        <v>53</v>
      </c>
      <c r="J217" t="s">
        <v>22</v>
      </c>
      <c r="K217" t="s">
        <v>2530</v>
      </c>
      <c r="L217" t="s">
        <v>18</v>
      </c>
      <c r="N217" t="s">
        <v>2541</v>
      </c>
      <c r="O217" t="s">
        <v>269</v>
      </c>
      <c r="P217" s="8">
        <v>5</v>
      </c>
      <c r="Q217" s="8">
        <v>4</v>
      </c>
      <c r="R217" s="8">
        <v>0</v>
      </c>
      <c r="S217" t="s">
        <v>2529</v>
      </c>
      <c r="T217" s="3"/>
      <c r="U217" s="3"/>
      <c r="V217" s="3"/>
    </row>
    <row r="218" spans="1:22" ht="12.45" hidden="1" x14ac:dyDescent="0.2">
      <c r="A218" s="3" t="s">
        <v>2138</v>
      </c>
      <c r="B218" t="s">
        <v>2537</v>
      </c>
      <c r="C218" s="24"/>
      <c r="D218" s="24"/>
      <c r="E218" s="24"/>
      <c r="F218" t="str">
        <f>VLOOKUP(O218,pearl!$B:$E,4,0)</f>
        <v>♂</v>
      </c>
      <c r="G218" t="str">
        <f>VLOOKUP(IF(F218="Дом",H218,F218),pearl!$D$28:$F$32,3,0)</f>
        <v>Марс</v>
      </c>
      <c r="H218" t="str">
        <f>VLOOKUP(O218,pearl!$B:$E,3,0)</f>
        <v>Перчатка♂</v>
      </c>
      <c r="I218" t="s">
        <v>147</v>
      </c>
      <c r="J218" t="s">
        <v>148</v>
      </c>
      <c r="K218" t="s">
        <v>23</v>
      </c>
      <c r="L218" t="s">
        <v>148</v>
      </c>
      <c r="N218" t="s">
        <v>2534</v>
      </c>
      <c r="O218" t="s">
        <v>269</v>
      </c>
      <c r="P218" s="8">
        <v>5</v>
      </c>
      <c r="Q218" s="8">
        <v>3</v>
      </c>
      <c r="R218" s="8">
        <v>0</v>
      </c>
      <c r="S218" t="s">
        <v>2538</v>
      </c>
      <c r="T218" s="3"/>
      <c r="U218" s="3"/>
      <c r="V218" s="3"/>
    </row>
    <row r="219" spans="1:22" ht="12.45" hidden="1" x14ac:dyDescent="0.2">
      <c r="A219" s="3" t="s">
        <v>2138</v>
      </c>
      <c r="B219" t="s">
        <v>2524</v>
      </c>
      <c r="C219" s="24"/>
      <c r="D219" s="24"/>
      <c r="E219" s="24"/>
      <c r="F219" t="str">
        <f>VLOOKUP(O219,pearl!$B:$E,4,0)</f>
        <v>♂</v>
      </c>
      <c r="G219" t="str">
        <f>VLOOKUP(IF(F219="Дом",H219,F219),pearl!$D$28:$F$32,3,0)</f>
        <v>Марс</v>
      </c>
      <c r="H219" t="str">
        <f>VLOOKUP(O219,pearl!$B:$E,3,0)</f>
        <v>Перчатка♂</v>
      </c>
      <c r="I219" t="s">
        <v>761</v>
      </c>
      <c r="J219" t="s">
        <v>28</v>
      </c>
      <c r="K219" t="s">
        <v>2525</v>
      </c>
      <c r="L219" t="s">
        <v>2106</v>
      </c>
      <c r="N219" t="s">
        <v>2526</v>
      </c>
      <c r="O219" t="s">
        <v>269</v>
      </c>
      <c r="P219" s="8">
        <v>4</v>
      </c>
      <c r="Q219" s="8">
        <v>1</v>
      </c>
      <c r="R219" s="8">
        <v>0</v>
      </c>
      <c r="S219" t="s">
        <v>2527</v>
      </c>
      <c r="T219" s="3"/>
      <c r="U219" s="3"/>
      <c r="V219" s="3"/>
    </row>
    <row r="220" spans="1:22" ht="12.45" hidden="1" x14ac:dyDescent="0.2">
      <c r="A220" s="3" t="s">
        <v>2138</v>
      </c>
      <c r="B220" t="s">
        <v>2543</v>
      </c>
      <c r="C220" s="24"/>
      <c r="D220" s="24"/>
      <c r="E220" s="24"/>
      <c r="F220" t="str">
        <f>VLOOKUP(O220,pearl!$B:$E,4,0)</f>
        <v>♂</v>
      </c>
      <c r="G220" t="str">
        <f>VLOOKUP(IF(F220="Дом",H220,F220),pearl!$D$28:$F$32,3,0)</f>
        <v>Марс</v>
      </c>
      <c r="H220" t="str">
        <f>VLOOKUP(O220,pearl!$B:$E,3,0)</f>
        <v>Перчатка♂</v>
      </c>
      <c r="I220" t="s">
        <v>264</v>
      </c>
      <c r="J220" t="s">
        <v>28</v>
      </c>
      <c r="K220" t="s">
        <v>29</v>
      </c>
      <c r="L220" t="s">
        <v>18</v>
      </c>
      <c r="N220" t="s">
        <v>2541</v>
      </c>
      <c r="O220" t="s">
        <v>269</v>
      </c>
      <c r="P220" s="8">
        <v>5</v>
      </c>
      <c r="Q220" s="8">
        <v>5</v>
      </c>
      <c r="R220" s="8">
        <v>0</v>
      </c>
      <c r="S220" t="s">
        <v>2544</v>
      </c>
      <c r="T220" s="3"/>
      <c r="U220" s="3"/>
      <c r="V220" s="3"/>
    </row>
    <row r="221" spans="1:22" ht="12.45" hidden="1" x14ac:dyDescent="0.2">
      <c r="A221" s="3" t="s">
        <v>2138</v>
      </c>
      <c r="B221" t="s">
        <v>2012</v>
      </c>
      <c r="C221" s="24"/>
      <c r="D221" s="24"/>
      <c r="E221" s="24"/>
      <c r="F221" t="str">
        <f>VLOOKUP(O221,pearl!$B:$E,4,0)</f>
        <v>♂</v>
      </c>
      <c r="G221" t="str">
        <f>VLOOKUP(IF(F221="Дом",H221,F221),pearl!$D$28:$F$32,3,0)</f>
        <v>Марс</v>
      </c>
      <c r="H221" t="str">
        <f>VLOOKUP(O221,pearl!$B:$E,3,0)</f>
        <v>Перчатка♂</v>
      </c>
      <c r="I221" t="s">
        <v>34</v>
      </c>
      <c r="J221" t="s">
        <v>16</v>
      </c>
      <c r="K221" t="s">
        <v>2514</v>
      </c>
      <c r="L221" t="s">
        <v>18</v>
      </c>
      <c r="N221" t="s">
        <v>2513</v>
      </c>
      <c r="O221" t="s">
        <v>269</v>
      </c>
      <c r="P221" s="8">
        <v>2</v>
      </c>
      <c r="Q221" s="8">
        <v>1</v>
      </c>
      <c r="R221" s="8">
        <v>0</v>
      </c>
      <c r="S221" t="s">
        <v>23</v>
      </c>
      <c r="T221" s="3"/>
      <c r="U221" s="3"/>
      <c r="V221" s="3"/>
    </row>
    <row r="222" spans="1:22" ht="12.45" hidden="1" x14ac:dyDescent="0.2">
      <c r="A222" s="3" t="s">
        <v>2138</v>
      </c>
      <c r="B222" t="s">
        <v>2515</v>
      </c>
      <c r="C222" s="24"/>
      <c r="D222" s="24"/>
      <c r="E222" s="24"/>
      <c r="F222" t="str">
        <f>VLOOKUP(O222,pearl!$B:$E,4,0)</f>
        <v>♂</v>
      </c>
      <c r="G222" t="str">
        <f>VLOOKUP(IF(F222="Дом",H222,F222),pearl!$D$28:$F$32,3,0)</f>
        <v>Марс</v>
      </c>
      <c r="H222" t="str">
        <f>VLOOKUP(O222,pearl!$B:$E,3,0)</f>
        <v>Перчатка♂</v>
      </c>
      <c r="I222" t="s">
        <v>154</v>
      </c>
      <c r="J222" t="s">
        <v>22</v>
      </c>
      <c r="K222" t="s">
        <v>2516</v>
      </c>
      <c r="L222" t="s">
        <v>18</v>
      </c>
      <c r="N222" t="s">
        <v>2513</v>
      </c>
      <c r="O222" t="s">
        <v>269</v>
      </c>
      <c r="P222" s="8">
        <v>2</v>
      </c>
      <c r="Q222" s="8">
        <v>1</v>
      </c>
      <c r="R222" s="8">
        <v>0</v>
      </c>
      <c r="S222" t="s">
        <v>23</v>
      </c>
      <c r="T222" s="3"/>
      <c r="U222" s="3"/>
      <c r="V222" s="3"/>
    </row>
    <row r="223" spans="1:22" ht="12.45" hidden="1" x14ac:dyDescent="0.2">
      <c r="A223" s="3" t="s">
        <v>2138</v>
      </c>
      <c r="B223" t="s">
        <v>2533</v>
      </c>
      <c r="C223" s="24"/>
      <c r="D223" s="24"/>
      <c r="E223" s="24"/>
      <c r="F223" t="str">
        <f>VLOOKUP(O223,pearl!$B:$E,4,0)</f>
        <v>♂</v>
      </c>
      <c r="G223" t="str">
        <f>VLOOKUP(IF(F223="Дом",H223,F223),pearl!$D$28:$F$32,3,0)</f>
        <v>Марс</v>
      </c>
      <c r="H223" t="str">
        <f>VLOOKUP(O223,pearl!$B:$E,3,0)</f>
        <v>Перчатка♂</v>
      </c>
      <c r="I223" t="s">
        <v>27</v>
      </c>
      <c r="J223" t="s">
        <v>28</v>
      </c>
      <c r="K223" t="s">
        <v>29</v>
      </c>
      <c r="L223" t="s">
        <v>18</v>
      </c>
      <c r="N223" t="s">
        <v>2526</v>
      </c>
      <c r="O223" t="s">
        <v>269</v>
      </c>
      <c r="P223" s="8">
        <v>5</v>
      </c>
      <c r="Q223" s="8">
        <v>2</v>
      </c>
      <c r="R223" s="8">
        <v>0</v>
      </c>
      <c r="S223" t="s">
        <v>2009</v>
      </c>
      <c r="T223" s="3"/>
      <c r="U223" s="3"/>
      <c r="V223" s="3"/>
    </row>
    <row r="224" spans="1:22" ht="12.45" hidden="1" x14ac:dyDescent="0.2">
      <c r="A224" s="3" t="s">
        <v>2138</v>
      </c>
      <c r="B224" t="s">
        <v>2520</v>
      </c>
      <c r="C224" s="24"/>
      <c r="D224" s="24"/>
      <c r="E224" s="24"/>
      <c r="F224" t="str">
        <f>VLOOKUP(O224,pearl!$B:$E,4,0)</f>
        <v>♂</v>
      </c>
      <c r="G224" t="str">
        <f>VLOOKUP(IF(F224="Дом",H224,F224),pearl!$D$28:$F$32,3,0)</f>
        <v>Марс</v>
      </c>
      <c r="H224" t="str">
        <f>VLOOKUP(O224,pearl!$B:$E,3,0)</f>
        <v>Перчатка♂</v>
      </c>
      <c r="I224" t="s">
        <v>34</v>
      </c>
      <c r="J224" t="s">
        <v>16</v>
      </c>
      <c r="K224" t="s">
        <v>2268</v>
      </c>
      <c r="L224" t="s">
        <v>18</v>
      </c>
      <c r="N224" t="s">
        <v>2519</v>
      </c>
      <c r="O224" t="s">
        <v>269</v>
      </c>
      <c r="P224" s="8">
        <v>2</v>
      </c>
      <c r="Q224" s="8">
        <v>1</v>
      </c>
      <c r="R224" s="8">
        <v>0</v>
      </c>
      <c r="S224" t="s">
        <v>23</v>
      </c>
      <c r="T224" s="3"/>
      <c r="U224" s="3"/>
      <c r="V224" s="3"/>
    </row>
    <row r="225" spans="1:22" ht="12.45" hidden="1" x14ac:dyDescent="0.2">
      <c r="A225" s="3" t="s">
        <v>2138</v>
      </c>
      <c r="B225" t="s">
        <v>2521</v>
      </c>
      <c r="C225" s="24"/>
      <c r="D225" s="24"/>
      <c r="E225" s="24"/>
      <c r="F225" t="str">
        <f>VLOOKUP(O225,pearl!$B:$E,4,0)</f>
        <v>♂</v>
      </c>
      <c r="G225" t="str">
        <f>VLOOKUP(IF(F225="Дом",H225,F225),pearl!$D$28:$F$32,3,0)</f>
        <v>Марс</v>
      </c>
      <c r="H225" t="str">
        <f>VLOOKUP(O225,pearl!$B:$E,3,0)</f>
        <v>Перчатка♂</v>
      </c>
      <c r="I225" t="s">
        <v>40</v>
      </c>
      <c r="J225" t="s">
        <v>16</v>
      </c>
      <c r="K225" t="s">
        <v>29</v>
      </c>
      <c r="L225" t="s">
        <v>18</v>
      </c>
      <c r="N225" t="s">
        <v>2519</v>
      </c>
      <c r="O225" t="s">
        <v>269</v>
      </c>
      <c r="P225" s="8">
        <v>3</v>
      </c>
      <c r="Q225" s="8">
        <v>1</v>
      </c>
      <c r="R225" s="8">
        <v>0</v>
      </c>
      <c r="S225" t="s">
        <v>23</v>
      </c>
      <c r="T225" s="3"/>
      <c r="U225" s="3"/>
      <c r="V225" s="3"/>
    </row>
    <row r="226" spans="1:22" ht="12.45" hidden="1" x14ac:dyDescent="0.2">
      <c r="A226" s="3" t="s">
        <v>2138</v>
      </c>
      <c r="B226" t="s">
        <v>2529</v>
      </c>
      <c r="C226" s="24"/>
      <c r="D226" s="24"/>
      <c r="E226" s="24"/>
      <c r="F226" t="str">
        <f>VLOOKUP(O226,pearl!$B:$E,4,0)</f>
        <v>♂</v>
      </c>
      <c r="G226" t="str">
        <f>VLOOKUP(IF(F226="Дом",H226,F226),pearl!$D$28:$F$32,3,0)</f>
        <v>Марс</v>
      </c>
      <c r="H226" t="str">
        <f>VLOOKUP(O226,pearl!$B:$E,3,0)</f>
        <v>Перчатка♂</v>
      </c>
      <c r="I226" t="s">
        <v>175</v>
      </c>
      <c r="J226" t="s">
        <v>22</v>
      </c>
      <c r="K226" t="s">
        <v>2530</v>
      </c>
      <c r="L226" t="s">
        <v>18</v>
      </c>
      <c r="N226" t="s">
        <v>2526</v>
      </c>
      <c r="O226" t="s">
        <v>269</v>
      </c>
      <c r="P226" s="8">
        <v>4</v>
      </c>
      <c r="Q226" s="8">
        <v>2</v>
      </c>
      <c r="R226" s="8">
        <v>0</v>
      </c>
      <c r="S226" t="s">
        <v>2515</v>
      </c>
      <c r="T226" s="3"/>
      <c r="U226" s="3"/>
      <c r="V226" s="3"/>
    </row>
    <row r="227" spans="1:22" ht="12.45" hidden="1" x14ac:dyDescent="0.2">
      <c r="A227" s="3" t="s">
        <v>2138</v>
      </c>
      <c r="B227" t="s">
        <v>2531</v>
      </c>
      <c r="C227" s="24"/>
      <c r="D227" s="24"/>
      <c r="E227" s="24"/>
      <c r="F227" t="str">
        <f>VLOOKUP(O227,pearl!$B:$E,4,0)</f>
        <v>♂</v>
      </c>
      <c r="G227" t="str">
        <f>VLOOKUP(IF(F227="Дом",H227,F227),pearl!$D$28:$F$32,3,0)</f>
        <v>Марс</v>
      </c>
      <c r="H227" t="str">
        <f>VLOOKUP(O227,pearl!$B:$E,3,0)</f>
        <v>Перчатка♂</v>
      </c>
      <c r="I227" t="s">
        <v>43</v>
      </c>
      <c r="J227" t="s">
        <v>16</v>
      </c>
      <c r="K227" t="s">
        <v>29</v>
      </c>
      <c r="L227" t="s">
        <v>18</v>
      </c>
      <c r="N227" t="s">
        <v>2526</v>
      </c>
      <c r="O227" t="s">
        <v>269</v>
      </c>
      <c r="P227" s="8">
        <v>5</v>
      </c>
      <c r="Q227" s="8">
        <v>2</v>
      </c>
      <c r="R227" s="8">
        <v>0</v>
      </c>
      <c r="S227" t="s">
        <v>2532</v>
      </c>
      <c r="T227" s="3"/>
      <c r="U227" s="3"/>
      <c r="V227" s="3"/>
    </row>
    <row r="228" spans="1:22" ht="12.45" hidden="1" x14ac:dyDescent="0.2">
      <c r="A228" s="3" t="s">
        <v>2138</v>
      </c>
      <c r="B228" t="s">
        <v>2542</v>
      </c>
      <c r="C228" s="24"/>
      <c r="D228" s="24"/>
      <c r="E228" s="24"/>
      <c r="F228" t="str">
        <f>VLOOKUP(O228,pearl!$B:$E,4,0)</f>
        <v>♂</v>
      </c>
      <c r="G228" t="str">
        <f>VLOOKUP(IF(F228="Дом",H228,F228),pearl!$D$28:$F$32,3,0)</f>
        <v>Марс</v>
      </c>
      <c r="H228" t="str">
        <f>VLOOKUP(O228,pearl!$B:$E,3,0)</f>
        <v>Перчатка♂</v>
      </c>
      <c r="I228" t="s">
        <v>2121</v>
      </c>
      <c r="J228" t="s">
        <v>22</v>
      </c>
      <c r="K228" t="s">
        <v>2500</v>
      </c>
      <c r="L228" t="s">
        <v>18</v>
      </c>
      <c r="N228" t="s">
        <v>2541</v>
      </c>
      <c r="O228" t="s">
        <v>269</v>
      </c>
      <c r="P228" s="8">
        <v>5</v>
      </c>
      <c r="Q228" s="8">
        <v>4</v>
      </c>
      <c r="R228" s="8">
        <v>0</v>
      </c>
      <c r="S228" t="s">
        <v>2539</v>
      </c>
      <c r="T228" s="3"/>
      <c r="U228" s="3"/>
      <c r="V228" s="3"/>
    </row>
    <row r="229" spans="1:22" ht="12.45" hidden="1" x14ac:dyDescent="0.2">
      <c r="A229" s="3" t="s">
        <v>2138</v>
      </c>
      <c r="B229" t="s">
        <v>2517</v>
      </c>
      <c r="C229" s="24"/>
      <c r="D229" s="24"/>
      <c r="E229" s="24"/>
      <c r="F229" t="str">
        <f>VLOOKUP(O229,pearl!$B:$E,4,0)</f>
        <v>♂</v>
      </c>
      <c r="G229" t="str">
        <f>VLOOKUP(IF(F229="Дом",H229,F229),pearl!$D$28:$F$32,3,0)</f>
        <v>Марс</v>
      </c>
      <c r="H229" t="str">
        <f>VLOOKUP(O229,pearl!$B:$E,3,0)</f>
        <v>Перчатка♂</v>
      </c>
      <c r="I229" t="s">
        <v>154</v>
      </c>
      <c r="J229" t="s">
        <v>22</v>
      </c>
      <c r="K229" t="s">
        <v>2518</v>
      </c>
      <c r="L229" t="s">
        <v>18</v>
      </c>
      <c r="N229" t="s">
        <v>2519</v>
      </c>
      <c r="O229" t="s">
        <v>269</v>
      </c>
      <c r="P229" s="8">
        <v>4</v>
      </c>
      <c r="Q229" s="8">
        <v>1</v>
      </c>
      <c r="R229" s="8">
        <v>0</v>
      </c>
      <c r="S229" t="s">
        <v>2515</v>
      </c>
      <c r="T229" s="3"/>
      <c r="U229" s="3"/>
      <c r="V229" s="3"/>
    </row>
    <row r="230" spans="1:22" ht="12.45" hidden="1" x14ac:dyDescent="0.2">
      <c r="A230" s="3" t="s">
        <v>2138</v>
      </c>
      <c r="B230" t="s">
        <v>2008</v>
      </c>
      <c r="C230" s="24"/>
      <c r="D230" s="24"/>
      <c r="E230" s="24"/>
      <c r="F230" t="str">
        <f>VLOOKUP(O230,pearl!$B:$E,4,0)</f>
        <v>♂</v>
      </c>
      <c r="G230" t="str">
        <f>VLOOKUP(IF(F230="Дом",H230,F230),pearl!$D$28:$F$32,3,0)</f>
        <v>Марс</v>
      </c>
      <c r="H230" t="str">
        <f>VLOOKUP(O230,pearl!$B:$E,3,0)</f>
        <v>Перчатка♂</v>
      </c>
      <c r="I230" t="s">
        <v>40</v>
      </c>
      <c r="J230" t="s">
        <v>22</v>
      </c>
      <c r="K230" t="s">
        <v>2265</v>
      </c>
      <c r="L230" t="s">
        <v>18</v>
      </c>
      <c r="N230" t="s">
        <v>2513</v>
      </c>
      <c r="O230" t="s">
        <v>269</v>
      </c>
      <c r="P230" s="8">
        <v>1</v>
      </c>
      <c r="Q230" s="8">
        <v>1</v>
      </c>
      <c r="R230" s="8">
        <v>0</v>
      </c>
      <c r="S230" t="s">
        <v>23</v>
      </c>
      <c r="T230" s="3"/>
      <c r="U230" s="3"/>
      <c r="V230" s="3"/>
    </row>
    <row r="231" spans="1:22" ht="12.45" hidden="1" x14ac:dyDescent="0.2">
      <c r="A231" s="3" t="s">
        <v>2138</v>
      </c>
      <c r="B231" t="s">
        <v>2009</v>
      </c>
      <c r="C231" s="24"/>
      <c r="D231" s="24"/>
      <c r="E231" s="24"/>
      <c r="F231" t="str">
        <f>VLOOKUP(O231,pearl!$B:$E,4,0)</f>
        <v>♂</v>
      </c>
      <c r="G231" t="str">
        <f>VLOOKUP(IF(F231="Дом",H231,F231),pearl!$D$28:$F$32,3,0)</f>
        <v>Марс</v>
      </c>
      <c r="H231" t="str">
        <f>VLOOKUP(O231,pearl!$B:$E,3,0)</f>
        <v>Перчатка♂</v>
      </c>
      <c r="I231" t="s">
        <v>175</v>
      </c>
      <c r="J231" t="s">
        <v>28</v>
      </c>
      <c r="K231" t="s">
        <v>2265</v>
      </c>
      <c r="L231" t="s">
        <v>18</v>
      </c>
      <c r="N231" t="s">
        <v>2513</v>
      </c>
      <c r="O231" t="s">
        <v>269</v>
      </c>
      <c r="P231" s="8">
        <v>4</v>
      </c>
      <c r="Q231" s="8">
        <v>1</v>
      </c>
      <c r="R231" s="8">
        <v>0</v>
      </c>
      <c r="S231" t="s">
        <v>2008</v>
      </c>
      <c r="T231" s="3"/>
      <c r="U231" s="3"/>
      <c r="V231" s="3"/>
    </row>
    <row r="232" spans="1:22" ht="12.45" hidden="1" x14ac:dyDescent="0.2">
      <c r="A232" s="3" t="s">
        <v>2138</v>
      </c>
      <c r="B232" t="s">
        <v>2011</v>
      </c>
      <c r="C232" s="24"/>
      <c r="D232" s="24"/>
      <c r="E232" s="24"/>
      <c r="F232" t="str">
        <f>VLOOKUP(O232,pearl!$B:$E,4,0)</f>
        <v>♂</v>
      </c>
      <c r="G232" t="str">
        <f>VLOOKUP(IF(F232="Дом",H232,F232),pearl!$D$28:$F$32,3,0)</f>
        <v>Марс</v>
      </c>
      <c r="H232" t="str">
        <f>VLOOKUP(O232,pearl!$B:$E,3,0)</f>
        <v>Перчатка♂</v>
      </c>
      <c r="I232" t="s">
        <v>154</v>
      </c>
      <c r="J232" t="s">
        <v>22</v>
      </c>
      <c r="K232" t="s">
        <v>23</v>
      </c>
      <c r="L232" t="s">
        <v>18</v>
      </c>
      <c r="N232" t="s">
        <v>2519</v>
      </c>
      <c r="O232" t="s">
        <v>269</v>
      </c>
      <c r="P232" s="8">
        <v>3</v>
      </c>
      <c r="Q232" s="8">
        <v>1</v>
      </c>
      <c r="R232" s="8">
        <v>0</v>
      </c>
      <c r="S232" t="s">
        <v>2520</v>
      </c>
      <c r="T232" s="3"/>
      <c r="U232" s="3"/>
      <c r="V232" s="3"/>
    </row>
    <row r="233" spans="1:22" ht="12.45" hidden="1" x14ac:dyDescent="0.2">
      <c r="A233" s="3" t="s">
        <v>2138</v>
      </c>
      <c r="B233" t="s">
        <v>2522</v>
      </c>
      <c r="C233" s="24"/>
      <c r="D233" s="24"/>
      <c r="E233" s="24"/>
      <c r="F233" t="str">
        <f>VLOOKUP(O233,pearl!$B:$E,4,0)</f>
        <v>♂</v>
      </c>
      <c r="G233" t="str">
        <f>VLOOKUP(IF(F233="Дом",H233,F233),pearl!$D$28:$F$32,3,0)</f>
        <v>Марс</v>
      </c>
      <c r="H233" t="str">
        <f>VLOOKUP(O233,pearl!$B:$E,3,0)</f>
        <v>Перчатка♂</v>
      </c>
      <c r="I233" t="s">
        <v>175</v>
      </c>
      <c r="J233" t="s">
        <v>16</v>
      </c>
      <c r="K233" t="s">
        <v>29</v>
      </c>
      <c r="L233" t="s">
        <v>18</v>
      </c>
      <c r="N233" t="s">
        <v>2519</v>
      </c>
      <c r="O233" t="s">
        <v>269</v>
      </c>
      <c r="P233" s="8">
        <v>3</v>
      </c>
      <c r="Q233" s="8">
        <v>1</v>
      </c>
      <c r="R233" s="8">
        <v>0</v>
      </c>
      <c r="S233" t="s">
        <v>2523</v>
      </c>
      <c r="T233" s="3"/>
      <c r="U233" s="3"/>
      <c r="V233" s="3"/>
    </row>
    <row r="234" spans="1:22" ht="12.45" hidden="1" x14ac:dyDescent="0.2">
      <c r="A234" s="3" t="s">
        <v>2138</v>
      </c>
      <c r="B234" t="s">
        <v>2550</v>
      </c>
      <c r="C234" s="24"/>
      <c r="D234" s="24"/>
      <c r="E234" s="24"/>
      <c r="F234" t="str">
        <f>VLOOKUP(O234,pearl!$B:$E,4,0)</f>
        <v>♂</v>
      </c>
      <c r="G234" t="str">
        <f>VLOOKUP(IF(F234="Дом",H234,F234),pearl!$D$28:$F$32,3,0)</f>
        <v>Марс</v>
      </c>
      <c r="H234" t="str">
        <f>VLOOKUP(O234,pearl!$B:$E,3,0)</f>
        <v>Копье♂</v>
      </c>
      <c r="I234" t="s">
        <v>40</v>
      </c>
      <c r="J234" t="s">
        <v>16</v>
      </c>
      <c r="K234" t="s">
        <v>50</v>
      </c>
      <c r="L234" t="s">
        <v>18</v>
      </c>
      <c r="N234" t="s">
        <v>2547</v>
      </c>
      <c r="O234" t="s">
        <v>1082</v>
      </c>
      <c r="P234" s="8">
        <v>3</v>
      </c>
      <c r="Q234" s="8">
        <v>1</v>
      </c>
      <c r="R234" s="8">
        <v>0</v>
      </c>
      <c r="S234" t="s">
        <v>2548</v>
      </c>
      <c r="T234" s="3"/>
      <c r="U234" s="3"/>
      <c r="V234" s="3"/>
    </row>
    <row r="235" spans="1:22" ht="12.45" hidden="1" x14ac:dyDescent="0.2">
      <c r="A235" s="3" t="s">
        <v>2138</v>
      </c>
      <c r="B235" t="s">
        <v>2551</v>
      </c>
      <c r="C235" s="24"/>
      <c r="D235" s="24"/>
      <c r="E235" s="24"/>
      <c r="F235" t="str">
        <f>VLOOKUP(O235,pearl!$B:$E,4,0)</f>
        <v>♂</v>
      </c>
      <c r="G235" t="str">
        <f>VLOOKUP(IF(F235="Дом",H235,F235),pearl!$D$28:$F$32,3,0)</f>
        <v>Марс</v>
      </c>
      <c r="H235" t="str">
        <f>VLOOKUP(O235,pearl!$B:$E,3,0)</f>
        <v>Копье♂</v>
      </c>
      <c r="I235" t="s">
        <v>40</v>
      </c>
      <c r="J235" t="s">
        <v>16</v>
      </c>
      <c r="K235" t="s">
        <v>23</v>
      </c>
      <c r="L235" t="s">
        <v>18</v>
      </c>
      <c r="N235" t="s">
        <v>2547</v>
      </c>
      <c r="O235" t="s">
        <v>1082</v>
      </c>
      <c r="P235" s="8">
        <v>4</v>
      </c>
      <c r="Q235" s="8">
        <v>1</v>
      </c>
      <c r="R235" s="8">
        <v>0</v>
      </c>
      <c r="S235" t="s">
        <v>2550</v>
      </c>
      <c r="T235" s="3"/>
      <c r="U235" s="3"/>
      <c r="V235" s="3"/>
    </row>
    <row r="236" spans="1:22" ht="12.45" hidden="1" x14ac:dyDescent="0.2">
      <c r="A236" s="3" t="s">
        <v>2138</v>
      </c>
      <c r="B236" t="s">
        <v>2553</v>
      </c>
      <c r="C236" s="24"/>
      <c r="D236" s="24"/>
      <c r="E236" s="24"/>
      <c r="F236" t="str">
        <f>VLOOKUP(O236,pearl!$B:$E,4,0)</f>
        <v>♂</v>
      </c>
      <c r="G236" t="str">
        <f>VLOOKUP(IF(F236="Дом",H236,F236),pearl!$D$28:$F$32,3,0)</f>
        <v>Марс</v>
      </c>
      <c r="H236" t="str">
        <f>VLOOKUP(O236,pearl!$B:$E,3,0)</f>
        <v>Копье♂</v>
      </c>
      <c r="I236" t="s">
        <v>175</v>
      </c>
      <c r="J236" t="s">
        <v>16</v>
      </c>
      <c r="K236" t="s">
        <v>50</v>
      </c>
      <c r="L236" t="s">
        <v>18</v>
      </c>
      <c r="N236" t="s">
        <v>2552</v>
      </c>
      <c r="O236" t="s">
        <v>1082</v>
      </c>
      <c r="P236" s="8">
        <v>3</v>
      </c>
      <c r="Q236" s="8">
        <v>1</v>
      </c>
      <c r="R236" s="8">
        <v>0</v>
      </c>
      <c r="S236" t="s">
        <v>2051</v>
      </c>
      <c r="T236" s="3"/>
      <c r="U236" s="3"/>
      <c r="V236" s="3"/>
    </row>
    <row r="237" spans="1:22" ht="12.45" hidden="1" x14ac:dyDescent="0.2">
      <c r="A237" s="3" t="s">
        <v>2138</v>
      </c>
      <c r="B237" t="s">
        <v>2568</v>
      </c>
      <c r="C237" s="24"/>
      <c r="D237" s="24"/>
      <c r="E237" s="24"/>
      <c r="F237" t="str">
        <f>VLOOKUP(O237,pearl!$B:$E,4,0)</f>
        <v>♂</v>
      </c>
      <c r="G237" t="str">
        <f>VLOOKUP(IF(F237="Дом",H237,F237),pearl!$D$28:$F$32,3,0)</f>
        <v>Марс</v>
      </c>
      <c r="H237" t="str">
        <f>VLOOKUP(O237,pearl!$B:$E,3,0)</f>
        <v>Копье♂</v>
      </c>
      <c r="I237" t="s">
        <v>27</v>
      </c>
      <c r="J237" t="s">
        <v>22</v>
      </c>
      <c r="K237" t="s">
        <v>303</v>
      </c>
      <c r="L237" t="s">
        <v>18</v>
      </c>
      <c r="N237" t="s">
        <v>2563</v>
      </c>
      <c r="O237" t="s">
        <v>1082</v>
      </c>
      <c r="P237" s="8">
        <v>5</v>
      </c>
      <c r="Q237" s="8">
        <v>3</v>
      </c>
      <c r="R237" s="8">
        <v>0</v>
      </c>
      <c r="S237" t="s">
        <v>2569</v>
      </c>
      <c r="T237" s="3"/>
      <c r="U237" s="3"/>
      <c r="V237" s="3"/>
    </row>
    <row r="238" spans="1:22" ht="12.45" hidden="1" x14ac:dyDescent="0.2">
      <c r="A238" s="3" t="s">
        <v>2138</v>
      </c>
      <c r="B238" t="s">
        <v>2545</v>
      </c>
      <c r="C238" s="24"/>
      <c r="D238" s="24"/>
      <c r="E238" s="24"/>
      <c r="F238" t="str">
        <f>VLOOKUP(O238,pearl!$B:$E,4,0)</f>
        <v>♂</v>
      </c>
      <c r="G238" t="str">
        <f>VLOOKUP(IF(F238="Дом",H238,F238),pearl!$D$28:$F$32,3,0)</f>
        <v>Марс</v>
      </c>
      <c r="H238" t="str">
        <f>VLOOKUP(O238,pearl!$B:$E,3,0)</f>
        <v>Копье♂</v>
      </c>
      <c r="I238" t="s">
        <v>15</v>
      </c>
      <c r="J238" t="s">
        <v>22</v>
      </c>
      <c r="K238" t="s">
        <v>17</v>
      </c>
      <c r="L238" t="s">
        <v>18</v>
      </c>
      <c r="N238" t="s">
        <v>2541</v>
      </c>
      <c r="O238" t="s">
        <v>1082</v>
      </c>
      <c r="P238" s="8">
        <v>1</v>
      </c>
      <c r="Q238" s="8">
        <v>1</v>
      </c>
      <c r="R238" s="8">
        <v>0</v>
      </c>
      <c r="S238" t="s">
        <v>23</v>
      </c>
      <c r="T238" s="3"/>
      <c r="U238" s="3"/>
      <c r="V238" s="3"/>
    </row>
    <row r="239" spans="1:22" ht="12.45" hidden="1" x14ac:dyDescent="0.2">
      <c r="A239" s="3" t="s">
        <v>2138</v>
      </c>
      <c r="B239" t="s">
        <v>2555</v>
      </c>
      <c r="C239" s="24"/>
      <c r="D239" s="24"/>
      <c r="E239" s="24"/>
      <c r="F239" t="str">
        <f>VLOOKUP(O239,pearl!$B:$E,4,0)</f>
        <v>♂</v>
      </c>
      <c r="G239" t="str">
        <f>VLOOKUP(IF(F239="Дом",H239,F239),pearl!$D$28:$F$32,3,0)</f>
        <v>Марс</v>
      </c>
      <c r="H239" t="str">
        <f>VLOOKUP(O239,pearl!$B:$E,3,0)</f>
        <v>Копье♂</v>
      </c>
      <c r="I239" t="s">
        <v>2556</v>
      </c>
      <c r="J239" t="s">
        <v>22</v>
      </c>
      <c r="K239" t="s">
        <v>2265</v>
      </c>
      <c r="L239" t="s">
        <v>2106</v>
      </c>
      <c r="N239" t="s">
        <v>2552</v>
      </c>
      <c r="O239" t="s">
        <v>1082</v>
      </c>
      <c r="P239" s="8">
        <v>3</v>
      </c>
      <c r="Q239" s="8">
        <v>1</v>
      </c>
      <c r="R239" s="8">
        <v>0</v>
      </c>
      <c r="S239" t="s">
        <v>23</v>
      </c>
      <c r="T239" s="3"/>
      <c r="U239" s="3"/>
      <c r="V239" s="3"/>
    </row>
    <row r="240" spans="1:22" ht="12.45" hidden="1" x14ac:dyDescent="0.2">
      <c r="A240" s="3" t="s">
        <v>2138</v>
      </c>
      <c r="B240" t="s">
        <v>2559</v>
      </c>
      <c r="C240" s="24"/>
      <c r="D240" s="24"/>
      <c r="E240" s="24"/>
      <c r="F240" t="str">
        <f>VLOOKUP(O240,pearl!$B:$E,4,0)</f>
        <v>♂</v>
      </c>
      <c r="G240" t="str">
        <f>VLOOKUP(IF(F240="Дом",H240,F240),pearl!$D$28:$F$32,3,0)</f>
        <v>Марс</v>
      </c>
      <c r="H240" t="str">
        <f>VLOOKUP(O240,pearl!$B:$E,3,0)</f>
        <v>Копье♂</v>
      </c>
      <c r="I240" t="s">
        <v>312</v>
      </c>
      <c r="J240" t="s">
        <v>16</v>
      </c>
      <c r="K240" t="s">
        <v>2500</v>
      </c>
      <c r="L240" t="s">
        <v>18</v>
      </c>
      <c r="N240" t="s">
        <v>2560</v>
      </c>
      <c r="O240" t="s">
        <v>1082</v>
      </c>
      <c r="P240" s="8">
        <v>5</v>
      </c>
      <c r="Q240" s="8">
        <v>2</v>
      </c>
      <c r="R240" s="8">
        <v>0</v>
      </c>
      <c r="S240" t="s">
        <v>2550</v>
      </c>
      <c r="T240" s="3"/>
      <c r="U240" s="3"/>
      <c r="V240" s="3"/>
    </row>
    <row r="241" spans="1:22" ht="12.45" hidden="1" x14ac:dyDescent="0.2">
      <c r="A241" s="3" t="s">
        <v>2138</v>
      </c>
      <c r="B241" t="s">
        <v>2554</v>
      </c>
      <c r="C241" s="24"/>
      <c r="D241" s="24"/>
      <c r="E241" s="24"/>
      <c r="F241" t="str">
        <f>VLOOKUP(O241,pearl!$B:$E,4,0)</f>
        <v>♂</v>
      </c>
      <c r="G241" t="str">
        <f>VLOOKUP(IF(F241="Дом",H241,F241),pearl!$D$28:$F$32,3,0)</f>
        <v>Марс</v>
      </c>
      <c r="H241" t="str">
        <f>VLOOKUP(O241,pearl!$B:$E,3,0)</f>
        <v>Копье♂</v>
      </c>
      <c r="I241" t="s">
        <v>175</v>
      </c>
      <c r="J241" t="s">
        <v>22</v>
      </c>
      <c r="K241" t="s">
        <v>2518</v>
      </c>
      <c r="L241" t="s">
        <v>18</v>
      </c>
      <c r="N241" t="s">
        <v>2552</v>
      </c>
      <c r="O241" t="s">
        <v>1082</v>
      </c>
      <c r="P241" s="8">
        <v>5</v>
      </c>
      <c r="Q241" s="8">
        <v>1</v>
      </c>
      <c r="R241" s="8">
        <v>0</v>
      </c>
      <c r="S241" t="s">
        <v>2051</v>
      </c>
      <c r="T241" s="3"/>
      <c r="U241" s="3"/>
      <c r="V241" s="3"/>
    </row>
    <row r="242" spans="1:22" ht="12.45" hidden="1" x14ac:dyDescent="0.2">
      <c r="A242" s="3" t="s">
        <v>2138</v>
      </c>
      <c r="B242" t="s">
        <v>2564</v>
      </c>
      <c r="C242" s="24"/>
      <c r="D242" s="24"/>
      <c r="E242" s="24"/>
      <c r="F242" t="str">
        <f>VLOOKUP(O242,pearl!$B:$E,4,0)</f>
        <v>♂</v>
      </c>
      <c r="G242" t="str">
        <f>VLOOKUP(IF(F242="Дом",H242,F242),pearl!$D$28:$F$32,3,0)</f>
        <v>Марс</v>
      </c>
      <c r="H242" t="str">
        <f>VLOOKUP(O242,pearl!$B:$E,3,0)</f>
        <v>Копье♂</v>
      </c>
      <c r="I242" t="s">
        <v>2565</v>
      </c>
      <c r="J242" t="s">
        <v>22</v>
      </c>
      <c r="K242" t="s">
        <v>2109</v>
      </c>
      <c r="L242" t="s">
        <v>2106</v>
      </c>
      <c r="N242" t="s">
        <v>2563</v>
      </c>
      <c r="O242" t="s">
        <v>1082</v>
      </c>
      <c r="P242" s="8">
        <v>5</v>
      </c>
      <c r="Q242" s="8">
        <v>3</v>
      </c>
      <c r="R242" s="8">
        <v>0</v>
      </c>
      <c r="S242" t="s">
        <v>2561</v>
      </c>
      <c r="T242" s="3"/>
      <c r="U242" s="3"/>
      <c r="V242" s="3"/>
    </row>
    <row r="243" spans="1:22" ht="12.45" hidden="1" x14ac:dyDescent="0.2">
      <c r="A243" s="3" t="s">
        <v>2138</v>
      </c>
      <c r="B243" t="s">
        <v>2566</v>
      </c>
      <c r="C243" s="24"/>
      <c r="D243" s="24"/>
      <c r="E243" s="24"/>
      <c r="F243" t="str">
        <f>VLOOKUP(O243,pearl!$B:$E,4,0)</f>
        <v>♂</v>
      </c>
      <c r="G243" t="str">
        <f>VLOOKUP(IF(F243="Дом",H243,F243),pearl!$D$28:$F$32,3,0)</f>
        <v>Марс</v>
      </c>
      <c r="H243" t="str">
        <f>VLOOKUP(O243,pearl!$B:$E,3,0)</f>
        <v>Копье♂</v>
      </c>
      <c r="I243" t="s">
        <v>147</v>
      </c>
      <c r="J243" t="s">
        <v>148</v>
      </c>
      <c r="K243" t="s">
        <v>23</v>
      </c>
      <c r="L243" t="s">
        <v>148</v>
      </c>
      <c r="N243" t="s">
        <v>2563</v>
      </c>
      <c r="O243" t="s">
        <v>1082</v>
      </c>
      <c r="P243" s="8">
        <v>5</v>
      </c>
      <c r="Q243" s="8">
        <v>3</v>
      </c>
      <c r="R243" s="8">
        <v>0</v>
      </c>
      <c r="S243" t="s">
        <v>2567</v>
      </c>
      <c r="T243" s="3"/>
      <c r="U243" s="3"/>
      <c r="V243" s="3"/>
    </row>
    <row r="244" spans="1:22" ht="12.45" hidden="1" x14ac:dyDescent="0.2">
      <c r="A244" s="3" t="s">
        <v>2138</v>
      </c>
      <c r="B244" t="s">
        <v>2557</v>
      </c>
      <c r="C244" s="24"/>
      <c r="D244" s="24"/>
      <c r="E244" s="24"/>
      <c r="F244" t="str">
        <f>VLOOKUP(O244,pearl!$B:$E,4,0)</f>
        <v>♂</v>
      </c>
      <c r="G244" t="str">
        <f>VLOOKUP(IF(F244="Дом",H244,F244),pearl!$D$28:$F$32,3,0)</f>
        <v>Марс</v>
      </c>
      <c r="H244" t="str">
        <f>VLOOKUP(O244,pearl!$B:$E,3,0)</f>
        <v>Копье♂</v>
      </c>
      <c r="I244" t="s">
        <v>761</v>
      </c>
      <c r="J244" t="s">
        <v>28</v>
      </c>
      <c r="K244" t="s">
        <v>2525</v>
      </c>
      <c r="L244" t="s">
        <v>2106</v>
      </c>
      <c r="N244" t="s">
        <v>2552</v>
      </c>
      <c r="O244" t="s">
        <v>1082</v>
      </c>
      <c r="P244" s="8">
        <v>4</v>
      </c>
      <c r="Q244" s="8">
        <v>1</v>
      </c>
      <c r="R244" s="8">
        <v>0</v>
      </c>
      <c r="S244" t="s">
        <v>2558</v>
      </c>
      <c r="T244" s="3"/>
      <c r="U244" s="3"/>
      <c r="V244" s="3"/>
    </row>
    <row r="245" spans="1:22" ht="12.45" hidden="1" x14ac:dyDescent="0.2">
      <c r="A245" s="3" t="s">
        <v>2138</v>
      </c>
      <c r="B245" t="s">
        <v>2548</v>
      </c>
      <c r="C245" s="24"/>
      <c r="D245" s="24"/>
      <c r="E245" s="24"/>
      <c r="F245" t="str">
        <f>VLOOKUP(O245,pearl!$B:$E,4,0)</f>
        <v>♂</v>
      </c>
      <c r="G245" t="str">
        <f>VLOOKUP(IF(F245="Дом",H245,F245),pearl!$D$28:$F$32,3,0)</f>
        <v>Марс</v>
      </c>
      <c r="H245" t="str">
        <f>VLOOKUP(O245,pearl!$B:$E,3,0)</f>
        <v>Копье♂</v>
      </c>
      <c r="I245" t="s">
        <v>2549</v>
      </c>
      <c r="J245" t="s">
        <v>16</v>
      </c>
      <c r="K245" t="s">
        <v>2274</v>
      </c>
      <c r="L245" t="s">
        <v>18</v>
      </c>
      <c r="N245" t="s">
        <v>2547</v>
      </c>
      <c r="O245" t="s">
        <v>1082</v>
      </c>
      <c r="P245" s="8">
        <v>2</v>
      </c>
      <c r="Q245" s="8">
        <v>1</v>
      </c>
      <c r="R245" s="8">
        <v>0</v>
      </c>
      <c r="S245" t="s">
        <v>23</v>
      </c>
      <c r="T245" s="3"/>
      <c r="U245" s="3"/>
      <c r="V245" s="3"/>
    </row>
    <row r="246" spans="1:22" ht="12.45" hidden="1" x14ac:dyDescent="0.2">
      <c r="A246" s="3" t="s">
        <v>2138</v>
      </c>
      <c r="B246" t="s">
        <v>2574</v>
      </c>
      <c r="C246" s="24"/>
      <c r="D246" s="24"/>
      <c r="E246" s="24"/>
      <c r="F246" t="str">
        <f>VLOOKUP(O246,pearl!$B:$E,4,0)</f>
        <v>♂</v>
      </c>
      <c r="G246" t="str">
        <f>VLOOKUP(IF(F246="Дом",H246,F246),pearl!$D$28:$F$32,3,0)</f>
        <v>Марс</v>
      </c>
      <c r="H246" t="str">
        <f>VLOOKUP(O246,pearl!$B:$E,3,0)</f>
        <v>Копье♂</v>
      </c>
      <c r="I246" t="s">
        <v>27</v>
      </c>
      <c r="J246" t="s">
        <v>16</v>
      </c>
      <c r="K246" t="s">
        <v>29</v>
      </c>
      <c r="L246" t="s">
        <v>18</v>
      </c>
      <c r="N246" t="s">
        <v>2573</v>
      </c>
      <c r="O246" t="s">
        <v>1082</v>
      </c>
      <c r="P246" s="8">
        <v>5</v>
      </c>
      <c r="Q246" s="8">
        <v>4</v>
      </c>
      <c r="R246" s="8">
        <v>0</v>
      </c>
      <c r="S246" t="s">
        <v>2570</v>
      </c>
      <c r="T246" s="3"/>
      <c r="U246" s="3"/>
      <c r="V246" s="3"/>
    </row>
    <row r="247" spans="1:22" ht="12.45" hidden="1" x14ac:dyDescent="0.2">
      <c r="A247" s="3" t="s">
        <v>2138</v>
      </c>
      <c r="B247" t="s">
        <v>2052</v>
      </c>
      <c r="C247" s="24"/>
      <c r="D247" s="24"/>
      <c r="E247" s="24"/>
      <c r="F247" t="str">
        <f>VLOOKUP(O247,pearl!$B:$E,4,0)</f>
        <v>♂</v>
      </c>
      <c r="G247" t="str">
        <f>VLOOKUP(IF(F247="Дом",H247,F247),pearl!$D$28:$F$32,3,0)</f>
        <v>Марс</v>
      </c>
      <c r="H247" t="str">
        <f>VLOOKUP(O247,pearl!$B:$E,3,0)</f>
        <v>Копье♂</v>
      </c>
      <c r="I247" t="s">
        <v>2575</v>
      </c>
      <c r="J247" t="s">
        <v>28</v>
      </c>
      <c r="K247" t="s">
        <v>2576</v>
      </c>
      <c r="L247" t="s">
        <v>2106</v>
      </c>
      <c r="N247" t="s">
        <v>2573</v>
      </c>
      <c r="O247" t="s">
        <v>1082</v>
      </c>
      <c r="P247" s="8">
        <v>5</v>
      </c>
      <c r="Q247" s="8">
        <v>5</v>
      </c>
      <c r="R247" s="8">
        <v>0</v>
      </c>
      <c r="S247" t="s">
        <v>2577</v>
      </c>
      <c r="T247" s="3"/>
      <c r="U247" s="3"/>
      <c r="V247" s="3"/>
    </row>
    <row r="248" spans="1:22" ht="12.45" hidden="1" x14ac:dyDescent="0.2">
      <c r="A248" s="3" t="s">
        <v>2138</v>
      </c>
      <c r="B248" t="s">
        <v>2561</v>
      </c>
      <c r="C248" s="24"/>
      <c r="D248" s="24"/>
      <c r="E248" s="24"/>
      <c r="F248" t="str">
        <f>VLOOKUP(O248,pearl!$B:$E,4,0)</f>
        <v>♂</v>
      </c>
      <c r="G248" t="str">
        <f>VLOOKUP(IF(F248="Дом",H248,F248),pearl!$D$28:$F$32,3,0)</f>
        <v>Марс</v>
      </c>
      <c r="H248" t="str">
        <f>VLOOKUP(O248,pearl!$B:$E,3,0)</f>
        <v>Копье♂</v>
      </c>
      <c r="I248" t="s">
        <v>254</v>
      </c>
      <c r="J248" t="s">
        <v>22</v>
      </c>
      <c r="K248" t="s">
        <v>2109</v>
      </c>
      <c r="L248" t="s">
        <v>18</v>
      </c>
      <c r="N248" t="s">
        <v>2560</v>
      </c>
      <c r="O248" t="s">
        <v>1082</v>
      </c>
      <c r="P248" s="8">
        <v>5</v>
      </c>
      <c r="Q248" s="8">
        <v>3</v>
      </c>
      <c r="R248" s="8">
        <v>0</v>
      </c>
      <c r="S248" t="s">
        <v>2050</v>
      </c>
      <c r="T248" s="3"/>
      <c r="U248" s="3"/>
      <c r="V248" s="3"/>
    </row>
    <row r="249" spans="1:22" ht="12.45" hidden="1" x14ac:dyDescent="0.2">
      <c r="A249" s="3" t="s">
        <v>2138</v>
      </c>
      <c r="B249" t="s">
        <v>2028</v>
      </c>
      <c r="C249" s="24"/>
      <c r="D249" s="24"/>
      <c r="E249" s="24"/>
      <c r="F249" t="str">
        <f>VLOOKUP(O249,pearl!$B:$E,4,0)</f>
        <v>♂</v>
      </c>
      <c r="G249" t="str">
        <f>VLOOKUP(IF(F249="Дом",H249,F249),pearl!$D$28:$F$32,3,0)</f>
        <v>Марс</v>
      </c>
      <c r="H249" t="str">
        <f>VLOOKUP(O249,pearl!$B:$E,3,0)</f>
        <v>Копье♂</v>
      </c>
      <c r="I249" t="s">
        <v>154</v>
      </c>
      <c r="J249" t="s">
        <v>16</v>
      </c>
      <c r="K249" t="s">
        <v>2123</v>
      </c>
      <c r="L249" t="s">
        <v>18</v>
      </c>
      <c r="N249" t="s">
        <v>2547</v>
      </c>
      <c r="O249" t="s">
        <v>1082</v>
      </c>
      <c r="P249" s="8">
        <v>3</v>
      </c>
      <c r="Q249" s="8">
        <v>1</v>
      </c>
      <c r="R249" s="8">
        <v>0</v>
      </c>
      <c r="S249" t="s">
        <v>2548</v>
      </c>
      <c r="T249" s="3"/>
      <c r="U249" s="3"/>
      <c r="V249" s="3"/>
    </row>
    <row r="250" spans="1:22" ht="12.45" hidden="1" x14ac:dyDescent="0.2">
      <c r="A250" s="3" t="s">
        <v>2138</v>
      </c>
      <c r="B250" t="s">
        <v>2570</v>
      </c>
      <c r="C250" s="24"/>
      <c r="D250" s="24"/>
      <c r="E250" s="24"/>
      <c r="F250" t="str">
        <f>VLOOKUP(O250,pearl!$B:$E,4,0)</f>
        <v>♂</v>
      </c>
      <c r="G250" t="str">
        <f>VLOOKUP(IF(F250="Дом",H250,F250),pearl!$D$28:$F$32,3,0)</f>
        <v>Марс</v>
      </c>
      <c r="H250" t="str">
        <f>VLOOKUP(O250,pearl!$B:$E,3,0)</f>
        <v>Копье♂</v>
      </c>
      <c r="I250" t="s">
        <v>2571</v>
      </c>
      <c r="J250" t="s">
        <v>2572</v>
      </c>
      <c r="K250" t="s">
        <v>1145</v>
      </c>
      <c r="L250" t="s">
        <v>18</v>
      </c>
      <c r="N250" t="s">
        <v>2573</v>
      </c>
      <c r="O250" t="s">
        <v>1082</v>
      </c>
      <c r="P250" s="8">
        <v>5</v>
      </c>
      <c r="Q250" s="8">
        <v>3</v>
      </c>
      <c r="R250" s="8">
        <v>0</v>
      </c>
      <c r="S250" t="s">
        <v>2559</v>
      </c>
      <c r="T250" s="3"/>
      <c r="U250" s="3"/>
      <c r="V250" s="3"/>
    </row>
    <row r="251" spans="1:22" ht="12.45" hidden="1" x14ac:dyDescent="0.2">
      <c r="A251" s="3" t="s">
        <v>2138</v>
      </c>
      <c r="B251" t="s">
        <v>2562</v>
      </c>
      <c r="C251" s="24"/>
      <c r="D251" s="24"/>
      <c r="E251" s="24"/>
      <c r="F251" t="str">
        <f>VLOOKUP(O251,pearl!$B:$E,4,0)</f>
        <v>♂</v>
      </c>
      <c r="G251" t="str">
        <f>VLOOKUP(IF(F251="Дом",H251,F251),pearl!$D$28:$F$32,3,0)</f>
        <v>Марс</v>
      </c>
      <c r="H251" t="str">
        <f>VLOOKUP(O251,pearl!$B:$E,3,0)</f>
        <v>Копье♂</v>
      </c>
      <c r="I251" t="s">
        <v>264</v>
      </c>
      <c r="J251" t="s">
        <v>28</v>
      </c>
      <c r="K251" t="s">
        <v>2516</v>
      </c>
      <c r="L251" t="s">
        <v>18</v>
      </c>
      <c r="N251" t="s">
        <v>2563</v>
      </c>
      <c r="O251" t="s">
        <v>1082</v>
      </c>
      <c r="P251" s="8">
        <v>5</v>
      </c>
      <c r="Q251" s="8">
        <v>2</v>
      </c>
      <c r="R251" s="8">
        <v>0</v>
      </c>
      <c r="S251" t="s">
        <v>2550</v>
      </c>
      <c r="T251" s="3"/>
      <c r="U251" s="3"/>
      <c r="V251" s="3"/>
    </row>
    <row r="252" spans="1:22" ht="12.45" hidden="1" x14ac:dyDescent="0.2">
      <c r="A252" s="3" t="s">
        <v>2138</v>
      </c>
      <c r="B252" t="s">
        <v>2546</v>
      </c>
      <c r="C252" s="24"/>
      <c r="D252" s="24"/>
      <c r="E252" s="24"/>
      <c r="F252" t="str">
        <f>VLOOKUP(O252,pearl!$B:$E,4,0)</f>
        <v>♂</v>
      </c>
      <c r="G252" t="str">
        <f>VLOOKUP(IF(F252="Дом",H252,F252),pearl!$D$28:$F$32,3,0)</f>
        <v>Марс</v>
      </c>
      <c r="H252" t="str">
        <f>VLOOKUP(O252,pearl!$B:$E,3,0)</f>
        <v>Копье♂</v>
      </c>
      <c r="I252" t="s">
        <v>147</v>
      </c>
      <c r="J252" t="s">
        <v>148</v>
      </c>
      <c r="K252" t="s">
        <v>2265</v>
      </c>
      <c r="L252" t="s">
        <v>148</v>
      </c>
      <c r="N252" t="s">
        <v>2547</v>
      </c>
      <c r="O252" t="s">
        <v>1082</v>
      </c>
      <c r="P252" s="8">
        <v>1</v>
      </c>
      <c r="Q252" s="8">
        <v>1</v>
      </c>
      <c r="R252" s="8">
        <v>0</v>
      </c>
      <c r="S252" t="s">
        <v>23</v>
      </c>
      <c r="T252" s="3"/>
      <c r="U252" s="3"/>
      <c r="V252" s="3"/>
    </row>
    <row r="253" spans="1:22" ht="12.45" hidden="1" x14ac:dyDescent="0.2">
      <c r="A253" s="3" t="s">
        <v>2138</v>
      </c>
      <c r="B253" t="s">
        <v>2070</v>
      </c>
      <c r="C253" s="24"/>
      <c r="D253" s="24"/>
      <c r="E253" s="24"/>
      <c r="F253" t="str">
        <f>VLOOKUP(O253,pearl!$B:$E,4,0)</f>
        <v>♂</v>
      </c>
      <c r="G253" t="str">
        <f>VLOOKUP(IF(F253="Дом",H253,F253),pearl!$D$28:$F$32,3,0)</f>
        <v>Марс</v>
      </c>
      <c r="H253" t="str">
        <f>VLOOKUP(O253,pearl!$B:$E,3,0)</f>
        <v>Щит♂</v>
      </c>
      <c r="I253" t="s">
        <v>43</v>
      </c>
      <c r="J253" t="s">
        <v>22</v>
      </c>
      <c r="K253" t="s">
        <v>23</v>
      </c>
      <c r="L253" t="s">
        <v>2106</v>
      </c>
      <c r="N253" t="s">
        <v>2589</v>
      </c>
      <c r="O253" t="s">
        <v>1366</v>
      </c>
      <c r="P253" s="8">
        <v>4</v>
      </c>
      <c r="Q253" s="8">
        <v>2</v>
      </c>
      <c r="R253" s="8">
        <v>0</v>
      </c>
      <c r="S253" t="s">
        <v>2069</v>
      </c>
      <c r="T253" s="3"/>
      <c r="U253" s="3"/>
      <c r="V253" s="3"/>
    </row>
    <row r="254" spans="1:22" ht="12.45" hidden="1" x14ac:dyDescent="0.2">
      <c r="A254" s="3" t="s">
        <v>2138</v>
      </c>
      <c r="B254" t="s">
        <v>2595</v>
      </c>
      <c r="C254" s="24"/>
      <c r="D254" s="24"/>
      <c r="E254" s="24"/>
      <c r="F254" t="str">
        <f>VLOOKUP(O254,pearl!$B:$E,4,0)</f>
        <v>♂</v>
      </c>
      <c r="G254" t="str">
        <f>VLOOKUP(IF(F254="Дом",H254,F254),pearl!$D$28:$F$32,3,0)</f>
        <v>Марс</v>
      </c>
      <c r="H254" t="str">
        <f>VLOOKUP(O254,pearl!$B:$E,3,0)</f>
        <v>Щит♂</v>
      </c>
      <c r="I254" t="s">
        <v>264</v>
      </c>
      <c r="J254" t="s">
        <v>28</v>
      </c>
      <c r="K254" t="s">
        <v>23</v>
      </c>
      <c r="L254" t="s">
        <v>18</v>
      </c>
      <c r="N254" t="s">
        <v>2594</v>
      </c>
      <c r="O254" t="s">
        <v>1366</v>
      </c>
      <c r="P254" s="8">
        <v>5</v>
      </c>
      <c r="Q254" s="8">
        <v>3</v>
      </c>
      <c r="R254" s="8">
        <v>0</v>
      </c>
      <c r="S254" t="s">
        <v>2070</v>
      </c>
      <c r="T254" s="3"/>
      <c r="U254" s="3"/>
      <c r="V254" s="3"/>
    </row>
    <row r="255" spans="1:22" ht="12.45" hidden="1" x14ac:dyDescent="0.2">
      <c r="A255" s="3" t="s">
        <v>2138</v>
      </c>
      <c r="B255" t="s">
        <v>2590</v>
      </c>
      <c r="C255" s="24"/>
      <c r="D255" s="24"/>
      <c r="E255" s="24"/>
      <c r="F255" t="str">
        <f>VLOOKUP(O255,pearl!$B:$E,4,0)</f>
        <v>♂</v>
      </c>
      <c r="G255" t="str">
        <f>VLOOKUP(IF(F255="Дом",H255,F255),pearl!$D$28:$F$32,3,0)</f>
        <v>Марс</v>
      </c>
      <c r="H255" t="str">
        <f>VLOOKUP(O255,pearl!$B:$E,3,0)</f>
        <v>Щит♂</v>
      </c>
      <c r="I255" t="s">
        <v>47</v>
      </c>
      <c r="J255" t="s">
        <v>28</v>
      </c>
      <c r="K255" t="s">
        <v>23</v>
      </c>
      <c r="L255" t="s">
        <v>2106</v>
      </c>
      <c r="N255" t="s">
        <v>2589</v>
      </c>
      <c r="O255" t="s">
        <v>1366</v>
      </c>
      <c r="P255" s="8">
        <v>5</v>
      </c>
      <c r="Q255" s="8">
        <v>2</v>
      </c>
      <c r="R255" s="8">
        <v>0</v>
      </c>
      <c r="S255" t="s">
        <v>2581</v>
      </c>
      <c r="T255" s="3"/>
      <c r="U255" s="3"/>
      <c r="V255" s="3"/>
    </row>
    <row r="256" spans="1:22" ht="12.45" hidden="1" x14ac:dyDescent="0.2">
      <c r="A256" s="3" t="s">
        <v>2138</v>
      </c>
      <c r="B256" t="s">
        <v>2047</v>
      </c>
      <c r="C256" s="24"/>
      <c r="D256" s="24"/>
      <c r="E256" s="24"/>
      <c r="F256" t="str">
        <f>VLOOKUP(O256,pearl!$B:$E,4,0)</f>
        <v>♂</v>
      </c>
      <c r="G256" t="str">
        <f>VLOOKUP(IF(F256="Дом",H256,F256),pearl!$D$28:$F$32,3,0)</f>
        <v>Марс</v>
      </c>
      <c r="H256" t="str">
        <f>VLOOKUP(O256,pearl!$B:$E,3,0)</f>
        <v>Щит♂</v>
      </c>
      <c r="I256" t="s">
        <v>2591</v>
      </c>
      <c r="J256" t="s">
        <v>22</v>
      </c>
      <c r="K256" t="s">
        <v>313</v>
      </c>
      <c r="L256" t="s">
        <v>18</v>
      </c>
      <c r="N256" t="s">
        <v>2589</v>
      </c>
      <c r="O256" t="s">
        <v>1366</v>
      </c>
      <c r="P256" s="8">
        <v>5</v>
      </c>
      <c r="Q256" s="8">
        <v>2</v>
      </c>
      <c r="R256" s="8">
        <v>0</v>
      </c>
      <c r="S256" t="s">
        <v>2592</v>
      </c>
      <c r="T256" s="3"/>
      <c r="U256" s="3"/>
      <c r="V256" s="3"/>
    </row>
    <row r="257" spans="1:22" ht="12.45" hidden="1" x14ac:dyDescent="0.2">
      <c r="A257" s="3" t="s">
        <v>2138</v>
      </c>
      <c r="B257" t="s">
        <v>2587</v>
      </c>
      <c r="C257" s="24"/>
      <c r="D257" s="24"/>
      <c r="E257" s="24"/>
      <c r="F257" t="str">
        <f>VLOOKUP(O257,pearl!$B:$E,4,0)</f>
        <v>♂</v>
      </c>
      <c r="G257" t="str">
        <f>VLOOKUP(IF(F257="Дом",H257,F257),pearl!$D$28:$F$32,3,0)</f>
        <v>Марс</v>
      </c>
      <c r="H257" t="str">
        <f>VLOOKUP(O257,pearl!$B:$E,3,0)</f>
        <v>Щит♂</v>
      </c>
      <c r="I257" t="s">
        <v>40</v>
      </c>
      <c r="J257" t="s">
        <v>22</v>
      </c>
      <c r="K257" t="s">
        <v>29</v>
      </c>
      <c r="L257" t="s">
        <v>18</v>
      </c>
      <c r="N257" t="s">
        <v>2585</v>
      </c>
      <c r="O257" t="s">
        <v>1366</v>
      </c>
      <c r="P257" s="8">
        <v>3</v>
      </c>
      <c r="Q257" s="8">
        <v>1</v>
      </c>
      <c r="R257" s="8">
        <v>0</v>
      </c>
      <c r="S257" t="s">
        <v>23</v>
      </c>
      <c r="T257" s="3"/>
      <c r="U257" s="3"/>
      <c r="V257" s="3"/>
    </row>
    <row r="258" spans="1:22" ht="12.45" hidden="1" x14ac:dyDescent="0.2">
      <c r="A258" s="3" t="s">
        <v>2138</v>
      </c>
      <c r="B258" t="s">
        <v>2601</v>
      </c>
      <c r="C258" s="24"/>
      <c r="D258" s="24"/>
      <c r="E258" s="24"/>
      <c r="F258" t="str">
        <f>VLOOKUP(O258,pearl!$B:$E,4,0)</f>
        <v>♂</v>
      </c>
      <c r="G258" t="str">
        <f>VLOOKUP(IF(F258="Дом",H258,F258),pearl!$D$28:$F$32,3,0)</f>
        <v>Марс</v>
      </c>
      <c r="H258" t="str">
        <f>VLOOKUP(O258,pearl!$B:$E,3,0)</f>
        <v>Щит♂</v>
      </c>
      <c r="I258" t="s">
        <v>2602</v>
      </c>
      <c r="J258" t="s">
        <v>28</v>
      </c>
      <c r="K258" t="s">
        <v>2336</v>
      </c>
      <c r="L258" t="s">
        <v>2106</v>
      </c>
      <c r="N258" t="s">
        <v>2603</v>
      </c>
      <c r="O258" t="s">
        <v>1366</v>
      </c>
      <c r="P258" s="8">
        <v>5</v>
      </c>
      <c r="Q258" s="8">
        <v>5</v>
      </c>
      <c r="R258" s="8">
        <v>0</v>
      </c>
      <c r="S258" t="s">
        <v>2604</v>
      </c>
      <c r="T258" s="3"/>
      <c r="U258" s="3"/>
      <c r="V258" s="3"/>
    </row>
    <row r="259" spans="1:22" ht="12.45" hidden="1" x14ac:dyDescent="0.2">
      <c r="A259" s="3" t="s">
        <v>2138</v>
      </c>
      <c r="B259" t="s">
        <v>2071</v>
      </c>
      <c r="C259" s="24"/>
      <c r="D259" s="24"/>
      <c r="E259" s="24"/>
      <c r="F259" t="str">
        <f>VLOOKUP(O259,pearl!$B:$E,4,0)</f>
        <v>♂</v>
      </c>
      <c r="G259" t="str">
        <f>VLOOKUP(IF(F259="Дом",H259,F259),pearl!$D$28:$F$32,3,0)</f>
        <v>Марс</v>
      </c>
      <c r="H259" t="str">
        <f>VLOOKUP(O259,pearl!$B:$E,3,0)</f>
        <v>Щит♂</v>
      </c>
      <c r="I259" t="s">
        <v>2593</v>
      </c>
      <c r="J259" t="s">
        <v>28</v>
      </c>
      <c r="K259" t="s">
        <v>889</v>
      </c>
      <c r="L259" t="s">
        <v>18</v>
      </c>
      <c r="N259" t="s">
        <v>2594</v>
      </c>
      <c r="O259" t="s">
        <v>1366</v>
      </c>
      <c r="P259" s="8">
        <v>5</v>
      </c>
      <c r="Q259" s="8">
        <v>2</v>
      </c>
      <c r="R259" s="8">
        <v>0</v>
      </c>
      <c r="S259" t="s">
        <v>2067</v>
      </c>
      <c r="T259" s="3"/>
      <c r="U259" s="3"/>
      <c r="V259" s="3"/>
    </row>
    <row r="260" spans="1:22" ht="12.45" hidden="1" x14ac:dyDescent="0.2">
      <c r="A260" s="3" t="s">
        <v>2138</v>
      </c>
      <c r="B260" t="s">
        <v>2066</v>
      </c>
      <c r="C260" s="24"/>
      <c r="D260" s="24"/>
      <c r="E260" s="24"/>
      <c r="F260" t="str">
        <f>VLOOKUP(O260,pearl!$B:$E,4,0)</f>
        <v>♂</v>
      </c>
      <c r="G260" t="str">
        <f>VLOOKUP(IF(F260="Дом",H260,F260),pearl!$D$28:$F$32,3,0)</f>
        <v>Марс</v>
      </c>
      <c r="H260" t="str">
        <f>VLOOKUP(O260,pearl!$B:$E,3,0)</f>
        <v>Щит♂</v>
      </c>
      <c r="I260" t="s">
        <v>264</v>
      </c>
      <c r="J260" t="s">
        <v>22</v>
      </c>
      <c r="K260" t="s">
        <v>212</v>
      </c>
      <c r="L260" t="s">
        <v>2106</v>
      </c>
      <c r="N260" t="s">
        <v>2598</v>
      </c>
      <c r="O260" t="s">
        <v>1366</v>
      </c>
      <c r="P260" s="8">
        <v>5</v>
      </c>
      <c r="Q260" s="8">
        <v>3</v>
      </c>
      <c r="R260" s="8">
        <v>0</v>
      </c>
      <c r="S260" t="s">
        <v>2070</v>
      </c>
      <c r="T260" s="3"/>
      <c r="U260" s="3"/>
      <c r="V260" s="3"/>
    </row>
    <row r="261" spans="1:22" ht="12.45" hidden="1" x14ac:dyDescent="0.2">
      <c r="A261" s="3" t="s">
        <v>2138</v>
      </c>
      <c r="B261" t="s">
        <v>2102</v>
      </c>
      <c r="C261" s="24"/>
      <c r="D261" s="24"/>
      <c r="E261" s="24"/>
      <c r="F261" t="str">
        <f>VLOOKUP(O261,pearl!$B:$E,4,0)</f>
        <v>♂</v>
      </c>
      <c r="G261" t="str">
        <f>VLOOKUP(IF(F261="Дом",H261,F261),pearl!$D$28:$F$32,3,0)</f>
        <v>Марс</v>
      </c>
      <c r="H261" t="str">
        <f>VLOOKUP(O261,pearl!$B:$E,3,0)</f>
        <v>Знамя♂</v>
      </c>
      <c r="I261" t="s">
        <v>264</v>
      </c>
      <c r="J261" t="s">
        <v>28</v>
      </c>
      <c r="K261" t="s">
        <v>142</v>
      </c>
      <c r="L261" t="s">
        <v>18</v>
      </c>
      <c r="N261" t="s">
        <v>2606</v>
      </c>
      <c r="O261" t="s">
        <v>1959</v>
      </c>
      <c r="P261" s="8">
        <v>4</v>
      </c>
      <c r="Q261" s="8">
        <v>1</v>
      </c>
      <c r="R261" s="8">
        <v>0</v>
      </c>
      <c r="S261" t="s">
        <v>2103</v>
      </c>
      <c r="T261" s="3"/>
      <c r="U261" s="3"/>
      <c r="V261" s="3"/>
    </row>
    <row r="262" spans="1:22" ht="12.45" hidden="1" x14ac:dyDescent="0.2">
      <c r="A262" s="3" t="s">
        <v>2138</v>
      </c>
      <c r="B262" t="s">
        <v>2605</v>
      </c>
      <c r="C262" s="24"/>
      <c r="D262" s="24"/>
      <c r="E262" s="24"/>
      <c r="F262" t="str">
        <f>VLOOKUP(O262,pearl!$B:$E,4,0)</f>
        <v>♂</v>
      </c>
      <c r="G262" t="str">
        <f>VLOOKUP(IF(F262="Дом",H262,F262),pearl!$D$28:$F$32,3,0)</f>
        <v>Марс</v>
      </c>
      <c r="H262" t="str">
        <f>VLOOKUP(O262,pearl!$B:$E,3,0)</f>
        <v>Знамя♂</v>
      </c>
      <c r="I262" t="s">
        <v>53</v>
      </c>
      <c r="J262" t="s">
        <v>16</v>
      </c>
      <c r="K262" t="s">
        <v>23</v>
      </c>
      <c r="L262" t="s">
        <v>2033</v>
      </c>
      <c r="N262" t="s">
        <v>2603</v>
      </c>
      <c r="O262" t="s">
        <v>1959</v>
      </c>
      <c r="P262" s="8">
        <v>3</v>
      </c>
      <c r="Q262" s="8">
        <v>1</v>
      </c>
      <c r="R262" s="8">
        <v>0</v>
      </c>
      <c r="S262" t="s">
        <v>2103</v>
      </c>
      <c r="T262" s="3"/>
      <c r="U262" s="3"/>
      <c r="V262" s="3"/>
    </row>
    <row r="263" spans="1:22" ht="12.45" hidden="1" x14ac:dyDescent="0.2">
      <c r="A263" s="3" t="s">
        <v>2138</v>
      </c>
      <c r="B263" t="s">
        <v>2103</v>
      </c>
      <c r="C263" s="24"/>
      <c r="D263" s="24"/>
      <c r="E263" s="24"/>
      <c r="F263" t="str">
        <f>VLOOKUP(O263,pearl!$B:$E,4,0)</f>
        <v>♂</v>
      </c>
      <c r="G263" t="str">
        <f>VLOOKUP(IF(F263="Дом",H263,F263),pearl!$D$28:$F$32,3,0)</f>
        <v>Марс</v>
      </c>
      <c r="H263" t="str">
        <f>VLOOKUP(O263,pearl!$B:$E,3,0)</f>
        <v>Знамя♂</v>
      </c>
      <c r="I263" t="s">
        <v>147</v>
      </c>
      <c r="J263" t="s">
        <v>148</v>
      </c>
      <c r="K263" t="s">
        <v>23</v>
      </c>
      <c r="L263" t="s">
        <v>148</v>
      </c>
      <c r="N263" t="s">
        <v>2603</v>
      </c>
      <c r="O263" t="s">
        <v>1959</v>
      </c>
      <c r="P263" s="8">
        <v>1</v>
      </c>
      <c r="Q263" s="8">
        <v>1</v>
      </c>
      <c r="R263" s="8">
        <v>0</v>
      </c>
      <c r="S263" t="s">
        <v>23</v>
      </c>
      <c r="T263" s="3"/>
      <c r="U263" s="3"/>
      <c r="V263" s="3"/>
    </row>
    <row r="264" spans="1:22" ht="12.45" hidden="1" x14ac:dyDescent="0.2">
      <c r="A264" s="3" t="s">
        <v>2138</v>
      </c>
      <c r="B264" t="s">
        <v>2611</v>
      </c>
      <c r="C264" s="24"/>
      <c r="D264" s="24"/>
      <c r="E264" s="24"/>
      <c r="F264" t="str">
        <f>VLOOKUP(O264,pearl!$B:$E,4,0)</f>
        <v>♂</v>
      </c>
      <c r="G264" t="str">
        <f>VLOOKUP(IF(F264="Дом",H264,F264),pearl!$D$28:$F$32,3,0)</f>
        <v>Марс</v>
      </c>
      <c r="H264" t="str">
        <f>VLOOKUP(O264,pearl!$B:$E,3,0)</f>
        <v>Знамя♂</v>
      </c>
      <c r="I264" t="s">
        <v>43</v>
      </c>
      <c r="J264" t="s">
        <v>28</v>
      </c>
      <c r="K264" t="s">
        <v>430</v>
      </c>
      <c r="L264" t="s">
        <v>182</v>
      </c>
      <c r="N264" t="s">
        <v>2610</v>
      </c>
      <c r="O264" t="s">
        <v>1959</v>
      </c>
      <c r="P264" s="8">
        <v>4</v>
      </c>
      <c r="Q264" s="8">
        <v>2</v>
      </c>
      <c r="R264" s="8">
        <v>0</v>
      </c>
      <c r="S264" t="s">
        <v>2103</v>
      </c>
      <c r="T264" s="3"/>
      <c r="U264" s="3"/>
      <c r="V264" s="3"/>
    </row>
    <row r="265" spans="1:22" ht="12.45" hidden="1" x14ac:dyDescent="0.2">
      <c r="A265" s="3" t="s">
        <v>2138</v>
      </c>
      <c r="B265" t="s">
        <v>2614</v>
      </c>
      <c r="C265" s="24"/>
      <c r="D265" s="24"/>
      <c r="E265" s="24"/>
      <c r="F265" t="str">
        <f>VLOOKUP(O265,pearl!$B:$E,4,0)</f>
        <v>♂</v>
      </c>
      <c r="G265" t="str">
        <f>VLOOKUP(IF(F265="Дом",H265,F265),pearl!$D$28:$F$32,3,0)</f>
        <v>Марс</v>
      </c>
      <c r="H265" t="str">
        <f>VLOOKUP(O265,pearl!$B:$E,3,0)</f>
        <v>Знамя♂</v>
      </c>
      <c r="I265" t="s">
        <v>53</v>
      </c>
      <c r="J265" t="s">
        <v>16</v>
      </c>
      <c r="K265" t="s">
        <v>23</v>
      </c>
      <c r="L265" t="s">
        <v>18</v>
      </c>
      <c r="N265" t="s">
        <v>2615</v>
      </c>
      <c r="O265" t="s">
        <v>1959</v>
      </c>
      <c r="P265" s="8">
        <v>4</v>
      </c>
      <c r="Q265" s="8">
        <v>2</v>
      </c>
      <c r="R265" s="8">
        <v>0</v>
      </c>
      <c r="S265" t="s">
        <v>2103</v>
      </c>
      <c r="T265" s="3"/>
      <c r="U265" s="3"/>
      <c r="V265" s="3"/>
    </row>
    <row r="266" spans="1:22" ht="12.45" hidden="1" x14ac:dyDescent="0.2">
      <c r="A266" s="3" t="s">
        <v>2138</v>
      </c>
      <c r="B266" t="s">
        <v>2618</v>
      </c>
      <c r="C266" s="24"/>
      <c r="D266" s="24"/>
      <c r="E266" s="24"/>
      <c r="F266" t="str">
        <f>VLOOKUP(O266,pearl!$B:$E,4,0)</f>
        <v>♂</v>
      </c>
      <c r="G266" t="str">
        <f>VLOOKUP(IF(F266="Дом",H266,F266),pearl!$D$28:$F$32,3,0)</f>
        <v>Марс</v>
      </c>
      <c r="H266" t="str">
        <f>VLOOKUP(O266,pearl!$B:$E,3,0)</f>
        <v>Знамя♂</v>
      </c>
      <c r="I266" t="s">
        <v>43</v>
      </c>
      <c r="J266" t="s">
        <v>28</v>
      </c>
      <c r="K266" t="s">
        <v>2488</v>
      </c>
      <c r="L266" t="s">
        <v>2106</v>
      </c>
      <c r="N266" t="s">
        <v>2619</v>
      </c>
      <c r="O266" t="s">
        <v>1959</v>
      </c>
      <c r="P266" s="8">
        <v>5</v>
      </c>
      <c r="Q266" s="8">
        <v>3</v>
      </c>
      <c r="R266" s="8">
        <v>0</v>
      </c>
      <c r="S266" t="s">
        <v>2104</v>
      </c>
      <c r="T266" s="3"/>
      <c r="U266" s="3"/>
      <c r="V266" s="3"/>
    </row>
    <row r="267" spans="1:22" ht="12.45" hidden="1" x14ac:dyDescent="0.2">
      <c r="A267" s="3" t="s">
        <v>2138</v>
      </c>
      <c r="B267" t="s">
        <v>2620</v>
      </c>
      <c r="C267" s="24"/>
      <c r="D267" s="24"/>
      <c r="E267" s="24"/>
      <c r="F267" t="str">
        <f>VLOOKUP(O267,pearl!$B:$E,4,0)</f>
        <v>♂</v>
      </c>
      <c r="G267" t="str">
        <f>VLOOKUP(IF(F267="Дом",H267,F267),pearl!$D$28:$F$32,3,0)</f>
        <v>Марс</v>
      </c>
      <c r="H267" t="str">
        <f>VLOOKUP(O267,pearl!$B:$E,3,0)</f>
        <v>Знамя♂</v>
      </c>
      <c r="I267" t="s">
        <v>43</v>
      </c>
      <c r="J267" t="s">
        <v>28</v>
      </c>
      <c r="K267" t="s">
        <v>2488</v>
      </c>
      <c r="L267" t="s">
        <v>2106</v>
      </c>
      <c r="N267" t="s">
        <v>2619</v>
      </c>
      <c r="O267" t="s">
        <v>1959</v>
      </c>
      <c r="P267" s="8">
        <v>5</v>
      </c>
      <c r="Q267" s="8">
        <v>3</v>
      </c>
      <c r="R267" s="8">
        <v>0</v>
      </c>
      <c r="S267" t="s">
        <v>2104</v>
      </c>
      <c r="T267" s="3"/>
      <c r="U267" s="3"/>
      <c r="V267" s="3"/>
    </row>
    <row r="268" spans="1:22" ht="12.45" hidden="1" x14ac:dyDescent="0.2">
      <c r="A268" s="3" t="s">
        <v>2138</v>
      </c>
      <c r="B268" t="s">
        <v>2608</v>
      </c>
      <c r="C268" s="24"/>
      <c r="D268" s="24"/>
      <c r="E268" s="24"/>
      <c r="F268" t="str">
        <f>VLOOKUP(O268,pearl!$B:$E,4,0)</f>
        <v>♂</v>
      </c>
      <c r="G268" t="str">
        <f>VLOOKUP(IF(F268="Дом",H268,F268),pearl!$D$28:$F$32,3,0)</f>
        <v>Марс</v>
      </c>
      <c r="H268" t="str">
        <f>VLOOKUP(O268,pearl!$B:$E,3,0)</f>
        <v>Знамя♂</v>
      </c>
      <c r="I268" t="s">
        <v>43</v>
      </c>
      <c r="J268" t="s">
        <v>22</v>
      </c>
      <c r="K268" t="s">
        <v>142</v>
      </c>
      <c r="L268" t="s">
        <v>18</v>
      </c>
      <c r="N268" t="s">
        <v>2606</v>
      </c>
      <c r="O268" t="s">
        <v>1959</v>
      </c>
      <c r="P268" s="8">
        <v>3</v>
      </c>
      <c r="Q268" s="8">
        <v>1</v>
      </c>
      <c r="R268" s="8">
        <v>0</v>
      </c>
      <c r="S268" t="s">
        <v>23</v>
      </c>
      <c r="T268" s="3"/>
      <c r="U268" s="3"/>
      <c r="V268" s="3"/>
    </row>
    <row r="269" spans="1:22" ht="12.45" hidden="1" x14ac:dyDescent="0.2">
      <c r="A269" s="3" t="s">
        <v>2138</v>
      </c>
      <c r="B269" t="s">
        <v>2621</v>
      </c>
      <c r="C269" s="24"/>
      <c r="D269" s="24"/>
      <c r="E269" s="24"/>
      <c r="F269" t="str">
        <f>VLOOKUP(O269,pearl!$B:$E,4,0)</f>
        <v>♂</v>
      </c>
      <c r="G269" t="str">
        <f>VLOOKUP(IF(F269="Дом",H269,F269),pearl!$D$28:$F$32,3,0)</f>
        <v>Марс</v>
      </c>
      <c r="H269" t="str">
        <f>VLOOKUP(O269,pearl!$B:$E,3,0)</f>
        <v>Знамя♂</v>
      </c>
      <c r="I269" t="s">
        <v>43</v>
      </c>
      <c r="J269" t="s">
        <v>22</v>
      </c>
      <c r="K269" t="s">
        <v>142</v>
      </c>
      <c r="L269" t="s">
        <v>18</v>
      </c>
      <c r="N269" t="s">
        <v>2622</v>
      </c>
      <c r="O269" t="s">
        <v>1959</v>
      </c>
      <c r="P269" s="8">
        <v>5</v>
      </c>
      <c r="Q269" s="8">
        <v>3</v>
      </c>
      <c r="R269" s="8">
        <v>0</v>
      </c>
      <c r="S269" t="s">
        <v>2102</v>
      </c>
      <c r="T269" s="3"/>
      <c r="U269" s="3"/>
      <c r="V269" s="3"/>
    </row>
    <row r="270" spans="1:22" ht="12.45" hidden="1" x14ac:dyDescent="0.2">
      <c r="A270" s="3" t="s">
        <v>2138</v>
      </c>
      <c r="B270" t="s">
        <v>2607</v>
      </c>
      <c r="C270" s="24"/>
      <c r="D270" s="24"/>
      <c r="E270" s="24"/>
      <c r="F270" t="str">
        <f>VLOOKUP(O270,pearl!$B:$E,4,0)</f>
        <v>♂</v>
      </c>
      <c r="G270" t="str">
        <f>VLOOKUP(IF(F270="Дом",H270,F270),pearl!$D$28:$F$32,3,0)</f>
        <v>Марс</v>
      </c>
      <c r="H270" t="str">
        <f>VLOOKUP(O270,pearl!$B:$E,3,0)</f>
        <v>Знамя♂</v>
      </c>
      <c r="I270" t="s">
        <v>34</v>
      </c>
      <c r="J270" t="s">
        <v>22</v>
      </c>
      <c r="K270" t="s">
        <v>23</v>
      </c>
      <c r="L270" t="s">
        <v>18</v>
      </c>
      <c r="N270" t="s">
        <v>2606</v>
      </c>
      <c r="O270" t="s">
        <v>1959</v>
      </c>
      <c r="P270" s="8">
        <v>2</v>
      </c>
      <c r="Q270" s="8">
        <v>1</v>
      </c>
      <c r="R270" s="8">
        <v>0</v>
      </c>
      <c r="S270" t="s">
        <v>23</v>
      </c>
      <c r="T270" s="3"/>
      <c r="U270" s="3"/>
      <c r="V270" s="3"/>
    </row>
    <row r="271" spans="1:22" ht="12.45" hidden="1" x14ac:dyDescent="0.2">
      <c r="A271" s="3" t="s">
        <v>2138</v>
      </c>
      <c r="B271" t="s">
        <v>2609</v>
      </c>
      <c r="C271" s="24"/>
      <c r="D271" s="24"/>
      <c r="E271" s="24"/>
      <c r="F271" t="str">
        <f>VLOOKUP(O271,pearl!$B:$E,4,0)</f>
        <v>♂</v>
      </c>
      <c r="G271" t="str">
        <f>VLOOKUP(IF(F271="Дом",H271,F271),pearl!$D$28:$F$32,3,0)</f>
        <v>Марс</v>
      </c>
      <c r="H271" t="str">
        <f>VLOOKUP(O271,pearl!$B:$E,3,0)</f>
        <v>Знамя♂</v>
      </c>
      <c r="I271" t="s">
        <v>175</v>
      </c>
      <c r="J271" t="s">
        <v>16</v>
      </c>
      <c r="K271" t="s">
        <v>142</v>
      </c>
      <c r="L271" t="s">
        <v>18</v>
      </c>
      <c r="N271" t="s">
        <v>2610</v>
      </c>
      <c r="O271" t="s">
        <v>1959</v>
      </c>
      <c r="P271" s="8">
        <v>3</v>
      </c>
      <c r="Q271" s="8">
        <v>1</v>
      </c>
      <c r="R271" s="8">
        <v>0</v>
      </c>
      <c r="S271" t="s">
        <v>2608</v>
      </c>
      <c r="T271" s="3"/>
      <c r="U271" s="3"/>
      <c r="V271" s="3"/>
    </row>
    <row r="272" spans="1:22" ht="12.45" hidden="1" x14ac:dyDescent="0.2">
      <c r="A272" s="3" t="s">
        <v>2138</v>
      </c>
      <c r="B272" t="s">
        <v>2104</v>
      </c>
      <c r="C272" s="24"/>
      <c r="D272" s="24"/>
      <c r="E272" s="24"/>
      <c r="F272" t="str">
        <f>VLOOKUP(O272,pearl!$B:$E,4,0)</f>
        <v>♂</v>
      </c>
      <c r="G272" t="str">
        <f>VLOOKUP(IF(F272="Дом",H272,F272),pearl!$D$28:$F$32,3,0)</f>
        <v>Марс</v>
      </c>
      <c r="H272" t="str">
        <f>VLOOKUP(O272,pearl!$B:$E,3,0)</f>
        <v>Знамя♂</v>
      </c>
      <c r="I272" t="s">
        <v>34</v>
      </c>
      <c r="J272" t="s">
        <v>22</v>
      </c>
      <c r="K272" t="s">
        <v>430</v>
      </c>
      <c r="L272" t="s">
        <v>2106</v>
      </c>
      <c r="N272" t="s">
        <v>2606</v>
      </c>
      <c r="O272" t="s">
        <v>1959</v>
      </c>
      <c r="P272" s="8">
        <v>3</v>
      </c>
      <c r="Q272" s="8">
        <v>1</v>
      </c>
      <c r="R272" s="8">
        <v>0</v>
      </c>
      <c r="S272" t="s">
        <v>2607</v>
      </c>
      <c r="T272" s="3"/>
      <c r="U272" s="3"/>
      <c r="V272" s="3"/>
    </row>
    <row r="273" spans="1:22" ht="12.45" hidden="1" x14ac:dyDescent="0.2">
      <c r="A273" s="3" t="s">
        <v>2138</v>
      </c>
      <c r="B273" t="s">
        <v>2623</v>
      </c>
      <c r="C273" s="24"/>
      <c r="D273" s="24"/>
      <c r="E273" s="24"/>
      <c r="F273" t="str">
        <f>VLOOKUP(O273,pearl!$B:$E,4,0)</f>
        <v>♂</v>
      </c>
      <c r="G273" t="str">
        <f>VLOOKUP(IF(F273="Дом",H273,F273),pearl!$D$28:$F$32,3,0)</f>
        <v>Марс</v>
      </c>
      <c r="H273" t="str">
        <f>VLOOKUP(O273,pearl!$B:$E,3,0)</f>
        <v>Знамя♂</v>
      </c>
      <c r="I273" t="s">
        <v>147</v>
      </c>
      <c r="J273" t="s">
        <v>148</v>
      </c>
      <c r="K273" t="s">
        <v>23</v>
      </c>
      <c r="L273" t="s">
        <v>18</v>
      </c>
      <c r="N273" t="s">
        <v>2622</v>
      </c>
      <c r="O273" t="s">
        <v>1959</v>
      </c>
      <c r="P273" s="8">
        <v>5</v>
      </c>
      <c r="Q273" s="8">
        <v>3</v>
      </c>
      <c r="R273" s="8">
        <v>0</v>
      </c>
      <c r="S273" t="s">
        <v>2102</v>
      </c>
      <c r="T273" s="3"/>
      <c r="U273" s="3"/>
      <c r="V273" s="3"/>
    </row>
    <row r="274" spans="1:22" ht="12.45" hidden="1" x14ac:dyDescent="0.2">
      <c r="A274" s="3" t="s">
        <v>2138</v>
      </c>
      <c r="B274" t="s">
        <v>2612</v>
      </c>
      <c r="C274" s="24"/>
      <c r="D274" s="24"/>
      <c r="E274" s="24"/>
      <c r="F274" t="str">
        <f>VLOOKUP(O274,pearl!$B:$E,4,0)</f>
        <v>♂</v>
      </c>
      <c r="G274" t="str">
        <f>VLOOKUP(IF(F274="Дом",H274,F274),pearl!$D$28:$F$32,3,0)</f>
        <v>Марс</v>
      </c>
      <c r="H274" t="str">
        <f>VLOOKUP(O274,pearl!$B:$E,3,0)</f>
        <v>Знамя♂</v>
      </c>
      <c r="I274" t="s">
        <v>264</v>
      </c>
      <c r="J274" t="s">
        <v>22</v>
      </c>
      <c r="K274" t="s">
        <v>142</v>
      </c>
      <c r="L274" t="s">
        <v>18</v>
      </c>
      <c r="N274" t="s">
        <v>2610</v>
      </c>
      <c r="O274" t="s">
        <v>1959</v>
      </c>
      <c r="P274" s="8">
        <v>5</v>
      </c>
      <c r="Q274" s="8">
        <v>2</v>
      </c>
      <c r="R274" s="8">
        <v>0</v>
      </c>
      <c r="S274" t="s">
        <v>2613</v>
      </c>
      <c r="T274" s="3"/>
      <c r="U274" s="3"/>
      <c r="V274" s="3"/>
    </row>
    <row r="275" spans="1:22" ht="12.45" hidden="1" x14ac:dyDescent="0.2">
      <c r="A275" s="3" t="s">
        <v>2138</v>
      </c>
      <c r="B275" t="s">
        <v>2624</v>
      </c>
      <c r="C275" s="24"/>
      <c r="D275" s="24"/>
      <c r="E275" s="24"/>
      <c r="F275" t="str">
        <f>VLOOKUP(O275,pearl!$B:$E,4,0)</f>
        <v>♂</v>
      </c>
      <c r="G275" t="str">
        <f>VLOOKUP(IF(F275="Дом",H275,F275),pearl!$D$28:$F$32,3,0)</f>
        <v>Марс</v>
      </c>
      <c r="H275" t="str">
        <f>VLOOKUP(O275,pearl!$B:$E,3,0)</f>
        <v>Знамя♂</v>
      </c>
      <c r="I275" t="s">
        <v>264</v>
      </c>
      <c r="J275" t="s">
        <v>28</v>
      </c>
      <c r="K275" t="s">
        <v>23</v>
      </c>
      <c r="L275" t="s">
        <v>18</v>
      </c>
      <c r="N275" t="s">
        <v>2622</v>
      </c>
      <c r="O275" t="s">
        <v>1959</v>
      </c>
      <c r="P275" s="8">
        <v>5</v>
      </c>
      <c r="Q275" s="8">
        <v>3</v>
      </c>
      <c r="R275" s="8">
        <v>0</v>
      </c>
      <c r="S275" t="s">
        <v>2612</v>
      </c>
      <c r="T275" s="3"/>
      <c r="U275" s="3"/>
      <c r="V275" s="3"/>
    </row>
    <row r="276" spans="1:22" ht="12.45" hidden="1" x14ac:dyDescent="0.2">
      <c r="A276" s="3" t="s">
        <v>2138</v>
      </c>
      <c r="B276" t="s">
        <v>2630</v>
      </c>
      <c r="C276" s="24"/>
      <c r="D276" s="24"/>
      <c r="E276" s="24"/>
      <c r="F276" t="str">
        <f>VLOOKUP(O276,pearl!$B:$E,4,0)</f>
        <v>♂</v>
      </c>
      <c r="G276" t="str">
        <f>VLOOKUP(IF(F276="Дом",H276,F276),pearl!$D$28:$F$32,3,0)</f>
        <v>Марс</v>
      </c>
      <c r="H276" t="str">
        <f>VLOOKUP(O276,pearl!$B:$E,3,0)</f>
        <v>Знамя♂</v>
      </c>
      <c r="I276" t="s">
        <v>264</v>
      </c>
      <c r="J276" t="s">
        <v>28</v>
      </c>
      <c r="K276" t="s">
        <v>2631</v>
      </c>
      <c r="L276" t="s">
        <v>2106</v>
      </c>
      <c r="N276" t="s">
        <v>2632</v>
      </c>
      <c r="O276" t="s">
        <v>1959</v>
      </c>
      <c r="P276" s="8">
        <v>5</v>
      </c>
      <c r="Q276" s="8">
        <v>5</v>
      </c>
      <c r="R276" s="8">
        <v>0</v>
      </c>
      <c r="S276" t="s">
        <v>2633</v>
      </c>
      <c r="T276" s="3"/>
      <c r="U276" s="3"/>
      <c r="V276" s="3"/>
    </row>
    <row r="277" spans="1:22" ht="12.45" hidden="1" x14ac:dyDescent="0.2">
      <c r="A277" s="3" t="s">
        <v>2138</v>
      </c>
      <c r="B277" t="s">
        <v>2628</v>
      </c>
      <c r="C277" s="24"/>
      <c r="D277" s="24"/>
      <c r="E277" s="24"/>
      <c r="F277" t="str">
        <f>VLOOKUP(O277,pearl!$B:$E,4,0)</f>
        <v>♂</v>
      </c>
      <c r="G277" t="str">
        <f>VLOOKUP(IF(F277="Дом",H277,F277),pearl!$D$28:$F$32,3,0)</f>
        <v>Марс</v>
      </c>
      <c r="H277" t="str">
        <f>VLOOKUP(O277,pearl!$B:$E,3,0)</f>
        <v>Знамя♂</v>
      </c>
      <c r="I277" t="s">
        <v>392</v>
      </c>
      <c r="J277" t="s">
        <v>28</v>
      </c>
      <c r="K277" t="s">
        <v>142</v>
      </c>
      <c r="L277" t="s">
        <v>182</v>
      </c>
      <c r="N277" t="s">
        <v>2626</v>
      </c>
      <c r="O277" t="s">
        <v>1959</v>
      </c>
      <c r="P277" s="8">
        <v>5</v>
      </c>
      <c r="Q277" s="8">
        <v>4</v>
      </c>
      <c r="R277" s="8">
        <v>0</v>
      </c>
      <c r="S277" t="s">
        <v>2629</v>
      </c>
      <c r="T277" s="3"/>
      <c r="U277" s="3"/>
      <c r="V277" s="3"/>
    </row>
    <row r="278" spans="1:22" ht="12.45" hidden="1" x14ac:dyDescent="0.2">
      <c r="A278" s="3" t="s">
        <v>2138</v>
      </c>
      <c r="B278" t="s">
        <v>2625</v>
      </c>
      <c r="C278" s="24"/>
      <c r="D278" s="24"/>
      <c r="E278" s="24"/>
      <c r="F278" t="str">
        <f>VLOOKUP(O278,pearl!$B:$E,4,0)</f>
        <v>♂</v>
      </c>
      <c r="G278" t="str">
        <f>VLOOKUP(IF(F278="Дом",H278,F278),pearl!$D$28:$F$32,3,0)</f>
        <v>Марс</v>
      </c>
      <c r="H278" t="str">
        <f>VLOOKUP(O278,pearl!$B:$E,3,0)</f>
        <v>Знамя♂</v>
      </c>
      <c r="I278" t="s">
        <v>53</v>
      </c>
      <c r="J278" t="s">
        <v>22</v>
      </c>
      <c r="K278" t="s">
        <v>23</v>
      </c>
      <c r="L278" t="s">
        <v>2106</v>
      </c>
      <c r="N278" t="s">
        <v>2626</v>
      </c>
      <c r="O278" t="s">
        <v>1959</v>
      </c>
      <c r="P278" s="8">
        <v>5</v>
      </c>
      <c r="Q278" s="8">
        <v>3</v>
      </c>
      <c r="R278" s="8">
        <v>0</v>
      </c>
      <c r="S278" t="s">
        <v>2104</v>
      </c>
      <c r="T278" s="3"/>
      <c r="U278" s="3"/>
      <c r="V278" s="3"/>
    </row>
    <row r="279" spans="1:22" ht="12.45" hidden="1" x14ac:dyDescent="0.2">
      <c r="A279" s="3" t="s">
        <v>2138</v>
      </c>
      <c r="B279" t="s">
        <v>2616</v>
      </c>
      <c r="C279" s="24"/>
      <c r="D279" s="24"/>
      <c r="E279" s="24"/>
      <c r="F279" t="str">
        <f>VLOOKUP(O279,pearl!$B:$E,4,0)</f>
        <v>♂</v>
      </c>
      <c r="G279" t="str">
        <f>VLOOKUP(IF(F279="Дом",H279,F279),pearl!$D$28:$F$32,3,0)</f>
        <v>Марс</v>
      </c>
      <c r="H279" t="str">
        <f>VLOOKUP(O279,pearl!$B:$E,3,0)</f>
        <v>Знамя♂</v>
      </c>
      <c r="I279" t="s">
        <v>43</v>
      </c>
      <c r="J279" t="s">
        <v>28</v>
      </c>
      <c r="K279" t="s">
        <v>142</v>
      </c>
      <c r="L279" t="s">
        <v>18</v>
      </c>
      <c r="N279" t="s">
        <v>2615</v>
      </c>
      <c r="O279" t="s">
        <v>1959</v>
      </c>
      <c r="P279" s="8">
        <v>4</v>
      </c>
      <c r="Q279" s="8">
        <v>2</v>
      </c>
      <c r="R279" s="8">
        <v>0</v>
      </c>
      <c r="S279" t="s">
        <v>2102</v>
      </c>
      <c r="T279" s="3"/>
      <c r="U279" s="3"/>
      <c r="V279" s="3"/>
    </row>
    <row r="280" spans="1:22" ht="12.45" hidden="1" x14ac:dyDescent="0.2">
      <c r="A280" s="3" t="s">
        <v>2138</v>
      </c>
      <c r="B280" t="s">
        <v>2617</v>
      </c>
      <c r="C280" s="24"/>
      <c r="D280" s="24"/>
      <c r="E280" s="24"/>
      <c r="F280" t="str">
        <f>VLOOKUP(O280,pearl!$B:$E,4,0)</f>
        <v>♂</v>
      </c>
      <c r="G280" t="str">
        <f>VLOOKUP(IF(F280="Дом",H280,F280),pearl!$D$28:$F$32,3,0)</f>
        <v>Марс</v>
      </c>
      <c r="H280" t="str">
        <f>VLOOKUP(O280,pearl!$B:$E,3,0)</f>
        <v>Знамя♂</v>
      </c>
      <c r="I280" t="s">
        <v>264</v>
      </c>
      <c r="J280" t="s">
        <v>28</v>
      </c>
      <c r="K280" t="s">
        <v>142</v>
      </c>
      <c r="L280" t="s">
        <v>18</v>
      </c>
      <c r="N280" t="s">
        <v>2615</v>
      </c>
      <c r="O280" t="s">
        <v>1959</v>
      </c>
      <c r="P280" s="8">
        <v>4</v>
      </c>
      <c r="Q280" s="8">
        <v>2</v>
      </c>
      <c r="R280" s="8">
        <v>0</v>
      </c>
      <c r="S280" t="s">
        <v>2616</v>
      </c>
      <c r="T280" s="3"/>
      <c r="U280" s="3"/>
      <c r="V280" s="3"/>
    </row>
    <row r="281" spans="1:22" ht="12.45" hidden="1" x14ac:dyDescent="0.2">
      <c r="A281" s="3" t="s">
        <v>2138</v>
      </c>
      <c r="B281" t="s">
        <v>2627</v>
      </c>
      <c r="C281" s="24"/>
      <c r="D281" s="24"/>
      <c r="E281" s="24"/>
      <c r="F281" t="str">
        <f>VLOOKUP(O281,pearl!$B:$E,4,0)</f>
        <v>♂</v>
      </c>
      <c r="G281" t="str">
        <f>VLOOKUP(IF(F281="Дом",H281,F281),pearl!$D$28:$F$32,3,0)</f>
        <v>Марс</v>
      </c>
      <c r="H281" t="str">
        <f>VLOOKUP(O281,pearl!$B:$E,3,0)</f>
        <v>Знамя♂</v>
      </c>
      <c r="I281" t="s">
        <v>264</v>
      </c>
      <c r="J281" t="s">
        <v>28</v>
      </c>
      <c r="K281" t="s">
        <v>142</v>
      </c>
      <c r="L281" t="s">
        <v>18</v>
      </c>
      <c r="N281" t="s">
        <v>2626</v>
      </c>
      <c r="O281" t="s">
        <v>1959</v>
      </c>
      <c r="P281" s="8">
        <v>5</v>
      </c>
      <c r="Q281" s="8">
        <v>3</v>
      </c>
      <c r="R281" s="8">
        <v>0</v>
      </c>
      <c r="S281" t="s">
        <v>2617</v>
      </c>
      <c r="T281" s="3"/>
      <c r="U281" s="3"/>
      <c r="V281" s="3"/>
    </row>
    <row r="282" spans="1:22" ht="12.45" hidden="1" x14ac:dyDescent="0.2">
      <c r="A282" s="3" t="s">
        <v>2138</v>
      </c>
      <c r="B282" t="s">
        <v>2470</v>
      </c>
      <c r="F282" t="str">
        <f>VLOOKUP(O282,pearl!$B:$E,4,0)</f>
        <v>Дом</v>
      </c>
      <c r="G282" t="str">
        <f>VLOOKUP(IF(F282="Дом",H282,F282),pearl!$D$28:$F$32,3,0)</f>
        <v>Марс</v>
      </c>
      <c r="H282" t="str">
        <f>VLOOKUP(O282,pearl!$B:$E,3,0)</f>
        <v>♂</v>
      </c>
      <c r="I282" t="s">
        <v>740</v>
      </c>
      <c r="J282" t="s">
        <v>16</v>
      </c>
      <c r="K282" t="s">
        <v>23</v>
      </c>
      <c r="L282" t="s">
        <v>18</v>
      </c>
      <c r="N282" t="s">
        <v>2468</v>
      </c>
      <c r="O282" s="3" t="s">
        <v>2454</v>
      </c>
      <c r="P282" s="8">
        <v>4</v>
      </c>
      <c r="Q282" s="8">
        <v>2</v>
      </c>
      <c r="R282" s="8">
        <v>0</v>
      </c>
      <c r="S282" t="s">
        <v>2455</v>
      </c>
      <c r="T282" s="3"/>
      <c r="U282" s="3"/>
      <c r="V282" s="3"/>
    </row>
    <row r="283" spans="1:22" ht="12.45" hidden="1" x14ac:dyDescent="0.2">
      <c r="A283" s="3" t="s">
        <v>2138</v>
      </c>
      <c r="B283" t="s">
        <v>2451</v>
      </c>
      <c r="F283" t="str">
        <f>VLOOKUP(O283,pearl!$B:$E,4,0)</f>
        <v>Дом</v>
      </c>
      <c r="G283" t="str">
        <f>VLOOKUP(IF(F283="Дом",H283,F283),pearl!$D$28:$F$32,3,0)</f>
        <v>Марс</v>
      </c>
      <c r="H283" t="str">
        <f>VLOOKUP(O283,pearl!$B:$E,3,0)</f>
        <v>♂</v>
      </c>
      <c r="I283" t="s">
        <v>2082</v>
      </c>
      <c r="J283" t="s">
        <v>28</v>
      </c>
      <c r="K283" t="s">
        <v>2452</v>
      </c>
      <c r="L283" t="s">
        <v>2115</v>
      </c>
      <c r="N283" t="s">
        <v>2453</v>
      </c>
      <c r="O283" t="s">
        <v>2454</v>
      </c>
      <c r="P283" s="8">
        <v>3</v>
      </c>
      <c r="Q283" s="8">
        <v>1</v>
      </c>
      <c r="R283" s="8">
        <v>0</v>
      </c>
      <c r="S283" t="s">
        <v>2455</v>
      </c>
      <c r="T283" s="3"/>
      <c r="U283" s="3"/>
      <c r="V283" s="3"/>
    </row>
    <row r="284" spans="1:22" ht="12.45" hidden="1" x14ac:dyDescent="0.2">
      <c r="A284" s="3" t="s">
        <v>2138</v>
      </c>
      <c r="B284" t="s">
        <v>2458</v>
      </c>
      <c r="F284" t="str">
        <f>VLOOKUP(O284,pearl!$B:$E,4,0)</f>
        <v>Дом</v>
      </c>
      <c r="G284" t="str">
        <f>VLOOKUP(IF(F284="Дом",H284,F284),pearl!$D$28:$F$32,3,0)</f>
        <v>Марс</v>
      </c>
      <c r="H284" t="str">
        <f>VLOOKUP(O284,pearl!$B:$E,3,0)</f>
        <v>♂</v>
      </c>
      <c r="I284" t="s">
        <v>34</v>
      </c>
      <c r="J284" t="s">
        <v>22</v>
      </c>
      <c r="K284" t="s">
        <v>50</v>
      </c>
      <c r="L284" t="s">
        <v>2106</v>
      </c>
      <c r="N284" t="s">
        <v>2459</v>
      </c>
      <c r="O284" t="s">
        <v>2454</v>
      </c>
      <c r="P284" s="8">
        <v>1</v>
      </c>
      <c r="Q284" s="8">
        <v>1</v>
      </c>
      <c r="R284" s="8">
        <v>0</v>
      </c>
      <c r="S284" t="s">
        <v>23</v>
      </c>
      <c r="T284" s="3"/>
      <c r="U284" s="3"/>
      <c r="V284" s="3"/>
    </row>
    <row r="285" spans="1:22" ht="12.45" hidden="1" x14ac:dyDescent="0.2">
      <c r="A285" s="3" t="s">
        <v>2138</v>
      </c>
      <c r="B285" t="s">
        <v>2474</v>
      </c>
      <c r="F285" t="str">
        <f>VLOOKUP(O285,pearl!$B:$E,4,0)</f>
        <v>Дом</v>
      </c>
      <c r="G285" t="str">
        <f>VLOOKUP(IF(F285="Дом",H285,F285),pearl!$D$28:$F$32,3,0)</f>
        <v>Марс</v>
      </c>
      <c r="H285" t="str">
        <f>VLOOKUP(O285,pearl!$B:$E,3,0)</f>
        <v>♂</v>
      </c>
      <c r="I285" t="s">
        <v>53</v>
      </c>
      <c r="J285" t="s">
        <v>22</v>
      </c>
      <c r="K285" t="s">
        <v>23</v>
      </c>
      <c r="L285" t="s">
        <v>2106</v>
      </c>
      <c r="N285" t="s">
        <v>2472</v>
      </c>
      <c r="O285" s="3" t="s">
        <v>2454</v>
      </c>
      <c r="P285" s="8">
        <v>5</v>
      </c>
      <c r="Q285" s="8">
        <v>2</v>
      </c>
      <c r="R285" s="8">
        <v>0</v>
      </c>
      <c r="S285" t="s">
        <v>2471</v>
      </c>
      <c r="T285" s="3"/>
      <c r="U285" s="3"/>
      <c r="V285" s="3"/>
    </row>
    <row r="286" spans="1:22" ht="12.45" hidden="1" x14ac:dyDescent="0.2">
      <c r="A286" s="3" t="s">
        <v>2138</v>
      </c>
      <c r="B286" t="s">
        <v>2467</v>
      </c>
      <c r="F286" t="str">
        <f>VLOOKUP(O286,pearl!$B:$E,4,0)</f>
        <v>Дом</v>
      </c>
      <c r="G286" t="str">
        <f>VLOOKUP(IF(F286="Дом",H286,F286),pearl!$D$28:$F$32,3,0)</f>
        <v>Марс</v>
      </c>
      <c r="H286" t="str">
        <f>VLOOKUP(O286,pearl!$B:$E,3,0)</f>
        <v>♂</v>
      </c>
      <c r="I286" t="s">
        <v>154</v>
      </c>
      <c r="J286" t="s">
        <v>22</v>
      </c>
      <c r="K286" t="s">
        <v>212</v>
      </c>
      <c r="L286" t="s">
        <v>18</v>
      </c>
      <c r="N286" t="s">
        <v>2468</v>
      </c>
      <c r="O286" s="3" t="s">
        <v>2454</v>
      </c>
      <c r="P286" s="8">
        <v>3</v>
      </c>
      <c r="Q286" s="8">
        <v>1</v>
      </c>
      <c r="R286" s="8">
        <v>0</v>
      </c>
      <c r="S286" t="s">
        <v>2455</v>
      </c>
      <c r="T286" s="3"/>
      <c r="U286" s="3"/>
      <c r="V286" s="3"/>
    </row>
    <row r="287" spans="1:22" ht="12.45" hidden="1" x14ac:dyDescent="0.2">
      <c r="A287" s="3" t="s">
        <v>2138</v>
      </c>
      <c r="B287" t="s">
        <v>2475</v>
      </c>
      <c r="F287" t="str">
        <f>VLOOKUP(O287,pearl!$B:$E,4,0)</f>
        <v>Дом</v>
      </c>
      <c r="G287" t="str">
        <f>VLOOKUP(IF(F287="Дом",H287,F287),pearl!$D$28:$F$32,3,0)</f>
        <v>Марс</v>
      </c>
      <c r="H287" t="str">
        <f>VLOOKUP(O287,pearl!$B:$E,3,0)</f>
        <v>♂</v>
      </c>
      <c r="I287" t="s">
        <v>175</v>
      </c>
      <c r="J287" t="s">
        <v>22</v>
      </c>
      <c r="K287" t="s">
        <v>142</v>
      </c>
      <c r="L287" t="s">
        <v>18</v>
      </c>
      <c r="N287" t="s">
        <v>2472</v>
      </c>
      <c r="O287" s="3" t="s">
        <v>2454</v>
      </c>
      <c r="P287" s="8">
        <v>5</v>
      </c>
      <c r="Q287" s="8">
        <v>3</v>
      </c>
      <c r="R287" s="8">
        <v>0</v>
      </c>
      <c r="S287" t="s">
        <v>2476</v>
      </c>
      <c r="T287" s="3"/>
      <c r="U287" s="3"/>
      <c r="V287" s="3"/>
    </row>
    <row r="288" spans="1:22" ht="12.45" hidden="1" x14ac:dyDescent="0.2">
      <c r="A288" s="3" t="s">
        <v>2138</v>
      </c>
      <c r="B288" t="s">
        <v>2456</v>
      </c>
      <c r="F288" t="str">
        <f>VLOOKUP(O288,pearl!$B:$E,4,0)</f>
        <v>Дом</v>
      </c>
      <c r="G288" t="str">
        <f>VLOOKUP(IF(F288="Дом",H288,F288),pearl!$D$28:$F$32,3,0)</f>
        <v>Марс</v>
      </c>
      <c r="H288" t="str">
        <f>VLOOKUP(O288,pearl!$B:$E,3,0)</f>
        <v>♂</v>
      </c>
      <c r="I288" t="s">
        <v>2309</v>
      </c>
      <c r="J288" t="s">
        <v>28</v>
      </c>
      <c r="K288" t="s">
        <v>2457</v>
      </c>
      <c r="L288" t="s">
        <v>2115</v>
      </c>
      <c r="N288" t="s">
        <v>2453</v>
      </c>
      <c r="O288" t="s">
        <v>2454</v>
      </c>
      <c r="P288" s="8">
        <v>3</v>
      </c>
      <c r="Q288" s="8">
        <v>1</v>
      </c>
      <c r="R288" s="8">
        <v>0</v>
      </c>
      <c r="S288" t="s">
        <v>2455</v>
      </c>
      <c r="T288" s="3"/>
      <c r="U288" s="3"/>
      <c r="V288" s="3"/>
    </row>
    <row r="289" spans="1:22" ht="12.45" hidden="1" x14ac:dyDescent="0.2">
      <c r="A289" s="3" t="s">
        <v>2138</v>
      </c>
      <c r="B289" t="s">
        <v>2469</v>
      </c>
      <c r="F289" t="str">
        <f>VLOOKUP(O289,pearl!$B:$E,4,0)</f>
        <v>Дом</v>
      </c>
      <c r="G289" t="str">
        <f>VLOOKUP(IF(F289="Дом",H289,F289),pearl!$D$28:$F$32,3,0)</f>
        <v>Марс</v>
      </c>
      <c r="H289" t="str">
        <f>VLOOKUP(O289,pearl!$B:$E,3,0)</f>
        <v>♂</v>
      </c>
      <c r="I289" t="s">
        <v>154</v>
      </c>
      <c r="J289" t="s">
        <v>22</v>
      </c>
      <c r="K289" t="s">
        <v>23</v>
      </c>
      <c r="L289" t="s">
        <v>18</v>
      </c>
      <c r="N289" t="s">
        <v>2468</v>
      </c>
      <c r="O289" s="3" t="s">
        <v>2454</v>
      </c>
      <c r="P289" s="8">
        <v>3</v>
      </c>
      <c r="Q289" s="8">
        <v>1</v>
      </c>
      <c r="R289" s="8">
        <v>0</v>
      </c>
      <c r="S289" t="s">
        <v>2455</v>
      </c>
      <c r="T289" s="3"/>
      <c r="U289" s="3"/>
      <c r="V289" s="3"/>
    </row>
    <row r="290" spans="1:22" ht="12.45" hidden="1" x14ac:dyDescent="0.2">
      <c r="A290" s="3" t="s">
        <v>2138</v>
      </c>
      <c r="B290" t="s">
        <v>2471</v>
      </c>
      <c r="F290" t="str">
        <f>VLOOKUP(O290,pearl!$B:$E,4,0)</f>
        <v>Дом</v>
      </c>
      <c r="G290" t="str">
        <f>VLOOKUP(IF(F290="Дом",H290,F290),pearl!$D$28:$F$32,3,0)</f>
        <v>Марс</v>
      </c>
      <c r="H290" t="str">
        <f>VLOOKUP(O290,pearl!$B:$E,3,0)</f>
        <v>♂</v>
      </c>
      <c r="I290" t="s">
        <v>175</v>
      </c>
      <c r="J290" t="s">
        <v>16</v>
      </c>
      <c r="K290" t="s">
        <v>142</v>
      </c>
      <c r="L290" t="s">
        <v>18</v>
      </c>
      <c r="N290" t="s">
        <v>2472</v>
      </c>
      <c r="O290" s="3" t="s">
        <v>2454</v>
      </c>
      <c r="P290" s="8">
        <v>5</v>
      </c>
      <c r="Q290" s="8">
        <v>2</v>
      </c>
      <c r="R290" s="8">
        <v>0</v>
      </c>
      <c r="S290" t="s">
        <v>2473</v>
      </c>
      <c r="T290" s="3"/>
      <c r="U290" s="3"/>
      <c r="V290" s="3"/>
    </row>
    <row r="291" spans="1:22" ht="12.45" hidden="1" x14ac:dyDescent="0.2">
      <c r="A291" s="3" t="s">
        <v>2138</v>
      </c>
      <c r="B291" t="s">
        <v>2461</v>
      </c>
      <c r="F291" t="str">
        <f>VLOOKUP(O291,pearl!$B:$E,4,0)</f>
        <v>Дом</v>
      </c>
      <c r="G291" t="str">
        <f>VLOOKUP(IF(F291="Дом",H291,F291),pearl!$D$28:$F$32,3,0)</f>
        <v>Марс</v>
      </c>
      <c r="H291" t="str">
        <f>VLOOKUP(O291,pearl!$B:$E,3,0)</f>
        <v>♂</v>
      </c>
      <c r="I291" t="s">
        <v>147</v>
      </c>
      <c r="J291" t="s">
        <v>148</v>
      </c>
      <c r="K291" t="s">
        <v>17</v>
      </c>
      <c r="L291" t="s">
        <v>148</v>
      </c>
      <c r="N291" t="s">
        <v>2459</v>
      </c>
      <c r="O291" t="s">
        <v>2454</v>
      </c>
      <c r="P291" s="8">
        <v>1</v>
      </c>
      <c r="Q291" s="8">
        <v>1</v>
      </c>
      <c r="R291" s="8">
        <v>0</v>
      </c>
      <c r="S291" t="s">
        <v>23</v>
      </c>
      <c r="T291" s="3"/>
      <c r="U291" s="3"/>
      <c r="V291" s="3"/>
    </row>
    <row r="292" spans="1:22" ht="12.45" hidden="1" x14ac:dyDescent="0.2">
      <c r="A292" s="3" t="s">
        <v>2138</v>
      </c>
      <c r="B292" t="s">
        <v>2013</v>
      </c>
      <c r="F292" t="str">
        <f>VLOOKUP(O292,pearl!$B:$E,4,0)</f>
        <v>Дом</v>
      </c>
      <c r="G292" t="str">
        <f>VLOOKUP(IF(F292="Дом",H292,F292),pearl!$D$28:$F$32,3,0)</f>
        <v>Марс</v>
      </c>
      <c r="H292" t="str">
        <f>VLOOKUP(O292,pearl!$B:$E,3,0)</f>
        <v>♂</v>
      </c>
      <c r="I292" t="s">
        <v>147</v>
      </c>
      <c r="J292" t="s">
        <v>148</v>
      </c>
      <c r="K292" t="s">
        <v>23</v>
      </c>
      <c r="L292" t="s">
        <v>148</v>
      </c>
      <c r="N292" t="s">
        <v>2459</v>
      </c>
      <c r="O292" t="s">
        <v>2454</v>
      </c>
      <c r="P292" s="8">
        <v>1</v>
      </c>
      <c r="Q292" s="8">
        <v>1</v>
      </c>
      <c r="R292" s="8">
        <v>0</v>
      </c>
      <c r="S292" t="s">
        <v>23</v>
      </c>
      <c r="T292" s="3"/>
      <c r="U292" s="3"/>
      <c r="V292" s="3"/>
    </row>
    <row r="293" spans="1:22" ht="12.45" hidden="1" x14ac:dyDescent="0.2">
      <c r="A293" s="3" t="s">
        <v>2138</v>
      </c>
      <c r="B293" t="s">
        <v>2462</v>
      </c>
      <c r="F293" t="str">
        <f>VLOOKUP(O293,pearl!$B:$E,4,0)</f>
        <v>Дом</v>
      </c>
      <c r="G293" t="str">
        <f>VLOOKUP(IF(F293="Дом",H293,F293),pearl!$D$28:$F$32,3,0)</f>
        <v>Марс</v>
      </c>
      <c r="H293" t="str">
        <f>VLOOKUP(O293,pearl!$B:$E,3,0)</f>
        <v>♂</v>
      </c>
      <c r="I293" t="s">
        <v>612</v>
      </c>
      <c r="J293" t="s">
        <v>148</v>
      </c>
      <c r="K293" t="s">
        <v>23</v>
      </c>
      <c r="L293" t="s">
        <v>148</v>
      </c>
      <c r="N293" t="s">
        <v>2463</v>
      </c>
      <c r="O293" t="s">
        <v>2454</v>
      </c>
      <c r="P293" s="8">
        <v>1</v>
      </c>
      <c r="Q293" s="8">
        <v>1</v>
      </c>
      <c r="R293" s="8">
        <v>0</v>
      </c>
      <c r="S293" t="s">
        <v>23</v>
      </c>
      <c r="T293" s="3"/>
      <c r="U293" s="3"/>
      <c r="V293" s="3"/>
    </row>
    <row r="294" spans="1:22" ht="12.45" hidden="1" x14ac:dyDescent="0.2">
      <c r="A294" s="3" t="s">
        <v>2138</v>
      </c>
      <c r="B294" t="s">
        <v>2477</v>
      </c>
      <c r="F294" t="str">
        <f>VLOOKUP(O294,pearl!$B:$E,4,0)</f>
        <v>Дом</v>
      </c>
      <c r="G294" t="str">
        <f>VLOOKUP(IF(F294="Дом",H294,F294),pearl!$D$28:$F$32,3,0)</f>
        <v>Марс</v>
      </c>
      <c r="H294" t="str">
        <f>VLOOKUP(O294,pearl!$B:$E,3,0)</f>
        <v>♂</v>
      </c>
      <c r="I294" t="s">
        <v>264</v>
      </c>
      <c r="J294" t="s">
        <v>22</v>
      </c>
      <c r="K294" t="s">
        <v>438</v>
      </c>
      <c r="L294" t="s">
        <v>2106</v>
      </c>
      <c r="N294" t="s">
        <v>2472</v>
      </c>
      <c r="O294" s="3" t="s">
        <v>2454</v>
      </c>
      <c r="P294" s="8">
        <v>5</v>
      </c>
      <c r="Q294" s="8">
        <v>4</v>
      </c>
      <c r="R294" s="8">
        <v>0</v>
      </c>
      <c r="S294" t="s">
        <v>2478</v>
      </c>
      <c r="T294" s="3"/>
      <c r="U294" s="3"/>
      <c r="V294" s="3"/>
    </row>
    <row r="295" spans="1:22" ht="12.45" hidden="1" x14ac:dyDescent="0.2">
      <c r="A295" s="3" t="s">
        <v>2138</v>
      </c>
      <c r="B295" t="s">
        <v>2465</v>
      </c>
      <c r="F295" t="str">
        <f>VLOOKUP(O295,pearl!$B:$E,4,0)</f>
        <v>Дом</v>
      </c>
      <c r="G295" t="str">
        <f>VLOOKUP(IF(F295="Дом",H295,F295),pearl!$D$28:$F$32,3,0)</f>
        <v>Марс</v>
      </c>
      <c r="H295" t="str">
        <f>VLOOKUP(O295,pearl!$B:$E,3,0)</f>
        <v>♂</v>
      </c>
      <c r="I295" t="s">
        <v>147</v>
      </c>
      <c r="J295" t="s">
        <v>148</v>
      </c>
      <c r="K295" t="s">
        <v>17</v>
      </c>
      <c r="L295" t="s">
        <v>148</v>
      </c>
      <c r="N295" t="s">
        <v>2463</v>
      </c>
      <c r="O295" s="3" t="s">
        <v>2454</v>
      </c>
      <c r="P295" s="8">
        <v>1</v>
      </c>
      <c r="Q295" s="8">
        <v>1</v>
      </c>
      <c r="R295" s="8">
        <v>0</v>
      </c>
      <c r="S295" t="s">
        <v>23</v>
      </c>
      <c r="T295" s="3"/>
      <c r="U295" s="3"/>
      <c r="V295" s="3"/>
    </row>
    <row r="296" spans="1:22" ht="12.45" hidden="1" x14ac:dyDescent="0.2">
      <c r="A296" s="3" t="s">
        <v>2138</v>
      </c>
      <c r="B296" t="s">
        <v>2464</v>
      </c>
      <c r="F296" t="str">
        <f>VLOOKUP(O296,pearl!$B:$E,4,0)</f>
        <v>Дом</v>
      </c>
      <c r="G296" t="str">
        <f>VLOOKUP(IF(F296="Дом",H296,F296),pearl!$D$28:$F$32,3,0)</f>
        <v>Марс</v>
      </c>
      <c r="H296" t="str">
        <f>VLOOKUP(O296,pearl!$B:$E,3,0)</f>
        <v>♂</v>
      </c>
      <c r="I296" t="s">
        <v>34</v>
      </c>
      <c r="J296" t="s">
        <v>22</v>
      </c>
      <c r="K296" t="s">
        <v>142</v>
      </c>
      <c r="L296" t="s">
        <v>2106</v>
      </c>
      <c r="N296" t="s">
        <v>2463</v>
      </c>
      <c r="O296" t="s">
        <v>2454</v>
      </c>
      <c r="P296" s="8">
        <v>3</v>
      </c>
      <c r="Q296" s="8">
        <v>1</v>
      </c>
      <c r="R296" s="8">
        <v>0</v>
      </c>
      <c r="S296" t="s">
        <v>2462</v>
      </c>
      <c r="T296" s="3"/>
      <c r="U296" s="3"/>
      <c r="V296" s="3"/>
    </row>
    <row r="297" spans="1:22" ht="12.45" hidden="1" x14ac:dyDescent="0.2">
      <c r="A297" s="3" t="s">
        <v>2138</v>
      </c>
      <c r="B297" t="s">
        <v>2170</v>
      </c>
      <c r="C297" s="24"/>
      <c r="D297" s="24"/>
      <c r="E297" s="24"/>
      <c r="F297" t="str">
        <f>VLOOKUP(O297,pearl!$B:$E,4,0)</f>
        <v>☿</v>
      </c>
      <c r="G297" t="str">
        <f>VLOOKUP(IF(F297="Дом",H297,F297),pearl!$D$28:$F$32,3,0)</f>
        <v>Меркурий</v>
      </c>
      <c r="H297" t="str">
        <f>VLOOKUP(O297,pearl!$B:$E,3,0)</f>
        <v>☿Мачта</v>
      </c>
      <c r="I297" t="s">
        <v>2119</v>
      </c>
      <c r="J297" t="s">
        <v>148</v>
      </c>
      <c r="K297" t="s">
        <v>50</v>
      </c>
      <c r="L297" t="s">
        <v>148</v>
      </c>
      <c r="N297" t="s">
        <v>2166</v>
      </c>
      <c r="O297" s="24" t="s">
        <v>3133</v>
      </c>
      <c r="P297" s="8">
        <v>4</v>
      </c>
      <c r="Q297" s="8">
        <v>2</v>
      </c>
      <c r="R297" s="8">
        <v>0</v>
      </c>
      <c r="S297" t="s">
        <v>2076</v>
      </c>
      <c r="T297" s="3"/>
      <c r="U297" s="3"/>
      <c r="V297" s="3"/>
    </row>
    <row r="298" spans="1:22" ht="12.45" hidden="1" x14ac:dyDescent="0.2">
      <c r="A298" s="3" t="s">
        <v>2138</v>
      </c>
      <c r="B298" t="s">
        <v>2075</v>
      </c>
      <c r="C298" s="24"/>
      <c r="D298" s="24"/>
      <c r="E298" s="24"/>
      <c r="F298" t="str">
        <f>VLOOKUP(O298,pearl!$B:$E,4,0)</f>
        <v>☿</v>
      </c>
      <c r="G298" t="str">
        <f>VLOOKUP(IF(F298="Дом",H298,F298),pearl!$D$28:$F$32,3,0)</f>
        <v>Меркурий</v>
      </c>
      <c r="H298" t="str">
        <f>VLOOKUP(O298,pearl!$B:$E,3,0)</f>
        <v>☿Мачта</v>
      </c>
      <c r="I298" t="s">
        <v>694</v>
      </c>
      <c r="J298" t="s">
        <v>28</v>
      </c>
      <c r="K298" t="s">
        <v>23</v>
      </c>
      <c r="L298" t="s">
        <v>182</v>
      </c>
      <c r="N298" t="s">
        <v>2172</v>
      </c>
      <c r="O298" s="24" t="s">
        <v>3133</v>
      </c>
      <c r="P298" s="8">
        <v>5</v>
      </c>
      <c r="Q298" s="8">
        <v>3</v>
      </c>
      <c r="R298" s="8">
        <v>0</v>
      </c>
      <c r="S298" t="s">
        <v>2173</v>
      </c>
      <c r="T298" s="3"/>
      <c r="U298" s="3"/>
      <c r="V298" s="3"/>
    </row>
    <row r="299" spans="1:22" ht="12.45" hidden="1" x14ac:dyDescent="0.2">
      <c r="A299" s="3" t="s">
        <v>2138</v>
      </c>
      <c r="B299" t="s">
        <v>2177</v>
      </c>
      <c r="C299" s="24"/>
      <c r="D299" s="24"/>
      <c r="E299" s="24"/>
      <c r="F299" t="str">
        <f>VLOOKUP(O299,pearl!$B:$E,4,0)</f>
        <v>☿</v>
      </c>
      <c r="G299" t="str">
        <f>VLOOKUP(IF(F299="Дом",H299,F299),pearl!$D$28:$F$32,3,0)</f>
        <v>Меркурий</v>
      </c>
      <c r="H299" t="str">
        <f>VLOOKUP(O299,pearl!$B:$E,3,0)</f>
        <v>☿Мачта</v>
      </c>
      <c r="I299" t="s">
        <v>178</v>
      </c>
      <c r="J299" t="s">
        <v>28</v>
      </c>
      <c r="K299" t="s">
        <v>2109</v>
      </c>
      <c r="L299" t="s">
        <v>2106</v>
      </c>
      <c r="N299" t="s">
        <v>2172</v>
      </c>
      <c r="O299" s="24" t="s">
        <v>3133</v>
      </c>
      <c r="P299" s="8">
        <v>5</v>
      </c>
      <c r="Q299" s="8">
        <v>4</v>
      </c>
      <c r="R299" s="8">
        <v>0</v>
      </c>
      <c r="S299" t="s">
        <v>2178</v>
      </c>
      <c r="T299" s="3"/>
      <c r="U299" s="3"/>
      <c r="V299" s="3"/>
    </row>
    <row r="300" spans="1:22" ht="12.45" hidden="1" x14ac:dyDescent="0.2">
      <c r="A300" s="3" t="s">
        <v>2138</v>
      </c>
      <c r="B300" t="s">
        <v>2073</v>
      </c>
      <c r="C300" s="24"/>
      <c r="D300" s="24"/>
      <c r="E300" s="24"/>
      <c r="F300" t="str">
        <f>VLOOKUP(O300,pearl!$B:$E,4,0)</f>
        <v>☿</v>
      </c>
      <c r="G300" t="str">
        <f>VLOOKUP(IF(F300="Дом",H300,F300),pearl!$D$28:$F$32,3,0)</f>
        <v>Меркурий</v>
      </c>
      <c r="H300" t="str">
        <f>VLOOKUP(O300,pearl!$B:$E,3,0)</f>
        <v>☿Мачта</v>
      </c>
      <c r="I300" t="s">
        <v>27</v>
      </c>
      <c r="J300" t="s">
        <v>28</v>
      </c>
      <c r="K300" t="s">
        <v>2165</v>
      </c>
      <c r="L300" t="s">
        <v>182</v>
      </c>
      <c r="N300" t="s">
        <v>2163</v>
      </c>
      <c r="O300" s="24" t="s">
        <v>3133</v>
      </c>
      <c r="P300" s="8">
        <v>4</v>
      </c>
      <c r="Q300" s="8">
        <v>1</v>
      </c>
      <c r="R300" s="8">
        <v>0</v>
      </c>
      <c r="S300" t="s">
        <v>2072</v>
      </c>
      <c r="T300" s="3"/>
      <c r="U300" s="3"/>
      <c r="V300" s="3"/>
    </row>
    <row r="301" spans="1:22" ht="12.45" hidden="1" x14ac:dyDescent="0.2">
      <c r="A301" s="3" t="s">
        <v>2138</v>
      </c>
      <c r="B301" t="s">
        <v>2174</v>
      </c>
      <c r="C301" s="24"/>
      <c r="D301" s="24"/>
      <c r="E301" s="24"/>
      <c r="F301" t="str">
        <f>VLOOKUP(O301,pearl!$B:$E,4,0)</f>
        <v>☿</v>
      </c>
      <c r="G301" t="str">
        <f>VLOOKUP(IF(F301="Дом",H301,F301),pearl!$D$28:$F$32,3,0)</f>
        <v>Меркурий</v>
      </c>
      <c r="H301" t="str">
        <f>VLOOKUP(O301,pearl!$B:$E,3,0)</f>
        <v>☿Мачта</v>
      </c>
      <c r="I301" t="s">
        <v>254</v>
      </c>
      <c r="J301" t="s">
        <v>16</v>
      </c>
      <c r="K301" t="s">
        <v>17</v>
      </c>
      <c r="L301" t="s">
        <v>18</v>
      </c>
      <c r="N301" t="s">
        <v>2172</v>
      </c>
      <c r="O301" s="24" t="s">
        <v>3133</v>
      </c>
      <c r="P301" s="8">
        <v>5</v>
      </c>
      <c r="Q301" s="8">
        <v>3</v>
      </c>
      <c r="R301" s="8">
        <v>0</v>
      </c>
      <c r="S301" t="s">
        <v>2164</v>
      </c>
      <c r="T301" s="3"/>
      <c r="U301" s="3"/>
      <c r="V301" s="3"/>
    </row>
    <row r="302" spans="1:22" ht="12.45" hidden="1" x14ac:dyDescent="0.2">
      <c r="A302" s="3" t="s">
        <v>2138</v>
      </c>
      <c r="B302" t="s">
        <v>2179</v>
      </c>
      <c r="C302" s="24"/>
      <c r="D302" s="24"/>
      <c r="E302" s="24"/>
      <c r="F302" t="str">
        <f>VLOOKUP(O302,pearl!$B:$E,4,0)</f>
        <v>☿</v>
      </c>
      <c r="G302" t="str">
        <f>VLOOKUP(IF(F302="Дом",H302,F302),pearl!$D$28:$F$32,3,0)</f>
        <v>Меркурий</v>
      </c>
      <c r="H302" t="str">
        <f>VLOOKUP(O302,pearl!$B:$E,3,0)</f>
        <v>☿Мачта</v>
      </c>
      <c r="I302" t="s">
        <v>147</v>
      </c>
      <c r="J302" t="s">
        <v>148</v>
      </c>
      <c r="K302" t="s">
        <v>23</v>
      </c>
      <c r="L302" t="s">
        <v>148</v>
      </c>
      <c r="N302" t="s">
        <v>2180</v>
      </c>
      <c r="O302" s="24" t="s">
        <v>3133</v>
      </c>
      <c r="P302" s="8">
        <v>5</v>
      </c>
      <c r="Q302" s="8">
        <v>4</v>
      </c>
      <c r="R302" s="8">
        <v>0</v>
      </c>
      <c r="S302" t="s">
        <v>2075</v>
      </c>
      <c r="T302" s="3"/>
      <c r="U302" s="3"/>
      <c r="V302" s="3"/>
    </row>
    <row r="303" spans="1:22" ht="12.45" hidden="1" x14ac:dyDescent="0.2">
      <c r="A303" s="3" t="s">
        <v>2138</v>
      </c>
      <c r="B303" t="s">
        <v>2171</v>
      </c>
      <c r="C303" s="24"/>
      <c r="D303" s="24"/>
      <c r="E303" s="24"/>
      <c r="F303" t="str">
        <f>VLOOKUP(O303,pearl!$B:$E,4,0)</f>
        <v>☿</v>
      </c>
      <c r="G303" t="str">
        <f>VLOOKUP(IF(F303="Дом",H303,F303),pearl!$D$28:$F$32,3,0)</f>
        <v>Меркурий</v>
      </c>
      <c r="H303" t="str">
        <f>VLOOKUP(O303,pearl!$B:$E,3,0)</f>
        <v>☿Мачта</v>
      </c>
      <c r="I303" t="s">
        <v>2107</v>
      </c>
      <c r="J303" t="s">
        <v>22</v>
      </c>
      <c r="K303" t="s">
        <v>212</v>
      </c>
      <c r="L303" t="s">
        <v>2106</v>
      </c>
      <c r="N303" t="s">
        <v>2172</v>
      </c>
      <c r="O303" s="24" t="s">
        <v>3133</v>
      </c>
      <c r="P303" s="8">
        <v>4</v>
      </c>
      <c r="Q303" s="8">
        <v>2</v>
      </c>
      <c r="R303" s="8">
        <v>0</v>
      </c>
      <c r="S303" t="s">
        <v>2076</v>
      </c>
      <c r="T303" s="3"/>
      <c r="U303" s="3"/>
      <c r="V303" s="3"/>
    </row>
    <row r="304" spans="1:22" ht="12.45" hidden="1" x14ac:dyDescent="0.2">
      <c r="A304" s="3" t="s">
        <v>2138</v>
      </c>
      <c r="B304" t="s">
        <v>2181</v>
      </c>
      <c r="C304" s="24"/>
      <c r="D304" s="24"/>
      <c r="E304" s="24"/>
      <c r="F304" t="str">
        <f>VLOOKUP(O304,pearl!$B:$E,4,0)</f>
        <v>☿</v>
      </c>
      <c r="G304" t="str">
        <f>VLOOKUP(IF(F304="Дом",H304,F304),pearl!$D$28:$F$32,3,0)</f>
        <v>Меркурий</v>
      </c>
      <c r="H304" t="str">
        <f>VLOOKUP(O304,pearl!$B:$E,3,0)</f>
        <v>☿Мачта</v>
      </c>
      <c r="I304" t="s">
        <v>264</v>
      </c>
      <c r="J304" t="s">
        <v>28</v>
      </c>
      <c r="K304" t="s">
        <v>50</v>
      </c>
      <c r="L304" t="s">
        <v>182</v>
      </c>
      <c r="N304" t="s">
        <v>2180</v>
      </c>
      <c r="O304" s="24" t="s">
        <v>3133</v>
      </c>
      <c r="P304" s="8">
        <v>5</v>
      </c>
      <c r="Q304" s="8">
        <v>5</v>
      </c>
      <c r="R304" s="8">
        <v>0</v>
      </c>
      <c r="S304" t="s">
        <v>2182</v>
      </c>
      <c r="T304" s="3"/>
      <c r="U304" s="3"/>
      <c r="V304" s="3"/>
    </row>
    <row r="305" spans="1:22" ht="12.45" hidden="1" x14ac:dyDescent="0.2">
      <c r="A305" s="3" t="s">
        <v>2138</v>
      </c>
      <c r="B305" t="s">
        <v>2068</v>
      </c>
      <c r="C305" s="24"/>
      <c r="D305" s="24"/>
      <c r="E305" s="24"/>
      <c r="F305" t="str">
        <f>VLOOKUP(O305,pearl!$B:$E,4,0)</f>
        <v>☿</v>
      </c>
      <c r="G305" t="str">
        <f>VLOOKUP(IF(F305="Дом",H305,F305),pearl!$D$28:$F$32,3,0)</f>
        <v>Меркурий</v>
      </c>
      <c r="H305" t="str">
        <f>VLOOKUP(O305,pearl!$B:$E,3,0)</f>
        <v>☿Мачта</v>
      </c>
      <c r="I305" t="s">
        <v>34</v>
      </c>
      <c r="J305" t="s">
        <v>22</v>
      </c>
      <c r="K305" t="s">
        <v>50</v>
      </c>
      <c r="L305" t="s">
        <v>18</v>
      </c>
      <c r="N305" t="s">
        <v>2161</v>
      </c>
      <c r="O305" s="24" t="s">
        <v>3133</v>
      </c>
      <c r="P305" s="8">
        <v>3</v>
      </c>
      <c r="Q305" s="8">
        <v>1</v>
      </c>
      <c r="R305" s="8">
        <v>0</v>
      </c>
      <c r="S305" t="s">
        <v>23</v>
      </c>
      <c r="T305" s="3"/>
      <c r="U305" s="3"/>
      <c r="V305" s="3"/>
    </row>
    <row r="306" spans="1:22" ht="12.45" hidden="1" x14ac:dyDescent="0.2">
      <c r="A306" s="3" t="s">
        <v>2138</v>
      </c>
      <c r="B306" t="s">
        <v>2072</v>
      </c>
      <c r="C306" s="24"/>
      <c r="D306" s="24"/>
      <c r="E306" s="24"/>
      <c r="F306" t="str">
        <f>VLOOKUP(O306,pearl!$B:$E,4,0)</f>
        <v>☿</v>
      </c>
      <c r="G306" t="str">
        <f>VLOOKUP(IF(F306="Дом",H306,F306),pearl!$D$28:$F$32,3,0)</f>
        <v>Меркурий</v>
      </c>
      <c r="H306" t="str">
        <f>VLOOKUP(O306,pearl!$B:$E,3,0)</f>
        <v>☿Мачта</v>
      </c>
      <c r="I306" t="s">
        <v>34</v>
      </c>
      <c r="J306" t="s">
        <v>16</v>
      </c>
      <c r="K306" t="s">
        <v>142</v>
      </c>
      <c r="L306" t="s">
        <v>18</v>
      </c>
      <c r="N306" t="s">
        <v>2163</v>
      </c>
      <c r="O306" s="24" t="s">
        <v>3133</v>
      </c>
      <c r="P306" s="8">
        <v>3</v>
      </c>
      <c r="Q306" s="8">
        <v>1</v>
      </c>
      <c r="R306" s="8">
        <v>0</v>
      </c>
      <c r="S306" t="s">
        <v>23</v>
      </c>
      <c r="T306" s="3"/>
      <c r="U306" s="3"/>
      <c r="V306" s="3"/>
    </row>
    <row r="307" spans="1:22" ht="12.45" hidden="1" x14ac:dyDescent="0.2">
      <c r="A307" s="3" t="s">
        <v>2138</v>
      </c>
      <c r="B307" t="s">
        <v>2167</v>
      </c>
      <c r="C307" s="24"/>
      <c r="D307" s="24"/>
      <c r="E307" s="24"/>
      <c r="F307" t="str">
        <f>VLOOKUP(O307,pearl!$B:$E,4,0)</f>
        <v>☿</v>
      </c>
      <c r="G307" t="str">
        <f>VLOOKUP(IF(F307="Дом",H307,F307),pearl!$D$28:$F$32,3,0)</f>
        <v>Меркурий</v>
      </c>
      <c r="H307" t="str">
        <f>VLOOKUP(O307,pearl!$B:$E,3,0)</f>
        <v>☿Мачта</v>
      </c>
      <c r="I307" t="s">
        <v>2126</v>
      </c>
      <c r="J307" t="s">
        <v>22</v>
      </c>
      <c r="K307" t="s">
        <v>17</v>
      </c>
      <c r="L307" t="s">
        <v>18</v>
      </c>
      <c r="N307" t="s">
        <v>2166</v>
      </c>
      <c r="O307" s="24" t="s">
        <v>3133</v>
      </c>
      <c r="P307" s="8">
        <v>4</v>
      </c>
      <c r="Q307" s="8">
        <v>2</v>
      </c>
      <c r="R307" s="8">
        <v>0</v>
      </c>
      <c r="S307" t="s">
        <v>2168</v>
      </c>
      <c r="T307" s="3"/>
      <c r="U307" s="3"/>
      <c r="V307" s="3"/>
    </row>
    <row r="308" spans="1:22" ht="12.45" hidden="1" x14ac:dyDescent="0.2">
      <c r="A308" s="3" t="s">
        <v>2138</v>
      </c>
      <c r="B308" t="s">
        <v>2162</v>
      </c>
      <c r="C308" s="24"/>
      <c r="D308" s="24"/>
      <c r="E308" s="24"/>
      <c r="F308" t="str">
        <f>VLOOKUP(O308,pearl!$B:$E,4,0)</f>
        <v>☿</v>
      </c>
      <c r="G308" t="str">
        <f>VLOOKUP(IF(F308="Дом",H308,F308),pearl!$D$28:$F$32,3,0)</f>
        <v>Меркурий</v>
      </c>
      <c r="H308" t="str">
        <f>VLOOKUP(O308,pearl!$B:$E,3,0)</f>
        <v>☿Мачта</v>
      </c>
      <c r="I308" t="s">
        <v>1453</v>
      </c>
      <c r="J308" t="s">
        <v>22</v>
      </c>
      <c r="K308" t="s">
        <v>2109</v>
      </c>
      <c r="L308" t="s">
        <v>18</v>
      </c>
      <c r="N308" t="s">
        <v>2161</v>
      </c>
      <c r="O308" s="24" t="s">
        <v>3133</v>
      </c>
      <c r="P308" s="8">
        <v>3</v>
      </c>
      <c r="Q308" s="8">
        <v>1</v>
      </c>
      <c r="R308" s="8">
        <v>0</v>
      </c>
      <c r="S308" t="s">
        <v>23</v>
      </c>
      <c r="T308" s="3"/>
      <c r="U308" s="3"/>
      <c r="V308" s="3"/>
    </row>
    <row r="309" spans="1:22" ht="12.45" hidden="1" x14ac:dyDescent="0.2">
      <c r="A309" s="3" t="s">
        <v>2138</v>
      </c>
      <c r="B309" t="s">
        <v>2175</v>
      </c>
      <c r="C309" s="24"/>
      <c r="D309" s="24"/>
      <c r="E309" s="24"/>
      <c r="F309" t="str">
        <f>VLOOKUP(O309,pearl!$B:$E,4,0)</f>
        <v>☿</v>
      </c>
      <c r="G309" t="str">
        <f>VLOOKUP(IF(F309="Дом",H309,F309),pearl!$D$28:$F$32,3,0)</f>
        <v>Меркурий</v>
      </c>
      <c r="H309" t="str">
        <f>VLOOKUP(O309,pearl!$B:$E,3,0)</f>
        <v>☿Мачта</v>
      </c>
      <c r="I309" t="s">
        <v>43</v>
      </c>
      <c r="J309" t="s">
        <v>22</v>
      </c>
      <c r="K309" t="s">
        <v>23</v>
      </c>
      <c r="L309" t="s">
        <v>18</v>
      </c>
      <c r="N309" t="s">
        <v>2172</v>
      </c>
      <c r="O309" s="24" t="s">
        <v>3133</v>
      </c>
      <c r="P309" s="8">
        <v>5</v>
      </c>
      <c r="Q309" s="8">
        <v>3</v>
      </c>
      <c r="R309" s="8">
        <v>0</v>
      </c>
      <c r="S309" t="s">
        <v>2176</v>
      </c>
      <c r="T309" s="3"/>
      <c r="U309" s="3"/>
      <c r="V309" s="3"/>
    </row>
    <row r="310" spans="1:22" ht="12.45" hidden="1" x14ac:dyDescent="0.2">
      <c r="A310" s="3" t="s">
        <v>2138</v>
      </c>
      <c r="B310" t="s">
        <v>2169</v>
      </c>
      <c r="C310" s="24"/>
      <c r="D310" s="24"/>
      <c r="E310" s="24"/>
      <c r="F310" t="str">
        <f>VLOOKUP(O310,pearl!$B:$E,4,0)</f>
        <v>☿</v>
      </c>
      <c r="G310" t="str">
        <f>VLOOKUP(IF(F310="Дом",H310,F310),pearl!$D$28:$F$32,3,0)</f>
        <v>Меркурий</v>
      </c>
      <c r="H310" t="str">
        <f>VLOOKUP(O310,pearl!$B:$E,3,0)</f>
        <v>☿Мачта</v>
      </c>
      <c r="I310" t="s">
        <v>175</v>
      </c>
      <c r="J310" t="s">
        <v>22</v>
      </c>
      <c r="K310" t="s">
        <v>303</v>
      </c>
      <c r="L310" t="s">
        <v>18</v>
      </c>
      <c r="N310" t="s">
        <v>2166</v>
      </c>
      <c r="O310" s="24" t="s">
        <v>3133</v>
      </c>
      <c r="P310" s="8">
        <v>5</v>
      </c>
      <c r="Q310" s="8">
        <v>2</v>
      </c>
      <c r="R310" s="8">
        <v>0</v>
      </c>
      <c r="S310" t="s">
        <v>2167</v>
      </c>
      <c r="T310" s="3"/>
      <c r="U310" s="3"/>
      <c r="V310" s="3"/>
    </row>
    <row r="311" spans="1:22" ht="12.45" hidden="1" x14ac:dyDescent="0.2">
      <c r="A311" s="3" t="s">
        <v>2138</v>
      </c>
      <c r="B311" t="s">
        <v>2076</v>
      </c>
      <c r="C311" s="24"/>
      <c r="D311" s="24"/>
      <c r="E311" s="24"/>
      <c r="F311" t="str">
        <f>VLOOKUP(O311,pearl!$B:$E,4,0)</f>
        <v>☿</v>
      </c>
      <c r="G311" t="str">
        <f>VLOOKUP(IF(F311="Дом",H311,F311),pearl!$D$28:$F$32,3,0)</f>
        <v>Меркурий</v>
      </c>
      <c r="H311" t="str">
        <f>VLOOKUP(O311,pearl!$B:$E,3,0)</f>
        <v>☿Мачта</v>
      </c>
      <c r="I311" t="s">
        <v>64</v>
      </c>
      <c r="J311" t="s">
        <v>28</v>
      </c>
      <c r="K311" t="s">
        <v>23</v>
      </c>
      <c r="L311" t="s">
        <v>182</v>
      </c>
      <c r="N311" t="s">
        <v>2163</v>
      </c>
      <c r="O311" s="24" t="s">
        <v>3133</v>
      </c>
      <c r="P311" s="8">
        <v>3</v>
      </c>
      <c r="Q311" s="8">
        <v>1</v>
      </c>
      <c r="R311" s="8">
        <v>0</v>
      </c>
      <c r="S311" t="s">
        <v>23</v>
      </c>
      <c r="T311" s="3"/>
      <c r="U311" s="3"/>
      <c r="V311" s="3"/>
    </row>
    <row r="312" spans="1:22" ht="12.45" hidden="1" x14ac:dyDescent="0.2">
      <c r="A312" s="3" t="s">
        <v>2138</v>
      </c>
      <c r="B312" t="s">
        <v>2074</v>
      </c>
      <c r="C312" s="24"/>
      <c r="D312" s="24"/>
      <c r="E312" s="24"/>
      <c r="F312" t="str">
        <f>VLOOKUP(O312,pearl!$B:$E,4,0)</f>
        <v>☿</v>
      </c>
      <c r="G312" t="str">
        <f>VLOOKUP(IF(F312="Дом",H312,F312),pearl!$D$28:$F$32,3,0)</f>
        <v>Меркурий</v>
      </c>
      <c r="H312" t="str">
        <f>VLOOKUP(O312,pearl!$B:$E,3,0)</f>
        <v>☿Мачта</v>
      </c>
      <c r="I312" t="s">
        <v>175</v>
      </c>
      <c r="J312" t="s">
        <v>22</v>
      </c>
      <c r="K312" t="s">
        <v>2130</v>
      </c>
      <c r="L312" t="s">
        <v>18</v>
      </c>
      <c r="N312" t="s">
        <v>2166</v>
      </c>
      <c r="O312" s="24" t="s">
        <v>3133</v>
      </c>
      <c r="P312" s="8">
        <v>4</v>
      </c>
      <c r="Q312" s="8">
        <v>1</v>
      </c>
      <c r="R312" s="8">
        <v>0</v>
      </c>
      <c r="S312" t="s">
        <v>23</v>
      </c>
      <c r="T312" s="3"/>
      <c r="U312" s="3"/>
      <c r="V312" s="3"/>
    </row>
    <row r="313" spans="1:22" ht="12.45" hidden="1" x14ac:dyDescent="0.2">
      <c r="A313" s="3" t="s">
        <v>2138</v>
      </c>
      <c r="B313" t="s">
        <v>2164</v>
      </c>
      <c r="C313" s="24"/>
      <c r="D313" s="24"/>
      <c r="E313" s="24"/>
      <c r="F313" t="str">
        <f>VLOOKUP(O313,pearl!$B:$E,4,0)</f>
        <v>☿</v>
      </c>
      <c r="G313" t="str">
        <f>VLOOKUP(IF(F313="Дом",H313,F313),pearl!$D$28:$F$32,3,0)</f>
        <v>Меркурий</v>
      </c>
      <c r="H313" t="str">
        <f>VLOOKUP(O313,pearl!$B:$E,3,0)</f>
        <v>☿Мачта</v>
      </c>
      <c r="I313" t="s">
        <v>154</v>
      </c>
      <c r="J313" t="s">
        <v>16</v>
      </c>
      <c r="K313" t="s">
        <v>23</v>
      </c>
      <c r="L313" t="s">
        <v>18</v>
      </c>
      <c r="N313" t="s">
        <v>2163</v>
      </c>
      <c r="O313" s="24" t="s">
        <v>3133</v>
      </c>
      <c r="P313" s="8">
        <v>3</v>
      </c>
      <c r="Q313" s="8">
        <v>1</v>
      </c>
      <c r="R313" s="8">
        <v>0</v>
      </c>
      <c r="S313" t="s">
        <v>2072</v>
      </c>
      <c r="T313" s="3"/>
      <c r="U313" s="3"/>
      <c r="V313" s="3"/>
    </row>
    <row r="314" spans="1:22" ht="12.45" hidden="1" x14ac:dyDescent="0.2">
      <c r="A314" s="3" t="s">
        <v>2138</v>
      </c>
      <c r="B314" t="s">
        <v>2198</v>
      </c>
      <c r="C314" s="24"/>
      <c r="D314" s="24"/>
      <c r="E314" s="24"/>
      <c r="F314" t="str">
        <f>VLOOKUP(O314,pearl!$B:$E,4,0)</f>
        <v>☿</v>
      </c>
      <c r="G314" t="str">
        <f>VLOOKUP(IF(F314="Дом",H314,F314),pearl!$D$28:$F$32,3,0)</f>
        <v>Меркурий</v>
      </c>
      <c r="H314" t="str">
        <f>VLOOKUP(O314,pearl!$B:$E,3,0)</f>
        <v>☿Посланник</v>
      </c>
      <c r="I314" t="s">
        <v>264</v>
      </c>
      <c r="J314" t="s">
        <v>28</v>
      </c>
      <c r="K314" t="s">
        <v>142</v>
      </c>
      <c r="L314" t="s">
        <v>460</v>
      </c>
      <c r="N314" t="s">
        <v>2197</v>
      </c>
      <c r="O314" t="s">
        <v>1495</v>
      </c>
      <c r="P314" s="8">
        <v>5</v>
      </c>
      <c r="Q314" s="8">
        <v>2</v>
      </c>
      <c r="R314" s="8">
        <v>0</v>
      </c>
      <c r="S314" t="s">
        <v>2196</v>
      </c>
      <c r="T314" s="3"/>
      <c r="U314" s="3"/>
      <c r="V314" s="3"/>
    </row>
    <row r="315" spans="1:22" ht="12.45" hidden="1" x14ac:dyDescent="0.2">
      <c r="A315" s="3" t="s">
        <v>2138</v>
      </c>
      <c r="B315" t="s">
        <v>2183</v>
      </c>
      <c r="C315" s="24"/>
      <c r="D315" s="24"/>
      <c r="E315" s="24"/>
      <c r="F315" t="str">
        <f>VLOOKUP(O315,pearl!$B:$E,4,0)</f>
        <v>☿</v>
      </c>
      <c r="G315" t="str">
        <f>VLOOKUP(IF(F315="Дом",H315,F315),pearl!$D$28:$F$32,3,0)</f>
        <v>Меркурий</v>
      </c>
      <c r="H315" t="str">
        <f>VLOOKUP(O315,pearl!$B:$E,3,0)</f>
        <v>☿Посланник</v>
      </c>
      <c r="I315" t="s">
        <v>40</v>
      </c>
      <c r="J315" t="s">
        <v>16</v>
      </c>
      <c r="K315" t="s">
        <v>23</v>
      </c>
      <c r="L315" t="s">
        <v>18</v>
      </c>
      <c r="N315" t="s">
        <v>2184</v>
      </c>
      <c r="O315" t="s">
        <v>1495</v>
      </c>
      <c r="P315" s="8">
        <v>2</v>
      </c>
      <c r="Q315" s="8">
        <v>1</v>
      </c>
      <c r="R315" s="8">
        <v>0</v>
      </c>
      <c r="S315" t="s">
        <v>23</v>
      </c>
      <c r="T315" s="3"/>
      <c r="U315" s="3"/>
      <c r="V315" s="3"/>
    </row>
    <row r="316" spans="1:22" ht="12.45" hidden="1" x14ac:dyDescent="0.2">
      <c r="A316" s="3" t="s">
        <v>2138</v>
      </c>
      <c r="B316" t="s">
        <v>2086</v>
      </c>
      <c r="C316" s="24"/>
      <c r="D316" s="24"/>
      <c r="E316" s="24"/>
      <c r="F316" t="str">
        <f>VLOOKUP(O316,pearl!$B:$E,4,0)</f>
        <v>☿</v>
      </c>
      <c r="G316" t="str">
        <f>VLOOKUP(IF(F316="Дом",H316,F316),pearl!$D$28:$F$32,3,0)</f>
        <v>Меркурий</v>
      </c>
      <c r="H316" t="str">
        <f>VLOOKUP(O316,pearl!$B:$E,3,0)</f>
        <v>☿Посланник</v>
      </c>
      <c r="I316" t="s">
        <v>2119</v>
      </c>
      <c r="J316" t="s">
        <v>148</v>
      </c>
      <c r="K316" t="s">
        <v>889</v>
      </c>
      <c r="L316" t="s">
        <v>148</v>
      </c>
      <c r="N316" t="s">
        <v>2187</v>
      </c>
      <c r="O316" t="s">
        <v>1495</v>
      </c>
      <c r="P316" s="8">
        <v>3</v>
      </c>
      <c r="Q316" s="8">
        <v>1</v>
      </c>
      <c r="R316" s="8">
        <v>0</v>
      </c>
      <c r="S316" t="s">
        <v>2077</v>
      </c>
      <c r="T316" s="3"/>
      <c r="U316" s="3"/>
      <c r="V316" s="3"/>
    </row>
    <row r="317" spans="1:22" ht="12.45" hidden="1" x14ac:dyDescent="0.2">
      <c r="A317" s="3" t="s">
        <v>2138</v>
      </c>
      <c r="B317" t="s">
        <v>2194</v>
      </c>
      <c r="C317" s="24"/>
      <c r="D317" s="24"/>
      <c r="E317" s="24"/>
      <c r="F317" t="str">
        <f>VLOOKUP(O317,pearl!$B:$E,4,0)</f>
        <v>☿</v>
      </c>
      <c r="G317" t="str">
        <f>VLOOKUP(IF(F317="Дом",H317,F317),pearl!$D$28:$F$32,3,0)</f>
        <v>Меркурий</v>
      </c>
      <c r="H317" t="str">
        <f>VLOOKUP(O317,pearl!$B:$E,3,0)</f>
        <v>☿Посланник</v>
      </c>
      <c r="I317" t="s">
        <v>264</v>
      </c>
      <c r="J317" t="s">
        <v>28</v>
      </c>
      <c r="K317" t="s">
        <v>142</v>
      </c>
      <c r="L317" t="s">
        <v>18</v>
      </c>
      <c r="N317" t="s">
        <v>2191</v>
      </c>
      <c r="O317" t="s">
        <v>1495</v>
      </c>
      <c r="P317" s="8">
        <v>5</v>
      </c>
      <c r="Q317" s="8">
        <v>2</v>
      </c>
      <c r="R317" s="8">
        <v>0</v>
      </c>
      <c r="S317" t="s">
        <v>2195</v>
      </c>
      <c r="T317" s="3"/>
      <c r="U317" s="3"/>
      <c r="V317" s="3"/>
    </row>
    <row r="318" spans="1:22" ht="12.45" hidden="1" x14ac:dyDescent="0.2">
      <c r="A318" s="3" t="s">
        <v>2138</v>
      </c>
      <c r="B318" t="s">
        <v>2188</v>
      </c>
      <c r="C318" s="24"/>
      <c r="D318" s="24"/>
      <c r="E318" s="24"/>
      <c r="F318" t="str">
        <f>VLOOKUP(O318,pearl!$B:$E,4,0)</f>
        <v>☿</v>
      </c>
      <c r="G318" t="str">
        <f>VLOOKUP(IF(F318="Дом",H318,F318),pearl!$D$28:$F$32,3,0)</f>
        <v>Меркурий</v>
      </c>
      <c r="H318" t="str">
        <f>VLOOKUP(O318,pearl!$B:$E,3,0)</f>
        <v>☿Посланник</v>
      </c>
      <c r="I318" t="s">
        <v>64</v>
      </c>
      <c r="J318" t="s">
        <v>22</v>
      </c>
      <c r="K318" t="s">
        <v>23</v>
      </c>
      <c r="L318" t="s">
        <v>683</v>
      </c>
      <c r="N318" t="s">
        <v>2187</v>
      </c>
      <c r="O318" t="s">
        <v>1495</v>
      </c>
      <c r="P318" s="8">
        <v>4</v>
      </c>
      <c r="Q318" s="8">
        <v>1</v>
      </c>
      <c r="R318" s="8">
        <v>0</v>
      </c>
      <c r="S318" t="s">
        <v>2077</v>
      </c>
      <c r="T318" s="3"/>
      <c r="U318" s="3"/>
      <c r="V318" s="3"/>
    </row>
    <row r="319" spans="1:22" ht="12.45" hidden="1" x14ac:dyDescent="0.2">
      <c r="A319" s="3" t="s">
        <v>2138</v>
      </c>
      <c r="B319" t="s">
        <v>2201</v>
      </c>
      <c r="C319" s="24"/>
      <c r="D319" s="24"/>
      <c r="E319" s="24"/>
      <c r="F319" t="str">
        <f>VLOOKUP(O319,pearl!$B:$E,4,0)</f>
        <v>☿</v>
      </c>
      <c r="G319" t="str">
        <f>VLOOKUP(IF(F319="Дом",H319,F319),pearl!$D$28:$F$32,3,0)</f>
        <v>Меркурий</v>
      </c>
      <c r="H319" t="str">
        <f>VLOOKUP(O319,pearl!$B:$E,3,0)</f>
        <v>☿Посланник</v>
      </c>
      <c r="I319" t="s">
        <v>264</v>
      </c>
      <c r="J319" t="s">
        <v>28</v>
      </c>
      <c r="K319" t="s">
        <v>2202</v>
      </c>
      <c r="L319" t="s">
        <v>18</v>
      </c>
      <c r="N319" t="s">
        <v>2199</v>
      </c>
      <c r="O319" t="s">
        <v>1495</v>
      </c>
      <c r="P319" s="8">
        <v>5</v>
      </c>
      <c r="Q319" s="8">
        <v>3</v>
      </c>
      <c r="R319" s="8">
        <v>0</v>
      </c>
      <c r="S319" t="s">
        <v>2203</v>
      </c>
      <c r="T319" s="3"/>
      <c r="U319" s="3"/>
      <c r="V319" s="3"/>
    </row>
    <row r="320" spans="1:22" ht="12.45" hidden="1" x14ac:dyDescent="0.2">
      <c r="A320" s="3" t="s">
        <v>2138</v>
      </c>
      <c r="B320" t="s">
        <v>2079</v>
      </c>
      <c r="C320" s="24"/>
      <c r="D320" s="24"/>
      <c r="E320" s="24"/>
      <c r="F320" t="str">
        <f>VLOOKUP(O320,pearl!$B:$E,4,0)</f>
        <v>☿</v>
      </c>
      <c r="G320" t="str">
        <f>VLOOKUP(IF(F320="Дом",H320,F320),pearl!$D$28:$F$32,3,0)</f>
        <v>Меркурий</v>
      </c>
      <c r="H320" t="str">
        <f>VLOOKUP(O320,pearl!$B:$E,3,0)</f>
        <v>☿Посланник</v>
      </c>
      <c r="I320" t="s">
        <v>34</v>
      </c>
      <c r="J320" t="s">
        <v>22</v>
      </c>
      <c r="K320" t="s">
        <v>23</v>
      </c>
      <c r="L320" t="s">
        <v>1095</v>
      </c>
      <c r="N320" t="s">
        <v>2199</v>
      </c>
      <c r="O320" t="s">
        <v>1495</v>
      </c>
      <c r="P320" s="8">
        <v>4</v>
      </c>
      <c r="Q320" s="8">
        <v>2</v>
      </c>
      <c r="R320" s="8">
        <v>0</v>
      </c>
      <c r="S320" t="s">
        <v>2200</v>
      </c>
      <c r="T320" s="3"/>
      <c r="U320" s="3"/>
      <c r="V320" s="3"/>
    </row>
    <row r="321" spans="1:22" ht="12.45" hidden="1" x14ac:dyDescent="0.2">
      <c r="A321" s="3" t="s">
        <v>2138</v>
      </c>
      <c r="B321" t="s">
        <v>2021</v>
      </c>
      <c r="C321" s="24"/>
      <c r="D321" s="24"/>
      <c r="E321" s="24"/>
      <c r="F321" t="str">
        <f>VLOOKUP(O321,pearl!$B:$E,4,0)</f>
        <v>☿</v>
      </c>
      <c r="G321" t="str">
        <f>VLOOKUP(IF(F321="Дом",H321,F321),pearl!$D$28:$F$32,3,0)</f>
        <v>Меркурий</v>
      </c>
      <c r="H321" t="str">
        <f>VLOOKUP(O321,pearl!$B:$E,3,0)</f>
        <v>☿Посланник</v>
      </c>
      <c r="I321" t="s">
        <v>147</v>
      </c>
      <c r="J321" t="s">
        <v>148</v>
      </c>
      <c r="K321" t="s">
        <v>23</v>
      </c>
      <c r="L321" t="s">
        <v>148</v>
      </c>
      <c r="N321" t="s">
        <v>2199</v>
      </c>
      <c r="O321" t="s">
        <v>1495</v>
      </c>
      <c r="P321" s="8">
        <v>5</v>
      </c>
      <c r="Q321" s="8">
        <v>3</v>
      </c>
      <c r="R321" s="8">
        <v>0</v>
      </c>
      <c r="S321" t="s">
        <v>2196</v>
      </c>
      <c r="T321" s="3"/>
      <c r="U321" s="3"/>
      <c r="V321" s="3"/>
    </row>
    <row r="322" spans="1:22" ht="12.45" hidden="1" x14ac:dyDescent="0.2">
      <c r="A322" s="3" t="s">
        <v>2138</v>
      </c>
      <c r="B322" t="s">
        <v>2204</v>
      </c>
      <c r="C322" s="24"/>
      <c r="D322" s="24"/>
      <c r="E322" s="24"/>
      <c r="F322" t="str">
        <f>VLOOKUP(O322,pearl!$B:$E,4,0)</f>
        <v>☿</v>
      </c>
      <c r="G322" t="str">
        <f>VLOOKUP(IF(F322="Дом",H322,F322),pearl!$D$28:$F$32,3,0)</f>
        <v>Меркурий</v>
      </c>
      <c r="H322" t="str">
        <f>VLOOKUP(O322,pearl!$B:$E,3,0)</f>
        <v>☿Посланник</v>
      </c>
      <c r="I322" t="s">
        <v>264</v>
      </c>
      <c r="J322" t="s">
        <v>22</v>
      </c>
      <c r="K322" t="s">
        <v>23</v>
      </c>
      <c r="L322" t="s">
        <v>2106</v>
      </c>
      <c r="N322" t="s">
        <v>2205</v>
      </c>
      <c r="O322" t="s">
        <v>1495</v>
      </c>
      <c r="P322" s="8">
        <v>5</v>
      </c>
      <c r="Q322" s="8">
        <v>3</v>
      </c>
      <c r="R322" s="8">
        <v>0</v>
      </c>
      <c r="S322" t="s">
        <v>2206</v>
      </c>
      <c r="T322" s="3"/>
      <c r="U322" s="3"/>
      <c r="V322" s="3"/>
    </row>
    <row r="323" spans="1:22" ht="12.45" hidden="1" x14ac:dyDescent="0.2">
      <c r="A323" s="3" t="s">
        <v>2138</v>
      </c>
      <c r="B323" t="s">
        <v>2185</v>
      </c>
      <c r="C323" s="24"/>
      <c r="D323" s="24"/>
      <c r="E323" s="24"/>
      <c r="F323" t="str">
        <f>VLOOKUP(O323,pearl!$B:$E,4,0)</f>
        <v>☿</v>
      </c>
      <c r="G323" t="str">
        <f>VLOOKUP(IF(F323="Дом",H323,F323),pearl!$D$28:$F$32,3,0)</f>
        <v>Меркурий</v>
      </c>
      <c r="H323" t="str">
        <f>VLOOKUP(O323,pearl!$B:$E,3,0)</f>
        <v>☿Посланник</v>
      </c>
      <c r="I323" t="s">
        <v>175</v>
      </c>
      <c r="J323" t="s">
        <v>22</v>
      </c>
      <c r="K323" t="s">
        <v>2098</v>
      </c>
      <c r="L323" t="s">
        <v>2106</v>
      </c>
      <c r="N323" t="s">
        <v>2184</v>
      </c>
      <c r="O323" t="s">
        <v>1495</v>
      </c>
      <c r="P323" s="8">
        <v>2</v>
      </c>
      <c r="Q323" s="8">
        <v>1</v>
      </c>
      <c r="R323" s="8">
        <v>0</v>
      </c>
      <c r="S323" t="s">
        <v>23</v>
      </c>
      <c r="T323" s="3"/>
      <c r="U323" s="3"/>
      <c r="V323" s="3"/>
    </row>
    <row r="324" spans="1:22" ht="12.45" hidden="1" x14ac:dyDescent="0.2">
      <c r="A324" s="3" t="s">
        <v>2138</v>
      </c>
      <c r="B324" t="s">
        <v>2207</v>
      </c>
      <c r="C324" s="24"/>
      <c r="D324" s="24"/>
      <c r="E324" s="24"/>
      <c r="F324" t="str">
        <f>VLOOKUP(O324,pearl!$B:$E,4,0)</f>
        <v>☿</v>
      </c>
      <c r="G324" t="str">
        <f>VLOOKUP(IF(F324="Дом",H324,F324),pearl!$D$28:$F$32,3,0)</f>
        <v>Меркурий</v>
      </c>
      <c r="H324" t="str">
        <f>VLOOKUP(O324,pearl!$B:$E,3,0)</f>
        <v>☿Посланник</v>
      </c>
      <c r="I324" t="s">
        <v>2208</v>
      </c>
      <c r="J324" t="s">
        <v>148</v>
      </c>
      <c r="K324" t="s">
        <v>23</v>
      </c>
      <c r="L324" t="s">
        <v>148</v>
      </c>
      <c r="N324" t="s">
        <v>2205</v>
      </c>
      <c r="O324" t="s">
        <v>1495</v>
      </c>
      <c r="P324" s="8">
        <v>5</v>
      </c>
      <c r="Q324" s="8">
        <v>3</v>
      </c>
      <c r="R324" s="8">
        <v>0</v>
      </c>
      <c r="S324" t="s">
        <v>2193</v>
      </c>
      <c r="T324" s="3"/>
      <c r="U324" s="3"/>
      <c r="V324" s="3"/>
    </row>
    <row r="325" spans="1:22" ht="12.45" hidden="1" x14ac:dyDescent="0.2">
      <c r="A325" s="3" t="s">
        <v>2138</v>
      </c>
      <c r="B325" t="s">
        <v>2193</v>
      </c>
      <c r="C325" s="24"/>
      <c r="D325" s="24"/>
      <c r="E325" s="24"/>
      <c r="F325" t="str">
        <f>VLOOKUP(O325,pearl!$B:$E,4,0)</f>
        <v>☿</v>
      </c>
      <c r="G325" t="str">
        <f>VLOOKUP(IF(F325="Дом",H325,F325),pearl!$D$28:$F$32,3,0)</f>
        <v>Меркурий</v>
      </c>
      <c r="H325" t="str">
        <f>VLOOKUP(O325,pearl!$B:$E,3,0)</f>
        <v>☿Посланник</v>
      </c>
      <c r="I325" t="s">
        <v>53</v>
      </c>
      <c r="J325" t="s">
        <v>22</v>
      </c>
      <c r="K325" t="s">
        <v>23</v>
      </c>
      <c r="L325" t="s">
        <v>182</v>
      </c>
      <c r="N325" t="s">
        <v>2191</v>
      </c>
      <c r="O325" t="s">
        <v>1495</v>
      </c>
      <c r="P325" s="8">
        <v>3</v>
      </c>
      <c r="Q325" s="8">
        <v>2</v>
      </c>
      <c r="R325" s="8">
        <v>0</v>
      </c>
      <c r="S325" t="s">
        <v>2185</v>
      </c>
      <c r="T325" s="3"/>
      <c r="U325" s="3"/>
      <c r="V325" s="3"/>
    </row>
    <row r="326" spans="1:22" ht="12.45" hidden="1" x14ac:dyDescent="0.2">
      <c r="A326" s="3" t="s">
        <v>2138</v>
      </c>
      <c r="B326" t="s">
        <v>2077</v>
      </c>
      <c r="C326" s="24"/>
      <c r="D326" s="24"/>
      <c r="E326" s="24"/>
      <c r="F326" t="str">
        <f>VLOOKUP(O326,pearl!$B:$E,4,0)</f>
        <v>☿</v>
      </c>
      <c r="G326" t="str">
        <f>VLOOKUP(IF(F326="Дом",H326,F326),pearl!$D$28:$F$32,3,0)</f>
        <v>Меркурий</v>
      </c>
      <c r="H326" t="str">
        <f>VLOOKUP(O326,pearl!$B:$E,3,0)</f>
        <v>☿Посланник</v>
      </c>
      <c r="I326" t="s">
        <v>2063</v>
      </c>
      <c r="J326" t="s">
        <v>28</v>
      </c>
      <c r="K326" t="s">
        <v>23</v>
      </c>
      <c r="L326" t="s">
        <v>2186</v>
      </c>
      <c r="N326" t="s">
        <v>2184</v>
      </c>
      <c r="O326" t="s">
        <v>1495</v>
      </c>
      <c r="P326" s="8">
        <v>3</v>
      </c>
      <c r="Q326" s="8">
        <v>1</v>
      </c>
      <c r="R326" s="8">
        <v>0</v>
      </c>
      <c r="S326" t="s">
        <v>23</v>
      </c>
      <c r="T326" s="3"/>
      <c r="U326" s="3"/>
      <c r="V326" s="3"/>
    </row>
    <row r="327" spans="1:22" ht="12.45" hidden="1" x14ac:dyDescent="0.2">
      <c r="A327" s="3" t="s">
        <v>2138</v>
      </c>
      <c r="B327" t="s">
        <v>2189</v>
      </c>
      <c r="C327" s="24"/>
      <c r="D327" s="24"/>
      <c r="E327" s="24"/>
      <c r="F327" t="str">
        <f>VLOOKUP(O327,pearl!$B:$E,4,0)</f>
        <v>☿</v>
      </c>
      <c r="G327" t="str">
        <f>VLOOKUP(IF(F327="Дом",H327,F327),pearl!$D$28:$F$32,3,0)</f>
        <v>Меркурий</v>
      </c>
      <c r="H327" t="str">
        <f>VLOOKUP(O327,pearl!$B:$E,3,0)</f>
        <v>☿Посланник</v>
      </c>
      <c r="I327" t="s">
        <v>2190</v>
      </c>
      <c r="J327" t="s">
        <v>28</v>
      </c>
      <c r="K327" t="s">
        <v>23</v>
      </c>
      <c r="L327" t="s">
        <v>18</v>
      </c>
      <c r="N327" t="s">
        <v>2191</v>
      </c>
      <c r="O327" t="s">
        <v>1495</v>
      </c>
      <c r="P327" s="8">
        <v>3</v>
      </c>
      <c r="Q327" s="8">
        <v>1</v>
      </c>
      <c r="R327" s="8">
        <v>0</v>
      </c>
      <c r="S327" t="s">
        <v>23</v>
      </c>
      <c r="T327" s="3"/>
      <c r="U327" s="3"/>
      <c r="V327" s="3"/>
    </row>
    <row r="328" spans="1:22" ht="12.45" hidden="1" x14ac:dyDescent="0.2">
      <c r="A328" s="3" t="s">
        <v>2138</v>
      </c>
      <c r="B328" t="s">
        <v>2081</v>
      </c>
      <c r="C328" s="24"/>
      <c r="D328" s="24"/>
      <c r="E328" s="24"/>
      <c r="F328" t="str">
        <f>VLOOKUP(O328,pearl!$B:$E,4,0)</f>
        <v>☿</v>
      </c>
      <c r="G328" t="str">
        <f>VLOOKUP(IF(F328="Дом",H328,F328),pearl!$D$28:$F$32,3,0)</f>
        <v>Меркурий</v>
      </c>
      <c r="H328" t="str">
        <f>VLOOKUP(O328,pearl!$B:$E,3,0)</f>
        <v>☿Посланник</v>
      </c>
      <c r="I328" t="s">
        <v>43</v>
      </c>
      <c r="J328" t="s">
        <v>28</v>
      </c>
      <c r="K328" t="s">
        <v>23</v>
      </c>
      <c r="L328" t="s">
        <v>563</v>
      </c>
      <c r="N328" t="s">
        <v>2210</v>
      </c>
      <c r="O328" t="s">
        <v>1495</v>
      </c>
      <c r="P328" s="8">
        <v>5</v>
      </c>
      <c r="Q328" s="8">
        <v>5</v>
      </c>
      <c r="R328" s="8">
        <v>0</v>
      </c>
      <c r="S328" t="s">
        <v>2211</v>
      </c>
      <c r="T328" s="3"/>
      <c r="U328" s="3"/>
      <c r="V328" s="3"/>
    </row>
    <row r="329" spans="1:22" ht="12.45" hidden="1" x14ac:dyDescent="0.2">
      <c r="A329" s="3" t="s">
        <v>2138</v>
      </c>
      <c r="B329" t="s">
        <v>2196</v>
      </c>
      <c r="C329" s="24"/>
      <c r="D329" s="24"/>
      <c r="E329" s="24"/>
      <c r="F329" t="str">
        <f>VLOOKUP(O329,pearl!$B:$E,4,0)</f>
        <v>☿</v>
      </c>
      <c r="G329" t="str">
        <f>VLOOKUP(IF(F329="Дом",H329,F329),pearl!$D$28:$F$32,3,0)</f>
        <v>Меркурий</v>
      </c>
      <c r="H329" t="str">
        <f>VLOOKUP(O329,pearl!$B:$E,3,0)</f>
        <v>☿Посланник</v>
      </c>
      <c r="I329" t="s">
        <v>1843</v>
      </c>
      <c r="J329" t="s">
        <v>28</v>
      </c>
      <c r="K329" t="s">
        <v>23</v>
      </c>
      <c r="L329" t="s">
        <v>18</v>
      </c>
      <c r="N329" t="s">
        <v>2197</v>
      </c>
      <c r="O329" t="s">
        <v>1495</v>
      </c>
      <c r="P329" s="8">
        <v>3</v>
      </c>
      <c r="Q329" s="8">
        <v>2</v>
      </c>
      <c r="R329" s="8">
        <v>0</v>
      </c>
      <c r="S329" t="s">
        <v>2077</v>
      </c>
      <c r="T329" s="3"/>
      <c r="U329" s="3"/>
      <c r="V329" s="3"/>
    </row>
    <row r="330" spans="1:22" ht="12.45" hidden="1" x14ac:dyDescent="0.2">
      <c r="A330" s="3" t="s">
        <v>2138</v>
      </c>
      <c r="B330" t="s">
        <v>2209</v>
      </c>
      <c r="C330" s="24"/>
      <c r="D330" s="24"/>
      <c r="E330" s="24"/>
      <c r="F330" t="str">
        <f>VLOOKUP(O330,pearl!$B:$E,4,0)</f>
        <v>☿</v>
      </c>
      <c r="G330" t="str">
        <f>VLOOKUP(IF(F330="Дом",H330,F330),pearl!$D$28:$F$32,3,0)</f>
        <v>Меркурий</v>
      </c>
      <c r="H330" t="str">
        <f>VLOOKUP(O330,pearl!$B:$E,3,0)</f>
        <v>☿Посланник</v>
      </c>
      <c r="I330" t="s">
        <v>264</v>
      </c>
      <c r="J330" t="s">
        <v>28</v>
      </c>
      <c r="K330" t="s">
        <v>889</v>
      </c>
      <c r="L330" t="s">
        <v>182</v>
      </c>
      <c r="N330" t="s">
        <v>2205</v>
      </c>
      <c r="O330" t="s">
        <v>1495</v>
      </c>
      <c r="P330" s="8">
        <v>5</v>
      </c>
      <c r="Q330" s="8">
        <v>4</v>
      </c>
      <c r="R330" s="8">
        <v>0</v>
      </c>
      <c r="S330" t="s">
        <v>2086</v>
      </c>
      <c r="T330" s="3"/>
      <c r="U330" s="3"/>
      <c r="V330" s="3"/>
    </row>
    <row r="331" spans="1:22" ht="12.45" hidden="1" x14ac:dyDescent="0.2">
      <c r="A331" s="3" t="s">
        <v>2138</v>
      </c>
      <c r="B331" t="s">
        <v>2078</v>
      </c>
      <c r="C331" s="24"/>
      <c r="D331" s="24"/>
      <c r="E331" s="24"/>
      <c r="F331" t="str">
        <f>VLOOKUP(O331,pearl!$B:$E,4,0)</f>
        <v>☿</v>
      </c>
      <c r="G331" t="str">
        <f>VLOOKUP(IF(F331="Дом",H331,F331),pearl!$D$28:$F$32,3,0)</f>
        <v>Меркурий</v>
      </c>
      <c r="H331" t="str">
        <f>VLOOKUP(O331,pearl!$B:$E,3,0)</f>
        <v>☿Посланник</v>
      </c>
      <c r="I331" t="s">
        <v>43</v>
      </c>
      <c r="J331" t="s">
        <v>28</v>
      </c>
      <c r="K331" t="s">
        <v>23</v>
      </c>
      <c r="L331" t="s">
        <v>2192</v>
      </c>
      <c r="N331" t="s">
        <v>2191</v>
      </c>
      <c r="O331" t="s">
        <v>1495</v>
      </c>
      <c r="P331" s="8">
        <v>3</v>
      </c>
      <c r="Q331" s="8">
        <v>1</v>
      </c>
      <c r="R331" s="8">
        <v>0</v>
      </c>
      <c r="S331" t="s">
        <v>23</v>
      </c>
      <c r="T331" s="3"/>
      <c r="U331" s="3"/>
      <c r="V331" s="3"/>
    </row>
    <row r="332" spans="1:22" ht="12.45" hidden="1" x14ac:dyDescent="0.2">
      <c r="A332" s="3" t="s">
        <v>2138</v>
      </c>
      <c r="B332" t="s">
        <v>2212</v>
      </c>
      <c r="C332" s="24"/>
      <c r="D332" s="24"/>
      <c r="E332" s="24"/>
      <c r="F332" t="str">
        <f>VLOOKUP(O332,pearl!$B:$E,4,0)</f>
        <v>☿</v>
      </c>
      <c r="G332" t="str">
        <f>VLOOKUP(IF(F332="Дом",H332,F332),pearl!$D$28:$F$32,3,0)</f>
        <v>Меркурий</v>
      </c>
      <c r="H332" t="str">
        <f>VLOOKUP(O332,pearl!$B:$E,3,0)</f>
        <v>☿Капитан</v>
      </c>
      <c r="I332" t="s">
        <v>147</v>
      </c>
      <c r="J332" t="s">
        <v>148</v>
      </c>
      <c r="K332" t="s">
        <v>23</v>
      </c>
      <c r="L332" t="s">
        <v>148</v>
      </c>
      <c r="N332" t="s">
        <v>2210</v>
      </c>
      <c r="O332" t="s">
        <v>1571</v>
      </c>
      <c r="P332" s="8">
        <v>1</v>
      </c>
      <c r="Q332" s="8">
        <v>1</v>
      </c>
      <c r="R332" s="8">
        <v>0</v>
      </c>
      <c r="S332" t="s">
        <v>23</v>
      </c>
      <c r="T332" s="3"/>
      <c r="U332" s="3"/>
      <c r="V332" s="3"/>
    </row>
    <row r="333" spans="1:22" ht="12.45" hidden="1" x14ac:dyDescent="0.2">
      <c r="A333" s="3" t="s">
        <v>2138</v>
      </c>
      <c r="B333" t="s">
        <v>2221</v>
      </c>
      <c r="C333" s="24"/>
      <c r="D333" s="24"/>
      <c r="E333" s="24"/>
      <c r="F333" t="str">
        <f>VLOOKUP(O333,pearl!$B:$E,4,0)</f>
        <v>☿</v>
      </c>
      <c r="G333" t="str">
        <f>VLOOKUP(IF(F333="Дом",H333,F333),pearl!$D$28:$F$32,3,0)</f>
        <v>Меркурий</v>
      </c>
      <c r="H333" t="str">
        <f>VLOOKUP(O333,pearl!$B:$E,3,0)</f>
        <v>☿Капитан</v>
      </c>
      <c r="I333" t="s">
        <v>43</v>
      </c>
      <c r="J333" t="s">
        <v>22</v>
      </c>
      <c r="K333" t="s">
        <v>23</v>
      </c>
      <c r="L333" t="s">
        <v>182</v>
      </c>
      <c r="N333" t="s">
        <v>2220</v>
      </c>
      <c r="O333" t="s">
        <v>1571</v>
      </c>
      <c r="P333" s="8">
        <v>4</v>
      </c>
      <c r="Q333" s="8">
        <v>2</v>
      </c>
      <c r="R333" s="8">
        <v>0</v>
      </c>
      <c r="S333" t="s">
        <v>2216</v>
      </c>
      <c r="T333" s="3"/>
      <c r="U333" s="3"/>
      <c r="V333" s="3"/>
    </row>
    <row r="334" spans="1:22" ht="12.45" hidden="1" x14ac:dyDescent="0.2">
      <c r="A334" s="3" t="s">
        <v>2138</v>
      </c>
      <c r="B334" t="s">
        <v>2234</v>
      </c>
      <c r="C334" s="24"/>
      <c r="D334" s="24"/>
      <c r="E334" s="24"/>
      <c r="F334" t="str">
        <f>VLOOKUP(O334,pearl!$B:$E,4,0)</f>
        <v>☿</v>
      </c>
      <c r="G334" t="str">
        <f>VLOOKUP(IF(F334="Дом",H334,F334),pearl!$D$28:$F$32,3,0)</f>
        <v>Меркурий</v>
      </c>
      <c r="H334" t="str">
        <f>VLOOKUP(O334,pearl!$B:$E,3,0)</f>
        <v>☿Капитан</v>
      </c>
      <c r="I334" t="s">
        <v>1020</v>
      </c>
      <c r="J334" t="s">
        <v>28</v>
      </c>
      <c r="K334" t="s">
        <v>2165</v>
      </c>
      <c r="L334" t="s">
        <v>2235</v>
      </c>
      <c r="N334" t="s">
        <v>2233</v>
      </c>
      <c r="O334" t="s">
        <v>1571</v>
      </c>
      <c r="P334" s="8">
        <v>5</v>
      </c>
      <c r="Q334" s="8">
        <v>4</v>
      </c>
      <c r="R334" s="8">
        <v>0</v>
      </c>
      <c r="S334" t="s">
        <v>2232</v>
      </c>
      <c r="T334" s="3"/>
      <c r="U334" s="3"/>
      <c r="V334" s="3"/>
    </row>
    <row r="335" spans="1:22" ht="12.45" hidden="1" x14ac:dyDescent="0.2">
      <c r="A335" s="3" t="s">
        <v>2138</v>
      </c>
      <c r="B335" t="s">
        <v>2232</v>
      </c>
      <c r="C335" s="24"/>
      <c r="D335" s="24"/>
      <c r="E335" s="24"/>
      <c r="F335" t="str">
        <f>VLOOKUP(O335,pearl!$B:$E,4,0)</f>
        <v>☿</v>
      </c>
      <c r="G335" t="str">
        <f>VLOOKUP(IF(F335="Дом",H335,F335),pearl!$D$28:$F$32,3,0)</f>
        <v>Меркурий</v>
      </c>
      <c r="H335" t="str">
        <f>VLOOKUP(O335,pearl!$B:$E,3,0)</f>
        <v>☿Капитан</v>
      </c>
      <c r="I335" t="s">
        <v>264</v>
      </c>
      <c r="J335" t="s">
        <v>28</v>
      </c>
      <c r="K335" t="s">
        <v>2165</v>
      </c>
      <c r="L335" t="s">
        <v>18</v>
      </c>
      <c r="N335" t="s">
        <v>2233</v>
      </c>
      <c r="O335" t="s">
        <v>1571</v>
      </c>
      <c r="P335" s="8">
        <v>5</v>
      </c>
      <c r="Q335" s="8">
        <v>3</v>
      </c>
      <c r="R335" s="8">
        <v>0</v>
      </c>
      <c r="S335" t="s">
        <v>2229</v>
      </c>
      <c r="T335" s="3"/>
      <c r="U335" s="3"/>
      <c r="V335" s="3"/>
    </row>
    <row r="336" spans="1:22" ht="12.45" hidden="1" x14ac:dyDescent="0.2">
      <c r="A336" s="3" t="s">
        <v>2138</v>
      </c>
      <c r="B336" t="s">
        <v>2236</v>
      </c>
      <c r="C336" s="24"/>
      <c r="D336" s="24"/>
      <c r="E336" s="24"/>
      <c r="F336" t="str">
        <f>VLOOKUP(O336,pearl!$B:$E,4,0)</f>
        <v>☿</v>
      </c>
      <c r="G336" t="str">
        <f>VLOOKUP(IF(F336="Дом",H336,F336),pearl!$D$28:$F$32,3,0)</f>
        <v>Меркурий</v>
      </c>
      <c r="H336" t="str">
        <f>VLOOKUP(O336,pearl!$B:$E,3,0)</f>
        <v>☿Капитан</v>
      </c>
      <c r="I336" t="s">
        <v>264</v>
      </c>
      <c r="J336" t="s">
        <v>28</v>
      </c>
      <c r="K336" t="s">
        <v>23</v>
      </c>
      <c r="L336" t="s">
        <v>2237</v>
      </c>
      <c r="N336" t="s">
        <v>2233</v>
      </c>
      <c r="O336" t="s">
        <v>1571</v>
      </c>
      <c r="P336" s="8">
        <v>5</v>
      </c>
      <c r="Q336" s="8">
        <v>5</v>
      </c>
      <c r="R336" s="8">
        <v>0</v>
      </c>
      <c r="S336" t="s">
        <v>1648</v>
      </c>
      <c r="T336" s="3"/>
      <c r="U336" s="3"/>
      <c r="V336" s="3"/>
    </row>
    <row r="337" spans="1:22" ht="12.45" hidden="1" x14ac:dyDescent="0.2">
      <c r="A337" s="3" t="s">
        <v>2138</v>
      </c>
      <c r="B337" t="s">
        <v>2226</v>
      </c>
      <c r="C337" s="24"/>
      <c r="D337" s="24"/>
      <c r="E337" s="24"/>
      <c r="F337" t="str">
        <f>VLOOKUP(O337,pearl!$B:$E,4,0)</f>
        <v>☿</v>
      </c>
      <c r="G337" t="str">
        <f>VLOOKUP(IF(F337="Дом",H337,F337),pearl!$D$28:$F$32,3,0)</f>
        <v>Меркурий</v>
      </c>
      <c r="H337" t="str">
        <f>VLOOKUP(O337,pearl!$B:$E,3,0)</f>
        <v>☿Капитан</v>
      </c>
      <c r="I337" t="s">
        <v>264</v>
      </c>
      <c r="J337" t="s">
        <v>22</v>
      </c>
      <c r="K337" t="s">
        <v>142</v>
      </c>
      <c r="L337" t="s">
        <v>2106</v>
      </c>
      <c r="N337" t="s">
        <v>2224</v>
      </c>
      <c r="O337" t="s">
        <v>1571</v>
      </c>
      <c r="P337" s="8">
        <v>5</v>
      </c>
      <c r="Q337" s="8">
        <v>3</v>
      </c>
      <c r="R337" s="8">
        <v>0</v>
      </c>
      <c r="S337" t="s">
        <v>2222</v>
      </c>
      <c r="T337" s="3"/>
      <c r="U337" s="3"/>
      <c r="V337" s="3"/>
    </row>
    <row r="338" spans="1:22" ht="12.45" hidden="1" x14ac:dyDescent="0.2">
      <c r="A338" s="3" t="s">
        <v>2138</v>
      </c>
      <c r="B338" t="s">
        <v>2083</v>
      </c>
      <c r="C338" s="24"/>
      <c r="D338" s="24"/>
      <c r="E338" s="24"/>
      <c r="F338" t="str">
        <f>VLOOKUP(O338,pearl!$B:$E,4,0)</f>
        <v>☿</v>
      </c>
      <c r="G338" t="str">
        <f>VLOOKUP(IF(F338="Дом",H338,F338),pearl!$D$28:$F$32,3,0)</f>
        <v>Меркурий</v>
      </c>
      <c r="H338" t="str">
        <f>VLOOKUP(O338,pearl!$B:$E,3,0)</f>
        <v>☿Капитан</v>
      </c>
      <c r="I338" t="s">
        <v>264</v>
      </c>
      <c r="J338" t="s">
        <v>28</v>
      </c>
      <c r="K338" t="s">
        <v>23</v>
      </c>
      <c r="L338" t="s">
        <v>18</v>
      </c>
      <c r="N338" t="s">
        <v>2220</v>
      </c>
      <c r="O338" t="s">
        <v>1571</v>
      </c>
      <c r="P338" s="8">
        <v>4</v>
      </c>
      <c r="Q338" s="8">
        <v>2</v>
      </c>
      <c r="R338" s="8">
        <v>0</v>
      </c>
      <c r="S338" t="s">
        <v>2221</v>
      </c>
      <c r="T338" s="3"/>
      <c r="U338" s="3"/>
      <c r="V338" s="3"/>
    </row>
    <row r="339" spans="1:22" ht="12.45" hidden="1" x14ac:dyDescent="0.2">
      <c r="A339" s="3" t="s">
        <v>2138</v>
      </c>
      <c r="B339" t="s">
        <v>2229</v>
      </c>
      <c r="C339" s="24"/>
      <c r="D339" s="24"/>
      <c r="E339" s="24"/>
      <c r="F339" t="str">
        <f>VLOOKUP(O339,pearl!$B:$E,4,0)</f>
        <v>☿</v>
      </c>
      <c r="G339" t="str">
        <f>VLOOKUP(IF(F339="Дом",H339,F339),pearl!$D$28:$F$32,3,0)</f>
        <v>Меркурий</v>
      </c>
      <c r="H339" t="str">
        <f>VLOOKUP(O339,pearl!$B:$E,3,0)</f>
        <v>☿Капитан</v>
      </c>
      <c r="I339" t="s">
        <v>43</v>
      </c>
      <c r="J339" t="s">
        <v>28</v>
      </c>
      <c r="K339" t="s">
        <v>142</v>
      </c>
      <c r="L339" t="s">
        <v>18</v>
      </c>
      <c r="N339" t="s">
        <v>2230</v>
      </c>
      <c r="O339" t="s">
        <v>1571</v>
      </c>
      <c r="P339" s="8">
        <v>5</v>
      </c>
      <c r="Q339" s="8">
        <v>3</v>
      </c>
      <c r="R339" s="8">
        <v>0</v>
      </c>
      <c r="S339" t="s">
        <v>2231</v>
      </c>
      <c r="T339" s="3"/>
      <c r="U339" s="3"/>
      <c r="V339" s="3"/>
    </row>
    <row r="340" spans="1:22" ht="12.45" hidden="1" x14ac:dyDescent="0.2">
      <c r="A340" s="3" t="s">
        <v>2138</v>
      </c>
      <c r="B340" t="s">
        <v>2227</v>
      </c>
      <c r="C340" s="24"/>
      <c r="D340" s="24"/>
      <c r="E340" s="24"/>
      <c r="F340" t="str">
        <f>VLOOKUP(O340,pearl!$B:$E,4,0)</f>
        <v>☿</v>
      </c>
      <c r="G340" t="str">
        <f>VLOOKUP(IF(F340="Дом",H340,F340),pearl!$D$28:$F$32,3,0)</f>
        <v>Меркурий</v>
      </c>
      <c r="H340" t="str">
        <f>VLOOKUP(O340,pearl!$B:$E,3,0)</f>
        <v>☿Капитан</v>
      </c>
      <c r="I340" t="s">
        <v>43</v>
      </c>
      <c r="J340" t="s">
        <v>28</v>
      </c>
      <c r="K340" t="s">
        <v>1588</v>
      </c>
      <c r="L340" t="s">
        <v>2192</v>
      </c>
      <c r="N340" t="s">
        <v>2224</v>
      </c>
      <c r="O340" t="s">
        <v>1571</v>
      </c>
      <c r="P340" s="8">
        <v>5</v>
      </c>
      <c r="Q340" s="8">
        <v>3</v>
      </c>
      <c r="R340" s="8">
        <v>0</v>
      </c>
      <c r="S340" t="s">
        <v>2228</v>
      </c>
      <c r="T340" s="3"/>
      <c r="U340" s="3"/>
      <c r="V340" s="3"/>
    </row>
    <row r="341" spans="1:22" ht="12.45" hidden="1" x14ac:dyDescent="0.2">
      <c r="A341" s="3" t="s">
        <v>2138</v>
      </c>
      <c r="B341" t="s">
        <v>2222</v>
      </c>
      <c r="C341" s="24"/>
      <c r="D341" s="24"/>
      <c r="E341" s="24"/>
      <c r="F341" t="str">
        <f>VLOOKUP(O341,pearl!$B:$E,4,0)</f>
        <v>☿</v>
      </c>
      <c r="G341" t="str">
        <f>VLOOKUP(IF(F341="Дом",H341,F341),pearl!$D$28:$F$32,3,0)</f>
        <v>Меркурий</v>
      </c>
      <c r="H341" t="str">
        <f>VLOOKUP(O341,pearl!$B:$E,3,0)</f>
        <v>☿Капитан</v>
      </c>
      <c r="I341" t="s">
        <v>264</v>
      </c>
      <c r="J341" t="s">
        <v>28</v>
      </c>
      <c r="K341" t="s">
        <v>2223</v>
      </c>
      <c r="L341" t="s">
        <v>18</v>
      </c>
      <c r="N341" t="s">
        <v>2224</v>
      </c>
      <c r="O341" t="s">
        <v>1571</v>
      </c>
      <c r="P341" s="8">
        <v>5</v>
      </c>
      <c r="Q341" s="8">
        <v>2</v>
      </c>
      <c r="R341" s="8">
        <v>0</v>
      </c>
      <c r="S341" t="s">
        <v>2221</v>
      </c>
      <c r="T341" s="3"/>
      <c r="U341" s="3"/>
      <c r="V341" s="3"/>
    </row>
    <row r="342" spans="1:22" ht="12.45" hidden="1" x14ac:dyDescent="0.2">
      <c r="A342" s="3" t="s">
        <v>2138</v>
      </c>
      <c r="B342" t="s">
        <v>2213</v>
      </c>
      <c r="C342" s="24"/>
      <c r="D342" s="24"/>
      <c r="E342" s="24"/>
      <c r="F342" t="str">
        <f>VLOOKUP(O342,pearl!$B:$E,4,0)</f>
        <v>☿</v>
      </c>
      <c r="G342" t="str">
        <f>VLOOKUP(IF(F342="Дом",H342,F342),pearl!$D$28:$F$32,3,0)</f>
        <v>Меркурий</v>
      </c>
      <c r="H342" t="str">
        <f>VLOOKUP(O342,pearl!$B:$E,3,0)</f>
        <v>☿Капитан</v>
      </c>
      <c r="I342" t="s">
        <v>71</v>
      </c>
      <c r="J342" t="s">
        <v>28</v>
      </c>
      <c r="K342" t="s">
        <v>889</v>
      </c>
      <c r="L342" t="s">
        <v>18</v>
      </c>
      <c r="N342" t="s">
        <v>2214</v>
      </c>
      <c r="O342" t="s">
        <v>1571</v>
      </c>
      <c r="P342" s="8">
        <v>3</v>
      </c>
      <c r="Q342" s="8">
        <v>1</v>
      </c>
      <c r="R342" s="8">
        <v>0</v>
      </c>
      <c r="S342" t="s">
        <v>23</v>
      </c>
      <c r="T342" s="3"/>
      <c r="U342" s="3"/>
      <c r="V342" s="3"/>
    </row>
    <row r="343" spans="1:22" ht="12.45" hidden="1" x14ac:dyDescent="0.2">
      <c r="A343" s="3" t="s">
        <v>2138</v>
      </c>
      <c r="B343" t="s">
        <v>2215</v>
      </c>
      <c r="C343" s="24"/>
      <c r="D343" s="24"/>
      <c r="E343" s="24"/>
      <c r="F343" t="str">
        <f>VLOOKUP(O343,pearl!$B:$E,4,0)</f>
        <v>☿</v>
      </c>
      <c r="G343" t="str">
        <f>VLOOKUP(IF(F343="Дом",H343,F343),pearl!$D$28:$F$32,3,0)</f>
        <v>Меркурий</v>
      </c>
      <c r="H343" t="str">
        <f>VLOOKUP(O343,pearl!$B:$E,3,0)</f>
        <v>☿Капитан</v>
      </c>
      <c r="I343" t="s">
        <v>43</v>
      </c>
      <c r="J343" t="s">
        <v>28</v>
      </c>
      <c r="K343" t="s">
        <v>23</v>
      </c>
      <c r="L343" t="s">
        <v>18</v>
      </c>
      <c r="N343" t="s">
        <v>2214</v>
      </c>
      <c r="O343" t="s">
        <v>1571</v>
      </c>
      <c r="P343" s="8">
        <v>3</v>
      </c>
      <c r="Q343" s="8">
        <v>1</v>
      </c>
      <c r="R343" s="8">
        <v>0</v>
      </c>
      <c r="S343" t="s">
        <v>23</v>
      </c>
      <c r="T343" s="3"/>
      <c r="U343" s="3"/>
      <c r="V343" s="3"/>
    </row>
    <row r="344" spans="1:22" ht="12.45" hidden="1" x14ac:dyDescent="0.2">
      <c r="A344" s="3" t="s">
        <v>2138</v>
      </c>
      <c r="B344" t="s">
        <v>2216</v>
      </c>
      <c r="C344" s="24"/>
      <c r="D344" s="24"/>
      <c r="E344" s="24"/>
      <c r="F344" t="str">
        <f>VLOOKUP(O344,pearl!$B:$E,4,0)</f>
        <v>☿</v>
      </c>
      <c r="G344" t="str">
        <f>VLOOKUP(IF(F344="Дом",H344,F344),pearl!$D$28:$F$32,3,0)</f>
        <v>Меркурий</v>
      </c>
      <c r="H344" t="str">
        <f>VLOOKUP(O344,pearl!$B:$E,3,0)</f>
        <v>☿Капитан</v>
      </c>
      <c r="I344" t="s">
        <v>64</v>
      </c>
      <c r="J344" t="s">
        <v>22</v>
      </c>
      <c r="K344" t="s">
        <v>23</v>
      </c>
      <c r="L344" t="s">
        <v>2106</v>
      </c>
      <c r="N344" t="s">
        <v>2214</v>
      </c>
      <c r="O344" t="s">
        <v>1571</v>
      </c>
      <c r="P344" s="8">
        <v>3</v>
      </c>
      <c r="Q344" s="8">
        <v>1</v>
      </c>
      <c r="R344" s="8">
        <v>0</v>
      </c>
      <c r="S344" t="s">
        <v>23</v>
      </c>
      <c r="T344" s="3"/>
      <c r="U344" s="3"/>
      <c r="V344" s="3"/>
    </row>
    <row r="345" spans="1:22" ht="12.45" hidden="1" x14ac:dyDescent="0.2">
      <c r="A345" s="3" t="s">
        <v>2138</v>
      </c>
      <c r="B345" t="s">
        <v>2217</v>
      </c>
      <c r="C345" s="24"/>
      <c r="D345" s="24"/>
      <c r="E345" s="24"/>
      <c r="F345" t="str">
        <f>VLOOKUP(O345,pearl!$B:$E,4,0)</f>
        <v>☿</v>
      </c>
      <c r="G345" t="str">
        <f>VLOOKUP(IF(F345="Дом",H345,F345),pearl!$D$28:$F$32,3,0)</f>
        <v>Меркурий</v>
      </c>
      <c r="H345" t="str">
        <f>VLOOKUP(O345,pearl!$B:$E,3,0)</f>
        <v>☿Капитан</v>
      </c>
      <c r="I345" t="s">
        <v>43</v>
      </c>
      <c r="J345" t="s">
        <v>28</v>
      </c>
      <c r="K345" t="s">
        <v>23</v>
      </c>
      <c r="L345" t="s">
        <v>563</v>
      </c>
      <c r="N345" t="s">
        <v>2214</v>
      </c>
      <c r="O345" t="s">
        <v>1571</v>
      </c>
      <c r="P345" s="8">
        <v>3</v>
      </c>
      <c r="Q345" s="8">
        <v>1</v>
      </c>
      <c r="R345" s="8">
        <v>0</v>
      </c>
      <c r="S345" t="s">
        <v>23</v>
      </c>
      <c r="T345" s="3"/>
      <c r="U345" s="3"/>
      <c r="V345" s="3"/>
    </row>
    <row r="346" spans="1:22" ht="12.45" hidden="1" x14ac:dyDescent="0.2">
      <c r="A346" s="3" t="s">
        <v>2138</v>
      </c>
      <c r="B346" t="s">
        <v>2225</v>
      </c>
      <c r="C346" s="24"/>
      <c r="D346" s="24"/>
      <c r="E346" s="24"/>
      <c r="F346" t="str">
        <f>VLOOKUP(O346,pearl!$B:$E,4,0)</f>
        <v>☿</v>
      </c>
      <c r="G346" t="str">
        <f>VLOOKUP(IF(F346="Дом",H346,F346),pearl!$D$28:$F$32,3,0)</f>
        <v>Меркурий</v>
      </c>
      <c r="H346" t="str">
        <f>VLOOKUP(O346,pearl!$B:$E,3,0)</f>
        <v>☿Капитан</v>
      </c>
      <c r="I346" t="s">
        <v>53</v>
      </c>
      <c r="J346" t="s">
        <v>28</v>
      </c>
      <c r="K346" t="s">
        <v>23</v>
      </c>
      <c r="L346" t="s">
        <v>563</v>
      </c>
      <c r="N346" t="s">
        <v>2224</v>
      </c>
      <c r="O346" t="s">
        <v>1571</v>
      </c>
      <c r="P346" s="8">
        <v>4</v>
      </c>
      <c r="Q346" s="8">
        <v>2</v>
      </c>
      <c r="R346" s="8">
        <v>0</v>
      </c>
      <c r="S346" t="s">
        <v>2213</v>
      </c>
      <c r="T346" s="3"/>
      <c r="U346" s="3"/>
      <c r="V346" s="3"/>
    </row>
    <row r="347" spans="1:22" ht="12.45" hidden="1" x14ac:dyDescent="0.2">
      <c r="A347" s="3" t="s">
        <v>2138</v>
      </c>
      <c r="B347" t="s">
        <v>2218</v>
      </c>
      <c r="C347" s="24"/>
      <c r="D347" s="24"/>
      <c r="E347" s="24"/>
      <c r="F347" t="str">
        <f>VLOOKUP(O347,pearl!$B:$E,4,0)</f>
        <v>☿</v>
      </c>
      <c r="G347" t="str">
        <f>VLOOKUP(IF(F347="Дом",H347,F347),pearl!$D$28:$F$32,3,0)</f>
        <v>Меркурий</v>
      </c>
      <c r="H347" t="str">
        <f>VLOOKUP(O347,pearl!$B:$E,3,0)</f>
        <v>☿Капитан</v>
      </c>
      <c r="I347" t="s">
        <v>34</v>
      </c>
      <c r="J347" t="s">
        <v>28</v>
      </c>
      <c r="K347" t="s">
        <v>2219</v>
      </c>
      <c r="L347" t="s">
        <v>18</v>
      </c>
      <c r="N347" t="s">
        <v>2220</v>
      </c>
      <c r="O347" t="s">
        <v>1571</v>
      </c>
      <c r="P347" s="8">
        <v>3</v>
      </c>
      <c r="Q347" s="8">
        <v>1</v>
      </c>
      <c r="R347" s="8">
        <v>0</v>
      </c>
      <c r="S347" t="s">
        <v>23</v>
      </c>
      <c r="T347" s="3"/>
      <c r="U347" s="3"/>
      <c r="V347" s="3"/>
    </row>
    <row r="348" spans="1:22" ht="12.45" hidden="1" x14ac:dyDescent="0.2">
      <c r="A348" s="3" t="s">
        <v>2138</v>
      </c>
      <c r="B348" t="s">
        <v>2238</v>
      </c>
      <c r="C348" s="24"/>
      <c r="D348" s="24"/>
      <c r="E348" s="24"/>
      <c r="F348" t="str">
        <f>VLOOKUP(O348,pearl!$B:$E,4,0)</f>
        <v>☿</v>
      </c>
      <c r="G348" t="str">
        <f>VLOOKUP(IF(F348="Дом",H348,F348),pearl!$D$28:$F$32,3,0)</f>
        <v>Меркурий</v>
      </c>
      <c r="H348" t="str">
        <f>VLOOKUP(O348,pearl!$B:$E,3,0)</f>
        <v>☿Штурвал</v>
      </c>
      <c r="I348" t="s">
        <v>34</v>
      </c>
      <c r="J348" t="s">
        <v>22</v>
      </c>
      <c r="K348" t="s">
        <v>23</v>
      </c>
      <c r="L348" t="s">
        <v>2106</v>
      </c>
      <c r="N348" t="s">
        <v>2239</v>
      </c>
      <c r="O348" t="s">
        <v>1834</v>
      </c>
      <c r="P348" s="8">
        <v>1</v>
      </c>
      <c r="Q348" s="8">
        <v>1</v>
      </c>
      <c r="R348" s="8">
        <v>0</v>
      </c>
      <c r="S348" t="s">
        <v>23</v>
      </c>
      <c r="T348" s="3"/>
      <c r="U348" s="3"/>
      <c r="V348" s="3"/>
    </row>
    <row r="349" spans="1:22" ht="12.45" hidden="1" x14ac:dyDescent="0.2">
      <c r="A349" s="3" t="s">
        <v>2138</v>
      </c>
      <c r="B349" t="s">
        <v>2240</v>
      </c>
      <c r="C349" s="24"/>
      <c r="D349" s="24"/>
      <c r="E349" s="24"/>
      <c r="F349" t="str">
        <f>VLOOKUP(O349,pearl!$B:$E,4,0)</f>
        <v>☿</v>
      </c>
      <c r="G349" t="str">
        <f>VLOOKUP(IF(F349="Дом",H349,F349),pearl!$D$28:$F$32,3,0)</f>
        <v>Меркурий</v>
      </c>
      <c r="H349" t="str">
        <f>VLOOKUP(O349,pearl!$B:$E,3,0)</f>
        <v>☿Штурвал</v>
      </c>
      <c r="I349" t="s">
        <v>154</v>
      </c>
      <c r="J349" t="s">
        <v>28</v>
      </c>
      <c r="K349" t="s">
        <v>23</v>
      </c>
      <c r="L349" t="s">
        <v>182</v>
      </c>
      <c r="N349" t="s">
        <v>2239</v>
      </c>
      <c r="O349" t="s">
        <v>1834</v>
      </c>
      <c r="P349" s="8">
        <v>1</v>
      </c>
      <c r="Q349" s="8">
        <v>1</v>
      </c>
      <c r="R349" s="8">
        <v>0</v>
      </c>
      <c r="S349" t="s">
        <v>23</v>
      </c>
      <c r="T349" s="3"/>
      <c r="U349" s="3"/>
      <c r="V349" s="3"/>
    </row>
    <row r="350" spans="1:22" ht="12.45" hidden="1" x14ac:dyDescent="0.2">
      <c r="A350" s="3" t="s">
        <v>2138</v>
      </c>
      <c r="B350" t="s">
        <v>2252</v>
      </c>
      <c r="C350" s="24"/>
      <c r="D350" s="24"/>
      <c r="E350" s="24"/>
      <c r="F350" t="str">
        <f>VLOOKUP(O350,pearl!$B:$E,4,0)</f>
        <v>☿</v>
      </c>
      <c r="G350" t="str">
        <f>VLOOKUP(IF(F350="Дом",H350,F350),pearl!$D$28:$F$32,3,0)</f>
        <v>Меркурий</v>
      </c>
      <c r="H350" t="str">
        <f>VLOOKUP(O350,pearl!$B:$E,3,0)</f>
        <v>☿Штурвал</v>
      </c>
      <c r="I350" t="s">
        <v>43</v>
      </c>
      <c r="J350" t="s">
        <v>28</v>
      </c>
      <c r="K350" t="s">
        <v>23</v>
      </c>
      <c r="L350" t="s">
        <v>18</v>
      </c>
      <c r="N350" t="s">
        <v>2253</v>
      </c>
      <c r="O350" t="s">
        <v>1834</v>
      </c>
      <c r="P350" s="8">
        <v>5</v>
      </c>
      <c r="Q350" s="8">
        <v>3</v>
      </c>
      <c r="R350" s="8">
        <v>0</v>
      </c>
      <c r="S350" t="s">
        <v>2254</v>
      </c>
      <c r="T350" s="3"/>
      <c r="U350" s="3"/>
      <c r="V350" s="3"/>
    </row>
    <row r="351" spans="1:22" ht="12.45" hidden="1" x14ac:dyDescent="0.2">
      <c r="A351" s="3" t="s">
        <v>2138</v>
      </c>
      <c r="B351" t="s">
        <v>2241</v>
      </c>
      <c r="C351" s="24"/>
      <c r="D351" s="24"/>
      <c r="E351" s="24"/>
      <c r="F351" t="str">
        <f>VLOOKUP(O351,pearl!$B:$E,4,0)</f>
        <v>☿</v>
      </c>
      <c r="G351" t="str">
        <f>VLOOKUP(IF(F351="Дом",H351,F351),pearl!$D$28:$F$32,3,0)</f>
        <v>Меркурий</v>
      </c>
      <c r="H351" t="str">
        <f>VLOOKUP(O351,pearl!$B:$E,3,0)</f>
        <v>☿Штурвал</v>
      </c>
      <c r="I351" t="s">
        <v>154</v>
      </c>
      <c r="J351" t="s">
        <v>22</v>
      </c>
      <c r="K351" t="s">
        <v>23</v>
      </c>
      <c r="L351" t="s">
        <v>18</v>
      </c>
      <c r="N351" t="s">
        <v>2242</v>
      </c>
      <c r="O351" t="s">
        <v>1834</v>
      </c>
      <c r="P351" s="8">
        <v>3</v>
      </c>
      <c r="Q351" s="8">
        <v>1</v>
      </c>
      <c r="R351" s="8">
        <v>0</v>
      </c>
      <c r="S351" t="s">
        <v>2240</v>
      </c>
      <c r="T351" s="3"/>
      <c r="U351" s="3"/>
      <c r="V351" s="3"/>
    </row>
    <row r="352" spans="1:22" ht="12.45" hidden="1" x14ac:dyDescent="0.2">
      <c r="A352" s="3" t="s">
        <v>2138</v>
      </c>
      <c r="B352" t="s">
        <v>2261</v>
      </c>
      <c r="C352" s="24"/>
      <c r="D352" s="24"/>
      <c r="E352" s="24"/>
      <c r="F352" t="str">
        <f>VLOOKUP(O352,pearl!$B:$E,4,0)</f>
        <v>☿</v>
      </c>
      <c r="G352" t="str">
        <f>VLOOKUP(IF(F352="Дом",H352,F352),pearl!$D$28:$F$32,3,0)</f>
        <v>Меркурий</v>
      </c>
      <c r="H352" t="str">
        <f>VLOOKUP(O352,pearl!$B:$E,3,0)</f>
        <v>☿Штурвал</v>
      </c>
      <c r="I352" t="s">
        <v>1269</v>
      </c>
      <c r="J352" t="s">
        <v>28</v>
      </c>
      <c r="K352" t="s">
        <v>23</v>
      </c>
      <c r="L352" t="s">
        <v>2262</v>
      </c>
      <c r="N352" t="s">
        <v>2260</v>
      </c>
      <c r="O352" t="s">
        <v>1834</v>
      </c>
      <c r="P352" s="8">
        <v>5</v>
      </c>
      <c r="Q352" s="8">
        <v>5</v>
      </c>
      <c r="R352" s="8">
        <v>0</v>
      </c>
      <c r="S352" t="s">
        <v>2263</v>
      </c>
      <c r="T352" s="3"/>
      <c r="U352" s="3"/>
      <c r="V352" s="3"/>
    </row>
    <row r="353" spans="1:22" ht="12.45" hidden="1" x14ac:dyDescent="0.2">
      <c r="A353" s="3" t="s">
        <v>2138</v>
      </c>
      <c r="B353" t="s">
        <v>2248</v>
      </c>
      <c r="C353" s="24"/>
      <c r="D353" s="24"/>
      <c r="E353" s="24"/>
      <c r="F353" t="str">
        <f>VLOOKUP(O353,pearl!$B:$E,4,0)</f>
        <v>☿</v>
      </c>
      <c r="G353" t="str">
        <f>VLOOKUP(IF(F353="Дом",H353,F353),pearl!$D$28:$F$32,3,0)</f>
        <v>Меркурий</v>
      </c>
      <c r="H353" t="str">
        <f>VLOOKUP(O353,pearl!$B:$E,3,0)</f>
        <v>☿Штурвал</v>
      </c>
      <c r="I353" t="s">
        <v>154</v>
      </c>
      <c r="J353" t="s">
        <v>28</v>
      </c>
      <c r="K353" t="s">
        <v>430</v>
      </c>
      <c r="L353" t="s">
        <v>182</v>
      </c>
      <c r="N353" t="s">
        <v>2247</v>
      </c>
      <c r="O353" t="s">
        <v>1834</v>
      </c>
      <c r="P353" s="8">
        <v>5</v>
      </c>
      <c r="Q353" s="8">
        <v>2</v>
      </c>
      <c r="R353" s="8">
        <v>0</v>
      </c>
      <c r="S353" t="s">
        <v>2240</v>
      </c>
      <c r="T353" s="3"/>
      <c r="U353" s="3"/>
      <c r="V353" s="3"/>
    </row>
    <row r="354" spans="1:22" ht="12.45" hidden="1" x14ac:dyDescent="0.2">
      <c r="A354" s="3" t="s">
        <v>2138</v>
      </c>
      <c r="B354" t="s">
        <v>2255</v>
      </c>
      <c r="C354" s="24"/>
      <c r="D354" s="24"/>
      <c r="E354" s="24"/>
      <c r="F354" t="str">
        <f>VLOOKUP(O354,pearl!$B:$E,4,0)</f>
        <v>☿</v>
      </c>
      <c r="G354" t="str">
        <f>VLOOKUP(IF(F354="Дом",H354,F354),pearl!$D$28:$F$32,3,0)</f>
        <v>Меркурий</v>
      </c>
      <c r="H354" t="str">
        <f>VLOOKUP(O354,pearl!$B:$E,3,0)</f>
        <v>☿Штурвал</v>
      </c>
      <c r="I354" t="s">
        <v>2256</v>
      </c>
      <c r="J354" t="s">
        <v>16</v>
      </c>
      <c r="K354" t="s">
        <v>23</v>
      </c>
      <c r="L354" t="s">
        <v>476</v>
      </c>
      <c r="N354" t="s">
        <v>2253</v>
      </c>
      <c r="O354" t="s">
        <v>1834</v>
      </c>
      <c r="P354" s="8">
        <v>5</v>
      </c>
      <c r="Q354" s="8">
        <v>3</v>
      </c>
      <c r="R354" s="8">
        <v>0</v>
      </c>
      <c r="S354" t="s">
        <v>2245</v>
      </c>
      <c r="T354" s="3"/>
      <c r="U354" s="3"/>
      <c r="V354" s="3"/>
    </row>
    <row r="355" spans="1:22" ht="12.45" hidden="1" x14ac:dyDescent="0.2">
      <c r="A355" s="3" t="s">
        <v>2138</v>
      </c>
      <c r="B355" t="s">
        <v>2259</v>
      </c>
      <c r="C355" s="24"/>
      <c r="D355" s="24"/>
      <c r="E355" s="24"/>
      <c r="F355" t="str">
        <f>VLOOKUP(O355,pearl!$B:$E,4,0)</f>
        <v>☿</v>
      </c>
      <c r="G355" t="str">
        <f>VLOOKUP(IF(F355="Дом",H355,F355),pearl!$D$28:$F$32,3,0)</f>
        <v>Меркурий</v>
      </c>
      <c r="H355" t="str">
        <f>VLOOKUP(O355,pearl!$B:$E,3,0)</f>
        <v>☿Штурвал</v>
      </c>
      <c r="I355" t="s">
        <v>2120</v>
      </c>
      <c r="J355" t="s">
        <v>22</v>
      </c>
      <c r="K355" t="s">
        <v>23</v>
      </c>
      <c r="L355" t="s">
        <v>2106</v>
      </c>
      <c r="N355" t="s">
        <v>2260</v>
      </c>
      <c r="O355" t="s">
        <v>1834</v>
      </c>
      <c r="P355" s="8">
        <v>5</v>
      </c>
      <c r="Q355" s="8">
        <v>4</v>
      </c>
      <c r="R355" s="8">
        <v>0</v>
      </c>
      <c r="S355" t="s">
        <v>2255</v>
      </c>
      <c r="T355" s="3"/>
      <c r="U355" s="3"/>
      <c r="V355" s="3"/>
    </row>
    <row r="356" spans="1:22" ht="12.45" hidden="1" x14ac:dyDescent="0.2">
      <c r="A356" s="3" t="s">
        <v>2138</v>
      </c>
      <c r="B356" t="s">
        <v>2244</v>
      </c>
      <c r="C356" s="24"/>
      <c r="D356" s="24"/>
      <c r="E356" s="24"/>
      <c r="F356" t="str">
        <f>VLOOKUP(O356,pearl!$B:$E,4,0)</f>
        <v>☿</v>
      </c>
      <c r="G356" t="str">
        <f>VLOOKUP(IF(F356="Дом",H356,F356),pearl!$D$28:$F$32,3,0)</f>
        <v>Меркурий</v>
      </c>
      <c r="H356" t="str">
        <f>VLOOKUP(O356,pearl!$B:$E,3,0)</f>
        <v>☿Штурвал</v>
      </c>
      <c r="I356" t="s">
        <v>43</v>
      </c>
      <c r="J356" t="s">
        <v>22</v>
      </c>
      <c r="K356" t="s">
        <v>142</v>
      </c>
      <c r="L356" t="s">
        <v>18</v>
      </c>
      <c r="N356" t="s">
        <v>2242</v>
      </c>
      <c r="O356" t="s">
        <v>1834</v>
      </c>
      <c r="P356" s="8">
        <v>3</v>
      </c>
      <c r="Q356" s="8">
        <v>1</v>
      </c>
      <c r="R356" s="8">
        <v>0</v>
      </c>
      <c r="S356" t="s">
        <v>23</v>
      </c>
      <c r="T356" s="3"/>
      <c r="U356" s="3"/>
      <c r="V356" s="3"/>
    </row>
    <row r="357" spans="1:22" ht="12.45" hidden="1" x14ac:dyDescent="0.2">
      <c r="A357" s="3" t="s">
        <v>2138</v>
      </c>
      <c r="B357" t="s">
        <v>2096</v>
      </c>
      <c r="C357" s="24"/>
      <c r="D357" s="24"/>
      <c r="E357" s="24"/>
      <c r="F357" t="str">
        <f>VLOOKUP(O357,pearl!$B:$E,4,0)</f>
        <v>☿</v>
      </c>
      <c r="G357" t="str">
        <f>VLOOKUP(IF(F357="Дом",H357,F357),pearl!$D$28:$F$32,3,0)</f>
        <v>Меркурий</v>
      </c>
      <c r="H357" t="str">
        <f>VLOOKUP(O357,pearl!$B:$E,3,0)</f>
        <v>☿Штурвал</v>
      </c>
      <c r="I357" t="s">
        <v>740</v>
      </c>
      <c r="J357" t="s">
        <v>16</v>
      </c>
      <c r="K357" t="s">
        <v>889</v>
      </c>
      <c r="L357" t="s">
        <v>18</v>
      </c>
      <c r="N357" t="s">
        <v>2242</v>
      </c>
      <c r="O357" t="s">
        <v>1834</v>
      </c>
      <c r="P357" s="8">
        <v>3</v>
      </c>
      <c r="Q357" s="8">
        <v>1</v>
      </c>
      <c r="R357" s="8">
        <v>0</v>
      </c>
      <c r="S357" t="s">
        <v>23</v>
      </c>
      <c r="T357" s="3"/>
      <c r="U357" s="3"/>
      <c r="V357" s="3"/>
    </row>
    <row r="358" spans="1:22" ht="12.45" hidden="1" x14ac:dyDescent="0.2">
      <c r="A358" s="3" t="s">
        <v>2138</v>
      </c>
      <c r="B358" t="s">
        <v>2246</v>
      </c>
      <c r="C358" s="24"/>
      <c r="D358" s="24"/>
      <c r="E358" s="24"/>
      <c r="F358" t="str">
        <f>VLOOKUP(O358,pearl!$B:$E,4,0)</f>
        <v>☿</v>
      </c>
      <c r="G358" t="str">
        <f>VLOOKUP(IF(F358="Дом",H358,F358),pearl!$D$28:$F$32,3,0)</f>
        <v>Меркурий</v>
      </c>
      <c r="H358" t="str">
        <f>VLOOKUP(O358,pearl!$B:$E,3,0)</f>
        <v>☿Штурвал</v>
      </c>
      <c r="I358" t="s">
        <v>175</v>
      </c>
      <c r="J358" t="s">
        <v>28</v>
      </c>
      <c r="K358" t="s">
        <v>23</v>
      </c>
      <c r="L358" t="s">
        <v>563</v>
      </c>
      <c r="N358" t="s">
        <v>2247</v>
      </c>
      <c r="O358" t="s">
        <v>1834</v>
      </c>
      <c r="P358" s="8">
        <v>3</v>
      </c>
      <c r="Q358" s="8">
        <v>2</v>
      </c>
      <c r="R358" s="8">
        <v>0</v>
      </c>
      <c r="S358" t="s">
        <v>2096</v>
      </c>
      <c r="T358" s="3"/>
      <c r="U358" s="3"/>
      <c r="V358" s="3"/>
    </row>
    <row r="359" spans="1:22" ht="12.45" hidden="1" x14ac:dyDescent="0.2">
      <c r="A359" s="3" t="s">
        <v>2138</v>
      </c>
      <c r="B359" t="s">
        <v>2245</v>
      </c>
      <c r="C359" s="24"/>
      <c r="D359" s="24"/>
      <c r="E359" s="24"/>
      <c r="F359" t="str">
        <f>VLOOKUP(O359,pearl!$B:$E,4,0)</f>
        <v>☿</v>
      </c>
      <c r="G359" t="str">
        <f>VLOOKUP(IF(F359="Дом",H359,F359),pearl!$D$28:$F$32,3,0)</f>
        <v>Меркурий</v>
      </c>
      <c r="H359" t="str">
        <f>VLOOKUP(O359,pearl!$B:$E,3,0)</f>
        <v>☿Штурвал</v>
      </c>
      <c r="I359" t="s">
        <v>175</v>
      </c>
      <c r="J359" t="s">
        <v>16</v>
      </c>
      <c r="K359" t="s">
        <v>23</v>
      </c>
      <c r="L359" t="s">
        <v>18</v>
      </c>
      <c r="N359" t="s">
        <v>2242</v>
      </c>
      <c r="O359" t="s">
        <v>1834</v>
      </c>
      <c r="P359" s="8">
        <v>5</v>
      </c>
      <c r="Q359" s="8">
        <v>1</v>
      </c>
      <c r="R359" s="8">
        <v>0</v>
      </c>
      <c r="S359" t="s">
        <v>2244</v>
      </c>
      <c r="T359" s="3"/>
      <c r="U359" s="3"/>
      <c r="V359" s="3"/>
    </row>
    <row r="360" spans="1:22" ht="12.45" hidden="1" x14ac:dyDescent="0.2">
      <c r="A360" s="3" t="s">
        <v>2138</v>
      </c>
      <c r="B360" t="s">
        <v>2249</v>
      </c>
      <c r="C360" s="24"/>
      <c r="D360" s="24"/>
      <c r="E360" s="24"/>
      <c r="F360" t="str">
        <f>VLOOKUP(O360,pearl!$B:$E,4,0)</f>
        <v>☿</v>
      </c>
      <c r="G360" t="str">
        <f>VLOOKUP(IF(F360="Дом",H360,F360),pearl!$D$28:$F$32,3,0)</f>
        <v>Меркурий</v>
      </c>
      <c r="H360" t="str">
        <f>VLOOKUP(O360,pearl!$B:$E,3,0)</f>
        <v>☿Штурвал</v>
      </c>
      <c r="I360" t="s">
        <v>43</v>
      </c>
      <c r="J360" t="s">
        <v>28</v>
      </c>
      <c r="K360" t="s">
        <v>23</v>
      </c>
      <c r="L360" t="s">
        <v>2250</v>
      </c>
      <c r="N360" t="s">
        <v>2247</v>
      </c>
      <c r="O360" t="s">
        <v>1834</v>
      </c>
      <c r="P360" s="8">
        <v>5</v>
      </c>
      <c r="Q360" s="8">
        <v>2</v>
      </c>
      <c r="R360" s="8">
        <v>0</v>
      </c>
      <c r="S360" t="s">
        <v>2251</v>
      </c>
      <c r="T360" s="3"/>
      <c r="U360" s="3"/>
      <c r="V360" s="3"/>
    </row>
    <row r="361" spans="1:22" ht="12.45" hidden="1" x14ac:dyDescent="0.2">
      <c r="A361" s="3" t="s">
        <v>2138</v>
      </c>
      <c r="B361" t="s">
        <v>2257</v>
      </c>
      <c r="C361" s="24"/>
      <c r="D361" s="24"/>
      <c r="E361" s="24"/>
      <c r="F361" t="str">
        <f>VLOOKUP(O361,pearl!$B:$E,4,0)</f>
        <v>☿</v>
      </c>
      <c r="G361" t="str">
        <f>VLOOKUP(IF(F361="Дом",H361,F361),pearl!$D$28:$F$32,3,0)</f>
        <v>Меркурий</v>
      </c>
      <c r="H361" t="str">
        <f>VLOOKUP(O361,pearl!$B:$E,3,0)</f>
        <v>☿Штурвал</v>
      </c>
      <c r="I361" t="s">
        <v>264</v>
      </c>
      <c r="J361" t="s">
        <v>28</v>
      </c>
      <c r="K361" t="s">
        <v>142</v>
      </c>
      <c r="L361" t="s">
        <v>2118</v>
      </c>
      <c r="N361" t="s">
        <v>2253</v>
      </c>
      <c r="O361" t="s">
        <v>1834</v>
      </c>
      <c r="P361" s="8">
        <v>5</v>
      </c>
      <c r="Q361" s="8">
        <v>3</v>
      </c>
      <c r="R361" s="8">
        <v>0</v>
      </c>
      <c r="S361" t="s">
        <v>2258</v>
      </c>
      <c r="T361" s="3"/>
      <c r="U361" s="3"/>
      <c r="V361" s="3"/>
    </row>
    <row r="362" spans="1:22" ht="12.45" hidden="1" x14ac:dyDescent="0.2">
      <c r="A362" s="3" t="s">
        <v>2138</v>
      </c>
      <c r="B362" t="s">
        <v>2243</v>
      </c>
      <c r="C362" s="24"/>
      <c r="D362" s="24"/>
      <c r="E362" s="24"/>
      <c r="F362" t="str">
        <f>VLOOKUP(O362,pearl!$B:$E,4,0)</f>
        <v>☿</v>
      </c>
      <c r="G362" t="str">
        <f>VLOOKUP(IF(F362="Дом",H362,F362),pearl!$D$28:$F$32,3,0)</f>
        <v>Меркурий</v>
      </c>
      <c r="H362" t="str">
        <f>VLOOKUP(O362,pearl!$B:$E,3,0)</f>
        <v>☿Штурвал</v>
      </c>
      <c r="I362" t="s">
        <v>175</v>
      </c>
      <c r="J362" t="s">
        <v>16</v>
      </c>
      <c r="K362" t="s">
        <v>142</v>
      </c>
      <c r="L362" t="s">
        <v>18</v>
      </c>
      <c r="N362" t="s">
        <v>2242</v>
      </c>
      <c r="O362" t="s">
        <v>1834</v>
      </c>
      <c r="P362" s="8">
        <v>3</v>
      </c>
      <c r="Q362" s="8">
        <v>1</v>
      </c>
      <c r="R362" s="8">
        <v>0</v>
      </c>
      <c r="S362" t="s">
        <v>2240</v>
      </c>
      <c r="T362" s="3"/>
      <c r="U362" s="3"/>
      <c r="V362" s="3"/>
    </row>
    <row r="363" spans="1:22" ht="12.45" hidden="1" x14ac:dyDescent="0.2">
      <c r="A363" s="3" t="s">
        <v>2138</v>
      </c>
      <c r="B363" t="s">
        <v>2282</v>
      </c>
      <c r="C363" s="24"/>
      <c r="D363" s="24"/>
      <c r="E363" s="24"/>
      <c r="F363" t="str">
        <f>VLOOKUP(O363,pearl!$B:$E,4,0)</f>
        <v>☿</v>
      </c>
      <c r="G363" t="str">
        <f>VLOOKUP(IF(F363="Дом",H363,F363),pearl!$D$28:$F$32,3,0)</f>
        <v>Меркурий</v>
      </c>
      <c r="H363" t="str">
        <f>VLOOKUP(O363,pearl!$B:$E,3,0)</f>
        <v>☿Чайка</v>
      </c>
      <c r="I363" t="s">
        <v>43</v>
      </c>
      <c r="J363" t="s">
        <v>22</v>
      </c>
      <c r="K363" t="s">
        <v>29</v>
      </c>
      <c r="L363" t="s">
        <v>18</v>
      </c>
      <c r="N363" t="s">
        <v>2276</v>
      </c>
      <c r="O363" t="s">
        <v>1897</v>
      </c>
      <c r="P363" s="8">
        <v>4</v>
      </c>
      <c r="Q363" s="8">
        <v>2</v>
      </c>
      <c r="R363" s="8">
        <v>0</v>
      </c>
      <c r="S363" t="s">
        <v>2280</v>
      </c>
      <c r="T363" s="3"/>
      <c r="U363" s="3"/>
      <c r="V363" s="3"/>
    </row>
    <row r="364" spans="1:22" ht="12.45" hidden="1" x14ac:dyDescent="0.2">
      <c r="A364" s="3" t="s">
        <v>2138</v>
      </c>
      <c r="B364" t="s">
        <v>2290</v>
      </c>
      <c r="C364" s="24"/>
      <c r="D364" s="24"/>
      <c r="E364" s="24"/>
      <c r="F364" t="str">
        <f>VLOOKUP(O364,pearl!$B:$E,4,0)</f>
        <v>☿</v>
      </c>
      <c r="G364" t="str">
        <f>VLOOKUP(IF(F364="Дом",H364,F364),pearl!$D$28:$F$32,3,0)</f>
        <v>Меркурий</v>
      </c>
      <c r="H364" t="str">
        <f>VLOOKUP(O364,pearl!$B:$E,3,0)</f>
        <v>☿Чайка</v>
      </c>
      <c r="I364" t="s">
        <v>2113</v>
      </c>
      <c r="J364" t="s">
        <v>28</v>
      </c>
      <c r="K364" t="s">
        <v>2123</v>
      </c>
      <c r="L364" t="s">
        <v>18</v>
      </c>
      <c r="N364" t="s">
        <v>2288</v>
      </c>
      <c r="O364" t="s">
        <v>1897</v>
      </c>
      <c r="P364" s="8">
        <v>5</v>
      </c>
      <c r="Q364" s="8">
        <v>3</v>
      </c>
      <c r="R364" s="8">
        <v>0</v>
      </c>
      <c r="S364" t="s">
        <v>2275</v>
      </c>
      <c r="T364" s="3"/>
      <c r="U364" s="3"/>
      <c r="V364" s="3"/>
    </row>
    <row r="365" spans="1:22" ht="12.45" hidden="1" x14ac:dyDescent="0.2">
      <c r="A365" s="3" t="s">
        <v>2138</v>
      </c>
      <c r="B365" t="s">
        <v>2295</v>
      </c>
      <c r="C365" s="24"/>
      <c r="D365" s="24"/>
      <c r="E365" s="24"/>
      <c r="F365" t="str">
        <f>VLOOKUP(O365,pearl!$B:$E,4,0)</f>
        <v>☿</v>
      </c>
      <c r="G365" t="str">
        <f>VLOOKUP(IF(F365="Дом",H365,F365),pearl!$D$28:$F$32,3,0)</f>
        <v>Меркурий</v>
      </c>
      <c r="H365" t="str">
        <f>VLOOKUP(O365,pearl!$B:$E,3,0)</f>
        <v>☿Чайка</v>
      </c>
      <c r="I365" t="s">
        <v>43</v>
      </c>
      <c r="J365" t="s">
        <v>22</v>
      </c>
      <c r="K365" t="s">
        <v>2268</v>
      </c>
      <c r="L365" t="s">
        <v>18</v>
      </c>
      <c r="N365" t="s">
        <v>2296</v>
      </c>
      <c r="O365" t="s">
        <v>1897</v>
      </c>
      <c r="P365" s="8">
        <v>5</v>
      </c>
      <c r="Q365" s="8">
        <v>4</v>
      </c>
      <c r="R365" s="8">
        <v>0</v>
      </c>
      <c r="S365" t="s">
        <v>2293</v>
      </c>
      <c r="T365" s="3"/>
      <c r="U365" s="3"/>
      <c r="V365" s="3"/>
    </row>
    <row r="366" spans="1:22" ht="12.45" hidden="1" x14ac:dyDescent="0.2">
      <c r="A366" s="3" t="s">
        <v>2138</v>
      </c>
      <c r="B366" t="s">
        <v>2286</v>
      </c>
      <c r="C366" s="24"/>
      <c r="D366" s="24"/>
      <c r="E366" s="24"/>
      <c r="F366" t="str">
        <f>VLOOKUP(O366,pearl!$B:$E,4,0)</f>
        <v>☿</v>
      </c>
      <c r="G366" t="str">
        <f>VLOOKUP(IF(F366="Дом",H366,F366),pearl!$D$28:$F$32,3,0)</f>
        <v>Меркурий</v>
      </c>
      <c r="H366" t="str">
        <f>VLOOKUP(O366,pearl!$B:$E,3,0)</f>
        <v>☿Чайка</v>
      </c>
      <c r="I366" t="s">
        <v>264</v>
      </c>
      <c r="J366" t="s">
        <v>28</v>
      </c>
      <c r="K366" t="s">
        <v>2268</v>
      </c>
      <c r="L366" t="s">
        <v>18</v>
      </c>
      <c r="N366" t="s">
        <v>2284</v>
      </c>
      <c r="O366" t="s">
        <v>1897</v>
      </c>
      <c r="P366" s="8">
        <v>5</v>
      </c>
      <c r="Q366" s="8">
        <v>2</v>
      </c>
      <c r="R366" s="8">
        <v>0</v>
      </c>
      <c r="S366" t="s">
        <v>2271</v>
      </c>
      <c r="T366" s="3"/>
      <c r="U366" s="3"/>
      <c r="V366" s="3"/>
    </row>
    <row r="367" spans="1:22" ht="12.45" hidden="1" x14ac:dyDescent="0.2">
      <c r="A367" s="3" t="s">
        <v>2138</v>
      </c>
      <c r="B367" t="s">
        <v>2280</v>
      </c>
      <c r="C367" s="24"/>
      <c r="D367" s="24"/>
      <c r="E367" s="24"/>
      <c r="F367" t="str">
        <f>VLOOKUP(O367,pearl!$B:$E,4,0)</f>
        <v>☿</v>
      </c>
      <c r="G367" t="str">
        <f>VLOOKUP(IF(F367="Дом",H367,F367),pearl!$D$28:$F$32,3,0)</f>
        <v>Меркурий</v>
      </c>
      <c r="H367" t="str">
        <f>VLOOKUP(O367,pearl!$B:$E,3,0)</f>
        <v>☿Чайка</v>
      </c>
      <c r="I367" t="s">
        <v>64</v>
      </c>
      <c r="J367" t="s">
        <v>22</v>
      </c>
      <c r="K367" t="s">
        <v>29</v>
      </c>
      <c r="L367" t="s">
        <v>18</v>
      </c>
      <c r="N367" t="s">
        <v>2276</v>
      </c>
      <c r="O367" t="s">
        <v>1897</v>
      </c>
      <c r="P367" s="8">
        <v>4</v>
      </c>
      <c r="Q367" s="8">
        <v>2</v>
      </c>
      <c r="R367" s="8">
        <v>0</v>
      </c>
      <c r="S367" t="s">
        <v>2281</v>
      </c>
      <c r="T367" s="3"/>
      <c r="U367" s="3"/>
      <c r="V367" s="3"/>
    </row>
    <row r="368" spans="1:22" ht="12.45" hidden="1" x14ac:dyDescent="0.2">
      <c r="A368" s="3" t="s">
        <v>2138</v>
      </c>
      <c r="B368" t="s">
        <v>2283</v>
      </c>
      <c r="C368" s="24"/>
      <c r="D368" s="24"/>
      <c r="E368" s="24"/>
      <c r="F368" t="str">
        <f>VLOOKUP(O368,pearl!$B:$E,4,0)</f>
        <v>☿</v>
      </c>
      <c r="G368" t="str">
        <f>VLOOKUP(IF(F368="Дом",H368,F368),pearl!$D$28:$F$32,3,0)</f>
        <v>Меркурий</v>
      </c>
      <c r="H368" t="str">
        <f>VLOOKUP(O368,pearl!$B:$E,3,0)</f>
        <v>☿Чайка</v>
      </c>
      <c r="I368" t="s">
        <v>2022</v>
      </c>
      <c r="J368" t="s">
        <v>16</v>
      </c>
      <c r="K368" t="s">
        <v>2268</v>
      </c>
      <c r="L368" t="s">
        <v>18</v>
      </c>
      <c r="N368" t="s">
        <v>2284</v>
      </c>
      <c r="O368" t="s">
        <v>1897</v>
      </c>
      <c r="P368" s="8">
        <v>4</v>
      </c>
      <c r="Q368" s="8">
        <v>2</v>
      </c>
      <c r="R368" s="8">
        <v>0</v>
      </c>
      <c r="S368" t="s">
        <v>2267</v>
      </c>
      <c r="T368" s="3"/>
      <c r="U368" s="3"/>
      <c r="V368" s="3"/>
    </row>
    <row r="369" spans="1:22" ht="12.45" hidden="1" x14ac:dyDescent="0.2">
      <c r="A369" s="3" t="s">
        <v>2138</v>
      </c>
      <c r="B369" t="s">
        <v>2291</v>
      </c>
      <c r="C369" s="24"/>
      <c r="D369" s="24"/>
      <c r="E369" s="24"/>
      <c r="F369" t="str">
        <f>VLOOKUP(O369,pearl!$B:$E,4,0)</f>
        <v>☿</v>
      </c>
      <c r="G369" t="str">
        <f>VLOOKUP(IF(F369="Дом",H369,F369),pearl!$D$28:$F$32,3,0)</f>
        <v>Меркурий</v>
      </c>
      <c r="H369" t="str">
        <f>VLOOKUP(O369,pearl!$B:$E,3,0)</f>
        <v>☿Чайка</v>
      </c>
      <c r="I369" t="s">
        <v>147</v>
      </c>
      <c r="J369" t="s">
        <v>148</v>
      </c>
      <c r="K369" t="s">
        <v>23</v>
      </c>
      <c r="L369" t="s">
        <v>148</v>
      </c>
      <c r="N369" t="s">
        <v>2288</v>
      </c>
      <c r="O369" t="s">
        <v>1897</v>
      </c>
      <c r="P369" s="8">
        <v>5</v>
      </c>
      <c r="Q369" s="8">
        <v>3</v>
      </c>
      <c r="R369" s="8">
        <v>0</v>
      </c>
      <c r="S369" t="s">
        <v>2292</v>
      </c>
      <c r="T369" s="3"/>
      <c r="U369" s="3"/>
      <c r="V369" s="3"/>
    </row>
    <row r="370" spans="1:22" ht="12.45" hidden="1" x14ac:dyDescent="0.2">
      <c r="A370" s="3" t="s">
        <v>2138</v>
      </c>
      <c r="B370" t="s">
        <v>2277</v>
      </c>
      <c r="C370" s="24"/>
      <c r="D370" s="24"/>
      <c r="E370" s="24"/>
      <c r="F370" t="str">
        <f>VLOOKUP(O370,pearl!$B:$E,4,0)</f>
        <v>☿</v>
      </c>
      <c r="G370" t="str">
        <f>VLOOKUP(IF(F370="Дом",H370,F370),pearl!$D$28:$F$32,3,0)</f>
        <v>Меркурий</v>
      </c>
      <c r="H370" t="str">
        <f>VLOOKUP(O370,pearl!$B:$E,3,0)</f>
        <v>☿Чайка</v>
      </c>
      <c r="I370" t="s">
        <v>761</v>
      </c>
      <c r="J370" t="s">
        <v>28</v>
      </c>
      <c r="K370" t="s">
        <v>2278</v>
      </c>
      <c r="L370" t="s">
        <v>2106</v>
      </c>
      <c r="N370" t="s">
        <v>2276</v>
      </c>
      <c r="O370" t="s">
        <v>1897</v>
      </c>
      <c r="P370" s="8">
        <v>4</v>
      </c>
      <c r="Q370" s="8">
        <v>1</v>
      </c>
      <c r="R370" s="8">
        <v>0</v>
      </c>
      <c r="S370" t="s">
        <v>2279</v>
      </c>
      <c r="T370" s="3"/>
      <c r="U370" s="3"/>
      <c r="V370" s="3"/>
    </row>
    <row r="371" spans="1:22" ht="12.45" hidden="1" x14ac:dyDescent="0.2">
      <c r="A371" s="3" t="s">
        <v>2138</v>
      </c>
      <c r="B371" t="s">
        <v>2275</v>
      </c>
      <c r="C371" s="24"/>
      <c r="D371" s="24"/>
      <c r="E371" s="24"/>
      <c r="F371" t="str">
        <f>VLOOKUP(O371,pearl!$B:$E,4,0)</f>
        <v>☿</v>
      </c>
      <c r="G371" t="str">
        <f>VLOOKUP(IF(F371="Дом",H371,F371),pearl!$D$28:$F$32,3,0)</f>
        <v>Меркурий</v>
      </c>
      <c r="H371" t="str">
        <f>VLOOKUP(O371,pearl!$B:$E,3,0)</f>
        <v>☿Чайка</v>
      </c>
      <c r="I371" t="s">
        <v>53</v>
      </c>
      <c r="J371" t="s">
        <v>16</v>
      </c>
      <c r="K371" t="s">
        <v>50</v>
      </c>
      <c r="L371" t="s">
        <v>18</v>
      </c>
      <c r="N371" t="s">
        <v>2276</v>
      </c>
      <c r="O371" t="s">
        <v>1897</v>
      </c>
      <c r="P371" s="8">
        <v>3</v>
      </c>
      <c r="Q371" s="8">
        <v>1</v>
      </c>
      <c r="R371" s="8">
        <v>0</v>
      </c>
      <c r="S371" t="s">
        <v>2273</v>
      </c>
      <c r="T371" s="3"/>
      <c r="U371" s="3"/>
      <c r="V371" s="3"/>
    </row>
    <row r="372" spans="1:22" ht="12.45" hidden="1" x14ac:dyDescent="0.2">
      <c r="A372" s="3" t="s">
        <v>2138</v>
      </c>
      <c r="B372" t="s">
        <v>2271</v>
      </c>
      <c r="C372" s="24"/>
      <c r="D372" s="24"/>
      <c r="E372" s="24"/>
      <c r="F372" t="str">
        <f>VLOOKUP(O372,pearl!$B:$E,4,0)</f>
        <v>☿</v>
      </c>
      <c r="G372" t="str">
        <f>VLOOKUP(IF(F372="Дом",H372,F372),pearl!$D$28:$F$32,3,0)</f>
        <v>Меркурий</v>
      </c>
      <c r="H372" t="str">
        <f>VLOOKUP(O372,pearl!$B:$E,3,0)</f>
        <v>☿Чайка</v>
      </c>
      <c r="I372" t="s">
        <v>2111</v>
      </c>
      <c r="J372" t="s">
        <v>148</v>
      </c>
      <c r="K372" t="s">
        <v>2272</v>
      </c>
      <c r="L372" t="s">
        <v>148</v>
      </c>
      <c r="N372" t="s">
        <v>2266</v>
      </c>
      <c r="O372" t="s">
        <v>1897</v>
      </c>
      <c r="P372" s="8">
        <v>4</v>
      </c>
      <c r="Q372" s="8">
        <v>1</v>
      </c>
      <c r="R372" s="8">
        <v>0</v>
      </c>
      <c r="S372" t="s">
        <v>2267</v>
      </c>
      <c r="T372" s="3"/>
      <c r="U372" s="3"/>
      <c r="V372" s="3"/>
    </row>
    <row r="373" spans="1:22" ht="12.45" hidden="1" x14ac:dyDescent="0.2">
      <c r="A373" s="3" t="s">
        <v>2138</v>
      </c>
      <c r="B373" t="s">
        <v>2297</v>
      </c>
      <c r="C373" s="24"/>
      <c r="D373" s="24"/>
      <c r="E373" s="24"/>
      <c r="F373" t="str">
        <f>VLOOKUP(O373,pearl!$B:$E,4,0)</f>
        <v>☿</v>
      </c>
      <c r="G373" t="str">
        <f>VLOOKUP(IF(F373="Дом",H373,F373),pearl!$D$28:$F$32,3,0)</f>
        <v>Меркурий</v>
      </c>
      <c r="H373" t="str">
        <f>VLOOKUP(O373,pearl!$B:$E,3,0)</f>
        <v>☿Чайка</v>
      </c>
      <c r="I373" t="s">
        <v>264</v>
      </c>
      <c r="J373" t="s">
        <v>28</v>
      </c>
      <c r="K373" t="s">
        <v>29</v>
      </c>
      <c r="L373" t="s">
        <v>18</v>
      </c>
      <c r="N373" t="s">
        <v>2296</v>
      </c>
      <c r="O373" t="s">
        <v>1897</v>
      </c>
      <c r="P373" s="8">
        <v>5</v>
      </c>
      <c r="Q373" s="8">
        <v>4</v>
      </c>
      <c r="R373" s="8">
        <v>0</v>
      </c>
      <c r="S373" t="s">
        <v>2298</v>
      </c>
      <c r="T373" s="3"/>
      <c r="U373" s="3"/>
      <c r="V373" s="3"/>
    </row>
    <row r="374" spans="1:22" ht="12.45" hidden="1" x14ac:dyDescent="0.2">
      <c r="A374" s="3" t="s">
        <v>2138</v>
      </c>
      <c r="B374" t="s">
        <v>2285</v>
      </c>
      <c r="C374" s="24"/>
      <c r="D374" s="24"/>
      <c r="E374" s="24"/>
      <c r="F374" t="str">
        <f>VLOOKUP(O374,pearl!$B:$E,4,0)</f>
        <v>☿</v>
      </c>
      <c r="G374" t="str">
        <f>VLOOKUP(IF(F374="Дом",H374,F374),pearl!$D$28:$F$32,3,0)</f>
        <v>Меркурий</v>
      </c>
      <c r="H374" t="str">
        <f>VLOOKUP(O374,pearl!$B:$E,3,0)</f>
        <v>☿Чайка</v>
      </c>
      <c r="I374" t="s">
        <v>43</v>
      </c>
      <c r="J374" t="s">
        <v>28</v>
      </c>
      <c r="K374" t="s">
        <v>50</v>
      </c>
      <c r="L374" t="s">
        <v>18</v>
      </c>
      <c r="N374" t="s">
        <v>2284</v>
      </c>
      <c r="O374" t="s">
        <v>1897</v>
      </c>
      <c r="P374" s="8">
        <v>5</v>
      </c>
      <c r="Q374" s="8">
        <v>2</v>
      </c>
      <c r="R374" s="8">
        <v>0</v>
      </c>
      <c r="S374" t="s">
        <v>2283</v>
      </c>
      <c r="T374" s="3"/>
      <c r="U374" s="3"/>
      <c r="V374" s="3"/>
    </row>
    <row r="375" spans="1:22" ht="12.45" hidden="1" x14ac:dyDescent="0.2">
      <c r="A375" s="3" t="s">
        <v>2138</v>
      </c>
      <c r="B375" t="s">
        <v>2293</v>
      </c>
      <c r="C375" s="24"/>
      <c r="D375" s="24"/>
      <c r="E375" s="24"/>
      <c r="F375" t="str">
        <f>VLOOKUP(O375,pearl!$B:$E,4,0)</f>
        <v>☿</v>
      </c>
      <c r="G375" t="str">
        <f>VLOOKUP(IF(F375="Дом",H375,F375),pearl!$D$28:$F$32,3,0)</f>
        <v>Меркурий</v>
      </c>
      <c r="H375" t="str">
        <f>VLOOKUP(O375,pearl!$B:$E,3,0)</f>
        <v>☿Чайка</v>
      </c>
      <c r="I375" t="s">
        <v>2294</v>
      </c>
      <c r="J375" t="s">
        <v>22</v>
      </c>
      <c r="K375" t="s">
        <v>2268</v>
      </c>
      <c r="L375" t="s">
        <v>18</v>
      </c>
      <c r="N375" t="s">
        <v>2288</v>
      </c>
      <c r="O375" t="s">
        <v>1897</v>
      </c>
      <c r="P375" s="8">
        <v>5</v>
      </c>
      <c r="Q375" s="8">
        <v>3</v>
      </c>
      <c r="R375" s="8">
        <v>0</v>
      </c>
      <c r="S375" t="s">
        <v>2289</v>
      </c>
      <c r="T375" s="3"/>
      <c r="U375" s="3"/>
      <c r="V375" s="3"/>
    </row>
    <row r="376" spans="1:22" ht="12.45" hidden="1" x14ac:dyDescent="0.2">
      <c r="A376" s="3" t="s">
        <v>2138</v>
      </c>
      <c r="B376" t="s">
        <v>2289</v>
      </c>
      <c r="C376" s="24"/>
      <c r="D376" s="24"/>
      <c r="E376" s="24"/>
      <c r="F376" t="str">
        <f>VLOOKUP(O376,pearl!$B:$E,4,0)</f>
        <v>☿</v>
      </c>
      <c r="G376" t="str">
        <f>VLOOKUP(IF(F376="Дом",H376,F376),pearl!$D$28:$F$32,3,0)</f>
        <v>Меркурий</v>
      </c>
      <c r="H376" t="str">
        <f>VLOOKUP(O376,pearl!$B:$E,3,0)</f>
        <v>☿Чайка</v>
      </c>
      <c r="I376" t="s">
        <v>1123</v>
      </c>
      <c r="J376" t="s">
        <v>16</v>
      </c>
      <c r="K376" t="s">
        <v>212</v>
      </c>
      <c r="L376" t="s">
        <v>18</v>
      </c>
      <c r="N376" t="s">
        <v>2288</v>
      </c>
      <c r="O376" t="s">
        <v>1897</v>
      </c>
      <c r="P376" s="8">
        <v>5</v>
      </c>
      <c r="Q376" s="8">
        <v>2</v>
      </c>
      <c r="R376" s="8">
        <v>0</v>
      </c>
      <c r="S376" t="s">
        <v>2271</v>
      </c>
      <c r="T376" s="3"/>
      <c r="U376" s="3"/>
      <c r="V376" s="3"/>
    </row>
    <row r="377" spans="1:22" ht="12.45" hidden="1" x14ac:dyDescent="0.2">
      <c r="A377" s="3" t="s">
        <v>2138</v>
      </c>
      <c r="B377" t="s">
        <v>2101</v>
      </c>
      <c r="C377" s="24"/>
      <c r="D377" s="24"/>
      <c r="E377" s="24"/>
      <c r="F377" t="str">
        <f>VLOOKUP(O377,pearl!$B:$E,4,0)</f>
        <v>☿</v>
      </c>
      <c r="G377" t="str">
        <f>VLOOKUP(IF(F377="Дом",H377,F377),pearl!$D$28:$F$32,3,0)</f>
        <v>Меркурий</v>
      </c>
      <c r="H377" t="str">
        <f>VLOOKUP(O377,pearl!$B:$E,3,0)</f>
        <v>☿Чайка</v>
      </c>
      <c r="I377" t="s">
        <v>392</v>
      </c>
      <c r="J377" t="s">
        <v>28</v>
      </c>
      <c r="K377" t="s">
        <v>2301</v>
      </c>
      <c r="L377" t="s">
        <v>18</v>
      </c>
      <c r="N377" t="s">
        <v>2302</v>
      </c>
      <c r="O377" t="s">
        <v>1897</v>
      </c>
      <c r="P377" s="8">
        <v>5</v>
      </c>
      <c r="Q377" s="8">
        <v>5</v>
      </c>
      <c r="R377" s="8">
        <v>0</v>
      </c>
      <c r="S377" t="s">
        <v>2303</v>
      </c>
      <c r="T377" s="3"/>
      <c r="U377" s="3"/>
      <c r="V377" s="3"/>
    </row>
    <row r="378" spans="1:22" ht="12.45" hidden="1" x14ac:dyDescent="0.2">
      <c r="A378" s="3" t="s">
        <v>2138</v>
      </c>
      <c r="B378" t="s">
        <v>2299</v>
      </c>
      <c r="C378" s="24"/>
      <c r="D378" s="24"/>
      <c r="E378" s="24"/>
      <c r="F378" t="str">
        <f>VLOOKUP(O378,pearl!$B:$E,4,0)</f>
        <v>☿</v>
      </c>
      <c r="G378" t="str">
        <f>VLOOKUP(IF(F378="Дом",H378,F378),pearl!$D$28:$F$32,3,0)</f>
        <v>Меркурий</v>
      </c>
      <c r="H378" t="str">
        <f>VLOOKUP(O378,pearl!$B:$E,3,0)</f>
        <v>☿Чайка</v>
      </c>
      <c r="I378" t="s">
        <v>392</v>
      </c>
      <c r="J378" t="s">
        <v>28</v>
      </c>
      <c r="K378" t="s">
        <v>29</v>
      </c>
      <c r="L378" t="s">
        <v>18</v>
      </c>
      <c r="N378" t="s">
        <v>2296</v>
      </c>
      <c r="O378" t="s">
        <v>1897</v>
      </c>
      <c r="P378" s="8">
        <v>5</v>
      </c>
      <c r="Q378" s="8">
        <v>4</v>
      </c>
      <c r="R378" s="8">
        <v>0</v>
      </c>
      <c r="S378" t="s">
        <v>2300</v>
      </c>
      <c r="T378" s="3"/>
      <c r="U378" s="3"/>
      <c r="V378" s="3"/>
    </row>
    <row r="379" spans="1:22" ht="12.45" hidden="1" x14ac:dyDescent="0.2">
      <c r="A379" s="3" t="s">
        <v>2138</v>
      </c>
      <c r="B379" t="s">
        <v>2153</v>
      </c>
      <c r="F379" t="str">
        <f>VLOOKUP(O379,pearl!$B:$E,4,0)</f>
        <v>Дом</v>
      </c>
      <c r="G379" t="str">
        <f>VLOOKUP(IF(F379="Дом",H379,F379),pearl!$D$28:$F$32,3,0)</f>
        <v>Меркурий</v>
      </c>
      <c r="H379" t="str">
        <f>VLOOKUP(O379,pearl!$B:$E,3,0)</f>
        <v>☿</v>
      </c>
      <c r="I379" t="s">
        <v>1751</v>
      </c>
      <c r="J379" t="s">
        <v>28</v>
      </c>
      <c r="K379" t="s">
        <v>142</v>
      </c>
      <c r="L379" t="s">
        <v>148</v>
      </c>
      <c r="N379" t="s">
        <v>2154</v>
      </c>
      <c r="O379" t="s">
        <v>2142</v>
      </c>
      <c r="P379" s="8">
        <v>4</v>
      </c>
      <c r="Q379" s="8">
        <v>2</v>
      </c>
      <c r="R379" s="8">
        <v>0</v>
      </c>
      <c r="S379" t="s">
        <v>2155</v>
      </c>
      <c r="T379" s="3"/>
      <c r="U379" s="3"/>
      <c r="V379" s="3"/>
    </row>
    <row r="380" spans="1:22" ht="12.45" hidden="1" x14ac:dyDescent="0.2">
      <c r="A380" s="3" t="s">
        <v>2138</v>
      </c>
      <c r="B380" t="s">
        <v>2151</v>
      </c>
      <c r="F380" t="str">
        <f>VLOOKUP(O380,pearl!$B:$E,4,0)</f>
        <v>Дом</v>
      </c>
      <c r="G380" t="str">
        <f>VLOOKUP(IF(F380="Дом",H380,F380),pearl!$D$28:$F$32,3,0)</f>
        <v>Меркурий</v>
      </c>
      <c r="H380" t="str">
        <f>VLOOKUP(O380,pearl!$B:$E,3,0)</f>
        <v>☿</v>
      </c>
      <c r="I380" t="s">
        <v>154</v>
      </c>
      <c r="J380" t="s">
        <v>22</v>
      </c>
      <c r="K380" t="s">
        <v>23</v>
      </c>
      <c r="L380" t="s">
        <v>18</v>
      </c>
      <c r="N380" t="s">
        <v>2150</v>
      </c>
      <c r="O380" t="s">
        <v>2142</v>
      </c>
      <c r="P380" s="8">
        <v>3</v>
      </c>
      <c r="Q380" s="8">
        <v>1</v>
      </c>
      <c r="R380" s="8">
        <v>0</v>
      </c>
      <c r="S380" t="s">
        <v>2143</v>
      </c>
      <c r="T380" s="3"/>
      <c r="U380" s="3"/>
      <c r="V380" s="3"/>
    </row>
    <row r="381" spans="1:22" ht="12.45" hidden="1" x14ac:dyDescent="0.2">
      <c r="A381" s="3" t="s">
        <v>2138</v>
      </c>
      <c r="B381" t="s">
        <v>2156</v>
      </c>
      <c r="F381" t="str">
        <f>VLOOKUP(O381,pearl!$B:$E,4,0)</f>
        <v>Дом</v>
      </c>
      <c r="G381" t="str">
        <f>VLOOKUP(IF(F381="Дом",H381,F381),pearl!$D$28:$F$32,3,0)</f>
        <v>Меркурий</v>
      </c>
      <c r="H381" t="str">
        <f>VLOOKUP(O381,pearl!$B:$E,3,0)</f>
        <v>☿</v>
      </c>
      <c r="I381" t="s">
        <v>147</v>
      </c>
      <c r="J381" t="s">
        <v>148</v>
      </c>
      <c r="K381" t="s">
        <v>23</v>
      </c>
      <c r="L381" t="s">
        <v>148</v>
      </c>
      <c r="N381" t="s">
        <v>2154</v>
      </c>
      <c r="O381" t="s">
        <v>2142</v>
      </c>
      <c r="P381" s="8">
        <v>5</v>
      </c>
      <c r="Q381" s="8">
        <v>3</v>
      </c>
      <c r="R381" s="8">
        <v>0</v>
      </c>
      <c r="S381" t="s">
        <v>2148</v>
      </c>
      <c r="T381" s="3"/>
      <c r="U381" s="3"/>
      <c r="V381" s="3"/>
    </row>
    <row r="382" spans="1:22" ht="12.45" hidden="1" x14ac:dyDescent="0.2">
      <c r="A382" s="3" t="s">
        <v>2138</v>
      </c>
      <c r="B382" t="s">
        <v>2158</v>
      </c>
      <c r="F382" t="str">
        <f>VLOOKUP(O382,pearl!$B:$E,4,0)</f>
        <v>Дом</v>
      </c>
      <c r="G382" t="str">
        <f>VLOOKUP(IF(F382="Дом",H382,F382),pearl!$D$28:$F$32,3,0)</f>
        <v>Меркурий</v>
      </c>
      <c r="H382" t="str">
        <f>VLOOKUP(O382,pearl!$B:$E,3,0)</f>
        <v>☿</v>
      </c>
      <c r="I382" t="s">
        <v>2159</v>
      </c>
      <c r="J382" t="s">
        <v>22</v>
      </c>
      <c r="K382" t="s">
        <v>23</v>
      </c>
      <c r="L382" t="s">
        <v>18</v>
      </c>
      <c r="N382" t="s">
        <v>2154</v>
      </c>
      <c r="O382" t="s">
        <v>2142</v>
      </c>
      <c r="P382" s="8">
        <v>5</v>
      </c>
      <c r="Q382" s="8">
        <v>4</v>
      </c>
      <c r="R382" s="8">
        <v>0</v>
      </c>
      <c r="S382" t="s">
        <v>2160</v>
      </c>
      <c r="T382" s="3"/>
      <c r="U382" s="3"/>
      <c r="V382" s="3"/>
    </row>
    <row r="383" spans="1:22" ht="12.45" hidden="1" x14ac:dyDescent="0.2">
      <c r="A383" s="3" t="s">
        <v>2138</v>
      </c>
      <c r="B383" t="s">
        <v>2149</v>
      </c>
      <c r="F383" t="str">
        <f>VLOOKUP(O383,pearl!$B:$E,4,0)</f>
        <v>Дом</v>
      </c>
      <c r="G383" t="str">
        <f>VLOOKUP(IF(F383="Дом",H383,F383),pearl!$D$28:$F$32,3,0)</f>
        <v>Меркурий</v>
      </c>
      <c r="H383" t="str">
        <f>VLOOKUP(O383,pearl!$B:$E,3,0)</f>
        <v>☿</v>
      </c>
      <c r="I383" t="s">
        <v>147</v>
      </c>
      <c r="J383" t="s">
        <v>148</v>
      </c>
      <c r="K383" t="s">
        <v>23</v>
      </c>
      <c r="L383" t="s">
        <v>148</v>
      </c>
      <c r="N383" t="s">
        <v>2150</v>
      </c>
      <c r="O383" t="s">
        <v>2142</v>
      </c>
      <c r="P383" s="8">
        <v>2</v>
      </c>
      <c r="Q383" s="8">
        <v>1</v>
      </c>
      <c r="R383" s="8">
        <v>0</v>
      </c>
      <c r="S383" t="s">
        <v>2147</v>
      </c>
      <c r="T383" s="3"/>
      <c r="U383" s="3"/>
      <c r="V383" s="3"/>
    </row>
    <row r="384" spans="1:22" ht="12.45" hidden="1" x14ac:dyDescent="0.2">
      <c r="A384" s="3" t="s">
        <v>2138</v>
      </c>
      <c r="B384" t="s">
        <v>2152</v>
      </c>
      <c r="F384" t="str">
        <f>VLOOKUP(O384,pearl!$B:$E,4,0)</f>
        <v>Дом</v>
      </c>
      <c r="G384" t="str">
        <f>VLOOKUP(IF(F384="Дом",H384,F384),pearl!$D$28:$F$32,3,0)</f>
        <v>Меркурий</v>
      </c>
      <c r="H384" t="str">
        <f>VLOOKUP(O384,pearl!$B:$E,3,0)</f>
        <v>☿</v>
      </c>
      <c r="I384" t="s">
        <v>154</v>
      </c>
      <c r="J384" t="s">
        <v>28</v>
      </c>
      <c r="K384" t="s">
        <v>23</v>
      </c>
      <c r="L384" t="s">
        <v>18</v>
      </c>
      <c r="N384" t="s">
        <v>2150</v>
      </c>
      <c r="O384" t="s">
        <v>2142</v>
      </c>
      <c r="P384" s="8">
        <v>3</v>
      </c>
      <c r="Q384" s="8">
        <v>1</v>
      </c>
      <c r="R384" s="8">
        <v>0</v>
      </c>
      <c r="S384" t="s">
        <v>2151</v>
      </c>
      <c r="T384" s="3"/>
      <c r="U384" s="3"/>
      <c r="V384" s="3"/>
    </row>
    <row r="385" spans="1:22" ht="12.45" hidden="1" x14ac:dyDescent="0.2">
      <c r="A385" s="3" t="s">
        <v>2138</v>
      </c>
      <c r="B385" t="s">
        <v>2157</v>
      </c>
      <c r="F385" t="str">
        <f>VLOOKUP(O385,pearl!$B:$E,4,0)</f>
        <v>Дом</v>
      </c>
      <c r="G385" t="str">
        <f>VLOOKUP(IF(F385="Дом",H385,F385),pearl!$D$28:$F$32,3,0)</f>
        <v>Меркурий</v>
      </c>
      <c r="H385" t="str">
        <f>VLOOKUP(O385,pearl!$B:$E,3,0)</f>
        <v>☿</v>
      </c>
      <c r="I385" t="s">
        <v>43</v>
      </c>
      <c r="J385" t="s">
        <v>28</v>
      </c>
      <c r="K385" t="s">
        <v>23</v>
      </c>
      <c r="L385" t="s">
        <v>182</v>
      </c>
      <c r="N385" t="s">
        <v>2154</v>
      </c>
      <c r="O385" t="s">
        <v>2142</v>
      </c>
      <c r="P385" s="8">
        <v>5</v>
      </c>
      <c r="Q385" s="8">
        <v>3</v>
      </c>
      <c r="R385" s="8">
        <v>0</v>
      </c>
      <c r="S385" t="s">
        <v>2156</v>
      </c>
      <c r="T385" s="3"/>
      <c r="U385" s="3"/>
      <c r="V385" s="3"/>
    </row>
    <row r="386" spans="1:22" ht="12.45" hidden="1" x14ac:dyDescent="0.2">
      <c r="A386" s="3" t="s">
        <v>2138</v>
      </c>
      <c r="B386" t="s">
        <v>2830</v>
      </c>
      <c r="C386" s="24"/>
      <c r="D386" s="24"/>
      <c r="E386" s="24"/>
      <c r="F386" t="str">
        <f>VLOOKUP(O386,pearl!$B:$E,4,0)</f>
        <v>♄</v>
      </c>
      <c r="G386" t="str">
        <f>VLOOKUP(IF(F386="Дом",H386,F386),pearl!$D$28:$F$32,3,0)</f>
        <v>Сатурн</v>
      </c>
      <c r="H386" t="str">
        <f>VLOOKUP(O386,pearl!$B:$E,3,0)</f>
        <v>♄Телега с сеном</v>
      </c>
      <c r="I386" t="s">
        <v>175</v>
      </c>
      <c r="J386" t="s">
        <v>28</v>
      </c>
      <c r="K386" t="s">
        <v>23</v>
      </c>
      <c r="L386" t="s">
        <v>18</v>
      </c>
      <c r="N386" t="s">
        <v>2829</v>
      </c>
      <c r="O386" t="s">
        <v>3131</v>
      </c>
      <c r="P386" s="8">
        <v>5</v>
      </c>
      <c r="Q386" s="8">
        <v>3</v>
      </c>
      <c r="R386" s="8">
        <v>0</v>
      </c>
      <c r="S386" t="s">
        <v>2056</v>
      </c>
      <c r="T386" s="3"/>
      <c r="U386" s="3"/>
      <c r="V386" s="3"/>
    </row>
    <row r="387" spans="1:22" ht="12.45" hidden="1" x14ac:dyDescent="0.2">
      <c r="A387" s="3" t="s">
        <v>2138</v>
      </c>
      <c r="B387" t="s">
        <v>2807</v>
      </c>
      <c r="C387" s="24"/>
      <c r="D387" s="24"/>
      <c r="E387" s="24"/>
      <c r="F387" t="str">
        <f>VLOOKUP(O387,pearl!$B:$E,4,0)</f>
        <v>♄</v>
      </c>
      <c r="G387" t="str">
        <f>VLOOKUP(IF(F387="Дом",H387,F387),pearl!$D$28:$F$32,3,0)</f>
        <v>Сатурн</v>
      </c>
      <c r="H387" t="str">
        <f>VLOOKUP(O387,pearl!$B:$E,3,0)</f>
        <v>♄Ворон</v>
      </c>
      <c r="I387" t="s">
        <v>175</v>
      </c>
      <c r="J387" t="s">
        <v>22</v>
      </c>
      <c r="K387" t="s">
        <v>142</v>
      </c>
      <c r="L387" t="s">
        <v>18</v>
      </c>
      <c r="N387" t="s">
        <v>2806</v>
      </c>
      <c r="O387" t="s">
        <v>217</v>
      </c>
      <c r="P387" s="8">
        <v>3</v>
      </c>
      <c r="Q387" s="8">
        <v>1</v>
      </c>
      <c r="R387" s="8">
        <v>0</v>
      </c>
      <c r="S387" t="s">
        <v>2005</v>
      </c>
      <c r="T387" s="3"/>
      <c r="U387" s="3"/>
      <c r="V387" s="3"/>
    </row>
    <row r="388" spans="1:22" ht="12.45" hidden="1" x14ac:dyDescent="0.2">
      <c r="A388" s="3" t="s">
        <v>2138</v>
      </c>
      <c r="B388" t="s">
        <v>2099</v>
      </c>
      <c r="C388" s="24"/>
      <c r="D388" s="24"/>
      <c r="E388" s="24"/>
      <c r="F388" t="str">
        <f>VLOOKUP(O388,pearl!$B:$E,4,0)</f>
        <v>♄</v>
      </c>
      <c r="G388" t="str">
        <f>VLOOKUP(IF(F388="Дом",H388,F388),pearl!$D$28:$F$32,3,0)</f>
        <v>Сатурн</v>
      </c>
      <c r="H388" t="str">
        <f>VLOOKUP(O388,pearl!$B:$E,3,0)</f>
        <v>♄Ворон</v>
      </c>
      <c r="I388" t="s">
        <v>64</v>
      </c>
      <c r="J388" t="s">
        <v>16</v>
      </c>
      <c r="K388" t="s">
        <v>142</v>
      </c>
      <c r="L388" t="s">
        <v>18</v>
      </c>
      <c r="N388" t="s">
        <v>2814</v>
      </c>
      <c r="O388" t="s">
        <v>217</v>
      </c>
      <c r="P388" s="8">
        <v>4</v>
      </c>
      <c r="Q388" s="8">
        <v>2</v>
      </c>
      <c r="R388" s="8">
        <v>0</v>
      </c>
      <c r="S388" t="s">
        <v>2004</v>
      </c>
      <c r="T388" s="3"/>
      <c r="U388" s="3"/>
      <c r="V388" s="3"/>
    </row>
    <row r="389" spans="1:22" ht="12.45" hidden="1" x14ac:dyDescent="0.2">
      <c r="A389" s="3" t="s">
        <v>2138</v>
      </c>
      <c r="B389" t="s">
        <v>2790</v>
      </c>
      <c r="F389" t="str">
        <f>VLOOKUP(O389,pearl!$B:$E,4,0)</f>
        <v>♄</v>
      </c>
      <c r="G389" t="str">
        <f>VLOOKUP(IF(F389="Дом",H389,F389),pearl!$D$28:$F$32,3,0)</f>
        <v>Сатурн</v>
      </c>
      <c r="H389" t="str">
        <f>VLOOKUP(O389,pearl!$B:$E,3,0)</f>
        <v>♄Восходящий Дым</v>
      </c>
      <c r="I389" t="s">
        <v>2791</v>
      </c>
      <c r="J389" t="s">
        <v>28</v>
      </c>
      <c r="K389" t="s">
        <v>23</v>
      </c>
      <c r="L389" t="s">
        <v>18</v>
      </c>
      <c r="N389" t="s">
        <v>2789</v>
      </c>
      <c r="O389" t="s">
        <v>124</v>
      </c>
      <c r="P389" s="8">
        <v>5</v>
      </c>
      <c r="Q389" s="8">
        <v>2</v>
      </c>
      <c r="R389" s="8">
        <v>0</v>
      </c>
      <c r="S389" t="s">
        <v>2001</v>
      </c>
      <c r="T389" s="3"/>
      <c r="U389" s="3"/>
      <c r="V389" s="3"/>
    </row>
    <row r="390" spans="1:22" ht="12.45" hidden="1" x14ac:dyDescent="0.2">
      <c r="A390" s="3" t="s">
        <v>2138</v>
      </c>
      <c r="B390" t="s">
        <v>2843</v>
      </c>
      <c r="F390" t="str">
        <f>VLOOKUP(O390,pearl!$B:$E,4,0)</f>
        <v>♄</v>
      </c>
      <c r="G390" t="str">
        <f>VLOOKUP(IF(F390="Дом",H390,F390),pearl!$D$28:$F$32,3,0)</f>
        <v>Сатурн</v>
      </c>
      <c r="H390" t="str">
        <f>VLOOKUP(O390,pearl!$B:$E,3,0)</f>
        <v>♄Телега с сеном</v>
      </c>
      <c r="I390" t="s">
        <v>43</v>
      </c>
      <c r="J390" t="s">
        <v>28</v>
      </c>
      <c r="K390" t="s">
        <v>23</v>
      </c>
      <c r="L390" t="s">
        <v>2844</v>
      </c>
      <c r="N390" t="s">
        <v>2842</v>
      </c>
      <c r="O390" t="s">
        <v>3131</v>
      </c>
      <c r="P390" s="8">
        <v>5</v>
      </c>
      <c r="Q390" s="8">
        <v>2</v>
      </c>
      <c r="R390" s="8">
        <v>0</v>
      </c>
      <c r="S390" t="s">
        <v>2841</v>
      </c>
      <c r="T390" s="3"/>
      <c r="U390" s="3"/>
      <c r="V390" s="3"/>
    </row>
    <row r="391" spans="1:22" ht="12.45" hidden="1" x14ac:dyDescent="0.2">
      <c r="A391" s="3" t="s">
        <v>2138</v>
      </c>
      <c r="B391" t="s">
        <v>2840</v>
      </c>
      <c r="F391" t="str">
        <f>VLOOKUP(O391,pearl!$B:$E,4,0)</f>
        <v>♄</v>
      </c>
      <c r="G391" t="str">
        <f>VLOOKUP(IF(F391="Дом",H391,F391),pearl!$D$28:$F$32,3,0)</f>
        <v>Сатурн</v>
      </c>
      <c r="H391" t="str">
        <f>VLOOKUP(O391,pearl!$B:$E,3,0)</f>
        <v>♄Телега с сеном</v>
      </c>
      <c r="I391" t="s">
        <v>2127</v>
      </c>
      <c r="J391" t="s">
        <v>28</v>
      </c>
      <c r="K391" t="s">
        <v>23</v>
      </c>
      <c r="L391" t="s">
        <v>18</v>
      </c>
      <c r="N391" t="s">
        <v>2838</v>
      </c>
      <c r="O391" t="s">
        <v>3131</v>
      </c>
      <c r="P391" s="8">
        <v>4</v>
      </c>
      <c r="Q391" s="8">
        <v>2</v>
      </c>
      <c r="R391" s="8">
        <v>0</v>
      </c>
      <c r="S391" t="s">
        <v>2056</v>
      </c>
      <c r="T391" s="3"/>
      <c r="U391" s="3"/>
      <c r="V391" s="3"/>
    </row>
    <row r="392" spans="1:22" ht="12.45" hidden="1" x14ac:dyDescent="0.2">
      <c r="A392" s="3" t="s">
        <v>2138</v>
      </c>
      <c r="B392" t="s">
        <v>2792</v>
      </c>
      <c r="F392" t="str">
        <f>VLOOKUP(O392,pearl!$B:$E,4,0)</f>
        <v>♄</v>
      </c>
      <c r="G392" t="str">
        <f>VLOOKUP(IF(F392="Дом",H392,F392),pearl!$D$28:$F$32,3,0)</f>
        <v>Сатурн</v>
      </c>
      <c r="H392" t="str">
        <f>VLOOKUP(O392,pearl!$B:$E,3,0)</f>
        <v>♄Восходящий Дым</v>
      </c>
      <c r="I392" t="s">
        <v>2793</v>
      </c>
      <c r="J392" t="s">
        <v>28</v>
      </c>
      <c r="K392" t="s">
        <v>2794</v>
      </c>
      <c r="L392" t="s">
        <v>2106</v>
      </c>
      <c r="N392" t="s">
        <v>2795</v>
      </c>
      <c r="O392" t="s">
        <v>124</v>
      </c>
      <c r="P392" s="8">
        <v>5</v>
      </c>
      <c r="Q392" s="8">
        <v>2</v>
      </c>
      <c r="R392" s="8">
        <v>0</v>
      </c>
      <c r="S392" t="s">
        <v>2796</v>
      </c>
      <c r="T392" s="3"/>
      <c r="U392" s="3"/>
      <c r="V392" s="3"/>
    </row>
    <row r="393" spans="1:22" ht="12.45" hidden="1" x14ac:dyDescent="0.2">
      <c r="A393" s="3" t="s">
        <v>2138</v>
      </c>
      <c r="B393" t="s">
        <v>2826</v>
      </c>
      <c r="C393" s="24"/>
      <c r="D393" s="24"/>
      <c r="E393" s="24"/>
      <c r="F393" t="str">
        <f>VLOOKUP(O393,pearl!$B:$E,4,0)</f>
        <v>♄</v>
      </c>
      <c r="G393" t="str">
        <f>VLOOKUP(IF(F393="Дом",H393,F393),pearl!$D$28:$F$32,3,0)</f>
        <v>Сатурн</v>
      </c>
      <c r="H393" t="str">
        <f>VLOOKUP(O393,pearl!$B:$E,3,0)</f>
        <v>♄Ворон</v>
      </c>
      <c r="I393" t="s">
        <v>392</v>
      </c>
      <c r="J393" t="s">
        <v>28</v>
      </c>
      <c r="K393" t="s">
        <v>2827</v>
      </c>
      <c r="L393" t="s">
        <v>18</v>
      </c>
      <c r="N393" t="s">
        <v>2824</v>
      </c>
      <c r="O393" t="s">
        <v>217</v>
      </c>
      <c r="P393" s="8">
        <v>5</v>
      </c>
      <c r="Q393" s="8">
        <v>5</v>
      </c>
      <c r="R393" s="8">
        <v>0</v>
      </c>
      <c r="S393" t="s">
        <v>2828</v>
      </c>
      <c r="T393" s="3"/>
      <c r="U393" s="3"/>
      <c r="V393" s="3"/>
    </row>
    <row r="394" spans="1:22" ht="12.45" hidden="1" x14ac:dyDescent="0.2">
      <c r="A394" s="3" t="s">
        <v>2138</v>
      </c>
      <c r="B394" t="s">
        <v>2832</v>
      </c>
      <c r="F394" t="str">
        <f>VLOOKUP(O394,pearl!$B:$E,4,0)</f>
        <v>♄</v>
      </c>
      <c r="G394" t="str">
        <f>VLOOKUP(IF(F394="Дом",H394,F394),pearl!$D$28:$F$32,3,0)</f>
        <v>Сатурн</v>
      </c>
      <c r="H394" t="str">
        <f>VLOOKUP(O394,pearl!$B:$E,3,0)</f>
        <v>♄Телега с сеном</v>
      </c>
      <c r="I394" t="s">
        <v>53</v>
      </c>
      <c r="J394" t="s">
        <v>28</v>
      </c>
      <c r="K394" t="s">
        <v>23</v>
      </c>
      <c r="L394" t="s">
        <v>182</v>
      </c>
      <c r="N394" t="s">
        <v>2833</v>
      </c>
      <c r="O394" t="s">
        <v>3131</v>
      </c>
      <c r="P394" s="8">
        <v>5</v>
      </c>
      <c r="Q394" s="8">
        <v>1</v>
      </c>
      <c r="R394" s="8">
        <v>0</v>
      </c>
      <c r="S394" t="s">
        <v>2046</v>
      </c>
      <c r="T394" s="3"/>
      <c r="U394" s="3"/>
      <c r="V394" s="3"/>
    </row>
    <row r="395" spans="1:22" ht="12.45" hidden="1" x14ac:dyDescent="0.2">
      <c r="A395" s="3" t="s">
        <v>2138</v>
      </c>
      <c r="B395" t="s">
        <v>2861</v>
      </c>
      <c r="F395" t="str">
        <f>VLOOKUP(O395,pearl!$B:$E,4,0)</f>
        <v>♄</v>
      </c>
      <c r="G395" t="str">
        <f>VLOOKUP(IF(F395="Дом",H395,F395),pearl!$D$28:$F$32,3,0)</f>
        <v>Сатурн</v>
      </c>
      <c r="H395" t="str">
        <f>VLOOKUP(O395,pearl!$B:$E,3,0)</f>
        <v>♄Меч</v>
      </c>
      <c r="I395" t="s">
        <v>175</v>
      </c>
      <c r="J395" t="s">
        <v>22</v>
      </c>
      <c r="K395" t="s">
        <v>142</v>
      </c>
      <c r="L395" t="s">
        <v>18</v>
      </c>
      <c r="N395" t="s">
        <v>2860</v>
      </c>
      <c r="O395" t="s">
        <v>653</v>
      </c>
      <c r="P395" s="8">
        <v>4</v>
      </c>
      <c r="Q395" s="8">
        <v>2</v>
      </c>
      <c r="R395" s="8">
        <v>0</v>
      </c>
      <c r="S395" t="s">
        <v>2859</v>
      </c>
      <c r="T395" s="3"/>
      <c r="U395" s="3"/>
      <c r="V395" s="3"/>
    </row>
    <row r="396" spans="1:22" ht="12.45" hidden="1" x14ac:dyDescent="0.2">
      <c r="A396" s="3" t="s">
        <v>2138</v>
      </c>
      <c r="B396" t="s">
        <v>2841</v>
      </c>
      <c r="F396" t="str">
        <f>VLOOKUP(O396,pearl!$B:$E,4,0)</f>
        <v>♄</v>
      </c>
      <c r="G396" t="str">
        <f>VLOOKUP(IF(F396="Дом",H396,F396),pearl!$D$28:$F$32,3,0)</f>
        <v>Сатурн</v>
      </c>
      <c r="H396" t="str">
        <f>VLOOKUP(O396,pearl!$B:$E,3,0)</f>
        <v>♄Телега с сеном</v>
      </c>
      <c r="I396" t="s">
        <v>2128</v>
      </c>
      <c r="J396" t="s">
        <v>148</v>
      </c>
      <c r="K396" t="s">
        <v>23</v>
      </c>
      <c r="L396" t="s">
        <v>148</v>
      </c>
      <c r="N396" t="s">
        <v>2842</v>
      </c>
      <c r="O396" t="s">
        <v>3131</v>
      </c>
      <c r="P396" s="8">
        <v>5</v>
      </c>
      <c r="Q396" s="8">
        <v>2</v>
      </c>
      <c r="R396" s="8">
        <v>0</v>
      </c>
      <c r="S396" t="s">
        <v>2832</v>
      </c>
      <c r="T396" s="3"/>
      <c r="U396" s="3"/>
      <c r="V396" s="3"/>
    </row>
    <row r="397" spans="1:22" ht="12.45" hidden="1" x14ac:dyDescent="0.2">
      <c r="A397" s="3" t="s">
        <v>2138</v>
      </c>
      <c r="B397" t="s">
        <v>2895</v>
      </c>
      <c r="F397" t="str">
        <f>VLOOKUP(O397,pearl!$B:$E,4,0)</f>
        <v>♄</v>
      </c>
      <c r="G397" t="str">
        <f>VLOOKUP(IF(F397="Дом",H397,F397),pearl!$D$28:$F$32,3,0)</f>
        <v>Сатурн</v>
      </c>
      <c r="H397" t="str">
        <f>VLOOKUP(O397,pearl!$B:$E,3,0)</f>
        <v>♄Труп</v>
      </c>
      <c r="I397" t="s">
        <v>2114</v>
      </c>
      <c r="J397" t="s">
        <v>22</v>
      </c>
      <c r="K397" t="s">
        <v>2896</v>
      </c>
      <c r="L397" t="s">
        <v>2106</v>
      </c>
      <c r="N397" t="s">
        <v>2891</v>
      </c>
      <c r="O397" t="s">
        <v>1031</v>
      </c>
      <c r="P397" s="8">
        <v>5</v>
      </c>
      <c r="Q397" s="8">
        <v>4</v>
      </c>
      <c r="R397" s="8">
        <v>0</v>
      </c>
      <c r="S397" t="s">
        <v>2897</v>
      </c>
      <c r="T397" s="3"/>
      <c r="U397" s="3"/>
      <c r="V397" s="3"/>
    </row>
    <row r="398" spans="1:22" ht="12.45" hidden="1" x14ac:dyDescent="0.2">
      <c r="A398" s="3" t="s">
        <v>2138</v>
      </c>
      <c r="B398" t="s">
        <v>2870</v>
      </c>
      <c r="F398" t="str">
        <f>VLOOKUP(O398,pearl!$B:$E,4,0)</f>
        <v>♄</v>
      </c>
      <c r="G398" t="str">
        <f>VLOOKUP(IF(F398="Дом",H398,F398),pearl!$D$28:$F$32,3,0)</f>
        <v>Сатурн</v>
      </c>
      <c r="H398" t="str">
        <f>VLOOKUP(O398,pearl!$B:$E,3,0)</f>
        <v>♄Меч</v>
      </c>
      <c r="I398" t="s">
        <v>264</v>
      </c>
      <c r="J398" t="s">
        <v>22</v>
      </c>
      <c r="K398" t="s">
        <v>438</v>
      </c>
      <c r="L398" t="s">
        <v>18</v>
      </c>
      <c r="N398" t="s">
        <v>2871</v>
      </c>
      <c r="O398" t="s">
        <v>653</v>
      </c>
      <c r="P398" s="8">
        <v>5</v>
      </c>
      <c r="Q398" s="8">
        <v>4</v>
      </c>
      <c r="R398" s="8">
        <v>0</v>
      </c>
      <c r="S398" t="s">
        <v>2868</v>
      </c>
      <c r="T398" s="3"/>
      <c r="U398" s="3"/>
      <c r="V398" s="3"/>
    </row>
    <row r="399" spans="1:22" ht="12.45" hidden="1" x14ac:dyDescent="0.2">
      <c r="A399" s="3" t="s">
        <v>2138</v>
      </c>
      <c r="B399" t="s">
        <v>2885</v>
      </c>
      <c r="F399" t="str">
        <f>VLOOKUP(O399,pearl!$B:$E,4,0)</f>
        <v>♄</v>
      </c>
      <c r="G399" t="str">
        <f>VLOOKUP(IF(F399="Дом",H399,F399),pearl!$D$28:$F$32,3,0)</f>
        <v>Сатурн</v>
      </c>
      <c r="H399" t="str">
        <f>VLOOKUP(O399,pearl!$B:$E,3,0)</f>
        <v>♄Труп</v>
      </c>
      <c r="I399" t="s">
        <v>27</v>
      </c>
      <c r="J399" t="s">
        <v>28</v>
      </c>
      <c r="K399" t="s">
        <v>23</v>
      </c>
      <c r="L399" t="s">
        <v>18</v>
      </c>
      <c r="N399" t="s">
        <v>2881</v>
      </c>
      <c r="O399" t="s">
        <v>1031</v>
      </c>
      <c r="P399" s="8">
        <v>3</v>
      </c>
      <c r="Q399" s="8">
        <v>1</v>
      </c>
      <c r="R399" s="8">
        <v>0</v>
      </c>
      <c r="S399" t="s">
        <v>23</v>
      </c>
      <c r="T399" s="3"/>
      <c r="U399" s="3"/>
      <c r="V399" s="3"/>
    </row>
    <row r="400" spans="1:22" ht="12.45" hidden="1" x14ac:dyDescent="0.2">
      <c r="A400" s="3" t="s">
        <v>2138</v>
      </c>
      <c r="B400" t="s">
        <v>2882</v>
      </c>
      <c r="F400" t="str">
        <f>VLOOKUP(O400,pearl!$B:$E,4,0)</f>
        <v>♄</v>
      </c>
      <c r="G400" t="str">
        <f>VLOOKUP(IF(F400="Дом",H400,F400),pearl!$D$28:$F$32,3,0)</f>
        <v>Сатурн</v>
      </c>
      <c r="H400" t="str">
        <f>VLOOKUP(O400,pearl!$B:$E,3,0)</f>
        <v>♄Труп</v>
      </c>
      <c r="I400" t="s">
        <v>2883</v>
      </c>
      <c r="J400" t="s">
        <v>22</v>
      </c>
      <c r="K400" t="s">
        <v>142</v>
      </c>
      <c r="L400" t="s">
        <v>18</v>
      </c>
      <c r="N400" t="s">
        <v>2881</v>
      </c>
      <c r="O400" t="s">
        <v>1031</v>
      </c>
      <c r="P400" s="8">
        <v>2</v>
      </c>
      <c r="Q400" s="8">
        <v>1</v>
      </c>
      <c r="R400" s="8">
        <v>0</v>
      </c>
      <c r="S400" t="s">
        <v>23</v>
      </c>
      <c r="T400" s="3"/>
      <c r="U400" s="3"/>
      <c r="V400" s="3"/>
    </row>
    <row r="401" spans="1:22" ht="12.45" hidden="1" x14ac:dyDescent="0.2">
      <c r="A401" s="3" t="s">
        <v>2138</v>
      </c>
      <c r="B401" t="s">
        <v>2787</v>
      </c>
      <c r="F401" t="str">
        <f>VLOOKUP(O401,pearl!$B:$E,4,0)</f>
        <v>♄</v>
      </c>
      <c r="G401" t="str">
        <f>VLOOKUP(IF(F401="Дом",H401,F401),pearl!$D$28:$F$32,3,0)</f>
        <v>Сатурн</v>
      </c>
      <c r="H401" t="str">
        <f>VLOOKUP(O401,pearl!$B:$E,3,0)</f>
        <v>♄Восходящий Дым</v>
      </c>
      <c r="I401" t="s">
        <v>2111</v>
      </c>
      <c r="J401" t="s">
        <v>148</v>
      </c>
      <c r="K401" t="s">
        <v>23</v>
      </c>
      <c r="L401" t="s">
        <v>148</v>
      </c>
      <c r="N401" t="s">
        <v>2784</v>
      </c>
      <c r="O401" t="s">
        <v>124</v>
      </c>
      <c r="P401" s="8">
        <v>4</v>
      </c>
      <c r="Q401" s="8">
        <v>2</v>
      </c>
      <c r="R401" s="8">
        <v>0</v>
      </c>
      <c r="S401" t="s">
        <v>1999</v>
      </c>
      <c r="T401" s="3"/>
      <c r="U401" s="3"/>
      <c r="V401" s="3"/>
    </row>
    <row r="402" spans="1:22" ht="12.45" hidden="1" x14ac:dyDescent="0.2">
      <c r="A402" s="3" t="s">
        <v>2138</v>
      </c>
      <c r="B402" t="s">
        <v>2857</v>
      </c>
      <c r="F402" t="str">
        <f>VLOOKUP(O402,pearl!$B:$E,4,0)</f>
        <v>♄</v>
      </c>
      <c r="G402" t="str">
        <f>VLOOKUP(IF(F402="Дом",H402,F402),pearl!$D$28:$F$32,3,0)</f>
        <v>Сатурн</v>
      </c>
      <c r="H402" t="str">
        <f>VLOOKUP(O402,pearl!$B:$E,3,0)</f>
        <v>♄Меч</v>
      </c>
      <c r="I402" t="s">
        <v>175</v>
      </c>
      <c r="J402" t="s">
        <v>22</v>
      </c>
      <c r="K402" t="s">
        <v>23</v>
      </c>
      <c r="L402" t="s">
        <v>18</v>
      </c>
      <c r="N402" t="s">
        <v>2854</v>
      </c>
      <c r="O402" t="s">
        <v>653</v>
      </c>
      <c r="P402" s="8">
        <v>4</v>
      </c>
      <c r="Q402" s="8">
        <v>1</v>
      </c>
      <c r="R402" s="8">
        <v>0</v>
      </c>
      <c r="S402" t="s">
        <v>2852</v>
      </c>
      <c r="T402" s="3"/>
      <c r="U402" s="3"/>
      <c r="V402" s="3"/>
    </row>
    <row r="403" spans="1:22" ht="12.45" hidden="1" x14ac:dyDescent="0.2">
      <c r="A403" s="3" t="s">
        <v>2138</v>
      </c>
      <c r="B403" t="s">
        <v>2889</v>
      </c>
      <c r="F403" t="str">
        <f>VLOOKUP(O403,pearl!$B:$E,4,0)</f>
        <v>♄</v>
      </c>
      <c r="G403" t="str">
        <f>VLOOKUP(IF(F403="Дом",H403,F403),pearl!$D$28:$F$32,3,0)</f>
        <v>Сатурн</v>
      </c>
      <c r="H403" t="str">
        <f>VLOOKUP(O403,pearl!$B:$E,3,0)</f>
        <v>♄Труп</v>
      </c>
      <c r="I403" t="s">
        <v>64</v>
      </c>
      <c r="J403" t="s">
        <v>28</v>
      </c>
      <c r="K403" t="s">
        <v>23</v>
      </c>
      <c r="L403" t="s">
        <v>182</v>
      </c>
      <c r="N403" t="s">
        <v>2886</v>
      </c>
      <c r="O403" t="s">
        <v>1031</v>
      </c>
      <c r="P403" s="8">
        <v>5</v>
      </c>
      <c r="Q403" s="8">
        <v>2</v>
      </c>
      <c r="R403" s="8">
        <v>0</v>
      </c>
      <c r="S403" t="s">
        <v>2875</v>
      </c>
      <c r="T403" s="3"/>
      <c r="U403" s="3"/>
      <c r="V403" s="3"/>
    </row>
    <row r="404" spans="1:22" ht="12.45" hidden="1" x14ac:dyDescent="0.2">
      <c r="A404" s="3" t="s">
        <v>2138</v>
      </c>
      <c r="B404" t="s">
        <v>2898</v>
      </c>
      <c r="F404" t="str">
        <f>VLOOKUP(O404,pearl!$B:$E,4,0)</f>
        <v>♄</v>
      </c>
      <c r="G404" t="str">
        <f>VLOOKUP(IF(F404="Дом",H404,F404),pearl!$D$28:$F$32,3,0)</f>
        <v>Сатурн</v>
      </c>
      <c r="H404" t="str">
        <f>VLOOKUP(O404,pearl!$B:$E,3,0)</f>
        <v>♄Труп</v>
      </c>
      <c r="I404" t="s">
        <v>2899</v>
      </c>
      <c r="J404" t="s">
        <v>28</v>
      </c>
      <c r="K404" t="s">
        <v>23</v>
      </c>
      <c r="L404" t="s">
        <v>2115</v>
      </c>
      <c r="N404" t="s">
        <v>2900</v>
      </c>
      <c r="O404" t="s">
        <v>1031</v>
      </c>
      <c r="P404" s="8">
        <v>5</v>
      </c>
      <c r="Q404" s="8">
        <v>5</v>
      </c>
      <c r="R404" s="8">
        <v>0</v>
      </c>
      <c r="S404" t="s">
        <v>2901</v>
      </c>
      <c r="T404" s="3"/>
      <c r="U404" s="3"/>
      <c r="V404" s="3"/>
    </row>
    <row r="405" spans="1:22" ht="12.45" hidden="1" x14ac:dyDescent="0.2">
      <c r="A405" s="3" t="s">
        <v>2138</v>
      </c>
      <c r="B405" t="s">
        <v>2839</v>
      </c>
      <c r="F405" t="str">
        <f>VLOOKUP(O405,pearl!$B:$E,4,0)</f>
        <v>♄</v>
      </c>
      <c r="G405" t="str">
        <f>VLOOKUP(IF(F405="Дом",H405,F405),pearl!$D$28:$F$32,3,0)</f>
        <v>Сатурн</v>
      </c>
      <c r="H405" t="str">
        <f>VLOOKUP(O405,pearl!$B:$E,3,0)</f>
        <v>♄Телега с сеном</v>
      </c>
      <c r="I405" t="s">
        <v>2110</v>
      </c>
      <c r="J405" t="s">
        <v>148</v>
      </c>
      <c r="K405" t="s">
        <v>2124</v>
      </c>
      <c r="L405" t="s">
        <v>148</v>
      </c>
      <c r="N405" t="s">
        <v>2838</v>
      </c>
      <c r="O405" t="s">
        <v>3131</v>
      </c>
      <c r="P405" s="8">
        <v>3</v>
      </c>
      <c r="Q405" s="8">
        <v>2</v>
      </c>
      <c r="R405" s="8">
        <v>0</v>
      </c>
      <c r="S405" t="s">
        <v>2046</v>
      </c>
      <c r="T405" s="3"/>
      <c r="U405" s="3"/>
      <c r="V405" s="3"/>
    </row>
    <row r="406" spans="1:22" ht="12.45" hidden="1" x14ac:dyDescent="0.2">
      <c r="A406" s="3" t="s">
        <v>2138</v>
      </c>
      <c r="B406" t="s">
        <v>2849</v>
      </c>
      <c r="F406" t="str">
        <f>VLOOKUP(O406,pearl!$B:$E,4,0)</f>
        <v>♄</v>
      </c>
      <c r="G406" t="str">
        <f>VLOOKUP(IF(F406="Дом",H406,F406),pearl!$D$28:$F$32,3,0)</f>
        <v>Сатурн</v>
      </c>
      <c r="H406" t="str">
        <f>VLOOKUP(O406,pearl!$B:$E,3,0)</f>
        <v>♄Телега с сеном</v>
      </c>
      <c r="I406" t="s">
        <v>392</v>
      </c>
      <c r="J406" t="s">
        <v>28</v>
      </c>
      <c r="K406" t="s">
        <v>438</v>
      </c>
      <c r="L406" t="s">
        <v>18</v>
      </c>
      <c r="N406" t="s">
        <v>2850</v>
      </c>
      <c r="O406" t="s">
        <v>3131</v>
      </c>
      <c r="P406" s="8">
        <v>5</v>
      </c>
      <c r="Q406" s="8">
        <v>5</v>
      </c>
      <c r="R406" s="8">
        <v>0</v>
      </c>
      <c r="S406" t="s">
        <v>2851</v>
      </c>
      <c r="T406" s="3"/>
      <c r="U406" s="3"/>
      <c r="V406" s="3"/>
    </row>
    <row r="407" spans="1:22" ht="12.45" hidden="1" x14ac:dyDescent="0.2">
      <c r="A407" s="3" t="s">
        <v>2138</v>
      </c>
      <c r="B407" t="s">
        <v>2847</v>
      </c>
      <c r="F407" t="str">
        <f>VLOOKUP(O407,pearl!$B:$E,4,0)</f>
        <v>♄</v>
      </c>
      <c r="G407" t="str">
        <f>VLOOKUP(IF(F407="Дом",H407,F407),pearl!$D$28:$F$32,3,0)</f>
        <v>Сатурн</v>
      </c>
      <c r="H407" t="str">
        <f>VLOOKUP(O407,pearl!$B:$E,3,0)</f>
        <v>♄Телега с сеном</v>
      </c>
      <c r="I407" t="s">
        <v>264</v>
      </c>
      <c r="J407" t="s">
        <v>28</v>
      </c>
      <c r="K407" t="s">
        <v>23</v>
      </c>
      <c r="L407" t="s">
        <v>182</v>
      </c>
      <c r="N407" t="s">
        <v>2846</v>
      </c>
      <c r="O407" t="s">
        <v>3131</v>
      </c>
      <c r="P407" s="8">
        <v>5</v>
      </c>
      <c r="Q407" s="8">
        <v>4</v>
      </c>
      <c r="R407" s="8">
        <v>0</v>
      </c>
      <c r="S407" t="s">
        <v>2848</v>
      </c>
      <c r="T407" s="3"/>
      <c r="U407" s="3"/>
      <c r="V407" s="3"/>
    </row>
    <row r="408" spans="1:22" ht="12.45" hidden="1" x14ac:dyDescent="0.2">
      <c r="A408" s="3" t="s">
        <v>2138</v>
      </c>
      <c r="B408" t="s">
        <v>2892</v>
      </c>
      <c r="F408" t="str">
        <f>VLOOKUP(O408,pearl!$B:$E,4,0)</f>
        <v>♄</v>
      </c>
      <c r="G408" t="str">
        <f>VLOOKUP(IF(F408="Дом",H408,F408),pearl!$D$28:$F$32,3,0)</f>
        <v>Сатурн</v>
      </c>
      <c r="H408" t="str">
        <f>VLOOKUP(O408,pearl!$B:$E,3,0)</f>
        <v>♄Труп</v>
      </c>
      <c r="I408" t="s">
        <v>147</v>
      </c>
      <c r="J408" t="s">
        <v>148</v>
      </c>
      <c r="K408" t="s">
        <v>23</v>
      </c>
      <c r="L408" t="s">
        <v>148</v>
      </c>
      <c r="N408" t="s">
        <v>2891</v>
      </c>
      <c r="O408" t="s">
        <v>1031</v>
      </c>
      <c r="P408" s="8">
        <v>5</v>
      </c>
      <c r="Q408" s="8">
        <v>3</v>
      </c>
      <c r="R408" s="8">
        <v>0</v>
      </c>
      <c r="S408" t="s">
        <v>2890</v>
      </c>
      <c r="T408" s="3"/>
      <c r="U408" s="3"/>
      <c r="V408" s="3"/>
    </row>
    <row r="409" spans="1:22" ht="12.45" hidden="1" x14ac:dyDescent="0.2">
      <c r="A409" s="3" t="s">
        <v>2138</v>
      </c>
      <c r="B409" t="s">
        <v>2864</v>
      </c>
      <c r="F409" t="str">
        <f>VLOOKUP(O409,pearl!$B:$E,4,0)</f>
        <v>♄</v>
      </c>
      <c r="G409" t="str">
        <f>VLOOKUP(IF(F409="Дом",H409,F409),pearl!$D$28:$F$32,3,0)</f>
        <v>Сатурн</v>
      </c>
      <c r="H409" t="str">
        <f>VLOOKUP(O409,pearl!$B:$E,3,0)</f>
        <v>♄Меч</v>
      </c>
      <c r="I409" t="s">
        <v>264</v>
      </c>
      <c r="J409" t="s">
        <v>28</v>
      </c>
      <c r="K409" t="s">
        <v>889</v>
      </c>
      <c r="L409" t="s">
        <v>182</v>
      </c>
      <c r="N409" t="s">
        <v>2860</v>
      </c>
      <c r="O409" t="s">
        <v>653</v>
      </c>
      <c r="P409" s="8">
        <v>5</v>
      </c>
      <c r="Q409" s="8">
        <v>3</v>
      </c>
      <c r="R409" s="8">
        <v>0</v>
      </c>
      <c r="S409" t="s">
        <v>2865</v>
      </c>
      <c r="T409" s="3"/>
      <c r="U409" s="3"/>
      <c r="V409" s="3"/>
    </row>
    <row r="410" spans="1:22" ht="12.45" hidden="1" x14ac:dyDescent="0.2">
      <c r="A410" s="3" t="s">
        <v>2138</v>
      </c>
      <c r="B410" t="s">
        <v>2831</v>
      </c>
      <c r="F410" t="str">
        <f>VLOOKUP(O410,pearl!$B:$E,4,0)</f>
        <v>♄</v>
      </c>
      <c r="G410" t="str">
        <f>VLOOKUP(IF(F410="Дом",H410,F410),pearl!$D$28:$F$32,3,0)</f>
        <v>Сатурн</v>
      </c>
      <c r="H410" t="str">
        <f>VLOOKUP(O410,pearl!$B:$E,3,0)</f>
        <v>♄Телега с сеном</v>
      </c>
      <c r="I410" t="s">
        <v>154</v>
      </c>
      <c r="J410" t="s">
        <v>22</v>
      </c>
      <c r="K410" t="s">
        <v>23</v>
      </c>
      <c r="L410" t="s">
        <v>18</v>
      </c>
      <c r="N410" t="s">
        <v>2829</v>
      </c>
      <c r="O410" t="s">
        <v>3131</v>
      </c>
      <c r="P410" s="8">
        <v>3</v>
      </c>
      <c r="Q410" s="8">
        <v>1</v>
      </c>
      <c r="R410" s="8">
        <v>0</v>
      </c>
      <c r="S410" t="s">
        <v>2046</v>
      </c>
      <c r="T410" s="3"/>
      <c r="U410" s="3"/>
      <c r="V410" s="3"/>
    </row>
    <row r="411" spans="1:22" ht="12.45" hidden="1" x14ac:dyDescent="0.2">
      <c r="A411" s="3" t="s">
        <v>2138</v>
      </c>
      <c r="B411" t="s">
        <v>2858</v>
      </c>
      <c r="F411" t="str">
        <f>VLOOKUP(O411,pearl!$B:$E,4,0)</f>
        <v>♄</v>
      </c>
      <c r="G411" t="str">
        <f>VLOOKUP(IF(F411="Дом",H411,F411),pearl!$D$28:$F$32,3,0)</f>
        <v>Сатурн</v>
      </c>
      <c r="H411" t="str">
        <f>VLOOKUP(O411,pearl!$B:$E,3,0)</f>
        <v>♄Меч</v>
      </c>
      <c r="I411" t="s">
        <v>64</v>
      </c>
      <c r="J411" t="s">
        <v>28</v>
      </c>
      <c r="K411" t="s">
        <v>23</v>
      </c>
      <c r="L411" t="s">
        <v>18</v>
      </c>
      <c r="N411" t="s">
        <v>2854</v>
      </c>
      <c r="O411" t="s">
        <v>653</v>
      </c>
      <c r="P411" s="8">
        <v>4</v>
      </c>
      <c r="Q411" s="8">
        <v>1</v>
      </c>
      <c r="R411" s="8">
        <v>0</v>
      </c>
      <c r="S411" t="s">
        <v>2857</v>
      </c>
      <c r="T411" s="3"/>
      <c r="U411" s="3"/>
      <c r="V411" s="3"/>
    </row>
    <row r="412" spans="1:22" ht="12.45" hidden="1" x14ac:dyDescent="0.2">
      <c r="A412" s="3" t="s">
        <v>2138</v>
      </c>
      <c r="B412" t="s">
        <v>2001</v>
      </c>
      <c r="F412" t="str">
        <f>VLOOKUP(O412,pearl!$B:$E,4,0)</f>
        <v>♄</v>
      </c>
      <c r="G412" t="str">
        <f>VLOOKUP(IF(F412="Дом",H412,F412),pearl!$D$28:$F$32,3,0)</f>
        <v>Сатурн</v>
      </c>
      <c r="H412" t="str">
        <f>VLOOKUP(O412,pearl!$B:$E,3,0)</f>
        <v>♄Восходящий Дым</v>
      </c>
      <c r="I412" t="s">
        <v>34</v>
      </c>
      <c r="J412" t="s">
        <v>28</v>
      </c>
      <c r="K412" t="s">
        <v>142</v>
      </c>
      <c r="L412" t="s">
        <v>18</v>
      </c>
      <c r="N412" t="s">
        <v>2784</v>
      </c>
      <c r="O412" t="s">
        <v>124</v>
      </c>
      <c r="P412" s="8">
        <v>2</v>
      </c>
      <c r="Q412" s="8">
        <v>1</v>
      </c>
      <c r="R412" s="8">
        <v>0</v>
      </c>
      <c r="S412" t="s">
        <v>23</v>
      </c>
      <c r="T412" s="3"/>
      <c r="U412" s="3"/>
      <c r="V412" s="3"/>
    </row>
    <row r="413" spans="1:22" ht="12.45" hidden="1" x14ac:dyDescent="0.2">
      <c r="A413" s="3" t="s">
        <v>2138</v>
      </c>
      <c r="B413" t="s">
        <v>2819</v>
      </c>
      <c r="C413" s="24"/>
      <c r="D413" s="24"/>
      <c r="E413" s="24"/>
      <c r="F413" t="str">
        <f>VLOOKUP(O413,pearl!$B:$E,4,0)</f>
        <v>♄</v>
      </c>
      <c r="G413" t="str">
        <f>VLOOKUP(IF(F413="Дом",H413,F413),pearl!$D$28:$F$32,3,0)</f>
        <v>Сатурн</v>
      </c>
      <c r="H413" t="str">
        <f>VLOOKUP(O413,pearl!$B:$E,3,0)</f>
        <v>♄Ворон</v>
      </c>
      <c r="I413" t="s">
        <v>34</v>
      </c>
      <c r="J413" t="s">
        <v>22</v>
      </c>
      <c r="K413" t="s">
        <v>23</v>
      </c>
      <c r="L413" t="s">
        <v>18</v>
      </c>
      <c r="N413" t="s">
        <v>2816</v>
      </c>
      <c r="O413" t="s">
        <v>217</v>
      </c>
      <c r="P413" s="8">
        <v>5</v>
      </c>
      <c r="Q413" s="8">
        <v>2</v>
      </c>
      <c r="R413" s="8">
        <v>0</v>
      </c>
      <c r="S413" t="s">
        <v>2004</v>
      </c>
      <c r="T413" s="3"/>
      <c r="U413" s="3"/>
      <c r="V413" s="3"/>
    </row>
    <row r="414" spans="1:22" ht="12.45" hidden="1" x14ac:dyDescent="0.2">
      <c r="A414" s="3" t="s">
        <v>2138</v>
      </c>
      <c r="B414" t="s">
        <v>1999</v>
      </c>
      <c r="F414" t="str">
        <f>VLOOKUP(O414,pearl!$B:$E,4,0)</f>
        <v>♄</v>
      </c>
      <c r="G414" t="str">
        <f>VLOOKUP(IF(F414="Дом",H414,F414),pearl!$D$28:$F$32,3,0)</f>
        <v>Сатурн</v>
      </c>
      <c r="H414" t="str">
        <f>VLOOKUP(O414,pearl!$B:$E,3,0)</f>
        <v>♄Восходящий Дым</v>
      </c>
      <c r="I414" t="s">
        <v>34</v>
      </c>
      <c r="J414" t="s">
        <v>16</v>
      </c>
      <c r="K414" t="s">
        <v>142</v>
      </c>
      <c r="L414" t="s">
        <v>18</v>
      </c>
      <c r="N414" t="s">
        <v>2784</v>
      </c>
      <c r="O414" t="s">
        <v>124</v>
      </c>
      <c r="P414" s="8">
        <v>3</v>
      </c>
      <c r="Q414" s="8">
        <v>1</v>
      </c>
      <c r="R414" s="8">
        <v>0</v>
      </c>
      <c r="S414" t="s">
        <v>23</v>
      </c>
      <c r="T414" s="3"/>
      <c r="U414" s="3"/>
      <c r="V414" s="3"/>
    </row>
    <row r="415" spans="1:22" ht="12.45" hidden="1" x14ac:dyDescent="0.2">
      <c r="A415" s="3" t="s">
        <v>2138</v>
      </c>
      <c r="B415" t="s">
        <v>2797</v>
      </c>
      <c r="F415" t="str">
        <f>VLOOKUP(O415,pearl!$B:$E,4,0)</f>
        <v>♄</v>
      </c>
      <c r="G415" t="str">
        <f>VLOOKUP(IF(F415="Дом",H415,F415),pearl!$D$28:$F$32,3,0)</f>
        <v>Сатурн</v>
      </c>
      <c r="H415" t="str">
        <f>VLOOKUP(O415,pearl!$B:$E,3,0)</f>
        <v>♄Восходящий Дым</v>
      </c>
      <c r="I415" t="s">
        <v>147</v>
      </c>
      <c r="J415" t="s">
        <v>148</v>
      </c>
      <c r="K415" t="s">
        <v>23</v>
      </c>
      <c r="L415" t="s">
        <v>148</v>
      </c>
      <c r="N415" t="s">
        <v>2795</v>
      </c>
      <c r="O415" t="s">
        <v>124</v>
      </c>
      <c r="P415" s="8">
        <v>5</v>
      </c>
      <c r="Q415" s="8">
        <v>2</v>
      </c>
      <c r="R415" s="8">
        <v>0</v>
      </c>
      <c r="S415" t="s">
        <v>2002</v>
      </c>
      <c r="T415" s="3"/>
      <c r="U415" s="3"/>
      <c r="V415" s="3"/>
    </row>
    <row r="416" spans="1:22" ht="12.45" hidden="1" x14ac:dyDescent="0.2">
      <c r="A416" s="3" t="s">
        <v>2138</v>
      </c>
      <c r="B416" t="s">
        <v>2003</v>
      </c>
      <c r="F416" t="str">
        <f>VLOOKUP(O416,pearl!$B:$E,4,0)</f>
        <v>♄</v>
      </c>
      <c r="G416" t="str">
        <f>VLOOKUP(IF(F416="Дом",H416,F416),pearl!$D$28:$F$32,3,0)</f>
        <v>Сатурн</v>
      </c>
      <c r="H416" t="str">
        <f>VLOOKUP(O416,pearl!$B:$E,3,0)</f>
        <v>♄Восходящий Дым</v>
      </c>
      <c r="I416" t="s">
        <v>2802</v>
      </c>
      <c r="J416" t="s">
        <v>28</v>
      </c>
      <c r="K416" t="s">
        <v>23</v>
      </c>
      <c r="L416" t="s">
        <v>563</v>
      </c>
      <c r="N416" t="s">
        <v>2803</v>
      </c>
      <c r="O416" t="s">
        <v>124</v>
      </c>
      <c r="P416" s="8">
        <v>5</v>
      </c>
      <c r="Q416" s="8">
        <v>5</v>
      </c>
      <c r="R416" s="8">
        <v>0</v>
      </c>
      <c r="S416" t="s">
        <v>2804</v>
      </c>
      <c r="T416" s="3"/>
      <c r="U416" s="3"/>
      <c r="V416" s="3"/>
    </row>
    <row r="417" spans="1:22" ht="12.45" hidden="1" x14ac:dyDescent="0.2">
      <c r="A417" s="3" t="s">
        <v>2138</v>
      </c>
      <c r="B417" t="s">
        <v>2890</v>
      </c>
      <c r="F417" t="str">
        <f>VLOOKUP(O417,pearl!$B:$E,4,0)</f>
        <v>♄</v>
      </c>
      <c r="G417" t="str">
        <f>VLOOKUP(IF(F417="Дом",H417,F417),pearl!$D$28:$F$32,3,0)</f>
        <v>Сатурн</v>
      </c>
      <c r="H417" t="str">
        <f>VLOOKUP(O417,pearl!$B:$E,3,0)</f>
        <v>♄Труп</v>
      </c>
      <c r="I417" t="s">
        <v>43</v>
      </c>
      <c r="J417" t="s">
        <v>28</v>
      </c>
      <c r="K417" t="s">
        <v>2123</v>
      </c>
      <c r="L417" t="s">
        <v>18</v>
      </c>
      <c r="N417" t="s">
        <v>2891</v>
      </c>
      <c r="O417" t="s">
        <v>1031</v>
      </c>
      <c r="P417" s="8">
        <v>5</v>
      </c>
      <c r="Q417" s="8">
        <v>2</v>
      </c>
      <c r="R417" s="8">
        <v>0</v>
      </c>
      <c r="S417" t="s">
        <v>2875</v>
      </c>
      <c r="T417" s="3"/>
      <c r="U417" s="3"/>
      <c r="V417" s="3"/>
    </row>
    <row r="418" spans="1:22" ht="12.45" hidden="1" x14ac:dyDescent="0.2">
      <c r="A418" s="3" t="s">
        <v>2138</v>
      </c>
      <c r="B418" t="s">
        <v>2872</v>
      </c>
      <c r="F418" t="str">
        <f>VLOOKUP(O418,pearl!$B:$E,4,0)</f>
        <v>♄</v>
      </c>
      <c r="G418" t="str">
        <f>VLOOKUP(IF(F418="Дом",H418,F418),pearl!$D$28:$F$32,3,0)</f>
        <v>Сатурн</v>
      </c>
      <c r="H418" t="str">
        <f>VLOOKUP(O418,pearl!$B:$E,3,0)</f>
        <v>♄Меч</v>
      </c>
      <c r="I418" t="s">
        <v>2108</v>
      </c>
      <c r="J418" t="s">
        <v>28</v>
      </c>
      <c r="K418" t="s">
        <v>23</v>
      </c>
      <c r="L418" t="s">
        <v>18</v>
      </c>
      <c r="N418" t="s">
        <v>2871</v>
      </c>
      <c r="O418" t="s">
        <v>653</v>
      </c>
      <c r="P418" s="8">
        <v>5</v>
      </c>
      <c r="Q418" s="8">
        <v>5</v>
      </c>
      <c r="R418" s="8">
        <v>0</v>
      </c>
      <c r="S418" t="s">
        <v>2873</v>
      </c>
      <c r="T418" s="3"/>
      <c r="U418" s="3"/>
      <c r="V418" s="3"/>
    </row>
    <row r="419" spans="1:22" ht="12.45" hidden="1" x14ac:dyDescent="0.2">
      <c r="A419" s="3" t="s">
        <v>2138</v>
      </c>
      <c r="B419" t="s">
        <v>2868</v>
      </c>
      <c r="F419" t="str">
        <f>VLOOKUP(O419,pearl!$B:$E,4,0)</f>
        <v>♄</v>
      </c>
      <c r="G419" t="str">
        <f>VLOOKUP(IF(F419="Дом",H419,F419),pearl!$D$28:$F$32,3,0)</f>
        <v>Сатурн</v>
      </c>
      <c r="H419" t="str">
        <f>VLOOKUP(O419,pearl!$B:$E,3,0)</f>
        <v>♄Меч</v>
      </c>
      <c r="I419" t="s">
        <v>264</v>
      </c>
      <c r="J419" t="s">
        <v>22</v>
      </c>
      <c r="K419" t="s">
        <v>142</v>
      </c>
      <c r="L419" t="s">
        <v>18</v>
      </c>
      <c r="N419" t="s">
        <v>2867</v>
      </c>
      <c r="O419" t="s">
        <v>653</v>
      </c>
      <c r="P419" s="8">
        <v>5</v>
      </c>
      <c r="Q419" s="8">
        <v>3</v>
      </c>
      <c r="R419" s="8">
        <v>0</v>
      </c>
      <c r="S419" t="s">
        <v>2869</v>
      </c>
      <c r="T419" s="3"/>
      <c r="U419" s="3"/>
      <c r="V419" s="3"/>
    </row>
    <row r="420" spans="1:22" ht="12.45" hidden="1" x14ac:dyDescent="0.2">
      <c r="A420" s="3" t="s">
        <v>2138</v>
      </c>
      <c r="B420" t="s">
        <v>2822</v>
      </c>
      <c r="C420" s="24"/>
      <c r="D420" s="24"/>
      <c r="E420" s="24"/>
      <c r="F420" t="str">
        <f>VLOOKUP(O420,pearl!$B:$E,4,0)</f>
        <v>♄</v>
      </c>
      <c r="G420" t="str">
        <f>VLOOKUP(IF(F420="Дом",H420,F420),pearl!$D$28:$F$32,3,0)</f>
        <v>Сатурн</v>
      </c>
      <c r="H420" t="str">
        <f>VLOOKUP(O420,pearl!$B:$E,3,0)</f>
        <v>♄Ворон</v>
      </c>
      <c r="I420" t="s">
        <v>264</v>
      </c>
      <c r="J420" t="s">
        <v>28</v>
      </c>
      <c r="K420" t="s">
        <v>2823</v>
      </c>
      <c r="L420" t="s">
        <v>2115</v>
      </c>
      <c r="N420" t="s">
        <v>2824</v>
      </c>
      <c r="O420" t="s">
        <v>217</v>
      </c>
      <c r="P420" s="8">
        <v>5</v>
      </c>
      <c r="Q420" s="8">
        <v>4</v>
      </c>
      <c r="R420" s="8">
        <v>0</v>
      </c>
      <c r="S420" t="s">
        <v>2825</v>
      </c>
      <c r="T420" s="3"/>
      <c r="U420" s="3"/>
      <c r="V420" s="3"/>
    </row>
    <row r="421" spans="1:22" ht="12.45" hidden="1" x14ac:dyDescent="0.2">
      <c r="A421" s="3" t="s">
        <v>2138</v>
      </c>
      <c r="B421" t="s">
        <v>2856</v>
      </c>
      <c r="F421" t="str">
        <f>VLOOKUP(O421,pearl!$B:$E,4,0)</f>
        <v>♄</v>
      </c>
      <c r="G421" t="str">
        <f>VLOOKUP(IF(F421="Дом",H421,F421),pearl!$D$28:$F$32,3,0)</f>
        <v>Сатурн</v>
      </c>
      <c r="H421" t="str">
        <f>VLOOKUP(O421,pearl!$B:$E,3,0)</f>
        <v>♄Меч</v>
      </c>
      <c r="I421" t="s">
        <v>165</v>
      </c>
      <c r="J421" t="s">
        <v>148</v>
      </c>
      <c r="K421" t="s">
        <v>23</v>
      </c>
      <c r="L421" t="s">
        <v>148</v>
      </c>
      <c r="N421" t="s">
        <v>2854</v>
      </c>
      <c r="O421" t="s">
        <v>653</v>
      </c>
      <c r="P421" s="8">
        <v>2</v>
      </c>
      <c r="Q421" s="8">
        <v>1</v>
      </c>
      <c r="R421" s="8">
        <v>0</v>
      </c>
      <c r="S421" t="s">
        <v>23</v>
      </c>
      <c r="T421" s="3"/>
      <c r="U421" s="3"/>
      <c r="V421" s="3"/>
    </row>
    <row r="422" spans="1:22" ht="12.45" hidden="1" x14ac:dyDescent="0.2">
      <c r="A422" s="3" t="s">
        <v>2138</v>
      </c>
      <c r="B422" t="s">
        <v>2862</v>
      </c>
      <c r="F422" t="str">
        <f>VLOOKUP(O422,pearl!$B:$E,4,0)</f>
        <v>♄</v>
      </c>
      <c r="G422" t="str">
        <f>VLOOKUP(IF(F422="Дом",H422,F422),pearl!$D$28:$F$32,3,0)</f>
        <v>Сатурн</v>
      </c>
      <c r="H422" t="str">
        <f>VLOOKUP(O422,pearl!$B:$E,3,0)</f>
        <v>♄Меч</v>
      </c>
      <c r="I422" t="s">
        <v>2863</v>
      </c>
      <c r="J422" t="s">
        <v>22</v>
      </c>
      <c r="K422" t="s">
        <v>23</v>
      </c>
      <c r="L422" t="s">
        <v>18</v>
      </c>
      <c r="N422" t="s">
        <v>2860</v>
      </c>
      <c r="O422" t="s">
        <v>653</v>
      </c>
      <c r="P422" s="8">
        <v>4</v>
      </c>
      <c r="Q422" s="8">
        <v>2</v>
      </c>
      <c r="R422" s="8">
        <v>0</v>
      </c>
      <c r="S422" t="s">
        <v>2859</v>
      </c>
      <c r="T422" s="3"/>
      <c r="U422" s="3"/>
      <c r="V422" s="3"/>
    </row>
    <row r="423" spans="1:22" ht="12.45" hidden="1" x14ac:dyDescent="0.2">
      <c r="A423" s="3" t="s">
        <v>2138</v>
      </c>
      <c r="B423" t="s">
        <v>2878</v>
      </c>
      <c r="F423" t="str">
        <f>VLOOKUP(O423,pearl!$B:$E,4,0)</f>
        <v>♄</v>
      </c>
      <c r="G423" t="str">
        <f>VLOOKUP(IF(F423="Дом",H423,F423),pearl!$D$28:$F$32,3,0)</f>
        <v>Сатурн</v>
      </c>
      <c r="H423" t="str">
        <f>VLOOKUP(O423,pearl!$B:$E,3,0)</f>
        <v>♄Труп</v>
      </c>
      <c r="I423" t="s">
        <v>154</v>
      </c>
      <c r="J423" t="s">
        <v>22</v>
      </c>
      <c r="K423" t="s">
        <v>23</v>
      </c>
      <c r="L423" t="s">
        <v>18</v>
      </c>
      <c r="N423" t="s">
        <v>2877</v>
      </c>
      <c r="O423" t="s">
        <v>1031</v>
      </c>
      <c r="P423" s="8">
        <v>3</v>
      </c>
      <c r="Q423" s="8">
        <v>1</v>
      </c>
      <c r="R423" s="8">
        <v>0</v>
      </c>
      <c r="S423" t="s">
        <v>2045</v>
      </c>
      <c r="T423" s="3"/>
      <c r="U423" s="3"/>
      <c r="V423" s="3"/>
    </row>
    <row r="424" spans="1:22" ht="12.45" hidden="1" x14ac:dyDescent="0.2">
      <c r="A424" s="3" t="s">
        <v>2138</v>
      </c>
      <c r="B424" t="s">
        <v>2837</v>
      </c>
      <c r="F424" t="str">
        <f>VLOOKUP(O424,pearl!$B:$E,4,0)</f>
        <v>♄</v>
      </c>
      <c r="G424" t="str">
        <f>VLOOKUP(IF(F424="Дом",H424,F424),pearl!$D$28:$F$32,3,0)</f>
        <v>Сатурн</v>
      </c>
      <c r="H424" t="str">
        <f>VLOOKUP(O424,pearl!$B:$E,3,0)</f>
        <v>♄Телега с сеном</v>
      </c>
      <c r="I424" t="s">
        <v>27</v>
      </c>
      <c r="J424" t="s">
        <v>28</v>
      </c>
      <c r="K424" t="s">
        <v>142</v>
      </c>
      <c r="L424" t="s">
        <v>182</v>
      </c>
      <c r="N424" t="s">
        <v>2838</v>
      </c>
      <c r="O424" t="s">
        <v>3131</v>
      </c>
      <c r="P424" s="8">
        <v>4</v>
      </c>
      <c r="Q424" s="8">
        <v>1</v>
      </c>
      <c r="R424" s="8">
        <v>0</v>
      </c>
      <c r="S424" t="s">
        <v>2836</v>
      </c>
      <c r="T424" s="3"/>
      <c r="U424" s="3"/>
      <c r="V424" s="3"/>
    </row>
    <row r="425" spans="1:22" ht="12.45" hidden="1" x14ac:dyDescent="0.2">
      <c r="A425" s="3" t="s">
        <v>2138</v>
      </c>
      <c r="B425" t="s">
        <v>2845</v>
      </c>
      <c r="F425" t="str">
        <f>VLOOKUP(O425,pearl!$B:$E,4,0)</f>
        <v>♄</v>
      </c>
      <c r="G425" t="str">
        <f>VLOOKUP(IF(F425="Дом",H425,F425),pearl!$D$28:$F$32,3,0)</f>
        <v>Сатурн</v>
      </c>
      <c r="H425" t="str">
        <f>VLOOKUP(O425,pearl!$B:$E,3,0)</f>
        <v>♄Телега с сеном</v>
      </c>
      <c r="I425" t="s">
        <v>43</v>
      </c>
      <c r="J425" t="s">
        <v>28</v>
      </c>
      <c r="K425" t="s">
        <v>142</v>
      </c>
      <c r="L425" t="s">
        <v>476</v>
      </c>
      <c r="N425" t="s">
        <v>2846</v>
      </c>
      <c r="O425" t="s">
        <v>3131</v>
      </c>
      <c r="P425" s="8">
        <v>5</v>
      </c>
      <c r="Q425" s="8">
        <v>2</v>
      </c>
      <c r="R425" s="8">
        <v>0</v>
      </c>
      <c r="S425" t="s">
        <v>2046</v>
      </c>
      <c r="T425" s="3"/>
      <c r="U425" s="3"/>
      <c r="V425" s="3"/>
    </row>
    <row r="426" spans="1:22" ht="12.45" hidden="1" x14ac:dyDescent="0.2">
      <c r="A426" s="3" t="s">
        <v>2138</v>
      </c>
      <c r="B426" t="s">
        <v>2801</v>
      </c>
      <c r="F426" t="str">
        <f>VLOOKUP(O426,pearl!$B:$E,4,0)</f>
        <v>♄</v>
      </c>
      <c r="G426" t="str">
        <f>VLOOKUP(IF(F426="Дом",H426,F426),pearl!$D$28:$F$32,3,0)</f>
        <v>Сатурн</v>
      </c>
      <c r="H426" t="str">
        <f>VLOOKUP(O426,pearl!$B:$E,3,0)</f>
        <v>♄Восходящий Дым</v>
      </c>
      <c r="I426" t="s">
        <v>2108</v>
      </c>
      <c r="J426" t="s">
        <v>28</v>
      </c>
      <c r="K426" t="s">
        <v>23</v>
      </c>
      <c r="L426" t="s">
        <v>18</v>
      </c>
      <c r="N426" t="s">
        <v>2795</v>
      </c>
      <c r="O426" t="s">
        <v>124</v>
      </c>
      <c r="P426" s="8">
        <v>5</v>
      </c>
      <c r="Q426" s="8">
        <v>4</v>
      </c>
      <c r="R426" s="8">
        <v>0</v>
      </c>
      <c r="S426" t="s">
        <v>2792</v>
      </c>
      <c r="T426" s="3"/>
      <c r="U426" s="3"/>
      <c r="V426" s="3"/>
    </row>
    <row r="427" spans="1:22" ht="12.45" hidden="1" x14ac:dyDescent="0.2">
      <c r="A427" s="3" t="s">
        <v>2138</v>
      </c>
      <c r="B427" t="s">
        <v>2834</v>
      </c>
      <c r="F427" t="str">
        <f>VLOOKUP(O427,pearl!$B:$E,4,0)</f>
        <v>♄</v>
      </c>
      <c r="G427" t="str">
        <f>VLOOKUP(IF(F427="Дом",H427,F427),pearl!$D$28:$F$32,3,0)</f>
        <v>Сатурн</v>
      </c>
      <c r="H427" t="str">
        <f>VLOOKUP(O427,pearl!$B:$E,3,0)</f>
        <v>♄Телега с сеном</v>
      </c>
      <c r="I427" t="s">
        <v>43</v>
      </c>
      <c r="J427" t="s">
        <v>28</v>
      </c>
      <c r="K427" t="s">
        <v>23</v>
      </c>
      <c r="L427" t="s">
        <v>476</v>
      </c>
      <c r="N427" t="s">
        <v>2833</v>
      </c>
      <c r="O427" t="s">
        <v>3131</v>
      </c>
      <c r="P427" s="8">
        <v>5</v>
      </c>
      <c r="Q427" s="8">
        <v>1</v>
      </c>
      <c r="R427" s="8">
        <v>0</v>
      </c>
      <c r="S427" t="s">
        <v>2046</v>
      </c>
      <c r="T427" s="3"/>
      <c r="U427" s="3"/>
      <c r="V427" s="3"/>
    </row>
    <row r="428" spans="1:22" ht="12.45" hidden="1" x14ac:dyDescent="0.2">
      <c r="A428" s="3" t="s">
        <v>2138</v>
      </c>
      <c r="B428" t="s">
        <v>2785</v>
      </c>
      <c r="F428" t="str">
        <f>VLOOKUP(O428,pearl!$B:$E,4,0)</f>
        <v>♄</v>
      </c>
      <c r="G428" t="str">
        <f>VLOOKUP(IF(F428="Дом",H428,F428),pearl!$D$28:$F$32,3,0)</f>
        <v>Сатурн</v>
      </c>
      <c r="H428" t="str">
        <f>VLOOKUP(O428,pearl!$B:$E,3,0)</f>
        <v>♄Восходящий Дым</v>
      </c>
      <c r="I428" t="s">
        <v>175</v>
      </c>
      <c r="J428" t="s">
        <v>28</v>
      </c>
      <c r="K428" t="s">
        <v>547</v>
      </c>
      <c r="L428" t="s">
        <v>182</v>
      </c>
      <c r="N428" t="s">
        <v>2784</v>
      </c>
      <c r="O428" t="s">
        <v>124</v>
      </c>
      <c r="P428" s="8">
        <v>3</v>
      </c>
      <c r="Q428" s="8">
        <v>1</v>
      </c>
      <c r="R428" s="8">
        <v>0</v>
      </c>
      <c r="S428" t="s">
        <v>2001</v>
      </c>
      <c r="T428" s="3"/>
      <c r="U428" s="3"/>
      <c r="V428" s="3"/>
    </row>
    <row r="429" spans="1:22" ht="12.45" hidden="1" x14ac:dyDescent="0.2">
      <c r="A429" s="3" t="s">
        <v>2138</v>
      </c>
      <c r="B429" t="s">
        <v>2893</v>
      </c>
      <c r="F429" t="str">
        <f>VLOOKUP(O429,pearl!$B:$E,4,0)</f>
        <v>♄</v>
      </c>
      <c r="G429" t="str">
        <f>VLOOKUP(IF(F429="Дом",H429,F429),pearl!$D$28:$F$32,3,0)</f>
        <v>Сатурн</v>
      </c>
      <c r="H429" t="str">
        <f>VLOOKUP(O429,pearl!$B:$E,3,0)</f>
        <v>♄Труп</v>
      </c>
      <c r="I429" t="s">
        <v>43</v>
      </c>
      <c r="J429" t="s">
        <v>28</v>
      </c>
      <c r="K429" t="s">
        <v>889</v>
      </c>
      <c r="L429" t="s">
        <v>18</v>
      </c>
      <c r="N429" t="s">
        <v>2891</v>
      </c>
      <c r="O429" t="s">
        <v>1031</v>
      </c>
      <c r="P429" s="8">
        <v>5</v>
      </c>
      <c r="Q429" s="8">
        <v>3</v>
      </c>
      <c r="R429" s="8">
        <v>0</v>
      </c>
      <c r="S429" t="s">
        <v>2894</v>
      </c>
      <c r="T429" s="3"/>
      <c r="U429" s="3"/>
      <c r="V429" s="3"/>
    </row>
    <row r="430" spans="1:22" ht="12.45" hidden="1" x14ac:dyDescent="0.2">
      <c r="A430" s="3" t="s">
        <v>2138</v>
      </c>
      <c r="B430" t="s">
        <v>2799</v>
      </c>
      <c r="F430" t="str">
        <f>VLOOKUP(O430,pearl!$B:$E,4,0)</f>
        <v>♄</v>
      </c>
      <c r="G430" t="str">
        <f>VLOOKUP(IF(F430="Дом",H430,F430),pearl!$D$28:$F$32,3,0)</f>
        <v>Сатурн</v>
      </c>
      <c r="H430" t="str">
        <f>VLOOKUP(O430,pearl!$B:$E,3,0)</f>
        <v>♄Восходящий Дым</v>
      </c>
      <c r="I430" t="s">
        <v>43</v>
      </c>
      <c r="J430" t="s">
        <v>28</v>
      </c>
      <c r="K430" t="s">
        <v>23</v>
      </c>
      <c r="L430" t="s">
        <v>18</v>
      </c>
      <c r="N430" t="s">
        <v>2795</v>
      </c>
      <c r="O430" t="s">
        <v>124</v>
      </c>
      <c r="P430" s="8">
        <v>5</v>
      </c>
      <c r="Q430" s="8">
        <v>3</v>
      </c>
      <c r="R430" s="8">
        <v>0</v>
      </c>
      <c r="S430" t="s">
        <v>2800</v>
      </c>
      <c r="T430" s="3"/>
      <c r="U430" s="3"/>
      <c r="V430" s="3"/>
    </row>
    <row r="431" spans="1:22" ht="12.45" hidden="1" x14ac:dyDescent="0.2">
      <c r="A431" s="3" t="s">
        <v>2138</v>
      </c>
      <c r="B431" t="s">
        <v>2835</v>
      </c>
      <c r="F431" t="str">
        <f>VLOOKUP(O431,pearl!$B:$E,4,0)</f>
        <v>♄</v>
      </c>
      <c r="G431" t="str">
        <f>VLOOKUP(IF(F431="Дом",H431,F431),pearl!$D$28:$F$32,3,0)</f>
        <v>Сатурн</v>
      </c>
      <c r="H431" t="str">
        <f>VLOOKUP(O431,pearl!$B:$E,3,0)</f>
        <v>♄Телега с сеном</v>
      </c>
      <c r="I431" t="s">
        <v>147</v>
      </c>
      <c r="J431" t="s">
        <v>148</v>
      </c>
      <c r="K431" t="s">
        <v>23</v>
      </c>
      <c r="L431" t="s">
        <v>148</v>
      </c>
      <c r="N431" t="s">
        <v>2833</v>
      </c>
      <c r="O431" t="s">
        <v>3131</v>
      </c>
      <c r="P431" s="8">
        <v>3</v>
      </c>
      <c r="Q431" s="8">
        <v>1</v>
      </c>
      <c r="R431" s="8">
        <v>0</v>
      </c>
      <c r="S431" t="s">
        <v>23</v>
      </c>
      <c r="T431" s="3"/>
      <c r="U431" s="3"/>
      <c r="V431" s="3"/>
    </row>
    <row r="432" spans="1:22" ht="12.45" hidden="1" x14ac:dyDescent="0.2">
      <c r="A432" s="3" t="s">
        <v>2138</v>
      </c>
      <c r="B432" t="s">
        <v>2879</v>
      </c>
      <c r="F432" t="str">
        <f>VLOOKUP(O432,pearl!$B:$E,4,0)</f>
        <v>♄</v>
      </c>
      <c r="G432" t="str">
        <f>VLOOKUP(IF(F432="Дом",H432,F432),pearl!$D$28:$F$32,3,0)</f>
        <v>Сатурн</v>
      </c>
      <c r="H432" t="str">
        <f>VLOOKUP(O432,pearl!$B:$E,3,0)</f>
        <v>♄Труп</v>
      </c>
      <c r="I432" t="s">
        <v>147</v>
      </c>
      <c r="J432" t="s">
        <v>148</v>
      </c>
      <c r="K432" t="s">
        <v>23</v>
      </c>
      <c r="L432" t="s">
        <v>148</v>
      </c>
      <c r="N432" t="s">
        <v>2877</v>
      </c>
      <c r="O432" t="s">
        <v>1031</v>
      </c>
      <c r="P432" s="8">
        <v>3</v>
      </c>
      <c r="Q432" s="8">
        <v>1</v>
      </c>
      <c r="R432" s="8">
        <v>0</v>
      </c>
      <c r="S432" t="s">
        <v>2878</v>
      </c>
      <c r="T432" s="3"/>
      <c r="U432" s="3"/>
      <c r="V432" s="3"/>
    </row>
    <row r="433" spans="1:22" ht="12.45" hidden="1" x14ac:dyDescent="0.2">
      <c r="A433" s="3" t="s">
        <v>2138</v>
      </c>
      <c r="B433" t="s">
        <v>2880</v>
      </c>
      <c r="F433" t="str">
        <f>VLOOKUP(O433,pearl!$B:$E,4,0)</f>
        <v>♄</v>
      </c>
      <c r="G433" t="str">
        <f>VLOOKUP(IF(F433="Дом",H433,F433),pearl!$D$28:$F$32,3,0)</f>
        <v>Сатурн</v>
      </c>
      <c r="H433" t="str">
        <f>VLOOKUP(O433,pearl!$B:$E,3,0)</f>
        <v>♄Труп</v>
      </c>
      <c r="I433" t="s">
        <v>154</v>
      </c>
      <c r="J433" t="s">
        <v>28</v>
      </c>
      <c r="K433" t="s">
        <v>889</v>
      </c>
      <c r="L433" t="s">
        <v>18</v>
      </c>
      <c r="N433" t="s">
        <v>2881</v>
      </c>
      <c r="O433" t="s">
        <v>1031</v>
      </c>
      <c r="P433" s="8">
        <v>3</v>
      </c>
      <c r="Q433" s="8">
        <v>1</v>
      </c>
      <c r="R433" s="8">
        <v>0</v>
      </c>
      <c r="S433" t="s">
        <v>2045</v>
      </c>
      <c r="T433" s="3"/>
      <c r="U433" s="3"/>
      <c r="V433" s="3"/>
    </row>
    <row r="434" spans="1:22" ht="12.45" hidden="1" x14ac:dyDescent="0.2">
      <c r="A434" s="3" t="s">
        <v>2138</v>
      </c>
      <c r="B434" t="s">
        <v>2836</v>
      </c>
      <c r="F434" t="str">
        <f>VLOOKUP(O434,pearl!$B:$E,4,0)</f>
        <v>♄</v>
      </c>
      <c r="G434" t="str">
        <f>VLOOKUP(IF(F434="Дом",H434,F434),pearl!$D$28:$F$32,3,0)</f>
        <v>Сатурн</v>
      </c>
      <c r="H434" t="str">
        <f>VLOOKUP(O434,pearl!$B:$E,3,0)</f>
        <v>♄Телега с сеном</v>
      </c>
      <c r="I434" t="s">
        <v>34</v>
      </c>
      <c r="J434" t="s">
        <v>22</v>
      </c>
      <c r="K434" t="s">
        <v>438</v>
      </c>
      <c r="L434" t="s">
        <v>2106</v>
      </c>
      <c r="N434" t="s">
        <v>2833</v>
      </c>
      <c r="O434" t="s">
        <v>3131</v>
      </c>
      <c r="P434" s="8">
        <v>3</v>
      </c>
      <c r="Q434" s="8">
        <v>1</v>
      </c>
      <c r="R434" s="8">
        <v>0</v>
      </c>
      <c r="S434" t="s">
        <v>23</v>
      </c>
      <c r="T434" s="3"/>
      <c r="U434" s="3"/>
      <c r="V434" s="3"/>
    </row>
    <row r="435" spans="1:22" ht="12.45" hidden="1" x14ac:dyDescent="0.2">
      <c r="A435" s="3" t="s">
        <v>2138</v>
      </c>
      <c r="B435" t="s">
        <v>2798</v>
      </c>
      <c r="F435" t="str">
        <f>VLOOKUP(O435,pearl!$B:$E,4,0)</f>
        <v>♄</v>
      </c>
      <c r="G435" t="str">
        <f>VLOOKUP(IF(F435="Дом",H435,F435),pearl!$D$28:$F$32,3,0)</f>
        <v>Сатурн</v>
      </c>
      <c r="H435" t="str">
        <f>VLOOKUP(O435,pearl!$B:$E,3,0)</f>
        <v>♄Восходящий Дым</v>
      </c>
      <c r="I435" t="s">
        <v>43</v>
      </c>
      <c r="J435" t="s">
        <v>28</v>
      </c>
      <c r="K435" t="s">
        <v>29</v>
      </c>
      <c r="L435" t="s">
        <v>18</v>
      </c>
      <c r="N435" t="s">
        <v>2795</v>
      </c>
      <c r="O435" t="s">
        <v>124</v>
      </c>
      <c r="P435" s="8">
        <v>5</v>
      </c>
      <c r="Q435" s="8">
        <v>2</v>
      </c>
      <c r="R435" s="8">
        <v>0</v>
      </c>
      <c r="S435" t="s">
        <v>2001</v>
      </c>
      <c r="T435" s="3"/>
      <c r="U435" s="3"/>
      <c r="V435" s="3"/>
    </row>
    <row r="436" spans="1:22" ht="12.45" hidden="1" x14ac:dyDescent="0.2">
      <c r="A436" s="3" t="s">
        <v>2138</v>
      </c>
      <c r="B436" t="s">
        <v>2776</v>
      </c>
      <c r="F436" t="str">
        <f>VLOOKUP(O436,pearl!$B:$E,4,0)</f>
        <v>Дом</v>
      </c>
      <c r="G436" t="str">
        <f>VLOOKUP(IF(F436="Дом",H436,F436),pearl!$D$28:$F$32,3,0)</f>
        <v>Сатурн</v>
      </c>
      <c r="H436" t="str">
        <f>VLOOKUP(O436,pearl!$B:$E,3,0)</f>
        <v>♄</v>
      </c>
      <c r="I436" t="s">
        <v>2777</v>
      </c>
      <c r="J436" t="s">
        <v>28</v>
      </c>
      <c r="K436" t="s">
        <v>23</v>
      </c>
      <c r="L436" t="s">
        <v>563</v>
      </c>
      <c r="N436" t="s">
        <v>2775</v>
      </c>
      <c r="O436" t="s">
        <v>2768</v>
      </c>
      <c r="P436" s="8">
        <v>4</v>
      </c>
      <c r="Q436" s="8">
        <v>1</v>
      </c>
      <c r="R436" s="8">
        <v>0</v>
      </c>
      <c r="S436" t="s">
        <v>2778</v>
      </c>
      <c r="T436" s="3"/>
      <c r="U436" s="3"/>
      <c r="V436" s="3"/>
    </row>
    <row r="437" spans="1:22" ht="12.45" hidden="1" x14ac:dyDescent="0.2">
      <c r="A437" s="3" t="s">
        <v>2138</v>
      </c>
      <c r="B437" t="s">
        <v>2770</v>
      </c>
      <c r="F437" t="str">
        <f>VLOOKUP(O437,pearl!$B:$E,4,0)</f>
        <v>Дом</v>
      </c>
      <c r="G437" t="str">
        <f>VLOOKUP(IF(F437="Дом",H437,F437),pearl!$D$28:$F$32,3,0)</f>
        <v>Сатурн</v>
      </c>
      <c r="H437" t="str">
        <f>VLOOKUP(O437,pearl!$B:$E,3,0)</f>
        <v>♄</v>
      </c>
      <c r="I437" t="s">
        <v>2082</v>
      </c>
      <c r="J437" t="s">
        <v>28</v>
      </c>
      <c r="K437" t="s">
        <v>2452</v>
      </c>
      <c r="L437" t="s">
        <v>2115</v>
      </c>
      <c r="N437" t="s">
        <v>2771</v>
      </c>
      <c r="O437" t="s">
        <v>2768</v>
      </c>
      <c r="P437" s="8">
        <v>3</v>
      </c>
      <c r="Q437" s="8">
        <v>1</v>
      </c>
      <c r="R437" s="8">
        <v>0</v>
      </c>
      <c r="S437" t="s">
        <v>2769</v>
      </c>
      <c r="T437" s="3"/>
      <c r="U437" s="3"/>
      <c r="V437" s="3"/>
    </row>
    <row r="438" spans="1:22" ht="12.45" hidden="1" x14ac:dyDescent="0.2">
      <c r="A438" s="3" t="s">
        <v>2138</v>
      </c>
      <c r="B438" t="s">
        <v>2779</v>
      </c>
      <c r="F438" t="str">
        <f>VLOOKUP(O438,pearl!$B:$E,4,0)</f>
        <v>Дом</v>
      </c>
      <c r="G438" t="str">
        <f>VLOOKUP(IF(F438="Дом",H438,F438),pearl!$D$28:$F$32,3,0)</f>
        <v>Сатурн</v>
      </c>
      <c r="H438" t="str">
        <f>VLOOKUP(O438,pearl!$B:$E,3,0)</f>
        <v>♄</v>
      </c>
      <c r="I438" t="s">
        <v>147</v>
      </c>
      <c r="J438" t="s">
        <v>22</v>
      </c>
      <c r="K438" t="s">
        <v>2780</v>
      </c>
      <c r="L438" t="s">
        <v>18</v>
      </c>
      <c r="N438" t="s">
        <v>2775</v>
      </c>
      <c r="O438" t="s">
        <v>2768</v>
      </c>
      <c r="P438" s="8">
        <v>5</v>
      </c>
      <c r="Q438" s="8">
        <v>3</v>
      </c>
      <c r="R438" s="8">
        <v>0</v>
      </c>
      <c r="S438" t="s">
        <v>2027</v>
      </c>
      <c r="T438" s="3"/>
      <c r="U438" s="3"/>
      <c r="V438" s="3"/>
    </row>
    <row r="439" spans="1:22" ht="12.45" hidden="1" x14ac:dyDescent="0.2">
      <c r="A439" s="3" t="s">
        <v>2138</v>
      </c>
      <c r="B439" t="s">
        <v>2774</v>
      </c>
      <c r="F439" t="str">
        <f>VLOOKUP(O439,pearl!$B:$E,4,0)</f>
        <v>Дом</v>
      </c>
      <c r="G439" t="str">
        <f>VLOOKUP(IF(F439="Дом",H439,F439),pearl!$D$28:$F$32,3,0)</f>
        <v>Сатурн</v>
      </c>
      <c r="H439" t="str">
        <f>VLOOKUP(O439,pearl!$B:$E,3,0)</f>
        <v>♄</v>
      </c>
      <c r="I439" t="s">
        <v>154</v>
      </c>
      <c r="J439" t="s">
        <v>22</v>
      </c>
      <c r="K439" t="s">
        <v>23</v>
      </c>
      <c r="L439" t="s">
        <v>18</v>
      </c>
      <c r="N439" t="s">
        <v>2775</v>
      </c>
      <c r="O439" t="s">
        <v>2768</v>
      </c>
      <c r="P439" s="8">
        <v>3</v>
      </c>
      <c r="Q439" s="8">
        <v>1</v>
      </c>
      <c r="R439" s="8">
        <v>0</v>
      </c>
      <c r="S439" t="s">
        <v>2769</v>
      </c>
      <c r="T439" s="3"/>
      <c r="U439" s="3"/>
      <c r="V439" s="3"/>
    </row>
    <row r="440" spans="1:22" ht="12.45" hidden="1" x14ac:dyDescent="0.2">
      <c r="A440" s="3" t="s">
        <v>2138</v>
      </c>
      <c r="B440" t="s">
        <v>2781</v>
      </c>
      <c r="F440" t="str">
        <f>VLOOKUP(O440,pearl!$B:$E,4,0)</f>
        <v>Дом</v>
      </c>
      <c r="G440" t="str">
        <f>VLOOKUP(IF(F440="Дом",H440,F440),pearl!$D$28:$F$32,3,0)</f>
        <v>Сатурн</v>
      </c>
      <c r="H440" t="str">
        <f>VLOOKUP(O440,pearl!$B:$E,3,0)</f>
        <v>♄</v>
      </c>
      <c r="I440" t="s">
        <v>178</v>
      </c>
      <c r="J440" t="s">
        <v>28</v>
      </c>
      <c r="K440" t="s">
        <v>889</v>
      </c>
      <c r="L440" t="s">
        <v>182</v>
      </c>
      <c r="N440" t="s">
        <v>2782</v>
      </c>
      <c r="O440" t="s">
        <v>2768</v>
      </c>
      <c r="P440" s="8">
        <v>5</v>
      </c>
      <c r="Q440" s="8">
        <v>4</v>
      </c>
      <c r="R440" s="8">
        <v>0</v>
      </c>
      <c r="S440" t="s">
        <v>2783</v>
      </c>
      <c r="T440" s="3"/>
      <c r="U440" s="3"/>
      <c r="V440" s="3"/>
    </row>
    <row r="441" spans="1:22" ht="12.45" hidden="1" x14ac:dyDescent="0.2">
      <c r="A441" s="3" t="s">
        <v>2138</v>
      </c>
      <c r="B441" t="s">
        <v>2027</v>
      </c>
      <c r="F441" t="str">
        <f>VLOOKUP(O441,pearl!$B:$E,4,0)</f>
        <v>Дом</v>
      </c>
      <c r="G441" t="str">
        <f>VLOOKUP(IF(F441="Дом",H441,F441),pearl!$D$28:$F$32,3,0)</f>
        <v>Сатурн</v>
      </c>
      <c r="H441" t="str">
        <f>VLOOKUP(O441,pearl!$B:$E,3,0)</f>
        <v>♄</v>
      </c>
      <c r="I441" t="s">
        <v>2131</v>
      </c>
      <c r="J441" t="s">
        <v>148</v>
      </c>
      <c r="K441" t="s">
        <v>23</v>
      </c>
      <c r="L441" t="s">
        <v>148</v>
      </c>
      <c r="N441" t="s">
        <v>2775</v>
      </c>
      <c r="O441" t="s">
        <v>2768</v>
      </c>
      <c r="P441" s="8">
        <v>5</v>
      </c>
      <c r="Q441" s="8">
        <v>3</v>
      </c>
      <c r="R441" s="8">
        <v>0</v>
      </c>
      <c r="S441" t="s">
        <v>2770</v>
      </c>
      <c r="T441" s="3"/>
      <c r="U441" s="3"/>
      <c r="V441" s="3"/>
    </row>
    <row r="442" spans="1:22" ht="12.45" hidden="1" x14ac:dyDescent="0.2">
      <c r="A442" s="3" t="s">
        <v>2138</v>
      </c>
      <c r="B442" t="s">
        <v>2662</v>
      </c>
      <c r="C442" s="24"/>
      <c r="D442" s="24"/>
      <c r="E442" s="24"/>
      <c r="F442" t="str">
        <f>VLOOKUP(O442,pearl!$B:$E,4,0)</f>
        <v>♃</v>
      </c>
      <c r="G442" t="str">
        <f>VLOOKUP(IF(F442="Дом",H442,F442),pearl!$D$28:$F$32,3,0)</f>
        <v>Юпитер</v>
      </c>
      <c r="H442" t="str">
        <f>VLOOKUP(O442,pearl!$B:$E,3,0)</f>
        <v>Ключ♃</v>
      </c>
      <c r="I442" t="s">
        <v>34</v>
      </c>
      <c r="J442" t="s">
        <v>22</v>
      </c>
      <c r="K442" t="s">
        <v>23</v>
      </c>
      <c r="L442" t="s">
        <v>2106</v>
      </c>
      <c r="N442" t="s">
        <v>2661</v>
      </c>
      <c r="O442" t="s">
        <v>3130</v>
      </c>
      <c r="P442" s="8">
        <v>4</v>
      </c>
      <c r="Q442" s="8">
        <v>2</v>
      </c>
      <c r="R442" s="8">
        <v>0</v>
      </c>
      <c r="S442" t="s">
        <v>2031</v>
      </c>
      <c r="T442" s="3"/>
      <c r="U442" s="3"/>
      <c r="V442" s="3"/>
    </row>
    <row r="443" spans="1:22" ht="12.45" hidden="1" x14ac:dyDescent="0.2">
      <c r="A443" s="3" t="s">
        <v>2138</v>
      </c>
      <c r="B443" t="s">
        <v>2093</v>
      </c>
      <c r="C443" s="24"/>
      <c r="D443" s="24"/>
      <c r="E443" s="24"/>
      <c r="F443" t="str">
        <f>VLOOKUP(O443,pearl!$B:$E,4,0)</f>
        <v>♃</v>
      </c>
      <c r="G443" t="str">
        <f>VLOOKUP(IF(F443="Дом",H443,F443),pearl!$D$28:$F$32,3,0)</f>
        <v>Юпитер</v>
      </c>
      <c r="H443" t="str">
        <f>VLOOKUP(O443,pearl!$B:$E,3,0)</f>
        <v>Маска♃</v>
      </c>
      <c r="I443" t="s">
        <v>71</v>
      </c>
      <c r="J443" t="s">
        <v>28</v>
      </c>
      <c r="K443" t="s">
        <v>142</v>
      </c>
      <c r="L443" t="s">
        <v>2106</v>
      </c>
      <c r="N443" t="s">
        <v>2738</v>
      </c>
      <c r="O443" t="s">
        <v>1778</v>
      </c>
      <c r="P443" s="8">
        <v>3</v>
      </c>
      <c r="Q443" s="8">
        <v>1</v>
      </c>
      <c r="R443" s="8">
        <v>0</v>
      </c>
      <c r="S443" t="s">
        <v>23</v>
      </c>
      <c r="T443" s="3"/>
      <c r="U443" s="3"/>
      <c r="V443" s="3"/>
    </row>
    <row r="444" spans="1:22" ht="12.45" hidden="1" x14ac:dyDescent="0.2">
      <c r="A444" s="3" t="s">
        <v>2138</v>
      </c>
      <c r="B444" t="s">
        <v>2731</v>
      </c>
      <c r="C444" s="24"/>
      <c r="D444" s="24"/>
      <c r="E444" s="24"/>
      <c r="F444" t="str">
        <f>VLOOKUP(O444,pearl!$B:$E,4,0)</f>
        <v>♃</v>
      </c>
      <c r="G444" t="str">
        <f>VLOOKUP(IF(F444="Дом",H444,F444),pearl!$D$28:$F$32,3,0)</f>
        <v>Юпитер</v>
      </c>
      <c r="H444" t="str">
        <f>VLOOKUP(O444,pearl!$B:$E,3,0)</f>
        <v>Чародей♃</v>
      </c>
      <c r="I444" t="s">
        <v>660</v>
      </c>
      <c r="J444" t="s">
        <v>148</v>
      </c>
      <c r="K444" t="s">
        <v>23</v>
      </c>
      <c r="L444" t="s">
        <v>148</v>
      </c>
      <c r="N444" t="s">
        <v>2725</v>
      </c>
      <c r="O444" t="s">
        <v>1193</v>
      </c>
      <c r="P444" s="8">
        <v>5</v>
      </c>
      <c r="Q444" s="8">
        <v>4</v>
      </c>
      <c r="R444" s="8">
        <v>0</v>
      </c>
      <c r="S444" t="s">
        <v>2732</v>
      </c>
      <c r="T444" s="3"/>
      <c r="U444" s="3"/>
      <c r="V444" s="3"/>
    </row>
    <row r="445" spans="1:22" ht="12.45" hidden="1" x14ac:dyDescent="0.2">
      <c r="A445" s="3" t="s">
        <v>2138</v>
      </c>
      <c r="B445" t="s">
        <v>2657</v>
      </c>
      <c r="C445" s="24"/>
      <c r="D445" s="24"/>
      <c r="E445" s="24"/>
      <c r="F445" t="str">
        <f>VLOOKUP(O445,pearl!$B:$E,4,0)</f>
        <v>♃</v>
      </c>
      <c r="G445" t="str">
        <f>VLOOKUP(IF(F445="Дом",H445,F445),pearl!$D$28:$F$32,3,0)</f>
        <v>Юпитер</v>
      </c>
      <c r="H445" t="str">
        <f>VLOOKUP(O445,pearl!$B:$E,3,0)</f>
        <v>Ключ♃</v>
      </c>
      <c r="I445" t="s">
        <v>43</v>
      </c>
      <c r="J445" t="s">
        <v>22</v>
      </c>
      <c r="K445" t="s">
        <v>142</v>
      </c>
      <c r="L445" t="s">
        <v>18</v>
      </c>
      <c r="N445" t="s">
        <v>2658</v>
      </c>
      <c r="O445" t="s">
        <v>3130</v>
      </c>
      <c r="P445" s="8">
        <v>5</v>
      </c>
      <c r="Q445" s="8">
        <v>1</v>
      </c>
      <c r="R445" s="8">
        <v>0</v>
      </c>
      <c r="S445" t="s">
        <v>2031</v>
      </c>
      <c r="T445" s="3"/>
      <c r="U445" s="3"/>
      <c r="V445" s="3"/>
    </row>
    <row r="446" spans="1:22" ht="12.45" hidden="1" x14ac:dyDescent="0.2">
      <c r="A446" s="3" t="s">
        <v>2138</v>
      </c>
      <c r="B446" t="s">
        <v>2667</v>
      </c>
      <c r="C446" s="24"/>
      <c r="D446" s="24"/>
      <c r="E446" s="24"/>
      <c r="F446" t="str">
        <f>VLOOKUP(O446,pearl!$B:$E,4,0)</f>
        <v>♃</v>
      </c>
      <c r="G446" t="str">
        <f>VLOOKUP(IF(F446="Дом",H446,F446),pearl!$D$28:$F$32,3,0)</f>
        <v>Юпитер</v>
      </c>
      <c r="H446" t="str">
        <f>VLOOKUP(O446,pearl!$B:$E,3,0)</f>
        <v>Ключ♃</v>
      </c>
      <c r="I446" t="s">
        <v>43</v>
      </c>
      <c r="J446" t="s">
        <v>22</v>
      </c>
      <c r="K446" t="s">
        <v>142</v>
      </c>
      <c r="L446" t="s">
        <v>2117</v>
      </c>
      <c r="N446" t="s">
        <v>2665</v>
      </c>
      <c r="O446" t="s">
        <v>3130</v>
      </c>
      <c r="P446" s="8">
        <v>5</v>
      </c>
      <c r="Q446" s="8">
        <v>4</v>
      </c>
      <c r="R446" s="8">
        <v>0</v>
      </c>
      <c r="S446" t="s">
        <v>2668</v>
      </c>
      <c r="T446" s="3"/>
      <c r="U446" s="3"/>
      <c r="V446" s="3"/>
    </row>
    <row r="447" spans="1:22" ht="12.45" hidden="1" x14ac:dyDescent="0.2">
      <c r="A447" s="3" t="s">
        <v>2138</v>
      </c>
      <c r="B447" t="s">
        <v>2763</v>
      </c>
      <c r="C447" s="24"/>
      <c r="D447" s="24"/>
      <c r="E447" s="24"/>
      <c r="F447" t="str">
        <f>VLOOKUP(O447,pearl!$B:$E,4,0)</f>
        <v>♃</v>
      </c>
      <c r="G447" t="str">
        <f>VLOOKUP(IF(F447="Дом",H447,F447),pearl!$D$28:$F$32,3,0)</f>
        <v>Юпитер</v>
      </c>
      <c r="H447" t="str">
        <f>VLOOKUP(O447,pearl!$B:$E,3,0)</f>
        <v>Маска♃</v>
      </c>
      <c r="I447" t="s">
        <v>264</v>
      </c>
      <c r="J447" t="s">
        <v>28</v>
      </c>
      <c r="K447" t="s">
        <v>2336</v>
      </c>
      <c r="L447" t="s">
        <v>182</v>
      </c>
      <c r="N447" t="s">
        <v>2764</v>
      </c>
      <c r="O447" t="s">
        <v>1778</v>
      </c>
      <c r="P447" s="8">
        <v>5</v>
      </c>
      <c r="Q447" s="8">
        <v>5</v>
      </c>
      <c r="R447" s="8">
        <v>0</v>
      </c>
      <c r="S447" t="s">
        <v>2765</v>
      </c>
      <c r="T447" s="3"/>
      <c r="U447" s="3"/>
      <c r="V447" s="3"/>
    </row>
    <row r="448" spans="1:22" ht="12.45" hidden="1" x14ac:dyDescent="0.2">
      <c r="A448" s="3" t="s">
        <v>2138</v>
      </c>
      <c r="B448" t="s">
        <v>2736</v>
      </c>
      <c r="C448" s="24"/>
      <c r="D448" s="24"/>
      <c r="E448" s="24"/>
      <c r="F448" t="str">
        <f>VLOOKUP(O448,pearl!$B:$E,4,0)</f>
        <v>♃</v>
      </c>
      <c r="G448" t="str">
        <f>VLOOKUP(IF(F448="Дом",H448,F448),pearl!$D$28:$F$32,3,0)</f>
        <v>Юпитер</v>
      </c>
      <c r="H448" t="str">
        <f>VLOOKUP(O448,pearl!$B:$E,3,0)</f>
        <v>Чародей♃</v>
      </c>
      <c r="I448" t="s">
        <v>15</v>
      </c>
      <c r="J448" t="s">
        <v>22</v>
      </c>
      <c r="K448" t="s">
        <v>23</v>
      </c>
      <c r="L448" t="s">
        <v>2106</v>
      </c>
      <c r="N448" t="s">
        <v>2733</v>
      </c>
      <c r="O448" t="s">
        <v>1193</v>
      </c>
      <c r="P448" s="8">
        <v>3</v>
      </c>
      <c r="Q448" s="8">
        <v>1</v>
      </c>
      <c r="R448" s="8">
        <v>0</v>
      </c>
      <c r="S448" t="s">
        <v>1210</v>
      </c>
      <c r="T448" s="3"/>
      <c r="U448" s="3"/>
      <c r="V448" s="3"/>
    </row>
    <row r="449" spans="1:22" ht="12.45" hidden="1" x14ac:dyDescent="0.2">
      <c r="A449" s="3" t="s">
        <v>2138</v>
      </c>
      <c r="B449" t="s">
        <v>2034</v>
      </c>
      <c r="C449" s="24"/>
      <c r="D449" s="24"/>
      <c r="E449" s="24"/>
      <c r="F449" t="str">
        <f>VLOOKUP(O449,pearl!$B:$E,4,0)</f>
        <v>♃</v>
      </c>
      <c r="G449" t="str">
        <f>VLOOKUP(IF(F449="Дом",H449,F449),pearl!$D$28:$F$32,3,0)</f>
        <v>Юпитер</v>
      </c>
      <c r="H449" t="str">
        <f>VLOOKUP(O449,pearl!$B:$E,3,0)</f>
        <v>Стражи♃</v>
      </c>
      <c r="I449" t="s">
        <v>43</v>
      </c>
      <c r="J449" t="s">
        <v>28</v>
      </c>
      <c r="K449" t="s">
        <v>2336</v>
      </c>
      <c r="L449" t="s">
        <v>182</v>
      </c>
      <c r="N449" t="s">
        <v>2693</v>
      </c>
      <c r="O449" t="s">
        <v>771</v>
      </c>
      <c r="P449" s="8">
        <v>5</v>
      </c>
      <c r="Q449" s="8">
        <v>5</v>
      </c>
      <c r="R449" s="8">
        <v>0</v>
      </c>
      <c r="S449" t="s">
        <v>2694</v>
      </c>
      <c r="T449" s="3"/>
      <c r="U449" s="3"/>
      <c r="V449" s="3"/>
    </row>
    <row r="450" spans="1:22" ht="12.45" hidden="1" x14ac:dyDescent="0.2">
      <c r="A450" s="3" t="s">
        <v>2138</v>
      </c>
      <c r="B450" t="s">
        <v>2691</v>
      </c>
      <c r="C450" s="24"/>
      <c r="D450" s="24"/>
      <c r="E450" s="24"/>
      <c r="F450" t="str">
        <f>VLOOKUP(O450,pearl!$B:$E,4,0)</f>
        <v>♃</v>
      </c>
      <c r="G450" t="str">
        <f>VLOOKUP(IF(F450="Дом",H450,F450),pearl!$D$28:$F$32,3,0)</f>
        <v>Юпитер</v>
      </c>
      <c r="H450" t="str">
        <f>VLOOKUP(O450,pearl!$B:$E,3,0)</f>
        <v>Стражи♃</v>
      </c>
      <c r="I450" t="s">
        <v>264</v>
      </c>
      <c r="J450" t="s">
        <v>28</v>
      </c>
      <c r="K450" t="s">
        <v>1822</v>
      </c>
      <c r="L450" t="s">
        <v>18</v>
      </c>
      <c r="N450" t="s">
        <v>2689</v>
      </c>
      <c r="O450" t="s">
        <v>771</v>
      </c>
      <c r="P450" s="8">
        <v>5</v>
      </c>
      <c r="Q450" s="8">
        <v>4</v>
      </c>
      <c r="R450" s="8">
        <v>0</v>
      </c>
      <c r="S450" t="s">
        <v>2692</v>
      </c>
      <c r="T450" s="3"/>
      <c r="U450" s="3"/>
      <c r="V450" s="3"/>
    </row>
    <row r="451" spans="1:22" ht="12.45" hidden="1" x14ac:dyDescent="0.2">
      <c r="A451" s="3" t="s">
        <v>2138</v>
      </c>
      <c r="B451" t="s">
        <v>2755</v>
      </c>
      <c r="C451" s="24"/>
      <c r="D451" s="24"/>
      <c r="E451" s="24"/>
      <c r="F451" t="str">
        <f>VLOOKUP(O451,pearl!$B:$E,4,0)</f>
        <v>♃</v>
      </c>
      <c r="G451" t="str">
        <f>VLOOKUP(IF(F451="Дом",H451,F451),pearl!$D$28:$F$32,3,0)</f>
        <v>Юпитер</v>
      </c>
      <c r="H451" t="str">
        <f>VLOOKUP(O451,pearl!$B:$E,3,0)</f>
        <v>Маска♃</v>
      </c>
      <c r="I451" t="s">
        <v>147</v>
      </c>
      <c r="J451" t="s">
        <v>22</v>
      </c>
      <c r="K451" t="s">
        <v>29</v>
      </c>
      <c r="L451" t="s">
        <v>18</v>
      </c>
      <c r="N451" t="s">
        <v>2750</v>
      </c>
      <c r="O451" t="s">
        <v>1778</v>
      </c>
      <c r="P451" s="8">
        <v>5</v>
      </c>
      <c r="Q451" s="8">
        <v>3</v>
      </c>
      <c r="R451" s="8">
        <v>0</v>
      </c>
      <c r="S451" t="s">
        <v>2756</v>
      </c>
      <c r="T451" s="3"/>
      <c r="U451" s="3"/>
      <c r="V451" s="3"/>
    </row>
    <row r="452" spans="1:22" ht="12.45" hidden="1" x14ac:dyDescent="0.2">
      <c r="A452" s="3" t="s">
        <v>2138</v>
      </c>
      <c r="B452" t="s">
        <v>2675</v>
      </c>
      <c r="C452" s="24"/>
      <c r="D452" s="24"/>
      <c r="E452" s="24"/>
      <c r="F452" t="str">
        <f>VLOOKUP(O452,pearl!$B:$E,4,0)</f>
        <v>♃</v>
      </c>
      <c r="G452" t="str">
        <f>VLOOKUP(IF(F452="Дом",H452,F452),pearl!$D$28:$F$32,3,0)</f>
        <v>Юпитер</v>
      </c>
      <c r="H452" t="str">
        <f>VLOOKUP(O452,pearl!$B:$E,3,0)</f>
        <v>Стражи♃</v>
      </c>
      <c r="I452" t="s">
        <v>264</v>
      </c>
      <c r="J452" t="s">
        <v>28</v>
      </c>
      <c r="K452" t="s">
        <v>23</v>
      </c>
      <c r="L452" t="s">
        <v>683</v>
      </c>
      <c r="N452" t="s">
        <v>2673</v>
      </c>
      <c r="O452" t="s">
        <v>771</v>
      </c>
      <c r="P452" s="8">
        <v>3</v>
      </c>
      <c r="Q452" s="8">
        <v>1</v>
      </c>
      <c r="R452" s="8">
        <v>0</v>
      </c>
      <c r="S452" t="s">
        <v>23</v>
      </c>
      <c r="T452" s="3"/>
      <c r="U452" s="3"/>
      <c r="V452" s="3"/>
    </row>
    <row r="453" spans="1:22" ht="12.45" hidden="1" x14ac:dyDescent="0.2">
      <c r="A453" s="3" t="s">
        <v>2138</v>
      </c>
      <c r="B453" t="s">
        <v>2705</v>
      </c>
      <c r="C453" s="24"/>
      <c r="D453" s="24"/>
      <c r="E453" s="24"/>
      <c r="F453" t="str">
        <f>VLOOKUP(O453,pearl!$B:$E,4,0)</f>
        <v>♃</v>
      </c>
      <c r="G453" t="str">
        <f>VLOOKUP(IF(F453="Дом",H453,F453),pearl!$D$28:$F$32,3,0)</f>
        <v>Юпитер</v>
      </c>
      <c r="H453" t="str">
        <f>VLOOKUP(O453,pearl!$B:$E,3,0)</f>
        <v>Сокровищница♃</v>
      </c>
      <c r="I453" t="s">
        <v>264</v>
      </c>
      <c r="J453" t="s">
        <v>22</v>
      </c>
      <c r="K453" t="s">
        <v>142</v>
      </c>
      <c r="L453" t="s">
        <v>18</v>
      </c>
      <c r="N453" t="s">
        <v>2703</v>
      </c>
      <c r="O453" t="s">
        <v>919</v>
      </c>
      <c r="P453" s="8">
        <v>5</v>
      </c>
      <c r="Q453" s="8">
        <v>3</v>
      </c>
      <c r="R453" s="8">
        <v>0</v>
      </c>
      <c r="S453" t="s">
        <v>2704</v>
      </c>
      <c r="T453" s="3"/>
      <c r="U453" s="3"/>
      <c r="V453" s="3"/>
    </row>
    <row r="454" spans="1:22" ht="12.45" hidden="1" x14ac:dyDescent="0.2">
      <c r="A454" s="3" t="s">
        <v>2138</v>
      </c>
      <c r="B454" t="s">
        <v>2032</v>
      </c>
      <c r="C454" s="24"/>
      <c r="D454" s="24"/>
      <c r="E454" s="24"/>
      <c r="F454" t="str">
        <f>VLOOKUP(O454,pearl!$B:$E,4,0)</f>
        <v>♃</v>
      </c>
      <c r="G454" t="str">
        <f>VLOOKUP(IF(F454="Дом",H454,F454),pearl!$D$28:$F$32,3,0)</f>
        <v>Юпитер</v>
      </c>
      <c r="H454" t="str">
        <f>VLOOKUP(O454,pearl!$B:$E,3,0)</f>
        <v>Ключ♃</v>
      </c>
      <c r="I454" t="s">
        <v>264</v>
      </c>
      <c r="J454" t="s">
        <v>28</v>
      </c>
      <c r="K454" t="s">
        <v>142</v>
      </c>
      <c r="L454" t="s">
        <v>18</v>
      </c>
      <c r="N454" t="s">
        <v>2669</v>
      </c>
      <c r="O454" t="s">
        <v>3130</v>
      </c>
      <c r="P454" s="8">
        <v>5</v>
      </c>
      <c r="Q454" s="8">
        <v>5</v>
      </c>
      <c r="R454" s="8">
        <v>0</v>
      </c>
      <c r="S454" t="s">
        <v>2670</v>
      </c>
      <c r="T454" s="3"/>
      <c r="U454" s="3"/>
      <c r="V454" s="3"/>
    </row>
    <row r="455" spans="1:22" ht="12.45" hidden="1" x14ac:dyDescent="0.2">
      <c r="A455" s="3" t="s">
        <v>2138</v>
      </c>
      <c r="B455" t="s">
        <v>2757</v>
      </c>
      <c r="C455" s="24"/>
      <c r="D455" s="24"/>
      <c r="E455" s="24"/>
      <c r="F455" t="str">
        <f>VLOOKUP(O455,pearl!$B:$E,4,0)</f>
        <v>♃</v>
      </c>
      <c r="G455" t="str">
        <f>VLOOKUP(IF(F455="Дом",H455,F455),pearl!$D$28:$F$32,3,0)</f>
        <v>Юпитер</v>
      </c>
      <c r="H455" t="str">
        <f>VLOOKUP(O455,pearl!$B:$E,3,0)</f>
        <v>Маска♃</v>
      </c>
      <c r="I455" t="s">
        <v>43</v>
      </c>
      <c r="J455" t="s">
        <v>28</v>
      </c>
      <c r="K455" t="s">
        <v>142</v>
      </c>
      <c r="L455" t="s">
        <v>2758</v>
      </c>
      <c r="N455" t="s">
        <v>2759</v>
      </c>
      <c r="O455" t="s">
        <v>1778</v>
      </c>
      <c r="P455" s="8">
        <v>5</v>
      </c>
      <c r="Q455" s="8">
        <v>3</v>
      </c>
      <c r="R455" s="8">
        <v>0</v>
      </c>
      <c r="S455" t="s">
        <v>2754</v>
      </c>
      <c r="T455" s="3"/>
      <c r="U455" s="3"/>
      <c r="V455" s="3"/>
    </row>
    <row r="456" spans="1:22" ht="12.45" hidden="1" x14ac:dyDescent="0.2">
      <c r="A456" s="3" t="s">
        <v>2138</v>
      </c>
      <c r="B456" t="s">
        <v>2685</v>
      </c>
      <c r="C456" s="24"/>
      <c r="D456" s="24"/>
      <c r="E456" s="24"/>
      <c r="F456" t="str">
        <f>VLOOKUP(O456,pearl!$B:$E,4,0)</f>
        <v>♃</v>
      </c>
      <c r="G456" t="str">
        <f>VLOOKUP(IF(F456="Дом",H456,F456),pearl!$D$28:$F$32,3,0)</f>
        <v>Юпитер</v>
      </c>
      <c r="H456" t="str">
        <f>VLOOKUP(O456,pearl!$B:$E,3,0)</f>
        <v>Стражи♃</v>
      </c>
      <c r="I456" t="s">
        <v>264</v>
      </c>
      <c r="J456" t="s">
        <v>28</v>
      </c>
      <c r="K456" t="s">
        <v>2415</v>
      </c>
      <c r="L456" t="s">
        <v>18</v>
      </c>
      <c r="N456" t="s">
        <v>2686</v>
      </c>
      <c r="O456" t="s">
        <v>771</v>
      </c>
      <c r="P456" s="8">
        <v>4</v>
      </c>
      <c r="Q456" s="8">
        <v>2</v>
      </c>
      <c r="R456" s="8">
        <v>0</v>
      </c>
      <c r="S456" t="s">
        <v>2674</v>
      </c>
      <c r="T456" s="3"/>
      <c r="U456" s="3"/>
      <c r="V456" s="3"/>
    </row>
    <row r="457" spans="1:22" ht="12.45" hidden="1" x14ac:dyDescent="0.2">
      <c r="A457" s="3" t="s">
        <v>2138</v>
      </c>
      <c r="B457" t="s">
        <v>2729</v>
      </c>
      <c r="C457" s="24"/>
      <c r="D457" s="24"/>
      <c r="E457" s="24"/>
      <c r="F457" t="str">
        <f>VLOOKUP(O457,pearl!$B:$E,4,0)</f>
        <v>♃</v>
      </c>
      <c r="G457" t="str">
        <f>VLOOKUP(IF(F457="Дом",H457,F457),pearl!$D$28:$F$32,3,0)</f>
        <v>Юпитер</v>
      </c>
      <c r="H457" t="str">
        <f>VLOOKUP(O457,pearl!$B:$E,3,0)</f>
        <v>Чародей♃</v>
      </c>
      <c r="I457" t="s">
        <v>147</v>
      </c>
      <c r="J457" t="s">
        <v>148</v>
      </c>
      <c r="K457" t="s">
        <v>23</v>
      </c>
      <c r="L457" t="s">
        <v>148</v>
      </c>
      <c r="N457" t="s">
        <v>2725</v>
      </c>
      <c r="O457" t="s">
        <v>1193</v>
      </c>
      <c r="P457" s="8">
        <v>5</v>
      </c>
      <c r="Q457" s="8">
        <v>3</v>
      </c>
      <c r="R457" s="8">
        <v>0</v>
      </c>
      <c r="S457" t="s">
        <v>2730</v>
      </c>
      <c r="T457" s="3"/>
      <c r="U457" s="3"/>
      <c r="V457" s="3"/>
    </row>
    <row r="458" spans="1:22" ht="12.45" hidden="1" x14ac:dyDescent="0.2">
      <c r="A458" s="3" t="s">
        <v>2138</v>
      </c>
      <c r="B458" t="s">
        <v>2741</v>
      </c>
      <c r="C458" s="24"/>
      <c r="D458" s="24"/>
      <c r="E458" s="24"/>
      <c r="F458" t="str">
        <f>VLOOKUP(O458,pearl!$B:$E,4,0)</f>
        <v>♃</v>
      </c>
      <c r="G458" t="str">
        <f>VLOOKUP(IF(F458="Дом",H458,F458),pearl!$D$28:$F$32,3,0)</f>
        <v>Юпитер</v>
      </c>
      <c r="H458" t="str">
        <f>VLOOKUP(O458,pearl!$B:$E,3,0)</f>
        <v>Маска♃</v>
      </c>
      <c r="I458" t="s">
        <v>43</v>
      </c>
      <c r="J458" t="s">
        <v>22</v>
      </c>
      <c r="K458" t="s">
        <v>142</v>
      </c>
      <c r="L458" t="s">
        <v>18</v>
      </c>
      <c r="N458" t="s">
        <v>2738</v>
      </c>
      <c r="O458" t="s">
        <v>1778</v>
      </c>
      <c r="P458" s="8">
        <v>5</v>
      </c>
      <c r="Q458" s="8">
        <v>1</v>
      </c>
      <c r="R458" s="8">
        <v>0</v>
      </c>
      <c r="S458" t="s">
        <v>2091</v>
      </c>
      <c r="T458" s="3"/>
      <c r="U458" s="3"/>
      <c r="V458" s="3"/>
    </row>
    <row r="459" spans="1:22" ht="12.45" hidden="1" x14ac:dyDescent="0.2">
      <c r="A459" s="3" t="s">
        <v>2138</v>
      </c>
      <c r="B459" t="s">
        <v>2663</v>
      </c>
      <c r="C459" s="24"/>
      <c r="D459" s="24"/>
      <c r="E459" s="24"/>
      <c r="F459" t="str">
        <f>VLOOKUP(O459,pearl!$B:$E,4,0)</f>
        <v>♃</v>
      </c>
      <c r="G459" t="str">
        <f>VLOOKUP(IF(F459="Дом",H459,F459),pearl!$D$28:$F$32,3,0)</f>
        <v>Юпитер</v>
      </c>
      <c r="H459" t="str">
        <f>VLOOKUP(O459,pearl!$B:$E,3,0)</f>
        <v>Ключ♃</v>
      </c>
      <c r="I459" t="s">
        <v>175</v>
      </c>
      <c r="J459" t="s">
        <v>22</v>
      </c>
      <c r="K459" t="s">
        <v>142</v>
      </c>
      <c r="L459" t="s">
        <v>18</v>
      </c>
      <c r="N459" t="s">
        <v>2661</v>
      </c>
      <c r="O459" t="s">
        <v>3130</v>
      </c>
      <c r="P459" s="8">
        <v>4</v>
      </c>
      <c r="Q459" s="8">
        <v>2</v>
      </c>
      <c r="R459" s="8">
        <v>0</v>
      </c>
      <c r="S459" t="s">
        <v>2657</v>
      </c>
      <c r="T459" s="3"/>
      <c r="U459" s="3"/>
      <c r="V459" s="3"/>
    </row>
    <row r="460" spans="1:22" ht="12.45" hidden="1" x14ac:dyDescent="0.2">
      <c r="A460" s="3" t="s">
        <v>2138</v>
      </c>
      <c r="B460" t="s">
        <v>2672</v>
      </c>
      <c r="C460" s="24"/>
      <c r="D460" s="24"/>
      <c r="E460" s="24"/>
      <c r="F460" t="str">
        <f>VLOOKUP(O460,pearl!$B:$E,4,0)</f>
        <v>♃</v>
      </c>
      <c r="G460" t="str">
        <f>VLOOKUP(IF(F460="Дом",H460,F460),pearl!$D$28:$F$32,3,0)</f>
        <v>Юпитер</v>
      </c>
      <c r="H460" t="str">
        <f>VLOOKUP(O460,pearl!$B:$E,3,0)</f>
        <v>Стражи♃</v>
      </c>
      <c r="I460" t="s">
        <v>154</v>
      </c>
      <c r="J460" t="s">
        <v>22</v>
      </c>
      <c r="K460" t="s">
        <v>23</v>
      </c>
      <c r="L460" t="s">
        <v>18</v>
      </c>
      <c r="N460" t="s">
        <v>2673</v>
      </c>
      <c r="O460" t="s">
        <v>771</v>
      </c>
      <c r="P460" s="8">
        <v>3</v>
      </c>
      <c r="Q460" s="8">
        <v>1</v>
      </c>
      <c r="R460" s="8">
        <v>0</v>
      </c>
      <c r="S460" t="s">
        <v>2671</v>
      </c>
      <c r="T460" s="3"/>
      <c r="U460" s="3"/>
      <c r="V460" s="3"/>
    </row>
    <row r="461" spans="1:22" ht="12.45" hidden="1" x14ac:dyDescent="0.2">
      <c r="A461" s="3" t="s">
        <v>2138</v>
      </c>
      <c r="B461" t="s">
        <v>2671</v>
      </c>
      <c r="C461" s="24"/>
      <c r="D461" s="24"/>
      <c r="E461" s="24"/>
      <c r="F461" t="str">
        <f>VLOOKUP(O461,pearl!$B:$E,4,0)</f>
        <v>♃</v>
      </c>
      <c r="G461" t="str">
        <f>VLOOKUP(IF(F461="Дом",H461,F461),pearl!$D$28:$F$32,3,0)</f>
        <v>Юпитер</v>
      </c>
      <c r="H461" t="str">
        <f>VLOOKUP(O461,pearl!$B:$E,3,0)</f>
        <v>Стражи♃</v>
      </c>
      <c r="I461" t="s">
        <v>175</v>
      </c>
      <c r="J461" t="s">
        <v>22</v>
      </c>
      <c r="K461" t="s">
        <v>23</v>
      </c>
      <c r="L461" t="s">
        <v>2106</v>
      </c>
      <c r="N461" t="s">
        <v>2669</v>
      </c>
      <c r="O461" t="s">
        <v>771</v>
      </c>
      <c r="P461" s="8">
        <v>1</v>
      </c>
      <c r="Q461" s="8">
        <v>1</v>
      </c>
      <c r="R461" s="8">
        <v>0</v>
      </c>
      <c r="S461" t="s">
        <v>23</v>
      </c>
      <c r="T461" s="3"/>
      <c r="U461" s="3"/>
      <c r="V461" s="3"/>
    </row>
    <row r="462" spans="1:22" ht="12.45" hidden="1" x14ac:dyDescent="0.2">
      <c r="A462" s="3" t="s">
        <v>2138</v>
      </c>
      <c r="B462" t="s">
        <v>2701</v>
      </c>
      <c r="C462" s="24"/>
      <c r="D462" s="24"/>
      <c r="E462" s="24"/>
      <c r="F462" t="str">
        <f>VLOOKUP(O462,pearl!$B:$E,4,0)</f>
        <v>♃</v>
      </c>
      <c r="G462" t="str">
        <f>VLOOKUP(IF(F462="Дом",H462,F462),pearl!$D$28:$F$32,3,0)</f>
        <v>Юпитер</v>
      </c>
      <c r="H462" t="str">
        <f>VLOOKUP(O462,pearl!$B:$E,3,0)</f>
        <v>Сокровищница♃</v>
      </c>
      <c r="I462" t="s">
        <v>254</v>
      </c>
      <c r="J462" t="s">
        <v>28</v>
      </c>
      <c r="K462" t="s">
        <v>23</v>
      </c>
      <c r="L462" t="s">
        <v>182</v>
      </c>
      <c r="N462" t="s">
        <v>2700</v>
      </c>
      <c r="O462" t="s">
        <v>919</v>
      </c>
      <c r="P462" s="8">
        <v>5</v>
      </c>
      <c r="Q462" s="8">
        <v>3</v>
      </c>
      <c r="R462" s="8">
        <v>0</v>
      </c>
      <c r="S462" t="s">
        <v>2698</v>
      </c>
      <c r="T462" s="3"/>
      <c r="U462" s="3"/>
      <c r="V462" s="3"/>
    </row>
    <row r="463" spans="1:22" ht="12.45" hidden="1" x14ac:dyDescent="0.2">
      <c r="A463" s="3" t="s">
        <v>2138</v>
      </c>
      <c r="B463" t="s">
        <v>2054</v>
      </c>
      <c r="C463" s="24"/>
      <c r="D463" s="24"/>
      <c r="E463" s="24"/>
      <c r="F463" t="str">
        <f>VLOOKUP(O463,pearl!$B:$E,4,0)</f>
        <v>♃</v>
      </c>
      <c r="G463" t="str">
        <f>VLOOKUP(IF(F463="Дом",H463,F463),pearl!$D$28:$F$32,3,0)</f>
        <v>Юпитер</v>
      </c>
      <c r="H463" t="str">
        <f>VLOOKUP(O463,pearl!$B:$E,3,0)</f>
        <v>Чародей♃</v>
      </c>
      <c r="I463" t="s">
        <v>43</v>
      </c>
      <c r="J463" t="s">
        <v>28</v>
      </c>
      <c r="K463" t="s">
        <v>142</v>
      </c>
      <c r="L463" t="s">
        <v>18</v>
      </c>
      <c r="N463" t="s">
        <v>2725</v>
      </c>
      <c r="O463" t="s">
        <v>1193</v>
      </c>
      <c r="P463" s="8">
        <v>5</v>
      </c>
      <c r="Q463" s="8">
        <v>3</v>
      </c>
      <c r="R463" s="8">
        <v>0</v>
      </c>
      <c r="S463" t="s">
        <v>2713</v>
      </c>
      <c r="T463" s="3"/>
      <c r="U463" s="3"/>
      <c r="V463" s="3"/>
    </row>
    <row r="464" spans="1:22" ht="12.45" hidden="1" x14ac:dyDescent="0.2">
      <c r="A464" s="3" t="s">
        <v>2138</v>
      </c>
      <c r="B464" t="s">
        <v>2720</v>
      </c>
      <c r="C464" s="24"/>
      <c r="D464" s="24"/>
      <c r="E464" s="24"/>
      <c r="F464" t="str">
        <f>VLOOKUP(O464,pearl!$B:$E,4,0)</f>
        <v>♃</v>
      </c>
      <c r="G464" t="str">
        <f>VLOOKUP(IF(F464="Дом",H464,F464),pearl!$D$28:$F$32,3,0)</f>
        <v>Юпитер</v>
      </c>
      <c r="H464" t="str">
        <f>VLOOKUP(O464,pearl!$B:$E,3,0)</f>
        <v>Чародей♃</v>
      </c>
      <c r="I464" t="s">
        <v>2721</v>
      </c>
      <c r="J464" t="s">
        <v>22</v>
      </c>
      <c r="K464" t="s">
        <v>23</v>
      </c>
      <c r="L464" t="s">
        <v>18</v>
      </c>
      <c r="N464" t="s">
        <v>2722</v>
      </c>
      <c r="O464" t="s">
        <v>1193</v>
      </c>
      <c r="P464" s="8">
        <v>3</v>
      </c>
      <c r="Q464" s="8">
        <v>2</v>
      </c>
      <c r="R464" s="8">
        <v>0</v>
      </c>
      <c r="S464" t="s">
        <v>2053</v>
      </c>
      <c r="T464" s="3"/>
      <c r="U464" s="3"/>
      <c r="V464" s="3"/>
    </row>
    <row r="465" spans="1:22" ht="12.45" hidden="1" x14ac:dyDescent="0.2">
      <c r="A465" s="3" t="s">
        <v>2138</v>
      </c>
      <c r="B465" t="s">
        <v>1212</v>
      </c>
      <c r="C465" s="24"/>
      <c r="D465" s="24"/>
      <c r="E465" s="24"/>
      <c r="F465" t="str">
        <f>VLOOKUP(O465,pearl!$B:$E,4,0)</f>
        <v>♃</v>
      </c>
      <c r="G465" t="str">
        <f>VLOOKUP(IF(F465="Дом",H465,F465),pearl!$D$28:$F$32,3,0)</f>
        <v>Юпитер</v>
      </c>
      <c r="H465" t="str">
        <f>VLOOKUP(O465,pearl!$B:$E,3,0)</f>
        <v>Чародей♃</v>
      </c>
      <c r="I465" t="s">
        <v>147</v>
      </c>
      <c r="J465" t="s">
        <v>148</v>
      </c>
      <c r="K465" t="s">
        <v>23</v>
      </c>
      <c r="L465" t="s">
        <v>148</v>
      </c>
      <c r="N465" t="s">
        <v>2733</v>
      </c>
      <c r="O465" t="s">
        <v>1193</v>
      </c>
      <c r="P465" s="8">
        <v>3</v>
      </c>
      <c r="Q465" s="8">
        <v>1</v>
      </c>
      <c r="R465" s="8">
        <v>0</v>
      </c>
      <c r="S465" t="s">
        <v>2735</v>
      </c>
      <c r="T465" s="3"/>
      <c r="U465" s="3"/>
      <c r="V465" s="3"/>
    </row>
    <row r="466" spans="1:22" ht="12.45" hidden="1" x14ac:dyDescent="0.2">
      <c r="A466" s="3" t="s">
        <v>2138</v>
      </c>
      <c r="B466" t="s">
        <v>2760</v>
      </c>
      <c r="C466" s="24"/>
      <c r="D466" s="24"/>
      <c r="E466" s="24"/>
      <c r="F466" t="str">
        <f>VLOOKUP(O466,pearl!$B:$E,4,0)</f>
        <v>♃</v>
      </c>
      <c r="G466" t="str">
        <f>VLOOKUP(IF(F466="Дом",H466,F466),pearl!$D$28:$F$32,3,0)</f>
        <v>Юпитер</v>
      </c>
      <c r="H466" t="str">
        <f>VLOOKUP(O466,pearl!$B:$E,3,0)</f>
        <v>Маска♃</v>
      </c>
      <c r="I466" t="s">
        <v>2132</v>
      </c>
      <c r="J466" t="s">
        <v>22</v>
      </c>
      <c r="K466" t="s">
        <v>547</v>
      </c>
      <c r="L466" t="s">
        <v>182</v>
      </c>
      <c r="N466" t="s">
        <v>2759</v>
      </c>
      <c r="O466" t="s">
        <v>1778</v>
      </c>
      <c r="P466" s="8">
        <v>5</v>
      </c>
      <c r="Q466" s="8">
        <v>3</v>
      </c>
      <c r="R466" s="8">
        <v>0</v>
      </c>
      <c r="S466" t="s">
        <v>2754</v>
      </c>
      <c r="T466" s="3"/>
      <c r="U466" s="3"/>
      <c r="V466" s="3"/>
    </row>
    <row r="467" spans="1:22" ht="12.45" hidden="1" x14ac:dyDescent="0.2">
      <c r="A467" s="3" t="s">
        <v>2138</v>
      </c>
      <c r="B467" t="s">
        <v>2688</v>
      </c>
      <c r="C467" s="24"/>
      <c r="D467" s="24"/>
      <c r="E467" s="24"/>
      <c r="F467" t="str">
        <f>VLOOKUP(O467,pearl!$B:$E,4,0)</f>
        <v>♃</v>
      </c>
      <c r="G467" t="str">
        <f>VLOOKUP(IF(F467="Дом",H467,F467),pearl!$D$28:$F$32,3,0)</f>
        <v>Юпитер</v>
      </c>
      <c r="H467" t="str">
        <f>VLOOKUP(O467,pearl!$B:$E,3,0)</f>
        <v>Стражи♃</v>
      </c>
      <c r="I467" t="s">
        <v>43</v>
      </c>
      <c r="J467" t="s">
        <v>28</v>
      </c>
      <c r="K467" t="s">
        <v>23</v>
      </c>
      <c r="L467" t="s">
        <v>476</v>
      </c>
      <c r="N467" t="s">
        <v>2689</v>
      </c>
      <c r="O467" t="s">
        <v>771</v>
      </c>
      <c r="P467" s="8">
        <v>5</v>
      </c>
      <c r="Q467" s="8">
        <v>2</v>
      </c>
      <c r="R467" s="8">
        <v>0</v>
      </c>
      <c r="S467" t="s">
        <v>2677</v>
      </c>
      <c r="T467" s="3"/>
      <c r="U467" s="3"/>
      <c r="V467" s="3"/>
    </row>
    <row r="468" spans="1:22" ht="12.45" hidden="1" x14ac:dyDescent="0.2">
      <c r="A468" s="3" t="s">
        <v>2138</v>
      </c>
      <c r="B468" t="s">
        <v>2684</v>
      </c>
      <c r="C468" s="24"/>
      <c r="D468" s="24"/>
      <c r="E468" s="24"/>
      <c r="F468" t="str">
        <f>VLOOKUP(O468,pearl!$B:$E,4,0)</f>
        <v>♃</v>
      </c>
      <c r="G468" t="str">
        <f>VLOOKUP(IF(F468="Дом",H468,F468),pearl!$D$28:$F$32,3,0)</f>
        <v>Юпитер</v>
      </c>
      <c r="H468" t="str">
        <f>VLOOKUP(O468,pearl!$B:$E,3,0)</f>
        <v>Стражи♃</v>
      </c>
      <c r="I468" t="s">
        <v>147</v>
      </c>
      <c r="J468" t="s">
        <v>148</v>
      </c>
      <c r="K468" t="s">
        <v>23</v>
      </c>
      <c r="L468" t="s">
        <v>148</v>
      </c>
      <c r="N468" t="s">
        <v>2679</v>
      </c>
      <c r="O468" t="s">
        <v>771</v>
      </c>
      <c r="P468" s="8">
        <v>3</v>
      </c>
      <c r="Q468" s="8">
        <v>2</v>
      </c>
      <c r="R468" s="8">
        <v>0</v>
      </c>
      <c r="S468" t="s">
        <v>2677</v>
      </c>
      <c r="T468" s="3"/>
      <c r="U468" s="3"/>
      <c r="V468" s="3"/>
    </row>
    <row r="469" spans="1:22" ht="12.45" hidden="1" x14ac:dyDescent="0.2">
      <c r="A469" s="3" t="s">
        <v>2138</v>
      </c>
      <c r="B469" t="s">
        <v>2666</v>
      </c>
      <c r="C469" s="24"/>
      <c r="D469" s="24"/>
      <c r="E469" s="24"/>
      <c r="F469" t="str">
        <f>VLOOKUP(O469,pearl!$B:$E,4,0)</f>
        <v>♃</v>
      </c>
      <c r="G469" t="str">
        <f>VLOOKUP(IF(F469="Дом",H469,F469),pearl!$D$28:$F$32,3,0)</f>
        <v>Юпитер</v>
      </c>
      <c r="H469" t="str">
        <f>VLOOKUP(O469,pearl!$B:$E,3,0)</f>
        <v>Ключ♃</v>
      </c>
      <c r="I469" t="s">
        <v>264</v>
      </c>
      <c r="J469" t="s">
        <v>28</v>
      </c>
      <c r="K469" t="s">
        <v>142</v>
      </c>
      <c r="L469" t="s">
        <v>2038</v>
      </c>
      <c r="N469" t="s">
        <v>2665</v>
      </c>
      <c r="O469" t="s">
        <v>3130</v>
      </c>
      <c r="P469" s="8">
        <v>5</v>
      </c>
      <c r="Q469" s="8">
        <v>3</v>
      </c>
      <c r="R469" s="8">
        <v>0</v>
      </c>
      <c r="S469" t="s">
        <v>2664</v>
      </c>
      <c r="T469" s="3"/>
      <c r="U469" s="3"/>
      <c r="V469" s="3"/>
    </row>
    <row r="470" spans="1:22" ht="12.45" hidden="1" x14ac:dyDescent="0.2">
      <c r="A470" s="3" t="s">
        <v>2138</v>
      </c>
      <c r="B470" t="s">
        <v>2674</v>
      </c>
      <c r="C470" s="24"/>
      <c r="D470" s="24"/>
      <c r="E470" s="24"/>
      <c r="F470" t="str">
        <f>VLOOKUP(O470,pearl!$B:$E,4,0)</f>
        <v>♃</v>
      </c>
      <c r="G470" t="str">
        <f>VLOOKUP(IF(F470="Дом",H470,F470),pearl!$D$28:$F$32,3,0)</f>
        <v>Юпитер</v>
      </c>
      <c r="H470" t="str">
        <f>VLOOKUP(O470,pearl!$B:$E,3,0)</f>
        <v>Стражи♃</v>
      </c>
      <c r="I470" t="s">
        <v>175</v>
      </c>
      <c r="J470" t="s">
        <v>16</v>
      </c>
      <c r="K470" t="s">
        <v>142</v>
      </c>
      <c r="L470" t="s">
        <v>18</v>
      </c>
      <c r="N470" t="s">
        <v>2673</v>
      </c>
      <c r="O470" t="s">
        <v>771</v>
      </c>
      <c r="P470" s="8">
        <v>2</v>
      </c>
      <c r="Q470" s="8">
        <v>1</v>
      </c>
      <c r="R470" s="8">
        <v>0</v>
      </c>
      <c r="S470" t="s">
        <v>23</v>
      </c>
      <c r="T470" s="3"/>
      <c r="U470" s="3"/>
      <c r="V470" s="3"/>
    </row>
    <row r="471" spans="1:22" ht="12.45" hidden="1" x14ac:dyDescent="0.2">
      <c r="A471" s="3" t="s">
        <v>2138</v>
      </c>
      <c r="B471" t="s">
        <v>2031</v>
      </c>
      <c r="C471" s="24"/>
      <c r="D471" s="24"/>
      <c r="E471" s="24"/>
      <c r="F471" t="str">
        <f>VLOOKUP(O471,pearl!$B:$E,4,0)</f>
        <v>♃</v>
      </c>
      <c r="G471" t="str">
        <f>VLOOKUP(IF(F471="Дом",H471,F471),pearl!$D$28:$F$32,3,0)</f>
        <v>Юпитер</v>
      </c>
      <c r="H471" t="str">
        <f>VLOOKUP(O471,pearl!$B:$E,3,0)</f>
        <v>Ключ♃</v>
      </c>
      <c r="I471" t="s">
        <v>40</v>
      </c>
      <c r="J471" t="s">
        <v>16</v>
      </c>
      <c r="K471" t="s">
        <v>23</v>
      </c>
      <c r="L471" t="s">
        <v>18</v>
      </c>
      <c r="N471" t="s">
        <v>2654</v>
      </c>
      <c r="O471" t="s">
        <v>3130</v>
      </c>
      <c r="P471" s="8">
        <v>3</v>
      </c>
      <c r="Q471" s="8">
        <v>1</v>
      </c>
      <c r="R471" s="8">
        <v>0</v>
      </c>
      <c r="S471" t="s">
        <v>23</v>
      </c>
      <c r="T471" s="3"/>
      <c r="U471" s="3"/>
      <c r="V471" s="3"/>
    </row>
    <row r="472" spans="1:22" ht="12.45" hidden="1" x14ac:dyDescent="0.2">
      <c r="A472" s="3" t="s">
        <v>2138</v>
      </c>
      <c r="B472" t="s">
        <v>2040</v>
      </c>
      <c r="C472" s="24"/>
      <c r="D472" s="24"/>
      <c r="E472" s="24"/>
      <c r="F472" t="str">
        <f>VLOOKUP(O472,pearl!$B:$E,4,0)</f>
        <v>♃</v>
      </c>
      <c r="G472" t="str">
        <f>VLOOKUP(IF(F472="Дом",H472,F472),pearl!$D$28:$F$32,3,0)</f>
        <v>Юпитер</v>
      </c>
      <c r="H472" t="str">
        <f>VLOOKUP(O472,pearl!$B:$E,3,0)</f>
        <v>Сокровищница♃</v>
      </c>
      <c r="I472" t="s">
        <v>64</v>
      </c>
      <c r="J472" t="s">
        <v>28</v>
      </c>
      <c r="K472" t="s">
        <v>29</v>
      </c>
      <c r="L472" t="s">
        <v>18</v>
      </c>
      <c r="N472" t="s">
        <v>2700</v>
      </c>
      <c r="O472" t="s">
        <v>919</v>
      </c>
      <c r="P472" s="8">
        <v>5</v>
      </c>
      <c r="Q472" s="8">
        <v>2</v>
      </c>
      <c r="R472" s="8">
        <v>0</v>
      </c>
      <c r="S472" t="s">
        <v>2695</v>
      </c>
      <c r="T472" s="3"/>
      <c r="U472" s="3"/>
      <c r="V472" s="3"/>
    </row>
    <row r="473" spans="1:22" ht="12.45" hidden="1" x14ac:dyDescent="0.2">
      <c r="A473" s="3" t="s">
        <v>2138</v>
      </c>
      <c r="B473" t="s">
        <v>2042</v>
      </c>
      <c r="C473" s="24"/>
      <c r="D473" s="24"/>
      <c r="E473" s="24"/>
      <c r="F473" t="str">
        <f>VLOOKUP(O473,pearl!$B:$E,4,0)</f>
        <v>♃</v>
      </c>
      <c r="G473" t="str">
        <f>VLOOKUP(IF(F473="Дом",H473,F473),pearl!$D$28:$F$32,3,0)</f>
        <v>Юпитер</v>
      </c>
      <c r="H473" t="str">
        <f>VLOOKUP(O473,pearl!$B:$E,3,0)</f>
        <v>Сокровищница♃</v>
      </c>
      <c r="I473" t="s">
        <v>43</v>
      </c>
      <c r="J473" t="s">
        <v>28</v>
      </c>
      <c r="K473" t="s">
        <v>142</v>
      </c>
      <c r="L473" t="s">
        <v>18</v>
      </c>
      <c r="N473" t="s">
        <v>2700</v>
      </c>
      <c r="O473" t="s">
        <v>919</v>
      </c>
      <c r="P473" s="8">
        <v>5</v>
      </c>
      <c r="Q473" s="8">
        <v>2</v>
      </c>
      <c r="R473" s="8">
        <v>0</v>
      </c>
      <c r="S473" t="s">
        <v>2037</v>
      </c>
      <c r="T473" s="3"/>
      <c r="U473" s="3"/>
      <c r="V473" s="3"/>
    </row>
    <row r="474" spans="1:22" ht="12.45" hidden="1" x14ac:dyDescent="0.2">
      <c r="A474" s="3" t="s">
        <v>2138</v>
      </c>
      <c r="B474" t="s">
        <v>2039</v>
      </c>
      <c r="C474" s="24"/>
      <c r="D474" s="24"/>
      <c r="E474" s="24"/>
      <c r="F474" t="str">
        <f>VLOOKUP(O474,pearl!$B:$E,4,0)</f>
        <v>♃</v>
      </c>
      <c r="G474" t="str">
        <f>VLOOKUP(IF(F474="Дом",H474,F474),pearl!$D$28:$F$32,3,0)</f>
        <v>Юпитер</v>
      </c>
      <c r="H474" t="str">
        <f>VLOOKUP(O474,pearl!$B:$E,3,0)</f>
        <v>Сокровищница♃</v>
      </c>
      <c r="I474" t="s">
        <v>147</v>
      </c>
      <c r="J474" t="s">
        <v>148</v>
      </c>
      <c r="K474" t="s">
        <v>23</v>
      </c>
      <c r="L474" t="s">
        <v>148</v>
      </c>
      <c r="N474" t="s">
        <v>2696</v>
      </c>
      <c r="O474" t="s">
        <v>919</v>
      </c>
      <c r="P474" s="8">
        <v>5</v>
      </c>
      <c r="Q474" s="8">
        <v>1</v>
      </c>
      <c r="R474" s="8">
        <v>0</v>
      </c>
      <c r="S474" t="s">
        <v>2037</v>
      </c>
      <c r="T474" s="3"/>
      <c r="U474" s="3"/>
      <c r="V474" s="3"/>
    </row>
    <row r="475" spans="1:22" ht="12.45" hidden="1" x14ac:dyDescent="0.2">
      <c r="A475" s="3" t="s">
        <v>2138</v>
      </c>
      <c r="B475" t="s">
        <v>2041</v>
      </c>
      <c r="C475" s="24"/>
      <c r="D475" s="24"/>
      <c r="E475" s="24"/>
      <c r="F475" t="str">
        <f>VLOOKUP(O475,pearl!$B:$E,4,0)</f>
        <v>♃</v>
      </c>
      <c r="G475" t="str">
        <f>VLOOKUP(IF(F475="Дом",H475,F475),pearl!$D$28:$F$32,3,0)</f>
        <v>Юпитер</v>
      </c>
      <c r="H475" t="str">
        <f>VLOOKUP(O475,pearl!$B:$E,3,0)</f>
        <v>Сокровищница♃</v>
      </c>
      <c r="I475" t="s">
        <v>740</v>
      </c>
      <c r="J475" t="s">
        <v>28</v>
      </c>
      <c r="K475" t="s">
        <v>2219</v>
      </c>
      <c r="L475" t="s">
        <v>18</v>
      </c>
      <c r="N475" t="s">
        <v>2696</v>
      </c>
      <c r="O475" t="s">
        <v>919</v>
      </c>
      <c r="P475" s="8">
        <v>4</v>
      </c>
      <c r="Q475" s="8">
        <v>1</v>
      </c>
      <c r="R475" s="8">
        <v>0</v>
      </c>
      <c r="S475" t="s">
        <v>2037</v>
      </c>
      <c r="T475" s="3"/>
      <c r="U475" s="3"/>
      <c r="V475" s="3"/>
    </row>
    <row r="476" spans="1:22" ht="12.45" hidden="1" x14ac:dyDescent="0.2">
      <c r="A476" s="3" t="s">
        <v>2138</v>
      </c>
      <c r="B476" t="s">
        <v>2724</v>
      </c>
      <c r="C476" s="24"/>
      <c r="D476" s="24"/>
      <c r="E476" s="24"/>
      <c r="F476" t="str">
        <f>VLOOKUP(O476,pearl!$B:$E,4,0)</f>
        <v>♃</v>
      </c>
      <c r="G476" t="str">
        <f>VLOOKUP(IF(F476="Дом",H476,F476),pearl!$D$28:$F$32,3,0)</f>
        <v>Юпитер</v>
      </c>
      <c r="H476" t="str">
        <f>VLOOKUP(O476,pearl!$B:$E,3,0)</f>
        <v>Чародей♃</v>
      </c>
      <c r="I476" t="s">
        <v>64</v>
      </c>
      <c r="J476" t="s">
        <v>28</v>
      </c>
      <c r="K476" t="s">
        <v>23</v>
      </c>
      <c r="L476" t="s">
        <v>148</v>
      </c>
      <c r="N476" t="s">
        <v>2725</v>
      </c>
      <c r="O476" t="s">
        <v>1193</v>
      </c>
      <c r="P476" s="8">
        <v>4</v>
      </c>
      <c r="Q476" s="8">
        <v>2</v>
      </c>
      <c r="R476" s="8">
        <v>0</v>
      </c>
      <c r="S476" t="s">
        <v>2726</v>
      </c>
      <c r="T476" s="3"/>
      <c r="U476" s="3"/>
      <c r="V476" s="3"/>
    </row>
    <row r="477" spans="1:22" ht="12.45" hidden="1" x14ac:dyDescent="0.2">
      <c r="A477" s="3" t="s">
        <v>2138</v>
      </c>
      <c r="B477" t="s">
        <v>2727</v>
      </c>
      <c r="C477" s="24"/>
      <c r="D477" s="24"/>
      <c r="E477" s="24"/>
      <c r="F477" t="str">
        <f>VLOOKUP(O477,pearl!$B:$E,4,0)</f>
        <v>♃</v>
      </c>
      <c r="G477" t="str">
        <f>VLOOKUP(IF(F477="Дом",H477,F477),pearl!$D$28:$F$32,3,0)</f>
        <v>Юпитер</v>
      </c>
      <c r="H477" t="str">
        <f>VLOOKUP(O477,pearl!$B:$E,3,0)</f>
        <v>Чародей♃</v>
      </c>
      <c r="I477" t="s">
        <v>2728</v>
      </c>
      <c r="J477" t="s">
        <v>28</v>
      </c>
      <c r="K477" t="s">
        <v>23</v>
      </c>
      <c r="L477" t="s">
        <v>148</v>
      </c>
      <c r="N477" t="s">
        <v>2725</v>
      </c>
      <c r="O477" t="s">
        <v>1193</v>
      </c>
      <c r="P477" s="8">
        <v>5</v>
      </c>
      <c r="Q477" s="8">
        <v>3</v>
      </c>
      <c r="R477" s="8">
        <v>0</v>
      </c>
      <c r="S477" t="s">
        <v>2724</v>
      </c>
      <c r="T477" s="3"/>
      <c r="U477" s="3"/>
      <c r="V477" s="3"/>
    </row>
    <row r="478" spans="1:22" ht="12.45" hidden="1" x14ac:dyDescent="0.2">
      <c r="A478" s="3" t="s">
        <v>2138</v>
      </c>
      <c r="B478" t="s">
        <v>2718</v>
      </c>
      <c r="C478" s="24"/>
      <c r="D478" s="24"/>
      <c r="E478" s="24"/>
      <c r="F478" t="str">
        <f>VLOOKUP(O478,pearl!$B:$E,4,0)</f>
        <v>♃</v>
      </c>
      <c r="G478" t="str">
        <f>VLOOKUP(IF(F478="Дом",H478,F478),pearl!$D$28:$F$32,3,0)</f>
        <v>Юпитер</v>
      </c>
      <c r="H478" t="str">
        <f>VLOOKUP(O478,pearl!$B:$E,3,0)</f>
        <v>Чародей♃</v>
      </c>
      <c r="I478" t="s">
        <v>147</v>
      </c>
      <c r="J478" t="s">
        <v>148</v>
      </c>
      <c r="K478" t="s">
        <v>23</v>
      </c>
      <c r="L478" t="s">
        <v>148</v>
      </c>
      <c r="N478" t="s">
        <v>2716</v>
      </c>
      <c r="O478" t="s">
        <v>1193</v>
      </c>
      <c r="P478" s="8">
        <v>1</v>
      </c>
      <c r="Q478" s="8">
        <v>1</v>
      </c>
      <c r="R478" s="8">
        <v>0</v>
      </c>
      <c r="S478" t="s">
        <v>23</v>
      </c>
      <c r="T478" s="3"/>
      <c r="U478" s="3"/>
      <c r="V478" s="3"/>
    </row>
    <row r="479" spans="1:22" ht="12.45" hidden="1" x14ac:dyDescent="0.2">
      <c r="A479" s="3" t="s">
        <v>2138</v>
      </c>
      <c r="B479" t="s">
        <v>2697</v>
      </c>
      <c r="C479" s="24"/>
      <c r="D479" s="24"/>
      <c r="E479" s="24"/>
      <c r="F479" t="str">
        <f>VLOOKUP(O479,pearl!$B:$E,4,0)</f>
        <v>♃</v>
      </c>
      <c r="G479" t="str">
        <f>VLOOKUP(IF(F479="Дом",H479,F479),pearl!$D$28:$F$32,3,0)</f>
        <v>Юпитер</v>
      </c>
      <c r="H479" t="str">
        <f>VLOOKUP(O479,pearl!$B:$E,3,0)</f>
        <v>Сокровищница♃</v>
      </c>
      <c r="I479" t="s">
        <v>147</v>
      </c>
      <c r="J479" t="s">
        <v>148</v>
      </c>
      <c r="K479" t="s">
        <v>23</v>
      </c>
      <c r="L479" t="s">
        <v>148</v>
      </c>
      <c r="N479" t="s">
        <v>2696</v>
      </c>
      <c r="O479" t="s">
        <v>919</v>
      </c>
      <c r="P479" s="8">
        <v>1</v>
      </c>
      <c r="Q479" s="8">
        <v>1</v>
      </c>
      <c r="R479" s="8">
        <v>0</v>
      </c>
      <c r="S479" t="s">
        <v>23</v>
      </c>
      <c r="T479" s="3"/>
      <c r="U479" s="3"/>
      <c r="V479" s="3"/>
    </row>
    <row r="480" spans="1:22" ht="12.45" hidden="1" x14ac:dyDescent="0.2">
      <c r="A480" s="3" t="s">
        <v>2138</v>
      </c>
      <c r="B480" t="s">
        <v>2655</v>
      </c>
      <c r="C480" s="24"/>
      <c r="D480" s="24"/>
      <c r="E480" s="24"/>
      <c r="F480" t="str">
        <f>VLOOKUP(O480,pearl!$B:$E,4,0)</f>
        <v>♃</v>
      </c>
      <c r="G480" t="str">
        <f>VLOOKUP(IF(F480="Дом",H480,F480),pearl!$D$28:$F$32,3,0)</f>
        <v>Юпитер</v>
      </c>
      <c r="H480" t="str">
        <f>VLOOKUP(O480,pearl!$B:$E,3,0)</f>
        <v>Ключ♃</v>
      </c>
      <c r="I480" t="s">
        <v>264</v>
      </c>
      <c r="J480" t="s">
        <v>28</v>
      </c>
      <c r="K480" t="s">
        <v>142</v>
      </c>
      <c r="L480" t="s">
        <v>18</v>
      </c>
      <c r="N480" t="s">
        <v>2654</v>
      </c>
      <c r="O480" t="s">
        <v>3130</v>
      </c>
      <c r="P480" s="8">
        <v>3</v>
      </c>
      <c r="Q480" s="8">
        <v>1</v>
      </c>
      <c r="R480" s="8">
        <v>0</v>
      </c>
      <c r="S480" t="s">
        <v>2031</v>
      </c>
      <c r="T480" s="3"/>
      <c r="U480" s="3"/>
      <c r="V480" s="3"/>
    </row>
    <row r="481" spans="1:22" ht="12.45" hidden="1" x14ac:dyDescent="0.2">
      <c r="A481" s="3" t="s">
        <v>2138</v>
      </c>
      <c r="B481" t="s">
        <v>2659</v>
      </c>
      <c r="C481" s="24"/>
      <c r="D481" s="24"/>
      <c r="E481" s="24"/>
      <c r="F481" t="str">
        <f>VLOOKUP(O481,pearl!$B:$E,4,0)</f>
        <v>♃</v>
      </c>
      <c r="G481" t="str">
        <f>VLOOKUP(IF(F481="Дом",H481,F481),pearl!$D$28:$F$32,3,0)</f>
        <v>Юпитер</v>
      </c>
      <c r="H481" t="str">
        <f>VLOOKUP(O481,pearl!$B:$E,3,0)</f>
        <v>Ключ♃</v>
      </c>
      <c r="I481" t="s">
        <v>53</v>
      </c>
      <c r="J481" t="s">
        <v>28</v>
      </c>
      <c r="K481" t="s">
        <v>23</v>
      </c>
      <c r="L481" t="s">
        <v>182</v>
      </c>
      <c r="N481" t="s">
        <v>2658</v>
      </c>
      <c r="O481" t="s">
        <v>3130</v>
      </c>
      <c r="P481" s="8">
        <v>3</v>
      </c>
      <c r="Q481" s="8">
        <v>1</v>
      </c>
      <c r="R481" s="8">
        <v>0</v>
      </c>
      <c r="S481" t="s">
        <v>23</v>
      </c>
      <c r="T481" s="3"/>
      <c r="U481" s="3"/>
      <c r="V481" s="3"/>
    </row>
    <row r="482" spans="1:22" ht="12.45" hidden="1" x14ac:dyDescent="0.2">
      <c r="A482" s="3" t="s">
        <v>2138</v>
      </c>
      <c r="B482" t="s">
        <v>2690</v>
      </c>
      <c r="C482" s="24"/>
      <c r="D482" s="24"/>
      <c r="E482" s="24"/>
      <c r="F482" t="str">
        <f>VLOOKUP(O482,pearl!$B:$E,4,0)</f>
        <v>♃</v>
      </c>
      <c r="G482" t="str">
        <f>VLOOKUP(IF(F482="Дом",H482,F482),pearl!$D$28:$F$32,3,0)</f>
        <v>Юпитер</v>
      </c>
      <c r="H482" t="str">
        <f>VLOOKUP(O482,pearl!$B:$E,3,0)</f>
        <v>Стражи♃</v>
      </c>
      <c r="I482" t="s">
        <v>43</v>
      </c>
      <c r="J482" t="s">
        <v>28</v>
      </c>
      <c r="K482" t="s">
        <v>142</v>
      </c>
      <c r="L482" t="s">
        <v>18</v>
      </c>
      <c r="N482" t="s">
        <v>2689</v>
      </c>
      <c r="O482" t="s">
        <v>771</v>
      </c>
      <c r="P482" s="8">
        <v>4</v>
      </c>
      <c r="Q482" s="8">
        <v>3</v>
      </c>
      <c r="R482" s="8">
        <v>0</v>
      </c>
      <c r="S482" t="s">
        <v>2674</v>
      </c>
      <c r="T482" s="3"/>
      <c r="U482" s="3"/>
      <c r="V482" s="3"/>
    </row>
    <row r="483" spans="1:22" ht="12.45" hidden="1" x14ac:dyDescent="0.2">
      <c r="A483" s="3" t="s">
        <v>2138</v>
      </c>
      <c r="B483" t="s">
        <v>2749</v>
      </c>
      <c r="C483" s="24"/>
      <c r="D483" s="24"/>
      <c r="E483" s="24"/>
      <c r="F483" t="str">
        <f>VLOOKUP(O483,pearl!$B:$E,4,0)</f>
        <v>♃</v>
      </c>
      <c r="G483" t="str">
        <f>VLOOKUP(IF(F483="Дом",H483,F483),pearl!$D$28:$F$32,3,0)</f>
        <v>Юпитер</v>
      </c>
      <c r="H483" t="str">
        <f>VLOOKUP(O483,pearl!$B:$E,3,0)</f>
        <v>Маска♃</v>
      </c>
      <c r="I483" t="s">
        <v>53</v>
      </c>
      <c r="J483" t="s">
        <v>22</v>
      </c>
      <c r="K483" t="s">
        <v>889</v>
      </c>
      <c r="L483" t="s">
        <v>18</v>
      </c>
      <c r="N483" t="s">
        <v>2750</v>
      </c>
      <c r="O483" t="s">
        <v>1778</v>
      </c>
      <c r="P483" s="8">
        <v>5</v>
      </c>
      <c r="Q483" s="8">
        <v>2</v>
      </c>
      <c r="R483" s="8">
        <v>0</v>
      </c>
      <c r="S483" t="s">
        <v>2748</v>
      </c>
      <c r="T483" s="3"/>
      <c r="U483" s="3"/>
      <c r="V483" s="3"/>
    </row>
    <row r="484" spans="1:22" ht="12.45" hidden="1" x14ac:dyDescent="0.2">
      <c r="A484" s="3" t="s">
        <v>2138</v>
      </c>
      <c r="B484" t="s">
        <v>2092</v>
      </c>
      <c r="C484" s="24"/>
      <c r="D484" s="24"/>
      <c r="E484" s="24"/>
      <c r="F484" t="str">
        <f>VLOOKUP(O484,pearl!$B:$E,4,0)</f>
        <v>♃</v>
      </c>
      <c r="G484" t="str">
        <f>VLOOKUP(IF(F484="Дом",H484,F484),pearl!$D$28:$F$32,3,0)</f>
        <v>Юпитер</v>
      </c>
      <c r="H484" t="str">
        <f>VLOOKUP(O484,pearl!$B:$E,3,0)</f>
        <v>Стражи♃</v>
      </c>
      <c r="I484" t="s">
        <v>77</v>
      </c>
      <c r="J484" t="s">
        <v>28</v>
      </c>
      <c r="K484" t="s">
        <v>2683</v>
      </c>
      <c r="L484" t="s">
        <v>18</v>
      </c>
      <c r="N484" t="s">
        <v>2679</v>
      </c>
      <c r="O484" t="s">
        <v>771</v>
      </c>
      <c r="P484" s="8">
        <v>3</v>
      </c>
      <c r="Q484" s="8">
        <v>1</v>
      </c>
      <c r="R484" s="8">
        <v>0</v>
      </c>
      <c r="S484" t="s">
        <v>2677</v>
      </c>
      <c r="T484" s="3"/>
      <c r="U484" s="3"/>
      <c r="V484" s="3"/>
    </row>
    <row r="485" spans="1:22" ht="12.45" hidden="1" x14ac:dyDescent="0.2">
      <c r="A485" s="3" t="s">
        <v>2138</v>
      </c>
      <c r="B485" t="s">
        <v>2091</v>
      </c>
      <c r="C485" s="24"/>
      <c r="D485" s="24"/>
      <c r="E485" s="24"/>
      <c r="F485" t="str">
        <f>VLOOKUP(O485,pearl!$B:$E,4,0)</f>
        <v>♃</v>
      </c>
      <c r="G485" t="str">
        <f>VLOOKUP(IF(F485="Дом",H485,F485),pearl!$D$28:$F$32,3,0)</f>
        <v>Юпитер</v>
      </c>
      <c r="H485" t="str">
        <f>VLOOKUP(O485,pearl!$B:$E,3,0)</f>
        <v>Маска♃</v>
      </c>
      <c r="I485" t="s">
        <v>40</v>
      </c>
      <c r="J485" t="s">
        <v>16</v>
      </c>
      <c r="K485" t="s">
        <v>142</v>
      </c>
      <c r="L485" t="s">
        <v>18</v>
      </c>
      <c r="N485" t="s">
        <v>2738</v>
      </c>
      <c r="O485" t="s">
        <v>1778</v>
      </c>
      <c r="P485" s="8">
        <v>2</v>
      </c>
      <c r="Q485" s="8">
        <v>1</v>
      </c>
      <c r="R485" s="8">
        <v>0</v>
      </c>
      <c r="S485" t="s">
        <v>23</v>
      </c>
      <c r="T485" s="3"/>
      <c r="U485" s="3"/>
      <c r="V485" s="3"/>
    </row>
    <row r="486" spans="1:22" ht="12.45" hidden="1" x14ac:dyDescent="0.2">
      <c r="A486" s="3" t="s">
        <v>2138</v>
      </c>
      <c r="B486" t="s">
        <v>2702</v>
      </c>
      <c r="C486" s="24"/>
      <c r="D486" s="24"/>
      <c r="E486" s="24"/>
      <c r="F486" t="str">
        <f>VLOOKUP(O486,pearl!$B:$E,4,0)</f>
        <v>♃</v>
      </c>
      <c r="G486" t="str">
        <f>VLOOKUP(IF(F486="Дом",H486,F486),pearl!$D$28:$F$32,3,0)</f>
        <v>Юпитер</v>
      </c>
      <c r="H486" t="str">
        <f>VLOOKUP(O486,pearl!$B:$E,3,0)</f>
        <v>Сокровищница♃</v>
      </c>
      <c r="I486" t="s">
        <v>264</v>
      </c>
      <c r="J486" t="s">
        <v>22</v>
      </c>
      <c r="K486" t="s">
        <v>142</v>
      </c>
      <c r="L486" t="s">
        <v>18</v>
      </c>
      <c r="N486" t="s">
        <v>2703</v>
      </c>
      <c r="O486" t="s">
        <v>919</v>
      </c>
      <c r="P486" s="8">
        <v>5</v>
      </c>
      <c r="Q486" s="8">
        <v>3</v>
      </c>
      <c r="R486" s="8">
        <v>0</v>
      </c>
      <c r="S486" t="s">
        <v>2701</v>
      </c>
      <c r="T486" s="3"/>
      <c r="U486" s="3"/>
      <c r="V486" s="3"/>
    </row>
    <row r="487" spans="1:22" ht="12.45" hidden="1" x14ac:dyDescent="0.2">
      <c r="A487" s="3" t="s">
        <v>2138</v>
      </c>
      <c r="B487" t="s">
        <v>2747</v>
      </c>
      <c r="C487" s="24"/>
      <c r="D487" s="24"/>
      <c r="E487" s="24"/>
      <c r="F487" t="str">
        <f>VLOOKUP(O487,pearl!$B:$E,4,0)</f>
        <v>♃</v>
      </c>
      <c r="G487" t="str">
        <f>VLOOKUP(IF(F487="Дом",H487,F487),pearl!$D$28:$F$32,3,0)</f>
        <v>Юпитер</v>
      </c>
      <c r="H487" t="str">
        <f>VLOOKUP(O487,pearl!$B:$E,3,0)</f>
        <v>Маска♃</v>
      </c>
      <c r="I487" t="s">
        <v>175</v>
      </c>
      <c r="J487" t="s">
        <v>16</v>
      </c>
      <c r="K487" t="s">
        <v>438</v>
      </c>
      <c r="L487" t="s">
        <v>18</v>
      </c>
      <c r="N487" t="s">
        <v>2744</v>
      </c>
      <c r="O487" t="s">
        <v>1778</v>
      </c>
      <c r="P487" s="8">
        <v>3</v>
      </c>
      <c r="Q487" s="8">
        <v>2</v>
      </c>
      <c r="R487" s="8">
        <v>0</v>
      </c>
      <c r="S487" t="s">
        <v>2091</v>
      </c>
      <c r="T487" s="3"/>
      <c r="U487" s="3"/>
      <c r="V487" s="3"/>
    </row>
    <row r="488" spans="1:22" ht="12.45" hidden="1" x14ac:dyDescent="0.2">
      <c r="A488" s="3" t="s">
        <v>2138</v>
      </c>
      <c r="B488" t="s">
        <v>2687</v>
      </c>
      <c r="C488" s="24"/>
      <c r="D488" s="24"/>
      <c r="E488" s="24"/>
      <c r="F488" t="str">
        <f>VLOOKUP(O488,pearl!$B:$E,4,0)</f>
        <v>♃</v>
      </c>
      <c r="G488" t="str">
        <f>VLOOKUP(IF(F488="Дом",H488,F488),pearl!$D$28:$F$32,3,0)</f>
        <v>Юпитер</v>
      </c>
      <c r="H488" t="str">
        <f>VLOOKUP(O488,pearl!$B:$E,3,0)</f>
        <v>Стражи♃</v>
      </c>
      <c r="I488" t="s">
        <v>43</v>
      </c>
      <c r="J488" t="s">
        <v>28</v>
      </c>
      <c r="K488" t="s">
        <v>438</v>
      </c>
      <c r="L488" t="s">
        <v>18</v>
      </c>
      <c r="N488" t="s">
        <v>2686</v>
      </c>
      <c r="O488" t="s">
        <v>771</v>
      </c>
      <c r="P488" s="8">
        <v>4</v>
      </c>
      <c r="Q488" s="8">
        <v>2</v>
      </c>
      <c r="R488" s="8">
        <v>0</v>
      </c>
      <c r="S488" t="s">
        <v>2671</v>
      </c>
      <c r="T488" s="3"/>
      <c r="U488" s="3"/>
      <c r="V488" s="3"/>
    </row>
    <row r="489" spans="1:22" ht="12.45" hidden="1" x14ac:dyDescent="0.2">
      <c r="A489" s="3" t="s">
        <v>2138</v>
      </c>
      <c r="B489" t="s">
        <v>2100</v>
      </c>
      <c r="C489" s="24"/>
      <c r="D489" s="24"/>
      <c r="E489" s="24"/>
      <c r="F489" t="str">
        <f>VLOOKUP(O489,pearl!$B:$E,4,0)</f>
        <v>♃</v>
      </c>
      <c r="G489" t="str">
        <f>VLOOKUP(IF(F489="Дом",H489,F489),pearl!$D$28:$F$32,3,0)</f>
        <v>Юпитер</v>
      </c>
      <c r="H489" t="str">
        <f>VLOOKUP(O489,pearl!$B:$E,3,0)</f>
        <v>Стражи♃</v>
      </c>
      <c r="I489" t="s">
        <v>43</v>
      </c>
      <c r="J489" t="s">
        <v>28</v>
      </c>
      <c r="K489" t="s">
        <v>438</v>
      </c>
      <c r="L489" t="s">
        <v>18</v>
      </c>
      <c r="N489" t="s">
        <v>2689</v>
      </c>
      <c r="O489" t="s">
        <v>771</v>
      </c>
      <c r="P489" s="8">
        <v>5</v>
      </c>
      <c r="Q489" s="8">
        <v>2</v>
      </c>
      <c r="R489" s="8">
        <v>0</v>
      </c>
      <c r="S489" t="s">
        <v>2680</v>
      </c>
      <c r="T489" s="3"/>
      <c r="U489" s="3"/>
      <c r="V489" s="3"/>
    </row>
    <row r="490" spans="1:22" ht="12.45" hidden="1" x14ac:dyDescent="0.2">
      <c r="A490" s="3" t="s">
        <v>2138</v>
      </c>
      <c r="B490" t="s">
        <v>2044</v>
      </c>
      <c r="C490" s="24"/>
      <c r="D490" s="24"/>
      <c r="E490" s="24"/>
      <c r="F490" t="str">
        <f>VLOOKUP(O490,pearl!$B:$E,4,0)</f>
        <v>♃</v>
      </c>
      <c r="G490" t="str">
        <f>VLOOKUP(IF(F490="Дом",H490,F490),pearl!$D$28:$F$32,3,0)</f>
        <v>Юпитер</v>
      </c>
      <c r="H490" t="str">
        <f>VLOOKUP(O490,pearl!$B:$E,3,0)</f>
        <v>Сокровищница♃</v>
      </c>
      <c r="I490" t="s">
        <v>1020</v>
      </c>
      <c r="J490" t="s">
        <v>28</v>
      </c>
      <c r="K490" t="s">
        <v>2336</v>
      </c>
      <c r="L490" t="s">
        <v>2708</v>
      </c>
      <c r="N490" t="s">
        <v>2709</v>
      </c>
      <c r="O490" t="s">
        <v>919</v>
      </c>
      <c r="P490" s="8">
        <v>5</v>
      </c>
      <c r="Q490" s="8">
        <v>5</v>
      </c>
      <c r="R490" s="8">
        <v>0</v>
      </c>
      <c r="S490" t="s">
        <v>2710</v>
      </c>
      <c r="T490" s="3"/>
      <c r="U490" s="3"/>
      <c r="V490" s="3"/>
    </row>
    <row r="491" spans="1:22" ht="12.45" hidden="1" x14ac:dyDescent="0.2">
      <c r="A491" s="3" t="s">
        <v>2138</v>
      </c>
      <c r="B491" t="s">
        <v>2748</v>
      </c>
      <c r="C491" s="24"/>
      <c r="D491" s="24"/>
      <c r="E491" s="24"/>
      <c r="F491" t="str">
        <f>VLOOKUP(O491,pearl!$B:$E,4,0)</f>
        <v>♃</v>
      </c>
      <c r="G491" t="str">
        <f>VLOOKUP(IF(F491="Дом",H491,F491),pearl!$D$28:$F$32,3,0)</f>
        <v>Юпитер</v>
      </c>
      <c r="H491" t="str">
        <f>VLOOKUP(O491,pearl!$B:$E,3,0)</f>
        <v>Маска♃</v>
      </c>
      <c r="I491" t="s">
        <v>147</v>
      </c>
      <c r="J491" t="s">
        <v>148</v>
      </c>
      <c r="K491" t="s">
        <v>23</v>
      </c>
      <c r="L491" t="s">
        <v>148</v>
      </c>
      <c r="N491" t="s">
        <v>2744</v>
      </c>
      <c r="O491" t="s">
        <v>1778</v>
      </c>
      <c r="P491" s="8">
        <v>5</v>
      </c>
      <c r="Q491" s="8">
        <v>2</v>
      </c>
      <c r="R491" s="8">
        <v>0</v>
      </c>
      <c r="S491" t="s">
        <v>2091</v>
      </c>
      <c r="T491" s="3"/>
      <c r="U491" s="3"/>
      <c r="V491" s="3"/>
    </row>
    <row r="492" spans="1:22" ht="12.45" hidden="1" x14ac:dyDescent="0.2">
      <c r="A492" s="3" t="s">
        <v>2138</v>
      </c>
      <c r="B492" t="s">
        <v>2706</v>
      </c>
      <c r="C492" s="24"/>
      <c r="D492" s="24"/>
      <c r="E492" s="24"/>
      <c r="F492" t="str">
        <f>VLOOKUP(O492,pearl!$B:$E,4,0)</f>
        <v>♃</v>
      </c>
      <c r="G492" t="str">
        <f>VLOOKUP(IF(F492="Дом",H492,F492),pearl!$D$28:$F$32,3,0)</f>
        <v>Юпитер</v>
      </c>
      <c r="H492" t="str">
        <f>VLOOKUP(O492,pearl!$B:$E,3,0)</f>
        <v>Сокровищница♃</v>
      </c>
      <c r="I492" t="s">
        <v>264</v>
      </c>
      <c r="J492" t="s">
        <v>22</v>
      </c>
      <c r="K492" t="s">
        <v>438</v>
      </c>
      <c r="L492" t="s">
        <v>18</v>
      </c>
      <c r="N492" t="s">
        <v>2703</v>
      </c>
      <c r="O492" t="s">
        <v>919</v>
      </c>
      <c r="P492" s="8">
        <v>5</v>
      </c>
      <c r="Q492" s="8">
        <v>3</v>
      </c>
      <c r="R492" s="8">
        <v>0</v>
      </c>
      <c r="S492" t="s">
        <v>2707</v>
      </c>
      <c r="T492" s="3"/>
      <c r="U492" s="3"/>
      <c r="V492" s="3"/>
    </row>
    <row r="493" spans="1:22" ht="12.45" hidden="1" x14ac:dyDescent="0.2">
      <c r="A493" s="3" t="s">
        <v>2138</v>
      </c>
      <c r="B493" t="s">
        <v>2055</v>
      </c>
      <c r="C493" s="24"/>
      <c r="D493" s="24"/>
      <c r="E493" s="24"/>
      <c r="F493" t="str">
        <f>VLOOKUP(O493,pearl!$B:$E,4,0)</f>
        <v>♃</v>
      </c>
      <c r="G493" t="str">
        <f>VLOOKUP(IF(F493="Дом",H493,F493),pearl!$D$28:$F$32,3,0)</f>
        <v>Юпитер</v>
      </c>
      <c r="H493" t="str">
        <f>VLOOKUP(O493,pearl!$B:$E,3,0)</f>
        <v>Чародей♃</v>
      </c>
      <c r="I493" t="s">
        <v>34</v>
      </c>
      <c r="J493" t="s">
        <v>28</v>
      </c>
      <c r="K493" t="s">
        <v>50</v>
      </c>
      <c r="L493" t="s">
        <v>18</v>
      </c>
      <c r="N493" t="s">
        <v>2716</v>
      </c>
      <c r="O493" t="s">
        <v>1193</v>
      </c>
      <c r="P493" s="8">
        <v>3</v>
      </c>
      <c r="Q493" s="8">
        <v>1</v>
      </c>
      <c r="R493" s="8">
        <v>0</v>
      </c>
      <c r="S493" t="s">
        <v>23</v>
      </c>
      <c r="T493" s="3"/>
      <c r="U493" s="3"/>
      <c r="V493" s="3"/>
    </row>
    <row r="494" spans="1:22" ht="12.45" hidden="1" x14ac:dyDescent="0.2">
      <c r="A494" s="3" t="s">
        <v>2138</v>
      </c>
      <c r="B494" t="s">
        <v>2754</v>
      </c>
      <c r="C494" s="24"/>
      <c r="D494" s="24"/>
      <c r="E494" s="24"/>
      <c r="F494" t="str">
        <f>VLOOKUP(O494,pearl!$B:$E,4,0)</f>
        <v>♃</v>
      </c>
      <c r="G494" t="str">
        <f>VLOOKUP(IF(F494="Дом",H494,F494),pearl!$D$28:$F$32,3,0)</f>
        <v>Юпитер</v>
      </c>
      <c r="H494" t="str">
        <f>VLOOKUP(O494,pearl!$B:$E,3,0)</f>
        <v>Маска♃</v>
      </c>
      <c r="I494" t="s">
        <v>264</v>
      </c>
      <c r="J494" t="s">
        <v>22</v>
      </c>
      <c r="K494" t="s">
        <v>142</v>
      </c>
      <c r="L494" t="s">
        <v>2106</v>
      </c>
      <c r="N494" t="s">
        <v>2750</v>
      </c>
      <c r="O494" t="s">
        <v>1778</v>
      </c>
      <c r="P494" s="8">
        <v>5</v>
      </c>
      <c r="Q494" s="8">
        <v>3</v>
      </c>
      <c r="R494" s="8">
        <v>0</v>
      </c>
      <c r="S494" t="s">
        <v>2741</v>
      </c>
      <c r="T494" s="3"/>
      <c r="U494" s="3"/>
      <c r="V494" s="3"/>
    </row>
    <row r="495" spans="1:22" ht="12.45" hidden="1" x14ac:dyDescent="0.2">
      <c r="A495" s="3" t="s">
        <v>2138</v>
      </c>
      <c r="B495" t="s">
        <v>2737</v>
      </c>
      <c r="C495" s="24"/>
      <c r="D495" s="24"/>
      <c r="E495" s="24"/>
      <c r="F495" t="str">
        <f>VLOOKUP(O495,pearl!$B:$E,4,0)</f>
        <v>♃</v>
      </c>
      <c r="G495" t="str">
        <f>VLOOKUP(IF(F495="Дом",H495,F495),pearl!$D$28:$F$32,3,0)</f>
        <v>Юпитер</v>
      </c>
      <c r="H495" t="str">
        <f>VLOOKUP(O495,pearl!$B:$E,3,0)</f>
        <v>Чародей♃</v>
      </c>
      <c r="I495" t="s">
        <v>40</v>
      </c>
      <c r="J495" t="s">
        <v>22</v>
      </c>
      <c r="K495" t="s">
        <v>23</v>
      </c>
      <c r="L495" t="s">
        <v>615</v>
      </c>
      <c r="N495" t="s">
        <v>2733</v>
      </c>
      <c r="O495" t="s">
        <v>1193</v>
      </c>
      <c r="P495" s="8">
        <v>4</v>
      </c>
      <c r="Q495" s="8">
        <v>2</v>
      </c>
      <c r="R495" s="8">
        <v>0</v>
      </c>
      <c r="S495" t="s">
        <v>2736</v>
      </c>
      <c r="T495" s="3"/>
      <c r="U495" s="3"/>
      <c r="V495" s="3"/>
    </row>
    <row r="496" spans="1:22" ht="12.45" hidden="1" x14ac:dyDescent="0.2">
      <c r="A496" s="3" t="s">
        <v>2138</v>
      </c>
      <c r="B496" t="s">
        <v>2704</v>
      </c>
      <c r="C496" s="24"/>
      <c r="D496" s="24"/>
      <c r="E496" s="24"/>
      <c r="F496" t="str">
        <f>VLOOKUP(O496,pearl!$B:$E,4,0)</f>
        <v>♃</v>
      </c>
      <c r="G496" t="str">
        <f>VLOOKUP(IF(F496="Дом",H496,F496),pearl!$D$28:$F$32,3,0)</f>
        <v>Юпитер</v>
      </c>
      <c r="H496" t="str">
        <f>VLOOKUP(O496,pearl!$B:$E,3,0)</f>
        <v>Сокровищница♃</v>
      </c>
      <c r="I496" t="s">
        <v>15</v>
      </c>
      <c r="J496" t="s">
        <v>22</v>
      </c>
      <c r="K496" t="s">
        <v>23</v>
      </c>
      <c r="L496" t="s">
        <v>18</v>
      </c>
      <c r="N496" t="s">
        <v>2703</v>
      </c>
      <c r="O496" t="s">
        <v>919</v>
      </c>
      <c r="P496" s="8">
        <v>5</v>
      </c>
      <c r="Q496" s="8">
        <v>3</v>
      </c>
      <c r="R496" s="8">
        <v>0</v>
      </c>
      <c r="S496" t="s">
        <v>2697</v>
      </c>
      <c r="T496" s="3"/>
      <c r="U496" s="3"/>
      <c r="V496" s="3"/>
    </row>
    <row r="497" spans="1:22" ht="12.45" hidden="1" x14ac:dyDescent="0.2">
      <c r="A497" s="3" t="s">
        <v>2138</v>
      </c>
      <c r="B497" t="s">
        <v>2057</v>
      </c>
      <c r="C497" s="24"/>
      <c r="D497" s="24"/>
      <c r="E497" s="24"/>
      <c r="F497" t="str">
        <f>VLOOKUP(O497,pearl!$B:$E,4,0)</f>
        <v>♃</v>
      </c>
      <c r="G497" t="str">
        <f>VLOOKUP(IF(F497="Дом",H497,F497),pearl!$D$28:$F$32,3,0)</f>
        <v>Юпитер</v>
      </c>
      <c r="H497" t="str">
        <f>VLOOKUP(O497,pearl!$B:$E,3,0)</f>
        <v>Чародей♃</v>
      </c>
      <c r="I497" t="s">
        <v>1269</v>
      </c>
      <c r="J497" t="s">
        <v>28</v>
      </c>
      <c r="K497" t="s">
        <v>23</v>
      </c>
      <c r="L497" t="s">
        <v>18</v>
      </c>
      <c r="N497" t="s">
        <v>2733</v>
      </c>
      <c r="O497" t="s">
        <v>1193</v>
      </c>
      <c r="P497" s="8">
        <v>5</v>
      </c>
      <c r="Q497" s="8">
        <v>5</v>
      </c>
      <c r="R497" s="8">
        <v>0</v>
      </c>
      <c r="S497" t="s">
        <v>2734</v>
      </c>
      <c r="T497" s="3"/>
      <c r="U497" s="3"/>
      <c r="V497" s="3"/>
    </row>
    <row r="498" spans="1:22" ht="12.45" hidden="1" x14ac:dyDescent="0.2">
      <c r="A498" s="3" t="s">
        <v>2138</v>
      </c>
      <c r="B498" t="s">
        <v>2660</v>
      </c>
      <c r="C498" s="24"/>
      <c r="D498" s="24"/>
      <c r="E498" s="24"/>
      <c r="F498" t="str">
        <f>VLOOKUP(O498,pearl!$B:$E,4,0)</f>
        <v>♃</v>
      </c>
      <c r="G498" t="str">
        <f>VLOOKUP(IF(F498="Дом",H498,F498),pearl!$D$28:$F$32,3,0)</f>
        <v>Юпитер</v>
      </c>
      <c r="H498" t="str">
        <f>VLOOKUP(O498,pearl!$B:$E,3,0)</f>
        <v>Ключ♃</v>
      </c>
      <c r="I498" t="s">
        <v>34</v>
      </c>
      <c r="J498" t="s">
        <v>28</v>
      </c>
      <c r="K498" t="s">
        <v>23</v>
      </c>
      <c r="L498" t="s">
        <v>182</v>
      </c>
      <c r="N498" t="s">
        <v>2661</v>
      </c>
      <c r="O498" t="s">
        <v>3130</v>
      </c>
      <c r="P498" s="8">
        <v>4</v>
      </c>
      <c r="Q498" s="8">
        <v>1</v>
      </c>
      <c r="R498" s="8">
        <v>0</v>
      </c>
      <c r="S498" t="s">
        <v>2659</v>
      </c>
      <c r="T498" s="3"/>
      <c r="U498" s="3"/>
      <c r="V498" s="3"/>
    </row>
    <row r="499" spans="1:22" ht="12.45" hidden="1" x14ac:dyDescent="0.2">
      <c r="A499" s="3" t="s">
        <v>2138</v>
      </c>
      <c r="B499" t="s">
        <v>2664</v>
      </c>
      <c r="C499" s="24"/>
      <c r="D499" s="24"/>
      <c r="E499" s="24"/>
      <c r="F499" t="str">
        <f>VLOOKUP(O499,pearl!$B:$E,4,0)</f>
        <v>♃</v>
      </c>
      <c r="G499" t="str">
        <f>VLOOKUP(IF(F499="Дом",H499,F499),pearl!$D$28:$F$32,3,0)</f>
        <v>Юпитер</v>
      </c>
      <c r="H499" t="str">
        <f>VLOOKUP(O499,pearl!$B:$E,3,0)</f>
        <v>Ключ♃</v>
      </c>
      <c r="I499" t="s">
        <v>264</v>
      </c>
      <c r="J499" t="s">
        <v>28</v>
      </c>
      <c r="K499" t="s">
        <v>23</v>
      </c>
      <c r="L499" t="s">
        <v>2106</v>
      </c>
      <c r="N499" t="s">
        <v>2665</v>
      </c>
      <c r="O499" t="s">
        <v>3130</v>
      </c>
      <c r="P499" s="8">
        <v>5</v>
      </c>
      <c r="Q499" s="8">
        <v>3</v>
      </c>
      <c r="R499" s="8">
        <v>0</v>
      </c>
      <c r="S499" t="s">
        <v>2031</v>
      </c>
      <c r="T499" s="3"/>
      <c r="U499" s="3"/>
      <c r="V499" s="3"/>
    </row>
    <row r="500" spans="1:22" ht="12.45" hidden="1" x14ac:dyDescent="0.2">
      <c r="A500" s="3" t="s">
        <v>2138</v>
      </c>
      <c r="B500" t="s">
        <v>2639</v>
      </c>
      <c r="F500" t="str">
        <f>VLOOKUP(O500,pearl!$B:$E,4,0)</f>
        <v>Дом</v>
      </c>
      <c r="G500" t="str">
        <f>VLOOKUP(IF(F500="Дом",H500,F500),pearl!$D$28:$F$32,3,0)</f>
        <v>Юпитер</v>
      </c>
      <c r="H500" t="str">
        <f>VLOOKUP(O500,pearl!$B:$E,3,0)</f>
        <v>♃</v>
      </c>
      <c r="I500" t="s">
        <v>147</v>
      </c>
      <c r="J500" t="s">
        <v>148</v>
      </c>
      <c r="K500" t="s">
        <v>23</v>
      </c>
      <c r="L500" t="s">
        <v>148</v>
      </c>
      <c r="N500" t="s">
        <v>2640</v>
      </c>
      <c r="O500" t="s">
        <v>2635</v>
      </c>
      <c r="P500" s="8">
        <v>1</v>
      </c>
      <c r="Q500" s="8">
        <v>1</v>
      </c>
      <c r="R500" s="8">
        <v>0</v>
      </c>
      <c r="S500" t="s">
        <v>23</v>
      </c>
      <c r="T500" s="3"/>
      <c r="U500" s="3"/>
      <c r="V500" s="3"/>
    </row>
    <row r="501" spans="1:22" ht="12.45" hidden="1" x14ac:dyDescent="0.2">
      <c r="A501" s="3" t="s">
        <v>2138</v>
      </c>
      <c r="B501" t="s">
        <v>2650</v>
      </c>
      <c r="F501" t="str">
        <f>VLOOKUP(O501,pearl!$B:$E,4,0)</f>
        <v>Дом</v>
      </c>
      <c r="G501" t="str">
        <f>VLOOKUP(IF(F501="Дом",H501,F501),pearl!$D$28:$F$32,3,0)</f>
        <v>Юпитер</v>
      </c>
      <c r="H501" t="str">
        <f>VLOOKUP(O501,pearl!$B:$E,3,0)</f>
        <v>♃</v>
      </c>
      <c r="I501" t="s">
        <v>147</v>
      </c>
      <c r="J501" t="s">
        <v>148</v>
      </c>
      <c r="K501" t="s">
        <v>23</v>
      </c>
      <c r="L501" t="s">
        <v>148</v>
      </c>
      <c r="N501" t="s">
        <v>2645</v>
      </c>
      <c r="O501" t="s">
        <v>2635</v>
      </c>
      <c r="P501" s="8">
        <v>5</v>
      </c>
      <c r="Q501" s="8">
        <v>4</v>
      </c>
      <c r="R501" s="8">
        <v>0</v>
      </c>
      <c r="S501" t="s">
        <v>2651</v>
      </c>
      <c r="T501" s="3"/>
      <c r="U501" s="3"/>
      <c r="V501" s="3"/>
    </row>
    <row r="502" spans="1:22" ht="12.45" hidden="1" x14ac:dyDescent="0.2">
      <c r="A502" s="3" t="s">
        <v>2138</v>
      </c>
      <c r="B502" t="s">
        <v>2637</v>
      </c>
      <c r="F502" t="str">
        <f>VLOOKUP(O502,pearl!$B:$E,4,0)</f>
        <v>Дом</v>
      </c>
      <c r="G502" t="str">
        <f>VLOOKUP(IF(F502="Дом",H502,F502),pearl!$D$28:$F$32,3,0)</f>
        <v>Юпитер</v>
      </c>
      <c r="H502" t="str">
        <f>VLOOKUP(O502,pearl!$B:$E,3,0)</f>
        <v>♃</v>
      </c>
      <c r="I502" t="s">
        <v>2082</v>
      </c>
      <c r="J502" t="s">
        <v>28</v>
      </c>
      <c r="K502" t="s">
        <v>2140</v>
      </c>
      <c r="L502" t="s">
        <v>2115</v>
      </c>
      <c r="N502" t="s">
        <v>2638</v>
      </c>
      <c r="O502" t="s">
        <v>2635</v>
      </c>
      <c r="P502" s="8">
        <v>3</v>
      </c>
      <c r="Q502" s="8">
        <v>1</v>
      </c>
      <c r="R502" s="8">
        <v>0</v>
      </c>
      <c r="S502" t="s">
        <v>2636</v>
      </c>
      <c r="T502" s="3"/>
      <c r="U502" s="3"/>
      <c r="V502" s="3"/>
    </row>
    <row r="503" spans="1:22" ht="12.45" hidden="1" x14ac:dyDescent="0.2">
      <c r="A503" s="3" t="s">
        <v>2138</v>
      </c>
      <c r="B503" t="s">
        <v>2642</v>
      </c>
      <c r="F503" t="str">
        <f>VLOOKUP(O503,pearl!$B:$E,4,0)</f>
        <v>Дом</v>
      </c>
      <c r="G503" t="str">
        <f>VLOOKUP(IF(F503="Дом",H503,F503),pearl!$D$28:$F$32,3,0)</f>
        <v>Юпитер</v>
      </c>
      <c r="H503" t="str">
        <f>VLOOKUP(O503,pearl!$B:$E,3,0)</f>
        <v>♃</v>
      </c>
      <c r="I503" t="s">
        <v>154</v>
      </c>
      <c r="J503" t="s">
        <v>22</v>
      </c>
      <c r="K503" t="s">
        <v>23</v>
      </c>
      <c r="L503" t="s">
        <v>18</v>
      </c>
      <c r="N503" t="s">
        <v>2640</v>
      </c>
      <c r="O503" t="s">
        <v>2635</v>
      </c>
      <c r="P503" s="8">
        <v>3</v>
      </c>
      <c r="Q503" s="8">
        <v>1</v>
      </c>
      <c r="R503" s="8">
        <v>0</v>
      </c>
      <c r="S503" t="s">
        <v>2636</v>
      </c>
      <c r="T503" s="3"/>
      <c r="U503" s="3"/>
      <c r="V503" s="3"/>
    </row>
    <row r="504" spans="1:22" ht="12.45" hidden="1" x14ac:dyDescent="0.2">
      <c r="A504" s="3" t="s">
        <v>2138</v>
      </c>
      <c r="B504" t="s">
        <v>2646</v>
      </c>
      <c r="F504" t="str">
        <f>VLOOKUP(O504,pearl!$B:$E,4,0)</f>
        <v>Дом</v>
      </c>
      <c r="G504" t="str">
        <f>VLOOKUP(IF(F504="Дом",H504,F504),pearl!$D$28:$F$32,3,0)</f>
        <v>Юпитер</v>
      </c>
      <c r="H504" t="str">
        <f>VLOOKUP(O504,pearl!$B:$E,3,0)</f>
        <v>♃</v>
      </c>
      <c r="I504" t="s">
        <v>147</v>
      </c>
      <c r="J504" t="s">
        <v>148</v>
      </c>
      <c r="K504" t="s">
        <v>23</v>
      </c>
      <c r="L504" t="s">
        <v>148</v>
      </c>
      <c r="N504" t="s">
        <v>2645</v>
      </c>
      <c r="O504" t="s">
        <v>2635</v>
      </c>
      <c r="P504" s="8">
        <v>3</v>
      </c>
      <c r="Q504" s="8">
        <v>2</v>
      </c>
      <c r="R504" s="8">
        <v>0</v>
      </c>
      <c r="S504" t="s">
        <v>2647</v>
      </c>
      <c r="T504" s="3"/>
      <c r="U504" s="3"/>
      <c r="V504" s="3"/>
    </row>
    <row r="505" spans="1:22" ht="12.45" hidden="1" x14ac:dyDescent="0.2">
      <c r="A505" s="3" t="s">
        <v>2138</v>
      </c>
      <c r="B505" t="s">
        <v>2644</v>
      </c>
      <c r="F505" t="str">
        <f>VLOOKUP(O505,pearl!$B:$E,4,0)</f>
        <v>Дом</v>
      </c>
      <c r="G505" t="str">
        <f>VLOOKUP(IF(F505="Дом",H505,F505),pearl!$D$28:$F$32,3,0)</f>
        <v>Юпитер</v>
      </c>
      <c r="H505" t="str">
        <f>VLOOKUP(O505,pearl!$B:$E,3,0)</f>
        <v>♃</v>
      </c>
      <c r="I505" t="s">
        <v>147</v>
      </c>
      <c r="J505" t="s">
        <v>148</v>
      </c>
      <c r="K505" t="s">
        <v>23</v>
      </c>
      <c r="L505" t="s">
        <v>148</v>
      </c>
      <c r="N505" t="s">
        <v>2645</v>
      </c>
      <c r="O505" t="s">
        <v>2635</v>
      </c>
      <c r="P505" s="8">
        <v>3</v>
      </c>
      <c r="Q505" s="8">
        <v>1</v>
      </c>
      <c r="R505" s="8">
        <v>0</v>
      </c>
      <c r="S505" t="s">
        <v>23</v>
      </c>
      <c r="T505" s="3"/>
      <c r="U505" s="3"/>
      <c r="V505" s="3"/>
    </row>
    <row r="506" spans="1:22" ht="12.45" hidden="1" x14ac:dyDescent="0.2">
      <c r="A506" s="3" t="s">
        <v>2138</v>
      </c>
      <c r="B506" t="s">
        <v>2648</v>
      </c>
      <c r="F506" t="str">
        <f>VLOOKUP(O506,pearl!$B:$E,4,0)</f>
        <v>Дом</v>
      </c>
      <c r="G506" t="str">
        <f>VLOOKUP(IF(F506="Дом",H506,F506),pearl!$D$28:$F$32,3,0)</f>
        <v>Юпитер</v>
      </c>
      <c r="H506" t="str">
        <f>VLOOKUP(O506,pearl!$B:$E,3,0)</f>
        <v>♃</v>
      </c>
      <c r="I506" t="s">
        <v>175</v>
      </c>
      <c r="J506" t="s">
        <v>28</v>
      </c>
      <c r="K506" t="s">
        <v>889</v>
      </c>
      <c r="L506" t="s">
        <v>18</v>
      </c>
      <c r="N506" t="s">
        <v>2645</v>
      </c>
      <c r="O506" t="s">
        <v>2635</v>
      </c>
      <c r="P506" s="8">
        <v>4</v>
      </c>
      <c r="Q506" s="8">
        <v>2</v>
      </c>
      <c r="R506" s="8">
        <v>0</v>
      </c>
      <c r="S506" t="s">
        <v>2649</v>
      </c>
      <c r="T506" s="3"/>
      <c r="U506" s="3"/>
      <c r="V506" s="3"/>
    </row>
  </sheetData>
  <autoFilter ref="A1:T506" xr:uid="{00000000-0009-0000-0000-000011000000}">
    <filterColumn colId="1">
      <filters>
        <filter val="Favorable Inflection Procedure"/>
        <filter val="Heart-Brightening Presentation Style"/>
        <filter val="Honest Face Spirit"/>
        <filter val="Mark of Exaltation"/>
        <filter val="Perfection in Life"/>
        <filter val="Tell-Tale Symphony"/>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1108-3306-458E-B18A-6800115761B2}">
  <dimension ref="A1:AB35"/>
  <sheetViews>
    <sheetView workbookViewId="0">
      <selection activeCell="E31" sqref="E31"/>
    </sheetView>
  </sheetViews>
  <sheetFormatPr defaultRowHeight="12.45" x14ac:dyDescent="0.2"/>
  <cols>
    <col min="1" max="1" width="5.875" bestFit="1" customWidth="1"/>
    <col min="2" max="2" width="17.5" bestFit="1" customWidth="1"/>
    <col min="3" max="3" width="20.875" bestFit="1" customWidth="1"/>
    <col min="4" max="4" width="18.5" bestFit="1" customWidth="1"/>
    <col min="5" max="5" width="4.75" bestFit="1" customWidth="1"/>
    <col min="6" max="6" width="8.375" bestFit="1" customWidth="1"/>
    <col min="7" max="7" width="3.875" bestFit="1" customWidth="1"/>
    <col min="8" max="8" width="6.5" bestFit="1" customWidth="1"/>
    <col min="10" max="10" width="27.5" bestFit="1" customWidth="1"/>
    <col min="11" max="11" width="21.25" bestFit="1" customWidth="1"/>
    <col min="12" max="12" width="6.375" bestFit="1" customWidth="1"/>
    <col min="13" max="13" width="6.5" bestFit="1" customWidth="1"/>
    <col min="14" max="14" width="11.5" bestFit="1" customWidth="1"/>
    <col min="15" max="15" width="11.5" customWidth="1"/>
    <col min="16" max="16" width="27.5" bestFit="1" customWidth="1"/>
    <col min="17" max="17" width="21.25" bestFit="1" customWidth="1"/>
    <col min="18" max="18" width="7" bestFit="1" customWidth="1"/>
    <col min="19" max="19" width="6.5" bestFit="1" customWidth="1"/>
    <col min="20" max="20" width="11.5" bestFit="1" customWidth="1"/>
    <col min="21" max="21" width="7.125" bestFit="1" customWidth="1"/>
    <col min="22" max="22" width="11.5" bestFit="1" customWidth="1"/>
    <col min="23" max="23" width="6.75" bestFit="1" customWidth="1"/>
    <col min="24" max="24" width="27.5" bestFit="1" customWidth="1"/>
    <col min="25" max="25" width="21.25" bestFit="1" customWidth="1"/>
    <col min="26" max="26" width="6.375" bestFit="1" customWidth="1"/>
    <col min="27" max="27" width="6.5" bestFit="1" customWidth="1"/>
    <col min="28" max="28" width="11.5" bestFit="1" customWidth="1"/>
    <col min="29" max="29" width="1.875" bestFit="1" customWidth="1"/>
    <col min="30" max="30" width="13.75" bestFit="1" customWidth="1"/>
    <col min="31" max="31" width="8.125" bestFit="1" customWidth="1"/>
    <col min="32" max="32" width="1.875" bestFit="1" customWidth="1"/>
    <col min="33" max="33" width="2.875" bestFit="1" customWidth="1"/>
    <col min="34" max="34" width="1.875" bestFit="1" customWidth="1"/>
    <col min="35" max="35" width="2.875" bestFit="1" customWidth="1"/>
    <col min="36" max="36" width="10.875" bestFit="1" customWidth="1"/>
    <col min="37" max="37" width="8.25" bestFit="1" customWidth="1"/>
    <col min="38" max="39" width="1.875" bestFit="1" customWidth="1"/>
    <col min="40" max="40" width="11" bestFit="1" customWidth="1"/>
    <col min="41" max="41" width="11.5" bestFit="1" customWidth="1"/>
  </cols>
  <sheetData>
    <row r="1" spans="1:28" x14ac:dyDescent="0.2">
      <c r="A1" t="s">
        <v>3056</v>
      </c>
      <c r="B1" t="s">
        <v>3057</v>
      </c>
      <c r="C1" t="s">
        <v>3058</v>
      </c>
      <c r="D1" t="s">
        <v>3078</v>
      </c>
      <c r="E1" t="s">
        <v>3109</v>
      </c>
      <c r="F1" t="s">
        <v>3075</v>
      </c>
      <c r="G1" t="s">
        <v>3076</v>
      </c>
      <c r="H1" t="s">
        <v>3077</v>
      </c>
      <c r="J1" s="16" t="s">
        <v>0</v>
      </c>
      <c r="K1" t="s">
        <v>2138</v>
      </c>
      <c r="P1" s="16" t="s">
        <v>0</v>
      </c>
      <c r="Q1" t="s">
        <v>2138</v>
      </c>
      <c r="X1" s="16" t="s">
        <v>0</v>
      </c>
      <c r="Y1" t="s">
        <v>2138</v>
      </c>
    </row>
    <row r="2" spans="1:28" x14ac:dyDescent="0.2">
      <c r="A2" s="24" t="s">
        <v>3111</v>
      </c>
      <c r="B2" s="38" t="s">
        <v>2913</v>
      </c>
      <c r="C2" s="38" t="s">
        <v>3119</v>
      </c>
      <c r="D2" s="33" t="s">
        <v>147</v>
      </c>
      <c r="E2" t="s">
        <v>3110</v>
      </c>
      <c r="F2" t="s">
        <v>3059</v>
      </c>
      <c r="X2" s="16" t="s">
        <v>8</v>
      </c>
      <c r="Y2" s="6">
        <v>5</v>
      </c>
    </row>
    <row r="3" spans="1:28" x14ac:dyDescent="0.2">
      <c r="A3" t="s">
        <v>3060</v>
      </c>
      <c r="B3" s="24" t="s">
        <v>3133</v>
      </c>
      <c r="C3" t="s">
        <v>3061</v>
      </c>
      <c r="D3" t="s">
        <v>3079</v>
      </c>
      <c r="E3" t="s">
        <v>3104</v>
      </c>
      <c r="F3">
        <v>1</v>
      </c>
      <c r="J3" s="16" t="s">
        <v>3134</v>
      </c>
      <c r="K3" s="16" t="s">
        <v>3129</v>
      </c>
      <c r="P3" s="16" t="s">
        <v>3134</v>
      </c>
      <c r="Q3" s="16" t="s">
        <v>3129</v>
      </c>
    </row>
    <row r="4" spans="1:28" x14ac:dyDescent="0.2">
      <c r="A4" t="s">
        <v>3060</v>
      </c>
      <c r="B4" t="s">
        <v>1495</v>
      </c>
      <c r="C4" t="s">
        <v>3062</v>
      </c>
      <c r="D4" t="s">
        <v>3080</v>
      </c>
      <c r="E4" t="s">
        <v>3104</v>
      </c>
      <c r="F4" t="s">
        <v>3059</v>
      </c>
      <c r="J4" s="16" t="s">
        <v>2918</v>
      </c>
      <c r="K4" t="s">
        <v>3136</v>
      </c>
      <c r="L4" t="s">
        <v>3135</v>
      </c>
      <c r="M4" t="s">
        <v>3114</v>
      </c>
      <c r="N4" t="s">
        <v>2902</v>
      </c>
      <c r="P4" s="16" t="s">
        <v>2918</v>
      </c>
      <c r="Q4" t="s">
        <v>3136</v>
      </c>
      <c r="R4" t="s">
        <v>3135</v>
      </c>
      <c r="S4" t="s">
        <v>3114</v>
      </c>
      <c r="T4" t="s">
        <v>2902</v>
      </c>
      <c r="X4" s="16" t="s">
        <v>3134</v>
      </c>
      <c r="Y4" s="16" t="s">
        <v>3129</v>
      </c>
    </row>
    <row r="5" spans="1:28" x14ac:dyDescent="0.2">
      <c r="A5" t="s">
        <v>3060</v>
      </c>
      <c r="B5" t="s">
        <v>1571</v>
      </c>
      <c r="C5" t="s">
        <v>3063</v>
      </c>
      <c r="D5" t="s">
        <v>3081</v>
      </c>
      <c r="E5" t="s">
        <v>3104</v>
      </c>
      <c r="F5" t="s">
        <v>3059</v>
      </c>
      <c r="J5" s="6" t="s">
        <v>3104</v>
      </c>
      <c r="K5">
        <v>5</v>
      </c>
      <c r="L5">
        <v>2</v>
      </c>
      <c r="N5">
        <v>7</v>
      </c>
      <c r="P5" s="6" t="s">
        <v>3151</v>
      </c>
      <c r="Q5" s="43">
        <v>0.2</v>
      </c>
      <c r="R5" s="43">
        <v>8.3333333333333329E-2</v>
      </c>
      <c r="S5" s="43">
        <v>0</v>
      </c>
      <c r="T5" s="43">
        <v>0.28333333333333333</v>
      </c>
      <c r="X5" s="16" t="s">
        <v>2918</v>
      </c>
      <c r="Y5" t="s">
        <v>3136</v>
      </c>
      <c r="Z5" t="s">
        <v>3135</v>
      </c>
      <c r="AA5" t="s">
        <v>3114</v>
      </c>
      <c r="AB5" t="s">
        <v>2902</v>
      </c>
    </row>
    <row r="6" spans="1:28" x14ac:dyDescent="0.2">
      <c r="A6" t="s">
        <v>3060</v>
      </c>
      <c r="B6" t="s">
        <v>1834</v>
      </c>
      <c r="C6" t="s">
        <v>3064</v>
      </c>
      <c r="D6" t="s">
        <v>3082</v>
      </c>
      <c r="E6" t="s">
        <v>3104</v>
      </c>
      <c r="F6" t="s">
        <v>3059</v>
      </c>
      <c r="J6" s="10" t="s">
        <v>3133</v>
      </c>
      <c r="K6">
        <v>1</v>
      </c>
      <c r="N6">
        <v>1</v>
      </c>
      <c r="P6" s="6" t="s">
        <v>3148</v>
      </c>
      <c r="Q6" s="43">
        <v>0.1</v>
      </c>
      <c r="R6" s="43">
        <v>0.18333333333333332</v>
      </c>
      <c r="S6" s="43">
        <v>0</v>
      </c>
      <c r="T6" s="43">
        <v>0.28333333333333333</v>
      </c>
      <c r="X6" s="6" t="s">
        <v>3104</v>
      </c>
      <c r="Z6">
        <v>1</v>
      </c>
      <c r="AB6">
        <v>1</v>
      </c>
    </row>
    <row r="7" spans="1:28" x14ac:dyDescent="0.2">
      <c r="A7" s="24" t="s">
        <v>3113</v>
      </c>
      <c r="B7" s="37" t="s">
        <v>1897</v>
      </c>
      <c r="C7" s="37" t="s">
        <v>3115</v>
      </c>
      <c r="D7" s="37" t="s">
        <v>3083</v>
      </c>
      <c r="E7" t="s">
        <v>3104</v>
      </c>
      <c r="F7">
        <v>2</v>
      </c>
      <c r="G7">
        <v>4</v>
      </c>
      <c r="J7" s="10" t="s">
        <v>1897</v>
      </c>
      <c r="K7">
        <v>4</v>
      </c>
      <c r="L7">
        <v>2</v>
      </c>
      <c r="N7">
        <v>6</v>
      </c>
      <c r="P7" s="6" t="s">
        <v>3185</v>
      </c>
      <c r="Q7" s="43">
        <v>0.05</v>
      </c>
      <c r="R7" s="43">
        <v>3.3333333333333333E-2</v>
      </c>
      <c r="S7" s="43">
        <v>1.6666666666666666E-2</v>
      </c>
      <c r="T7" s="43">
        <v>0.1</v>
      </c>
      <c r="X7" s="10" t="s">
        <v>1897</v>
      </c>
      <c r="Z7">
        <v>1</v>
      </c>
      <c r="AB7">
        <v>1</v>
      </c>
    </row>
    <row r="8" spans="1:28" x14ac:dyDescent="0.2">
      <c r="A8" s="24" t="s">
        <v>3111</v>
      </c>
      <c r="B8" s="38" t="s">
        <v>464</v>
      </c>
      <c r="C8" s="38" t="s">
        <v>3122</v>
      </c>
      <c r="D8" s="33" t="s">
        <v>3084</v>
      </c>
      <c r="E8" t="s">
        <v>3105</v>
      </c>
      <c r="F8">
        <v>8</v>
      </c>
      <c r="G8">
        <v>2</v>
      </c>
      <c r="H8">
        <v>1</v>
      </c>
      <c r="J8" s="6" t="s">
        <v>3105</v>
      </c>
      <c r="K8">
        <v>29</v>
      </c>
      <c r="L8">
        <v>11</v>
      </c>
      <c r="M8">
        <v>2</v>
      </c>
      <c r="N8">
        <v>42</v>
      </c>
      <c r="P8" s="6" t="s">
        <v>3146</v>
      </c>
      <c r="Q8" s="43">
        <v>0.05</v>
      </c>
      <c r="R8" s="43">
        <v>0.05</v>
      </c>
      <c r="S8" s="43">
        <v>0</v>
      </c>
      <c r="T8" s="43">
        <v>0.1</v>
      </c>
      <c r="X8" s="6" t="s">
        <v>3105</v>
      </c>
      <c r="Y8">
        <v>2</v>
      </c>
      <c r="Z8">
        <v>5</v>
      </c>
      <c r="AA8">
        <v>1</v>
      </c>
      <c r="AB8">
        <v>8</v>
      </c>
    </row>
    <row r="9" spans="1:28" x14ac:dyDescent="0.2">
      <c r="A9" s="24" t="s">
        <v>3111</v>
      </c>
      <c r="B9" s="38" t="s">
        <v>598</v>
      </c>
      <c r="C9" s="38" t="s">
        <v>3121</v>
      </c>
      <c r="D9" s="33" t="s">
        <v>3085</v>
      </c>
      <c r="E9" t="s">
        <v>3105</v>
      </c>
      <c r="F9">
        <v>6</v>
      </c>
      <c r="G9">
        <v>3</v>
      </c>
      <c r="J9" s="10" t="s">
        <v>464</v>
      </c>
      <c r="K9">
        <v>8</v>
      </c>
      <c r="L9">
        <v>2</v>
      </c>
      <c r="M9">
        <v>1</v>
      </c>
      <c r="N9">
        <v>11</v>
      </c>
      <c r="P9" s="6" t="s">
        <v>3176</v>
      </c>
      <c r="Q9" s="43">
        <v>0</v>
      </c>
      <c r="R9" s="43">
        <v>0.13333333333333333</v>
      </c>
      <c r="S9" s="43">
        <v>0.05</v>
      </c>
      <c r="T9" s="43">
        <v>0.18333333333333332</v>
      </c>
      <c r="X9" s="10" t="s">
        <v>464</v>
      </c>
      <c r="Y9">
        <v>1</v>
      </c>
      <c r="Z9">
        <v>1</v>
      </c>
      <c r="AB9">
        <v>2</v>
      </c>
    </row>
    <row r="10" spans="1:28" x14ac:dyDescent="0.2">
      <c r="A10" s="24" t="s">
        <v>3111</v>
      </c>
      <c r="B10" s="38" t="s">
        <v>839</v>
      </c>
      <c r="C10" s="38" t="s">
        <v>3124</v>
      </c>
      <c r="D10" s="33" t="s">
        <v>3086</v>
      </c>
      <c r="E10" t="s">
        <v>3105</v>
      </c>
      <c r="F10">
        <v>4</v>
      </c>
      <c r="G10">
        <v>2</v>
      </c>
      <c r="J10" s="10" t="s">
        <v>598</v>
      </c>
      <c r="K10">
        <v>6</v>
      </c>
      <c r="L10">
        <v>3</v>
      </c>
      <c r="N10">
        <v>9</v>
      </c>
      <c r="P10" s="6" t="s">
        <v>3178</v>
      </c>
      <c r="Q10" s="43">
        <v>3.3333333333333333E-2</v>
      </c>
      <c r="R10" s="43">
        <v>1.6666666666666666E-2</v>
      </c>
      <c r="S10" s="43">
        <v>0</v>
      </c>
      <c r="T10" s="43">
        <v>0.05</v>
      </c>
      <c r="X10" s="10" t="s">
        <v>598</v>
      </c>
      <c r="Y10">
        <v>1</v>
      </c>
      <c r="Z10">
        <v>2</v>
      </c>
      <c r="AB10">
        <v>3</v>
      </c>
    </row>
    <row r="11" spans="1:28" x14ac:dyDescent="0.2">
      <c r="A11" s="24" t="s">
        <v>3111</v>
      </c>
      <c r="B11" s="38" t="s">
        <v>3126</v>
      </c>
      <c r="C11" s="38" t="s">
        <v>3123</v>
      </c>
      <c r="D11" s="33" t="s">
        <v>3087</v>
      </c>
      <c r="E11" t="s">
        <v>3105</v>
      </c>
      <c r="F11">
        <v>4</v>
      </c>
      <c r="G11">
        <v>2</v>
      </c>
      <c r="J11" s="10" t="s">
        <v>839</v>
      </c>
      <c r="K11">
        <v>4</v>
      </c>
      <c r="L11">
        <v>2</v>
      </c>
      <c r="N11">
        <v>6</v>
      </c>
      <c r="P11" s="6" t="s">
        <v>2902</v>
      </c>
      <c r="Q11" s="43">
        <v>0.43333333333333335</v>
      </c>
      <c r="R11" s="43">
        <v>0.5</v>
      </c>
      <c r="S11" s="43">
        <v>6.6666666666666666E-2</v>
      </c>
      <c r="T11" s="43">
        <v>1</v>
      </c>
      <c r="X11" s="10" t="s">
        <v>839</v>
      </c>
      <c r="Z11">
        <v>1</v>
      </c>
      <c r="AB11">
        <v>1</v>
      </c>
    </row>
    <row r="12" spans="1:28" x14ac:dyDescent="0.2">
      <c r="A12" s="24" t="s">
        <v>3111</v>
      </c>
      <c r="B12" s="38" t="s">
        <v>1662</v>
      </c>
      <c r="C12" s="38" t="s">
        <v>3125</v>
      </c>
      <c r="D12" s="33" t="s">
        <v>3088</v>
      </c>
      <c r="E12" t="s">
        <v>3105</v>
      </c>
      <c r="F12">
        <v>7</v>
      </c>
      <c r="G12">
        <v>2</v>
      </c>
      <c r="H12">
        <v>1</v>
      </c>
      <c r="J12" s="10" t="s">
        <v>3126</v>
      </c>
      <c r="K12">
        <v>4</v>
      </c>
      <c r="L12">
        <v>2</v>
      </c>
      <c r="N12">
        <v>6</v>
      </c>
      <c r="X12" s="10" t="s">
        <v>1662</v>
      </c>
      <c r="Z12">
        <v>1</v>
      </c>
      <c r="AA12">
        <v>1</v>
      </c>
      <c r="AB12">
        <v>2</v>
      </c>
    </row>
    <row r="13" spans="1:28" x14ac:dyDescent="0.2">
      <c r="A13" t="s">
        <v>3060</v>
      </c>
      <c r="B13" t="s">
        <v>20</v>
      </c>
      <c r="C13" t="s">
        <v>3065</v>
      </c>
      <c r="D13" t="s">
        <v>3089</v>
      </c>
      <c r="E13" t="s">
        <v>3106</v>
      </c>
      <c r="F13" t="s">
        <v>3059</v>
      </c>
      <c r="J13" s="10" t="s">
        <v>1662</v>
      </c>
      <c r="K13">
        <v>7</v>
      </c>
      <c r="L13">
        <v>2</v>
      </c>
      <c r="M13">
        <v>1</v>
      </c>
      <c r="N13">
        <v>10</v>
      </c>
      <c r="X13" s="6" t="s">
        <v>3106</v>
      </c>
      <c r="Z13">
        <v>4</v>
      </c>
      <c r="AA13">
        <v>1</v>
      </c>
      <c r="AB13">
        <v>5</v>
      </c>
    </row>
    <row r="14" spans="1:28" x14ac:dyDescent="0.2">
      <c r="A14" t="s">
        <v>3060</v>
      </c>
      <c r="B14" t="s">
        <v>269</v>
      </c>
      <c r="C14" t="s">
        <v>3066</v>
      </c>
      <c r="D14" t="s">
        <v>3090</v>
      </c>
      <c r="E14" t="s">
        <v>3106</v>
      </c>
      <c r="F14" t="s">
        <v>3059</v>
      </c>
      <c r="J14" s="6" t="s">
        <v>3106</v>
      </c>
      <c r="K14">
        <v>4</v>
      </c>
      <c r="L14">
        <v>10</v>
      </c>
      <c r="M14">
        <v>1</v>
      </c>
      <c r="N14">
        <v>15</v>
      </c>
      <c r="X14" s="10" t="s">
        <v>1082</v>
      </c>
      <c r="AA14">
        <v>1</v>
      </c>
      <c r="AB14">
        <v>1</v>
      </c>
    </row>
    <row r="15" spans="1:28" x14ac:dyDescent="0.2">
      <c r="A15" t="s">
        <v>3060</v>
      </c>
      <c r="B15" t="s">
        <v>1082</v>
      </c>
      <c r="C15" t="s">
        <v>3067</v>
      </c>
      <c r="D15" t="s">
        <v>3091</v>
      </c>
      <c r="E15" t="s">
        <v>3106</v>
      </c>
      <c r="F15">
        <v>0</v>
      </c>
      <c r="G15">
        <v>2</v>
      </c>
      <c r="H15">
        <v>1</v>
      </c>
      <c r="J15" s="10" t="s">
        <v>1082</v>
      </c>
      <c r="L15">
        <v>2</v>
      </c>
      <c r="M15">
        <v>1</v>
      </c>
      <c r="N15">
        <v>3</v>
      </c>
      <c r="X15" s="10" t="s">
        <v>1366</v>
      </c>
      <c r="Z15">
        <v>4</v>
      </c>
      <c r="AB15">
        <v>4</v>
      </c>
    </row>
    <row r="16" spans="1:28" x14ac:dyDescent="0.2">
      <c r="A16" s="24" t="s">
        <v>3112</v>
      </c>
      <c r="B16" s="39" t="s">
        <v>1366</v>
      </c>
      <c r="C16" s="39" t="s">
        <v>3120</v>
      </c>
      <c r="D16" s="35" t="s">
        <v>3092</v>
      </c>
      <c r="E16" t="s">
        <v>3106</v>
      </c>
      <c r="F16">
        <v>4</v>
      </c>
      <c r="G16">
        <v>8</v>
      </c>
      <c r="J16" s="10" t="s">
        <v>1366</v>
      </c>
      <c r="K16">
        <v>4</v>
      </c>
      <c r="L16">
        <v>8</v>
      </c>
      <c r="N16">
        <v>12</v>
      </c>
      <c r="P16" s="16" t="s">
        <v>0</v>
      </c>
      <c r="Q16" t="s">
        <v>2138</v>
      </c>
      <c r="X16" s="6" t="s">
        <v>3107</v>
      </c>
      <c r="Y16">
        <v>1</v>
      </c>
      <c r="Z16">
        <v>3</v>
      </c>
      <c r="AB16">
        <v>4</v>
      </c>
    </row>
    <row r="17" spans="1:28" x14ac:dyDescent="0.2">
      <c r="A17" t="s">
        <v>3060</v>
      </c>
      <c r="B17" t="s">
        <v>1959</v>
      </c>
      <c r="C17" t="s">
        <v>3068</v>
      </c>
      <c r="D17" t="s">
        <v>3093</v>
      </c>
      <c r="E17" t="s">
        <v>3106</v>
      </c>
      <c r="F17" t="s">
        <v>3059</v>
      </c>
      <c r="J17" s="6" t="s">
        <v>3107</v>
      </c>
      <c r="K17">
        <v>11</v>
      </c>
      <c r="L17">
        <v>7</v>
      </c>
      <c r="M17">
        <v>6</v>
      </c>
      <c r="N17">
        <v>24</v>
      </c>
      <c r="Q17" s="44">
        <f>SUM(Q20:Q22)/GETPIVOTDATA("Выбор",$P$18,"Дева",Q19)</f>
        <v>0.72727272727272729</v>
      </c>
      <c r="R17" s="44">
        <f t="shared" ref="R17:U17" si="0">SUM(R20:R22)/GETPIVOTDATA("Выбор",$P$18,"Дева",R19)</f>
        <v>4.0816326530612242E-2</v>
      </c>
      <c r="S17" s="44">
        <f t="shared" si="0"/>
        <v>0.52941176470588236</v>
      </c>
      <c r="T17" s="44">
        <f t="shared" si="0"/>
        <v>3.7037037037037035E-2</v>
      </c>
      <c r="U17" s="44">
        <f t="shared" si="0"/>
        <v>0.68965517241379315</v>
      </c>
      <c r="X17" s="10" t="s">
        <v>1193</v>
      </c>
      <c r="Z17">
        <v>1</v>
      </c>
      <c r="AB17">
        <v>1</v>
      </c>
    </row>
    <row r="18" spans="1:28" x14ac:dyDescent="0.2">
      <c r="A18" t="s">
        <v>3060</v>
      </c>
      <c r="B18" t="s">
        <v>3130</v>
      </c>
      <c r="C18" t="s">
        <v>3069</v>
      </c>
      <c r="D18" t="s">
        <v>3094</v>
      </c>
      <c r="E18" t="s">
        <v>3107</v>
      </c>
      <c r="F18">
        <v>0</v>
      </c>
      <c r="G18">
        <v>1</v>
      </c>
      <c r="H18">
        <v>1</v>
      </c>
      <c r="J18" s="10" t="s">
        <v>3130</v>
      </c>
      <c r="L18">
        <v>1</v>
      </c>
      <c r="M18">
        <v>1</v>
      </c>
      <c r="N18">
        <v>2</v>
      </c>
      <c r="P18" s="16" t="s">
        <v>3134</v>
      </c>
      <c r="Q18" s="16" t="s">
        <v>3129</v>
      </c>
      <c r="X18" s="10" t="s">
        <v>1778</v>
      </c>
      <c r="Y18">
        <v>1</v>
      </c>
      <c r="Z18">
        <v>2</v>
      </c>
      <c r="AB18">
        <v>3</v>
      </c>
    </row>
    <row r="19" spans="1:28" x14ac:dyDescent="0.2">
      <c r="A19" t="s">
        <v>3060</v>
      </c>
      <c r="B19" t="s">
        <v>771</v>
      </c>
      <c r="C19" t="s">
        <v>3070</v>
      </c>
      <c r="D19" t="s">
        <v>3095</v>
      </c>
      <c r="E19" t="s">
        <v>3107</v>
      </c>
      <c r="F19">
        <v>0</v>
      </c>
      <c r="G19">
        <v>0</v>
      </c>
      <c r="H19">
        <v>3</v>
      </c>
      <c r="J19" s="10" t="s">
        <v>771</v>
      </c>
      <c r="M19">
        <v>3</v>
      </c>
      <c r="N19">
        <v>3</v>
      </c>
      <c r="P19" s="16" t="s">
        <v>2918</v>
      </c>
      <c r="Q19" t="s">
        <v>3170</v>
      </c>
      <c r="R19" t="s">
        <v>3172</v>
      </c>
      <c r="S19" t="s">
        <v>3168</v>
      </c>
      <c r="T19" t="s">
        <v>3171</v>
      </c>
      <c r="U19" t="s">
        <v>3169</v>
      </c>
      <c r="V19" t="s">
        <v>2902</v>
      </c>
      <c r="X19" s="6" t="s">
        <v>3108</v>
      </c>
      <c r="Z19">
        <v>5</v>
      </c>
      <c r="AB19">
        <v>5</v>
      </c>
    </row>
    <row r="20" spans="1:28" x14ac:dyDescent="0.2">
      <c r="A20" s="24" t="s">
        <v>3113</v>
      </c>
      <c r="B20" s="37" t="s">
        <v>919</v>
      </c>
      <c r="C20" s="37" t="s">
        <v>3116</v>
      </c>
      <c r="D20" s="37" t="s">
        <v>3096</v>
      </c>
      <c r="E20" t="s">
        <v>3107</v>
      </c>
      <c r="F20">
        <v>1</v>
      </c>
      <c r="G20">
        <v>2</v>
      </c>
      <c r="H20">
        <v>1</v>
      </c>
      <c r="J20" s="10" t="s">
        <v>919</v>
      </c>
      <c r="K20">
        <v>1</v>
      </c>
      <c r="L20">
        <v>2</v>
      </c>
      <c r="M20">
        <v>1</v>
      </c>
      <c r="N20">
        <v>4</v>
      </c>
      <c r="P20" s="6" t="s">
        <v>3151</v>
      </c>
      <c r="Q20" s="15">
        <v>5</v>
      </c>
      <c r="R20" s="15"/>
      <c r="S20" s="15">
        <v>4</v>
      </c>
      <c r="T20" s="15"/>
      <c r="U20" s="15">
        <v>8</v>
      </c>
      <c r="V20" s="15">
        <v>17</v>
      </c>
      <c r="X20" s="10" t="s">
        <v>217</v>
      </c>
      <c r="Z20">
        <v>3</v>
      </c>
      <c r="AB20">
        <v>3</v>
      </c>
    </row>
    <row r="21" spans="1:28" x14ac:dyDescent="0.2">
      <c r="A21" s="24" t="s">
        <v>3112</v>
      </c>
      <c r="B21" s="40" t="s">
        <v>1193</v>
      </c>
      <c r="C21" s="40" t="s">
        <v>3127</v>
      </c>
      <c r="D21" s="34" t="s">
        <v>3097</v>
      </c>
      <c r="E21" t="s">
        <v>3107</v>
      </c>
      <c r="F21">
        <v>7</v>
      </c>
      <c r="G21">
        <v>2</v>
      </c>
      <c r="H21">
        <v>1</v>
      </c>
      <c r="J21" s="10" t="s">
        <v>1193</v>
      </c>
      <c r="K21">
        <v>7</v>
      </c>
      <c r="L21">
        <v>2</v>
      </c>
      <c r="M21">
        <v>1</v>
      </c>
      <c r="N21">
        <v>10</v>
      </c>
      <c r="P21" s="6" t="s">
        <v>3148</v>
      </c>
      <c r="Q21" s="15">
        <v>1</v>
      </c>
      <c r="R21" s="15"/>
      <c r="S21" s="15">
        <v>5</v>
      </c>
      <c r="T21" s="15"/>
      <c r="U21" s="15">
        <v>11</v>
      </c>
      <c r="V21" s="15">
        <v>17</v>
      </c>
      <c r="X21" s="10" t="s">
        <v>653</v>
      </c>
      <c r="Z21">
        <v>1</v>
      </c>
      <c r="AB21">
        <v>1</v>
      </c>
    </row>
    <row r="22" spans="1:28" x14ac:dyDescent="0.2">
      <c r="A22" t="s">
        <v>3060</v>
      </c>
      <c r="B22" t="s">
        <v>1778</v>
      </c>
      <c r="C22" t="s">
        <v>3071</v>
      </c>
      <c r="D22" t="s">
        <v>3098</v>
      </c>
      <c r="E22" t="s">
        <v>3107</v>
      </c>
      <c r="F22">
        <v>3</v>
      </c>
      <c r="G22">
        <v>2</v>
      </c>
      <c r="J22" s="10" t="s">
        <v>1778</v>
      </c>
      <c r="K22">
        <v>3</v>
      </c>
      <c r="L22">
        <v>2</v>
      </c>
      <c r="N22">
        <v>5</v>
      </c>
      <c r="P22" s="6" t="s">
        <v>3185</v>
      </c>
      <c r="Q22" s="15">
        <v>2</v>
      </c>
      <c r="R22" s="15">
        <v>2</v>
      </c>
      <c r="S22" s="15"/>
      <c r="T22" s="15">
        <v>1</v>
      </c>
      <c r="U22" s="15">
        <v>1</v>
      </c>
      <c r="V22" s="15">
        <v>6</v>
      </c>
      <c r="X22" s="10" t="s">
        <v>1031</v>
      </c>
      <c r="Z22">
        <v>1</v>
      </c>
      <c r="AB22">
        <v>1</v>
      </c>
    </row>
    <row r="23" spans="1:28" x14ac:dyDescent="0.2">
      <c r="A23" t="s">
        <v>3060</v>
      </c>
      <c r="B23" t="s">
        <v>124</v>
      </c>
      <c r="C23" t="s">
        <v>3072</v>
      </c>
      <c r="D23" t="s">
        <v>3103</v>
      </c>
      <c r="E23" t="s">
        <v>3108</v>
      </c>
      <c r="F23">
        <v>1</v>
      </c>
      <c r="G23">
        <v>0</v>
      </c>
      <c r="H23">
        <v>2</v>
      </c>
      <c r="J23" s="6" t="s">
        <v>3108</v>
      </c>
      <c r="K23">
        <v>10</v>
      </c>
      <c r="L23">
        <v>14</v>
      </c>
      <c r="M23">
        <v>2</v>
      </c>
      <c r="N23">
        <v>26</v>
      </c>
      <c r="P23" s="6" t="s">
        <v>3146</v>
      </c>
      <c r="Q23" s="46">
        <v>2</v>
      </c>
      <c r="R23" s="46"/>
      <c r="S23" s="46">
        <v>3</v>
      </c>
      <c r="T23" s="46"/>
      <c r="U23" s="46">
        <v>1</v>
      </c>
      <c r="V23" s="46">
        <v>6</v>
      </c>
      <c r="X23" s="6" t="s">
        <v>3109</v>
      </c>
      <c r="Y23">
        <v>1</v>
      </c>
      <c r="Z23">
        <v>1</v>
      </c>
      <c r="AB23">
        <v>2</v>
      </c>
    </row>
    <row r="24" spans="1:28" x14ac:dyDescent="0.2">
      <c r="A24" t="s">
        <v>3060</v>
      </c>
      <c r="B24" t="s">
        <v>217</v>
      </c>
      <c r="C24" t="s">
        <v>3073</v>
      </c>
      <c r="D24" t="s">
        <v>3099</v>
      </c>
      <c r="E24" t="s">
        <v>3108</v>
      </c>
      <c r="F24">
        <v>7</v>
      </c>
      <c r="G24">
        <v>3</v>
      </c>
      <c r="J24" s="10" t="s">
        <v>124</v>
      </c>
      <c r="K24">
        <v>1</v>
      </c>
      <c r="M24">
        <v>2</v>
      </c>
      <c r="N24">
        <v>3</v>
      </c>
      <c r="P24" s="6" t="s">
        <v>3147</v>
      </c>
      <c r="R24">
        <v>47</v>
      </c>
      <c r="T24">
        <v>26</v>
      </c>
      <c r="V24">
        <v>73</v>
      </c>
      <c r="X24" s="10" t="s">
        <v>2306</v>
      </c>
      <c r="Y24">
        <v>1</v>
      </c>
      <c r="Z24">
        <v>1</v>
      </c>
      <c r="AB24">
        <v>2</v>
      </c>
    </row>
    <row r="25" spans="1:28" x14ac:dyDescent="0.2">
      <c r="A25" s="24" t="s">
        <v>3113</v>
      </c>
      <c r="B25" s="36" t="s">
        <v>3131</v>
      </c>
      <c r="C25" s="36" t="s">
        <v>3117</v>
      </c>
      <c r="D25" s="36" t="s">
        <v>3102</v>
      </c>
      <c r="E25" t="s">
        <v>3108</v>
      </c>
      <c r="F25">
        <v>2</v>
      </c>
      <c r="J25" s="10" t="s">
        <v>217</v>
      </c>
      <c r="K25">
        <v>7</v>
      </c>
      <c r="L25">
        <v>4</v>
      </c>
      <c r="N25">
        <v>11</v>
      </c>
      <c r="P25" s="6" t="s">
        <v>3176</v>
      </c>
      <c r="S25">
        <v>3</v>
      </c>
      <c r="U25">
        <v>8</v>
      </c>
      <c r="V25">
        <v>11</v>
      </c>
      <c r="X25" s="6" t="s">
        <v>2902</v>
      </c>
      <c r="Y25">
        <v>4</v>
      </c>
      <c r="Z25">
        <v>19</v>
      </c>
      <c r="AA25">
        <v>2</v>
      </c>
      <c r="AB25">
        <v>25</v>
      </c>
    </row>
    <row r="26" spans="1:28" x14ac:dyDescent="0.2">
      <c r="A26" s="24" t="s">
        <v>3113</v>
      </c>
      <c r="B26" s="36" t="s">
        <v>653</v>
      </c>
      <c r="C26" s="36" t="s">
        <v>3118</v>
      </c>
      <c r="D26" s="36" t="s">
        <v>3100</v>
      </c>
      <c r="E26" t="s">
        <v>3108</v>
      </c>
      <c r="F26">
        <v>0</v>
      </c>
      <c r="G26">
        <v>4</v>
      </c>
      <c r="J26" s="10" t="s">
        <v>3131</v>
      </c>
      <c r="K26">
        <v>2</v>
      </c>
      <c r="N26">
        <v>2</v>
      </c>
      <c r="P26" s="6" t="s">
        <v>3178</v>
      </c>
      <c r="Q26">
        <v>1</v>
      </c>
      <c r="S26">
        <v>2</v>
      </c>
      <c r="V26">
        <v>3</v>
      </c>
    </row>
    <row r="27" spans="1:28" x14ac:dyDescent="0.2">
      <c r="A27" t="s">
        <v>3060</v>
      </c>
      <c r="B27" t="s">
        <v>1031</v>
      </c>
      <c r="C27" t="s">
        <v>3074</v>
      </c>
      <c r="D27" t="s">
        <v>3101</v>
      </c>
      <c r="E27" t="s">
        <v>3108</v>
      </c>
      <c r="F27">
        <v>0</v>
      </c>
      <c r="G27">
        <v>6</v>
      </c>
      <c r="J27" s="10" t="s">
        <v>653</v>
      </c>
      <c r="L27">
        <v>4</v>
      </c>
      <c r="N27">
        <v>4</v>
      </c>
      <c r="P27" s="6" t="s">
        <v>2902</v>
      </c>
      <c r="Q27">
        <v>11</v>
      </c>
      <c r="R27">
        <v>49</v>
      </c>
      <c r="S27">
        <v>17</v>
      </c>
      <c r="T27">
        <v>27</v>
      </c>
      <c r="U27">
        <v>29</v>
      </c>
      <c r="V27">
        <v>133</v>
      </c>
    </row>
    <row r="28" spans="1:28" ht="13.1" x14ac:dyDescent="0.25">
      <c r="B28" s="42" t="s">
        <v>2454</v>
      </c>
      <c r="D28" s="42" t="s">
        <v>3106</v>
      </c>
      <c r="E28" s="42" t="s">
        <v>3109</v>
      </c>
      <c r="F28" s="42" t="s">
        <v>3168</v>
      </c>
      <c r="J28" s="10" t="s">
        <v>1031</v>
      </c>
      <c r="L28">
        <v>6</v>
      </c>
      <c r="N28">
        <v>6</v>
      </c>
    </row>
    <row r="29" spans="1:28" ht="13.1" x14ac:dyDescent="0.25">
      <c r="B29" s="42" t="s">
        <v>2768</v>
      </c>
      <c r="D29" s="42" t="s">
        <v>3108</v>
      </c>
      <c r="E29" s="42" t="s">
        <v>3109</v>
      </c>
      <c r="F29" s="42" t="s">
        <v>3169</v>
      </c>
      <c r="J29" s="6" t="s">
        <v>3109</v>
      </c>
      <c r="K29">
        <v>9</v>
      </c>
      <c r="L29">
        <v>7</v>
      </c>
      <c r="M29">
        <v>3</v>
      </c>
      <c r="N29">
        <v>19</v>
      </c>
    </row>
    <row r="30" spans="1:28" ht="13.1" x14ac:dyDescent="0.25">
      <c r="B30" s="42" t="s">
        <v>2142</v>
      </c>
      <c r="D30" s="42" t="s">
        <v>3104</v>
      </c>
      <c r="E30" s="42" t="s">
        <v>3109</v>
      </c>
      <c r="F30" s="42" t="s">
        <v>3170</v>
      </c>
      <c r="J30" s="10" t="s">
        <v>2142</v>
      </c>
      <c r="K30">
        <v>2</v>
      </c>
      <c r="L30">
        <v>2</v>
      </c>
      <c r="N30">
        <v>4</v>
      </c>
    </row>
    <row r="31" spans="1:28" ht="13.1" x14ac:dyDescent="0.25">
      <c r="B31" s="42" t="s">
        <v>2635</v>
      </c>
      <c r="D31" s="42" t="s">
        <v>3107</v>
      </c>
      <c r="E31" s="42" t="s">
        <v>3109</v>
      </c>
      <c r="F31" s="42" t="s">
        <v>3171</v>
      </c>
      <c r="J31" s="10" t="s">
        <v>2306</v>
      </c>
      <c r="K31">
        <v>4</v>
      </c>
      <c r="L31">
        <v>2</v>
      </c>
      <c r="M31">
        <v>1</v>
      </c>
      <c r="N31">
        <v>7</v>
      </c>
    </row>
    <row r="32" spans="1:28" ht="13.1" x14ac:dyDescent="0.25">
      <c r="B32" s="42" t="s">
        <v>2306</v>
      </c>
      <c r="D32" s="42" t="s">
        <v>3105</v>
      </c>
      <c r="E32" s="42" t="s">
        <v>3109</v>
      </c>
      <c r="F32" s="42" t="s">
        <v>3172</v>
      </c>
      <c r="J32" s="10" t="s">
        <v>2454</v>
      </c>
      <c r="L32">
        <v>2</v>
      </c>
      <c r="N32">
        <v>2</v>
      </c>
    </row>
    <row r="33" spans="10:14" x14ac:dyDescent="0.2">
      <c r="J33" s="10" t="s">
        <v>2635</v>
      </c>
      <c r="L33">
        <v>1</v>
      </c>
      <c r="M33">
        <v>2</v>
      </c>
      <c r="N33">
        <v>3</v>
      </c>
    </row>
    <row r="34" spans="10:14" x14ac:dyDescent="0.2">
      <c r="J34" s="10" t="s">
        <v>2768</v>
      </c>
      <c r="K34">
        <v>3</v>
      </c>
      <c r="N34">
        <v>3</v>
      </c>
    </row>
    <row r="35" spans="10:14" x14ac:dyDescent="0.2">
      <c r="J35" s="6" t="s">
        <v>2902</v>
      </c>
      <c r="K35">
        <v>68</v>
      </c>
      <c r="L35">
        <v>51</v>
      </c>
      <c r="M35">
        <v>14</v>
      </c>
      <c r="N35">
        <v>133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A6301-A031-4456-A0DA-74F1819293DC}">
  <dimension ref="A1:P15601"/>
  <sheetViews>
    <sheetView workbookViewId="0">
      <selection activeCell="M1" sqref="M1:P27"/>
    </sheetView>
  </sheetViews>
  <sheetFormatPr defaultRowHeight="12.45" x14ac:dyDescent="0.2"/>
  <cols>
    <col min="1" max="1" width="5.625" bestFit="1" customWidth="1"/>
    <col min="2" max="2" width="5.625" customWidth="1"/>
    <col min="3" max="3" width="5.625" bestFit="1" customWidth="1"/>
    <col min="4" max="4" width="5.875" customWidth="1"/>
    <col min="5" max="5" width="5.625" bestFit="1" customWidth="1"/>
    <col min="6" max="6" width="6.5" bestFit="1" customWidth="1"/>
    <col min="7" max="7" width="6.5" customWidth="1"/>
    <col min="13" max="13" width="11.5" bestFit="1" customWidth="1"/>
    <col min="14" max="14" width="11.5" customWidth="1"/>
    <col min="15" max="15" width="13.25" bestFit="1" customWidth="1"/>
    <col min="16" max="16" width="13.375" bestFit="1" customWidth="1"/>
  </cols>
  <sheetData>
    <row r="1" spans="1:16" x14ac:dyDescent="0.2">
      <c r="A1" t="s">
        <v>3235</v>
      </c>
      <c r="B1" t="s">
        <v>3235</v>
      </c>
      <c r="C1" t="s">
        <v>3236</v>
      </c>
      <c r="D1" t="s">
        <v>3239</v>
      </c>
      <c r="E1" t="s">
        <v>3237</v>
      </c>
      <c r="F1">
        <v>123</v>
      </c>
      <c r="L1" t="s">
        <v>3203</v>
      </c>
      <c r="M1" t="s">
        <v>7</v>
      </c>
      <c r="N1" t="s">
        <v>3230</v>
      </c>
      <c r="O1" t="s">
        <v>3228</v>
      </c>
      <c r="P1" t="s">
        <v>3229</v>
      </c>
    </row>
    <row r="2" spans="1:16" x14ac:dyDescent="0.2">
      <c r="A2">
        <v>0</v>
      </c>
      <c r="C2" t="str">
        <f>CHAR(63+D2)</f>
        <v>A</v>
      </c>
      <c r="D2">
        <v>2</v>
      </c>
      <c r="E2" t="s">
        <v>3204</v>
      </c>
      <c r="F2" t="str">
        <f>A2&amp;C2&amp;E2</f>
        <v>0AA</v>
      </c>
      <c r="H2" t="str">
        <f>CHAR(63+ROW())</f>
        <v>A</v>
      </c>
      <c r="L2" t="s">
        <v>3204</v>
      </c>
      <c r="M2" s="47" t="s">
        <v>20</v>
      </c>
      <c r="N2" s="47" t="s">
        <v>3231</v>
      </c>
      <c r="O2" t="s">
        <v>2904</v>
      </c>
      <c r="P2" t="s">
        <v>3168</v>
      </c>
    </row>
    <row r="3" spans="1:16" x14ac:dyDescent="0.2">
      <c r="A3">
        <v>1</v>
      </c>
      <c r="C3" t="str">
        <f>C2</f>
        <v>A</v>
      </c>
      <c r="D3">
        <f>D2</f>
        <v>2</v>
      </c>
      <c r="E3" t="s">
        <v>3205</v>
      </c>
      <c r="F3" t="str">
        <f t="shared" ref="F3:F66" si="0">A3&amp;C3&amp;E3</f>
        <v>1AB</v>
      </c>
      <c r="I3">
        <f>26*25*24</f>
        <v>15600</v>
      </c>
      <c r="L3" t="s">
        <v>3205</v>
      </c>
      <c r="M3" s="35" t="s">
        <v>124</v>
      </c>
      <c r="N3" s="35" t="s">
        <v>3233</v>
      </c>
      <c r="O3" t="s">
        <v>2914</v>
      </c>
      <c r="P3" t="s">
        <v>3169</v>
      </c>
    </row>
    <row r="4" spans="1:16" x14ac:dyDescent="0.2">
      <c r="A4">
        <v>2</v>
      </c>
      <c r="C4" t="str">
        <f t="shared" ref="C4:D27" si="1">C3</f>
        <v>A</v>
      </c>
      <c r="D4">
        <f t="shared" si="1"/>
        <v>2</v>
      </c>
      <c r="E4" t="s">
        <v>3111</v>
      </c>
      <c r="F4" t="str">
        <f t="shared" si="0"/>
        <v>2AC</v>
      </c>
      <c r="I4">
        <f>I3/6</f>
        <v>2600</v>
      </c>
      <c r="L4" t="s">
        <v>3111</v>
      </c>
      <c r="M4" s="47" t="s">
        <v>217</v>
      </c>
      <c r="N4" s="47" t="s">
        <v>3231</v>
      </c>
      <c r="O4" t="s">
        <v>2916</v>
      </c>
      <c r="P4" t="s">
        <v>3169</v>
      </c>
    </row>
    <row r="5" spans="1:16" x14ac:dyDescent="0.2">
      <c r="A5">
        <v>3</v>
      </c>
      <c r="C5" t="str">
        <f t="shared" si="1"/>
        <v>A</v>
      </c>
      <c r="D5">
        <f t="shared" si="1"/>
        <v>2</v>
      </c>
      <c r="E5" t="s">
        <v>3210</v>
      </c>
      <c r="F5" t="str">
        <f t="shared" si="0"/>
        <v>3AD</v>
      </c>
      <c r="L5" t="s">
        <v>3210</v>
      </c>
      <c r="M5" s="47" t="s">
        <v>269</v>
      </c>
      <c r="N5" s="47" t="s">
        <v>3231</v>
      </c>
      <c r="O5" t="s">
        <v>2904</v>
      </c>
      <c r="P5" t="s">
        <v>3168</v>
      </c>
    </row>
    <row r="6" spans="1:16" x14ac:dyDescent="0.2">
      <c r="A6">
        <v>4</v>
      </c>
      <c r="C6" t="str">
        <f t="shared" si="1"/>
        <v>A</v>
      </c>
      <c r="D6">
        <f t="shared" si="1"/>
        <v>2</v>
      </c>
      <c r="E6" t="s">
        <v>3212</v>
      </c>
      <c r="F6" t="str">
        <f t="shared" si="0"/>
        <v>4AE</v>
      </c>
      <c r="L6" t="s">
        <v>3212</v>
      </c>
      <c r="M6" t="s">
        <v>3131</v>
      </c>
      <c r="N6" t="s">
        <v>147</v>
      </c>
      <c r="O6" t="s">
        <v>2910</v>
      </c>
      <c r="P6" t="s">
        <v>3169</v>
      </c>
    </row>
    <row r="7" spans="1:16" x14ac:dyDescent="0.2">
      <c r="A7">
        <v>5</v>
      </c>
      <c r="C7" t="str">
        <f t="shared" si="1"/>
        <v>A</v>
      </c>
      <c r="D7">
        <f t="shared" si="1"/>
        <v>2</v>
      </c>
      <c r="E7" t="s">
        <v>3112</v>
      </c>
      <c r="F7" t="str">
        <f t="shared" si="0"/>
        <v>5AF</v>
      </c>
      <c r="L7" t="s">
        <v>3112</v>
      </c>
      <c r="M7" s="48" t="s">
        <v>464</v>
      </c>
      <c r="N7" s="48" t="s">
        <v>3232</v>
      </c>
      <c r="O7" t="s">
        <v>2912</v>
      </c>
      <c r="P7" t="s">
        <v>3172</v>
      </c>
    </row>
    <row r="8" spans="1:16" x14ac:dyDescent="0.2">
      <c r="A8">
        <v>6</v>
      </c>
      <c r="C8" t="str">
        <f t="shared" si="1"/>
        <v>A</v>
      </c>
      <c r="D8">
        <f t="shared" si="1"/>
        <v>2</v>
      </c>
      <c r="E8" t="s">
        <v>3214</v>
      </c>
      <c r="F8" t="str">
        <f t="shared" si="0"/>
        <v>6AG</v>
      </c>
      <c r="L8" t="s">
        <v>3214</v>
      </c>
      <c r="M8" s="49" t="s">
        <v>598</v>
      </c>
      <c r="N8" s="49" t="s">
        <v>3234</v>
      </c>
      <c r="O8" t="s">
        <v>2916</v>
      </c>
      <c r="P8" t="s">
        <v>3172</v>
      </c>
    </row>
    <row r="9" spans="1:16" x14ac:dyDescent="0.2">
      <c r="A9">
        <v>7</v>
      </c>
      <c r="C9" t="str">
        <f t="shared" si="1"/>
        <v>A</v>
      </c>
      <c r="D9">
        <f t="shared" si="1"/>
        <v>2</v>
      </c>
      <c r="E9" t="s">
        <v>3215</v>
      </c>
      <c r="F9" t="str">
        <f t="shared" si="0"/>
        <v>7AH</v>
      </c>
      <c r="L9" t="s">
        <v>3215</v>
      </c>
      <c r="M9" s="35" t="s">
        <v>653</v>
      </c>
      <c r="N9" s="35" t="s">
        <v>3233</v>
      </c>
      <c r="O9" t="s">
        <v>2915</v>
      </c>
      <c r="P9" t="s">
        <v>3169</v>
      </c>
    </row>
    <row r="10" spans="1:16" x14ac:dyDescent="0.2">
      <c r="A10">
        <v>8</v>
      </c>
      <c r="C10" t="str">
        <f t="shared" si="1"/>
        <v>A</v>
      </c>
      <c r="D10">
        <f t="shared" si="1"/>
        <v>2</v>
      </c>
      <c r="E10" t="s">
        <v>3216</v>
      </c>
      <c r="F10" t="str">
        <f t="shared" si="0"/>
        <v>8AI</v>
      </c>
      <c r="L10" t="s">
        <v>3216</v>
      </c>
      <c r="M10" t="s">
        <v>3130</v>
      </c>
      <c r="N10" t="s">
        <v>147</v>
      </c>
      <c r="O10" t="s">
        <v>2909</v>
      </c>
      <c r="P10" t="s">
        <v>3171</v>
      </c>
    </row>
    <row r="11" spans="1:16" x14ac:dyDescent="0.2">
      <c r="A11">
        <v>9</v>
      </c>
      <c r="C11" t="str">
        <f t="shared" si="1"/>
        <v>A</v>
      </c>
      <c r="D11">
        <f t="shared" si="1"/>
        <v>2</v>
      </c>
      <c r="E11" t="s">
        <v>3217</v>
      </c>
      <c r="F11" t="str">
        <f t="shared" si="0"/>
        <v>9AJ</v>
      </c>
      <c r="L11" t="s">
        <v>3217</v>
      </c>
      <c r="M11" t="s">
        <v>771</v>
      </c>
      <c r="N11" t="s">
        <v>147</v>
      </c>
      <c r="O11" t="s">
        <v>2907</v>
      </c>
      <c r="P11" t="s">
        <v>3171</v>
      </c>
    </row>
    <row r="12" spans="1:16" x14ac:dyDescent="0.2">
      <c r="A12">
        <v>10</v>
      </c>
      <c r="C12" t="str">
        <f t="shared" si="1"/>
        <v>A</v>
      </c>
      <c r="D12">
        <f t="shared" si="1"/>
        <v>2</v>
      </c>
      <c r="E12" t="s">
        <v>3218</v>
      </c>
      <c r="F12" t="str">
        <f t="shared" si="0"/>
        <v>10AK</v>
      </c>
      <c r="L12" t="s">
        <v>3218</v>
      </c>
      <c r="M12" s="48" t="s">
        <v>839</v>
      </c>
      <c r="N12" s="48" t="s">
        <v>3232</v>
      </c>
      <c r="O12" t="s">
        <v>2910</v>
      </c>
      <c r="P12" t="s">
        <v>3172</v>
      </c>
    </row>
    <row r="13" spans="1:16" x14ac:dyDescent="0.2">
      <c r="A13">
        <v>11</v>
      </c>
      <c r="C13" t="str">
        <f t="shared" si="1"/>
        <v>A</v>
      </c>
      <c r="D13">
        <f t="shared" si="1"/>
        <v>2</v>
      </c>
      <c r="E13" t="s">
        <v>3219</v>
      </c>
      <c r="F13" t="str">
        <f t="shared" si="0"/>
        <v>11AL</v>
      </c>
      <c r="L13" t="s">
        <v>3219</v>
      </c>
      <c r="M13" t="s">
        <v>919</v>
      </c>
      <c r="N13" t="s">
        <v>147</v>
      </c>
      <c r="O13" t="s">
        <v>2915</v>
      </c>
      <c r="P13" t="s">
        <v>3171</v>
      </c>
    </row>
    <row r="14" spans="1:16" x14ac:dyDescent="0.2">
      <c r="A14">
        <v>12</v>
      </c>
      <c r="C14" t="str">
        <f t="shared" si="1"/>
        <v>A</v>
      </c>
      <c r="D14">
        <f t="shared" si="1"/>
        <v>2</v>
      </c>
      <c r="E14" t="s">
        <v>3206</v>
      </c>
      <c r="F14" t="str">
        <f t="shared" si="0"/>
        <v>12AM</v>
      </c>
      <c r="L14" t="s">
        <v>3206</v>
      </c>
      <c r="M14" s="49" t="s">
        <v>2913</v>
      </c>
      <c r="N14" s="49" t="s">
        <v>3234</v>
      </c>
      <c r="O14" t="s">
        <v>147</v>
      </c>
      <c r="P14" t="s">
        <v>3110</v>
      </c>
    </row>
    <row r="15" spans="1:16" x14ac:dyDescent="0.2">
      <c r="A15">
        <v>13</v>
      </c>
      <c r="C15" t="str">
        <f t="shared" si="1"/>
        <v>A</v>
      </c>
      <c r="D15">
        <f t="shared" si="1"/>
        <v>2</v>
      </c>
      <c r="E15" t="s">
        <v>3213</v>
      </c>
      <c r="F15" t="str">
        <f t="shared" si="0"/>
        <v>13AN</v>
      </c>
      <c r="L15" t="s">
        <v>3213</v>
      </c>
      <c r="M15" t="s">
        <v>1031</v>
      </c>
      <c r="N15" t="s">
        <v>147</v>
      </c>
      <c r="O15" t="s">
        <v>2912</v>
      </c>
      <c r="P15" t="s">
        <v>3169</v>
      </c>
    </row>
    <row r="16" spans="1:16" x14ac:dyDescent="0.2">
      <c r="A16">
        <v>14</v>
      </c>
      <c r="C16" t="str">
        <f t="shared" si="1"/>
        <v>A</v>
      </c>
      <c r="D16">
        <f t="shared" si="1"/>
        <v>2</v>
      </c>
      <c r="E16" t="s">
        <v>3220</v>
      </c>
      <c r="F16" t="str">
        <f t="shared" si="0"/>
        <v>14AO</v>
      </c>
      <c r="L16" t="s">
        <v>3220</v>
      </c>
      <c r="M16" s="47" t="s">
        <v>1082</v>
      </c>
      <c r="N16" s="47" t="s">
        <v>3231</v>
      </c>
      <c r="O16" t="s">
        <v>2904</v>
      </c>
      <c r="P16" t="s">
        <v>3168</v>
      </c>
    </row>
    <row r="17" spans="1:16" x14ac:dyDescent="0.2">
      <c r="A17">
        <v>15</v>
      </c>
      <c r="C17" t="str">
        <f t="shared" si="1"/>
        <v>A</v>
      </c>
      <c r="D17">
        <f t="shared" si="1"/>
        <v>2</v>
      </c>
      <c r="E17" t="s">
        <v>3207</v>
      </c>
      <c r="F17" t="str">
        <f t="shared" si="0"/>
        <v>15AP</v>
      </c>
      <c r="L17" t="s">
        <v>3207</v>
      </c>
      <c r="M17" t="s">
        <v>1193</v>
      </c>
      <c r="N17" t="s">
        <v>147</v>
      </c>
      <c r="O17" t="s">
        <v>2910</v>
      </c>
      <c r="P17" t="s">
        <v>3171</v>
      </c>
    </row>
    <row r="18" spans="1:16" x14ac:dyDescent="0.2">
      <c r="A18">
        <v>16</v>
      </c>
      <c r="C18" t="str">
        <f t="shared" si="1"/>
        <v>A</v>
      </c>
      <c r="D18">
        <f t="shared" si="1"/>
        <v>2</v>
      </c>
      <c r="E18" t="s">
        <v>3221</v>
      </c>
      <c r="F18" t="str">
        <f t="shared" si="0"/>
        <v>16AQ</v>
      </c>
      <c r="L18" t="s">
        <v>3221</v>
      </c>
      <c r="M18" s="48" t="s">
        <v>3126</v>
      </c>
      <c r="N18" s="48" t="s">
        <v>3232</v>
      </c>
      <c r="O18" t="s">
        <v>2906</v>
      </c>
      <c r="P18" t="s">
        <v>3172</v>
      </c>
    </row>
    <row r="19" spans="1:16" x14ac:dyDescent="0.2">
      <c r="A19">
        <v>17</v>
      </c>
      <c r="C19" t="str">
        <f t="shared" si="1"/>
        <v>A</v>
      </c>
      <c r="D19">
        <f t="shared" si="1"/>
        <v>2</v>
      </c>
      <c r="E19" t="s">
        <v>3222</v>
      </c>
      <c r="F19" t="str">
        <f t="shared" si="0"/>
        <v>17AR</v>
      </c>
      <c r="L19" t="s">
        <v>3222</v>
      </c>
      <c r="M19" s="35" t="s">
        <v>1366</v>
      </c>
      <c r="N19" s="35" t="s">
        <v>3233</v>
      </c>
      <c r="O19" t="s">
        <v>2911</v>
      </c>
      <c r="P19" t="s">
        <v>3168</v>
      </c>
    </row>
    <row r="20" spans="1:16" x14ac:dyDescent="0.2">
      <c r="A20">
        <v>18</v>
      </c>
      <c r="C20" t="str">
        <f t="shared" si="1"/>
        <v>A</v>
      </c>
      <c r="D20">
        <f t="shared" si="1"/>
        <v>2</v>
      </c>
      <c r="E20" t="s">
        <v>3208</v>
      </c>
      <c r="F20" t="str">
        <f t="shared" si="0"/>
        <v>18AS</v>
      </c>
      <c r="L20" t="s">
        <v>3208</v>
      </c>
      <c r="M20" s="47" t="s">
        <v>3133</v>
      </c>
      <c r="N20" s="47" t="s">
        <v>3231</v>
      </c>
      <c r="O20" t="s">
        <v>2903</v>
      </c>
      <c r="P20" t="s">
        <v>3170</v>
      </c>
    </row>
    <row r="21" spans="1:16" x14ac:dyDescent="0.2">
      <c r="A21">
        <v>19</v>
      </c>
      <c r="C21" t="str">
        <f t="shared" si="1"/>
        <v>A</v>
      </c>
      <c r="D21">
        <f t="shared" si="1"/>
        <v>2</v>
      </c>
      <c r="E21" t="s">
        <v>3209</v>
      </c>
      <c r="F21" t="str">
        <f t="shared" si="0"/>
        <v>19AT</v>
      </c>
      <c r="L21" t="s">
        <v>3209</v>
      </c>
      <c r="M21" t="s">
        <v>1495</v>
      </c>
      <c r="N21" t="s">
        <v>147</v>
      </c>
      <c r="O21" t="s">
        <v>2907</v>
      </c>
      <c r="P21" t="s">
        <v>3170</v>
      </c>
    </row>
    <row r="22" spans="1:16" x14ac:dyDescent="0.2">
      <c r="A22">
        <v>20</v>
      </c>
      <c r="C22" t="str">
        <f t="shared" si="1"/>
        <v>A</v>
      </c>
      <c r="D22">
        <f t="shared" si="1"/>
        <v>2</v>
      </c>
      <c r="E22" t="s">
        <v>3223</v>
      </c>
      <c r="F22" t="str">
        <f t="shared" si="0"/>
        <v>20AU</v>
      </c>
      <c r="L22" t="s">
        <v>3223</v>
      </c>
      <c r="M22" t="s">
        <v>1571</v>
      </c>
      <c r="N22" t="s">
        <v>147</v>
      </c>
      <c r="O22" t="s">
        <v>2905</v>
      </c>
      <c r="P22" t="s">
        <v>3170</v>
      </c>
    </row>
    <row r="23" spans="1:16" x14ac:dyDescent="0.2">
      <c r="A23">
        <v>21</v>
      </c>
      <c r="C23" t="str">
        <f t="shared" si="1"/>
        <v>A</v>
      </c>
      <c r="D23">
        <f t="shared" si="1"/>
        <v>2</v>
      </c>
      <c r="E23" t="s">
        <v>3224</v>
      </c>
      <c r="F23" t="str">
        <f t="shared" si="0"/>
        <v>21AV</v>
      </c>
      <c r="L23" t="s">
        <v>3224</v>
      </c>
      <c r="M23" s="48" t="s">
        <v>1662</v>
      </c>
      <c r="N23" s="48" t="s">
        <v>3232</v>
      </c>
      <c r="O23" t="s">
        <v>2907</v>
      </c>
      <c r="P23" t="s">
        <v>3172</v>
      </c>
    </row>
    <row r="24" spans="1:16" x14ac:dyDescent="0.2">
      <c r="A24">
        <v>22</v>
      </c>
      <c r="C24" t="str">
        <f t="shared" si="1"/>
        <v>A</v>
      </c>
      <c r="D24">
        <f t="shared" si="1"/>
        <v>2</v>
      </c>
      <c r="E24" t="s">
        <v>3225</v>
      </c>
      <c r="F24" t="str">
        <f t="shared" si="0"/>
        <v>22AW</v>
      </c>
      <c r="L24" t="s">
        <v>3225</v>
      </c>
      <c r="M24" s="35" t="s">
        <v>1778</v>
      </c>
      <c r="N24" s="35" t="s">
        <v>3233</v>
      </c>
      <c r="O24" t="s">
        <v>2908</v>
      </c>
      <c r="P24" t="s">
        <v>3171</v>
      </c>
    </row>
    <row r="25" spans="1:16" x14ac:dyDescent="0.2">
      <c r="A25">
        <v>23</v>
      </c>
      <c r="C25" t="str">
        <f t="shared" si="1"/>
        <v>A</v>
      </c>
      <c r="D25">
        <f t="shared" si="1"/>
        <v>2</v>
      </c>
      <c r="E25" t="s">
        <v>3226</v>
      </c>
      <c r="F25" t="str">
        <f t="shared" si="0"/>
        <v>23AX</v>
      </c>
      <c r="L25" t="s">
        <v>3226</v>
      </c>
      <c r="M25" t="s">
        <v>1834</v>
      </c>
      <c r="N25" t="s">
        <v>147</v>
      </c>
      <c r="O25" t="s">
        <v>2906</v>
      </c>
      <c r="P25" t="s">
        <v>3170</v>
      </c>
    </row>
    <row r="26" spans="1:16" x14ac:dyDescent="0.2">
      <c r="A26">
        <v>24</v>
      </c>
      <c r="C26" t="str">
        <f t="shared" si="1"/>
        <v>A</v>
      </c>
      <c r="D26">
        <f t="shared" si="1"/>
        <v>2</v>
      </c>
      <c r="E26" t="s">
        <v>3227</v>
      </c>
      <c r="F26" t="str">
        <f t="shared" si="0"/>
        <v>24AY</v>
      </c>
      <c r="L26" t="s">
        <v>3227</v>
      </c>
      <c r="M26" s="47" t="s">
        <v>1897</v>
      </c>
      <c r="N26" s="47" t="s">
        <v>3231</v>
      </c>
      <c r="O26" t="s">
        <v>2904</v>
      </c>
      <c r="P26" t="s">
        <v>3170</v>
      </c>
    </row>
    <row r="27" spans="1:16" x14ac:dyDescent="0.2">
      <c r="A27">
        <v>25</v>
      </c>
      <c r="C27" t="str">
        <f t="shared" si="1"/>
        <v>A</v>
      </c>
      <c r="D27">
        <f t="shared" si="1"/>
        <v>2</v>
      </c>
      <c r="E27" t="s">
        <v>3211</v>
      </c>
      <c r="F27" t="str">
        <f t="shared" si="0"/>
        <v>25AZ</v>
      </c>
      <c r="L27" t="s">
        <v>3211</v>
      </c>
      <c r="M27" s="47" t="s">
        <v>1959</v>
      </c>
      <c r="N27" s="47" t="s">
        <v>3231</v>
      </c>
      <c r="O27" t="s">
        <v>2903</v>
      </c>
      <c r="P27" t="s">
        <v>3168</v>
      </c>
    </row>
    <row r="28" spans="1:16" x14ac:dyDescent="0.2">
      <c r="A28">
        <v>0</v>
      </c>
      <c r="C28" t="str">
        <f>CHAR(63+D28)</f>
        <v>B</v>
      </c>
      <c r="D28">
        <f>D2+1</f>
        <v>3</v>
      </c>
      <c r="E28" t="str">
        <f>E2</f>
        <v>A</v>
      </c>
      <c r="F28" t="str">
        <f t="shared" si="0"/>
        <v>0BA</v>
      </c>
    </row>
    <row r="29" spans="1:16" x14ac:dyDescent="0.2">
      <c r="A29">
        <v>1</v>
      </c>
      <c r="C29" t="str">
        <f>C28</f>
        <v>B</v>
      </c>
      <c r="D29">
        <f>D28</f>
        <v>3</v>
      </c>
      <c r="E29" t="str">
        <f t="shared" ref="E29:E92" si="2">E3</f>
        <v>B</v>
      </c>
      <c r="F29" t="str">
        <f t="shared" si="0"/>
        <v>1BB</v>
      </c>
    </row>
    <row r="30" spans="1:16" x14ac:dyDescent="0.2">
      <c r="A30">
        <v>2</v>
      </c>
      <c r="C30" t="str">
        <f t="shared" ref="C30:C53" si="3">C29</f>
        <v>B</v>
      </c>
      <c r="D30">
        <f t="shared" ref="D30:D93" si="4">D29</f>
        <v>3</v>
      </c>
      <c r="E30" t="str">
        <f t="shared" si="2"/>
        <v>C</v>
      </c>
      <c r="F30" t="str">
        <f t="shared" si="0"/>
        <v>2BC</v>
      </c>
    </row>
    <row r="31" spans="1:16" x14ac:dyDescent="0.2">
      <c r="A31">
        <v>3</v>
      </c>
      <c r="C31" t="str">
        <f t="shared" si="3"/>
        <v>B</v>
      </c>
      <c r="D31">
        <f t="shared" si="4"/>
        <v>3</v>
      </c>
      <c r="E31" t="str">
        <f t="shared" si="2"/>
        <v>D</v>
      </c>
      <c r="F31" t="str">
        <f t="shared" si="0"/>
        <v>3BD</v>
      </c>
    </row>
    <row r="32" spans="1:16" x14ac:dyDescent="0.2">
      <c r="A32">
        <v>4</v>
      </c>
      <c r="C32" t="str">
        <f t="shared" si="3"/>
        <v>B</v>
      </c>
      <c r="D32">
        <f t="shared" si="4"/>
        <v>3</v>
      </c>
      <c r="E32" t="str">
        <f t="shared" si="2"/>
        <v>E</v>
      </c>
      <c r="F32" t="str">
        <f t="shared" si="0"/>
        <v>4BE</v>
      </c>
    </row>
    <row r="33" spans="1:6" x14ac:dyDescent="0.2">
      <c r="A33">
        <v>5</v>
      </c>
      <c r="C33" t="str">
        <f t="shared" si="3"/>
        <v>B</v>
      </c>
      <c r="D33">
        <f t="shared" si="4"/>
        <v>3</v>
      </c>
      <c r="E33" t="str">
        <f t="shared" si="2"/>
        <v>F</v>
      </c>
      <c r="F33" t="str">
        <f t="shared" si="0"/>
        <v>5BF</v>
      </c>
    </row>
    <row r="34" spans="1:6" x14ac:dyDescent="0.2">
      <c r="A34">
        <v>6</v>
      </c>
      <c r="C34" t="str">
        <f t="shared" si="3"/>
        <v>B</v>
      </c>
      <c r="D34">
        <f t="shared" si="4"/>
        <v>3</v>
      </c>
      <c r="E34" t="str">
        <f t="shared" si="2"/>
        <v>G</v>
      </c>
      <c r="F34" t="str">
        <f t="shared" si="0"/>
        <v>6BG</v>
      </c>
    </row>
    <row r="35" spans="1:6" x14ac:dyDescent="0.2">
      <c r="A35">
        <v>7</v>
      </c>
      <c r="C35" t="str">
        <f t="shared" si="3"/>
        <v>B</v>
      </c>
      <c r="D35">
        <f t="shared" si="4"/>
        <v>3</v>
      </c>
      <c r="E35" t="str">
        <f t="shared" si="2"/>
        <v>H</v>
      </c>
      <c r="F35" t="str">
        <f t="shared" si="0"/>
        <v>7BH</v>
      </c>
    </row>
    <row r="36" spans="1:6" x14ac:dyDescent="0.2">
      <c r="A36">
        <v>8</v>
      </c>
      <c r="C36" t="str">
        <f t="shared" si="3"/>
        <v>B</v>
      </c>
      <c r="D36">
        <f t="shared" si="4"/>
        <v>3</v>
      </c>
      <c r="E36" t="str">
        <f t="shared" si="2"/>
        <v>I</v>
      </c>
      <c r="F36" t="str">
        <f t="shared" si="0"/>
        <v>8BI</v>
      </c>
    </row>
    <row r="37" spans="1:6" x14ac:dyDescent="0.2">
      <c r="A37">
        <v>9</v>
      </c>
      <c r="C37" t="str">
        <f t="shared" si="3"/>
        <v>B</v>
      </c>
      <c r="D37">
        <f t="shared" si="4"/>
        <v>3</v>
      </c>
      <c r="E37" t="str">
        <f t="shared" si="2"/>
        <v>J</v>
      </c>
      <c r="F37" t="str">
        <f t="shared" si="0"/>
        <v>9BJ</v>
      </c>
    </row>
    <row r="38" spans="1:6" x14ac:dyDescent="0.2">
      <c r="A38">
        <v>10</v>
      </c>
      <c r="C38" t="str">
        <f t="shared" si="3"/>
        <v>B</v>
      </c>
      <c r="D38">
        <f t="shared" si="4"/>
        <v>3</v>
      </c>
      <c r="E38" t="str">
        <f t="shared" si="2"/>
        <v>K</v>
      </c>
      <c r="F38" t="str">
        <f t="shared" si="0"/>
        <v>10BK</v>
      </c>
    </row>
    <row r="39" spans="1:6" x14ac:dyDescent="0.2">
      <c r="A39">
        <v>11</v>
      </c>
      <c r="C39" t="str">
        <f t="shared" si="3"/>
        <v>B</v>
      </c>
      <c r="D39">
        <f t="shared" si="4"/>
        <v>3</v>
      </c>
      <c r="E39" t="str">
        <f t="shared" si="2"/>
        <v>L</v>
      </c>
      <c r="F39" t="str">
        <f t="shared" si="0"/>
        <v>11BL</v>
      </c>
    </row>
    <row r="40" spans="1:6" x14ac:dyDescent="0.2">
      <c r="A40">
        <v>12</v>
      </c>
      <c r="C40" t="str">
        <f t="shared" si="3"/>
        <v>B</v>
      </c>
      <c r="D40">
        <f t="shared" si="4"/>
        <v>3</v>
      </c>
      <c r="E40" t="str">
        <f t="shared" si="2"/>
        <v>M</v>
      </c>
      <c r="F40" t="str">
        <f t="shared" si="0"/>
        <v>12BM</v>
      </c>
    </row>
    <row r="41" spans="1:6" x14ac:dyDescent="0.2">
      <c r="A41">
        <v>13</v>
      </c>
      <c r="C41" t="str">
        <f t="shared" si="3"/>
        <v>B</v>
      </c>
      <c r="D41">
        <f t="shared" si="4"/>
        <v>3</v>
      </c>
      <c r="E41" t="str">
        <f t="shared" si="2"/>
        <v>N</v>
      </c>
      <c r="F41" t="str">
        <f t="shared" si="0"/>
        <v>13BN</v>
      </c>
    </row>
    <row r="42" spans="1:6" x14ac:dyDescent="0.2">
      <c r="A42">
        <v>14</v>
      </c>
      <c r="C42" t="str">
        <f t="shared" si="3"/>
        <v>B</v>
      </c>
      <c r="D42">
        <f t="shared" si="4"/>
        <v>3</v>
      </c>
      <c r="E42" t="str">
        <f t="shared" si="2"/>
        <v>O</v>
      </c>
      <c r="F42" t="str">
        <f t="shared" si="0"/>
        <v>14BO</v>
      </c>
    </row>
    <row r="43" spans="1:6" x14ac:dyDescent="0.2">
      <c r="A43">
        <v>15</v>
      </c>
      <c r="C43" t="str">
        <f t="shared" si="3"/>
        <v>B</v>
      </c>
      <c r="D43">
        <f t="shared" si="4"/>
        <v>3</v>
      </c>
      <c r="E43" t="str">
        <f t="shared" si="2"/>
        <v>P</v>
      </c>
      <c r="F43" t="str">
        <f t="shared" si="0"/>
        <v>15BP</v>
      </c>
    </row>
    <row r="44" spans="1:6" x14ac:dyDescent="0.2">
      <c r="A44">
        <v>16</v>
      </c>
      <c r="C44" t="str">
        <f t="shared" si="3"/>
        <v>B</v>
      </c>
      <c r="D44">
        <f t="shared" si="4"/>
        <v>3</v>
      </c>
      <c r="E44" t="str">
        <f t="shared" si="2"/>
        <v>Q</v>
      </c>
      <c r="F44" t="str">
        <f t="shared" si="0"/>
        <v>16BQ</v>
      </c>
    </row>
    <row r="45" spans="1:6" x14ac:dyDescent="0.2">
      <c r="A45">
        <v>17</v>
      </c>
      <c r="C45" t="str">
        <f t="shared" si="3"/>
        <v>B</v>
      </c>
      <c r="D45">
        <f t="shared" si="4"/>
        <v>3</v>
      </c>
      <c r="E45" t="str">
        <f t="shared" si="2"/>
        <v>R</v>
      </c>
      <c r="F45" t="str">
        <f t="shared" si="0"/>
        <v>17BR</v>
      </c>
    </row>
    <row r="46" spans="1:6" x14ac:dyDescent="0.2">
      <c r="A46">
        <v>18</v>
      </c>
      <c r="C46" t="str">
        <f t="shared" si="3"/>
        <v>B</v>
      </c>
      <c r="D46">
        <f t="shared" si="4"/>
        <v>3</v>
      </c>
      <c r="E46" t="str">
        <f t="shared" si="2"/>
        <v>S</v>
      </c>
      <c r="F46" t="str">
        <f t="shared" si="0"/>
        <v>18BS</v>
      </c>
    </row>
    <row r="47" spans="1:6" x14ac:dyDescent="0.2">
      <c r="A47">
        <v>19</v>
      </c>
      <c r="C47" t="str">
        <f t="shared" si="3"/>
        <v>B</v>
      </c>
      <c r="D47">
        <f t="shared" si="4"/>
        <v>3</v>
      </c>
      <c r="E47" t="str">
        <f t="shared" si="2"/>
        <v>T</v>
      </c>
      <c r="F47" t="str">
        <f t="shared" si="0"/>
        <v>19BT</v>
      </c>
    </row>
    <row r="48" spans="1:6" x14ac:dyDescent="0.2">
      <c r="A48">
        <v>20</v>
      </c>
      <c r="C48" t="str">
        <f t="shared" si="3"/>
        <v>B</v>
      </c>
      <c r="D48">
        <f t="shared" si="4"/>
        <v>3</v>
      </c>
      <c r="E48" t="str">
        <f t="shared" si="2"/>
        <v>U</v>
      </c>
      <c r="F48" t="str">
        <f t="shared" si="0"/>
        <v>20BU</v>
      </c>
    </row>
    <row r="49" spans="1:6" x14ac:dyDescent="0.2">
      <c r="A49">
        <v>21</v>
      </c>
      <c r="C49" t="str">
        <f t="shared" si="3"/>
        <v>B</v>
      </c>
      <c r="D49">
        <f t="shared" si="4"/>
        <v>3</v>
      </c>
      <c r="E49" t="str">
        <f t="shared" si="2"/>
        <v>V</v>
      </c>
      <c r="F49" t="str">
        <f t="shared" si="0"/>
        <v>21BV</v>
      </c>
    </row>
    <row r="50" spans="1:6" x14ac:dyDescent="0.2">
      <c r="A50">
        <v>22</v>
      </c>
      <c r="C50" t="str">
        <f t="shared" si="3"/>
        <v>B</v>
      </c>
      <c r="D50">
        <f t="shared" si="4"/>
        <v>3</v>
      </c>
      <c r="E50" t="str">
        <f t="shared" si="2"/>
        <v>W</v>
      </c>
      <c r="F50" t="str">
        <f t="shared" si="0"/>
        <v>22BW</v>
      </c>
    </row>
    <row r="51" spans="1:6" x14ac:dyDescent="0.2">
      <c r="A51">
        <v>23</v>
      </c>
      <c r="C51" t="str">
        <f t="shared" si="3"/>
        <v>B</v>
      </c>
      <c r="D51">
        <f t="shared" si="4"/>
        <v>3</v>
      </c>
      <c r="E51" t="str">
        <f t="shared" si="2"/>
        <v>X</v>
      </c>
      <c r="F51" t="str">
        <f t="shared" si="0"/>
        <v>23BX</v>
      </c>
    </row>
    <row r="52" spans="1:6" x14ac:dyDescent="0.2">
      <c r="A52">
        <v>24</v>
      </c>
      <c r="C52" t="str">
        <f t="shared" si="3"/>
        <v>B</v>
      </c>
      <c r="D52">
        <f t="shared" si="4"/>
        <v>3</v>
      </c>
      <c r="E52" t="str">
        <f t="shared" si="2"/>
        <v>Y</v>
      </c>
      <c r="F52" t="str">
        <f t="shared" si="0"/>
        <v>24BY</v>
      </c>
    </row>
    <row r="53" spans="1:6" x14ac:dyDescent="0.2">
      <c r="A53">
        <v>25</v>
      </c>
      <c r="C53" t="str">
        <f t="shared" si="3"/>
        <v>B</v>
      </c>
      <c r="D53">
        <f t="shared" si="4"/>
        <v>3</v>
      </c>
      <c r="E53" t="str">
        <f t="shared" si="2"/>
        <v>Z</v>
      </c>
      <c r="F53" t="str">
        <f t="shared" si="0"/>
        <v>25BZ</v>
      </c>
    </row>
    <row r="54" spans="1:6" x14ac:dyDescent="0.2">
      <c r="A54">
        <v>0</v>
      </c>
      <c r="C54" t="str">
        <f>CHAR(63+D54)</f>
        <v>B</v>
      </c>
      <c r="D54">
        <f t="shared" si="4"/>
        <v>3</v>
      </c>
      <c r="E54" t="str">
        <f t="shared" si="2"/>
        <v>A</v>
      </c>
      <c r="F54" t="str">
        <f t="shared" si="0"/>
        <v>0BA</v>
      </c>
    </row>
    <row r="55" spans="1:6" x14ac:dyDescent="0.2">
      <c r="A55">
        <v>1</v>
      </c>
      <c r="C55" t="str">
        <f>C54</f>
        <v>B</v>
      </c>
      <c r="D55">
        <f t="shared" si="4"/>
        <v>3</v>
      </c>
      <c r="E55" t="str">
        <f t="shared" si="2"/>
        <v>B</v>
      </c>
      <c r="F55" t="str">
        <f t="shared" si="0"/>
        <v>1BB</v>
      </c>
    </row>
    <row r="56" spans="1:6" x14ac:dyDescent="0.2">
      <c r="A56">
        <v>2</v>
      </c>
      <c r="C56" t="str">
        <f t="shared" ref="C56:C79" si="5">C55</f>
        <v>B</v>
      </c>
      <c r="D56">
        <f t="shared" si="4"/>
        <v>3</v>
      </c>
      <c r="E56" t="str">
        <f t="shared" si="2"/>
        <v>C</v>
      </c>
      <c r="F56" t="str">
        <f t="shared" si="0"/>
        <v>2BC</v>
      </c>
    </row>
    <row r="57" spans="1:6" x14ac:dyDescent="0.2">
      <c r="A57">
        <v>3</v>
      </c>
      <c r="C57" t="str">
        <f t="shared" si="5"/>
        <v>B</v>
      </c>
      <c r="D57">
        <f t="shared" si="4"/>
        <v>3</v>
      </c>
      <c r="E57" t="str">
        <f t="shared" si="2"/>
        <v>D</v>
      </c>
      <c r="F57" t="str">
        <f t="shared" si="0"/>
        <v>3BD</v>
      </c>
    </row>
    <row r="58" spans="1:6" x14ac:dyDescent="0.2">
      <c r="A58">
        <v>4</v>
      </c>
      <c r="C58" t="str">
        <f t="shared" si="5"/>
        <v>B</v>
      </c>
      <c r="D58">
        <f t="shared" si="4"/>
        <v>3</v>
      </c>
      <c r="E58" t="str">
        <f t="shared" si="2"/>
        <v>E</v>
      </c>
      <c r="F58" t="str">
        <f t="shared" si="0"/>
        <v>4BE</v>
      </c>
    </row>
    <row r="59" spans="1:6" x14ac:dyDescent="0.2">
      <c r="A59">
        <v>5</v>
      </c>
      <c r="C59" t="str">
        <f t="shared" si="5"/>
        <v>B</v>
      </c>
      <c r="D59">
        <f t="shared" si="4"/>
        <v>3</v>
      </c>
      <c r="E59" t="str">
        <f t="shared" si="2"/>
        <v>F</v>
      </c>
      <c r="F59" t="str">
        <f t="shared" si="0"/>
        <v>5BF</v>
      </c>
    </row>
    <row r="60" spans="1:6" x14ac:dyDescent="0.2">
      <c r="A60">
        <v>6</v>
      </c>
      <c r="C60" t="str">
        <f t="shared" si="5"/>
        <v>B</v>
      </c>
      <c r="D60">
        <f t="shared" si="4"/>
        <v>3</v>
      </c>
      <c r="E60" t="str">
        <f t="shared" si="2"/>
        <v>G</v>
      </c>
      <c r="F60" t="str">
        <f t="shared" si="0"/>
        <v>6BG</v>
      </c>
    </row>
    <row r="61" spans="1:6" x14ac:dyDescent="0.2">
      <c r="A61">
        <v>7</v>
      </c>
      <c r="C61" t="str">
        <f t="shared" si="5"/>
        <v>B</v>
      </c>
      <c r="D61">
        <f t="shared" si="4"/>
        <v>3</v>
      </c>
      <c r="E61" t="str">
        <f t="shared" si="2"/>
        <v>H</v>
      </c>
      <c r="F61" t="str">
        <f t="shared" si="0"/>
        <v>7BH</v>
      </c>
    </row>
    <row r="62" spans="1:6" x14ac:dyDescent="0.2">
      <c r="A62">
        <v>8</v>
      </c>
      <c r="C62" t="str">
        <f t="shared" si="5"/>
        <v>B</v>
      </c>
      <c r="D62">
        <f t="shared" si="4"/>
        <v>3</v>
      </c>
      <c r="E62" t="str">
        <f t="shared" si="2"/>
        <v>I</v>
      </c>
      <c r="F62" t="str">
        <f t="shared" si="0"/>
        <v>8BI</v>
      </c>
    </row>
    <row r="63" spans="1:6" x14ac:dyDescent="0.2">
      <c r="A63">
        <v>9</v>
      </c>
      <c r="C63" t="str">
        <f t="shared" si="5"/>
        <v>B</v>
      </c>
      <c r="D63">
        <f t="shared" si="4"/>
        <v>3</v>
      </c>
      <c r="E63" t="str">
        <f t="shared" si="2"/>
        <v>J</v>
      </c>
      <c r="F63" t="str">
        <f t="shared" si="0"/>
        <v>9BJ</v>
      </c>
    </row>
    <row r="64" spans="1:6" x14ac:dyDescent="0.2">
      <c r="A64">
        <v>10</v>
      </c>
      <c r="C64" t="str">
        <f t="shared" si="5"/>
        <v>B</v>
      </c>
      <c r="D64">
        <f t="shared" si="4"/>
        <v>3</v>
      </c>
      <c r="E64" t="str">
        <f t="shared" si="2"/>
        <v>K</v>
      </c>
      <c r="F64" t="str">
        <f t="shared" si="0"/>
        <v>10BK</v>
      </c>
    </row>
    <row r="65" spans="1:6" x14ac:dyDescent="0.2">
      <c r="A65">
        <v>11</v>
      </c>
      <c r="C65" t="str">
        <f t="shared" si="5"/>
        <v>B</v>
      </c>
      <c r="D65">
        <f t="shared" si="4"/>
        <v>3</v>
      </c>
      <c r="E65" t="str">
        <f t="shared" si="2"/>
        <v>L</v>
      </c>
      <c r="F65" t="str">
        <f t="shared" si="0"/>
        <v>11BL</v>
      </c>
    </row>
    <row r="66" spans="1:6" x14ac:dyDescent="0.2">
      <c r="A66">
        <v>12</v>
      </c>
      <c r="C66" t="str">
        <f t="shared" si="5"/>
        <v>B</v>
      </c>
      <c r="D66">
        <f t="shared" si="4"/>
        <v>3</v>
      </c>
      <c r="E66" t="str">
        <f t="shared" si="2"/>
        <v>M</v>
      </c>
      <c r="F66" t="str">
        <f t="shared" si="0"/>
        <v>12BM</v>
      </c>
    </row>
    <row r="67" spans="1:6" x14ac:dyDescent="0.2">
      <c r="A67">
        <v>13</v>
      </c>
      <c r="C67" t="str">
        <f t="shared" si="5"/>
        <v>B</v>
      </c>
      <c r="D67">
        <f t="shared" si="4"/>
        <v>3</v>
      </c>
      <c r="E67" t="str">
        <f t="shared" si="2"/>
        <v>N</v>
      </c>
      <c r="F67" t="str">
        <f t="shared" ref="F67:F130" si="6">A67&amp;C67&amp;E67</f>
        <v>13BN</v>
      </c>
    </row>
    <row r="68" spans="1:6" x14ac:dyDescent="0.2">
      <c r="A68">
        <v>14</v>
      </c>
      <c r="C68" t="str">
        <f t="shared" si="5"/>
        <v>B</v>
      </c>
      <c r="D68">
        <f t="shared" si="4"/>
        <v>3</v>
      </c>
      <c r="E68" t="str">
        <f t="shared" si="2"/>
        <v>O</v>
      </c>
      <c r="F68" t="str">
        <f t="shared" si="6"/>
        <v>14BO</v>
      </c>
    </row>
    <row r="69" spans="1:6" x14ac:dyDescent="0.2">
      <c r="A69">
        <v>15</v>
      </c>
      <c r="C69" t="str">
        <f t="shared" si="5"/>
        <v>B</v>
      </c>
      <c r="D69">
        <f t="shared" si="4"/>
        <v>3</v>
      </c>
      <c r="E69" t="str">
        <f t="shared" si="2"/>
        <v>P</v>
      </c>
      <c r="F69" t="str">
        <f t="shared" si="6"/>
        <v>15BP</v>
      </c>
    </row>
    <row r="70" spans="1:6" x14ac:dyDescent="0.2">
      <c r="A70">
        <v>16</v>
      </c>
      <c r="C70" t="str">
        <f t="shared" si="5"/>
        <v>B</v>
      </c>
      <c r="D70">
        <f t="shared" si="4"/>
        <v>3</v>
      </c>
      <c r="E70" t="str">
        <f t="shared" si="2"/>
        <v>Q</v>
      </c>
      <c r="F70" t="str">
        <f t="shared" si="6"/>
        <v>16BQ</v>
      </c>
    </row>
    <row r="71" spans="1:6" x14ac:dyDescent="0.2">
      <c r="A71">
        <v>17</v>
      </c>
      <c r="C71" t="str">
        <f t="shared" si="5"/>
        <v>B</v>
      </c>
      <c r="D71">
        <f t="shared" si="4"/>
        <v>3</v>
      </c>
      <c r="E71" t="str">
        <f t="shared" si="2"/>
        <v>R</v>
      </c>
      <c r="F71" t="str">
        <f t="shared" si="6"/>
        <v>17BR</v>
      </c>
    </row>
    <row r="72" spans="1:6" x14ac:dyDescent="0.2">
      <c r="A72">
        <v>18</v>
      </c>
      <c r="C72" t="str">
        <f t="shared" si="5"/>
        <v>B</v>
      </c>
      <c r="D72">
        <f t="shared" si="4"/>
        <v>3</v>
      </c>
      <c r="E72" t="str">
        <f t="shared" si="2"/>
        <v>S</v>
      </c>
      <c r="F72" t="str">
        <f t="shared" si="6"/>
        <v>18BS</v>
      </c>
    </row>
    <row r="73" spans="1:6" x14ac:dyDescent="0.2">
      <c r="A73">
        <v>19</v>
      </c>
      <c r="C73" t="str">
        <f t="shared" si="5"/>
        <v>B</v>
      </c>
      <c r="D73">
        <f t="shared" si="4"/>
        <v>3</v>
      </c>
      <c r="E73" t="str">
        <f t="shared" si="2"/>
        <v>T</v>
      </c>
      <c r="F73" t="str">
        <f t="shared" si="6"/>
        <v>19BT</v>
      </c>
    </row>
    <row r="74" spans="1:6" x14ac:dyDescent="0.2">
      <c r="A74">
        <v>20</v>
      </c>
      <c r="C74" t="str">
        <f t="shared" si="5"/>
        <v>B</v>
      </c>
      <c r="D74">
        <f t="shared" si="4"/>
        <v>3</v>
      </c>
      <c r="E74" t="str">
        <f t="shared" si="2"/>
        <v>U</v>
      </c>
      <c r="F74" t="str">
        <f t="shared" si="6"/>
        <v>20BU</v>
      </c>
    </row>
    <row r="75" spans="1:6" x14ac:dyDescent="0.2">
      <c r="A75">
        <v>21</v>
      </c>
      <c r="C75" t="str">
        <f t="shared" si="5"/>
        <v>B</v>
      </c>
      <c r="D75">
        <f t="shared" si="4"/>
        <v>3</v>
      </c>
      <c r="E75" t="str">
        <f t="shared" si="2"/>
        <v>V</v>
      </c>
      <c r="F75" t="str">
        <f t="shared" si="6"/>
        <v>21BV</v>
      </c>
    </row>
    <row r="76" spans="1:6" x14ac:dyDescent="0.2">
      <c r="A76">
        <v>22</v>
      </c>
      <c r="C76" t="str">
        <f t="shared" si="5"/>
        <v>B</v>
      </c>
      <c r="D76">
        <f t="shared" si="4"/>
        <v>3</v>
      </c>
      <c r="E76" t="str">
        <f t="shared" si="2"/>
        <v>W</v>
      </c>
      <c r="F76" t="str">
        <f t="shared" si="6"/>
        <v>22BW</v>
      </c>
    </row>
    <row r="77" spans="1:6" x14ac:dyDescent="0.2">
      <c r="A77">
        <v>23</v>
      </c>
      <c r="C77" t="str">
        <f t="shared" si="5"/>
        <v>B</v>
      </c>
      <c r="D77">
        <f t="shared" si="4"/>
        <v>3</v>
      </c>
      <c r="E77" t="str">
        <f t="shared" si="2"/>
        <v>X</v>
      </c>
      <c r="F77" t="str">
        <f t="shared" si="6"/>
        <v>23BX</v>
      </c>
    </row>
    <row r="78" spans="1:6" x14ac:dyDescent="0.2">
      <c r="A78">
        <v>24</v>
      </c>
      <c r="C78" t="str">
        <f t="shared" si="5"/>
        <v>B</v>
      </c>
      <c r="D78">
        <f t="shared" si="4"/>
        <v>3</v>
      </c>
      <c r="E78" t="str">
        <f t="shared" si="2"/>
        <v>Y</v>
      </c>
      <c r="F78" t="str">
        <f t="shared" si="6"/>
        <v>24BY</v>
      </c>
    </row>
    <row r="79" spans="1:6" x14ac:dyDescent="0.2">
      <c r="A79">
        <v>25</v>
      </c>
      <c r="C79" t="str">
        <f t="shared" si="5"/>
        <v>B</v>
      </c>
      <c r="D79">
        <f t="shared" si="4"/>
        <v>3</v>
      </c>
      <c r="E79" t="str">
        <f t="shared" si="2"/>
        <v>Z</v>
      </c>
      <c r="F79" t="str">
        <f t="shared" si="6"/>
        <v>25BZ</v>
      </c>
    </row>
    <row r="80" spans="1:6" x14ac:dyDescent="0.2">
      <c r="A80">
        <v>0</v>
      </c>
      <c r="C80" t="str">
        <f>CHAR(63+D80)</f>
        <v>B</v>
      </c>
      <c r="D80">
        <f t="shared" si="4"/>
        <v>3</v>
      </c>
      <c r="E80" t="str">
        <f t="shared" si="2"/>
        <v>A</v>
      </c>
      <c r="F80" t="str">
        <f t="shared" si="6"/>
        <v>0BA</v>
      </c>
    </row>
    <row r="81" spans="1:6" x14ac:dyDescent="0.2">
      <c r="A81">
        <v>1</v>
      </c>
      <c r="C81" t="str">
        <f>C80</f>
        <v>B</v>
      </c>
      <c r="D81">
        <f t="shared" si="4"/>
        <v>3</v>
      </c>
      <c r="E81" t="str">
        <f t="shared" si="2"/>
        <v>B</v>
      </c>
      <c r="F81" t="str">
        <f t="shared" si="6"/>
        <v>1BB</v>
      </c>
    </row>
    <row r="82" spans="1:6" x14ac:dyDescent="0.2">
      <c r="A82">
        <v>2</v>
      </c>
      <c r="C82" t="str">
        <f t="shared" ref="C82:C105" si="7">C81</f>
        <v>B</v>
      </c>
      <c r="D82">
        <f t="shared" si="4"/>
        <v>3</v>
      </c>
      <c r="E82" t="str">
        <f t="shared" si="2"/>
        <v>C</v>
      </c>
      <c r="F82" t="str">
        <f t="shared" si="6"/>
        <v>2BC</v>
      </c>
    </row>
    <row r="83" spans="1:6" x14ac:dyDescent="0.2">
      <c r="A83">
        <v>3</v>
      </c>
      <c r="C83" t="str">
        <f t="shared" si="7"/>
        <v>B</v>
      </c>
      <c r="D83">
        <f t="shared" si="4"/>
        <v>3</v>
      </c>
      <c r="E83" t="str">
        <f t="shared" si="2"/>
        <v>D</v>
      </c>
      <c r="F83" t="str">
        <f t="shared" si="6"/>
        <v>3BD</v>
      </c>
    </row>
    <row r="84" spans="1:6" x14ac:dyDescent="0.2">
      <c r="A84">
        <v>4</v>
      </c>
      <c r="C84" t="str">
        <f t="shared" si="7"/>
        <v>B</v>
      </c>
      <c r="D84">
        <f t="shared" si="4"/>
        <v>3</v>
      </c>
      <c r="E84" t="str">
        <f t="shared" si="2"/>
        <v>E</v>
      </c>
      <c r="F84" t="str">
        <f t="shared" si="6"/>
        <v>4BE</v>
      </c>
    </row>
    <row r="85" spans="1:6" x14ac:dyDescent="0.2">
      <c r="A85">
        <v>5</v>
      </c>
      <c r="C85" t="str">
        <f t="shared" si="7"/>
        <v>B</v>
      </c>
      <c r="D85">
        <f t="shared" si="4"/>
        <v>3</v>
      </c>
      <c r="E85" t="str">
        <f t="shared" si="2"/>
        <v>F</v>
      </c>
      <c r="F85" t="str">
        <f t="shared" si="6"/>
        <v>5BF</v>
      </c>
    </row>
    <row r="86" spans="1:6" x14ac:dyDescent="0.2">
      <c r="A86">
        <v>6</v>
      </c>
      <c r="C86" t="str">
        <f t="shared" si="7"/>
        <v>B</v>
      </c>
      <c r="D86">
        <f t="shared" si="4"/>
        <v>3</v>
      </c>
      <c r="E86" t="str">
        <f t="shared" si="2"/>
        <v>G</v>
      </c>
      <c r="F86" t="str">
        <f t="shared" si="6"/>
        <v>6BG</v>
      </c>
    </row>
    <row r="87" spans="1:6" x14ac:dyDescent="0.2">
      <c r="A87">
        <v>7</v>
      </c>
      <c r="C87" t="str">
        <f t="shared" si="7"/>
        <v>B</v>
      </c>
      <c r="D87">
        <f t="shared" si="4"/>
        <v>3</v>
      </c>
      <c r="E87" t="str">
        <f t="shared" si="2"/>
        <v>H</v>
      </c>
      <c r="F87" t="str">
        <f t="shared" si="6"/>
        <v>7BH</v>
      </c>
    </row>
    <row r="88" spans="1:6" x14ac:dyDescent="0.2">
      <c r="A88">
        <v>8</v>
      </c>
      <c r="C88" t="str">
        <f t="shared" si="7"/>
        <v>B</v>
      </c>
      <c r="D88">
        <f t="shared" si="4"/>
        <v>3</v>
      </c>
      <c r="E88" t="str">
        <f t="shared" si="2"/>
        <v>I</v>
      </c>
      <c r="F88" t="str">
        <f t="shared" si="6"/>
        <v>8BI</v>
      </c>
    </row>
    <row r="89" spans="1:6" x14ac:dyDescent="0.2">
      <c r="A89">
        <v>9</v>
      </c>
      <c r="C89" t="str">
        <f t="shared" si="7"/>
        <v>B</v>
      </c>
      <c r="D89">
        <f t="shared" si="4"/>
        <v>3</v>
      </c>
      <c r="E89" t="str">
        <f t="shared" si="2"/>
        <v>J</v>
      </c>
      <c r="F89" t="str">
        <f t="shared" si="6"/>
        <v>9BJ</v>
      </c>
    </row>
    <row r="90" spans="1:6" x14ac:dyDescent="0.2">
      <c r="A90">
        <v>10</v>
      </c>
      <c r="C90" t="str">
        <f t="shared" si="7"/>
        <v>B</v>
      </c>
      <c r="D90">
        <f t="shared" si="4"/>
        <v>3</v>
      </c>
      <c r="E90" t="str">
        <f t="shared" si="2"/>
        <v>K</v>
      </c>
      <c r="F90" t="str">
        <f t="shared" si="6"/>
        <v>10BK</v>
      </c>
    </row>
    <row r="91" spans="1:6" x14ac:dyDescent="0.2">
      <c r="A91">
        <v>11</v>
      </c>
      <c r="C91" t="str">
        <f t="shared" si="7"/>
        <v>B</v>
      </c>
      <c r="D91">
        <f t="shared" si="4"/>
        <v>3</v>
      </c>
      <c r="E91" t="str">
        <f t="shared" si="2"/>
        <v>L</v>
      </c>
      <c r="F91" t="str">
        <f t="shared" si="6"/>
        <v>11BL</v>
      </c>
    </row>
    <row r="92" spans="1:6" x14ac:dyDescent="0.2">
      <c r="A92">
        <v>12</v>
      </c>
      <c r="C92" t="str">
        <f t="shared" si="7"/>
        <v>B</v>
      </c>
      <c r="D92">
        <f t="shared" si="4"/>
        <v>3</v>
      </c>
      <c r="E92" t="str">
        <f t="shared" si="2"/>
        <v>M</v>
      </c>
      <c r="F92" t="str">
        <f t="shared" si="6"/>
        <v>12BM</v>
      </c>
    </row>
    <row r="93" spans="1:6" x14ac:dyDescent="0.2">
      <c r="A93">
        <v>13</v>
      </c>
      <c r="C93" t="str">
        <f t="shared" si="7"/>
        <v>B</v>
      </c>
      <c r="D93">
        <f t="shared" si="4"/>
        <v>3</v>
      </c>
      <c r="E93" t="str">
        <f t="shared" ref="E93:E156" si="8">E67</f>
        <v>N</v>
      </c>
      <c r="F93" t="str">
        <f t="shared" si="6"/>
        <v>13BN</v>
      </c>
    </row>
    <row r="94" spans="1:6" x14ac:dyDescent="0.2">
      <c r="A94">
        <v>14</v>
      </c>
      <c r="C94" t="str">
        <f t="shared" si="7"/>
        <v>B</v>
      </c>
      <c r="D94">
        <f t="shared" ref="D94:D157" si="9">D93</f>
        <v>3</v>
      </c>
      <c r="E94" t="str">
        <f t="shared" si="8"/>
        <v>O</v>
      </c>
      <c r="F94" t="str">
        <f t="shared" si="6"/>
        <v>14BO</v>
      </c>
    </row>
    <row r="95" spans="1:6" x14ac:dyDescent="0.2">
      <c r="A95">
        <v>15</v>
      </c>
      <c r="C95" t="str">
        <f t="shared" si="7"/>
        <v>B</v>
      </c>
      <c r="D95">
        <f t="shared" si="9"/>
        <v>3</v>
      </c>
      <c r="E95" t="str">
        <f t="shared" si="8"/>
        <v>P</v>
      </c>
      <c r="F95" t="str">
        <f t="shared" si="6"/>
        <v>15BP</v>
      </c>
    </row>
    <row r="96" spans="1:6" x14ac:dyDescent="0.2">
      <c r="A96">
        <v>16</v>
      </c>
      <c r="C96" t="str">
        <f t="shared" si="7"/>
        <v>B</v>
      </c>
      <c r="D96">
        <f t="shared" si="9"/>
        <v>3</v>
      </c>
      <c r="E96" t="str">
        <f t="shared" si="8"/>
        <v>Q</v>
      </c>
      <c r="F96" t="str">
        <f t="shared" si="6"/>
        <v>16BQ</v>
      </c>
    </row>
    <row r="97" spans="1:6" x14ac:dyDescent="0.2">
      <c r="A97">
        <v>17</v>
      </c>
      <c r="C97" t="str">
        <f t="shared" si="7"/>
        <v>B</v>
      </c>
      <c r="D97">
        <f t="shared" si="9"/>
        <v>3</v>
      </c>
      <c r="E97" t="str">
        <f t="shared" si="8"/>
        <v>R</v>
      </c>
      <c r="F97" t="str">
        <f t="shared" si="6"/>
        <v>17BR</v>
      </c>
    </row>
    <row r="98" spans="1:6" x14ac:dyDescent="0.2">
      <c r="A98">
        <v>18</v>
      </c>
      <c r="C98" t="str">
        <f t="shared" si="7"/>
        <v>B</v>
      </c>
      <c r="D98">
        <f t="shared" si="9"/>
        <v>3</v>
      </c>
      <c r="E98" t="str">
        <f t="shared" si="8"/>
        <v>S</v>
      </c>
      <c r="F98" t="str">
        <f t="shared" si="6"/>
        <v>18BS</v>
      </c>
    </row>
    <row r="99" spans="1:6" x14ac:dyDescent="0.2">
      <c r="A99">
        <v>19</v>
      </c>
      <c r="C99" t="str">
        <f t="shared" si="7"/>
        <v>B</v>
      </c>
      <c r="D99">
        <f t="shared" si="9"/>
        <v>3</v>
      </c>
      <c r="E99" t="str">
        <f t="shared" si="8"/>
        <v>T</v>
      </c>
      <c r="F99" t="str">
        <f t="shared" si="6"/>
        <v>19BT</v>
      </c>
    </row>
    <row r="100" spans="1:6" x14ac:dyDescent="0.2">
      <c r="A100">
        <v>20</v>
      </c>
      <c r="C100" t="str">
        <f t="shared" si="7"/>
        <v>B</v>
      </c>
      <c r="D100">
        <f t="shared" si="9"/>
        <v>3</v>
      </c>
      <c r="E100" t="str">
        <f t="shared" si="8"/>
        <v>U</v>
      </c>
      <c r="F100" t="str">
        <f t="shared" si="6"/>
        <v>20BU</v>
      </c>
    </row>
    <row r="101" spans="1:6" x14ac:dyDescent="0.2">
      <c r="A101">
        <v>21</v>
      </c>
      <c r="C101" t="str">
        <f t="shared" si="7"/>
        <v>B</v>
      </c>
      <c r="D101">
        <f t="shared" si="9"/>
        <v>3</v>
      </c>
      <c r="E101" t="str">
        <f t="shared" si="8"/>
        <v>V</v>
      </c>
      <c r="F101" t="str">
        <f t="shared" si="6"/>
        <v>21BV</v>
      </c>
    </row>
    <row r="102" spans="1:6" x14ac:dyDescent="0.2">
      <c r="A102">
        <v>22</v>
      </c>
      <c r="C102" t="str">
        <f t="shared" si="7"/>
        <v>B</v>
      </c>
      <c r="D102">
        <f t="shared" si="9"/>
        <v>3</v>
      </c>
      <c r="E102" t="str">
        <f t="shared" si="8"/>
        <v>W</v>
      </c>
      <c r="F102" t="str">
        <f t="shared" si="6"/>
        <v>22BW</v>
      </c>
    </row>
    <row r="103" spans="1:6" x14ac:dyDescent="0.2">
      <c r="A103">
        <v>23</v>
      </c>
      <c r="C103" t="str">
        <f t="shared" si="7"/>
        <v>B</v>
      </c>
      <c r="D103">
        <f t="shared" si="9"/>
        <v>3</v>
      </c>
      <c r="E103" t="str">
        <f t="shared" si="8"/>
        <v>X</v>
      </c>
      <c r="F103" t="str">
        <f t="shared" si="6"/>
        <v>23BX</v>
      </c>
    </row>
    <row r="104" spans="1:6" x14ac:dyDescent="0.2">
      <c r="A104">
        <v>24</v>
      </c>
      <c r="C104" t="str">
        <f t="shared" si="7"/>
        <v>B</v>
      </c>
      <c r="D104">
        <f t="shared" si="9"/>
        <v>3</v>
      </c>
      <c r="E104" t="str">
        <f t="shared" si="8"/>
        <v>Y</v>
      </c>
      <c r="F104" t="str">
        <f t="shared" si="6"/>
        <v>24BY</v>
      </c>
    </row>
    <row r="105" spans="1:6" x14ac:dyDescent="0.2">
      <c r="A105">
        <v>25</v>
      </c>
      <c r="C105" t="str">
        <f t="shared" si="7"/>
        <v>B</v>
      </c>
      <c r="D105">
        <f t="shared" si="9"/>
        <v>3</v>
      </c>
      <c r="E105" t="str">
        <f t="shared" si="8"/>
        <v>Z</v>
      </c>
      <c r="F105" t="str">
        <f t="shared" si="6"/>
        <v>25BZ</v>
      </c>
    </row>
    <row r="106" spans="1:6" x14ac:dyDescent="0.2">
      <c r="A106">
        <v>0</v>
      </c>
      <c r="C106" t="str">
        <f>CHAR(63+D106)</f>
        <v>B</v>
      </c>
      <c r="D106">
        <f t="shared" si="9"/>
        <v>3</v>
      </c>
      <c r="E106" t="str">
        <f t="shared" si="8"/>
        <v>A</v>
      </c>
      <c r="F106" t="str">
        <f t="shared" si="6"/>
        <v>0BA</v>
      </c>
    </row>
    <row r="107" spans="1:6" x14ac:dyDescent="0.2">
      <c r="A107">
        <v>1</v>
      </c>
      <c r="C107" t="str">
        <f>C106</f>
        <v>B</v>
      </c>
      <c r="D107">
        <f t="shared" si="9"/>
        <v>3</v>
      </c>
      <c r="E107" t="str">
        <f t="shared" si="8"/>
        <v>B</v>
      </c>
      <c r="F107" t="str">
        <f t="shared" si="6"/>
        <v>1BB</v>
      </c>
    </row>
    <row r="108" spans="1:6" x14ac:dyDescent="0.2">
      <c r="A108">
        <v>2</v>
      </c>
      <c r="C108" t="str">
        <f t="shared" ref="C108:C131" si="10">C107</f>
        <v>B</v>
      </c>
      <c r="D108">
        <f t="shared" si="9"/>
        <v>3</v>
      </c>
      <c r="E108" t="str">
        <f t="shared" si="8"/>
        <v>C</v>
      </c>
      <c r="F108" t="str">
        <f t="shared" si="6"/>
        <v>2BC</v>
      </c>
    </row>
    <row r="109" spans="1:6" x14ac:dyDescent="0.2">
      <c r="A109">
        <v>3</v>
      </c>
      <c r="C109" t="str">
        <f t="shared" si="10"/>
        <v>B</v>
      </c>
      <c r="D109">
        <f t="shared" si="9"/>
        <v>3</v>
      </c>
      <c r="E109" t="str">
        <f t="shared" si="8"/>
        <v>D</v>
      </c>
      <c r="F109" t="str">
        <f t="shared" si="6"/>
        <v>3BD</v>
      </c>
    </row>
    <row r="110" spans="1:6" x14ac:dyDescent="0.2">
      <c r="A110">
        <v>4</v>
      </c>
      <c r="C110" t="str">
        <f t="shared" si="10"/>
        <v>B</v>
      </c>
      <c r="D110">
        <f t="shared" si="9"/>
        <v>3</v>
      </c>
      <c r="E110" t="str">
        <f t="shared" si="8"/>
        <v>E</v>
      </c>
      <c r="F110" t="str">
        <f t="shared" si="6"/>
        <v>4BE</v>
      </c>
    </row>
    <row r="111" spans="1:6" x14ac:dyDescent="0.2">
      <c r="A111">
        <v>5</v>
      </c>
      <c r="C111" t="str">
        <f t="shared" si="10"/>
        <v>B</v>
      </c>
      <c r="D111">
        <f t="shared" si="9"/>
        <v>3</v>
      </c>
      <c r="E111" t="str">
        <f t="shared" si="8"/>
        <v>F</v>
      </c>
      <c r="F111" t="str">
        <f t="shared" si="6"/>
        <v>5BF</v>
      </c>
    </row>
    <row r="112" spans="1:6" x14ac:dyDescent="0.2">
      <c r="A112">
        <v>6</v>
      </c>
      <c r="C112" t="str">
        <f t="shared" si="10"/>
        <v>B</v>
      </c>
      <c r="D112">
        <f t="shared" si="9"/>
        <v>3</v>
      </c>
      <c r="E112" t="str">
        <f t="shared" si="8"/>
        <v>G</v>
      </c>
      <c r="F112" t="str">
        <f t="shared" si="6"/>
        <v>6BG</v>
      </c>
    </row>
    <row r="113" spans="1:6" x14ac:dyDescent="0.2">
      <c r="A113">
        <v>7</v>
      </c>
      <c r="C113" t="str">
        <f t="shared" si="10"/>
        <v>B</v>
      </c>
      <c r="D113">
        <f t="shared" si="9"/>
        <v>3</v>
      </c>
      <c r="E113" t="str">
        <f t="shared" si="8"/>
        <v>H</v>
      </c>
      <c r="F113" t="str">
        <f t="shared" si="6"/>
        <v>7BH</v>
      </c>
    </row>
    <row r="114" spans="1:6" x14ac:dyDescent="0.2">
      <c r="A114">
        <v>8</v>
      </c>
      <c r="C114" t="str">
        <f t="shared" si="10"/>
        <v>B</v>
      </c>
      <c r="D114">
        <f t="shared" si="9"/>
        <v>3</v>
      </c>
      <c r="E114" t="str">
        <f t="shared" si="8"/>
        <v>I</v>
      </c>
      <c r="F114" t="str">
        <f t="shared" si="6"/>
        <v>8BI</v>
      </c>
    </row>
    <row r="115" spans="1:6" x14ac:dyDescent="0.2">
      <c r="A115">
        <v>9</v>
      </c>
      <c r="C115" t="str">
        <f t="shared" si="10"/>
        <v>B</v>
      </c>
      <c r="D115">
        <f t="shared" si="9"/>
        <v>3</v>
      </c>
      <c r="E115" t="str">
        <f t="shared" si="8"/>
        <v>J</v>
      </c>
      <c r="F115" t="str">
        <f t="shared" si="6"/>
        <v>9BJ</v>
      </c>
    </row>
    <row r="116" spans="1:6" x14ac:dyDescent="0.2">
      <c r="A116">
        <v>10</v>
      </c>
      <c r="C116" t="str">
        <f t="shared" si="10"/>
        <v>B</v>
      </c>
      <c r="D116">
        <f t="shared" si="9"/>
        <v>3</v>
      </c>
      <c r="E116" t="str">
        <f t="shared" si="8"/>
        <v>K</v>
      </c>
      <c r="F116" t="str">
        <f t="shared" si="6"/>
        <v>10BK</v>
      </c>
    </row>
    <row r="117" spans="1:6" x14ac:dyDescent="0.2">
      <c r="A117">
        <v>11</v>
      </c>
      <c r="C117" t="str">
        <f t="shared" si="10"/>
        <v>B</v>
      </c>
      <c r="D117">
        <f t="shared" si="9"/>
        <v>3</v>
      </c>
      <c r="E117" t="str">
        <f t="shared" si="8"/>
        <v>L</v>
      </c>
      <c r="F117" t="str">
        <f t="shared" si="6"/>
        <v>11BL</v>
      </c>
    </row>
    <row r="118" spans="1:6" x14ac:dyDescent="0.2">
      <c r="A118">
        <v>12</v>
      </c>
      <c r="C118" t="str">
        <f t="shared" si="10"/>
        <v>B</v>
      </c>
      <c r="D118">
        <f t="shared" si="9"/>
        <v>3</v>
      </c>
      <c r="E118" t="str">
        <f t="shared" si="8"/>
        <v>M</v>
      </c>
      <c r="F118" t="str">
        <f t="shared" si="6"/>
        <v>12BM</v>
      </c>
    </row>
    <row r="119" spans="1:6" x14ac:dyDescent="0.2">
      <c r="A119">
        <v>13</v>
      </c>
      <c r="C119" t="str">
        <f t="shared" si="10"/>
        <v>B</v>
      </c>
      <c r="D119">
        <f t="shared" si="9"/>
        <v>3</v>
      </c>
      <c r="E119" t="str">
        <f t="shared" si="8"/>
        <v>N</v>
      </c>
      <c r="F119" t="str">
        <f t="shared" si="6"/>
        <v>13BN</v>
      </c>
    </row>
    <row r="120" spans="1:6" x14ac:dyDescent="0.2">
      <c r="A120">
        <v>14</v>
      </c>
      <c r="C120" t="str">
        <f t="shared" si="10"/>
        <v>B</v>
      </c>
      <c r="D120">
        <f t="shared" si="9"/>
        <v>3</v>
      </c>
      <c r="E120" t="str">
        <f t="shared" si="8"/>
        <v>O</v>
      </c>
      <c r="F120" t="str">
        <f t="shared" si="6"/>
        <v>14BO</v>
      </c>
    </row>
    <row r="121" spans="1:6" x14ac:dyDescent="0.2">
      <c r="A121">
        <v>15</v>
      </c>
      <c r="C121" t="str">
        <f t="shared" si="10"/>
        <v>B</v>
      </c>
      <c r="D121">
        <f t="shared" si="9"/>
        <v>3</v>
      </c>
      <c r="E121" t="str">
        <f t="shared" si="8"/>
        <v>P</v>
      </c>
      <c r="F121" t="str">
        <f t="shared" si="6"/>
        <v>15BP</v>
      </c>
    </row>
    <row r="122" spans="1:6" x14ac:dyDescent="0.2">
      <c r="A122">
        <v>16</v>
      </c>
      <c r="C122" t="str">
        <f t="shared" si="10"/>
        <v>B</v>
      </c>
      <c r="D122">
        <f t="shared" si="9"/>
        <v>3</v>
      </c>
      <c r="E122" t="str">
        <f t="shared" si="8"/>
        <v>Q</v>
      </c>
      <c r="F122" t="str">
        <f t="shared" si="6"/>
        <v>16BQ</v>
      </c>
    </row>
    <row r="123" spans="1:6" x14ac:dyDescent="0.2">
      <c r="A123">
        <v>17</v>
      </c>
      <c r="C123" t="str">
        <f t="shared" si="10"/>
        <v>B</v>
      </c>
      <c r="D123">
        <f t="shared" si="9"/>
        <v>3</v>
      </c>
      <c r="E123" t="str">
        <f t="shared" si="8"/>
        <v>R</v>
      </c>
      <c r="F123" t="str">
        <f t="shared" si="6"/>
        <v>17BR</v>
      </c>
    </row>
    <row r="124" spans="1:6" x14ac:dyDescent="0.2">
      <c r="A124">
        <v>18</v>
      </c>
      <c r="C124" t="str">
        <f t="shared" si="10"/>
        <v>B</v>
      </c>
      <c r="D124">
        <f t="shared" si="9"/>
        <v>3</v>
      </c>
      <c r="E124" t="str">
        <f t="shared" si="8"/>
        <v>S</v>
      </c>
      <c r="F124" t="str">
        <f t="shared" si="6"/>
        <v>18BS</v>
      </c>
    </row>
    <row r="125" spans="1:6" x14ac:dyDescent="0.2">
      <c r="A125">
        <v>19</v>
      </c>
      <c r="C125" t="str">
        <f t="shared" si="10"/>
        <v>B</v>
      </c>
      <c r="D125">
        <f t="shared" si="9"/>
        <v>3</v>
      </c>
      <c r="E125" t="str">
        <f t="shared" si="8"/>
        <v>T</v>
      </c>
      <c r="F125" t="str">
        <f t="shared" si="6"/>
        <v>19BT</v>
      </c>
    </row>
    <row r="126" spans="1:6" x14ac:dyDescent="0.2">
      <c r="A126">
        <v>20</v>
      </c>
      <c r="C126" t="str">
        <f t="shared" si="10"/>
        <v>B</v>
      </c>
      <c r="D126">
        <f t="shared" si="9"/>
        <v>3</v>
      </c>
      <c r="E126" t="str">
        <f t="shared" si="8"/>
        <v>U</v>
      </c>
      <c r="F126" t="str">
        <f t="shared" si="6"/>
        <v>20BU</v>
      </c>
    </row>
    <row r="127" spans="1:6" x14ac:dyDescent="0.2">
      <c r="A127">
        <v>21</v>
      </c>
      <c r="C127" t="str">
        <f t="shared" si="10"/>
        <v>B</v>
      </c>
      <c r="D127">
        <f t="shared" si="9"/>
        <v>3</v>
      </c>
      <c r="E127" t="str">
        <f t="shared" si="8"/>
        <v>V</v>
      </c>
      <c r="F127" t="str">
        <f t="shared" si="6"/>
        <v>21BV</v>
      </c>
    </row>
    <row r="128" spans="1:6" x14ac:dyDescent="0.2">
      <c r="A128">
        <v>22</v>
      </c>
      <c r="C128" t="str">
        <f t="shared" si="10"/>
        <v>B</v>
      </c>
      <c r="D128">
        <f t="shared" si="9"/>
        <v>3</v>
      </c>
      <c r="E128" t="str">
        <f t="shared" si="8"/>
        <v>W</v>
      </c>
      <c r="F128" t="str">
        <f t="shared" si="6"/>
        <v>22BW</v>
      </c>
    </row>
    <row r="129" spans="1:6" x14ac:dyDescent="0.2">
      <c r="A129">
        <v>23</v>
      </c>
      <c r="C129" t="str">
        <f t="shared" si="10"/>
        <v>B</v>
      </c>
      <c r="D129">
        <f t="shared" si="9"/>
        <v>3</v>
      </c>
      <c r="E129" t="str">
        <f t="shared" si="8"/>
        <v>X</v>
      </c>
      <c r="F129" t="str">
        <f t="shared" si="6"/>
        <v>23BX</v>
      </c>
    </row>
    <row r="130" spans="1:6" x14ac:dyDescent="0.2">
      <c r="A130">
        <v>24</v>
      </c>
      <c r="C130" t="str">
        <f t="shared" si="10"/>
        <v>B</v>
      </c>
      <c r="D130">
        <f t="shared" si="9"/>
        <v>3</v>
      </c>
      <c r="E130" t="str">
        <f t="shared" si="8"/>
        <v>Y</v>
      </c>
      <c r="F130" t="str">
        <f t="shared" si="6"/>
        <v>24BY</v>
      </c>
    </row>
    <row r="131" spans="1:6" x14ac:dyDescent="0.2">
      <c r="A131">
        <v>25</v>
      </c>
      <c r="C131" t="str">
        <f t="shared" si="10"/>
        <v>B</v>
      </c>
      <c r="D131">
        <f t="shared" si="9"/>
        <v>3</v>
      </c>
      <c r="E131" t="str">
        <f t="shared" si="8"/>
        <v>Z</v>
      </c>
      <c r="F131" t="str">
        <f t="shared" ref="F131:F194" si="11">A131&amp;C131&amp;E131</f>
        <v>25BZ</v>
      </c>
    </row>
    <row r="132" spans="1:6" x14ac:dyDescent="0.2">
      <c r="A132">
        <v>0</v>
      </c>
      <c r="C132" t="str">
        <f>CHAR(63+D132)</f>
        <v>B</v>
      </c>
      <c r="D132">
        <f t="shared" si="9"/>
        <v>3</v>
      </c>
      <c r="E132" t="str">
        <f t="shared" si="8"/>
        <v>A</v>
      </c>
      <c r="F132" t="str">
        <f t="shared" si="11"/>
        <v>0BA</v>
      </c>
    </row>
    <row r="133" spans="1:6" x14ac:dyDescent="0.2">
      <c r="A133">
        <v>1</v>
      </c>
      <c r="C133" t="str">
        <f>C132</f>
        <v>B</v>
      </c>
      <c r="D133">
        <f t="shared" si="9"/>
        <v>3</v>
      </c>
      <c r="E133" t="str">
        <f t="shared" si="8"/>
        <v>B</v>
      </c>
      <c r="F133" t="str">
        <f t="shared" si="11"/>
        <v>1BB</v>
      </c>
    </row>
    <row r="134" spans="1:6" x14ac:dyDescent="0.2">
      <c r="A134">
        <v>2</v>
      </c>
      <c r="C134" t="str">
        <f t="shared" ref="C134:C157" si="12">C133</f>
        <v>B</v>
      </c>
      <c r="D134">
        <f t="shared" si="9"/>
        <v>3</v>
      </c>
      <c r="E134" t="str">
        <f t="shared" si="8"/>
        <v>C</v>
      </c>
      <c r="F134" t="str">
        <f t="shared" si="11"/>
        <v>2BC</v>
      </c>
    </row>
    <row r="135" spans="1:6" x14ac:dyDescent="0.2">
      <c r="A135">
        <v>3</v>
      </c>
      <c r="C135" t="str">
        <f t="shared" si="12"/>
        <v>B</v>
      </c>
      <c r="D135">
        <f t="shared" si="9"/>
        <v>3</v>
      </c>
      <c r="E135" t="str">
        <f t="shared" si="8"/>
        <v>D</v>
      </c>
      <c r="F135" t="str">
        <f t="shared" si="11"/>
        <v>3BD</v>
      </c>
    </row>
    <row r="136" spans="1:6" x14ac:dyDescent="0.2">
      <c r="A136">
        <v>4</v>
      </c>
      <c r="C136" t="str">
        <f t="shared" si="12"/>
        <v>B</v>
      </c>
      <c r="D136">
        <f t="shared" si="9"/>
        <v>3</v>
      </c>
      <c r="E136" t="str">
        <f t="shared" si="8"/>
        <v>E</v>
      </c>
      <c r="F136" t="str">
        <f t="shared" si="11"/>
        <v>4BE</v>
      </c>
    </row>
    <row r="137" spans="1:6" x14ac:dyDescent="0.2">
      <c r="A137">
        <v>5</v>
      </c>
      <c r="C137" t="str">
        <f t="shared" si="12"/>
        <v>B</v>
      </c>
      <c r="D137">
        <f t="shared" si="9"/>
        <v>3</v>
      </c>
      <c r="E137" t="str">
        <f t="shared" si="8"/>
        <v>F</v>
      </c>
      <c r="F137" t="str">
        <f t="shared" si="11"/>
        <v>5BF</v>
      </c>
    </row>
    <row r="138" spans="1:6" x14ac:dyDescent="0.2">
      <c r="A138">
        <v>6</v>
      </c>
      <c r="C138" t="str">
        <f t="shared" si="12"/>
        <v>B</v>
      </c>
      <c r="D138">
        <f t="shared" si="9"/>
        <v>3</v>
      </c>
      <c r="E138" t="str">
        <f t="shared" si="8"/>
        <v>G</v>
      </c>
      <c r="F138" t="str">
        <f t="shared" si="11"/>
        <v>6BG</v>
      </c>
    </row>
    <row r="139" spans="1:6" x14ac:dyDescent="0.2">
      <c r="A139">
        <v>7</v>
      </c>
      <c r="C139" t="str">
        <f t="shared" si="12"/>
        <v>B</v>
      </c>
      <c r="D139">
        <f t="shared" si="9"/>
        <v>3</v>
      </c>
      <c r="E139" t="str">
        <f t="shared" si="8"/>
        <v>H</v>
      </c>
      <c r="F139" t="str">
        <f t="shared" si="11"/>
        <v>7BH</v>
      </c>
    </row>
    <row r="140" spans="1:6" x14ac:dyDescent="0.2">
      <c r="A140">
        <v>8</v>
      </c>
      <c r="C140" t="str">
        <f t="shared" si="12"/>
        <v>B</v>
      </c>
      <c r="D140">
        <f t="shared" si="9"/>
        <v>3</v>
      </c>
      <c r="E140" t="str">
        <f t="shared" si="8"/>
        <v>I</v>
      </c>
      <c r="F140" t="str">
        <f t="shared" si="11"/>
        <v>8BI</v>
      </c>
    </row>
    <row r="141" spans="1:6" x14ac:dyDescent="0.2">
      <c r="A141">
        <v>9</v>
      </c>
      <c r="C141" t="str">
        <f t="shared" si="12"/>
        <v>B</v>
      </c>
      <c r="D141">
        <f t="shared" si="9"/>
        <v>3</v>
      </c>
      <c r="E141" t="str">
        <f t="shared" si="8"/>
        <v>J</v>
      </c>
      <c r="F141" t="str">
        <f t="shared" si="11"/>
        <v>9BJ</v>
      </c>
    </row>
    <row r="142" spans="1:6" x14ac:dyDescent="0.2">
      <c r="A142">
        <v>10</v>
      </c>
      <c r="C142" t="str">
        <f t="shared" si="12"/>
        <v>B</v>
      </c>
      <c r="D142">
        <f t="shared" si="9"/>
        <v>3</v>
      </c>
      <c r="E142" t="str">
        <f t="shared" si="8"/>
        <v>K</v>
      </c>
      <c r="F142" t="str">
        <f t="shared" si="11"/>
        <v>10BK</v>
      </c>
    </row>
    <row r="143" spans="1:6" x14ac:dyDescent="0.2">
      <c r="A143">
        <v>11</v>
      </c>
      <c r="C143" t="str">
        <f t="shared" si="12"/>
        <v>B</v>
      </c>
      <c r="D143">
        <f t="shared" si="9"/>
        <v>3</v>
      </c>
      <c r="E143" t="str">
        <f t="shared" si="8"/>
        <v>L</v>
      </c>
      <c r="F143" t="str">
        <f t="shared" si="11"/>
        <v>11BL</v>
      </c>
    </row>
    <row r="144" spans="1:6" x14ac:dyDescent="0.2">
      <c r="A144">
        <v>12</v>
      </c>
      <c r="C144" t="str">
        <f t="shared" si="12"/>
        <v>B</v>
      </c>
      <c r="D144">
        <f t="shared" si="9"/>
        <v>3</v>
      </c>
      <c r="E144" t="str">
        <f t="shared" si="8"/>
        <v>M</v>
      </c>
      <c r="F144" t="str">
        <f t="shared" si="11"/>
        <v>12BM</v>
      </c>
    </row>
    <row r="145" spans="1:6" x14ac:dyDescent="0.2">
      <c r="A145">
        <v>13</v>
      </c>
      <c r="C145" t="str">
        <f t="shared" si="12"/>
        <v>B</v>
      </c>
      <c r="D145">
        <f t="shared" si="9"/>
        <v>3</v>
      </c>
      <c r="E145" t="str">
        <f t="shared" si="8"/>
        <v>N</v>
      </c>
      <c r="F145" t="str">
        <f t="shared" si="11"/>
        <v>13BN</v>
      </c>
    </row>
    <row r="146" spans="1:6" x14ac:dyDescent="0.2">
      <c r="A146">
        <v>14</v>
      </c>
      <c r="C146" t="str">
        <f t="shared" si="12"/>
        <v>B</v>
      </c>
      <c r="D146">
        <f t="shared" si="9"/>
        <v>3</v>
      </c>
      <c r="E146" t="str">
        <f t="shared" si="8"/>
        <v>O</v>
      </c>
      <c r="F146" t="str">
        <f t="shared" si="11"/>
        <v>14BO</v>
      </c>
    </row>
    <row r="147" spans="1:6" x14ac:dyDescent="0.2">
      <c r="A147">
        <v>15</v>
      </c>
      <c r="C147" t="str">
        <f t="shared" si="12"/>
        <v>B</v>
      </c>
      <c r="D147">
        <f t="shared" si="9"/>
        <v>3</v>
      </c>
      <c r="E147" t="str">
        <f t="shared" si="8"/>
        <v>P</v>
      </c>
      <c r="F147" t="str">
        <f t="shared" si="11"/>
        <v>15BP</v>
      </c>
    </row>
    <row r="148" spans="1:6" x14ac:dyDescent="0.2">
      <c r="A148">
        <v>16</v>
      </c>
      <c r="C148" t="str">
        <f t="shared" si="12"/>
        <v>B</v>
      </c>
      <c r="D148">
        <f t="shared" si="9"/>
        <v>3</v>
      </c>
      <c r="E148" t="str">
        <f t="shared" si="8"/>
        <v>Q</v>
      </c>
      <c r="F148" t="str">
        <f t="shared" si="11"/>
        <v>16BQ</v>
      </c>
    </row>
    <row r="149" spans="1:6" x14ac:dyDescent="0.2">
      <c r="A149">
        <v>17</v>
      </c>
      <c r="C149" t="str">
        <f t="shared" si="12"/>
        <v>B</v>
      </c>
      <c r="D149">
        <f t="shared" si="9"/>
        <v>3</v>
      </c>
      <c r="E149" t="str">
        <f t="shared" si="8"/>
        <v>R</v>
      </c>
      <c r="F149" t="str">
        <f t="shared" si="11"/>
        <v>17BR</v>
      </c>
    </row>
    <row r="150" spans="1:6" x14ac:dyDescent="0.2">
      <c r="A150">
        <v>18</v>
      </c>
      <c r="C150" t="str">
        <f t="shared" si="12"/>
        <v>B</v>
      </c>
      <c r="D150">
        <f t="shared" si="9"/>
        <v>3</v>
      </c>
      <c r="E150" t="str">
        <f t="shared" si="8"/>
        <v>S</v>
      </c>
      <c r="F150" t="str">
        <f t="shared" si="11"/>
        <v>18BS</v>
      </c>
    </row>
    <row r="151" spans="1:6" x14ac:dyDescent="0.2">
      <c r="A151">
        <v>19</v>
      </c>
      <c r="C151" t="str">
        <f t="shared" si="12"/>
        <v>B</v>
      </c>
      <c r="D151">
        <f t="shared" si="9"/>
        <v>3</v>
      </c>
      <c r="E151" t="str">
        <f t="shared" si="8"/>
        <v>T</v>
      </c>
      <c r="F151" t="str">
        <f t="shared" si="11"/>
        <v>19BT</v>
      </c>
    </row>
    <row r="152" spans="1:6" x14ac:dyDescent="0.2">
      <c r="A152">
        <v>20</v>
      </c>
      <c r="C152" t="str">
        <f t="shared" si="12"/>
        <v>B</v>
      </c>
      <c r="D152">
        <f t="shared" si="9"/>
        <v>3</v>
      </c>
      <c r="E152" t="str">
        <f t="shared" si="8"/>
        <v>U</v>
      </c>
      <c r="F152" t="str">
        <f t="shared" si="11"/>
        <v>20BU</v>
      </c>
    </row>
    <row r="153" spans="1:6" x14ac:dyDescent="0.2">
      <c r="A153">
        <v>21</v>
      </c>
      <c r="C153" t="str">
        <f t="shared" si="12"/>
        <v>B</v>
      </c>
      <c r="D153">
        <f t="shared" si="9"/>
        <v>3</v>
      </c>
      <c r="E153" t="str">
        <f t="shared" si="8"/>
        <v>V</v>
      </c>
      <c r="F153" t="str">
        <f t="shared" si="11"/>
        <v>21BV</v>
      </c>
    </row>
    <row r="154" spans="1:6" x14ac:dyDescent="0.2">
      <c r="A154">
        <v>22</v>
      </c>
      <c r="C154" t="str">
        <f t="shared" si="12"/>
        <v>B</v>
      </c>
      <c r="D154">
        <f t="shared" si="9"/>
        <v>3</v>
      </c>
      <c r="E154" t="str">
        <f t="shared" si="8"/>
        <v>W</v>
      </c>
      <c r="F154" t="str">
        <f t="shared" si="11"/>
        <v>22BW</v>
      </c>
    </row>
    <row r="155" spans="1:6" x14ac:dyDescent="0.2">
      <c r="A155">
        <v>23</v>
      </c>
      <c r="C155" t="str">
        <f t="shared" si="12"/>
        <v>B</v>
      </c>
      <c r="D155">
        <f t="shared" si="9"/>
        <v>3</v>
      </c>
      <c r="E155" t="str">
        <f t="shared" si="8"/>
        <v>X</v>
      </c>
      <c r="F155" t="str">
        <f t="shared" si="11"/>
        <v>23BX</v>
      </c>
    </row>
    <row r="156" spans="1:6" x14ac:dyDescent="0.2">
      <c r="A156">
        <v>24</v>
      </c>
      <c r="C156" t="str">
        <f t="shared" si="12"/>
        <v>B</v>
      </c>
      <c r="D156">
        <f t="shared" si="9"/>
        <v>3</v>
      </c>
      <c r="E156" t="str">
        <f t="shared" si="8"/>
        <v>Y</v>
      </c>
      <c r="F156" t="str">
        <f t="shared" si="11"/>
        <v>24BY</v>
      </c>
    </row>
    <row r="157" spans="1:6" x14ac:dyDescent="0.2">
      <c r="A157">
        <v>25</v>
      </c>
      <c r="C157" t="str">
        <f t="shared" si="12"/>
        <v>B</v>
      </c>
      <c r="D157">
        <f t="shared" si="9"/>
        <v>3</v>
      </c>
      <c r="E157" t="str">
        <f t="shared" ref="E157:E220" si="13">E131</f>
        <v>Z</v>
      </c>
      <c r="F157" t="str">
        <f t="shared" si="11"/>
        <v>25BZ</v>
      </c>
    </row>
    <row r="158" spans="1:6" x14ac:dyDescent="0.2">
      <c r="A158">
        <v>0</v>
      </c>
      <c r="D158">
        <f t="shared" ref="D158:D221" si="14">D157</f>
        <v>3</v>
      </c>
      <c r="E158" t="str">
        <f t="shared" si="13"/>
        <v>A</v>
      </c>
      <c r="F158" t="str">
        <f t="shared" si="11"/>
        <v>0A</v>
      </c>
    </row>
    <row r="159" spans="1:6" x14ac:dyDescent="0.2">
      <c r="A159">
        <v>1</v>
      </c>
      <c r="D159">
        <f t="shared" si="14"/>
        <v>3</v>
      </c>
      <c r="E159" t="str">
        <f t="shared" si="13"/>
        <v>B</v>
      </c>
      <c r="F159" t="str">
        <f t="shared" si="11"/>
        <v>1B</v>
      </c>
    </row>
    <row r="160" spans="1:6" x14ac:dyDescent="0.2">
      <c r="A160">
        <v>2</v>
      </c>
      <c r="D160">
        <f t="shared" si="14"/>
        <v>3</v>
      </c>
      <c r="E160" t="str">
        <f t="shared" si="13"/>
        <v>C</v>
      </c>
      <c r="F160" t="str">
        <f t="shared" si="11"/>
        <v>2C</v>
      </c>
    </row>
    <row r="161" spans="1:6" x14ac:dyDescent="0.2">
      <c r="A161">
        <v>3</v>
      </c>
      <c r="D161">
        <f t="shared" si="14"/>
        <v>3</v>
      </c>
      <c r="E161" t="str">
        <f t="shared" si="13"/>
        <v>D</v>
      </c>
      <c r="F161" t="str">
        <f t="shared" si="11"/>
        <v>3D</v>
      </c>
    </row>
    <row r="162" spans="1:6" x14ac:dyDescent="0.2">
      <c r="A162">
        <v>4</v>
      </c>
      <c r="D162">
        <f t="shared" si="14"/>
        <v>3</v>
      </c>
      <c r="E162" t="str">
        <f t="shared" si="13"/>
        <v>E</v>
      </c>
      <c r="F162" t="str">
        <f t="shared" si="11"/>
        <v>4E</v>
      </c>
    </row>
    <row r="163" spans="1:6" x14ac:dyDescent="0.2">
      <c r="A163">
        <v>5</v>
      </c>
      <c r="D163">
        <f t="shared" si="14"/>
        <v>3</v>
      </c>
      <c r="E163" t="str">
        <f t="shared" si="13"/>
        <v>F</v>
      </c>
      <c r="F163" t="str">
        <f t="shared" si="11"/>
        <v>5F</v>
      </c>
    </row>
    <row r="164" spans="1:6" x14ac:dyDescent="0.2">
      <c r="A164">
        <v>6</v>
      </c>
      <c r="D164">
        <f t="shared" si="14"/>
        <v>3</v>
      </c>
      <c r="E164" t="str">
        <f t="shared" si="13"/>
        <v>G</v>
      </c>
      <c r="F164" t="str">
        <f t="shared" si="11"/>
        <v>6G</v>
      </c>
    </row>
    <row r="165" spans="1:6" x14ac:dyDescent="0.2">
      <c r="A165">
        <v>7</v>
      </c>
      <c r="D165">
        <f t="shared" si="14"/>
        <v>3</v>
      </c>
      <c r="E165" t="str">
        <f t="shared" si="13"/>
        <v>H</v>
      </c>
      <c r="F165" t="str">
        <f t="shared" si="11"/>
        <v>7H</v>
      </c>
    </row>
    <row r="166" spans="1:6" x14ac:dyDescent="0.2">
      <c r="A166">
        <v>8</v>
      </c>
      <c r="D166">
        <f t="shared" si="14"/>
        <v>3</v>
      </c>
      <c r="E166" t="str">
        <f t="shared" si="13"/>
        <v>I</v>
      </c>
      <c r="F166" t="str">
        <f t="shared" si="11"/>
        <v>8I</v>
      </c>
    </row>
    <row r="167" spans="1:6" x14ac:dyDescent="0.2">
      <c r="A167">
        <v>9</v>
      </c>
      <c r="D167">
        <f t="shared" si="14"/>
        <v>3</v>
      </c>
      <c r="E167" t="str">
        <f t="shared" si="13"/>
        <v>J</v>
      </c>
      <c r="F167" t="str">
        <f t="shared" si="11"/>
        <v>9J</v>
      </c>
    </row>
    <row r="168" spans="1:6" x14ac:dyDescent="0.2">
      <c r="A168">
        <v>10</v>
      </c>
      <c r="D168">
        <f t="shared" si="14"/>
        <v>3</v>
      </c>
      <c r="E168" t="str">
        <f t="shared" si="13"/>
        <v>K</v>
      </c>
      <c r="F168" t="str">
        <f t="shared" si="11"/>
        <v>10K</v>
      </c>
    </row>
    <row r="169" spans="1:6" x14ac:dyDescent="0.2">
      <c r="A169">
        <v>11</v>
      </c>
      <c r="D169">
        <f t="shared" si="14"/>
        <v>3</v>
      </c>
      <c r="E169" t="str">
        <f t="shared" si="13"/>
        <v>L</v>
      </c>
      <c r="F169" t="str">
        <f t="shared" si="11"/>
        <v>11L</v>
      </c>
    </row>
    <row r="170" spans="1:6" x14ac:dyDescent="0.2">
      <c r="A170">
        <v>12</v>
      </c>
      <c r="D170">
        <f t="shared" si="14"/>
        <v>3</v>
      </c>
      <c r="E170" t="str">
        <f t="shared" si="13"/>
        <v>M</v>
      </c>
      <c r="F170" t="str">
        <f t="shared" si="11"/>
        <v>12M</v>
      </c>
    </row>
    <row r="171" spans="1:6" x14ac:dyDescent="0.2">
      <c r="A171">
        <v>13</v>
      </c>
      <c r="D171">
        <f t="shared" si="14"/>
        <v>3</v>
      </c>
      <c r="E171" t="str">
        <f t="shared" si="13"/>
        <v>N</v>
      </c>
      <c r="F171" t="str">
        <f t="shared" si="11"/>
        <v>13N</v>
      </c>
    </row>
    <row r="172" spans="1:6" x14ac:dyDescent="0.2">
      <c r="A172">
        <v>14</v>
      </c>
      <c r="D172">
        <f t="shared" si="14"/>
        <v>3</v>
      </c>
      <c r="E172" t="str">
        <f t="shared" si="13"/>
        <v>O</v>
      </c>
      <c r="F172" t="str">
        <f t="shared" si="11"/>
        <v>14O</v>
      </c>
    </row>
    <row r="173" spans="1:6" x14ac:dyDescent="0.2">
      <c r="A173">
        <v>15</v>
      </c>
      <c r="D173">
        <f t="shared" si="14"/>
        <v>3</v>
      </c>
      <c r="E173" t="str">
        <f t="shared" si="13"/>
        <v>P</v>
      </c>
      <c r="F173" t="str">
        <f t="shared" si="11"/>
        <v>15P</v>
      </c>
    </row>
    <row r="174" spans="1:6" x14ac:dyDescent="0.2">
      <c r="A174">
        <v>16</v>
      </c>
      <c r="D174">
        <f t="shared" si="14"/>
        <v>3</v>
      </c>
      <c r="E174" t="str">
        <f t="shared" si="13"/>
        <v>Q</v>
      </c>
      <c r="F174" t="str">
        <f t="shared" si="11"/>
        <v>16Q</v>
      </c>
    </row>
    <row r="175" spans="1:6" x14ac:dyDescent="0.2">
      <c r="A175">
        <v>17</v>
      </c>
      <c r="D175">
        <f t="shared" si="14"/>
        <v>3</v>
      </c>
      <c r="E175" t="str">
        <f t="shared" si="13"/>
        <v>R</v>
      </c>
      <c r="F175" t="str">
        <f t="shared" si="11"/>
        <v>17R</v>
      </c>
    </row>
    <row r="176" spans="1:6" x14ac:dyDescent="0.2">
      <c r="A176">
        <v>18</v>
      </c>
      <c r="D176">
        <f t="shared" si="14"/>
        <v>3</v>
      </c>
      <c r="E176" t="str">
        <f t="shared" si="13"/>
        <v>S</v>
      </c>
      <c r="F176" t="str">
        <f t="shared" si="11"/>
        <v>18S</v>
      </c>
    </row>
    <row r="177" spans="1:6" x14ac:dyDescent="0.2">
      <c r="A177">
        <v>19</v>
      </c>
      <c r="D177">
        <f t="shared" si="14"/>
        <v>3</v>
      </c>
      <c r="E177" t="str">
        <f t="shared" si="13"/>
        <v>T</v>
      </c>
      <c r="F177" t="str">
        <f t="shared" si="11"/>
        <v>19T</v>
      </c>
    </row>
    <row r="178" spans="1:6" x14ac:dyDescent="0.2">
      <c r="A178">
        <v>20</v>
      </c>
      <c r="D178">
        <f t="shared" si="14"/>
        <v>3</v>
      </c>
      <c r="E178" t="str">
        <f t="shared" si="13"/>
        <v>U</v>
      </c>
      <c r="F178" t="str">
        <f t="shared" si="11"/>
        <v>20U</v>
      </c>
    </row>
    <row r="179" spans="1:6" x14ac:dyDescent="0.2">
      <c r="A179">
        <v>21</v>
      </c>
      <c r="D179">
        <f t="shared" si="14"/>
        <v>3</v>
      </c>
      <c r="E179" t="str">
        <f t="shared" si="13"/>
        <v>V</v>
      </c>
      <c r="F179" t="str">
        <f t="shared" si="11"/>
        <v>21V</v>
      </c>
    </row>
    <row r="180" spans="1:6" x14ac:dyDescent="0.2">
      <c r="A180">
        <v>22</v>
      </c>
      <c r="D180">
        <f t="shared" si="14"/>
        <v>3</v>
      </c>
      <c r="E180" t="str">
        <f t="shared" si="13"/>
        <v>W</v>
      </c>
      <c r="F180" t="str">
        <f t="shared" si="11"/>
        <v>22W</v>
      </c>
    </row>
    <row r="181" spans="1:6" x14ac:dyDescent="0.2">
      <c r="A181">
        <v>23</v>
      </c>
      <c r="D181">
        <f t="shared" si="14"/>
        <v>3</v>
      </c>
      <c r="E181" t="str">
        <f t="shared" si="13"/>
        <v>X</v>
      </c>
      <c r="F181" t="str">
        <f t="shared" si="11"/>
        <v>23X</v>
      </c>
    </row>
    <row r="182" spans="1:6" x14ac:dyDescent="0.2">
      <c r="A182">
        <v>24</v>
      </c>
      <c r="D182">
        <f t="shared" si="14"/>
        <v>3</v>
      </c>
      <c r="E182" t="str">
        <f t="shared" si="13"/>
        <v>Y</v>
      </c>
      <c r="F182" t="str">
        <f t="shared" si="11"/>
        <v>24Y</v>
      </c>
    </row>
    <row r="183" spans="1:6" x14ac:dyDescent="0.2">
      <c r="A183">
        <v>25</v>
      </c>
      <c r="D183">
        <f t="shared" si="14"/>
        <v>3</v>
      </c>
      <c r="E183" t="str">
        <f t="shared" si="13"/>
        <v>Z</v>
      </c>
      <c r="F183" t="str">
        <f t="shared" si="11"/>
        <v>25Z</v>
      </c>
    </row>
    <row r="184" spans="1:6" x14ac:dyDescent="0.2">
      <c r="A184">
        <v>0</v>
      </c>
      <c r="D184">
        <f t="shared" si="14"/>
        <v>3</v>
      </c>
      <c r="E184" t="str">
        <f t="shared" si="13"/>
        <v>A</v>
      </c>
      <c r="F184" t="str">
        <f t="shared" si="11"/>
        <v>0A</v>
      </c>
    </row>
    <row r="185" spans="1:6" x14ac:dyDescent="0.2">
      <c r="A185">
        <v>1</v>
      </c>
      <c r="D185">
        <f t="shared" si="14"/>
        <v>3</v>
      </c>
      <c r="E185" t="str">
        <f t="shared" si="13"/>
        <v>B</v>
      </c>
      <c r="F185" t="str">
        <f t="shared" si="11"/>
        <v>1B</v>
      </c>
    </row>
    <row r="186" spans="1:6" x14ac:dyDescent="0.2">
      <c r="A186">
        <v>2</v>
      </c>
      <c r="D186">
        <f t="shared" si="14"/>
        <v>3</v>
      </c>
      <c r="E186" t="str">
        <f t="shared" si="13"/>
        <v>C</v>
      </c>
      <c r="F186" t="str">
        <f t="shared" si="11"/>
        <v>2C</v>
      </c>
    </row>
    <row r="187" spans="1:6" x14ac:dyDescent="0.2">
      <c r="A187">
        <v>3</v>
      </c>
      <c r="D187">
        <f t="shared" si="14"/>
        <v>3</v>
      </c>
      <c r="E187" t="str">
        <f t="shared" si="13"/>
        <v>D</v>
      </c>
      <c r="F187" t="str">
        <f t="shared" si="11"/>
        <v>3D</v>
      </c>
    </row>
    <row r="188" spans="1:6" x14ac:dyDescent="0.2">
      <c r="A188">
        <v>4</v>
      </c>
      <c r="D188">
        <f t="shared" si="14"/>
        <v>3</v>
      </c>
      <c r="E188" t="str">
        <f t="shared" si="13"/>
        <v>E</v>
      </c>
      <c r="F188" t="str">
        <f t="shared" si="11"/>
        <v>4E</v>
      </c>
    </row>
    <row r="189" spans="1:6" x14ac:dyDescent="0.2">
      <c r="A189">
        <v>5</v>
      </c>
      <c r="D189">
        <f t="shared" si="14"/>
        <v>3</v>
      </c>
      <c r="E189" t="str">
        <f t="shared" si="13"/>
        <v>F</v>
      </c>
      <c r="F189" t="str">
        <f t="shared" si="11"/>
        <v>5F</v>
      </c>
    </row>
    <row r="190" spans="1:6" x14ac:dyDescent="0.2">
      <c r="A190">
        <v>6</v>
      </c>
      <c r="D190">
        <f t="shared" si="14"/>
        <v>3</v>
      </c>
      <c r="E190" t="str">
        <f t="shared" si="13"/>
        <v>G</v>
      </c>
      <c r="F190" t="str">
        <f t="shared" si="11"/>
        <v>6G</v>
      </c>
    </row>
    <row r="191" spans="1:6" x14ac:dyDescent="0.2">
      <c r="A191">
        <v>7</v>
      </c>
      <c r="D191">
        <f t="shared" si="14"/>
        <v>3</v>
      </c>
      <c r="E191" t="str">
        <f t="shared" si="13"/>
        <v>H</v>
      </c>
      <c r="F191" t="str">
        <f t="shared" si="11"/>
        <v>7H</v>
      </c>
    </row>
    <row r="192" spans="1:6" x14ac:dyDescent="0.2">
      <c r="A192">
        <v>8</v>
      </c>
      <c r="D192">
        <f t="shared" si="14"/>
        <v>3</v>
      </c>
      <c r="E192" t="str">
        <f t="shared" si="13"/>
        <v>I</v>
      </c>
      <c r="F192" t="str">
        <f t="shared" si="11"/>
        <v>8I</v>
      </c>
    </row>
    <row r="193" spans="1:6" x14ac:dyDescent="0.2">
      <c r="A193">
        <v>9</v>
      </c>
      <c r="D193">
        <f t="shared" si="14"/>
        <v>3</v>
      </c>
      <c r="E193" t="str">
        <f t="shared" si="13"/>
        <v>J</v>
      </c>
      <c r="F193" t="str">
        <f t="shared" si="11"/>
        <v>9J</v>
      </c>
    </row>
    <row r="194" spans="1:6" x14ac:dyDescent="0.2">
      <c r="A194">
        <v>10</v>
      </c>
      <c r="D194">
        <f t="shared" si="14"/>
        <v>3</v>
      </c>
      <c r="E194" t="str">
        <f t="shared" si="13"/>
        <v>K</v>
      </c>
      <c r="F194" t="str">
        <f t="shared" si="11"/>
        <v>10K</v>
      </c>
    </row>
    <row r="195" spans="1:6" x14ac:dyDescent="0.2">
      <c r="A195">
        <v>11</v>
      </c>
      <c r="D195">
        <f t="shared" si="14"/>
        <v>3</v>
      </c>
      <c r="E195" t="str">
        <f t="shared" si="13"/>
        <v>L</v>
      </c>
      <c r="F195" t="str">
        <f t="shared" ref="F195:F258" si="15">A195&amp;C195&amp;E195</f>
        <v>11L</v>
      </c>
    </row>
    <row r="196" spans="1:6" x14ac:dyDescent="0.2">
      <c r="A196">
        <v>12</v>
      </c>
      <c r="D196">
        <f t="shared" si="14"/>
        <v>3</v>
      </c>
      <c r="E196" t="str">
        <f t="shared" si="13"/>
        <v>M</v>
      </c>
      <c r="F196" t="str">
        <f t="shared" si="15"/>
        <v>12M</v>
      </c>
    </row>
    <row r="197" spans="1:6" x14ac:dyDescent="0.2">
      <c r="A197">
        <v>13</v>
      </c>
      <c r="D197">
        <f t="shared" si="14"/>
        <v>3</v>
      </c>
      <c r="E197" t="str">
        <f t="shared" si="13"/>
        <v>N</v>
      </c>
      <c r="F197" t="str">
        <f t="shared" si="15"/>
        <v>13N</v>
      </c>
    </row>
    <row r="198" spans="1:6" x14ac:dyDescent="0.2">
      <c r="A198">
        <v>14</v>
      </c>
      <c r="D198">
        <f t="shared" si="14"/>
        <v>3</v>
      </c>
      <c r="E198" t="str">
        <f t="shared" si="13"/>
        <v>O</v>
      </c>
      <c r="F198" t="str">
        <f t="shared" si="15"/>
        <v>14O</v>
      </c>
    </row>
    <row r="199" spans="1:6" x14ac:dyDescent="0.2">
      <c r="A199">
        <v>15</v>
      </c>
      <c r="D199">
        <f t="shared" si="14"/>
        <v>3</v>
      </c>
      <c r="E199" t="str">
        <f t="shared" si="13"/>
        <v>P</v>
      </c>
      <c r="F199" t="str">
        <f t="shared" si="15"/>
        <v>15P</v>
      </c>
    </row>
    <row r="200" spans="1:6" x14ac:dyDescent="0.2">
      <c r="A200">
        <v>16</v>
      </c>
      <c r="D200">
        <f t="shared" si="14"/>
        <v>3</v>
      </c>
      <c r="E200" t="str">
        <f t="shared" si="13"/>
        <v>Q</v>
      </c>
      <c r="F200" t="str">
        <f t="shared" si="15"/>
        <v>16Q</v>
      </c>
    </row>
    <row r="201" spans="1:6" x14ac:dyDescent="0.2">
      <c r="A201">
        <v>17</v>
      </c>
      <c r="D201">
        <f t="shared" si="14"/>
        <v>3</v>
      </c>
      <c r="E201" t="str">
        <f t="shared" si="13"/>
        <v>R</v>
      </c>
      <c r="F201" t="str">
        <f t="shared" si="15"/>
        <v>17R</v>
      </c>
    </row>
    <row r="202" spans="1:6" x14ac:dyDescent="0.2">
      <c r="A202">
        <v>18</v>
      </c>
      <c r="D202">
        <f t="shared" si="14"/>
        <v>3</v>
      </c>
      <c r="E202" t="str">
        <f t="shared" si="13"/>
        <v>S</v>
      </c>
      <c r="F202" t="str">
        <f t="shared" si="15"/>
        <v>18S</v>
      </c>
    </row>
    <row r="203" spans="1:6" x14ac:dyDescent="0.2">
      <c r="A203">
        <v>19</v>
      </c>
      <c r="D203">
        <f t="shared" si="14"/>
        <v>3</v>
      </c>
      <c r="E203" t="str">
        <f t="shared" si="13"/>
        <v>T</v>
      </c>
      <c r="F203" t="str">
        <f t="shared" si="15"/>
        <v>19T</v>
      </c>
    </row>
    <row r="204" spans="1:6" x14ac:dyDescent="0.2">
      <c r="A204">
        <v>20</v>
      </c>
      <c r="D204">
        <f t="shared" si="14"/>
        <v>3</v>
      </c>
      <c r="E204" t="str">
        <f t="shared" si="13"/>
        <v>U</v>
      </c>
      <c r="F204" t="str">
        <f t="shared" si="15"/>
        <v>20U</v>
      </c>
    </row>
    <row r="205" spans="1:6" x14ac:dyDescent="0.2">
      <c r="A205">
        <v>21</v>
      </c>
      <c r="D205">
        <f t="shared" si="14"/>
        <v>3</v>
      </c>
      <c r="E205" t="str">
        <f t="shared" si="13"/>
        <v>V</v>
      </c>
      <c r="F205" t="str">
        <f t="shared" si="15"/>
        <v>21V</v>
      </c>
    </row>
    <row r="206" spans="1:6" x14ac:dyDescent="0.2">
      <c r="A206">
        <v>22</v>
      </c>
      <c r="D206">
        <f t="shared" si="14"/>
        <v>3</v>
      </c>
      <c r="E206" t="str">
        <f t="shared" si="13"/>
        <v>W</v>
      </c>
      <c r="F206" t="str">
        <f t="shared" si="15"/>
        <v>22W</v>
      </c>
    </row>
    <row r="207" spans="1:6" x14ac:dyDescent="0.2">
      <c r="A207">
        <v>23</v>
      </c>
      <c r="D207">
        <f t="shared" si="14"/>
        <v>3</v>
      </c>
      <c r="E207" t="str">
        <f t="shared" si="13"/>
        <v>X</v>
      </c>
      <c r="F207" t="str">
        <f t="shared" si="15"/>
        <v>23X</v>
      </c>
    </row>
    <row r="208" spans="1:6" x14ac:dyDescent="0.2">
      <c r="A208">
        <v>24</v>
      </c>
      <c r="D208">
        <f t="shared" si="14"/>
        <v>3</v>
      </c>
      <c r="E208" t="str">
        <f t="shared" si="13"/>
        <v>Y</v>
      </c>
      <c r="F208" t="str">
        <f t="shared" si="15"/>
        <v>24Y</v>
      </c>
    </row>
    <row r="209" spans="1:6" x14ac:dyDescent="0.2">
      <c r="A209">
        <v>25</v>
      </c>
      <c r="D209">
        <f t="shared" si="14"/>
        <v>3</v>
      </c>
      <c r="E209" t="str">
        <f t="shared" si="13"/>
        <v>Z</v>
      </c>
      <c r="F209" t="str">
        <f t="shared" si="15"/>
        <v>25Z</v>
      </c>
    </row>
    <row r="210" spans="1:6" x14ac:dyDescent="0.2">
      <c r="A210">
        <v>0</v>
      </c>
      <c r="D210">
        <f t="shared" si="14"/>
        <v>3</v>
      </c>
      <c r="E210" t="str">
        <f t="shared" si="13"/>
        <v>A</v>
      </c>
      <c r="F210" t="str">
        <f t="shared" si="15"/>
        <v>0A</v>
      </c>
    </row>
    <row r="211" spans="1:6" x14ac:dyDescent="0.2">
      <c r="A211">
        <v>1</v>
      </c>
      <c r="D211">
        <f t="shared" si="14"/>
        <v>3</v>
      </c>
      <c r="E211" t="str">
        <f t="shared" si="13"/>
        <v>B</v>
      </c>
      <c r="F211" t="str">
        <f t="shared" si="15"/>
        <v>1B</v>
      </c>
    </row>
    <row r="212" spans="1:6" x14ac:dyDescent="0.2">
      <c r="A212">
        <v>2</v>
      </c>
      <c r="D212">
        <f t="shared" si="14"/>
        <v>3</v>
      </c>
      <c r="E212" t="str">
        <f t="shared" si="13"/>
        <v>C</v>
      </c>
      <c r="F212" t="str">
        <f t="shared" si="15"/>
        <v>2C</v>
      </c>
    </row>
    <row r="213" spans="1:6" x14ac:dyDescent="0.2">
      <c r="A213">
        <v>3</v>
      </c>
      <c r="D213">
        <f t="shared" si="14"/>
        <v>3</v>
      </c>
      <c r="E213" t="str">
        <f t="shared" si="13"/>
        <v>D</v>
      </c>
      <c r="F213" t="str">
        <f t="shared" si="15"/>
        <v>3D</v>
      </c>
    </row>
    <row r="214" spans="1:6" x14ac:dyDescent="0.2">
      <c r="A214">
        <v>4</v>
      </c>
      <c r="D214">
        <f t="shared" si="14"/>
        <v>3</v>
      </c>
      <c r="E214" t="str">
        <f t="shared" si="13"/>
        <v>E</v>
      </c>
      <c r="F214" t="str">
        <f t="shared" si="15"/>
        <v>4E</v>
      </c>
    </row>
    <row r="215" spans="1:6" x14ac:dyDescent="0.2">
      <c r="A215">
        <v>5</v>
      </c>
      <c r="D215">
        <f t="shared" si="14"/>
        <v>3</v>
      </c>
      <c r="E215" t="str">
        <f t="shared" si="13"/>
        <v>F</v>
      </c>
      <c r="F215" t="str">
        <f t="shared" si="15"/>
        <v>5F</v>
      </c>
    </row>
    <row r="216" spans="1:6" x14ac:dyDescent="0.2">
      <c r="A216">
        <v>6</v>
      </c>
      <c r="D216">
        <f t="shared" si="14"/>
        <v>3</v>
      </c>
      <c r="E216" t="str">
        <f t="shared" si="13"/>
        <v>G</v>
      </c>
      <c r="F216" t="str">
        <f t="shared" si="15"/>
        <v>6G</v>
      </c>
    </row>
    <row r="217" spans="1:6" x14ac:dyDescent="0.2">
      <c r="A217">
        <v>7</v>
      </c>
      <c r="D217">
        <f t="shared" si="14"/>
        <v>3</v>
      </c>
      <c r="E217" t="str">
        <f t="shared" si="13"/>
        <v>H</v>
      </c>
      <c r="F217" t="str">
        <f t="shared" si="15"/>
        <v>7H</v>
      </c>
    </row>
    <row r="218" spans="1:6" x14ac:dyDescent="0.2">
      <c r="A218">
        <v>8</v>
      </c>
      <c r="D218">
        <f t="shared" si="14"/>
        <v>3</v>
      </c>
      <c r="E218" t="str">
        <f t="shared" si="13"/>
        <v>I</v>
      </c>
      <c r="F218" t="str">
        <f t="shared" si="15"/>
        <v>8I</v>
      </c>
    </row>
    <row r="219" spans="1:6" x14ac:dyDescent="0.2">
      <c r="A219">
        <v>9</v>
      </c>
      <c r="D219">
        <f t="shared" si="14"/>
        <v>3</v>
      </c>
      <c r="E219" t="str">
        <f t="shared" si="13"/>
        <v>J</v>
      </c>
      <c r="F219" t="str">
        <f t="shared" si="15"/>
        <v>9J</v>
      </c>
    </row>
    <row r="220" spans="1:6" x14ac:dyDescent="0.2">
      <c r="A220">
        <v>10</v>
      </c>
      <c r="D220">
        <f t="shared" si="14"/>
        <v>3</v>
      </c>
      <c r="E220" t="str">
        <f t="shared" si="13"/>
        <v>K</v>
      </c>
      <c r="F220" t="str">
        <f t="shared" si="15"/>
        <v>10K</v>
      </c>
    </row>
    <row r="221" spans="1:6" x14ac:dyDescent="0.2">
      <c r="A221">
        <v>11</v>
      </c>
      <c r="D221">
        <f t="shared" si="14"/>
        <v>3</v>
      </c>
      <c r="E221" t="str">
        <f t="shared" ref="E221:E284" si="16">E195</f>
        <v>L</v>
      </c>
      <c r="F221" t="str">
        <f t="shared" si="15"/>
        <v>11L</v>
      </c>
    </row>
    <row r="222" spans="1:6" x14ac:dyDescent="0.2">
      <c r="A222">
        <v>12</v>
      </c>
      <c r="D222">
        <f t="shared" ref="D222:D285" si="17">D221</f>
        <v>3</v>
      </c>
      <c r="E222" t="str">
        <f t="shared" si="16"/>
        <v>M</v>
      </c>
      <c r="F222" t="str">
        <f t="shared" si="15"/>
        <v>12M</v>
      </c>
    </row>
    <row r="223" spans="1:6" x14ac:dyDescent="0.2">
      <c r="A223">
        <v>13</v>
      </c>
      <c r="D223">
        <f t="shared" si="17"/>
        <v>3</v>
      </c>
      <c r="E223" t="str">
        <f t="shared" si="16"/>
        <v>N</v>
      </c>
      <c r="F223" t="str">
        <f t="shared" si="15"/>
        <v>13N</v>
      </c>
    </row>
    <row r="224" spans="1:6" x14ac:dyDescent="0.2">
      <c r="A224">
        <v>14</v>
      </c>
      <c r="D224">
        <f t="shared" si="17"/>
        <v>3</v>
      </c>
      <c r="E224" t="str">
        <f t="shared" si="16"/>
        <v>O</v>
      </c>
      <c r="F224" t="str">
        <f t="shared" si="15"/>
        <v>14O</v>
      </c>
    </row>
    <row r="225" spans="1:6" x14ac:dyDescent="0.2">
      <c r="A225">
        <v>15</v>
      </c>
      <c r="D225">
        <f t="shared" si="17"/>
        <v>3</v>
      </c>
      <c r="E225" t="str">
        <f t="shared" si="16"/>
        <v>P</v>
      </c>
      <c r="F225" t="str">
        <f t="shared" si="15"/>
        <v>15P</v>
      </c>
    </row>
    <row r="226" spans="1:6" x14ac:dyDescent="0.2">
      <c r="A226">
        <v>16</v>
      </c>
      <c r="D226">
        <f t="shared" si="17"/>
        <v>3</v>
      </c>
      <c r="E226" t="str">
        <f t="shared" si="16"/>
        <v>Q</v>
      </c>
      <c r="F226" t="str">
        <f t="shared" si="15"/>
        <v>16Q</v>
      </c>
    </row>
    <row r="227" spans="1:6" x14ac:dyDescent="0.2">
      <c r="A227">
        <v>17</v>
      </c>
      <c r="D227">
        <f t="shared" si="17"/>
        <v>3</v>
      </c>
      <c r="E227" t="str">
        <f t="shared" si="16"/>
        <v>R</v>
      </c>
      <c r="F227" t="str">
        <f t="shared" si="15"/>
        <v>17R</v>
      </c>
    </row>
    <row r="228" spans="1:6" x14ac:dyDescent="0.2">
      <c r="A228">
        <v>18</v>
      </c>
      <c r="D228">
        <f t="shared" si="17"/>
        <v>3</v>
      </c>
      <c r="E228" t="str">
        <f t="shared" si="16"/>
        <v>S</v>
      </c>
      <c r="F228" t="str">
        <f t="shared" si="15"/>
        <v>18S</v>
      </c>
    </row>
    <row r="229" spans="1:6" x14ac:dyDescent="0.2">
      <c r="A229">
        <v>19</v>
      </c>
      <c r="D229">
        <f t="shared" si="17"/>
        <v>3</v>
      </c>
      <c r="E229" t="str">
        <f t="shared" si="16"/>
        <v>T</v>
      </c>
      <c r="F229" t="str">
        <f t="shared" si="15"/>
        <v>19T</v>
      </c>
    </row>
    <row r="230" spans="1:6" x14ac:dyDescent="0.2">
      <c r="A230">
        <v>20</v>
      </c>
      <c r="D230">
        <f t="shared" si="17"/>
        <v>3</v>
      </c>
      <c r="E230" t="str">
        <f t="shared" si="16"/>
        <v>U</v>
      </c>
      <c r="F230" t="str">
        <f t="shared" si="15"/>
        <v>20U</v>
      </c>
    </row>
    <row r="231" spans="1:6" x14ac:dyDescent="0.2">
      <c r="A231">
        <v>21</v>
      </c>
      <c r="D231">
        <f t="shared" si="17"/>
        <v>3</v>
      </c>
      <c r="E231" t="str">
        <f t="shared" si="16"/>
        <v>V</v>
      </c>
      <c r="F231" t="str">
        <f t="shared" si="15"/>
        <v>21V</v>
      </c>
    </row>
    <row r="232" spans="1:6" x14ac:dyDescent="0.2">
      <c r="A232">
        <v>22</v>
      </c>
      <c r="D232">
        <f t="shared" si="17"/>
        <v>3</v>
      </c>
      <c r="E232" t="str">
        <f t="shared" si="16"/>
        <v>W</v>
      </c>
      <c r="F232" t="str">
        <f t="shared" si="15"/>
        <v>22W</v>
      </c>
    </row>
    <row r="233" spans="1:6" x14ac:dyDescent="0.2">
      <c r="A233">
        <v>23</v>
      </c>
      <c r="D233">
        <f t="shared" si="17"/>
        <v>3</v>
      </c>
      <c r="E233" t="str">
        <f t="shared" si="16"/>
        <v>X</v>
      </c>
      <c r="F233" t="str">
        <f t="shared" si="15"/>
        <v>23X</v>
      </c>
    </row>
    <row r="234" spans="1:6" x14ac:dyDescent="0.2">
      <c r="A234">
        <v>24</v>
      </c>
      <c r="D234">
        <f t="shared" si="17"/>
        <v>3</v>
      </c>
      <c r="E234" t="str">
        <f t="shared" si="16"/>
        <v>Y</v>
      </c>
      <c r="F234" t="str">
        <f t="shared" si="15"/>
        <v>24Y</v>
      </c>
    </row>
    <row r="235" spans="1:6" x14ac:dyDescent="0.2">
      <c r="A235">
        <v>25</v>
      </c>
      <c r="D235">
        <f t="shared" si="17"/>
        <v>3</v>
      </c>
      <c r="E235" t="str">
        <f t="shared" si="16"/>
        <v>Z</v>
      </c>
      <c r="F235" t="str">
        <f t="shared" si="15"/>
        <v>25Z</v>
      </c>
    </row>
    <row r="236" spans="1:6" x14ac:dyDescent="0.2">
      <c r="A236">
        <v>0</v>
      </c>
      <c r="D236">
        <f t="shared" si="17"/>
        <v>3</v>
      </c>
      <c r="E236" t="str">
        <f t="shared" si="16"/>
        <v>A</v>
      </c>
      <c r="F236" t="str">
        <f t="shared" si="15"/>
        <v>0A</v>
      </c>
    </row>
    <row r="237" spans="1:6" x14ac:dyDescent="0.2">
      <c r="A237">
        <v>1</v>
      </c>
      <c r="D237">
        <f t="shared" si="17"/>
        <v>3</v>
      </c>
      <c r="E237" t="str">
        <f t="shared" si="16"/>
        <v>B</v>
      </c>
      <c r="F237" t="str">
        <f t="shared" si="15"/>
        <v>1B</v>
      </c>
    </row>
    <row r="238" spans="1:6" x14ac:dyDescent="0.2">
      <c r="A238">
        <v>2</v>
      </c>
      <c r="D238">
        <f t="shared" si="17"/>
        <v>3</v>
      </c>
      <c r="E238" t="str">
        <f t="shared" si="16"/>
        <v>C</v>
      </c>
      <c r="F238" t="str">
        <f t="shared" si="15"/>
        <v>2C</v>
      </c>
    </row>
    <row r="239" spans="1:6" x14ac:dyDescent="0.2">
      <c r="A239">
        <v>3</v>
      </c>
      <c r="D239">
        <f t="shared" si="17"/>
        <v>3</v>
      </c>
      <c r="E239" t="str">
        <f t="shared" si="16"/>
        <v>D</v>
      </c>
      <c r="F239" t="str">
        <f t="shared" si="15"/>
        <v>3D</v>
      </c>
    </row>
    <row r="240" spans="1:6" x14ac:dyDescent="0.2">
      <c r="A240">
        <v>4</v>
      </c>
      <c r="D240">
        <f t="shared" si="17"/>
        <v>3</v>
      </c>
      <c r="E240" t="str">
        <f t="shared" si="16"/>
        <v>E</v>
      </c>
      <c r="F240" t="str">
        <f t="shared" si="15"/>
        <v>4E</v>
      </c>
    </row>
    <row r="241" spans="1:6" x14ac:dyDescent="0.2">
      <c r="A241">
        <v>5</v>
      </c>
      <c r="D241">
        <f t="shared" si="17"/>
        <v>3</v>
      </c>
      <c r="E241" t="str">
        <f t="shared" si="16"/>
        <v>F</v>
      </c>
      <c r="F241" t="str">
        <f t="shared" si="15"/>
        <v>5F</v>
      </c>
    </row>
    <row r="242" spans="1:6" x14ac:dyDescent="0.2">
      <c r="A242">
        <v>6</v>
      </c>
      <c r="D242">
        <f t="shared" si="17"/>
        <v>3</v>
      </c>
      <c r="E242" t="str">
        <f t="shared" si="16"/>
        <v>G</v>
      </c>
      <c r="F242" t="str">
        <f t="shared" si="15"/>
        <v>6G</v>
      </c>
    </row>
    <row r="243" spans="1:6" x14ac:dyDescent="0.2">
      <c r="A243">
        <v>7</v>
      </c>
      <c r="D243">
        <f t="shared" si="17"/>
        <v>3</v>
      </c>
      <c r="E243" t="str">
        <f t="shared" si="16"/>
        <v>H</v>
      </c>
      <c r="F243" t="str">
        <f t="shared" si="15"/>
        <v>7H</v>
      </c>
    </row>
    <row r="244" spans="1:6" x14ac:dyDescent="0.2">
      <c r="A244">
        <v>8</v>
      </c>
      <c r="D244">
        <f t="shared" si="17"/>
        <v>3</v>
      </c>
      <c r="E244" t="str">
        <f t="shared" si="16"/>
        <v>I</v>
      </c>
      <c r="F244" t="str">
        <f t="shared" si="15"/>
        <v>8I</v>
      </c>
    </row>
    <row r="245" spans="1:6" x14ac:dyDescent="0.2">
      <c r="A245">
        <v>9</v>
      </c>
      <c r="D245">
        <f t="shared" si="17"/>
        <v>3</v>
      </c>
      <c r="E245" t="str">
        <f t="shared" si="16"/>
        <v>J</v>
      </c>
      <c r="F245" t="str">
        <f t="shared" si="15"/>
        <v>9J</v>
      </c>
    </row>
    <row r="246" spans="1:6" x14ac:dyDescent="0.2">
      <c r="A246">
        <v>10</v>
      </c>
      <c r="D246">
        <f t="shared" si="17"/>
        <v>3</v>
      </c>
      <c r="E246" t="str">
        <f t="shared" si="16"/>
        <v>K</v>
      </c>
      <c r="F246" t="str">
        <f t="shared" si="15"/>
        <v>10K</v>
      </c>
    </row>
    <row r="247" spans="1:6" x14ac:dyDescent="0.2">
      <c r="A247">
        <v>11</v>
      </c>
      <c r="D247">
        <f t="shared" si="17"/>
        <v>3</v>
      </c>
      <c r="E247" t="str">
        <f t="shared" si="16"/>
        <v>L</v>
      </c>
      <c r="F247" t="str">
        <f t="shared" si="15"/>
        <v>11L</v>
      </c>
    </row>
    <row r="248" spans="1:6" x14ac:dyDescent="0.2">
      <c r="A248">
        <v>12</v>
      </c>
      <c r="D248">
        <f t="shared" si="17"/>
        <v>3</v>
      </c>
      <c r="E248" t="str">
        <f t="shared" si="16"/>
        <v>M</v>
      </c>
      <c r="F248" t="str">
        <f t="shared" si="15"/>
        <v>12M</v>
      </c>
    </row>
    <row r="249" spans="1:6" x14ac:dyDescent="0.2">
      <c r="A249">
        <v>13</v>
      </c>
      <c r="D249">
        <f t="shared" si="17"/>
        <v>3</v>
      </c>
      <c r="E249" t="str">
        <f t="shared" si="16"/>
        <v>N</v>
      </c>
      <c r="F249" t="str">
        <f t="shared" si="15"/>
        <v>13N</v>
      </c>
    </row>
    <row r="250" spans="1:6" x14ac:dyDescent="0.2">
      <c r="A250">
        <v>14</v>
      </c>
      <c r="D250">
        <f t="shared" si="17"/>
        <v>3</v>
      </c>
      <c r="E250" t="str">
        <f t="shared" si="16"/>
        <v>O</v>
      </c>
      <c r="F250" t="str">
        <f t="shared" si="15"/>
        <v>14O</v>
      </c>
    </row>
    <row r="251" spans="1:6" x14ac:dyDescent="0.2">
      <c r="A251">
        <v>15</v>
      </c>
      <c r="D251">
        <f t="shared" si="17"/>
        <v>3</v>
      </c>
      <c r="E251" t="str">
        <f t="shared" si="16"/>
        <v>P</v>
      </c>
      <c r="F251" t="str">
        <f t="shared" si="15"/>
        <v>15P</v>
      </c>
    </row>
    <row r="252" spans="1:6" x14ac:dyDescent="0.2">
      <c r="A252">
        <v>16</v>
      </c>
      <c r="D252">
        <f t="shared" si="17"/>
        <v>3</v>
      </c>
      <c r="E252" t="str">
        <f t="shared" si="16"/>
        <v>Q</v>
      </c>
      <c r="F252" t="str">
        <f t="shared" si="15"/>
        <v>16Q</v>
      </c>
    </row>
    <row r="253" spans="1:6" x14ac:dyDescent="0.2">
      <c r="A253">
        <v>17</v>
      </c>
      <c r="D253">
        <f t="shared" si="17"/>
        <v>3</v>
      </c>
      <c r="E253" t="str">
        <f t="shared" si="16"/>
        <v>R</v>
      </c>
      <c r="F253" t="str">
        <f t="shared" si="15"/>
        <v>17R</v>
      </c>
    </row>
    <row r="254" spans="1:6" x14ac:dyDescent="0.2">
      <c r="A254">
        <v>18</v>
      </c>
      <c r="D254">
        <f t="shared" si="17"/>
        <v>3</v>
      </c>
      <c r="E254" t="str">
        <f t="shared" si="16"/>
        <v>S</v>
      </c>
      <c r="F254" t="str">
        <f t="shared" si="15"/>
        <v>18S</v>
      </c>
    </row>
    <row r="255" spans="1:6" x14ac:dyDescent="0.2">
      <c r="A255">
        <v>19</v>
      </c>
      <c r="D255">
        <f t="shared" si="17"/>
        <v>3</v>
      </c>
      <c r="E255" t="str">
        <f t="shared" si="16"/>
        <v>T</v>
      </c>
      <c r="F255" t="str">
        <f t="shared" si="15"/>
        <v>19T</v>
      </c>
    </row>
    <row r="256" spans="1:6" x14ac:dyDescent="0.2">
      <c r="A256">
        <v>20</v>
      </c>
      <c r="D256">
        <f t="shared" si="17"/>
        <v>3</v>
      </c>
      <c r="E256" t="str">
        <f t="shared" si="16"/>
        <v>U</v>
      </c>
      <c r="F256" t="str">
        <f t="shared" si="15"/>
        <v>20U</v>
      </c>
    </row>
    <row r="257" spans="1:6" x14ac:dyDescent="0.2">
      <c r="A257">
        <v>21</v>
      </c>
      <c r="D257">
        <f t="shared" si="17"/>
        <v>3</v>
      </c>
      <c r="E257" t="str">
        <f t="shared" si="16"/>
        <v>V</v>
      </c>
      <c r="F257" t="str">
        <f t="shared" si="15"/>
        <v>21V</v>
      </c>
    </row>
    <row r="258" spans="1:6" x14ac:dyDescent="0.2">
      <c r="A258">
        <v>22</v>
      </c>
      <c r="D258">
        <f t="shared" si="17"/>
        <v>3</v>
      </c>
      <c r="E258" t="str">
        <f t="shared" si="16"/>
        <v>W</v>
      </c>
      <c r="F258" t="str">
        <f t="shared" si="15"/>
        <v>22W</v>
      </c>
    </row>
    <row r="259" spans="1:6" x14ac:dyDescent="0.2">
      <c r="A259">
        <v>23</v>
      </c>
      <c r="D259">
        <f t="shared" si="17"/>
        <v>3</v>
      </c>
      <c r="E259" t="str">
        <f t="shared" si="16"/>
        <v>X</v>
      </c>
      <c r="F259" t="str">
        <f t="shared" ref="F259:F322" si="18">A259&amp;C259&amp;E259</f>
        <v>23X</v>
      </c>
    </row>
    <row r="260" spans="1:6" x14ac:dyDescent="0.2">
      <c r="A260">
        <v>24</v>
      </c>
      <c r="D260">
        <f t="shared" si="17"/>
        <v>3</v>
      </c>
      <c r="E260" t="str">
        <f t="shared" si="16"/>
        <v>Y</v>
      </c>
      <c r="F260" t="str">
        <f t="shared" si="18"/>
        <v>24Y</v>
      </c>
    </row>
    <row r="261" spans="1:6" x14ac:dyDescent="0.2">
      <c r="A261">
        <v>25</v>
      </c>
      <c r="D261">
        <f t="shared" si="17"/>
        <v>3</v>
      </c>
      <c r="E261" t="str">
        <f t="shared" si="16"/>
        <v>Z</v>
      </c>
      <c r="F261" t="str">
        <f t="shared" si="18"/>
        <v>25Z</v>
      </c>
    </row>
    <row r="262" spans="1:6" x14ac:dyDescent="0.2">
      <c r="A262">
        <v>0</v>
      </c>
      <c r="D262">
        <f t="shared" si="17"/>
        <v>3</v>
      </c>
      <c r="E262" t="str">
        <f t="shared" si="16"/>
        <v>A</v>
      </c>
      <c r="F262" t="str">
        <f t="shared" si="18"/>
        <v>0A</v>
      </c>
    </row>
    <row r="263" spans="1:6" x14ac:dyDescent="0.2">
      <c r="A263">
        <v>1</v>
      </c>
      <c r="D263">
        <f t="shared" si="17"/>
        <v>3</v>
      </c>
      <c r="E263" t="str">
        <f t="shared" si="16"/>
        <v>B</v>
      </c>
      <c r="F263" t="str">
        <f t="shared" si="18"/>
        <v>1B</v>
      </c>
    </row>
    <row r="264" spans="1:6" x14ac:dyDescent="0.2">
      <c r="A264">
        <v>2</v>
      </c>
      <c r="D264">
        <f t="shared" si="17"/>
        <v>3</v>
      </c>
      <c r="E264" t="str">
        <f t="shared" si="16"/>
        <v>C</v>
      </c>
      <c r="F264" t="str">
        <f t="shared" si="18"/>
        <v>2C</v>
      </c>
    </row>
    <row r="265" spans="1:6" x14ac:dyDescent="0.2">
      <c r="A265">
        <v>3</v>
      </c>
      <c r="D265">
        <f t="shared" si="17"/>
        <v>3</v>
      </c>
      <c r="E265" t="str">
        <f t="shared" si="16"/>
        <v>D</v>
      </c>
      <c r="F265" t="str">
        <f t="shared" si="18"/>
        <v>3D</v>
      </c>
    </row>
    <row r="266" spans="1:6" x14ac:dyDescent="0.2">
      <c r="A266">
        <v>4</v>
      </c>
      <c r="D266">
        <f t="shared" si="17"/>
        <v>3</v>
      </c>
      <c r="E266" t="str">
        <f t="shared" si="16"/>
        <v>E</v>
      </c>
      <c r="F266" t="str">
        <f t="shared" si="18"/>
        <v>4E</v>
      </c>
    </row>
    <row r="267" spans="1:6" x14ac:dyDescent="0.2">
      <c r="A267">
        <v>5</v>
      </c>
      <c r="D267">
        <f t="shared" si="17"/>
        <v>3</v>
      </c>
      <c r="E267" t="str">
        <f t="shared" si="16"/>
        <v>F</v>
      </c>
      <c r="F267" t="str">
        <f t="shared" si="18"/>
        <v>5F</v>
      </c>
    </row>
    <row r="268" spans="1:6" x14ac:dyDescent="0.2">
      <c r="A268">
        <v>6</v>
      </c>
      <c r="D268">
        <f t="shared" si="17"/>
        <v>3</v>
      </c>
      <c r="E268" t="str">
        <f t="shared" si="16"/>
        <v>G</v>
      </c>
      <c r="F268" t="str">
        <f t="shared" si="18"/>
        <v>6G</v>
      </c>
    </row>
    <row r="269" spans="1:6" x14ac:dyDescent="0.2">
      <c r="A269">
        <v>7</v>
      </c>
      <c r="D269">
        <f t="shared" si="17"/>
        <v>3</v>
      </c>
      <c r="E269" t="str">
        <f t="shared" si="16"/>
        <v>H</v>
      </c>
      <c r="F269" t="str">
        <f t="shared" si="18"/>
        <v>7H</v>
      </c>
    </row>
    <row r="270" spans="1:6" x14ac:dyDescent="0.2">
      <c r="A270">
        <v>8</v>
      </c>
      <c r="D270">
        <f t="shared" si="17"/>
        <v>3</v>
      </c>
      <c r="E270" t="str">
        <f t="shared" si="16"/>
        <v>I</v>
      </c>
      <c r="F270" t="str">
        <f t="shared" si="18"/>
        <v>8I</v>
      </c>
    </row>
    <row r="271" spans="1:6" x14ac:dyDescent="0.2">
      <c r="A271">
        <v>9</v>
      </c>
      <c r="D271">
        <f t="shared" si="17"/>
        <v>3</v>
      </c>
      <c r="E271" t="str">
        <f t="shared" si="16"/>
        <v>J</v>
      </c>
      <c r="F271" t="str">
        <f t="shared" si="18"/>
        <v>9J</v>
      </c>
    </row>
    <row r="272" spans="1:6" x14ac:dyDescent="0.2">
      <c r="A272">
        <v>10</v>
      </c>
      <c r="D272">
        <f t="shared" si="17"/>
        <v>3</v>
      </c>
      <c r="E272" t="str">
        <f t="shared" si="16"/>
        <v>K</v>
      </c>
      <c r="F272" t="str">
        <f t="shared" si="18"/>
        <v>10K</v>
      </c>
    </row>
    <row r="273" spans="1:6" x14ac:dyDescent="0.2">
      <c r="A273">
        <v>11</v>
      </c>
      <c r="D273">
        <f t="shared" si="17"/>
        <v>3</v>
      </c>
      <c r="E273" t="str">
        <f t="shared" si="16"/>
        <v>L</v>
      </c>
      <c r="F273" t="str">
        <f t="shared" si="18"/>
        <v>11L</v>
      </c>
    </row>
    <row r="274" spans="1:6" x14ac:dyDescent="0.2">
      <c r="A274">
        <v>12</v>
      </c>
      <c r="D274">
        <f t="shared" si="17"/>
        <v>3</v>
      </c>
      <c r="E274" t="str">
        <f t="shared" si="16"/>
        <v>M</v>
      </c>
      <c r="F274" t="str">
        <f t="shared" si="18"/>
        <v>12M</v>
      </c>
    </row>
    <row r="275" spans="1:6" x14ac:dyDescent="0.2">
      <c r="A275">
        <v>13</v>
      </c>
      <c r="D275">
        <f t="shared" si="17"/>
        <v>3</v>
      </c>
      <c r="E275" t="str">
        <f t="shared" si="16"/>
        <v>N</v>
      </c>
      <c r="F275" t="str">
        <f t="shared" si="18"/>
        <v>13N</v>
      </c>
    </row>
    <row r="276" spans="1:6" x14ac:dyDescent="0.2">
      <c r="A276">
        <v>14</v>
      </c>
      <c r="D276">
        <f t="shared" si="17"/>
        <v>3</v>
      </c>
      <c r="E276" t="str">
        <f t="shared" si="16"/>
        <v>O</v>
      </c>
      <c r="F276" t="str">
        <f t="shared" si="18"/>
        <v>14O</v>
      </c>
    </row>
    <row r="277" spans="1:6" x14ac:dyDescent="0.2">
      <c r="A277">
        <v>15</v>
      </c>
      <c r="D277">
        <f t="shared" si="17"/>
        <v>3</v>
      </c>
      <c r="E277" t="str">
        <f t="shared" si="16"/>
        <v>P</v>
      </c>
      <c r="F277" t="str">
        <f t="shared" si="18"/>
        <v>15P</v>
      </c>
    </row>
    <row r="278" spans="1:6" x14ac:dyDescent="0.2">
      <c r="A278">
        <v>16</v>
      </c>
      <c r="D278">
        <f t="shared" si="17"/>
        <v>3</v>
      </c>
      <c r="E278" t="str">
        <f t="shared" si="16"/>
        <v>Q</v>
      </c>
      <c r="F278" t="str">
        <f t="shared" si="18"/>
        <v>16Q</v>
      </c>
    </row>
    <row r="279" spans="1:6" x14ac:dyDescent="0.2">
      <c r="A279">
        <v>17</v>
      </c>
      <c r="D279">
        <f t="shared" si="17"/>
        <v>3</v>
      </c>
      <c r="E279" t="str">
        <f t="shared" si="16"/>
        <v>R</v>
      </c>
      <c r="F279" t="str">
        <f t="shared" si="18"/>
        <v>17R</v>
      </c>
    </row>
    <row r="280" spans="1:6" x14ac:dyDescent="0.2">
      <c r="A280">
        <v>18</v>
      </c>
      <c r="D280">
        <f t="shared" si="17"/>
        <v>3</v>
      </c>
      <c r="E280" t="str">
        <f t="shared" si="16"/>
        <v>S</v>
      </c>
      <c r="F280" t="str">
        <f t="shared" si="18"/>
        <v>18S</v>
      </c>
    </row>
    <row r="281" spans="1:6" x14ac:dyDescent="0.2">
      <c r="A281">
        <v>19</v>
      </c>
      <c r="D281">
        <f t="shared" si="17"/>
        <v>3</v>
      </c>
      <c r="E281" t="str">
        <f t="shared" si="16"/>
        <v>T</v>
      </c>
      <c r="F281" t="str">
        <f t="shared" si="18"/>
        <v>19T</v>
      </c>
    </row>
    <row r="282" spans="1:6" x14ac:dyDescent="0.2">
      <c r="A282">
        <v>20</v>
      </c>
      <c r="D282">
        <f t="shared" si="17"/>
        <v>3</v>
      </c>
      <c r="E282" t="str">
        <f t="shared" si="16"/>
        <v>U</v>
      </c>
      <c r="F282" t="str">
        <f t="shared" si="18"/>
        <v>20U</v>
      </c>
    </row>
    <row r="283" spans="1:6" x14ac:dyDescent="0.2">
      <c r="A283">
        <v>21</v>
      </c>
      <c r="D283">
        <f t="shared" si="17"/>
        <v>3</v>
      </c>
      <c r="E283" t="str">
        <f t="shared" si="16"/>
        <v>V</v>
      </c>
      <c r="F283" t="str">
        <f t="shared" si="18"/>
        <v>21V</v>
      </c>
    </row>
    <row r="284" spans="1:6" x14ac:dyDescent="0.2">
      <c r="A284">
        <v>22</v>
      </c>
      <c r="D284">
        <f t="shared" si="17"/>
        <v>3</v>
      </c>
      <c r="E284" t="str">
        <f t="shared" si="16"/>
        <v>W</v>
      </c>
      <c r="F284" t="str">
        <f t="shared" si="18"/>
        <v>22W</v>
      </c>
    </row>
    <row r="285" spans="1:6" x14ac:dyDescent="0.2">
      <c r="A285">
        <v>23</v>
      </c>
      <c r="D285">
        <f t="shared" si="17"/>
        <v>3</v>
      </c>
      <c r="E285" t="str">
        <f t="shared" ref="E285:E348" si="19">E259</f>
        <v>X</v>
      </c>
      <c r="F285" t="str">
        <f t="shared" si="18"/>
        <v>23X</v>
      </c>
    </row>
    <row r="286" spans="1:6" x14ac:dyDescent="0.2">
      <c r="A286">
        <v>24</v>
      </c>
      <c r="D286">
        <f t="shared" ref="D286:D349" si="20">D285</f>
        <v>3</v>
      </c>
      <c r="E286" t="str">
        <f t="shared" si="19"/>
        <v>Y</v>
      </c>
      <c r="F286" t="str">
        <f t="shared" si="18"/>
        <v>24Y</v>
      </c>
    </row>
    <row r="287" spans="1:6" x14ac:dyDescent="0.2">
      <c r="A287">
        <v>25</v>
      </c>
      <c r="D287">
        <f t="shared" si="20"/>
        <v>3</v>
      </c>
      <c r="E287" t="str">
        <f t="shared" si="19"/>
        <v>Z</v>
      </c>
      <c r="F287" t="str">
        <f t="shared" si="18"/>
        <v>25Z</v>
      </c>
    </row>
    <row r="288" spans="1:6" x14ac:dyDescent="0.2">
      <c r="A288">
        <v>0</v>
      </c>
      <c r="D288">
        <f t="shared" si="20"/>
        <v>3</v>
      </c>
      <c r="E288" t="str">
        <f t="shared" si="19"/>
        <v>A</v>
      </c>
      <c r="F288" t="str">
        <f t="shared" si="18"/>
        <v>0A</v>
      </c>
    </row>
    <row r="289" spans="1:6" x14ac:dyDescent="0.2">
      <c r="A289">
        <v>1</v>
      </c>
      <c r="D289">
        <f t="shared" si="20"/>
        <v>3</v>
      </c>
      <c r="E289" t="str">
        <f t="shared" si="19"/>
        <v>B</v>
      </c>
      <c r="F289" t="str">
        <f t="shared" si="18"/>
        <v>1B</v>
      </c>
    </row>
    <row r="290" spans="1:6" x14ac:dyDescent="0.2">
      <c r="A290">
        <v>2</v>
      </c>
      <c r="D290">
        <f t="shared" si="20"/>
        <v>3</v>
      </c>
      <c r="E290" t="str">
        <f t="shared" si="19"/>
        <v>C</v>
      </c>
      <c r="F290" t="str">
        <f t="shared" si="18"/>
        <v>2C</v>
      </c>
    </row>
    <row r="291" spans="1:6" x14ac:dyDescent="0.2">
      <c r="A291">
        <v>3</v>
      </c>
      <c r="D291">
        <f t="shared" si="20"/>
        <v>3</v>
      </c>
      <c r="E291" t="str">
        <f t="shared" si="19"/>
        <v>D</v>
      </c>
      <c r="F291" t="str">
        <f t="shared" si="18"/>
        <v>3D</v>
      </c>
    </row>
    <row r="292" spans="1:6" x14ac:dyDescent="0.2">
      <c r="A292">
        <v>4</v>
      </c>
      <c r="D292">
        <f t="shared" si="20"/>
        <v>3</v>
      </c>
      <c r="E292" t="str">
        <f t="shared" si="19"/>
        <v>E</v>
      </c>
      <c r="F292" t="str">
        <f t="shared" si="18"/>
        <v>4E</v>
      </c>
    </row>
    <row r="293" spans="1:6" x14ac:dyDescent="0.2">
      <c r="A293">
        <v>5</v>
      </c>
      <c r="D293">
        <f t="shared" si="20"/>
        <v>3</v>
      </c>
      <c r="E293" t="str">
        <f t="shared" si="19"/>
        <v>F</v>
      </c>
      <c r="F293" t="str">
        <f t="shared" si="18"/>
        <v>5F</v>
      </c>
    </row>
    <row r="294" spans="1:6" x14ac:dyDescent="0.2">
      <c r="A294">
        <v>6</v>
      </c>
      <c r="D294">
        <f t="shared" si="20"/>
        <v>3</v>
      </c>
      <c r="E294" t="str">
        <f t="shared" si="19"/>
        <v>G</v>
      </c>
      <c r="F294" t="str">
        <f t="shared" si="18"/>
        <v>6G</v>
      </c>
    </row>
    <row r="295" spans="1:6" x14ac:dyDescent="0.2">
      <c r="A295">
        <v>7</v>
      </c>
      <c r="D295">
        <f t="shared" si="20"/>
        <v>3</v>
      </c>
      <c r="E295" t="str">
        <f t="shared" si="19"/>
        <v>H</v>
      </c>
      <c r="F295" t="str">
        <f t="shared" si="18"/>
        <v>7H</v>
      </c>
    </row>
    <row r="296" spans="1:6" x14ac:dyDescent="0.2">
      <c r="A296">
        <v>8</v>
      </c>
      <c r="D296">
        <f t="shared" si="20"/>
        <v>3</v>
      </c>
      <c r="E296" t="str">
        <f t="shared" si="19"/>
        <v>I</v>
      </c>
      <c r="F296" t="str">
        <f t="shared" si="18"/>
        <v>8I</v>
      </c>
    </row>
    <row r="297" spans="1:6" x14ac:dyDescent="0.2">
      <c r="A297">
        <v>9</v>
      </c>
      <c r="D297">
        <f t="shared" si="20"/>
        <v>3</v>
      </c>
      <c r="E297" t="str">
        <f t="shared" si="19"/>
        <v>J</v>
      </c>
      <c r="F297" t="str">
        <f t="shared" si="18"/>
        <v>9J</v>
      </c>
    </row>
    <row r="298" spans="1:6" x14ac:dyDescent="0.2">
      <c r="A298">
        <v>10</v>
      </c>
      <c r="D298">
        <f t="shared" si="20"/>
        <v>3</v>
      </c>
      <c r="E298" t="str">
        <f t="shared" si="19"/>
        <v>K</v>
      </c>
      <c r="F298" t="str">
        <f t="shared" si="18"/>
        <v>10K</v>
      </c>
    </row>
    <row r="299" spans="1:6" x14ac:dyDescent="0.2">
      <c r="A299">
        <v>11</v>
      </c>
      <c r="D299">
        <f t="shared" si="20"/>
        <v>3</v>
      </c>
      <c r="E299" t="str">
        <f t="shared" si="19"/>
        <v>L</v>
      </c>
      <c r="F299" t="str">
        <f t="shared" si="18"/>
        <v>11L</v>
      </c>
    </row>
    <row r="300" spans="1:6" x14ac:dyDescent="0.2">
      <c r="A300">
        <v>12</v>
      </c>
      <c r="D300">
        <f t="shared" si="20"/>
        <v>3</v>
      </c>
      <c r="E300" t="str">
        <f t="shared" si="19"/>
        <v>M</v>
      </c>
      <c r="F300" t="str">
        <f t="shared" si="18"/>
        <v>12M</v>
      </c>
    </row>
    <row r="301" spans="1:6" x14ac:dyDescent="0.2">
      <c r="A301">
        <v>13</v>
      </c>
      <c r="D301">
        <f t="shared" si="20"/>
        <v>3</v>
      </c>
      <c r="E301" t="str">
        <f t="shared" si="19"/>
        <v>N</v>
      </c>
      <c r="F301" t="str">
        <f t="shared" si="18"/>
        <v>13N</v>
      </c>
    </row>
    <row r="302" spans="1:6" x14ac:dyDescent="0.2">
      <c r="A302">
        <v>14</v>
      </c>
      <c r="D302">
        <f t="shared" si="20"/>
        <v>3</v>
      </c>
      <c r="E302" t="str">
        <f t="shared" si="19"/>
        <v>O</v>
      </c>
      <c r="F302" t="str">
        <f t="shared" si="18"/>
        <v>14O</v>
      </c>
    </row>
    <row r="303" spans="1:6" x14ac:dyDescent="0.2">
      <c r="A303">
        <v>15</v>
      </c>
      <c r="D303">
        <f t="shared" si="20"/>
        <v>3</v>
      </c>
      <c r="E303" t="str">
        <f t="shared" si="19"/>
        <v>P</v>
      </c>
      <c r="F303" t="str">
        <f t="shared" si="18"/>
        <v>15P</v>
      </c>
    </row>
    <row r="304" spans="1:6" x14ac:dyDescent="0.2">
      <c r="A304">
        <v>16</v>
      </c>
      <c r="D304">
        <f t="shared" si="20"/>
        <v>3</v>
      </c>
      <c r="E304" t="str">
        <f t="shared" si="19"/>
        <v>Q</v>
      </c>
      <c r="F304" t="str">
        <f t="shared" si="18"/>
        <v>16Q</v>
      </c>
    </row>
    <row r="305" spans="1:6" x14ac:dyDescent="0.2">
      <c r="A305">
        <v>17</v>
      </c>
      <c r="D305">
        <f t="shared" si="20"/>
        <v>3</v>
      </c>
      <c r="E305" t="str">
        <f t="shared" si="19"/>
        <v>R</v>
      </c>
      <c r="F305" t="str">
        <f t="shared" si="18"/>
        <v>17R</v>
      </c>
    </row>
    <row r="306" spans="1:6" x14ac:dyDescent="0.2">
      <c r="A306">
        <v>18</v>
      </c>
      <c r="D306">
        <f t="shared" si="20"/>
        <v>3</v>
      </c>
      <c r="E306" t="str">
        <f t="shared" si="19"/>
        <v>S</v>
      </c>
      <c r="F306" t="str">
        <f t="shared" si="18"/>
        <v>18S</v>
      </c>
    </row>
    <row r="307" spans="1:6" x14ac:dyDescent="0.2">
      <c r="A307">
        <v>19</v>
      </c>
      <c r="D307">
        <f t="shared" si="20"/>
        <v>3</v>
      </c>
      <c r="E307" t="str">
        <f t="shared" si="19"/>
        <v>T</v>
      </c>
      <c r="F307" t="str">
        <f t="shared" si="18"/>
        <v>19T</v>
      </c>
    </row>
    <row r="308" spans="1:6" x14ac:dyDescent="0.2">
      <c r="A308">
        <v>20</v>
      </c>
      <c r="D308">
        <f t="shared" si="20"/>
        <v>3</v>
      </c>
      <c r="E308" t="str">
        <f t="shared" si="19"/>
        <v>U</v>
      </c>
      <c r="F308" t="str">
        <f t="shared" si="18"/>
        <v>20U</v>
      </c>
    </row>
    <row r="309" spans="1:6" x14ac:dyDescent="0.2">
      <c r="A309">
        <v>21</v>
      </c>
      <c r="D309">
        <f t="shared" si="20"/>
        <v>3</v>
      </c>
      <c r="E309" t="str">
        <f t="shared" si="19"/>
        <v>V</v>
      </c>
      <c r="F309" t="str">
        <f t="shared" si="18"/>
        <v>21V</v>
      </c>
    </row>
    <row r="310" spans="1:6" x14ac:dyDescent="0.2">
      <c r="A310">
        <v>22</v>
      </c>
      <c r="D310">
        <f t="shared" si="20"/>
        <v>3</v>
      </c>
      <c r="E310" t="str">
        <f t="shared" si="19"/>
        <v>W</v>
      </c>
      <c r="F310" t="str">
        <f t="shared" si="18"/>
        <v>22W</v>
      </c>
    </row>
    <row r="311" spans="1:6" x14ac:dyDescent="0.2">
      <c r="A311">
        <v>23</v>
      </c>
      <c r="D311">
        <f t="shared" si="20"/>
        <v>3</v>
      </c>
      <c r="E311" t="str">
        <f t="shared" si="19"/>
        <v>X</v>
      </c>
      <c r="F311" t="str">
        <f t="shared" si="18"/>
        <v>23X</v>
      </c>
    </row>
    <row r="312" spans="1:6" x14ac:dyDescent="0.2">
      <c r="A312">
        <v>24</v>
      </c>
      <c r="D312">
        <f t="shared" si="20"/>
        <v>3</v>
      </c>
      <c r="E312" t="str">
        <f t="shared" si="19"/>
        <v>Y</v>
      </c>
      <c r="F312" t="str">
        <f t="shared" si="18"/>
        <v>24Y</v>
      </c>
    </row>
    <row r="313" spans="1:6" x14ac:dyDescent="0.2">
      <c r="A313">
        <v>25</v>
      </c>
      <c r="D313">
        <f t="shared" si="20"/>
        <v>3</v>
      </c>
      <c r="E313" t="str">
        <f t="shared" si="19"/>
        <v>Z</v>
      </c>
      <c r="F313" t="str">
        <f t="shared" si="18"/>
        <v>25Z</v>
      </c>
    </row>
    <row r="314" spans="1:6" x14ac:dyDescent="0.2">
      <c r="A314">
        <v>0</v>
      </c>
      <c r="D314">
        <f t="shared" si="20"/>
        <v>3</v>
      </c>
      <c r="E314" t="str">
        <f t="shared" si="19"/>
        <v>A</v>
      </c>
      <c r="F314" t="str">
        <f t="shared" si="18"/>
        <v>0A</v>
      </c>
    </row>
    <row r="315" spans="1:6" x14ac:dyDescent="0.2">
      <c r="A315">
        <v>1</v>
      </c>
      <c r="D315">
        <f t="shared" si="20"/>
        <v>3</v>
      </c>
      <c r="E315" t="str">
        <f t="shared" si="19"/>
        <v>B</v>
      </c>
      <c r="F315" t="str">
        <f t="shared" si="18"/>
        <v>1B</v>
      </c>
    </row>
    <row r="316" spans="1:6" x14ac:dyDescent="0.2">
      <c r="A316">
        <v>2</v>
      </c>
      <c r="D316">
        <f t="shared" si="20"/>
        <v>3</v>
      </c>
      <c r="E316" t="str">
        <f t="shared" si="19"/>
        <v>C</v>
      </c>
      <c r="F316" t="str">
        <f t="shared" si="18"/>
        <v>2C</v>
      </c>
    </row>
    <row r="317" spans="1:6" x14ac:dyDescent="0.2">
      <c r="A317">
        <v>3</v>
      </c>
      <c r="D317">
        <f t="shared" si="20"/>
        <v>3</v>
      </c>
      <c r="E317" t="str">
        <f t="shared" si="19"/>
        <v>D</v>
      </c>
      <c r="F317" t="str">
        <f t="shared" si="18"/>
        <v>3D</v>
      </c>
    </row>
    <row r="318" spans="1:6" x14ac:dyDescent="0.2">
      <c r="A318">
        <v>4</v>
      </c>
      <c r="D318">
        <f t="shared" si="20"/>
        <v>3</v>
      </c>
      <c r="E318" t="str">
        <f t="shared" si="19"/>
        <v>E</v>
      </c>
      <c r="F318" t="str">
        <f t="shared" si="18"/>
        <v>4E</v>
      </c>
    </row>
    <row r="319" spans="1:6" x14ac:dyDescent="0.2">
      <c r="A319">
        <v>5</v>
      </c>
      <c r="D319">
        <f t="shared" si="20"/>
        <v>3</v>
      </c>
      <c r="E319" t="str">
        <f t="shared" si="19"/>
        <v>F</v>
      </c>
      <c r="F319" t="str">
        <f t="shared" si="18"/>
        <v>5F</v>
      </c>
    </row>
    <row r="320" spans="1:6" x14ac:dyDescent="0.2">
      <c r="A320">
        <v>6</v>
      </c>
      <c r="D320">
        <f t="shared" si="20"/>
        <v>3</v>
      </c>
      <c r="E320" t="str">
        <f t="shared" si="19"/>
        <v>G</v>
      </c>
      <c r="F320" t="str">
        <f t="shared" si="18"/>
        <v>6G</v>
      </c>
    </row>
    <row r="321" spans="1:6" x14ac:dyDescent="0.2">
      <c r="A321">
        <v>7</v>
      </c>
      <c r="D321">
        <f t="shared" si="20"/>
        <v>3</v>
      </c>
      <c r="E321" t="str">
        <f t="shared" si="19"/>
        <v>H</v>
      </c>
      <c r="F321" t="str">
        <f t="shared" si="18"/>
        <v>7H</v>
      </c>
    </row>
    <row r="322" spans="1:6" x14ac:dyDescent="0.2">
      <c r="A322">
        <v>8</v>
      </c>
      <c r="D322">
        <f t="shared" si="20"/>
        <v>3</v>
      </c>
      <c r="E322" t="str">
        <f t="shared" si="19"/>
        <v>I</v>
      </c>
      <c r="F322" t="str">
        <f t="shared" si="18"/>
        <v>8I</v>
      </c>
    </row>
    <row r="323" spans="1:6" x14ac:dyDescent="0.2">
      <c r="A323">
        <v>9</v>
      </c>
      <c r="D323">
        <f t="shared" si="20"/>
        <v>3</v>
      </c>
      <c r="E323" t="str">
        <f t="shared" si="19"/>
        <v>J</v>
      </c>
      <c r="F323" t="str">
        <f t="shared" ref="F323:F386" si="21">A323&amp;C323&amp;E323</f>
        <v>9J</v>
      </c>
    </row>
    <row r="324" spans="1:6" x14ac:dyDescent="0.2">
      <c r="A324">
        <v>10</v>
      </c>
      <c r="D324">
        <f t="shared" si="20"/>
        <v>3</v>
      </c>
      <c r="E324" t="str">
        <f t="shared" si="19"/>
        <v>K</v>
      </c>
      <c r="F324" t="str">
        <f t="shared" si="21"/>
        <v>10K</v>
      </c>
    </row>
    <row r="325" spans="1:6" x14ac:dyDescent="0.2">
      <c r="A325">
        <v>11</v>
      </c>
      <c r="D325">
        <f t="shared" si="20"/>
        <v>3</v>
      </c>
      <c r="E325" t="str">
        <f t="shared" si="19"/>
        <v>L</v>
      </c>
      <c r="F325" t="str">
        <f t="shared" si="21"/>
        <v>11L</v>
      </c>
    </row>
    <row r="326" spans="1:6" x14ac:dyDescent="0.2">
      <c r="A326">
        <v>12</v>
      </c>
      <c r="D326">
        <f t="shared" si="20"/>
        <v>3</v>
      </c>
      <c r="E326" t="str">
        <f t="shared" si="19"/>
        <v>M</v>
      </c>
      <c r="F326" t="str">
        <f t="shared" si="21"/>
        <v>12M</v>
      </c>
    </row>
    <row r="327" spans="1:6" x14ac:dyDescent="0.2">
      <c r="A327">
        <v>13</v>
      </c>
      <c r="D327">
        <f t="shared" si="20"/>
        <v>3</v>
      </c>
      <c r="E327" t="str">
        <f t="shared" si="19"/>
        <v>N</v>
      </c>
      <c r="F327" t="str">
        <f t="shared" si="21"/>
        <v>13N</v>
      </c>
    </row>
    <row r="328" spans="1:6" x14ac:dyDescent="0.2">
      <c r="A328">
        <v>14</v>
      </c>
      <c r="D328">
        <f t="shared" si="20"/>
        <v>3</v>
      </c>
      <c r="E328" t="str">
        <f t="shared" si="19"/>
        <v>O</v>
      </c>
      <c r="F328" t="str">
        <f t="shared" si="21"/>
        <v>14O</v>
      </c>
    </row>
    <row r="329" spans="1:6" x14ac:dyDescent="0.2">
      <c r="A329">
        <v>15</v>
      </c>
      <c r="D329">
        <f t="shared" si="20"/>
        <v>3</v>
      </c>
      <c r="E329" t="str">
        <f t="shared" si="19"/>
        <v>P</v>
      </c>
      <c r="F329" t="str">
        <f t="shared" si="21"/>
        <v>15P</v>
      </c>
    </row>
    <row r="330" spans="1:6" x14ac:dyDescent="0.2">
      <c r="A330">
        <v>16</v>
      </c>
      <c r="D330">
        <f t="shared" si="20"/>
        <v>3</v>
      </c>
      <c r="E330" t="str">
        <f t="shared" si="19"/>
        <v>Q</v>
      </c>
      <c r="F330" t="str">
        <f t="shared" si="21"/>
        <v>16Q</v>
      </c>
    </row>
    <row r="331" spans="1:6" x14ac:dyDescent="0.2">
      <c r="A331">
        <v>17</v>
      </c>
      <c r="D331">
        <f t="shared" si="20"/>
        <v>3</v>
      </c>
      <c r="E331" t="str">
        <f t="shared" si="19"/>
        <v>R</v>
      </c>
      <c r="F331" t="str">
        <f t="shared" si="21"/>
        <v>17R</v>
      </c>
    </row>
    <row r="332" spans="1:6" x14ac:dyDescent="0.2">
      <c r="A332">
        <v>18</v>
      </c>
      <c r="D332">
        <f t="shared" si="20"/>
        <v>3</v>
      </c>
      <c r="E332" t="str">
        <f t="shared" si="19"/>
        <v>S</v>
      </c>
      <c r="F332" t="str">
        <f t="shared" si="21"/>
        <v>18S</v>
      </c>
    </row>
    <row r="333" spans="1:6" x14ac:dyDescent="0.2">
      <c r="A333">
        <v>19</v>
      </c>
      <c r="D333">
        <f t="shared" si="20"/>
        <v>3</v>
      </c>
      <c r="E333" t="str">
        <f t="shared" si="19"/>
        <v>T</v>
      </c>
      <c r="F333" t="str">
        <f t="shared" si="21"/>
        <v>19T</v>
      </c>
    </row>
    <row r="334" spans="1:6" x14ac:dyDescent="0.2">
      <c r="A334">
        <v>20</v>
      </c>
      <c r="D334">
        <f t="shared" si="20"/>
        <v>3</v>
      </c>
      <c r="E334" t="str">
        <f t="shared" si="19"/>
        <v>U</v>
      </c>
      <c r="F334" t="str">
        <f t="shared" si="21"/>
        <v>20U</v>
      </c>
    </row>
    <row r="335" spans="1:6" x14ac:dyDescent="0.2">
      <c r="A335">
        <v>21</v>
      </c>
      <c r="D335">
        <f t="shared" si="20"/>
        <v>3</v>
      </c>
      <c r="E335" t="str">
        <f t="shared" si="19"/>
        <v>V</v>
      </c>
      <c r="F335" t="str">
        <f t="shared" si="21"/>
        <v>21V</v>
      </c>
    </row>
    <row r="336" spans="1:6" x14ac:dyDescent="0.2">
      <c r="A336">
        <v>22</v>
      </c>
      <c r="D336">
        <f t="shared" si="20"/>
        <v>3</v>
      </c>
      <c r="E336" t="str">
        <f t="shared" si="19"/>
        <v>W</v>
      </c>
      <c r="F336" t="str">
        <f t="shared" si="21"/>
        <v>22W</v>
      </c>
    </row>
    <row r="337" spans="1:6" x14ac:dyDescent="0.2">
      <c r="A337">
        <v>23</v>
      </c>
      <c r="D337">
        <f t="shared" si="20"/>
        <v>3</v>
      </c>
      <c r="E337" t="str">
        <f t="shared" si="19"/>
        <v>X</v>
      </c>
      <c r="F337" t="str">
        <f t="shared" si="21"/>
        <v>23X</v>
      </c>
    </row>
    <row r="338" spans="1:6" x14ac:dyDescent="0.2">
      <c r="A338">
        <v>24</v>
      </c>
      <c r="D338">
        <f t="shared" si="20"/>
        <v>3</v>
      </c>
      <c r="E338" t="str">
        <f t="shared" si="19"/>
        <v>Y</v>
      </c>
      <c r="F338" t="str">
        <f t="shared" si="21"/>
        <v>24Y</v>
      </c>
    </row>
    <row r="339" spans="1:6" x14ac:dyDescent="0.2">
      <c r="A339">
        <v>25</v>
      </c>
      <c r="D339">
        <f t="shared" si="20"/>
        <v>3</v>
      </c>
      <c r="E339" t="str">
        <f t="shared" si="19"/>
        <v>Z</v>
      </c>
      <c r="F339" t="str">
        <f t="shared" si="21"/>
        <v>25Z</v>
      </c>
    </row>
    <row r="340" spans="1:6" x14ac:dyDescent="0.2">
      <c r="A340">
        <v>0</v>
      </c>
      <c r="D340">
        <f t="shared" si="20"/>
        <v>3</v>
      </c>
      <c r="E340" t="str">
        <f t="shared" si="19"/>
        <v>A</v>
      </c>
      <c r="F340" t="str">
        <f t="shared" si="21"/>
        <v>0A</v>
      </c>
    </row>
    <row r="341" spans="1:6" x14ac:dyDescent="0.2">
      <c r="A341">
        <v>1</v>
      </c>
      <c r="D341">
        <f t="shared" si="20"/>
        <v>3</v>
      </c>
      <c r="E341" t="str">
        <f t="shared" si="19"/>
        <v>B</v>
      </c>
      <c r="F341" t="str">
        <f t="shared" si="21"/>
        <v>1B</v>
      </c>
    </row>
    <row r="342" spans="1:6" x14ac:dyDescent="0.2">
      <c r="A342">
        <v>2</v>
      </c>
      <c r="D342">
        <f t="shared" si="20"/>
        <v>3</v>
      </c>
      <c r="E342" t="str">
        <f t="shared" si="19"/>
        <v>C</v>
      </c>
      <c r="F342" t="str">
        <f t="shared" si="21"/>
        <v>2C</v>
      </c>
    </row>
    <row r="343" spans="1:6" x14ac:dyDescent="0.2">
      <c r="A343">
        <v>3</v>
      </c>
      <c r="D343">
        <f t="shared" si="20"/>
        <v>3</v>
      </c>
      <c r="E343" t="str">
        <f t="shared" si="19"/>
        <v>D</v>
      </c>
      <c r="F343" t="str">
        <f t="shared" si="21"/>
        <v>3D</v>
      </c>
    </row>
    <row r="344" spans="1:6" x14ac:dyDescent="0.2">
      <c r="A344">
        <v>4</v>
      </c>
      <c r="D344">
        <f t="shared" si="20"/>
        <v>3</v>
      </c>
      <c r="E344" t="str">
        <f t="shared" si="19"/>
        <v>E</v>
      </c>
      <c r="F344" t="str">
        <f t="shared" si="21"/>
        <v>4E</v>
      </c>
    </row>
    <row r="345" spans="1:6" x14ac:dyDescent="0.2">
      <c r="A345">
        <v>5</v>
      </c>
      <c r="D345">
        <f t="shared" si="20"/>
        <v>3</v>
      </c>
      <c r="E345" t="str">
        <f t="shared" si="19"/>
        <v>F</v>
      </c>
      <c r="F345" t="str">
        <f t="shared" si="21"/>
        <v>5F</v>
      </c>
    </row>
    <row r="346" spans="1:6" x14ac:dyDescent="0.2">
      <c r="A346">
        <v>6</v>
      </c>
      <c r="D346">
        <f t="shared" si="20"/>
        <v>3</v>
      </c>
      <c r="E346" t="str">
        <f t="shared" si="19"/>
        <v>G</v>
      </c>
      <c r="F346" t="str">
        <f t="shared" si="21"/>
        <v>6G</v>
      </c>
    </row>
    <row r="347" spans="1:6" x14ac:dyDescent="0.2">
      <c r="A347">
        <v>7</v>
      </c>
      <c r="D347">
        <f t="shared" si="20"/>
        <v>3</v>
      </c>
      <c r="E347" t="str">
        <f t="shared" si="19"/>
        <v>H</v>
      </c>
      <c r="F347" t="str">
        <f t="shared" si="21"/>
        <v>7H</v>
      </c>
    </row>
    <row r="348" spans="1:6" x14ac:dyDescent="0.2">
      <c r="A348">
        <v>8</v>
      </c>
      <c r="D348">
        <f t="shared" si="20"/>
        <v>3</v>
      </c>
      <c r="E348" t="str">
        <f t="shared" si="19"/>
        <v>I</v>
      </c>
      <c r="F348" t="str">
        <f t="shared" si="21"/>
        <v>8I</v>
      </c>
    </row>
    <row r="349" spans="1:6" x14ac:dyDescent="0.2">
      <c r="A349">
        <v>9</v>
      </c>
      <c r="D349">
        <f t="shared" si="20"/>
        <v>3</v>
      </c>
      <c r="E349" t="str">
        <f t="shared" ref="E349:E412" si="22">E323</f>
        <v>J</v>
      </c>
      <c r="F349" t="str">
        <f t="shared" si="21"/>
        <v>9J</v>
      </c>
    </row>
    <row r="350" spans="1:6" x14ac:dyDescent="0.2">
      <c r="A350">
        <v>10</v>
      </c>
      <c r="D350">
        <f t="shared" ref="D350:D413" si="23">D349</f>
        <v>3</v>
      </c>
      <c r="E350" t="str">
        <f t="shared" si="22"/>
        <v>K</v>
      </c>
      <c r="F350" t="str">
        <f t="shared" si="21"/>
        <v>10K</v>
      </c>
    </row>
    <row r="351" spans="1:6" x14ac:dyDescent="0.2">
      <c r="A351">
        <v>11</v>
      </c>
      <c r="D351">
        <f t="shared" si="23"/>
        <v>3</v>
      </c>
      <c r="E351" t="str">
        <f t="shared" si="22"/>
        <v>L</v>
      </c>
      <c r="F351" t="str">
        <f t="shared" si="21"/>
        <v>11L</v>
      </c>
    </row>
    <row r="352" spans="1:6" x14ac:dyDescent="0.2">
      <c r="A352">
        <v>12</v>
      </c>
      <c r="D352">
        <f t="shared" si="23"/>
        <v>3</v>
      </c>
      <c r="E352" t="str">
        <f t="shared" si="22"/>
        <v>M</v>
      </c>
      <c r="F352" t="str">
        <f t="shared" si="21"/>
        <v>12M</v>
      </c>
    </row>
    <row r="353" spans="1:6" x14ac:dyDescent="0.2">
      <c r="A353">
        <v>13</v>
      </c>
      <c r="D353">
        <f t="shared" si="23"/>
        <v>3</v>
      </c>
      <c r="E353" t="str">
        <f t="shared" si="22"/>
        <v>N</v>
      </c>
      <c r="F353" t="str">
        <f t="shared" si="21"/>
        <v>13N</v>
      </c>
    </row>
    <row r="354" spans="1:6" x14ac:dyDescent="0.2">
      <c r="A354">
        <v>14</v>
      </c>
      <c r="D354">
        <f t="shared" si="23"/>
        <v>3</v>
      </c>
      <c r="E354" t="str">
        <f t="shared" si="22"/>
        <v>O</v>
      </c>
      <c r="F354" t="str">
        <f t="shared" si="21"/>
        <v>14O</v>
      </c>
    </row>
    <row r="355" spans="1:6" x14ac:dyDescent="0.2">
      <c r="A355">
        <v>15</v>
      </c>
      <c r="D355">
        <f t="shared" si="23"/>
        <v>3</v>
      </c>
      <c r="E355" t="str">
        <f t="shared" si="22"/>
        <v>P</v>
      </c>
      <c r="F355" t="str">
        <f t="shared" si="21"/>
        <v>15P</v>
      </c>
    </row>
    <row r="356" spans="1:6" x14ac:dyDescent="0.2">
      <c r="A356">
        <v>16</v>
      </c>
      <c r="D356">
        <f t="shared" si="23"/>
        <v>3</v>
      </c>
      <c r="E356" t="str">
        <f t="shared" si="22"/>
        <v>Q</v>
      </c>
      <c r="F356" t="str">
        <f t="shared" si="21"/>
        <v>16Q</v>
      </c>
    </row>
    <row r="357" spans="1:6" x14ac:dyDescent="0.2">
      <c r="A357">
        <v>17</v>
      </c>
      <c r="D357">
        <f t="shared" si="23"/>
        <v>3</v>
      </c>
      <c r="E357" t="str">
        <f t="shared" si="22"/>
        <v>R</v>
      </c>
      <c r="F357" t="str">
        <f t="shared" si="21"/>
        <v>17R</v>
      </c>
    </row>
    <row r="358" spans="1:6" x14ac:dyDescent="0.2">
      <c r="A358">
        <v>18</v>
      </c>
      <c r="D358">
        <f t="shared" si="23"/>
        <v>3</v>
      </c>
      <c r="E358" t="str">
        <f t="shared" si="22"/>
        <v>S</v>
      </c>
      <c r="F358" t="str">
        <f t="shared" si="21"/>
        <v>18S</v>
      </c>
    </row>
    <row r="359" spans="1:6" x14ac:dyDescent="0.2">
      <c r="A359">
        <v>19</v>
      </c>
      <c r="D359">
        <f t="shared" si="23"/>
        <v>3</v>
      </c>
      <c r="E359" t="str">
        <f t="shared" si="22"/>
        <v>T</v>
      </c>
      <c r="F359" t="str">
        <f t="shared" si="21"/>
        <v>19T</v>
      </c>
    </row>
    <row r="360" spans="1:6" x14ac:dyDescent="0.2">
      <c r="A360">
        <v>20</v>
      </c>
      <c r="D360">
        <f t="shared" si="23"/>
        <v>3</v>
      </c>
      <c r="E360" t="str">
        <f t="shared" si="22"/>
        <v>U</v>
      </c>
      <c r="F360" t="str">
        <f t="shared" si="21"/>
        <v>20U</v>
      </c>
    </row>
    <row r="361" spans="1:6" x14ac:dyDescent="0.2">
      <c r="A361">
        <v>21</v>
      </c>
      <c r="D361">
        <f t="shared" si="23"/>
        <v>3</v>
      </c>
      <c r="E361" t="str">
        <f t="shared" si="22"/>
        <v>V</v>
      </c>
      <c r="F361" t="str">
        <f t="shared" si="21"/>
        <v>21V</v>
      </c>
    </row>
    <row r="362" spans="1:6" x14ac:dyDescent="0.2">
      <c r="A362">
        <v>22</v>
      </c>
      <c r="D362">
        <f t="shared" si="23"/>
        <v>3</v>
      </c>
      <c r="E362" t="str">
        <f t="shared" si="22"/>
        <v>W</v>
      </c>
      <c r="F362" t="str">
        <f t="shared" si="21"/>
        <v>22W</v>
      </c>
    </row>
    <row r="363" spans="1:6" x14ac:dyDescent="0.2">
      <c r="A363">
        <v>23</v>
      </c>
      <c r="D363">
        <f t="shared" si="23"/>
        <v>3</v>
      </c>
      <c r="E363" t="str">
        <f t="shared" si="22"/>
        <v>X</v>
      </c>
      <c r="F363" t="str">
        <f t="shared" si="21"/>
        <v>23X</v>
      </c>
    </row>
    <row r="364" spans="1:6" x14ac:dyDescent="0.2">
      <c r="A364">
        <v>24</v>
      </c>
      <c r="D364">
        <f t="shared" si="23"/>
        <v>3</v>
      </c>
      <c r="E364" t="str">
        <f t="shared" si="22"/>
        <v>Y</v>
      </c>
      <c r="F364" t="str">
        <f t="shared" si="21"/>
        <v>24Y</v>
      </c>
    </row>
    <row r="365" spans="1:6" x14ac:dyDescent="0.2">
      <c r="A365">
        <v>25</v>
      </c>
      <c r="D365">
        <f t="shared" si="23"/>
        <v>3</v>
      </c>
      <c r="E365" t="str">
        <f t="shared" si="22"/>
        <v>Z</v>
      </c>
      <c r="F365" t="str">
        <f t="shared" si="21"/>
        <v>25Z</v>
      </c>
    </row>
    <row r="366" spans="1:6" x14ac:dyDescent="0.2">
      <c r="A366">
        <v>0</v>
      </c>
      <c r="D366">
        <f t="shared" si="23"/>
        <v>3</v>
      </c>
      <c r="E366" t="str">
        <f t="shared" si="22"/>
        <v>A</v>
      </c>
      <c r="F366" t="str">
        <f t="shared" si="21"/>
        <v>0A</v>
      </c>
    </row>
    <row r="367" spans="1:6" x14ac:dyDescent="0.2">
      <c r="A367">
        <v>1</v>
      </c>
      <c r="D367">
        <f t="shared" si="23"/>
        <v>3</v>
      </c>
      <c r="E367" t="str">
        <f t="shared" si="22"/>
        <v>B</v>
      </c>
      <c r="F367" t="str">
        <f t="shared" si="21"/>
        <v>1B</v>
      </c>
    </row>
    <row r="368" spans="1:6" x14ac:dyDescent="0.2">
      <c r="A368">
        <v>2</v>
      </c>
      <c r="D368">
        <f t="shared" si="23"/>
        <v>3</v>
      </c>
      <c r="E368" t="str">
        <f t="shared" si="22"/>
        <v>C</v>
      </c>
      <c r="F368" t="str">
        <f t="shared" si="21"/>
        <v>2C</v>
      </c>
    </row>
    <row r="369" spans="1:6" x14ac:dyDescent="0.2">
      <c r="A369">
        <v>3</v>
      </c>
      <c r="D369">
        <f t="shared" si="23"/>
        <v>3</v>
      </c>
      <c r="E369" t="str">
        <f t="shared" si="22"/>
        <v>D</v>
      </c>
      <c r="F369" t="str">
        <f t="shared" si="21"/>
        <v>3D</v>
      </c>
    </row>
    <row r="370" spans="1:6" x14ac:dyDescent="0.2">
      <c r="A370">
        <v>4</v>
      </c>
      <c r="D370">
        <f t="shared" si="23"/>
        <v>3</v>
      </c>
      <c r="E370" t="str">
        <f t="shared" si="22"/>
        <v>E</v>
      </c>
      <c r="F370" t="str">
        <f t="shared" si="21"/>
        <v>4E</v>
      </c>
    </row>
    <row r="371" spans="1:6" x14ac:dyDescent="0.2">
      <c r="A371">
        <v>5</v>
      </c>
      <c r="D371">
        <f t="shared" si="23"/>
        <v>3</v>
      </c>
      <c r="E371" t="str">
        <f t="shared" si="22"/>
        <v>F</v>
      </c>
      <c r="F371" t="str">
        <f t="shared" si="21"/>
        <v>5F</v>
      </c>
    </row>
    <row r="372" spans="1:6" x14ac:dyDescent="0.2">
      <c r="A372">
        <v>6</v>
      </c>
      <c r="D372">
        <f t="shared" si="23"/>
        <v>3</v>
      </c>
      <c r="E372" t="str">
        <f t="shared" si="22"/>
        <v>G</v>
      </c>
      <c r="F372" t="str">
        <f t="shared" si="21"/>
        <v>6G</v>
      </c>
    </row>
    <row r="373" spans="1:6" x14ac:dyDescent="0.2">
      <c r="A373">
        <v>7</v>
      </c>
      <c r="D373">
        <f t="shared" si="23"/>
        <v>3</v>
      </c>
      <c r="E373" t="str">
        <f t="shared" si="22"/>
        <v>H</v>
      </c>
      <c r="F373" t="str">
        <f t="shared" si="21"/>
        <v>7H</v>
      </c>
    </row>
    <row r="374" spans="1:6" x14ac:dyDescent="0.2">
      <c r="A374">
        <v>8</v>
      </c>
      <c r="D374">
        <f t="shared" si="23"/>
        <v>3</v>
      </c>
      <c r="E374" t="str">
        <f t="shared" si="22"/>
        <v>I</v>
      </c>
      <c r="F374" t="str">
        <f t="shared" si="21"/>
        <v>8I</v>
      </c>
    </row>
    <row r="375" spans="1:6" x14ac:dyDescent="0.2">
      <c r="A375">
        <v>9</v>
      </c>
      <c r="D375">
        <f t="shared" si="23"/>
        <v>3</v>
      </c>
      <c r="E375" t="str">
        <f t="shared" si="22"/>
        <v>J</v>
      </c>
      <c r="F375" t="str">
        <f t="shared" si="21"/>
        <v>9J</v>
      </c>
    </row>
    <row r="376" spans="1:6" x14ac:dyDescent="0.2">
      <c r="A376">
        <v>10</v>
      </c>
      <c r="D376">
        <f t="shared" si="23"/>
        <v>3</v>
      </c>
      <c r="E376" t="str">
        <f t="shared" si="22"/>
        <v>K</v>
      </c>
      <c r="F376" t="str">
        <f t="shared" si="21"/>
        <v>10K</v>
      </c>
    </row>
    <row r="377" spans="1:6" x14ac:dyDescent="0.2">
      <c r="A377">
        <v>11</v>
      </c>
      <c r="D377">
        <f t="shared" si="23"/>
        <v>3</v>
      </c>
      <c r="E377" t="str">
        <f t="shared" si="22"/>
        <v>L</v>
      </c>
      <c r="F377" t="str">
        <f t="shared" si="21"/>
        <v>11L</v>
      </c>
    </row>
    <row r="378" spans="1:6" x14ac:dyDescent="0.2">
      <c r="A378">
        <v>12</v>
      </c>
      <c r="D378">
        <f t="shared" si="23"/>
        <v>3</v>
      </c>
      <c r="E378" t="str">
        <f t="shared" si="22"/>
        <v>M</v>
      </c>
      <c r="F378" t="str">
        <f t="shared" si="21"/>
        <v>12M</v>
      </c>
    </row>
    <row r="379" spans="1:6" x14ac:dyDescent="0.2">
      <c r="A379">
        <v>13</v>
      </c>
      <c r="D379">
        <f t="shared" si="23"/>
        <v>3</v>
      </c>
      <c r="E379" t="str">
        <f t="shared" si="22"/>
        <v>N</v>
      </c>
      <c r="F379" t="str">
        <f t="shared" si="21"/>
        <v>13N</v>
      </c>
    </row>
    <row r="380" spans="1:6" x14ac:dyDescent="0.2">
      <c r="A380">
        <v>14</v>
      </c>
      <c r="D380">
        <f t="shared" si="23"/>
        <v>3</v>
      </c>
      <c r="E380" t="str">
        <f t="shared" si="22"/>
        <v>O</v>
      </c>
      <c r="F380" t="str">
        <f t="shared" si="21"/>
        <v>14O</v>
      </c>
    </row>
    <row r="381" spans="1:6" x14ac:dyDescent="0.2">
      <c r="A381">
        <v>15</v>
      </c>
      <c r="D381">
        <f t="shared" si="23"/>
        <v>3</v>
      </c>
      <c r="E381" t="str">
        <f t="shared" si="22"/>
        <v>P</v>
      </c>
      <c r="F381" t="str">
        <f t="shared" si="21"/>
        <v>15P</v>
      </c>
    </row>
    <row r="382" spans="1:6" x14ac:dyDescent="0.2">
      <c r="A382">
        <v>16</v>
      </c>
      <c r="D382">
        <f t="shared" si="23"/>
        <v>3</v>
      </c>
      <c r="E382" t="str">
        <f t="shared" si="22"/>
        <v>Q</v>
      </c>
      <c r="F382" t="str">
        <f t="shared" si="21"/>
        <v>16Q</v>
      </c>
    </row>
    <row r="383" spans="1:6" x14ac:dyDescent="0.2">
      <c r="A383">
        <v>17</v>
      </c>
      <c r="D383">
        <f t="shared" si="23"/>
        <v>3</v>
      </c>
      <c r="E383" t="str">
        <f t="shared" si="22"/>
        <v>R</v>
      </c>
      <c r="F383" t="str">
        <f t="shared" si="21"/>
        <v>17R</v>
      </c>
    </row>
    <row r="384" spans="1:6" x14ac:dyDescent="0.2">
      <c r="A384">
        <v>18</v>
      </c>
      <c r="D384">
        <f t="shared" si="23"/>
        <v>3</v>
      </c>
      <c r="E384" t="str">
        <f t="shared" si="22"/>
        <v>S</v>
      </c>
      <c r="F384" t="str">
        <f t="shared" si="21"/>
        <v>18S</v>
      </c>
    </row>
    <row r="385" spans="1:6" x14ac:dyDescent="0.2">
      <c r="A385">
        <v>19</v>
      </c>
      <c r="D385">
        <f t="shared" si="23"/>
        <v>3</v>
      </c>
      <c r="E385" t="str">
        <f t="shared" si="22"/>
        <v>T</v>
      </c>
      <c r="F385" t="str">
        <f t="shared" si="21"/>
        <v>19T</v>
      </c>
    </row>
    <row r="386" spans="1:6" x14ac:dyDescent="0.2">
      <c r="A386">
        <v>20</v>
      </c>
      <c r="D386">
        <f t="shared" si="23"/>
        <v>3</v>
      </c>
      <c r="E386" t="str">
        <f t="shared" si="22"/>
        <v>U</v>
      </c>
      <c r="F386" t="str">
        <f t="shared" si="21"/>
        <v>20U</v>
      </c>
    </row>
    <row r="387" spans="1:6" x14ac:dyDescent="0.2">
      <c r="A387">
        <v>21</v>
      </c>
      <c r="D387">
        <f t="shared" si="23"/>
        <v>3</v>
      </c>
      <c r="E387" t="str">
        <f t="shared" si="22"/>
        <v>V</v>
      </c>
      <c r="F387" t="str">
        <f t="shared" ref="F387:F450" si="24">A387&amp;C387&amp;E387</f>
        <v>21V</v>
      </c>
    </row>
    <row r="388" spans="1:6" x14ac:dyDescent="0.2">
      <c r="A388">
        <v>22</v>
      </c>
      <c r="D388">
        <f t="shared" si="23"/>
        <v>3</v>
      </c>
      <c r="E388" t="str">
        <f t="shared" si="22"/>
        <v>W</v>
      </c>
      <c r="F388" t="str">
        <f t="shared" si="24"/>
        <v>22W</v>
      </c>
    </row>
    <row r="389" spans="1:6" x14ac:dyDescent="0.2">
      <c r="A389">
        <v>23</v>
      </c>
      <c r="D389">
        <f t="shared" si="23"/>
        <v>3</v>
      </c>
      <c r="E389" t="str">
        <f t="shared" si="22"/>
        <v>X</v>
      </c>
      <c r="F389" t="str">
        <f t="shared" si="24"/>
        <v>23X</v>
      </c>
    </row>
    <row r="390" spans="1:6" x14ac:dyDescent="0.2">
      <c r="A390">
        <v>24</v>
      </c>
      <c r="D390">
        <f t="shared" si="23"/>
        <v>3</v>
      </c>
      <c r="E390" t="str">
        <f t="shared" si="22"/>
        <v>Y</v>
      </c>
      <c r="F390" t="str">
        <f t="shared" si="24"/>
        <v>24Y</v>
      </c>
    </row>
    <row r="391" spans="1:6" x14ac:dyDescent="0.2">
      <c r="A391">
        <v>25</v>
      </c>
      <c r="D391">
        <f t="shared" si="23"/>
        <v>3</v>
      </c>
      <c r="E391" t="str">
        <f t="shared" si="22"/>
        <v>Z</v>
      </c>
      <c r="F391" t="str">
        <f t="shared" si="24"/>
        <v>25Z</v>
      </c>
    </row>
    <row r="392" spans="1:6" x14ac:dyDescent="0.2">
      <c r="A392">
        <v>0</v>
      </c>
      <c r="D392">
        <f t="shared" si="23"/>
        <v>3</v>
      </c>
      <c r="E392" t="str">
        <f t="shared" si="22"/>
        <v>A</v>
      </c>
      <c r="F392" t="str">
        <f t="shared" si="24"/>
        <v>0A</v>
      </c>
    </row>
    <row r="393" spans="1:6" x14ac:dyDescent="0.2">
      <c r="A393">
        <v>1</v>
      </c>
      <c r="D393">
        <f t="shared" si="23"/>
        <v>3</v>
      </c>
      <c r="E393" t="str">
        <f t="shared" si="22"/>
        <v>B</v>
      </c>
      <c r="F393" t="str">
        <f t="shared" si="24"/>
        <v>1B</v>
      </c>
    </row>
    <row r="394" spans="1:6" x14ac:dyDescent="0.2">
      <c r="A394">
        <v>2</v>
      </c>
      <c r="D394">
        <f t="shared" si="23"/>
        <v>3</v>
      </c>
      <c r="E394" t="str">
        <f t="shared" si="22"/>
        <v>C</v>
      </c>
      <c r="F394" t="str">
        <f t="shared" si="24"/>
        <v>2C</v>
      </c>
    </row>
    <row r="395" spans="1:6" x14ac:dyDescent="0.2">
      <c r="A395">
        <v>3</v>
      </c>
      <c r="D395">
        <f t="shared" si="23"/>
        <v>3</v>
      </c>
      <c r="E395" t="str">
        <f t="shared" si="22"/>
        <v>D</v>
      </c>
      <c r="F395" t="str">
        <f t="shared" si="24"/>
        <v>3D</v>
      </c>
    </row>
    <row r="396" spans="1:6" x14ac:dyDescent="0.2">
      <c r="A396">
        <v>4</v>
      </c>
      <c r="D396">
        <f t="shared" si="23"/>
        <v>3</v>
      </c>
      <c r="E396" t="str">
        <f t="shared" si="22"/>
        <v>E</v>
      </c>
      <c r="F396" t="str">
        <f t="shared" si="24"/>
        <v>4E</v>
      </c>
    </row>
    <row r="397" spans="1:6" x14ac:dyDescent="0.2">
      <c r="A397">
        <v>5</v>
      </c>
      <c r="D397">
        <f t="shared" si="23"/>
        <v>3</v>
      </c>
      <c r="E397" t="str">
        <f t="shared" si="22"/>
        <v>F</v>
      </c>
      <c r="F397" t="str">
        <f t="shared" si="24"/>
        <v>5F</v>
      </c>
    </row>
    <row r="398" spans="1:6" x14ac:dyDescent="0.2">
      <c r="A398">
        <v>6</v>
      </c>
      <c r="D398">
        <f t="shared" si="23"/>
        <v>3</v>
      </c>
      <c r="E398" t="str">
        <f t="shared" si="22"/>
        <v>G</v>
      </c>
      <c r="F398" t="str">
        <f t="shared" si="24"/>
        <v>6G</v>
      </c>
    </row>
    <row r="399" spans="1:6" x14ac:dyDescent="0.2">
      <c r="A399">
        <v>7</v>
      </c>
      <c r="D399">
        <f t="shared" si="23"/>
        <v>3</v>
      </c>
      <c r="E399" t="str">
        <f t="shared" si="22"/>
        <v>H</v>
      </c>
      <c r="F399" t="str">
        <f t="shared" si="24"/>
        <v>7H</v>
      </c>
    </row>
    <row r="400" spans="1:6" x14ac:dyDescent="0.2">
      <c r="A400">
        <v>8</v>
      </c>
      <c r="D400">
        <f t="shared" si="23"/>
        <v>3</v>
      </c>
      <c r="E400" t="str">
        <f t="shared" si="22"/>
        <v>I</v>
      </c>
      <c r="F400" t="str">
        <f t="shared" si="24"/>
        <v>8I</v>
      </c>
    </row>
    <row r="401" spans="1:6" x14ac:dyDescent="0.2">
      <c r="A401">
        <v>9</v>
      </c>
      <c r="D401">
        <f t="shared" si="23"/>
        <v>3</v>
      </c>
      <c r="E401" t="str">
        <f t="shared" si="22"/>
        <v>J</v>
      </c>
      <c r="F401" t="str">
        <f t="shared" si="24"/>
        <v>9J</v>
      </c>
    </row>
    <row r="402" spans="1:6" x14ac:dyDescent="0.2">
      <c r="A402">
        <v>10</v>
      </c>
      <c r="D402">
        <f t="shared" si="23"/>
        <v>3</v>
      </c>
      <c r="E402" t="str">
        <f t="shared" si="22"/>
        <v>K</v>
      </c>
      <c r="F402" t="str">
        <f t="shared" si="24"/>
        <v>10K</v>
      </c>
    </row>
    <row r="403" spans="1:6" x14ac:dyDescent="0.2">
      <c r="A403">
        <v>11</v>
      </c>
      <c r="D403">
        <f t="shared" si="23"/>
        <v>3</v>
      </c>
      <c r="E403" t="str">
        <f t="shared" si="22"/>
        <v>L</v>
      </c>
      <c r="F403" t="str">
        <f t="shared" si="24"/>
        <v>11L</v>
      </c>
    </row>
    <row r="404" spans="1:6" x14ac:dyDescent="0.2">
      <c r="A404">
        <v>12</v>
      </c>
      <c r="D404">
        <f t="shared" si="23"/>
        <v>3</v>
      </c>
      <c r="E404" t="str">
        <f t="shared" si="22"/>
        <v>M</v>
      </c>
      <c r="F404" t="str">
        <f t="shared" si="24"/>
        <v>12M</v>
      </c>
    </row>
    <row r="405" spans="1:6" x14ac:dyDescent="0.2">
      <c r="A405">
        <v>13</v>
      </c>
      <c r="D405">
        <f t="shared" si="23"/>
        <v>3</v>
      </c>
      <c r="E405" t="str">
        <f t="shared" si="22"/>
        <v>N</v>
      </c>
      <c r="F405" t="str">
        <f t="shared" si="24"/>
        <v>13N</v>
      </c>
    </row>
    <row r="406" spans="1:6" x14ac:dyDescent="0.2">
      <c r="A406">
        <v>14</v>
      </c>
      <c r="D406">
        <f t="shared" si="23"/>
        <v>3</v>
      </c>
      <c r="E406" t="str">
        <f t="shared" si="22"/>
        <v>O</v>
      </c>
      <c r="F406" t="str">
        <f t="shared" si="24"/>
        <v>14O</v>
      </c>
    </row>
    <row r="407" spans="1:6" x14ac:dyDescent="0.2">
      <c r="A407">
        <v>15</v>
      </c>
      <c r="D407">
        <f t="shared" si="23"/>
        <v>3</v>
      </c>
      <c r="E407" t="str">
        <f t="shared" si="22"/>
        <v>P</v>
      </c>
      <c r="F407" t="str">
        <f t="shared" si="24"/>
        <v>15P</v>
      </c>
    </row>
    <row r="408" spans="1:6" x14ac:dyDescent="0.2">
      <c r="A408">
        <v>16</v>
      </c>
      <c r="D408">
        <f t="shared" si="23"/>
        <v>3</v>
      </c>
      <c r="E408" t="str">
        <f t="shared" si="22"/>
        <v>Q</v>
      </c>
      <c r="F408" t="str">
        <f t="shared" si="24"/>
        <v>16Q</v>
      </c>
    </row>
    <row r="409" spans="1:6" x14ac:dyDescent="0.2">
      <c r="A409">
        <v>17</v>
      </c>
      <c r="D409">
        <f t="shared" si="23"/>
        <v>3</v>
      </c>
      <c r="E409" t="str">
        <f t="shared" si="22"/>
        <v>R</v>
      </c>
      <c r="F409" t="str">
        <f t="shared" si="24"/>
        <v>17R</v>
      </c>
    </row>
    <row r="410" spans="1:6" x14ac:dyDescent="0.2">
      <c r="A410">
        <v>18</v>
      </c>
      <c r="D410">
        <f t="shared" si="23"/>
        <v>3</v>
      </c>
      <c r="E410" t="str">
        <f t="shared" si="22"/>
        <v>S</v>
      </c>
      <c r="F410" t="str">
        <f t="shared" si="24"/>
        <v>18S</v>
      </c>
    </row>
    <row r="411" spans="1:6" x14ac:dyDescent="0.2">
      <c r="A411">
        <v>19</v>
      </c>
      <c r="D411">
        <f t="shared" si="23"/>
        <v>3</v>
      </c>
      <c r="E411" t="str">
        <f t="shared" si="22"/>
        <v>T</v>
      </c>
      <c r="F411" t="str">
        <f t="shared" si="24"/>
        <v>19T</v>
      </c>
    </row>
    <row r="412" spans="1:6" x14ac:dyDescent="0.2">
      <c r="A412">
        <v>20</v>
      </c>
      <c r="D412">
        <f t="shared" si="23"/>
        <v>3</v>
      </c>
      <c r="E412" t="str">
        <f t="shared" si="22"/>
        <v>U</v>
      </c>
      <c r="F412" t="str">
        <f t="shared" si="24"/>
        <v>20U</v>
      </c>
    </row>
    <row r="413" spans="1:6" x14ac:dyDescent="0.2">
      <c r="A413">
        <v>21</v>
      </c>
      <c r="D413">
        <f t="shared" si="23"/>
        <v>3</v>
      </c>
      <c r="E413" t="str">
        <f t="shared" ref="E413:E476" si="25">E387</f>
        <v>V</v>
      </c>
      <c r="F413" t="str">
        <f t="shared" si="24"/>
        <v>21V</v>
      </c>
    </row>
    <row r="414" spans="1:6" x14ac:dyDescent="0.2">
      <c r="A414">
        <v>22</v>
      </c>
      <c r="D414">
        <f t="shared" ref="D414:D477" si="26">D413</f>
        <v>3</v>
      </c>
      <c r="E414" t="str">
        <f t="shared" si="25"/>
        <v>W</v>
      </c>
      <c r="F414" t="str">
        <f t="shared" si="24"/>
        <v>22W</v>
      </c>
    </row>
    <row r="415" spans="1:6" x14ac:dyDescent="0.2">
      <c r="A415">
        <v>23</v>
      </c>
      <c r="D415">
        <f t="shared" si="26"/>
        <v>3</v>
      </c>
      <c r="E415" t="str">
        <f t="shared" si="25"/>
        <v>X</v>
      </c>
      <c r="F415" t="str">
        <f t="shared" si="24"/>
        <v>23X</v>
      </c>
    </row>
    <row r="416" spans="1:6" x14ac:dyDescent="0.2">
      <c r="A416">
        <v>24</v>
      </c>
      <c r="D416">
        <f t="shared" si="26"/>
        <v>3</v>
      </c>
      <c r="E416" t="str">
        <f t="shared" si="25"/>
        <v>Y</v>
      </c>
      <c r="F416" t="str">
        <f t="shared" si="24"/>
        <v>24Y</v>
      </c>
    </row>
    <row r="417" spans="1:6" x14ac:dyDescent="0.2">
      <c r="A417">
        <v>25</v>
      </c>
      <c r="D417">
        <f t="shared" si="26"/>
        <v>3</v>
      </c>
      <c r="E417" t="str">
        <f t="shared" si="25"/>
        <v>Z</v>
      </c>
      <c r="F417" t="str">
        <f t="shared" si="24"/>
        <v>25Z</v>
      </c>
    </row>
    <row r="418" spans="1:6" x14ac:dyDescent="0.2">
      <c r="A418">
        <v>0</v>
      </c>
      <c r="D418">
        <f t="shared" si="26"/>
        <v>3</v>
      </c>
      <c r="E418" t="str">
        <f t="shared" si="25"/>
        <v>A</v>
      </c>
      <c r="F418" t="str">
        <f t="shared" si="24"/>
        <v>0A</v>
      </c>
    </row>
    <row r="419" spans="1:6" x14ac:dyDescent="0.2">
      <c r="A419">
        <v>1</v>
      </c>
      <c r="D419">
        <f t="shared" si="26"/>
        <v>3</v>
      </c>
      <c r="E419" t="str">
        <f t="shared" si="25"/>
        <v>B</v>
      </c>
      <c r="F419" t="str">
        <f t="shared" si="24"/>
        <v>1B</v>
      </c>
    </row>
    <row r="420" spans="1:6" x14ac:dyDescent="0.2">
      <c r="A420">
        <v>2</v>
      </c>
      <c r="D420">
        <f t="shared" si="26"/>
        <v>3</v>
      </c>
      <c r="E420" t="str">
        <f t="shared" si="25"/>
        <v>C</v>
      </c>
      <c r="F420" t="str">
        <f t="shared" si="24"/>
        <v>2C</v>
      </c>
    </row>
    <row r="421" spans="1:6" x14ac:dyDescent="0.2">
      <c r="A421">
        <v>3</v>
      </c>
      <c r="D421">
        <f t="shared" si="26"/>
        <v>3</v>
      </c>
      <c r="E421" t="str">
        <f t="shared" si="25"/>
        <v>D</v>
      </c>
      <c r="F421" t="str">
        <f t="shared" si="24"/>
        <v>3D</v>
      </c>
    </row>
    <row r="422" spans="1:6" x14ac:dyDescent="0.2">
      <c r="A422">
        <v>4</v>
      </c>
      <c r="D422">
        <f t="shared" si="26"/>
        <v>3</v>
      </c>
      <c r="E422" t="str">
        <f t="shared" si="25"/>
        <v>E</v>
      </c>
      <c r="F422" t="str">
        <f t="shared" si="24"/>
        <v>4E</v>
      </c>
    </row>
    <row r="423" spans="1:6" x14ac:dyDescent="0.2">
      <c r="A423">
        <v>5</v>
      </c>
      <c r="D423">
        <f t="shared" si="26"/>
        <v>3</v>
      </c>
      <c r="E423" t="str">
        <f t="shared" si="25"/>
        <v>F</v>
      </c>
      <c r="F423" t="str">
        <f t="shared" si="24"/>
        <v>5F</v>
      </c>
    </row>
    <row r="424" spans="1:6" x14ac:dyDescent="0.2">
      <c r="A424">
        <v>6</v>
      </c>
      <c r="D424">
        <f t="shared" si="26"/>
        <v>3</v>
      </c>
      <c r="E424" t="str">
        <f t="shared" si="25"/>
        <v>G</v>
      </c>
      <c r="F424" t="str">
        <f t="shared" si="24"/>
        <v>6G</v>
      </c>
    </row>
    <row r="425" spans="1:6" x14ac:dyDescent="0.2">
      <c r="A425">
        <v>7</v>
      </c>
      <c r="D425">
        <f t="shared" si="26"/>
        <v>3</v>
      </c>
      <c r="E425" t="str">
        <f t="shared" si="25"/>
        <v>H</v>
      </c>
      <c r="F425" t="str">
        <f t="shared" si="24"/>
        <v>7H</v>
      </c>
    </row>
    <row r="426" spans="1:6" x14ac:dyDescent="0.2">
      <c r="A426">
        <v>8</v>
      </c>
      <c r="D426">
        <f t="shared" si="26"/>
        <v>3</v>
      </c>
      <c r="E426" t="str">
        <f t="shared" si="25"/>
        <v>I</v>
      </c>
      <c r="F426" t="str">
        <f t="shared" si="24"/>
        <v>8I</v>
      </c>
    </row>
    <row r="427" spans="1:6" x14ac:dyDescent="0.2">
      <c r="A427">
        <v>9</v>
      </c>
      <c r="D427">
        <f t="shared" si="26"/>
        <v>3</v>
      </c>
      <c r="E427" t="str">
        <f t="shared" si="25"/>
        <v>J</v>
      </c>
      <c r="F427" t="str">
        <f t="shared" si="24"/>
        <v>9J</v>
      </c>
    </row>
    <row r="428" spans="1:6" x14ac:dyDescent="0.2">
      <c r="A428">
        <v>10</v>
      </c>
      <c r="D428">
        <f t="shared" si="26"/>
        <v>3</v>
      </c>
      <c r="E428" t="str">
        <f t="shared" si="25"/>
        <v>K</v>
      </c>
      <c r="F428" t="str">
        <f t="shared" si="24"/>
        <v>10K</v>
      </c>
    </row>
    <row r="429" spans="1:6" x14ac:dyDescent="0.2">
      <c r="A429">
        <v>11</v>
      </c>
      <c r="D429">
        <f t="shared" si="26"/>
        <v>3</v>
      </c>
      <c r="E429" t="str">
        <f t="shared" si="25"/>
        <v>L</v>
      </c>
      <c r="F429" t="str">
        <f t="shared" si="24"/>
        <v>11L</v>
      </c>
    </row>
    <row r="430" spans="1:6" x14ac:dyDescent="0.2">
      <c r="A430">
        <v>12</v>
      </c>
      <c r="D430">
        <f t="shared" si="26"/>
        <v>3</v>
      </c>
      <c r="E430" t="str">
        <f t="shared" si="25"/>
        <v>M</v>
      </c>
      <c r="F430" t="str">
        <f t="shared" si="24"/>
        <v>12M</v>
      </c>
    </row>
    <row r="431" spans="1:6" x14ac:dyDescent="0.2">
      <c r="A431">
        <v>13</v>
      </c>
      <c r="D431">
        <f t="shared" si="26"/>
        <v>3</v>
      </c>
      <c r="E431" t="str">
        <f t="shared" si="25"/>
        <v>N</v>
      </c>
      <c r="F431" t="str">
        <f t="shared" si="24"/>
        <v>13N</v>
      </c>
    </row>
    <row r="432" spans="1:6" x14ac:dyDescent="0.2">
      <c r="A432">
        <v>14</v>
      </c>
      <c r="D432">
        <f t="shared" si="26"/>
        <v>3</v>
      </c>
      <c r="E432" t="str">
        <f t="shared" si="25"/>
        <v>O</v>
      </c>
      <c r="F432" t="str">
        <f t="shared" si="24"/>
        <v>14O</v>
      </c>
    </row>
    <row r="433" spans="1:6" x14ac:dyDescent="0.2">
      <c r="A433">
        <v>15</v>
      </c>
      <c r="D433">
        <f t="shared" si="26"/>
        <v>3</v>
      </c>
      <c r="E433" t="str">
        <f t="shared" si="25"/>
        <v>P</v>
      </c>
      <c r="F433" t="str">
        <f t="shared" si="24"/>
        <v>15P</v>
      </c>
    </row>
    <row r="434" spans="1:6" x14ac:dyDescent="0.2">
      <c r="A434">
        <v>16</v>
      </c>
      <c r="D434">
        <f t="shared" si="26"/>
        <v>3</v>
      </c>
      <c r="E434" t="str">
        <f t="shared" si="25"/>
        <v>Q</v>
      </c>
      <c r="F434" t="str">
        <f t="shared" si="24"/>
        <v>16Q</v>
      </c>
    </row>
    <row r="435" spans="1:6" x14ac:dyDescent="0.2">
      <c r="A435">
        <v>17</v>
      </c>
      <c r="D435">
        <f t="shared" si="26"/>
        <v>3</v>
      </c>
      <c r="E435" t="str">
        <f t="shared" si="25"/>
        <v>R</v>
      </c>
      <c r="F435" t="str">
        <f t="shared" si="24"/>
        <v>17R</v>
      </c>
    </row>
    <row r="436" spans="1:6" x14ac:dyDescent="0.2">
      <c r="A436">
        <v>18</v>
      </c>
      <c r="D436">
        <f t="shared" si="26"/>
        <v>3</v>
      </c>
      <c r="E436" t="str">
        <f t="shared" si="25"/>
        <v>S</v>
      </c>
      <c r="F436" t="str">
        <f t="shared" si="24"/>
        <v>18S</v>
      </c>
    </row>
    <row r="437" spans="1:6" x14ac:dyDescent="0.2">
      <c r="A437">
        <v>19</v>
      </c>
      <c r="D437">
        <f t="shared" si="26"/>
        <v>3</v>
      </c>
      <c r="E437" t="str">
        <f t="shared" si="25"/>
        <v>T</v>
      </c>
      <c r="F437" t="str">
        <f t="shared" si="24"/>
        <v>19T</v>
      </c>
    </row>
    <row r="438" spans="1:6" x14ac:dyDescent="0.2">
      <c r="A438">
        <v>20</v>
      </c>
      <c r="D438">
        <f t="shared" si="26"/>
        <v>3</v>
      </c>
      <c r="E438" t="str">
        <f t="shared" si="25"/>
        <v>U</v>
      </c>
      <c r="F438" t="str">
        <f t="shared" si="24"/>
        <v>20U</v>
      </c>
    </row>
    <row r="439" spans="1:6" x14ac:dyDescent="0.2">
      <c r="A439">
        <v>21</v>
      </c>
      <c r="D439">
        <f t="shared" si="26"/>
        <v>3</v>
      </c>
      <c r="E439" t="str">
        <f t="shared" si="25"/>
        <v>V</v>
      </c>
      <c r="F439" t="str">
        <f t="shared" si="24"/>
        <v>21V</v>
      </c>
    </row>
    <row r="440" spans="1:6" x14ac:dyDescent="0.2">
      <c r="A440">
        <v>22</v>
      </c>
      <c r="D440">
        <f t="shared" si="26"/>
        <v>3</v>
      </c>
      <c r="E440" t="str">
        <f t="shared" si="25"/>
        <v>W</v>
      </c>
      <c r="F440" t="str">
        <f t="shared" si="24"/>
        <v>22W</v>
      </c>
    </row>
    <row r="441" spans="1:6" x14ac:dyDescent="0.2">
      <c r="A441">
        <v>23</v>
      </c>
      <c r="D441">
        <f t="shared" si="26"/>
        <v>3</v>
      </c>
      <c r="E441" t="str">
        <f t="shared" si="25"/>
        <v>X</v>
      </c>
      <c r="F441" t="str">
        <f t="shared" si="24"/>
        <v>23X</v>
      </c>
    </row>
    <row r="442" spans="1:6" x14ac:dyDescent="0.2">
      <c r="A442">
        <v>24</v>
      </c>
      <c r="D442">
        <f t="shared" si="26"/>
        <v>3</v>
      </c>
      <c r="E442" t="str">
        <f t="shared" si="25"/>
        <v>Y</v>
      </c>
      <c r="F442" t="str">
        <f t="shared" si="24"/>
        <v>24Y</v>
      </c>
    </row>
    <row r="443" spans="1:6" x14ac:dyDescent="0.2">
      <c r="A443">
        <v>25</v>
      </c>
      <c r="D443">
        <f t="shared" si="26"/>
        <v>3</v>
      </c>
      <c r="E443" t="str">
        <f t="shared" si="25"/>
        <v>Z</v>
      </c>
      <c r="F443" t="str">
        <f t="shared" si="24"/>
        <v>25Z</v>
      </c>
    </row>
    <row r="444" spans="1:6" x14ac:dyDescent="0.2">
      <c r="A444">
        <v>0</v>
      </c>
      <c r="D444">
        <f t="shared" si="26"/>
        <v>3</v>
      </c>
      <c r="E444" t="str">
        <f t="shared" si="25"/>
        <v>A</v>
      </c>
      <c r="F444" t="str">
        <f t="shared" si="24"/>
        <v>0A</v>
      </c>
    </row>
    <row r="445" spans="1:6" x14ac:dyDescent="0.2">
      <c r="A445">
        <v>1</v>
      </c>
      <c r="D445">
        <f t="shared" si="26"/>
        <v>3</v>
      </c>
      <c r="E445" t="str">
        <f t="shared" si="25"/>
        <v>B</v>
      </c>
      <c r="F445" t="str">
        <f t="shared" si="24"/>
        <v>1B</v>
      </c>
    </row>
    <row r="446" spans="1:6" x14ac:dyDescent="0.2">
      <c r="A446">
        <v>2</v>
      </c>
      <c r="D446">
        <f t="shared" si="26"/>
        <v>3</v>
      </c>
      <c r="E446" t="str">
        <f t="shared" si="25"/>
        <v>C</v>
      </c>
      <c r="F446" t="str">
        <f t="shared" si="24"/>
        <v>2C</v>
      </c>
    </row>
    <row r="447" spans="1:6" x14ac:dyDescent="0.2">
      <c r="A447">
        <v>3</v>
      </c>
      <c r="D447">
        <f t="shared" si="26"/>
        <v>3</v>
      </c>
      <c r="E447" t="str">
        <f t="shared" si="25"/>
        <v>D</v>
      </c>
      <c r="F447" t="str">
        <f t="shared" si="24"/>
        <v>3D</v>
      </c>
    </row>
    <row r="448" spans="1:6" x14ac:dyDescent="0.2">
      <c r="A448">
        <v>4</v>
      </c>
      <c r="D448">
        <f t="shared" si="26"/>
        <v>3</v>
      </c>
      <c r="E448" t="str">
        <f t="shared" si="25"/>
        <v>E</v>
      </c>
      <c r="F448" t="str">
        <f t="shared" si="24"/>
        <v>4E</v>
      </c>
    </row>
    <row r="449" spans="1:6" x14ac:dyDescent="0.2">
      <c r="A449">
        <v>5</v>
      </c>
      <c r="D449">
        <f t="shared" si="26"/>
        <v>3</v>
      </c>
      <c r="E449" t="str">
        <f t="shared" si="25"/>
        <v>F</v>
      </c>
      <c r="F449" t="str">
        <f t="shared" si="24"/>
        <v>5F</v>
      </c>
    </row>
    <row r="450" spans="1:6" x14ac:dyDescent="0.2">
      <c r="A450">
        <v>6</v>
      </c>
      <c r="D450">
        <f t="shared" si="26"/>
        <v>3</v>
      </c>
      <c r="E450" t="str">
        <f t="shared" si="25"/>
        <v>G</v>
      </c>
      <c r="F450" t="str">
        <f t="shared" si="24"/>
        <v>6G</v>
      </c>
    </row>
    <row r="451" spans="1:6" x14ac:dyDescent="0.2">
      <c r="A451">
        <v>7</v>
      </c>
      <c r="D451">
        <f t="shared" si="26"/>
        <v>3</v>
      </c>
      <c r="E451" t="str">
        <f t="shared" si="25"/>
        <v>H</v>
      </c>
      <c r="F451" t="str">
        <f t="shared" ref="F451:F514" si="27">A451&amp;C451&amp;E451</f>
        <v>7H</v>
      </c>
    </row>
    <row r="452" spans="1:6" x14ac:dyDescent="0.2">
      <c r="A452">
        <v>8</v>
      </c>
      <c r="D452">
        <f t="shared" si="26"/>
        <v>3</v>
      </c>
      <c r="E452" t="str">
        <f t="shared" si="25"/>
        <v>I</v>
      </c>
      <c r="F452" t="str">
        <f t="shared" si="27"/>
        <v>8I</v>
      </c>
    </row>
    <row r="453" spans="1:6" x14ac:dyDescent="0.2">
      <c r="A453">
        <v>9</v>
      </c>
      <c r="D453">
        <f t="shared" si="26"/>
        <v>3</v>
      </c>
      <c r="E453" t="str">
        <f t="shared" si="25"/>
        <v>J</v>
      </c>
      <c r="F453" t="str">
        <f t="shared" si="27"/>
        <v>9J</v>
      </c>
    </row>
    <row r="454" spans="1:6" x14ac:dyDescent="0.2">
      <c r="A454">
        <v>10</v>
      </c>
      <c r="D454">
        <f t="shared" si="26"/>
        <v>3</v>
      </c>
      <c r="E454" t="str">
        <f t="shared" si="25"/>
        <v>K</v>
      </c>
      <c r="F454" t="str">
        <f t="shared" si="27"/>
        <v>10K</v>
      </c>
    </row>
    <row r="455" spans="1:6" x14ac:dyDescent="0.2">
      <c r="A455">
        <v>11</v>
      </c>
      <c r="D455">
        <f t="shared" si="26"/>
        <v>3</v>
      </c>
      <c r="E455" t="str">
        <f t="shared" si="25"/>
        <v>L</v>
      </c>
      <c r="F455" t="str">
        <f t="shared" si="27"/>
        <v>11L</v>
      </c>
    </row>
    <row r="456" spans="1:6" x14ac:dyDescent="0.2">
      <c r="A456">
        <v>12</v>
      </c>
      <c r="D456">
        <f t="shared" si="26"/>
        <v>3</v>
      </c>
      <c r="E456" t="str">
        <f t="shared" si="25"/>
        <v>M</v>
      </c>
      <c r="F456" t="str">
        <f t="shared" si="27"/>
        <v>12M</v>
      </c>
    </row>
    <row r="457" spans="1:6" x14ac:dyDescent="0.2">
      <c r="A457">
        <v>13</v>
      </c>
      <c r="D457">
        <f t="shared" si="26"/>
        <v>3</v>
      </c>
      <c r="E457" t="str">
        <f t="shared" si="25"/>
        <v>N</v>
      </c>
      <c r="F457" t="str">
        <f t="shared" si="27"/>
        <v>13N</v>
      </c>
    </row>
    <row r="458" spans="1:6" x14ac:dyDescent="0.2">
      <c r="A458">
        <v>14</v>
      </c>
      <c r="D458">
        <f t="shared" si="26"/>
        <v>3</v>
      </c>
      <c r="E458" t="str">
        <f t="shared" si="25"/>
        <v>O</v>
      </c>
      <c r="F458" t="str">
        <f t="shared" si="27"/>
        <v>14O</v>
      </c>
    </row>
    <row r="459" spans="1:6" x14ac:dyDescent="0.2">
      <c r="A459">
        <v>15</v>
      </c>
      <c r="D459">
        <f t="shared" si="26"/>
        <v>3</v>
      </c>
      <c r="E459" t="str">
        <f t="shared" si="25"/>
        <v>P</v>
      </c>
      <c r="F459" t="str">
        <f t="shared" si="27"/>
        <v>15P</v>
      </c>
    </row>
    <row r="460" spans="1:6" x14ac:dyDescent="0.2">
      <c r="A460">
        <v>16</v>
      </c>
      <c r="D460">
        <f t="shared" si="26"/>
        <v>3</v>
      </c>
      <c r="E460" t="str">
        <f t="shared" si="25"/>
        <v>Q</v>
      </c>
      <c r="F460" t="str">
        <f t="shared" si="27"/>
        <v>16Q</v>
      </c>
    </row>
    <row r="461" spans="1:6" x14ac:dyDescent="0.2">
      <c r="A461">
        <v>17</v>
      </c>
      <c r="D461">
        <f t="shared" si="26"/>
        <v>3</v>
      </c>
      <c r="E461" t="str">
        <f t="shared" si="25"/>
        <v>R</v>
      </c>
      <c r="F461" t="str">
        <f t="shared" si="27"/>
        <v>17R</v>
      </c>
    </row>
    <row r="462" spans="1:6" x14ac:dyDescent="0.2">
      <c r="A462">
        <v>18</v>
      </c>
      <c r="D462">
        <f t="shared" si="26"/>
        <v>3</v>
      </c>
      <c r="E462" t="str">
        <f t="shared" si="25"/>
        <v>S</v>
      </c>
      <c r="F462" t="str">
        <f t="shared" si="27"/>
        <v>18S</v>
      </c>
    </row>
    <row r="463" spans="1:6" x14ac:dyDescent="0.2">
      <c r="A463">
        <v>19</v>
      </c>
      <c r="D463">
        <f t="shared" si="26"/>
        <v>3</v>
      </c>
      <c r="E463" t="str">
        <f t="shared" si="25"/>
        <v>T</v>
      </c>
      <c r="F463" t="str">
        <f t="shared" si="27"/>
        <v>19T</v>
      </c>
    </row>
    <row r="464" spans="1:6" x14ac:dyDescent="0.2">
      <c r="A464">
        <v>20</v>
      </c>
      <c r="D464">
        <f t="shared" si="26"/>
        <v>3</v>
      </c>
      <c r="E464" t="str">
        <f t="shared" si="25"/>
        <v>U</v>
      </c>
      <c r="F464" t="str">
        <f t="shared" si="27"/>
        <v>20U</v>
      </c>
    </row>
    <row r="465" spans="1:6" x14ac:dyDescent="0.2">
      <c r="A465">
        <v>21</v>
      </c>
      <c r="D465">
        <f t="shared" si="26"/>
        <v>3</v>
      </c>
      <c r="E465" t="str">
        <f t="shared" si="25"/>
        <v>V</v>
      </c>
      <c r="F465" t="str">
        <f t="shared" si="27"/>
        <v>21V</v>
      </c>
    </row>
    <row r="466" spans="1:6" x14ac:dyDescent="0.2">
      <c r="A466">
        <v>22</v>
      </c>
      <c r="D466">
        <f t="shared" si="26"/>
        <v>3</v>
      </c>
      <c r="E466" t="str">
        <f t="shared" si="25"/>
        <v>W</v>
      </c>
      <c r="F466" t="str">
        <f t="shared" si="27"/>
        <v>22W</v>
      </c>
    </row>
    <row r="467" spans="1:6" x14ac:dyDescent="0.2">
      <c r="A467">
        <v>23</v>
      </c>
      <c r="D467">
        <f t="shared" si="26"/>
        <v>3</v>
      </c>
      <c r="E467" t="str">
        <f t="shared" si="25"/>
        <v>X</v>
      </c>
      <c r="F467" t="str">
        <f t="shared" si="27"/>
        <v>23X</v>
      </c>
    </row>
    <row r="468" spans="1:6" x14ac:dyDescent="0.2">
      <c r="A468">
        <v>24</v>
      </c>
      <c r="D468">
        <f t="shared" si="26"/>
        <v>3</v>
      </c>
      <c r="E468" t="str">
        <f t="shared" si="25"/>
        <v>Y</v>
      </c>
      <c r="F468" t="str">
        <f t="shared" si="27"/>
        <v>24Y</v>
      </c>
    </row>
    <row r="469" spans="1:6" x14ac:dyDescent="0.2">
      <c r="A469">
        <v>25</v>
      </c>
      <c r="D469">
        <f t="shared" si="26"/>
        <v>3</v>
      </c>
      <c r="E469" t="str">
        <f t="shared" si="25"/>
        <v>Z</v>
      </c>
      <c r="F469" t="str">
        <f t="shared" si="27"/>
        <v>25Z</v>
      </c>
    </row>
    <row r="470" spans="1:6" x14ac:dyDescent="0.2">
      <c r="A470">
        <v>0</v>
      </c>
      <c r="D470">
        <f t="shared" si="26"/>
        <v>3</v>
      </c>
      <c r="E470" t="str">
        <f t="shared" si="25"/>
        <v>A</v>
      </c>
      <c r="F470" t="str">
        <f t="shared" si="27"/>
        <v>0A</v>
      </c>
    </row>
    <row r="471" spans="1:6" x14ac:dyDescent="0.2">
      <c r="A471">
        <v>1</v>
      </c>
      <c r="D471">
        <f t="shared" si="26"/>
        <v>3</v>
      </c>
      <c r="E471" t="str">
        <f t="shared" si="25"/>
        <v>B</v>
      </c>
      <c r="F471" t="str">
        <f t="shared" si="27"/>
        <v>1B</v>
      </c>
    </row>
    <row r="472" spans="1:6" x14ac:dyDescent="0.2">
      <c r="A472">
        <v>2</v>
      </c>
      <c r="D472">
        <f t="shared" si="26"/>
        <v>3</v>
      </c>
      <c r="E472" t="str">
        <f t="shared" si="25"/>
        <v>C</v>
      </c>
      <c r="F472" t="str">
        <f t="shared" si="27"/>
        <v>2C</v>
      </c>
    </row>
    <row r="473" spans="1:6" x14ac:dyDescent="0.2">
      <c r="A473">
        <v>3</v>
      </c>
      <c r="D473">
        <f t="shared" si="26"/>
        <v>3</v>
      </c>
      <c r="E473" t="str">
        <f t="shared" si="25"/>
        <v>D</v>
      </c>
      <c r="F473" t="str">
        <f t="shared" si="27"/>
        <v>3D</v>
      </c>
    </row>
    <row r="474" spans="1:6" x14ac:dyDescent="0.2">
      <c r="A474">
        <v>4</v>
      </c>
      <c r="D474">
        <f t="shared" si="26"/>
        <v>3</v>
      </c>
      <c r="E474" t="str">
        <f t="shared" si="25"/>
        <v>E</v>
      </c>
      <c r="F474" t="str">
        <f t="shared" si="27"/>
        <v>4E</v>
      </c>
    </row>
    <row r="475" spans="1:6" x14ac:dyDescent="0.2">
      <c r="A475">
        <v>5</v>
      </c>
      <c r="D475">
        <f t="shared" si="26"/>
        <v>3</v>
      </c>
      <c r="E475" t="str">
        <f t="shared" si="25"/>
        <v>F</v>
      </c>
      <c r="F475" t="str">
        <f t="shared" si="27"/>
        <v>5F</v>
      </c>
    </row>
    <row r="476" spans="1:6" x14ac:dyDescent="0.2">
      <c r="A476">
        <v>6</v>
      </c>
      <c r="D476">
        <f t="shared" si="26"/>
        <v>3</v>
      </c>
      <c r="E476" t="str">
        <f t="shared" si="25"/>
        <v>G</v>
      </c>
      <c r="F476" t="str">
        <f t="shared" si="27"/>
        <v>6G</v>
      </c>
    </row>
    <row r="477" spans="1:6" x14ac:dyDescent="0.2">
      <c r="A477">
        <v>7</v>
      </c>
      <c r="D477">
        <f t="shared" si="26"/>
        <v>3</v>
      </c>
      <c r="E477" t="str">
        <f t="shared" ref="E477:E540" si="28">E451</f>
        <v>H</v>
      </c>
      <c r="F477" t="str">
        <f t="shared" si="27"/>
        <v>7H</v>
      </c>
    </row>
    <row r="478" spans="1:6" x14ac:dyDescent="0.2">
      <c r="A478">
        <v>8</v>
      </c>
      <c r="D478">
        <f t="shared" ref="D478:D541" si="29">D477</f>
        <v>3</v>
      </c>
      <c r="E478" t="str">
        <f t="shared" si="28"/>
        <v>I</v>
      </c>
      <c r="F478" t="str">
        <f t="shared" si="27"/>
        <v>8I</v>
      </c>
    </row>
    <row r="479" spans="1:6" x14ac:dyDescent="0.2">
      <c r="A479">
        <v>9</v>
      </c>
      <c r="D479">
        <f t="shared" si="29"/>
        <v>3</v>
      </c>
      <c r="E479" t="str">
        <f t="shared" si="28"/>
        <v>J</v>
      </c>
      <c r="F479" t="str">
        <f t="shared" si="27"/>
        <v>9J</v>
      </c>
    </row>
    <row r="480" spans="1:6" x14ac:dyDescent="0.2">
      <c r="A480">
        <v>10</v>
      </c>
      <c r="D480">
        <f t="shared" si="29"/>
        <v>3</v>
      </c>
      <c r="E480" t="str">
        <f t="shared" si="28"/>
        <v>K</v>
      </c>
      <c r="F480" t="str">
        <f t="shared" si="27"/>
        <v>10K</v>
      </c>
    </row>
    <row r="481" spans="1:6" x14ac:dyDescent="0.2">
      <c r="A481">
        <v>11</v>
      </c>
      <c r="D481">
        <f t="shared" si="29"/>
        <v>3</v>
      </c>
      <c r="E481" t="str">
        <f t="shared" si="28"/>
        <v>L</v>
      </c>
      <c r="F481" t="str">
        <f t="shared" si="27"/>
        <v>11L</v>
      </c>
    </row>
    <row r="482" spans="1:6" x14ac:dyDescent="0.2">
      <c r="A482">
        <v>12</v>
      </c>
      <c r="D482">
        <f t="shared" si="29"/>
        <v>3</v>
      </c>
      <c r="E482" t="str">
        <f t="shared" si="28"/>
        <v>M</v>
      </c>
      <c r="F482" t="str">
        <f t="shared" si="27"/>
        <v>12M</v>
      </c>
    </row>
    <row r="483" spans="1:6" x14ac:dyDescent="0.2">
      <c r="A483">
        <v>13</v>
      </c>
      <c r="D483">
        <f t="shared" si="29"/>
        <v>3</v>
      </c>
      <c r="E483" t="str">
        <f t="shared" si="28"/>
        <v>N</v>
      </c>
      <c r="F483" t="str">
        <f t="shared" si="27"/>
        <v>13N</v>
      </c>
    </row>
    <row r="484" spans="1:6" x14ac:dyDescent="0.2">
      <c r="A484">
        <v>14</v>
      </c>
      <c r="D484">
        <f t="shared" si="29"/>
        <v>3</v>
      </c>
      <c r="E484" t="str">
        <f t="shared" si="28"/>
        <v>O</v>
      </c>
      <c r="F484" t="str">
        <f t="shared" si="27"/>
        <v>14O</v>
      </c>
    </row>
    <row r="485" spans="1:6" x14ac:dyDescent="0.2">
      <c r="A485">
        <v>15</v>
      </c>
      <c r="D485">
        <f t="shared" si="29"/>
        <v>3</v>
      </c>
      <c r="E485" t="str">
        <f t="shared" si="28"/>
        <v>P</v>
      </c>
      <c r="F485" t="str">
        <f t="shared" si="27"/>
        <v>15P</v>
      </c>
    </row>
    <row r="486" spans="1:6" x14ac:dyDescent="0.2">
      <c r="A486">
        <v>16</v>
      </c>
      <c r="D486">
        <f t="shared" si="29"/>
        <v>3</v>
      </c>
      <c r="E486" t="str">
        <f t="shared" si="28"/>
        <v>Q</v>
      </c>
      <c r="F486" t="str">
        <f t="shared" si="27"/>
        <v>16Q</v>
      </c>
    </row>
    <row r="487" spans="1:6" x14ac:dyDescent="0.2">
      <c r="A487">
        <v>17</v>
      </c>
      <c r="D487">
        <f t="shared" si="29"/>
        <v>3</v>
      </c>
      <c r="E487" t="str">
        <f t="shared" si="28"/>
        <v>R</v>
      </c>
      <c r="F487" t="str">
        <f t="shared" si="27"/>
        <v>17R</v>
      </c>
    </row>
    <row r="488" spans="1:6" x14ac:dyDescent="0.2">
      <c r="A488">
        <v>18</v>
      </c>
      <c r="D488">
        <f t="shared" si="29"/>
        <v>3</v>
      </c>
      <c r="E488" t="str">
        <f t="shared" si="28"/>
        <v>S</v>
      </c>
      <c r="F488" t="str">
        <f t="shared" si="27"/>
        <v>18S</v>
      </c>
    </row>
    <row r="489" spans="1:6" x14ac:dyDescent="0.2">
      <c r="A489">
        <v>19</v>
      </c>
      <c r="D489">
        <f t="shared" si="29"/>
        <v>3</v>
      </c>
      <c r="E489" t="str">
        <f t="shared" si="28"/>
        <v>T</v>
      </c>
      <c r="F489" t="str">
        <f t="shared" si="27"/>
        <v>19T</v>
      </c>
    </row>
    <row r="490" spans="1:6" x14ac:dyDescent="0.2">
      <c r="A490">
        <v>20</v>
      </c>
      <c r="D490">
        <f t="shared" si="29"/>
        <v>3</v>
      </c>
      <c r="E490" t="str">
        <f t="shared" si="28"/>
        <v>U</v>
      </c>
      <c r="F490" t="str">
        <f t="shared" si="27"/>
        <v>20U</v>
      </c>
    </row>
    <row r="491" spans="1:6" x14ac:dyDescent="0.2">
      <c r="A491">
        <v>21</v>
      </c>
      <c r="D491">
        <f t="shared" si="29"/>
        <v>3</v>
      </c>
      <c r="E491" t="str">
        <f t="shared" si="28"/>
        <v>V</v>
      </c>
      <c r="F491" t="str">
        <f t="shared" si="27"/>
        <v>21V</v>
      </c>
    </row>
    <row r="492" spans="1:6" x14ac:dyDescent="0.2">
      <c r="A492">
        <v>22</v>
      </c>
      <c r="D492">
        <f t="shared" si="29"/>
        <v>3</v>
      </c>
      <c r="E492" t="str">
        <f t="shared" si="28"/>
        <v>W</v>
      </c>
      <c r="F492" t="str">
        <f t="shared" si="27"/>
        <v>22W</v>
      </c>
    </row>
    <row r="493" spans="1:6" x14ac:dyDescent="0.2">
      <c r="A493">
        <v>23</v>
      </c>
      <c r="D493">
        <f t="shared" si="29"/>
        <v>3</v>
      </c>
      <c r="E493" t="str">
        <f t="shared" si="28"/>
        <v>X</v>
      </c>
      <c r="F493" t="str">
        <f t="shared" si="27"/>
        <v>23X</v>
      </c>
    </row>
    <row r="494" spans="1:6" x14ac:dyDescent="0.2">
      <c r="A494">
        <v>24</v>
      </c>
      <c r="D494">
        <f t="shared" si="29"/>
        <v>3</v>
      </c>
      <c r="E494" t="str">
        <f t="shared" si="28"/>
        <v>Y</v>
      </c>
      <c r="F494" t="str">
        <f t="shared" si="27"/>
        <v>24Y</v>
      </c>
    </row>
    <row r="495" spans="1:6" x14ac:dyDescent="0.2">
      <c r="A495">
        <v>25</v>
      </c>
      <c r="D495">
        <f t="shared" si="29"/>
        <v>3</v>
      </c>
      <c r="E495" t="str">
        <f t="shared" si="28"/>
        <v>Z</v>
      </c>
      <c r="F495" t="str">
        <f t="shared" si="27"/>
        <v>25Z</v>
      </c>
    </row>
    <row r="496" spans="1:6" x14ac:dyDescent="0.2">
      <c r="A496">
        <v>0</v>
      </c>
      <c r="D496">
        <f t="shared" si="29"/>
        <v>3</v>
      </c>
      <c r="E496" t="str">
        <f t="shared" si="28"/>
        <v>A</v>
      </c>
      <c r="F496" t="str">
        <f t="shared" si="27"/>
        <v>0A</v>
      </c>
    </row>
    <row r="497" spans="1:6" x14ac:dyDescent="0.2">
      <c r="A497">
        <v>1</v>
      </c>
      <c r="D497">
        <f t="shared" si="29"/>
        <v>3</v>
      </c>
      <c r="E497" t="str">
        <f t="shared" si="28"/>
        <v>B</v>
      </c>
      <c r="F497" t="str">
        <f t="shared" si="27"/>
        <v>1B</v>
      </c>
    </row>
    <row r="498" spans="1:6" x14ac:dyDescent="0.2">
      <c r="A498">
        <v>2</v>
      </c>
      <c r="D498">
        <f t="shared" si="29"/>
        <v>3</v>
      </c>
      <c r="E498" t="str">
        <f t="shared" si="28"/>
        <v>C</v>
      </c>
      <c r="F498" t="str">
        <f t="shared" si="27"/>
        <v>2C</v>
      </c>
    </row>
    <row r="499" spans="1:6" x14ac:dyDescent="0.2">
      <c r="A499">
        <v>3</v>
      </c>
      <c r="D499">
        <f t="shared" si="29"/>
        <v>3</v>
      </c>
      <c r="E499" t="str">
        <f t="shared" si="28"/>
        <v>D</v>
      </c>
      <c r="F499" t="str">
        <f t="shared" si="27"/>
        <v>3D</v>
      </c>
    </row>
    <row r="500" spans="1:6" x14ac:dyDescent="0.2">
      <c r="A500">
        <v>4</v>
      </c>
      <c r="D500">
        <f t="shared" si="29"/>
        <v>3</v>
      </c>
      <c r="E500" t="str">
        <f t="shared" si="28"/>
        <v>E</v>
      </c>
      <c r="F500" t="str">
        <f t="shared" si="27"/>
        <v>4E</v>
      </c>
    </row>
    <row r="501" spans="1:6" x14ac:dyDescent="0.2">
      <c r="A501">
        <v>5</v>
      </c>
      <c r="D501">
        <f t="shared" si="29"/>
        <v>3</v>
      </c>
      <c r="E501" t="str">
        <f t="shared" si="28"/>
        <v>F</v>
      </c>
      <c r="F501" t="str">
        <f t="shared" si="27"/>
        <v>5F</v>
      </c>
    </row>
    <row r="502" spans="1:6" x14ac:dyDescent="0.2">
      <c r="A502">
        <v>6</v>
      </c>
      <c r="D502">
        <f t="shared" si="29"/>
        <v>3</v>
      </c>
      <c r="E502" t="str">
        <f t="shared" si="28"/>
        <v>G</v>
      </c>
      <c r="F502" t="str">
        <f t="shared" si="27"/>
        <v>6G</v>
      </c>
    </row>
    <row r="503" spans="1:6" x14ac:dyDescent="0.2">
      <c r="A503">
        <v>7</v>
      </c>
      <c r="D503">
        <f t="shared" si="29"/>
        <v>3</v>
      </c>
      <c r="E503" t="str">
        <f t="shared" si="28"/>
        <v>H</v>
      </c>
      <c r="F503" t="str">
        <f t="shared" si="27"/>
        <v>7H</v>
      </c>
    </row>
    <row r="504" spans="1:6" x14ac:dyDescent="0.2">
      <c r="A504">
        <v>8</v>
      </c>
      <c r="D504">
        <f t="shared" si="29"/>
        <v>3</v>
      </c>
      <c r="E504" t="str">
        <f t="shared" si="28"/>
        <v>I</v>
      </c>
      <c r="F504" t="str">
        <f t="shared" si="27"/>
        <v>8I</v>
      </c>
    </row>
    <row r="505" spans="1:6" x14ac:dyDescent="0.2">
      <c r="A505">
        <v>9</v>
      </c>
      <c r="D505">
        <f t="shared" si="29"/>
        <v>3</v>
      </c>
      <c r="E505" t="str">
        <f t="shared" si="28"/>
        <v>J</v>
      </c>
      <c r="F505" t="str">
        <f t="shared" si="27"/>
        <v>9J</v>
      </c>
    </row>
    <row r="506" spans="1:6" x14ac:dyDescent="0.2">
      <c r="A506">
        <v>10</v>
      </c>
      <c r="D506">
        <f t="shared" si="29"/>
        <v>3</v>
      </c>
      <c r="E506" t="str">
        <f t="shared" si="28"/>
        <v>K</v>
      </c>
      <c r="F506" t="str">
        <f t="shared" si="27"/>
        <v>10K</v>
      </c>
    </row>
    <row r="507" spans="1:6" x14ac:dyDescent="0.2">
      <c r="A507">
        <v>11</v>
      </c>
      <c r="D507">
        <f t="shared" si="29"/>
        <v>3</v>
      </c>
      <c r="E507" t="str">
        <f t="shared" si="28"/>
        <v>L</v>
      </c>
      <c r="F507" t="str">
        <f t="shared" si="27"/>
        <v>11L</v>
      </c>
    </row>
    <row r="508" spans="1:6" x14ac:dyDescent="0.2">
      <c r="A508">
        <v>12</v>
      </c>
      <c r="D508">
        <f t="shared" si="29"/>
        <v>3</v>
      </c>
      <c r="E508" t="str">
        <f t="shared" si="28"/>
        <v>M</v>
      </c>
      <c r="F508" t="str">
        <f t="shared" si="27"/>
        <v>12M</v>
      </c>
    </row>
    <row r="509" spans="1:6" x14ac:dyDescent="0.2">
      <c r="A509">
        <v>13</v>
      </c>
      <c r="D509">
        <f t="shared" si="29"/>
        <v>3</v>
      </c>
      <c r="E509" t="str">
        <f t="shared" si="28"/>
        <v>N</v>
      </c>
      <c r="F509" t="str">
        <f t="shared" si="27"/>
        <v>13N</v>
      </c>
    </row>
    <row r="510" spans="1:6" x14ac:dyDescent="0.2">
      <c r="A510">
        <v>14</v>
      </c>
      <c r="D510">
        <f t="shared" si="29"/>
        <v>3</v>
      </c>
      <c r="E510" t="str">
        <f t="shared" si="28"/>
        <v>O</v>
      </c>
      <c r="F510" t="str">
        <f t="shared" si="27"/>
        <v>14O</v>
      </c>
    </row>
    <row r="511" spans="1:6" x14ac:dyDescent="0.2">
      <c r="A511">
        <v>15</v>
      </c>
      <c r="D511">
        <f t="shared" si="29"/>
        <v>3</v>
      </c>
      <c r="E511" t="str">
        <f t="shared" si="28"/>
        <v>P</v>
      </c>
      <c r="F511" t="str">
        <f t="shared" si="27"/>
        <v>15P</v>
      </c>
    </row>
    <row r="512" spans="1:6" x14ac:dyDescent="0.2">
      <c r="A512">
        <v>16</v>
      </c>
      <c r="D512">
        <f t="shared" si="29"/>
        <v>3</v>
      </c>
      <c r="E512" t="str">
        <f t="shared" si="28"/>
        <v>Q</v>
      </c>
      <c r="F512" t="str">
        <f t="shared" si="27"/>
        <v>16Q</v>
      </c>
    </row>
    <row r="513" spans="1:6" x14ac:dyDescent="0.2">
      <c r="A513">
        <v>17</v>
      </c>
      <c r="D513">
        <f t="shared" si="29"/>
        <v>3</v>
      </c>
      <c r="E513" t="str">
        <f t="shared" si="28"/>
        <v>R</v>
      </c>
      <c r="F513" t="str">
        <f t="shared" si="27"/>
        <v>17R</v>
      </c>
    </row>
    <row r="514" spans="1:6" x14ac:dyDescent="0.2">
      <c r="A514">
        <v>18</v>
      </c>
      <c r="D514">
        <f t="shared" si="29"/>
        <v>3</v>
      </c>
      <c r="E514" t="str">
        <f t="shared" si="28"/>
        <v>S</v>
      </c>
      <c r="F514" t="str">
        <f t="shared" si="27"/>
        <v>18S</v>
      </c>
    </row>
    <row r="515" spans="1:6" x14ac:dyDescent="0.2">
      <c r="A515">
        <v>19</v>
      </c>
      <c r="D515">
        <f t="shared" si="29"/>
        <v>3</v>
      </c>
      <c r="E515" t="str">
        <f t="shared" si="28"/>
        <v>T</v>
      </c>
      <c r="F515" t="str">
        <f t="shared" ref="F515:F578" si="30">A515&amp;C515&amp;E515</f>
        <v>19T</v>
      </c>
    </row>
    <row r="516" spans="1:6" x14ac:dyDescent="0.2">
      <c r="A516">
        <v>20</v>
      </c>
      <c r="D516">
        <f t="shared" si="29"/>
        <v>3</v>
      </c>
      <c r="E516" t="str">
        <f t="shared" si="28"/>
        <v>U</v>
      </c>
      <c r="F516" t="str">
        <f t="shared" si="30"/>
        <v>20U</v>
      </c>
    </row>
    <row r="517" spans="1:6" x14ac:dyDescent="0.2">
      <c r="A517">
        <v>21</v>
      </c>
      <c r="D517">
        <f t="shared" si="29"/>
        <v>3</v>
      </c>
      <c r="E517" t="str">
        <f t="shared" si="28"/>
        <v>V</v>
      </c>
      <c r="F517" t="str">
        <f t="shared" si="30"/>
        <v>21V</v>
      </c>
    </row>
    <row r="518" spans="1:6" x14ac:dyDescent="0.2">
      <c r="A518">
        <v>22</v>
      </c>
      <c r="D518">
        <f t="shared" si="29"/>
        <v>3</v>
      </c>
      <c r="E518" t="str">
        <f t="shared" si="28"/>
        <v>W</v>
      </c>
      <c r="F518" t="str">
        <f t="shared" si="30"/>
        <v>22W</v>
      </c>
    </row>
    <row r="519" spans="1:6" x14ac:dyDescent="0.2">
      <c r="A519">
        <v>23</v>
      </c>
      <c r="D519">
        <f t="shared" si="29"/>
        <v>3</v>
      </c>
      <c r="E519" t="str">
        <f t="shared" si="28"/>
        <v>X</v>
      </c>
      <c r="F519" t="str">
        <f t="shared" si="30"/>
        <v>23X</v>
      </c>
    </row>
    <row r="520" spans="1:6" x14ac:dyDescent="0.2">
      <c r="A520">
        <v>24</v>
      </c>
      <c r="D520">
        <f t="shared" si="29"/>
        <v>3</v>
      </c>
      <c r="E520" t="str">
        <f t="shared" si="28"/>
        <v>Y</v>
      </c>
      <c r="F520" t="str">
        <f t="shared" si="30"/>
        <v>24Y</v>
      </c>
    </row>
    <row r="521" spans="1:6" x14ac:dyDescent="0.2">
      <c r="A521">
        <v>25</v>
      </c>
      <c r="D521">
        <f t="shared" si="29"/>
        <v>3</v>
      </c>
      <c r="E521" t="str">
        <f t="shared" si="28"/>
        <v>Z</v>
      </c>
      <c r="F521" t="str">
        <f t="shared" si="30"/>
        <v>25Z</v>
      </c>
    </row>
    <row r="522" spans="1:6" x14ac:dyDescent="0.2">
      <c r="A522">
        <v>0</v>
      </c>
      <c r="D522">
        <f t="shared" si="29"/>
        <v>3</v>
      </c>
      <c r="E522" t="str">
        <f t="shared" si="28"/>
        <v>A</v>
      </c>
      <c r="F522" t="str">
        <f t="shared" si="30"/>
        <v>0A</v>
      </c>
    </row>
    <row r="523" spans="1:6" x14ac:dyDescent="0.2">
      <c r="A523">
        <v>1</v>
      </c>
      <c r="D523">
        <f t="shared" si="29"/>
        <v>3</v>
      </c>
      <c r="E523" t="str">
        <f t="shared" si="28"/>
        <v>B</v>
      </c>
      <c r="F523" t="str">
        <f t="shared" si="30"/>
        <v>1B</v>
      </c>
    </row>
    <row r="524" spans="1:6" x14ac:dyDescent="0.2">
      <c r="A524">
        <v>2</v>
      </c>
      <c r="D524">
        <f t="shared" si="29"/>
        <v>3</v>
      </c>
      <c r="E524" t="str">
        <f t="shared" si="28"/>
        <v>C</v>
      </c>
      <c r="F524" t="str">
        <f t="shared" si="30"/>
        <v>2C</v>
      </c>
    </row>
    <row r="525" spans="1:6" x14ac:dyDescent="0.2">
      <c r="A525">
        <v>3</v>
      </c>
      <c r="D525">
        <f t="shared" si="29"/>
        <v>3</v>
      </c>
      <c r="E525" t="str">
        <f t="shared" si="28"/>
        <v>D</v>
      </c>
      <c r="F525" t="str">
        <f t="shared" si="30"/>
        <v>3D</v>
      </c>
    </row>
    <row r="526" spans="1:6" x14ac:dyDescent="0.2">
      <c r="A526">
        <v>4</v>
      </c>
      <c r="D526">
        <f t="shared" si="29"/>
        <v>3</v>
      </c>
      <c r="E526" t="str">
        <f t="shared" si="28"/>
        <v>E</v>
      </c>
      <c r="F526" t="str">
        <f t="shared" si="30"/>
        <v>4E</v>
      </c>
    </row>
    <row r="527" spans="1:6" x14ac:dyDescent="0.2">
      <c r="A527">
        <v>5</v>
      </c>
      <c r="D527">
        <f t="shared" si="29"/>
        <v>3</v>
      </c>
      <c r="E527" t="str">
        <f t="shared" si="28"/>
        <v>F</v>
      </c>
      <c r="F527" t="str">
        <f t="shared" si="30"/>
        <v>5F</v>
      </c>
    </row>
    <row r="528" spans="1:6" x14ac:dyDescent="0.2">
      <c r="A528">
        <v>6</v>
      </c>
      <c r="D528">
        <f t="shared" si="29"/>
        <v>3</v>
      </c>
      <c r="E528" t="str">
        <f t="shared" si="28"/>
        <v>G</v>
      </c>
      <c r="F528" t="str">
        <f t="shared" si="30"/>
        <v>6G</v>
      </c>
    </row>
    <row r="529" spans="1:6" x14ac:dyDescent="0.2">
      <c r="A529">
        <v>7</v>
      </c>
      <c r="D529">
        <f t="shared" si="29"/>
        <v>3</v>
      </c>
      <c r="E529" t="str">
        <f t="shared" si="28"/>
        <v>H</v>
      </c>
      <c r="F529" t="str">
        <f t="shared" si="30"/>
        <v>7H</v>
      </c>
    </row>
    <row r="530" spans="1:6" x14ac:dyDescent="0.2">
      <c r="A530">
        <v>8</v>
      </c>
      <c r="D530">
        <f t="shared" si="29"/>
        <v>3</v>
      </c>
      <c r="E530" t="str">
        <f t="shared" si="28"/>
        <v>I</v>
      </c>
      <c r="F530" t="str">
        <f t="shared" si="30"/>
        <v>8I</v>
      </c>
    </row>
    <row r="531" spans="1:6" x14ac:dyDescent="0.2">
      <c r="A531">
        <v>9</v>
      </c>
      <c r="D531">
        <f t="shared" si="29"/>
        <v>3</v>
      </c>
      <c r="E531" t="str">
        <f t="shared" si="28"/>
        <v>J</v>
      </c>
      <c r="F531" t="str">
        <f t="shared" si="30"/>
        <v>9J</v>
      </c>
    </row>
    <row r="532" spans="1:6" x14ac:dyDescent="0.2">
      <c r="A532">
        <v>10</v>
      </c>
      <c r="D532">
        <f t="shared" si="29"/>
        <v>3</v>
      </c>
      <c r="E532" t="str">
        <f t="shared" si="28"/>
        <v>K</v>
      </c>
      <c r="F532" t="str">
        <f t="shared" si="30"/>
        <v>10K</v>
      </c>
    </row>
    <row r="533" spans="1:6" x14ac:dyDescent="0.2">
      <c r="A533">
        <v>11</v>
      </c>
      <c r="D533">
        <f t="shared" si="29"/>
        <v>3</v>
      </c>
      <c r="E533" t="str">
        <f t="shared" si="28"/>
        <v>L</v>
      </c>
      <c r="F533" t="str">
        <f t="shared" si="30"/>
        <v>11L</v>
      </c>
    </row>
    <row r="534" spans="1:6" x14ac:dyDescent="0.2">
      <c r="A534">
        <v>12</v>
      </c>
      <c r="D534">
        <f t="shared" si="29"/>
        <v>3</v>
      </c>
      <c r="E534" t="str">
        <f t="shared" si="28"/>
        <v>M</v>
      </c>
      <c r="F534" t="str">
        <f t="shared" si="30"/>
        <v>12M</v>
      </c>
    </row>
    <row r="535" spans="1:6" x14ac:dyDescent="0.2">
      <c r="A535">
        <v>13</v>
      </c>
      <c r="D535">
        <f t="shared" si="29"/>
        <v>3</v>
      </c>
      <c r="E535" t="str">
        <f t="shared" si="28"/>
        <v>N</v>
      </c>
      <c r="F535" t="str">
        <f t="shared" si="30"/>
        <v>13N</v>
      </c>
    </row>
    <row r="536" spans="1:6" x14ac:dyDescent="0.2">
      <c r="A536">
        <v>14</v>
      </c>
      <c r="D536">
        <f t="shared" si="29"/>
        <v>3</v>
      </c>
      <c r="E536" t="str">
        <f t="shared" si="28"/>
        <v>O</v>
      </c>
      <c r="F536" t="str">
        <f t="shared" si="30"/>
        <v>14O</v>
      </c>
    </row>
    <row r="537" spans="1:6" x14ac:dyDescent="0.2">
      <c r="A537">
        <v>15</v>
      </c>
      <c r="D537">
        <f t="shared" si="29"/>
        <v>3</v>
      </c>
      <c r="E537" t="str">
        <f t="shared" si="28"/>
        <v>P</v>
      </c>
      <c r="F537" t="str">
        <f t="shared" si="30"/>
        <v>15P</v>
      </c>
    </row>
    <row r="538" spans="1:6" x14ac:dyDescent="0.2">
      <c r="A538">
        <v>16</v>
      </c>
      <c r="D538">
        <f t="shared" si="29"/>
        <v>3</v>
      </c>
      <c r="E538" t="str">
        <f t="shared" si="28"/>
        <v>Q</v>
      </c>
      <c r="F538" t="str">
        <f t="shared" si="30"/>
        <v>16Q</v>
      </c>
    </row>
    <row r="539" spans="1:6" x14ac:dyDescent="0.2">
      <c r="A539">
        <v>17</v>
      </c>
      <c r="D539">
        <f t="shared" si="29"/>
        <v>3</v>
      </c>
      <c r="E539" t="str">
        <f t="shared" si="28"/>
        <v>R</v>
      </c>
      <c r="F539" t="str">
        <f t="shared" si="30"/>
        <v>17R</v>
      </c>
    </row>
    <row r="540" spans="1:6" x14ac:dyDescent="0.2">
      <c r="A540">
        <v>18</v>
      </c>
      <c r="D540">
        <f t="shared" si="29"/>
        <v>3</v>
      </c>
      <c r="E540" t="str">
        <f t="shared" si="28"/>
        <v>S</v>
      </c>
      <c r="F540" t="str">
        <f t="shared" si="30"/>
        <v>18S</v>
      </c>
    </row>
    <row r="541" spans="1:6" x14ac:dyDescent="0.2">
      <c r="A541">
        <v>19</v>
      </c>
      <c r="D541">
        <f t="shared" si="29"/>
        <v>3</v>
      </c>
      <c r="E541" t="str">
        <f t="shared" ref="E541:E604" si="31">E515</f>
        <v>T</v>
      </c>
      <c r="F541" t="str">
        <f t="shared" si="30"/>
        <v>19T</v>
      </c>
    </row>
    <row r="542" spans="1:6" x14ac:dyDescent="0.2">
      <c r="A542">
        <v>20</v>
      </c>
      <c r="D542">
        <f t="shared" ref="D542:D605" si="32">D541</f>
        <v>3</v>
      </c>
      <c r="E542" t="str">
        <f t="shared" si="31"/>
        <v>U</v>
      </c>
      <c r="F542" t="str">
        <f t="shared" si="30"/>
        <v>20U</v>
      </c>
    </row>
    <row r="543" spans="1:6" x14ac:dyDescent="0.2">
      <c r="A543">
        <v>21</v>
      </c>
      <c r="D543">
        <f t="shared" si="32"/>
        <v>3</v>
      </c>
      <c r="E543" t="str">
        <f t="shared" si="31"/>
        <v>V</v>
      </c>
      <c r="F543" t="str">
        <f t="shared" si="30"/>
        <v>21V</v>
      </c>
    </row>
    <row r="544" spans="1:6" x14ac:dyDescent="0.2">
      <c r="A544">
        <v>22</v>
      </c>
      <c r="D544">
        <f t="shared" si="32"/>
        <v>3</v>
      </c>
      <c r="E544" t="str">
        <f t="shared" si="31"/>
        <v>W</v>
      </c>
      <c r="F544" t="str">
        <f t="shared" si="30"/>
        <v>22W</v>
      </c>
    </row>
    <row r="545" spans="1:6" x14ac:dyDescent="0.2">
      <c r="A545">
        <v>23</v>
      </c>
      <c r="D545">
        <f t="shared" si="32"/>
        <v>3</v>
      </c>
      <c r="E545" t="str">
        <f t="shared" si="31"/>
        <v>X</v>
      </c>
      <c r="F545" t="str">
        <f t="shared" si="30"/>
        <v>23X</v>
      </c>
    </row>
    <row r="546" spans="1:6" x14ac:dyDescent="0.2">
      <c r="A546">
        <v>24</v>
      </c>
      <c r="D546">
        <f t="shared" si="32"/>
        <v>3</v>
      </c>
      <c r="E546" t="str">
        <f t="shared" si="31"/>
        <v>Y</v>
      </c>
      <c r="F546" t="str">
        <f t="shared" si="30"/>
        <v>24Y</v>
      </c>
    </row>
    <row r="547" spans="1:6" x14ac:dyDescent="0.2">
      <c r="A547">
        <v>25</v>
      </c>
      <c r="D547">
        <f t="shared" si="32"/>
        <v>3</v>
      </c>
      <c r="E547" t="str">
        <f t="shared" si="31"/>
        <v>Z</v>
      </c>
      <c r="F547" t="str">
        <f t="shared" si="30"/>
        <v>25Z</v>
      </c>
    </row>
    <row r="548" spans="1:6" x14ac:dyDescent="0.2">
      <c r="A548">
        <v>0</v>
      </c>
      <c r="D548">
        <f t="shared" si="32"/>
        <v>3</v>
      </c>
      <c r="E548" t="str">
        <f t="shared" si="31"/>
        <v>A</v>
      </c>
      <c r="F548" t="str">
        <f t="shared" si="30"/>
        <v>0A</v>
      </c>
    </row>
    <row r="549" spans="1:6" x14ac:dyDescent="0.2">
      <c r="A549">
        <v>1</v>
      </c>
      <c r="D549">
        <f t="shared" si="32"/>
        <v>3</v>
      </c>
      <c r="E549" t="str">
        <f t="shared" si="31"/>
        <v>B</v>
      </c>
      <c r="F549" t="str">
        <f t="shared" si="30"/>
        <v>1B</v>
      </c>
    </row>
    <row r="550" spans="1:6" x14ac:dyDescent="0.2">
      <c r="A550">
        <v>2</v>
      </c>
      <c r="D550">
        <f t="shared" si="32"/>
        <v>3</v>
      </c>
      <c r="E550" t="str">
        <f t="shared" si="31"/>
        <v>C</v>
      </c>
      <c r="F550" t="str">
        <f t="shared" si="30"/>
        <v>2C</v>
      </c>
    </row>
    <row r="551" spans="1:6" x14ac:dyDescent="0.2">
      <c r="A551">
        <v>3</v>
      </c>
      <c r="D551">
        <f t="shared" si="32"/>
        <v>3</v>
      </c>
      <c r="E551" t="str">
        <f t="shared" si="31"/>
        <v>D</v>
      </c>
      <c r="F551" t="str">
        <f t="shared" si="30"/>
        <v>3D</v>
      </c>
    </row>
    <row r="552" spans="1:6" x14ac:dyDescent="0.2">
      <c r="A552">
        <v>4</v>
      </c>
      <c r="D552">
        <f t="shared" si="32"/>
        <v>3</v>
      </c>
      <c r="E552" t="str">
        <f t="shared" si="31"/>
        <v>E</v>
      </c>
      <c r="F552" t="str">
        <f t="shared" si="30"/>
        <v>4E</v>
      </c>
    </row>
    <row r="553" spans="1:6" x14ac:dyDescent="0.2">
      <c r="A553">
        <v>5</v>
      </c>
      <c r="D553">
        <f t="shared" si="32"/>
        <v>3</v>
      </c>
      <c r="E553" t="str">
        <f t="shared" si="31"/>
        <v>F</v>
      </c>
      <c r="F553" t="str">
        <f t="shared" si="30"/>
        <v>5F</v>
      </c>
    </row>
    <row r="554" spans="1:6" x14ac:dyDescent="0.2">
      <c r="A554">
        <v>6</v>
      </c>
      <c r="D554">
        <f t="shared" si="32"/>
        <v>3</v>
      </c>
      <c r="E554" t="str">
        <f t="shared" si="31"/>
        <v>G</v>
      </c>
      <c r="F554" t="str">
        <f t="shared" si="30"/>
        <v>6G</v>
      </c>
    </row>
    <row r="555" spans="1:6" x14ac:dyDescent="0.2">
      <c r="A555">
        <v>7</v>
      </c>
      <c r="D555">
        <f t="shared" si="32"/>
        <v>3</v>
      </c>
      <c r="E555" t="str">
        <f t="shared" si="31"/>
        <v>H</v>
      </c>
      <c r="F555" t="str">
        <f t="shared" si="30"/>
        <v>7H</v>
      </c>
    </row>
    <row r="556" spans="1:6" x14ac:dyDescent="0.2">
      <c r="A556">
        <v>8</v>
      </c>
      <c r="D556">
        <f t="shared" si="32"/>
        <v>3</v>
      </c>
      <c r="E556" t="str">
        <f t="shared" si="31"/>
        <v>I</v>
      </c>
      <c r="F556" t="str">
        <f t="shared" si="30"/>
        <v>8I</v>
      </c>
    </row>
    <row r="557" spans="1:6" x14ac:dyDescent="0.2">
      <c r="A557">
        <v>9</v>
      </c>
      <c r="D557">
        <f t="shared" si="32"/>
        <v>3</v>
      </c>
      <c r="E557" t="str">
        <f t="shared" si="31"/>
        <v>J</v>
      </c>
      <c r="F557" t="str">
        <f t="shared" si="30"/>
        <v>9J</v>
      </c>
    </row>
    <row r="558" spans="1:6" x14ac:dyDescent="0.2">
      <c r="A558">
        <v>10</v>
      </c>
      <c r="D558">
        <f t="shared" si="32"/>
        <v>3</v>
      </c>
      <c r="E558" t="str">
        <f t="shared" si="31"/>
        <v>K</v>
      </c>
      <c r="F558" t="str">
        <f t="shared" si="30"/>
        <v>10K</v>
      </c>
    </row>
    <row r="559" spans="1:6" x14ac:dyDescent="0.2">
      <c r="A559">
        <v>11</v>
      </c>
      <c r="D559">
        <f t="shared" si="32"/>
        <v>3</v>
      </c>
      <c r="E559" t="str">
        <f t="shared" si="31"/>
        <v>L</v>
      </c>
      <c r="F559" t="str">
        <f t="shared" si="30"/>
        <v>11L</v>
      </c>
    </row>
    <row r="560" spans="1:6" x14ac:dyDescent="0.2">
      <c r="A560">
        <v>12</v>
      </c>
      <c r="D560">
        <f t="shared" si="32"/>
        <v>3</v>
      </c>
      <c r="E560" t="str">
        <f t="shared" si="31"/>
        <v>M</v>
      </c>
      <c r="F560" t="str">
        <f t="shared" si="30"/>
        <v>12M</v>
      </c>
    </row>
    <row r="561" spans="1:6" x14ac:dyDescent="0.2">
      <c r="A561">
        <v>13</v>
      </c>
      <c r="D561">
        <f t="shared" si="32"/>
        <v>3</v>
      </c>
      <c r="E561" t="str">
        <f t="shared" si="31"/>
        <v>N</v>
      </c>
      <c r="F561" t="str">
        <f t="shared" si="30"/>
        <v>13N</v>
      </c>
    </row>
    <row r="562" spans="1:6" x14ac:dyDescent="0.2">
      <c r="A562">
        <v>14</v>
      </c>
      <c r="D562">
        <f t="shared" si="32"/>
        <v>3</v>
      </c>
      <c r="E562" t="str">
        <f t="shared" si="31"/>
        <v>O</v>
      </c>
      <c r="F562" t="str">
        <f t="shared" si="30"/>
        <v>14O</v>
      </c>
    </row>
    <row r="563" spans="1:6" x14ac:dyDescent="0.2">
      <c r="A563">
        <v>15</v>
      </c>
      <c r="D563">
        <f t="shared" si="32"/>
        <v>3</v>
      </c>
      <c r="E563" t="str">
        <f t="shared" si="31"/>
        <v>P</v>
      </c>
      <c r="F563" t="str">
        <f t="shared" si="30"/>
        <v>15P</v>
      </c>
    </row>
    <row r="564" spans="1:6" x14ac:dyDescent="0.2">
      <c r="A564">
        <v>16</v>
      </c>
      <c r="D564">
        <f t="shared" si="32"/>
        <v>3</v>
      </c>
      <c r="E564" t="str">
        <f t="shared" si="31"/>
        <v>Q</v>
      </c>
      <c r="F564" t="str">
        <f t="shared" si="30"/>
        <v>16Q</v>
      </c>
    </row>
    <row r="565" spans="1:6" x14ac:dyDescent="0.2">
      <c r="A565">
        <v>17</v>
      </c>
      <c r="D565">
        <f t="shared" si="32"/>
        <v>3</v>
      </c>
      <c r="E565" t="str">
        <f t="shared" si="31"/>
        <v>R</v>
      </c>
      <c r="F565" t="str">
        <f t="shared" si="30"/>
        <v>17R</v>
      </c>
    </row>
    <row r="566" spans="1:6" x14ac:dyDescent="0.2">
      <c r="A566">
        <v>18</v>
      </c>
      <c r="D566">
        <f t="shared" si="32"/>
        <v>3</v>
      </c>
      <c r="E566" t="str">
        <f t="shared" si="31"/>
        <v>S</v>
      </c>
      <c r="F566" t="str">
        <f t="shared" si="30"/>
        <v>18S</v>
      </c>
    </row>
    <row r="567" spans="1:6" x14ac:dyDescent="0.2">
      <c r="A567">
        <v>19</v>
      </c>
      <c r="D567">
        <f t="shared" si="32"/>
        <v>3</v>
      </c>
      <c r="E567" t="str">
        <f t="shared" si="31"/>
        <v>T</v>
      </c>
      <c r="F567" t="str">
        <f t="shared" si="30"/>
        <v>19T</v>
      </c>
    </row>
    <row r="568" spans="1:6" x14ac:dyDescent="0.2">
      <c r="A568">
        <v>20</v>
      </c>
      <c r="D568">
        <f t="shared" si="32"/>
        <v>3</v>
      </c>
      <c r="E568" t="str">
        <f t="shared" si="31"/>
        <v>U</v>
      </c>
      <c r="F568" t="str">
        <f t="shared" si="30"/>
        <v>20U</v>
      </c>
    </row>
    <row r="569" spans="1:6" x14ac:dyDescent="0.2">
      <c r="A569">
        <v>21</v>
      </c>
      <c r="D569">
        <f t="shared" si="32"/>
        <v>3</v>
      </c>
      <c r="E569" t="str">
        <f t="shared" si="31"/>
        <v>V</v>
      </c>
      <c r="F569" t="str">
        <f t="shared" si="30"/>
        <v>21V</v>
      </c>
    </row>
    <row r="570" spans="1:6" x14ac:dyDescent="0.2">
      <c r="A570">
        <v>22</v>
      </c>
      <c r="D570">
        <f t="shared" si="32"/>
        <v>3</v>
      </c>
      <c r="E570" t="str">
        <f t="shared" si="31"/>
        <v>W</v>
      </c>
      <c r="F570" t="str">
        <f t="shared" si="30"/>
        <v>22W</v>
      </c>
    </row>
    <row r="571" spans="1:6" x14ac:dyDescent="0.2">
      <c r="A571">
        <v>23</v>
      </c>
      <c r="D571">
        <f t="shared" si="32"/>
        <v>3</v>
      </c>
      <c r="E571" t="str">
        <f t="shared" si="31"/>
        <v>X</v>
      </c>
      <c r="F571" t="str">
        <f t="shared" si="30"/>
        <v>23X</v>
      </c>
    </row>
    <row r="572" spans="1:6" x14ac:dyDescent="0.2">
      <c r="A572">
        <v>24</v>
      </c>
      <c r="D572">
        <f t="shared" si="32"/>
        <v>3</v>
      </c>
      <c r="E572" t="str">
        <f t="shared" si="31"/>
        <v>Y</v>
      </c>
      <c r="F572" t="str">
        <f t="shared" si="30"/>
        <v>24Y</v>
      </c>
    </row>
    <row r="573" spans="1:6" x14ac:dyDescent="0.2">
      <c r="A573">
        <v>25</v>
      </c>
      <c r="D573">
        <f t="shared" si="32"/>
        <v>3</v>
      </c>
      <c r="E573" t="str">
        <f t="shared" si="31"/>
        <v>Z</v>
      </c>
      <c r="F573" t="str">
        <f t="shared" si="30"/>
        <v>25Z</v>
      </c>
    </row>
    <row r="574" spans="1:6" x14ac:dyDescent="0.2">
      <c r="A574">
        <v>0</v>
      </c>
      <c r="D574">
        <f t="shared" si="32"/>
        <v>3</v>
      </c>
      <c r="E574" t="str">
        <f t="shared" si="31"/>
        <v>A</v>
      </c>
      <c r="F574" t="str">
        <f t="shared" si="30"/>
        <v>0A</v>
      </c>
    </row>
    <row r="575" spans="1:6" x14ac:dyDescent="0.2">
      <c r="A575">
        <v>1</v>
      </c>
      <c r="D575">
        <f t="shared" si="32"/>
        <v>3</v>
      </c>
      <c r="E575" t="str">
        <f t="shared" si="31"/>
        <v>B</v>
      </c>
      <c r="F575" t="str">
        <f t="shared" si="30"/>
        <v>1B</v>
      </c>
    </row>
    <row r="576" spans="1:6" x14ac:dyDescent="0.2">
      <c r="A576">
        <v>2</v>
      </c>
      <c r="D576">
        <f t="shared" si="32"/>
        <v>3</v>
      </c>
      <c r="E576" t="str">
        <f t="shared" si="31"/>
        <v>C</v>
      </c>
      <c r="F576" t="str">
        <f t="shared" si="30"/>
        <v>2C</v>
      </c>
    </row>
    <row r="577" spans="1:6" x14ac:dyDescent="0.2">
      <c r="A577">
        <v>3</v>
      </c>
      <c r="D577">
        <f t="shared" si="32"/>
        <v>3</v>
      </c>
      <c r="E577" t="str">
        <f t="shared" si="31"/>
        <v>D</v>
      </c>
      <c r="F577" t="str">
        <f t="shared" si="30"/>
        <v>3D</v>
      </c>
    </row>
    <row r="578" spans="1:6" x14ac:dyDescent="0.2">
      <c r="A578">
        <v>4</v>
      </c>
      <c r="D578">
        <f t="shared" si="32"/>
        <v>3</v>
      </c>
      <c r="E578" t="str">
        <f t="shared" si="31"/>
        <v>E</v>
      </c>
      <c r="F578" t="str">
        <f t="shared" si="30"/>
        <v>4E</v>
      </c>
    </row>
    <row r="579" spans="1:6" x14ac:dyDescent="0.2">
      <c r="A579">
        <v>5</v>
      </c>
      <c r="D579">
        <f t="shared" si="32"/>
        <v>3</v>
      </c>
      <c r="E579" t="str">
        <f t="shared" si="31"/>
        <v>F</v>
      </c>
      <c r="F579" t="str">
        <f t="shared" ref="F579:F642" si="33">A579&amp;C579&amp;E579</f>
        <v>5F</v>
      </c>
    </row>
    <row r="580" spans="1:6" x14ac:dyDescent="0.2">
      <c r="A580">
        <v>6</v>
      </c>
      <c r="D580">
        <f t="shared" si="32"/>
        <v>3</v>
      </c>
      <c r="E580" t="str">
        <f t="shared" si="31"/>
        <v>G</v>
      </c>
      <c r="F580" t="str">
        <f t="shared" si="33"/>
        <v>6G</v>
      </c>
    </row>
    <row r="581" spans="1:6" x14ac:dyDescent="0.2">
      <c r="A581">
        <v>7</v>
      </c>
      <c r="D581">
        <f t="shared" si="32"/>
        <v>3</v>
      </c>
      <c r="E581" t="str">
        <f t="shared" si="31"/>
        <v>H</v>
      </c>
      <c r="F581" t="str">
        <f t="shared" si="33"/>
        <v>7H</v>
      </c>
    </row>
    <row r="582" spans="1:6" x14ac:dyDescent="0.2">
      <c r="A582">
        <v>8</v>
      </c>
      <c r="D582">
        <f t="shared" si="32"/>
        <v>3</v>
      </c>
      <c r="E582" t="str">
        <f t="shared" si="31"/>
        <v>I</v>
      </c>
      <c r="F582" t="str">
        <f t="shared" si="33"/>
        <v>8I</v>
      </c>
    </row>
    <row r="583" spans="1:6" x14ac:dyDescent="0.2">
      <c r="A583">
        <v>9</v>
      </c>
      <c r="D583">
        <f t="shared" si="32"/>
        <v>3</v>
      </c>
      <c r="E583" t="str">
        <f t="shared" si="31"/>
        <v>J</v>
      </c>
      <c r="F583" t="str">
        <f t="shared" si="33"/>
        <v>9J</v>
      </c>
    </row>
    <row r="584" spans="1:6" x14ac:dyDescent="0.2">
      <c r="A584">
        <v>10</v>
      </c>
      <c r="D584">
        <f t="shared" si="32"/>
        <v>3</v>
      </c>
      <c r="E584" t="str">
        <f t="shared" si="31"/>
        <v>K</v>
      </c>
      <c r="F584" t="str">
        <f t="shared" si="33"/>
        <v>10K</v>
      </c>
    </row>
    <row r="585" spans="1:6" x14ac:dyDescent="0.2">
      <c r="A585">
        <v>11</v>
      </c>
      <c r="D585">
        <f t="shared" si="32"/>
        <v>3</v>
      </c>
      <c r="E585" t="str">
        <f t="shared" si="31"/>
        <v>L</v>
      </c>
      <c r="F585" t="str">
        <f t="shared" si="33"/>
        <v>11L</v>
      </c>
    </row>
    <row r="586" spans="1:6" x14ac:dyDescent="0.2">
      <c r="A586">
        <v>12</v>
      </c>
      <c r="D586">
        <f t="shared" si="32"/>
        <v>3</v>
      </c>
      <c r="E586" t="str">
        <f t="shared" si="31"/>
        <v>M</v>
      </c>
      <c r="F586" t="str">
        <f t="shared" si="33"/>
        <v>12M</v>
      </c>
    </row>
    <row r="587" spans="1:6" x14ac:dyDescent="0.2">
      <c r="A587">
        <v>13</v>
      </c>
      <c r="D587">
        <f t="shared" si="32"/>
        <v>3</v>
      </c>
      <c r="E587" t="str">
        <f t="shared" si="31"/>
        <v>N</v>
      </c>
      <c r="F587" t="str">
        <f t="shared" si="33"/>
        <v>13N</v>
      </c>
    </row>
    <row r="588" spans="1:6" x14ac:dyDescent="0.2">
      <c r="A588">
        <v>14</v>
      </c>
      <c r="D588">
        <f t="shared" si="32"/>
        <v>3</v>
      </c>
      <c r="E588" t="str">
        <f t="shared" si="31"/>
        <v>O</v>
      </c>
      <c r="F588" t="str">
        <f t="shared" si="33"/>
        <v>14O</v>
      </c>
    </row>
    <row r="589" spans="1:6" x14ac:dyDescent="0.2">
      <c r="A589">
        <v>15</v>
      </c>
      <c r="D589">
        <f t="shared" si="32"/>
        <v>3</v>
      </c>
      <c r="E589" t="str">
        <f t="shared" si="31"/>
        <v>P</v>
      </c>
      <c r="F589" t="str">
        <f t="shared" si="33"/>
        <v>15P</v>
      </c>
    </row>
    <row r="590" spans="1:6" x14ac:dyDescent="0.2">
      <c r="A590">
        <v>16</v>
      </c>
      <c r="D590">
        <f t="shared" si="32"/>
        <v>3</v>
      </c>
      <c r="E590" t="str">
        <f t="shared" si="31"/>
        <v>Q</v>
      </c>
      <c r="F590" t="str">
        <f t="shared" si="33"/>
        <v>16Q</v>
      </c>
    </row>
    <row r="591" spans="1:6" x14ac:dyDescent="0.2">
      <c r="A591">
        <v>17</v>
      </c>
      <c r="D591">
        <f t="shared" si="32"/>
        <v>3</v>
      </c>
      <c r="E591" t="str">
        <f t="shared" si="31"/>
        <v>R</v>
      </c>
      <c r="F591" t="str">
        <f t="shared" si="33"/>
        <v>17R</v>
      </c>
    </row>
    <row r="592" spans="1:6" x14ac:dyDescent="0.2">
      <c r="A592">
        <v>18</v>
      </c>
      <c r="D592">
        <f t="shared" si="32"/>
        <v>3</v>
      </c>
      <c r="E592" t="str">
        <f t="shared" si="31"/>
        <v>S</v>
      </c>
      <c r="F592" t="str">
        <f t="shared" si="33"/>
        <v>18S</v>
      </c>
    </row>
    <row r="593" spans="1:6" x14ac:dyDescent="0.2">
      <c r="A593">
        <v>19</v>
      </c>
      <c r="D593">
        <f t="shared" si="32"/>
        <v>3</v>
      </c>
      <c r="E593" t="str">
        <f t="shared" si="31"/>
        <v>T</v>
      </c>
      <c r="F593" t="str">
        <f t="shared" si="33"/>
        <v>19T</v>
      </c>
    </row>
    <row r="594" spans="1:6" x14ac:dyDescent="0.2">
      <c r="A594">
        <v>20</v>
      </c>
      <c r="D594">
        <f t="shared" si="32"/>
        <v>3</v>
      </c>
      <c r="E594" t="str">
        <f t="shared" si="31"/>
        <v>U</v>
      </c>
      <c r="F594" t="str">
        <f t="shared" si="33"/>
        <v>20U</v>
      </c>
    </row>
    <row r="595" spans="1:6" x14ac:dyDescent="0.2">
      <c r="A595">
        <v>21</v>
      </c>
      <c r="D595">
        <f t="shared" si="32"/>
        <v>3</v>
      </c>
      <c r="E595" t="str">
        <f t="shared" si="31"/>
        <v>V</v>
      </c>
      <c r="F595" t="str">
        <f t="shared" si="33"/>
        <v>21V</v>
      </c>
    </row>
    <row r="596" spans="1:6" x14ac:dyDescent="0.2">
      <c r="A596">
        <v>22</v>
      </c>
      <c r="D596">
        <f t="shared" si="32"/>
        <v>3</v>
      </c>
      <c r="E596" t="str">
        <f t="shared" si="31"/>
        <v>W</v>
      </c>
      <c r="F596" t="str">
        <f t="shared" si="33"/>
        <v>22W</v>
      </c>
    </row>
    <row r="597" spans="1:6" x14ac:dyDescent="0.2">
      <c r="A597">
        <v>23</v>
      </c>
      <c r="D597">
        <f t="shared" si="32"/>
        <v>3</v>
      </c>
      <c r="E597" t="str">
        <f t="shared" si="31"/>
        <v>X</v>
      </c>
      <c r="F597" t="str">
        <f t="shared" si="33"/>
        <v>23X</v>
      </c>
    </row>
    <row r="598" spans="1:6" x14ac:dyDescent="0.2">
      <c r="A598">
        <v>24</v>
      </c>
      <c r="D598">
        <f t="shared" si="32"/>
        <v>3</v>
      </c>
      <c r="E598" t="str">
        <f t="shared" si="31"/>
        <v>Y</v>
      </c>
      <c r="F598" t="str">
        <f t="shared" si="33"/>
        <v>24Y</v>
      </c>
    </row>
    <row r="599" spans="1:6" x14ac:dyDescent="0.2">
      <c r="A599">
        <v>25</v>
      </c>
      <c r="D599">
        <f t="shared" si="32"/>
        <v>3</v>
      </c>
      <c r="E599" t="str">
        <f t="shared" si="31"/>
        <v>Z</v>
      </c>
      <c r="F599" t="str">
        <f t="shared" si="33"/>
        <v>25Z</v>
      </c>
    </row>
    <row r="600" spans="1:6" x14ac:dyDescent="0.2">
      <c r="A600">
        <v>0</v>
      </c>
      <c r="D600">
        <f t="shared" si="32"/>
        <v>3</v>
      </c>
      <c r="E600" t="str">
        <f t="shared" si="31"/>
        <v>A</v>
      </c>
      <c r="F600" t="str">
        <f t="shared" si="33"/>
        <v>0A</v>
      </c>
    </row>
    <row r="601" spans="1:6" x14ac:dyDescent="0.2">
      <c r="A601">
        <v>1</v>
      </c>
      <c r="D601">
        <f t="shared" si="32"/>
        <v>3</v>
      </c>
      <c r="E601" t="str">
        <f t="shared" si="31"/>
        <v>B</v>
      </c>
      <c r="F601" t="str">
        <f t="shared" si="33"/>
        <v>1B</v>
      </c>
    </row>
    <row r="602" spans="1:6" x14ac:dyDescent="0.2">
      <c r="A602">
        <v>2</v>
      </c>
      <c r="D602">
        <f t="shared" si="32"/>
        <v>3</v>
      </c>
      <c r="E602" t="str">
        <f t="shared" si="31"/>
        <v>C</v>
      </c>
      <c r="F602" t="str">
        <f t="shared" si="33"/>
        <v>2C</v>
      </c>
    </row>
    <row r="603" spans="1:6" x14ac:dyDescent="0.2">
      <c r="A603">
        <v>3</v>
      </c>
      <c r="D603">
        <f t="shared" si="32"/>
        <v>3</v>
      </c>
      <c r="E603" t="str">
        <f t="shared" si="31"/>
        <v>D</v>
      </c>
      <c r="F603" t="str">
        <f t="shared" si="33"/>
        <v>3D</v>
      </c>
    </row>
    <row r="604" spans="1:6" x14ac:dyDescent="0.2">
      <c r="A604">
        <v>4</v>
      </c>
      <c r="D604">
        <f t="shared" si="32"/>
        <v>3</v>
      </c>
      <c r="E604" t="str">
        <f t="shared" si="31"/>
        <v>E</v>
      </c>
      <c r="F604" t="str">
        <f t="shared" si="33"/>
        <v>4E</v>
      </c>
    </row>
    <row r="605" spans="1:6" x14ac:dyDescent="0.2">
      <c r="A605">
        <v>5</v>
      </c>
      <c r="D605">
        <f t="shared" si="32"/>
        <v>3</v>
      </c>
      <c r="E605" t="str">
        <f t="shared" ref="E605:E668" si="34">E579</f>
        <v>F</v>
      </c>
      <c r="F605" t="str">
        <f t="shared" si="33"/>
        <v>5F</v>
      </c>
    </row>
    <row r="606" spans="1:6" x14ac:dyDescent="0.2">
      <c r="A606">
        <v>6</v>
      </c>
      <c r="D606">
        <f t="shared" ref="D606:D669" si="35">D605</f>
        <v>3</v>
      </c>
      <c r="E606" t="str">
        <f t="shared" si="34"/>
        <v>G</v>
      </c>
      <c r="F606" t="str">
        <f t="shared" si="33"/>
        <v>6G</v>
      </c>
    </row>
    <row r="607" spans="1:6" x14ac:dyDescent="0.2">
      <c r="A607">
        <v>7</v>
      </c>
      <c r="D607">
        <f t="shared" si="35"/>
        <v>3</v>
      </c>
      <c r="E607" t="str">
        <f t="shared" si="34"/>
        <v>H</v>
      </c>
      <c r="F607" t="str">
        <f t="shared" si="33"/>
        <v>7H</v>
      </c>
    </row>
    <row r="608" spans="1:6" x14ac:dyDescent="0.2">
      <c r="A608">
        <v>8</v>
      </c>
      <c r="D608">
        <f t="shared" si="35"/>
        <v>3</v>
      </c>
      <c r="E608" t="str">
        <f t="shared" si="34"/>
        <v>I</v>
      </c>
      <c r="F608" t="str">
        <f t="shared" si="33"/>
        <v>8I</v>
      </c>
    </row>
    <row r="609" spans="1:6" x14ac:dyDescent="0.2">
      <c r="A609">
        <v>9</v>
      </c>
      <c r="D609">
        <f t="shared" si="35"/>
        <v>3</v>
      </c>
      <c r="E609" t="str">
        <f t="shared" si="34"/>
        <v>J</v>
      </c>
      <c r="F609" t="str">
        <f t="shared" si="33"/>
        <v>9J</v>
      </c>
    </row>
    <row r="610" spans="1:6" x14ac:dyDescent="0.2">
      <c r="A610">
        <v>10</v>
      </c>
      <c r="D610">
        <f t="shared" si="35"/>
        <v>3</v>
      </c>
      <c r="E610" t="str">
        <f t="shared" si="34"/>
        <v>K</v>
      </c>
      <c r="F610" t="str">
        <f t="shared" si="33"/>
        <v>10K</v>
      </c>
    </row>
    <row r="611" spans="1:6" x14ac:dyDescent="0.2">
      <c r="A611">
        <v>11</v>
      </c>
      <c r="D611">
        <f t="shared" si="35"/>
        <v>3</v>
      </c>
      <c r="E611" t="str">
        <f t="shared" si="34"/>
        <v>L</v>
      </c>
      <c r="F611" t="str">
        <f t="shared" si="33"/>
        <v>11L</v>
      </c>
    </row>
    <row r="612" spans="1:6" x14ac:dyDescent="0.2">
      <c r="A612">
        <v>12</v>
      </c>
      <c r="D612">
        <f t="shared" si="35"/>
        <v>3</v>
      </c>
      <c r="E612" t="str">
        <f t="shared" si="34"/>
        <v>M</v>
      </c>
      <c r="F612" t="str">
        <f t="shared" si="33"/>
        <v>12M</v>
      </c>
    </row>
    <row r="613" spans="1:6" x14ac:dyDescent="0.2">
      <c r="A613">
        <v>13</v>
      </c>
      <c r="D613">
        <f t="shared" si="35"/>
        <v>3</v>
      </c>
      <c r="E613" t="str">
        <f t="shared" si="34"/>
        <v>N</v>
      </c>
      <c r="F613" t="str">
        <f t="shared" si="33"/>
        <v>13N</v>
      </c>
    </row>
    <row r="614" spans="1:6" x14ac:dyDescent="0.2">
      <c r="A614">
        <v>14</v>
      </c>
      <c r="D614">
        <f t="shared" si="35"/>
        <v>3</v>
      </c>
      <c r="E614" t="str">
        <f t="shared" si="34"/>
        <v>O</v>
      </c>
      <c r="F614" t="str">
        <f t="shared" si="33"/>
        <v>14O</v>
      </c>
    </row>
    <row r="615" spans="1:6" x14ac:dyDescent="0.2">
      <c r="A615">
        <v>15</v>
      </c>
      <c r="D615">
        <f t="shared" si="35"/>
        <v>3</v>
      </c>
      <c r="E615" t="str">
        <f t="shared" si="34"/>
        <v>P</v>
      </c>
      <c r="F615" t="str">
        <f t="shared" si="33"/>
        <v>15P</v>
      </c>
    </row>
    <row r="616" spans="1:6" x14ac:dyDescent="0.2">
      <c r="A616">
        <v>16</v>
      </c>
      <c r="D616">
        <f t="shared" si="35"/>
        <v>3</v>
      </c>
      <c r="E616" t="str">
        <f t="shared" si="34"/>
        <v>Q</v>
      </c>
      <c r="F616" t="str">
        <f t="shared" si="33"/>
        <v>16Q</v>
      </c>
    </row>
    <row r="617" spans="1:6" x14ac:dyDescent="0.2">
      <c r="A617">
        <v>17</v>
      </c>
      <c r="D617">
        <f t="shared" si="35"/>
        <v>3</v>
      </c>
      <c r="E617" t="str">
        <f t="shared" si="34"/>
        <v>R</v>
      </c>
      <c r="F617" t="str">
        <f t="shared" si="33"/>
        <v>17R</v>
      </c>
    </row>
    <row r="618" spans="1:6" x14ac:dyDescent="0.2">
      <c r="A618">
        <v>18</v>
      </c>
      <c r="D618">
        <f t="shared" si="35"/>
        <v>3</v>
      </c>
      <c r="E618" t="str">
        <f t="shared" si="34"/>
        <v>S</v>
      </c>
      <c r="F618" t="str">
        <f t="shared" si="33"/>
        <v>18S</v>
      </c>
    </row>
    <row r="619" spans="1:6" x14ac:dyDescent="0.2">
      <c r="A619">
        <v>19</v>
      </c>
      <c r="D619">
        <f t="shared" si="35"/>
        <v>3</v>
      </c>
      <c r="E619" t="str">
        <f t="shared" si="34"/>
        <v>T</v>
      </c>
      <c r="F619" t="str">
        <f t="shared" si="33"/>
        <v>19T</v>
      </c>
    </row>
    <row r="620" spans="1:6" x14ac:dyDescent="0.2">
      <c r="A620">
        <v>20</v>
      </c>
      <c r="D620">
        <f t="shared" si="35"/>
        <v>3</v>
      </c>
      <c r="E620" t="str">
        <f t="shared" si="34"/>
        <v>U</v>
      </c>
      <c r="F620" t="str">
        <f t="shared" si="33"/>
        <v>20U</v>
      </c>
    </row>
    <row r="621" spans="1:6" x14ac:dyDescent="0.2">
      <c r="A621">
        <v>21</v>
      </c>
      <c r="D621">
        <f t="shared" si="35"/>
        <v>3</v>
      </c>
      <c r="E621" t="str">
        <f t="shared" si="34"/>
        <v>V</v>
      </c>
      <c r="F621" t="str">
        <f t="shared" si="33"/>
        <v>21V</v>
      </c>
    </row>
    <row r="622" spans="1:6" x14ac:dyDescent="0.2">
      <c r="A622">
        <v>22</v>
      </c>
      <c r="D622">
        <f t="shared" si="35"/>
        <v>3</v>
      </c>
      <c r="E622" t="str">
        <f t="shared" si="34"/>
        <v>W</v>
      </c>
      <c r="F622" t="str">
        <f t="shared" si="33"/>
        <v>22W</v>
      </c>
    </row>
    <row r="623" spans="1:6" x14ac:dyDescent="0.2">
      <c r="A623">
        <v>23</v>
      </c>
      <c r="D623">
        <f t="shared" si="35"/>
        <v>3</v>
      </c>
      <c r="E623" t="str">
        <f t="shared" si="34"/>
        <v>X</v>
      </c>
      <c r="F623" t="str">
        <f t="shared" si="33"/>
        <v>23X</v>
      </c>
    </row>
    <row r="624" spans="1:6" x14ac:dyDescent="0.2">
      <c r="A624">
        <v>24</v>
      </c>
      <c r="D624">
        <f t="shared" si="35"/>
        <v>3</v>
      </c>
      <c r="E624" t="str">
        <f t="shared" si="34"/>
        <v>Y</v>
      </c>
      <c r="F624" t="str">
        <f t="shared" si="33"/>
        <v>24Y</v>
      </c>
    </row>
    <row r="625" spans="1:6" x14ac:dyDescent="0.2">
      <c r="A625">
        <v>25</v>
      </c>
      <c r="D625">
        <f t="shared" si="35"/>
        <v>3</v>
      </c>
      <c r="E625" t="str">
        <f t="shared" si="34"/>
        <v>Z</v>
      </c>
      <c r="F625" t="str">
        <f t="shared" si="33"/>
        <v>25Z</v>
      </c>
    </row>
    <row r="626" spans="1:6" x14ac:dyDescent="0.2">
      <c r="A626">
        <v>0</v>
      </c>
      <c r="D626">
        <f t="shared" si="35"/>
        <v>3</v>
      </c>
      <c r="E626" t="str">
        <f t="shared" si="34"/>
        <v>A</v>
      </c>
      <c r="F626" t="str">
        <f t="shared" si="33"/>
        <v>0A</v>
      </c>
    </row>
    <row r="627" spans="1:6" x14ac:dyDescent="0.2">
      <c r="A627">
        <v>1</v>
      </c>
      <c r="D627">
        <f t="shared" si="35"/>
        <v>3</v>
      </c>
      <c r="E627" t="str">
        <f t="shared" si="34"/>
        <v>B</v>
      </c>
      <c r="F627" t="str">
        <f t="shared" si="33"/>
        <v>1B</v>
      </c>
    </row>
    <row r="628" spans="1:6" x14ac:dyDescent="0.2">
      <c r="A628">
        <v>2</v>
      </c>
      <c r="D628">
        <f t="shared" si="35"/>
        <v>3</v>
      </c>
      <c r="E628" t="str">
        <f t="shared" si="34"/>
        <v>C</v>
      </c>
      <c r="F628" t="str">
        <f t="shared" si="33"/>
        <v>2C</v>
      </c>
    </row>
    <row r="629" spans="1:6" x14ac:dyDescent="0.2">
      <c r="A629">
        <v>3</v>
      </c>
      <c r="D629">
        <f t="shared" si="35"/>
        <v>3</v>
      </c>
      <c r="E629" t="str">
        <f t="shared" si="34"/>
        <v>D</v>
      </c>
      <c r="F629" t="str">
        <f t="shared" si="33"/>
        <v>3D</v>
      </c>
    </row>
    <row r="630" spans="1:6" x14ac:dyDescent="0.2">
      <c r="A630">
        <v>4</v>
      </c>
      <c r="D630">
        <f t="shared" si="35"/>
        <v>3</v>
      </c>
      <c r="E630" t="str">
        <f t="shared" si="34"/>
        <v>E</v>
      </c>
      <c r="F630" t="str">
        <f t="shared" si="33"/>
        <v>4E</v>
      </c>
    </row>
    <row r="631" spans="1:6" x14ac:dyDescent="0.2">
      <c r="A631">
        <v>5</v>
      </c>
      <c r="D631">
        <f t="shared" si="35"/>
        <v>3</v>
      </c>
      <c r="E631" t="str">
        <f t="shared" si="34"/>
        <v>F</v>
      </c>
      <c r="F631" t="str">
        <f t="shared" si="33"/>
        <v>5F</v>
      </c>
    </row>
    <row r="632" spans="1:6" x14ac:dyDescent="0.2">
      <c r="A632">
        <v>6</v>
      </c>
      <c r="D632">
        <f t="shared" si="35"/>
        <v>3</v>
      </c>
      <c r="E632" t="str">
        <f t="shared" si="34"/>
        <v>G</v>
      </c>
      <c r="F632" t="str">
        <f t="shared" si="33"/>
        <v>6G</v>
      </c>
    </row>
    <row r="633" spans="1:6" x14ac:dyDescent="0.2">
      <c r="A633">
        <v>7</v>
      </c>
      <c r="D633">
        <f t="shared" si="35"/>
        <v>3</v>
      </c>
      <c r="E633" t="str">
        <f t="shared" si="34"/>
        <v>H</v>
      </c>
      <c r="F633" t="str">
        <f t="shared" si="33"/>
        <v>7H</v>
      </c>
    </row>
    <row r="634" spans="1:6" x14ac:dyDescent="0.2">
      <c r="A634">
        <v>8</v>
      </c>
      <c r="D634">
        <f t="shared" si="35"/>
        <v>3</v>
      </c>
      <c r="E634" t="str">
        <f t="shared" si="34"/>
        <v>I</v>
      </c>
      <c r="F634" t="str">
        <f t="shared" si="33"/>
        <v>8I</v>
      </c>
    </row>
    <row r="635" spans="1:6" x14ac:dyDescent="0.2">
      <c r="A635">
        <v>9</v>
      </c>
      <c r="D635">
        <f t="shared" si="35"/>
        <v>3</v>
      </c>
      <c r="E635" t="str">
        <f t="shared" si="34"/>
        <v>J</v>
      </c>
      <c r="F635" t="str">
        <f t="shared" si="33"/>
        <v>9J</v>
      </c>
    </row>
    <row r="636" spans="1:6" x14ac:dyDescent="0.2">
      <c r="A636">
        <v>10</v>
      </c>
      <c r="D636">
        <f t="shared" si="35"/>
        <v>3</v>
      </c>
      <c r="E636" t="str">
        <f t="shared" si="34"/>
        <v>K</v>
      </c>
      <c r="F636" t="str">
        <f t="shared" si="33"/>
        <v>10K</v>
      </c>
    </row>
    <row r="637" spans="1:6" x14ac:dyDescent="0.2">
      <c r="A637">
        <v>11</v>
      </c>
      <c r="D637">
        <f t="shared" si="35"/>
        <v>3</v>
      </c>
      <c r="E637" t="str">
        <f t="shared" si="34"/>
        <v>L</v>
      </c>
      <c r="F637" t="str">
        <f t="shared" si="33"/>
        <v>11L</v>
      </c>
    </row>
    <row r="638" spans="1:6" x14ac:dyDescent="0.2">
      <c r="A638">
        <v>12</v>
      </c>
      <c r="D638">
        <f t="shared" si="35"/>
        <v>3</v>
      </c>
      <c r="E638" t="str">
        <f t="shared" si="34"/>
        <v>M</v>
      </c>
      <c r="F638" t="str">
        <f t="shared" si="33"/>
        <v>12M</v>
      </c>
    </row>
    <row r="639" spans="1:6" x14ac:dyDescent="0.2">
      <c r="A639">
        <v>13</v>
      </c>
      <c r="D639">
        <f t="shared" si="35"/>
        <v>3</v>
      </c>
      <c r="E639" t="str">
        <f t="shared" si="34"/>
        <v>N</v>
      </c>
      <c r="F639" t="str">
        <f t="shared" si="33"/>
        <v>13N</v>
      </c>
    </row>
    <row r="640" spans="1:6" x14ac:dyDescent="0.2">
      <c r="A640">
        <v>14</v>
      </c>
      <c r="D640">
        <f t="shared" si="35"/>
        <v>3</v>
      </c>
      <c r="E640" t="str">
        <f t="shared" si="34"/>
        <v>O</v>
      </c>
      <c r="F640" t="str">
        <f t="shared" si="33"/>
        <v>14O</v>
      </c>
    </row>
    <row r="641" spans="1:6" x14ac:dyDescent="0.2">
      <c r="A641">
        <v>15</v>
      </c>
      <c r="D641">
        <f t="shared" si="35"/>
        <v>3</v>
      </c>
      <c r="E641" t="str">
        <f t="shared" si="34"/>
        <v>P</v>
      </c>
      <c r="F641" t="str">
        <f t="shared" si="33"/>
        <v>15P</v>
      </c>
    </row>
    <row r="642" spans="1:6" x14ac:dyDescent="0.2">
      <c r="A642">
        <v>16</v>
      </c>
      <c r="D642">
        <f t="shared" si="35"/>
        <v>3</v>
      </c>
      <c r="E642" t="str">
        <f t="shared" si="34"/>
        <v>Q</v>
      </c>
      <c r="F642" t="str">
        <f t="shared" si="33"/>
        <v>16Q</v>
      </c>
    </row>
    <row r="643" spans="1:6" x14ac:dyDescent="0.2">
      <c r="A643">
        <v>17</v>
      </c>
      <c r="D643">
        <f t="shared" si="35"/>
        <v>3</v>
      </c>
      <c r="E643" t="str">
        <f t="shared" si="34"/>
        <v>R</v>
      </c>
      <c r="F643" t="str">
        <f t="shared" ref="F643:F706" si="36">A643&amp;C643&amp;E643</f>
        <v>17R</v>
      </c>
    </row>
    <row r="644" spans="1:6" x14ac:dyDescent="0.2">
      <c r="A644">
        <v>18</v>
      </c>
      <c r="D644">
        <f t="shared" si="35"/>
        <v>3</v>
      </c>
      <c r="E644" t="str">
        <f t="shared" si="34"/>
        <v>S</v>
      </c>
      <c r="F644" t="str">
        <f t="shared" si="36"/>
        <v>18S</v>
      </c>
    </row>
    <row r="645" spans="1:6" x14ac:dyDescent="0.2">
      <c r="A645">
        <v>19</v>
      </c>
      <c r="D645">
        <f t="shared" si="35"/>
        <v>3</v>
      </c>
      <c r="E645" t="str">
        <f t="shared" si="34"/>
        <v>T</v>
      </c>
      <c r="F645" t="str">
        <f t="shared" si="36"/>
        <v>19T</v>
      </c>
    </row>
    <row r="646" spans="1:6" x14ac:dyDescent="0.2">
      <c r="A646">
        <v>20</v>
      </c>
      <c r="D646">
        <f t="shared" si="35"/>
        <v>3</v>
      </c>
      <c r="E646" t="str">
        <f t="shared" si="34"/>
        <v>U</v>
      </c>
      <c r="F646" t="str">
        <f t="shared" si="36"/>
        <v>20U</v>
      </c>
    </row>
    <row r="647" spans="1:6" x14ac:dyDescent="0.2">
      <c r="A647">
        <v>21</v>
      </c>
      <c r="D647">
        <f t="shared" si="35"/>
        <v>3</v>
      </c>
      <c r="E647" t="str">
        <f t="shared" si="34"/>
        <v>V</v>
      </c>
      <c r="F647" t="str">
        <f t="shared" si="36"/>
        <v>21V</v>
      </c>
    </row>
    <row r="648" spans="1:6" x14ac:dyDescent="0.2">
      <c r="A648">
        <v>22</v>
      </c>
      <c r="D648">
        <f t="shared" si="35"/>
        <v>3</v>
      </c>
      <c r="E648" t="str">
        <f t="shared" si="34"/>
        <v>W</v>
      </c>
      <c r="F648" t="str">
        <f t="shared" si="36"/>
        <v>22W</v>
      </c>
    </row>
    <row r="649" spans="1:6" x14ac:dyDescent="0.2">
      <c r="A649">
        <v>23</v>
      </c>
      <c r="D649">
        <f t="shared" si="35"/>
        <v>3</v>
      </c>
      <c r="E649" t="str">
        <f t="shared" si="34"/>
        <v>X</v>
      </c>
      <c r="F649" t="str">
        <f t="shared" si="36"/>
        <v>23X</v>
      </c>
    </row>
    <row r="650" spans="1:6" x14ac:dyDescent="0.2">
      <c r="A650">
        <v>24</v>
      </c>
      <c r="D650">
        <f t="shared" si="35"/>
        <v>3</v>
      </c>
      <c r="E650" t="str">
        <f t="shared" si="34"/>
        <v>Y</v>
      </c>
      <c r="F650" t="str">
        <f t="shared" si="36"/>
        <v>24Y</v>
      </c>
    </row>
    <row r="651" spans="1:6" x14ac:dyDescent="0.2">
      <c r="A651">
        <v>25</v>
      </c>
      <c r="D651">
        <f t="shared" si="35"/>
        <v>3</v>
      </c>
      <c r="E651" t="str">
        <f t="shared" si="34"/>
        <v>Z</v>
      </c>
      <c r="F651" t="str">
        <f t="shared" si="36"/>
        <v>25Z</v>
      </c>
    </row>
    <row r="652" spans="1:6" x14ac:dyDescent="0.2">
      <c r="A652">
        <v>0</v>
      </c>
      <c r="D652">
        <f t="shared" si="35"/>
        <v>3</v>
      </c>
      <c r="E652" t="str">
        <f t="shared" si="34"/>
        <v>A</v>
      </c>
      <c r="F652" t="str">
        <f t="shared" si="36"/>
        <v>0A</v>
      </c>
    </row>
    <row r="653" spans="1:6" x14ac:dyDescent="0.2">
      <c r="A653">
        <v>1</v>
      </c>
      <c r="D653">
        <f t="shared" si="35"/>
        <v>3</v>
      </c>
      <c r="E653" t="str">
        <f t="shared" si="34"/>
        <v>B</v>
      </c>
      <c r="F653" t="str">
        <f t="shared" si="36"/>
        <v>1B</v>
      </c>
    </row>
    <row r="654" spans="1:6" x14ac:dyDescent="0.2">
      <c r="A654">
        <v>2</v>
      </c>
      <c r="D654">
        <f t="shared" si="35"/>
        <v>3</v>
      </c>
      <c r="E654" t="str">
        <f t="shared" si="34"/>
        <v>C</v>
      </c>
      <c r="F654" t="str">
        <f t="shared" si="36"/>
        <v>2C</v>
      </c>
    </row>
    <row r="655" spans="1:6" x14ac:dyDescent="0.2">
      <c r="A655">
        <v>3</v>
      </c>
      <c r="D655">
        <f t="shared" si="35"/>
        <v>3</v>
      </c>
      <c r="E655" t="str">
        <f t="shared" si="34"/>
        <v>D</v>
      </c>
      <c r="F655" t="str">
        <f t="shared" si="36"/>
        <v>3D</v>
      </c>
    </row>
    <row r="656" spans="1:6" x14ac:dyDescent="0.2">
      <c r="A656">
        <v>4</v>
      </c>
      <c r="D656">
        <f t="shared" si="35"/>
        <v>3</v>
      </c>
      <c r="E656" t="str">
        <f t="shared" si="34"/>
        <v>E</v>
      </c>
      <c r="F656" t="str">
        <f t="shared" si="36"/>
        <v>4E</v>
      </c>
    </row>
    <row r="657" spans="1:6" x14ac:dyDescent="0.2">
      <c r="A657">
        <v>5</v>
      </c>
      <c r="D657">
        <f t="shared" si="35"/>
        <v>3</v>
      </c>
      <c r="E657" t="str">
        <f t="shared" si="34"/>
        <v>F</v>
      </c>
      <c r="F657" t="str">
        <f t="shared" si="36"/>
        <v>5F</v>
      </c>
    </row>
    <row r="658" spans="1:6" x14ac:dyDescent="0.2">
      <c r="A658">
        <v>6</v>
      </c>
      <c r="D658">
        <f t="shared" si="35"/>
        <v>3</v>
      </c>
      <c r="E658" t="str">
        <f t="shared" si="34"/>
        <v>G</v>
      </c>
      <c r="F658" t="str">
        <f t="shared" si="36"/>
        <v>6G</v>
      </c>
    </row>
    <row r="659" spans="1:6" x14ac:dyDescent="0.2">
      <c r="A659">
        <v>7</v>
      </c>
      <c r="D659">
        <f t="shared" si="35"/>
        <v>3</v>
      </c>
      <c r="E659" t="str">
        <f t="shared" si="34"/>
        <v>H</v>
      </c>
      <c r="F659" t="str">
        <f t="shared" si="36"/>
        <v>7H</v>
      </c>
    </row>
    <row r="660" spans="1:6" x14ac:dyDescent="0.2">
      <c r="A660">
        <v>8</v>
      </c>
      <c r="D660">
        <f t="shared" si="35"/>
        <v>3</v>
      </c>
      <c r="E660" t="str">
        <f t="shared" si="34"/>
        <v>I</v>
      </c>
      <c r="F660" t="str">
        <f t="shared" si="36"/>
        <v>8I</v>
      </c>
    </row>
    <row r="661" spans="1:6" x14ac:dyDescent="0.2">
      <c r="A661">
        <v>9</v>
      </c>
      <c r="D661">
        <f t="shared" si="35"/>
        <v>3</v>
      </c>
      <c r="E661" t="str">
        <f t="shared" si="34"/>
        <v>J</v>
      </c>
      <c r="F661" t="str">
        <f t="shared" si="36"/>
        <v>9J</v>
      </c>
    </row>
    <row r="662" spans="1:6" x14ac:dyDescent="0.2">
      <c r="A662">
        <v>10</v>
      </c>
      <c r="D662">
        <f t="shared" si="35"/>
        <v>3</v>
      </c>
      <c r="E662" t="str">
        <f t="shared" si="34"/>
        <v>K</v>
      </c>
      <c r="F662" t="str">
        <f t="shared" si="36"/>
        <v>10K</v>
      </c>
    </row>
    <row r="663" spans="1:6" x14ac:dyDescent="0.2">
      <c r="A663">
        <v>11</v>
      </c>
      <c r="D663">
        <f t="shared" si="35"/>
        <v>3</v>
      </c>
      <c r="E663" t="str">
        <f t="shared" si="34"/>
        <v>L</v>
      </c>
      <c r="F663" t="str">
        <f t="shared" si="36"/>
        <v>11L</v>
      </c>
    </row>
    <row r="664" spans="1:6" x14ac:dyDescent="0.2">
      <c r="A664">
        <v>12</v>
      </c>
      <c r="D664">
        <f t="shared" si="35"/>
        <v>3</v>
      </c>
      <c r="E664" t="str">
        <f t="shared" si="34"/>
        <v>M</v>
      </c>
      <c r="F664" t="str">
        <f t="shared" si="36"/>
        <v>12M</v>
      </c>
    </row>
    <row r="665" spans="1:6" x14ac:dyDescent="0.2">
      <c r="A665">
        <v>13</v>
      </c>
      <c r="D665">
        <f t="shared" si="35"/>
        <v>3</v>
      </c>
      <c r="E665" t="str">
        <f t="shared" si="34"/>
        <v>N</v>
      </c>
      <c r="F665" t="str">
        <f t="shared" si="36"/>
        <v>13N</v>
      </c>
    </row>
    <row r="666" spans="1:6" x14ac:dyDescent="0.2">
      <c r="A666">
        <v>14</v>
      </c>
      <c r="D666">
        <f t="shared" si="35"/>
        <v>3</v>
      </c>
      <c r="E666" t="str">
        <f t="shared" si="34"/>
        <v>O</v>
      </c>
      <c r="F666" t="str">
        <f t="shared" si="36"/>
        <v>14O</v>
      </c>
    </row>
    <row r="667" spans="1:6" x14ac:dyDescent="0.2">
      <c r="A667">
        <v>15</v>
      </c>
      <c r="D667">
        <f t="shared" si="35"/>
        <v>3</v>
      </c>
      <c r="E667" t="str">
        <f t="shared" si="34"/>
        <v>P</v>
      </c>
      <c r="F667" t="str">
        <f t="shared" si="36"/>
        <v>15P</v>
      </c>
    </row>
    <row r="668" spans="1:6" x14ac:dyDescent="0.2">
      <c r="A668">
        <v>16</v>
      </c>
      <c r="D668">
        <f t="shared" si="35"/>
        <v>3</v>
      </c>
      <c r="E668" t="str">
        <f t="shared" si="34"/>
        <v>Q</v>
      </c>
      <c r="F668" t="str">
        <f t="shared" si="36"/>
        <v>16Q</v>
      </c>
    </row>
    <row r="669" spans="1:6" x14ac:dyDescent="0.2">
      <c r="A669">
        <v>17</v>
      </c>
      <c r="D669">
        <f t="shared" si="35"/>
        <v>3</v>
      </c>
      <c r="E669" t="str">
        <f t="shared" ref="E669:E732" si="37">E643</f>
        <v>R</v>
      </c>
      <c r="F669" t="str">
        <f t="shared" si="36"/>
        <v>17R</v>
      </c>
    </row>
    <row r="670" spans="1:6" x14ac:dyDescent="0.2">
      <c r="A670">
        <v>18</v>
      </c>
      <c r="D670">
        <f t="shared" ref="D670:D700" si="38">D669</f>
        <v>3</v>
      </c>
      <c r="E670" t="str">
        <f t="shared" si="37"/>
        <v>S</v>
      </c>
      <c r="F670" t="str">
        <f t="shared" si="36"/>
        <v>18S</v>
      </c>
    </row>
    <row r="671" spans="1:6" x14ac:dyDescent="0.2">
      <c r="A671">
        <v>19</v>
      </c>
      <c r="D671">
        <f t="shared" si="38"/>
        <v>3</v>
      </c>
      <c r="E671" t="str">
        <f t="shared" si="37"/>
        <v>T</v>
      </c>
      <c r="F671" t="str">
        <f t="shared" si="36"/>
        <v>19T</v>
      </c>
    </row>
    <row r="672" spans="1:6" x14ac:dyDescent="0.2">
      <c r="A672">
        <v>20</v>
      </c>
      <c r="D672">
        <f t="shared" si="38"/>
        <v>3</v>
      </c>
      <c r="E672" t="str">
        <f t="shared" si="37"/>
        <v>U</v>
      </c>
      <c r="F672" t="str">
        <f t="shared" si="36"/>
        <v>20U</v>
      </c>
    </row>
    <row r="673" spans="1:6" x14ac:dyDescent="0.2">
      <c r="A673">
        <v>21</v>
      </c>
      <c r="D673">
        <f t="shared" si="38"/>
        <v>3</v>
      </c>
      <c r="E673" t="str">
        <f t="shared" si="37"/>
        <v>V</v>
      </c>
      <c r="F673" t="str">
        <f t="shared" si="36"/>
        <v>21V</v>
      </c>
    </row>
    <row r="674" spans="1:6" x14ac:dyDescent="0.2">
      <c r="A674">
        <v>22</v>
      </c>
      <c r="D674">
        <f t="shared" si="38"/>
        <v>3</v>
      </c>
      <c r="E674" t="str">
        <f t="shared" si="37"/>
        <v>W</v>
      </c>
      <c r="F674" t="str">
        <f t="shared" si="36"/>
        <v>22W</v>
      </c>
    </row>
    <row r="675" spans="1:6" x14ac:dyDescent="0.2">
      <c r="A675">
        <v>23</v>
      </c>
      <c r="D675">
        <f t="shared" si="38"/>
        <v>3</v>
      </c>
      <c r="E675" t="str">
        <f t="shared" si="37"/>
        <v>X</v>
      </c>
      <c r="F675" t="str">
        <f t="shared" si="36"/>
        <v>23X</v>
      </c>
    </row>
    <row r="676" spans="1:6" x14ac:dyDescent="0.2">
      <c r="A676">
        <v>24</v>
      </c>
      <c r="D676">
        <f t="shared" si="38"/>
        <v>3</v>
      </c>
      <c r="E676" t="str">
        <f t="shared" si="37"/>
        <v>Y</v>
      </c>
      <c r="F676" t="str">
        <f t="shared" si="36"/>
        <v>24Y</v>
      </c>
    </row>
    <row r="677" spans="1:6" x14ac:dyDescent="0.2">
      <c r="A677">
        <v>25</v>
      </c>
      <c r="D677">
        <f t="shared" si="38"/>
        <v>3</v>
      </c>
      <c r="E677" t="str">
        <f t="shared" si="37"/>
        <v>Z</v>
      </c>
      <c r="F677" t="str">
        <f t="shared" si="36"/>
        <v>25Z</v>
      </c>
    </row>
    <row r="678" spans="1:6" x14ac:dyDescent="0.2">
      <c r="A678">
        <v>0</v>
      </c>
      <c r="D678">
        <f t="shared" si="38"/>
        <v>3</v>
      </c>
      <c r="E678" t="str">
        <f t="shared" si="37"/>
        <v>A</v>
      </c>
      <c r="F678" t="str">
        <f t="shared" si="36"/>
        <v>0A</v>
      </c>
    </row>
    <row r="679" spans="1:6" x14ac:dyDescent="0.2">
      <c r="A679">
        <v>1</v>
      </c>
      <c r="D679">
        <f t="shared" si="38"/>
        <v>3</v>
      </c>
      <c r="E679" t="str">
        <f t="shared" si="37"/>
        <v>B</v>
      </c>
      <c r="F679" t="str">
        <f t="shared" si="36"/>
        <v>1B</v>
      </c>
    </row>
    <row r="680" spans="1:6" x14ac:dyDescent="0.2">
      <c r="A680">
        <v>2</v>
      </c>
      <c r="D680">
        <f t="shared" si="38"/>
        <v>3</v>
      </c>
      <c r="E680" t="str">
        <f t="shared" si="37"/>
        <v>C</v>
      </c>
      <c r="F680" t="str">
        <f t="shared" si="36"/>
        <v>2C</v>
      </c>
    </row>
    <row r="681" spans="1:6" x14ac:dyDescent="0.2">
      <c r="A681">
        <v>3</v>
      </c>
      <c r="D681">
        <f t="shared" si="38"/>
        <v>3</v>
      </c>
      <c r="E681" t="str">
        <f t="shared" si="37"/>
        <v>D</v>
      </c>
      <c r="F681" t="str">
        <f t="shared" si="36"/>
        <v>3D</v>
      </c>
    </row>
    <row r="682" spans="1:6" x14ac:dyDescent="0.2">
      <c r="A682">
        <v>4</v>
      </c>
      <c r="D682">
        <f t="shared" si="38"/>
        <v>3</v>
      </c>
      <c r="E682" t="str">
        <f t="shared" si="37"/>
        <v>E</v>
      </c>
      <c r="F682" t="str">
        <f t="shared" si="36"/>
        <v>4E</v>
      </c>
    </row>
    <row r="683" spans="1:6" x14ac:dyDescent="0.2">
      <c r="A683">
        <v>5</v>
      </c>
      <c r="D683">
        <f t="shared" si="38"/>
        <v>3</v>
      </c>
      <c r="E683" t="str">
        <f t="shared" si="37"/>
        <v>F</v>
      </c>
      <c r="F683" t="str">
        <f t="shared" si="36"/>
        <v>5F</v>
      </c>
    </row>
    <row r="684" spans="1:6" x14ac:dyDescent="0.2">
      <c r="A684">
        <v>6</v>
      </c>
      <c r="D684">
        <f t="shared" si="38"/>
        <v>3</v>
      </c>
      <c r="E684" t="str">
        <f t="shared" si="37"/>
        <v>G</v>
      </c>
      <c r="F684" t="str">
        <f t="shared" si="36"/>
        <v>6G</v>
      </c>
    </row>
    <row r="685" spans="1:6" x14ac:dyDescent="0.2">
      <c r="A685">
        <v>7</v>
      </c>
      <c r="D685">
        <f t="shared" si="38"/>
        <v>3</v>
      </c>
      <c r="E685" t="str">
        <f t="shared" si="37"/>
        <v>H</v>
      </c>
      <c r="F685" t="str">
        <f t="shared" si="36"/>
        <v>7H</v>
      </c>
    </row>
    <row r="686" spans="1:6" x14ac:dyDescent="0.2">
      <c r="A686">
        <v>8</v>
      </c>
      <c r="D686">
        <f t="shared" si="38"/>
        <v>3</v>
      </c>
      <c r="E686" t="str">
        <f t="shared" si="37"/>
        <v>I</v>
      </c>
      <c r="F686" t="str">
        <f t="shared" si="36"/>
        <v>8I</v>
      </c>
    </row>
    <row r="687" spans="1:6" x14ac:dyDescent="0.2">
      <c r="A687">
        <v>9</v>
      </c>
      <c r="D687">
        <f t="shared" si="38"/>
        <v>3</v>
      </c>
      <c r="E687" t="str">
        <f t="shared" si="37"/>
        <v>J</v>
      </c>
      <c r="F687" t="str">
        <f t="shared" si="36"/>
        <v>9J</v>
      </c>
    </row>
    <row r="688" spans="1:6" x14ac:dyDescent="0.2">
      <c r="A688">
        <v>10</v>
      </c>
      <c r="D688">
        <f t="shared" si="38"/>
        <v>3</v>
      </c>
      <c r="E688" t="str">
        <f t="shared" si="37"/>
        <v>K</v>
      </c>
      <c r="F688" t="str">
        <f t="shared" si="36"/>
        <v>10K</v>
      </c>
    </row>
    <row r="689" spans="1:6" x14ac:dyDescent="0.2">
      <c r="A689">
        <v>11</v>
      </c>
      <c r="D689">
        <f t="shared" si="38"/>
        <v>3</v>
      </c>
      <c r="E689" t="str">
        <f t="shared" si="37"/>
        <v>L</v>
      </c>
      <c r="F689" t="str">
        <f t="shared" si="36"/>
        <v>11L</v>
      </c>
    </row>
    <row r="690" spans="1:6" x14ac:dyDescent="0.2">
      <c r="A690">
        <v>12</v>
      </c>
      <c r="D690">
        <f t="shared" si="38"/>
        <v>3</v>
      </c>
      <c r="E690" t="str">
        <f t="shared" si="37"/>
        <v>M</v>
      </c>
      <c r="F690" t="str">
        <f t="shared" si="36"/>
        <v>12M</v>
      </c>
    </row>
    <row r="691" spans="1:6" x14ac:dyDescent="0.2">
      <c r="A691">
        <v>13</v>
      </c>
      <c r="D691">
        <f t="shared" si="38"/>
        <v>3</v>
      </c>
      <c r="E691" t="str">
        <f t="shared" si="37"/>
        <v>N</v>
      </c>
      <c r="F691" t="str">
        <f t="shared" si="36"/>
        <v>13N</v>
      </c>
    </row>
    <row r="692" spans="1:6" x14ac:dyDescent="0.2">
      <c r="A692">
        <v>14</v>
      </c>
      <c r="D692">
        <f t="shared" si="38"/>
        <v>3</v>
      </c>
      <c r="E692" t="str">
        <f t="shared" si="37"/>
        <v>O</v>
      </c>
      <c r="F692" t="str">
        <f t="shared" si="36"/>
        <v>14O</v>
      </c>
    </row>
    <row r="693" spans="1:6" x14ac:dyDescent="0.2">
      <c r="A693">
        <v>15</v>
      </c>
      <c r="D693">
        <f t="shared" si="38"/>
        <v>3</v>
      </c>
      <c r="E693" t="str">
        <f t="shared" si="37"/>
        <v>P</v>
      </c>
      <c r="F693" t="str">
        <f t="shared" si="36"/>
        <v>15P</v>
      </c>
    </row>
    <row r="694" spans="1:6" x14ac:dyDescent="0.2">
      <c r="A694">
        <v>16</v>
      </c>
      <c r="D694">
        <f t="shared" si="38"/>
        <v>3</v>
      </c>
      <c r="E694" t="str">
        <f t="shared" si="37"/>
        <v>Q</v>
      </c>
      <c r="F694" t="str">
        <f t="shared" si="36"/>
        <v>16Q</v>
      </c>
    </row>
    <row r="695" spans="1:6" x14ac:dyDescent="0.2">
      <c r="A695">
        <v>17</v>
      </c>
      <c r="D695">
        <f t="shared" si="38"/>
        <v>3</v>
      </c>
      <c r="E695" t="str">
        <f t="shared" si="37"/>
        <v>R</v>
      </c>
      <c r="F695" t="str">
        <f t="shared" si="36"/>
        <v>17R</v>
      </c>
    </row>
    <row r="696" spans="1:6" x14ac:dyDescent="0.2">
      <c r="A696">
        <v>18</v>
      </c>
      <c r="D696">
        <f t="shared" si="38"/>
        <v>3</v>
      </c>
      <c r="E696" t="str">
        <f t="shared" si="37"/>
        <v>S</v>
      </c>
      <c r="F696" t="str">
        <f t="shared" si="36"/>
        <v>18S</v>
      </c>
    </row>
    <row r="697" spans="1:6" x14ac:dyDescent="0.2">
      <c r="A697">
        <v>19</v>
      </c>
      <c r="D697">
        <f t="shared" si="38"/>
        <v>3</v>
      </c>
      <c r="E697" t="str">
        <f t="shared" si="37"/>
        <v>T</v>
      </c>
      <c r="F697" t="str">
        <f t="shared" si="36"/>
        <v>19T</v>
      </c>
    </row>
    <row r="698" spans="1:6" x14ac:dyDescent="0.2">
      <c r="A698">
        <v>20</v>
      </c>
      <c r="D698">
        <f t="shared" si="38"/>
        <v>3</v>
      </c>
      <c r="E698" t="str">
        <f t="shared" si="37"/>
        <v>U</v>
      </c>
      <c r="F698" t="str">
        <f t="shared" si="36"/>
        <v>20U</v>
      </c>
    </row>
    <row r="699" spans="1:6" x14ac:dyDescent="0.2">
      <c r="A699">
        <v>21</v>
      </c>
      <c r="D699">
        <f t="shared" si="38"/>
        <v>3</v>
      </c>
      <c r="E699" t="str">
        <f t="shared" si="37"/>
        <v>V</v>
      </c>
      <c r="F699" t="str">
        <f t="shared" si="36"/>
        <v>21V</v>
      </c>
    </row>
    <row r="700" spans="1:6" x14ac:dyDescent="0.2">
      <c r="A700">
        <v>22</v>
      </c>
      <c r="D700">
        <f t="shared" si="38"/>
        <v>3</v>
      </c>
      <c r="E700" t="str">
        <f t="shared" si="37"/>
        <v>W</v>
      </c>
      <c r="F700" t="str">
        <f t="shared" si="36"/>
        <v>22W</v>
      </c>
    </row>
    <row r="701" spans="1:6" x14ac:dyDescent="0.2">
      <c r="A701">
        <v>23</v>
      </c>
      <c r="C701" t="s">
        <v>3238</v>
      </c>
      <c r="D701" t="s">
        <v>3238</v>
      </c>
      <c r="E701" t="str">
        <f t="shared" si="37"/>
        <v>X</v>
      </c>
      <c r="F701" t="str">
        <f t="shared" si="36"/>
        <v>23aX</v>
      </c>
    </row>
    <row r="702" spans="1:6" x14ac:dyDescent="0.2">
      <c r="A702">
        <v>24</v>
      </c>
      <c r="E702" t="str">
        <f t="shared" si="37"/>
        <v>Y</v>
      </c>
      <c r="F702" t="str">
        <f t="shared" si="36"/>
        <v>24Y</v>
      </c>
    </row>
    <row r="703" spans="1:6" x14ac:dyDescent="0.2">
      <c r="A703">
        <v>25</v>
      </c>
      <c r="E703" t="str">
        <f t="shared" si="37"/>
        <v>Z</v>
      </c>
      <c r="F703" t="str">
        <f t="shared" si="36"/>
        <v>25Z</v>
      </c>
    </row>
    <row r="704" spans="1:6" x14ac:dyDescent="0.2">
      <c r="A704">
        <v>0</v>
      </c>
      <c r="E704" t="str">
        <f t="shared" si="37"/>
        <v>A</v>
      </c>
      <c r="F704" t="str">
        <f t="shared" si="36"/>
        <v>0A</v>
      </c>
    </row>
    <row r="705" spans="1:6" x14ac:dyDescent="0.2">
      <c r="A705">
        <v>1</v>
      </c>
      <c r="E705" t="str">
        <f t="shared" si="37"/>
        <v>B</v>
      </c>
      <c r="F705" t="str">
        <f t="shared" si="36"/>
        <v>1B</v>
      </c>
    </row>
    <row r="706" spans="1:6" x14ac:dyDescent="0.2">
      <c r="A706">
        <v>2</v>
      </c>
      <c r="E706" t="str">
        <f t="shared" si="37"/>
        <v>C</v>
      </c>
      <c r="F706" t="str">
        <f t="shared" si="36"/>
        <v>2C</v>
      </c>
    </row>
    <row r="707" spans="1:6" x14ac:dyDescent="0.2">
      <c r="A707">
        <v>3</v>
      </c>
      <c r="E707" t="str">
        <f t="shared" si="37"/>
        <v>D</v>
      </c>
      <c r="F707" t="str">
        <f t="shared" ref="F707:F770" si="39">A707&amp;C707&amp;E707</f>
        <v>3D</v>
      </c>
    </row>
    <row r="708" spans="1:6" x14ac:dyDescent="0.2">
      <c r="A708">
        <v>4</v>
      </c>
      <c r="E708" t="str">
        <f t="shared" si="37"/>
        <v>E</v>
      </c>
      <c r="F708" t="str">
        <f t="shared" si="39"/>
        <v>4E</v>
      </c>
    </row>
    <row r="709" spans="1:6" x14ac:dyDescent="0.2">
      <c r="A709">
        <v>5</v>
      </c>
      <c r="E709" t="str">
        <f t="shared" si="37"/>
        <v>F</v>
      </c>
      <c r="F709" t="str">
        <f t="shared" si="39"/>
        <v>5F</v>
      </c>
    </row>
    <row r="710" spans="1:6" x14ac:dyDescent="0.2">
      <c r="A710">
        <v>6</v>
      </c>
      <c r="E710" t="str">
        <f t="shared" si="37"/>
        <v>G</v>
      </c>
      <c r="F710" t="str">
        <f t="shared" si="39"/>
        <v>6G</v>
      </c>
    </row>
    <row r="711" spans="1:6" x14ac:dyDescent="0.2">
      <c r="A711">
        <v>7</v>
      </c>
      <c r="E711" t="str">
        <f t="shared" si="37"/>
        <v>H</v>
      </c>
      <c r="F711" t="str">
        <f t="shared" si="39"/>
        <v>7H</v>
      </c>
    </row>
    <row r="712" spans="1:6" x14ac:dyDescent="0.2">
      <c r="A712">
        <v>8</v>
      </c>
      <c r="E712" t="str">
        <f t="shared" si="37"/>
        <v>I</v>
      </c>
      <c r="F712" t="str">
        <f t="shared" si="39"/>
        <v>8I</v>
      </c>
    </row>
    <row r="713" spans="1:6" x14ac:dyDescent="0.2">
      <c r="A713">
        <v>9</v>
      </c>
      <c r="E713" t="str">
        <f t="shared" si="37"/>
        <v>J</v>
      </c>
      <c r="F713" t="str">
        <f t="shared" si="39"/>
        <v>9J</v>
      </c>
    </row>
    <row r="714" spans="1:6" x14ac:dyDescent="0.2">
      <c r="A714">
        <v>10</v>
      </c>
      <c r="E714" t="str">
        <f t="shared" si="37"/>
        <v>K</v>
      </c>
      <c r="F714" t="str">
        <f t="shared" si="39"/>
        <v>10K</v>
      </c>
    </row>
    <row r="715" spans="1:6" x14ac:dyDescent="0.2">
      <c r="A715">
        <v>11</v>
      </c>
      <c r="E715" t="str">
        <f t="shared" si="37"/>
        <v>L</v>
      </c>
      <c r="F715" t="str">
        <f t="shared" si="39"/>
        <v>11L</v>
      </c>
    </row>
    <row r="716" spans="1:6" x14ac:dyDescent="0.2">
      <c r="A716">
        <v>12</v>
      </c>
      <c r="E716" t="str">
        <f t="shared" si="37"/>
        <v>M</v>
      </c>
      <c r="F716" t="str">
        <f t="shared" si="39"/>
        <v>12M</v>
      </c>
    </row>
    <row r="717" spans="1:6" x14ac:dyDescent="0.2">
      <c r="A717">
        <v>13</v>
      </c>
      <c r="E717" t="str">
        <f t="shared" si="37"/>
        <v>N</v>
      </c>
      <c r="F717" t="str">
        <f t="shared" si="39"/>
        <v>13N</v>
      </c>
    </row>
    <row r="718" spans="1:6" x14ac:dyDescent="0.2">
      <c r="A718">
        <v>14</v>
      </c>
      <c r="E718" t="str">
        <f t="shared" si="37"/>
        <v>O</v>
      </c>
      <c r="F718" t="str">
        <f t="shared" si="39"/>
        <v>14O</v>
      </c>
    </row>
    <row r="719" spans="1:6" x14ac:dyDescent="0.2">
      <c r="A719">
        <v>15</v>
      </c>
      <c r="E719" t="str">
        <f t="shared" si="37"/>
        <v>P</v>
      </c>
      <c r="F719" t="str">
        <f t="shared" si="39"/>
        <v>15P</v>
      </c>
    </row>
    <row r="720" spans="1:6" x14ac:dyDescent="0.2">
      <c r="A720">
        <v>16</v>
      </c>
      <c r="E720" t="str">
        <f t="shared" si="37"/>
        <v>Q</v>
      </c>
      <c r="F720" t="str">
        <f t="shared" si="39"/>
        <v>16Q</v>
      </c>
    </row>
    <row r="721" spans="1:6" x14ac:dyDescent="0.2">
      <c r="A721">
        <v>17</v>
      </c>
      <c r="E721" t="str">
        <f t="shared" si="37"/>
        <v>R</v>
      </c>
      <c r="F721" t="str">
        <f t="shared" si="39"/>
        <v>17R</v>
      </c>
    </row>
    <row r="722" spans="1:6" x14ac:dyDescent="0.2">
      <c r="A722">
        <v>18</v>
      </c>
      <c r="E722" t="str">
        <f t="shared" si="37"/>
        <v>S</v>
      </c>
      <c r="F722" t="str">
        <f t="shared" si="39"/>
        <v>18S</v>
      </c>
    </row>
    <row r="723" spans="1:6" x14ac:dyDescent="0.2">
      <c r="A723">
        <v>19</v>
      </c>
      <c r="E723" t="str">
        <f t="shared" si="37"/>
        <v>T</v>
      </c>
      <c r="F723" t="str">
        <f t="shared" si="39"/>
        <v>19T</v>
      </c>
    </row>
    <row r="724" spans="1:6" x14ac:dyDescent="0.2">
      <c r="A724">
        <v>20</v>
      </c>
      <c r="E724" t="str">
        <f t="shared" si="37"/>
        <v>U</v>
      </c>
      <c r="F724" t="str">
        <f t="shared" si="39"/>
        <v>20U</v>
      </c>
    </row>
    <row r="725" spans="1:6" x14ac:dyDescent="0.2">
      <c r="A725">
        <v>21</v>
      </c>
      <c r="E725" t="str">
        <f t="shared" si="37"/>
        <v>V</v>
      </c>
      <c r="F725" t="str">
        <f t="shared" si="39"/>
        <v>21V</v>
      </c>
    </row>
    <row r="726" spans="1:6" x14ac:dyDescent="0.2">
      <c r="A726">
        <v>22</v>
      </c>
      <c r="E726" t="str">
        <f t="shared" si="37"/>
        <v>W</v>
      </c>
      <c r="F726" t="str">
        <f t="shared" si="39"/>
        <v>22W</v>
      </c>
    </row>
    <row r="727" spans="1:6" x14ac:dyDescent="0.2">
      <c r="A727">
        <v>23</v>
      </c>
      <c r="E727" t="str">
        <f t="shared" si="37"/>
        <v>X</v>
      </c>
      <c r="F727" t="str">
        <f t="shared" si="39"/>
        <v>23X</v>
      </c>
    </row>
    <row r="728" spans="1:6" x14ac:dyDescent="0.2">
      <c r="A728">
        <v>24</v>
      </c>
      <c r="E728" t="str">
        <f t="shared" si="37"/>
        <v>Y</v>
      </c>
      <c r="F728" t="str">
        <f t="shared" si="39"/>
        <v>24Y</v>
      </c>
    </row>
    <row r="729" spans="1:6" x14ac:dyDescent="0.2">
      <c r="A729">
        <v>25</v>
      </c>
      <c r="E729" t="str">
        <f t="shared" si="37"/>
        <v>Z</v>
      </c>
      <c r="F729" t="str">
        <f t="shared" si="39"/>
        <v>25Z</v>
      </c>
    </row>
    <row r="730" spans="1:6" x14ac:dyDescent="0.2">
      <c r="A730">
        <v>0</v>
      </c>
      <c r="E730" t="str">
        <f t="shared" si="37"/>
        <v>A</v>
      </c>
      <c r="F730" t="str">
        <f t="shared" si="39"/>
        <v>0A</v>
      </c>
    </row>
    <row r="731" spans="1:6" x14ac:dyDescent="0.2">
      <c r="A731">
        <v>1</v>
      </c>
      <c r="E731" t="str">
        <f t="shared" si="37"/>
        <v>B</v>
      </c>
      <c r="F731" t="str">
        <f t="shared" si="39"/>
        <v>1B</v>
      </c>
    </row>
    <row r="732" spans="1:6" x14ac:dyDescent="0.2">
      <c r="A732">
        <v>2</v>
      </c>
      <c r="E732" t="str">
        <f t="shared" si="37"/>
        <v>C</v>
      </c>
      <c r="F732" t="str">
        <f t="shared" si="39"/>
        <v>2C</v>
      </c>
    </row>
    <row r="733" spans="1:6" x14ac:dyDescent="0.2">
      <c r="A733">
        <v>3</v>
      </c>
      <c r="E733" t="str">
        <f t="shared" ref="E733:E796" si="40">E707</f>
        <v>D</v>
      </c>
      <c r="F733" t="str">
        <f t="shared" si="39"/>
        <v>3D</v>
      </c>
    </row>
    <row r="734" spans="1:6" x14ac:dyDescent="0.2">
      <c r="A734">
        <v>4</v>
      </c>
      <c r="E734" t="str">
        <f t="shared" si="40"/>
        <v>E</v>
      </c>
      <c r="F734" t="str">
        <f t="shared" si="39"/>
        <v>4E</v>
      </c>
    </row>
    <row r="735" spans="1:6" x14ac:dyDescent="0.2">
      <c r="A735">
        <v>5</v>
      </c>
      <c r="E735" t="str">
        <f t="shared" si="40"/>
        <v>F</v>
      </c>
      <c r="F735" t="str">
        <f t="shared" si="39"/>
        <v>5F</v>
      </c>
    </row>
    <row r="736" spans="1:6" x14ac:dyDescent="0.2">
      <c r="A736">
        <v>6</v>
      </c>
      <c r="E736" t="str">
        <f t="shared" si="40"/>
        <v>G</v>
      </c>
      <c r="F736" t="str">
        <f t="shared" si="39"/>
        <v>6G</v>
      </c>
    </row>
    <row r="737" spans="1:6" x14ac:dyDescent="0.2">
      <c r="A737">
        <v>7</v>
      </c>
      <c r="E737" t="str">
        <f t="shared" si="40"/>
        <v>H</v>
      </c>
      <c r="F737" t="str">
        <f t="shared" si="39"/>
        <v>7H</v>
      </c>
    </row>
    <row r="738" spans="1:6" x14ac:dyDescent="0.2">
      <c r="A738">
        <v>8</v>
      </c>
      <c r="E738" t="str">
        <f t="shared" si="40"/>
        <v>I</v>
      </c>
      <c r="F738" t="str">
        <f t="shared" si="39"/>
        <v>8I</v>
      </c>
    </row>
    <row r="739" spans="1:6" x14ac:dyDescent="0.2">
      <c r="A739">
        <v>9</v>
      </c>
      <c r="E739" t="str">
        <f t="shared" si="40"/>
        <v>J</v>
      </c>
      <c r="F739" t="str">
        <f t="shared" si="39"/>
        <v>9J</v>
      </c>
    </row>
    <row r="740" spans="1:6" x14ac:dyDescent="0.2">
      <c r="A740">
        <v>10</v>
      </c>
      <c r="E740" t="str">
        <f t="shared" si="40"/>
        <v>K</v>
      </c>
      <c r="F740" t="str">
        <f t="shared" si="39"/>
        <v>10K</v>
      </c>
    </row>
    <row r="741" spans="1:6" x14ac:dyDescent="0.2">
      <c r="A741">
        <v>11</v>
      </c>
      <c r="E741" t="str">
        <f t="shared" si="40"/>
        <v>L</v>
      </c>
      <c r="F741" t="str">
        <f t="shared" si="39"/>
        <v>11L</v>
      </c>
    </row>
    <row r="742" spans="1:6" x14ac:dyDescent="0.2">
      <c r="A742">
        <v>12</v>
      </c>
      <c r="E742" t="str">
        <f t="shared" si="40"/>
        <v>M</v>
      </c>
      <c r="F742" t="str">
        <f t="shared" si="39"/>
        <v>12M</v>
      </c>
    </row>
    <row r="743" spans="1:6" x14ac:dyDescent="0.2">
      <c r="A743">
        <v>13</v>
      </c>
      <c r="E743" t="str">
        <f t="shared" si="40"/>
        <v>N</v>
      </c>
      <c r="F743" t="str">
        <f t="shared" si="39"/>
        <v>13N</v>
      </c>
    </row>
    <row r="744" spans="1:6" x14ac:dyDescent="0.2">
      <c r="A744">
        <v>14</v>
      </c>
      <c r="E744" t="str">
        <f t="shared" si="40"/>
        <v>O</v>
      </c>
      <c r="F744" t="str">
        <f t="shared" si="39"/>
        <v>14O</v>
      </c>
    </row>
    <row r="745" spans="1:6" x14ac:dyDescent="0.2">
      <c r="A745">
        <v>15</v>
      </c>
      <c r="E745" t="str">
        <f t="shared" si="40"/>
        <v>P</v>
      </c>
      <c r="F745" t="str">
        <f t="shared" si="39"/>
        <v>15P</v>
      </c>
    </row>
    <row r="746" spans="1:6" x14ac:dyDescent="0.2">
      <c r="A746">
        <v>16</v>
      </c>
      <c r="E746" t="str">
        <f t="shared" si="40"/>
        <v>Q</v>
      </c>
      <c r="F746" t="str">
        <f t="shared" si="39"/>
        <v>16Q</v>
      </c>
    </row>
    <row r="747" spans="1:6" x14ac:dyDescent="0.2">
      <c r="A747">
        <v>17</v>
      </c>
      <c r="E747" t="str">
        <f t="shared" si="40"/>
        <v>R</v>
      </c>
      <c r="F747" t="str">
        <f t="shared" si="39"/>
        <v>17R</v>
      </c>
    </row>
    <row r="748" spans="1:6" x14ac:dyDescent="0.2">
      <c r="A748">
        <v>18</v>
      </c>
      <c r="E748" t="str">
        <f t="shared" si="40"/>
        <v>S</v>
      </c>
      <c r="F748" t="str">
        <f t="shared" si="39"/>
        <v>18S</v>
      </c>
    </row>
    <row r="749" spans="1:6" x14ac:dyDescent="0.2">
      <c r="A749">
        <v>19</v>
      </c>
      <c r="E749" t="str">
        <f t="shared" si="40"/>
        <v>T</v>
      </c>
      <c r="F749" t="str">
        <f t="shared" si="39"/>
        <v>19T</v>
      </c>
    </row>
    <row r="750" spans="1:6" x14ac:dyDescent="0.2">
      <c r="A750">
        <v>20</v>
      </c>
      <c r="E750" t="str">
        <f t="shared" si="40"/>
        <v>U</v>
      </c>
      <c r="F750" t="str">
        <f t="shared" si="39"/>
        <v>20U</v>
      </c>
    </row>
    <row r="751" spans="1:6" x14ac:dyDescent="0.2">
      <c r="A751">
        <v>21</v>
      </c>
      <c r="E751" t="str">
        <f t="shared" si="40"/>
        <v>V</v>
      </c>
      <c r="F751" t="str">
        <f t="shared" si="39"/>
        <v>21V</v>
      </c>
    </row>
    <row r="752" spans="1:6" x14ac:dyDescent="0.2">
      <c r="A752">
        <v>22</v>
      </c>
      <c r="E752" t="str">
        <f t="shared" si="40"/>
        <v>W</v>
      </c>
      <c r="F752" t="str">
        <f t="shared" si="39"/>
        <v>22W</v>
      </c>
    </row>
    <row r="753" spans="1:6" x14ac:dyDescent="0.2">
      <c r="A753">
        <v>23</v>
      </c>
      <c r="E753" t="str">
        <f t="shared" si="40"/>
        <v>X</v>
      </c>
      <c r="F753" t="str">
        <f t="shared" si="39"/>
        <v>23X</v>
      </c>
    </row>
    <row r="754" spans="1:6" x14ac:dyDescent="0.2">
      <c r="A754">
        <v>24</v>
      </c>
      <c r="E754" t="str">
        <f t="shared" si="40"/>
        <v>Y</v>
      </c>
      <c r="F754" t="str">
        <f t="shared" si="39"/>
        <v>24Y</v>
      </c>
    </row>
    <row r="755" spans="1:6" x14ac:dyDescent="0.2">
      <c r="A755">
        <v>25</v>
      </c>
      <c r="E755" t="str">
        <f t="shared" si="40"/>
        <v>Z</v>
      </c>
      <c r="F755" t="str">
        <f t="shared" si="39"/>
        <v>25Z</v>
      </c>
    </row>
    <row r="756" spans="1:6" x14ac:dyDescent="0.2">
      <c r="A756">
        <v>0</v>
      </c>
      <c r="E756" t="str">
        <f t="shared" si="40"/>
        <v>A</v>
      </c>
      <c r="F756" t="str">
        <f t="shared" si="39"/>
        <v>0A</v>
      </c>
    </row>
    <row r="757" spans="1:6" x14ac:dyDescent="0.2">
      <c r="A757">
        <v>1</v>
      </c>
      <c r="E757" t="str">
        <f t="shared" si="40"/>
        <v>B</v>
      </c>
      <c r="F757" t="str">
        <f t="shared" si="39"/>
        <v>1B</v>
      </c>
    </row>
    <row r="758" spans="1:6" x14ac:dyDescent="0.2">
      <c r="A758">
        <v>2</v>
      </c>
      <c r="E758" t="str">
        <f t="shared" si="40"/>
        <v>C</v>
      </c>
      <c r="F758" t="str">
        <f t="shared" si="39"/>
        <v>2C</v>
      </c>
    </row>
    <row r="759" spans="1:6" x14ac:dyDescent="0.2">
      <c r="A759">
        <v>3</v>
      </c>
      <c r="E759" t="str">
        <f t="shared" si="40"/>
        <v>D</v>
      </c>
      <c r="F759" t="str">
        <f t="shared" si="39"/>
        <v>3D</v>
      </c>
    </row>
    <row r="760" spans="1:6" x14ac:dyDescent="0.2">
      <c r="A760">
        <v>4</v>
      </c>
      <c r="E760" t="str">
        <f t="shared" si="40"/>
        <v>E</v>
      </c>
      <c r="F760" t="str">
        <f t="shared" si="39"/>
        <v>4E</v>
      </c>
    </row>
    <row r="761" spans="1:6" x14ac:dyDescent="0.2">
      <c r="A761">
        <v>5</v>
      </c>
      <c r="E761" t="str">
        <f t="shared" si="40"/>
        <v>F</v>
      </c>
      <c r="F761" t="str">
        <f t="shared" si="39"/>
        <v>5F</v>
      </c>
    </row>
    <row r="762" spans="1:6" x14ac:dyDescent="0.2">
      <c r="A762">
        <v>6</v>
      </c>
      <c r="E762" t="str">
        <f t="shared" si="40"/>
        <v>G</v>
      </c>
      <c r="F762" t="str">
        <f t="shared" si="39"/>
        <v>6G</v>
      </c>
    </row>
    <row r="763" spans="1:6" x14ac:dyDescent="0.2">
      <c r="A763">
        <v>7</v>
      </c>
      <c r="E763" t="str">
        <f t="shared" si="40"/>
        <v>H</v>
      </c>
      <c r="F763" t="str">
        <f t="shared" si="39"/>
        <v>7H</v>
      </c>
    </row>
    <row r="764" spans="1:6" x14ac:dyDescent="0.2">
      <c r="A764">
        <v>8</v>
      </c>
      <c r="E764" t="str">
        <f t="shared" si="40"/>
        <v>I</v>
      </c>
      <c r="F764" t="str">
        <f t="shared" si="39"/>
        <v>8I</v>
      </c>
    </row>
    <row r="765" spans="1:6" x14ac:dyDescent="0.2">
      <c r="A765">
        <v>9</v>
      </c>
      <c r="E765" t="str">
        <f t="shared" si="40"/>
        <v>J</v>
      </c>
      <c r="F765" t="str">
        <f t="shared" si="39"/>
        <v>9J</v>
      </c>
    </row>
    <row r="766" spans="1:6" x14ac:dyDescent="0.2">
      <c r="A766">
        <v>10</v>
      </c>
      <c r="E766" t="str">
        <f t="shared" si="40"/>
        <v>K</v>
      </c>
      <c r="F766" t="str">
        <f t="shared" si="39"/>
        <v>10K</v>
      </c>
    </row>
    <row r="767" spans="1:6" x14ac:dyDescent="0.2">
      <c r="A767">
        <v>11</v>
      </c>
      <c r="E767" t="str">
        <f t="shared" si="40"/>
        <v>L</v>
      </c>
      <c r="F767" t="str">
        <f t="shared" si="39"/>
        <v>11L</v>
      </c>
    </row>
    <row r="768" spans="1:6" x14ac:dyDescent="0.2">
      <c r="A768">
        <v>12</v>
      </c>
      <c r="E768" t="str">
        <f t="shared" si="40"/>
        <v>M</v>
      </c>
      <c r="F768" t="str">
        <f t="shared" si="39"/>
        <v>12M</v>
      </c>
    </row>
    <row r="769" spans="1:6" x14ac:dyDescent="0.2">
      <c r="A769">
        <v>13</v>
      </c>
      <c r="E769" t="str">
        <f t="shared" si="40"/>
        <v>N</v>
      </c>
      <c r="F769" t="str">
        <f t="shared" si="39"/>
        <v>13N</v>
      </c>
    </row>
    <row r="770" spans="1:6" x14ac:dyDescent="0.2">
      <c r="A770">
        <v>14</v>
      </c>
      <c r="E770" t="str">
        <f t="shared" si="40"/>
        <v>O</v>
      </c>
      <c r="F770" t="str">
        <f t="shared" si="39"/>
        <v>14O</v>
      </c>
    </row>
    <row r="771" spans="1:6" x14ac:dyDescent="0.2">
      <c r="A771">
        <v>15</v>
      </c>
      <c r="E771" t="str">
        <f t="shared" si="40"/>
        <v>P</v>
      </c>
      <c r="F771" t="str">
        <f t="shared" ref="F771:F834" si="41">A771&amp;C771&amp;E771</f>
        <v>15P</v>
      </c>
    </row>
    <row r="772" spans="1:6" x14ac:dyDescent="0.2">
      <c r="A772">
        <v>16</v>
      </c>
      <c r="E772" t="str">
        <f t="shared" si="40"/>
        <v>Q</v>
      </c>
      <c r="F772" t="str">
        <f t="shared" si="41"/>
        <v>16Q</v>
      </c>
    </row>
    <row r="773" spans="1:6" x14ac:dyDescent="0.2">
      <c r="A773">
        <v>17</v>
      </c>
      <c r="E773" t="str">
        <f t="shared" si="40"/>
        <v>R</v>
      </c>
      <c r="F773" t="str">
        <f t="shared" si="41"/>
        <v>17R</v>
      </c>
    </row>
    <row r="774" spans="1:6" x14ac:dyDescent="0.2">
      <c r="A774">
        <v>18</v>
      </c>
      <c r="E774" t="str">
        <f t="shared" si="40"/>
        <v>S</v>
      </c>
      <c r="F774" t="str">
        <f t="shared" si="41"/>
        <v>18S</v>
      </c>
    </row>
    <row r="775" spans="1:6" x14ac:dyDescent="0.2">
      <c r="A775">
        <v>19</v>
      </c>
      <c r="E775" t="str">
        <f t="shared" si="40"/>
        <v>T</v>
      </c>
      <c r="F775" t="str">
        <f t="shared" si="41"/>
        <v>19T</v>
      </c>
    </row>
    <row r="776" spans="1:6" x14ac:dyDescent="0.2">
      <c r="A776">
        <v>20</v>
      </c>
      <c r="E776" t="str">
        <f t="shared" si="40"/>
        <v>U</v>
      </c>
      <c r="F776" t="str">
        <f t="shared" si="41"/>
        <v>20U</v>
      </c>
    </row>
    <row r="777" spans="1:6" x14ac:dyDescent="0.2">
      <c r="A777">
        <v>21</v>
      </c>
      <c r="E777" t="str">
        <f t="shared" si="40"/>
        <v>V</v>
      </c>
      <c r="F777" t="str">
        <f t="shared" si="41"/>
        <v>21V</v>
      </c>
    </row>
    <row r="778" spans="1:6" x14ac:dyDescent="0.2">
      <c r="A778">
        <v>22</v>
      </c>
      <c r="E778" t="str">
        <f t="shared" si="40"/>
        <v>W</v>
      </c>
      <c r="F778" t="str">
        <f t="shared" si="41"/>
        <v>22W</v>
      </c>
    </row>
    <row r="779" spans="1:6" x14ac:dyDescent="0.2">
      <c r="A779">
        <v>23</v>
      </c>
      <c r="E779" t="str">
        <f t="shared" si="40"/>
        <v>X</v>
      </c>
      <c r="F779" t="str">
        <f t="shared" si="41"/>
        <v>23X</v>
      </c>
    </row>
    <row r="780" spans="1:6" x14ac:dyDescent="0.2">
      <c r="A780">
        <v>24</v>
      </c>
      <c r="E780" t="str">
        <f t="shared" si="40"/>
        <v>Y</v>
      </c>
      <c r="F780" t="str">
        <f t="shared" si="41"/>
        <v>24Y</v>
      </c>
    </row>
    <row r="781" spans="1:6" x14ac:dyDescent="0.2">
      <c r="A781">
        <v>25</v>
      </c>
      <c r="E781" t="str">
        <f t="shared" si="40"/>
        <v>Z</v>
      </c>
      <c r="F781" t="str">
        <f t="shared" si="41"/>
        <v>25Z</v>
      </c>
    </row>
    <row r="782" spans="1:6" x14ac:dyDescent="0.2">
      <c r="A782">
        <v>0</v>
      </c>
      <c r="E782" t="str">
        <f t="shared" si="40"/>
        <v>A</v>
      </c>
      <c r="F782" t="str">
        <f t="shared" si="41"/>
        <v>0A</v>
      </c>
    </row>
    <row r="783" spans="1:6" x14ac:dyDescent="0.2">
      <c r="A783">
        <v>1</v>
      </c>
      <c r="E783" t="str">
        <f t="shared" si="40"/>
        <v>B</v>
      </c>
      <c r="F783" t="str">
        <f t="shared" si="41"/>
        <v>1B</v>
      </c>
    </row>
    <row r="784" spans="1:6" x14ac:dyDescent="0.2">
      <c r="A784">
        <v>2</v>
      </c>
      <c r="E784" t="str">
        <f t="shared" si="40"/>
        <v>C</v>
      </c>
      <c r="F784" t="str">
        <f t="shared" si="41"/>
        <v>2C</v>
      </c>
    </row>
    <row r="785" spans="1:6" x14ac:dyDescent="0.2">
      <c r="A785">
        <v>3</v>
      </c>
      <c r="E785" t="str">
        <f t="shared" si="40"/>
        <v>D</v>
      </c>
      <c r="F785" t="str">
        <f t="shared" si="41"/>
        <v>3D</v>
      </c>
    </row>
    <row r="786" spans="1:6" x14ac:dyDescent="0.2">
      <c r="A786">
        <v>4</v>
      </c>
      <c r="E786" t="str">
        <f t="shared" si="40"/>
        <v>E</v>
      </c>
      <c r="F786" t="str">
        <f t="shared" si="41"/>
        <v>4E</v>
      </c>
    </row>
    <row r="787" spans="1:6" x14ac:dyDescent="0.2">
      <c r="A787">
        <v>5</v>
      </c>
      <c r="E787" t="str">
        <f t="shared" si="40"/>
        <v>F</v>
      </c>
      <c r="F787" t="str">
        <f t="shared" si="41"/>
        <v>5F</v>
      </c>
    </row>
    <row r="788" spans="1:6" x14ac:dyDescent="0.2">
      <c r="A788">
        <v>6</v>
      </c>
      <c r="E788" t="str">
        <f t="shared" si="40"/>
        <v>G</v>
      </c>
      <c r="F788" t="str">
        <f t="shared" si="41"/>
        <v>6G</v>
      </c>
    </row>
    <row r="789" spans="1:6" x14ac:dyDescent="0.2">
      <c r="A789">
        <v>7</v>
      </c>
      <c r="E789" t="str">
        <f t="shared" si="40"/>
        <v>H</v>
      </c>
      <c r="F789" t="str">
        <f t="shared" si="41"/>
        <v>7H</v>
      </c>
    </row>
    <row r="790" spans="1:6" x14ac:dyDescent="0.2">
      <c r="A790">
        <v>8</v>
      </c>
      <c r="E790" t="str">
        <f t="shared" si="40"/>
        <v>I</v>
      </c>
      <c r="F790" t="str">
        <f t="shared" si="41"/>
        <v>8I</v>
      </c>
    </row>
    <row r="791" spans="1:6" x14ac:dyDescent="0.2">
      <c r="A791">
        <v>9</v>
      </c>
      <c r="E791" t="str">
        <f t="shared" si="40"/>
        <v>J</v>
      </c>
      <c r="F791" t="str">
        <f t="shared" si="41"/>
        <v>9J</v>
      </c>
    </row>
    <row r="792" spans="1:6" x14ac:dyDescent="0.2">
      <c r="A792">
        <v>10</v>
      </c>
      <c r="E792" t="str">
        <f t="shared" si="40"/>
        <v>K</v>
      </c>
      <c r="F792" t="str">
        <f t="shared" si="41"/>
        <v>10K</v>
      </c>
    </row>
    <row r="793" spans="1:6" x14ac:dyDescent="0.2">
      <c r="A793">
        <v>11</v>
      </c>
      <c r="E793" t="str">
        <f t="shared" si="40"/>
        <v>L</v>
      </c>
      <c r="F793" t="str">
        <f t="shared" si="41"/>
        <v>11L</v>
      </c>
    </row>
    <row r="794" spans="1:6" x14ac:dyDescent="0.2">
      <c r="A794">
        <v>12</v>
      </c>
      <c r="E794" t="str">
        <f t="shared" si="40"/>
        <v>M</v>
      </c>
      <c r="F794" t="str">
        <f t="shared" si="41"/>
        <v>12M</v>
      </c>
    </row>
    <row r="795" spans="1:6" x14ac:dyDescent="0.2">
      <c r="A795">
        <v>13</v>
      </c>
      <c r="E795" t="str">
        <f t="shared" si="40"/>
        <v>N</v>
      </c>
      <c r="F795" t="str">
        <f t="shared" si="41"/>
        <v>13N</v>
      </c>
    </row>
    <row r="796" spans="1:6" x14ac:dyDescent="0.2">
      <c r="A796">
        <v>14</v>
      </c>
      <c r="E796" t="str">
        <f t="shared" si="40"/>
        <v>O</v>
      </c>
      <c r="F796" t="str">
        <f t="shared" si="41"/>
        <v>14O</v>
      </c>
    </row>
    <row r="797" spans="1:6" x14ac:dyDescent="0.2">
      <c r="A797">
        <v>15</v>
      </c>
      <c r="E797" t="str">
        <f t="shared" ref="E797:E860" si="42">E771</f>
        <v>P</v>
      </c>
      <c r="F797" t="str">
        <f t="shared" si="41"/>
        <v>15P</v>
      </c>
    </row>
    <row r="798" spans="1:6" x14ac:dyDescent="0.2">
      <c r="A798">
        <v>16</v>
      </c>
      <c r="E798" t="str">
        <f t="shared" si="42"/>
        <v>Q</v>
      </c>
      <c r="F798" t="str">
        <f t="shared" si="41"/>
        <v>16Q</v>
      </c>
    </row>
    <row r="799" spans="1:6" x14ac:dyDescent="0.2">
      <c r="A799">
        <v>17</v>
      </c>
      <c r="E799" t="str">
        <f t="shared" si="42"/>
        <v>R</v>
      </c>
      <c r="F799" t="str">
        <f t="shared" si="41"/>
        <v>17R</v>
      </c>
    </row>
    <row r="800" spans="1:6" x14ac:dyDescent="0.2">
      <c r="A800">
        <v>18</v>
      </c>
      <c r="E800" t="str">
        <f t="shared" si="42"/>
        <v>S</v>
      </c>
      <c r="F800" t="str">
        <f t="shared" si="41"/>
        <v>18S</v>
      </c>
    </row>
    <row r="801" spans="1:6" x14ac:dyDescent="0.2">
      <c r="A801">
        <v>19</v>
      </c>
      <c r="E801" t="str">
        <f t="shared" si="42"/>
        <v>T</v>
      </c>
      <c r="F801" t="str">
        <f t="shared" si="41"/>
        <v>19T</v>
      </c>
    </row>
    <row r="802" spans="1:6" x14ac:dyDescent="0.2">
      <c r="A802">
        <v>20</v>
      </c>
      <c r="E802" t="str">
        <f t="shared" si="42"/>
        <v>U</v>
      </c>
      <c r="F802" t="str">
        <f t="shared" si="41"/>
        <v>20U</v>
      </c>
    </row>
    <row r="803" spans="1:6" x14ac:dyDescent="0.2">
      <c r="A803">
        <v>21</v>
      </c>
      <c r="E803" t="str">
        <f t="shared" si="42"/>
        <v>V</v>
      </c>
      <c r="F803" t="str">
        <f t="shared" si="41"/>
        <v>21V</v>
      </c>
    </row>
    <row r="804" spans="1:6" x14ac:dyDescent="0.2">
      <c r="A804">
        <v>22</v>
      </c>
      <c r="E804" t="str">
        <f t="shared" si="42"/>
        <v>W</v>
      </c>
      <c r="F804" t="str">
        <f t="shared" si="41"/>
        <v>22W</v>
      </c>
    </row>
    <row r="805" spans="1:6" x14ac:dyDescent="0.2">
      <c r="A805">
        <v>23</v>
      </c>
      <c r="E805" t="str">
        <f t="shared" si="42"/>
        <v>X</v>
      </c>
      <c r="F805" t="str">
        <f t="shared" si="41"/>
        <v>23X</v>
      </c>
    </row>
    <row r="806" spans="1:6" x14ac:dyDescent="0.2">
      <c r="A806">
        <v>24</v>
      </c>
      <c r="E806" t="str">
        <f t="shared" si="42"/>
        <v>Y</v>
      </c>
      <c r="F806" t="str">
        <f t="shared" si="41"/>
        <v>24Y</v>
      </c>
    </row>
    <row r="807" spans="1:6" x14ac:dyDescent="0.2">
      <c r="A807">
        <v>25</v>
      </c>
      <c r="E807" t="str">
        <f t="shared" si="42"/>
        <v>Z</v>
      </c>
      <c r="F807" t="str">
        <f t="shared" si="41"/>
        <v>25Z</v>
      </c>
    </row>
    <row r="808" spans="1:6" x14ac:dyDescent="0.2">
      <c r="A808">
        <v>0</v>
      </c>
      <c r="E808" t="str">
        <f t="shared" si="42"/>
        <v>A</v>
      </c>
      <c r="F808" t="str">
        <f t="shared" si="41"/>
        <v>0A</v>
      </c>
    </row>
    <row r="809" spans="1:6" x14ac:dyDescent="0.2">
      <c r="A809">
        <v>1</v>
      </c>
      <c r="E809" t="str">
        <f t="shared" si="42"/>
        <v>B</v>
      </c>
      <c r="F809" t="str">
        <f t="shared" si="41"/>
        <v>1B</v>
      </c>
    </row>
    <row r="810" spans="1:6" x14ac:dyDescent="0.2">
      <c r="A810">
        <v>2</v>
      </c>
      <c r="E810" t="str">
        <f t="shared" si="42"/>
        <v>C</v>
      </c>
      <c r="F810" t="str">
        <f t="shared" si="41"/>
        <v>2C</v>
      </c>
    </row>
    <row r="811" spans="1:6" x14ac:dyDescent="0.2">
      <c r="A811">
        <v>3</v>
      </c>
      <c r="E811" t="str">
        <f t="shared" si="42"/>
        <v>D</v>
      </c>
      <c r="F811" t="str">
        <f t="shared" si="41"/>
        <v>3D</v>
      </c>
    </row>
    <row r="812" spans="1:6" x14ac:dyDescent="0.2">
      <c r="A812">
        <v>4</v>
      </c>
      <c r="E812" t="str">
        <f t="shared" si="42"/>
        <v>E</v>
      </c>
      <c r="F812" t="str">
        <f t="shared" si="41"/>
        <v>4E</v>
      </c>
    </row>
    <row r="813" spans="1:6" x14ac:dyDescent="0.2">
      <c r="A813">
        <v>5</v>
      </c>
      <c r="E813" t="str">
        <f t="shared" si="42"/>
        <v>F</v>
      </c>
      <c r="F813" t="str">
        <f t="shared" si="41"/>
        <v>5F</v>
      </c>
    </row>
    <row r="814" spans="1:6" x14ac:dyDescent="0.2">
      <c r="A814">
        <v>6</v>
      </c>
      <c r="E814" t="str">
        <f t="shared" si="42"/>
        <v>G</v>
      </c>
      <c r="F814" t="str">
        <f t="shared" si="41"/>
        <v>6G</v>
      </c>
    </row>
    <row r="815" spans="1:6" x14ac:dyDescent="0.2">
      <c r="A815">
        <v>7</v>
      </c>
      <c r="E815" t="str">
        <f t="shared" si="42"/>
        <v>H</v>
      </c>
      <c r="F815" t="str">
        <f t="shared" si="41"/>
        <v>7H</v>
      </c>
    </row>
    <row r="816" spans="1:6" x14ac:dyDescent="0.2">
      <c r="A816">
        <v>8</v>
      </c>
      <c r="E816" t="str">
        <f t="shared" si="42"/>
        <v>I</v>
      </c>
      <c r="F816" t="str">
        <f t="shared" si="41"/>
        <v>8I</v>
      </c>
    </row>
    <row r="817" spans="1:6" x14ac:dyDescent="0.2">
      <c r="A817">
        <v>9</v>
      </c>
      <c r="E817" t="str">
        <f t="shared" si="42"/>
        <v>J</v>
      </c>
      <c r="F817" t="str">
        <f t="shared" si="41"/>
        <v>9J</v>
      </c>
    </row>
    <row r="818" spans="1:6" x14ac:dyDescent="0.2">
      <c r="A818">
        <v>10</v>
      </c>
      <c r="E818" t="str">
        <f t="shared" si="42"/>
        <v>K</v>
      </c>
      <c r="F818" t="str">
        <f t="shared" si="41"/>
        <v>10K</v>
      </c>
    </row>
    <row r="819" spans="1:6" x14ac:dyDescent="0.2">
      <c r="A819">
        <v>11</v>
      </c>
      <c r="E819" t="str">
        <f t="shared" si="42"/>
        <v>L</v>
      </c>
      <c r="F819" t="str">
        <f t="shared" si="41"/>
        <v>11L</v>
      </c>
    </row>
    <row r="820" spans="1:6" x14ac:dyDescent="0.2">
      <c r="A820">
        <v>12</v>
      </c>
      <c r="E820" t="str">
        <f t="shared" si="42"/>
        <v>M</v>
      </c>
      <c r="F820" t="str">
        <f t="shared" si="41"/>
        <v>12M</v>
      </c>
    </row>
    <row r="821" spans="1:6" x14ac:dyDescent="0.2">
      <c r="A821">
        <v>13</v>
      </c>
      <c r="E821" t="str">
        <f t="shared" si="42"/>
        <v>N</v>
      </c>
      <c r="F821" t="str">
        <f t="shared" si="41"/>
        <v>13N</v>
      </c>
    </row>
    <row r="822" spans="1:6" x14ac:dyDescent="0.2">
      <c r="A822">
        <v>14</v>
      </c>
      <c r="E822" t="str">
        <f t="shared" si="42"/>
        <v>O</v>
      </c>
      <c r="F822" t="str">
        <f t="shared" si="41"/>
        <v>14O</v>
      </c>
    </row>
    <row r="823" spans="1:6" x14ac:dyDescent="0.2">
      <c r="A823">
        <v>15</v>
      </c>
      <c r="E823" t="str">
        <f t="shared" si="42"/>
        <v>P</v>
      </c>
      <c r="F823" t="str">
        <f t="shared" si="41"/>
        <v>15P</v>
      </c>
    </row>
    <row r="824" spans="1:6" x14ac:dyDescent="0.2">
      <c r="A824">
        <v>16</v>
      </c>
      <c r="E824" t="str">
        <f t="shared" si="42"/>
        <v>Q</v>
      </c>
      <c r="F824" t="str">
        <f t="shared" si="41"/>
        <v>16Q</v>
      </c>
    </row>
    <row r="825" spans="1:6" x14ac:dyDescent="0.2">
      <c r="A825">
        <v>17</v>
      </c>
      <c r="E825" t="str">
        <f t="shared" si="42"/>
        <v>R</v>
      </c>
      <c r="F825" t="str">
        <f t="shared" si="41"/>
        <v>17R</v>
      </c>
    </row>
    <row r="826" spans="1:6" x14ac:dyDescent="0.2">
      <c r="A826">
        <v>18</v>
      </c>
      <c r="E826" t="str">
        <f t="shared" si="42"/>
        <v>S</v>
      </c>
      <c r="F826" t="str">
        <f t="shared" si="41"/>
        <v>18S</v>
      </c>
    </row>
    <row r="827" spans="1:6" x14ac:dyDescent="0.2">
      <c r="A827">
        <v>19</v>
      </c>
      <c r="E827" t="str">
        <f t="shared" si="42"/>
        <v>T</v>
      </c>
      <c r="F827" t="str">
        <f t="shared" si="41"/>
        <v>19T</v>
      </c>
    </row>
    <row r="828" spans="1:6" x14ac:dyDescent="0.2">
      <c r="A828">
        <v>20</v>
      </c>
      <c r="E828" t="str">
        <f t="shared" si="42"/>
        <v>U</v>
      </c>
      <c r="F828" t="str">
        <f t="shared" si="41"/>
        <v>20U</v>
      </c>
    </row>
    <row r="829" spans="1:6" x14ac:dyDescent="0.2">
      <c r="A829">
        <v>21</v>
      </c>
      <c r="E829" t="str">
        <f t="shared" si="42"/>
        <v>V</v>
      </c>
      <c r="F829" t="str">
        <f t="shared" si="41"/>
        <v>21V</v>
      </c>
    </row>
    <row r="830" spans="1:6" x14ac:dyDescent="0.2">
      <c r="A830">
        <v>22</v>
      </c>
      <c r="E830" t="str">
        <f t="shared" si="42"/>
        <v>W</v>
      </c>
      <c r="F830" t="str">
        <f t="shared" si="41"/>
        <v>22W</v>
      </c>
    </row>
    <row r="831" spans="1:6" x14ac:dyDescent="0.2">
      <c r="A831">
        <v>23</v>
      </c>
      <c r="E831" t="str">
        <f t="shared" si="42"/>
        <v>X</v>
      </c>
      <c r="F831" t="str">
        <f t="shared" si="41"/>
        <v>23X</v>
      </c>
    </row>
    <row r="832" spans="1:6" x14ac:dyDescent="0.2">
      <c r="A832">
        <v>24</v>
      </c>
      <c r="E832" t="str">
        <f t="shared" si="42"/>
        <v>Y</v>
      </c>
      <c r="F832" t="str">
        <f t="shared" si="41"/>
        <v>24Y</v>
      </c>
    </row>
    <row r="833" spans="1:6" x14ac:dyDescent="0.2">
      <c r="A833">
        <v>25</v>
      </c>
      <c r="E833" t="str">
        <f t="shared" si="42"/>
        <v>Z</v>
      </c>
      <c r="F833" t="str">
        <f t="shared" si="41"/>
        <v>25Z</v>
      </c>
    </row>
    <row r="834" spans="1:6" x14ac:dyDescent="0.2">
      <c r="A834">
        <v>0</v>
      </c>
      <c r="E834" t="str">
        <f t="shared" si="42"/>
        <v>A</v>
      </c>
      <c r="F834" t="str">
        <f t="shared" si="41"/>
        <v>0A</v>
      </c>
    </row>
    <row r="835" spans="1:6" x14ac:dyDescent="0.2">
      <c r="A835">
        <v>1</v>
      </c>
      <c r="E835" t="str">
        <f t="shared" si="42"/>
        <v>B</v>
      </c>
      <c r="F835" t="str">
        <f t="shared" ref="F835:F898" si="43">A835&amp;C835&amp;E835</f>
        <v>1B</v>
      </c>
    </row>
    <row r="836" spans="1:6" x14ac:dyDescent="0.2">
      <c r="A836">
        <v>2</v>
      </c>
      <c r="E836" t="str">
        <f t="shared" si="42"/>
        <v>C</v>
      </c>
      <c r="F836" t="str">
        <f t="shared" si="43"/>
        <v>2C</v>
      </c>
    </row>
    <row r="837" spans="1:6" x14ac:dyDescent="0.2">
      <c r="A837">
        <v>3</v>
      </c>
      <c r="E837" t="str">
        <f t="shared" si="42"/>
        <v>D</v>
      </c>
      <c r="F837" t="str">
        <f t="shared" si="43"/>
        <v>3D</v>
      </c>
    </row>
    <row r="838" spans="1:6" x14ac:dyDescent="0.2">
      <c r="A838">
        <v>4</v>
      </c>
      <c r="E838" t="str">
        <f t="shared" si="42"/>
        <v>E</v>
      </c>
      <c r="F838" t="str">
        <f t="shared" si="43"/>
        <v>4E</v>
      </c>
    </row>
    <row r="839" spans="1:6" x14ac:dyDescent="0.2">
      <c r="A839">
        <v>5</v>
      </c>
      <c r="E839" t="str">
        <f t="shared" si="42"/>
        <v>F</v>
      </c>
      <c r="F839" t="str">
        <f t="shared" si="43"/>
        <v>5F</v>
      </c>
    </row>
    <row r="840" spans="1:6" x14ac:dyDescent="0.2">
      <c r="A840">
        <v>6</v>
      </c>
      <c r="E840" t="str">
        <f t="shared" si="42"/>
        <v>G</v>
      </c>
      <c r="F840" t="str">
        <f t="shared" si="43"/>
        <v>6G</v>
      </c>
    </row>
    <row r="841" spans="1:6" x14ac:dyDescent="0.2">
      <c r="A841">
        <v>7</v>
      </c>
      <c r="E841" t="str">
        <f t="shared" si="42"/>
        <v>H</v>
      </c>
      <c r="F841" t="str">
        <f t="shared" si="43"/>
        <v>7H</v>
      </c>
    </row>
    <row r="842" spans="1:6" x14ac:dyDescent="0.2">
      <c r="A842">
        <v>8</v>
      </c>
      <c r="E842" t="str">
        <f t="shared" si="42"/>
        <v>I</v>
      </c>
      <c r="F842" t="str">
        <f t="shared" si="43"/>
        <v>8I</v>
      </c>
    </row>
    <row r="843" spans="1:6" x14ac:dyDescent="0.2">
      <c r="A843">
        <v>9</v>
      </c>
      <c r="E843" t="str">
        <f t="shared" si="42"/>
        <v>J</v>
      </c>
      <c r="F843" t="str">
        <f t="shared" si="43"/>
        <v>9J</v>
      </c>
    </row>
    <row r="844" spans="1:6" x14ac:dyDescent="0.2">
      <c r="A844">
        <v>10</v>
      </c>
      <c r="E844" t="str">
        <f t="shared" si="42"/>
        <v>K</v>
      </c>
      <c r="F844" t="str">
        <f t="shared" si="43"/>
        <v>10K</v>
      </c>
    </row>
    <row r="845" spans="1:6" x14ac:dyDescent="0.2">
      <c r="A845">
        <v>11</v>
      </c>
      <c r="E845" t="str">
        <f t="shared" si="42"/>
        <v>L</v>
      </c>
      <c r="F845" t="str">
        <f t="shared" si="43"/>
        <v>11L</v>
      </c>
    </row>
    <row r="846" spans="1:6" x14ac:dyDescent="0.2">
      <c r="A846">
        <v>12</v>
      </c>
      <c r="E846" t="str">
        <f t="shared" si="42"/>
        <v>M</v>
      </c>
      <c r="F846" t="str">
        <f t="shared" si="43"/>
        <v>12M</v>
      </c>
    </row>
    <row r="847" spans="1:6" x14ac:dyDescent="0.2">
      <c r="A847">
        <v>13</v>
      </c>
      <c r="E847" t="str">
        <f t="shared" si="42"/>
        <v>N</v>
      </c>
      <c r="F847" t="str">
        <f t="shared" si="43"/>
        <v>13N</v>
      </c>
    </row>
    <row r="848" spans="1:6" x14ac:dyDescent="0.2">
      <c r="A848">
        <v>14</v>
      </c>
      <c r="E848" t="str">
        <f t="shared" si="42"/>
        <v>O</v>
      </c>
      <c r="F848" t="str">
        <f t="shared" si="43"/>
        <v>14O</v>
      </c>
    </row>
    <row r="849" spans="1:6" x14ac:dyDescent="0.2">
      <c r="A849">
        <v>15</v>
      </c>
      <c r="E849" t="str">
        <f t="shared" si="42"/>
        <v>P</v>
      </c>
      <c r="F849" t="str">
        <f t="shared" si="43"/>
        <v>15P</v>
      </c>
    </row>
    <row r="850" spans="1:6" x14ac:dyDescent="0.2">
      <c r="A850">
        <v>16</v>
      </c>
      <c r="E850" t="str">
        <f t="shared" si="42"/>
        <v>Q</v>
      </c>
      <c r="F850" t="str">
        <f t="shared" si="43"/>
        <v>16Q</v>
      </c>
    </row>
    <row r="851" spans="1:6" x14ac:dyDescent="0.2">
      <c r="A851">
        <v>17</v>
      </c>
      <c r="E851" t="str">
        <f t="shared" si="42"/>
        <v>R</v>
      </c>
      <c r="F851" t="str">
        <f t="shared" si="43"/>
        <v>17R</v>
      </c>
    </row>
    <row r="852" spans="1:6" x14ac:dyDescent="0.2">
      <c r="A852">
        <v>18</v>
      </c>
      <c r="E852" t="str">
        <f t="shared" si="42"/>
        <v>S</v>
      </c>
      <c r="F852" t="str">
        <f t="shared" si="43"/>
        <v>18S</v>
      </c>
    </row>
    <row r="853" spans="1:6" x14ac:dyDescent="0.2">
      <c r="A853">
        <v>19</v>
      </c>
      <c r="E853" t="str">
        <f t="shared" si="42"/>
        <v>T</v>
      </c>
      <c r="F853" t="str">
        <f t="shared" si="43"/>
        <v>19T</v>
      </c>
    </row>
    <row r="854" spans="1:6" x14ac:dyDescent="0.2">
      <c r="A854">
        <v>20</v>
      </c>
      <c r="E854" t="str">
        <f t="shared" si="42"/>
        <v>U</v>
      </c>
      <c r="F854" t="str">
        <f t="shared" si="43"/>
        <v>20U</v>
      </c>
    </row>
    <row r="855" spans="1:6" x14ac:dyDescent="0.2">
      <c r="A855">
        <v>21</v>
      </c>
      <c r="E855" t="str">
        <f t="shared" si="42"/>
        <v>V</v>
      </c>
      <c r="F855" t="str">
        <f t="shared" si="43"/>
        <v>21V</v>
      </c>
    </row>
    <row r="856" spans="1:6" x14ac:dyDescent="0.2">
      <c r="A856">
        <v>22</v>
      </c>
      <c r="E856" t="str">
        <f t="shared" si="42"/>
        <v>W</v>
      </c>
      <c r="F856" t="str">
        <f t="shared" si="43"/>
        <v>22W</v>
      </c>
    </row>
    <row r="857" spans="1:6" x14ac:dyDescent="0.2">
      <c r="A857">
        <v>23</v>
      </c>
      <c r="E857" t="str">
        <f t="shared" si="42"/>
        <v>X</v>
      </c>
      <c r="F857" t="str">
        <f t="shared" si="43"/>
        <v>23X</v>
      </c>
    </row>
    <row r="858" spans="1:6" x14ac:dyDescent="0.2">
      <c r="A858">
        <v>24</v>
      </c>
      <c r="E858" t="str">
        <f t="shared" si="42"/>
        <v>Y</v>
      </c>
      <c r="F858" t="str">
        <f t="shared" si="43"/>
        <v>24Y</v>
      </c>
    </row>
    <row r="859" spans="1:6" x14ac:dyDescent="0.2">
      <c r="A859">
        <v>25</v>
      </c>
      <c r="E859" t="str">
        <f t="shared" si="42"/>
        <v>Z</v>
      </c>
      <c r="F859" t="str">
        <f t="shared" si="43"/>
        <v>25Z</v>
      </c>
    </row>
    <row r="860" spans="1:6" x14ac:dyDescent="0.2">
      <c r="A860">
        <v>0</v>
      </c>
      <c r="E860" t="str">
        <f t="shared" si="42"/>
        <v>A</v>
      </c>
      <c r="F860" t="str">
        <f t="shared" si="43"/>
        <v>0A</v>
      </c>
    </row>
    <row r="861" spans="1:6" x14ac:dyDescent="0.2">
      <c r="A861">
        <v>1</v>
      </c>
      <c r="E861" t="str">
        <f t="shared" ref="E861:E924" si="44">E835</f>
        <v>B</v>
      </c>
      <c r="F861" t="str">
        <f t="shared" si="43"/>
        <v>1B</v>
      </c>
    </row>
    <row r="862" spans="1:6" x14ac:dyDescent="0.2">
      <c r="A862">
        <v>2</v>
      </c>
      <c r="E862" t="str">
        <f t="shared" si="44"/>
        <v>C</v>
      </c>
      <c r="F862" t="str">
        <f t="shared" si="43"/>
        <v>2C</v>
      </c>
    </row>
    <row r="863" spans="1:6" x14ac:dyDescent="0.2">
      <c r="A863">
        <v>3</v>
      </c>
      <c r="E863" t="str">
        <f t="shared" si="44"/>
        <v>D</v>
      </c>
      <c r="F863" t="str">
        <f t="shared" si="43"/>
        <v>3D</v>
      </c>
    </row>
    <row r="864" spans="1:6" x14ac:dyDescent="0.2">
      <c r="A864">
        <v>4</v>
      </c>
      <c r="E864" t="str">
        <f t="shared" si="44"/>
        <v>E</v>
      </c>
      <c r="F864" t="str">
        <f t="shared" si="43"/>
        <v>4E</v>
      </c>
    </row>
    <row r="865" spans="1:6" x14ac:dyDescent="0.2">
      <c r="A865">
        <v>5</v>
      </c>
      <c r="E865" t="str">
        <f t="shared" si="44"/>
        <v>F</v>
      </c>
      <c r="F865" t="str">
        <f t="shared" si="43"/>
        <v>5F</v>
      </c>
    </row>
    <row r="866" spans="1:6" x14ac:dyDescent="0.2">
      <c r="A866">
        <v>6</v>
      </c>
      <c r="E866" t="str">
        <f t="shared" si="44"/>
        <v>G</v>
      </c>
      <c r="F866" t="str">
        <f t="shared" si="43"/>
        <v>6G</v>
      </c>
    </row>
    <row r="867" spans="1:6" x14ac:dyDescent="0.2">
      <c r="A867">
        <v>7</v>
      </c>
      <c r="E867" t="str">
        <f t="shared" si="44"/>
        <v>H</v>
      </c>
      <c r="F867" t="str">
        <f t="shared" si="43"/>
        <v>7H</v>
      </c>
    </row>
    <row r="868" spans="1:6" x14ac:dyDescent="0.2">
      <c r="A868">
        <v>8</v>
      </c>
      <c r="E868" t="str">
        <f t="shared" si="44"/>
        <v>I</v>
      </c>
      <c r="F868" t="str">
        <f t="shared" si="43"/>
        <v>8I</v>
      </c>
    </row>
    <row r="869" spans="1:6" x14ac:dyDescent="0.2">
      <c r="A869">
        <v>9</v>
      </c>
      <c r="E869" t="str">
        <f t="shared" si="44"/>
        <v>J</v>
      </c>
      <c r="F869" t="str">
        <f t="shared" si="43"/>
        <v>9J</v>
      </c>
    </row>
    <row r="870" spans="1:6" x14ac:dyDescent="0.2">
      <c r="A870">
        <v>10</v>
      </c>
      <c r="E870" t="str">
        <f t="shared" si="44"/>
        <v>K</v>
      </c>
      <c r="F870" t="str">
        <f t="shared" si="43"/>
        <v>10K</v>
      </c>
    </row>
    <row r="871" spans="1:6" x14ac:dyDescent="0.2">
      <c r="A871">
        <v>11</v>
      </c>
      <c r="E871" t="str">
        <f t="shared" si="44"/>
        <v>L</v>
      </c>
      <c r="F871" t="str">
        <f t="shared" si="43"/>
        <v>11L</v>
      </c>
    </row>
    <row r="872" spans="1:6" x14ac:dyDescent="0.2">
      <c r="A872">
        <v>12</v>
      </c>
      <c r="E872" t="str">
        <f t="shared" si="44"/>
        <v>M</v>
      </c>
      <c r="F872" t="str">
        <f t="shared" si="43"/>
        <v>12M</v>
      </c>
    </row>
    <row r="873" spans="1:6" x14ac:dyDescent="0.2">
      <c r="A873">
        <v>13</v>
      </c>
      <c r="E873" t="str">
        <f t="shared" si="44"/>
        <v>N</v>
      </c>
      <c r="F873" t="str">
        <f t="shared" si="43"/>
        <v>13N</v>
      </c>
    </row>
    <row r="874" spans="1:6" x14ac:dyDescent="0.2">
      <c r="A874">
        <v>14</v>
      </c>
      <c r="E874" t="str">
        <f t="shared" si="44"/>
        <v>O</v>
      </c>
      <c r="F874" t="str">
        <f t="shared" si="43"/>
        <v>14O</v>
      </c>
    </row>
    <row r="875" spans="1:6" x14ac:dyDescent="0.2">
      <c r="A875">
        <v>15</v>
      </c>
      <c r="E875" t="str">
        <f t="shared" si="44"/>
        <v>P</v>
      </c>
      <c r="F875" t="str">
        <f t="shared" si="43"/>
        <v>15P</v>
      </c>
    </row>
    <row r="876" spans="1:6" x14ac:dyDescent="0.2">
      <c r="A876">
        <v>16</v>
      </c>
      <c r="E876" t="str">
        <f t="shared" si="44"/>
        <v>Q</v>
      </c>
      <c r="F876" t="str">
        <f t="shared" si="43"/>
        <v>16Q</v>
      </c>
    </row>
    <row r="877" spans="1:6" x14ac:dyDescent="0.2">
      <c r="A877">
        <v>17</v>
      </c>
      <c r="E877" t="str">
        <f t="shared" si="44"/>
        <v>R</v>
      </c>
      <c r="F877" t="str">
        <f t="shared" si="43"/>
        <v>17R</v>
      </c>
    </row>
    <row r="878" spans="1:6" x14ac:dyDescent="0.2">
      <c r="A878">
        <v>18</v>
      </c>
      <c r="E878" t="str">
        <f t="shared" si="44"/>
        <v>S</v>
      </c>
      <c r="F878" t="str">
        <f t="shared" si="43"/>
        <v>18S</v>
      </c>
    </row>
    <row r="879" spans="1:6" x14ac:dyDescent="0.2">
      <c r="A879">
        <v>19</v>
      </c>
      <c r="E879" t="str">
        <f t="shared" si="44"/>
        <v>T</v>
      </c>
      <c r="F879" t="str">
        <f t="shared" si="43"/>
        <v>19T</v>
      </c>
    </row>
    <row r="880" spans="1:6" x14ac:dyDescent="0.2">
      <c r="A880">
        <v>20</v>
      </c>
      <c r="E880" t="str">
        <f t="shared" si="44"/>
        <v>U</v>
      </c>
      <c r="F880" t="str">
        <f t="shared" si="43"/>
        <v>20U</v>
      </c>
    </row>
    <row r="881" spans="1:6" x14ac:dyDescent="0.2">
      <c r="A881">
        <v>21</v>
      </c>
      <c r="E881" t="str">
        <f t="shared" si="44"/>
        <v>V</v>
      </c>
      <c r="F881" t="str">
        <f t="shared" si="43"/>
        <v>21V</v>
      </c>
    </row>
    <row r="882" spans="1:6" x14ac:dyDescent="0.2">
      <c r="A882">
        <v>22</v>
      </c>
      <c r="E882" t="str">
        <f t="shared" si="44"/>
        <v>W</v>
      </c>
      <c r="F882" t="str">
        <f t="shared" si="43"/>
        <v>22W</v>
      </c>
    </row>
    <row r="883" spans="1:6" x14ac:dyDescent="0.2">
      <c r="A883">
        <v>23</v>
      </c>
      <c r="E883" t="str">
        <f t="shared" si="44"/>
        <v>X</v>
      </c>
      <c r="F883" t="str">
        <f t="shared" si="43"/>
        <v>23X</v>
      </c>
    </row>
    <row r="884" spans="1:6" x14ac:dyDescent="0.2">
      <c r="A884">
        <v>24</v>
      </c>
      <c r="E884" t="str">
        <f t="shared" si="44"/>
        <v>Y</v>
      </c>
      <c r="F884" t="str">
        <f t="shared" si="43"/>
        <v>24Y</v>
      </c>
    </row>
    <row r="885" spans="1:6" x14ac:dyDescent="0.2">
      <c r="A885">
        <v>25</v>
      </c>
      <c r="E885" t="str">
        <f t="shared" si="44"/>
        <v>Z</v>
      </c>
      <c r="F885" t="str">
        <f t="shared" si="43"/>
        <v>25Z</v>
      </c>
    </row>
    <row r="886" spans="1:6" x14ac:dyDescent="0.2">
      <c r="A886">
        <v>0</v>
      </c>
      <c r="E886" t="str">
        <f t="shared" si="44"/>
        <v>A</v>
      </c>
      <c r="F886" t="str">
        <f t="shared" si="43"/>
        <v>0A</v>
      </c>
    </row>
    <row r="887" spans="1:6" x14ac:dyDescent="0.2">
      <c r="A887">
        <v>1</v>
      </c>
      <c r="E887" t="str">
        <f t="shared" si="44"/>
        <v>B</v>
      </c>
      <c r="F887" t="str">
        <f t="shared" si="43"/>
        <v>1B</v>
      </c>
    </row>
    <row r="888" spans="1:6" x14ac:dyDescent="0.2">
      <c r="A888">
        <v>2</v>
      </c>
      <c r="E888" t="str">
        <f t="shared" si="44"/>
        <v>C</v>
      </c>
      <c r="F888" t="str">
        <f t="shared" si="43"/>
        <v>2C</v>
      </c>
    </row>
    <row r="889" spans="1:6" x14ac:dyDescent="0.2">
      <c r="A889">
        <v>3</v>
      </c>
      <c r="E889" t="str">
        <f t="shared" si="44"/>
        <v>D</v>
      </c>
      <c r="F889" t="str">
        <f t="shared" si="43"/>
        <v>3D</v>
      </c>
    </row>
    <row r="890" spans="1:6" x14ac:dyDescent="0.2">
      <c r="A890">
        <v>4</v>
      </c>
      <c r="E890" t="str">
        <f t="shared" si="44"/>
        <v>E</v>
      </c>
      <c r="F890" t="str">
        <f t="shared" si="43"/>
        <v>4E</v>
      </c>
    </row>
    <row r="891" spans="1:6" x14ac:dyDescent="0.2">
      <c r="A891">
        <v>5</v>
      </c>
      <c r="E891" t="str">
        <f t="shared" si="44"/>
        <v>F</v>
      </c>
      <c r="F891" t="str">
        <f t="shared" si="43"/>
        <v>5F</v>
      </c>
    </row>
    <row r="892" spans="1:6" x14ac:dyDescent="0.2">
      <c r="A892">
        <v>6</v>
      </c>
      <c r="E892" t="str">
        <f t="shared" si="44"/>
        <v>G</v>
      </c>
      <c r="F892" t="str">
        <f t="shared" si="43"/>
        <v>6G</v>
      </c>
    </row>
    <row r="893" spans="1:6" x14ac:dyDescent="0.2">
      <c r="A893">
        <v>7</v>
      </c>
      <c r="E893" t="str">
        <f t="shared" si="44"/>
        <v>H</v>
      </c>
      <c r="F893" t="str">
        <f t="shared" si="43"/>
        <v>7H</v>
      </c>
    </row>
    <row r="894" spans="1:6" x14ac:dyDescent="0.2">
      <c r="A894">
        <v>8</v>
      </c>
      <c r="E894" t="str">
        <f t="shared" si="44"/>
        <v>I</v>
      </c>
      <c r="F894" t="str">
        <f t="shared" si="43"/>
        <v>8I</v>
      </c>
    </row>
    <row r="895" spans="1:6" x14ac:dyDescent="0.2">
      <c r="A895">
        <v>9</v>
      </c>
      <c r="E895" t="str">
        <f t="shared" si="44"/>
        <v>J</v>
      </c>
      <c r="F895" t="str">
        <f t="shared" si="43"/>
        <v>9J</v>
      </c>
    </row>
    <row r="896" spans="1:6" x14ac:dyDescent="0.2">
      <c r="A896">
        <v>10</v>
      </c>
      <c r="E896" t="str">
        <f t="shared" si="44"/>
        <v>K</v>
      </c>
      <c r="F896" t="str">
        <f t="shared" si="43"/>
        <v>10K</v>
      </c>
    </row>
    <row r="897" spans="1:6" x14ac:dyDescent="0.2">
      <c r="A897">
        <v>11</v>
      </c>
      <c r="E897" t="str">
        <f t="shared" si="44"/>
        <v>L</v>
      </c>
      <c r="F897" t="str">
        <f t="shared" si="43"/>
        <v>11L</v>
      </c>
    </row>
    <row r="898" spans="1:6" x14ac:dyDescent="0.2">
      <c r="A898">
        <v>12</v>
      </c>
      <c r="E898" t="str">
        <f t="shared" si="44"/>
        <v>M</v>
      </c>
      <c r="F898" t="str">
        <f t="shared" si="43"/>
        <v>12M</v>
      </c>
    </row>
    <row r="899" spans="1:6" x14ac:dyDescent="0.2">
      <c r="A899">
        <v>13</v>
      </c>
      <c r="E899" t="str">
        <f t="shared" si="44"/>
        <v>N</v>
      </c>
      <c r="F899" t="str">
        <f t="shared" ref="F899:F962" si="45">A899&amp;C899&amp;E899</f>
        <v>13N</v>
      </c>
    </row>
    <row r="900" spans="1:6" x14ac:dyDescent="0.2">
      <c r="A900">
        <v>14</v>
      </c>
      <c r="E900" t="str">
        <f t="shared" si="44"/>
        <v>O</v>
      </c>
      <c r="F900" t="str">
        <f t="shared" si="45"/>
        <v>14O</v>
      </c>
    </row>
    <row r="901" spans="1:6" x14ac:dyDescent="0.2">
      <c r="A901">
        <v>15</v>
      </c>
      <c r="E901" t="str">
        <f t="shared" si="44"/>
        <v>P</v>
      </c>
      <c r="F901" t="str">
        <f t="shared" si="45"/>
        <v>15P</v>
      </c>
    </row>
    <row r="902" spans="1:6" x14ac:dyDescent="0.2">
      <c r="A902">
        <v>16</v>
      </c>
      <c r="E902" t="str">
        <f t="shared" si="44"/>
        <v>Q</v>
      </c>
      <c r="F902" t="str">
        <f t="shared" si="45"/>
        <v>16Q</v>
      </c>
    </row>
    <row r="903" spans="1:6" x14ac:dyDescent="0.2">
      <c r="A903">
        <v>17</v>
      </c>
      <c r="E903" t="str">
        <f t="shared" si="44"/>
        <v>R</v>
      </c>
      <c r="F903" t="str">
        <f t="shared" si="45"/>
        <v>17R</v>
      </c>
    </row>
    <row r="904" spans="1:6" x14ac:dyDescent="0.2">
      <c r="A904">
        <v>18</v>
      </c>
      <c r="E904" t="str">
        <f t="shared" si="44"/>
        <v>S</v>
      </c>
      <c r="F904" t="str">
        <f t="shared" si="45"/>
        <v>18S</v>
      </c>
    </row>
    <row r="905" spans="1:6" x14ac:dyDescent="0.2">
      <c r="A905">
        <v>19</v>
      </c>
      <c r="E905" t="str">
        <f t="shared" si="44"/>
        <v>T</v>
      </c>
      <c r="F905" t="str">
        <f t="shared" si="45"/>
        <v>19T</v>
      </c>
    </row>
    <row r="906" spans="1:6" x14ac:dyDescent="0.2">
      <c r="A906">
        <v>20</v>
      </c>
      <c r="E906" t="str">
        <f t="shared" si="44"/>
        <v>U</v>
      </c>
      <c r="F906" t="str">
        <f t="shared" si="45"/>
        <v>20U</v>
      </c>
    </row>
    <row r="907" spans="1:6" x14ac:dyDescent="0.2">
      <c r="A907">
        <v>21</v>
      </c>
      <c r="E907" t="str">
        <f t="shared" si="44"/>
        <v>V</v>
      </c>
      <c r="F907" t="str">
        <f t="shared" si="45"/>
        <v>21V</v>
      </c>
    </row>
    <row r="908" spans="1:6" x14ac:dyDescent="0.2">
      <c r="A908">
        <v>22</v>
      </c>
      <c r="E908" t="str">
        <f t="shared" si="44"/>
        <v>W</v>
      </c>
      <c r="F908" t="str">
        <f t="shared" si="45"/>
        <v>22W</v>
      </c>
    </row>
    <row r="909" spans="1:6" x14ac:dyDescent="0.2">
      <c r="A909">
        <v>23</v>
      </c>
      <c r="E909" t="str">
        <f t="shared" si="44"/>
        <v>X</v>
      </c>
      <c r="F909" t="str">
        <f t="shared" si="45"/>
        <v>23X</v>
      </c>
    </row>
    <row r="910" spans="1:6" x14ac:dyDescent="0.2">
      <c r="A910">
        <v>24</v>
      </c>
      <c r="E910" t="str">
        <f t="shared" si="44"/>
        <v>Y</v>
      </c>
      <c r="F910" t="str">
        <f t="shared" si="45"/>
        <v>24Y</v>
      </c>
    </row>
    <row r="911" spans="1:6" x14ac:dyDescent="0.2">
      <c r="A911">
        <v>25</v>
      </c>
      <c r="E911" t="str">
        <f t="shared" si="44"/>
        <v>Z</v>
      </c>
      <c r="F911" t="str">
        <f t="shared" si="45"/>
        <v>25Z</v>
      </c>
    </row>
    <row r="912" spans="1:6" x14ac:dyDescent="0.2">
      <c r="A912">
        <v>0</v>
      </c>
      <c r="E912" t="str">
        <f t="shared" si="44"/>
        <v>A</v>
      </c>
      <c r="F912" t="str">
        <f t="shared" si="45"/>
        <v>0A</v>
      </c>
    </row>
    <row r="913" spans="1:6" x14ac:dyDescent="0.2">
      <c r="A913">
        <v>1</v>
      </c>
      <c r="E913" t="str">
        <f t="shared" si="44"/>
        <v>B</v>
      </c>
      <c r="F913" t="str">
        <f t="shared" si="45"/>
        <v>1B</v>
      </c>
    </row>
    <row r="914" spans="1:6" x14ac:dyDescent="0.2">
      <c r="A914">
        <v>2</v>
      </c>
      <c r="E914" t="str">
        <f t="shared" si="44"/>
        <v>C</v>
      </c>
      <c r="F914" t="str">
        <f t="shared" si="45"/>
        <v>2C</v>
      </c>
    </row>
    <row r="915" spans="1:6" x14ac:dyDescent="0.2">
      <c r="A915">
        <v>3</v>
      </c>
      <c r="E915" t="str">
        <f t="shared" si="44"/>
        <v>D</v>
      </c>
      <c r="F915" t="str">
        <f t="shared" si="45"/>
        <v>3D</v>
      </c>
    </row>
    <row r="916" spans="1:6" x14ac:dyDescent="0.2">
      <c r="A916">
        <v>4</v>
      </c>
      <c r="E916" t="str">
        <f t="shared" si="44"/>
        <v>E</v>
      </c>
      <c r="F916" t="str">
        <f t="shared" si="45"/>
        <v>4E</v>
      </c>
    </row>
    <row r="917" spans="1:6" x14ac:dyDescent="0.2">
      <c r="A917">
        <v>5</v>
      </c>
      <c r="E917" t="str">
        <f t="shared" si="44"/>
        <v>F</v>
      </c>
      <c r="F917" t="str">
        <f t="shared" si="45"/>
        <v>5F</v>
      </c>
    </row>
    <row r="918" spans="1:6" x14ac:dyDescent="0.2">
      <c r="A918">
        <v>6</v>
      </c>
      <c r="E918" t="str">
        <f t="shared" si="44"/>
        <v>G</v>
      </c>
      <c r="F918" t="str">
        <f t="shared" si="45"/>
        <v>6G</v>
      </c>
    </row>
    <row r="919" spans="1:6" x14ac:dyDescent="0.2">
      <c r="A919">
        <v>7</v>
      </c>
      <c r="E919" t="str">
        <f t="shared" si="44"/>
        <v>H</v>
      </c>
      <c r="F919" t="str">
        <f t="shared" si="45"/>
        <v>7H</v>
      </c>
    </row>
    <row r="920" spans="1:6" x14ac:dyDescent="0.2">
      <c r="A920">
        <v>8</v>
      </c>
      <c r="E920" t="str">
        <f t="shared" si="44"/>
        <v>I</v>
      </c>
      <c r="F920" t="str">
        <f t="shared" si="45"/>
        <v>8I</v>
      </c>
    </row>
    <row r="921" spans="1:6" x14ac:dyDescent="0.2">
      <c r="A921">
        <v>9</v>
      </c>
      <c r="E921" t="str">
        <f t="shared" si="44"/>
        <v>J</v>
      </c>
      <c r="F921" t="str">
        <f t="shared" si="45"/>
        <v>9J</v>
      </c>
    </row>
    <row r="922" spans="1:6" x14ac:dyDescent="0.2">
      <c r="A922">
        <v>10</v>
      </c>
      <c r="E922" t="str">
        <f t="shared" si="44"/>
        <v>K</v>
      </c>
      <c r="F922" t="str">
        <f t="shared" si="45"/>
        <v>10K</v>
      </c>
    </row>
    <row r="923" spans="1:6" x14ac:dyDescent="0.2">
      <c r="A923">
        <v>11</v>
      </c>
      <c r="E923" t="str">
        <f t="shared" si="44"/>
        <v>L</v>
      </c>
      <c r="F923" t="str">
        <f t="shared" si="45"/>
        <v>11L</v>
      </c>
    </row>
    <row r="924" spans="1:6" x14ac:dyDescent="0.2">
      <c r="A924">
        <v>12</v>
      </c>
      <c r="E924" t="str">
        <f t="shared" si="44"/>
        <v>M</v>
      </c>
      <c r="F924" t="str">
        <f t="shared" si="45"/>
        <v>12M</v>
      </c>
    </row>
    <row r="925" spans="1:6" x14ac:dyDescent="0.2">
      <c r="A925">
        <v>13</v>
      </c>
      <c r="E925" t="str">
        <f t="shared" ref="E925:E988" si="46">E899</f>
        <v>N</v>
      </c>
      <c r="F925" t="str">
        <f t="shared" si="45"/>
        <v>13N</v>
      </c>
    </row>
    <row r="926" spans="1:6" x14ac:dyDescent="0.2">
      <c r="A926">
        <v>14</v>
      </c>
      <c r="E926" t="str">
        <f t="shared" si="46"/>
        <v>O</v>
      </c>
      <c r="F926" t="str">
        <f t="shared" si="45"/>
        <v>14O</v>
      </c>
    </row>
    <row r="927" spans="1:6" x14ac:dyDescent="0.2">
      <c r="A927">
        <v>15</v>
      </c>
      <c r="E927" t="str">
        <f t="shared" si="46"/>
        <v>P</v>
      </c>
      <c r="F927" t="str">
        <f t="shared" si="45"/>
        <v>15P</v>
      </c>
    </row>
    <row r="928" spans="1:6" x14ac:dyDescent="0.2">
      <c r="A928">
        <v>16</v>
      </c>
      <c r="E928" t="str">
        <f t="shared" si="46"/>
        <v>Q</v>
      </c>
      <c r="F928" t="str">
        <f t="shared" si="45"/>
        <v>16Q</v>
      </c>
    </row>
    <row r="929" spans="1:6" x14ac:dyDescent="0.2">
      <c r="A929">
        <v>17</v>
      </c>
      <c r="E929" t="str">
        <f t="shared" si="46"/>
        <v>R</v>
      </c>
      <c r="F929" t="str">
        <f t="shared" si="45"/>
        <v>17R</v>
      </c>
    </row>
    <row r="930" spans="1:6" x14ac:dyDescent="0.2">
      <c r="A930">
        <v>18</v>
      </c>
      <c r="E930" t="str">
        <f t="shared" si="46"/>
        <v>S</v>
      </c>
      <c r="F930" t="str">
        <f t="shared" si="45"/>
        <v>18S</v>
      </c>
    </row>
    <row r="931" spans="1:6" x14ac:dyDescent="0.2">
      <c r="A931">
        <v>19</v>
      </c>
      <c r="E931" t="str">
        <f t="shared" si="46"/>
        <v>T</v>
      </c>
      <c r="F931" t="str">
        <f t="shared" si="45"/>
        <v>19T</v>
      </c>
    </row>
    <row r="932" spans="1:6" x14ac:dyDescent="0.2">
      <c r="A932">
        <v>20</v>
      </c>
      <c r="E932" t="str">
        <f t="shared" si="46"/>
        <v>U</v>
      </c>
      <c r="F932" t="str">
        <f t="shared" si="45"/>
        <v>20U</v>
      </c>
    </row>
    <row r="933" spans="1:6" x14ac:dyDescent="0.2">
      <c r="A933">
        <v>21</v>
      </c>
      <c r="E933" t="str">
        <f t="shared" si="46"/>
        <v>V</v>
      </c>
      <c r="F933" t="str">
        <f t="shared" si="45"/>
        <v>21V</v>
      </c>
    </row>
    <row r="934" spans="1:6" x14ac:dyDescent="0.2">
      <c r="A934">
        <v>22</v>
      </c>
      <c r="E934" t="str">
        <f t="shared" si="46"/>
        <v>W</v>
      </c>
      <c r="F934" t="str">
        <f t="shared" si="45"/>
        <v>22W</v>
      </c>
    </row>
    <row r="935" spans="1:6" x14ac:dyDescent="0.2">
      <c r="A935">
        <v>23</v>
      </c>
      <c r="E935" t="str">
        <f t="shared" si="46"/>
        <v>X</v>
      </c>
      <c r="F935" t="str">
        <f t="shared" si="45"/>
        <v>23X</v>
      </c>
    </row>
    <row r="936" spans="1:6" x14ac:dyDescent="0.2">
      <c r="A936">
        <v>24</v>
      </c>
      <c r="E936" t="str">
        <f t="shared" si="46"/>
        <v>Y</v>
      </c>
      <c r="F936" t="str">
        <f t="shared" si="45"/>
        <v>24Y</v>
      </c>
    </row>
    <row r="937" spans="1:6" x14ac:dyDescent="0.2">
      <c r="A937">
        <v>25</v>
      </c>
      <c r="E937" t="str">
        <f t="shared" si="46"/>
        <v>Z</v>
      </c>
      <c r="F937" t="str">
        <f t="shared" si="45"/>
        <v>25Z</v>
      </c>
    </row>
    <row r="938" spans="1:6" x14ac:dyDescent="0.2">
      <c r="A938">
        <v>0</v>
      </c>
      <c r="E938" t="str">
        <f t="shared" si="46"/>
        <v>A</v>
      </c>
      <c r="F938" t="str">
        <f t="shared" si="45"/>
        <v>0A</v>
      </c>
    </row>
    <row r="939" spans="1:6" x14ac:dyDescent="0.2">
      <c r="A939">
        <v>1</v>
      </c>
      <c r="E939" t="str">
        <f t="shared" si="46"/>
        <v>B</v>
      </c>
      <c r="F939" t="str">
        <f t="shared" si="45"/>
        <v>1B</v>
      </c>
    </row>
    <row r="940" spans="1:6" x14ac:dyDescent="0.2">
      <c r="A940">
        <v>2</v>
      </c>
      <c r="E940" t="str">
        <f t="shared" si="46"/>
        <v>C</v>
      </c>
      <c r="F940" t="str">
        <f t="shared" si="45"/>
        <v>2C</v>
      </c>
    </row>
    <row r="941" spans="1:6" x14ac:dyDescent="0.2">
      <c r="A941">
        <v>3</v>
      </c>
      <c r="E941" t="str">
        <f t="shared" si="46"/>
        <v>D</v>
      </c>
      <c r="F941" t="str">
        <f t="shared" si="45"/>
        <v>3D</v>
      </c>
    </row>
    <row r="942" spans="1:6" x14ac:dyDescent="0.2">
      <c r="A942">
        <v>4</v>
      </c>
      <c r="E942" t="str">
        <f t="shared" si="46"/>
        <v>E</v>
      </c>
      <c r="F942" t="str">
        <f t="shared" si="45"/>
        <v>4E</v>
      </c>
    </row>
    <row r="943" spans="1:6" x14ac:dyDescent="0.2">
      <c r="A943">
        <v>5</v>
      </c>
      <c r="E943" t="str">
        <f t="shared" si="46"/>
        <v>F</v>
      </c>
      <c r="F943" t="str">
        <f t="shared" si="45"/>
        <v>5F</v>
      </c>
    </row>
    <row r="944" spans="1:6" x14ac:dyDescent="0.2">
      <c r="A944">
        <v>6</v>
      </c>
      <c r="E944" t="str">
        <f t="shared" si="46"/>
        <v>G</v>
      </c>
      <c r="F944" t="str">
        <f t="shared" si="45"/>
        <v>6G</v>
      </c>
    </row>
    <row r="945" spans="1:6" x14ac:dyDescent="0.2">
      <c r="A945">
        <v>7</v>
      </c>
      <c r="E945" t="str">
        <f t="shared" si="46"/>
        <v>H</v>
      </c>
      <c r="F945" t="str">
        <f t="shared" si="45"/>
        <v>7H</v>
      </c>
    </row>
    <row r="946" spans="1:6" x14ac:dyDescent="0.2">
      <c r="A946">
        <v>8</v>
      </c>
      <c r="E946" t="str">
        <f t="shared" si="46"/>
        <v>I</v>
      </c>
      <c r="F946" t="str">
        <f t="shared" si="45"/>
        <v>8I</v>
      </c>
    </row>
    <row r="947" spans="1:6" x14ac:dyDescent="0.2">
      <c r="A947">
        <v>9</v>
      </c>
      <c r="E947" t="str">
        <f t="shared" si="46"/>
        <v>J</v>
      </c>
      <c r="F947" t="str">
        <f t="shared" si="45"/>
        <v>9J</v>
      </c>
    </row>
    <row r="948" spans="1:6" x14ac:dyDescent="0.2">
      <c r="A948">
        <v>10</v>
      </c>
      <c r="E948" t="str">
        <f t="shared" si="46"/>
        <v>K</v>
      </c>
      <c r="F948" t="str">
        <f t="shared" si="45"/>
        <v>10K</v>
      </c>
    </row>
    <row r="949" spans="1:6" x14ac:dyDescent="0.2">
      <c r="A949">
        <v>11</v>
      </c>
      <c r="E949" t="str">
        <f t="shared" si="46"/>
        <v>L</v>
      </c>
      <c r="F949" t="str">
        <f t="shared" si="45"/>
        <v>11L</v>
      </c>
    </row>
    <row r="950" spans="1:6" x14ac:dyDescent="0.2">
      <c r="A950">
        <v>12</v>
      </c>
      <c r="E950" t="str">
        <f t="shared" si="46"/>
        <v>M</v>
      </c>
      <c r="F950" t="str">
        <f t="shared" si="45"/>
        <v>12M</v>
      </c>
    </row>
    <row r="951" spans="1:6" x14ac:dyDescent="0.2">
      <c r="A951">
        <v>13</v>
      </c>
      <c r="E951" t="str">
        <f t="shared" si="46"/>
        <v>N</v>
      </c>
      <c r="F951" t="str">
        <f t="shared" si="45"/>
        <v>13N</v>
      </c>
    </row>
    <row r="952" spans="1:6" x14ac:dyDescent="0.2">
      <c r="A952">
        <v>14</v>
      </c>
      <c r="E952" t="str">
        <f t="shared" si="46"/>
        <v>O</v>
      </c>
      <c r="F952" t="str">
        <f t="shared" si="45"/>
        <v>14O</v>
      </c>
    </row>
    <row r="953" spans="1:6" x14ac:dyDescent="0.2">
      <c r="A953">
        <v>15</v>
      </c>
      <c r="E953" t="str">
        <f t="shared" si="46"/>
        <v>P</v>
      </c>
      <c r="F953" t="str">
        <f t="shared" si="45"/>
        <v>15P</v>
      </c>
    </row>
    <row r="954" spans="1:6" x14ac:dyDescent="0.2">
      <c r="A954">
        <v>16</v>
      </c>
      <c r="E954" t="str">
        <f t="shared" si="46"/>
        <v>Q</v>
      </c>
      <c r="F954" t="str">
        <f t="shared" si="45"/>
        <v>16Q</v>
      </c>
    </row>
    <row r="955" spans="1:6" x14ac:dyDescent="0.2">
      <c r="A955">
        <v>17</v>
      </c>
      <c r="E955" t="str">
        <f t="shared" si="46"/>
        <v>R</v>
      </c>
      <c r="F955" t="str">
        <f t="shared" si="45"/>
        <v>17R</v>
      </c>
    </row>
    <row r="956" spans="1:6" x14ac:dyDescent="0.2">
      <c r="A956">
        <v>18</v>
      </c>
      <c r="E956" t="str">
        <f t="shared" si="46"/>
        <v>S</v>
      </c>
      <c r="F956" t="str">
        <f t="shared" si="45"/>
        <v>18S</v>
      </c>
    </row>
    <row r="957" spans="1:6" x14ac:dyDescent="0.2">
      <c r="A957">
        <v>19</v>
      </c>
      <c r="E957" t="str">
        <f t="shared" si="46"/>
        <v>T</v>
      </c>
      <c r="F957" t="str">
        <f t="shared" si="45"/>
        <v>19T</v>
      </c>
    </row>
    <row r="958" spans="1:6" x14ac:dyDescent="0.2">
      <c r="A958">
        <v>20</v>
      </c>
      <c r="E958" t="str">
        <f t="shared" si="46"/>
        <v>U</v>
      </c>
      <c r="F958" t="str">
        <f t="shared" si="45"/>
        <v>20U</v>
      </c>
    </row>
    <row r="959" spans="1:6" x14ac:dyDescent="0.2">
      <c r="A959">
        <v>21</v>
      </c>
      <c r="E959" t="str">
        <f t="shared" si="46"/>
        <v>V</v>
      </c>
      <c r="F959" t="str">
        <f t="shared" si="45"/>
        <v>21V</v>
      </c>
    </row>
    <row r="960" spans="1:6" x14ac:dyDescent="0.2">
      <c r="A960">
        <v>22</v>
      </c>
      <c r="E960" t="str">
        <f t="shared" si="46"/>
        <v>W</v>
      </c>
      <c r="F960" t="str">
        <f t="shared" si="45"/>
        <v>22W</v>
      </c>
    </row>
    <row r="961" spans="1:6" x14ac:dyDescent="0.2">
      <c r="A961">
        <v>23</v>
      </c>
      <c r="E961" t="str">
        <f t="shared" si="46"/>
        <v>X</v>
      </c>
      <c r="F961" t="str">
        <f t="shared" si="45"/>
        <v>23X</v>
      </c>
    </row>
    <row r="962" spans="1:6" x14ac:dyDescent="0.2">
      <c r="A962">
        <v>24</v>
      </c>
      <c r="E962" t="str">
        <f t="shared" si="46"/>
        <v>Y</v>
      </c>
      <c r="F962" t="str">
        <f t="shared" si="45"/>
        <v>24Y</v>
      </c>
    </row>
    <row r="963" spans="1:6" x14ac:dyDescent="0.2">
      <c r="A963">
        <v>25</v>
      </c>
      <c r="E963" t="str">
        <f t="shared" si="46"/>
        <v>Z</v>
      </c>
      <c r="F963" t="str">
        <f t="shared" ref="F963:F1026" si="47">A963&amp;C963&amp;E963</f>
        <v>25Z</v>
      </c>
    </row>
    <row r="964" spans="1:6" x14ac:dyDescent="0.2">
      <c r="A964">
        <v>0</v>
      </c>
      <c r="E964" t="str">
        <f t="shared" si="46"/>
        <v>A</v>
      </c>
      <c r="F964" t="str">
        <f t="shared" si="47"/>
        <v>0A</v>
      </c>
    </row>
    <row r="965" spans="1:6" x14ac:dyDescent="0.2">
      <c r="A965">
        <v>1</v>
      </c>
      <c r="E965" t="str">
        <f t="shared" si="46"/>
        <v>B</v>
      </c>
      <c r="F965" t="str">
        <f t="shared" si="47"/>
        <v>1B</v>
      </c>
    </row>
    <row r="966" spans="1:6" x14ac:dyDescent="0.2">
      <c r="A966">
        <v>2</v>
      </c>
      <c r="E966" t="str">
        <f t="shared" si="46"/>
        <v>C</v>
      </c>
      <c r="F966" t="str">
        <f t="shared" si="47"/>
        <v>2C</v>
      </c>
    </row>
    <row r="967" spans="1:6" x14ac:dyDescent="0.2">
      <c r="A967">
        <v>3</v>
      </c>
      <c r="E967" t="str">
        <f t="shared" si="46"/>
        <v>D</v>
      </c>
      <c r="F967" t="str">
        <f t="shared" si="47"/>
        <v>3D</v>
      </c>
    </row>
    <row r="968" spans="1:6" x14ac:dyDescent="0.2">
      <c r="A968">
        <v>4</v>
      </c>
      <c r="E968" t="str">
        <f t="shared" si="46"/>
        <v>E</v>
      </c>
      <c r="F968" t="str">
        <f t="shared" si="47"/>
        <v>4E</v>
      </c>
    </row>
    <row r="969" spans="1:6" x14ac:dyDescent="0.2">
      <c r="A969">
        <v>5</v>
      </c>
      <c r="E969" t="str">
        <f t="shared" si="46"/>
        <v>F</v>
      </c>
      <c r="F969" t="str">
        <f t="shared" si="47"/>
        <v>5F</v>
      </c>
    </row>
    <row r="970" spans="1:6" x14ac:dyDescent="0.2">
      <c r="A970">
        <v>6</v>
      </c>
      <c r="E970" t="str">
        <f t="shared" si="46"/>
        <v>G</v>
      </c>
      <c r="F970" t="str">
        <f t="shared" si="47"/>
        <v>6G</v>
      </c>
    </row>
    <row r="971" spans="1:6" x14ac:dyDescent="0.2">
      <c r="A971">
        <v>7</v>
      </c>
      <c r="E971" t="str">
        <f t="shared" si="46"/>
        <v>H</v>
      </c>
      <c r="F971" t="str">
        <f t="shared" si="47"/>
        <v>7H</v>
      </c>
    </row>
    <row r="972" spans="1:6" x14ac:dyDescent="0.2">
      <c r="A972">
        <v>8</v>
      </c>
      <c r="E972" t="str">
        <f t="shared" si="46"/>
        <v>I</v>
      </c>
      <c r="F972" t="str">
        <f t="shared" si="47"/>
        <v>8I</v>
      </c>
    </row>
    <row r="973" spans="1:6" x14ac:dyDescent="0.2">
      <c r="A973">
        <v>9</v>
      </c>
      <c r="E973" t="str">
        <f t="shared" si="46"/>
        <v>J</v>
      </c>
      <c r="F973" t="str">
        <f t="shared" si="47"/>
        <v>9J</v>
      </c>
    </row>
    <row r="974" spans="1:6" x14ac:dyDescent="0.2">
      <c r="A974">
        <v>10</v>
      </c>
      <c r="E974" t="str">
        <f t="shared" si="46"/>
        <v>K</v>
      </c>
      <c r="F974" t="str">
        <f t="shared" si="47"/>
        <v>10K</v>
      </c>
    </row>
    <row r="975" spans="1:6" x14ac:dyDescent="0.2">
      <c r="A975">
        <v>11</v>
      </c>
      <c r="E975" t="str">
        <f t="shared" si="46"/>
        <v>L</v>
      </c>
      <c r="F975" t="str">
        <f t="shared" si="47"/>
        <v>11L</v>
      </c>
    </row>
    <row r="976" spans="1:6" x14ac:dyDescent="0.2">
      <c r="A976">
        <v>12</v>
      </c>
      <c r="E976" t="str">
        <f t="shared" si="46"/>
        <v>M</v>
      </c>
      <c r="F976" t="str">
        <f t="shared" si="47"/>
        <v>12M</v>
      </c>
    </row>
    <row r="977" spans="1:6" x14ac:dyDescent="0.2">
      <c r="A977">
        <v>13</v>
      </c>
      <c r="E977" t="str">
        <f t="shared" si="46"/>
        <v>N</v>
      </c>
      <c r="F977" t="str">
        <f t="shared" si="47"/>
        <v>13N</v>
      </c>
    </row>
    <row r="978" spans="1:6" x14ac:dyDescent="0.2">
      <c r="A978">
        <v>14</v>
      </c>
      <c r="E978" t="str">
        <f t="shared" si="46"/>
        <v>O</v>
      </c>
      <c r="F978" t="str">
        <f t="shared" si="47"/>
        <v>14O</v>
      </c>
    </row>
    <row r="979" spans="1:6" x14ac:dyDescent="0.2">
      <c r="A979">
        <v>15</v>
      </c>
      <c r="E979" t="str">
        <f t="shared" si="46"/>
        <v>P</v>
      </c>
      <c r="F979" t="str">
        <f t="shared" si="47"/>
        <v>15P</v>
      </c>
    </row>
    <row r="980" spans="1:6" x14ac:dyDescent="0.2">
      <c r="A980">
        <v>16</v>
      </c>
      <c r="E980" t="str">
        <f t="shared" si="46"/>
        <v>Q</v>
      </c>
      <c r="F980" t="str">
        <f t="shared" si="47"/>
        <v>16Q</v>
      </c>
    </row>
    <row r="981" spans="1:6" x14ac:dyDescent="0.2">
      <c r="A981">
        <v>17</v>
      </c>
      <c r="E981" t="str">
        <f t="shared" si="46"/>
        <v>R</v>
      </c>
      <c r="F981" t="str">
        <f t="shared" si="47"/>
        <v>17R</v>
      </c>
    </row>
    <row r="982" spans="1:6" x14ac:dyDescent="0.2">
      <c r="A982">
        <v>18</v>
      </c>
      <c r="E982" t="str">
        <f t="shared" si="46"/>
        <v>S</v>
      </c>
      <c r="F982" t="str">
        <f t="shared" si="47"/>
        <v>18S</v>
      </c>
    </row>
    <row r="983" spans="1:6" x14ac:dyDescent="0.2">
      <c r="A983">
        <v>19</v>
      </c>
      <c r="E983" t="str">
        <f t="shared" si="46"/>
        <v>T</v>
      </c>
      <c r="F983" t="str">
        <f t="shared" si="47"/>
        <v>19T</v>
      </c>
    </row>
    <row r="984" spans="1:6" x14ac:dyDescent="0.2">
      <c r="A984">
        <v>20</v>
      </c>
      <c r="E984" t="str">
        <f t="shared" si="46"/>
        <v>U</v>
      </c>
      <c r="F984" t="str">
        <f t="shared" si="47"/>
        <v>20U</v>
      </c>
    </row>
    <row r="985" spans="1:6" x14ac:dyDescent="0.2">
      <c r="A985">
        <v>21</v>
      </c>
      <c r="E985" t="str">
        <f t="shared" si="46"/>
        <v>V</v>
      </c>
      <c r="F985" t="str">
        <f t="shared" si="47"/>
        <v>21V</v>
      </c>
    </row>
    <row r="986" spans="1:6" x14ac:dyDescent="0.2">
      <c r="A986">
        <v>22</v>
      </c>
      <c r="E986" t="str">
        <f t="shared" si="46"/>
        <v>W</v>
      </c>
      <c r="F986" t="str">
        <f t="shared" si="47"/>
        <v>22W</v>
      </c>
    </row>
    <row r="987" spans="1:6" x14ac:dyDescent="0.2">
      <c r="A987">
        <v>23</v>
      </c>
      <c r="E987" t="str">
        <f t="shared" si="46"/>
        <v>X</v>
      </c>
      <c r="F987" t="str">
        <f t="shared" si="47"/>
        <v>23X</v>
      </c>
    </row>
    <row r="988" spans="1:6" x14ac:dyDescent="0.2">
      <c r="A988">
        <v>24</v>
      </c>
      <c r="E988" t="str">
        <f t="shared" si="46"/>
        <v>Y</v>
      </c>
      <c r="F988" t="str">
        <f t="shared" si="47"/>
        <v>24Y</v>
      </c>
    </row>
    <row r="989" spans="1:6" x14ac:dyDescent="0.2">
      <c r="A989">
        <v>25</v>
      </c>
      <c r="E989" t="str">
        <f t="shared" ref="E989:E1052" si="48">E963</f>
        <v>Z</v>
      </c>
      <c r="F989" t="str">
        <f t="shared" si="47"/>
        <v>25Z</v>
      </c>
    </row>
    <row r="990" spans="1:6" x14ac:dyDescent="0.2">
      <c r="A990">
        <v>0</v>
      </c>
      <c r="E990" t="str">
        <f t="shared" si="48"/>
        <v>A</v>
      </c>
      <c r="F990" t="str">
        <f t="shared" si="47"/>
        <v>0A</v>
      </c>
    </row>
    <row r="991" spans="1:6" x14ac:dyDescent="0.2">
      <c r="A991">
        <v>1</v>
      </c>
      <c r="E991" t="str">
        <f t="shared" si="48"/>
        <v>B</v>
      </c>
      <c r="F991" t="str">
        <f t="shared" si="47"/>
        <v>1B</v>
      </c>
    </row>
    <row r="992" spans="1:6" x14ac:dyDescent="0.2">
      <c r="A992">
        <v>2</v>
      </c>
      <c r="E992" t="str">
        <f t="shared" si="48"/>
        <v>C</v>
      </c>
      <c r="F992" t="str">
        <f t="shared" si="47"/>
        <v>2C</v>
      </c>
    </row>
    <row r="993" spans="1:6" x14ac:dyDescent="0.2">
      <c r="A993">
        <v>3</v>
      </c>
      <c r="E993" t="str">
        <f t="shared" si="48"/>
        <v>D</v>
      </c>
      <c r="F993" t="str">
        <f t="shared" si="47"/>
        <v>3D</v>
      </c>
    </row>
    <row r="994" spans="1:6" x14ac:dyDescent="0.2">
      <c r="A994">
        <v>4</v>
      </c>
      <c r="E994" t="str">
        <f t="shared" si="48"/>
        <v>E</v>
      </c>
      <c r="F994" t="str">
        <f t="shared" si="47"/>
        <v>4E</v>
      </c>
    </row>
    <row r="995" spans="1:6" x14ac:dyDescent="0.2">
      <c r="A995">
        <v>5</v>
      </c>
      <c r="E995" t="str">
        <f t="shared" si="48"/>
        <v>F</v>
      </c>
      <c r="F995" t="str">
        <f t="shared" si="47"/>
        <v>5F</v>
      </c>
    </row>
    <row r="996" spans="1:6" x14ac:dyDescent="0.2">
      <c r="A996">
        <v>6</v>
      </c>
      <c r="E996" t="str">
        <f t="shared" si="48"/>
        <v>G</v>
      </c>
      <c r="F996" t="str">
        <f t="shared" si="47"/>
        <v>6G</v>
      </c>
    </row>
    <row r="997" spans="1:6" x14ac:dyDescent="0.2">
      <c r="A997">
        <v>7</v>
      </c>
      <c r="E997" t="str">
        <f t="shared" si="48"/>
        <v>H</v>
      </c>
      <c r="F997" t="str">
        <f t="shared" si="47"/>
        <v>7H</v>
      </c>
    </row>
    <row r="998" spans="1:6" x14ac:dyDescent="0.2">
      <c r="A998">
        <v>8</v>
      </c>
      <c r="E998" t="str">
        <f t="shared" si="48"/>
        <v>I</v>
      </c>
      <c r="F998" t="str">
        <f t="shared" si="47"/>
        <v>8I</v>
      </c>
    </row>
    <row r="999" spans="1:6" x14ac:dyDescent="0.2">
      <c r="A999">
        <v>9</v>
      </c>
      <c r="E999" t="str">
        <f t="shared" si="48"/>
        <v>J</v>
      </c>
      <c r="F999" t="str">
        <f t="shared" si="47"/>
        <v>9J</v>
      </c>
    </row>
    <row r="1000" spans="1:6" x14ac:dyDescent="0.2">
      <c r="A1000">
        <v>10</v>
      </c>
      <c r="E1000" t="str">
        <f t="shared" si="48"/>
        <v>K</v>
      </c>
      <c r="F1000" t="str">
        <f t="shared" si="47"/>
        <v>10K</v>
      </c>
    </row>
    <row r="1001" spans="1:6" x14ac:dyDescent="0.2">
      <c r="A1001">
        <v>11</v>
      </c>
      <c r="E1001" t="str">
        <f t="shared" si="48"/>
        <v>L</v>
      </c>
      <c r="F1001" t="str">
        <f t="shared" si="47"/>
        <v>11L</v>
      </c>
    </row>
    <row r="1002" spans="1:6" x14ac:dyDescent="0.2">
      <c r="A1002">
        <v>12</v>
      </c>
      <c r="E1002" t="str">
        <f t="shared" si="48"/>
        <v>M</v>
      </c>
      <c r="F1002" t="str">
        <f t="shared" si="47"/>
        <v>12M</v>
      </c>
    </row>
    <row r="1003" spans="1:6" x14ac:dyDescent="0.2">
      <c r="A1003">
        <v>13</v>
      </c>
      <c r="E1003" t="str">
        <f t="shared" si="48"/>
        <v>N</v>
      </c>
      <c r="F1003" t="str">
        <f t="shared" si="47"/>
        <v>13N</v>
      </c>
    </row>
    <row r="1004" spans="1:6" x14ac:dyDescent="0.2">
      <c r="A1004">
        <v>14</v>
      </c>
      <c r="E1004" t="str">
        <f t="shared" si="48"/>
        <v>O</v>
      </c>
      <c r="F1004" t="str">
        <f t="shared" si="47"/>
        <v>14O</v>
      </c>
    </row>
    <row r="1005" spans="1:6" x14ac:dyDescent="0.2">
      <c r="A1005">
        <v>15</v>
      </c>
      <c r="E1005" t="str">
        <f t="shared" si="48"/>
        <v>P</v>
      </c>
      <c r="F1005" t="str">
        <f t="shared" si="47"/>
        <v>15P</v>
      </c>
    </row>
    <row r="1006" spans="1:6" x14ac:dyDescent="0.2">
      <c r="A1006">
        <v>16</v>
      </c>
      <c r="E1006" t="str">
        <f t="shared" si="48"/>
        <v>Q</v>
      </c>
      <c r="F1006" t="str">
        <f t="shared" si="47"/>
        <v>16Q</v>
      </c>
    </row>
    <row r="1007" spans="1:6" x14ac:dyDescent="0.2">
      <c r="A1007">
        <v>17</v>
      </c>
      <c r="E1007" t="str">
        <f t="shared" si="48"/>
        <v>R</v>
      </c>
      <c r="F1007" t="str">
        <f t="shared" si="47"/>
        <v>17R</v>
      </c>
    </row>
    <row r="1008" spans="1:6" x14ac:dyDescent="0.2">
      <c r="A1008">
        <v>18</v>
      </c>
      <c r="E1008" t="str">
        <f t="shared" si="48"/>
        <v>S</v>
      </c>
      <c r="F1008" t="str">
        <f t="shared" si="47"/>
        <v>18S</v>
      </c>
    </row>
    <row r="1009" spans="1:6" x14ac:dyDescent="0.2">
      <c r="A1009">
        <v>19</v>
      </c>
      <c r="E1009" t="str">
        <f t="shared" si="48"/>
        <v>T</v>
      </c>
      <c r="F1009" t="str">
        <f t="shared" si="47"/>
        <v>19T</v>
      </c>
    </row>
    <row r="1010" spans="1:6" x14ac:dyDescent="0.2">
      <c r="A1010">
        <v>20</v>
      </c>
      <c r="E1010" t="str">
        <f t="shared" si="48"/>
        <v>U</v>
      </c>
      <c r="F1010" t="str">
        <f t="shared" si="47"/>
        <v>20U</v>
      </c>
    </row>
    <row r="1011" spans="1:6" x14ac:dyDescent="0.2">
      <c r="A1011">
        <v>21</v>
      </c>
      <c r="E1011" t="str">
        <f t="shared" si="48"/>
        <v>V</v>
      </c>
      <c r="F1011" t="str">
        <f t="shared" si="47"/>
        <v>21V</v>
      </c>
    </row>
    <row r="1012" spans="1:6" x14ac:dyDescent="0.2">
      <c r="A1012">
        <v>22</v>
      </c>
      <c r="E1012" t="str">
        <f t="shared" si="48"/>
        <v>W</v>
      </c>
      <c r="F1012" t="str">
        <f t="shared" si="47"/>
        <v>22W</v>
      </c>
    </row>
    <row r="1013" spans="1:6" x14ac:dyDescent="0.2">
      <c r="A1013">
        <v>23</v>
      </c>
      <c r="E1013" t="str">
        <f t="shared" si="48"/>
        <v>X</v>
      </c>
      <c r="F1013" t="str">
        <f t="shared" si="47"/>
        <v>23X</v>
      </c>
    </row>
    <row r="1014" spans="1:6" x14ac:dyDescent="0.2">
      <c r="A1014">
        <v>24</v>
      </c>
      <c r="E1014" t="str">
        <f t="shared" si="48"/>
        <v>Y</v>
      </c>
      <c r="F1014" t="str">
        <f t="shared" si="47"/>
        <v>24Y</v>
      </c>
    </row>
    <row r="1015" spans="1:6" x14ac:dyDescent="0.2">
      <c r="A1015">
        <v>25</v>
      </c>
      <c r="E1015" t="str">
        <f t="shared" si="48"/>
        <v>Z</v>
      </c>
      <c r="F1015" t="str">
        <f t="shared" si="47"/>
        <v>25Z</v>
      </c>
    </row>
    <row r="1016" spans="1:6" x14ac:dyDescent="0.2">
      <c r="A1016">
        <v>0</v>
      </c>
      <c r="E1016" t="str">
        <f t="shared" si="48"/>
        <v>A</v>
      </c>
      <c r="F1016" t="str">
        <f t="shared" si="47"/>
        <v>0A</v>
      </c>
    </row>
    <row r="1017" spans="1:6" x14ac:dyDescent="0.2">
      <c r="A1017">
        <v>1</v>
      </c>
      <c r="E1017" t="str">
        <f t="shared" si="48"/>
        <v>B</v>
      </c>
      <c r="F1017" t="str">
        <f t="shared" si="47"/>
        <v>1B</v>
      </c>
    </row>
    <row r="1018" spans="1:6" x14ac:dyDescent="0.2">
      <c r="A1018">
        <v>2</v>
      </c>
      <c r="E1018" t="str">
        <f t="shared" si="48"/>
        <v>C</v>
      </c>
      <c r="F1018" t="str">
        <f t="shared" si="47"/>
        <v>2C</v>
      </c>
    </row>
    <row r="1019" spans="1:6" x14ac:dyDescent="0.2">
      <c r="A1019">
        <v>3</v>
      </c>
      <c r="E1019" t="str">
        <f t="shared" si="48"/>
        <v>D</v>
      </c>
      <c r="F1019" t="str">
        <f t="shared" si="47"/>
        <v>3D</v>
      </c>
    </row>
    <row r="1020" spans="1:6" x14ac:dyDescent="0.2">
      <c r="A1020">
        <v>4</v>
      </c>
      <c r="E1020" t="str">
        <f t="shared" si="48"/>
        <v>E</v>
      </c>
      <c r="F1020" t="str">
        <f t="shared" si="47"/>
        <v>4E</v>
      </c>
    </row>
    <row r="1021" spans="1:6" x14ac:dyDescent="0.2">
      <c r="A1021">
        <v>5</v>
      </c>
      <c r="E1021" t="str">
        <f t="shared" si="48"/>
        <v>F</v>
      </c>
      <c r="F1021" t="str">
        <f t="shared" si="47"/>
        <v>5F</v>
      </c>
    </row>
    <row r="1022" spans="1:6" x14ac:dyDescent="0.2">
      <c r="A1022">
        <v>6</v>
      </c>
      <c r="E1022" t="str">
        <f t="shared" si="48"/>
        <v>G</v>
      </c>
      <c r="F1022" t="str">
        <f t="shared" si="47"/>
        <v>6G</v>
      </c>
    </row>
    <row r="1023" spans="1:6" x14ac:dyDescent="0.2">
      <c r="A1023">
        <v>7</v>
      </c>
      <c r="E1023" t="str">
        <f t="shared" si="48"/>
        <v>H</v>
      </c>
      <c r="F1023" t="str">
        <f t="shared" si="47"/>
        <v>7H</v>
      </c>
    </row>
    <row r="1024" spans="1:6" x14ac:dyDescent="0.2">
      <c r="A1024">
        <v>8</v>
      </c>
      <c r="E1024" t="str">
        <f t="shared" si="48"/>
        <v>I</v>
      </c>
      <c r="F1024" t="str">
        <f t="shared" si="47"/>
        <v>8I</v>
      </c>
    </row>
    <row r="1025" spans="1:6" x14ac:dyDescent="0.2">
      <c r="A1025">
        <v>9</v>
      </c>
      <c r="E1025" t="str">
        <f t="shared" si="48"/>
        <v>J</v>
      </c>
      <c r="F1025" t="str">
        <f t="shared" si="47"/>
        <v>9J</v>
      </c>
    </row>
    <row r="1026" spans="1:6" x14ac:dyDescent="0.2">
      <c r="A1026">
        <v>10</v>
      </c>
      <c r="E1026" t="str">
        <f t="shared" si="48"/>
        <v>K</v>
      </c>
      <c r="F1026" t="str">
        <f t="shared" si="47"/>
        <v>10K</v>
      </c>
    </row>
    <row r="1027" spans="1:6" x14ac:dyDescent="0.2">
      <c r="A1027">
        <v>11</v>
      </c>
      <c r="E1027" t="str">
        <f t="shared" si="48"/>
        <v>L</v>
      </c>
      <c r="F1027" t="str">
        <f t="shared" ref="F1027:F1090" si="49">A1027&amp;C1027&amp;E1027</f>
        <v>11L</v>
      </c>
    </row>
    <row r="1028" spans="1:6" x14ac:dyDescent="0.2">
      <c r="A1028">
        <v>12</v>
      </c>
      <c r="E1028" t="str">
        <f t="shared" si="48"/>
        <v>M</v>
      </c>
      <c r="F1028" t="str">
        <f t="shared" si="49"/>
        <v>12M</v>
      </c>
    </row>
    <row r="1029" spans="1:6" x14ac:dyDescent="0.2">
      <c r="A1029">
        <v>13</v>
      </c>
      <c r="E1029" t="str">
        <f t="shared" si="48"/>
        <v>N</v>
      </c>
      <c r="F1029" t="str">
        <f t="shared" si="49"/>
        <v>13N</v>
      </c>
    </row>
    <row r="1030" spans="1:6" x14ac:dyDescent="0.2">
      <c r="A1030">
        <v>14</v>
      </c>
      <c r="E1030" t="str">
        <f t="shared" si="48"/>
        <v>O</v>
      </c>
      <c r="F1030" t="str">
        <f t="shared" si="49"/>
        <v>14O</v>
      </c>
    </row>
    <row r="1031" spans="1:6" x14ac:dyDescent="0.2">
      <c r="A1031">
        <v>15</v>
      </c>
      <c r="E1031" t="str">
        <f t="shared" si="48"/>
        <v>P</v>
      </c>
      <c r="F1031" t="str">
        <f t="shared" si="49"/>
        <v>15P</v>
      </c>
    </row>
    <row r="1032" spans="1:6" x14ac:dyDescent="0.2">
      <c r="A1032">
        <v>16</v>
      </c>
      <c r="E1032" t="str">
        <f t="shared" si="48"/>
        <v>Q</v>
      </c>
      <c r="F1032" t="str">
        <f t="shared" si="49"/>
        <v>16Q</v>
      </c>
    </row>
    <row r="1033" spans="1:6" x14ac:dyDescent="0.2">
      <c r="A1033">
        <v>17</v>
      </c>
      <c r="E1033" t="str">
        <f t="shared" si="48"/>
        <v>R</v>
      </c>
      <c r="F1033" t="str">
        <f t="shared" si="49"/>
        <v>17R</v>
      </c>
    </row>
    <row r="1034" spans="1:6" x14ac:dyDescent="0.2">
      <c r="A1034">
        <v>18</v>
      </c>
      <c r="E1034" t="str">
        <f t="shared" si="48"/>
        <v>S</v>
      </c>
      <c r="F1034" t="str">
        <f t="shared" si="49"/>
        <v>18S</v>
      </c>
    </row>
    <row r="1035" spans="1:6" x14ac:dyDescent="0.2">
      <c r="A1035">
        <v>19</v>
      </c>
      <c r="E1035" t="str">
        <f t="shared" si="48"/>
        <v>T</v>
      </c>
      <c r="F1035" t="str">
        <f t="shared" si="49"/>
        <v>19T</v>
      </c>
    </row>
    <row r="1036" spans="1:6" x14ac:dyDescent="0.2">
      <c r="A1036">
        <v>20</v>
      </c>
      <c r="E1036" t="str">
        <f t="shared" si="48"/>
        <v>U</v>
      </c>
      <c r="F1036" t="str">
        <f t="shared" si="49"/>
        <v>20U</v>
      </c>
    </row>
    <row r="1037" spans="1:6" x14ac:dyDescent="0.2">
      <c r="A1037">
        <v>21</v>
      </c>
      <c r="E1037" t="str">
        <f t="shared" si="48"/>
        <v>V</v>
      </c>
      <c r="F1037" t="str">
        <f t="shared" si="49"/>
        <v>21V</v>
      </c>
    </row>
    <row r="1038" spans="1:6" x14ac:dyDescent="0.2">
      <c r="A1038">
        <v>22</v>
      </c>
      <c r="E1038" t="str">
        <f t="shared" si="48"/>
        <v>W</v>
      </c>
      <c r="F1038" t="str">
        <f t="shared" si="49"/>
        <v>22W</v>
      </c>
    </row>
    <row r="1039" spans="1:6" x14ac:dyDescent="0.2">
      <c r="A1039">
        <v>23</v>
      </c>
      <c r="E1039" t="str">
        <f t="shared" si="48"/>
        <v>X</v>
      </c>
      <c r="F1039" t="str">
        <f t="shared" si="49"/>
        <v>23X</v>
      </c>
    </row>
    <row r="1040" spans="1:6" x14ac:dyDescent="0.2">
      <c r="A1040">
        <v>24</v>
      </c>
      <c r="E1040" t="str">
        <f t="shared" si="48"/>
        <v>Y</v>
      </c>
      <c r="F1040" t="str">
        <f t="shared" si="49"/>
        <v>24Y</v>
      </c>
    </row>
    <row r="1041" spans="1:6" x14ac:dyDescent="0.2">
      <c r="A1041">
        <v>25</v>
      </c>
      <c r="E1041" t="str">
        <f t="shared" si="48"/>
        <v>Z</v>
      </c>
      <c r="F1041" t="str">
        <f t="shared" si="49"/>
        <v>25Z</v>
      </c>
    </row>
    <row r="1042" spans="1:6" x14ac:dyDescent="0.2">
      <c r="A1042">
        <v>0</v>
      </c>
      <c r="E1042" t="str">
        <f t="shared" si="48"/>
        <v>A</v>
      </c>
      <c r="F1042" t="str">
        <f t="shared" si="49"/>
        <v>0A</v>
      </c>
    </row>
    <row r="1043" spans="1:6" x14ac:dyDescent="0.2">
      <c r="A1043">
        <v>1</v>
      </c>
      <c r="E1043" t="str">
        <f t="shared" si="48"/>
        <v>B</v>
      </c>
      <c r="F1043" t="str">
        <f t="shared" si="49"/>
        <v>1B</v>
      </c>
    </row>
    <row r="1044" spans="1:6" x14ac:dyDescent="0.2">
      <c r="A1044">
        <v>2</v>
      </c>
      <c r="E1044" t="str">
        <f t="shared" si="48"/>
        <v>C</v>
      </c>
      <c r="F1044" t="str">
        <f t="shared" si="49"/>
        <v>2C</v>
      </c>
    </row>
    <row r="1045" spans="1:6" x14ac:dyDescent="0.2">
      <c r="A1045">
        <v>3</v>
      </c>
      <c r="E1045" t="str">
        <f t="shared" si="48"/>
        <v>D</v>
      </c>
      <c r="F1045" t="str">
        <f t="shared" si="49"/>
        <v>3D</v>
      </c>
    </row>
    <row r="1046" spans="1:6" x14ac:dyDescent="0.2">
      <c r="A1046">
        <v>4</v>
      </c>
      <c r="E1046" t="str">
        <f t="shared" si="48"/>
        <v>E</v>
      </c>
      <c r="F1046" t="str">
        <f t="shared" si="49"/>
        <v>4E</v>
      </c>
    </row>
    <row r="1047" spans="1:6" x14ac:dyDescent="0.2">
      <c r="A1047">
        <v>5</v>
      </c>
      <c r="E1047" t="str">
        <f t="shared" si="48"/>
        <v>F</v>
      </c>
      <c r="F1047" t="str">
        <f t="shared" si="49"/>
        <v>5F</v>
      </c>
    </row>
    <row r="1048" spans="1:6" x14ac:dyDescent="0.2">
      <c r="A1048">
        <v>6</v>
      </c>
      <c r="E1048" t="str">
        <f t="shared" si="48"/>
        <v>G</v>
      </c>
      <c r="F1048" t="str">
        <f t="shared" si="49"/>
        <v>6G</v>
      </c>
    </row>
    <row r="1049" spans="1:6" x14ac:dyDescent="0.2">
      <c r="A1049">
        <v>7</v>
      </c>
      <c r="E1049" t="str">
        <f t="shared" si="48"/>
        <v>H</v>
      </c>
      <c r="F1049" t="str">
        <f t="shared" si="49"/>
        <v>7H</v>
      </c>
    </row>
    <row r="1050" spans="1:6" x14ac:dyDescent="0.2">
      <c r="A1050">
        <v>8</v>
      </c>
      <c r="E1050" t="str">
        <f t="shared" si="48"/>
        <v>I</v>
      </c>
      <c r="F1050" t="str">
        <f t="shared" si="49"/>
        <v>8I</v>
      </c>
    </row>
    <row r="1051" spans="1:6" x14ac:dyDescent="0.2">
      <c r="A1051">
        <v>9</v>
      </c>
      <c r="E1051" t="str">
        <f t="shared" si="48"/>
        <v>J</v>
      </c>
      <c r="F1051" t="str">
        <f t="shared" si="49"/>
        <v>9J</v>
      </c>
    </row>
    <row r="1052" spans="1:6" x14ac:dyDescent="0.2">
      <c r="A1052">
        <v>10</v>
      </c>
      <c r="E1052" t="str">
        <f t="shared" si="48"/>
        <v>K</v>
      </c>
      <c r="F1052" t="str">
        <f t="shared" si="49"/>
        <v>10K</v>
      </c>
    </row>
    <row r="1053" spans="1:6" x14ac:dyDescent="0.2">
      <c r="A1053">
        <v>11</v>
      </c>
      <c r="E1053" t="str">
        <f t="shared" ref="E1053:E1116" si="50">E1027</f>
        <v>L</v>
      </c>
      <c r="F1053" t="str">
        <f t="shared" si="49"/>
        <v>11L</v>
      </c>
    </row>
    <row r="1054" spans="1:6" x14ac:dyDescent="0.2">
      <c r="A1054">
        <v>12</v>
      </c>
      <c r="E1054" t="str">
        <f t="shared" si="50"/>
        <v>M</v>
      </c>
      <c r="F1054" t="str">
        <f t="shared" si="49"/>
        <v>12M</v>
      </c>
    </row>
    <row r="1055" spans="1:6" x14ac:dyDescent="0.2">
      <c r="A1055">
        <v>13</v>
      </c>
      <c r="E1055" t="str">
        <f t="shared" si="50"/>
        <v>N</v>
      </c>
      <c r="F1055" t="str">
        <f t="shared" si="49"/>
        <v>13N</v>
      </c>
    </row>
    <row r="1056" spans="1:6" x14ac:dyDescent="0.2">
      <c r="A1056">
        <v>14</v>
      </c>
      <c r="E1056" t="str">
        <f t="shared" si="50"/>
        <v>O</v>
      </c>
      <c r="F1056" t="str">
        <f t="shared" si="49"/>
        <v>14O</v>
      </c>
    </row>
    <row r="1057" spans="1:6" x14ac:dyDescent="0.2">
      <c r="A1057">
        <v>15</v>
      </c>
      <c r="E1057" t="str">
        <f t="shared" si="50"/>
        <v>P</v>
      </c>
      <c r="F1057" t="str">
        <f t="shared" si="49"/>
        <v>15P</v>
      </c>
    </row>
    <row r="1058" spans="1:6" x14ac:dyDescent="0.2">
      <c r="A1058">
        <v>16</v>
      </c>
      <c r="E1058" t="str">
        <f t="shared" si="50"/>
        <v>Q</v>
      </c>
      <c r="F1058" t="str">
        <f t="shared" si="49"/>
        <v>16Q</v>
      </c>
    </row>
    <row r="1059" spans="1:6" x14ac:dyDescent="0.2">
      <c r="A1059">
        <v>17</v>
      </c>
      <c r="E1059" t="str">
        <f t="shared" si="50"/>
        <v>R</v>
      </c>
      <c r="F1059" t="str">
        <f t="shared" si="49"/>
        <v>17R</v>
      </c>
    </row>
    <row r="1060" spans="1:6" x14ac:dyDescent="0.2">
      <c r="A1060">
        <v>18</v>
      </c>
      <c r="E1060" t="str">
        <f t="shared" si="50"/>
        <v>S</v>
      </c>
      <c r="F1060" t="str">
        <f t="shared" si="49"/>
        <v>18S</v>
      </c>
    </row>
    <row r="1061" spans="1:6" x14ac:dyDescent="0.2">
      <c r="A1061">
        <v>19</v>
      </c>
      <c r="E1061" t="str">
        <f t="shared" si="50"/>
        <v>T</v>
      </c>
      <c r="F1061" t="str">
        <f t="shared" si="49"/>
        <v>19T</v>
      </c>
    </row>
    <row r="1062" spans="1:6" x14ac:dyDescent="0.2">
      <c r="A1062">
        <v>20</v>
      </c>
      <c r="E1062" t="str">
        <f t="shared" si="50"/>
        <v>U</v>
      </c>
      <c r="F1062" t="str">
        <f t="shared" si="49"/>
        <v>20U</v>
      </c>
    </row>
    <row r="1063" spans="1:6" x14ac:dyDescent="0.2">
      <c r="A1063">
        <v>21</v>
      </c>
      <c r="E1063" t="str">
        <f t="shared" si="50"/>
        <v>V</v>
      </c>
      <c r="F1063" t="str">
        <f t="shared" si="49"/>
        <v>21V</v>
      </c>
    </row>
    <row r="1064" spans="1:6" x14ac:dyDescent="0.2">
      <c r="A1064">
        <v>22</v>
      </c>
      <c r="E1064" t="str">
        <f t="shared" si="50"/>
        <v>W</v>
      </c>
      <c r="F1064" t="str">
        <f t="shared" si="49"/>
        <v>22W</v>
      </c>
    </row>
    <row r="1065" spans="1:6" x14ac:dyDescent="0.2">
      <c r="A1065">
        <v>23</v>
      </c>
      <c r="E1065" t="str">
        <f t="shared" si="50"/>
        <v>X</v>
      </c>
      <c r="F1065" t="str">
        <f t="shared" si="49"/>
        <v>23X</v>
      </c>
    </row>
    <row r="1066" spans="1:6" x14ac:dyDescent="0.2">
      <c r="A1066">
        <v>24</v>
      </c>
      <c r="E1066" t="str">
        <f t="shared" si="50"/>
        <v>Y</v>
      </c>
      <c r="F1066" t="str">
        <f t="shared" si="49"/>
        <v>24Y</v>
      </c>
    </row>
    <row r="1067" spans="1:6" x14ac:dyDescent="0.2">
      <c r="A1067">
        <v>25</v>
      </c>
      <c r="E1067" t="str">
        <f t="shared" si="50"/>
        <v>Z</v>
      </c>
      <c r="F1067" t="str">
        <f t="shared" si="49"/>
        <v>25Z</v>
      </c>
    </row>
    <row r="1068" spans="1:6" x14ac:dyDescent="0.2">
      <c r="A1068">
        <v>0</v>
      </c>
      <c r="E1068" t="str">
        <f t="shared" si="50"/>
        <v>A</v>
      </c>
      <c r="F1068" t="str">
        <f t="shared" si="49"/>
        <v>0A</v>
      </c>
    </row>
    <row r="1069" spans="1:6" x14ac:dyDescent="0.2">
      <c r="A1069">
        <v>1</v>
      </c>
      <c r="E1069" t="str">
        <f t="shared" si="50"/>
        <v>B</v>
      </c>
      <c r="F1069" t="str">
        <f t="shared" si="49"/>
        <v>1B</v>
      </c>
    </row>
    <row r="1070" spans="1:6" x14ac:dyDescent="0.2">
      <c r="A1070">
        <v>2</v>
      </c>
      <c r="E1070" t="str">
        <f t="shared" si="50"/>
        <v>C</v>
      </c>
      <c r="F1070" t="str">
        <f t="shared" si="49"/>
        <v>2C</v>
      </c>
    </row>
    <row r="1071" spans="1:6" x14ac:dyDescent="0.2">
      <c r="A1071">
        <v>3</v>
      </c>
      <c r="E1071" t="str">
        <f t="shared" si="50"/>
        <v>D</v>
      </c>
      <c r="F1071" t="str">
        <f t="shared" si="49"/>
        <v>3D</v>
      </c>
    </row>
    <row r="1072" spans="1:6" x14ac:dyDescent="0.2">
      <c r="A1072">
        <v>4</v>
      </c>
      <c r="E1072" t="str">
        <f t="shared" si="50"/>
        <v>E</v>
      </c>
      <c r="F1072" t="str">
        <f t="shared" si="49"/>
        <v>4E</v>
      </c>
    </row>
    <row r="1073" spans="1:6" x14ac:dyDescent="0.2">
      <c r="A1073">
        <v>5</v>
      </c>
      <c r="E1073" t="str">
        <f t="shared" si="50"/>
        <v>F</v>
      </c>
      <c r="F1073" t="str">
        <f t="shared" si="49"/>
        <v>5F</v>
      </c>
    </row>
    <row r="1074" spans="1:6" x14ac:dyDescent="0.2">
      <c r="A1074">
        <v>6</v>
      </c>
      <c r="E1074" t="str">
        <f t="shared" si="50"/>
        <v>G</v>
      </c>
      <c r="F1074" t="str">
        <f t="shared" si="49"/>
        <v>6G</v>
      </c>
    </row>
    <row r="1075" spans="1:6" x14ac:dyDescent="0.2">
      <c r="A1075">
        <v>7</v>
      </c>
      <c r="E1075" t="str">
        <f t="shared" si="50"/>
        <v>H</v>
      </c>
      <c r="F1075" t="str">
        <f t="shared" si="49"/>
        <v>7H</v>
      </c>
    </row>
    <row r="1076" spans="1:6" x14ac:dyDescent="0.2">
      <c r="A1076">
        <v>8</v>
      </c>
      <c r="E1076" t="str">
        <f t="shared" si="50"/>
        <v>I</v>
      </c>
      <c r="F1076" t="str">
        <f t="shared" si="49"/>
        <v>8I</v>
      </c>
    </row>
    <row r="1077" spans="1:6" x14ac:dyDescent="0.2">
      <c r="A1077">
        <v>9</v>
      </c>
      <c r="E1077" t="str">
        <f t="shared" si="50"/>
        <v>J</v>
      </c>
      <c r="F1077" t="str">
        <f t="shared" si="49"/>
        <v>9J</v>
      </c>
    </row>
    <row r="1078" spans="1:6" x14ac:dyDescent="0.2">
      <c r="A1078">
        <v>10</v>
      </c>
      <c r="E1078" t="str">
        <f t="shared" si="50"/>
        <v>K</v>
      </c>
      <c r="F1078" t="str">
        <f t="shared" si="49"/>
        <v>10K</v>
      </c>
    </row>
    <row r="1079" spans="1:6" x14ac:dyDescent="0.2">
      <c r="A1079">
        <v>11</v>
      </c>
      <c r="E1079" t="str">
        <f t="shared" si="50"/>
        <v>L</v>
      </c>
      <c r="F1079" t="str">
        <f t="shared" si="49"/>
        <v>11L</v>
      </c>
    </row>
    <row r="1080" spans="1:6" x14ac:dyDescent="0.2">
      <c r="A1080">
        <v>12</v>
      </c>
      <c r="E1080" t="str">
        <f t="shared" si="50"/>
        <v>M</v>
      </c>
      <c r="F1080" t="str">
        <f t="shared" si="49"/>
        <v>12M</v>
      </c>
    </row>
    <row r="1081" spans="1:6" x14ac:dyDescent="0.2">
      <c r="A1081">
        <v>13</v>
      </c>
      <c r="E1081" t="str">
        <f t="shared" si="50"/>
        <v>N</v>
      </c>
      <c r="F1081" t="str">
        <f t="shared" si="49"/>
        <v>13N</v>
      </c>
    </row>
    <row r="1082" spans="1:6" x14ac:dyDescent="0.2">
      <c r="A1082">
        <v>14</v>
      </c>
      <c r="E1082" t="str">
        <f t="shared" si="50"/>
        <v>O</v>
      </c>
      <c r="F1082" t="str">
        <f t="shared" si="49"/>
        <v>14O</v>
      </c>
    </row>
    <row r="1083" spans="1:6" x14ac:dyDescent="0.2">
      <c r="A1083">
        <v>15</v>
      </c>
      <c r="E1083" t="str">
        <f t="shared" si="50"/>
        <v>P</v>
      </c>
      <c r="F1083" t="str">
        <f t="shared" si="49"/>
        <v>15P</v>
      </c>
    </row>
    <row r="1084" spans="1:6" x14ac:dyDescent="0.2">
      <c r="A1084">
        <v>16</v>
      </c>
      <c r="E1084" t="str">
        <f t="shared" si="50"/>
        <v>Q</v>
      </c>
      <c r="F1084" t="str">
        <f t="shared" si="49"/>
        <v>16Q</v>
      </c>
    </row>
    <row r="1085" spans="1:6" x14ac:dyDescent="0.2">
      <c r="A1085">
        <v>17</v>
      </c>
      <c r="E1085" t="str">
        <f t="shared" si="50"/>
        <v>R</v>
      </c>
      <c r="F1085" t="str">
        <f t="shared" si="49"/>
        <v>17R</v>
      </c>
    </row>
    <row r="1086" spans="1:6" x14ac:dyDescent="0.2">
      <c r="A1086">
        <v>18</v>
      </c>
      <c r="E1086" t="str">
        <f t="shared" si="50"/>
        <v>S</v>
      </c>
      <c r="F1086" t="str">
        <f t="shared" si="49"/>
        <v>18S</v>
      </c>
    </row>
    <row r="1087" spans="1:6" x14ac:dyDescent="0.2">
      <c r="A1087">
        <v>19</v>
      </c>
      <c r="E1087" t="str">
        <f t="shared" si="50"/>
        <v>T</v>
      </c>
      <c r="F1087" t="str">
        <f t="shared" si="49"/>
        <v>19T</v>
      </c>
    </row>
    <row r="1088" spans="1:6" x14ac:dyDescent="0.2">
      <c r="A1088">
        <v>20</v>
      </c>
      <c r="E1088" t="str">
        <f t="shared" si="50"/>
        <v>U</v>
      </c>
      <c r="F1088" t="str">
        <f t="shared" si="49"/>
        <v>20U</v>
      </c>
    </row>
    <row r="1089" spans="1:6" x14ac:dyDescent="0.2">
      <c r="A1089">
        <v>21</v>
      </c>
      <c r="E1089" t="str">
        <f t="shared" si="50"/>
        <v>V</v>
      </c>
      <c r="F1089" t="str">
        <f t="shared" si="49"/>
        <v>21V</v>
      </c>
    </row>
    <row r="1090" spans="1:6" x14ac:dyDescent="0.2">
      <c r="A1090">
        <v>22</v>
      </c>
      <c r="E1090" t="str">
        <f t="shared" si="50"/>
        <v>W</v>
      </c>
      <c r="F1090" t="str">
        <f t="shared" si="49"/>
        <v>22W</v>
      </c>
    </row>
    <row r="1091" spans="1:6" x14ac:dyDescent="0.2">
      <c r="A1091">
        <v>23</v>
      </c>
      <c r="E1091" t="str">
        <f t="shared" si="50"/>
        <v>X</v>
      </c>
      <c r="F1091" t="str">
        <f t="shared" ref="F1091:F1154" si="51">A1091&amp;C1091&amp;E1091</f>
        <v>23X</v>
      </c>
    </row>
    <row r="1092" spans="1:6" x14ac:dyDescent="0.2">
      <c r="A1092">
        <v>24</v>
      </c>
      <c r="E1092" t="str">
        <f t="shared" si="50"/>
        <v>Y</v>
      </c>
      <c r="F1092" t="str">
        <f t="shared" si="51"/>
        <v>24Y</v>
      </c>
    </row>
    <row r="1093" spans="1:6" x14ac:dyDescent="0.2">
      <c r="A1093">
        <v>25</v>
      </c>
      <c r="E1093" t="str">
        <f t="shared" si="50"/>
        <v>Z</v>
      </c>
      <c r="F1093" t="str">
        <f t="shared" si="51"/>
        <v>25Z</v>
      </c>
    </row>
    <row r="1094" spans="1:6" x14ac:dyDescent="0.2">
      <c r="A1094">
        <v>0</v>
      </c>
      <c r="E1094" t="str">
        <f t="shared" si="50"/>
        <v>A</v>
      </c>
      <c r="F1094" t="str">
        <f t="shared" si="51"/>
        <v>0A</v>
      </c>
    </row>
    <row r="1095" spans="1:6" x14ac:dyDescent="0.2">
      <c r="A1095">
        <v>1</v>
      </c>
      <c r="E1095" t="str">
        <f t="shared" si="50"/>
        <v>B</v>
      </c>
      <c r="F1095" t="str">
        <f t="shared" si="51"/>
        <v>1B</v>
      </c>
    </row>
    <row r="1096" spans="1:6" x14ac:dyDescent="0.2">
      <c r="A1096">
        <v>2</v>
      </c>
      <c r="E1096" t="str">
        <f t="shared" si="50"/>
        <v>C</v>
      </c>
      <c r="F1096" t="str">
        <f t="shared" si="51"/>
        <v>2C</v>
      </c>
    </row>
    <row r="1097" spans="1:6" x14ac:dyDescent="0.2">
      <c r="A1097">
        <v>3</v>
      </c>
      <c r="E1097" t="str">
        <f t="shared" si="50"/>
        <v>D</v>
      </c>
      <c r="F1097" t="str">
        <f t="shared" si="51"/>
        <v>3D</v>
      </c>
    </row>
    <row r="1098" spans="1:6" x14ac:dyDescent="0.2">
      <c r="A1098">
        <v>4</v>
      </c>
      <c r="E1098" t="str">
        <f t="shared" si="50"/>
        <v>E</v>
      </c>
      <c r="F1098" t="str">
        <f t="shared" si="51"/>
        <v>4E</v>
      </c>
    </row>
    <row r="1099" spans="1:6" x14ac:dyDescent="0.2">
      <c r="A1099">
        <v>5</v>
      </c>
      <c r="E1099" t="str">
        <f t="shared" si="50"/>
        <v>F</v>
      </c>
      <c r="F1099" t="str">
        <f t="shared" si="51"/>
        <v>5F</v>
      </c>
    </row>
    <row r="1100" spans="1:6" x14ac:dyDescent="0.2">
      <c r="A1100">
        <v>6</v>
      </c>
      <c r="E1100" t="str">
        <f t="shared" si="50"/>
        <v>G</v>
      </c>
      <c r="F1100" t="str">
        <f t="shared" si="51"/>
        <v>6G</v>
      </c>
    </row>
    <row r="1101" spans="1:6" x14ac:dyDescent="0.2">
      <c r="A1101">
        <v>7</v>
      </c>
      <c r="E1101" t="str">
        <f t="shared" si="50"/>
        <v>H</v>
      </c>
      <c r="F1101" t="str">
        <f t="shared" si="51"/>
        <v>7H</v>
      </c>
    </row>
    <row r="1102" spans="1:6" x14ac:dyDescent="0.2">
      <c r="A1102">
        <v>8</v>
      </c>
      <c r="E1102" t="str">
        <f t="shared" si="50"/>
        <v>I</v>
      </c>
      <c r="F1102" t="str">
        <f t="shared" si="51"/>
        <v>8I</v>
      </c>
    </row>
    <row r="1103" spans="1:6" x14ac:dyDescent="0.2">
      <c r="A1103">
        <v>9</v>
      </c>
      <c r="E1103" t="str">
        <f t="shared" si="50"/>
        <v>J</v>
      </c>
      <c r="F1103" t="str">
        <f t="shared" si="51"/>
        <v>9J</v>
      </c>
    </row>
    <row r="1104" spans="1:6" x14ac:dyDescent="0.2">
      <c r="A1104">
        <v>10</v>
      </c>
      <c r="E1104" t="str">
        <f t="shared" si="50"/>
        <v>K</v>
      </c>
      <c r="F1104" t="str">
        <f t="shared" si="51"/>
        <v>10K</v>
      </c>
    </row>
    <row r="1105" spans="1:6" x14ac:dyDescent="0.2">
      <c r="A1105">
        <v>11</v>
      </c>
      <c r="E1105" t="str">
        <f t="shared" si="50"/>
        <v>L</v>
      </c>
      <c r="F1105" t="str">
        <f t="shared" si="51"/>
        <v>11L</v>
      </c>
    </row>
    <row r="1106" spans="1:6" x14ac:dyDescent="0.2">
      <c r="A1106">
        <v>12</v>
      </c>
      <c r="E1106" t="str">
        <f t="shared" si="50"/>
        <v>M</v>
      </c>
      <c r="F1106" t="str">
        <f t="shared" si="51"/>
        <v>12M</v>
      </c>
    </row>
    <row r="1107" spans="1:6" x14ac:dyDescent="0.2">
      <c r="A1107">
        <v>13</v>
      </c>
      <c r="E1107" t="str">
        <f t="shared" si="50"/>
        <v>N</v>
      </c>
      <c r="F1107" t="str">
        <f t="shared" si="51"/>
        <v>13N</v>
      </c>
    </row>
    <row r="1108" spans="1:6" x14ac:dyDescent="0.2">
      <c r="A1108">
        <v>14</v>
      </c>
      <c r="E1108" t="str">
        <f t="shared" si="50"/>
        <v>O</v>
      </c>
      <c r="F1108" t="str">
        <f t="shared" si="51"/>
        <v>14O</v>
      </c>
    </row>
    <row r="1109" spans="1:6" x14ac:dyDescent="0.2">
      <c r="A1109">
        <v>15</v>
      </c>
      <c r="E1109" t="str">
        <f t="shared" si="50"/>
        <v>P</v>
      </c>
      <c r="F1109" t="str">
        <f t="shared" si="51"/>
        <v>15P</v>
      </c>
    </row>
    <row r="1110" spans="1:6" x14ac:dyDescent="0.2">
      <c r="A1110">
        <v>16</v>
      </c>
      <c r="E1110" t="str">
        <f t="shared" si="50"/>
        <v>Q</v>
      </c>
      <c r="F1110" t="str">
        <f t="shared" si="51"/>
        <v>16Q</v>
      </c>
    </row>
    <row r="1111" spans="1:6" x14ac:dyDescent="0.2">
      <c r="A1111">
        <v>17</v>
      </c>
      <c r="E1111" t="str">
        <f t="shared" si="50"/>
        <v>R</v>
      </c>
      <c r="F1111" t="str">
        <f t="shared" si="51"/>
        <v>17R</v>
      </c>
    </row>
    <row r="1112" spans="1:6" x14ac:dyDescent="0.2">
      <c r="A1112">
        <v>18</v>
      </c>
      <c r="E1112" t="str">
        <f t="shared" si="50"/>
        <v>S</v>
      </c>
      <c r="F1112" t="str">
        <f t="shared" si="51"/>
        <v>18S</v>
      </c>
    </row>
    <row r="1113" spans="1:6" x14ac:dyDescent="0.2">
      <c r="A1113">
        <v>19</v>
      </c>
      <c r="E1113" t="str">
        <f t="shared" si="50"/>
        <v>T</v>
      </c>
      <c r="F1113" t="str">
        <f t="shared" si="51"/>
        <v>19T</v>
      </c>
    </row>
    <row r="1114" spans="1:6" x14ac:dyDescent="0.2">
      <c r="A1114">
        <v>20</v>
      </c>
      <c r="E1114" t="str">
        <f t="shared" si="50"/>
        <v>U</v>
      </c>
      <c r="F1114" t="str">
        <f t="shared" si="51"/>
        <v>20U</v>
      </c>
    </row>
    <row r="1115" spans="1:6" x14ac:dyDescent="0.2">
      <c r="A1115">
        <v>21</v>
      </c>
      <c r="E1115" t="str">
        <f t="shared" si="50"/>
        <v>V</v>
      </c>
      <c r="F1115" t="str">
        <f t="shared" si="51"/>
        <v>21V</v>
      </c>
    </row>
    <row r="1116" spans="1:6" x14ac:dyDescent="0.2">
      <c r="A1116">
        <v>22</v>
      </c>
      <c r="E1116" t="str">
        <f t="shared" si="50"/>
        <v>W</v>
      </c>
      <c r="F1116" t="str">
        <f t="shared" si="51"/>
        <v>22W</v>
      </c>
    </row>
    <row r="1117" spans="1:6" x14ac:dyDescent="0.2">
      <c r="A1117">
        <v>23</v>
      </c>
      <c r="E1117" t="str">
        <f t="shared" ref="E1117:E1180" si="52">E1091</f>
        <v>X</v>
      </c>
      <c r="F1117" t="str">
        <f t="shared" si="51"/>
        <v>23X</v>
      </c>
    </row>
    <row r="1118" spans="1:6" x14ac:dyDescent="0.2">
      <c r="A1118">
        <v>24</v>
      </c>
      <c r="E1118" t="str">
        <f t="shared" si="52"/>
        <v>Y</v>
      </c>
      <c r="F1118" t="str">
        <f t="shared" si="51"/>
        <v>24Y</v>
      </c>
    </row>
    <row r="1119" spans="1:6" x14ac:dyDescent="0.2">
      <c r="A1119">
        <v>25</v>
      </c>
      <c r="E1119" t="str">
        <f t="shared" si="52"/>
        <v>Z</v>
      </c>
      <c r="F1119" t="str">
        <f t="shared" si="51"/>
        <v>25Z</v>
      </c>
    </row>
    <row r="1120" spans="1:6" x14ac:dyDescent="0.2">
      <c r="A1120">
        <v>0</v>
      </c>
      <c r="E1120" t="str">
        <f t="shared" si="52"/>
        <v>A</v>
      </c>
      <c r="F1120" t="str">
        <f t="shared" si="51"/>
        <v>0A</v>
      </c>
    </row>
    <row r="1121" spans="1:6" x14ac:dyDescent="0.2">
      <c r="A1121">
        <v>1</v>
      </c>
      <c r="E1121" t="str">
        <f t="shared" si="52"/>
        <v>B</v>
      </c>
      <c r="F1121" t="str">
        <f t="shared" si="51"/>
        <v>1B</v>
      </c>
    </row>
    <row r="1122" spans="1:6" x14ac:dyDescent="0.2">
      <c r="A1122">
        <v>2</v>
      </c>
      <c r="E1122" t="str">
        <f t="shared" si="52"/>
        <v>C</v>
      </c>
      <c r="F1122" t="str">
        <f t="shared" si="51"/>
        <v>2C</v>
      </c>
    </row>
    <row r="1123" spans="1:6" x14ac:dyDescent="0.2">
      <c r="A1123">
        <v>3</v>
      </c>
      <c r="E1123" t="str">
        <f t="shared" si="52"/>
        <v>D</v>
      </c>
      <c r="F1123" t="str">
        <f t="shared" si="51"/>
        <v>3D</v>
      </c>
    </row>
    <row r="1124" spans="1:6" x14ac:dyDescent="0.2">
      <c r="A1124">
        <v>4</v>
      </c>
      <c r="E1124" t="str">
        <f t="shared" si="52"/>
        <v>E</v>
      </c>
      <c r="F1124" t="str">
        <f t="shared" si="51"/>
        <v>4E</v>
      </c>
    </row>
    <row r="1125" spans="1:6" x14ac:dyDescent="0.2">
      <c r="A1125">
        <v>5</v>
      </c>
      <c r="E1125" t="str">
        <f t="shared" si="52"/>
        <v>F</v>
      </c>
      <c r="F1125" t="str">
        <f t="shared" si="51"/>
        <v>5F</v>
      </c>
    </row>
    <row r="1126" spans="1:6" x14ac:dyDescent="0.2">
      <c r="A1126">
        <v>6</v>
      </c>
      <c r="E1126" t="str">
        <f t="shared" si="52"/>
        <v>G</v>
      </c>
      <c r="F1126" t="str">
        <f t="shared" si="51"/>
        <v>6G</v>
      </c>
    </row>
    <row r="1127" spans="1:6" x14ac:dyDescent="0.2">
      <c r="A1127">
        <v>7</v>
      </c>
      <c r="E1127" t="str">
        <f t="shared" si="52"/>
        <v>H</v>
      </c>
      <c r="F1127" t="str">
        <f t="shared" si="51"/>
        <v>7H</v>
      </c>
    </row>
    <row r="1128" spans="1:6" x14ac:dyDescent="0.2">
      <c r="A1128">
        <v>8</v>
      </c>
      <c r="E1128" t="str">
        <f t="shared" si="52"/>
        <v>I</v>
      </c>
      <c r="F1128" t="str">
        <f t="shared" si="51"/>
        <v>8I</v>
      </c>
    </row>
    <row r="1129" spans="1:6" x14ac:dyDescent="0.2">
      <c r="A1129">
        <v>9</v>
      </c>
      <c r="E1129" t="str">
        <f t="shared" si="52"/>
        <v>J</v>
      </c>
      <c r="F1129" t="str">
        <f t="shared" si="51"/>
        <v>9J</v>
      </c>
    </row>
    <row r="1130" spans="1:6" x14ac:dyDescent="0.2">
      <c r="A1130">
        <v>10</v>
      </c>
      <c r="E1130" t="str">
        <f t="shared" si="52"/>
        <v>K</v>
      </c>
      <c r="F1130" t="str">
        <f t="shared" si="51"/>
        <v>10K</v>
      </c>
    </row>
    <row r="1131" spans="1:6" x14ac:dyDescent="0.2">
      <c r="A1131">
        <v>11</v>
      </c>
      <c r="E1131" t="str">
        <f t="shared" si="52"/>
        <v>L</v>
      </c>
      <c r="F1131" t="str">
        <f t="shared" si="51"/>
        <v>11L</v>
      </c>
    </row>
    <row r="1132" spans="1:6" x14ac:dyDescent="0.2">
      <c r="A1132">
        <v>12</v>
      </c>
      <c r="E1132" t="str">
        <f t="shared" si="52"/>
        <v>M</v>
      </c>
      <c r="F1132" t="str">
        <f t="shared" si="51"/>
        <v>12M</v>
      </c>
    </row>
    <row r="1133" spans="1:6" x14ac:dyDescent="0.2">
      <c r="A1133">
        <v>13</v>
      </c>
      <c r="E1133" t="str">
        <f t="shared" si="52"/>
        <v>N</v>
      </c>
      <c r="F1133" t="str">
        <f t="shared" si="51"/>
        <v>13N</v>
      </c>
    </row>
    <row r="1134" spans="1:6" x14ac:dyDescent="0.2">
      <c r="A1134">
        <v>14</v>
      </c>
      <c r="E1134" t="str">
        <f t="shared" si="52"/>
        <v>O</v>
      </c>
      <c r="F1134" t="str">
        <f t="shared" si="51"/>
        <v>14O</v>
      </c>
    </row>
    <row r="1135" spans="1:6" x14ac:dyDescent="0.2">
      <c r="A1135">
        <v>15</v>
      </c>
      <c r="E1135" t="str">
        <f t="shared" si="52"/>
        <v>P</v>
      </c>
      <c r="F1135" t="str">
        <f t="shared" si="51"/>
        <v>15P</v>
      </c>
    </row>
    <row r="1136" spans="1:6" x14ac:dyDescent="0.2">
      <c r="A1136">
        <v>16</v>
      </c>
      <c r="E1136" t="str">
        <f t="shared" si="52"/>
        <v>Q</v>
      </c>
      <c r="F1136" t="str">
        <f t="shared" si="51"/>
        <v>16Q</v>
      </c>
    </row>
    <row r="1137" spans="1:6" x14ac:dyDescent="0.2">
      <c r="A1137">
        <v>17</v>
      </c>
      <c r="E1137" t="str">
        <f t="shared" si="52"/>
        <v>R</v>
      </c>
      <c r="F1137" t="str">
        <f t="shared" si="51"/>
        <v>17R</v>
      </c>
    </row>
    <row r="1138" spans="1:6" x14ac:dyDescent="0.2">
      <c r="A1138">
        <v>18</v>
      </c>
      <c r="E1138" t="str">
        <f t="shared" si="52"/>
        <v>S</v>
      </c>
      <c r="F1138" t="str">
        <f t="shared" si="51"/>
        <v>18S</v>
      </c>
    </row>
    <row r="1139" spans="1:6" x14ac:dyDescent="0.2">
      <c r="A1139">
        <v>19</v>
      </c>
      <c r="E1139" t="str">
        <f t="shared" si="52"/>
        <v>T</v>
      </c>
      <c r="F1139" t="str">
        <f t="shared" si="51"/>
        <v>19T</v>
      </c>
    </row>
    <row r="1140" spans="1:6" x14ac:dyDescent="0.2">
      <c r="A1140">
        <v>20</v>
      </c>
      <c r="E1140" t="str">
        <f t="shared" si="52"/>
        <v>U</v>
      </c>
      <c r="F1140" t="str">
        <f t="shared" si="51"/>
        <v>20U</v>
      </c>
    </row>
    <row r="1141" spans="1:6" x14ac:dyDescent="0.2">
      <c r="A1141">
        <v>21</v>
      </c>
      <c r="E1141" t="str">
        <f t="shared" si="52"/>
        <v>V</v>
      </c>
      <c r="F1141" t="str">
        <f t="shared" si="51"/>
        <v>21V</v>
      </c>
    </row>
    <row r="1142" spans="1:6" x14ac:dyDescent="0.2">
      <c r="A1142">
        <v>22</v>
      </c>
      <c r="E1142" t="str">
        <f t="shared" si="52"/>
        <v>W</v>
      </c>
      <c r="F1142" t="str">
        <f t="shared" si="51"/>
        <v>22W</v>
      </c>
    </row>
    <row r="1143" spans="1:6" x14ac:dyDescent="0.2">
      <c r="A1143">
        <v>23</v>
      </c>
      <c r="E1143" t="str">
        <f t="shared" si="52"/>
        <v>X</v>
      </c>
      <c r="F1143" t="str">
        <f t="shared" si="51"/>
        <v>23X</v>
      </c>
    </row>
    <row r="1144" spans="1:6" x14ac:dyDescent="0.2">
      <c r="A1144">
        <v>24</v>
      </c>
      <c r="E1144" t="str">
        <f t="shared" si="52"/>
        <v>Y</v>
      </c>
      <c r="F1144" t="str">
        <f t="shared" si="51"/>
        <v>24Y</v>
      </c>
    </row>
    <row r="1145" spans="1:6" x14ac:dyDescent="0.2">
      <c r="A1145">
        <v>25</v>
      </c>
      <c r="E1145" t="str">
        <f t="shared" si="52"/>
        <v>Z</v>
      </c>
      <c r="F1145" t="str">
        <f t="shared" si="51"/>
        <v>25Z</v>
      </c>
    </row>
    <row r="1146" spans="1:6" x14ac:dyDescent="0.2">
      <c r="A1146">
        <v>0</v>
      </c>
      <c r="E1146" t="str">
        <f t="shared" si="52"/>
        <v>A</v>
      </c>
      <c r="F1146" t="str">
        <f t="shared" si="51"/>
        <v>0A</v>
      </c>
    </row>
    <row r="1147" spans="1:6" x14ac:dyDescent="0.2">
      <c r="A1147">
        <v>1</v>
      </c>
      <c r="E1147" t="str">
        <f t="shared" si="52"/>
        <v>B</v>
      </c>
      <c r="F1147" t="str">
        <f t="shared" si="51"/>
        <v>1B</v>
      </c>
    </row>
    <row r="1148" spans="1:6" x14ac:dyDescent="0.2">
      <c r="A1148">
        <v>2</v>
      </c>
      <c r="E1148" t="str">
        <f t="shared" si="52"/>
        <v>C</v>
      </c>
      <c r="F1148" t="str">
        <f t="shared" si="51"/>
        <v>2C</v>
      </c>
    </row>
    <row r="1149" spans="1:6" x14ac:dyDescent="0.2">
      <c r="A1149">
        <v>3</v>
      </c>
      <c r="E1149" t="str">
        <f t="shared" si="52"/>
        <v>D</v>
      </c>
      <c r="F1149" t="str">
        <f t="shared" si="51"/>
        <v>3D</v>
      </c>
    </row>
    <row r="1150" spans="1:6" x14ac:dyDescent="0.2">
      <c r="A1150">
        <v>4</v>
      </c>
      <c r="E1150" t="str">
        <f t="shared" si="52"/>
        <v>E</v>
      </c>
      <c r="F1150" t="str">
        <f t="shared" si="51"/>
        <v>4E</v>
      </c>
    </row>
    <row r="1151" spans="1:6" x14ac:dyDescent="0.2">
      <c r="A1151">
        <v>5</v>
      </c>
      <c r="E1151" t="str">
        <f t="shared" si="52"/>
        <v>F</v>
      </c>
      <c r="F1151" t="str">
        <f t="shared" si="51"/>
        <v>5F</v>
      </c>
    </row>
    <row r="1152" spans="1:6" x14ac:dyDescent="0.2">
      <c r="A1152">
        <v>6</v>
      </c>
      <c r="E1152" t="str">
        <f t="shared" si="52"/>
        <v>G</v>
      </c>
      <c r="F1152" t="str">
        <f t="shared" si="51"/>
        <v>6G</v>
      </c>
    </row>
    <row r="1153" spans="1:6" x14ac:dyDescent="0.2">
      <c r="A1153">
        <v>7</v>
      </c>
      <c r="E1153" t="str">
        <f t="shared" si="52"/>
        <v>H</v>
      </c>
      <c r="F1153" t="str">
        <f t="shared" si="51"/>
        <v>7H</v>
      </c>
    </row>
    <row r="1154" spans="1:6" x14ac:dyDescent="0.2">
      <c r="A1154">
        <v>8</v>
      </c>
      <c r="E1154" t="str">
        <f t="shared" si="52"/>
        <v>I</v>
      </c>
      <c r="F1154" t="str">
        <f t="shared" si="51"/>
        <v>8I</v>
      </c>
    </row>
    <row r="1155" spans="1:6" x14ac:dyDescent="0.2">
      <c r="A1155">
        <v>9</v>
      </c>
      <c r="E1155" t="str">
        <f t="shared" si="52"/>
        <v>J</v>
      </c>
      <c r="F1155" t="str">
        <f t="shared" ref="F1155:F1218" si="53">A1155&amp;C1155&amp;E1155</f>
        <v>9J</v>
      </c>
    </row>
    <row r="1156" spans="1:6" x14ac:dyDescent="0.2">
      <c r="A1156">
        <v>10</v>
      </c>
      <c r="E1156" t="str">
        <f t="shared" si="52"/>
        <v>K</v>
      </c>
      <c r="F1156" t="str">
        <f t="shared" si="53"/>
        <v>10K</v>
      </c>
    </row>
    <row r="1157" spans="1:6" x14ac:dyDescent="0.2">
      <c r="A1157">
        <v>11</v>
      </c>
      <c r="E1157" t="str">
        <f t="shared" si="52"/>
        <v>L</v>
      </c>
      <c r="F1157" t="str">
        <f t="shared" si="53"/>
        <v>11L</v>
      </c>
    </row>
    <row r="1158" spans="1:6" x14ac:dyDescent="0.2">
      <c r="A1158">
        <v>12</v>
      </c>
      <c r="E1158" t="str">
        <f t="shared" si="52"/>
        <v>M</v>
      </c>
      <c r="F1158" t="str">
        <f t="shared" si="53"/>
        <v>12M</v>
      </c>
    </row>
    <row r="1159" spans="1:6" x14ac:dyDescent="0.2">
      <c r="A1159">
        <v>13</v>
      </c>
      <c r="E1159" t="str">
        <f t="shared" si="52"/>
        <v>N</v>
      </c>
      <c r="F1159" t="str">
        <f t="shared" si="53"/>
        <v>13N</v>
      </c>
    </row>
    <row r="1160" spans="1:6" x14ac:dyDescent="0.2">
      <c r="A1160">
        <v>14</v>
      </c>
      <c r="E1160" t="str">
        <f t="shared" si="52"/>
        <v>O</v>
      </c>
      <c r="F1160" t="str">
        <f t="shared" si="53"/>
        <v>14O</v>
      </c>
    </row>
    <row r="1161" spans="1:6" x14ac:dyDescent="0.2">
      <c r="A1161">
        <v>15</v>
      </c>
      <c r="E1161" t="str">
        <f t="shared" si="52"/>
        <v>P</v>
      </c>
      <c r="F1161" t="str">
        <f t="shared" si="53"/>
        <v>15P</v>
      </c>
    </row>
    <row r="1162" spans="1:6" x14ac:dyDescent="0.2">
      <c r="A1162">
        <v>16</v>
      </c>
      <c r="E1162" t="str">
        <f t="shared" si="52"/>
        <v>Q</v>
      </c>
      <c r="F1162" t="str">
        <f t="shared" si="53"/>
        <v>16Q</v>
      </c>
    </row>
    <row r="1163" spans="1:6" x14ac:dyDescent="0.2">
      <c r="A1163">
        <v>17</v>
      </c>
      <c r="E1163" t="str">
        <f t="shared" si="52"/>
        <v>R</v>
      </c>
      <c r="F1163" t="str">
        <f t="shared" si="53"/>
        <v>17R</v>
      </c>
    </row>
    <row r="1164" spans="1:6" x14ac:dyDescent="0.2">
      <c r="A1164">
        <v>18</v>
      </c>
      <c r="E1164" t="str">
        <f t="shared" si="52"/>
        <v>S</v>
      </c>
      <c r="F1164" t="str">
        <f t="shared" si="53"/>
        <v>18S</v>
      </c>
    </row>
    <row r="1165" spans="1:6" x14ac:dyDescent="0.2">
      <c r="A1165">
        <v>19</v>
      </c>
      <c r="E1165" t="str">
        <f t="shared" si="52"/>
        <v>T</v>
      </c>
      <c r="F1165" t="str">
        <f t="shared" si="53"/>
        <v>19T</v>
      </c>
    </row>
    <row r="1166" spans="1:6" x14ac:dyDescent="0.2">
      <c r="A1166">
        <v>20</v>
      </c>
      <c r="E1166" t="str">
        <f t="shared" si="52"/>
        <v>U</v>
      </c>
      <c r="F1166" t="str">
        <f t="shared" si="53"/>
        <v>20U</v>
      </c>
    </row>
    <row r="1167" spans="1:6" x14ac:dyDescent="0.2">
      <c r="A1167">
        <v>21</v>
      </c>
      <c r="E1167" t="str">
        <f t="shared" si="52"/>
        <v>V</v>
      </c>
      <c r="F1167" t="str">
        <f t="shared" si="53"/>
        <v>21V</v>
      </c>
    </row>
    <row r="1168" spans="1:6" x14ac:dyDescent="0.2">
      <c r="A1168">
        <v>22</v>
      </c>
      <c r="E1168" t="str">
        <f t="shared" si="52"/>
        <v>W</v>
      </c>
      <c r="F1168" t="str">
        <f t="shared" si="53"/>
        <v>22W</v>
      </c>
    </row>
    <row r="1169" spans="1:6" x14ac:dyDescent="0.2">
      <c r="A1169">
        <v>23</v>
      </c>
      <c r="E1169" t="str">
        <f t="shared" si="52"/>
        <v>X</v>
      </c>
      <c r="F1169" t="str">
        <f t="shared" si="53"/>
        <v>23X</v>
      </c>
    </row>
    <row r="1170" spans="1:6" x14ac:dyDescent="0.2">
      <c r="A1170">
        <v>24</v>
      </c>
      <c r="E1170" t="str">
        <f t="shared" si="52"/>
        <v>Y</v>
      </c>
      <c r="F1170" t="str">
        <f t="shared" si="53"/>
        <v>24Y</v>
      </c>
    </row>
    <row r="1171" spans="1:6" x14ac:dyDescent="0.2">
      <c r="A1171">
        <v>25</v>
      </c>
      <c r="E1171" t="str">
        <f t="shared" si="52"/>
        <v>Z</v>
      </c>
      <c r="F1171" t="str">
        <f t="shared" si="53"/>
        <v>25Z</v>
      </c>
    </row>
    <row r="1172" spans="1:6" x14ac:dyDescent="0.2">
      <c r="A1172">
        <v>0</v>
      </c>
      <c r="E1172" t="str">
        <f t="shared" si="52"/>
        <v>A</v>
      </c>
      <c r="F1172" t="str">
        <f t="shared" si="53"/>
        <v>0A</v>
      </c>
    </row>
    <row r="1173" spans="1:6" x14ac:dyDescent="0.2">
      <c r="A1173">
        <v>1</v>
      </c>
      <c r="E1173" t="str">
        <f t="shared" si="52"/>
        <v>B</v>
      </c>
      <c r="F1173" t="str">
        <f t="shared" si="53"/>
        <v>1B</v>
      </c>
    </row>
    <row r="1174" spans="1:6" x14ac:dyDescent="0.2">
      <c r="A1174">
        <v>2</v>
      </c>
      <c r="E1174" t="str">
        <f t="shared" si="52"/>
        <v>C</v>
      </c>
      <c r="F1174" t="str">
        <f t="shared" si="53"/>
        <v>2C</v>
      </c>
    </row>
    <row r="1175" spans="1:6" x14ac:dyDescent="0.2">
      <c r="A1175">
        <v>3</v>
      </c>
      <c r="E1175" t="str">
        <f t="shared" si="52"/>
        <v>D</v>
      </c>
      <c r="F1175" t="str">
        <f t="shared" si="53"/>
        <v>3D</v>
      </c>
    </row>
    <row r="1176" spans="1:6" x14ac:dyDescent="0.2">
      <c r="A1176">
        <v>4</v>
      </c>
      <c r="E1176" t="str">
        <f t="shared" si="52"/>
        <v>E</v>
      </c>
      <c r="F1176" t="str">
        <f t="shared" si="53"/>
        <v>4E</v>
      </c>
    </row>
    <row r="1177" spans="1:6" x14ac:dyDescent="0.2">
      <c r="A1177">
        <v>5</v>
      </c>
      <c r="E1177" t="str">
        <f t="shared" si="52"/>
        <v>F</v>
      </c>
      <c r="F1177" t="str">
        <f t="shared" si="53"/>
        <v>5F</v>
      </c>
    </row>
    <row r="1178" spans="1:6" x14ac:dyDescent="0.2">
      <c r="A1178">
        <v>6</v>
      </c>
      <c r="E1178" t="str">
        <f t="shared" si="52"/>
        <v>G</v>
      </c>
      <c r="F1178" t="str">
        <f t="shared" si="53"/>
        <v>6G</v>
      </c>
    </row>
    <row r="1179" spans="1:6" x14ac:dyDescent="0.2">
      <c r="A1179">
        <v>7</v>
      </c>
      <c r="E1179" t="str">
        <f t="shared" si="52"/>
        <v>H</v>
      </c>
      <c r="F1179" t="str">
        <f t="shared" si="53"/>
        <v>7H</v>
      </c>
    </row>
    <row r="1180" spans="1:6" x14ac:dyDescent="0.2">
      <c r="A1180">
        <v>8</v>
      </c>
      <c r="E1180" t="str">
        <f t="shared" si="52"/>
        <v>I</v>
      </c>
      <c r="F1180" t="str">
        <f t="shared" si="53"/>
        <v>8I</v>
      </c>
    </row>
    <row r="1181" spans="1:6" x14ac:dyDescent="0.2">
      <c r="A1181">
        <v>9</v>
      </c>
      <c r="E1181" t="str">
        <f t="shared" ref="E1181:E1244" si="54">E1155</f>
        <v>J</v>
      </c>
      <c r="F1181" t="str">
        <f t="shared" si="53"/>
        <v>9J</v>
      </c>
    </row>
    <row r="1182" spans="1:6" x14ac:dyDescent="0.2">
      <c r="A1182">
        <v>10</v>
      </c>
      <c r="E1182" t="str">
        <f t="shared" si="54"/>
        <v>K</v>
      </c>
      <c r="F1182" t="str">
        <f t="shared" si="53"/>
        <v>10K</v>
      </c>
    </row>
    <row r="1183" spans="1:6" x14ac:dyDescent="0.2">
      <c r="A1183">
        <v>11</v>
      </c>
      <c r="E1183" t="str">
        <f t="shared" si="54"/>
        <v>L</v>
      </c>
      <c r="F1183" t="str">
        <f t="shared" si="53"/>
        <v>11L</v>
      </c>
    </row>
    <row r="1184" spans="1:6" x14ac:dyDescent="0.2">
      <c r="A1184">
        <v>12</v>
      </c>
      <c r="E1184" t="str">
        <f t="shared" si="54"/>
        <v>M</v>
      </c>
      <c r="F1184" t="str">
        <f t="shared" si="53"/>
        <v>12M</v>
      </c>
    </row>
    <row r="1185" spans="1:6" x14ac:dyDescent="0.2">
      <c r="A1185">
        <v>13</v>
      </c>
      <c r="E1185" t="str">
        <f t="shared" si="54"/>
        <v>N</v>
      </c>
      <c r="F1185" t="str">
        <f t="shared" si="53"/>
        <v>13N</v>
      </c>
    </row>
    <row r="1186" spans="1:6" x14ac:dyDescent="0.2">
      <c r="A1186">
        <v>14</v>
      </c>
      <c r="E1186" t="str">
        <f t="shared" si="54"/>
        <v>O</v>
      </c>
      <c r="F1186" t="str">
        <f t="shared" si="53"/>
        <v>14O</v>
      </c>
    </row>
    <row r="1187" spans="1:6" x14ac:dyDescent="0.2">
      <c r="A1187">
        <v>15</v>
      </c>
      <c r="E1187" t="str">
        <f t="shared" si="54"/>
        <v>P</v>
      </c>
      <c r="F1187" t="str">
        <f t="shared" si="53"/>
        <v>15P</v>
      </c>
    </row>
    <row r="1188" spans="1:6" x14ac:dyDescent="0.2">
      <c r="A1188">
        <v>16</v>
      </c>
      <c r="E1188" t="str">
        <f t="shared" si="54"/>
        <v>Q</v>
      </c>
      <c r="F1188" t="str">
        <f t="shared" si="53"/>
        <v>16Q</v>
      </c>
    </row>
    <row r="1189" spans="1:6" x14ac:dyDescent="0.2">
      <c r="A1189">
        <v>17</v>
      </c>
      <c r="E1189" t="str">
        <f t="shared" si="54"/>
        <v>R</v>
      </c>
      <c r="F1189" t="str">
        <f t="shared" si="53"/>
        <v>17R</v>
      </c>
    </row>
    <row r="1190" spans="1:6" x14ac:dyDescent="0.2">
      <c r="A1190">
        <v>18</v>
      </c>
      <c r="E1190" t="str">
        <f t="shared" si="54"/>
        <v>S</v>
      </c>
      <c r="F1190" t="str">
        <f t="shared" si="53"/>
        <v>18S</v>
      </c>
    </row>
    <row r="1191" spans="1:6" x14ac:dyDescent="0.2">
      <c r="A1191">
        <v>19</v>
      </c>
      <c r="E1191" t="str">
        <f t="shared" si="54"/>
        <v>T</v>
      </c>
      <c r="F1191" t="str">
        <f t="shared" si="53"/>
        <v>19T</v>
      </c>
    </row>
    <row r="1192" spans="1:6" x14ac:dyDescent="0.2">
      <c r="A1192">
        <v>20</v>
      </c>
      <c r="E1192" t="str">
        <f t="shared" si="54"/>
        <v>U</v>
      </c>
      <c r="F1192" t="str">
        <f t="shared" si="53"/>
        <v>20U</v>
      </c>
    </row>
    <row r="1193" spans="1:6" x14ac:dyDescent="0.2">
      <c r="A1193">
        <v>21</v>
      </c>
      <c r="E1193" t="str">
        <f t="shared" si="54"/>
        <v>V</v>
      </c>
      <c r="F1193" t="str">
        <f t="shared" si="53"/>
        <v>21V</v>
      </c>
    </row>
    <row r="1194" spans="1:6" x14ac:dyDescent="0.2">
      <c r="A1194">
        <v>22</v>
      </c>
      <c r="E1194" t="str">
        <f t="shared" si="54"/>
        <v>W</v>
      </c>
      <c r="F1194" t="str">
        <f t="shared" si="53"/>
        <v>22W</v>
      </c>
    </row>
    <row r="1195" spans="1:6" x14ac:dyDescent="0.2">
      <c r="A1195">
        <v>23</v>
      </c>
      <c r="E1195" t="str">
        <f t="shared" si="54"/>
        <v>X</v>
      </c>
      <c r="F1195" t="str">
        <f t="shared" si="53"/>
        <v>23X</v>
      </c>
    </row>
    <row r="1196" spans="1:6" x14ac:dyDescent="0.2">
      <c r="A1196">
        <v>24</v>
      </c>
      <c r="E1196" t="str">
        <f t="shared" si="54"/>
        <v>Y</v>
      </c>
      <c r="F1196" t="str">
        <f t="shared" si="53"/>
        <v>24Y</v>
      </c>
    </row>
    <row r="1197" spans="1:6" x14ac:dyDescent="0.2">
      <c r="A1197">
        <v>25</v>
      </c>
      <c r="E1197" t="str">
        <f t="shared" si="54"/>
        <v>Z</v>
      </c>
      <c r="F1197" t="str">
        <f t="shared" si="53"/>
        <v>25Z</v>
      </c>
    </row>
    <row r="1198" spans="1:6" x14ac:dyDescent="0.2">
      <c r="A1198">
        <v>0</v>
      </c>
      <c r="E1198" t="str">
        <f t="shared" si="54"/>
        <v>A</v>
      </c>
      <c r="F1198" t="str">
        <f t="shared" si="53"/>
        <v>0A</v>
      </c>
    </row>
    <row r="1199" spans="1:6" x14ac:dyDescent="0.2">
      <c r="A1199">
        <v>1</v>
      </c>
      <c r="E1199" t="str">
        <f t="shared" si="54"/>
        <v>B</v>
      </c>
      <c r="F1199" t="str">
        <f t="shared" si="53"/>
        <v>1B</v>
      </c>
    </row>
    <row r="1200" spans="1:6" x14ac:dyDescent="0.2">
      <c r="A1200">
        <v>2</v>
      </c>
      <c r="E1200" t="str">
        <f t="shared" si="54"/>
        <v>C</v>
      </c>
      <c r="F1200" t="str">
        <f t="shared" si="53"/>
        <v>2C</v>
      </c>
    </row>
    <row r="1201" spans="1:6" x14ac:dyDescent="0.2">
      <c r="A1201">
        <v>3</v>
      </c>
      <c r="E1201" t="str">
        <f t="shared" si="54"/>
        <v>D</v>
      </c>
      <c r="F1201" t="str">
        <f t="shared" si="53"/>
        <v>3D</v>
      </c>
    </row>
    <row r="1202" spans="1:6" x14ac:dyDescent="0.2">
      <c r="A1202">
        <v>4</v>
      </c>
      <c r="E1202" t="str">
        <f t="shared" si="54"/>
        <v>E</v>
      </c>
      <c r="F1202" t="str">
        <f t="shared" si="53"/>
        <v>4E</v>
      </c>
    </row>
    <row r="1203" spans="1:6" x14ac:dyDescent="0.2">
      <c r="A1203">
        <v>5</v>
      </c>
      <c r="E1203" t="str">
        <f t="shared" si="54"/>
        <v>F</v>
      </c>
      <c r="F1203" t="str">
        <f t="shared" si="53"/>
        <v>5F</v>
      </c>
    </row>
    <row r="1204" spans="1:6" x14ac:dyDescent="0.2">
      <c r="A1204">
        <v>6</v>
      </c>
      <c r="E1204" t="str">
        <f t="shared" si="54"/>
        <v>G</v>
      </c>
      <c r="F1204" t="str">
        <f t="shared" si="53"/>
        <v>6G</v>
      </c>
    </row>
    <row r="1205" spans="1:6" x14ac:dyDescent="0.2">
      <c r="A1205">
        <v>7</v>
      </c>
      <c r="E1205" t="str">
        <f t="shared" si="54"/>
        <v>H</v>
      </c>
      <c r="F1205" t="str">
        <f t="shared" si="53"/>
        <v>7H</v>
      </c>
    </row>
    <row r="1206" spans="1:6" x14ac:dyDescent="0.2">
      <c r="A1206">
        <v>8</v>
      </c>
      <c r="E1206" t="str">
        <f t="shared" si="54"/>
        <v>I</v>
      </c>
      <c r="F1206" t="str">
        <f t="shared" si="53"/>
        <v>8I</v>
      </c>
    </row>
    <row r="1207" spans="1:6" x14ac:dyDescent="0.2">
      <c r="A1207">
        <v>9</v>
      </c>
      <c r="E1207" t="str">
        <f t="shared" si="54"/>
        <v>J</v>
      </c>
      <c r="F1207" t="str">
        <f t="shared" si="53"/>
        <v>9J</v>
      </c>
    </row>
    <row r="1208" spans="1:6" x14ac:dyDescent="0.2">
      <c r="A1208">
        <v>10</v>
      </c>
      <c r="E1208" t="str">
        <f t="shared" si="54"/>
        <v>K</v>
      </c>
      <c r="F1208" t="str">
        <f t="shared" si="53"/>
        <v>10K</v>
      </c>
    </row>
    <row r="1209" spans="1:6" x14ac:dyDescent="0.2">
      <c r="A1209">
        <v>11</v>
      </c>
      <c r="E1209" t="str">
        <f t="shared" si="54"/>
        <v>L</v>
      </c>
      <c r="F1209" t="str">
        <f t="shared" si="53"/>
        <v>11L</v>
      </c>
    </row>
    <row r="1210" spans="1:6" x14ac:dyDescent="0.2">
      <c r="A1210">
        <v>12</v>
      </c>
      <c r="E1210" t="str">
        <f t="shared" si="54"/>
        <v>M</v>
      </c>
      <c r="F1210" t="str">
        <f t="shared" si="53"/>
        <v>12M</v>
      </c>
    </row>
    <row r="1211" spans="1:6" x14ac:dyDescent="0.2">
      <c r="A1211">
        <v>13</v>
      </c>
      <c r="E1211" t="str">
        <f t="shared" si="54"/>
        <v>N</v>
      </c>
      <c r="F1211" t="str">
        <f t="shared" si="53"/>
        <v>13N</v>
      </c>
    </row>
    <row r="1212" spans="1:6" x14ac:dyDescent="0.2">
      <c r="A1212">
        <v>14</v>
      </c>
      <c r="E1212" t="str">
        <f t="shared" si="54"/>
        <v>O</v>
      </c>
      <c r="F1212" t="str">
        <f t="shared" si="53"/>
        <v>14O</v>
      </c>
    </row>
    <row r="1213" spans="1:6" x14ac:dyDescent="0.2">
      <c r="A1213">
        <v>15</v>
      </c>
      <c r="E1213" t="str">
        <f t="shared" si="54"/>
        <v>P</v>
      </c>
      <c r="F1213" t="str">
        <f t="shared" si="53"/>
        <v>15P</v>
      </c>
    </row>
    <row r="1214" spans="1:6" x14ac:dyDescent="0.2">
      <c r="A1214">
        <v>16</v>
      </c>
      <c r="E1214" t="str">
        <f t="shared" si="54"/>
        <v>Q</v>
      </c>
      <c r="F1214" t="str">
        <f t="shared" si="53"/>
        <v>16Q</v>
      </c>
    </row>
    <row r="1215" spans="1:6" x14ac:dyDescent="0.2">
      <c r="A1215">
        <v>17</v>
      </c>
      <c r="E1215" t="str">
        <f t="shared" si="54"/>
        <v>R</v>
      </c>
      <c r="F1215" t="str">
        <f t="shared" si="53"/>
        <v>17R</v>
      </c>
    </row>
    <row r="1216" spans="1:6" x14ac:dyDescent="0.2">
      <c r="A1216">
        <v>18</v>
      </c>
      <c r="E1216" t="str">
        <f t="shared" si="54"/>
        <v>S</v>
      </c>
      <c r="F1216" t="str">
        <f t="shared" si="53"/>
        <v>18S</v>
      </c>
    </row>
    <row r="1217" spans="1:6" x14ac:dyDescent="0.2">
      <c r="A1217">
        <v>19</v>
      </c>
      <c r="E1217" t="str">
        <f t="shared" si="54"/>
        <v>T</v>
      </c>
      <c r="F1217" t="str">
        <f t="shared" si="53"/>
        <v>19T</v>
      </c>
    </row>
    <row r="1218" spans="1:6" x14ac:dyDescent="0.2">
      <c r="A1218">
        <v>20</v>
      </c>
      <c r="E1218" t="str">
        <f t="shared" si="54"/>
        <v>U</v>
      </c>
      <c r="F1218" t="str">
        <f t="shared" si="53"/>
        <v>20U</v>
      </c>
    </row>
    <row r="1219" spans="1:6" x14ac:dyDescent="0.2">
      <c r="A1219">
        <v>21</v>
      </c>
      <c r="E1219" t="str">
        <f t="shared" si="54"/>
        <v>V</v>
      </c>
      <c r="F1219" t="str">
        <f t="shared" ref="F1219:F1282" si="55">A1219&amp;C1219&amp;E1219</f>
        <v>21V</v>
      </c>
    </row>
    <row r="1220" spans="1:6" x14ac:dyDescent="0.2">
      <c r="A1220">
        <v>22</v>
      </c>
      <c r="E1220" t="str">
        <f t="shared" si="54"/>
        <v>W</v>
      </c>
      <c r="F1220" t="str">
        <f t="shared" si="55"/>
        <v>22W</v>
      </c>
    </row>
    <row r="1221" spans="1:6" x14ac:dyDescent="0.2">
      <c r="A1221">
        <v>23</v>
      </c>
      <c r="E1221" t="str">
        <f t="shared" si="54"/>
        <v>X</v>
      </c>
      <c r="F1221" t="str">
        <f t="shared" si="55"/>
        <v>23X</v>
      </c>
    </row>
    <row r="1222" spans="1:6" x14ac:dyDescent="0.2">
      <c r="A1222">
        <v>24</v>
      </c>
      <c r="E1222" t="str">
        <f t="shared" si="54"/>
        <v>Y</v>
      </c>
      <c r="F1222" t="str">
        <f t="shared" si="55"/>
        <v>24Y</v>
      </c>
    </row>
    <row r="1223" spans="1:6" x14ac:dyDescent="0.2">
      <c r="A1223">
        <v>25</v>
      </c>
      <c r="E1223" t="str">
        <f t="shared" si="54"/>
        <v>Z</v>
      </c>
      <c r="F1223" t="str">
        <f t="shared" si="55"/>
        <v>25Z</v>
      </c>
    </row>
    <row r="1224" spans="1:6" x14ac:dyDescent="0.2">
      <c r="A1224">
        <v>0</v>
      </c>
      <c r="E1224" t="str">
        <f t="shared" si="54"/>
        <v>A</v>
      </c>
      <c r="F1224" t="str">
        <f t="shared" si="55"/>
        <v>0A</v>
      </c>
    </row>
    <row r="1225" spans="1:6" x14ac:dyDescent="0.2">
      <c r="A1225">
        <v>1</v>
      </c>
      <c r="E1225" t="str">
        <f t="shared" si="54"/>
        <v>B</v>
      </c>
      <c r="F1225" t="str">
        <f t="shared" si="55"/>
        <v>1B</v>
      </c>
    </row>
    <row r="1226" spans="1:6" x14ac:dyDescent="0.2">
      <c r="A1226">
        <v>2</v>
      </c>
      <c r="E1226" t="str">
        <f t="shared" si="54"/>
        <v>C</v>
      </c>
      <c r="F1226" t="str">
        <f t="shared" si="55"/>
        <v>2C</v>
      </c>
    </row>
    <row r="1227" spans="1:6" x14ac:dyDescent="0.2">
      <c r="A1227">
        <v>3</v>
      </c>
      <c r="E1227" t="str">
        <f t="shared" si="54"/>
        <v>D</v>
      </c>
      <c r="F1227" t="str">
        <f t="shared" si="55"/>
        <v>3D</v>
      </c>
    </row>
    <row r="1228" spans="1:6" x14ac:dyDescent="0.2">
      <c r="A1228">
        <v>4</v>
      </c>
      <c r="E1228" t="str">
        <f t="shared" si="54"/>
        <v>E</v>
      </c>
      <c r="F1228" t="str">
        <f t="shared" si="55"/>
        <v>4E</v>
      </c>
    </row>
    <row r="1229" spans="1:6" x14ac:dyDescent="0.2">
      <c r="A1229">
        <v>5</v>
      </c>
      <c r="E1229" t="str">
        <f t="shared" si="54"/>
        <v>F</v>
      </c>
      <c r="F1229" t="str">
        <f t="shared" si="55"/>
        <v>5F</v>
      </c>
    </row>
    <row r="1230" spans="1:6" x14ac:dyDescent="0.2">
      <c r="A1230">
        <v>6</v>
      </c>
      <c r="E1230" t="str">
        <f t="shared" si="54"/>
        <v>G</v>
      </c>
      <c r="F1230" t="str">
        <f t="shared" si="55"/>
        <v>6G</v>
      </c>
    </row>
    <row r="1231" spans="1:6" x14ac:dyDescent="0.2">
      <c r="A1231">
        <v>7</v>
      </c>
      <c r="E1231" t="str">
        <f t="shared" si="54"/>
        <v>H</v>
      </c>
      <c r="F1231" t="str">
        <f t="shared" si="55"/>
        <v>7H</v>
      </c>
    </row>
    <row r="1232" spans="1:6" x14ac:dyDescent="0.2">
      <c r="A1232">
        <v>8</v>
      </c>
      <c r="E1232" t="str">
        <f t="shared" si="54"/>
        <v>I</v>
      </c>
      <c r="F1232" t="str">
        <f t="shared" si="55"/>
        <v>8I</v>
      </c>
    </row>
    <row r="1233" spans="1:6" x14ac:dyDescent="0.2">
      <c r="A1233">
        <v>9</v>
      </c>
      <c r="E1233" t="str">
        <f t="shared" si="54"/>
        <v>J</v>
      </c>
      <c r="F1233" t="str">
        <f t="shared" si="55"/>
        <v>9J</v>
      </c>
    </row>
    <row r="1234" spans="1:6" x14ac:dyDescent="0.2">
      <c r="A1234">
        <v>10</v>
      </c>
      <c r="E1234" t="str">
        <f t="shared" si="54"/>
        <v>K</v>
      </c>
      <c r="F1234" t="str">
        <f t="shared" si="55"/>
        <v>10K</v>
      </c>
    </row>
    <row r="1235" spans="1:6" x14ac:dyDescent="0.2">
      <c r="A1235">
        <v>11</v>
      </c>
      <c r="E1235" t="str">
        <f t="shared" si="54"/>
        <v>L</v>
      </c>
      <c r="F1235" t="str">
        <f t="shared" si="55"/>
        <v>11L</v>
      </c>
    </row>
    <row r="1236" spans="1:6" x14ac:dyDescent="0.2">
      <c r="A1236">
        <v>12</v>
      </c>
      <c r="E1236" t="str">
        <f t="shared" si="54"/>
        <v>M</v>
      </c>
      <c r="F1236" t="str">
        <f t="shared" si="55"/>
        <v>12M</v>
      </c>
    </row>
    <row r="1237" spans="1:6" x14ac:dyDescent="0.2">
      <c r="A1237">
        <v>13</v>
      </c>
      <c r="E1237" t="str">
        <f t="shared" si="54"/>
        <v>N</v>
      </c>
      <c r="F1237" t="str">
        <f t="shared" si="55"/>
        <v>13N</v>
      </c>
    </row>
    <row r="1238" spans="1:6" x14ac:dyDescent="0.2">
      <c r="A1238">
        <v>14</v>
      </c>
      <c r="E1238" t="str">
        <f t="shared" si="54"/>
        <v>O</v>
      </c>
      <c r="F1238" t="str">
        <f t="shared" si="55"/>
        <v>14O</v>
      </c>
    </row>
    <row r="1239" spans="1:6" x14ac:dyDescent="0.2">
      <c r="A1239">
        <v>15</v>
      </c>
      <c r="E1239" t="str">
        <f t="shared" si="54"/>
        <v>P</v>
      </c>
      <c r="F1239" t="str">
        <f t="shared" si="55"/>
        <v>15P</v>
      </c>
    </row>
    <row r="1240" spans="1:6" x14ac:dyDescent="0.2">
      <c r="A1240">
        <v>16</v>
      </c>
      <c r="E1240" t="str">
        <f t="shared" si="54"/>
        <v>Q</v>
      </c>
      <c r="F1240" t="str">
        <f t="shared" si="55"/>
        <v>16Q</v>
      </c>
    </row>
    <row r="1241" spans="1:6" x14ac:dyDescent="0.2">
      <c r="A1241">
        <v>17</v>
      </c>
      <c r="E1241" t="str">
        <f t="shared" si="54"/>
        <v>R</v>
      </c>
      <c r="F1241" t="str">
        <f t="shared" si="55"/>
        <v>17R</v>
      </c>
    </row>
    <row r="1242" spans="1:6" x14ac:dyDescent="0.2">
      <c r="A1242">
        <v>18</v>
      </c>
      <c r="E1242" t="str">
        <f t="shared" si="54"/>
        <v>S</v>
      </c>
      <c r="F1242" t="str">
        <f t="shared" si="55"/>
        <v>18S</v>
      </c>
    </row>
    <row r="1243" spans="1:6" x14ac:dyDescent="0.2">
      <c r="A1243">
        <v>19</v>
      </c>
      <c r="E1243" t="str">
        <f t="shared" si="54"/>
        <v>T</v>
      </c>
      <c r="F1243" t="str">
        <f t="shared" si="55"/>
        <v>19T</v>
      </c>
    </row>
    <row r="1244" spans="1:6" x14ac:dyDescent="0.2">
      <c r="A1244">
        <v>20</v>
      </c>
      <c r="E1244" t="str">
        <f t="shared" si="54"/>
        <v>U</v>
      </c>
      <c r="F1244" t="str">
        <f t="shared" si="55"/>
        <v>20U</v>
      </c>
    </row>
    <row r="1245" spans="1:6" x14ac:dyDescent="0.2">
      <c r="A1245">
        <v>21</v>
      </c>
      <c r="E1245" t="str">
        <f t="shared" ref="E1245:E1308" si="56">E1219</f>
        <v>V</v>
      </c>
      <c r="F1245" t="str">
        <f t="shared" si="55"/>
        <v>21V</v>
      </c>
    </row>
    <row r="1246" spans="1:6" x14ac:dyDescent="0.2">
      <c r="A1246">
        <v>22</v>
      </c>
      <c r="E1246" t="str">
        <f t="shared" si="56"/>
        <v>W</v>
      </c>
      <c r="F1246" t="str">
        <f t="shared" si="55"/>
        <v>22W</v>
      </c>
    </row>
    <row r="1247" spans="1:6" x14ac:dyDescent="0.2">
      <c r="A1247">
        <v>23</v>
      </c>
      <c r="E1247" t="str">
        <f t="shared" si="56"/>
        <v>X</v>
      </c>
      <c r="F1247" t="str">
        <f t="shared" si="55"/>
        <v>23X</v>
      </c>
    </row>
    <row r="1248" spans="1:6" x14ac:dyDescent="0.2">
      <c r="A1248">
        <v>24</v>
      </c>
      <c r="E1248" t="str">
        <f t="shared" si="56"/>
        <v>Y</v>
      </c>
      <c r="F1248" t="str">
        <f t="shared" si="55"/>
        <v>24Y</v>
      </c>
    </row>
    <row r="1249" spans="1:6" x14ac:dyDescent="0.2">
      <c r="A1249">
        <v>25</v>
      </c>
      <c r="E1249" t="str">
        <f t="shared" si="56"/>
        <v>Z</v>
      </c>
      <c r="F1249" t="str">
        <f t="shared" si="55"/>
        <v>25Z</v>
      </c>
    </row>
    <row r="1250" spans="1:6" x14ac:dyDescent="0.2">
      <c r="A1250">
        <v>0</v>
      </c>
      <c r="E1250" t="str">
        <f t="shared" si="56"/>
        <v>A</v>
      </c>
      <c r="F1250" t="str">
        <f t="shared" si="55"/>
        <v>0A</v>
      </c>
    </row>
    <row r="1251" spans="1:6" x14ac:dyDescent="0.2">
      <c r="A1251">
        <v>1</v>
      </c>
      <c r="E1251" t="str">
        <f t="shared" si="56"/>
        <v>B</v>
      </c>
      <c r="F1251" t="str">
        <f t="shared" si="55"/>
        <v>1B</v>
      </c>
    </row>
    <row r="1252" spans="1:6" x14ac:dyDescent="0.2">
      <c r="A1252">
        <v>2</v>
      </c>
      <c r="E1252" t="str">
        <f t="shared" si="56"/>
        <v>C</v>
      </c>
      <c r="F1252" t="str">
        <f t="shared" si="55"/>
        <v>2C</v>
      </c>
    </row>
    <row r="1253" spans="1:6" x14ac:dyDescent="0.2">
      <c r="A1253">
        <v>3</v>
      </c>
      <c r="E1253" t="str">
        <f t="shared" si="56"/>
        <v>D</v>
      </c>
      <c r="F1253" t="str">
        <f t="shared" si="55"/>
        <v>3D</v>
      </c>
    </row>
    <row r="1254" spans="1:6" x14ac:dyDescent="0.2">
      <c r="A1254">
        <v>4</v>
      </c>
      <c r="E1254" t="str">
        <f t="shared" si="56"/>
        <v>E</v>
      </c>
      <c r="F1254" t="str">
        <f t="shared" si="55"/>
        <v>4E</v>
      </c>
    </row>
    <row r="1255" spans="1:6" x14ac:dyDescent="0.2">
      <c r="A1255">
        <v>5</v>
      </c>
      <c r="E1255" t="str">
        <f t="shared" si="56"/>
        <v>F</v>
      </c>
      <c r="F1255" t="str">
        <f t="shared" si="55"/>
        <v>5F</v>
      </c>
    </row>
    <row r="1256" spans="1:6" x14ac:dyDescent="0.2">
      <c r="A1256">
        <v>6</v>
      </c>
      <c r="E1256" t="str">
        <f t="shared" si="56"/>
        <v>G</v>
      </c>
      <c r="F1256" t="str">
        <f t="shared" si="55"/>
        <v>6G</v>
      </c>
    </row>
    <row r="1257" spans="1:6" x14ac:dyDescent="0.2">
      <c r="A1257">
        <v>7</v>
      </c>
      <c r="E1257" t="str">
        <f t="shared" si="56"/>
        <v>H</v>
      </c>
      <c r="F1257" t="str">
        <f t="shared" si="55"/>
        <v>7H</v>
      </c>
    </row>
    <row r="1258" spans="1:6" x14ac:dyDescent="0.2">
      <c r="A1258">
        <v>8</v>
      </c>
      <c r="E1258" t="str">
        <f t="shared" si="56"/>
        <v>I</v>
      </c>
      <c r="F1258" t="str">
        <f t="shared" si="55"/>
        <v>8I</v>
      </c>
    </row>
    <row r="1259" spans="1:6" x14ac:dyDescent="0.2">
      <c r="A1259">
        <v>9</v>
      </c>
      <c r="E1259" t="str">
        <f t="shared" si="56"/>
        <v>J</v>
      </c>
      <c r="F1259" t="str">
        <f t="shared" si="55"/>
        <v>9J</v>
      </c>
    </row>
    <row r="1260" spans="1:6" x14ac:dyDescent="0.2">
      <c r="A1260">
        <v>10</v>
      </c>
      <c r="E1260" t="str">
        <f t="shared" si="56"/>
        <v>K</v>
      </c>
      <c r="F1260" t="str">
        <f t="shared" si="55"/>
        <v>10K</v>
      </c>
    </row>
    <row r="1261" spans="1:6" x14ac:dyDescent="0.2">
      <c r="A1261">
        <v>11</v>
      </c>
      <c r="E1261" t="str">
        <f t="shared" si="56"/>
        <v>L</v>
      </c>
      <c r="F1261" t="str">
        <f t="shared" si="55"/>
        <v>11L</v>
      </c>
    </row>
    <row r="1262" spans="1:6" x14ac:dyDescent="0.2">
      <c r="A1262">
        <v>12</v>
      </c>
      <c r="E1262" t="str">
        <f t="shared" si="56"/>
        <v>M</v>
      </c>
      <c r="F1262" t="str">
        <f t="shared" si="55"/>
        <v>12M</v>
      </c>
    </row>
    <row r="1263" spans="1:6" x14ac:dyDescent="0.2">
      <c r="A1263">
        <v>13</v>
      </c>
      <c r="E1263" t="str">
        <f t="shared" si="56"/>
        <v>N</v>
      </c>
      <c r="F1263" t="str">
        <f t="shared" si="55"/>
        <v>13N</v>
      </c>
    </row>
    <row r="1264" spans="1:6" x14ac:dyDescent="0.2">
      <c r="A1264">
        <v>14</v>
      </c>
      <c r="E1264" t="str">
        <f t="shared" si="56"/>
        <v>O</v>
      </c>
      <c r="F1264" t="str">
        <f t="shared" si="55"/>
        <v>14O</v>
      </c>
    </row>
    <row r="1265" spans="1:6" x14ac:dyDescent="0.2">
      <c r="A1265">
        <v>15</v>
      </c>
      <c r="E1265" t="str">
        <f t="shared" si="56"/>
        <v>P</v>
      </c>
      <c r="F1265" t="str">
        <f t="shared" si="55"/>
        <v>15P</v>
      </c>
    </row>
    <row r="1266" spans="1:6" x14ac:dyDescent="0.2">
      <c r="A1266">
        <v>16</v>
      </c>
      <c r="E1266" t="str">
        <f t="shared" si="56"/>
        <v>Q</v>
      </c>
      <c r="F1266" t="str">
        <f t="shared" si="55"/>
        <v>16Q</v>
      </c>
    </row>
    <row r="1267" spans="1:6" x14ac:dyDescent="0.2">
      <c r="A1267">
        <v>17</v>
      </c>
      <c r="E1267" t="str">
        <f t="shared" si="56"/>
        <v>R</v>
      </c>
      <c r="F1267" t="str">
        <f t="shared" si="55"/>
        <v>17R</v>
      </c>
    </row>
    <row r="1268" spans="1:6" x14ac:dyDescent="0.2">
      <c r="A1268">
        <v>18</v>
      </c>
      <c r="E1268" t="str">
        <f t="shared" si="56"/>
        <v>S</v>
      </c>
      <c r="F1268" t="str">
        <f t="shared" si="55"/>
        <v>18S</v>
      </c>
    </row>
    <row r="1269" spans="1:6" x14ac:dyDescent="0.2">
      <c r="A1269">
        <v>19</v>
      </c>
      <c r="E1269" t="str">
        <f t="shared" si="56"/>
        <v>T</v>
      </c>
      <c r="F1269" t="str">
        <f t="shared" si="55"/>
        <v>19T</v>
      </c>
    </row>
    <row r="1270" spans="1:6" x14ac:dyDescent="0.2">
      <c r="A1270">
        <v>20</v>
      </c>
      <c r="E1270" t="str">
        <f t="shared" si="56"/>
        <v>U</v>
      </c>
      <c r="F1270" t="str">
        <f t="shared" si="55"/>
        <v>20U</v>
      </c>
    </row>
    <row r="1271" spans="1:6" x14ac:dyDescent="0.2">
      <c r="A1271">
        <v>21</v>
      </c>
      <c r="E1271" t="str">
        <f t="shared" si="56"/>
        <v>V</v>
      </c>
      <c r="F1271" t="str">
        <f t="shared" si="55"/>
        <v>21V</v>
      </c>
    </row>
    <row r="1272" spans="1:6" x14ac:dyDescent="0.2">
      <c r="A1272">
        <v>22</v>
      </c>
      <c r="E1272" t="str">
        <f t="shared" si="56"/>
        <v>W</v>
      </c>
      <c r="F1272" t="str">
        <f t="shared" si="55"/>
        <v>22W</v>
      </c>
    </row>
    <row r="1273" spans="1:6" x14ac:dyDescent="0.2">
      <c r="A1273">
        <v>23</v>
      </c>
      <c r="E1273" t="str">
        <f t="shared" si="56"/>
        <v>X</v>
      </c>
      <c r="F1273" t="str">
        <f t="shared" si="55"/>
        <v>23X</v>
      </c>
    </row>
    <row r="1274" spans="1:6" x14ac:dyDescent="0.2">
      <c r="A1274">
        <v>24</v>
      </c>
      <c r="E1274" t="str">
        <f t="shared" si="56"/>
        <v>Y</v>
      </c>
      <c r="F1274" t="str">
        <f t="shared" si="55"/>
        <v>24Y</v>
      </c>
    </row>
    <row r="1275" spans="1:6" x14ac:dyDescent="0.2">
      <c r="A1275">
        <v>25</v>
      </c>
      <c r="E1275" t="str">
        <f t="shared" si="56"/>
        <v>Z</v>
      </c>
      <c r="F1275" t="str">
        <f t="shared" si="55"/>
        <v>25Z</v>
      </c>
    </row>
    <row r="1276" spans="1:6" x14ac:dyDescent="0.2">
      <c r="A1276">
        <v>0</v>
      </c>
      <c r="E1276" t="str">
        <f t="shared" si="56"/>
        <v>A</v>
      </c>
      <c r="F1276" t="str">
        <f t="shared" si="55"/>
        <v>0A</v>
      </c>
    </row>
    <row r="1277" spans="1:6" x14ac:dyDescent="0.2">
      <c r="A1277">
        <v>1</v>
      </c>
      <c r="E1277" t="str">
        <f t="shared" si="56"/>
        <v>B</v>
      </c>
      <c r="F1277" t="str">
        <f t="shared" si="55"/>
        <v>1B</v>
      </c>
    </row>
    <row r="1278" spans="1:6" x14ac:dyDescent="0.2">
      <c r="A1278">
        <v>2</v>
      </c>
      <c r="E1278" t="str">
        <f t="shared" si="56"/>
        <v>C</v>
      </c>
      <c r="F1278" t="str">
        <f t="shared" si="55"/>
        <v>2C</v>
      </c>
    </row>
    <row r="1279" spans="1:6" x14ac:dyDescent="0.2">
      <c r="A1279">
        <v>3</v>
      </c>
      <c r="E1279" t="str">
        <f t="shared" si="56"/>
        <v>D</v>
      </c>
      <c r="F1279" t="str">
        <f t="shared" si="55"/>
        <v>3D</v>
      </c>
    </row>
    <row r="1280" spans="1:6" x14ac:dyDescent="0.2">
      <c r="A1280">
        <v>4</v>
      </c>
      <c r="E1280" t="str">
        <f t="shared" si="56"/>
        <v>E</v>
      </c>
      <c r="F1280" t="str">
        <f t="shared" si="55"/>
        <v>4E</v>
      </c>
    </row>
    <row r="1281" spans="1:6" x14ac:dyDescent="0.2">
      <c r="A1281">
        <v>5</v>
      </c>
      <c r="E1281" t="str">
        <f t="shared" si="56"/>
        <v>F</v>
      </c>
      <c r="F1281" t="str">
        <f t="shared" si="55"/>
        <v>5F</v>
      </c>
    </row>
    <row r="1282" spans="1:6" x14ac:dyDescent="0.2">
      <c r="A1282">
        <v>6</v>
      </c>
      <c r="E1282" t="str">
        <f t="shared" si="56"/>
        <v>G</v>
      </c>
      <c r="F1282" t="str">
        <f t="shared" si="55"/>
        <v>6G</v>
      </c>
    </row>
    <row r="1283" spans="1:6" x14ac:dyDescent="0.2">
      <c r="A1283">
        <v>7</v>
      </c>
      <c r="E1283" t="str">
        <f t="shared" si="56"/>
        <v>H</v>
      </c>
      <c r="F1283" t="str">
        <f t="shared" ref="F1283:F1346" si="57">A1283&amp;C1283&amp;E1283</f>
        <v>7H</v>
      </c>
    </row>
    <row r="1284" spans="1:6" x14ac:dyDescent="0.2">
      <c r="A1284">
        <v>8</v>
      </c>
      <c r="E1284" t="str">
        <f t="shared" si="56"/>
        <v>I</v>
      </c>
      <c r="F1284" t="str">
        <f t="shared" si="57"/>
        <v>8I</v>
      </c>
    </row>
    <row r="1285" spans="1:6" x14ac:dyDescent="0.2">
      <c r="A1285">
        <v>9</v>
      </c>
      <c r="E1285" t="str">
        <f t="shared" si="56"/>
        <v>J</v>
      </c>
      <c r="F1285" t="str">
        <f t="shared" si="57"/>
        <v>9J</v>
      </c>
    </row>
    <row r="1286" spans="1:6" x14ac:dyDescent="0.2">
      <c r="A1286">
        <v>10</v>
      </c>
      <c r="E1286" t="str">
        <f t="shared" si="56"/>
        <v>K</v>
      </c>
      <c r="F1286" t="str">
        <f t="shared" si="57"/>
        <v>10K</v>
      </c>
    </row>
    <row r="1287" spans="1:6" x14ac:dyDescent="0.2">
      <c r="A1287">
        <v>11</v>
      </c>
      <c r="E1287" t="str">
        <f t="shared" si="56"/>
        <v>L</v>
      </c>
      <c r="F1287" t="str">
        <f t="shared" si="57"/>
        <v>11L</v>
      </c>
    </row>
    <row r="1288" spans="1:6" x14ac:dyDescent="0.2">
      <c r="A1288">
        <v>12</v>
      </c>
      <c r="E1288" t="str">
        <f t="shared" si="56"/>
        <v>M</v>
      </c>
      <c r="F1288" t="str">
        <f t="shared" si="57"/>
        <v>12M</v>
      </c>
    </row>
    <row r="1289" spans="1:6" x14ac:dyDescent="0.2">
      <c r="A1289">
        <v>13</v>
      </c>
      <c r="E1289" t="str">
        <f t="shared" si="56"/>
        <v>N</v>
      </c>
      <c r="F1289" t="str">
        <f t="shared" si="57"/>
        <v>13N</v>
      </c>
    </row>
    <row r="1290" spans="1:6" x14ac:dyDescent="0.2">
      <c r="A1290">
        <v>14</v>
      </c>
      <c r="E1290" t="str">
        <f t="shared" si="56"/>
        <v>O</v>
      </c>
      <c r="F1290" t="str">
        <f t="shared" si="57"/>
        <v>14O</v>
      </c>
    </row>
    <row r="1291" spans="1:6" x14ac:dyDescent="0.2">
      <c r="A1291">
        <v>15</v>
      </c>
      <c r="E1291" t="str">
        <f t="shared" si="56"/>
        <v>P</v>
      </c>
      <c r="F1291" t="str">
        <f t="shared" si="57"/>
        <v>15P</v>
      </c>
    </row>
    <row r="1292" spans="1:6" x14ac:dyDescent="0.2">
      <c r="A1292">
        <v>16</v>
      </c>
      <c r="E1292" t="str">
        <f t="shared" si="56"/>
        <v>Q</v>
      </c>
      <c r="F1292" t="str">
        <f t="shared" si="57"/>
        <v>16Q</v>
      </c>
    </row>
    <row r="1293" spans="1:6" x14ac:dyDescent="0.2">
      <c r="A1293">
        <v>17</v>
      </c>
      <c r="E1293" t="str">
        <f t="shared" si="56"/>
        <v>R</v>
      </c>
      <c r="F1293" t="str">
        <f t="shared" si="57"/>
        <v>17R</v>
      </c>
    </row>
    <row r="1294" spans="1:6" x14ac:dyDescent="0.2">
      <c r="A1294">
        <v>18</v>
      </c>
      <c r="E1294" t="str">
        <f t="shared" si="56"/>
        <v>S</v>
      </c>
      <c r="F1294" t="str">
        <f t="shared" si="57"/>
        <v>18S</v>
      </c>
    </row>
    <row r="1295" spans="1:6" x14ac:dyDescent="0.2">
      <c r="A1295">
        <v>19</v>
      </c>
      <c r="E1295" t="str">
        <f t="shared" si="56"/>
        <v>T</v>
      </c>
      <c r="F1295" t="str">
        <f t="shared" si="57"/>
        <v>19T</v>
      </c>
    </row>
    <row r="1296" spans="1:6" x14ac:dyDescent="0.2">
      <c r="A1296">
        <v>20</v>
      </c>
      <c r="E1296" t="str">
        <f t="shared" si="56"/>
        <v>U</v>
      </c>
      <c r="F1296" t="str">
        <f t="shared" si="57"/>
        <v>20U</v>
      </c>
    </row>
    <row r="1297" spans="1:6" x14ac:dyDescent="0.2">
      <c r="A1297">
        <v>21</v>
      </c>
      <c r="E1297" t="str">
        <f t="shared" si="56"/>
        <v>V</v>
      </c>
      <c r="F1297" t="str">
        <f t="shared" si="57"/>
        <v>21V</v>
      </c>
    </row>
    <row r="1298" spans="1:6" x14ac:dyDescent="0.2">
      <c r="A1298">
        <v>22</v>
      </c>
      <c r="E1298" t="str">
        <f t="shared" si="56"/>
        <v>W</v>
      </c>
      <c r="F1298" t="str">
        <f t="shared" si="57"/>
        <v>22W</v>
      </c>
    </row>
    <row r="1299" spans="1:6" x14ac:dyDescent="0.2">
      <c r="A1299">
        <v>23</v>
      </c>
      <c r="E1299" t="str">
        <f t="shared" si="56"/>
        <v>X</v>
      </c>
      <c r="F1299" t="str">
        <f t="shared" si="57"/>
        <v>23X</v>
      </c>
    </row>
    <row r="1300" spans="1:6" x14ac:dyDescent="0.2">
      <c r="A1300">
        <v>24</v>
      </c>
      <c r="E1300" t="str">
        <f t="shared" si="56"/>
        <v>Y</v>
      </c>
      <c r="F1300" t="str">
        <f t="shared" si="57"/>
        <v>24Y</v>
      </c>
    </row>
    <row r="1301" spans="1:6" x14ac:dyDescent="0.2">
      <c r="A1301">
        <v>25</v>
      </c>
      <c r="E1301" t="str">
        <f t="shared" si="56"/>
        <v>Z</v>
      </c>
      <c r="F1301" t="str">
        <f t="shared" si="57"/>
        <v>25Z</v>
      </c>
    </row>
    <row r="1302" spans="1:6" x14ac:dyDescent="0.2">
      <c r="A1302">
        <v>0</v>
      </c>
      <c r="E1302" t="str">
        <f t="shared" si="56"/>
        <v>A</v>
      </c>
      <c r="F1302" t="str">
        <f t="shared" si="57"/>
        <v>0A</v>
      </c>
    </row>
    <row r="1303" spans="1:6" x14ac:dyDescent="0.2">
      <c r="A1303">
        <v>1</v>
      </c>
      <c r="E1303" t="str">
        <f t="shared" si="56"/>
        <v>B</v>
      </c>
      <c r="F1303" t="str">
        <f t="shared" si="57"/>
        <v>1B</v>
      </c>
    </row>
    <row r="1304" spans="1:6" x14ac:dyDescent="0.2">
      <c r="A1304">
        <v>2</v>
      </c>
      <c r="E1304" t="str">
        <f t="shared" si="56"/>
        <v>C</v>
      </c>
      <c r="F1304" t="str">
        <f t="shared" si="57"/>
        <v>2C</v>
      </c>
    </row>
    <row r="1305" spans="1:6" x14ac:dyDescent="0.2">
      <c r="A1305">
        <v>3</v>
      </c>
      <c r="E1305" t="str">
        <f t="shared" si="56"/>
        <v>D</v>
      </c>
      <c r="F1305" t="str">
        <f t="shared" si="57"/>
        <v>3D</v>
      </c>
    </row>
    <row r="1306" spans="1:6" x14ac:dyDescent="0.2">
      <c r="A1306">
        <v>4</v>
      </c>
      <c r="E1306" t="str">
        <f t="shared" si="56"/>
        <v>E</v>
      </c>
      <c r="F1306" t="str">
        <f t="shared" si="57"/>
        <v>4E</v>
      </c>
    </row>
    <row r="1307" spans="1:6" x14ac:dyDescent="0.2">
      <c r="A1307">
        <v>5</v>
      </c>
      <c r="E1307" t="str">
        <f t="shared" si="56"/>
        <v>F</v>
      </c>
      <c r="F1307" t="str">
        <f t="shared" si="57"/>
        <v>5F</v>
      </c>
    </row>
    <row r="1308" spans="1:6" x14ac:dyDescent="0.2">
      <c r="A1308">
        <v>6</v>
      </c>
      <c r="E1308" t="str">
        <f t="shared" si="56"/>
        <v>G</v>
      </c>
      <c r="F1308" t="str">
        <f t="shared" si="57"/>
        <v>6G</v>
      </c>
    </row>
    <row r="1309" spans="1:6" x14ac:dyDescent="0.2">
      <c r="A1309">
        <v>7</v>
      </c>
      <c r="E1309" t="str">
        <f t="shared" ref="E1309:E1372" si="58">E1283</f>
        <v>H</v>
      </c>
      <c r="F1309" t="str">
        <f t="shared" si="57"/>
        <v>7H</v>
      </c>
    </row>
    <row r="1310" spans="1:6" x14ac:dyDescent="0.2">
      <c r="A1310">
        <v>8</v>
      </c>
      <c r="E1310" t="str">
        <f t="shared" si="58"/>
        <v>I</v>
      </c>
      <c r="F1310" t="str">
        <f t="shared" si="57"/>
        <v>8I</v>
      </c>
    </row>
    <row r="1311" spans="1:6" x14ac:dyDescent="0.2">
      <c r="A1311">
        <v>9</v>
      </c>
      <c r="E1311" t="str">
        <f t="shared" si="58"/>
        <v>J</v>
      </c>
      <c r="F1311" t="str">
        <f t="shared" si="57"/>
        <v>9J</v>
      </c>
    </row>
    <row r="1312" spans="1:6" x14ac:dyDescent="0.2">
      <c r="A1312">
        <v>10</v>
      </c>
      <c r="E1312" t="str">
        <f t="shared" si="58"/>
        <v>K</v>
      </c>
      <c r="F1312" t="str">
        <f t="shared" si="57"/>
        <v>10K</v>
      </c>
    </row>
    <row r="1313" spans="1:6" x14ac:dyDescent="0.2">
      <c r="A1313">
        <v>11</v>
      </c>
      <c r="E1313" t="str">
        <f t="shared" si="58"/>
        <v>L</v>
      </c>
      <c r="F1313" t="str">
        <f t="shared" si="57"/>
        <v>11L</v>
      </c>
    </row>
    <row r="1314" spans="1:6" x14ac:dyDescent="0.2">
      <c r="A1314">
        <v>12</v>
      </c>
      <c r="E1314" t="str">
        <f t="shared" si="58"/>
        <v>M</v>
      </c>
      <c r="F1314" t="str">
        <f t="shared" si="57"/>
        <v>12M</v>
      </c>
    </row>
    <row r="1315" spans="1:6" x14ac:dyDescent="0.2">
      <c r="A1315">
        <v>13</v>
      </c>
      <c r="E1315" t="str">
        <f t="shared" si="58"/>
        <v>N</v>
      </c>
      <c r="F1315" t="str">
        <f t="shared" si="57"/>
        <v>13N</v>
      </c>
    </row>
    <row r="1316" spans="1:6" x14ac:dyDescent="0.2">
      <c r="A1316">
        <v>14</v>
      </c>
      <c r="E1316" t="str">
        <f t="shared" si="58"/>
        <v>O</v>
      </c>
      <c r="F1316" t="str">
        <f t="shared" si="57"/>
        <v>14O</v>
      </c>
    </row>
    <row r="1317" spans="1:6" x14ac:dyDescent="0.2">
      <c r="A1317">
        <v>15</v>
      </c>
      <c r="E1317" t="str">
        <f t="shared" si="58"/>
        <v>P</v>
      </c>
      <c r="F1317" t="str">
        <f t="shared" si="57"/>
        <v>15P</v>
      </c>
    </row>
    <row r="1318" spans="1:6" x14ac:dyDescent="0.2">
      <c r="A1318">
        <v>16</v>
      </c>
      <c r="E1318" t="str">
        <f t="shared" si="58"/>
        <v>Q</v>
      </c>
      <c r="F1318" t="str">
        <f t="shared" si="57"/>
        <v>16Q</v>
      </c>
    </row>
    <row r="1319" spans="1:6" x14ac:dyDescent="0.2">
      <c r="A1319">
        <v>17</v>
      </c>
      <c r="E1319" t="str">
        <f t="shared" si="58"/>
        <v>R</v>
      </c>
      <c r="F1319" t="str">
        <f t="shared" si="57"/>
        <v>17R</v>
      </c>
    </row>
    <row r="1320" spans="1:6" x14ac:dyDescent="0.2">
      <c r="A1320">
        <v>18</v>
      </c>
      <c r="E1320" t="str">
        <f t="shared" si="58"/>
        <v>S</v>
      </c>
      <c r="F1320" t="str">
        <f t="shared" si="57"/>
        <v>18S</v>
      </c>
    </row>
    <row r="1321" spans="1:6" x14ac:dyDescent="0.2">
      <c r="A1321">
        <v>19</v>
      </c>
      <c r="E1321" t="str">
        <f t="shared" si="58"/>
        <v>T</v>
      </c>
      <c r="F1321" t="str">
        <f t="shared" si="57"/>
        <v>19T</v>
      </c>
    </row>
    <row r="1322" spans="1:6" x14ac:dyDescent="0.2">
      <c r="A1322">
        <v>20</v>
      </c>
      <c r="E1322" t="str">
        <f t="shared" si="58"/>
        <v>U</v>
      </c>
      <c r="F1322" t="str">
        <f t="shared" si="57"/>
        <v>20U</v>
      </c>
    </row>
    <row r="1323" spans="1:6" x14ac:dyDescent="0.2">
      <c r="A1323">
        <v>21</v>
      </c>
      <c r="E1323" t="str">
        <f t="shared" si="58"/>
        <v>V</v>
      </c>
      <c r="F1323" t="str">
        <f t="shared" si="57"/>
        <v>21V</v>
      </c>
    </row>
    <row r="1324" spans="1:6" x14ac:dyDescent="0.2">
      <c r="A1324">
        <v>22</v>
      </c>
      <c r="E1324" t="str">
        <f t="shared" si="58"/>
        <v>W</v>
      </c>
      <c r="F1324" t="str">
        <f t="shared" si="57"/>
        <v>22W</v>
      </c>
    </row>
    <row r="1325" spans="1:6" x14ac:dyDescent="0.2">
      <c r="A1325">
        <v>23</v>
      </c>
      <c r="E1325" t="str">
        <f t="shared" si="58"/>
        <v>X</v>
      </c>
      <c r="F1325" t="str">
        <f t="shared" si="57"/>
        <v>23X</v>
      </c>
    </row>
    <row r="1326" spans="1:6" x14ac:dyDescent="0.2">
      <c r="A1326">
        <v>24</v>
      </c>
      <c r="E1326" t="str">
        <f t="shared" si="58"/>
        <v>Y</v>
      </c>
      <c r="F1326" t="str">
        <f t="shared" si="57"/>
        <v>24Y</v>
      </c>
    </row>
    <row r="1327" spans="1:6" x14ac:dyDescent="0.2">
      <c r="A1327">
        <v>25</v>
      </c>
      <c r="E1327" t="str">
        <f t="shared" si="58"/>
        <v>Z</v>
      </c>
      <c r="F1327" t="str">
        <f t="shared" si="57"/>
        <v>25Z</v>
      </c>
    </row>
    <row r="1328" spans="1:6" x14ac:dyDescent="0.2">
      <c r="A1328">
        <v>0</v>
      </c>
      <c r="E1328" t="str">
        <f t="shared" si="58"/>
        <v>A</v>
      </c>
      <c r="F1328" t="str">
        <f t="shared" si="57"/>
        <v>0A</v>
      </c>
    </row>
    <row r="1329" spans="1:6" x14ac:dyDescent="0.2">
      <c r="A1329">
        <v>1</v>
      </c>
      <c r="E1329" t="str">
        <f t="shared" si="58"/>
        <v>B</v>
      </c>
      <c r="F1329" t="str">
        <f t="shared" si="57"/>
        <v>1B</v>
      </c>
    </row>
    <row r="1330" spans="1:6" x14ac:dyDescent="0.2">
      <c r="A1330">
        <v>2</v>
      </c>
      <c r="E1330" t="str">
        <f t="shared" si="58"/>
        <v>C</v>
      </c>
      <c r="F1330" t="str">
        <f t="shared" si="57"/>
        <v>2C</v>
      </c>
    </row>
    <row r="1331" spans="1:6" x14ac:dyDescent="0.2">
      <c r="A1331">
        <v>3</v>
      </c>
      <c r="E1331" t="str">
        <f t="shared" si="58"/>
        <v>D</v>
      </c>
      <c r="F1331" t="str">
        <f t="shared" si="57"/>
        <v>3D</v>
      </c>
    </row>
    <row r="1332" spans="1:6" x14ac:dyDescent="0.2">
      <c r="A1332">
        <v>4</v>
      </c>
      <c r="E1332" t="str">
        <f t="shared" si="58"/>
        <v>E</v>
      </c>
      <c r="F1332" t="str">
        <f t="shared" si="57"/>
        <v>4E</v>
      </c>
    </row>
    <row r="1333" spans="1:6" x14ac:dyDescent="0.2">
      <c r="A1333">
        <v>5</v>
      </c>
      <c r="E1333" t="str">
        <f t="shared" si="58"/>
        <v>F</v>
      </c>
      <c r="F1333" t="str">
        <f t="shared" si="57"/>
        <v>5F</v>
      </c>
    </row>
    <row r="1334" spans="1:6" x14ac:dyDescent="0.2">
      <c r="A1334">
        <v>6</v>
      </c>
      <c r="E1334" t="str">
        <f t="shared" si="58"/>
        <v>G</v>
      </c>
      <c r="F1334" t="str">
        <f t="shared" si="57"/>
        <v>6G</v>
      </c>
    </row>
    <row r="1335" spans="1:6" x14ac:dyDescent="0.2">
      <c r="A1335">
        <v>7</v>
      </c>
      <c r="E1335" t="str">
        <f t="shared" si="58"/>
        <v>H</v>
      </c>
      <c r="F1335" t="str">
        <f t="shared" si="57"/>
        <v>7H</v>
      </c>
    </row>
    <row r="1336" spans="1:6" x14ac:dyDescent="0.2">
      <c r="A1336">
        <v>8</v>
      </c>
      <c r="E1336" t="str">
        <f t="shared" si="58"/>
        <v>I</v>
      </c>
      <c r="F1336" t="str">
        <f t="shared" si="57"/>
        <v>8I</v>
      </c>
    </row>
    <row r="1337" spans="1:6" x14ac:dyDescent="0.2">
      <c r="A1337">
        <v>9</v>
      </c>
      <c r="E1337" t="str">
        <f t="shared" si="58"/>
        <v>J</v>
      </c>
      <c r="F1337" t="str">
        <f t="shared" si="57"/>
        <v>9J</v>
      </c>
    </row>
    <row r="1338" spans="1:6" x14ac:dyDescent="0.2">
      <c r="A1338">
        <v>10</v>
      </c>
      <c r="E1338" t="str">
        <f t="shared" si="58"/>
        <v>K</v>
      </c>
      <c r="F1338" t="str">
        <f t="shared" si="57"/>
        <v>10K</v>
      </c>
    </row>
    <row r="1339" spans="1:6" x14ac:dyDescent="0.2">
      <c r="A1339">
        <v>11</v>
      </c>
      <c r="E1339" t="str">
        <f t="shared" si="58"/>
        <v>L</v>
      </c>
      <c r="F1339" t="str">
        <f t="shared" si="57"/>
        <v>11L</v>
      </c>
    </row>
    <row r="1340" spans="1:6" x14ac:dyDescent="0.2">
      <c r="A1340">
        <v>12</v>
      </c>
      <c r="E1340" t="str">
        <f t="shared" si="58"/>
        <v>M</v>
      </c>
      <c r="F1340" t="str">
        <f t="shared" si="57"/>
        <v>12M</v>
      </c>
    </row>
    <row r="1341" spans="1:6" x14ac:dyDescent="0.2">
      <c r="A1341">
        <v>13</v>
      </c>
      <c r="E1341" t="str">
        <f t="shared" si="58"/>
        <v>N</v>
      </c>
      <c r="F1341" t="str">
        <f t="shared" si="57"/>
        <v>13N</v>
      </c>
    </row>
    <row r="1342" spans="1:6" x14ac:dyDescent="0.2">
      <c r="A1342">
        <v>14</v>
      </c>
      <c r="E1342" t="str">
        <f t="shared" si="58"/>
        <v>O</v>
      </c>
      <c r="F1342" t="str">
        <f t="shared" si="57"/>
        <v>14O</v>
      </c>
    </row>
    <row r="1343" spans="1:6" x14ac:dyDescent="0.2">
      <c r="A1343">
        <v>15</v>
      </c>
      <c r="E1343" t="str">
        <f t="shared" si="58"/>
        <v>P</v>
      </c>
      <c r="F1343" t="str">
        <f t="shared" si="57"/>
        <v>15P</v>
      </c>
    </row>
    <row r="1344" spans="1:6" x14ac:dyDescent="0.2">
      <c r="A1344">
        <v>16</v>
      </c>
      <c r="E1344" t="str">
        <f t="shared" si="58"/>
        <v>Q</v>
      </c>
      <c r="F1344" t="str">
        <f t="shared" si="57"/>
        <v>16Q</v>
      </c>
    </row>
    <row r="1345" spans="1:6" x14ac:dyDescent="0.2">
      <c r="A1345">
        <v>17</v>
      </c>
      <c r="E1345" t="str">
        <f t="shared" si="58"/>
        <v>R</v>
      </c>
      <c r="F1345" t="str">
        <f t="shared" si="57"/>
        <v>17R</v>
      </c>
    </row>
    <row r="1346" spans="1:6" x14ac:dyDescent="0.2">
      <c r="A1346">
        <v>18</v>
      </c>
      <c r="E1346" t="str">
        <f t="shared" si="58"/>
        <v>S</v>
      </c>
      <c r="F1346" t="str">
        <f t="shared" si="57"/>
        <v>18S</v>
      </c>
    </row>
    <row r="1347" spans="1:6" x14ac:dyDescent="0.2">
      <c r="A1347">
        <v>19</v>
      </c>
      <c r="E1347" t="str">
        <f t="shared" si="58"/>
        <v>T</v>
      </c>
      <c r="F1347" t="str">
        <f t="shared" ref="F1347:F1410" si="59">A1347&amp;C1347&amp;E1347</f>
        <v>19T</v>
      </c>
    </row>
    <row r="1348" spans="1:6" x14ac:dyDescent="0.2">
      <c r="A1348">
        <v>20</v>
      </c>
      <c r="E1348" t="str">
        <f t="shared" si="58"/>
        <v>U</v>
      </c>
      <c r="F1348" t="str">
        <f t="shared" si="59"/>
        <v>20U</v>
      </c>
    </row>
    <row r="1349" spans="1:6" x14ac:dyDescent="0.2">
      <c r="A1349">
        <v>21</v>
      </c>
      <c r="E1349" t="str">
        <f t="shared" si="58"/>
        <v>V</v>
      </c>
      <c r="F1349" t="str">
        <f t="shared" si="59"/>
        <v>21V</v>
      </c>
    </row>
    <row r="1350" spans="1:6" x14ac:dyDescent="0.2">
      <c r="A1350">
        <v>22</v>
      </c>
      <c r="E1350" t="str">
        <f t="shared" si="58"/>
        <v>W</v>
      </c>
      <c r="F1350" t="str">
        <f t="shared" si="59"/>
        <v>22W</v>
      </c>
    </row>
    <row r="1351" spans="1:6" x14ac:dyDescent="0.2">
      <c r="A1351">
        <v>23</v>
      </c>
      <c r="E1351" t="str">
        <f t="shared" si="58"/>
        <v>X</v>
      </c>
      <c r="F1351" t="str">
        <f t="shared" si="59"/>
        <v>23X</v>
      </c>
    </row>
    <row r="1352" spans="1:6" x14ac:dyDescent="0.2">
      <c r="A1352">
        <v>24</v>
      </c>
      <c r="E1352" t="str">
        <f t="shared" si="58"/>
        <v>Y</v>
      </c>
      <c r="F1352" t="str">
        <f t="shared" si="59"/>
        <v>24Y</v>
      </c>
    </row>
    <row r="1353" spans="1:6" x14ac:dyDescent="0.2">
      <c r="A1353">
        <v>25</v>
      </c>
      <c r="E1353" t="str">
        <f t="shared" si="58"/>
        <v>Z</v>
      </c>
      <c r="F1353" t="str">
        <f t="shared" si="59"/>
        <v>25Z</v>
      </c>
    </row>
    <row r="1354" spans="1:6" x14ac:dyDescent="0.2">
      <c r="A1354">
        <v>0</v>
      </c>
      <c r="E1354" t="str">
        <f t="shared" si="58"/>
        <v>A</v>
      </c>
      <c r="F1354" t="str">
        <f t="shared" si="59"/>
        <v>0A</v>
      </c>
    </row>
    <row r="1355" spans="1:6" x14ac:dyDescent="0.2">
      <c r="A1355">
        <v>1</v>
      </c>
      <c r="E1355" t="str">
        <f t="shared" si="58"/>
        <v>B</v>
      </c>
      <c r="F1355" t="str">
        <f t="shared" si="59"/>
        <v>1B</v>
      </c>
    </row>
    <row r="1356" spans="1:6" x14ac:dyDescent="0.2">
      <c r="A1356">
        <v>2</v>
      </c>
      <c r="E1356" t="str">
        <f t="shared" si="58"/>
        <v>C</v>
      </c>
      <c r="F1356" t="str">
        <f t="shared" si="59"/>
        <v>2C</v>
      </c>
    </row>
    <row r="1357" spans="1:6" x14ac:dyDescent="0.2">
      <c r="A1357">
        <v>3</v>
      </c>
      <c r="E1357" t="str">
        <f t="shared" si="58"/>
        <v>D</v>
      </c>
      <c r="F1357" t="str">
        <f t="shared" si="59"/>
        <v>3D</v>
      </c>
    </row>
    <row r="1358" spans="1:6" x14ac:dyDescent="0.2">
      <c r="A1358">
        <v>4</v>
      </c>
      <c r="E1358" t="str">
        <f t="shared" si="58"/>
        <v>E</v>
      </c>
      <c r="F1358" t="str">
        <f t="shared" si="59"/>
        <v>4E</v>
      </c>
    </row>
    <row r="1359" spans="1:6" x14ac:dyDescent="0.2">
      <c r="A1359">
        <v>5</v>
      </c>
      <c r="E1359" t="str">
        <f t="shared" si="58"/>
        <v>F</v>
      </c>
      <c r="F1359" t="str">
        <f t="shared" si="59"/>
        <v>5F</v>
      </c>
    </row>
    <row r="1360" spans="1:6" x14ac:dyDescent="0.2">
      <c r="A1360">
        <v>6</v>
      </c>
      <c r="E1360" t="str">
        <f t="shared" si="58"/>
        <v>G</v>
      </c>
      <c r="F1360" t="str">
        <f t="shared" si="59"/>
        <v>6G</v>
      </c>
    </row>
    <row r="1361" spans="1:6" x14ac:dyDescent="0.2">
      <c r="A1361">
        <v>7</v>
      </c>
      <c r="E1361" t="str">
        <f t="shared" si="58"/>
        <v>H</v>
      </c>
      <c r="F1361" t="str">
        <f t="shared" si="59"/>
        <v>7H</v>
      </c>
    </row>
    <row r="1362" spans="1:6" x14ac:dyDescent="0.2">
      <c r="A1362">
        <v>8</v>
      </c>
      <c r="E1362" t="str">
        <f t="shared" si="58"/>
        <v>I</v>
      </c>
      <c r="F1362" t="str">
        <f t="shared" si="59"/>
        <v>8I</v>
      </c>
    </row>
    <row r="1363" spans="1:6" x14ac:dyDescent="0.2">
      <c r="A1363">
        <v>9</v>
      </c>
      <c r="E1363" t="str">
        <f t="shared" si="58"/>
        <v>J</v>
      </c>
      <c r="F1363" t="str">
        <f t="shared" si="59"/>
        <v>9J</v>
      </c>
    </row>
    <row r="1364" spans="1:6" x14ac:dyDescent="0.2">
      <c r="A1364">
        <v>10</v>
      </c>
      <c r="E1364" t="str">
        <f t="shared" si="58"/>
        <v>K</v>
      </c>
      <c r="F1364" t="str">
        <f t="shared" si="59"/>
        <v>10K</v>
      </c>
    </row>
    <row r="1365" spans="1:6" x14ac:dyDescent="0.2">
      <c r="A1365">
        <v>11</v>
      </c>
      <c r="E1365" t="str">
        <f t="shared" si="58"/>
        <v>L</v>
      </c>
      <c r="F1365" t="str">
        <f t="shared" si="59"/>
        <v>11L</v>
      </c>
    </row>
    <row r="1366" spans="1:6" x14ac:dyDescent="0.2">
      <c r="A1366">
        <v>12</v>
      </c>
      <c r="E1366" t="str">
        <f t="shared" si="58"/>
        <v>M</v>
      </c>
      <c r="F1366" t="str">
        <f t="shared" si="59"/>
        <v>12M</v>
      </c>
    </row>
    <row r="1367" spans="1:6" x14ac:dyDescent="0.2">
      <c r="A1367">
        <v>13</v>
      </c>
      <c r="E1367" t="str">
        <f t="shared" si="58"/>
        <v>N</v>
      </c>
      <c r="F1367" t="str">
        <f t="shared" si="59"/>
        <v>13N</v>
      </c>
    </row>
    <row r="1368" spans="1:6" x14ac:dyDescent="0.2">
      <c r="A1368">
        <v>14</v>
      </c>
      <c r="E1368" t="str">
        <f t="shared" si="58"/>
        <v>O</v>
      </c>
      <c r="F1368" t="str">
        <f t="shared" si="59"/>
        <v>14O</v>
      </c>
    </row>
    <row r="1369" spans="1:6" x14ac:dyDescent="0.2">
      <c r="A1369">
        <v>15</v>
      </c>
      <c r="E1369" t="str">
        <f t="shared" si="58"/>
        <v>P</v>
      </c>
      <c r="F1369" t="str">
        <f t="shared" si="59"/>
        <v>15P</v>
      </c>
    </row>
    <row r="1370" spans="1:6" x14ac:dyDescent="0.2">
      <c r="A1370">
        <v>16</v>
      </c>
      <c r="E1370" t="str">
        <f t="shared" si="58"/>
        <v>Q</v>
      </c>
      <c r="F1370" t="str">
        <f t="shared" si="59"/>
        <v>16Q</v>
      </c>
    </row>
    <row r="1371" spans="1:6" x14ac:dyDescent="0.2">
      <c r="A1371">
        <v>17</v>
      </c>
      <c r="E1371" t="str">
        <f t="shared" si="58"/>
        <v>R</v>
      </c>
      <c r="F1371" t="str">
        <f t="shared" si="59"/>
        <v>17R</v>
      </c>
    </row>
    <row r="1372" spans="1:6" x14ac:dyDescent="0.2">
      <c r="A1372">
        <v>18</v>
      </c>
      <c r="E1372" t="str">
        <f t="shared" si="58"/>
        <v>S</v>
      </c>
      <c r="F1372" t="str">
        <f t="shared" si="59"/>
        <v>18S</v>
      </c>
    </row>
    <row r="1373" spans="1:6" x14ac:dyDescent="0.2">
      <c r="A1373">
        <v>19</v>
      </c>
      <c r="E1373" t="str">
        <f t="shared" ref="E1373:E1436" si="60">E1347</f>
        <v>T</v>
      </c>
      <c r="F1373" t="str">
        <f t="shared" si="59"/>
        <v>19T</v>
      </c>
    </row>
    <row r="1374" spans="1:6" x14ac:dyDescent="0.2">
      <c r="A1374">
        <v>20</v>
      </c>
      <c r="E1374" t="str">
        <f t="shared" si="60"/>
        <v>U</v>
      </c>
      <c r="F1374" t="str">
        <f t="shared" si="59"/>
        <v>20U</v>
      </c>
    </row>
    <row r="1375" spans="1:6" x14ac:dyDescent="0.2">
      <c r="A1375">
        <v>21</v>
      </c>
      <c r="E1375" t="str">
        <f t="shared" si="60"/>
        <v>V</v>
      </c>
      <c r="F1375" t="str">
        <f t="shared" si="59"/>
        <v>21V</v>
      </c>
    </row>
    <row r="1376" spans="1:6" x14ac:dyDescent="0.2">
      <c r="A1376">
        <v>22</v>
      </c>
      <c r="E1376" t="str">
        <f t="shared" si="60"/>
        <v>W</v>
      </c>
      <c r="F1376" t="str">
        <f t="shared" si="59"/>
        <v>22W</v>
      </c>
    </row>
    <row r="1377" spans="1:6" x14ac:dyDescent="0.2">
      <c r="A1377">
        <v>23</v>
      </c>
      <c r="E1377" t="str">
        <f t="shared" si="60"/>
        <v>X</v>
      </c>
      <c r="F1377" t="str">
        <f t="shared" si="59"/>
        <v>23X</v>
      </c>
    </row>
    <row r="1378" spans="1:6" x14ac:dyDescent="0.2">
      <c r="A1378">
        <v>24</v>
      </c>
      <c r="E1378" t="str">
        <f t="shared" si="60"/>
        <v>Y</v>
      </c>
      <c r="F1378" t="str">
        <f t="shared" si="59"/>
        <v>24Y</v>
      </c>
    </row>
    <row r="1379" spans="1:6" x14ac:dyDescent="0.2">
      <c r="A1379">
        <v>25</v>
      </c>
      <c r="E1379" t="str">
        <f t="shared" si="60"/>
        <v>Z</v>
      </c>
      <c r="F1379" t="str">
        <f t="shared" si="59"/>
        <v>25Z</v>
      </c>
    </row>
    <row r="1380" spans="1:6" x14ac:dyDescent="0.2">
      <c r="A1380">
        <v>0</v>
      </c>
      <c r="E1380" t="str">
        <f t="shared" si="60"/>
        <v>A</v>
      </c>
      <c r="F1380" t="str">
        <f t="shared" si="59"/>
        <v>0A</v>
      </c>
    </row>
    <row r="1381" spans="1:6" x14ac:dyDescent="0.2">
      <c r="A1381">
        <v>1</v>
      </c>
      <c r="E1381" t="str">
        <f t="shared" si="60"/>
        <v>B</v>
      </c>
      <c r="F1381" t="str">
        <f t="shared" si="59"/>
        <v>1B</v>
      </c>
    </row>
    <row r="1382" spans="1:6" x14ac:dyDescent="0.2">
      <c r="A1382">
        <v>2</v>
      </c>
      <c r="E1382" t="str">
        <f t="shared" si="60"/>
        <v>C</v>
      </c>
      <c r="F1382" t="str">
        <f t="shared" si="59"/>
        <v>2C</v>
      </c>
    </row>
    <row r="1383" spans="1:6" x14ac:dyDescent="0.2">
      <c r="A1383">
        <v>3</v>
      </c>
      <c r="E1383" t="str">
        <f t="shared" si="60"/>
        <v>D</v>
      </c>
      <c r="F1383" t="str">
        <f t="shared" si="59"/>
        <v>3D</v>
      </c>
    </row>
    <row r="1384" spans="1:6" x14ac:dyDescent="0.2">
      <c r="A1384">
        <v>4</v>
      </c>
      <c r="E1384" t="str">
        <f t="shared" si="60"/>
        <v>E</v>
      </c>
      <c r="F1384" t="str">
        <f t="shared" si="59"/>
        <v>4E</v>
      </c>
    </row>
    <row r="1385" spans="1:6" x14ac:dyDescent="0.2">
      <c r="A1385">
        <v>5</v>
      </c>
      <c r="E1385" t="str">
        <f t="shared" si="60"/>
        <v>F</v>
      </c>
      <c r="F1385" t="str">
        <f t="shared" si="59"/>
        <v>5F</v>
      </c>
    </row>
    <row r="1386" spans="1:6" x14ac:dyDescent="0.2">
      <c r="A1386">
        <v>6</v>
      </c>
      <c r="E1386" t="str">
        <f t="shared" si="60"/>
        <v>G</v>
      </c>
      <c r="F1386" t="str">
        <f t="shared" si="59"/>
        <v>6G</v>
      </c>
    </row>
    <row r="1387" spans="1:6" x14ac:dyDescent="0.2">
      <c r="A1387">
        <v>7</v>
      </c>
      <c r="E1387" t="str">
        <f t="shared" si="60"/>
        <v>H</v>
      </c>
      <c r="F1387" t="str">
        <f t="shared" si="59"/>
        <v>7H</v>
      </c>
    </row>
    <row r="1388" spans="1:6" x14ac:dyDescent="0.2">
      <c r="A1388">
        <v>8</v>
      </c>
      <c r="E1388" t="str">
        <f t="shared" si="60"/>
        <v>I</v>
      </c>
      <c r="F1388" t="str">
        <f t="shared" si="59"/>
        <v>8I</v>
      </c>
    </row>
    <row r="1389" spans="1:6" x14ac:dyDescent="0.2">
      <c r="A1389">
        <v>9</v>
      </c>
      <c r="E1389" t="str">
        <f t="shared" si="60"/>
        <v>J</v>
      </c>
      <c r="F1389" t="str">
        <f t="shared" si="59"/>
        <v>9J</v>
      </c>
    </row>
    <row r="1390" spans="1:6" x14ac:dyDescent="0.2">
      <c r="A1390">
        <v>10</v>
      </c>
      <c r="E1390" t="str">
        <f t="shared" si="60"/>
        <v>K</v>
      </c>
      <c r="F1390" t="str">
        <f t="shared" si="59"/>
        <v>10K</v>
      </c>
    </row>
    <row r="1391" spans="1:6" x14ac:dyDescent="0.2">
      <c r="A1391">
        <v>11</v>
      </c>
      <c r="E1391" t="str">
        <f t="shared" si="60"/>
        <v>L</v>
      </c>
      <c r="F1391" t="str">
        <f t="shared" si="59"/>
        <v>11L</v>
      </c>
    </row>
    <row r="1392" spans="1:6" x14ac:dyDescent="0.2">
      <c r="A1392">
        <v>12</v>
      </c>
      <c r="E1392" t="str">
        <f t="shared" si="60"/>
        <v>M</v>
      </c>
      <c r="F1392" t="str">
        <f t="shared" si="59"/>
        <v>12M</v>
      </c>
    </row>
    <row r="1393" spans="1:6" x14ac:dyDescent="0.2">
      <c r="A1393">
        <v>13</v>
      </c>
      <c r="E1393" t="str">
        <f t="shared" si="60"/>
        <v>N</v>
      </c>
      <c r="F1393" t="str">
        <f t="shared" si="59"/>
        <v>13N</v>
      </c>
    </row>
    <row r="1394" spans="1:6" x14ac:dyDescent="0.2">
      <c r="A1394">
        <v>14</v>
      </c>
      <c r="E1394" t="str">
        <f t="shared" si="60"/>
        <v>O</v>
      </c>
      <c r="F1394" t="str">
        <f t="shared" si="59"/>
        <v>14O</v>
      </c>
    </row>
    <row r="1395" spans="1:6" x14ac:dyDescent="0.2">
      <c r="A1395">
        <v>15</v>
      </c>
      <c r="E1395" t="str">
        <f t="shared" si="60"/>
        <v>P</v>
      </c>
      <c r="F1395" t="str">
        <f t="shared" si="59"/>
        <v>15P</v>
      </c>
    </row>
    <row r="1396" spans="1:6" x14ac:dyDescent="0.2">
      <c r="A1396">
        <v>16</v>
      </c>
      <c r="E1396" t="str">
        <f t="shared" si="60"/>
        <v>Q</v>
      </c>
      <c r="F1396" t="str">
        <f t="shared" si="59"/>
        <v>16Q</v>
      </c>
    </row>
    <row r="1397" spans="1:6" x14ac:dyDescent="0.2">
      <c r="A1397">
        <v>17</v>
      </c>
      <c r="E1397" t="str">
        <f t="shared" si="60"/>
        <v>R</v>
      </c>
      <c r="F1397" t="str">
        <f t="shared" si="59"/>
        <v>17R</v>
      </c>
    </row>
    <row r="1398" spans="1:6" x14ac:dyDescent="0.2">
      <c r="A1398">
        <v>18</v>
      </c>
      <c r="E1398" t="str">
        <f t="shared" si="60"/>
        <v>S</v>
      </c>
      <c r="F1398" t="str">
        <f t="shared" si="59"/>
        <v>18S</v>
      </c>
    </row>
    <row r="1399" spans="1:6" x14ac:dyDescent="0.2">
      <c r="A1399">
        <v>19</v>
      </c>
      <c r="E1399" t="str">
        <f t="shared" si="60"/>
        <v>T</v>
      </c>
      <c r="F1399" t="str">
        <f t="shared" si="59"/>
        <v>19T</v>
      </c>
    </row>
    <row r="1400" spans="1:6" x14ac:dyDescent="0.2">
      <c r="A1400">
        <v>20</v>
      </c>
      <c r="E1400" t="str">
        <f t="shared" si="60"/>
        <v>U</v>
      </c>
      <c r="F1400" t="str">
        <f t="shared" si="59"/>
        <v>20U</v>
      </c>
    </row>
    <row r="1401" spans="1:6" x14ac:dyDescent="0.2">
      <c r="A1401">
        <v>21</v>
      </c>
      <c r="E1401" t="str">
        <f t="shared" si="60"/>
        <v>V</v>
      </c>
      <c r="F1401" t="str">
        <f t="shared" si="59"/>
        <v>21V</v>
      </c>
    </row>
    <row r="1402" spans="1:6" x14ac:dyDescent="0.2">
      <c r="A1402">
        <v>22</v>
      </c>
      <c r="E1402" t="str">
        <f t="shared" si="60"/>
        <v>W</v>
      </c>
      <c r="F1402" t="str">
        <f t="shared" si="59"/>
        <v>22W</v>
      </c>
    </row>
    <row r="1403" spans="1:6" x14ac:dyDescent="0.2">
      <c r="A1403">
        <v>23</v>
      </c>
      <c r="E1403" t="str">
        <f t="shared" si="60"/>
        <v>X</v>
      </c>
      <c r="F1403" t="str">
        <f t="shared" si="59"/>
        <v>23X</v>
      </c>
    </row>
    <row r="1404" spans="1:6" x14ac:dyDescent="0.2">
      <c r="A1404">
        <v>24</v>
      </c>
      <c r="E1404" t="str">
        <f t="shared" si="60"/>
        <v>Y</v>
      </c>
      <c r="F1404" t="str">
        <f t="shared" si="59"/>
        <v>24Y</v>
      </c>
    </row>
    <row r="1405" spans="1:6" x14ac:dyDescent="0.2">
      <c r="A1405">
        <v>25</v>
      </c>
      <c r="E1405" t="str">
        <f t="shared" si="60"/>
        <v>Z</v>
      </c>
      <c r="F1405" t="str">
        <f t="shared" si="59"/>
        <v>25Z</v>
      </c>
    </row>
    <row r="1406" spans="1:6" x14ac:dyDescent="0.2">
      <c r="A1406">
        <v>0</v>
      </c>
      <c r="E1406" t="str">
        <f t="shared" si="60"/>
        <v>A</v>
      </c>
      <c r="F1406" t="str">
        <f t="shared" si="59"/>
        <v>0A</v>
      </c>
    </row>
    <row r="1407" spans="1:6" x14ac:dyDescent="0.2">
      <c r="A1407">
        <v>1</v>
      </c>
      <c r="E1407" t="str">
        <f t="shared" si="60"/>
        <v>B</v>
      </c>
      <c r="F1407" t="str">
        <f t="shared" si="59"/>
        <v>1B</v>
      </c>
    </row>
    <row r="1408" spans="1:6" x14ac:dyDescent="0.2">
      <c r="A1408">
        <v>2</v>
      </c>
      <c r="E1408" t="str">
        <f t="shared" si="60"/>
        <v>C</v>
      </c>
      <c r="F1408" t="str">
        <f t="shared" si="59"/>
        <v>2C</v>
      </c>
    </row>
    <row r="1409" spans="1:6" x14ac:dyDescent="0.2">
      <c r="A1409">
        <v>3</v>
      </c>
      <c r="E1409" t="str">
        <f t="shared" si="60"/>
        <v>D</v>
      </c>
      <c r="F1409" t="str">
        <f t="shared" si="59"/>
        <v>3D</v>
      </c>
    </row>
    <row r="1410" spans="1:6" x14ac:dyDescent="0.2">
      <c r="A1410">
        <v>4</v>
      </c>
      <c r="E1410" t="str">
        <f t="shared" si="60"/>
        <v>E</v>
      </c>
      <c r="F1410" t="str">
        <f t="shared" si="59"/>
        <v>4E</v>
      </c>
    </row>
    <row r="1411" spans="1:6" x14ac:dyDescent="0.2">
      <c r="A1411">
        <v>5</v>
      </c>
      <c r="E1411" t="str">
        <f t="shared" si="60"/>
        <v>F</v>
      </c>
      <c r="F1411" t="str">
        <f t="shared" ref="F1411:F1474" si="61">A1411&amp;C1411&amp;E1411</f>
        <v>5F</v>
      </c>
    </row>
    <row r="1412" spans="1:6" x14ac:dyDescent="0.2">
      <c r="A1412">
        <v>6</v>
      </c>
      <c r="E1412" t="str">
        <f t="shared" si="60"/>
        <v>G</v>
      </c>
      <c r="F1412" t="str">
        <f t="shared" si="61"/>
        <v>6G</v>
      </c>
    </row>
    <row r="1413" spans="1:6" x14ac:dyDescent="0.2">
      <c r="A1413">
        <v>7</v>
      </c>
      <c r="E1413" t="str">
        <f t="shared" si="60"/>
        <v>H</v>
      </c>
      <c r="F1413" t="str">
        <f t="shared" si="61"/>
        <v>7H</v>
      </c>
    </row>
    <row r="1414" spans="1:6" x14ac:dyDescent="0.2">
      <c r="A1414">
        <v>8</v>
      </c>
      <c r="E1414" t="str">
        <f t="shared" si="60"/>
        <v>I</v>
      </c>
      <c r="F1414" t="str">
        <f t="shared" si="61"/>
        <v>8I</v>
      </c>
    </row>
    <row r="1415" spans="1:6" x14ac:dyDescent="0.2">
      <c r="A1415">
        <v>9</v>
      </c>
      <c r="E1415" t="str">
        <f t="shared" si="60"/>
        <v>J</v>
      </c>
      <c r="F1415" t="str">
        <f t="shared" si="61"/>
        <v>9J</v>
      </c>
    </row>
    <row r="1416" spans="1:6" x14ac:dyDescent="0.2">
      <c r="A1416">
        <v>10</v>
      </c>
      <c r="E1416" t="str">
        <f t="shared" si="60"/>
        <v>K</v>
      </c>
      <c r="F1416" t="str">
        <f t="shared" si="61"/>
        <v>10K</v>
      </c>
    </row>
    <row r="1417" spans="1:6" x14ac:dyDescent="0.2">
      <c r="A1417">
        <v>11</v>
      </c>
      <c r="E1417" t="str">
        <f t="shared" si="60"/>
        <v>L</v>
      </c>
      <c r="F1417" t="str">
        <f t="shared" si="61"/>
        <v>11L</v>
      </c>
    </row>
    <row r="1418" spans="1:6" x14ac:dyDescent="0.2">
      <c r="A1418">
        <v>12</v>
      </c>
      <c r="E1418" t="str">
        <f t="shared" si="60"/>
        <v>M</v>
      </c>
      <c r="F1418" t="str">
        <f t="shared" si="61"/>
        <v>12M</v>
      </c>
    </row>
    <row r="1419" spans="1:6" x14ac:dyDescent="0.2">
      <c r="A1419">
        <v>13</v>
      </c>
      <c r="E1419" t="str">
        <f t="shared" si="60"/>
        <v>N</v>
      </c>
      <c r="F1419" t="str">
        <f t="shared" si="61"/>
        <v>13N</v>
      </c>
    </row>
    <row r="1420" spans="1:6" x14ac:dyDescent="0.2">
      <c r="A1420">
        <v>14</v>
      </c>
      <c r="E1420" t="str">
        <f t="shared" si="60"/>
        <v>O</v>
      </c>
      <c r="F1420" t="str">
        <f t="shared" si="61"/>
        <v>14O</v>
      </c>
    </row>
    <row r="1421" spans="1:6" x14ac:dyDescent="0.2">
      <c r="A1421">
        <v>15</v>
      </c>
      <c r="E1421" t="str">
        <f t="shared" si="60"/>
        <v>P</v>
      </c>
      <c r="F1421" t="str">
        <f t="shared" si="61"/>
        <v>15P</v>
      </c>
    </row>
    <row r="1422" spans="1:6" x14ac:dyDescent="0.2">
      <c r="A1422">
        <v>16</v>
      </c>
      <c r="E1422" t="str">
        <f t="shared" si="60"/>
        <v>Q</v>
      </c>
      <c r="F1422" t="str">
        <f t="shared" si="61"/>
        <v>16Q</v>
      </c>
    </row>
    <row r="1423" spans="1:6" x14ac:dyDescent="0.2">
      <c r="A1423">
        <v>17</v>
      </c>
      <c r="E1423" t="str">
        <f t="shared" si="60"/>
        <v>R</v>
      </c>
      <c r="F1423" t="str">
        <f t="shared" si="61"/>
        <v>17R</v>
      </c>
    </row>
    <row r="1424" spans="1:6" x14ac:dyDescent="0.2">
      <c r="A1424">
        <v>18</v>
      </c>
      <c r="E1424" t="str">
        <f t="shared" si="60"/>
        <v>S</v>
      </c>
      <c r="F1424" t="str">
        <f t="shared" si="61"/>
        <v>18S</v>
      </c>
    </row>
    <row r="1425" spans="1:6" x14ac:dyDescent="0.2">
      <c r="A1425">
        <v>19</v>
      </c>
      <c r="E1425" t="str">
        <f t="shared" si="60"/>
        <v>T</v>
      </c>
      <c r="F1425" t="str">
        <f t="shared" si="61"/>
        <v>19T</v>
      </c>
    </row>
    <row r="1426" spans="1:6" x14ac:dyDescent="0.2">
      <c r="A1426">
        <v>20</v>
      </c>
      <c r="E1426" t="str">
        <f t="shared" si="60"/>
        <v>U</v>
      </c>
      <c r="F1426" t="str">
        <f t="shared" si="61"/>
        <v>20U</v>
      </c>
    </row>
    <row r="1427" spans="1:6" x14ac:dyDescent="0.2">
      <c r="A1427">
        <v>21</v>
      </c>
      <c r="E1427" t="str">
        <f t="shared" si="60"/>
        <v>V</v>
      </c>
      <c r="F1427" t="str">
        <f t="shared" si="61"/>
        <v>21V</v>
      </c>
    </row>
    <row r="1428" spans="1:6" x14ac:dyDescent="0.2">
      <c r="A1428">
        <v>22</v>
      </c>
      <c r="E1428" t="str">
        <f t="shared" si="60"/>
        <v>W</v>
      </c>
      <c r="F1428" t="str">
        <f t="shared" si="61"/>
        <v>22W</v>
      </c>
    </row>
    <row r="1429" spans="1:6" x14ac:dyDescent="0.2">
      <c r="A1429">
        <v>23</v>
      </c>
      <c r="E1429" t="str">
        <f t="shared" si="60"/>
        <v>X</v>
      </c>
      <c r="F1429" t="str">
        <f t="shared" si="61"/>
        <v>23X</v>
      </c>
    </row>
    <row r="1430" spans="1:6" x14ac:dyDescent="0.2">
      <c r="A1430">
        <v>24</v>
      </c>
      <c r="E1430" t="str">
        <f t="shared" si="60"/>
        <v>Y</v>
      </c>
      <c r="F1430" t="str">
        <f t="shared" si="61"/>
        <v>24Y</v>
      </c>
    </row>
    <row r="1431" spans="1:6" x14ac:dyDescent="0.2">
      <c r="A1431">
        <v>25</v>
      </c>
      <c r="E1431" t="str">
        <f t="shared" si="60"/>
        <v>Z</v>
      </c>
      <c r="F1431" t="str">
        <f t="shared" si="61"/>
        <v>25Z</v>
      </c>
    </row>
    <row r="1432" spans="1:6" x14ac:dyDescent="0.2">
      <c r="A1432">
        <v>0</v>
      </c>
      <c r="E1432" t="str">
        <f t="shared" si="60"/>
        <v>A</v>
      </c>
      <c r="F1432" t="str">
        <f t="shared" si="61"/>
        <v>0A</v>
      </c>
    </row>
    <row r="1433" spans="1:6" x14ac:dyDescent="0.2">
      <c r="A1433">
        <v>1</v>
      </c>
      <c r="E1433" t="str">
        <f t="shared" si="60"/>
        <v>B</v>
      </c>
      <c r="F1433" t="str">
        <f t="shared" si="61"/>
        <v>1B</v>
      </c>
    </row>
    <row r="1434" spans="1:6" x14ac:dyDescent="0.2">
      <c r="A1434">
        <v>2</v>
      </c>
      <c r="E1434" t="str">
        <f t="shared" si="60"/>
        <v>C</v>
      </c>
      <c r="F1434" t="str">
        <f t="shared" si="61"/>
        <v>2C</v>
      </c>
    </row>
    <row r="1435" spans="1:6" x14ac:dyDescent="0.2">
      <c r="A1435">
        <v>3</v>
      </c>
      <c r="E1435" t="str">
        <f t="shared" si="60"/>
        <v>D</v>
      </c>
      <c r="F1435" t="str">
        <f t="shared" si="61"/>
        <v>3D</v>
      </c>
    </row>
    <row r="1436" spans="1:6" x14ac:dyDescent="0.2">
      <c r="A1436">
        <v>4</v>
      </c>
      <c r="E1436" t="str">
        <f t="shared" si="60"/>
        <v>E</v>
      </c>
      <c r="F1436" t="str">
        <f t="shared" si="61"/>
        <v>4E</v>
      </c>
    </row>
    <row r="1437" spans="1:6" x14ac:dyDescent="0.2">
      <c r="A1437">
        <v>5</v>
      </c>
      <c r="E1437" t="str">
        <f t="shared" ref="E1437:E1500" si="62">E1411</f>
        <v>F</v>
      </c>
      <c r="F1437" t="str">
        <f t="shared" si="61"/>
        <v>5F</v>
      </c>
    </row>
    <row r="1438" spans="1:6" x14ac:dyDescent="0.2">
      <c r="A1438">
        <v>6</v>
      </c>
      <c r="E1438" t="str">
        <f t="shared" si="62"/>
        <v>G</v>
      </c>
      <c r="F1438" t="str">
        <f t="shared" si="61"/>
        <v>6G</v>
      </c>
    </row>
    <row r="1439" spans="1:6" x14ac:dyDescent="0.2">
      <c r="A1439">
        <v>7</v>
      </c>
      <c r="E1439" t="str">
        <f t="shared" si="62"/>
        <v>H</v>
      </c>
      <c r="F1439" t="str">
        <f t="shared" si="61"/>
        <v>7H</v>
      </c>
    </row>
    <row r="1440" spans="1:6" x14ac:dyDescent="0.2">
      <c r="A1440">
        <v>8</v>
      </c>
      <c r="E1440" t="str">
        <f t="shared" si="62"/>
        <v>I</v>
      </c>
      <c r="F1440" t="str">
        <f t="shared" si="61"/>
        <v>8I</v>
      </c>
    </row>
    <row r="1441" spans="1:6" x14ac:dyDescent="0.2">
      <c r="A1441">
        <v>9</v>
      </c>
      <c r="E1441" t="str">
        <f t="shared" si="62"/>
        <v>J</v>
      </c>
      <c r="F1441" t="str">
        <f t="shared" si="61"/>
        <v>9J</v>
      </c>
    </row>
    <row r="1442" spans="1:6" x14ac:dyDescent="0.2">
      <c r="A1442">
        <v>10</v>
      </c>
      <c r="E1442" t="str">
        <f t="shared" si="62"/>
        <v>K</v>
      </c>
      <c r="F1442" t="str">
        <f t="shared" si="61"/>
        <v>10K</v>
      </c>
    </row>
    <row r="1443" spans="1:6" x14ac:dyDescent="0.2">
      <c r="A1443">
        <v>11</v>
      </c>
      <c r="E1443" t="str">
        <f t="shared" si="62"/>
        <v>L</v>
      </c>
      <c r="F1443" t="str">
        <f t="shared" si="61"/>
        <v>11L</v>
      </c>
    </row>
    <row r="1444" spans="1:6" x14ac:dyDescent="0.2">
      <c r="A1444">
        <v>12</v>
      </c>
      <c r="E1444" t="str">
        <f t="shared" si="62"/>
        <v>M</v>
      </c>
      <c r="F1444" t="str">
        <f t="shared" si="61"/>
        <v>12M</v>
      </c>
    </row>
    <row r="1445" spans="1:6" x14ac:dyDescent="0.2">
      <c r="A1445">
        <v>13</v>
      </c>
      <c r="E1445" t="str">
        <f t="shared" si="62"/>
        <v>N</v>
      </c>
      <c r="F1445" t="str">
        <f t="shared" si="61"/>
        <v>13N</v>
      </c>
    </row>
    <row r="1446" spans="1:6" x14ac:dyDescent="0.2">
      <c r="A1446">
        <v>14</v>
      </c>
      <c r="E1446" t="str">
        <f t="shared" si="62"/>
        <v>O</v>
      </c>
      <c r="F1446" t="str">
        <f t="shared" si="61"/>
        <v>14O</v>
      </c>
    </row>
    <row r="1447" spans="1:6" x14ac:dyDescent="0.2">
      <c r="A1447">
        <v>15</v>
      </c>
      <c r="E1447" t="str">
        <f t="shared" si="62"/>
        <v>P</v>
      </c>
      <c r="F1447" t="str">
        <f t="shared" si="61"/>
        <v>15P</v>
      </c>
    </row>
    <row r="1448" spans="1:6" x14ac:dyDescent="0.2">
      <c r="A1448">
        <v>16</v>
      </c>
      <c r="E1448" t="str">
        <f t="shared" si="62"/>
        <v>Q</v>
      </c>
      <c r="F1448" t="str">
        <f t="shared" si="61"/>
        <v>16Q</v>
      </c>
    </row>
    <row r="1449" spans="1:6" x14ac:dyDescent="0.2">
      <c r="A1449">
        <v>17</v>
      </c>
      <c r="E1449" t="str">
        <f t="shared" si="62"/>
        <v>R</v>
      </c>
      <c r="F1449" t="str">
        <f t="shared" si="61"/>
        <v>17R</v>
      </c>
    </row>
    <row r="1450" spans="1:6" x14ac:dyDescent="0.2">
      <c r="A1450">
        <v>18</v>
      </c>
      <c r="E1450" t="str">
        <f t="shared" si="62"/>
        <v>S</v>
      </c>
      <c r="F1450" t="str">
        <f t="shared" si="61"/>
        <v>18S</v>
      </c>
    </row>
    <row r="1451" spans="1:6" x14ac:dyDescent="0.2">
      <c r="A1451">
        <v>19</v>
      </c>
      <c r="E1451" t="str">
        <f t="shared" si="62"/>
        <v>T</v>
      </c>
      <c r="F1451" t="str">
        <f t="shared" si="61"/>
        <v>19T</v>
      </c>
    </row>
    <row r="1452" spans="1:6" x14ac:dyDescent="0.2">
      <c r="A1452">
        <v>20</v>
      </c>
      <c r="E1452" t="str">
        <f t="shared" si="62"/>
        <v>U</v>
      </c>
      <c r="F1452" t="str">
        <f t="shared" si="61"/>
        <v>20U</v>
      </c>
    </row>
    <row r="1453" spans="1:6" x14ac:dyDescent="0.2">
      <c r="A1453">
        <v>21</v>
      </c>
      <c r="E1453" t="str">
        <f t="shared" si="62"/>
        <v>V</v>
      </c>
      <c r="F1453" t="str">
        <f t="shared" si="61"/>
        <v>21V</v>
      </c>
    </row>
    <row r="1454" spans="1:6" x14ac:dyDescent="0.2">
      <c r="A1454">
        <v>22</v>
      </c>
      <c r="E1454" t="str">
        <f t="shared" si="62"/>
        <v>W</v>
      </c>
      <c r="F1454" t="str">
        <f t="shared" si="61"/>
        <v>22W</v>
      </c>
    </row>
    <row r="1455" spans="1:6" x14ac:dyDescent="0.2">
      <c r="A1455">
        <v>23</v>
      </c>
      <c r="E1455" t="str">
        <f t="shared" si="62"/>
        <v>X</v>
      </c>
      <c r="F1455" t="str">
        <f t="shared" si="61"/>
        <v>23X</v>
      </c>
    </row>
    <row r="1456" spans="1:6" x14ac:dyDescent="0.2">
      <c r="A1456">
        <v>24</v>
      </c>
      <c r="E1456" t="str">
        <f t="shared" si="62"/>
        <v>Y</v>
      </c>
      <c r="F1456" t="str">
        <f t="shared" si="61"/>
        <v>24Y</v>
      </c>
    </row>
    <row r="1457" spans="1:6" x14ac:dyDescent="0.2">
      <c r="A1457">
        <v>25</v>
      </c>
      <c r="E1457" t="str">
        <f t="shared" si="62"/>
        <v>Z</v>
      </c>
      <c r="F1457" t="str">
        <f t="shared" si="61"/>
        <v>25Z</v>
      </c>
    </row>
    <row r="1458" spans="1:6" x14ac:dyDescent="0.2">
      <c r="A1458">
        <v>0</v>
      </c>
      <c r="E1458" t="str">
        <f t="shared" si="62"/>
        <v>A</v>
      </c>
      <c r="F1458" t="str">
        <f t="shared" si="61"/>
        <v>0A</v>
      </c>
    </row>
    <row r="1459" spans="1:6" x14ac:dyDescent="0.2">
      <c r="A1459">
        <v>1</v>
      </c>
      <c r="E1459" t="str">
        <f t="shared" si="62"/>
        <v>B</v>
      </c>
      <c r="F1459" t="str">
        <f t="shared" si="61"/>
        <v>1B</v>
      </c>
    </row>
    <row r="1460" spans="1:6" x14ac:dyDescent="0.2">
      <c r="A1460">
        <v>2</v>
      </c>
      <c r="E1460" t="str">
        <f t="shared" si="62"/>
        <v>C</v>
      </c>
      <c r="F1460" t="str">
        <f t="shared" si="61"/>
        <v>2C</v>
      </c>
    </row>
    <row r="1461" spans="1:6" x14ac:dyDescent="0.2">
      <c r="A1461">
        <v>3</v>
      </c>
      <c r="E1461" t="str">
        <f t="shared" si="62"/>
        <v>D</v>
      </c>
      <c r="F1461" t="str">
        <f t="shared" si="61"/>
        <v>3D</v>
      </c>
    </row>
    <row r="1462" spans="1:6" x14ac:dyDescent="0.2">
      <c r="A1462">
        <v>4</v>
      </c>
      <c r="E1462" t="str">
        <f t="shared" si="62"/>
        <v>E</v>
      </c>
      <c r="F1462" t="str">
        <f t="shared" si="61"/>
        <v>4E</v>
      </c>
    </row>
    <row r="1463" spans="1:6" x14ac:dyDescent="0.2">
      <c r="A1463">
        <v>5</v>
      </c>
      <c r="E1463" t="str">
        <f t="shared" si="62"/>
        <v>F</v>
      </c>
      <c r="F1463" t="str">
        <f t="shared" si="61"/>
        <v>5F</v>
      </c>
    </row>
    <row r="1464" spans="1:6" x14ac:dyDescent="0.2">
      <c r="A1464">
        <v>6</v>
      </c>
      <c r="E1464" t="str">
        <f t="shared" si="62"/>
        <v>G</v>
      </c>
      <c r="F1464" t="str">
        <f t="shared" si="61"/>
        <v>6G</v>
      </c>
    </row>
    <row r="1465" spans="1:6" x14ac:dyDescent="0.2">
      <c r="A1465">
        <v>7</v>
      </c>
      <c r="E1465" t="str">
        <f t="shared" si="62"/>
        <v>H</v>
      </c>
      <c r="F1465" t="str">
        <f t="shared" si="61"/>
        <v>7H</v>
      </c>
    </row>
    <row r="1466" spans="1:6" x14ac:dyDescent="0.2">
      <c r="A1466">
        <v>8</v>
      </c>
      <c r="E1466" t="str">
        <f t="shared" si="62"/>
        <v>I</v>
      </c>
      <c r="F1466" t="str">
        <f t="shared" si="61"/>
        <v>8I</v>
      </c>
    </row>
    <row r="1467" spans="1:6" x14ac:dyDescent="0.2">
      <c r="A1467">
        <v>9</v>
      </c>
      <c r="E1467" t="str">
        <f t="shared" si="62"/>
        <v>J</v>
      </c>
      <c r="F1467" t="str">
        <f t="shared" si="61"/>
        <v>9J</v>
      </c>
    </row>
    <row r="1468" spans="1:6" x14ac:dyDescent="0.2">
      <c r="A1468">
        <v>10</v>
      </c>
      <c r="E1468" t="str">
        <f t="shared" si="62"/>
        <v>K</v>
      </c>
      <c r="F1468" t="str">
        <f t="shared" si="61"/>
        <v>10K</v>
      </c>
    </row>
    <row r="1469" spans="1:6" x14ac:dyDescent="0.2">
      <c r="A1469">
        <v>11</v>
      </c>
      <c r="E1469" t="str">
        <f t="shared" si="62"/>
        <v>L</v>
      </c>
      <c r="F1469" t="str">
        <f t="shared" si="61"/>
        <v>11L</v>
      </c>
    </row>
    <row r="1470" spans="1:6" x14ac:dyDescent="0.2">
      <c r="A1470">
        <v>12</v>
      </c>
      <c r="E1470" t="str">
        <f t="shared" si="62"/>
        <v>M</v>
      </c>
      <c r="F1470" t="str">
        <f t="shared" si="61"/>
        <v>12M</v>
      </c>
    </row>
    <row r="1471" spans="1:6" x14ac:dyDescent="0.2">
      <c r="A1471">
        <v>13</v>
      </c>
      <c r="E1471" t="str">
        <f t="shared" si="62"/>
        <v>N</v>
      </c>
      <c r="F1471" t="str">
        <f t="shared" si="61"/>
        <v>13N</v>
      </c>
    </row>
    <row r="1472" spans="1:6" x14ac:dyDescent="0.2">
      <c r="A1472">
        <v>14</v>
      </c>
      <c r="E1472" t="str">
        <f t="shared" si="62"/>
        <v>O</v>
      </c>
      <c r="F1472" t="str">
        <f t="shared" si="61"/>
        <v>14O</v>
      </c>
    </row>
    <row r="1473" spans="1:6" x14ac:dyDescent="0.2">
      <c r="A1473">
        <v>15</v>
      </c>
      <c r="E1473" t="str">
        <f t="shared" si="62"/>
        <v>P</v>
      </c>
      <c r="F1473" t="str">
        <f t="shared" si="61"/>
        <v>15P</v>
      </c>
    </row>
    <row r="1474" spans="1:6" x14ac:dyDescent="0.2">
      <c r="A1474">
        <v>16</v>
      </c>
      <c r="E1474" t="str">
        <f t="shared" si="62"/>
        <v>Q</v>
      </c>
      <c r="F1474" t="str">
        <f t="shared" si="61"/>
        <v>16Q</v>
      </c>
    </row>
    <row r="1475" spans="1:6" x14ac:dyDescent="0.2">
      <c r="A1475">
        <v>17</v>
      </c>
      <c r="E1475" t="str">
        <f t="shared" si="62"/>
        <v>R</v>
      </c>
      <c r="F1475" t="str">
        <f t="shared" ref="F1475:F1538" si="63">A1475&amp;C1475&amp;E1475</f>
        <v>17R</v>
      </c>
    </row>
    <row r="1476" spans="1:6" x14ac:dyDescent="0.2">
      <c r="A1476">
        <v>18</v>
      </c>
      <c r="E1476" t="str">
        <f t="shared" si="62"/>
        <v>S</v>
      </c>
      <c r="F1476" t="str">
        <f t="shared" si="63"/>
        <v>18S</v>
      </c>
    </row>
    <row r="1477" spans="1:6" x14ac:dyDescent="0.2">
      <c r="A1477">
        <v>19</v>
      </c>
      <c r="E1477" t="str">
        <f t="shared" si="62"/>
        <v>T</v>
      </c>
      <c r="F1477" t="str">
        <f t="shared" si="63"/>
        <v>19T</v>
      </c>
    </row>
    <row r="1478" spans="1:6" x14ac:dyDescent="0.2">
      <c r="A1478">
        <v>20</v>
      </c>
      <c r="E1478" t="str">
        <f t="shared" si="62"/>
        <v>U</v>
      </c>
      <c r="F1478" t="str">
        <f t="shared" si="63"/>
        <v>20U</v>
      </c>
    </row>
    <row r="1479" spans="1:6" x14ac:dyDescent="0.2">
      <c r="A1479">
        <v>21</v>
      </c>
      <c r="E1479" t="str">
        <f t="shared" si="62"/>
        <v>V</v>
      </c>
      <c r="F1479" t="str">
        <f t="shared" si="63"/>
        <v>21V</v>
      </c>
    </row>
    <row r="1480" spans="1:6" x14ac:dyDescent="0.2">
      <c r="A1480">
        <v>22</v>
      </c>
      <c r="E1480" t="str">
        <f t="shared" si="62"/>
        <v>W</v>
      </c>
      <c r="F1480" t="str">
        <f t="shared" si="63"/>
        <v>22W</v>
      </c>
    </row>
    <row r="1481" spans="1:6" x14ac:dyDescent="0.2">
      <c r="A1481">
        <v>23</v>
      </c>
      <c r="E1481" t="str">
        <f t="shared" si="62"/>
        <v>X</v>
      </c>
      <c r="F1481" t="str">
        <f t="shared" si="63"/>
        <v>23X</v>
      </c>
    </row>
    <row r="1482" spans="1:6" x14ac:dyDescent="0.2">
      <c r="A1482">
        <v>24</v>
      </c>
      <c r="E1482" t="str">
        <f t="shared" si="62"/>
        <v>Y</v>
      </c>
      <c r="F1482" t="str">
        <f t="shared" si="63"/>
        <v>24Y</v>
      </c>
    </row>
    <row r="1483" spans="1:6" x14ac:dyDescent="0.2">
      <c r="A1483">
        <v>25</v>
      </c>
      <c r="E1483" t="str">
        <f t="shared" si="62"/>
        <v>Z</v>
      </c>
      <c r="F1483" t="str">
        <f t="shared" si="63"/>
        <v>25Z</v>
      </c>
    </row>
    <row r="1484" spans="1:6" x14ac:dyDescent="0.2">
      <c r="A1484">
        <v>0</v>
      </c>
      <c r="E1484" t="str">
        <f t="shared" si="62"/>
        <v>A</v>
      </c>
      <c r="F1484" t="str">
        <f t="shared" si="63"/>
        <v>0A</v>
      </c>
    </row>
    <row r="1485" spans="1:6" x14ac:dyDescent="0.2">
      <c r="A1485">
        <v>1</v>
      </c>
      <c r="E1485" t="str">
        <f t="shared" si="62"/>
        <v>B</v>
      </c>
      <c r="F1485" t="str">
        <f t="shared" si="63"/>
        <v>1B</v>
      </c>
    </row>
    <row r="1486" spans="1:6" x14ac:dyDescent="0.2">
      <c r="A1486">
        <v>2</v>
      </c>
      <c r="E1486" t="str">
        <f t="shared" si="62"/>
        <v>C</v>
      </c>
      <c r="F1486" t="str">
        <f t="shared" si="63"/>
        <v>2C</v>
      </c>
    </row>
    <row r="1487" spans="1:6" x14ac:dyDescent="0.2">
      <c r="A1487">
        <v>3</v>
      </c>
      <c r="E1487" t="str">
        <f t="shared" si="62"/>
        <v>D</v>
      </c>
      <c r="F1487" t="str">
        <f t="shared" si="63"/>
        <v>3D</v>
      </c>
    </row>
    <row r="1488" spans="1:6" x14ac:dyDescent="0.2">
      <c r="A1488">
        <v>4</v>
      </c>
      <c r="E1488" t="str">
        <f t="shared" si="62"/>
        <v>E</v>
      </c>
      <c r="F1488" t="str">
        <f t="shared" si="63"/>
        <v>4E</v>
      </c>
    </row>
    <row r="1489" spans="1:6" x14ac:dyDescent="0.2">
      <c r="A1489">
        <v>5</v>
      </c>
      <c r="E1489" t="str">
        <f t="shared" si="62"/>
        <v>F</v>
      </c>
      <c r="F1489" t="str">
        <f t="shared" si="63"/>
        <v>5F</v>
      </c>
    </row>
    <row r="1490" spans="1:6" x14ac:dyDescent="0.2">
      <c r="A1490">
        <v>6</v>
      </c>
      <c r="E1490" t="str">
        <f t="shared" si="62"/>
        <v>G</v>
      </c>
      <c r="F1490" t="str">
        <f t="shared" si="63"/>
        <v>6G</v>
      </c>
    </row>
    <row r="1491" spans="1:6" x14ac:dyDescent="0.2">
      <c r="A1491">
        <v>7</v>
      </c>
      <c r="E1491" t="str">
        <f t="shared" si="62"/>
        <v>H</v>
      </c>
      <c r="F1491" t="str">
        <f t="shared" si="63"/>
        <v>7H</v>
      </c>
    </row>
    <row r="1492" spans="1:6" x14ac:dyDescent="0.2">
      <c r="A1492">
        <v>8</v>
      </c>
      <c r="E1492" t="str">
        <f t="shared" si="62"/>
        <v>I</v>
      </c>
      <c r="F1492" t="str">
        <f t="shared" si="63"/>
        <v>8I</v>
      </c>
    </row>
    <row r="1493" spans="1:6" x14ac:dyDescent="0.2">
      <c r="A1493">
        <v>9</v>
      </c>
      <c r="E1493" t="str">
        <f t="shared" si="62"/>
        <v>J</v>
      </c>
      <c r="F1493" t="str">
        <f t="shared" si="63"/>
        <v>9J</v>
      </c>
    </row>
    <row r="1494" spans="1:6" x14ac:dyDescent="0.2">
      <c r="A1494">
        <v>10</v>
      </c>
      <c r="E1494" t="str">
        <f t="shared" si="62"/>
        <v>K</v>
      </c>
      <c r="F1494" t="str">
        <f t="shared" si="63"/>
        <v>10K</v>
      </c>
    </row>
    <row r="1495" spans="1:6" x14ac:dyDescent="0.2">
      <c r="A1495">
        <v>11</v>
      </c>
      <c r="E1495" t="str">
        <f t="shared" si="62"/>
        <v>L</v>
      </c>
      <c r="F1495" t="str">
        <f t="shared" si="63"/>
        <v>11L</v>
      </c>
    </row>
    <row r="1496" spans="1:6" x14ac:dyDescent="0.2">
      <c r="A1496">
        <v>12</v>
      </c>
      <c r="E1496" t="str">
        <f t="shared" si="62"/>
        <v>M</v>
      </c>
      <c r="F1496" t="str">
        <f t="shared" si="63"/>
        <v>12M</v>
      </c>
    </row>
    <row r="1497" spans="1:6" x14ac:dyDescent="0.2">
      <c r="A1497">
        <v>13</v>
      </c>
      <c r="E1497" t="str">
        <f t="shared" si="62"/>
        <v>N</v>
      </c>
      <c r="F1497" t="str">
        <f t="shared" si="63"/>
        <v>13N</v>
      </c>
    </row>
    <row r="1498" spans="1:6" x14ac:dyDescent="0.2">
      <c r="A1498">
        <v>14</v>
      </c>
      <c r="E1498" t="str">
        <f t="shared" si="62"/>
        <v>O</v>
      </c>
      <c r="F1498" t="str">
        <f t="shared" si="63"/>
        <v>14O</v>
      </c>
    </row>
    <row r="1499" spans="1:6" x14ac:dyDescent="0.2">
      <c r="A1499">
        <v>15</v>
      </c>
      <c r="E1499" t="str">
        <f t="shared" si="62"/>
        <v>P</v>
      </c>
      <c r="F1499" t="str">
        <f t="shared" si="63"/>
        <v>15P</v>
      </c>
    </row>
    <row r="1500" spans="1:6" x14ac:dyDescent="0.2">
      <c r="A1500">
        <v>16</v>
      </c>
      <c r="E1500" t="str">
        <f t="shared" si="62"/>
        <v>Q</v>
      </c>
      <c r="F1500" t="str">
        <f t="shared" si="63"/>
        <v>16Q</v>
      </c>
    </row>
    <row r="1501" spans="1:6" x14ac:dyDescent="0.2">
      <c r="A1501">
        <v>17</v>
      </c>
      <c r="E1501" t="str">
        <f t="shared" ref="E1501:E1564" si="64">E1475</f>
        <v>R</v>
      </c>
      <c r="F1501" t="str">
        <f t="shared" si="63"/>
        <v>17R</v>
      </c>
    </row>
    <row r="1502" spans="1:6" x14ac:dyDescent="0.2">
      <c r="A1502">
        <v>18</v>
      </c>
      <c r="E1502" t="str">
        <f t="shared" si="64"/>
        <v>S</v>
      </c>
      <c r="F1502" t="str">
        <f t="shared" si="63"/>
        <v>18S</v>
      </c>
    </row>
    <row r="1503" spans="1:6" x14ac:dyDescent="0.2">
      <c r="A1503">
        <v>19</v>
      </c>
      <c r="E1503" t="str">
        <f t="shared" si="64"/>
        <v>T</v>
      </c>
      <c r="F1503" t="str">
        <f t="shared" si="63"/>
        <v>19T</v>
      </c>
    </row>
    <row r="1504" spans="1:6" x14ac:dyDescent="0.2">
      <c r="A1504">
        <v>20</v>
      </c>
      <c r="E1504" t="str">
        <f t="shared" si="64"/>
        <v>U</v>
      </c>
      <c r="F1504" t="str">
        <f t="shared" si="63"/>
        <v>20U</v>
      </c>
    </row>
    <row r="1505" spans="1:6" x14ac:dyDescent="0.2">
      <c r="A1505">
        <v>21</v>
      </c>
      <c r="E1505" t="str">
        <f t="shared" si="64"/>
        <v>V</v>
      </c>
      <c r="F1505" t="str">
        <f t="shared" si="63"/>
        <v>21V</v>
      </c>
    </row>
    <row r="1506" spans="1:6" x14ac:dyDescent="0.2">
      <c r="A1506">
        <v>22</v>
      </c>
      <c r="E1506" t="str">
        <f t="shared" si="64"/>
        <v>W</v>
      </c>
      <c r="F1506" t="str">
        <f t="shared" si="63"/>
        <v>22W</v>
      </c>
    </row>
    <row r="1507" spans="1:6" x14ac:dyDescent="0.2">
      <c r="A1507">
        <v>23</v>
      </c>
      <c r="E1507" t="str">
        <f t="shared" si="64"/>
        <v>X</v>
      </c>
      <c r="F1507" t="str">
        <f t="shared" si="63"/>
        <v>23X</v>
      </c>
    </row>
    <row r="1508" spans="1:6" x14ac:dyDescent="0.2">
      <c r="A1508">
        <v>24</v>
      </c>
      <c r="E1508" t="str">
        <f t="shared" si="64"/>
        <v>Y</v>
      </c>
      <c r="F1508" t="str">
        <f t="shared" si="63"/>
        <v>24Y</v>
      </c>
    </row>
    <row r="1509" spans="1:6" x14ac:dyDescent="0.2">
      <c r="A1509">
        <v>25</v>
      </c>
      <c r="E1509" t="str">
        <f t="shared" si="64"/>
        <v>Z</v>
      </c>
      <c r="F1509" t="str">
        <f t="shared" si="63"/>
        <v>25Z</v>
      </c>
    </row>
    <row r="1510" spans="1:6" x14ac:dyDescent="0.2">
      <c r="A1510">
        <v>0</v>
      </c>
      <c r="E1510" t="str">
        <f t="shared" si="64"/>
        <v>A</v>
      </c>
      <c r="F1510" t="str">
        <f t="shared" si="63"/>
        <v>0A</v>
      </c>
    </row>
    <row r="1511" spans="1:6" x14ac:dyDescent="0.2">
      <c r="A1511">
        <v>1</v>
      </c>
      <c r="E1511" t="str">
        <f t="shared" si="64"/>
        <v>B</v>
      </c>
      <c r="F1511" t="str">
        <f t="shared" si="63"/>
        <v>1B</v>
      </c>
    </row>
    <row r="1512" spans="1:6" x14ac:dyDescent="0.2">
      <c r="A1512">
        <v>2</v>
      </c>
      <c r="E1512" t="str">
        <f t="shared" si="64"/>
        <v>C</v>
      </c>
      <c r="F1512" t="str">
        <f t="shared" si="63"/>
        <v>2C</v>
      </c>
    </row>
    <row r="1513" spans="1:6" x14ac:dyDescent="0.2">
      <c r="A1513">
        <v>3</v>
      </c>
      <c r="E1513" t="str">
        <f t="shared" si="64"/>
        <v>D</v>
      </c>
      <c r="F1513" t="str">
        <f t="shared" si="63"/>
        <v>3D</v>
      </c>
    </row>
    <row r="1514" spans="1:6" x14ac:dyDescent="0.2">
      <c r="A1514">
        <v>4</v>
      </c>
      <c r="E1514" t="str">
        <f t="shared" si="64"/>
        <v>E</v>
      </c>
      <c r="F1514" t="str">
        <f t="shared" si="63"/>
        <v>4E</v>
      </c>
    </row>
    <row r="1515" spans="1:6" x14ac:dyDescent="0.2">
      <c r="A1515">
        <v>5</v>
      </c>
      <c r="E1515" t="str">
        <f t="shared" si="64"/>
        <v>F</v>
      </c>
      <c r="F1515" t="str">
        <f t="shared" si="63"/>
        <v>5F</v>
      </c>
    </row>
    <row r="1516" spans="1:6" x14ac:dyDescent="0.2">
      <c r="A1516">
        <v>6</v>
      </c>
      <c r="E1516" t="str">
        <f t="shared" si="64"/>
        <v>G</v>
      </c>
      <c r="F1516" t="str">
        <f t="shared" si="63"/>
        <v>6G</v>
      </c>
    </row>
    <row r="1517" spans="1:6" x14ac:dyDescent="0.2">
      <c r="A1517">
        <v>7</v>
      </c>
      <c r="E1517" t="str">
        <f t="shared" si="64"/>
        <v>H</v>
      </c>
      <c r="F1517" t="str">
        <f t="shared" si="63"/>
        <v>7H</v>
      </c>
    </row>
    <row r="1518" spans="1:6" x14ac:dyDescent="0.2">
      <c r="A1518">
        <v>8</v>
      </c>
      <c r="E1518" t="str">
        <f t="shared" si="64"/>
        <v>I</v>
      </c>
      <c r="F1518" t="str">
        <f t="shared" si="63"/>
        <v>8I</v>
      </c>
    </row>
    <row r="1519" spans="1:6" x14ac:dyDescent="0.2">
      <c r="A1519">
        <v>9</v>
      </c>
      <c r="E1519" t="str">
        <f t="shared" si="64"/>
        <v>J</v>
      </c>
      <c r="F1519" t="str">
        <f t="shared" si="63"/>
        <v>9J</v>
      </c>
    </row>
    <row r="1520" spans="1:6" x14ac:dyDescent="0.2">
      <c r="A1520">
        <v>10</v>
      </c>
      <c r="E1520" t="str">
        <f t="shared" si="64"/>
        <v>K</v>
      </c>
      <c r="F1520" t="str">
        <f t="shared" si="63"/>
        <v>10K</v>
      </c>
    </row>
    <row r="1521" spans="1:6" x14ac:dyDescent="0.2">
      <c r="A1521">
        <v>11</v>
      </c>
      <c r="E1521" t="str">
        <f t="shared" si="64"/>
        <v>L</v>
      </c>
      <c r="F1521" t="str">
        <f t="shared" si="63"/>
        <v>11L</v>
      </c>
    </row>
    <row r="1522" spans="1:6" x14ac:dyDescent="0.2">
      <c r="A1522">
        <v>12</v>
      </c>
      <c r="E1522" t="str">
        <f t="shared" si="64"/>
        <v>M</v>
      </c>
      <c r="F1522" t="str">
        <f t="shared" si="63"/>
        <v>12M</v>
      </c>
    </row>
    <row r="1523" spans="1:6" x14ac:dyDescent="0.2">
      <c r="A1523">
        <v>13</v>
      </c>
      <c r="E1523" t="str">
        <f t="shared" si="64"/>
        <v>N</v>
      </c>
      <c r="F1523" t="str">
        <f t="shared" si="63"/>
        <v>13N</v>
      </c>
    </row>
    <row r="1524" spans="1:6" x14ac:dyDescent="0.2">
      <c r="A1524">
        <v>14</v>
      </c>
      <c r="E1524" t="str">
        <f t="shared" si="64"/>
        <v>O</v>
      </c>
      <c r="F1524" t="str">
        <f t="shared" si="63"/>
        <v>14O</v>
      </c>
    </row>
    <row r="1525" spans="1:6" x14ac:dyDescent="0.2">
      <c r="A1525">
        <v>15</v>
      </c>
      <c r="E1525" t="str">
        <f t="shared" si="64"/>
        <v>P</v>
      </c>
      <c r="F1525" t="str">
        <f t="shared" si="63"/>
        <v>15P</v>
      </c>
    </row>
    <row r="1526" spans="1:6" x14ac:dyDescent="0.2">
      <c r="A1526">
        <v>16</v>
      </c>
      <c r="E1526" t="str">
        <f t="shared" si="64"/>
        <v>Q</v>
      </c>
      <c r="F1526" t="str">
        <f t="shared" si="63"/>
        <v>16Q</v>
      </c>
    </row>
    <row r="1527" spans="1:6" x14ac:dyDescent="0.2">
      <c r="A1527">
        <v>17</v>
      </c>
      <c r="E1527" t="str">
        <f t="shared" si="64"/>
        <v>R</v>
      </c>
      <c r="F1527" t="str">
        <f t="shared" si="63"/>
        <v>17R</v>
      </c>
    </row>
    <row r="1528" spans="1:6" x14ac:dyDescent="0.2">
      <c r="A1528">
        <v>18</v>
      </c>
      <c r="E1528" t="str">
        <f t="shared" si="64"/>
        <v>S</v>
      </c>
      <c r="F1528" t="str">
        <f t="shared" si="63"/>
        <v>18S</v>
      </c>
    </row>
    <row r="1529" spans="1:6" x14ac:dyDescent="0.2">
      <c r="A1529">
        <v>19</v>
      </c>
      <c r="E1529" t="str">
        <f t="shared" si="64"/>
        <v>T</v>
      </c>
      <c r="F1529" t="str">
        <f t="shared" si="63"/>
        <v>19T</v>
      </c>
    </row>
    <row r="1530" spans="1:6" x14ac:dyDescent="0.2">
      <c r="A1530">
        <v>20</v>
      </c>
      <c r="E1530" t="str">
        <f t="shared" si="64"/>
        <v>U</v>
      </c>
      <c r="F1530" t="str">
        <f t="shared" si="63"/>
        <v>20U</v>
      </c>
    </row>
    <row r="1531" spans="1:6" x14ac:dyDescent="0.2">
      <c r="A1531">
        <v>21</v>
      </c>
      <c r="E1531" t="str">
        <f t="shared" si="64"/>
        <v>V</v>
      </c>
      <c r="F1531" t="str">
        <f t="shared" si="63"/>
        <v>21V</v>
      </c>
    </row>
    <row r="1532" spans="1:6" x14ac:dyDescent="0.2">
      <c r="A1532">
        <v>22</v>
      </c>
      <c r="E1532" t="str">
        <f t="shared" si="64"/>
        <v>W</v>
      </c>
      <c r="F1532" t="str">
        <f t="shared" si="63"/>
        <v>22W</v>
      </c>
    </row>
    <row r="1533" spans="1:6" x14ac:dyDescent="0.2">
      <c r="A1533">
        <v>23</v>
      </c>
      <c r="E1533" t="str">
        <f t="shared" si="64"/>
        <v>X</v>
      </c>
      <c r="F1533" t="str">
        <f t="shared" si="63"/>
        <v>23X</v>
      </c>
    </row>
    <row r="1534" spans="1:6" x14ac:dyDescent="0.2">
      <c r="A1534">
        <v>24</v>
      </c>
      <c r="E1534" t="str">
        <f t="shared" si="64"/>
        <v>Y</v>
      </c>
      <c r="F1534" t="str">
        <f t="shared" si="63"/>
        <v>24Y</v>
      </c>
    </row>
    <row r="1535" spans="1:6" x14ac:dyDescent="0.2">
      <c r="A1535">
        <v>25</v>
      </c>
      <c r="E1535" t="str">
        <f t="shared" si="64"/>
        <v>Z</v>
      </c>
      <c r="F1535" t="str">
        <f t="shared" si="63"/>
        <v>25Z</v>
      </c>
    </row>
    <row r="1536" spans="1:6" x14ac:dyDescent="0.2">
      <c r="A1536">
        <v>0</v>
      </c>
      <c r="E1536" t="str">
        <f t="shared" si="64"/>
        <v>A</v>
      </c>
      <c r="F1536" t="str">
        <f t="shared" si="63"/>
        <v>0A</v>
      </c>
    </row>
    <row r="1537" spans="1:6" x14ac:dyDescent="0.2">
      <c r="A1537">
        <v>1</v>
      </c>
      <c r="E1537" t="str">
        <f t="shared" si="64"/>
        <v>B</v>
      </c>
      <c r="F1537" t="str">
        <f t="shared" si="63"/>
        <v>1B</v>
      </c>
    </row>
    <row r="1538" spans="1:6" x14ac:dyDescent="0.2">
      <c r="A1538">
        <v>2</v>
      </c>
      <c r="E1538" t="str">
        <f t="shared" si="64"/>
        <v>C</v>
      </c>
      <c r="F1538" t="str">
        <f t="shared" si="63"/>
        <v>2C</v>
      </c>
    </row>
    <row r="1539" spans="1:6" x14ac:dyDescent="0.2">
      <c r="A1539">
        <v>3</v>
      </c>
      <c r="E1539" t="str">
        <f t="shared" si="64"/>
        <v>D</v>
      </c>
      <c r="F1539" t="str">
        <f t="shared" ref="F1539:F1602" si="65">A1539&amp;C1539&amp;E1539</f>
        <v>3D</v>
      </c>
    </row>
    <row r="1540" spans="1:6" x14ac:dyDescent="0.2">
      <c r="A1540">
        <v>4</v>
      </c>
      <c r="E1540" t="str">
        <f t="shared" si="64"/>
        <v>E</v>
      </c>
      <c r="F1540" t="str">
        <f t="shared" si="65"/>
        <v>4E</v>
      </c>
    </row>
    <row r="1541" spans="1:6" x14ac:dyDescent="0.2">
      <c r="A1541">
        <v>5</v>
      </c>
      <c r="E1541" t="str">
        <f t="shared" si="64"/>
        <v>F</v>
      </c>
      <c r="F1541" t="str">
        <f t="shared" si="65"/>
        <v>5F</v>
      </c>
    </row>
    <row r="1542" spans="1:6" x14ac:dyDescent="0.2">
      <c r="A1542">
        <v>6</v>
      </c>
      <c r="E1542" t="str">
        <f t="shared" si="64"/>
        <v>G</v>
      </c>
      <c r="F1542" t="str">
        <f t="shared" si="65"/>
        <v>6G</v>
      </c>
    </row>
    <row r="1543" spans="1:6" x14ac:dyDescent="0.2">
      <c r="A1543">
        <v>7</v>
      </c>
      <c r="E1543" t="str">
        <f t="shared" si="64"/>
        <v>H</v>
      </c>
      <c r="F1543" t="str">
        <f t="shared" si="65"/>
        <v>7H</v>
      </c>
    </row>
    <row r="1544" spans="1:6" x14ac:dyDescent="0.2">
      <c r="A1544">
        <v>8</v>
      </c>
      <c r="E1544" t="str">
        <f t="shared" si="64"/>
        <v>I</v>
      </c>
      <c r="F1544" t="str">
        <f t="shared" si="65"/>
        <v>8I</v>
      </c>
    </row>
    <row r="1545" spans="1:6" x14ac:dyDescent="0.2">
      <c r="A1545">
        <v>9</v>
      </c>
      <c r="E1545" t="str">
        <f t="shared" si="64"/>
        <v>J</v>
      </c>
      <c r="F1545" t="str">
        <f t="shared" si="65"/>
        <v>9J</v>
      </c>
    </row>
    <row r="1546" spans="1:6" x14ac:dyDescent="0.2">
      <c r="A1546">
        <v>10</v>
      </c>
      <c r="E1546" t="str">
        <f t="shared" si="64"/>
        <v>K</v>
      </c>
      <c r="F1546" t="str">
        <f t="shared" si="65"/>
        <v>10K</v>
      </c>
    </row>
    <row r="1547" spans="1:6" x14ac:dyDescent="0.2">
      <c r="A1547">
        <v>11</v>
      </c>
      <c r="E1547" t="str">
        <f t="shared" si="64"/>
        <v>L</v>
      </c>
      <c r="F1547" t="str">
        <f t="shared" si="65"/>
        <v>11L</v>
      </c>
    </row>
    <row r="1548" spans="1:6" x14ac:dyDescent="0.2">
      <c r="A1548">
        <v>12</v>
      </c>
      <c r="E1548" t="str">
        <f t="shared" si="64"/>
        <v>M</v>
      </c>
      <c r="F1548" t="str">
        <f t="shared" si="65"/>
        <v>12M</v>
      </c>
    </row>
    <row r="1549" spans="1:6" x14ac:dyDescent="0.2">
      <c r="A1549">
        <v>13</v>
      </c>
      <c r="E1549" t="str">
        <f t="shared" si="64"/>
        <v>N</v>
      </c>
      <c r="F1549" t="str">
        <f t="shared" si="65"/>
        <v>13N</v>
      </c>
    </row>
    <row r="1550" spans="1:6" x14ac:dyDescent="0.2">
      <c r="A1550">
        <v>14</v>
      </c>
      <c r="E1550" t="str">
        <f t="shared" si="64"/>
        <v>O</v>
      </c>
      <c r="F1550" t="str">
        <f t="shared" si="65"/>
        <v>14O</v>
      </c>
    </row>
    <row r="1551" spans="1:6" x14ac:dyDescent="0.2">
      <c r="A1551">
        <v>15</v>
      </c>
      <c r="E1551" t="str">
        <f t="shared" si="64"/>
        <v>P</v>
      </c>
      <c r="F1551" t="str">
        <f t="shared" si="65"/>
        <v>15P</v>
      </c>
    </row>
    <row r="1552" spans="1:6" x14ac:dyDescent="0.2">
      <c r="A1552">
        <v>16</v>
      </c>
      <c r="E1552" t="str">
        <f t="shared" si="64"/>
        <v>Q</v>
      </c>
      <c r="F1552" t="str">
        <f t="shared" si="65"/>
        <v>16Q</v>
      </c>
    </row>
    <row r="1553" spans="1:6" x14ac:dyDescent="0.2">
      <c r="A1553">
        <v>17</v>
      </c>
      <c r="E1553" t="str">
        <f t="shared" si="64"/>
        <v>R</v>
      </c>
      <c r="F1553" t="str">
        <f t="shared" si="65"/>
        <v>17R</v>
      </c>
    </row>
    <row r="1554" spans="1:6" x14ac:dyDescent="0.2">
      <c r="A1554">
        <v>18</v>
      </c>
      <c r="E1554" t="str">
        <f t="shared" si="64"/>
        <v>S</v>
      </c>
      <c r="F1554" t="str">
        <f t="shared" si="65"/>
        <v>18S</v>
      </c>
    </row>
    <row r="1555" spans="1:6" x14ac:dyDescent="0.2">
      <c r="A1555">
        <v>19</v>
      </c>
      <c r="E1555" t="str">
        <f t="shared" si="64"/>
        <v>T</v>
      </c>
      <c r="F1555" t="str">
        <f t="shared" si="65"/>
        <v>19T</v>
      </c>
    </row>
    <row r="1556" spans="1:6" x14ac:dyDescent="0.2">
      <c r="A1556">
        <v>20</v>
      </c>
      <c r="E1556" t="str">
        <f t="shared" si="64"/>
        <v>U</v>
      </c>
      <c r="F1556" t="str">
        <f t="shared" si="65"/>
        <v>20U</v>
      </c>
    </row>
    <row r="1557" spans="1:6" x14ac:dyDescent="0.2">
      <c r="A1557">
        <v>21</v>
      </c>
      <c r="E1557" t="str">
        <f t="shared" si="64"/>
        <v>V</v>
      </c>
      <c r="F1557" t="str">
        <f t="shared" si="65"/>
        <v>21V</v>
      </c>
    </row>
    <row r="1558" spans="1:6" x14ac:dyDescent="0.2">
      <c r="A1558">
        <v>22</v>
      </c>
      <c r="E1558" t="str">
        <f t="shared" si="64"/>
        <v>W</v>
      </c>
      <c r="F1558" t="str">
        <f t="shared" si="65"/>
        <v>22W</v>
      </c>
    </row>
    <row r="1559" spans="1:6" x14ac:dyDescent="0.2">
      <c r="A1559">
        <v>23</v>
      </c>
      <c r="E1559" t="str">
        <f t="shared" si="64"/>
        <v>X</v>
      </c>
      <c r="F1559" t="str">
        <f t="shared" si="65"/>
        <v>23X</v>
      </c>
    </row>
    <row r="1560" spans="1:6" x14ac:dyDescent="0.2">
      <c r="A1560">
        <v>24</v>
      </c>
      <c r="E1560" t="str">
        <f t="shared" si="64"/>
        <v>Y</v>
      </c>
      <c r="F1560" t="str">
        <f t="shared" si="65"/>
        <v>24Y</v>
      </c>
    </row>
    <row r="1561" spans="1:6" x14ac:dyDescent="0.2">
      <c r="A1561">
        <v>25</v>
      </c>
      <c r="E1561" t="str">
        <f t="shared" si="64"/>
        <v>Z</v>
      </c>
      <c r="F1561" t="str">
        <f t="shared" si="65"/>
        <v>25Z</v>
      </c>
    </row>
    <row r="1562" spans="1:6" x14ac:dyDescent="0.2">
      <c r="A1562">
        <v>0</v>
      </c>
      <c r="E1562" t="str">
        <f t="shared" si="64"/>
        <v>A</v>
      </c>
      <c r="F1562" t="str">
        <f t="shared" si="65"/>
        <v>0A</v>
      </c>
    </row>
    <row r="1563" spans="1:6" x14ac:dyDescent="0.2">
      <c r="A1563">
        <v>1</v>
      </c>
      <c r="E1563" t="str">
        <f t="shared" si="64"/>
        <v>B</v>
      </c>
      <c r="F1563" t="str">
        <f t="shared" si="65"/>
        <v>1B</v>
      </c>
    </row>
    <row r="1564" spans="1:6" x14ac:dyDescent="0.2">
      <c r="A1564">
        <v>2</v>
      </c>
      <c r="E1564" t="str">
        <f t="shared" si="64"/>
        <v>C</v>
      </c>
      <c r="F1564" t="str">
        <f t="shared" si="65"/>
        <v>2C</v>
      </c>
    </row>
    <row r="1565" spans="1:6" x14ac:dyDescent="0.2">
      <c r="A1565">
        <v>3</v>
      </c>
      <c r="E1565" t="str">
        <f t="shared" ref="E1565:E1628" si="66">E1539</f>
        <v>D</v>
      </c>
      <c r="F1565" t="str">
        <f t="shared" si="65"/>
        <v>3D</v>
      </c>
    </row>
    <row r="1566" spans="1:6" x14ac:dyDescent="0.2">
      <c r="A1566">
        <v>4</v>
      </c>
      <c r="E1566" t="str">
        <f t="shared" si="66"/>
        <v>E</v>
      </c>
      <c r="F1566" t="str">
        <f t="shared" si="65"/>
        <v>4E</v>
      </c>
    </row>
    <row r="1567" spans="1:6" x14ac:dyDescent="0.2">
      <c r="A1567">
        <v>5</v>
      </c>
      <c r="E1567" t="str">
        <f t="shared" si="66"/>
        <v>F</v>
      </c>
      <c r="F1567" t="str">
        <f t="shared" si="65"/>
        <v>5F</v>
      </c>
    </row>
    <row r="1568" spans="1:6" x14ac:dyDescent="0.2">
      <c r="A1568">
        <v>6</v>
      </c>
      <c r="E1568" t="str">
        <f t="shared" si="66"/>
        <v>G</v>
      </c>
      <c r="F1568" t="str">
        <f t="shared" si="65"/>
        <v>6G</v>
      </c>
    </row>
    <row r="1569" spans="1:6" x14ac:dyDescent="0.2">
      <c r="A1569">
        <v>7</v>
      </c>
      <c r="E1569" t="str">
        <f t="shared" si="66"/>
        <v>H</v>
      </c>
      <c r="F1569" t="str">
        <f t="shared" si="65"/>
        <v>7H</v>
      </c>
    </row>
    <row r="1570" spans="1:6" x14ac:dyDescent="0.2">
      <c r="A1570">
        <v>8</v>
      </c>
      <c r="E1570" t="str">
        <f t="shared" si="66"/>
        <v>I</v>
      </c>
      <c r="F1570" t="str">
        <f t="shared" si="65"/>
        <v>8I</v>
      </c>
    </row>
    <row r="1571" spans="1:6" x14ac:dyDescent="0.2">
      <c r="A1571">
        <v>9</v>
      </c>
      <c r="E1571" t="str">
        <f t="shared" si="66"/>
        <v>J</v>
      </c>
      <c r="F1571" t="str">
        <f t="shared" si="65"/>
        <v>9J</v>
      </c>
    </row>
    <row r="1572" spans="1:6" x14ac:dyDescent="0.2">
      <c r="A1572">
        <v>10</v>
      </c>
      <c r="E1572" t="str">
        <f t="shared" si="66"/>
        <v>K</v>
      </c>
      <c r="F1572" t="str">
        <f t="shared" si="65"/>
        <v>10K</v>
      </c>
    </row>
    <row r="1573" spans="1:6" x14ac:dyDescent="0.2">
      <c r="A1573">
        <v>11</v>
      </c>
      <c r="E1573" t="str">
        <f t="shared" si="66"/>
        <v>L</v>
      </c>
      <c r="F1573" t="str">
        <f t="shared" si="65"/>
        <v>11L</v>
      </c>
    </row>
    <row r="1574" spans="1:6" x14ac:dyDescent="0.2">
      <c r="A1574">
        <v>12</v>
      </c>
      <c r="E1574" t="str">
        <f t="shared" si="66"/>
        <v>M</v>
      </c>
      <c r="F1574" t="str">
        <f t="shared" si="65"/>
        <v>12M</v>
      </c>
    </row>
    <row r="1575" spans="1:6" x14ac:dyDescent="0.2">
      <c r="A1575">
        <v>13</v>
      </c>
      <c r="E1575" t="str">
        <f t="shared" si="66"/>
        <v>N</v>
      </c>
      <c r="F1575" t="str">
        <f t="shared" si="65"/>
        <v>13N</v>
      </c>
    </row>
    <row r="1576" spans="1:6" x14ac:dyDescent="0.2">
      <c r="A1576">
        <v>14</v>
      </c>
      <c r="E1576" t="str">
        <f t="shared" si="66"/>
        <v>O</v>
      </c>
      <c r="F1576" t="str">
        <f t="shared" si="65"/>
        <v>14O</v>
      </c>
    </row>
    <row r="1577" spans="1:6" x14ac:dyDescent="0.2">
      <c r="A1577">
        <v>15</v>
      </c>
      <c r="E1577" t="str">
        <f t="shared" si="66"/>
        <v>P</v>
      </c>
      <c r="F1577" t="str">
        <f t="shared" si="65"/>
        <v>15P</v>
      </c>
    </row>
    <row r="1578" spans="1:6" x14ac:dyDescent="0.2">
      <c r="A1578">
        <v>16</v>
      </c>
      <c r="E1578" t="str">
        <f t="shared" si="66"/>
        <v>Q</v>
      </c>
      <c r="F1578" t="str">
        <f t="shared" si="65"/>
        <v>16Q</v>
      </c>
    </row>
    <row r="1579" spans="1:6" x14ac:dyDescent="0.2">
      <c r="A1579">
        <v>17</v>
      </c>
      <c r="E1579" t="str">
        <f t="shared" si="66"/>
        <v>R</v>
      </c>
      <c r="F1579" t="str">
        <f t="shared" si="65"/>
        <v>17R</v>
      </c>
    </row>
    <row r="1580" spans="1:6" x14ac:dyDescent="0.2">
      <c r="A1580">
        <v>18</v>
      </c>
      <c r="E1580" t="str">
        <f t="shared" si="66"/>
        <v>S</v>
      </c>
      <c r="F1580" t="str">
        <f t="shared" si="65"/>
        <v>18S</v>
      </c>
    </row>
    <row r="1581" spans="1:6" x14ac:dyDescent="0.2">
      <c r="A1581">
        <v>19</v>
      </c>
      <c r="E1581" t="str">
        <f t="shared" si="66"/>
        <v>T</v>
      </c>
      <c r="F1581" t="str">
        <f t="shared" si="65"/>
        <v>19T</v>
      </c>
    </row>
    <row r="1582" spans="1:6" x14ac:dyDescent="0.2">
      <c r="A1582">
        <v>20</v>
      </c>
      <c r="E1582" t="str">
        <f t="shared" si="66"/>
        <v>U</v>
      </c>
      <c r="F1582" t="str">
        <f t="shared" si="65"/>
        <v>20U</v>
      </c>
    </row>
    <row r="1583" spans="1:6" x14ac:dyDescent="0.2">
      <c r="A1583">
        <v>21</v>
      </c>
      <c r="E1583" t="str">
        <f t="shared" si="66"/>
        <v>V</v>
      </c>
      <c r="F1583" t="str">
        <f t="shared" si="65"/>
        <v>21V</v>
      </c>
    </row>
    <row r="1584" spans="1:6" x14ac:dyDescent="0.2">
      <c r="A1584">
        <v>22</v>
      </c>
      <c r="E1584" t="str">
        <f t="shared" si="66"/>
        <v>W</v>
      </c>
      <c r="F1584" t="str">
        <f t="shared" si="65"/>
        <v>22W</v>
      </c>
    </row>
    <row r="1585" spans="1:6" x14ac:dyDescent="0.2">
      <c r="A1585">
        <v>23</v>
      </c>
      <c r="E1585" t="str">
        <f t="shared" si="66"/>
        <v>X</v>
      </c>
      <c r="F1585" t="str">
        <f t="shared" si="65"/>
        <v>23X</v>
      </c>
    </row>
    <row r="1586" spans="1:6" x14ac:dyDescent="0.2">
      <c r="A1586">
        <v>24</v>
      </c>
      <c r="E1586" t="str">
        <f t="shared" si="66"/>
        <v>Y</v>
      </c>
      <c r="F1586" t="str">
        <f t="shared" si="65"/>
        <v>24Y</v>
      </c>
    </row>
    <row r="1587" spans="1:6" x14ac:dyDescent="0.2">
      <c r="A1587">
        <v>25</v>
      </c>
      <c r="E1587" t="str">
        <f t="shared" si="66"/>
        <v>Z</v>
      </c>
      <c r="F1587" t="str">
        <f t="shared" si="65"/>
        <v>25Z</v>
      </c>
    </row>
    <row r="1588" spans="1:6" x14ac:dyDescent="0.2">
      <c r="A1588">
        <v>0</v>
      </c>
      <c r="E1588" t="str">
        <f t="shared" si="66"/>
        <v>A</v>
      </c>
      <c r="F1588" t="str">
        <f t="shared" si="65"/>
        <v>0A</v>
      </c>
    </row>
    <row r="1589" spans="1:6" x14ac:dyDescent="0.2">
      <c r="A1589">
        <v>1</v>
      </c>
      <c r="E1589" t="str">
        <f t="shared" si="66"/>
        <v>B</v>
      </c>
      <c r="F1589" t="str">
        <f t="shared" si="65"/>
        <v>1B</v>
      </c>
    </row>
    <row r="1590" spans="1:6" x14ac:dyDescent="0.2">
      <c r="A1590">
        <v>2</v>
      </c>
      <c r="E1590" t="str">
        <f t="shared" si="66"/>
        <v>C</v>
      </c>
      <c r="F1590" t="str">
        <f t="shared" si="65"/>
        <v>2C</v>
      </c>
    </row>
    <row r="1591" spans="1:6" x14ac:dyDescent="0.2">
      <c r="A1591">
        <v>3</v>
      </c>
      <c r="E1591" t="str">
        <f t="shared" si="66"/>
        <v>D</v>
      </c>
      <c r="F1591" t="str">
        <f t="shared" si="65"/>
        <v>3D</v>
      </c>
    </row>
    <row r="1592" spans="1:6" x14ac:dyDescent="0.2">
      <c r="A1592">
        <v>4</v>
      </c>
      <c r="E1592" t="str">
        <f t="shared" si="66"/>
        <v>E</v>
      </c>
      <c r="F1592" t="str">
        <f t="shared" si="65"/>
        <v>4E</v>
      </c>
    </row>
    <row r="1593" spans="1:6" x14ac:dyDescent="0.2">
      <c r="A1593">
        <v>5</v>
      </c>
      <c r="E1593" t="str">
        <f t="shared" si="66"/>
        <v>F</v>
      </c>
      <c r="F1593" t="str">
        <f t="shared" si="65"/>
        <v>5F</v>
      </c>
    </row>
    <row r="1594" spans="1:6" x14ac:dyDescent="0.2">
      <c r="A1594">
        <v>6</v>
      </c>
      <c r="E1594" t="str">
        <f t="shared" si="66"/>
        <v>G</v>
      </c>
      <c r="F1594" t="str">
        <f t="shared" si="65"/>
        <v>6G</v>
      </c>
    </row>
    <row r="1595" spans="1:6" x14ac:dyDescent="0.2">
      <c r="A1595">
        <v>7</v>
      </c>
      <c r="E1595" t="str">
        <f t="shared" si="66"/>
        <v>H</v>
      </c>
      <c r="F1595" t="str">
        <f t="shared" si="65"/>
        <v>7H</v>
      </c>
    </row>
    <row r="1596" spans="1:6" x14ac:dyDescent="0.2">
      <c r="A1596">
        <v>8</v>
      </c>
      <c r="E1596" t="str">
        <f t="shared" si="66"/>
        <v>I</v>
      </c>
      <c r="F1596" t="str">
        <f t="shared" si="65"/>
        <v>8I</v>
      </c>
    </row>
    <row r="1597" spans="1:6" x14ac:dyDescent="0.2">
      <c r="A1597">
        <v>9</v>
      </c>
      <c r="E1597" t="str">
        <f t="shared" si="66"/>
        <v>J</v>
      </c>
      <c r="F1597" t="str">
        <f t="shared" si="65"/>
        <v>9J</v>
      </c>
    </row>
    <row r="1598" spans="1:6" x14ac:dyDescent="0.2">
      <c r="A1598">
        <v>10</v>
      </c>
      <c r="E1598" t="str">
        <f t="shared" si="66"/>
        <v>K</v>
      </c>
      <c r="F1598" t="str">
        <f t="shared" si="65"/>
        <v>10K</v>
      </c>
    </row>
    <row r="1599" spans="1:6" x14ac:dyDescent="0.2">
      <c r="A1599">
        <v>11</v>
      </c>
      <c r="E1599" t="str">
        <f t="shared" si="66"/>
        <v>L</v>
      </c>
      <c r="F1599" t="str">
        <f t="shared" si="65"/>
        <v>11L</v>
      </c>
    </row>
    <row r="1600" spans="1:6" x14ac:dyDescent="0.2">
      <c r="A1600">
        <v>12</v>
      </c>
      <c r="E1600" t="str">
        <f t="shared" si="66"/>
        <v>M</v>
      </c>
      <c r="F1600" t="str">
        <f t="shared" si="65"/>
        <v>12M</v>
      </c>
    </row>
    <row r="1601" spans="1:6" x14ac:dyDescent="0.2">
      <c r="A1601">
        <v>13</v>
      </c>
      <c r="E1601" t="str">
        <f t="shared" si="66"/>
        <v>N</v>
      </c>
      <c r="F1601" t="str">
        <f t="shared" si="65"/>
        <v>13N</v>
      </c>
    </row>
    <row r="1602" spans="1:6" x14ac:dyDescent="0.2">
      <c r="A1602">
        <v>14</v>
      </c>
      <c r="E1602" t="str">
        <f t="shared" si="66"/>
        <v>O</v>
      </c>
      <c r="F1602" t="str">
        <f t="shared" si="65"/>
        <v>14O</v>
      </c>
    </row>
    <row r="1603" spans="1:6" x14ac:dyDescent="0.2">
      <c r="A1603">
        <v>15</v>
      </c>
      <c r="E1603" t="str">
        <f t="shared" si="66"/>
        <v>P</v>
      </c>
      <c r="F1603" t="str">
        <f t="shared" ref="F1603:F1666" si="67">A1603&amp;C1603&amp;E1603</f>
        <v>15P</v>
      </c>
    </row>
    <row r="1604" spans="1:6" x14ac:dyDescent="0.2">
      <c r="A1604">
        <v>16</v>
      </c>
      <c r="E1604" t="str">
        <f t="shared" si="66"/>
        <v>Q</v>
      </c>
      <c r="F1604" t="str">
        <f t="shared" si="67"/>
        <v>16Q</v>
      </c>
    </row>
    <row r="1605" spans="1:6" x14ac:dyDescent="0.2">
      <c r="A1605">
        <v>17</v>
      </c>
      <c r="E1605" t="str">
        <f t="shared" si="66"/>
        <v>R</v>
      </c>
      <c r="F1605" t="str">
        <f t="shared" si="67"/>
        <v>17R</v>
      </c>
    </row>
    <row r="1606" spans="1:6" x14ac:dyDescent="0.2">
      <c r="A1606">
        <v>18</v>
      </c>
      <c r="E1606" t="str">
        <f t="shared" si="66"/>
        <v>S</v>
      </c>
      <c r="F1606" t="str">
        <f t="shared" si="67"/>
        <v>18S</v>
      </c>
    </row>
    <row r="1607" spans="1:6" x14ac:dyDescent="0.2">
      <c r="A1607">
        <v>19</v>
      </c>
      <c r="E1607" t="str">
        <f t="shared" si="66"/>
        <v>T</v>
      </c>
      <c r="F1607" t="str">
        <f t="shared" si="67"/>
        <v>19T</v>
      </c>
    </row>
    <row r="1608" spans="1:6" x14ac:dyDescent="0.2">
      <c r="A1608">
        <v>20</v>
      </c>
      <c r="E1608" t="str">
        <f t="shared" si="66"/>
        <v>U</v>
      </c>
      <c r="F1608" t="str">
        <f t="shared" si="67"/>
        <v>20U</v>
      </c>
    </row>
    <row r="1609" spans="1:6" x14ac:dyDescent="0.2">
      <c r="A1609">
        <v>21</v>
      </c>
      <c r="E1609" t="str">
        <f t="shared" si="66"/>
        <v>V</v>
      </c>
      <c r="F1609" t="str">
        <f t="shared" si="67"/>
        <v>21V</v>
      </c>
    </row>
    <row r="1610" spans="1:6" x14ac:dyDescent="0.2">
      <c r="A1610">
        <v>22</v>
      </c>
      <c r="E1610" t="str">
        <f t="shared" si="66"/>
        <v>W</v>
      </c>
      <c r="F1610" t="str">
        <f t="shared" si="67"/>
        <v>22W</v>
      </c>
    </row>
    <row r="1611" spans="1:6" x14ac:dyDescent="0.2">
      <c r="A1611">
        <v>23</v>
      </c>
      <c r="E1611" t="str">
        <f t="shared" si="66"/>
        <v>X</v>
      </c>
      <c r="F1611" t="str">
        <f t="shared" si="67"/>
        <v>23X</v>
      </c>
    </row>
    <row r="1612" spans="1:6" x14ac:dyDescent="0.2">
      <c r="A1612">
        <v>24</v>
      </c>
      <c r="E1612" t="str">
        <f t="shared" si="66"/>
        <v>Y</v>
      </c>
      <c r="F1612" t="str">
        <f t="shared" si="67"/>
        <v>24Y</v>
      </c>
    </row>
    <row r="1613" spans="1:6" x14ac:dyDescent="0.2">
      <c r="A1613">
        <v>25</v>
      </c>
      <c r="E1613" t="str">
        <f t="shared" si="66"/>
        <v>Z</v>
      </c>
      <c r="F1613" t="str">
        <f t="shared" si="67"/>
        <v>25Z</v>
      </c>
    </row>
    <row r="1614" spans="1:6" x14ac:dyDescent="0.2">
      <c r="A1614">
        <v>0</v>
      </c>
      <c r="E1614" t="str">
        <f t="shared" si="66"/>
        <v>A</v>
      </c>
      <c r="F1614" t="str">
        <f t="shared" si="67"/>
        <v>0A</v>
      </c>
    </row>
    <row r="1615" spans="1:6" x14ac:dyDescent="0.2">
      <c r="A1615">
        <v>1</v>
      </c>
      <c r="E1615" t="str">
        <f t="shared" si="66"/>
        <v>B</v>
      </c>
      <c r="F1615" t="str">
        <f t="shared" si="67"/>
        <v>1B</v>
      </c>
    </row>
    <row r="1616" spans="1:6" x14ac:dyDescent="0.2">
      <c r="A1616">
        <v>2</v>
      </c>
      <c r="E1616" t="str">
        <f t="shared" si="66"/>
        <v>C</v>
      </c>
      <c r="F1616" t="str">
        <f t="shared" si="67"/>
        <v>2C</v>
      </c>
    </row>
    <row r="1617" spans="1:6" x14ac:dyDescent="0.2">
      <c r="A1617">
        <v>3</v>
      </c>
      <c r="E1617" t="str">
        <f t="shared" si="66"/>
        <v>D</v>
      </c>
      <c r="F1617" t="str">
        <f t="shared" si="67"/>
        <v>3D</v>
      </c>
    </row>
    <row r="1618" spans="1:6" x14ac:dyDescent="0.2">
      <c r="A1618">
        <v>4</v>
      </c>
      <c r="E1618" t="str">
        <f t="shared" si="66"/>
        <v>E</v>
      </c>
      <c r="F1618" t="str">
        <f t="shared" si="67"/>
        <v>4E</v>
      </c>
    </row>
    <row r="1619" spans="1:6" x14ac:dyDescent="0.2">
      <c r="A1619">
        <v>5</v>
      </c>
      <c r="E1619" t="str">
        <f t="shared" si="66"/>
        <v>F</v>
      </c>
      <c r="F1619" t="str">
        <f t="shared" si="67"/>
        <v>5F</v>
      </c>
    </row>
    <row r="1620" spans="1:6" x14ac:dyDescent="0.2">
      <c r="A1620">
        <v>6</v>
      </c>
      <c r="E1620" t="str">
        <f t="shared" si="66"/>
        <v>G</v>
      </c>
      <c r="F1620" t="str">
        <f t="shared" si="67"/>
        <v>6G</v>
      </c>
    </row>
    <row r="1621" spans="1:6" x14ac:dyDescent="0.2">
      <c r="A1621">
        <v>7</v>
      </c>
      <c r="E1621" t="str">
        <f t="shared" si="66"/>
        <v>H</v>
      </c>
      <c r="F1621" t="str">
        <f t="shared" si="67"/>
        <v>7H</v>
      </c>
    </row>
    <row r="1622" spans="1:6" x14ac:dyDescent="0.2">
      <c r="A1622">
        <v>8</v>
      </c>
      <c r="E1622" t="str">
        <f t="shared" si="66"/>
        <v>I</v>
      </c>
      <c r="F1622" t="str">
        <f t="shared" si="67"/>
        <v>8I</v>
      </c>
    </row>
    <row r="1623" spans="1:6" x14ac:dyDescent="0.2">
      <c r="A1623">
        <v>9</v>
      </c>
      <c r="E1623" t="str">
        <f t="shared" si="66"/>
        <v>J</v>
      </c>
      <c r="F1623" t="str">
        <f t="shared" si="67"/>
        <v>9J</v>
      </c>
    </row>
    <row r="1624" spans="1:6" x14ac:dyDescent="0.2">
      <c r="A1624">
        <v>10</v>
      </c>
      <c r="E1624" t="str">
        <f t="shared" si="66"/>
        <v>K</v>
      </c>
      <c r="F1624" t="str">
        <f t="shared" si="67"/>
        <v>10K</v>
      </c>
    </row>
    <row r="1625" spans="1:6" x14ac:dyDescent="0.2">
      <c r="A1625">
        <v>11</v>
      </c>
      <c r="E1625" t="str">
        <f t="shared" si="66"/>
        <v>L</v>
      </c>
      <c r="F1625" t="str">
        <f t="shared" si="67"/>
        <v>11L</v>
      </c>
    </row>
    <row r="1626" spans="1:6" x14ac:dyDescent="0.2">
      <c r="A1626">
        <v>12</v>
      </c>
      <c r="E1626" t="str">
        <f t="shared" si="66"/>
        <v>M</v>
      </c>
      <c r="F1626" t="str">
        <f t="shared" si="67"/>
        <v>12M</v>
      </c>
    </row>
    <row r="1627" spans="1:6" x14ac:dyDescent="0.2">
      <c r="A1627">
        <v>13</v>
      </c>
      <c r="E1627" t="str">
        <f t="shared" si="66"/>
        <v>N</v>
      </c>
      <c r="F1627" t="str">
        <f t="shared" si="67"/>
        <v>13N</v>
      </c>
    </row>
    <row r="1628" spans="1:6" x14ac:dyDescent="0.2">
      <c r="A1628">
        <v>14</v>
      </c>
      <c r="E1628" t="str">
        <f t="shared" si="66"/>
        <v>O</v>
      </c>
      <c r="F1628" t="str">
        <f t="shared" si="67"/>
        <v>14O</v>
      </c>
    </row>
    <row r="1629" spans="1:6" x14ac:dyDescent="0.2">
      <c r="A1629">
        <v>15</v>
      </c>
      <c r="E1629" t="str">
        <f t="shared" ref="E1629:E1692" si="68">E1603</f>
        <v>P</v>
      </c>
      <c r="F1629" t="str">
        <f t="shared" si="67"/>
        <v>15P</v>
      </c>
    </row>
    <row r="1630" spans="1:6" x14ac:dyDescent="0.2">
      <c r="A1630">
        <v>16</v>
      </c>
      <c r="E1630" t="str">
        <f t="shared" si="68"/>
        <v>Q</v>
      </c>
      <c r="F1630" t="str">
        <f t="shared" si="67"/>
        <v>16Q</v>
      </c>
    </row>
    <row r="1631" spans="1:6" x14ac:dyDescent="0.2">
      <c r="A1631">
        <v>17</v>
      </c>
      <c r="E1631" t="str">
        <f t="shared" si="68"/>
        <v>R</v>
      </c>
      <c r="F1631" t="str">
        <f t="shared" si="67"/>
        <v>17R</v>
      </c>
    </row>
    <row r="1632" spans="1:6" x14ac:dyDescent="0.2">
      <c r="A1632">
        <v>18</v>
      </c>
      <c r="E1632" t="str">
        <f t="shared" si="68"/>
        <v>S</v>
      </c>
      <c r="F1632" t="str">
        <f t="shared" si="67"/>
        <v>18S</v>
      </c>
    </row>
    <row r="1633" spans="1:6" x14ac:dyDescent="0.2">
      <c r="A1633">
        <v>19</v>
      </c>
      <c r="E1633" t="str">
        <f t="shared" si="68"/>
        <v>T</v>
      </c>
      <c r="F1633" t="str">
        <f t="shared" si="67"/>
        <v>19T</v>
      </c>
    </row>
    <row r="1634" spans="1:6" x14ac:dyDescent="0.2">
      <c r="A1634">
        <v>20</v>
      </c>
      <c r="E1634" t="str">
        <f t="shared" si="68"/>
        <v>U</v>
      </c>
      <c r="F1634" t="str">
        <f t="shared" si="67"/>
        <v>20U</v>
      </c>
    </row>
    <row r="1635" spans="1:6" x14ac:dyDescent="0.2">
      <c r="A1635">
        <v>21</v>
      </c>
      <c r="E1635" t="str">
        <f t="shared" si="68"/>
        <v>V</v>
      </c>
      <c r="F1635" t="str">
        <f t="shared" si="67"/>
        <v>21V</v>
      </c>
    </row>
    <row r="1636" spans="1:6" x14ac:dyDescent="0.2">
      <c r="A1636">
        <v>22</v>
      </c>
      <c r="E1636" t="str">
        <f t="shared" si="68"/>
        <v>W</v>
      </c>
      <c r="F1636" t="str">
        <f t="shared" si="67"/>
        <v>22W</v>
      </c>
    </row>
    <row r="1637" spans="1:6" x14ac:dyDescent="0.2">
      <c r="A1637">
        <v>23</v>
      </c>
      <c r="E1637" t="str">
        <f t="shared" si="68"/>
        <v>X</v>
      </c>
      <c r="F1637" t="str">
        <f t="shared" si="67"/>
        <v>23X</v>
      </c>
    </row>
    <row r="1638" spans="1:6" x14ac:dyDescent="0.2">
      <c r="A1638">
        <v>24</v>
      </c>
      <c r="E1638" t="str">
        <f t="shared" si="68"/>
        <v>Y</v>
      </c>
      <c r="F1638" t="str">
        <f t="shared" si="67"/>
        <v>24Y</v>
      </c>
    </row>
    <row r="1639" spans="1:6" x14ac:dyDescent="0.2">
      <c r="A1639">
        <v>25</v>
      </c>
      <c r="E1639" t="str">
        <f t="shared" si="68"/>
        <v>Z</v>
      </c>
      <c r="F1639" t="str">
        <f t="shared" si="67"/>
        <v>25Z</v>
      </c>
    </row>
    <row r="1640" spans="1:6" x14ac:dyDescent="0.2">
      <c r="A1640">
        <v>0</v>
      </c>
      <c r="E1640" t="str">
        <f t="shared" si="68"/>
        <v>A</v>
      </c>
      <c r="F1640" t="str">
        <f t="shared" si="67"/>
        <v>0A</v>
      </c>
    </row>
    <row r="1641" spans="1:6" x14ac:dyDescent="0.2">
      <c r="A1641">
        <v>1</v>
      </c>
      <c r="E1641" t="str">
        <f t="shared" si="68"/>
        <v>B</v>
      </c>
      <c r="F1641" t="str">
        <f t="shared" si="67"/>
        <v>1B</v>
      </c>
    </row>
    <row r="1642" spans="1:6" x14ac:dyDescent="0.2">
      <c r="A1642">
        <v>2</v>
      </c>
      <c r="E1642" t="str">
        <f t="shared" si="68"/>
        <v>C</v>
      </c>
      <c r="F1642" t="str">
        <f t="shared" si="67"/>
        <v>2C</v>
      </c>
    </row>
    <row r="1643" spans="1:6" x14ac:dyDescent="0.2">
      <c r="A1643">
        <v>3</v>
      </c>
      <c r="E1643" t="str">
        <f t="shared" si="68"/>
        <v>D</v>
      </c>
      <c r="F1643" t="str">
        <f t="shared" si="67"/>
        <v>3D</v>
      </c>
    </row>
    <row r="1644" spans="1:6" x14ac:dyDescent="0.2">
      <c r="A1644">
        <v>4</v>
      </c>
      <c r="E1644" t="str">
        <f t="shared" si="68"/>
        <v>E</v>
      </c>
      <c r="F1644" t="str">
        <f t="shared" si="67"/>
        <v>4E</v>
      </c>
    </row>
    <row r="1645" spans="1:6" x14ac:dyDescent="0.2">
      <c r="A1645">
        <v>5</v>
      </c>
      <c r="E1645" t="str">
        <f t="shared" si="68"/>
        <v>F</v>
      </c>
      <c r="F1645" t="str">
        <f t="shared" si="67"/>
        <v>5F</v>
      </c>
    </row>
    <row r="1646" spans="1:6" x14ac:dyDescent="0.2">
      <c r="A1646">
        <v>6</v>
      </c>
      <c r="E1646" t="str">
        <f t="shared" si="68"/>
        <v>G</v>
      </c>
      <c r="F1646" t="str">
        <f t="shared" si="67"/>
        <v>6G</v>
      </c>
    </row>
    <row r="1647" spans="1:6" x14ac:dyDescent="0.2">
      <c r="A1647">
        <v>7</v>
      </c>
      <c r="E1647" t="str">
        <f t="shared" si="68"/>
        <v>H</v>
      </c>
      <c r="F1647" t="str">
        <f t="shared" si="67"/>
        <v>7H</v>
      </c>
    </row>
    <row r="1648" spans="1:6" x14ac:dyDescent="0.2">
      <c r="A1648">
        <v>8</v>
      </c>
      <c r="E1648" t="str">
        <f t="shared" si="68"/>
        <v>I</v>
      </c>
      <c r="F1648" t="str">
        <f t="shared" si="67"/>
        <v>8I</v>
      </c>
    </row>
    <row r="1649" spans="1:6" x14ac:dyDescent="0.2">
      <c r="A1649">
        <v>9</v>
      </c>
      <c r="E1649" t="str">
        <f t="shared" si="68"/>
        <v>J</v>
      </c>
      <c r="F1649" t="str">
        <f t="shared" si="67"/>
        <v>9J</v>
      </c>
    </row>
    <row r="1650" spans="1:6" x14ac:dyDescent="0.2">
      <c r="A1650">
        <v>10</v>
      </c>
      <c r="E1650" t="str">
        <f t="shared" si="68"/>
        <v>K</v>
      </c>
      <c r="F1650" t="str">
        <f t="shared" si="67"/>
        <v>10K</v>
      </c>
    </row>
    <row r="1651" spans="1:6" x14ac:dyDescent="0.2">
      <c r="A1651">
        <v>11</v>
      </c>
      <c r="E1651" t="str">
        <f t="shared" si="68"/>
        <v>L</v>
      </c>
      <c r="F1651" t="str">
        <f t="shared" si="67"/>
        <v>11L</v>
      </c>
    </row>
    <row r="1652" spans="1:6" x14ac:dyDescent="0.2">
      <c r="A1652">
        <v>12</v>
      </c>
      <c r="E1652" t="str">
        <f t="shared" si="68"/>
        <v>M</v>
      </c>
      <c r="F1652" t="str">
        <f t="shared" si="67"/>
        <v>12M</v>
      </c>
    </row>
    <row r="1653" spans="1:6" x14ac:dyDescent="0.2">
      <c r="A1653">
        <v>13</v>
      </c>
      <c r="E1653" t="str">
        <f t="shared" si="68"/>
        <v>N</v>
      </c>
      <c r="F1653" t="str">
        <f t="shared" si="67"/>
        <v>13N</v>
      </c>
    </row>
    <row r="1654" spans="1:6" x14ac:dyDescent="0.2">
      <c r="A1654">
        <v>14</v>
      </c>
      <c r="E1654" t="str">
        <f t="shared" si="68"/>
        <v>O</v>
      </c>
      <c r="F1654" t="str">
        <f t="shared" si="67"/>
        <v>14O</v>
      </c>
    </row>
    <row r="1655" spans="1:6" x14ac:dyDescent="0.2">
      <c r="A1655">
        <v>15</v>
      </c>
      <c r="E1655" t="str">
        <f t="shared" si="68"/>
        <v>P</v>
      </c>
      <c r="F1655" t="str">
        <f t="shared" si="67"/>
        <v>15P</v>
      </c>
    </row>
    <row r="1656" spans="1:6" x14ac:dyDescent="0.2">
      <c r="A1656">
        <v>16</v>
      </c>
      <c r="E1656" t="str">
        <f t="shared" si="68"/>
        <v>Q</v>
      </c>
      <c r="F1656" t="str">
        <f t="shared" si="67"/>
        <v>16Q</v>
      </c>
    </row>
    <row r="1657" spans="1:6" x14ac:dyDescent="0.2">
      <c r="A1657">
        <v>17</v>
      </c>
      <c r="E1657" t="str">
        <f t="shared" si="68"/>
        <v>R</v>
      </c>
      <c r="F1657" t="str">
        <f t="shared" si="67"/>
        <v>17R</v>
      </c>
    </row>
    <row r="1658" spans="1:6" x14ac:dyDescent="0.2">
      <c r="A1658">
        <v>18</v>
      </c>
      <c r="E1658" t="str">
        <f t="shared" si="68"/>
        <v>S</v>
      </c>
      <c r="F1658" t="str">
        <f t="shared" si="67"/>
        <v>18S</v>
      </c>
    </row>
    <row r="1659" spans="1:6" x14ac:dyDescent="0.2">
      <c r="A1659">
        <v>19</v>
      </c>
      <c r="E1659" t="str">
        <f t="shared" si="68"/>
        <v>T</v>
      </c>
      <c r="F1659" t="str">
        <f t="shared" si="67"/>
        <v>19T</v>
      </c>
    </row>
    <row r="1660" spans="1:6" x14ac:dyDescent="0.2">
      <c r="A1660">
        <v>20</v>
      </c>
      <c r="E1660" t="str">
        <f t="shared" si="68"/>
        <v>U</v>
      </c>
      <c r="F1660" t="str">
        <f t="shared" si="67"/>
        <v>20U</v>
      </c>
    </row>
    <row r="1661" spans="1:6" x14ac:dyDescent="0.2">
      <c r="A1661">
        <v>21</v>
      </c>
      <c r="E1661" t="str">
        <f t="shared" si="68"/>
        <v>V</v>
      </c>
      <c r="F1661" t="str">
        <f t="shared" si="67"/>
        <v>21V</v>
      </c>
    </row>
    <row r="1662" spans="1:6" x14ac:dyDescent="0.2">
      <c r="A1662">
        <v>22</v>
      </c>
      <c r="E1662" t="str">
        <f t="shared" si="68"/>
        <v>W</v>
      </c>
      <c r="F1662" t="str">
        <f t="shared" si="67"/>
        <v>22W</v>
      </c>
    </row>
    <row r="1663" spans="1:6" x14ac:dyDescent="0.2">
      <c r="A1663">
        <v>23</v>
      </c>
      <c r="E1663" t="str">
        <f t="shared" si="68"/>
        <v>X</v>
      </c>
      <c r="F1663" t="str">
        <f t="shared" si="67"/>
        <v>23X</v>
      </c>
    </row>
    <row r="1664" spans="1:6" x14ac:dyDescent="0.2">
      <c r="A1664">
        <v>24</v>
      </c>
      <c r="E1664" t="str">
        <f t="shared" si="68"/>
        <v>Y</v>
      </c>
      <c r="F1664" t="str">
        <f t="shared" si="67"/>
        <v>24Y</v>
      </c>
    </row>
    <row r="1665" spans="1:6" x14ac:dyDescent="0.2">
      <c r="A1665">
        <v>25</v>
      </c>
      <c r="E1665" t="str">
        <f t="shared" si="68"/>
        <v>Z</v>
      </c>
      <c r="F1665" t="str">
        <f t="shared" si="67"/>
        <v>25Z</v>
      </c>
    </row>
    <row r="1666" spans="1:6" x14ac:dyDescent="0.2">
      <c r="A1666">
        <v>0</v>
      </c>
      <c r="E1666" t="str">
        <f t="shared" si="68"/>
        <v>A</v>
      </c>
      <c r="F1666" t="str">
        <f t="shared" si="67"/>
        <v>0A</v>
      </c>
    </row>
    <row r="1667" spans="1:6" x14ac:dyDescent="0.2">
      <c r="A1667">
        <v>1</v>
      </c>
      <c r="E1667" t="str">
        <f t="shared" si="68"/>
        <v>B</v>
      </c>
      <c r="F1667" t="str">
        <f t="shared" ref="F1667:F1730" si="69">A1667&amp;C1667&amp;E1667</f>
        <v>1B</v>
      </c>
    </row>
    <row r="1668" spans="1:6" x14ac:dyDescent="0.2">
      <c r="A1668">
        <v>2</v>
      </c>
      <c r="E1668" t="str">
        <f t="shared" si="68"/>
        <v>C</v>
      </c>
      <c r="F1668" t="str">
        <f t="shared" si="69"/>
        <v>2C</v>
      </c>
    </row>
    <row r="1669" spans="1:6" x14ac:dyDescent="0.2">
      <c r="A1669">
        <v>3</v>
      </c>
      <c r="E1669" t="str">
        <f t="shared" si="68"/>
        <v>D</v>
      </c>
      <c r="F1669" t="str">
        <f t="shared" si="69"/>
        <v>3D</v>
      </c>
    </row>
    <row r="1670" spans="1:6" x14ac:dyDescent="0.2">
      <c r="A1670">
        <v>4</v>
      </c>
      <c r="E1670" t="str">
        <f t="shared" si="68"/>
        <v>E</v>
      </c>
      <c r="F1670" t="str">
        <f t="shared" si="69"/>
        <v>4E</v>
      </c>
    </row>
    <row r="1671" spans="1:6" x14ac:dyDescent="0.2">
      <c r="A1671">
        <v>5</v>
      </c>
      <c r="E1671" t="str">
        <f t="shared" si="68"/>
        <v>F</v>
      </c>
      <c r="F1671" t="str">
        <f t="shared" si="69"/>
        <v>5F</v>
      </c>
    </row>
    <row r="1672" spans="1:6" x14ac:dyDescent="0.2">
      <c r="A1672">
        <v>6</v>
      </c>
      <c r="E1672" t="str">
        <f t="shared" si="68"/>
        <v>G</v>
      </c>
      <c r="F1672" t="str">
        <f t="shared" si="69"/>
        <v>6G</v>
      </c>
    </row>
    <row r="1673" spans="1:6" x14ac:dyDescent="0.2">
      <c r="A1673">
        <v>7</v>
      </c>
      <c r="E1673" t="str">
        <f t="shared" si="68"/>
        <v>H</v>
      </c>
      <c r="F1673" t="str">
        <f t="shared" si="69"/>
        <v>7H</v>
      </c>
    </row>
    <row r="1674" spans="1:6" x14ac:dyDescent="0.2">
      <c r="A1674">
        <v>8</v>
      </c>
      <c r="E1674" t="str">
        <f t="shared" si="68"/>
        <v>I</v>
      </c>
      <c r="F1674" t="str">
        <f t="shared" si="69"/>
        <v>8I</v>
      </c>
    </row>
    <row r="1675" spans="1:6" x14ac:dyDescent="0.2">
      <c r="A1675">
        <v>9</v>
      </c>
      <c r="E1675" t="str">
        <f t="shared" si="68"/>
        <v>J</v>
      </c>
      <c r="F1675" t="str">
        <f t="shared" si="69"/>
        <v>9J</v>
      </c>
    </row>
    <row r="1676" spans="1:6" x14ac:dyDescent="0.2">
      <c r="A1676">
        <v>10</v>
      </c>
      <c r="E1676" t="str">
        <f t="shared" si="68"/>
        <v>K</v>
      </c>
      <c r="F1676" t="str">
        <f t="shared" si="69"/>
        <v>10K</v>
      </c>
    </row>
    <row r="1677" spans="1:6" x14ac:dyDescent="0.2">
      <c r="A1677">
        <v>11</v>
      </c>
      <c r="E1677" t="str">
        <f t="shared" si="68"/>
        <v>L</v>
      </c>
      <c r="F1677" t="str">
        <f t="shared" si="69"/>
        <v>11L</v>
      </c>
    </row>
    <row r="1678" spans="1:6" x14ac:dyDescent="0.2">
      <c r="A1678">
        <v>12</v>
      </c>
      <c r="E1678" t="str">
        <f t="shared" si="68"/>
        <v>M</v>
      </c>
      <c r="F1678" t="str">
        <f t="shared" si="69"/>
        <v>12M</v>
      </c>
    </row>
    <row r="1679" spans="1:6" x14ac:dyDescent="0.2">
      <c r="A1679">
        <v>13</v>
      </c>
      <c r="E1679" t="str">
        <f t="shared" si="68"/>
        <v>N</v>
      </c>
      <c r="F1679" t="str">
        <f t="shared" si="69"/>
        <v>13N</v>
      </c>
    </row>
    <row r="1680" spans="1:6" x14ac:dyDescent="0.2">
      <c r="A1680">
        <v>14</v>
      </c>
      <c r="E1680" t="str">
        <f t="shared" si="68"/>
        <v>O</v>
      </c>
      <c r="F1680" t="str">
        <f t="shared" si="69"/>
        <v>14O</v>
      </c>
    </row>
    <row r="1681" spans="1:6" x14ac:dyDescent="0.2">
      <c r="A1681">
        <v>15</v>
      </c>
      <c r="E1681" t="str">
        <f t="shared" si="68"/>
        <v>P</v>
      </c>
      <c r="F1681" t="str">
        <f t="shared" si="69"/>
        <v>15P</v>
      </c>
    </row>
    <row r="1682" spans="1:6" x14ac:dyDescent="0.2">
      <c r="A1682">
        <v>16</v>
      </c>
      <c r="E1682" t="str">
        <f t="shared" si="68"/>
        <v>Q</v>
      </c>
      <c r="F1682" t="str">
        <f t="shared" si="69"/>
        <v>16Q</v>
      </c>
    </row>
    <row r="1683" spans="1:6" x14ac:dyDescent="0.2">
      <c r="A1683">
        <v>17</v>
      </c>
      <c r="E1683" t="str">
        <f t="shared" si="68"/>
        <v>R</v>
      </c>
      <c r="F1683" t="str">
        <f t="shared" si="69"/>
        <v>17R</v>
      </c>
    </row>
    <row r="1684" spans="1:6" x14ac:dyDescent="0.2">
      <c r="A1684">
        <v>18</v>
      </c>
      <c r="E1684" t="str">
        <f t="shared" si="68"/>
        <v>S</v>
      </c>
      <c r="F1684" t="str">
        <f t="shared" si="69"/>
        <v>18S</v>
      </c>
    </row>
    <row r="1685" spans="1:6" x14ac:dyDescent="0.2">
      <c r="A1685">
        <v>19</v>
      </c>
      <c r="E1685" t="str">
        <f t="shared" si="68"/>
        <v>T</v>
      </c>
      <c r="F1685" t="str">
        <f t="shared" si="69"/>
        <v>19T</v>
      </c>
    </row>
    <row r="1686" spans="1:6" x14ac:dyDescent="0.2">
      <c r="A1686">
        <v>20</v>
      </c>
      <c r="E1686" t="str">
        <f t="shared" si="68"/>
        <v>U</v>
      </c>
      <c r="F1686" t="str">
        <f t="shared" si="69"/>
        <v>20U</v>
      </c>
    </row>
    <row r="1687" spans="1:6" x14ac:dyDescent="0.2">
      <c r="A1687">
        <v>21</v>
      </c>
      <c r="E1687" t="str">
        <f t="shared" si="68"/>
        <v>V</v>
      </c>
      <c r="F1687" t="str">
        <f t="shared" si="69"/>
        <v>21V</v>
      </c>
    </row>
    <row r="1688" spans="1:6" x14ac:dyDescent="0.2">
      <c r="A1688">
        <v>22</v>
      </c>
      <c r="E1688" t="str">
        <f t="shared" si="68"/>
        <v>W</v>
      </c>
      <c r="F1688" t="str">
        <f t="shared" si="69"/>
        <v>22W</v>
      </c>
    </row>
    <row r="1689" spans="1:6" x14ac:dyDescent="0.2">
      <c r="A1689">
        <v>23</v>
      </c>
      <c r="E1689" t="str">
        <f t="shared" si="68"/>
        <v>X</v>
      </c>
      <c r="F1689" t="str">
        <f t="shared" si="69"/>
        <v>23X</v>
      </c>
    </row>
    <row r="1690" spans="1:6" x14ac:dyDescent="0.2">
      <c r="A1690">
        <v>24</v>
      </c>
      <c r="E1690" t="str">
        <f t="shared" si="68"/>
        <v>Y</v>
      </c>
      <c r="F1690" t="str">
        <f t="shared" si="69"/>
        <v>24Y</v>
      </c>
    </row>
    <row r="1691" spans="1:6" x14ac:dyDescent="0.2">
      <c r="A1691">
        <v>25</v>
      </c>
      <c r="E1691" t="str">
        <f t="shared" si="68"/>
        <v>Z</v>
      </c>
      <c r="F1691" t="str">
        <f t="shared" si="69"/>
        <v>25Z</v>
      </c>
    </row>
    <row r="1692" spans="1:6" x14ac:dyDescent="0.2">
      <c r="A1692">
        <v>0</v>
      </c>
      <c r="E1692" t="str">
        <f t="shared" si="68"/>
        <v>A</v>
      </c>
      <c r="F1692" t="str">
        <f t="shared" si="69"/>
        <v>0A</v>
      </c>
    </row>
    <row r="1693" spans="1:6" x14ac:dyDescent="0.2">
      <c r="A1693">
        <v>1</v>
      </c>
      <c r="E1693" t="str">
        <f t="shared" ref="E1693:E1756" si="70">E1667</f>
        <v>B</v>
      </c>
      <c r="F1693" t="str">
        <f t="shared" si="69"/>
        <v>1B</v>
      </c>
    </row>
    <row r="1694" spans="1:6" x14ac:dyDescent="0.2">
      <c r="A1694">
        <v>2</v>
      </c>
      <c r="E1694" t="str">
        <f t="shared" si="70"/>
        <v>C</v>
      </c>
      <c r="F1694" t="str">
        <f t="shared" si="69"/>
        <v>2C</v>
      </c>
    </row>
    <row r="1695" spans="1:6" x14ac:dyDescent="0.2">
      <c r="A1695">
        <v>3</v>
      </c>
      <c r="E1695" t="str">
        <f t="shared" si="70"/>
        <v>D</v>
      </c>
      <c r="F1695" t="str">
        <f t="shared" si="69"/>
        <v>3D</v>
      </c>
    </row>
    <row r="1696" spans="1:6" x14ac:dyDescent="0.2">
      <c r="A1696">
        <v>4</v>
      </c>
      <c r="E1696" t="str">
        <f t="shared" si="70"/>
        <v>E</v>
      </c>
      <c r="F1696" t="str">
        <f t="shared" si="69"/>
        <v>4E</v>
      </c>
    </row>
    <row r="1697" spans="1:6" x14ac:dyDescent="0.2">
      <c r="A1697">
        <v>5</v>
      </c>
      <c r="E1697" t="str">
        <f t="shared" si="70"/>
        <v>F</v>
      </c>
      <c r="F1697" t="str">
        <f t="shared" si="69"/>
        <v>5F</v>
      </c>
    </row>
    <row r="1698" spans="1:6" x14ac:dyDescent="0.2">
      <c r="A1698">
        <v>6</v>
      </c>
      <c r="E1698" t="str">
        <f t="shared" si="70"/>
        <v>G</v>
      </c>
      <c r="F1698" t="str">
        <f t="shared" si="69"/>
        <v>6G</v>
      </c>
    </row>
    <row r="1699" spans="1:6" x14ac:dyDescent="0.2">
      <c r="A1699">
        <v>7</v>
      </c>
      <c r="E1699" t="str">
        <f t="shared" si="70"/>
        <v>H</v>
      </c>
      <c r="F1699" t="str">
        <f t="shared" si="69"/>
        <v>7H</v>
      </c>
    </row>
    <row r="1700" spans="1:6" x14ac:dyDescent="0.2">
      <c r="A1700">
        <v>8</v>
      </c>
      <c r="E1700" t="str">
        <f t="shared" si="70"/>
        <v>I</v>
      </c>
      <c r="F1700" t="str">
        <f t="shared" si="69"/>
        <v>8I</v>
      </c>
    </row>
    <row r="1701" spans="1:6" x14ac:dyDescent="0.2">
      <c r="A1701">
        <v>9</v>
      </c>
      <c r="E1701" t="str">
        <f t="shared" si="70"/>
        <v>J</v>
      </c>
      <c r="F1701" t="str">
        <f t="shared" si="69"/>
        <v>9J</v>
      </c>
    </row>
    <row r="1702" spans="1:6" x14ac:dyDescent="0.2">
      <c r="A1702">
        <v>10</v>
      </c>
      <c r="E1702" t="str">
        <f t="shared" si="70"/>
        <v>K</v>
      </c>
      <c r="F1702" t="str">
        <f t="shared" si="69"/>
        <v>10K</v>
      </c>
    </row>
    <row r="1703" spans="1:6" x14ac:dyDescent="0.2">
      <c r="A1703">
        <v>11</v>
      </c>
      <c r="E1703" t="str">
        <f t="shared" si="70"/>
        <v>L</v>
      </c>
      <c r="F1703" t="str">
        <f t="shared" si="69"/>
        <v>11L</v>
      </c>
    </row>
    <row r="1704" spans="1:6" x14ac:dyDescent="0.2">
      <c r="A1704">
        <v>12</v>
      </c>
      <c r="E1704" t="str">
        <f t="shared" si="70"/>
        <v>M</v>
      </c>
      <c r="F1704" t="str">
        <f t="shared" si="69"/>
        <v>12M</v>
      </c>
    </row>
    <row r="1705" spans="1:6" x14ac:dyDescent="0.2">
      <c r="A1705">
        <v>13</v>
      </c>
      <c r="E1705" t="str">
        <f t="shared" si="70"/>
        <v>N</v>
      </c>
      <c r="F1705" t="str">
        <f t="shared" si="69"/>
        <v>13N</v>
      </c>
    </row>
    <row r="1706" spans="1:6" x14ac:dyDescent="0.2">
      <c r="A1706">
        <v>14</v>
      </c>
      <c r="E1706" t="str">
        <f t="shared" si="70"/>
        <v>O</v>
      </c>
      <c r="F1706" t="str">
        <f t="shared" si="69"/>
        <v>14O</v>
      </c>
    </row>
    <row r="1707" spans="1:6" x14ac:dyDescent="0.2">
      <c r="A1707">
        <v>15</v>
      </c>
      <c r="E1707" t="str">
        <f t="shared" si="70"/>
        <v>P</v>
      </c>
      <c r="F1707" t="str">
        <f t="shared" si="69"/>
        <v>15P</v>
      </c>
    </row>
    <row r="1708" spans="1:6" x14ac:dyDescent="0.2">
      <c r="A1708">
        <v>16</v>
      </c>
      <c r="E1708" t="str">
        <f t="shared" si="70"/>
        <v>Q</v>
      </c>
      <c r="F1708" t="str">
        <f t="shared" si="69"/>
        <v>16Q</v>
      </c>
    </row>
    <row r="1709" spans="1:6" x14ac:dyDescent="0.2">
      <c r="A1709">
        <v>17</v>
      </c>
      <c r="E1709" t="str">
        <f t="shared" si="70"/>
        <v>R</v>
      </c>
      <c r="F1709" t="str">
        <f t="shared" si="69"/>
        <v>17R</v>
      </c>
    </row>
    <row r="1710" spans="1:6" x14ac:dyDescent="0.2">
      <c r="A1710">
        <v>18</v>
      </c>
      <c r="E1710" t="str">
        <f t="shared" si="70"/>
        <v>S</v>
      </c>
      <c r="F1710" t="str">
        <f t="shared" si="69"/>
        <v>18S</v>
      </c>
    </row>
    <row r="1711" spans="1:6" x14ac:dyDescent="0.2">
      <c r="A1711">
        <v>19</v>
      </c>
      <c r="E1711" t="str">
        <f t="shared" si="70"/>
        <v>T</v>
      </c>
      <c r="F1711" t="str">
        <f t="shared" si="69"/>
        <v>19T</v>
      </c>
    </row>
    <row r="1712" spans="1:6" x14ac:dyDescent="0.2">
      <c r="A1712">
        <v>20</v>
      </c>
      <c r="E1712" t="str">
        <f t="shared" si="70"/>
        <v>U</v>
      </c>
      <c r="F1712" t="str">
        <f t="shared" si="69"/>
        <v>20U</v>
      </c>
    </row>
    <row r="1713" spans="1:6" x14ac:dyDescent="0.2">
      <c r="A1713">
        <v>21</v>
      </c>
      <c r="E1713" t="str">
        <f t="shared" si="70"/>
        <v>V</v>
      </c>
      <c r="F1713" t="str">
        <f t="shared" si="69"/>
        <v>21V</v>
      </c>
    </row>
    <row r="1714" spans="1:6" x14ac:dyDescent="0.2">
      <c r="A1714">
        <v>22</v>
      </c>
      <c r="E1714" t="str">
        <f t="shared" si="70"/>
        <v>W</v>
      </c>
      <c r="F1714" t="str">
        <f t="shared" si="69"/>
        <v>22W</v>
      </c>
    </row>
    <row r="1715" spans="1:6" x14ac:dyDescent="0.2">
      <c r="A1715">
        <v>23</v>
      </c>
      <c r="E1715" t="str">
        <f t="shared" si="70"/>
        <v>X</v>
      </c>
      <c r="F1715" t="str">
        <f t="shared" si="69"/>
        <v>23X</v>
      </c>
    </row>
    <row r="1716" spans="1:6" x14ac:dyDescent="0.2">
      <c r="A1716">
        <v>24</v>
      </c>
      <c r="E1716" t="str">
        <f t="shared" si="70"/>
        <v>Y</v>
      </c>
      <c r="F1716" t="str">
        <f t="shared" si="69"/>
        <v>24Y</v>
      </c>
    </row>
    <row r="1717" spans="1:6" x14ac:dyDescent="0.2">
      <c r="A1717">
        <v>25</v>
      </c>
      <c r="E1717" t="str">
        <f t="shared" si="70"/>
        <v>Z</v>
      </c>
      <c r="F1717" t="str">
        <f t="shared" si="69"/>
        <v>25Z</v>
      </c>
    </row>
    <row r="1718" spans="1:6" x14ac:dyDescent="0.2">
      <c r="A1718">
        <v>0</v>
      </c>
      <c r="E1718" t="str">
        <f t="shared" si="70"/>
        <v>A</v>
      </c>
      <c r="F1718" t="str">
        <f t="shared" si="69"/>
        <v>0A</v>
      </c>
    </row>
    <row r="1719" spans="1:6" x14ac:dyDescent="0.2">
      <c r="A1719">
        <v>1</v>
      </c>
      <c r="E1719" t="str">
        <f t="shared" si="70"/>
        <v>B</v>
      </c>
      <c r="F1719" t="str">
        <f t="shared" si="69"/>
        <v>1B</v>
      </c>
    </row>
    <row r="1720" spans="1:6" x14ac:dyDescent="0.2">
      <c r="A1720">
        <v>2</v>
      </c>
      <c r="E1720" t="str">
        <f t="shared" si="70"/>
        <v>C</v>
      </c>
      <c r="F1720" t="str">
        <f t="shared" si="69"/>
        <v>2C</v>
      </c>
    </row>
    <row r="1721" spans="1:6" x14ac:dyDescent="0.2">
      <c r="A1721">
        <v>3</v>
      </c>
      <c r="E1721" t="str">
        <f t="shared" si="70"/>
        <v>D</v>
      </c>
      <c r="F1721" t="str">
        <f t="shared" si="69"/>
        <v>3D</v>
      </c>
    </row>
    <row r="1722" spans="1:6" x14ac:dyDescent="0.2">
      <c r="A1722">
        <v>4</v>
      </c>
      <c r="E1722" t="str">
        <f t="shared" si="70"/>
        <v>E</v>
      </c>
      <c r="F1722" t="str">
        <f t="shared" si="69"/>
        <v>4E</v>
      </c>
    </row>
    <row r="1723" spans="1:6" x14ac:dyDescent="0.2">
      <c r="A1723">
        <v>5</v>
      </c>
      <c r="E1723" t="str">
        <f t="shared" si="70"/>
        <v>F</v>
      </c>
      <c r="F1723" t="str">
        <f t="shared" si="69"/>
        <v>5F</v>
      </c>
    </row>
    <row r="1724" spans="1:6" x14ac:dyDescent="0.2">
      <c r="A1724">
        <v>6</v>
      </c>
      <c r="E1724" t="str">
        <f t="shared" si="70"/>
        <v>G</v>
      </c>
      <c r="F1724" t="str">
        <f t="shared" si="69"/>
        <v>6G</v>
      </c>
    </row>
    <row r="1725" spans="1:6" x14ac:dyDescent="0.2">
      <c r="A1725">
        <v>7</v>
      </c>
      <c r="E1725" t="str">
        <f t="shared" si="70"/>
        <v>H</v>
      </c>
      <c r="F1725" t="str">
        <f t="shared" si="69"/>
        <v>7H</v>
      </c>
    </row>
    <row r="1726" spans="1:6" x14ac:dyDescent="0.2">
      <c r="A1726">
        <v>8</v>
      </c>
      <c r="E1726" t="str">
        <f t="shared" si="70"/>
        <v>I</v>
      </c>
      <c r="F1726" t="str">
        <f t="shared" si="69"/>
        <v>8I</v>
      </c>
    </row>
    <row r="1727" spans="1:6" x14ac:dyDescent="0.2">
      <c r="A1727">
        <v>9</v>
      </c>
      <c r="E1727" t="str">
        <f t="shared" si="70"/>
        <v>J</v>
      </c>
      <c r="F1727" t="str">
        <f t="shared" si="69"/>
        <v>9J</v>
      </c>
    </row>
    <row r="1728" spans="1:6" x14ac:dyDescent="0.2">
      <c r="A1728">
        <v>10</v>
      </c>
      <c r="E1728" t="str">
        <f t="shared" si="70"/>
        <v>K</v>
      </c>
      <c r="F1728" t="str">
        <f t="shared" si="69"/>
        <v>10K</v>
      </c>
    </row>
    <row r="1729" spans="1:6" x14ac:dyDescent="0.2">
      <c r="A1729">
        <v>11</v>
      </c>
      <c r="E1729" t="str">
        <f t="shared" si="70"/>
        <v>L</v>
      </c>
      <c r="F1729" t="str">
        <f t="shared" si="69"/>
        <v>11L</v>
      </c>
    </row>
    <row r="1730" spans="1:6" x14ac:dyDescent="0.2">
      <c r="A1730">
        <v>12</v>
      </c>
      <c r="E1730" t="str">
        <f t="shared" si="70"/>
        <v>M</v>
      </c>
      <c r="F1730" t="str">
        <f t="shared" si="69"/>
        <v>12M</v>
      </c>
    </row>
    <row r="1731" spans="1:6" x14ac:dyDescent="0.2">
      <c r="A1731">
        <v>13</v>
      </c>
      <c r="E1731" t="str">
        <f t="shared" si="70"/>
        <v>N</v>
      </c>
      <c r="F1731" t="str">
        <f t="shared" ref="F1731:F1794" si="71">A1731&amp;C1731&amp;E1731</f>
        <v>13N</v>
      </c>
    </row>
    <row r="1732" spans="1:6" x14ac:dyDescent="0.2">
      <c r="A1732">
        <v>14</v>
      </c>
      <c r="E1732" t="str">
        <f t="shared" si="70"/>
        <v>O</v>
      </c>
      <c r="F1732" t="str">
        <f t="shared" si="71"/>
        <v>14O</v>
      </c>
    </row>
    <row r="1733" spans="1:6" x14ac:dyDescent="0.2">
      <c r="A1733">
        <v>15</v>
      </c>
      <c r="E1733" t="str">
        <f t="shared" si="70"/>
        <v>P</v>
      </c>
      <c r="F1733" t="str">
        <f t="shared" si="71"/>
        <v>15P</v>
      </c>
    </row>
    <row r="1734" spans="1:6" x14ac:dyDescent="0.2">
      <c r="A1734">
        <v>16</v>
      </c>
      <c r="E1734" t="str">
        <f t="shared" si="70"/>
        <v>Q</v>
      </c>
      <c r="F1734" t="str">
        <f t="shared" si="71"/>
        <v>16Q</v>
      </c>
    </row>
    <row r="1735" spans="1:6" x14ac:dyDescent="0.2">
      <c r="A1735">
        <v>17</v>
      </c>
      <c r="E1735" t="str">
        <f t="shared" si="70"/>
        <v>R</v>
      </c>
      <c r="F1735" t="str">
        <f t="shared" si="71"/>
        <v>17R</v>
      </c>
    </row>
    <row r="1736" spans="1:6" x14ac:dyDescent="0.2">
      <c r="A1736">
        <v>18</v>
      </c>
      <c r="E1736" t="str">
        <f t="shared" si="70"/>
        <v>S</v>
      </c>
      <c r="F1736" t="str">
        <f t="shared" si="71"/>
        <v>18S</v>
      </c>
    </row>
    <row r="1737" spans="1:6" x14ac:dyDescent="0.2">
      <c r="A1737">
        <v>19</v>
      </c>
      <c r="E1737" t="str">
        <f t="shared" si="70"/>
        <v>T</v>
      </c>
      <c r="F1737" t="str">
        <f t="shared" si="71"/>
        <v>19T</v>
      </c>
    </row>
    <row r="1738" spans="1:6" x14ac:dyDescent="0.2">
      <c r="A1738">
        <v>20</v>
      </c>
      <c r="E1738" t="str">
        <f t="shared" si="70"/>
        <v>U</v>
      </c>
      <c r="F1738" t="str">
        <f t="shared" si="71"/>
        <v>20U</v>
      </c>
    </row>
    <row r="1739" spans="1:6" x14ac:dyDescent="0.2">
      <c r="A1739">
        <v>21</v>
      </c>
      <c r="E1739" t="str">
        <f t="shared" si="70"/>
        <v>V</v>
      </c>
      <c r="F1739" t="str">
        <f t="shared" si="71"/>
        <v>21V</v>
      </c>
    </row>
    <row r="1740" spans="1:6" x14ac:dyDescent="0.2">
      <c r="A1740">
        <v>22</v>
      </c>
      <c r="E1740" t="str">
        <f t="shared" si="70"/>
        <v>W</v>
      </c>
      <c r="F1740" t="str">
        <f t="shared" si="71"/>
        <v>22W</v>
      </c>
    </row>
    <row r="1741" spans="1:6" x14ac:dyDescent="0.2">
      <c r="A1741">
        <v>23</v>
      </c>
      <c r="E1741" t="str">
        <f t="shared" si="70"/>
        <v>X</v>
      </c>
      <c r="F1741" t="str">
        <f t="shared" si="71"/>
        <v>23X</v>
      </c>
    </row>
    <row r="1742" spans="1:6" x14ac:dyDescent="0.2">
      <c r="A1742">
        <v>24</v>
      </c>
      <c r="E1742" t="str">
        <f t="shared" si="70"/>
        <v>Y</v>
      </c>
      <c r="F1742" t="str">
        <f t="shared" si="71"/>
        <v>24Y</v>
      </c>
    </row>
    <row r="1743" spans="1:6" x14ac:dyDescent="0.2">
      <c r="A1743">
        <v>25</v>
      </c>
      <c r="E1743" t="str">
        <f t="shared" si="70"/>
        <v>Z</v>
      </c>
      <c r="F1743" t="str">
        <f t="shared" si="71"/>
        <v>25Z</v>
      </c>
    </row>
    <row r="1744" spans="1:6" x14ac:dyDescent="0.2">
      <c r="A1744">
        <v>0</v>
      </c>
      <c r="E1744" t="str">
        <f t="shared" si="70"/>
        <v>A</v>
      </c>
      <c r="F1744" t="str">
        <f t="shared" si="71"/>
        <v>0A</v>
      </c>
    </row>
    <row r="1745" spans="1:6" x14ac:dyDescent="0.2">
      <c r="A1745">
        <v>1</v>
      </c>
      <c r="E1745" t="str">
        <f t="shared" si="70"/>
        <v>B</v>
      </c>
      <c r="F1745" t="str">
        <f t="shared" si="71"/>
        <v>1B</v>
      </c>
    </row>
    <row r="1746" spans="1:6" x14ac:dyDescent="0.2">
      <c r="A1746">
        <v>2</v>
      </c>
      <c r="E1746" t="str">
        <f t="shared" si="70"/>
        <v>C</v>
      </c>
      <c r="F1746" t="str">
        <f t="shared" si="71"/>
        <v>2C</v>
      </c>
    </row>
    <row r="1747" spans="1:6" x14ac:dyDescent="0.2">
      <c r="A1747">
        <v>3</v>
      </c>
      <c r="E1747" t="str">
        <f t="shared" si="70"/>
        <v>D</v>
      </c>
      <c r="F1747" t="str">
        <f t="shared" si="71"/>
        <v>3D</v>
      </c>
    </row>
    <row r="1748" spans="1:6" x14ac:dyDescent="0.2">
      <c r="A1748">
        <v>4</v>
      </c>
      <c r="E1748" t="str">
        <f t="shared" si="70"/>
        <v>E</v>
      </c>
      <c r="F1748" t="str">
        <f t="shared" si="71"/>
        <v>4E</v>
      </c>
    </row>
    <row r="1749" spans="1:6" x14ac:dyDescent="0.2">
      <c r="A1749">
        <v>5</v>
      </c>
      <c r="E1749" t="str">
        <f t="shared" si="70"/>
        <v>F</v>
      </c>
      <c r="F1749" t="str">
        <f t="shared" si="71"/>
        <v>5F</v>
      </c>
    </row>
    <row r="1750" spans="1:6" x14ac:dyDescent="0.2">
      <c r="A1750">
        <v>6</v>
      </c>
      <c r="E1750" t="str">
        <f t="shared" si="70"/>
        <v>G</v>
      </c>
      <c r="F1750" t="str">
        <f t="shared" si="71"/>
        <v>6G</v>
      </c>
    </row>
    <row r="1751" spans="1:6" x14ac:dyDescent="0.2">
      <c r="A1751">
        <v>7</v>
      </c>
      <c r="E1751" t="str">
        <f t="shared" si="70"/>
        <v>H</v>
      </c>
      <c r="F1751" t="str">
        <f t="shared" si="71"/>
        <v>7H</v>
      </c>
    </row>
    <row r="1752" spans="1:6" x14ac:dyDescent="0.2">
      <c r="A1752">
        <v>8</v>
      </c>
      <c r="E1752" t="str">
        <f t="shared" si="70"/>
        <v>I</v>
      </c>
      <c r="F1752" t="str">
        <f t="shared" si="71"/>
        <v>8I</v>
      </c>
    </row>
    <row r="1753" spans="1:6" x14ac:dyDescent="0.2">
      <c r="A1753">
        <v>9</v>
      </c>
      <c r="E1753" t="str">
        <f t="shared" si="70"/>
        <v>J</v>
      </c>
      <c r="F1753" t="str">
        <f t="shared" si="71"/>
        <v>9J</v>
      </c>
    </row>
    <row r="1754" spans="1:6" x14ac:dyDescent="0.2">
      <c r="A1754">
        <v>10</v>
      </c>
      <c r="E1754" t="str">
        <f t="shared" si="70"/>
        <v>K</v>
      </c>
      <c r="F1754" t="str">
        <f t="shared" si="71"/>
        <v>10K</v>
      </c>
    </row>
    <row r="1755" spans="1:6" x14ac:dyDescent="0.2">
      <c r="A1755">
        <v>11</v>
      </c>
      <c r="E1755" t="str">
        <f t="shared" si="70"/>
        <v>L</v>
      </c>
      <c r="F1755" t="str">
        <f t="shared" si="71"/>
        <v>11L</v>
      </c>
    </row>
    <row r="1756" spans="1:6" x14ac:dyDescent="0.2">
      <c r="A1756">
        <v>12</v>
      </c>
      <c r="E1756" t="str">
        <f t="shared" si="70"/>
        <v>M</v>
      </c>
      <c r="F1756" t="str">
        <f t="shared" si="71"/>
        <v>12M</v>
      </c>
    </row>
    <row r="1757" spans="1:6" x14ac:dyDescent="0.2">
      <c r="A1757">
        <v>13</v>
      </c>
      <c r="E1757" t="str">
        <f t="shared" ref="E1757:E1820" si="72">E1731</f>
        <v>N</v>
      </c>
      <c r="F1757" t="str">
        <f t="shared" si="71"/>
        <v>13N</v>
      </c>
    </row>
    <row r="1758" spans="1:6" x14ac:dyDescent="0.2">
      <c r="A1758">
        <v>14</v>
      </c>
      <c r="E1758" t="str">
        <f t="shared" si="72"/>
        <v>O</v>
      </c>
      <c r="F1758" t="str">
        <f t="shared" si="71"/>
        <v>14O</v>
      </c>
    </row>
    <row r="1759" spans="1:6" x14ac:dyDescent="0.2">
      <c r="A1759">
        <v>15</v>
      </c>
      <c r="E1759" t="str">
        <f t="shared" si="72"/>
        <v>P</v>
      </c>
      <c r="F1759" t="str">
        <f t="shared" si="71"/>
        <v>15P</v>
      </c>
    </row>
    <row r="1760" spans="1:6" x14ac:dyDescent="0.2">
      <c r="A1760">
        <v>16</v>
      </c>
      <c r="E1760" t="str">
        <f t="shared" si="72"/>
        <v>Q</v>
      </c>
      <c r="F1760" t="str">
        <f t="shared" si="71"/>
        <v>16Q</v>
      </c>
    </row>
    <row r="1761" spans="1:6" x14ac:dyDescent="0.2">
      <c r="A1761">
        <v>17</v>
      </c>
      <c r="E1761" t="str">
        <f t="shared" si="72"/>
        <v>R</v>
      </c>
      <c r="F1761" t="str">
        <f t="shared" si="71"/>
        <v>17R</v>
      </c>
    </row>
    <row r="1762" spans="1:6" x14ac:dyDescent="0.2">
      <c r="A1762">
        <v>18</v>
      </c>
      <c r="E1762" t="str">
        <f t="shared" si="72"/>
        <v>S</v>
      </c>
      <c r="F1762" t="str">
        <f t="shared" si="71"/>
        <v>18S</v>
      </c>
    </row>
    <row r="1763" spans="1:6" x14ac:dyDescent="0.2">
      <c r="A1763">
        <v>19</v>
      </c>
      <c r="E1763" t="str">
        <f t="shared" si="72"/>
        <v>T</v>
      </c>
      <c r="F1763" t="str">
        <f t="shared" si="71"/>
        <v>19T</v>
      </c>
    </row>
    <row r="1764" spans="1:6" x14ac:dyDescent="0.2">
      <c r="A1764">
        <v>20</v>
      </c>
      <c r="E1764" t="str">
        <f t="shared" si="72"/>
        <v>U</v>
      </c>
      <c r="F1764" t="str">
        <f t="shared" si="71"/>
        <v>20U</v>
      </c>
    </row>
    <row r="1765" spans="1:6" x14ac:dyDescent="0.2">
      <c r="A1765">
        <v>21</v>
      </c>
      <c r="E1765" t="str">
        <f t="shared" si="72"/>
        <v>V</v>
      </c>
      <c r="F1765" t="str">
        <f t="shared" si="71"/>
        <v>21V</v>
      </c>
    </row>
    <row r="1766" spans="1:6" x14ac:dyDescent="0.2">
      <c r="A1766">
        <v>22</v>
      </c>
      <c r="E1766" t="str">
        <f t="shared" si="72"/>
        <v>W</v>
      </c>
      <c r="F1766" t="str">
        <f t="shared" si="71"/>
        <v>22W</v>
      </c>
    </row>
    <row r="1767" spans="1:6" x14ac:dyDescent="0.2">
      <c r="A1767">
        <v>23</v>
      </c>
      <c r="E1767" t="str">
        <f t="shared" si="72"/>
        <v>X</v>
      </c>
      <c r="F1767" t="str">
        <f t="shared" si="71"/>
        <v>23X</v>
      </c>
    </row>
    <row r="1768" spans="1:6" x14ac:dyDescent="0.2">
      <c r="A1768">
        <v>24</v>
      </c>
      <c r="E1768" t="str">
        <f t="shared" si="72"/>
        <v>Y</v>
      </c>
      <c r="F1768" t="str">
        <f t="shared" si="71"/>
        <v>24Y</v>
      </c>
    </row>
    <row r="1769" spans="1:6" x14ac:dyDescent="0.2">
      <c r="A1769">
        <v>25</v>
      </c>
      <c r="E1769" t="str">
        <f t="shared" si="72"/>
        <v>Z</v>
      </c>
      <c r="F1769" t="str">
        <f t="shared" si="71"/>
        <v>25Z</v>
      </c>
    </row>
    <row r="1770" spans="1:6" x14ac:dyDescent="0.2">
      <c r="A1770">
        <v>0</v>
      </c>
      <c r="E1770" t="str">
        <f t="shared" si="72"/>
        <v>A</v>
      </c>
      <c r="F1770" t="str">
        <f t="shared" si="71"/>
        <v>0A</v>
      </c>
    </row>
    <row r="1771" spans="1:6" x14ac:dyDescent="0.2">
      <c r="A1771">
        <v>1</v>
      </c>
      <c r="E1771" t="str">
        <f t="shared" si="72"/>
        <v>B</v>
      </c>
      <c r="F1771" t="str">
        <f t="shared" si="71"/>
        <v>1B</v>
      </c>
    </row>
    <row r="1772" spans="1:6" x14ac:dyDescent="0.2">
      <c r="A1772">
        <v>2</v>
      </c>
      <c r="E1772" t="str">
        <f t="shared" si="72"/>
        <v>C</v>
      </c>
      <c r="F1772" t="str">
        <f t="shared" si="71"/>
        <v>2C</v>
      </c>
    </row>
    <row r="1773" spans="1:6" x14ac:dyDescent="0.2">
      <c r="A1773">
        <v>3</v>
      </c>
      <c r="E1773" t="str">
        <f t="shared" si="72"/>
        <v>D</v>
      </c>
      <c r="F1773" t="str">
        <f t="shared" si="71"/>
        <v>3D</v>
      </c>
    </row>
    <row r="1774" spans="1:6" x14ac:dyDescent="0.2">
      <c r="A1774">
        <v>4</v>
      </c>
      <c r="E1774" t="str">
        <f t="shared" si="72"/>
        <v>E</v>
      </c>
      <c r="F1774" t="str">
        <f t="shared" si="71"/>
        <v>4E</v>
      </c>
    </row>
    <row r="1775" spans="1:6" x14ac:dyDescent="0.2">
      <c r="A1775">
        <v>5</v>
      </c>
      <c r="E1775" t="str">
        <f t="shared" si="72"/>
        <v>F</v>
      </c>
      <c r="F1775" t="str">
        <f t="shared" si="71"/>
        <v>5F</v>
      </c>
    </row>
    <row r="1776" spans="1:6" x14ac:dyDescent="0.2">
      <c r="A1776">
        <v>6</v>
      </c>
      <c r="E1776" t="str">
        <f t="shared" si="72"/>
        <v>G</v>
      </c>
      <c r="F1776" t="str">
        <f t="shared" si="71"/>
        <v>6G</v>
      </c>
    </row>
    <row r="1777" spans="1:6" x14ac:dyDescent="0.2">
      <c r="A1777">
        <v>7</v>
      </c>
      <c r="E1777" t="str">
        <f t="shared" si="72"/>
        <v>H</v>
      </c>
      <c r="F1777" t="str">
        <f t="shared" si="71"/>
        <v>7H</v>
      </c>
    </row>
    <row r="1778" spans="1:6" x14ac:dyDescent="0.2">
      <c r="A1778">
        <v>8</v>
      </c>
      <c r="E1778" t="str">
        <f t="shared" si="72"/>
        <v>I</v>
      </c>
      <c r="F1778" t="str">
        <f t="shared" si="71"/>
        <v>8I</v>
      </c>
    </row>
    <row r="1779" spans="1:6" x14ac:dyDescent="0.2">
      <c r="A1779">
        <v>9</v>
      </c>
      <c r="E1779" t="str">
        <f t="shared" si="72"/>
        <v>J</v>
      </c>
      <c r="F1779" t="str">
        <f t="shared" si="71"/>
        <v>9J</v>
      </c>
    </row>
    <row r="1780" spans="1:6" x14ac:dyDescent="0.2">
      <c r="A1780">
        <v>10</v>
      </c>
      <c r="E1780" t="str">
        <f t="shared" si="72"/>
        <v>K</v>
      </c>
      <c r="F1780" t="str">
        <f t="shared" si="71"/>
        <v>10K</v>
      </c>
    </row>
    <row r="1781" spans="1:6" x14ac:dyDescent="0.2">
      <c r="A1781">
        <v>11</v>
      </c>
      <c r="E1781" t="str">
        <f t="shared" si="72"/>
        <v>L</v>
      </c>
      <c r="F1781" t="str">
        <f t="shared" si="71"/>
        <v>11L</v>
      </c>
    </row>
    <row r="1782" spans="1:6" x14ac:dyDescent="0.2">
      <c r="A1782">
        <v>12</v>
      </c>
      <c r="E1782" t="str">
        <f t="shared" si="72"/>
        <v>M</v>
      </c>
      <c r="F1782" t="str">
        <f t="shared" si="71"/>
        <v>12M</v>
      </c>
    </row>
    <row r="1783" spans="1:6" x14ac:dyDescent="0.2">
      <c r="A1783">
        <v>13</v>
      </c>
      <c r="E1783" t="str">
        <f t="shared" si="72"/>
        <v>N</v>
      </c>
      <c r="F1783" t="str">
        <f t="shared" si="71"/>
        <v>13N</v>
      </c>
    </row>
    <row r="1784" spans="1:6" x14ac:dyDescent="0.2">
      <c r="A1784">
        <v>14</v>
      </c>
      <c r="E1784" t="str">
        <f t="shared" si="72"/>
        <v>O</v>
      </c>
      <c r="F1784" t="str">
        <f t="shared" si="71"/>
        <v>14O</v>
      </c>
    </row>
    <row r="1785" spans="1:6" x14ac:dyDescent="0.2">
      <c r="A1785">
        <v>15</v>
      </c>
      <c r="E1785" t="str">
        <f t="shared" si="72"/>
        <v>P</v>
      </c>
      <c r="F1785" t="str">
        <f t="shared" si="71"/>
        <v>15P</v>
      </c>
    </row>
    <row r="1786" spans="1:6" x14ac:dyDescent="0.2">
      <c r="A1786">
        <v>16</v>
      </c>
      <c r="E1786" t="str">
        <f t="shared" si="72"/>
        <v>Q</v>
      </c>
      <c r="F1786" t="str">
        <f t="shared" si="71"/>
        <v>16Q</v>
      </c>
    </row>
    <row r="1787" spans="1:6" x14ac:dyDescent="0.2">
      <c r="A1787">
        <v>17</v>
      </c>
      <c r="E1787" t="str">
        <f t="shared" si="72"/>
        <v>R</v>
      </c>
      <c r="F1787" t="str">
        <f t="shared" si="71"/>
        <v>17R</v>
      </c>
    </row>
    <row r="1788" spans="1:6" x14ac:dyDescent="0.2">
      <c r="A1788">
        <v>18</v>
      </c>
      <c r="E1788" t="str">
        <f t="shared" si="72"/>
        <v>S</v>
      </c>
      <c r="F1788" t="str">
        <f t="shared" si="71"/>
        <v>18S</v>
      </c>
    </row>
    <row r="1789" spans="1:6" x14ac:dyDescent="0.2">
      <c r="A1789">
        <v>19</v>
      </c>
      <c r="E1789" t="str">
        <f t="shared" si="72"/>
        <v>T</v>
      </c>
      <c r="F1789" t="str">
        <f t="shared" si="71"/>
        <v>19T</v>
      </c>
    </row>
    <row r="1790" spans="1:6" x14ac:dyDescent="0.2">
      <c r="A1790">
        <v>20</v>
      </c>
      <c r="E1790" t="str">
        <f t="shared" si="72"/>
        <v>U</v>
      </c>
      <c r="F1790" t="str">
        <f t="shared" si="71"/>
        <v>20U</v>
      </c>
    </row>
    <row r="1791" spans="1:6" x14ac:dyDescent="0.2">
      <c r="A1791">
        <v>21</v>
      </c>
      <c r="E1791" t="str">
        <f t="shared" si="72"/>
        <v>V</v>
      </c>
      <c r="F1791" t="str">
        <f t="shared" si="71"/>
        <v>21V</v>
      </c>
    </row>
    <row r="1792" spans="1:6" x14ac:dyDescent="0.2">
      <c r="A1792">
        <v>22</v>
      </c>
      <c r="E1792" t="str">
        <f t="shared" si="72"/>
        <v>W</v>
      </c>
      <c r="F1792" t="str">
        <f t="shared" si="71"/>
        <v>22W</v>
      </c>
    </row>
    <row r="1793" spans="1:6" x14ac:dyDescent="0.2">
      <c r="A1793">
        <v>23</v>
      </c>
      <c r="E1793" t="str">
        <f t="shared" si="72"/>
        <v>X</v>
      </c>
      <c r="F1793" t="str">
        <f t="shared" si="71"/>
        <v>23X</v>
      </c>
    </row>
    <row r="1794" spans="1:6" x14ac:dyDescent="0.2">
      <c r="A1794">
        <v>24</v>
      </c>
      <c r="E1794" t="str">
        <f t="shared" si="72"/>
        <v>Y</v>
      </c>
      <c r="F1794" t="str">
        <f t="shared" si="71"/>
        <v>24Y</v>
      </c>
    </row>
    <row r="1795" spans="1:6" x14ac:dyDescent="0.2">
      <c r="A1795">
        <v>25</v>
      </c>
      <c r="E1795" t="str">
        <f t="shared" si="72"/>
        <v>Z</v>
      </c>
      <c r="F1795" t="str">
        <f t="shared" ref="F1795:F1858" si="73">A1795&amp;C1795&amp;E1795</f>
        <v>25Z</v>
      </c>
    </row>
    <row r="1796" spans="1:6" x14ac:dyDescent="0.2">
      <c r="A1796">
        <v>0</v>
      </c>
      <c r="E1796" t="str">
        <f t="shared" si="72"/>
        <v>A</v>
      </c>
      <c r="F1796" t="str">
        <f t="shared" si="73"/>
        <v>0A</v>
      </c>
    </row>
    <row r="1797" spans="1:6" x14ac:dyDescent="0.2">
      <c r="A1797">
        <v>1</v>
      </c>
      <c r="E1797" t="str">
        <f t="shared" si="72"/>
        <v>B</v>
      </c>
      <c r="F1797" t="str">
        <f t="shared" si="73"/>
        <v>1B</v>
      </c>
    </row>
    <row r="1798" spans="1:6" x14ac:dyDescent="0.2">
      <c r="A1798">
        <v>2</v>
      </c>
      <c r="E1798" t="str">
        <f t="shared" si="72"/>
        <v>C</v>
      </c>
      <c r="F1798" t="str">
        <f t="shared" si="73"/>
        <v>2C</v>
      </c>
    </row>
    <row r="1799" spans="1:6" x14ac:dyDescent="0.2">
      <c r="A1799">
        <v>3</v>
      </c>
      <c r="E1799" t="str">
        <f t="shared" si="72"/>
        <v>D</v>
      </c>
      <c r="F1799" t="str">
        <f t="shared" si="73"/>
        <v>3D</v>
      </c>
    </row>
    <row r="1800" spans="1:6" x14ac:dyDescent="0.2">
      <c r="A1800">
        <v>4</v>
      </c>
      <c r="E1800" t="str">
        <f t="shared" si="72"/>
        <v>E</v>
      </c>
      <c r="F1800" t="str">
        <f t="shared" si="73"/>
        <v>4E</v>
      </c>
    </row>
    <row r="1801" spans="1:6" x14ac:dyDescent="0.2">
      <c r="A1801">
        <v>5</v>
      </c>
      <c r="E1801" t="str">
        <f t="shared" si="72"/>
        <v>F</v>
      </c>
      <c r="F1801" t="str">
        <f t="shared" si="73"/>
        <v>5F</v>
      </c>
    </row>
    <row r="1802" spans="1:6" x14ac:dyDescent="0.2">
      <c r="A1802">
        <v>6</v>
      </c>
      <c r="E1802" t="str">
        <f t="shared" si="72"/>
        <v>G</v>
      </c>
      <c r="F1802" t="str">
        <f t="shared" si="73"/>
        <v>6G</v>
      </c>
    </row>
    <row r="1803" spans="1:6" x14ac:dyDescent="0.2">
      <c r="A1803">
        <v>7</v>
      </c>
      <c r="E1803" t="str">
        <f t="shared" si="72"/>
        <v>H</v>
      </c>
      <c r="F1803" t="str">
        <f t="shared" si="73"/>
        <v>7H</v>
      </c>
    </row>
    <row r="1804" spans="1:6" x14ac:dyDescent="0.2">
      <c r="A1804">
        <v>8</v>
      </c>
      <c r="E1804" t="str">
        <f t="shared" si="72"/>
        <v>I</v>
      </c>
      <c r="F1804" t="str">
        <f t="shared" si="73"/>
        <v>8I</v>
      </c>
    </row>
    <row r="1805" spans="1:6" x14ac:dyDescent="0.2">
      <c r="A1805">
        <v>9</v>
      </c>
      <c r="E1805" t="str">
        <f t="shared" si="72"/>
        <v>J</v>
      </c>
      <c r="F1805" t="str">
        <f t="shared" si="73"/>
        <v>9J</v>
      </c>
    </row>
    <row r="1806" spans="1:6" x14ac:dyDescent="0.2">
      <c r="A1806">
        <v>10</v>
      </c>
      <c r="E1806" t="str">
        <f t="shared" si="72"/>
        <v>K</v>
      </c>
      <c r="F1806" t="str">
        <f t="shared" si="73"/>
        <v>10K</v>
      </c>
    </row>
    <row r="1807" spans="1:6" x14ac:dyDescent="0.2">
      <c r="A1807">
        <v>11</v>
      </c>
      <c r="E1807" t="str">
        <f t="shared" si="72"/>
        <v>L</v>
      </c>
      <c r="F1807" t="str">
        <f t="shared" si="73"/>
        <v>11L</v>
      </c>
    </row>
    <row r="1808" spans="1:6" x14ac:dyDescent="0.2">
      <c r="A1808">
        <v>12</v>
      </c>
      <c r="E1808" t="str">
        <f t="shared" si="72"/>
        <v>M</v>
      </c>
      <c r="F1808" t="str">
        <f t="shared" si="73"/>
        <v>12M</v>
      </c>
    </row>
    <row r="1809" spans="1:6" x14ac:dyDescent="0.2">
      <c r="A1809">
        <v>13</v>
      </c>
      <c r="E1809" t="str">
        <f t="shared" si="72"/>
        <v>N</v>
      </c>
      <c r="F1809" t="str">
        <f t="shared" si="73"/>
        <v>13N</v>
      </c>
    </row>
    <row r="1810" spans="1:6" x14ac:dyDescent="0.2">
      <c r="A1810">
        <v>14</v>
      </c>
      <c r="E1810" t="str">
        <f t="shared" si="72"/>
        <v>O</v>
      </c>
      <c r="F1810" t="str">
        <f t="shared" si="73"/>
        <v>14O</v>
      </c>
    </row>
    <row r="1811" spans="1:6" x14ac:dyDescent="0.2">
      <c r="A1811">
        <v>15</v>
      </c>
      <c r="E1811" t="str">
        <f t="shared" si="72"/>
        <v>P</v>
      </c>
      <c r="F1811" t="str">
        <f t="shared" si="73"/>
        <v>15P</v>
      </c>
    </row>
    <row r="1812" spans="1:6" x14ac:dyDescent="0.2">
      <c r="A1812">
        <v>16</v>
      </c>
      <c r="E1812" t="str">
        <f t="shared" si="72"/>
        <v>Q</v>
      </c>
      <c r="F1812" t="str">
        <f t="shared" si="73"/>
        <v>16Q</v>
      </c>
    </row>
    <row r="1813" spans="1:6" x14ac:dyDescent="0.2">
      <c r="A1813">
        <v>17</v>
      </c>
      <c r="E1813" t="str">
        <f t="shared" si="72"/>
        <v>R</v>
      </c>
      <c r="F1813" t="str">
        <f t="shared" si="73"/>
        <v>17R</v>
      </c>
    </row>
    <row r="1814" spans="1:6" x14ac:dyDescent="0.2">
      <c r="A1814">
        <v>18</v>
      </c>
      <c r="E1814" t="str">
        <f t="shared" si="72"/>
        <v>S</v>
      </c>
      <c r="F1814" t="str">
        <f t="shared" si="73"/>
        <v>18S</v>
      </c>
    </row>
    <row r="1815" spans="1:6" x14ac:dyDescent="0.2">
      <c r="A1815">
        <v>19</v>
      </c>
      <c r="E1815" t="str">
        <f t="shared" si="72"/>
        <v>T</v>
      </c>
      <c r="F1815" t="str">
        <f t="shared" si="73"/>
        <v>19T</v>
      </c>
    </row>
    <row r="1816" spans="1:6" x14ac:dyDescent="0.2">
      <c r="A1816">
        <v>20</v>
      </c>
      <c r="E1816" t="str">
        <f t="shared" si="72"/>
        <v>U</v>
      </c>
      <c r="F1816" t="str">
        <f t="shared" si="73"/>
        <v>20U</v>
      </c>
    </row>
    <row r="1817" spans="1:6" x14ac:dyDescent="0.2">
      <c r="A1817">
        <v>21</v>
      </c>
      <c r="E1817" t="str">
        <f t="shared" si="72"/>
        <v>V</v>
      </c>
      <c r="F1817" t="str">
        <f t="shared" si="73"/>
        <v>21V</v>
      </c>
    </row>
    <row r="1818" spans="1:6" x14ac:dyDescent="0.2">
      <c r="A1818">
        <v>22</v>
      </c>
      <c r="E1818" t="str">
        <f t="shared" si="72"/>
        <v>W</v>
      </c>
      <c r="F1818" t="str">
        <f t="shared" si="73"/>
        <v>22W</v>
      </c>
    </row>
    <row r="1819" spans="1:6" x14ac:dyDescent="0.2">
      <c r="A1819">
        <v>23</v>
      </c>
      <c r="E1819" t="str">
        <f t="shared" si="72"/>
        <v>X</v>
      </c>
      <c r="F1819" t="str">
        <f t="shared" si="73"/>
        <v>23X</v>
      </c>
    </row>
    <row r="1820" spans="1:6" x14ac:dyDescent="0.2">
      <c r="A1820">
        <v>24</v>
      </c>
      <c r="E1820" t="str">
        <f t="shared" si="72"/>
        <v>Y</v>
      </c>
      <c r="F1820" t="str">
        <f t="shared" si="73"/>
        <v>24Y</v>
      </c>
    </row>
    <row r="1821" spans="1:6" x14ac:dyDescent="0.2">
      <c r="A1821">
        <v>25</v>
      </c>
      <c r="E1821" t="str">
        <f t="shared" ref="E1821:E1884" si="74">E1795</f>
        <v>Z</v>
      </c>
      <c r="F1821" t="str">
        <f t="shared" si="73"/>
        <v>25Z</v>
      </c>
    </row>
    <row r="1822" spans="1:6" x14ac:dyDescent="0.2">
      <c r="A1822">
        <v>0</v>
      </c>
      <c r="E1822" t="str">
        <f t="shared" si="74"/>
        <v>A</v>
      </c>
      <c r="F1822" t="str">
        <f t="shared" si="73"/>
        <v>0A</v>
      </c>
    </row>
    <row r="1823" spans="1:6" x14ac:dyDescent="0.2">
      <c r="A1823">
        <v>1</v>
      </c>
      <c r="E1823" t="str">
        <f t="shared" si="74"/>
        <v>B</v>
      </c>
      <c r="F1823" t="str">
        <f t="shared" si="73"/>
        <v>1B</v>
      </c>
    </row>
    <row r="1824" spans="1:6" x14ac:dyDescent="0.2">
      <c r="A1824">
        <v>2</v>
      </c>
      <c r="E1824" t="str">
        <f t="shared" si="74"/>
        <v>C</v>
      </c>
      <c r="F1824" t="str">
        <f t="shared" si="73"/>
        <v>2C</v>
      </c>
    </row>
    <row r="1825" spans="1:6" x14ac:dyDescent="0.2">
      <c r="A1825">
        <v>3</v>
      </c>
      <c r="E1825" t="str">
        <f t="shared" si="74"/>
        <v>D</v>
      </c>
      <c r="F1825" t="str">
        <f t="shared" si="73"/>
        <v>3D</v>
      </c>
    </row>
    <row r="1826" spans="1:6" x14ac:dyDescent="0.2">
      <c r="A1826">
        <v>4</v>
      </c>
      <c r="E1826" t="str">
        <f t="shared" si="74"/>
        <v>E</v>
      </c>
      <c r="F1826" t="str">
        <f t="shared" si="73"/>
        <v>4E</v>
      </c>
    </row>
    <row r="1827" spans="1:6" x14ac:dyDescent="0.2">
      <c r="A1827">
        <v>5</v>
      </c>
      <c r="E1827" t="str">
        <f t="shared" si="74"/>
        <v>F</v>
      </c>
      <c r="F1827" t="str">
        <f t="shared" si="73"/>
        <v>5F</v>
      </c>
    </row>
    <row r="1828" spans="1:6" x14ac:dyDescent="0.2">
      <c r="A1828">
        <v>6</v>
      </c>
      <c r="E1828" t="str">
        <f t="shared" si="74"/>
        <v>G</v>
      </c>
      <c r="F1828" t="str">
        <f t="shared" si="73"/>
        <v>6G</v>
      </c>
    </row>
    <row r="1829" spans="1:6" x14ac:dyDescent="0.2">
      <c r="A1829">
        <v>7</v>
      </c>
      <c r="E1829" t="str">
        <f t="shared" si="74"/>
        <v>H</v>
      </c>
      <c r="F1829" t="str">
        <f t="shared" si="73"/>
        <v>7H</v>
      </c>
    </row>
    <row r="1830" spans="1:6" x14ac:dyDescent="0.2">
      <c r="A1830">
        <v>8</v>
      </c>
      <c r="E1830" t="str">
        <f t="shared" si="74"/>
        <v>I</v>
      </c>
      <c r="F1830" t="str">
        <f t="shared" si="73"/>
        <v>8I</v>
      </c>
    </row>
    <row r="1831" spans="1:6" x14ac:dyDescent="0.2">
      <c r="A1831">
        <v>9</v>
      </c>
      <c r="E1831" t="str">
        <f t="shared" si="74"/>
        <v>J</v>
      </c>
      <c r="F1831" t="str">
        <f t="shared" si="73"/>
        <v>9J</v>
      </c>
    </row>
    <row r="1832" spans="1:6" x14ac:dyDescent="0.2">
      <c r="A1832">
        <v>10</v>
      </c>
      <c r="E1832" t="str">
        <f t="shared" si="74"/>
        <v>K</v>
      </c>
      <c r="F1832" t="str">
        <f t="shared" si="73"/>
        <v>10K</v>
      </c>
    </row>
    <row r="1833" spans="1:6" x14ac:dyDescent="0.2">
      <c r="A1833">
        <v>11</v>
      </c>
      <c r="E1833" t="str">
        <f t="shared" si="74"/>
        <v>L</v>
      </c>
      <c r="F1833" t="str">
        <f t="shared" si="73"/>
        <v>11L</v>
      </c>
    </row>
    <row r="1834" spans="1:6" x14ac:dyDescent="0.2">
      <c r="A1834">
        <v>12</v>
      </c>
      <c r="E1834" t="str">
        <f t="shared" si="74"/>
        <v>M</v>
      </c>
      <c r="F1834" t="str">
        <f t="shared" si="73"/>
        <v>12M</v>
      </c>
    </row>
    <row r="1835" spans="1:6" x14ac:dyDescent="0.2">
      <c r="A1835">
        <v>13</v>
      </c>
      <c r="E1835" t="str">
        <f t="shared" si="74"/>
        <v>N</v>
      </c>
      <c r="F1835" t="str">
        <f t="shared" si="73"/>
        <v>13N</v>
      </c>
    </row>
    <row r="1836" spans="1:6" x14ac:dyDescent="0.2">
      <c r="A1836">
        <v>14</v>
      </c>
      <c r="E1836" t="str">
        <f t="shared" si="74"/>
        <v>O</v>
      </c>
      <c r="F1836" t="str">
        <f t="shared" si="73"/>
        <v>14O</v>
      </c>
    </row>
    <row r="1837" spans="1:6" x14ac:dyDescent="0.2">
      <c r="A1837">
        <v>15</v>
      </c>
      <c r="E1837" t="str">
        <f t="shared" si="74"/>
        <v>P</v>
      </c>
      <c r="F1837" t="str">
        <f t="shared" si="73"/>
        <v>15P</v>
      </c>
    </row>
    <row r="1838" spans="1:6" x14ac:dyDescent="0.2">
      <c r="A1838">
        <v>16</v>
      </c>
      <c r="E1838" t="str">
        <f t="shared" si="74"/>
        <v>Q</v>
      </c>
      <c r="F1838" t="str">
        <f t="shared" si="73"/>
        <v>16Q</v>
      </c>
    </row>
    <row r="1839" spans="1:6" x14ac:dyDescent="0.2">
      <c r="A1839">
        <v>17</v>
      </c>
      <c r="E1839" t="str">
        <f t="shared" si="74"/>
        <v>R</v>
      </c>
      <c r="F1839" t="str">
        <f t="shared" si="73"/>
        <v>17R</v>
      </c>
    </row>
    <row r="1840" spans="1:6" x14ac:dyDescent="0.2">
      <c r="A1840">
        <v>18</v>
      </c>
      <c r="E1840" t="str">
        <f t="shared" si="74"/>
        <v>S</v>
      </c>
      <c r="F1840" t="str">
        <f t="shared" si="73"/>
        <v>18S</v>
      </c>
    </row>
    <row r="1841" spans="1:6" x14ac:dyDescent="0.2">
      <c r="A1841">
        <v>19</v>
      </c>
      <c r="E1841" t="str">
        <f t="shared" si="74"/>
        <v>T</v>
      </c>
      <c r="F1841" t="str">
        <f t="shared" si="73"/>
        <v>19T</v>
      </c>
    </row>
    <row r="1842" spans="1:6" x14ac:dyDescent="0.2">
      <c r="A1842">
        <v>20</v>
      </c>
      <c r="E1842" t="str">
        <f t="shared" si="74"/>
        <v>U</v>
      </c>
      <c r="F1842" t="str">
        <f t="shared" si="73"/>
        <v>20U</v>
      </c>
    </row>
    <row r="1843" spans="1:6" x14ac:dyDescent="0.2">
      <c r="A1843">
        <v>21</v>
      </c>
      <c r="E1843" t="str">
        <f t="shared" si="74"/>
        <v>V</v>
      </c>
      <c r="F1843" t="str">
        <f t="shared" si="73"/>
        <v>21V</v>
      </c>
    </row>
    <row r="1844" spans="1:6" x14ac:dyDescent="0.2">
      <c r="A1844">
        <v>22</v>
      </c>
      <c r="E1844" t="str">
        <f t="shared" si="74"/>
        <v>W</v>
      </c>
      <c r="F1844" t="str">
        <f t="shared" si="73"/>
        <v>22W</v>
      </c>
    </row>
    <row r="1845" spans="1:6" x14ac:dyDescent="0.2">
      <c r="A1845">
        <v>23</v>
      </c>
      <c r="E1845" t="str">
        <f t="shared" si="74"/>
        <v>X</v>
      </c>
      <c r="F1845" t="str">
        <f t="shared" si="73"/>
        <v>23X</v>
      </c>
    </row>
    <row r="1846" spans="1:6" x14ac:dyDescent="0.2">
      <c r="A1846">
        <v>24</v>
      </c>
      <c r="E1846" t="str">
        <f t="shared" si="74"/>
        <v>Y</v>
      </c>
      <c r="F1846" t="str">
        <f t="shared" si="73"/>
        <v>24Y</v>
      </c>
    </row>
    <row r="1847" spans="1:6" x14ac:dyDescent="0.2">
      <c r="A1847">
        <v>25</v>
      </c>
      <c r="E1847" t="str">
        <f t="shared" si="74"/>
        <v>Z</v>
      </c>
      <c r="F1847" t="str">
        <f t="shared" si="73"/>
        <v>25Z</v>
      </c>
    </row>
    <row r="1848" spans="1:6" x14ac:dyDescent="0.2">
      <c r="A1848">
        <v>0</v>
      </c>
      <c r="E1848" t="str">
        <f t="shared" si="74"/>
        <v>A</v>
      </c>
      <c r="F1848" t="str">
        <f t="shared" si="73"/>
        <v>0A</v>
      </c>
    </row>
    <row r="1849" spans="1:6" x14ac:dyDescent="0.2">
      <c r="A1849">
        <v>1</v>
      </c>
      <c r="E1849" t="str">
        <f t="shared" si="74"/>
        <v>B</v>
      </c>
      <c r="F1849" t="str">
        <f t="shared" si="73"/>
        <v>1B</v>
      </c>
    </row>
    <row r="1850" spans="1:6" x14ac:dyDescent="0.2">
      <c r="A1850">
        <v>2</v>
      </c>
      <c r="E1850" t="str">
        <f t="shared" si="74"/>
        <v>C</v>
      </c>
      <c r="F1850" t="str">
        <f t="shared" si="73"/>
        <v>2C</v>
      </c>
    </row>
    <row r="1851" spans="1:6" x14ac:dyDescent="0.2">
      <c r="A1851">
        <v>3</v>
      </c>
      <c r="E1851" t="str">
        <f t="shared" si="74"/>
        <v>D</v>
      </c>
      <c r="F1851" t="str">
        <f t="shared" si="73"/>
        <v>3D</v>
      </c>
    </row>
    <row r="1852" spans="1:6" x14ac:dyDescent="0.2">
      <c r="A1852">
        <v>4</v>
      </c>
      <c r="E1852" t="str">
        <f t="shared" si="74"/>
        <v>E</v>
      </c>
      <c r="F1852" t="str">
        <f t="shared" si="73"/>
        <v>4E</v>
      </c>
    </row>
    <row r="1853" spans="1:6" x14ac:dyDescent="0.2">
      <c r="A1853">
        <v>5</v>
      </c>
      <c r="E1853" t="str">
        <f t="shared" si="74"/>
        <v>F</v>
      </c>
      <c r="F1853" t="str">
        <f t="shared" si="73"/>
        <v>5F</v>
      </c>
    </row>
    <row r="1854" spans="1:6" x14ac:dyDescent="0.2">
      <c r="A1854">
        <v>6</v>
      </c>
      <c r="E1854" t="str">
        <f t="shared" si="74"/>
        <v>G</v>
      </c>
      <c r="F1854" t="str">
        <f t="shared" si="73"/>
        <v>6G</v>
      </c>
    </row>
    <row r="1855" spans="1:6" x14ac:dyDescent="0.2">
      <c r="A1855">
        <v>7</v>
      </c>
      <c r="E1855" t="str">
        <f t="shared" si="74"/>
        <v>H</v>
      </c>
      <c r="F1855" t="str">
        <f t="shared" si="73"/>
        <v>7H</v>
      </c>
    </row>
    <row r="1856" spans="1:6" x14ac:dyDescent="0.2">
      <c r="A1856">
        <v>8</v>
      </c>
      <c r="E1856" t="str">
        <f t="shared" si="74"/>
        <v>I</v>
      </c>
      <c r="F1856" t="str">
        <f t="shared" si="73"/>
        <v>8I</v>
      </c>
    </row>
    <row r="1857" spans="1:6" x14ac:dyDescent="0.2">
      <c r="A1857">
        <v>9</v>
      </c>
      <c r="E1857" t="str">
        <f t="shared" si="74"/>
        <v>J</v>
      </c>
      <c r="F1857" t="str">
        <f t="shared" si="73"/>
        <v>9J</v>
      </c>
    </row>
    <row r="1858" spans="1:6" x14ac:dyDescent="0.2">
      <c r="A1858">
        <v>10</v>
      </c>
      <c r="E1858" t="str">
        <f t="shared" si="74"/>
        <v>K</v>
      </c>
      <c r="F1858" t="str">
        <f t="shared" si="73"/>
        <v>10K</v>
      </c>
    </row>
    <row r="1859" spans="1:6" x14ac:dyDescent="0.2">
      <c r="A1859">
        <v>11</v>
      </c>
      <c r="E1859" t="str">
        <f t="shared" si="74"/>
        <v>L</v>
      </c>
      <c r="F1859" t="str">
        <f t="shared" ref="F1859:F1922" si="75">A1859&amp;C1859&amp;E1859</f>
        <v>11L</v>
      </c>
    </row>
    <row r="1860" spans="1:6" x14ac:dyDescent="0.2">
      <c r="A1860">
        <v>12</v>
      </c>
      <c r="E1860" t="str">
        <f t="shared" si="74"/>
        <v>M</v>
      </c>
      <c r="F1860" t="str">
        <f t="shared" si="75"/>
        <v>12M</v>
      </c>
    </row>
    <row r="1861" spans="1:6" x14ac:dyDescent="0.2">
      <c r="A1861">
        <v>13</v>
      </c>
      <c r="E1861" t="str">
        <f t="shared" si="74"/>
        <v>N</v>
      </c>
      <c r="F1861" t="str">
        <f t="shared" si="75"/>
        <v>13N</v>
      </c>
    </row>
    <row r="1862" spans="1:6" x14ac:dyDescent="0.2">
      <c r="A1862">
        <v>14</v>
      </c>
      <c r="E1862" t="str">
        <f t="shared" si="74"/>
        <v>O</v>
      </c>
      <c r="F1862" t="str">
        <f t="shared" si="75"/>
        <v>14O</v>
      </c>
    </row>
    <row r="1863" spans="1:6" x14ac:dyDescent="0.2">
      <c r="A1863">
        <v>15</v>
      </c>
      <c r="E1863" t="str">
        <f t="shared" si="74"/>
        <v>P</v>
      </c>
      <c r="F1863" t="str">
        <f t="shared" si="75"/>
        <v>15P</v>
      </c>
    </row>
    <row r="1864" spans="1:6" x14ac:dyDescent="0.2">
      <c r="A1864">
        <v>16</v>
      </c>
      <c r="E1864" t="str">
        <f t="shared" si="74"/>
        <v>Q</v>
      </c>
      <c r="F1864" t="str">
        <f t="shared" si="75"/>
        <v>16Q</v>
      </c>
    </row>
    <row r="1865" spans="1:6" x14ac:dyDescent="0.2">
      <c r="A1865">
        <v>17</v>
      </c>
      <c r="E1865" t="str">
        <f t="shared" si="74"/>
        <v>R</v>
      </c>
      <c r="F1865" t="str">
        <f t="shared" si="75"/>
        <v>17R</v>
      </c>
    </row>
    <row r="1866" spans="1:6" x14ac:dyDescent="0.2">
      <c r="A1866">
        <v>18</v>
      </c>
      <c r="E1866" t="str">
        <f t="shared" si="74"/>
        <v>S</v>
      </c>
      <c r="F1866" t="str">
        <f t="shared" si="75"/>
        <v>18S</v>
      </c>
    </row>
    <row r="1867" spans="1:6" x14ac:dyDescent="0.2">
      <c r="A1867">
        <v>19</v>
      </c>
      <c r="E1867" t="str">
        <f t="shared" si="74"/>
        <v>T</v>
      </c>
      <c r="F1867" t="str">
        <f t="shared" si="75"/>
        <v>19T</v>
      </c>
    </row>
    <row r="1868" spans="1:6" x14ac:dyDescent="0.2">
      <c r="A1868">
        <v>20</v>
      </c>
      <c r="E1868" t="str">
        <f t="shared" si="74"/>
        <v>U</v>
      </c>
      <c r="F1868" t="str">
        <f t="shared" si="75"/>
        <v>20U</v>
      </c>
    </row>
    <row r="1869" spans="1:6" x14ac:dyDescent="0.2">
      <c r="A1869">
        <v>21</v>
      </c>
      <c r="E1869" t="str">
        <f t="shared" si="74"/>
        <v>V</v>
      </c>
      <c r="F1869" t="str">
        <f t="shared" si="75"/>
        <v>21V</v>
      </c>
    </row>
    <row r="1870" spans="1:6" x14ac:dyDescent="0.2">
      <c r="A1870">
        <v>22</v>
      </c>
      <c r="E1870" t="str">
        <f t="shared" si="74"/>
        <v>W</v>
      </c>
      <c r="F1870" t="str">
        <f t="shared" si="75"/>
        <v>22W</v>
      </c>
    </row>
    <row r="1871" spans="1:6" x14ac:dyDescent="0.2">
      <c r="A1871">
        <v>23</v>
      </c>
      <c r="E1871" t="str">
        <f t="shared" si="74"/>
        <v>X</v>
      </c>
      <c r="F1871" t="str">
        <f t="shared" si="75"/>
        <v>23X</v>
      </c>
    </row>
    <row r="1872" spans="1:6" x14ac:dyDescent="0.2">
      <c r="A1872">
        <v>24</v>
      </c>
      <c r="E1872" t="str">
        <f t="shared" si="74"/>
        <v>Y</v>
      </c>
      <c r="F1872" t="str">
        <f t="shared" si="75"/>
        <v>24Y</v>
      </c>
    </row>
    <row r="1873" spans="1:6" x14ac:dyDescent="0.2">
      <c r="A1873">
        <v>25</v>
      </c>
      <c r="E1873" t="str">
        <f t="shared" si="74"/>
        <v>Z</v>
      </c>
      <c r="F1873" t="str">
        <f t="shared" si="75"/>
        <v>25Z</v>
      </c>
    </row>
    <row r="1874" spans="1:6" x14ac:dyDescent="0.2">
      <c r="A1874">
        <v>0</v>
      </c>
      <c r="E1874" t="str">
        <f t="shared" si="74"/>
        <v>A</v>
      </c>
      <c r="F1874" t="str">
        <f t="shared" si="75"/>
        <v>0A</v>
      </c>
    </row>
    <row r="1875" spans="1:6" x14ac:dyDescent="0.2">
      <c r="A1875">
        <v>1</v>
      </c>
      <c r="E1875" t="str">
        <f t="shared" si="74"/>
        <v>B</v>
      </c>
      <c r="F1875" t="str">
        <f t="shared" si="75"/>
        <v>1B</v>
      </c>
    </row>
    <row r="1876" spans="1:6" x14ac:dyDescent="0.2">
      <c r="A1876">
        <v>2</v>
      </c>
      <c r="E1876" t="str">
        <f t="shared" si="74"/>
        <v>C</v>
      </c>
      <c r="F1876" t="str">
        <f t="shared" si="75"/>
        <v>2C</v>
      </c>
    </row>
    <row r="1877" spans="1:6" x14ac:dyDescent="0.2">
      <c r="A1877">
        <v>3</v>
      </c>
      <c r="E1877" t="str">
        <f t="shared" si="74"/>
        <v>D</v>
      </c>
      <c r="F1877" t="str">
        <f t="shared" si="75"/>
        <v>3D</v>
      </c>
    </row>
    <row r="1878" spans="1:6" x14ac:dyDescent="0.2">
      <c r="A1878">
        <v>4</v>
      </c>
      <c r="E1878" t="str">
        <f t="shared" si="74"/>
        <v>E</v>
      </c>
      <c r="F1878" t="str">
        <f t="shared" si="75"/>
        <v>4E</v>
      </c>
    </row>
    <row r="1879" spans="1:6" x14ac:dyDescent="0.2">
      <c r="A1879">
        <v>5</v>
      </c>
      <c r="E1879" t="str">
        <f t="shared" si="74"/>
        <v>F</v>
      </c>
      <c r="F1879" t="str">
        <f t="shared" si="75"/>
        <v>5F</v>
      </c>
    </row>
    <row r="1880" spans="1:6" x14ac:dyDescent="0.2">
      <c r="A1880">
        <v>6</v>
      </c>
      <c r="E1880" t="str">
        <f t="shared" si="74"/>
        <v>G</v>
      </c>
      <c r="F1880" t="str">
        <f t="shared" si="75"/>
        <v>6G</v>
      </c>
    </row>
    <row r="1881" spans="1:6" x14ac:dyDescent="0.2">
      <c r="A1881">
        <v>7</v>
      </c>
      <c r="E1881" t="str">
        <f t="shared" si="74"/>
        <v>H</v>
      </c>
      <c r="F1881" t="str">
        <f t="shared" si="75"/>
        <v>7H</v>
      </c>
    </row>
    <row r="1882" spans="1:6" x14ac:dyDescent="0.2">
      <c r="A1882">
        <v>8</v>
      </c>
      <c r="E1882" t="str">
        <f t="shared" si="74"/>
        <v>I</v>
      </c>
      <c r="F1882" t="str">
        <f t="shared" si="75"/>
        <v>8I</v>
      </c>
    </row>
    <row r="1883" spans="1:6" x14ac:dyDescent="0.2">
      <c r="A1883">
        <v>9</v>
      </c>
      <c r="E1883" t="str">
        <f t="shared" si="74"/>
        <v>J</v>
      </c>
      <c r="F1883" t="str">
        <f t="shared" si="75"/>
        <v>9J</v>
      </c>
    </row>
    <row r="1884" spans="1:6" x14ac:dyDescent="0.2">
      <c r="A1884">
        <v>10</v>
      </c>
      <c r="E1884" t="str">
        <f t="shared" si="74"/>
        <v>K</v>
      </c>
      <c r="F1884" t="str">
        <f t="shared" si="75"/>
        <v>10K</v>
      </c>
    </row>
    <row r="1885" spans="1:6" x14ac:dyDescent="0.2">
      <c r="A1885">
        <v>11</v>
      </c>
      <c r="E1885" t="str">
        <f t="shared" ref="E1885:E1948" si="76">E1859</f>
        <v>L</v>
      </c>
      <c r="F1885" t="str">
        <f t="shared" si="75"/>
        <v>11L</v>
      </c>
    </row>
    <row r="1886" spans="1:6" x14ac:dyDescent="0.2">
      <c r="A1886">
        <v>12</v>
      </c>
      <c r="E1886" t="str">
        <f t="shared" si="76"/>
        <v>M</v>
      </c>
      <c r="F1886" t="str">
        <f t="shared" si="75"/>
        <v>12M</v>
      </c>
    </row>
    <row r="1887" spans="1:6" x14ac:dyDescent="0.2">
      <c r="A1887">
        <v>13</v>
      </c>
      <c r="E1887" t="str">
        <f t="shared" si="76"/>
        <v>N</v>
      </c>
      <c r="F1887" t="str">
        <f t="shared" si="75"/>
        <v>13N</v>
      </c>
    </row>
    <row r="1888" spans="1:6" x14ac:dyDescent="0.2">
      <c r="A1888">
        <v>14</v>
      </c>
      <c r="E1888" t="str">
        <f t="shared" si="76"/>
        <v>O</v>
      </c>
      <c r="F1888" t="str">
        <f t="shared" si="75"/>
        <v>14O</v>
      </c>
    </row>
    <row r="1889" spans="1:6" x14ac:dyDescent="0.2">
      <c r="A1889">
        <v>15</v>
      </c>
      <c r="E1889" t="str">
        <f t="shared" si="76"/>
        <v>P</v>
      </c>
      <c r="F1889" t="str">
        <f t="shared" si="75"/>
        <v>15P</v>
      </c>
    </row>
    <row r="1890" spans="1:6" x14ac:dyDescent="0.2">
      <c r="A1890">
        <v>16</v>
      </c>
      <c r="E1890" t="str">
        <f t="shared" si="76"/>
        <v>Q</v>
      </c>
      <c r="F1890" t="str">
        <f t="shared" si="75"/>
        <v>16Q</v>
      </c>
    </row>
    <row r="1891" spans="1:6" x14ac:dyDescent="0.2">
      <c r="A1891">
        <v>17</v>
      </c>
      <c r="E1891" t="str">
        <f t="shared" si="76"/>
        <v>R</v>
      </c>
      <c r="F1891" t="str">
        <f t="shared" si="75"/>
        <v>17R</v>
      </c>
    </row>
    <row r="1892" spans="1:6" x14ac:dyDescent="0.2">
      <c r="A1892">
        <v>18</v>
      </c>
      <c r="E1892" t="str">
        <f t="shared" si="76"/>
        <v>S</v>
      </c>
      <c r="F1892" t="str">
        <f t="shared" si="75"/>
        <v>18S</v>
      </c>
    </row>
    <row r="1893" spans="1:6" x14ac:dyDescent="0.2">
      <c r="A1893">
        <v>19</v>
      </c>
      <c r="E1893" t="str">
        <f t="shared" si="76"/>
        <v>T</v>
      </c>
      <c r="F1893" t="str">
        <f t="shared" si="75"/>
        <v>19T</v>
      </c>
    </row>
    <row r="1894" spans="1:6" x14ac:dyDescent="0.2">
      <c r="A1894">
        <v>20</v>
      </c>
      <c r="E1894" t="str">
        <f t="shared" si="76"/>
        <v>U</v>
      </c>
      <c r="F1894" t="str">
        <f t="shared" si="75"/>
        <v>20U</v>
      </c>
    </row>
    <row r="1895" spans="1:6" x14ac:dyDescent="0.2">
      <c r="A1895">
        <v>21</v>
      </c>
      <c r="E1895" t="str">
        <f t="shared" si="76"/>
        <v>V</v>
      </c>
      <c r="F1895" t="str">
        <f t="shared" si="75"/>
        <v>21V</v>
      </c>
    </row>
    <row r="1896" spans="1:6" x14ac:dyDescent="0.2">
      <c r="A1896">
        <v>22</v>
      </c>
      <c r="E1896" t="str">
        <f t="shared" si="76"/>
        <v>W</v>
      </c>
      <c r="F1896" t="str">
        <f t="shared" si="75"/>
        <v>22W</v>
      </c>
    </row>
    <row r="1897" spans="1:6" x14ac:dyDescent="0.2">
      <c r="A1897">
        <v>23</v>
      </c>
      <c r="E1897" t="str">
        <f t="shared" si="76"/>
        <v>X</v>
      </c>
      <c r="F1897" t="str">
        <f t="shared" si="75"/>
        <v>23X</v>
      </c>
    </row>
    <row r="1898" spans="1:6" x14ac:dyDescent="0.2">
      <c r="A1898">
        <v>24</v>
      </c>
      <c r="E1898" t="str">
        <f t="shared" si="76"/>
        <v>Y</v>
      </c>
      <c r="F1898" t="str">
        <f t="shared" si="75"/>
        <v>24Y</v>
      </c>
    </row>
    <row r="1899" spans="1:6" x14ac:dyDescent="0.2">
      <c r="A1899">
        <v>25</v>
      </c>
      <c r="E1899" t="str">
        <f t="shared" si="76"/>
        <v>Z</v>
      </c>
      <c r="F1899" t="str">
        <f t="shared" si="75"/>
        <v>25Z</v>
      </c>
    </row>
    <row r="1900" spans="1:6" x14ac:dyDescent="0.2">
      <c r="A1900">
        <v>0</v>
      </c>
      <c r="E1900" t="str">
        <f t="shared" si="76"/>
        <v>A</v>
      </c>
      <c r="F1900" t="str">
        <f t="shared" si="75"/>
        <v>0A</v>
      </c>
    </row>
    <row r="1901" spans="1:6" x14ac:dyDescent="0.2">
      <c r="A1901">
        <v>1</v>
      </c>
      <c r="E1901" t="str">
        <f t="shared" si="76"/>
        <v>B</v>
      </c>
      <c r="F1901" t="str">
        <f t="shared" si="75"/>
        <v>1B</v>
      </c>
    </row>
    <row r="1902" spans="1:6" x14ac:dyDescent="0.2">
      <c r="A1902">
        <v>2</v>
      </c>
      <c r="E1902" t="str">
        <f t="shared" si="76"/>
        <v>C</v>
      </c>
      <c r="F1902" t="str">
        <f t="shared" si="75"/>
        <v>2C</v>
      </c>
    </row>
    <row r="1903" spans="1:6" x14ac:dyDescent="0.2">
      <c r="A1903">
        <v>3</v>
      </c>
      <c r="E1903" t="str">
        <f t="shared" si="76"/>
        <v>D</v>
      </c>
      <c r="F1903" t="str">
        <f t="shared" si="75"/>
        <v>3D</v>
      </c>
    </row>
    <row r="1904" spans="1:6" x14ac:dyDescent="0.2">
      <c r="A1904">
        <v>4</v>
      </c>
      <c r="E1904" t="str">
        <f t="shared" si="76"/>
        <v>E</v>
      </c>
      <c r="F1904" t="str">
        <f t="shared" si="75"/>
        <v>4E</v>
      </c>
    </row>
    <row r="1905" spans="1:6" x14ac:dyDescent="0.2">
      <c r="A1905">
        <v>5</v>
      </c>
      <c r="E1905" t="str">
        <f t="shared" si="76"/>
        <v>F</v>
      </c>
      <c r="F1905" t="str">
        <f t="shared" si="75"/>
        <v>5F</v>
      </c>
    </row>
    <row r="1906" spans="1:6" x14ac:dyDescent="0.2">
      <c r="A1906">
        <v>6</v>
      </c>
      <c r="E1906" t="str">
        <f t="shared" si="76"/>
        <v>G</v>
      </c>
      <c r="F1906" t="str">
        <f t="shared" si="75"/>
        <v>6G</v>
      </c>
    </row>
    <row r="1907" spans="1:6" x14ac:dyDescent="0.2">
      <c r="A1907">
        <v>7</v>
      </c>
      <c r="E1907" t="str">
        <f t="shared" si="76"/>
        <v>H</v>
      </c>
      <c r="F1907" t="str">
        <f t="shared" si="75"/>
        <v>7H</v>
      </c>
    </row>
    <row r="1908" spans="1:6" x14ac:dyDescent="0.2">
      <c r="A1908">
        <v>8</v>
      </c>
      <c r="E1908" t="str">
        <f t="shared" si="76"/>
        <v>I</v>
      </c>
      <c r="F1908" t="str">
        <f t="shared" si="75"/>
        <v>8I</v>
      </c>
    </row>
    <row r="1909" spans="1:6" x14ac:dyDescent="0.2">
      <c r="A1909">
        <v>9</v>
      </c>
      <c r="E1909" t="str">
        <f t="shared" si="76"/>
        <v>J</v>
      </c>
      <c r="F1909" t="str">
        <f t="shared" si="75"/>
        <v>9J</v>
      </c>
    </row>
    <row r="1910" spans="1:6" x14ac:dyDescent="0.2">
      <c r="A1910">
        <v>10</v>
      </c>
      <c r="E1910" t="str">
        <f t="shared" si="76"/>
        <v>K</v>
      </c>
      <c r="F1910" t="str">
        <f t="shared" si="75"/>
        <v>10K</v>
      </c>
    </row>
    <row r="1911" spans="1:6" x14ac:dyDescent="0.2">
      <c r="A1911">
        <v>11</v>
      </c>
      <c r="E1911" t="str">
        <f t="shared" si="76"/>
        <v>L</v>
      </c>
      <c r="F1911" t="str">
        <f t="shared" si="75"/>
        <v>11L</v>
      </c>
    </row>
    <row r="1912" spans="1:6" x14ac:dyDescent="0.2">
      <c r="A1912">
        <v>12</v>
      </c>
      <c r="E1912" t="str">
        <f t="shared" si="76"/>
        <v>M</v>
      </c>
      <c r="F1912" t="str">
        <f t="shared" si="75"/>
        <v>12M</v>
      </c>
    </row>
    <row r="1913" spans="1:6" x14ac:dyDescent="0.2">
      <c r="A1913">
        <v>13</v>
      </c>
      <c r="E1913" t="str">
        <f t="shared" si="76"/>
        <v>N</v>
      </c>
      <c r="F1913" t="str">
        <f t="shared" si="75"/>
        <v>13N</v>
      </c>
    </row>
    <row r="1914" spans="1:6" x14ac:dyDescent="0.2">
      <c r="A1914">
        <v>14</v>
      </c>
      <c r="E1914" t="str">
        <f t="shared" si="76"/>
        <v>O</v>
      </c>
      <c r="F1914" t="str">
        <f t="shared" si="75"/>
        <v>14O</v>
      </c>
    </row>
    <row r="1915" spans="1:6" x14ac:dyDescent="0.2">
      <c r="A1915">
        <v>15</v>
      </c>
      <c r="E1915" t="str">
        <f t="shared" si="76"/>
        <v>P</v>
      </c>
      <c r="F1915" t="str">
        <f t="shared" si="75"/>
        <v>15P</v>
      </c>
    </row>
    <row r="1916" spans="1:6" x14ac:dyDescent="0.2">
      <c r="A1916">
        <v>16</v>
      </c>
      <c r="E1916" t="str">
        <f t="shared" si="76"/>
        <v>Q</v>
      </c>
      <c r="F1916" t="str">
        <f t="shared" si="75"/>
        <v>16Q</v>
      </c>
    </row>
    <row r="1917" spans="1:6" x14ac:dyDescent="0.2">
      <c r="A1917">
        <v>17</v>
      </c>
      <c r="E1917" t="str">
        <f t="shared" si="76"/>
        <v>R</v>
      </c>
      <c r="F1917" t="str">
        <f t="shared" si="75"/>
        <v>17R</v>
      </c>
    </row>
    <row r="1918" spans="1:6" x14ac:dyDescent="0.2">
      <c r="A1918">
        <v>18</v>
      </c>
      <c r="E1918" t="str">
        <f t="shared" si="76"/>
        <v>S</v>
      </c>
      <c r="F1918" t="str">
        <f t="shared" si="75"/>
        <v>18S</v>
      </c>
    </row>
    <row r="1919" spans="1:6" x14ac:dyDescent="0.2">
      <c r="A1919">
        <v>19</v>
      </c>
      <c r="E1919" t="str">
        <f t="shared" si="76"/>
        <v>T</v>
      </c>
      <c r="F1919" t="str">
        <f t="shared" si="75"/>
        <v>19T</v>
      </c>
    </row>
    <row r="1920" spans="1:6" x14ac:dyDescent="0.2">
      <c r="A1920">
        <v>20</v>
      </c>
      <c r="E1920" t="str">
        <f t="shared" si="76"/>
        <v>U</v>
      </c>
      <c r="F1920" t="str">
        <f t="shared" si="75"/>
        <v>20U</v>
      </c>
    </row>
    <row r="1921" spans="1:6" x14ac:dyDescent="0.2">
      <c r="A1921">
        <v>21</v>
      </c>
      <c r="E1921" t="str">
        <f t="shared" si="76"/>
        <v>V</v>
      </c>
      <c r="F1921" t="str">
        <f t="shared" si="75"/>
        <v>21V</v>
      </c>
    </row>
    <row r="1922" spans="1:6" x14ac:dyDescent="0.2">
      <c r="A1922">
        <v>22</v>
      </c>
      <c r="E1922" t="str">
        <f t="shared" si="76"/>
        <v>W</v>
      </c>
      <c r="F1922" t="str">
        <f t="shared" si="75"/>
        <v>22W</v>
      </c>
    </row>
    <row r="1923" spans="1:6" x14ac:dyDescent="0.2">
      <c r="A1923">
        <v>23</v>
      </c>
      <c r="E1923" t="str">
        <f t="shared" si="76"/>
        <v>X</v>
      </c>
      <c r="F1923" t="str">
        <f t="shared" ref="F1923:F1986" si="77">A1923&amp;C1923&amp;E1923</f>
        <v>23X</v>
      </c>
    </row>
    <row r="1924" spans="1:6" x14ac:dyDescent="0.2">
      <c r="A1924">
        <v>24</v>
      </c>
      <c r="E1924" t="str">
        <f t="shared" si="76"/>
        <v>Y</v>
      </c>
      <c r="F1924" t="str">
        <f t="shared" si="77"/>
        <v>24Y</v>
      </c>
    </row>
    <row r="1925" spans="1:6" x14ac:dyDescent="0.2">
      <c r="A1925">
        <v>25</v>
      </c>
      <c r="E1925" t="str">
        <f t="shared" si="76"/>
        <v>Z</v>
      </c>
      <c r="F1925" t="str">
        <f t="shared" si="77"/>
        <v>25Z</v>
      </c>
    </row>
    <row r="1926" spans="1:6" x14ac:dyDescent="0.2">
      <c r="A1926">
        <v>0</v>
      </c>
      <c r="E1926" t="str">
        <f t="shared" si="76"/>
        <v>A</v>
      </c>
      <c r="F1926" t="str">
        <f t="shared" si="77"/>
        <v>0A</v>
      </c>
    </row>
    <row r="1927" spans="1:6" x14ac:dyDescent="0.2">
      <c r="A1927">
        <v>1</v>
      </c>
      <c r="E1927" t="str">
        <f t="shared" si="76"/>
        <v>B</v>
      </c>
      <c r="F1927" t="str">
        <f t="shared" si="77"/>
        <v>1B</v>
      </c>
    </row>
    <row r="1928" spans="1:6" x14ac:dyDescent="0.2">
      <c r="A1928">
        <v>2</v>
      </c>
      <c r="E1928" t="str">
        <f t="shared" si="76"/>
        <v>C</v>
      </c>
      <c r="F1928" t="str">
        <f t="shared" si="77"/>
        <v>2C</v>
      </c>
    </row>
    <row r="1929" spans="1:6" x14ac:dyDescent="0.2">
      <c r="A1929">
        <v>3</v>
      </c>
      <c r="E1929" t="str">
        <f t="shared" si="76"/>
        <v>D</v>
      </c>
      <c r="F1929" t="str">
        <f t="shared" si="77"/>
        <v>3D</v>
      </c>
    </row>
    <row r="1930" spans="1:6" x14ac:dyDescent="0.2">
      <c r="A1930">
        <v>4</v>
      </c>
      <c r="E1930" t="str">
        <f t="shared" si="76"/>
        <v>E</v>
      </c>
      <c r="F1930" t="str">
        <f t="shared" si="77"/>
        <v>4E</v>
      </c>
    </row>
    <row r="1931" spans="1:6" x14ac:dyDescent="0.2">
      <c r="A1931">
        <v>5</v>
      </c>
      <c r="E1931" t="str">
        <f t="shared" si="76"/>
        <v>F</v>
      </c>
      <c r="F1931" t="str">
        <f t="shared" si="77"/>
        <v>5F</v>
      </c>
    </row>
    <row r="1932" spans="1:6" x14ac:dyDescent="0.2">
      <c r="A1932">
        <v>6</v>
      </c>
      <c r="E1932" t="str">
        <f t="shared" si="76"/>
        <v>G</v>
      </c>
      <c r="F1932" t="str">
        <f t="shared" si="77"/>
        <v>6G</v>
      </c>
    </row>
    <row r="1933" spans="1:6" x14ac:dyDescent="0.2">
      <c r="A1933">
        <v>7</v>
      </c>
      <c r="E1933" t="str">
        <f t="shared" si="76"/>
        <v>H</v>
      </c>
      <c r="F1933" t="str">
        <f t="shared" si="77"/>
        <v>7H</v>
      </c>
    </row>
    <row r="1934" spans="1:6" x14ac:dyDescent="0.2">
      <c r="A1934">
        <v>8</v>
      </c>
      <c r="E1934" t="str">
        <f t="shared" si="76"/>
        <v>I</v>
      </c>
      <c r="F1934" t="str">
        <f t="shared" si="77"/>
        <v>8I</v>
      </c>
    </row>
    <row r="1935" spans="1:6" x14ac:dyDescent="0.2">
      <c r="A1935">
        <v>9</v>
      </c>
      <c r="E1935" t="str">
        <f t="shared" si="76"/>
        <v>J</v>
      </c>
      <c r="F1935" t="str">
        <f t="shared" si="77"/>
        <v>9J</v>
      </c>
    </row>
    <row r="1936" spans="1:6" x14ac:dyDescent="0.2">
      <c r="A1936">
        <v>10</v>
      </c>
      <c r="E1936" t="str">
        <f t="shared" si="76"/>
        <v>K</v>
      </c>
      <c r="F1936" t="str">
        <f t="shared" si="77"/>
        <v>10K</v>
      </c>
    </row>
    <row r="1937" spans="1:6" x14ac:dyDescent="0.2">
      <c r="A1937">
        <v>11</v>
      </c>
      <c r="E1937" t="str">
        <f t="shared" si="76"/>
        <v>L</v>
      </c>
      <c r="F1937" t="str">
        <f t="shared" si="77"/>
        <v>11L</v>
      </c>
    </row>
    <row r="1938" spans="1:6" x14ac:dyDescent="0.2">
      <c r="A1938">
        <v>12</v>
      </c>
      <c r="E1938" t="str">
        <f t="shared" si="76"/>
        <v>M</v>
      </c>
      <c r="F1938" t="str">
        <f t="shared" si="77"/>
        <v>12M</v>
      </c>
    </row>
    <row r="1939" spans="1:6" x14ac:dyDescent="0.2">
      <c r="A1939">
        <v>13</v>
      </c>
      <c r="E1939" t="str">
        <f t="shared" si="76"/>
        <v>N</v>
      </c>
      <c r="F1939" t="str">
        <f t="shared" si="77"/>
        <v>13N</v>
      </c>
    </row>
    <row r="1940" spans="1:6" x14ac:dyDescent="0.2">
      <c r="A1940">
        <v>14</v>
      </c>
      <c r="E1940" t="str">
        <f t="shared" si="76"/>
        <v>O</v>
      </c>
      <c r="F1940" t="str">
        <f t="shared" si="77"/>
        <v>14O</v>
      </c>
    </row>
    <row r="1941" spans="1:6" x14ac:dyDescent="0.2">
      <c r="A1941">
        <v>15</v>
      </c>
      <c r="E1941" t="str">
        <f t="shared" si="76"/>
        <v>P</v>
      </c>
      <c r="F1941" t="str">
        <f t="shared" si="77"/>
        <v>15P</v>
      </c>
    </row>
    <row r="1942" spans="1:6" x14ac:dyDescent="0.2">
      <c r="A1942">
        <v>16</v>
      </c>
      <c r="E1942" t="str">
        <f t="shared" si="76"/>
        <v>Q</v>
      </c>
      <c r="F1942" t="str">
        <f t="shared" si="77"/>
        <v>16Q</v>
      </c>
    </row>
    <row r="1943" spans="1:6" x14ac:dyDescent="0.2">
      <c r="A1943">
        <v>17</v>
      </c>
      <c r="E1943" t="str">
        <f t="shared" si="76"/>
        <v>R</v>
      </c>
      <c r="F1943" t="str">
        <f t="shared" si="77"/>
        <v>17R</v>
      </c>
    </row>
    <row r="1944" spans="1:6" x14ac:dyDescent="0.2">
      <c r="A1944">
        <v>18</v>
      </c>
      <c r="E1944" t="str">
        <f t="shared" si="76"/>
        <v>S</v>
      </c>
      <c r="F1944" t="str">
        <f t="shared" si="77"/>
        <v>18S</v>
      </c>
    </row>
    <row r="1945" spans="1:6" x14ac:dyDescent="0.2">
      <c r="A1945">
        <v>19</v>
      </c>
      <c r="E1945" t="str">
        <f t="shared" si="76"/>
        <v>T</v>
      </c>
      <c r="F1945" t="str">
        <f t="shared" si="77"/>
        <v>19T</v>
      </c>
    </row>
    <row r="1946" spans="1:6" x14ac:dyDescent="0.2">
      <c r="A1946">
        <v>20</v>
      </c>
      <c r="E1946" t="str">
        <f t="shared" si="76"/>
        <v>U</v>
      </c>
      <c r="F1946" t="str">
        <f t="shared" si="77"/>
        <v>20U</v>
      </c>
    </row>
    <row r="1947" spans="1:6" x14ac:dyDescent="0.2">
      <c r="A1947">
        <v>21</v>
      </c>
      <c r="E1947" t="str">
        <f t="shared" si="76"/>
        <v>V</v>
      </c>
      <c r="F1947" t="str">
        <f t="shared" si="77"/>
        <v>21V</v>
      </c>
    </row>
    <row r="1948" spans="1:6" x14ac:dyDescent="0.2">
      <c r="A1948">
        <v>22</v>
      </c>
      <c r="E1948" t="str">
        <f t="shared" si="76"/>
        <v>W</v>
      </c>
      <c r="F1948" t="str">
        <f t="shared" si="77"/>
        <v>22W</v>
      </c>
    </row>
    <row r="1949" spans="1:6" x14ac:dyDescent="0.2">
      <c r="A1949">
        <v>23</v>
      </c>
      <c r="E1949" t="str">
        <f t="shared" ref="E1949:E2012" si="78">E1923</f>
        <v>X</v>
      </c>
      <c r="F1949" t="str">
        <f t="shared" si="77"/>
        <v>23X</v>
      </c>
    </row>
    <row r="1950" spans="1:6" x14ac:dyDescent="0.2">
      <c r="A1950">
        <v>24</v>
      </c>
      <c r="E1950" t="str">
        <f t="shared" si="78"/>
        <v>Y</v>
      </c>
      <c r="F1950" t="str">
        <f t="shared" si="77"/>
        <v>24Y</v>
      </c>
    </row>
    <row r="1951" spans="1:6" x14ac:dyDescent="0.2">
      <c r="A1951">
        <v>25</v>
      </c>
      <c r="E1951" t="str">
        <f t="shared" si="78"/>
        <v>Z</v>
      </c>
      <c r="F1951" t="str">
        <f t="shared" si="77"/>
        <v>25Z</v>
      </c>
    </row>
    <row r="1952" spans="1:6" x14ac:dyDescent="0.2">
      <c r="A1952">
        <v>0</v>
      </c>
      <c r="E1952" t="str">
        <f t="shared" si="78"/>
        <v>A</v>
      </c>
      <c r="F1952" t="str">
        <f t="shared" si="77"/>
        <v>0A</v>
      </c>
    </row>
    <row r="1953" spans="1:6" x14ac:dyDescent="0.2">
      <c r="A1953">
        <v>1</v>
      </c>
      <c r="E1953" t="str">
        <f t="shared" si="78"/>
        <v>B</v>
      </c>
      <c r="F1953" t="str">
        <f t="shared" si="77"/>
        <v>1B</v>
      </c>
    </row>
    <row r="1954" spans="1:6" x14ac:dyDescent="0.2">
      <c r="A1954">
        <v>2</v>
      </c>
      <c r="E1954" t="str">
        <f t="shared" si="78"/>
        <v>C</v>
      </c>
      <c r="F1954" t="str">
        <f t="shared" si="77"/>
        <v>2C</v>
      </c>
    </row>
    <row r="1955" spans="1:6" x14ac:dyDescent="0.2">
      <c r="A1955">
        <v>3</v>
      </c>
      <c r="E1955" t="str">
        <f t="shared" si="78"/>
        <v>D</v>
      </c>
      <c r="F1955" t="str">
        <f t="shared" si="77"/>
        <v>3D</v>
      </c>
    </row>
    <row r="1956" spans="1:6" x14ac:dyDescent="0.2">
      <c r="A1956">
        <v>4</v>
      </c>
      <c r="E1956" t="str">
        <f t="shared" si="78"/>
        <v>E</v>
      </c>
      <c r="F1956" t="str">
        <f t="shared" si="77"/>
        <v>4E</v>
      </c>
    </row>
    <row r="1957" spans="1:6" x14ac:dyDescent="0.2">
      <c r="A1957">
        <v>5</v>
      </c>
      <c r="E1957" t="str">
        <f t="shared" si="78"/>
        <v>F</v>
      </c>
      <c r="F1957" t="str">
        <f t="shared" si="77"/>
        <v>5F</v>
      </c>
    </row>
    <row r="1958" spans="1:6" x14ac:dyDescent="0.2">
      <c r="A1958">
        <v>6</v>
      </c>
      <c r="E1958" t="str">
        <f t="shared" si="78"/>
        <v>G</v>
      </c>
      <c r="F1958" t="str">
        <f t="shared" si="77"/>
        <v>6G</v>
      </c>
    </row>
    <row r="1959" spans="1:6" x14ac:dyDescent="0.2">
      <c r="A1959">
        <v>7</v>
      </c>
      <c r="E1959" t="str">
        <f t="shared" si="78"/>
        <v>H</v>
      </c>
      <c r="F1959" t="str">
        <f t="shared" si="77"/>
        <v>7H</v>
      </c>
    </row>
    <row r="1960" spans="1:6" x14ac:dyDescent="0.2">
      <c r="A1960">
        <v>8</v>
      </c>
      <c r="E1960" t="str">
        <f t="shared" si="78"/>
        <v>I</v>
      </c>
      <c r="F1960" t="str">
        <f t="shared" si="77"/>
        <v>8I</v>
      </c>
    </row>
    <row r="1961" spans="1:6" x14ac:dyDescent="0.2">
      <c r="A1961">
        <v>9</v>
      </c>
      <c r="E1961" t="str">
        <f t="shared" si="78"/>
        <v>J</v>
      </c>
      <c r="F1961" t="str">
        <f t="shared" si="77"/>
        <v>9J</v>
      </c>
    </row>
    <row r="1962" spans="1:6" x14ac:dyDescent="0.2">
      <c r="A1962">
        <v>10</v>
      </c>
      <c r="E1962" t="str">
        <f t="shared" si="78"/>
        <v>K</v>
      </c>
      <c r="F1962" t="str">
        <f t="shared" si="77"/>
        <v>10K</v>
      </c>
    </row>
    <row r="1963" spans="1:6" x14ac:dyDescent="0.2">
      <c r="A1963">
        <v>11</v>
      </c>
      <c r="E1963" t="str">
        <f t="shared" si="78"/>
        <v>L</v>
      </c>
      <c r="F1963" t="str">
        <f t="shared" si="77"/>
        <v>11L</v>
      </c>
    </row>
    <row r="1964" spans="1:6" x14ac:dyDescent="0.2">
      <c r="A1964">
        <v>12</v>
      </c>
      <c r="E1964" t="str">
        <f t="shared" si="78"/>
        <v>M</v>
      </c>
      <c r="F1964" t="str">
        <f t="shared" si="77"/>
        <v>12M</v>
      </c>
    </row>
    <row r="1965" spans="1:6" x14ac:dyDescent="0.2">
      <c r="A1965">
        <v>13</v>
      </c>
      <c r="E1965" t="str">
        <f t="shared" si="78"/>
        <v>N</v>
      </c>
      <c r="F1965" t="str">
        <f t="shared" si="77"/>
        <v>13N</v>
      </c>
    </row>
    <row r="1966" spans="1:6" x14ac:dyDescent="0.2">
      <c r="A1966">
        <v>14</v>
      </c>
      <c r="E1966" t="str">
        <f t="shared" si="78"/>
        <v>O</v>
      </c>
      <c r="F1966" t="str">
        <f t="shared" si="77"/>
        <v>14O</v>
      </c>
    </row>
    <row r="1967" spans="1:6" x14ac:dyDescent="0.2">
      <c r="A1967">
        <v>15</v>
      </c>
      <c r="E1967" t="str">
        <f t="shared" si="78"/>
        <v>P</v>
      </c>
      <c r="F1967" t="str">
        <f t="shared" si="77"/>
        <v>15P</v>
      </c>
    </row>
    <row r="1968" spans="1:6" x14ac:dyDescent="0.2">
      <c r="A1968">
        <v>16</v>
      </c>
      <c r="E1968" t="str">
        <f t="shared" si="78"/>
        <v>Q</v>
      </c>
      <c r="F1968" t="str">
        <f t="shared" si="77"/>
        <v>16Q</v>
      </c>
    </row>
    <row r="1969" spans="1:6" x14ac:dyDescent="0.2">
      <c r="A1969">
        <v>17</v>
      </c>
      <c r="E1969" t="str">
        <f t="shared" si="78"/>
        <v>R</v>
      </c>
      <c r="F1969" t="str">
        <f t="shared" si="77"/>
        <v>17R</v>
      </c>
    </row>
    <row r="1970" spans="1:6" x14ac:dyDescent="0.2">
      <c r="A1970">
        <v>18</v>
      </c>
      <c r="E1970" t="str">
        <f t="shared" si="78"/>
        <v>S</v>
      </c>
      <c r="F1970" t="str">
        <f t="shared" si="77"/>
        <v>18S</v>
      </c>
    </row>
    <row r="1971" spans="1:6" x14ac:dyDescent="0.2">
      <c r="A1971">
        <v>19</v>
      </c>
      <c r="E1971" t="str">
        <f t="shared" si="78"/>
        <v>T</v>
      </c>
      <c r="F1971" t="str">
        <f t="shared" si="77"/>
        <v>19T</v>
      </c>
    </row>
    <row r="1972" spans="1:6" x14ac:dyDescent="0.2">
      <c r="A1972">
        <v>20</v>
      </c>
      <c r="E1972" t="str">
        <f t="shared" si="78"/>
        <v>U</v>
      </c>
      <c r="F1972" t="str">
        <f t="shared" si="77"/>
        <v>20U</v>
      </c>
    </row>
    <row r="1973" spans="1:6" x14ac:dyDescent="0.2">
      <c r="A1973">
        <v>21</v>
      </c>
      <c r="E1973" t="str">
        <f t="shared" si="78"/>
        <v>V</v>
      </c>
      <c r="F1973" t="str">
        <f t="shared" si="77"/>
        <v>21V</v>
      </c>
    </row>
    <row r="1974" spans="1:6" x14ac:dyDescent="0.2">
      <c r="A1974">
        <v>22</v>
      </c>
      <c r="E1974" t="str">
        <f t="shared" si="78"/>
        <v>W</v>
      </c>
      <c r="F1974" t="str">
        <f t="shared" si="77"/>
        <v>22W</v>
      </c>
    </row>
    <row r="1975" spans="1:6" x14ac:dyDescent="0.2">
      <c r="A1975">
        <v>23</v>
      </c>
      <c r="E1975" t="str">
        <f t="shared" si="78"/>
        <v>X</v>
      </c>
      <c r="F1975" t="str">
        <f t="shared" si="77"/>
        <v>23X</v>
      </c>
    </row>
    <row r="1976" spans="1:6" x14ac:dyDescent="0.2">
      <c r="A1976">
        <v>24</v>
      </c>
      <c r="E1976" t="str">
        <f t="shared" si="78"/>
        <v>Y</v>
      </c>
      <c r="F1976" t="str">
        <f t="shared" si="77"/>
        <v>24Y</v>
      </c>
    </row>
    <row r="1977" spans="1:6" x14ac:dyDescent="0.2">
      <c r="A1977">
        <v>25</v>
      </c>
      <c r="E1977" t="str">
        <f t="shared" si="78"/>
        <v>Z</v>
      </c>
      <c r="F1977" t="str">
        <f t="shared" si="77"/>
        <v>25Z</v>
      </c>
    </row>
    <row r="1978" spans="1:6" x14ac:dyDescent="0.2">
      <c r="A1978">
        <v>0</v>
      </c>
      <c r="E1978" t="str">
        <f t="shared" si="78"/>
        <v>A</v>
      </c>
      <c r="F1978" t="str">
        <f t="shared" si="77"/>
        <v>0A</v>
      </c>
    </row>
    <row r="1979" spans="1:6" x14ac:dyDescent="0.2">
      <c r="A1979">
        <v>1</v>
      </c>
      <c r="E1979" t="str">
        <f t="shared" si="78"/>
        <v>B</v>
      </c>
      <c r="F1979" t="str">
        <f t="shared" si="77"/>
        <v>1B</v>
      </c>
    </row>
    <row r="1980" spans="1:6" x14ac:dyDescent="0.2">
      <c r="A1980">
        <v>2</v>
      </c>
      <c r="E1980" t="str">
        <f t="shared" si="78"/>
        <v>C</v>
      </c>
      <c r="F1980" t="str">
        <f t="shared" si="77"/>
        <v>2C</v>
      </c>
    </row>
    <row r="1981" spans="1:6" x14ac:dyDescent="0.2">
      <c r="A1981">
        <v>3</v>
      </c>
      <c r="E1981" t="str">
        <f t="shared" si="78"/>
        <v>D</v>
      </c>
      <c r="F1981" t="str">
        <f t="shared" si="77"/>
        <v>3D</v>
      </c>
    </row>
    <row r="1982" spans="1:6" x14ac:dyDescent="0.2">
      <c r="A1982">
        <v>4</v>
      </c>
      <c r="E1982" t="str">
        <f t="shared" si="78"/>
        <v>E</v>
      </c>
      <c r="F1982" t="str">
        <f t="shared" si="77"/>
        <v>4E</v>
      </c>
    </row>
    <row r="1983" spans="1:6" x14ac:dyDescent="0.2">
      <c r="A1983">
        <v>5</v>
      </c>
      <c r="E1983" t="str">
        <f t="shared" si="78"/>
        <v>F</v>
      </c>
      <c r="F1983" t="str">
        <f t="shared" si="77"/>
        <v>5F</v>
      </c>
    </row>
    <row r="1984" spans="1:6" x14ac:dyDescent="0.2">
      <c r="A1984">
        <v>6</v>
      </c>
      <c r="E1984" t="str">
        <f t="shared" si="78"/>
        <v>G</v>
      </c>
      <c r="F1984" t="str">
        <f t="shared" si="77"/>
        <v>6G</v>
      </c>
    </row>
    <row r="1985" spans="1:6" x14ac:dyDescent="0.2">
      <c r="A1985">
        <v>7</v>
      </c>
      <c r="E1985" t="str">
        <f t="shared" si="78"/>
        <v>H</v>
      </c>
      <c r="F1985" t="str">
        <f t="shared" si="77"/>
        <v>7H</v>
      </c>
    </row>
    <row r="1986" spans="1:6" x14ac:dyDescent="0.2">
      <c r="A1986">
        <v>8</v>
      </c>
      <c r="E1986" t="str">
        <f t="shared" si="78"/>
        <v>I</v>
      </c>
      <c r="F1986" t="str">
        <f t="shared" si="77"/>
        <v>8I</v>
      </c>
    </row>
    <row r="1987" spans="1:6" x14ac:dyDescent="0.2">
      <c r="A1987">
        <v>9</v>
      </c>
      <c r="E1987" t="str">
        <f t="shared" si="78"/>
        <v>J</v>
      </c>
      <c r="F1987" t="str">
        <f t="shared" ref="F1987:F2050" si="79">A1987&amp;C1987&amp;E1987</f>
        <v>9J</v>
      </c>
    </row>
    <row r="1988" spans="1:6" x14ac:dyDescent="0.2">
      <c r="A1988">
        <v>10</v>
      </c>
      <c r="E1988" t="str">
        <f t="shared" si="78"/>
        <v>K</v>
      </c>
      <c r="F1988" t="str">
        <f t="shared" si="79"/>
        <v>10K</v>
      </c>
    </row>
    <row r="1989" spans="1:6" x14ac:dyDescent="0.2">
      <c r="A1989">
        <v>11</v>
      </c>
      <c r="E1989" t="str">
        <f t="shared" si="78"/>
        <v>L</v>
      </c>
      <c r="F1989" t="str">
        <f t="shared" si="79"/>
        <v>11L</v>
      </c>
    </row>
    <row r="1990" spans="1:6" x14ac:dyDescent="0.2">
      <c r="A1990">
        <v>12</v>
      </c>
      <c r="E1990" t="str">
        <f t="shared" si="78"/>
        <v>M</v>
      </c>
      <c r="F1990" t="str">
        <f t="shared" si="79"/>
        <v>12M</v>
      </c>
    </row>
    <row r="1991" spans="1:6" x14ac:dyDescent="0.2">
      <c r="A1991">
        <v>13</v>
      </c>
      <c r="E1991" t="str">
        <f t="shared" si="78"/>
        <v>N</v>
      </c>
      <c r="F1991" t="str">
        <f t="shared" si="79"/>
        <v>13N</v>
      </c>
    </row>
    <row r="1992" spans="1:6" x14ac:dyDescent="0.2">
      <c r="A1992">
        <v>14</v>
      </c>
      <c r="E1992" t="str">
        <f t="shared" si="78"/>
        <v>O</v>
      </c>
      <c r="F1992" t="str">
        <f t="shared" si="79"/>
        <v>14O</v>
      </c>
    </row>
    <row r="1993" spans="1:6" x14ac:dyDescent="0.2">
      <c r="A1993">
        <v>15</v>
      </c>
      <c r="E1993" t="str">
        <f t="shared" si="78"/>
        <v>P</v>
      </c>
      <c r="F1993" t="str">
        <f t="shared" si="79"/>
        <v>15P</v>
      </c>
    </row>
    <row r="1994" spans="1:6" x14ac:dyDescent="0.2">
      <c r="A1994">
        <v>16</v>
      </c>
      <c r="E1994" t="str">
        <f t="shared" si="78"/>
        <v>Q</v>
      </c>
      <c r="F1994" t="str">
        <f t="shared" si="79"/>
        <v>16Q</v>
      </c>
    </row>
    <row r="1995" spans="1:6" x14ac:dyDescent="0.2">
      <c r="A1995">
        <v>17</v>
      </c>
      <c r="E1995" t="str">
        <f t="shared" si="78"/>
        <v>R</v>
      </c>
      <c r="F1995" t="str">
        <f t="shared" si="79"/>
        <v>17R</v>
      </c>
    </row>
    <row r="1996" spans="1:6" x14ac:dyDescent="0.2">
      <c r="A1996">
        <v>18</v>
      </c>
      <c r="E1996" t="str">
        <f t="shared" si="78"/>
        <v>S</v>
      </c>
      <c r="F1996" t="str">
        <f t="shared" si="79"/>
        <v>18S</v>
      </c>
    </row>
    <row r="1997" spans="1:6" x14ac:dyDescent="0.2">
      <c r="A1997">
        <v>19</v>
      </c>
      <c r="E1997" t="str">
        <f t="shared" si="78"/>
        <v>T</v>
      </c>
      <c r="F1997" t="str">
        <f t="shared" si="79"/>
        <v>19T</v>
      </c>
    </row>
    <row r="1998" spans="1:6" x14ac:dyDescent="0.2">
      <c r="A1998">
        <v>20</v>
      </c>
      <c r="E1998" t="str">
        <f t="shared" si="78"/>
        <v>U</v>
      </c>
      <c r="F1998" t="str">
        <f t="shared" si="79"/>
        <v>20U</v>
      </c>
    </row>
    <row r="1999" spans="1:6" x14ac:dyDescent="0.2">
      <c r="A1999">
        <v>21</v>
      </c>
      <c r="E1999" t="str">
        <f t="shared" si="78"/>
        <v>V</v>
      </c>
      <c r="F1999" t="str">
        <f t="shared" si="79"/>
        <v>21V</v>
      </c>
    </row>
    <row r="2000" spans="1:6" x14ac:dyDescent="0.2">
      <c r="A2000">
        <v>22</v>
      </c>
      <c r="E2000" t="str">
        <f t="shared" si="78"/>
        <v>W</v>
      </c>
      <c r="F2000" t="str">
        <f t="shared" si="79"/>
        <v>22W</v>
      </c>
    </row>
    <row r="2001" spans="1:6" x14ac:dyDescent="0.2">
      <c r="A2001">
        <v>23</v>
      </c>
      <c r="E2001" t="str">
        <f t="shared" si="78"/>
        <v>X</v>
      </c>
      <c r="F2001" t="str">
        <f t="shared" si="79"/>
        <v>23X</v>
      </c>
    </row>
    <row r="2002" spans="1:6" x14ac:dyDescent="0.2">
      <c r="A2002">
        <v>24</v>
      </c>
      <c r="E2002" t="str">
        <f t="shared" si="78"/>
        <v>Y</v>
      </c>
      <c r="F2002" t="str">
        <f t="shared" si="79"/>
        <v>24Y</v>
      </c>
    </row>
    <row r="2003" spans="1:6" x14ac:dyDescent="0.2">
      <c r="A2003">
        <v>25</v>
      </c>
      <c r="E2003" t="str">
        <f t="shared" si="78"/>
        <v>Z</v>
      </c>
      <c r="F2003" t="str">
        <f t="shared" si="79"/>
        <v>25Z</v>
      </c>
    </row>
    <row r="2004" spans="1:6" x14ac:dyDescent="0.2">
      <c r="A2004">
        <v>0</v>
      </c>
      <c r="E2004" t="str">
        <f t="shared" si="78"/>
        <v>A</v>
      </c>
      <c r="F2004" t="str">
        <f t="shared" si="79"/>
        <v>0A</v>
      </c>
    </row>
    <row r="2005" spans="1:6" x14ac:dyDescent="0.2">
      <c r="A2005">
        <v>1</v>
      </c>
      <c r="E2005" t="str">
        <f t="shared" si="78"/>
        <v>B</v>
      </c>
      <c r="F2005" t="str">
        <f t="shared" si="79"/>
        <v>1B</v>
      </c>
    </row>
    <row r="2006" spans="1:6" x14ac:dyDescent="0.2">
      <c r="A2006">
        <v>2</v>
      </c>
      <c r="E2006" t="str">
        <f t="shared" si="78"/>
        <v>C</v>
      </c>
      <c r="F2006" t="str">
        <f t="shared" si="79"/>
        <v>2C</v>
      </c>
    </row>
    <row r="2007" spans="1:6" x14ac:dyDescent="0.2">
      <c r="A2007">
        <v>3</v>
      </c>
      <c r="E2007" t="str">
        <f t="shared" si="78"/>
        <v>D</v>
      </c>
      <c r="F2007" t="str">
        <f t="shared" si="79"/>
        <v>3D</v>
      </c>
    </row>
    <row r="2008" spans="1:6" x14ac:dyDescent="0.2">
      <c r="A2008">
        <v>4</v>
      </c>
      <c r="E2008" t="str">
        <f t="shared" si="78"/>
        <v>E</v>
      </c>
      <c r="F2008" t="str">
        <f t="shared" si="79"/>
        <v>4E</v>
      </c>
    </row>
    <row r="2009" spans="1:6" x14ac:dyDescent="0.2">
      <c r="A2009">
        <v>5</v>
      </c>
      <c r="E2009" t="str">
        <f t="shared" si="78"/>
        <v>F</v>
      </c>
      <c r="F2009" t="str">
        <f t="shared" si="79"/>
        <v>5F</v>
      </c>
    </row>
    <row r="2010" spans="1:6" x14ac:dyDescent="0.2">
      <c r="A2010">
        <v>6</v>
      </c>
      <c r="E2010" t="str">
        <f t="shared" si="78"/>
        <v>G</v>
      </c>
      <c r="F2010" t="str">
        <f t="shared" si="79"/>
        <v>6G</v>
      </c>
    </row>
    <row r="2011" spans="1:6" x14ac:dyDescent="0.2">
      <c r="A2011">
        <v>7</v>
      </c>
      <c r="E2011" t="str">
        <f t="shared" si="78"/>
        <v>H</v>
      </c>
      <c r="F2011" t="str">
        <f t="shared" si="79"/>
        <v>7H</v>
      </c>
    </row>
    <row r="2012" spans="1:6" x14ac:dyDescent="0.2">
      <c r="A2012">
        <v>8</v>
      </c>
      <c r="E2012" t="str">
        <f t="shared" si="78"/>
        <v>I</v>
      </c>
      <c r="F2012" t="str">
        <f t="shared" si="79"/>
        <v>8I</v>
      </c>
    </row>
    <row r="2013" spans="1:6" x14ac:dyDescent="0.2">
      <c r="A2013">
        <v>9</v>
      </c>
      <c r="E2013" t="str">
        <f t="shared" ref="E2013:E2076" si="80">E1987</f>
        <v>J</v>
      </c>
      <c r="F2013" t="str">
        <f t="shared" si="79"/>
        <v>9J</v>
      </c>
    </row>
    <row r="2014" spans="1:6" x14ac:dyDescent="0.2">
      <c r="A2014">
        <v>10</v>
      </c>
      <c r="E2014" t="str">
        <f t="shared" si="80"/>
        <v>K</v>
      </c>
      <c r="F2014" t="str">
        <f t="shared" si="79"/>
        <v>10K</v>
      </c>
    </row>
    <row r="2015" spans="1:6" x14ac:dyDescent="0.2">
      <c r="A2015">
        <v>11</v>
      </c>
      <c r="E2015" t="str">
        <f t="shared" si="80"/>
        <v>L</v>
      </c>
      <c r="F2015" t="str">
        <f t="shared" si="79"/>
        <v>11L</v>
      </c>
    </row>
    <row r="2016" spans="1:6" x14ac:dyDescent="0.2">
      <c r="A2016">
        <v>12</v>
      </c>
      <c r="E2016" t="str">
        <f t="shared" si="80"/>
        <v>M</v>
      </c>
      <c r="F2016" t="str">
        <f t="shared" si="79"/>
        <v>12M</v>
      </c>
    </row>
    <row r="2017" spans="1:6" x14ac:dyDescent="0.2">
      <c r="A2017">
        <v>13</v>
      </c>
      <c r="E2017" t="str">
        <f t="shared" si="80"/>
        <v>N</v>
      </c>
      <c r="F2017" t="str">
        <f t="shared" si="79"/>
        <v>13N</v>
      </c>
    </row>
    <row r="2018" spans="1:6" x14ac:dyDescent="0.2">
      <c r="A2018">
        <v>14</v>
      </c>
      <c r="E2018" t="str">
        <f t="shared" si="80"/>
        <v>O</v>
      </c>
      <c r="F2018" t="str">
        <f t="shared" si="79"/>
        <v>14O</v>
      </c>
    </row>
    <row r="2019" spans="1:6" x14ac:dyDescent="0.2">
      <c r="A2019">
        <v>15</v>
      </c>
      <c r="E2019" t="str">
        <f t="shared" si="80"/>
        <v>P</v>
      </c>
      <c r="F2019" t="str">
        <f t="shared" si="79"/>
        <v>15P</v>
      </c>
    </row>
    <row r="2020" spans="1:6" x14ac:dyDescent="0.2">
      <c r="A2020">
        <v>16</v>
      </c>
      <c r="E2020" t="str">
        <f t="shared" si="80"/>
        <v>Q</v>
      </c>
      <c r="F2020" t="str">
        <f t="shared" si="79"/>
        <v>16Q</v>
      </c>
    </row>
    <row r="2021" spans="1:6" x14ac:dyDescent="0.2">
      <c r="A2021">
        <v>17</v>
      </c>
      <c r="E2021" t="str">
        <f t="shared" si="80"/>
        <v>R</v>
      </c>
      <c r="F2021" t="str">
        <f t="shared" si="79"/>
        <v>17R</v>
      </c>
    </row>
    <row r="2022" spans="1:6" x14ac:dyDescent="0.2">
      <c r="A2022">
        <v>18</v>
      </c>
      <c r="E2022" t="str">
        <f t="shared" si="80"/>
        <v>S</v>
      </c>
      <c r="F2022" t="str">
        <f t="shared" si="79"/>
        <v>18S</v>
      </c>
    </row>
    <row r="2023" spans="1:6" x14ac:dyDescent="0.2">
      <c r="A2023">
        <v>19</v>
      </c>
      <c r="E2023" t="str">
        <f t="shared" si="80"/>
        <v>T</v>
      </c>
      <c r="F2023" t="str">
        <f t="shared" si="79"/>
        <v>19T</v>
      </c>
    </row>
    <row r="2024" spans="1:6" x14ac:dyDescent="0.2">
      <c r="A2024">
        <v>20</v>
      </c>
      <c r="E2024" t="str">
        <f t="shared" si="80"/>
        <v>U</v>
      </c>
      <c r="F2024" t="str">
        <f t="shared" si="79"/>
        <v>20U</v>
      </c>
    </row>
    <row r="2025" spans="1:6" x14ac:dyDescent="0.2">
      <c r="A2025">
        <v>21</v>
      </c>
      <c r="E2025" t="str">
        <f t="shared" si="80"/>
        <v>V</v>
      </c>
      <c r="F2025" t="str">
        <f t="shared" si="79"/>
        <v>21V</v>
      </c>
    </row>
    <row r="2026" spans="1:6" x14ac:dyDescent="0.2">
      <c r="A2026">
        <v>22</v>
      </c>
      <c r="E2026" t="str">
        <f t="shared" si="80"/>
        <v>W</v>
      </c>
      <c r="F2026" t="str">
        <f t="shared" si="79"/>
        <v>22W</v>
      </c>
    </row>
    <row r="2027" spans="1:6" x14ac:dyDescent="0.2">
      <c r="A2027">
        <v>23</v>
      </c>
      <c r="E2027" t="str">
        <f t="shared" si="80"/>
        <v>X</v>
      </c>
      <c r="F2027" t="str">
        <f t="shared" si="79"/>
        <v>23X</v>
      </c>
    </row>
    <row r="2028" spans="1:6" x14ac:dyDescent="0.2">
      <c r="A2028">
        <v>24</v>
      </c>
      <c r="E2028" t="str">
        <f t="shared" si="80"/>
        <v>Y</v>
      </c>
      <c r="F2028" t="str">
        <f t="shared" si="79"/>
        <v>24Y</v>
      </c>
    </row>
    <row r="2029" spans="1:6" x14ac:dyDescent="0.2">
      <c r="A2029">
        <v>25</v>
      </c>
      <c r="E2029" t="str">
        <f t="shared" si="80"/>
        <v>Z</v>
      </c>
      <c r="F2029" t="str">
        <f t="shared" si="79"/>
        <v>25Z</v>
      </c>
    </row>
    <row r="2030" spans="1:6" x14ac:dyDescent="0.2">
      <c r="A2030">
        <v>0</v>
      </c>
      <c r="E2030" t="str">
        <f t="shared" si="80"/>
        <v>A</v>
      </c>
      <c r="F2030" t="str">
        <f t="shared" si="79"/>
        <v>0A</v>
      </c>
    </row>
    <row r="2031" spans="1:6" x14ac:dyDescent="0.2">
      <c r="A2031">
        <v>1</v>
      </c>
      <c r="E2031" t="str">
        <f t="shared" si="80"/>
        <v>B</v>
      </c>
      <c r="F2031" t="str">
        <f t="shared" si="79"/>
        <v>1B</v>
      </c>
    </row>
    <row r="2032" spans="1:6" x14ac:dyDescent="0.2">
      <c r="A2032">
        <v>2</v>
      </c>
      <c r="E2032" t="str">
        <f t="shared" si="80"/>
        <v>C</v>
      </c>
      <c r="F2032" t="str">
        <f t="shared" si="79"/>
        <v>2C</v>
      </c>
    </row>
    <row r="2033" spans="1:6" x14ac:dyDescent="0.2">
      <c r="A2033">
        <v>3</v>
      </c>
      <c r="E2033" t="str">
        <f t="shared" si="80"/>
        <v>D</v>
      </c>
      <c r="F2033" t="str">
        <f t="shared" si="79"/>
        <v>3D</v>
      </c>
    </row>
    <row r="2034" spans="1:6" x14ac:dyDescent="0.2">
      <c r="A2034">
        <v>4</v>
      </c>
      <c r="E2034" t="str">
        <f t="shared" si="80"/>
        <v>E</v>
      </c>
      <c r="F2034" t="str">
        <f t="shared" si="79"/>
        <v>4E</v>
      </c>
    </row>
    <row r="2035" spans="1:6" x14ac:dyDescent="0.2">
      <c r="A2035">
        <v>5</v>
      </c>
      <c r="E2035" t="str">
        <f t="shared" si="80"/>
        <v>F</v>
      </c>
      <c r="F2035" t="str">
        <f t="shared" si="79"/>
        <v>5F</v>
      </c>
    </row>
    <row r="2036" spans="1:6" x14ac:dyDescent="0.2">
      <c r="A2036">
        <v>6</v>
      </c>
      <c r="E2036" t="str">
        <f t="shared" si="80"/>
        <v>G</v>
      </c>
      <c r="F2036" t="str">
        <f t="shared" si="79"/>
        <v>6G</v>
      </c>
    </row>
    <row r="2037" spans="1:6" x14ac:dyDescent="0.2">
      <c r="A2037">
        <v>7</v>
      </c>
      <c r="E2037" t="str">
        <f t="shared" si="80"/>
        <v>H</v>
      </c>
      <c r="F2037" t="str">
        <f t="shared" si="79"/>
        <v>7H</v>
      </c>
    </row>
    <row r="2038" spans="1:6" x14ac:dyDescent="0.2">
      <c r="A2038">
        <v>8</v>
      </c>
      <c r="E2038" t="str">
        <f t="shared" si="80"/>
        <v>I</v>
      </c>
      <c r="F2038" t="str">
        <f t="shared" si="79"/>
        <v>8I</v>
      </c>
    </row>
    <row r="2039" spans="1:6" x14ac:dyDescent="0.2">
      <c r="A2039">
        <v>9</v>
      </c>
      <c r="E2039" t="str">
        <f t="shared" si="80"/>
        <v>J</v>
      </c>
      <c r="F2039" t="str">
        <f t="shared" si="79"/>
        <v>9J</v>
      </c>
    </row>
    <row r="2040" spans="1:6" x14ac:dyDescent="0.2">
      <c r="A2040">
        <v>10</v>
      </c>
      <c r="E2040" t="str">
        <f t="shared" si="80"/>
        <v>K</v>
      </c>
      <c r="F2040" t="str">
        <f t="shared" si="79"/>
        <v>10K</v>
      </c>
    </row>
    <row r="2041" spans="1:6" x14ac:dyDescent="0.2">
      <c r="A2041">
        <v>11</v>
      </c>
      <c r="E2041" t="str">
        <f t="shared" si="80"/>
        <v>L</v>
      </c>
      <c r="F2041" t="str">
        <f t="shared" si="79"/>
        <v>11L</v>
      </c>
    </row>
    <row r="2042" spans="1:6" x14ac:dyDescent="0.2">
      <c r="A2042">
        <v>12</v>
      </c>
      <c r="E2042" t="str">
        <f t="shared" si="80"/>
        <v>M</v>
      </c>
      <c r="F2042" t="str">
        <f t="shared" si="79"/>
        <v>12M</v>
      </c>
    </row>
    <row r="2043" spans="1:6" x14ac:dyDescent="0.2">
      <c r="A2043">
        <v>13</v>
      </c>
      <c r="E2043" t="str">
        <f t="shared" si="80"/>
        <v>N</v>
      </c>
      <c r="F2043" t="str">
        <f t="shared" si="79"/>
        <v>13N</v>
      </c>
    </row>
    <row r="2044" spans="1:6" x14ac:dyDescent="0.2">
      <c r="A2044">
        <v>14</v>
      </c>
      <c r="E2044" t="str">
        <f t="shared" si="80"/>
        <v>O</v>
      </c>
      <c r="F2044" t="str">
        <f t="shared" si="79"/>
        <v>14O</v>
      </c>
    </row>
    <row r="2045" spans="1:6" x14ac:dyDescent="0.2">
      <c r="A2045">
        <v>15</v>
      </c>
      <c r="E2045" t="str">
        <f t="shared" si="80"/>
        <v>P</v>
      </c>
      <c r="F2045" t="str">
        <f t="shared" si="79"/>
        <v>15P</v>
      </c>
    </row>
    <row r="2046" spans="1:6" x14ac:dyDescent="0.2">
      <c r="A2046">
        <v>16</v>
      </c>
      <c r="E2046" t="str">
        <f t="shared" si="80"/>
        <v>Q</v>
      </c>
      <c r="F2046" t="str">
        <f t="shared" si="79"/>
        <v>16Q</v>
      </c>
    </row>
    <row r="2047" spans="1:6" x14ac:dyDescent="0.2">
      <c r="A2047">
        <v>17</v>
      </c>
      <c r="E2047" t="str">
        <f t="shared" si="80"/>
        <v>R</v>
      </c>
      <c r="F2047" t="str">
        <f t="shared" si="79"/>
        <v>17R</v>
      </c>
    </row>
    <row r="2048" spans="1:6" x14ac:dyDescent="0.2">
      <c r="A2048">
        <v>18</v>
      </c>
      <c r="E2048" t="str">
        <f t="shared" si="80"/>
        <v>S</v>
      </c>
      <c r="F2048" t="str">
        <f t="shared" si="79"/>
        <v>18S</v>
      </c>
    </row>
    <row r="2049" spans="1:6" x14ac:dyDescent="0.2">
      <c r="A2049">
        <v>19</v>
      </c>
      <c r="E2049" t="str">
        <f t="shared" si="80"/>
        <v>T</v>
      </c>
      <c r="F2049" t="str">
        <f t="shared" si="79"/>
        <v>19T</v>
      </c>
    </row>
    <row r="2050" spans="1:6" x14ac:dyDescent="0.2">
      <c r="A2050">
        <v>20</v>
      </c>
      <c r="E2050" t="str">
        <f t="shared" si="80"/>
        <v>U</v>
      </c>
      <c r="F2050" t="str">
        <f t="shared" si="79"/>
        <v>20U</v>
      </c>
    </row>
    <row r="2051" spans="1:6" x14ac:dyDescent="0.2">
      <c r="A2051">
        <v>21</v>
      </c>
      <c r="E2051" t="str">
        <f t="shared" si="80"/>
        <v>V</v>
      </c>
      <c r="F2051" t="str">
        <f t="shared" ref="F2051:F2114" si="81">A2051&amp;C2051&amp;E2051</f>
        <v>21V</v>
      </c>
    </row>
    <row r="2052" spans="1:6" x14ac:dyDescent="0.2">
      <c r="A2052">
        <v>22</v>
      </c>
      <c r="E2052" t="str">
        <f t="shared" si="80"/>
        <v>W</v>
      </c>
      <c r="F2052" t="str">
        <f t="shared" si="81"/>
        <v>22W</v>
      </c>
    </row>
    <row r="2053" spans="1:6" x14ac:dyDescent="0.2">
      <c r="A2053">
        <v>23</v>
      </c>
      <c r="E2053" t="str">
        <f t="shared" si="80"/>
        <v>X</v>
      </c>
      <c r="F2053" t="str">
        <f t="shared" si="81"/>
        <v>23X</v>
      </c>
    </row>
    <row r="2054" spans="1:6" x14ac:dyDescent="0.2">
      <c r="A2054">
        <v>24</v>
      </c>
      <c r="E2054" t="str">
        <f t="shared" si="80"/>
        <v>Y</v>
      </c>
      <c r="F2054" t="str">
        <f t="shared" si="81"/>
        <v>24Y</v>
      </c>
    </row>
    <row r="2055" spans="1:6" x14ac:dyDescent="0.2">
      <c r="A2055">
        <v>25</v>
      </c>
      <c r="E2055" t="str">
        <f t="shared" si="80"/>
        <v>Z</v>
      </c>
      <c r="F2055" t="str">
        <f t="shared" si="81"/>
        <v>25Z</v>
      </c>
    </row>
    <row r="2056" spans="1:6" x14ac:dyDescent="0.2">
      <c r="A2056">
        <v>0</v>
      </c>
      <c r="E2056" t="str">
        <f t="shared" si="80"/>
        <v>A</v>
      </c>
      <c r="F2056" t="str">
        <f t="shared" si="81"/>
        <v>0A</v>
      </c>
    </row>
    <row r="2057" spans="1:6" x14ac:dyDescent="0.2">
      <c r="A2057">
        <v>1</v>
      </c>
      <c r="E2057" t="str">
        <f t="shared" si="80"/>
        <v>B</v>
      </c>
      <c r="F2057" t="str">
        <f t="shared" si="81"/>
        <v>1B</v>
      </c>
    </row>
    <row r="2058" spans="1:6" x14ac:dyDescent="0.2">
      <c r="A2058">
        <v>2</v>
      </c>
      <c r="E2058" t="str">
        <f t="shared" si="80"/>
        <v>C</v>
      </c>
      <c r="F2058" t="str">
        <f t="shared" si="81"/>
        <v>2C</v>
      </c>
    </row>
    <row r="2059" spans="1:6" x14ac:dyDescent="0.2">
      <c r="A2059">
        <v>3</v>
      </c>
      <c r="E2059" t="str">
        <f t="shared" si="80"/>
        <v>D</v>
      </c>
      <c r="F2059" t="str">
        <f t="shared" si="81"/>
        <v>3D</v>
      </c>
    </row>
    <row r="2060" spans="1:6" x14ac:dyDescent="0.2">
      <c r="A2060">
        <v>4</v>
      </c>
      <c r="E2060" t="str">
        <f t="shared" si="80"/>
        <v>E</v>
      </c>
      <c r="F2060" t="str">
        <f t="shared" si="81"/>
        <v>4E</v>
      </c>
    </row>
    <row r="2061" spans="1:6" x14ac:dyDescent="0.2">
      <c r="A2061">
        <v>5</v>
      </c>
      <c r="E2061" t="str">
        <f t="shared" si="80"/>
        <v>F</v>
      </c>
      <c r="F2061" t="str">
        <f t="shared" si="81"/>
        <v>5F</v>
      </c>
    </row>
    <row r="2062" spans="1:6" x14ac:dyDescent="0.2">
      <c r="A2062">
        <v>6</v>
      </c>
      <c r="E2062" t="str">
        <f t="shared" si="80"/>
        <v>G</v>
      </c>
      <c r="F2062" t="str">
        <f t="shared" si="81"/>
        <v>6G</v>
      </c>
    </row>
    <row r="2063" spans="1:6" x14ac:dyDescent="0.2">
      <c r="A2063">
        <v>7</v>
      </c>
      <c r="E2063" t="str">
        <f t="shared" si="80"/>
        <v>H</v>
      </c>
      <c r="F2063" t="str">
        <f t="shared" si="81"/>
        <v>7H</v>
      </c>
    </row>
    <row r="2064" spans="1:6" x14ac:dyDescent="0.2">
      <c r="A2064">
        <v>8</v>
      </c>
      <c r="E2064" t="str">
        <f t="shared" si="80"/>
        <v>I</v>
      </c>
      <c r="F2064" t="str">
        <f t="shared" si="81"/>
        <v>8I</v>
      </c>
    </row>
    <row r="2065" spans="1:6" x14ac:dyDescent="0.2">
      <c r="A2065">
        <v>9</v>
      </c>
      <c r="E2065" t="str">
        <f t="shared" si="80"/>
        <v>J</v>
      </c>
      <c r="F2065" t="str">
        <f t="shared" si="81"/>
        <v>9J</v>
      </c>
    </row>
    <row r="2066" spans="1:6" x14ac:dyDescent="0.2">
      <c r="A2066">
        <v>10</v>
      </c>
      <c r="E2066" t="str">
        <f t="shared" si="80"/>
        <v>K</v>
      </c>
      <c r="F2066" t="str">
        <f t="shared" si="81"/>
        <v>10K</v>
      </c>
    </row>
    <row r="2067" spans="1:6" x14ac:dyDescent="0.2">
      <c r="A2067">
        <v>11</v>
      </c>
      <c r="E2067" t="str">
        <f t="shared" si="80"/>
        <v>L</v>
      </c>
      <c r="F2067" t="str">
        <f t="shared" si="81"/>
        <v>11L</v>
      </c>
    </row>
    <row r="2068" spans="1:6" x14ac:dyDescent="0.2">
      <c r="A2068">
        <v>12</v>
      </c>
      <c r="E2068" t="str">
        <f t="shared" si="80"/>
        <v>M</v>
      </c>
      <c r="F2068" t="str">
        <f t="shared" si="81"/>
        <v>12M</v>
      </c>
    </row>
    <row r="2069" spans="1:6" x14ac:dyDescent="0.2">
      <c r="A2069">
        <v>13</v>
      </c>
      <c r="E2069" t="str">
        <f t="shared" si="80"/>
        <v>N</v>
      </c>
      <c r="F2069" t="str">
        <f t="shared" si="81"/>
        <v>13N</v>
      </c>
    </row>
    <row r="2070" spans="1:6" x14ac:dyDescent="0.2">
      <c r="A2070">
        <v>14</v>
      </c>
      <c r="E2070" t="str">
        <f t="shared" si="80"/>
        <v>O</v>
      </c>
      <c r="F2070" t="str">
        <f t="shared" si="81"/>
        <v>14O</v>
      </c>
    </row>
    <row r="2071" spans="1:6" x14ac:dyDescent="0.2">
      <c r="A2071">
        <v>15</v>
      </c>
      <c r="E2071" t="str">
        <f t="shared" si="80"/>
        <v>P</v>
      </c>
      <c r="F2071" t="str">
        <f t="shared" si="81"/>
        <v>15P</v>
      </c>
    </row>
    <row r="2072" spans="1:6" x14ac:dyDescent="0.2">
      <c r="A2072">
        <v>16</v>
      </c>
      <c r="E2072" t="str">
        <f t="shared" si="80"/>
        <v>Q</v>
      </c>
      <c r="F2072" t="str">
        <f t="shared" si="81"/>
        <v>16Q</v>
      </c>
    </row>
    <row r="2073" spans="1:6" x14ac:dyDescent="0.2">
      <c r="A2073">
        <v>17</v>
      </c>
      <c r="E2073" t="str">
        <f t="shared" si="80"/>
        <v>R</v>
      </c>
      <c r="F2073" t="str">
        <f t="shared" si="81"/>
        <v>17R</v>
      </c>
    </row>
    <row r="2074" spans="1:6" x14ac:dyDescent="0.2">
      <c r="A2074">
        <v>18</v>
      </c>
      <c r="E2074" t="str">
        <f t="shared" si="80"/>
        <v>S</v>
      </c>
      <c r="F2074" t="str">
        <f t="shared" si="81"/>
        <v>18S</v>
      </c>
    </row>
    <row r="2075" spans="1:6" x14ac:dyDescent="0.2">
      <c r="A2075">
        <v>19</v>
      </c>
      <c r="E2075" t="str">
        <f t="shared" si="80"/>
        <v>T</v>
      </c>
      <c r="F2075" t="str">
        <f t="shared" si="81"/>
        <v>19T</v>
      </c>
    </row>
    <row r="2076" spans="1:6" x14ac:dyDescent="0.2">
      <c r="A2076">
        <v>20</v>
      </c>
      <c r="E2076" t="str">
        <f t="shared" si="80"/>
        <v>U</v>
      </c>
      <c r="F2076" t="str">
        <f t="shared" si="81"/>
        <v>20U</v>
      </c>
    </row>
    <row r="2077" spans="1:6" x14ac:dyDescent="0.2">
      <c r="A2077">
        <v>21</v>
      </c>
      <c r="E2077" t="str">
        <f t="shared" ref="E2077:E2140" si="82">E2051</f>
        <v>V</v>
      </c>
      <c r="F2077" t="str">
        <f t="shared" si="81"/>
        <v>21V</v>
      </c>
    </row>
    <row r="2078" spans="1:6" x14ac:dyDescent="0.2">
      <c r="A2078">
        <v>22</v>
      </c>
      <c r="E2078" t="str">
        <f t="shared" si="82"/>
        <v>W</v>
      </c>
      <c r="F2078" t="str">
        <f t="shared" si="81"/>
        <v>22W</v>
      </c>
    </row>
    <row r="2079" spans="1:6" x14ac:dyDescent="0.2">
      <c r="A2079">
        <v>23</v>
      </c>
      <c r="E2079" t="str">
        <f t="shared" si="82"/>
        <v>X</v>
      </c>
      <c r="F2079" t="str">
        <f t="shared" si="81"/>
        <v>23X</v>
      </c>
    </row>
    <row r="2080" spans="1:6" x14ac:dyDescent="0.2">
      <c r="A2080">
        <v>24</v>
      </c>
      <c r="E2080" t="str">
        <f t="shared" si="82"/>
        <v>Y</v>
      </c>
      <c r="F2080" t="str">
        <f t="shared" si="81"/>
        <v>24Y</v>
      </c>
    </row>
    <row r="2081" spans="1:6" x14ac:dyDescent="0.2">
      <c r="A2081">
        <v>25</v>
      </c>
      <c r="E2081" t="str">
        <f t="shared" si="82"/>
        <v>Z</v>
      </c>
      <c r="F2081" t="str">
        <f t="shared" si="81"/>
        <v>25Z</v>
      </c>
    </row>
    <row r="2082" spans="1:6" x14ac:dyDescent="0.2">
      <c r="A2082">
        <v>0</v>
      </c>
      <c r="E2082" t="str">
        <f t="shared" si="82"/>
        <v>A</v>
      </c>
      <c r="F2082" t="str">
        <f t="shared" si="81"/>
        <v>0A</v>
      </c>
    </row>
    <row r="2083" spans="1:6" x14ac:dyDescent="0.2">
      <c r="A2083">
        <v>1</v>
      </c>
      <c r="E2083" t="str">
        <f t="shared" si="82"/>
        <v>B</v>
      </c>
      <c r="F2083" t="str">
        <f t="shared" si="81"/>
        <v>1B</v>
      </c>
    </row>
    <row r="2084" spans="1:6" x14ac:dyDescent="0.2">
      <c r="A2084">
        <v>2</v>
      </c>
      <c r="E2084" t="str">
        <f t="shared" si="82"/>
        <v>C</v>
      </c>
      <c r="F2084" t="str">
        <f t="shared" si="81"/>
        <v>2C</v>
      </c>
    </row>
    <row r="2085" spans="1:6" x14ac:dyDescent="0.2">
      <c r="A2085">
        <v>3</v>
      </c>
      <c r="E2085" t="str">
        <f t="shared" si="82"/>
        <v>D</v>
      </c>
      <c r="F2085" t="str">
        <f t="shared" si="81"/>
        <v>3D</v>
      </c>
    </row>
    <row r="2086" spans="1:6" x14ac:dyDescent="0.2">
      <c r="A2086">
        <v>4</v>
      </c>
      <c r="E2086" t="str">
        <f t="shared" si="82"/>
        <v>E</v>
      </c>
      <c r="F2086" t="str">
        <f t="shared" si="81"/>
        <v>4E</v>
      </c>
    </row>
    <row r="2087" spans="1:6" x14ac:dyDescent="0.2">
      <c r="A2087">
        <v>5</v>
      </c>
      <c r="E2087" t="str">
        <f t="shared" si="82"/>
        <v>F</v>
      </c>
      <c r="F2087" t="str">
        <f t="shared" si="81"/>
        <v>5F</v>
      </c>
    </row>
    <row r="2088" spans="1:6" x14ac:dyDescent="0.2">
      <c r="A2088">
        <v>6</v>
      </c>
      <c r="E2088" t="str">
        <f t="shared" si="82"/>
        <v>G</v>
      </c>
      <c r="F2088" t="str">
        <f t="shared" si="81"/>
        <v>6G</v>
      </c>
    </row>
    <row r="2089" spans="1:6" x14ac:dyDescent="0.2">
      <c r="A2089">
        <v>7</v>
      </c>
      <c r="E2089" t="str">
        <f t="shared" si="82"/>
        <v>H</v>
      </c>
      <c r="F2089" t="str">
        <f t="shared" si="81"/>
        <v>7H</v>
      </c>
    </row>
    <row r="2090" spans="1:6" x14ac:dyDescent="0.2">
      <c r="A2090">
        <v>8</v>
      </c>
      <c r="E2090" t="str">
        <f t="shared" si="82"/>
        <v>I</v>
      </c>
      <c r="F2090" t="str">
        <f t="shared" si="81"/>
        <v>8I</v>
      </c>
    </row>
    <row r="2091" spans="1:6" x14ac:dyDescent="0.2">
      <c r="A2091">
        <v>9</v>
      </c>
      <c r="E2091" t="str">
        <f t="shared" si="82"/>
        <v>J</v>
      </c>
      <c r="F2091" t="str">
        <f t="shared" si="81"/>
        <v>9J</v>
      </c>
    </row>
    <row r="2092" spans="1:6" x14ac:dyDescent="0.2">
      <c r="A2092">
        <v>10</v>
      </c>
      <c r="E2092" t="str">
        <f t="shared" si="82"/>
        <v>K</v>
      </c>
      <c r="F2092" t="str">
        <f t="shared" si="81"/>
        <v>10K</v>
      </c>
    </row>
    <row r="2093" spans="1:6" x14ac:dyDescent="0.2">
      <c r="A2093">
        <v>11</v>
      </c>
      <c r="E2093" t="str">
        <f t="shared" si="82"/>
        <v>L</v>
      </c>
      <c r="F2093" t="str">
        <f t="shared" si="81"/>
        <v>11L</v>
      </c>
    </row>
    <row r="2094" spans="1:6" x14ac:dyDescent="0.2">
      <c r="A2094">
        <v>12</v>
      </c>
      <c r="E2094" t="str">
        <f t="shared" si="82"/>
        <v>M</v>
      </c>
      <c r="F2094" t="str">
        <f t="shared" si="81"/>
        <v>12M</v>
      </c>
    </row>
    <row r="2095" spans="1:6" x14ac:dyDescent="0.2">
      <c r="A2095">
        <v>13</v>
      </c>
      <c r="E2095" t="str">
        <f t="shared" si="82"/>
        <v>N</v>
      </c>
      <c r="F2095" t="str">
        <f t="shared" si="81"/>
        <v>13N</v>
      </c>
    </row>
    <row r="2096" spans="1:6" x14ac:dyDescent="0.2">
      <c r="A2096">
        <v>14</v>
      </c>
      <c r="E2096" t="str">
        <f t="shared" si="82"/>
        <v>O</v>
      </c>
      <c r="F2096" t="str">
        <f t="shared" si="81"/>
        <v>14O</v>
      </c>
    </row>
    <row r="2097" spans="1:6" x14ac:dyDescent="0.2">
      <c r="A2097">
        <v>15</v>
      </c>
      <c r="E2097" t="str">
        <f t="shared" si="82"/>
        <v>P</v>
      </c>
      <c r="F2097" t="str">
        <f t="shared" si="81"/>
        <v>15P</v>
      </c>
    </row>
    <row r="2098" spans="1:6" x14ac:dyDescent="0.2">
      <c r="A2098">
        <v>16</v>
      </c>
      <c r="E2098" t="str">
        <f t="shared" si="82"/>
        <v>Q</v>
      </c>
      <c r="F2098" t="str">
        <f t="shared" si="81"/>
        <v>16Q</v>
      </c>
    </row>
    <row r="2099" spans="1:6" x14ac:dyDescent="0.2">
      <c r="A2099">
        <v>17</v>
      </c>
      <c r="E2099" t="str">
        <f t="shared" si="82"/>
        <v>R</v>
      </c>
      <c r="F2099" t="str">
        <f t="shared" si="81"/>
        <v>17R</v>
      </c>
    </row>
    <row r="2100" spans="1:6" x14ac:dyDescent="0.2">
      <c r="A2100">
        <v>18</v>
      </c>
      <c r="E2100" t="str">
        <f t="shared" si="82"/>
        <v>S</v>
      </c>
      <c r="F2100" t="str">
        <f t="shared" si="81"/>
        <v>18S</v>
      </c>
    </row>
    <row r="2101" spans="1:6" x14ac:dyDescent="0.2">
      <c r="A2101">
        <v>19</v>
      </c>
      <c r="E2101" t="str">
        <f t="shared" si="82"/>
        <v>T</v>
      </c>
      <c r="F2101" t="str">
        <f t="shared" si="81"/>
        <v>19T</v>
      </c>
    </row>
    <row r="2102" spans="1:6" x14ac:dyDescent="0.2">
      <c r="A2102">
        <v>20</v>
      </c>
      <c r="E2102" t="str">
        <f t="shared" si="82"/>
        <v>U</v>
      </c>
      <c r="F2102" t="str">
        <f t="shared" si="81"/>
        <v>20U</v>
      </c>
    </row>
    <row r="2103" spans="1:6" x14ac:dyDescent="0.2">
      <c r="A2103">
        <v>21</v>
      </c>
      <c r="E2103" t="str">
        <f t="shared" si="82"/>
        <v>V</v>
      </c>
      <c r="F2103" t="str">
        <f t="shared" si="81"/>
        <v>21V</v>
      </c>
    </row>
    <row r="2104" spans="1:6" x14ac:dyDescent="0.2">
      <c r="A2104">
        <v>22</v>
      </c>
      <c r="E2104" t="str">
        <f t="shared" si="82"/>
        <v>W</v>
      </c>
      <c r="F2104" t="str">
        <f t="shared" si="81"/>
        <v>22W</v>
      </c>
    </row>
    <row r="2105" spans="1:6" x14ac:dyDescent="0.2">
      <c r="A2105">
        <v>23</v>
      </c>
      <c r="E2105" t="str">
        <f t="shared" si="82"/>
        <v>X</v>
      </c>
      <c r="F2105" t="str">
        <f t="shared" si="81"/>
        <v>23X</v>
      </c>
    </row>
    <row r="2106" spans="1:6" x14ac:dyDescent="0.2">
      <c r="A2106">
        <v>24</v>
      </c>
      <c r="E2106" t="str">
        <f t="shared" si="82"/>
        <v>Y</v>
      </c>
      <c r="F2106" t="str">
        <f t="shared" si="81"/>
        <v>24Y</v>
      </c>
    </row>
    <row r="2107" spans="1:6" x14ac:dyDescent="0.2">
      <c r="A2107">
        <v>25</v>
      </c>
      <c r="E2107" t="str">
        <f t="shared" si="82"/>
        <v>Z</v>
      </c>
      <c r="F2107" t="str">
        <f t="shared" si="81"/>
        <v>25Z</v>
      </c>
    </row>
    <row r="2108" spans="1:6" x14ac:dyDescent="0.2">
      <c r="A2108">
        <v>0</v>
      </c>
      <c r="E2108" t="str">
        <f t="shared" si="82"/>
        <v>A</v>
      </c>
      <c r="F2108" t="str">
        <f t="shared" si="81"/>
        <v>0A</v>
      </c>
    </row>
    <row r="2109" spans="1:6" x14ac:dyDescent="0.2">
      <c r="A2109">
        <v>1</v>
      </c>
      <c r="E2109" t="str">
        <f t="shared" si="82"/>
        <v>B</v>
      </c>
      <c r="F2109" t="str">
        <f t="shared" si="81"/>
        <v>1B</v>
      </c>
    </row>
    <row r="2110" spans="1:6" x14ac:dyDescent="0.2">
      <c r="A2110">
        <v>2</v>
      </c>
      <c r="E2110" t="str">
        <f t="shared" si="82"/>
        <v>C</v>
      </c>
      <c r="F2110" t="str">
        <f t="shared" si="81"/>
        <v>2C</v>
      </c>
    </row>
    <row r="2111" spans="1:6" x14ac:dyDescent="0.2">
      <c r="A2111">
        <v>3</v>
      </c>
      <c r="E2111" t="str">
        <f t="shared" si="82"/>
        <v>D</v>
      </c>
      <c r="F2111" t="str">
        <f t="shared" si="81"/>
        <v>3D</v>
      </c>
    </row>
    <row r="2112" spans="1:6" x14ac:dyDescent="0.2">
      <c r="A2112">
        <v>4</v>
      </c>
      <c r="E2112" t="str">
        <f t="shared" si="82"/>
        <v>E</v>
      </c>
      <c r="F2112" t="str">
        <f t="shared" si="81"/>
        <v>4E</v>
      </c>
    </row>
    <row r="2113" spans="1:6" x14ac:dyDescent="0.2">
      <c r="A2113">
        <v>5</v>
      </c>
      <c r="E2113" t="str">
        <f t="shared" si="82"/>
        <v>F</v>
      </c>
      <c r="F2113" t="str">
        <f t="shared" si="81"/>
        <v>5F</v>
      </c>
    </row>
    <row r="2114" spans="1:6" x14ac:dyDescent="0.2">
      <c r="A2114">
        <v>6</v>
      </c>
      <c r="E2114" t="str">
        <f t="shared" si="82"/>
        <v>G</v>
      </c>
      <c r="F2114" t="str">
        <f t="shared" si="81"/>
        <v>6G</v>
      </c>
    </row>
    <row r="2115" spans="1:6" x14ac:dyDescent="0.2">
      <c r="A2115">
        <v>7</v>
      </c>
      <c r="E2115" t="str">
        <f t="shared" si="82"/>
        <v>H</v>
      </c>
      <c r="F2115" t="str">
        <f t="shared" ref="F2115:F2178" si="83">A2115&amp;C2115&amp;E2115</f>
        <v>7H</v>
      </c>
    </row>
    <row r="2116" spans="1:6" x14ac:dyDescent="0.2">
      <c r="A2116">
        <v>8</v>
      </c>
      <c r="E2116" t="str">
        <f t="shared" si="82"/>
        <v>I</v>
      </c>
      <c r="F2116" t="str">
        <f t="shared" si="83"/>
        <v>8I</v>
      </c>
    </row>
    <row r="2117" spans="1:6" x14ac:dyDescent="0.2">
      <c r="A2117">
        <v>9</v>
      </c>
      <c r="E2117" t="str">
        <f t="shared" si="82"/>
        <v>J</v>
      </c>
      <c r="F2117" t="str">
        <f t="shared" si="83"/>
        <v>9J</v>
      </c>
    </row>
    <row r="2118" spans="1:6" x14ac:dyDescent="0.2">
      <c r="A2118">
        <v>10</v>
      </c>
      <c r="E2118" t="str">
        <f t="shared" si="82"/>
        <v>K</v>
      </c>
      <c r="F2118" t="str">
        <f t="shared" si="83"/>
        <v>10K</v>
      </c>
    </row>
    <row r="2119" spans="1:6" x14ac:dyDescent="0.2">
      <c r="A2119">
        <v>11</v>
      </c>
      <c r="E2119" t="str">
        <f t="shared" si="82"/>
        <v>L</v>
      </c>
      <c r="F2119" t="str">
        <f t="shared" si="83"/>
        <v>11L</v>
      </c>
    </row>
    <row r="2120" spans="1:6" x14ac:dyDescent="0.2">
      <c r="A2120">
        <v>12</v>
      </c>
      <c r="E2120" t="str">
        <f t="shared" si="82"/>
        <v>M</v>
      </c>
      <c r="F2120" t="str">
        <f t="shared" si="83"/>
        <v>12M</v>
      </c>
    </row>
    <row r="2121" spans="1:6" x14ac:dyDescent="0.2">
      <c r="A2121">
        <v>13</v>
      </c>
      <c r="E2121" t="str">
        <f t="shared" si="82"/>
        <v>N</v>
      </c>
      <c r="F2121" t="str">
        <f t="shared" si="83"/>
        <v>13N</v>
      </c>
    </row>
    <row r="2122" spans="1:6" x14ac:dyDescent="0.2">
      <c r="A2122">
        <v>14</v>
      </c>
      <c r="E2122" t="str">
        <f t="shared" si="82"/>
        <v>O</v>
      </c>
      <c r="F2122" t="str">
        <f t="shared" si="83"/>
        <v>14O</v>
      </c>
    </row>
    <row r="2123" spans="1:6" x14ac:dyDescent="0.2">
      <c r="A2123">
        <v>15</v>
      </c>
      <c r="E2123" t="str">
        <f t="shared" si="82"/>
        <v>P</v>
      </c>
      <c r="F2123" t="str">
        <f t="shared" si="83"/>
        <v>15P</v>
      </c>
    </row>
    <row r="2124" spans="1:6" x14ac:dyDescent="0.2">
      <c r="A2124">
        <v>16</v>
      </c>
      <c r="E2124" t="str">
        <f t="shared" si="82"/>
        <v>Q</v>
      </c>
      <c r="F2124" t="str">
        <f t="shared" si="83"/>
        <v>16Q</v>
      </c>
    </row>
    <row r="2125" spans="1:6" x14ac:dyDescent="0.2">
      <c r="A2125">
        <v>17</v>
      </c>
      <c r="E2125" t="str">
        <f t="shared" si="82"/>
        <v>R</v>
      </c>
      <c r="F2125" t="str">
        <f t="shared" si="83"/>
        <v>17R</v>
      </c>
    </row>
    <row r="2126" spans="1:6" x14ac:dyDescent="0.2">
      <c r="A2126">
        <v>18</v>
      </c>
      <c r="E2126" t="str">
        <f t="shared" si="82"/>
        <v>S</v>
      </c>
      <c r="F2126" t="str">
        <f t="shared" si="83"/>
        <v>18S</v>
      </c>
    </row>
    <row r="2127" spans="1:6" x14ac:dyDescent="0.2">
      <c r="A2127">
        <v>19</v>
      </c>
      <c r="E2127" t="str">
        <f t="shared" si="82"/>
        <v>T</v>
      </c>
      <c r="F2127" t="str">
        <f t="shared" si="83"/>
        <v>19T</v>
      </c>
    </row>
    <row r="2128" spans="1:6" x14ac:dyDescent="0.2">
      <c r="A2128">
        <v>20</v>
      </c>
      <c r="E2128" t="str">
        <f t="shared" si="82"/>
        <v>U</v>
      </c>
      <c r="F2128" t="str">
        <f t="shared" si="83"/>
        <v>20U</v>
      </c>
    </row>
    <row r="2129" spans="1:6" x14ac:dyDescent="0.2">
      <c r="A2129">
        <v>21</v>
      </c>
      <c r="E2129" t="str">
        <f t="shared" si="82"/>
        <v>V</v>
      </c>
      <c r="F2129" t="str">
        <f t="shared" si="83"/>
        <v>21V</v>
      </c>
    </row>
    <row r="2130" spans="1:6" x14ac:dyDescent="0.2">
      <c r="A2130">
        <v>22</v>
      </c>
      <c r="E2130" t="str">
        <f t="shared" si="82"/>
        <v>W</v>
      </c>
      <c r="F2130" t="str">
        <f t="shared" si="83"/>
        <v>22W</v>
      </c>
    </row>
    <row r="2131" spans="1:6" x14ac:dyDescent="0.2">
      <c r="A2131">
        <v>23</v>
      </c>
      <c r="E2131" t="str">
        <f t="shared" si="82"/>
        <v>X</v>
      </c>
      <c r="F2131" t="str">
        <f t="shared" si="83"/>
        <v>23X</v>
      </c>
    </row>
    <row r="2132" spans="1:6" x14ac:dyDescent="0.2">
      <c r="A2132">
        <v>24</v>
      </c>
      <c r="E2132" t="str">
        <f t="shared" si="82"/>
        <v>Y</v>
      </c>
      <c r="F2132" t="str">
        <f t="shared" si="83"/>
        <v>24Y</v>
      </c>
    </row>
    <row r="2133" spans="1:6" x14ac:dyDescent="0.2">
      <c r="A2133">
        <v>25</v>
      </c>
      <c r="E2133" t="str">
        <f t="shared" si="82"/>
        <v>Z</v>
      </c>
      <c r="F2133" t="str">
        <f t="shared" si="83"/>
        <v>25Z</v>
      </c>
    </row>
    <row r="2134" spans="1:6" x14ac:dyDescent="0.2">
      <c r="A2134">
        <v>0</v>
      </c>
      <c r="E2134" t="str">
        <f t="shared" si="82"/>
        <v>A</v>
      </c>
      <c r="F2134" t="str">
        <f t="shared" si="83"/>
        <v>0A</v>
      </c>
    </row>
    <row r="2135" spans="1:6" x14ac:dyDescent="0.2">
      <c r="A2135">
        <v>1</v>
      </c>
      <c r="E2135" t="str">
        <f t="shared" si="82"/>
        <v>B</v>
      </c>
      <c r="F2135" t="str">
        <f t="shared" si="83"/>
        <v>1B</v>
      </c>
    </row>
    <row r="2136" spans="1:6" x14ac:dyDescent="0.2">
      <c r="A2136">
        <v>2</v>
      </c>
      <c r="E2136" t="str">
        <f t="shared" si="82"/>
        <v>C</v>
      </c>
      <c r="F2136" t="str">
        <f t="shared" si="83"/>
        <v>2C</v>
      </c>
    </row>
    <row r="2137" spans="1:6" x14ac:dyDescent="0.2">
      <c r="A2137">
        <v>3</v>
      </c>
      <c r="E2137" t="str">
        <f t="shared" si="82"/>
        <v>D</v>
      </c>
      <c r="F2137" t="str">
        <f t="shared" si="83"/>
        <v>3D</v>
      </c>
    </row>
    <row r="2138" spans="1:6" x14ac:dyDescent="0.2">
      <c r="A2138">
        <v>4</v>
      </c>
      <c r="E2138" t="str">
        <f t="shared" si="82"/>
        <v>E</v>
      </c>
      <c r="F2138" t="str">
        <f t="shared" si="83"/>
        <v>4E</v>
      </c>
    </row>
    <row r="2139" spans="1:6" x14ac:dyDescent="0.2">
      <c r="A2139">
        <v>5</v>
      </c>
      <c r="E2139" t="str">
        <f t="shared" si="82"/>
        <v>F</v>
      </c>
      <c r="F2139" t="str">
        <f t="shared" si="83"/>
        <v>5F</v>
      </c>
    </row>
    <row r="2140" spans="1:6" x14ac:dyDescent="0.2">
      <c r="A2140">
        <v>6</v>
      </c>
      <c r="E2140" t="str">
        <f t="shared" si="82"/>
        <v>G</v>
      </c>
      <c r="F2140" t="str">
        <f t="shared" si="83"/>
        <v>6G</v>
      </c>
    </row>
    <row r="2141" spans="1:6" x14ac:dyDescent="0.2">
      <c r="A2141">
        <v>7</v>
      </c>
      <c r="E2141" t="str">
        <f t="shared" ref="E2141:E2204" si="84">E2115</f>
        <v>H</v>
      </c>
      <c r="F2141" t="str">
        <f t="shared" si="83"/>
        <v>7H</v>
      </c>
    </row>
    <row r="2142" spans="1:6" x14ac:dyDescent="0.2">
      <c r="A2142">
        <v>8</v>
      </c>
      <c r="E2142" t="str">
        <f t="shared" si="84"/>
        <v>I</v>
      </c>
      <c r="F2142" t="str">
        <f t="shared" si="83"/>
        <v>8I</v>
      </c>
    </row>
    <row r="2143" spans="1:6" x14ac:dyDescent="0.2">
      <c r="A2143">
        <v>9</v>
      </c>
      <c r="E2143" t="str">
        <f t="shared" si="84"/>
        <v>J</v>
      </c>
      <c r="F2143" t="str">
        <f t="shared" si="83"/>
        <v>9J</v>
      </c>
    </row>
    <row r="2144" spans="1:6" x14ac:dyDescent="0.2">
      <c r="A2144">
        <v>10</v>
      </c>
      <c r="E2144" t="str">
        <f t="shared" si="84"/>
        <v>K</v>
      </c>
      <c r="F2144" t="str">
        <f t="shared" si="83"/>
        <v>10K</v>
      </c>
    </row>
    <row r="2145" spans="1:6" x14ac:dyDescent="0.2">
      <c r="A2145">
        <v>11</v>
      </c>
      <c r="E2145" t="str">
        <f t="shared" si="84"/>
        <v>L</v>
      </c>
      <c r="F2145" t="str">
        <f t="shared" si="83"/>
        <v>11L</v>
      </c>
    </row>
    <row r="2146" spans="1:6" x14ac:dyDescent="0.2">
      <c r="A2146">
        <v>12</v>
      </c>
      <c r="E2146" t="str">
        <f t="shared" si="84"/>
        <v>M</v>
      </c>
      <c r="F2146" t="str">
        <f t="shared" si="83"/>
        <v>12M</v>
      </c>
    </row>
    <row r="2147" spans="1:6" x14ac:dyDescent="0.2">
      <c r="A2147">
        <v>13</v>
      </c>
      <c r="E2147" t="str">
        <f t="shared" si="84"/>
        <v>N</v>
      </c>
      <c r="F2147" t="str">
        <f t="shared" si="83"/>
        <v>13N</v>
      </c>
    </row>
    <row r="2148" spans="1:6" x14ac:dyDescent="0.2">
      <c r="A2148">
        <v>14</v>
      </c>
      <c r="E2148" t="str">
        <f t="shared" si="84"/>
        <v>O</v>
      </c>
      <c r="F2148" t="str">
        <f t="shared" si="83"/>
        <v>14O</v>
      </c>
    </row>
    <row r="2149" spans="1:6" x14ac:dyDescent="0.2">
      <c r="A2149">
        <v>15</v>
      </c>
      <c r="E2149" t="str">
        <f t="shared" si="84"/>
        <v>P</v>
      </c>
      <c r="F2149" t="str">
        <f t="shared" si="83"/>
        <v>15P</v>
      </c>
    </row>
    <row r="2150" spans="1:6" x14ac:dyDescent="0.2">
      <c r="A2150">
        <v>16</v>
      </c>
      <c r="E2150" t="str">
        <f t="shared" si="84"/>
        <v>Q</v>
      </c>
      <c r="F2150" t="str">
        <f t="shared" si="83"/>
        <v>16Q</v>
      </c>
    </row>
    <row r="2151" spans="1:6" x14ac:dyDescent="0.2">
      <c r="A2151">
        <v>17</v>
      </c>
      <c r="E2151" t="str">
        <f t="shared" si="84"/>
        <v>R</v>
      </c>
      <c r="F2151" t="str">
        <f t="shared" si="83"/>
        <v>17R</v>
      </c>
    </row>
    <row r="2152" spans="1:6" x14ac:dyDescent="0.2">
      <c r="A2152">
        <v>18</v>
      </c>
      <c r="E2152" t="str">
        <f t="shared" si="84"/>
        <v>S</v>
      </c>
      <c r="F2152" t="str">
        <f t="shared" si="83"/>
        <v>18S</v>
      </c>
    </row>
    <row r="2153" spans="1:6" x14ac:dyDescent="0.2">
      <c r="A2153">
        <v>19</v>
      </c>
      <c r="E2153" t="str">
        <f t="shared" si="84"/>
        <v>T</v>
      </c>
      <c r="F2153" t="str">
        <f t="shared" si="83"/>
        <v>19T</v>
      </c>
    </row>
    <row r="2154" spans="1:6" x14ac:dyDescent="0.2">
      <c r="A2154">
        <v>20</v>
      </c>
      <c r="E2154" t="str">
        <f t="shared" si="84"/>
        <v>U</v>
      </c>
      <c r="F2154" t="str">
        <f t="shared" si="83"/>
        <v>20U</v>
      </c>
    </row>
    <row r="2155" spans="1:6" x14ac:dyDescent="0.2">
      <c r="A2155">
        <v>21</v>
      </c>
      <c r="E2155" t="str">
        <f t="shared" si="84"/>
        <v>V</v>
      </c>
      <c r="F2155" t="str">
        <f t="shared" si="83"/>
        <v>21V</v>
      </c>
    </row>
    <row r="2156" spans="1:6" x14ac:dyDescent="0.2">
      <c r="A2156">
        <v>22</v>
      </c>
      <c r="E2156" t="str">
        <f t="shared" si="84"/>
        <v>W</v>
      </c>
      <c r="F2156" t="str">
        <f t="shared" si="83"/>
        <v>22W</v>
      </c>
    </row>
    <row r="2157" spans="1:6" x14ac:dyDescent="0.2">
      <c r="A2157">
        <v>23</v>
      </c>
      <c r="E2157" t="str">
        <f t="shared" si="84"/>
        <v>X</v>
      </c>
      <c r="F2157" t="str">
        <f t="shared" si="83"/>
        <v>23X</v>
      </c>
    </row>
    <row r="2158" spans="1:6" x14ac:dyDescent="0.2">
      <c r="A2158">
        <v>24</v>
      </c>
      <c r="E2158" t="str">
        <f t="shared" si="84"/>
        <v>Y</v>
      </c>
      <c r="F2158" t="str">
        <f t="shared" si="83"/>
        <v>24Y</v>
      </c>
    </row>
    <row r="2159" spans="1:6" x14ac:dyDescent="0.2">
      <c r="A2159">
        <v>25</v>
      </c>
      <c r="E2159" t="str">
        <f t="shared" si="84"/>
        <v>Z</v>
      </c>
      <c r="F2159" t="str">
        <f t="shared" si="83"/>
        <v>25Z</v>
      </c>
    </row>
    <row r="2160" spans="1:6" x14ac:dyDescent="0.2">
      <c r="A2160">
        <v>0</v>
      </c>
      <c r="E2160" t="str">
        <f t="shared" si="84"/>
        <v>A</v>
      </c>
      <c r="F2160" t="str">
        <f t="shared" si="83"/>
        <v>0A</v>
      </c>
    </row>
    <row r="2161" spans="1:6" x14ac:dyDescent="0.2">
      <c r="A2161">
        <v>1</v>
      </c>
      <c r="E2161" t="str">
        <f t="shared" si="84"/>
        <v>B</v>
      </c>
      <c r="F2161" t="str">
        <f t="shared" si="83"/>
        <v>1B</v>
      </c>
    </row>
    <row r="2162" spans="1:6" x14ac:dyDescent="0.2">
      <c r="A2162">
        <v>2</v>
      </c>
      <c r="E2162" t="str">
        <f t="shared" si="84"/>
        <v>C</v>
      </c>
      <c r="F2162" t="str">
        <f t="shared" si="83"/>
        <v>2C</v>
      </c>
    </row>
    <row r="2163" spans="1:6" x14ac:dyDescent="0.2">
      <c r="A2163">
        <v>3</v>
      </c>
      <c r="E2163" t="str">
        <f t="shared" si="84"/>
        <v>D</v>
      </c>
      <c r="F2163" t="str">
        <f t="shared" si="83"/>
        <v>3D</v>
      </c>
    </row>
    <row r="2164" spans="1:6" x14ac:dyDescent="0.2">
      <c r="A2164">
        <v>4</v>
      </c>
      <c r="E2164" t="str">
        <f t="shared" si="84"/>
        <v>E</v>
      </c>
      <c r="F2164" t="str">
        <f t="shared" si="83"/>
        <v>4E</v>
      </c>
    </row>
    <row r="2165" spans="1:6" x14ac:dyDescent="0.2">
      <c r="A2165">
        <v>5</v>
      </c>
      <c r="E2165" t="str">
        <f t="shared" si="84"/>
        <v>F</v>
      </c>
      <c r="F2165" t="str">
        <f t="shared" si="83"/>
        <v>5F</v>
      </c>
    </row>
    <row r="2166" spans="1:6" x14ac:dyDescent="0.2">
      <c r="A2166">
        <v>6</v>
      </c>
      <c r="E2166" t="str">
        <f t="shared" si="84"/>
        <v>G</v>
      </c>
      <c r="F2166" t="str">
        <f t="shared" si="83"/>
        <v>6G</v>
      </c>
    </row>
    <row r="2167" spans="1:6" x14ac:dyDescent="0.2">
      <c r="A2167">
        <v>7</v>
      </c>
      <c r="E2167" t="str">
        <f t="shared" si="84"/>
        <v>H</v>
      </c>
      <c r="F2167" t="str">
        <f t="shared" si="83"/>
        <v>7H</v>
      </c>
    </row>
    <row r="2168" spans="1:6" x14ac:dyDescent="0.2">
      <c r="A2168">
        <v>8</v>
      </c>
      <c r="E2168" t="str">
        <f t="shared" si="84"/>
        <v>I</v>
      </c>
      <c r="F2168" t="str">
        <f t="shared" si="83"/>
        <v>8I</v>
      </c>
    </row>
    <row r="2169" spans="1:6" x14ac:dyDescent="0.2">
      <c r="A2169">
        <v>9</v>
      </c>
      <c r="E2169" t="str">
        <f t="shared" si="84"/>
        <v>J</v>
      </c>
      <c r="F2169" t="str">
        <f t="shared" si="83"/>
        <v>9J</v>
      </c>
    </row>
    <row r="2170" spans="1:6" x14ac:dyDescent="0.2">
      <c r="A2170">
        <v>10</v>
      </c>
      <c r="E2170" t="str">
        <f t="shared" si="84"/>
        <v>K</v>
      </c>
      <c r="F2170" t="str">
        <f t="shared" si="83"/>
        <v>10K</v>
      </c>
    </row>
    <row r="2171" spans="1:6" x14ac:dyDescent="0.2">
      <c r="A2171">
        <v>11</v>
      </c>
      <c r="E2171" t="str">
        <f t="shared" si="84"/>
        <v>L</v>
      </c>
      <c r="F2171" t="str">
        <f t="shared" si="83"/>
        <v>11L</v>
      </c>
    </row>
    <row r="2172" spans="1:6" x14ac:dyDescent="0.2">
      <c r="A2172">
        <v>12</v>
      </c>
      <c r="E2172" t="str">
        <f t="shared" si="84"/>
        <v>M</v>
      </c>
      <c r="F2172" t="str">
        <f t="shared" si="83"/>
        <v>12M</v>
      </c>
    </row>
    <row r="2173" spans="1:6" x14ac:dyDescent="0.2">
      <c r="A2173">
        <v>13</v>
      </c>
      <c r="E2173" t="str">
        <f t="shared" si="84"/>
        <v>N</v>
      </c>
      <c r="F2173" t="str">
        <f t="shared" si="83"/>
        <v>13N</v>
      </c>
    </row>
    <row r="2174" spans="1:6" x14ac:dyDescent="0.2">
      <c r="A2174">
        <v>14</v>
      </c>
      <c r="E2174" t="str">
        <f t="shared" si="84"/>
        <v>O</v>
      </c>
      <c r="F2174" t="str">
        <f t="shared" si="83"/>
        <v>14O</v>
      </c>
    </row>
    <row r="2175" spans="1:6" x14ac:dyDescent="0.2">
      <c r="A2175">
        <v>15</v>
      </c>
      <c r="E2175" t="str">
        <f t="shared" si="84"/>
        <v>P</v>
      </c>
      <c r="F2175" t="str">
        <f t="shared" si="83"/>
        <v>15P</v>
      </c>
    </row>
    <row r="2176" spans="1:6" x14ac:dyDescent="0.2">
      <c r="A2176">
        <v>16</v>
      </c>
      <c r="E2176" t="str">
        <f t="shared" si="84"/>
        <v>Q</v>
      </c>
      <c r="F2176" t="str">
        <f t="shared" si="83"/>
        <v>16Q</v>
      </c>
    </row>
    <row r="2177" spans="1:6" x14ac:dyDescent="0.2">
      <c r="A2177">
        <v>17</v>
      </c>
      <c r="E2177" t="str">
        <f t="shared" si="84"/>
        <v>R</v>
      </c>
      <c r="F2177" t="str">
        <f t="shared" si="83"/>
        <v>17R</v>
      </c>
    </row>
    <row r="2178" spans="1:6" x14ac:dyDescent="0.2">
      <c r="A2178">
        <v>18</v>
      </c>
      <c r="E2178" t="str">
        <f t="shared" si="84"/>
        <v>S</v>
      </c>
      <c r="F2178" t="str">
        <f t="shared" si="83"/>
        <v>18S</v>
      </c>
    </row>
    <row r="2179" spans="1:6" x14ac:dyDescent="0.2">
      <c r="A2179">
        <v>19</v>
      </c>
      <c r="E2179" t="str">
        <f t="shared" si="84"/>
        <v>T</v>
      </c>
      <c r="F2179" t="str">
        <f t="shared" ref="F2179:F2242" si="85">A2179&amp;C2179&amp;E2179</f>
        <v>19T</v>
      </c>
    </row>
    <row r="2180" spans="1:6" x14ac:dyDescent="0.2">
      <c r="A2180">
        <v>20</v>
      </c>
      <c r="E2180" t="str">
        <f t="shared" si="84"/>
        <v>U</v>
      </c>
      <c r="F2180" t="str">
        <f t="shared" si="85"/>
        <v>20U</v>
      </c>
    </row>
    <row r="2181" spans="1:6" x14ac:dyDescent="0.2">
      <c r="A2181">
        <v>21</v>
      </c>
      <c r="E2181" t="str">
        <f t="shared" si="84"/>
        <v>V</v>
      </c>
      <c r="F2181" t="str">
        <f t="shared" si="85"/>
        <v>21V</v>
      </c>
    </row>
    <row r="2182" spans="1:6" x14ac:dyDescent="0.2">
      <c r="A2182">
        <v>22</v>
      </c>
      <c r="E2182" t="str">
        <f t="shared" si="84"/>
        <v>W</v>
      </c>
      <c r="F2182" t="str">
        <f t="shared" si="85"/>
        <v>22W</v>
      </c>
    </row>
    <row r="2183" spans="1:6" x14ac:dyDescent="0.2">
      <c r="A2183">
        <v>23</v>
      </c>
      <c r="E2183" t="str">
        <f t="shared" si="84"/>
        <v>X</v>
      </c>
      <c r="F2183" t="str">
        <f t="shared" si="85"/>
        <v>23X</v>
      </c>
    </row>
    <row r="2184" spans="1:6" x14ac:dyDescent="0.2">
      <c r="A2184">
        <v>24</v>
      </c>
      <c r="E2184" t="str">
        <f t="shared" si="84"/>
        <v>Y</v>
      </c>
      <c r="F2184" t="str">
        <f t="shared" si="85"/>
        <v>24Y</v>
      </c>
    </row>
    <row r="2185" spans="1:6" x14ac:dyDescent="0.2">
      <c r="A2185">
        <v>25</v>
      </c>
      <c r="E2185" t="str">
        <f t="shared" si="84"/>
        <v>Z</v>
      </c>
      <c r="F2185" t="str">
        <f t="shared" si="85"/>
        <v>25Z</v>
      </c>
    </row>
    <row r="2186" spans="1:6" x14ac:dyDescent="0.2">
      <c r="A2186">
        <v>0</v>
      </c>
      <c r="E2186" t="str">
        <f t="shared" si="84"/>
        <v>A</v>
      </c>
      <c r="F2186" t="str">
        <f t="shared" si="85"/>
        <v>0A</v>
      </c>
    </row>
    <row r="2187" spans="1:6" x14ac:dyDescent="0.2">
      <c r="A2187">
        <v>1</v>
      </c>
      <c r="E2187" t="str">
        <f t="shared" si="84"/>
        <v>B</v>
      </c>
      <c r="F2187" t="str">
        <f t="shared" si="85"/>
        <v>1B</v>
      </c>
    </row>
    <row r="2188" spans="1:6" x14ac:dyDescent="0.2">
      <c r="A2188">
        <v>2</v>
      </c>
      <c r="E2188" t="str">
        <f t="shared" si="84"/>
        <v>C</v>
      </c>
      <c r="F2188" t="str">
        <f t="shared" si="85"/>
        <v>2C</v>
      </c>
    </row>
    <row r="2189" spans="1:6" x14ac:dyDescent="0.2">
      <c r="A2189">
        <v>3</v>
      </c>
      <c r="E2189" t="str">
        <f t="shared" si="84"/>
        <v>D</v>
      </c>
      <c r="F2189" t="str">
        <f t="shared" si="85"/>
        <v>3D</v>
      </c>
    </row>
    <row r="2190" spans="1:6" x14ac:dyDescent="0.2">
      <c r="A2190">
        <v>4</v>
      </c>
      <c r="E2190" t="str">
        <f t="shared" si="84"/>
        <v>E</v>
      </c>
      <c r="F2190" t="str">
        <f t="shared" si="85"/>
        <v>4E</v>
      </c>
    </row>
    <row r="2191" spans="1:6" x14ac:dyDescent="0.2">
      <c r="A2191">
        <v>5</v>
      </c>
      <c r="E2191" t="str">
        <f t="shared" si="84"/>
        <v>F</v>
      </c>
      <c r="F2191" t="str">
        <f t="shared" si="85"/>
        <v>5F</v>
      </c>
    </row>
    <row r="2192" spans="1:6" x14ac:dyDescent="0.2">
      <c r="A2192">
        <v>6</v>
      </c>
      <c r="E2192" t="str">
        <f t="shared" si="84"/>
        <v>G</v>
      </c>
      <c r="F2192" t="str">
        <f t="shared" si="85"/>
        <v>6G</v>
      </c>
    </row>
    <row r="2193" spans="1:6" x14ac:dyDescent="0.2">
      <c r="A2193">
        <v>7</v>
      </c>
      <c r="E2193" t="str">
        <f t="shared" si="84"/>
        <v>H</v>
      </c>
      <c r="F2193" t="str">
        <f t="shared" si="85"/>
        <v>7H</v>
      </c>
    </row>
    <row r="2194" spans="1:6" x14ac:dyDescent="0.2">
      <c r="A2194">
        <v>8</v>
      </c>
      <c r="E2194" t="str">
        <f t="shared" si="84"/>
        <v>I</v>
      </c>
      <c r="F2194" t="str">
        <f t="shared" si="85"/>
        <v>8I</v>
      </c>
    </row>
    <row r="2195" spans="1:6" x14ac:dyDescent="0.2">
      <c r="A2195">
        <v>9</v>
      </c>
      <c r="E2195" t="str">
        <f t="shared" si="84"/>
        <v>J</v>
      </c>
      <c r="F2195" t="str">
        <f t="shared" si="85"/>
        <v>9J</v>
      </c>
    </row>
    <row r="2196" spans="1:6" x14ac:dyDescent="0.2">
      <c r="A2196">
        <v>10</v>
      </c>
      <c r="E2196" t="str">
        <f t="shared" si="84"/>
        <v>K</v>
      </c>
      <c r="F2196" t="str">
        <f t="shared" si="85"/>
        <v>10K</v>
      </c>
    </row>
    <row r="2197" spans="1:6" x14ac:dyDescent="0.2">
      <c r="A2197">
        <v>11</v>
      </c>
      <c r="E2197" t="str">
        <f t="shared" si="84"/>
        <v>L</v>
      </c>
      <c r="F2197" t="str">
        <f t="shared" si="85"/>
        <v>11L</v>
      </c>
    </row>
    <row r="2198" spans="1:6" x14ac:dyDescent="0.2">
      <c r="A2198">
        <v>12</v>
      </c>
      <c r="E2198" t="str">
        <f t="shared" si="84"/>
        <v>M</v>
      </c>
      <c r="F2198" t="str">
        <f t="shared" si="85"/>
        <v>12M</v>
      </c>
    </row>
    <row r="2199" spans="1:6" x14ac:dyDescent="0.2">
      <c r="A2199">
        <v>13</v>
      </c>
      <c r="E2199" t="str">
        <f t="shared" si="84"/>
        <v>N</v>
      </c>
      <c r="F2199" t="str">
        <f t="shared" si="85"/>
        <v>13N</v>
      </c>
    </row>
    <row r="2200" spans="1:6" x14ac:dyDescent="0.2">
      <c r="A2200">
        <v>14</v>
      </c>
      <c r="E2200" t="str">
        <f t="shared" si="84"/>
        <v>O</v>
      </c>
      <c r="F2200" t="str">
        <f t="shared" si="85"/>
        <v>14O</v>
      </c>
    </row>
    <row r="2201" spans="1:6" x14ac:dyDescent="0.2">
      <c r="A2201">
        <v>15</v>
      </c>
      <c r="E2201" t="str">
        <f t="shared" si="84"/>
        <v>P</v>
      </c>
      <c r="F2201" t="str">
        <f t="shared" si="85"/>
        <v>15P</v>
      </c>
    </row>
    <row r="2202" spans="1:6" x14ac:dyDescent="0.2">
      <c r="A2202">
        <v>16</v>
      </c>
      <c r="E2202" t="str">
        <f t="shared" si="84"/>
        <v>Q</v>
      </c>
      <c r="F2202" t="str">
        <f t="shared" si="85"/>
        <v>16Q</v>
      </c>
    </row>
    <row r="2203" spans="1:6" x14ac:dyDescent="0.2">
      <c r="A2203">
        <v>17</v>
      </c>
      <c r="E2203" t="str">
        <f t="shared" si="84"/>
        <v>R</v>
      </c>
      <c r="F2203" t="str">
        <f t="shared" si="85"/>
        <v>17R</v>
      </c>
    </row>
    <row r="2204" spans="1:6" x14ac:dyDescent="0.2">
      <c r="A2204">
        <v>18</v>
      </c>
      <c r="E2204" t="str">
        <f t="shared" si="84"/>
        <v>S</v>
      </c>
      <c r="F2204" t="str">
        <f t="shared" si="85"/>
        <v>18S</v>
      </c>
    </row>
    <row r="2205" spans="1:6" x14ac:dyDescent="0.2">
      <c r="A2205">
        <v>19</v>
      </c>
      <c r="E2205" t="str">
        <f t="shared" ref="E2205:E2268" si="86">E2179</f>
        <v>T</v>
      </c>
      <c r="F2205" t="str">
        <f t="shared" si="85"/>
        <v>19T</v>
      </c>
    </row>
    <row r="2206" spans="1:6" x14ac:dyDescent="0.2">
      <c r="A2206">
        <v>20</v>
      </c>
      <c r="E2206" t="str">
        <f t="shared" si="86"/>
        <v>U</v>
      </c>
      <c r="F2206" t="str">
        <f t="shared" si="85"/>
        <v>20U</v>
      </c>
    </row>
    <row r="2207" spans="1:6" x14ac:dyDescent="0.2">
      <c r="A2207">
        <v>21</v>
      </c>
      <c r="E2207" t="str">
        <f t="shared" si="86"/>
        <v>V</v>
      </c>
      <c r="F2207" t="str">
        <f t="shared" si="85"/>
        <v>21V</v>
      </c>
    </row>
    <row r="2208" spans="1:6" x14ac:dyDescent="0.2">
      <c r="A2208">
        <v>22</v>
      </c>
      <c r="E2208" t="str">
        <f t="shared" si="86"/>
        <v>W</v>
      </c>
      <c r="F2208" t="str">
        <f t="shared" si="85"/>
        <v>22W</v>
      </c>
    </row>
    <row r="2209" spans="1:6" x14ac:dyDescent="0.2">
      <c r="A2209">
        <v>23</v>
      </c>
      <c r="E2209" t="str">
        <f t="shared" si="86"/>
        <v>X</v>
      </c>
      <c r="F2209" t="str">
        <f t="shared" si="85"/>
        <v>23X</v>
      </c>
    </row>
    <row r="2210" spans="1:6" x14ac:dyDescent="0.2">
      <c r="A2210">
        <v>24</v>
      </c>
      <c r="E2210" t="str">
        <f t="shared" si="86"/>
        <v>Y</v>
      </c>
      <c r="F2210" t="str">
        <f t="shared" si="85"/>
        <v>24Y</v>
      </c>
    </row>
    <row r="2211" spans="1:6" x14ac:dyDescent="0.2">
      <c r="A2211">
        <v>25</v>
      </c>
      <c r="E2211" t="str">
        <f t="shared" si="86"/>
        <v>Z</v>
      </c>
      <c r="F2211" t="str">
        <f t="shared" si="85"/>
        <v>25Z</v>
      </c>
    </row>
    <row r="2212" spans="1:6" x14ac:dyDescent="0.2">
      <c r="A2212">
        <v>0</v>
      </c>
      <c r="E2212" t="str">
        <f t="shared" si="86"/>
        <v>A</v>
      </c>
      <c r="F2212" t="str">
        <f t="shared" si="85"/>
        <v>0A</v>
      </c>
    </row>
    <row r="2213" spans="1:6" x14ac:dyDescent="0.2">
      <c r="A2213">
        <v>1</v>
      </c>
      <c r="E2213" t="str">
        <f t="shared" si="86"/>
        <v>B</v>
      </c>
      <c r="F2213" t="str">
        <f t="shared" si="85"/>
        <v>1B</v>
      </c>
    </row>
    <row r="2214" spans="1:6" x14ac:dyDescent="0.2">
      <c r="A2214">
        <v>2</v>
      </c>
      <c r="E2214" t="str">
        <f t="shared" si="86"/>
        <v>C</v>
      </c>
      <c r="F2214" t="str">
        <f t="shared" si="85"/>
        <v>2C</v>
      </c>
    </row>
    <row r="2215" spans="1:6" x14ac:dyDescent="0.2">
      <c r="A2215">
        <v>3</v>
      </c>
      <c r="E2215" t="str">
        <f t="shared" si="86"/>
        <v>D</v>
      </c>
      <c r="F2215" t="str">
        <f t="shared" si="85"/>
        <v>3D</v>
      </c>
    </row>
    <row r="2216" spans="1:6" x14ac:dyDescent="0.2">
      <c r="A2216">
        <v>4</v>
      </c>
      <c r="E2216" t="str">
        <f t="shared" si="86"/>
        <v>E</v>
      </c>
      <c r="F2216" t="str">
        <f t="shared" si="85"/>
        <v>4E</v>
      </c>
    </row>
    <row r="2217" spans="1:6" x14ac:dyDescent="0.2">
      <c r="A2217">
        <v>5</v>
      </c>
      <c r="E2217" t="str">
        <f t="shared" si="86"/>
        <v>F</v>
      </c>
      <c r="F2217" t="str">
        <f t="shared" si="85"/>
        <v>5F</v>
      </c>
    </row>
    <row r="2218" spans="1:6" x14ac:dyDescent="0.2">
      <c r="A2218">
        <v>6</v>
      </c>
      <c r="E2218" t="str">
        <f t="shared" si="86"/>
        <v>G</v>
      </c>
      <c r="F2218" t="str">
        <f t="shared" si="85"/>
        <v>6G</v>
      </c>
    </row>
    <row r="2219" spans="1:6" x14ac:dyDescent="0.2">
      <c r="A2219">
        <v>7</v>
      </c>
      <c r="E2219" t="str">
        <f t="shared" si="86"/>
        <v>H</v>
      </c>
      <c r="F2219" t="str">
        <f t="shared" si="85"/>
        <v>7H</v>
      </c>
    </row>
    <row r="2220" spans="1:6" x14ac:dyDescent="0.2">
      <c r="A2220">
        <v>8</v>
      </c>
      <c r="E2220" t="str">
        <f t="shared" si="86"/>
        <v>I</v>
      </c>
      <c r="F2220" t="str">
        <f t="shared" si="85"/>
        <v>8I</v>
      </c>
    </row>
    <row r="2221" spans="1:6" x14ac:dyDescent="0.2">
      <c r="A2221">
        <v>9</v>
      </c>
      <c r="E2221" t="str">
        <f t="shared" si="86"/>
        <v>J</v>
      </c>
      <c r="F2221" t="str">
        <f t="shared" si="85"/>
        <v>9J</v>
      </c>
    </row>
    <row r="2222" spans="1:6" x14ac:dyDescent="0.2">
      <c r="A2222">
        <v>10</v>
      </c>
      <c r="E2222" t="str">
        <f t="shared" si="86"/>
        <v>K</v>
      </c>
      <c r="F2222" t="str">
        <f t="shared" si="85"/>
        <v>10K</v>
      </c>
    </row>
    <row r="2223" spans="1:6" x14ac:dyDescent="0.2">
      <c r="A2223">
        <v>11</v>
      </c>
      <c r="E2223" t="str">
        <f t="shared" si="86"/>
        <v>L</v>
      </c>
      <c r="F2223" t="str">
        <f t="shared" si="85"/>
        <v>11L</v>
      </c>
    </row>
    <row r="2224" spans="1:6" x14ac:dyDescent="0.2">
      <c r="A2224">
        <v>12</v>
      </c>
      <c r="E2224" t="str">
        <f t="shared" si="86"/>
        <v>M</v>
      </c>
      <c r="F2224" t="str">
        <f t="shared" si="85"/>
        <v>12M</v>
      </c>
    </row>
    <row r="2225" spans="1:6" x14ac:dyDescent="0.2">
      <c r="A2225">
        <v>13</v>
      </c>
      <c r="E2225" t="str">
        <f t="shared" si="86"/>
        <v>N</v>
      </c>
      <c r="F2225" t="str">
        <f t="shared" si="85"/>
        <v>13N</v>
      </c>
    </row>
    <row r="2226" spans="1:6" x14ac:dyDescent="0.2">
      <c r="A2226">
        <v>14</v>
      </c>
      <c r="E2226" t="str">
        <f t="shared" si="86"/>
        <v>O</v>
      </c>
      <c r="F2226" t="str">
        <f t="shared" si="85"/>
        <v>14O</v>
      </c>
    </row>
    <row r="2227" spans="1:6" x14ac:dyDescent="0.2">
      <c r="A2227">
        <v>15</v>
      </c>
      <c r="E2227" t="str">
        <f t="shared" si="86"/>
        <v>P</v>
      </c>
      <c r="F2227" t="str">
        <f t="shared" si="85"/>
        <v>15P</v>
      </c>
    </row>
    <row r="2228" spans="1:6" x14ac:dyDescent="0.2">
      <c r="A2228">
        <v>16</v>
      </c>
      <c r="E2228" t="str">
        <f t="shared" si="86"/>
        <v>Q</v>
      </c>
      <c r="F2228" t="str">
        <f t="shared" si="85"/>
        <v>16Q</v>
      </c>
    </row>
    <row r="2229" spans="1:6" x14ac:dyDescent="0.2">
      <c r="A2229">
        <v>17</v>
      </c>
      <c r="E2229" t="str">
        <f t="shared" si="86"/>
        <v>R</v>
      </c>
      <c r="F2229" t="str">
        <f t="shared" si="85"/>
        <v>17R</v>
      </c>
    </row>
    <row r="2230" spans="1:6" x14ac:dyDescent="0.2">
      <c r="A2230">
        <v>18</v>
      </c>
      <c r="E2230" t="str">
        <f t="shared" si="86"/>
        <v>S</v>
      </c>
      <c r="F2230" t="str">
        <f t="shared" si="85"/>
        <v>18S</v>
      </c>
    </row>
    <row r="2231" spans="1:6" x14ac:dyDescent="0.2">
      <c r="A2231">
        <v>19</v>
      </c>
      <c r="E2231" t="str">
        <f t="shared" si="86"/>
        <v>T</v>
      </c>
      <c r="F2231" t="str">
        <f t="shared" si="85"/>
        <v>19T</v>
      </c>
    </row>
    <row r="2232" spans="1:6" x14ac:dyDescent="0.2">
      <c r="A2232">
        <v>20</v>
      </c>
      <c r="E2232" t="str">
        <f t="shared" si="86"/>
        <v>U</v>
      </c>
      <c r="F2232" t="str">
        <f t="shared" si="85"/>
        <v>20U</v>
      </c>
    </row>
    <row r="2233" spans="1:6" x14ac:dyDescent="0.2">
      <c r="A2233">
        <v>21</v>
      </c>
      <c r="E2233" t="str">
        <f t="shared" si="86"/>
        <v>V</v>
      </c>
      <c r="F2233" t="str">
        <f t="shared" si="85"/>
        <v>21V</v>
      </c>
    </row>
    <row r="2234" spans="1:6" x14ac:dyDescent="0.2">
      <c r="A2234">
        <v>22</v>
      </c>
      <c r="E2234" t="str">
        <f t="shared" si="86"/>
        <v>W</v>
      </c>
      <c r="F2234" t="str">
        <f t="shared" si="85"/>
        <v>22W</v>
      </c>
    </row>
    <row r="2235" spans="1:6" x14ac:dyDescent="0.2">
      <c r="A2235">
        <v>23</v>
      </c>
      <c r="E2235" t="str">
        <f t="shared" si="86"/>
        <v>X</v>
      </c>
      <c r="F2235" t="str">
        <f t="shared" si="85"/>
        <v>23X</v>
      </c>
    </row>
    <row r="2236" spans="1:6" x14ac:dyDescent="0.2">
      <c r="A2236">
        <v>24</v>
      </c>
      <c r="E2236" t="str">
        <f t="shared" si="86"/>
        <v>Y</v>
      </c>
      <c r="F2236" t="str">
        <f t="shared" si="85"/>
        <v>24Y</v>
      </c>
    </row>
    <row r="2237" spans="1:6" x14ac:dyDescent="0.2">
      <c r="A2237">
        <v>25</v>
      </c>
      <c r="E2237" t="str">
        <f t="shared" si="86"/>
        <v>Z</v>
      </c>
      <c r="F2237" t="str">
        <f t="shared" si="85"/>
        <v>25Z</v>
      </c>
    </row>
    <row r="2238" spans="1:6" x14ac:dyDescent="0.2">
      <c r="A2238">
        <v>0</v>
      </c>
      <c r="E2238" t="str">
        <f t="shared" si="86"/>
        <v>A</v>
      </c>
      <c r="F2238" t="str">
        <f t="shared" si="85"/>
        <v>0A</v>
      </c>
    </row>
    <row r="2239" spans="1:6" x14ac:dyDescent="0.2">
      <c r="A2239">
        <v>1</v>
      </c>
      <c r="E2239" t="str">
        <f t="shared" si="86"/>
        <v>B</v>
      </c>
      <c r="F2239" t="str">
        <f t="shared" si="85"/>
        <v>1B</v>
      </c>
    </row>
    <row r="2240" spans="1:6" x14ac:dyDescent="0.2">
      <c r="A2240">
        <v>2</v>
      </c>
      <c r="E2240" t="str">
        <f t="shared" si="86"/>
        <v>C</v>
      </c>
      <c r="F2240" t="str">
        <f t="shared" si="85"/>
        <v>2C</v>
      </c>
    </row>
    <row r="2241" spans="1:6" x14ac:dyDescent="0.2">
      <c r="A2241">
        <v>3</v>
      </c>
      <c r="E2241" t="str">
        <f t="shared" si="86"/>
        <v>D</v>
      </c>
      <c r="F2241" t="str">
        <f t="shared" si="85"/>
        <v>3D</v>
      </c>
    </row>
    <row r="2242" spans="1:6" x14ac:dyDescent="0.2">
      <c r="A2242">
        <v>4</v>
      </c>
      <c r="E2242" t="str">
        <f t="shared" si="86"/>
        <v>E</v>
      </c>
      <c r="F2242" t="str">
        <f t="shared" si="85"/>
        <v>4E</v>
      </c>
    </row>
    <row r="2243" spans="1:6" x14ac:dyDescent="0.2">
      <c r="A2243">
        <v>5</v>
      </c>
      <c r="E2243" t="str">
        <f t="shared" si="86"/>
        <v>F</v>
      </c>
      <c r="F2243" t="str">
        <f t="shared" ref="F2243:F2306" si="87">A2243&amp;C2243&amp;E2243</f>
        <v>5F</v>
      </c>
    </row>
    <row r="2244" spans="1:6" x14ac:dyDescent="0.2">
      <c r="A2244">
        <v>6</v>
      </c>
      <c r="E2244" t="str">
        <f t="shared" si="86"/>
        <v>G</v>
      </c>
      <c r="F2244" t="str">
        <f t="shared" si="87"/>
        <v>6G</v>
      </c>
    </row>
    <row r="2245" spans="1:6" x14ac:dyDescent="0.2">
      <c r="A2245">
        <v>7</v>
      </c>
      <c r="E2245" t="str">
        <f t="shared" si="86"/>
        <v>H</v>
      </c>
      <c r="F2245" t="str">
        <f t="shared" si="87"/>
        <v>7H</v>
      </c>
    </row>
    <row r="2246" spans="1:6" x14ac:dyDescent="0.2">
      <c r="A2246">
        <v>8</v>
      </c>
      <c r="E2246" t="str">
        <f t="shared" si="86"/>
        <v>I</v>
      </c>
      <c r="F2246" t="str">
        <f t="shared" si="87"/>
        <v>8I</v>
      </c>
    </row>
    <row r="2247" spans="1:6" x14ac:dyDescent="0.2">
      <c r="A2247">
        <v>9</v>
      </c>
      <c r="E2247" t="str">
        <f t="shared" si="86"/>
        <v>J</v>
      </c>
      <c r="F2247" t="str">
        <f t="shared" si="87"/>
        <v>9J</v>
      </c>
    </row>
    <row r="2248" spans="1:6" x14ac:dyDescent="0.2">
      <c r="A2248">
        <v>10</v>
      </c>
      <c r="E2248" t="str">
        <f t="shared" si="86"/>
        <v>K</v>
      </c>
      <c r="F2248" t="str">
        <f t="shared" si="87"/>
        <v>10K</v>
      </c>
    </row>
    <row r="2249" spans="1:6" x14ac:dyDescent="0.2">
      <c r="A2249">
        <v>11</v>
      </c>
      <c r="E2249" t="str">
        <f t="shared" si="86"/>
        <v>L</v>
      </c>
      <c r="F2249" t="str">
        <f t="shared" si="87"/>
        <v>11L</v>
      </c>
    </row>
    <row r="2250" spans="1:6" x14ac:dyDescent="0.2">
      <c r="A2250">
        <v>12</v>
      </c>
      <c r="E2250" t="str">
        <f t="shared" si="86"/>
        <v>M</v>
      </c>
      <c r="F2250" t="str">
        <f t="shared" si="87"/>
        <v>12M</v>
      </c>
    </row>
    <row r="2251" spans="1:6" x14ac:dyDescent="0.2">
      <c r="A2251">
        <v>13</v>
      </c>
      <c r="E2251" t="str">
        <f t="shared" si="86"/>
        <v>N</v>
      </c>
      <c r="F2251" t="str">
        <f t="shared" si="87"/>
        <v>13N</v>
      </c>
    </row>
    <row r="2252" spans="1:6" x14ac:dyDescent="0.2">
      <c r="A2252">
        <v>14</v>
      </c>
      <c r="E2252" t="str">
        <f t="shared" si="86"/>
        <v>O</v>
      </c>
      <c r="F2252" t="str">
        <f t="shared" si="87"/>
        <v>14O</v>
      </c>
    </row>
    <row r="2253" spans="1:6" x14ac:dyDescent="0.2">
      <c r="A2253">
        <v>15</v>
      </c>
      <c r="E2253" t="str">
        <f t="shared" si="86"/>
        <v>P</v>
      </c>
      <c r="F2253" t="str">
        <f t="shared" si="87"/>
        <v>15P</v>
      </c>
    </row>
    <row r="2254" spans="1:6" x14ac:dyDescent="0.2">
      <c r="A2254">
        <v>16</v>
      </c>
      <c r="E2254" t="str">
        <f t="shared" si="86"/>
        <v>Q</v>
      </c>
      <c r="F2254" t="str">
        <f t="shared" si="87"/>
        <v>16Q</v>
      </c>
    </row>
    <row r="2255" spans="1:6" x14ac:dyDescent="0.2">
      <c r="A2255">
        <v>17</v>
      </c>
      <c r="E2255" t="str">
        <f t="shared" si="86"/>
        <v>R</v>
      </c>
      <c r="F2255" t="str">
        <f t="shared" si="87"/>
        <v>17R</v>
      </c>
    </row>
    <row r="2256" spans="1:6" x14ac:dyDescent="0.2">
      <c r="A2256">
        <v>18</v>
      </c>
      <c r="E2256" t="str">
        <f t="shared" si="86"/>
        <v>S</v>
      </c>
      <c r="F2256" t="str">
        <f t="shared" si="87"/>
        <v>18S</v>
      </c>
    </row>
    <row r="2257" spans="1:6" x14ac:dyDescent="0.2">
      <c r="A2257">
        <v>19</v>
      </c>
      <c r="E2257" t="str">
        <f t="shared" si="86"/>
        <v>T</v>
      </c>
      <c r="F2257" t="str">
        <f t="shared" si="87"/>
        <v>19T</v>
      </c>
    </row>
    <row r="2258" spans="1:6" x14ac:dyDescent="0.2">
      <c r="A2258">
        <v>20</v>
      </c>
      <c r="E2258" t="str">
        <f t="shared" si="86"/>
        <v>U</v>
      </c>
      <c r="F2258" t="str">
        <f t="shared" si="87"/>
        <v>20U</v>
      </c>
    </row>
    <row r="2259" spans="1:6" x14ac:dyDescent="0.2">
      <c r="A2259">
        <v>21</v>
      </c>
      <c r="E2259" t="str">
        <f t="shared" si="86"/>
        <v>V</v>
      </c>
      <c r="F2259" t="str">
        <f t="shared" si="87"/>
        <v>21V</v>
      </c>
    </row>
    <row r="2260" spans="1:6" x14ac:dyDescent="0.2">
      <c r="A2260">
        <v>22</v>
      </c>
      <c r="E2260" t="str">
        <f t="shared" si="86"/>
        <v>W</v>
      </c>
      <c r="F2260" t="str">
        <f t="shared" si="87"/>
        <v>22W</v>
      </c>
    </row>
    <row r="2261" spans="1:6" x14ac:dyDescent="0.2">
      <c r="A2261">
        <v>23</v>
      </c>
      <c r="E2261" t="str">
        <f t="shared" si="86"/>
        <v>X</v>
      </c>
      <c r="F2261" t="str">
        <f t="shared" si="87"/>
        <v>23X</v>
      </c>
    </row>
    <row r="2262" spans="1:6" x14ac:dyDescent="0.2">
      <c r="A2262">
        <v>24</v>
      </c>
      <c r="E2262" t="str">
        <f t="shared" si="86"/>
        <v>Y</v>
      </c>
      <c r="F2262" t="str">
        <f t="shared" si="87"/>
        <v>24Y</v>
      </c>
    </row>
    <row r="2263" spans="1:6" x14ac:dyDescent="0.2">
      <c r="A2263">
        <v>25</v>
      </c>
      <c r="E2263" t="str">
        <f t="shared" si="86"/>
        <v>Z</v>
      </c>
      <c r="F2263" t="str">
        <f t="shared" si="87"/>
        <v>25Z</v>
      </c>
    </row>
    <row r="2264" spans="1:6" x14ac:dyDescent="0.2">
      <c r="A2264">
        <v>0</v>
      </c>
      <c r="E2264" t="str">
        <f t="shared" si="86"/>
        <v>A</v>
      </c>
      <c r="F2264" t="str">
        <f t="shared" si="87"/>
        <v>0A</v>
      </c>
    </row>
    <row r="2265" spans="1:6" x14ac:dyDescent="0.2">
      <c r="A2265">
        <v>1</v>
      </c>
      <c r="E2265" t="str">
        <f t="shared" si="86"/>
        <v>B</v>
      </c>
      <c r="F2265" t="str">
        <f t="shared" si="87"/>
        <v>1B</v>
      </c>
    </row>
    <row r="2266" spans="1:6" x14ac:dyDescent="0.2">
      <c r="A2266">
        <v>2</v>
      </c>
      <c r="E2266" t="str">
        <f t="shared" si="86"/>
        <v>C</v>
      </c>
      <c r="F2266" t="str">
        <f t="shared" si="87"/>
        <v>2C</v>
      </c>
    </row>
    <row r="2267" spans="1:6" x14ac:dyDescent="0.2">
      <c r="A2267">
        <v>3</v>
      </c>
      <c r="E2267" t="str">
        <f t="shared" si="86"/>
        <v>D</v>
      </c>
      <c r="F2267" t="str">
        <f t="shared" si="87"/>
        <v>3D</v>
      </c>
    </row>
    <row r="2268" spans="1:6" x14ac:dyDescent="0.2">
      <c r="A2268">
        <v>4</v>
      </c>
      <c r="E2268" t="str">
        <f t="shared" si="86"/>
        <v>E</v>
      </c>
      <c r="F2268" t="str">
        <f t="shared" si="87"/>
        <v>4E</v>
      </c>
    </row>
    <row r="2269" spans="1:6" x14ac:dyDescent="0.2">
      <c r="A2269">
        <v>5</v>
      </c>
      <c r="E2269" t="str">
        <f t="shared" ref="E2269:E2332" si="88">E2243</f>
        <v>F</v>
      </c>
      <c r="F2269" t="str">
        <f t="shared" si="87"/>
        <v>5F</v>
      </c>
    </row>
    <row r="2270" spans="1:6" x14ac:dyDescent="0.2">
      <c r="A2270">
        <v>6</v>
      </c>
      <c r="E2270" t="str">
        <f t="shared" si="88"/>
        <v>G</v>
      </c>
      <c r="F2270" t="str">
        <f t="shared" si="87"/>
        <v>6G</v>
      </c>
    </row>
    <row r="2271" spans="1:6" x14ac:dyDescent="0.2">
      <c r="A2271">
        <v>7</v>
      </c>
      <c r="E2271" t="str">
        <f t="shared" si="88"/>
        <v>H</v>
      </c>
      <c r="F2271" t="str">
        <f t="shared" si="87"/>
        <v>7H</v>
      </c>
    </row>
    <row r="2272" spans="1:6" x14ac:dyDescent="0.2">
      <c r="A2272">
        <v>8</v>
      </c>
      <c r="E2272" t="str">
        <f t="shared" si="88"/>
        <v>I</v>
      </c>
      <c r="F2272" t="str">
        <f t="shared" si="87"/>
        <v>8I</v>
      </c>
    </row>
    <row r="2273" spans="1:6" x14ac:dyDescent="0.2">
      <c r="A2273">
        <v>9</v>
      </c>
      <c r="E2273" t="str">
        <f t="shared" si="88"/>
        <v>J</v>
      </c>
      <c r="F2273" t="str">
        <f t="shared" si="87"/>
        <v>9J</v>
      </c>
    </row>
    <row r="2274" spans="1:6" x14ac:dyDescent="0.2">
      <c r="A2274">
        <v>10</v>
      </c>
      <c r="E2274" t="str">
        <f t="shared" si="88"/>
        <v>K</v>
      </c>
      <c r="F2274" t="str">
        <f t="shared" si="87"/>
        <v>10K</v>
      </c>
    </row>
    <row r="2275" spans="1:6" x14ac:dyDescent="0.2">
      <c r="A2275">
        <v>11</v>
      </c>
      <c r="E2275" t="str">
        <f t="shared" si="88"/>
        <v>L</v>
      </c>
      <c r="F2275" t="str">
        <f t="shared" si="87"/>
        <v>11L</v>
      </c>
    </row>
    <row r="2276" spans="1:6" x14ac:dyDescent="0.2">
      <c r="A2276">
        <v>12</v>
      </c>
      <c r="E2276" t="str">
        <f t="shared" si="88"/>
        <v>M</v>
      </c>
      <c r="F2276" t="str">
        <f t="shared" si="87"/>
        <v>12M</v>
      </c>
    </row>
    <row r="2277" spans="1:6" x14ac:dyDescent="0.2">
      <c r="A2277">
        <v>13</v>
      </c>
      <c r="E2277" t="str">
        <f t="shared" si="88"/>
        <v>N</v>
      </c>
      <c r="F2277" t="str">
        <f t="shared" si="87"/>
        <v>13N</v>
      </c>
    </row>
    <row r="2278" spans="1:6" x14ac:dyDescent="0.2">
      <c r="A2278">
        <v>14</v>
      </c>
      <c r="E2278" t="str">
        <f t="shared" si="88"/>
        <v>O</v>
      </c>
      <c r="F2278" t="str">
        <f t="shared" si="87"/>
        <v>14O</v>
      </c>
    </row>
    <row r="2279" spans="1:6" x14ac:dyDescent="0.2">
      <c r="A2279">
        <v>15</v>
      </c>
      <c r="E2279" t="str">
        <f t="shared" si="88"/>
        <v>P</v>
      </c>
      <c r="F2279" t="str">
        <f t="shared" si="87"/>
        <v>15P</v>
      </c>
    </row>
    <row r="2280" spans="1:6" x14ac:dyDescent="0.2">
      <c r="A2280">
        <v>16</v>
      </c>
      <c r="E2280" t="str">
        <f t="shared" si="88"/>
        <v>Q</v>
      </c>
      <c r="F2280" t="str">
        <f t="shared" si="87"/>
        <v>16Q</v>
      </c>
    </row>
    <row r="2281" spans="1:6" x14ac:dyDescent="0.2">
      <c r="A2281">
        <v>17</v>
      </c>
      <c r="E2281" t="str">
        <f t="shared" si="88"/>
        <v>R</v>
      </c>
      <c r="F2281" t="str">
        <f t="shared" si="87"/>
        <v>17R</v>
      </c>
    </row>
    <row r="2282" spans="1:6" x14ac:dyDescent="0.2">
      <c r="A2282">
        <v>18</v>
      </c>
      <c r="E2282" t="str">
        <f t="shared" si="88"/>
        <v>S</v>
      </c>
      <c r="F2282" t="str">
        <f t="shared" si="87"/>
        <v>18S</v>
      </c>
    </row>
    <row r="2283" spans="1:6" x14ac:dyDescent="0.2">
      <c r="A2283">
        <v>19</v>
      </c>
      <c r="E2283" t="str">
        <f t="shared" si="88"/>
        <v>T</v>
      </c>
      <c r="F2283" t="str">
        <f t="shared" si="87"/>
        <v>19T</v>
      </c>
    </row>
    <row r="2284" spans="1:6" x14ac:dyDescent="0.2">
      <c r="A2284">
        <v>20</v>
      </c>
      <c r="E2284" t="str">
        <f t="shared" si="88"/>
        <v>U</v>
      </c>
      <c r="F2284" t="str">
        <f t="shared" si="87"/>
        <v>20U</v>
      </c>
    </row>
    <row r="2285" spans="1:6" x14ac:dyDescent="0.2">
      <c r="A2285">
        <v>21</v>
      </c>
      <c r="E2285" t="str">
        <f t="shared" si="88"/>
        <v>V</v>
      </c>
      <c r="F2285" t="str">
        <f t="shared" si="87"/>
        <v>21V</v>
      </c>
    </row>
    <row r="2286" spans="1:6" x14ac:dyDescent="0.2">
      <c r="A2286">
        <v>22</v>
      </c>
      <c r="E2286" t="str">
        <f t="shared" si="88"/>
        <v>W</v>
      </c>
      <c r="F2286" t="str">
        <f t="shared" si="87"/>
        <v>22W</v>
      </c>
    </row>
    <row r="2287" spans="1:6" x14ac:dyDescent="0.2">
      <c r="A2287">
        <v>23</v>
      </c>
      <c r="E2287" t="str">
        <f t="shared" si="88"/>
        <v>X</v>
      </c>
      <c r="F2287" t="str">
        <f t="shared" si="87"/>
        <v>23X</v>
      </c>
    </row>
    <row r="2288" spans="1:6" x14ac:dyDescent="0.2">
      <c r="A2288">
        <v>24</v>
      </c>
      <c r="E2288" t="str">
        <f t="shared" si="88"/>
        <v>Y</v>
      </c>
      <c r="F2288" t="str">
        <f t="shared" si="87"/>
        <v>24Y</v>
      </c>
    </row>
    <row r="2289" spans="1:6" x14ac:dyDescent="0.2">
      <c r="A2289">
        <v>25</v>
      </c>
      <c r="E2289" t="str">
        <f t="shared" si="88"/>
        <v>Z</v>
      </c>
      <c r="F2289" t="str">
        <f t="shared" si="87"/>
        <v>25Z</v>
      </c>
    </row>
    <row r="2290" spans="1:6" x14ac:dyDescent="0.2">
      <c r="A2290">
        <v>0</v>
      </c>
      <c r="E2290" t="str">
        <f t="shared" si="88"/>
        <v>A</v>
      </c>
      <c r="F2290" t="str">
        <f t="shared" si="87"/>
        <v>0A</v>
      </c>
    </row>
    <row r="2291" spans="1:6" x14ac:dyDescent="0.2">
      <c r="A2291">
        <v>1</v>
      </c>
      <c r="E2291" t="str">
        <f t="shared" si="88"/>
        <v>B</v>
      </c>
      <c r="F2291" t="str">
        <f t="shared" si="87"/>
        <v>1B</v>
      </c>
    </row>
    <row r="2292" spans="1:6" x14ac:dyDescent="0.2">
      <c r="A2292">
        <v>2</v>
      </c>
      <c r="E2292" t="str">
        <f t="shared" si="88"/>
        <v>C</v>
      </c>
      <c r="F2292" t="str">
        <f t="shared" si="87"/>
        <v>2C</v>
      </c>
    </row>
    <row r="2293" spans="1:6" x14ac:dyDescent="0.2">
      <c r="A2293">
        <v>3</v>
      </c>
      <c r="E2293" t="str">
        <f t="shared" si="88"/>
        <v>D</v>
      </c>
      <c r="F2293" t="str">
        <f t="shared" si="87"/>
        <v>3D</v>
      </c>
    </row>
    <row r="2294" spans="1:6" x14ac:dyDescent="0.2">
      <c r="A2294">
        <v>4</v>
      </c>
      <c r="E2294" t="str">
        <f t="shared" si="88"/>
        <v>E</v>
      </c>
      <c r="F2294" t="str">
        <f t="shared" si="87"/>
        <v>4E</v>
      </c>
    </row>
    <row r="2295" spans="1:6" x14ac:dyDescent="0.2">
      <c r="A2295">
        <v>5</v>
      </c>
      <c r="E2295" t="str">
        <f t="shared" si="88"/>
        <v>F</v>
      </c>
      <c r="F2295" t="str">
        <f t="shared" si="87"/>
        <v>5F</v>
      </c>
    </row>
    <row r="2296" spans="1:6" x14ac:dyDescent="0.2">
      <c r="A2296">
        <v>6</v>
      </c>
      <c r="E2296" t="str">
        <f t="shared" si="88"/>
        <v>G</v>
      </c>
      <c r="F2296" t="str">
        <f t="shared" si="87"/>
        <v>6G</v>
      </c>
    </row>
    <row r="2297" spans="1:6" x14ac:dyDescent="0.2">
      <c r="A2297">
        <v>7</v>
      </c>
      <c r="E2297" t="str">
        <f t="shared" si="88"/>
        <v>H</v>
      </c>
      <c r="F2297" t="str">
        <f t="shared" si="87"/>
        <v>7H</v>
      </c>
    </row>
    <row r="2298" spans="1:6" x14ac:dyDescent="0.2">
      <c r="A2298">
        <v>8</v>
      </c>
      <c r="E2298" t="str">
        <f t="shared" si="88"/>
        <v>I</v>
      </c>
      <c r="F2298" t="str">
        <f t="shared" si="87"/>
        <v>8I</v>
      </c>
    </row>
    <row r="2299" spans="1:6" x14ac:dyDescent="0.2">
      <c r="A2299">
        <v>9</v>
      </c>
      <c r="E2299" t="str">
        <f t="shared" si="88"/>
        <v>J</v>
      </c>
      <c r="F2299" t="str">
        <f t="shared" si="87"/>
        <v>9J</v>
      </c>
    </row>
    <row r="2300" spans="1:6" x14ac:dyDescent="0.2">
      <c r="A2300">
        <v>10</v>
      </c>
      <c r="E2300" t="str">
        <f t="shared" si="88"/>
        <v>K</v>
      </c>
      <c r="F2300" t="str">
        <f t="shared" si="87"/>
        <v>10K</v>
      </c>
    </row>
    <row r="2301" spans="1:6" x14ac:dyDescent="0.2">
      <c r="A2301">
        <v>11</v>
      </c>
      <c r="E2301" t="str">
        <f t="shared" si="88"/>
        <v>L</v>
      </c>
      <c r="F2301" t="str">
        <f t="shared" si="87"/>
        <v>11L</v>
      </c>
    </row>
    <row r="2302" spans="1:6" x14ac:dyDescent="0.2">
      <c r="A2302">
        <v>12</v>
      </c>
      <c r="E2302" t="str">
        <f t="shared" si="88"/>
        <v>M</v>
      </c>
      <c r="F2302" t="str">
        <f t="shared" si="87"/>
        <v>12M</v>
      </c>
    </row>
    <row r="2303" spans="1:6" x14ac:dyDescent="0.2">
      <c r="A2303">
        <v>13</v>
      </c>
      <c r="E2303" t="str">
        <f t="shared" si="88"/>
        <v>N</v>
      </c>
      <c r="F2303" t="str">
        <f t="shared" si="87"/>
        <v>13N</v>
      </c>
    </row>
    <row r="2304" spans="1:6" x14ac:dyDescent="0.2">
      <c r="A2304">
        <v>14</v>
      </c>
      <c r="E2304" t="str">
        <f t="shared" si="88"/>
        <v>O</v>
      </c>
      <c r="F2304" t="str">
        <f t="shared" si="87"/>
        <v>14O</v>
      </c>
    </row>
    <row r="2305" spans="1:6" x14ac:dyDescent="0.2">
      <c r="A2305">
        <v>15</v>
      </c>
      <c r="E2305" t="str">
        <f t="shared" si="88"/>
        <v>P</v>
      </c>
      <c r="F2305" t="str">
        <f t="shared" si="87"/>
        <v>15P</v>
      </c>
    </row>
    <row r="2306" spans="1:6" x14ac:dyDescent="0.2">
      <c r="A2306">
        <v>16</v>
      </c>
      <c r="E2306" t="str">
        <f t="shared" si="88"/>
        <v>Q</v>
      </c>
      <c r="F2306" t="str">
        <f t="shared" si="87"/>
        <v>16Q</v>
      </c>
    </row>
    <row r="2307" spans="1:6" x14ac:dyDescent="0.2">
      <c r="A2307">
        <v>17</v>
      </c>
      <c r="E2307" t="str">
        <f t="shared" si="88"/>
        <v>R</v>
      </c>
      <c r="F2307" t="str">
        <f t="shared" ref="F2307:F2370" si="89">A2307&amp;C2307&amp;E2307</f>
        <v>17R</v>
      </c>
    </row>
    <row r="2308" spans="1:6" x14ac:dyDescent="0.2">
      <c r="A2308">
        <v>18</v>
      </c>
      <c r="E2308" t="str">
        <f t="shared" si="88"/>
        <v>S</v>
      </c>
      <c r="F2308" t="str">
        <f t="shared" si="89"/>
        <v>18S</v>
      </c>
    </row>
    <row r="2309" spans="1:6" x14ac:dyDescent="0.2">
      <c r="A2309">
        <v>19</v>
      </c>
      <c r="E2309" t="str">
        <f t="shared" si="88"/>
        <v>T</v>
      </c>
      <c r="F2309" t="str">
        <f t="shared" si="89"/>
        <v>19T</v>
      </c>
    </row>
    <row r="2310" spans="1:6" x14ac:dyDescent="0.2">
      <c r="A2310">
        <v>20</v>
      </c>
      <c r="E2310" t="str">
        <f t="shared" si="88"/>
        <v>U</v>
      </c>
      <c r="F2310" t="str">
        <f t="shared" si="89"/>
        <v>20U</v>
      </c>
    </row>
    <row r="2311" spans="1:6" x14ac:dyDescent="0.2">
      <c r="A2311">
        <v>21</v>
      </c>
      <c r="E2311" t="str">
        <f t="shared" si="88"/>
        <v>V</v>
      </c>
      <c r="F2311" t="str">
        <f t="shared" si="89"/>
        <v>21V</v>
      </c>
    </row>
    <row r="2312" spans="1:6" x14ac:dyDescent="0.2">
      <c r="A2312">
        <v>22</v>
      </c>
      <c r="E2312" t="str">
        <f t="shared" si="88"/>
        <v>W</v>
      </c>
      <c r="F2312" t="str">
        <f t="shared" si="89"/>
        <v>22W</v>
      </c>
    </row>
    <row r="2313" spans="1:6" x14ac:dyDescent="0.2">
      <c r="A2313">
        <v>23</v>
      </c>
      <c r="E2313" t="str">
        <f t="shared" si="88"/>
        <v>X</v>
      </c>
      <c r="F2313" t="str">
        <f t="shared" si="89"/>
        <v>23X</v>
      </c>
    </row>
    <row r="2314" spans="1:6" x14ac:dyDescent="0.2">
      <c r="A2314">
        <v>24</v>
      </c>
      <c r="E2314" t="str">
        <f t="shared" si="88"/>
        <v>Y</v>
      </c>
      <c r="F2314" t="str">
        <f t="shared" si="89"/>
        <v>24Y</v>
      </c>
    </row>
    <row r="2315" spans="1:6" x14ac:dyDescent="0.2">
      <c r="A2315">
        <v>25</v>
      </c>
      <c r="E2315" t="str">
        <f t="shared" si="88"/>
        <v>Z</v>
      </c>
      <c r="F2315" t="str">
        <f t="shared" si="89"/>
        <v>25Z</v>
      </c>
    </row>
    <row r="2316" spans="1:6" x14ac:dyDescent="0.2">
      <c r="A2316">
        <v>0</v>
      </c>
      <c r="E2316" t="str">
        <f t="shared" si="88"/>
        <v>A</v>
      </c>
      <c r="F2316" t="str">
        <f t="shared" si="89"/>
        <v>0A</v>
      </c>
    </row>
    <row r="2317" spans="1:6" x14ac:dyDescent="0.2">
      <c r="A2317">
        <v>1</v>
      </c>
      <c r="E2317" t="str">
        <f t="shared" si="88"/>
        <v>B</v>
      </c>
      <c r="F2317" t="str">
        <f t="shared" si="89"/>
        <v>1B</v>
      </c>
    </row>
    <row r="2318" spans="1:6" x14ac:dyDescent="0.2">
      <c r="A2318">
        <v>2</v>
      </c>
      <c r="E2318" t="str">
        <f t="shared" si="88"/>
        <v>C</v>
      </c>
      <c r="F2318" t="str">
        <f t="shared" si="89"/>
        <v>2C</v>
      </c>
    </row>
    <row r="2319" spans="1:6" x14ac:dyDescent="0.2">
      <c r="A2319">
        <v>3</v>
      </c>
      <c r="E2319" t="str">
        <f t="shared" si="88"/>
        <v>D</v>
      </c>
      <c r="F2319" t="str">
        <f t="shared" si="89"/>
        <v>3D</v>
      </c>
    </row>
    <row r="2320" spans="1:6" x14ac:dyDescent="0.2">
      <c r="A2320">
        <v>4</v>
      </c>
      <c r="E2320" t="str">
        <f t="shared" si="88"/>
        <v>E</v>
      </c>
      <c r="F2320" t="str">
        <f t="shared" si="89"/>
        <v>4E</v>
      </c>
    </row>
    <row r="2321" spans="1:6" x14ac:dyDescent="0.2">
      <c r="A2321">
        <v>5</v>
      </c>
      <c r="E2321" t="str">
        <f t="shared" si="88"/>
        <v>F</v>
      </c>
      <c r="F2321" t="str">
        <f t="shared" si="89"/>
        <v>5F</v>
      </c>
    </row>
    <row r="2322" spans="1:6" x14ac:dyDescent="0.2">
      <c r="A2322">
        <v>6</v>
      </c>
      <c r="E2322" t="str">
        <f t="shared" si="88"/>
        <v>G</v>
      </c>
      <c r="F2322" t="str">
        <f t="shared" si="89"/>
        <v>6G</v>
      </c>
    </row>
    <row r="2323" spans="1:6" x14ac:dyDescent="0.2">
      <c r="A2323">
        <v>7</v>
      </c>
      <c r="E2323" t="str">
        <f t="shared" si="88"/>
        <v>H</v>
      </c>
      <c r="F2323" t="str">
        <f t="shared" si="89"/>
        <v>7H</v>
      </c>
    </row>
    <row r="2324" spans="1:6" x14ac:dyDescent="0.2">
      <c r="A2324">
        <v>8</v>
      </c>
      <c r="E2324" t="str">
        <f t="shared" si="88"/>
        <v>I</v>
      </c>
      <c r="F2324" t="str">
        <f t="shared" si="89"/>
        <v>8I</v>
      </c>
    </row>
    <row r="2325" spans="1:6" x14ac:dyDescent="0.2">
      <c r="A2325">
        <v>9</v>
      </c>
      <c r="E2325" t="str">
        <f t="shared" si="88"/>
        <v>J</v>
      </c>
      <c r="F2325" t="str">
        <f t="shared" si="89"/>
        <v>9J</v>
      </c>
    </row>
    <row r="2326" spans="1:6" x14ac:dyDescent="0.2">
      <c r="A2326">
        <v>10</v>
      </c>
      <c r="E2326" t="str">
        <f t="shared" si="88"/>
        <v>K</v>
      </c>
      <c r="F2326" t="str">
        <f t="shared" si="89"/>
        <v>10K</v>
      </c>
    </row>
    <row r="2327" spans="1:6" x14ac:dyDescent="0.2">
      <c r="A2327">
        <v>11</v>
      </c>
      <c r="E2327" t="str">
        <f t="shared" si="88"/>
        <v>L</v>
      </c>
      <c r="F2327" t="str">
        <f t="shared" si="89"/>
        <v>11L</v>
      </c>
    </row>
    <row r="2328" spans="1:6" x14ac:dyDescent="0.2">
      <c r="A2328">
        <v>12</v>
      </c>
      <c r="E2328" t="str">
        <f t="shared" si="88"/>
        <v>M</v>
      </c>
      <c r="F2328" t="str">
        <f t="shared" si="89"/>
        <v>12M</v>
      </c>
    </row>
    <row r="2329" spans="1:6" x14ac:dyDescent="0.2">
      <c r="A2329">
        <v>13</v>
      </c>
      <c r="E2329" t="str">
        <f t="shared" si="88"/>
        <v>N</v>
      </c>
      <c r="F2329" t="str">
        <f t="shared" si="89"/>
        <v>13N</v>
      </c>
    </row>
    <row r="2330" spans="1:6" x14ac:dyDescent="0.2">
      <c r="A2330">
        <v>14</v>
      </c>
      <c r="E2330" t="str">
        <f t="shared" si="88"/>
        <v>O</v>
      </c>
      <c r="F2330" t="str">
        <f t="shared" si="89"/>
        <v>14O</v>
      </c>
    </row>
    <row r="2331" spans="1:6" x14ac:dyDescent="0.2">
      <c r="A2331">
        <v>15</v>
      </c>
      <c r="E2331" t="str">
        <f t="shared" si="88"/>
        <v>P</v>
      </c>
      <c r="F2331" t="str">
        <f t="shared" si="89"/>
        <v>15P</v>
      </c>
    </row>
    <row r="2332" spans="1:6" x14ac:dyDescent="0.2">
      <c r="A2332">
        <v>16</v>
      </c>
      <c r="E2332" t="str">
        <f t="shared" si="88"/>
        <v>Q</v>
      </c>
      <c r="F2332" t="str">
        <f t="shared" si="89"/>
        <v>16Q</v>
      </c>
    </row>
    <row r="2333" spans="1:6" x14ac:dyDescent="0.2">
      <c r="A2333">
        <v>17</v>
      </c>
      <c r="E2333" t="str">
        <f t="shared" ref="E2333:E2396" si="90">E2307</f>
        <v>R</v>
      </c>
      <c r="F2333" t="str">
        <f t="shared" si="89"/>
        <v>17R</v>
      </c>
    </row>
    <row r="2334" spans="1:6" x14ac:dyDescent="0.2">
      <c r="A2334">
        <v>18</v>
      </c>
      <c r="E2334" t="str">
        <f t="shared" si="90"/>
        <v>S</v>
      </c>
      <c r="F2334" t="str">
        <f t="shared" si="89"/>
        <v>18S</v>
      </c>
    </row>
    <row r="2335" spans="1:6" x14ac:dyDescent="0.2">
      <c r="A2335">
        <v>19</v>
      </c>
      <c r="E2335" t="str">
        <f t="shared" si="90"/>
        <v>T</v>
      </c>
      <c r="F2335" t="str">
        <f t="shared" si="89"/>
        <v>19T</v>
      </c>
    </row>
    <row r="2336" spans="1:6" x14ac:dyDescent="0.2">
      <c r="A2336">
        <v>20</v>
      </c>
      <c r="E2336" t="str">
        <f t="shared" si="90"/>
        <v>U</v>
      </c>
      <c r="F2336" t="str">
        <f t="shared" si="89"/>
        <v>20U</v>
      </c>
    </row>
    <row r="2337" spans="1:6" x14ac:dyDescent="0.2">
      <c r="A2337">
        <v>21</v>
      </c>
      <c r="E2337" t="str">
        <f t="shared" si="90"/>
        <v>V</v>
      </c>
      <c r="F2337" t="str">
        <f t="shared" si="89"/>
        <v>21V</v>
      </c>
    </row>
    <row r="2338" spans="1:6" x14ac:dyDescent="0.2">
      <c r="A2338">
        <v>22</v>
      </c>
      <c r="E2338" t="str">
        <f t="shared" si="90"/>
        <v>W</v>
      </c>
      <c r="F2338" t="str">
        <f t="shared" si="89"/>
        <v>22W</v>
      </c>
    </row>
    <row r="2339" spans="1:6" x14ac:dyDescent="0.2">
      <c r="A2339">
        <v>23</v>
      </c>
      <c r="E2339" t="str">
        <f t="shared" si="90"/>
        <v>X</v>
      </c>
      <c r="F2339" t="str">
        <f t="shared" si="89"/>
        <v>23X</v>
      </c>
    </row>
    <row r="2340" spans="1:6" x14ac:dyDescent="0.2">
      <c r="A2340">
        <v>24</v>
      </c>
      <c r="E2340" t="str">
        <f t="shared" si="90"/>
        <v>Y</v>
      </c>
      <c r="F2340" t="str">
        <f t="shared" si="89"/>
        <v>24Y</v>
      </c>
    </row>
    <row r="2341" spans="1:6" x14ac:dyDescent="0.2">
      <c r="A2341">
        <v>25</v>
      </c>
      <c r="E2341" t="str">
        <f t="shared" si="90"/>
        <v>Z</v>
      </c>
      <c r="F2341" t="str">
        <f t="shared" si="89"/>
        <v>25Z</v>
      </c>
    </row>
    <row r="2342" spans="1:6" x14ac:dyDescent="0.2">
      <c r="A2342">
        <v>0</v>
      </c>
      <c r="E2342" t="str">
        <f t="shared" si="90"/>
        <v>A</v>
      </c>
      <c r="F2342" t="str">
        <f t="shared" si="89"/>
        <v>0A</v>
      </c>
    </row>
    <row r="2343" spans="1:6" x14ac:dyDescent="0.2">
      <c r="A2343">
        <v>1</v>
      </c>
      <c r="E2343" t="str">
        <f t="shared" si="90"/>
        <v>B</v>
      </c>
      <c r="F2343" t="str">
        <f t="shared" si="89"/>
        <v>1B</v>
      </c>
    </row>
    <row r="2344" spans="1:6" x14ac:dyDescent="0.2">
      <c r="A2344">
        <v>2</v>
      </c>
      <c r="E2344" t="str">
        <f t="shared" si="90"/>
        <v>C</v>
      </c>
      <c r="F2344" t="str">
        <f t="shared" si="89"/>
        <v>2C</v>
      </c>
    </row>
    <row r="2345" spans="1:6" x14ac:dyDescent="0.2">
      <c r="A2345">
        <v>3</v>
      </c>
      <c r="E2345" t="str">
        <f t="shared" si="90"/>
        <v>D</v>
      </c>
      <c r="F2345" t="str">
        <f t="shared" si="89"/>
        <v>3D</v>
      </c>
    </row>
    <row r="2346" spans="1:6" x14ac:dyDescent="0.2">
      <c r="A2346">
        <v>4</v>
      </c>
      <c r="E2346" t="str">
        <f t="shared" si="90"/>
        <v>E</v>
      </c>
      <c r="F2346" t="str">
        <f t="shared" si="89"/>
        <v>4E</v>
      </c>
    </row>
    <row r="2347" spans="1:6" x14ac:dyDescent="0.2">
      <c r="A2347">
        <v>5</v>
      </c>
      <c r="E2347" t="str">
        <f t="shared" si="90"/>
        <v>F</v>
      </c>
      <c r="F2347" t="str">
        <f t="shared" si="89"/>
        <v>5F</v>
      </c>
    </row>
    <row r="2348" spans="1:6" x14ac:dyDescent="0.2">
      <c r="A2348">
        <v>6</v>
      </c>
      <c r="E2348" t="str">
        <f t="shared" si="90"/>
        <v>G</v>
      </c>
      <c r="F2348" t="str">
        <f t="shared" si="89"/>
        <v>6G</v>
      </c>
    </row>
    <row r="2349" spans="1:6" x14ac:dyDescent="0.2">
      <c r="A2349">
        <v>7</v>
      </c>
      <c r="E2349" t="str">
        <f t="shared" si="90"/>
        <v>H</v>
      </c>
      <c r="F2349" t="str">
        <f t="shared" si="89"/>
        <v>7H</v>
      </c>
    </row>
    <row r="2350" spans="1:6" x14ac:dyDescent="0.2">
      <c r="A2350">
        <v>8</v>
      </c>
      <c r="E2350" t="str">
        <f t="shared" si="90"/>
        <v>I</v>
      </c>
      <c r="F2350" t="str">
        <f t="shared" si="89"/>
        <v>8I</v>
      </c>
    </row>
    <row r="2351" spans="1:6" x14ac:dyDescent="0.2">
      <c r="A2351">
        <v>9</v>
      </c>
      <c r="E2351" t="str">
        <f t="shared" si="90"/>
        <v>J</v>
      </c>
      <c r="F2351" t="str">
        <f t="shared" si="89"/>
        <v>9J</v>
      </c>
    </row>
    <row r="2352" spans="1:6" x14ac:dyDescent="0.2">
      <c r="A2352">
        <v>10</v>
      </c>
      <c r="E2352" t="str">
        <f t="shared" si="90"/>
        <v>K</v>
      </c>
      <c r="F2352" t="str">
        <f t="shared" si="89"/>
        <v>10K</v>
      </c>
    </row>
    <row r="2353" spans="1:6" x14ac:dyDescent="0.2">
      <c r="A2353">
        <v>11</v>
      </c>
      <c r="E2353" t="str">
        <f t="shared" si="90"/>
        <v>L</v>
      </c>
      <c r="F2353" t="str">
        <f t="shared" si="89"/>
        <v>11L</v>
      </c>
    </row>
    <row r="2354" spans="1:6" x14ac:dyDescent="0.2">
      <c r="A2354">
        <v>12</v>
      </c>
      <c r="E2354" t="str">
        <f t="shared" si="90"/>
        <v>M</v>
      </c>
      <c r="F2354" t="str">
        <f t="shared" si="89"/>
        <v>12M</v>
      </c>
    </row>
    <row r="2355" spans="1:6" x14ac:dyDescent="0.2">
      <c r="A2355">
        <v>13</v>
      </c>
      <c r="E2355" t="str">
        <f t="shared" si="90"/>
        <v>N</v>
      </c>
      <c r="F2355" t="str">
        <f t="shared" si="89"/>
        <v>13N</v>
      </c>
    </row>
    <row r="2356" spans="1:6" x14ac:dyDescent="0.2">
      <c r="A2356">
        <v>14</v>
      </c>
      <c r="E2356" t="str">
        <f t="shared" si="90"/>
        <v>O</v>
      </c>
      <c r="F2356" t="str">
        <f t="shared" si="89"/>
        <v>14O</v>
      </c>
    </row>
    <row r="2357" spans="1:6" x14ac:dyDescent="0.2">
      <c r="A2357">
        <v>15</v>
      </c>
      <c r="E2357" t="str">
        <f t="shared" si="90"/>
        <v>P</v>
      </c>
      <c r="F2357" t="str">
        <f t="shared" si="89"/>
        <v>15P</v>
      </c>
    </row>
    <row r="2358" spans="1:6" x14ac:dyDescent="0.2">
      <c r="A2358">
        <v>16</v>
      </c>
      <c r="E2358" t="str">
        <f t="shared" si="90"/>
        <v>Q</v>
      </c>
      <c r="F2358" t="str">
        <f t="shared" si="89"/>
        <v>16Q</v>
      </c>
    </row>
    <row r="2359" spans="1:6" x14ac:dyDescent="0.2">
      <c r="A2359">
        <v>17</v>
      </c>
      <c r="E2359" t="str">
        <f t="shared" si="90"/>
        <v>R</v>
      </c>
      <c r="F2359" t="str">
        <f t="shared" si="89"/>
        <v>17R</v>
      </c>
    </row>
    <row r="2360" spans="1:6" x14ac:dyDescent="0.2">
      <c r="A2360">
        <v>18</v>
      </c>
      <c r="E2360" t="str">
        <f t="shared" si="90"/>
        <v>S</v>
      </c>
      <c r="F2360" t="str">
        <f t="shared" si="89"/>
        <v>18S</v>
      </c>
    </row>
    <row r="2361" spans="1:6" x14ac:dyDescent="0.2">
      <c r="A2361">
        <v>19</v>
      </c>
      <c r="E2361" t="str">
        <f t="shared" si="90"/>
        <v>T</v>
      </c>
      <c r="F2361" t="str">
        <f t="shared" si="89"/>
        <v>19T</v>
      </c>
    </row>
    <row r="2362" spans="1:6" x14ac:dyDescent="0.2">
      <c r="A2362">
        <v>20</v>
      </c>
      <c r="E2362" t="str">
        <f t="shared" si="90"/>
        <v>U</v>
      </c>
      <c r="F2362" t="str">
        <f t="shared" si="89"/>
        <v>20U</v>
      </c>
    </row>
    <row r="2363" spans="1:6" x14ac:dyDescent="0.2">
      <c r="A2363">
        <v>21</v>
      </c>
      <c r="E2363" t="str">
        <f t="shared" si="90"/>
        <v>V</v>
      </c>
      <c r="F2363" t="str">
        <f t="shared" si="89"/>
        <v>21V</v>
      </c>
    </row>
    <row r="2364" spans="1:6" x14ac:dyDescent="0.2">
      <c r="A2364">
        <v>22</v>
      </c>
      <c r="E2364" t="str">
        <f t="shared" si="90"/>
        <v>W</v>
      </c>
      <c r="F2364" t="str">
        <f t="shared" si="89"/>
        <v>22W</v>
      </c>
    </row>
    <row r="2365" spans="1:6" x14ac:dyDescent="0.2">
      <c r="A2365">
        <v>23</v>
      </c>
      <c r="E2365" t="str">
        <f t="shared" si="90"/>
        <v>X</v>
      </c>
      <c r="F2365" t="str">
        <f t="shared" si="89"/>
        <v>23X</v>
      </c>
    </row>
    <row r="2366" spans="1:6" x14ac:dyDescent="0.2">
      <c r="A2366">
        <v>24</v>
      </c>
      <c r="E2366" t="str">
        <f t="shared" si="90"/>
        <v>Y</v>
      </c>
      <c r="F2366" t="str">
        <f t="shared" si="89"/>
        <v>24Y</v>
      </c>
    </row>
    <row r="2367" spans="1:6" x14ac:dyDescent="0.2">
      <c r="A2367">
        <v>25</v>
      </c>
      <c r="E2367" t="str">
        <f t="shared" si="90"/>
        <v>Z</v>
      </c>
      <c r="F2367" t="str">
        <f t="shared" si="89"/>
        <v>25Z</v>
      </c>
    </row>
    <row r="2368" spans="1:6" x14ac:dyDescent="0.2">
      <c r="A2368">
        <v>0</v>
      </c>
      <c r="E2368" t="str">
        <f t="shared" si="90"/>
        <v>A</v>
      </c>
      <c r="F2368" t="str">
        <f t="shared" si="89"/>
        <v>0A</v>
      </c>
    </row>
    <row r="2369" spans="1:6" x14ac:dyDescent="0.2">
      <c r="A2369">
        <v>1</v>
      </c>
      <c r="E2369" t="str">
        <f t="shared" si="90"/>
        <v>B</v>
      </c>
      <c r="F2369" t="str">
        <f t="shared" si="89"/>
        <v>1B</v>
      </c>
    </row>
    <row r="2370" spans="1:6" x14ac:dyDescent="0.2">
      <c r="A2370">
        <v>2</v>
      </c>
      <c r="E2370" t="str">
        <f t="shared" si="90"/>
        <v>C</v>
      </c>
      <c r="F2370" t="str">
        <f t="shared" si="89"/>
        <v>2C</v>
      </c>
    </row>
    <row r="2371" spans="1:6" x14ac:dyDescent="0.2">
      <c r="A2371">
        <v>3</v>
      </c>
      <c r="E2371" t="str">
        <f t="shared" si="90"/>
        <v>D</v>
      </c>
      <c r="F2371" t="str">
        <f t="shared" ref="F2371:F2434" si="91">A2371&amp;C2371&amp;E2371</f>
        <v>3D</v>
      </c>
    </row>
    <row r="2372" spans="1:6" x14ac:dyDescent="0.2">
      <c r="A2372">
        <v>4</v>
      </c>
      <c r="E2372" t="str">
        <f t="shared" si="90"/>
        <v>E</v>
      </c>
      <c r="F2372" t="str">
        <f t="shared" si="91"/>
        <v>4E</v>
      </c>
    </row>
    <row r="2373" spans="1:6" x14ac:dyDescent="0.2">
      <c r="A2373">
        <v>5</v>
      </c>
      <c r="E2373" t="str">
        <f t="shared" si="90"/>
        <v>F</v>
      </c>
      <c r="F2373" t="str">
        <f t="shared" si="91"/>
        <v>5F</v>
      </c>
    </row>
    <row r="2374" spans="1:6" x14ac:dyDescent="0.2">
      <c r="A2374">
        <v>6</v>
      </c>
      <c r="E2374" t="str">
        <f t="shared" si="90"/>
        <v>G</v>
      </c>
      <c r="F2374" t="str">
        <f t="shared" si="91"/>
        <v>6G</v>
      </c>
    </row>
    <row r="2375" spans="1:6" x14ac:dyDescent="0.2">
      <c r="A2375">
        <v>7</v>
      </c>
      <c r="E2375" t="str">
        <f t="shared" si="90"/>
        <v>H</v>
      </c>
      <c r="F2375" t="str">
        <f t="shared" si="91"/>
        <v>7H</v>
      </c>
    </row>
    <row r="2376" spans="1:6" x14ac:dyDescent="0.2">
      <c r="A2376">
        <v>8</v>
      </c>
      <c r="E2376" t="str">
        <f t="shared" si="90"/>
        <v>I</v>
      </c>
      <c r="F2376" t="str">
        <f t="shared" si="91"/>
        <v>8I</v>
      </c>
    </row>
    <row r="2377" spans="1:6" x14ac:dyDescent="0.2">
      <c r="A2377">
        <v>9</v>
      </c>
      <c r="E2377" t="str">
        <f t="shared" si="90"/>
        <v>J</v>
      </c>
      <c r="F2377" t="str">
        <f t="shared" si="91"/>
        <v>9J</v>
      </c>
    </row>
    <row r="2378" spans="1:6" x14ac:dyDescent="0.2">
      <c r="A2378">
        <v>10</v>
      </c>
      <c r="E2378" t="str">
        <f t="shared" si="90"/>
        <v>K</v>
      </c>
      <c r="F2378" t="str">
        <f t="shared" si="91"/>
        <v>10K</v>
      </c>
    </row>
    <row r="2379" spans="1:6" x14ac:dyDescent="0.2">
      <c r="A2379">
        <v>11</v>
      </c>
      <c r="E2379" t="str">
        <f t="shared" si="90"/>
        <v>L</v>
      </c>
      <c r="F2379" t="str">
        <f t="shared" si="91"/>
        <v>11L</v>
      </c>
    </row>
    <row r="2380" spans="1:6" x14ac:dyDescent="0.2">
      <c r="A2380">
        <v>12</v>
      </c>
      <c r="E2380" t="str">
        <f t="shared" si="90"/>
        <v>M</v>
      </c>
      <c r="F2380" t="str">
        <f t="shared" si="91"/>
        <v>12M</v>
      </c>
    </row>
    <row r="2381" spans="1:6" x14ac:dyDescent="0.2">
      <c r="A2381">
        <v>13</v>
      </c>
      <c r="E2381" t="str">
        <f t="shared" si="90"/>
        <v>N</v>
      </c>
      <c r="F2381" t="str">
        <f t="shared" si="91"/>
        <v>13N</v>
      </c>
    </row>
    <row r="2382" spans="1:6" x14ac:dyDescent="0.2">
      <c r="A2382">
        <v>14</v>
      </c>
      <c r="E2382" t="str">
        <f t="shared" si="90"/>
        <v>O</v>
      </c>
      <c r="F2382" t="str">
        <f t="shared" si="91"/>
        <v>14O</v>
      </c>
    </row>
    <row r="2383" spans="1:6" x14ac:dyDescent="0.2">
      <c r="A2383">
        <v>15</v>
      </c>
      <c r="E2383" t="str">
        <f t="shared" si="90"/>
        <v>P</v>
      </c>
      <c r="F2383" t="str">
        <f t="shared" si="91"/>
        <v>15P</v>
      </c>
    </row>
    <row r="2384" spans="1:6" x14ac:dyDescent="0.2">
      <c r="A2384">
        <v>16</v>
      </c>
      <c r="E2384" t="str">
        <f t="shared" si="90"/>
        <v>Q</v>
      </c>
      <c r="F2384" t="str">
        <f t="shared" si="91"/>
        <v>16Q</v>
      </c>
    </row>
    <row r="2385" spans="1:6" x14ac:dyDescent="0.2">
      <c r="A2385">
        <v>17</v>
      </c>
      <c r="E2385" t="str">
        <f t="shared" si="90"/>
        <v>R</v>
      </c>
      <c r="F2385" t="str">
        <f t="shared" si="91"/>
        <v>17R</v>
      </c>
    </row>
    <row r="2386" spans="1:6" x14ac:dyDescent="0.2">
      <c r="A2386">
        <v>18</v>
      </c>
      <c r="E2386" t="str">
        <f t="shared" si="90"/>
        <v>S</v>
      </c>
      <c r="F2386" t="str">
        <f t="shared" si="91"/>
        <v>18S</v>
      </c>
    </row>
    <row r="2387" spans="1:6" x14ac:dyDescent="0.2">
      <c r="A2387">
        <v>19</v>
      </c>
      <c r="E2387" t="str">
        <f t="shared" si="90"/>
        <v>T</v>
      </c>
      <c r="F2387" t="str">
        <f t="shared" si="91"/>
        <v>19T</v>
      </c>
    </row>
    <row r="2388" spans="1:6" x14ac:dyDescent="0.2">
      <c r="A2388">
        <v>20</v>
      </c>
      <c r="E2388" t="str">
        <f t="shared" si="90"/>
        <v>U</v>
      </c>
      <c r="F2388" t="str">
        <f t="shared" si="91"/>
        <v>20U</v>
      </c>
    </row>
    <row r="2389" spans="1:6" x14ac:dyDescent="0.2">
      <c r="A2389">
        <v>21</v>
      </c>
      <c r="E2389" t="str">
        <f t="shared" si="90"/>
        <v>V</v>
      </c>
      <c r="F2389" t="str">
        <f t="shared" si="91"/>
        <v>21V</v>
      </c>
    </row>
    <row r="2390" spans="1:6" x14ac:dyDescent="0.2">
      <c r="A2390">
        <v>22</v>
      </c>
      <c r="E2390" t="str">
        <f t="shared" si="90"/>
        <v>W</v>
      </c>
      <c r="F2390" t="str">
        <f t="shared" si="91"/>
        <v>22W</v>
      </c>
    </row>
    <row r="2391" spans="1:6" x14ac:dyDescent="0.2">
      <c r="A2391">
        <v>23</v>
      </c>
      <c r="E2391" t="str">
        <f t="shared" si="90"/>
        <v>X</v>
      </c>
      <c r="F2391" t="str">
        <f t="shared" si="91"/>
        <v>23X</v>
      </c>
    </row>
    <row r="2392" spans="1:6" x14ac:dyDescent="0.2">
      <c r="A2392">
        <v>24</v>
      </c>
      <c r="E2392" t="str">
        <f t="shared" si="90"/>
        <v>Y</v>
      </c>
      <c r="F2392" t="str">
        <f t="shared" si="91"/>
        <v>24Y</v>
      </c>
    </row>
    <row r="2393" spans="1:6" x14ac:dyDescent="0.2">
      <c r="A2393">
        <v>25</v>
      </c>
      <c r="E2393" t="str">
        <f t="shared" si="90"/>
        <v>Z</v>
      </c>
      <c r="F2393" t="str">
        <f t="shared" si="91"/>
        <v>25Z</v>
      </c>
    </row>
    <row r="2394" spans="1:6" x14ac:dyDescent="0.2">
      <c r="A2394">
        <v>0</v>
      </c>
      <c r="E2394" t="str">
        <f t="shared" si="90"/>
        <v>A</v>
      </c>
      <c r="F2394" t="str">
        <f t="shared" si="91"/>
        <v>0A</v>
      </c>
    </row>
    <row r="2395" spans="1:6" x14ac:dyDescent="0.2">
      <c r="A2395">
        <v>1</v>
      </c>
      <c r="E2395" t="str">
        <f t="shared" si="90"/>
        <v>B</v>
      </c>
      <c r="F2395" t="str">
        <f t="shared" si="91"/>
        <v>1B</v>
      </c>
    </row>
    <row r="2396" spans="1:6" x14ac:dyDescent="0.2">
      <c r="A2396">
        <v>2</v>
      </c>
      <c r="E2396" t="str">
        <f t="shared" si="90"/>
        <v>C</v>
      </c>
      <c r="F2396" t="str">
        <f t="shared" si="91"/>
        <v>2C</v>
      </c>
    </row>
    <row r="2397" spans="1:6" x14ac:dyDescent="0.2">
      <c r="A2397">
        <v>3</v>
      </c>
      <c r="E2397" t="str">
        <f t="shared" ref="E2397:E2460" si="92">E2371</f>
        <v>D</v>
      </c>
      <c r="F2397" t="str">
        <f t="shared" si="91"/>
        <v>3D</v>
      </c>
    </row>
    <row r="2398" spans="1:6" x14ac:dyDescent="0.2">
      <c r="A2398">
        <v>4</v>
      </c>
      <c r="E2398" t="str">
        <f t="shared" si="92"/>
        <v>E</v>
      </c>
      <c r="F2398" t="str">
        <f t="shared" si="91"/>
        <v>4E</v>
      </c>
    </row>
    <row r="2399" spans="1:6" x14ac:dyDescent="0.2">
      <c r="A2399">
        <v>5</v>
      </c>
      <c r="E2399" t="str">
        <f t="shared" si="92"/>
        <v>F</v>
      </c>
      <c r="F2399" t="str">
        <f t="shared" si="91"/>
        <v>5F</v>
      </c>
    </row>
    <row r="2400" spans="1:6" x14ac:dyDescent="0.2">
      <c r="A2400">
        <v>6</v>
      </c>
      <c r="E2400" t="str">
        <f t="shared" si="92"/>
        <v>G</v>
      </c>
      <c r="F2400" t="str">
        <f t="shared" si="91"/>
        <v>6G</v>
      </c>
    </row>
    <row r="2401" spans="1:6" x14ac:dyDescent="0.2">
      <c r="A2401">
        <v>7</v>
      </c>
      <c r="E2401" t="str">
        <f t="shared" si="92"/>
        <v>H</v>
      </c>
      <c r="F2401" t="str">
        <f t="shared" si="91"/>
        <v>7H</v>
      </c>
    </row>
    <row r="2402" spans="1:6" x14ac:dyDescent="0.2">
      <c r="A2402">
        <v>8</v>
      </c>
      <c r="E2402" t="str">
        <f t="shared" si="92"/>
        <v>I</v>
      </c>
      <c r="F2402" t="str">
        <f t="shared" si="91"/>
        <v>8I</v>
      </c>
    </row>
    <row r="2403" spans="1:6" x14ac:dyDescent="0.2">
      <c r="A2403">
        <v>9</v>
      </c>
      <c r="E2403" t="str">
        <f t="shared" si="92"/>
        <v>J</v>
      </c>
      <c r="F2403" t="str">
        <f t="shared" si="91"/>
        <v>9J</v>
      </c>
    </row>
    <row r="2404" spans="1:6" x14ac:dyDescent="0.2">
      <c r="A2404">
        <v>10</v>
      </c>
      <c r="E2404" t="str">
        <f t="shared" si="92"/>
        <v>K</v>
      </c>
      <c r="F2404" t="str">
        <f t="shared" si="91"/>
        <v>10K</v>
      </c>
    </row>
    <row r="2405" spans="1:6" x14ac:dyDescent="0.2">
      <c r="A2405">
        <v>11</v>
      </c>
      <c r="E2405" t="str">
        <f t="shared" si="92"/>
        <v>L</v>
      </c>
      <c r="F2405" t="str">
        <f t="shared" si="91"/>
        <v>11L</v>
      </c>
    </row>
    <row r="2406" spans="1:6" x14ac:dyDescent="0.2">
      <c r="A2406">
        <v>12</v>
      </c>
      <c r="E2406" t="str">
        <f t="shared" si="92"/>
        <v>M</v>
      </c>
      <c r="F2406" t="str">
        <f t="shared" si="91"/>
        <v>12M</v>
      </c>
    </row>
    <row r="2407" spans="1:6" x14ac:dyDescent="0.2">
      <c r="A2407">
        <v>13</v>
      </c>
      <c r="E2407" t="str">
        <f t="shared" si="92"/>
        <v>N</v>
      </c>
      <c r="F2407" t="str">
        <f t="shared" si="91"/>
        <v>13N</v>
      </c>
    </row>
    <row r="2408" spans="1:6" x14ac:dyDescent="0.2">
      <c r="A2408">
        <v>14</v>
      </c>
      <c r="E2408" t="str">
        <f t="shared" si="92"/>
        <v>O</v>
      </c>
      <c r="F2408" t="str">
        <f t="shared" si="91"/>
        <v>14O</v>
      </c>
    </row>
    <row r="2409" spans="1:6" x14ac:dyDescent="0.2">
      <c r="A2409">
        <v>15</v>
      </c>
      <c r="E2409" t="str">
        <f t="shared" si="92"/>
        <v>P</v>
      </c>
      <c r="F2409" t="str">
        <f t="shared" si="91"/>
        <v>15P</v>
      </c>
    </row>
    <row r="2410" spans="1:6" x14ac:dyDescent="0.2">
      <c r="A2410">
        <v>16</v>
      </c>
      <c r="E2410" t="str">
        <f t="shared" si="92"/>
        <v>Q</v>
      </c>
      <c r="F2410" t="str">
        <f t="shared" si="91"/>
        <v>16Q</v>
      </c>
    </row>
    <row r="2411" spans="1:6" x14ac:dyDescent="0.2">
      <c r="A2411">
        <v>17</v>
      </c>
      <c r="E2411" t="str">
        <f t="shared" si="92"/>
        <v>R</v>
      </c>
      <c r="F2411" t="str">
        <f t="shared" si="91"/>
        <v>17R</v>
      </c>
    </row>
    <row r="2412" spans="1:6" x14ac:dyDescent="0.2">
      <c r="A2412">
        <v>18</v>
      </c>
      <c r="E2412" t="str">
        <f t="shared" si="92"/>
        <v>S</v>
      </c>
      <c r="F2412" t="str">
        <f t="shared" si="91"/>
        <v>18S</v>
      </c>
    </row>
    <row r="2413" spans="1:6" x14ac:dyDescent="0.2">
      <c r="A2413">
        <v>19</v>
      </c>
      <c r="E2413" t="str">
        <f t="shared" si="92"/>
        <v>T</v>
      </c>
      <c r="F2413" t="str">
        <f t="shared" si="91"/>
        <v>19T</v>
      </c>
    </row>
    <row r="2414" spans="1:6" x14ac:dyDescent="0.2">
      <c r="A2414">
        <v>20</v>
      </c>
      <c r="E2414" t="str">
        <f t="shared" si="92"/>
        <v>U</v>
      </c>
      <c r="F2414" t="str">
        <f t="shared" si="91"/>
        <v>20U</v>
      </c>
    </row>
    <row r="2415" spans="1:6" x14ac:dyDescent="0.2">
      <c r="A2415">
        <v>21</v>
      </c>
      <c r="E2415" t="str">
        <f t="shared" si="92"/>
        <v>V</v>
      </c>
      <c r="F2415" t="str">
        <f t="shared" si="91"/>
        <v>21V</v>
      </c>
    </row>
    <row r="2416" spans="1:6" x14ac:dyDescent="0.2">
      <c r="A2416">
        <v>22</v>
      </c>
      <c r="E2416" t="str">
        <f t="shared" si="92"/>
        <v>W</v>
      </c>
      <c r="F2416" t="str">
        <f t="shared" si="91"/>
        <v>22W</v>
      </c>
    </row>
    <row r="2417" spans="1:6" x14ac:dyDescent="0.2">
      <c r="A2417">
        <v>23</v>
      </c>
      <c r="E2417" t="str">
        <f t="shared" si="92"/>
        <v>X</v>
      </c>
      <c r="F2417" t="str">
        <f t="shared" si="91"/>
        <v>23X</v>
      </c>
    </row>
    <row r="2418" spans="1:6" x14ac:dyDescent="0.2">
      <c r="A2418">
        <v>24</v>
      </c>
      <c r="E2418" t="str">
        <f t="shared" si="92"/>
        <v>Y</v>
      </c>
      <c r="F2418" t="str">
        <f t="shared" si="91"/>
        <v>24Y</v>
      </c>
    </row>
    <row r="2419" spans="1:6" x14ac:dyDescent="0.2">
      <c r="A2419">
        <v>25</v>
      </c>
      <c r="E2419" t="str">
        <f t="shared" si="92"/>
        <v>Z</v>
      </c>
      <c r="F2419" t="str">
        <f t="shared" si="91"/>
        <v>25Z</v>
      </c>
    </row>
    <row r="2420" spans="1:6" x14ac:dyDescent="0.2">
      <c r="A2420">
        <v>0</v>
      </c>
      <c r="E2420" t="str">
        <f t="shared" si="92"/>
        <v>A</v>
      </c>
      <c r="F2420" t="str">
        <f t="shared" si="91"/>
        <v>0A</v>
      </c>
    </row>
    <row r="2421" spans="1:6" x14ac:dyDescent="0.2">
      <c r="A2421">
        <v>1</v>
      </c>
      <c r="E2421" t="str">
        <f t="shared" si="92"/>
        <v>B</v>
      </c>
      <c r="F2421" t="str">
        <f t="shared" si="91"/>
        <v>1B</v>
      </c>
    </row>
    <row r="2422" spans="1:6" x14ac:dyDescent="0.2">
      <c r="A2422">
        <v>2</v>
      </c>
      <c r="E2422" t="str">
        <f t="shared" si="92"/>
        <v>C</v>
      </c>
      <c r="F2422" t="str">
        <f t="shared" si="91"/>
        <v>2C</v>
      </c>
    </row>
    <row r="2423" spans="1:6" x14ac:dyDescent="0.2">
      <c r="A2423">
        <v>3</v>
      </c>
      <c r="E2423" t="str">
        <f t="shared" si="92"/>
        <v>D</v>
      </c>
      <c r="F2423" t="str">
        <f t="shared" si="91"/>
        <v>3D</v>
      </c>
    </row>
    <row r="2424" spans="1:6" x14ac:dyDescent="0.2">
      <c r="A2424">
        <v>4</v>
      </c>
      <c r="E2424" t="str">
        <f t="shared" si="92"/>
        <v>E</v>
      </c>
      <c r="F2424" t="str">
        <f t="shared" si="91"/>
        <v>4E</v>
      </c>
    </row>
    <row r="2425" spans="1:6" x14ac:dyDescent="0.2">
      <c r="A2425">
        <v>5</v>
      </c>
      <c r="E2425" t="str">
        <f t="shared" si="92"/>
        <v>F</v>
      </c>
      <c r="F2425" t="str">
        <f t="shared" si="91"/>
        <v>5F</v>
      </c>
    </row>
    <row r="2426" spans="1:6" x14ac:dyDescent="0.2">
      <c r="A2426">
        <v>6</v>
      </c>
      <c r="E2426" t="str">
        <f t="shared" si="92"/>
        <v>G</v>
      </c>
      <c r="F2426" t="str">
        <f t="shared" si="91"/>
        <v>6G</v>
      </c>
    </row>
    <row r="2427" spans="1:6" x14ac:dyDescent="0.2">
      <c r="A2427">
        <v>7</v>
      </c>
      <c r="E2427" t="str">
        <f t="shared" si="92"/>
        <v>H</v>
      </c>
      <c r="F2427" t="str">
        <f t="shared" si="91"/>
        <v>7H</v>
      </c>
    </row>
    <row r="2428" spans="1:6" x14ac:dyDescent="0.2">
      <c r="A2428">
        <v>8</v>
      </c>
      <c r="E2428" t="str">
        <f t="shared" si="92"/>
        <v>I</v>
      </c>
      <c r="F2428" t="str">
        <f t="shared" si="91"/>
        <v>8I</v>
      </c>
    </row>
    <row r="2429" spans="1:6" x14ac:dyDescent="0.2">
      <c r="A2429">
        <v>9</v>
      </c>
      <c r="E2429" t="str">
        <f t="shared" si="92"/>
        <v>J</v>
      </c>
      <c r="F2429" t="str">
        <f t="shared" si="91"/>
        <v>9J</v>
      </c>
    </row>
    <row r="2430" spans="1:6" x14ac:dyDescent="0.2">
      <c r="A2430">
        <v>10</v>
      </c>
      <c r="E2430" t="str">
        <f t="shared" si="92"/>
        <v>K</v>
      </c>
      <c r="F2430" t="str">
        <f t="shared" si="91"/>
        <v>10K</v>
      </c>
    </row>
    <row r="2431" spans="1:6" x14ac:dyDescent="0.2">
      <c r="A2431">
        <v>11</v>
      </c>
      <c r="E2431" t="str">
        <f t="shared" si="92"/>
        <v>L</v>
      </c>
      <c r="F2431" t="str">
        <f t="shared" si="91"/>
        <v>11L</v>
      </c>
    </row>
    <row r="2432" spans="1:6" x14ac:dyDescent="0.2">
      <c r="A2432">
        <v>12</v>
      </c>
      <c r="E2432" t="str">
        <f t="shared" si="92"/>
        <v>M</v>
      </c>
      <c r="F2432" t="str">
        <f t="shared" si="91"/>
        <v>12M</v>
      </c>
    </row>
    <row r="2433" spans="1:6" x14ac:dyDescent="0.2">
      <c r="A2433">
        <v>13</v>
      </c>
      <c r="E2433" t="str">
        <f t="shared" si="92"/>
        <v>N</v>
      </c>
      <c r="F2433" t="str">
        <f t="shared" si="91"/>
        <v>13N</v>
      </c>
    </row>
    <row r="2434" spans="1:6" x14ac:dyDescent="0.2">
      <c r="A2434">
        <v>14</v>
      </c>
      <c r="E2434" t="str">
        <f t="shared" si="92"/>
        <v>O</v>
      </c>
      <c r="F2434" t="str">
        <f t="shared" si="91"/>
        <v>14O</v>
      </c>
    </row>
    <row r="2435" spans="1:6" x14ac:dyDescent="0.2">
      <c r="A2435">
        <v>15</v>
      </c>
      <c r="E2435" t="str">
        <f t="shared" si="92"/>
        <v>P</v>
      </c>
      <c r="F2435" t="str">
        <f t="shared" ref="F2435:F2498" si="93">A2435&amp;C2435&amp;E2435</f>
        <v>15P</v>
      </c>
    </row>
    <row r="2436" spans="1:6" x14ac:dyDescent="0.2">
      <c r="A2436">
        <v>16</v>
      </c>
      <c r="E2436" t="str">
        <f t="shared" si="92"/>
        <v>Q</v>
      </c>
      <c r="F2436" t="str">
        <f t="shared" si="93"/>
        <v>16Q</v>
      </c>
    </row>
    <row r="2437" spans="1:6" x14ac:dyDescent="0.2">
      <c r="A2437">
        <v>17</v>
      </c>
      <c r="E2437" t="str">
        <f t="shared" si="92"/>
        <v>R</v>
      </c>
      <c r="F2437" t="str">
        <f t="shared" si="93"/>
        <v>17R</v>
      </c>
    </row>
    <row r="2438" spans="1:6" x14ac:dyDescent="0.2">
      <c r="A2438">
        <v>18</v>
      </c>
      <c r="E2438" t="str">
        <f t="shared" si="92"/>
        <v>S</v>
      </c>
      <c r="F2438" t="str">
        <f t="shared" si="93"/>
        <v>18S</v>
      </c>
    </row>
    <row r="2439" spans="1:6" x14ac:dyDescent="0.2">
      <c r="A2439">
        <v>19</v>
      </c>
      <c r="E2439" t="str">
        <f t="shared" si="92"/>
        <v>T</v>
      </c>
      <c r="F2439" t="str">
        <f t="shared" si="93"/>
        <v>19T</v>
      </c>
    </row>
    <row r="2440" spans="1:6" x14ac:dyDescent="0.2">
      <c r="A2440">
        <v>20</v>
      </c>
      <c r="E2440" t="str">
        <f t="shared" si="92"/>
        <v>U</v>
      </c>
      <c r="F2440" t="str">
        <f t="shared" si="93"/>
        <v>20U</v>
      </c>
    </row>
    <row r="2441" spans="1:6" x14ac:dyDescent="0.2">
      <c r="A2441">
        <v>21</v>
      </c>
      <c r="E2441" t="str">
        <f t="shared" si="92"/>
        <v>V</v>
      </c>
      <c r="F2441" t="str">
        <f t="shared" si="93"/>
        <v>21V</v>
      </c>
    </row>
    <row r="2442" spans="1:6" x14ac:dyDescent="0.2">
      <c r="A2442">
        <v>22</v>
      </c>
      <c r="E2442" t="str">
        <f t="shared" si="92"/>
        <v>W</v>
      </c>
      <c r="F2442" t="str">
        <f t="shared" si="93"/>
        <v>22W</v>
      </c>
    </row>
    <row r="2443" spans="1:6" x14ac:dyDescent="0.2">
      <c r="A2443">
        <v>23</v>
      </c>
      <c r="E2443" t="str">
        <f t="shared" si="92"/>
        <v>X</v>
      </c>
      <c r="F2443" t="str">
        <f t="shared" si="93"/>
        <v>23X</v>
      </c>
    </row>
    <row r="2444" spans="1:6" x14ac:dyDescent="0.2">
      <c r="A2444">
        <v>24</v>
      </c>
      <c r="E2444" t="str">
        <f t="shared" si="92"/>
        <v>Y</v>
      </c>
      <c r="F2444" t="str">
        <f t="shared" si="93"/>
        <v>24Y</v>
      </c>
    </row>
    <row r="2445" spans="1:6" x14ac:dyDescent="0.2">
      <c r="A2445">
        <v>25</v>
      </c>
      <c r="E2445" t="str">
        <f t="shared" si="92"/>
        <v>Z</v>
      </c>
      <c r="F2445" t="str">
        <f t="shared" si="93"/>
        <v>25Z</v>
      </c>
    </row>
    <row r="2446" spans="1:6" x14ac:dyDescent="0.2">
      <c r="A2446">
        <v>0</v>
      </c>
      <c r="E2446" t="str">
        <f t="shared" si="92"/>
        <v>A</v>
      </c>
      <c r="F2446" t="str">
        <f t="shared" si="93"/>
        <v>0A</v>
      </c>
    </row>
    <row r="2447" spans="1:6" x14ac:dyDescent="0.2">
      <c r="A2447">
        <v>1</v>
      </c>
      <c r="E2447" t="str">
        <f t="shared" si="92"/>
        <v>B</v>
      </c>
      <c r="F2447" t="str">
        <f t="shared" si="93"/>
        <v>1B</v>
      </c>
    </row>
    <row r="2448" spans="1:6" x14ac:dyDescent="0.2">
      <c r="A2448">
        <v>2</v>
      </c>
      <c r="E2448" t="str">
        <f t="shared" si="92"/>
        <v>C</v>
      </c>
      <c r="F2448" t="str">
        <f t="shared" si="93"/>
        <v>2C</v>
      </c>
    </row>
    <row r="2449" spans="1:6" x14ac:dyDescent="0.2">
      <c r="A2449">
        <v>3</v>
      </c>
      <c r="E2449" t="str">
        <f t="shared" si="92"/>
        <v>D</v>
      </c>
      <c r="F2449" t="str">
        <f t="shared" si="93"/>
        <v>3D</v>
      </c>
    </row>
    <row r="2450" spans="1:6" x14ac:dyDescent="0.2">
      <c r="A2450">
        <v>4</v>
      </c>
      <c r="E2450" t="str">
        <f t="shared" si="92"/>
        <v>E</v>
      </c>
      <c r="F2450" t="str">
        <f t="shared" si="93"/>
        <v>4E</v>
      </c>
    </row>
    <row r="2451" spans="1:6" x14ac:dyDescent="0.2">
      <c r="A2451">
        <v>5</v>
      </c>
      <c r="E2451" t="str">
        <f t="shared" si="92"/>
        <v>F</v>
      </c>
      <c r="F2451" t="str">
        <f t="shared" si="93"/>
        <v>5F</v>
      </c>
    </row>
    <row r="2452" spans="1:6" x14ac:dyDescent="0.2">
      <c r="A2452">
        <v>6</v>
      </c>
      <c r="E2452" t="str">
        <f t="shared" si="92"/>
        <v>G</v>
      </c>
      <c r="F2452" t="str">
        <f t="shared" si="93"/>
        <v>6G</v>
      </c>
    </row>
    <row r="2453" spans="1:6" x14ac:dyDescent="0.2">
      <c r="A2453">
        <v>7</v>
      </c>
      <c r="E2453" t="str">
        <f t="shared" si="92"/>
        <v>H</v>
      </c>
      <c r="F2453" t="str">
        <f t="shared" si="93"/>
        <v>7H</v>
      </c>
    </row>
    <row r="2454" spans="1:6" x14ac:dyDescent="0.2">
      <c r="A2454">
        <v>8</v>
      </c>
      <c r="E2454" t="str">
        <f t="shared" si="92"/>
        <v>I</v>
      </c>
      <c r="F2454" t="str">
        <f t="shared" si="93"/>
        <v>8I</v>
      </c>
    </row>
    <row r="2455" spans="1:6" x14ac:dyDescent="0.2">
      <c r="A2455">
        <v>9</v>
      </c>
      <c r="E2455" t="str">
        <f t="shared" si="92"/>
        <v>J</v>
      </c>
      <c r="F2455" t="str">
        <f t="shared" si="93"/>
        <v>9J</v>
      </c>
    </row>
    <row r="2456" spans="1:6" x14ac:dyDescent="0.2">
      <c r="A2456">
        <v>10</v>
      </c>
      <c r="E2456" t="str">
        <f t="shared" si="92"/>
        <v>K</v>
      </c>
      <c r="F2456" t="str">
        <f t="shared" si="93"/>
        <v>10K</v>
      </c>
    </row>
    <row r="2457" spans="1:6" x14ac:dyDescent="0.2">
      <c r="A2457">
        <v>11</v>
      </c>
      <c r="E2457" t="str">
        <f t="shared" si="92"/>
        <v>L</v>
      </c>
      <c r="F2457" t="str">
        <f t="shared" si="93"/>
        <v>11L</v>
      </c>
    </row>
    <row r="2458" spans="1:6" x14ac:dyDescent="0.2">
      <c r="A2458">
        <v>12</v>
      </c>
      <c r="E2458" t="str">
        <f t="shared" si="92"/>
        <v>M</v>
      </c>
      <c r="F2458" t="str">
        <f t="shared" si="93"/>
        <v>12M</v>
      </c>
    </row>
    <row r="2459" spans="1:6" x14ac:dyDescent="0.2">
      <c r="A2459">
        <v>13</v>
      </c>
      <c r="E2459" t="str">
        <f t="shared" si="92"/>
        <v>N</v>
      </c>
      <c r="F2459" t="str">
        <f t="shared" si="93"/>
        <v>13N</v>
      </c>
    </row>
    <row r="2460" spans="1:6" x14ac:dyDescent="0.2">
      <c r="A2460">
        <v>14</v>
      </c>
      <c r="E2460" t="str">
        <f t="shared" si="92"/>
        <v>O</v>
      </c>
      <c r="F2460" t="str">
        <f t="shared" si="93"/>
        <v>14O</v>
      </c>
    </row>
    <row r="2461" spans="1:6" x14ac:dyDescent="0.2">
      <c r="A2461">
        <v>15</v>
      </c>
      <c r="E2461" t="str">
        <f t="shared" ref="E2461:E2524" si="94">E2435</f>
        <v>P</v>
      </c>
      <c r="F2461" t="str">
        <f t="shared" si="93"/>
        <v>15P</v>
      </c>
    </row>
    <row r="2462" spans="1:6" x14ac:dyDescent="0.2">
      <c r="A2462">
        <v>16</v>
      </c>
      <c r="E2462" t="str">
        <f t="shared" si="94"/>
        <v>Q</v>
      </c>
      <c r="F2462" t="str">
        <f t="shared" si="93"/>
        <v>16Q</v>
      </c>
    </row>
    <row r="2463" spans="1:6" x14ac:dyDescent="0.2">
      <c r="A2463">
        <v>17</v>
      </c>
      <c r="E2463" t="str">
        <f t="shared" si="94"/>
        <v>R</v>
      </c>
      <c r="F2463" t="str">
        <f t="shared" si="93"/>
        <v>17R</v>
      </c>
    </row>
    <row r="2464" spans="1:6" x14ac:dyDescent="0.2">
      <c r="A2464">
        <v>18</v>
      </c>
      <c r="E2464" t="str">
        <f t="shared" si="94"/>
        <v>S</v>
      </c>
      <c r="F2464" t="str">
        <f t="shared" si="93"/>
        <v>18S</v>
      </c>
    </row>
    <row r="2465" spans="1:6" x14ac:dyDescent="0.2">
      <c r="A2465">
        <v>19</v>
      </c>
      <c r="E2465" t="str">
        <f t="shared" si="94"/>
        <v>T</v>
      </c>
      <c r="F2465" t="str">
        <f t="shared" si="93"/>
        <v>19T</v>
      </c>
    </row>
    <row r="2466" spans="1:6" x14ac:dyDescent="0.2">
      <c r="A2466">
        <v>20</v>
      </c>
      <c r="E2466" t="str">
        <f t="shared" si="94"/>
        <v>U</v>
      </c>
      <c r="F2466" t="str">
        <f t="shared" si="93"/>
        <v>20U</v>
      </c>
    </row>
    <row r="2467" spans="1:6" x14ac:dyDescent="0.2">
      <c r="A2467">
        <v>21</v>
      </c>
      <c r="E2467" t="str">
        <f t="shared" si="94"/>
        <v>V</v>
      </c>
      <c r="F2467" t="str">
        <f t="shared" si="93"/>
        <v>21V</v>
      </c>
    </row>
    <row r="2468" spans="1:6" x14ac:dyDescent="0.2">
      <c r="A2468">
        <v>22</v>
      </c>
      <c r="E2468" t="str">
        <f t="shared" si="94"/>
        <v>W</v>
      </c>
      <c r="F2468" t="str">
        <f t="shared" si="93"/>
        <v>22W</v>
      </c>
    </row>
    <row r="2469" spans="1:6" x14ac:dyDescent="0.2">
      <c r="A2469">
        <v>23</v>
      </c>
      <c r="E2469" t="str">
        <f t="shared" si="94"/>
        <v>X</v>
      </c>
      <c r="F2469" t="str">
        <f t="shared" si="93"/>
        <v>23X</v>
      </c>
    </row>
    <row r="2470" spans="1:6" x14ac:dyDescent="0.2">
      <c r="A2470">
        <v>24</v>
      </c>
      <c r="E2470" t="str">
        <f t="shared" si="94"/>
        <v>Y</v>
      </c>
      <c r="F2470" t="str">
        <f t="shared" si="93"/>
        <v>24Y</v>
      </c>
    </row>
    <row r="2471" spans="1:6" x14ac:dyDescent="0.2">
      <c r="A2471">
        <v>25</v>
      </c>
      <c r="E2471" t="str">
        <f t="shared" si="94"/>
        <v>Z</v>
      </c>
      <c r="F2471" t="str">
        <f t="shared" si="93"/>
        <v>25Z</v>
      </c>
    </row>
    <row r="2472" spans="1:6" x14ac:dyDescent="0.2">
      <c r="A2472">
        <v>0</v>
      </c>
      <c r="E2472" t="str">
        <f t="shared" si="94"/>
        <v>A</v>
      </c>
      <c r="F2472" t="str">
        <f t="shared" si="93"/>
        <v>0A</v>
      </c>
    </row>
    <row r="2473" spans="1:6" x14ac:dyDescent="0.2">
      <c r="A2473">
        <v>1</v>
      </c>
      <c r="E2473" t="str">
        <f t="shared" si="94"/>
        <v>B</v>
      </c>
      <c r="F2473" t="str">
        <f t="shared" si="93"/>
        <v>1B</v>
      </c>
    </row>
    <row r="2474" spans="1:6" x14ac:dyDescent="0.2">
      <c r="A2474">
        <v>2</v>
      </c>
      <c r="E2474" t="str">
        <f t="shared" si="94"/>
        <v>C</v>
      </c>
      <c r="F2474" t="str">
        <f t="shared" si="93"/>
        <v>2C</v>
      </c>
    </row>
    <row r="2475" spans="1:6" x14ac:dyDescent="0.2">
      <c r="A2475">
        <v>3</v>
      </c>
      <c r="E2475" t="str">
        <f t="shared" si="94"/>
        <v>D</v>
      </c>
      <c r="F2475" t="str">
        <f t="shared" si="93"/>
        <v>3D</v>
      </c>
    </row>
    <row r="2476" spans="1:6" x14ac:dyDescent="0.2">
      <c r="A2476">
        <v>4</v>
      </c>
      <c r="E2476" t="str">
        <f t="shared" si="94"/>
        <v>E</v>
      </c>
      <c r="F2476" t="str">
        <f t="shared" si="93"/>
        <v>4E</v>
      </c>
    </row>
    <row r="2477" spans="1:6" x14ac:dyDescent="0.2">
      <c r="A2477">
        <v>5</v>
      </c>
      <c r="E2477" t="str">
        <f t="shared" si="94"/>
        <v>F</v>
      </c>
      <c r="F2477" t="str">
        <f t="shared" si="93"/>
        <v>5F</v>
      </c>
    </row>
    <row r="2478" spans="1:6" x14ac:dyDescent="0.2">
      <c r="A2478">
        <v>6</v>
      </c>
      <c r="E2478" t="str">
        <f t="shared" si="94"/>
        <v>G</v>
      </c>
      <c r="F2478" t="str">
        <f t="shared" si="93"/>
        <v>6G</v>
      </c>
    </row>
    <row r="2479" spans="1:6" x14ac:dyDescent="0.2">
      <c r="A2479">
        <v>7</v>
      </c>
      <c r="E2479" t="str">
        <f t="shared" si="94"/>
        <v>H</v>
      </c>
      <c r="F2479" t="str">
        <f t="shared" si="93"/>
        <v>7H</v>
      </c>
    </row>
    <row r="2480" spans="1:6" x14ac:dyDescent="0.2">
      <c r="A2480">
        <v>8</v>
      </c>
      <c r="E2480" t="str">
        <f t="shared" si="94"/>
        <v>I</v>
      </c>
      <c r="F2480" t="str">
        <f t="shared" si="93"/>
        <v>8I</v>
      </c>
    </row>
    <row r="2481" spans="1:6" x14ac:dyDescent="0.2">
      <c r="A2481">
        <v>9</v>
      </c>
      <c r="E2481" t="str">
        <f t="shared" si="94"/>
        <v>J</v>
      </c>
      <c r="F2481" t="str">
        <f t="shared" si="93"/>
        <v>9J</v>
      </c>
    </row>
    <row r="2482" spans="1:6" x14ac:dyDescent="0.2">
      <c r="A2482">
        <v>10</v>
      </c>
      <c r="E2482" t="str">
        <f t="shared" si="94"/>
        <v>K</v>
      </c>
      <c r="F2482" t="str">
        <f t="shared" si="93"/>
        <v>10K</v>
      </c>
    </row>
    <row r="2483" spans="1:6" x14ac:dyDescent="0.2">
      <c r="A2483">
        <v>11</v>
      </c>
      <c r="E2483" t="str">
        <f t="shared" si="94"/>
        <v>L</v>
      </c>
      <c r="F2483" t="str">
        <f t="shared" si="93"/>
        <v>11L</v>
      </c>
    </row>
    <row r="2484" spans="1:6" x14ac:dyDescent="0.2">
      <c r="A2484">
        <v>12</v>
      </c>
      <c r="E2484" t="str">
        <f t="shared" si="94"/>
        <v>M</v>
      </c>
      <c r="F2484" t="str">
        <f t="shared" si="93"/>
        <v>12M</v>
      </c>
    </row>
    <row r="2485" spans="1:6" x14ac:dyDescent="0.2">
      <c r="A2485">
        <v>13</v>
      </c>
      <c r="E2485" t="str">
        <f t="shared" si="94"/>
        <v>N</v>
      </c>
      <c r="F2485" t="str">
        <f t="shared" si="93"/>
        <v>13N</v>
      </c>
    </row>
    <row r="2486" spans="1:6" x14ac:dyDescent="0.2">
      <c r="A2486">
        <v>14</v>
      </c>
      <c r="E2486" t="str">
        <f t="shared" si="94"/>
        <v>O</v>
      </c>
      <c r="F2486" t="str">
        <f t="shared" si="93"/>
        <v>14O</v>
      </c>
    </row>
    <row r="2487" spans="1:6" x14ac:dyDescent="0.2">
      <c r="A2487">
        <v>15</v>
      </c>
      <c r="E2487" t="str">
        <f t="shared" si="94"/>
        <v>P</v>
      </c>
      <c r="F2487" t="str">
        <f t="shared" si="93"/>
        <v>15P</v>
      </c>
    </row>
    <row r="2488" spans="1:6" x14ac:dyDescent="0.2">
      <c r="A2488">
        <v>16</v>
      </c>
      <c r="E2488" t="str">
        <f t="shared" si="94"/>
        <v>Q</v>
      </c>
      <c r="F2488" t="str">
        <f t="shared" si="93"/>
        <v>16Q</v>
      </c>
    </row>
    <row r="2489" spans="1:6" x14ac:dyDescent="0.2">
      <c r="A2489">
        <v>17</v>
      </c>
      <c r="E2489" t="str">
        <f t="shared" si="94"/>
        <v>R</v>
      </c>
      <c r="F2489" t="str">
        <f t="shared" si="93"/>
        <v>17R</v>
      </c>
    </row>
    <row r="2490" spans="1:6" x14ac:dyDescent="0.2">
      <c r="A2490">
        <v>18</v>
      </c>
      <c r="E2490" t="str">
        <f t="shared" si="94"/>
        <v>S</v>
      </c>
      <c r="F2490" t="str">
        <f t="shared" si="93"/>
        <v>18S</v>
      </c>
    </row>
    <row r="2491" spans="1:6" x14ac:dyDescent="0.2">
      <c r="A2491">
        <v>19</v>
      </c>
      <c r="E2491" t="str">
        <f t="shared" si="94"/>
        <v>T</v>
      </c>
      <c r="F2491" t="str">
        <f t="shared" si="93"/>
        <v>19T</v>
      </c>
    </row>
    <row r="2492" spans="1:6" x14ac:dyDescent="0.2">
      <c r="A2492">
        <v>20</v>
      </c>
      <c r="E2492" t="str">
        <f t="shared" si="94"/>
        <v>U</v>
      </c>
      <c r="F2492" t="str">
        <f t="shared" si="93"/>
        <v>20U</v>
      </c>
    </row>
    <row r="2493" spans="1:6" x14ac:dyDescent="0.2">
      <c r="A2493">
        <v>21</v>
      </c>
      <c r="E2493" t="str">
        <f t="shared" si="94"/>
        <v>V</v>
      </c>
      <c r="F2493" t="str">
        <f t="shared" si="93"/>
        <v>21V</v>
      </c>
    </row>
    <row r="2494" spans="1:6" x14ac:dyDescent="0.2">
      <c r="A2494">
        <v>22</v>
      </c>
      <c r="E2494" t="str">
        <f t="shared" si="94"/>
        <v>W</v>
      </c>
      <c r="F2494" t="str">
        <f t="shared" si="93"/>
        <v>22W</v>
      </c>
    </row>
    <row r="2495" spans="1:6" x14ac:dyDescent="0.2">
      <c r="A2495">
        <v>23</v>
      </c>
      <c r="E2495" t="str">
        <f t="shared" si="94"/>
        <v>X</v>
      </c>
      <c r="F2495" t="str">
        <f t="shared" si="93"/>
        <v>23X</v>
      </c>
    </row>
    <row r="2496" spans="1:6" x14ac:dyDescent="0.2">
      <c r="A2496">
        <v>24</v>
      </c>
      <c r="E2496" t="str">
        <f t="shared" si="94"/>
        <v>Y</v>
      </c>
      <c r="F2496" t="str">
        <f t="shared" si="93"/>
        <v>24Y</v>
      </c>
    </row>
    <row r="2497" spans="1:6" x14ac:dyDescent="0.2">
      <c r="A2497">
        <v>25</v>
      </c>
      <c r="E2497" t="str">
        <f t="shared" si="94"/>
        <v>Z</v>
      </c>
      <c r="F2497" t="str">
        <f t="shared" si="93"/>
        <v>25Z</v>
      </c>
    </row>
    <row r="2498" spans="1:6" x14ac:dyDescent="0.2">
      <c r="A2498">
        <v>0</v>
      </c>
      <c r="E2498" t="str">
        <f t="shared" si="94"/>
        <v>A</v>
      </c>
      <c r="F2498" t="str">
        <f t="shared" si="93"/>
        <v>0A</v>
      </c>
    </row>
    <row r="2499" spans="1:6" x14ac:dyDescent="0.2">
      <c r="A2499">
        <v>1</v>
      </c>
      <c r="E2499" t="str">
        <f t="shared" si="94"/>
        <v>B</v>
      </c>
      <c r="F2499" t="str">
        <f t="shared" ref="F2499:F2562" si="95">A2499&amp;C2499&amp;E2499</f>
        <v>1B</v>
      </c>
    </row>
    <row r="2500" spans="1:6" x14ac:dyDescent="0.2">
      <c r="A2500">
        <v>2</v>
      </c>
      <c r="E2500" t="str">
        <f t="shared" si="94"/>
        <v>C</v>
      </c>
      <c r="F2500" t="str">
        <f t="shared" si="95"/>
        <v>2C</v>
      </c>
    </row>
    <row r="2501" spans="1:6" x14ac:dyDescent="0.2">
      <c r="A2501">
        <v>3</v>
      </c>
      <c r="E2501" t="str">
        <f t="shared" si="94"/>
        <v>D</v>
      </c>
      <c r="F2501" t="str">
        <f t="shared" si="95"/>
        <v>3D</v>
      </c>
    </row>
    <row r="2502" spans="1:6" x14ac:dyDescent="0.2">
      <c r="A2502">
        <v>4</v>
      </c>
      <c r="E2502" t="str">
        <f t="shared" si="94"/>
        <v>E</v>
      </c>
      <c r="F2502" t="str">
        <f t="shared" si="95"/>
        <v>4E</v>
      </c>
    </row>
    <row r="2503" spans="1:6" x14ac:dyDescent="0.2">
      <c r="A2503">
        <v>5</v>
      </c>
      <c r="E2503" t="str">
        <f t="shared" si="94"/>
        <v>F</v>
      </c>
      <c r="F2503" t="str">
        <f t="shared" si="95"/>
        <v>5F</v>
      </c>
    </row>
    <row r="2504" spans="1:6" x14ac:dyDescent="0.2">
      <c r="A2504">
        <v>6</v>
      </c>
      <c r="E2504" t="str">
        <f t="shared" si="94"/>
        <v>G</v>
      </c>
      <c r="F2504" t="str">
        <f t="shared" si="95"/>
        <v>6G</v>
      </c>
    </row>
    <row r="2505" spans="1:6" x14ac:dyDescent="0.2">
      <c r="A2505">
        <v>7</v>
      </c>
      <c r="E2505" t="str">
        <f t="shared" si="94"/>
        <v>H</v>
      </c>
      <c r="F2505" t="str">
        <f t="shared" si="95"/>
        <v>7H</v>
      </c>
    </row>
    <row r="2506" spans="1:6" x14ac:dyDescent="0.2">
      <c r="A2506">
        <v>8</v>
      </c>
      <c r="E2506" t="str">
        <f t="shared" si="94"/>
        <v>I</v>
      </c>
      <c r="F2506" t="str">
        <f t="shared" si="95"/>
        <v>8I</v>
      </c>
    </row>
    <row r="2507" spans="1:6" x14ac:dyDescent="0.2">
      <c r="A2507">
        <v>9</v>
      </c>
      <c r="E2507" t="str">
        <f t="shared" si="94"/>
        <v>J</v>
      </c>
      <c r="F2507" t="str">
        <f t="shared" si="95"/>
        <v>9J</v>
      </c>
    </row>
    <row r="2508" spans="1:6" x14ac:dyDescent="0.2">
      <c r="A2508">
        <v>10</v>
      </c>
      <c r="E2508" t="str">
        <f t="shared" si="94"/>
        <v>K</v>
      </c>
      <c r="F2508" t="str">
        <f t="shared" si="95"/>
        <v>10K</v>
      </c>
    </row>
    <row r="2509" spans="1:6" x14ac:dyDescent="0.2">
      <c r="A2509">
        <v>11</v>
      </c>
      <c r="E2509" t="str">
        <f t="shared" si="94"/>
        <v>L</v>
      </c>
      <c r="F2509" t="str">
        <f t="shared" si="95"/>
        <v>11L</v>
      </c>
    </row>
    <row r="2510" spans="1:6" x14ac:dyDescent="0.2">
      <c r="A2510">
        <v>12</v>
      </c>
      <c r="E2510" t="str">
        <f t="shared" si="94"/>
        <v>M</v>
      </c>
      <c r="F2510" t="str">
        <f t="shared" si="95"/>
        <v>12M</v>
      </c>
    </row>
    <row r="2511" spans="1:6" x14ac:dyDescent="0.2">
      <c r="A2511">
        <v>13</v>
      </c>
      <c r="E2511" t="str">
        <f t="shared" si="94"/>
        <v>N</v>
      </c>
      <c r="F2511" t="str">
        <f t="shared" si="95"/>
        <v>13N</v>
      </c>
    </row>
    <row r="2512" spans="1:6" x14ac:dyDescent="0.2">
      <c r="A2512">
        <v>14</v>
      </c>
      <c r="E2512" t="str">
        <f t="shared" si="94"/>
        <v>O</v>
      </c>
      <c r="F2512" t="str">
        <f t="shared" si="95"/>
        <v>14O</v>
      </c>
    </row>
    <row r="2513" spans="1:6" x14ac:dyDescent="0.2">
      <c r="A2513">
        <v>15</v>
      </c>
      <c r="E2513" t="str">
        <f t="shared" si="94"/>
        <v>P</v>
      </c>
      <c r="F2513" t="str">
        <f t="shared" si="95"/>
        <v>15P</v>
      </c>
    </row>
    <row r="2514" spans="1:6" x14ac:dyDescent="0.2">
      <c r="A2514">
        <v>16</v>
      </c>
      <c r="E2514" t="str">
        <f t="shared" si="94"/>
        <v>Q</v>
      </c>
      <c r="F2514" t="str">
        <f t="shared" si="95"/>
        <v>16Q</v>
      </c>
    </row>
    <row r="2515" spans="1:6" x14ac:dyDescent="0.2">
      <c r="A2515">
        <v>17</v>
      </c>
      <c r="E2515" t="str">
        <f t="shared" si="94"/>
        <v>R</v>
      </c>
      <c r="F2515" t="str">
        <f t="shared" si="95"/>
        <v>17R</v>
      </c>
    </row>
    <row r="2516" spans="1:6" x14ac:dyDescent="0.2">
      <c r="A2516">
        <v>18</v>
      </c>
      <c r="E2516" t="str">
        <f t="shared" si="94"/>
        <v>S</v>
      </c>
      <c r="F2516" t="str">
        <f t="shared" si="95"/>
        <v>18S</v>
      </c>
    </row>
    <row r="2517" spans="1:6" x14ac:dyDescent="0.2">
      <c r="A2517">
        <v>19</v>
      </c>
      <c r="E2517" t="str">
        <f t="shared" si="94"/>
        <v>T</v>
      </c>
      <c r="F2517" t="str">
        <f t="shared" si="95"/>
        <v>19T</v>
      </c>
    </row>
    <row r="2518" spans="1:6" x14ac:dyDescent="0.2">
      <c r="A2518">
        <v>20</v>
      </c>
      <c r="E2518" t="str">
        <f t="shared" si="94"/>
        <v>U</v>
      </c>
      <c r="F2518" t="str">
        <f t="shared" si="95"/>
        <v>20U</v>
      </c>
    </row>
    <row r="2519" spans="1:6" x14ac:dyDescent="0.2">
      <c r="A2519">
        <v>21</v>
      </c>
      <c r="E2519" t="str">
        <f t="shared" si="94"/>
        <v>V</v>
      </c>
      <c r="F2519" t="str">
        <f t="shared" si="95"/>
        <v>21V</v>
      </c>
    </row>
    <row r="2520" spans="1:6" x14ac:dyDescent="0.2">
      <c r="A2520">
        <v>22</v>
      </c>
      <c r="E2520" t="str">
        <f t="shared" si="94"/>
        <v>W</v>
      </c>
      <c r="F2520" t="str">
        <f t="shared" si="95"/>
        <v>22W</v>
      </c>
    </row>
    <row r="2521" spans="1:6" x14ac:dyDescent="0.2">
      <c r="A2521">
        <v>23</v>
      </c>
      <c r="E2521" t="str">
        <f t="shared" si="94"/>
        <v>X</v>
      </c>
      <c r="F2521" t="str">
        <f t="shared" si="95"/>
        <v>23X</v>
      </c>
    </row>
    <row r="2522" spans="1:6" x14ac:dyDescent="0.2">
      <c r="A2522">
        <v>24</v>
      </c>
      <c r="E2522" t="str">
        <f t="shared" si="94"/>
        <v>Y</v>
      </c>
      <c r="F2522" t="str">
        <f t="shared" si="95"/>
        <v>24Y</v>
      </c>
    </row>
    <row r="2523" spans="1:6" x14ac:dyDescent="0.2">
      <c r="A2523">
        <v>25</v>
      </c>
      <c r="E2523" t="str">
        <f t="shared" si="94"/>
        <v>Z</v>
      </c>
      <c r="F2523" t="str">
        <f t="shared" si="95"/>
        <v>25Z</v>
      </c>
    </row>
    <row r="2524" spans="1:6" x14ac:dyDescent="0.2">
      <c r="A2524">
        <v>0</v>
      </c>
      <c r="E2524" t="str">
        <f t="shared" si="94"/>
        <v>A</v>
      </c>
      <c r="F2524" t="str">
        <f t="shared" si="95"/>
        <v>0A</v>
      </c>
    </row>
    <row r="2525" spans="1:6" x14ac:dyDescent="0.2">
      <c r="A2525">
        <v>1</v>
      </c>
      <c r="E2525" t="str">
        <f t="shared" ref="E2525:E2588" si="96">E2499</f>
        <v>B</v>
      </c>
      <c r="F2525" t="str">
        <f t="shared" si="95"/>
        <v>1B</v>
      </c>
    </row>
    <row r="2526" spans="1:6" x14ac:dyDescent="0.2">
      <c r="A2526">
        <v>2</v>
      </c>
      <c r="E2526" t="str">
        <f t="shared" si="96"/>
        <v>C</v>
      </c>
      <c r="F2526" t="str">
        <f t="shared" si="95"/>
        <v>2C</v>
      </c>
    </row>
    <row r="2527" spans="1:6" x14ac:dyDescent="0.2">
      <c r="A2527">
        <v>3</v>
      </c>
      <c r="E2527" t="str">
        <f t="shared" si="96"/>
        <v>D</v>
      </c>
      <c r="F2527" t="str">
        <f t="shared" si="95"/>
        <v>3D</v>
      </c>
    </row>
    <row r="2528" spans="1:6" x14ac:dyDescent="0.2">
      <c r="A2528">
        <v>4</v>
      </c>
      <c r="E2528" t="str">
        <f t="shared" si="96"/>
        <v>E</v>
      </c>
      <c r="F2528" t="str">
        <f t="shared" si="95"/>
        <v>4E</v>
      </c>
    </row>
    <row r="2529" spans="1:6" x14ac:dyDescent="0.2">
      <c r="A2529">
        <v>5</v>
      </c>
      <c r="E2529" t="str">
        <f t="shared" si="96"/>
        <v>F</v>
      </c>
      <c r="F2529" t="str">
        <f t="shared" si="95"/>
        <v>5F</v>
      </c>
    </row>
    <row r="2530" spans="1:6" x14ac:dyDescent="0.2">
      <c r="A2530">
        <v>6</v>
      </c>
      <c r="E2530" t="str">
        <f t="shared" si="96"/>
        <v>G</v>
      </c>
      <c r="F2530" t="str">
        <f t="shared" si="95"/>
        <v>6G</v>
      </c>
    </row>
    <row r="2531" spans="1:6" x14ac:dyDescent="0.2">
      <c r="A2531">
        <v>7</v>
      </c>
      <c r="E2531" t="str">
        <f t="shared" si="96"/>
        <v>H</v>
      </c>
      <c r="F2531" t="str">
        <f t="shared" si="95"/>
        <v>7H</v>
      </c>
    </row>
    <row r="2532" spans="1:6" x14ac:dyDescent="0.2">
      <c r="A2532">
        <v>8</v>
      </c>
      <c r="E2532" t="str">
        <f t="shared" si="96"/>
        <v>I</v>
      </c>
      <c r="F2532" t="str">
        <f t="shared" si="95"/>
        <v>8I</v>
      </c>
    </row>
    <row r="2533" spans="1:6" x14ac:dyDescent="0.2">
      <c r="A2533">
        <v>9</v>
      </c>
      <c r="E2533" t="str">
        <f t="shared" si="96"/>
        <v>J</v>
      </c>
      <c r="F2533" t="str">
        <f t="shared" si="95"/>
        <v>9J</v>
      </c>
    </row>
    <row r="2534" spans="1:6" x14ac:dyDescent="0.2">
      <c r="A2534">
        <v>10</v>
      </c>
      <c r="E2534" t="str">
        <f t="shared" si="96"/>
        <v>K</v>
      </c>
      <c r="F2534" t="str">
        <f t="shared" si="95"/>
        <v>10K</v>
      </c>
    </row>
    <row r="2535" spans="1:6" x14ac:dyDescent="0.2">
      <c r="A2535">
        <v>11</v>
      </c>
      <c r="E2535" t="str">
        <f t="shared" si="96"/>
        <v>L</v>
      </c>
      <c r="F2535" t="str">
        <f t="shared" si="95"/>
        <v>11L</v>
      </c>
    </row>
    <row r="2536" spans="1:6" x14ac:dyDescent="0.2">
      <c r="A2536">
        <v>12</v>
      </c>
      <c r="E2536" t="str">
        <f t="shared" si="96"/>
        <v>M</v>
      </c>
      <c r="F2536" t="str">
        <f t="shared" si="95"/>
        <v>12M</v>
      </c>
    </row>
    <row r="2537" spans="1:6" x14ac:dyDescent="0.2">
      <c r="A2537">
        <v>13</v>
      </c>
      <c r="E2537" t="str">
        <f t="shared" si="96"/>
        <v>N</v>
      </c>
      <c r="F2537" t="str">
        <f t="shared" si="95"/>
        <v>13N</v>
      </c>
    </row>
    <row r="2538" spans="1:6" x14ac:dyDescent="0.2">
      <c r="A2538">
        <v>14</v>
      </c>
      <c r="E2538" t="str">
        <f t="shared" si="96"/>
        <v>O</v>
      </c>
      <c r="F2538" t="str">
        <f t="shared" si="95"/>
        <v>14O</v>
      </c>
    </row>
    <row r="2539" spans="1:6" x14ac:dyDescent="0.2">
      <c r="A2539">
        <v>15</v>
      </c>
      <c r="E2539" t="str">
        <f t="shared" si="96"/>
        <v>P</v>
      </c>
      <c r="F2539" t="str">
        <f t="shared" si="95"/>
        <v>15P</v>
      </c>
    </row>
    <row r="2540" spans="1:6" x14ac:dyDescent="0.2">
      <c r="A2540">
        <v>16</v>
      </c>
      <c r="E2540" t="str">
        <f t="shared" si="96"/>
        <v>Q</v>
      </c>
      <c r="F2540" t="str">
        <f t="shared" si="95"/>
        <v>16Q</v>
      </c>
    </row>
    <row r="2541" spans="1:6" x14ac:dyDescent="0.2">
      <c r="A2541">
        <v>17</v>
      </c>
      <c r="E2541" t="str">
        <f t="shared" si="96"/>
        <v>R</v>
      </c>
      <c r="F2541" t="str">
        <f t="shared" si="95"/>
        <v>17R</v>
      </c>
    </row>
    <row r="2542" spans="1:6" x14ac:dyDescent="0.2">
      <c r="A2542">
        <v>18</v>
      </c>
      <c r="E2542" t="str">
        <f t="shared" si="96"/>
        <v>S</v>
      </c>
      <c r="F2542" t="str">
        <f t="shared" si="95"/>
        <v>18S</v>
      </c>
    </row>
    <row r="2543" spans="1:6" x14ac:dyDescent="0.2">
      <c r="A2543">
        <v>19</v>
      </c>
      <c r="E2543" t="str">
        <f t="shared" si="96"/>
        <v>T</v>
      </c>
      <c r="F2543" t="str">
        <f t="shared" si="95"/>
        <v>19T</v>
      </c>
    </row>
    <row r="2544" spans="1:6" x14ac:dyDescent="0.2">
      <c r="A2544">
        <v>20</v>
      </c>
      <c r="E2544" t="str">
        <f t="shared" si="96"/>
        <v>U</v>
      </c>
      <c r="F2544" t="str">
        <f t="shared" si="95"/>
        <v>20U</v>
      </c>
    </row>
    <row r="2545" spans="1:6" x14ac:dyDescent="0.2">
      <c r="A2545">
        <v>21</v>
      </c>
      <c r="E2545" t="str">
        <f t="shared" si="96"/>
        <v>V</v>
      </c>
      <c r="F2545" t="str">
        <f t="shared" si="95"/>
        <v>21V</v>
      </c>
    </row>
    <row r="2546" spans="1:6" x14ac:dyDescent="0.2">
      <c r="A2546">
        <v>22</v>
      </c>
      <c r="E2546" t="str">
        <f t="shared" si="96"/>
        <v>W</v>
      </c>
      <c r="F2546" t="str">
        <f t="shared" si="95"/>
        <v>22W</v>
      </c>
    </row>
    <row r="2547" spans="1:6" x14ac:dyDescent="0.2">
      <c r="A2547">
        <v>23</v>
      </c>
      <c r="E2547" t="str">
        <f t="shared" si="96"/>
        <v>X</v>
      </c>
      <c r="F2547" t="str">
        <f t="shared" si="95"/>
        <v>23X</v>
      </c>
    </row>
    <row r="2548" spans="1:6" x14ac:dyDescent="0.2">
      <c r="A2548">
        <v>24</v>
      </c>
      <c r="E2548" t="str">
        <f t="shared" si="96"/>
        <v>Y</v>
      </c>
      <c r="F2548" t="str">
        <f t="shared" si="95"/>
        <v>24Y</v>
      </c>
    </row>
    <row r="2549" spans="1:6" x14ac:dyDescent="0.2">
      <c r="A2549">
        <v>25</v>
      </c>
      <c r="E2549" t="str">
        <f t="shared" si="96"/>
        <v>Z</v>
      </c>
      <c r="F2549" t="str">
        <f t="shared" si="95"/>
        <v>25Z</v>
      </c>
    </row>
    <row r="2550" spans="1:6" x14ac:dyDescent="0.2">
      <c r="A2550">
        <v>0</v>
      </c>
      <c r="E2550" t="str">
        <f t="shared" si="96"/>
        <v>A</v>
      </c>
      <c r="F2550" t="str">
        <f t="shared" si="95"/>
        <v>0A</v>
      </c>
    </row>
    <row r="2551" spans="1:6" x14ac:dyDescent="0.2">
      <c r="A2551">
        <v>1</v>
      </c>
      <c r="E2551" t="str">
        <f t="shared" si="96"/>
        <v>B</v>
      </c>
      <c r="F2551" t="str">
        <f t="shared" si="95"/>
        <v>1B</v>
      </c>
    </row>
    <row r="2552" spans="1:6" x14ac:dyDescent="0.2">
      <c r="A2552">
        <v>2</v>
      </c>
      <c r="E2552" t="str">
        <f t="shared" si="96"/>
        <v>C</v>
      </c>
      <c r="F2552" t="str">
        <f t="shared" si="95"/>
        <v>2C</v>
      </c>
    </row>
    <row r="2553" spans="1:6" x14ac:dyDescent="0.2">
      <c r="A2553">
        <v>3</v>
      </c>
      <c r="E2553" t="str">
        <f t="shared" si="96"/>
        <v>D</v>
      </c>
      <c r="F2553" t="str">
        <f t="shared" si="95"/>
        <v>3D</v>
      </c>
    </row>
    <row r="2554" spans="1:6" x14ac:dyDescent="0.2">
      <c r="A2554">
        <v>4</v>
      </c>
      <c r="E2554" t="str">
        <f t="shared" si="96"/>
        <v>E</v>
      </c>
      <c r="F2554" t="str">
        <f t="shared" si="95"/>
        <v>4E</v>
      </c>
    </row>
    <row r="2555" spans="1:6" x14ac:dyDescent="0.2">
      <c r="A2555">
        <v>5</v>
      </c>
      <c r="E2555" t="str">
        <f t="shared" si="96"/>
        <v>F</v>
      </c>
      <c r="F2555" t="str">
        <f t="shared" si="95"/>
        <v>5F</v>
      </c>
    </row>
    <row r="2556" spans="1:6" x14ac:dyDescent="0.2">
      <c r="A2556">
        <v>6</v>
      </c>
      <c r="E2556" t="str">
        <f t="shared" si="96"/>
        <v>G</v>
      </c>
      <c r="F2556" t="str">
        <f t="shared" si="95"/>
        <v>6G</v>
      </c>
    </row>
    <row r="2557" spans="1:6" x14ac:dyDescent="0.2">
      <c r="A2557">
        <v>7</v>
      </c>
      <c r="E2557" t="str">
        <f t="shared" si="96"/>
        <v>H</v>
      </c>
      <c r="F2557" t="str">
        <f t="shared" si="95"/>
        <v>7H</v>
      </c>
    </row>
    <row r="2558" spans="1:6" x14ac:dyDescent="0.2">
      <c r="A2558">
        <v>8</v>
      </c>
      <c r="E2558" t="str">
        <f t="shared" si="96"/>
        <v>I</v>
      </c>
      <c r="F2558" t="str">
        <f t="shared" si="95"/>
        <v>8I</v>
      </c>
    </row>
    <row r="2559" spans="1:6" x14ac:dyDescent="0.2">
      <c r="A2559">
        <v>9</v>
      </c>
      <c r="E2559" t="str">
        <f t="shared" si="96"/>
        <v>J</v>
      </c>
      <c r="F2559" t="str">
        <f t="shared" si="95"/>
        <v>9J</v>
      </c>
    </row>
    <row r="2560" spans="1:6" x14ac:dyDescent="0.2">
      <c r="A2560">
        <v>10</v>
      </c>
      <c r="E2560" t="str">
        <f t="shared" si="96"/>
        <v>K</v>
      </c>
      <c r="F2560" t="str">
        <f t="shared" si="95"/>
        <v>10K</v>
      </c>
    </row>
    <row r="2561" spans="1:6" x14ac:dyDescent="0.2">
      <c r="A2561">
        <v>11</v>
      </c>
      <c r="E2561" t="str">
        <f t="shared" si="96"/>
        <v>L</v>
      </c>
      <c r="F2561" t="str">
        <f t="shared" si="95"/>
        <v>11L</v>
      </c>
    </row>
    <row r="2562" spans="1:6" x14ac:dyDescent="0.2">
      <c r="A2562">
        <v>12</v>
      </c>
      <c r="E2562" t="str">
        <f t="shared" si="96"/>
        <v>M</v>
      </c>
      <c r="F2562" t="str">
        <f t="shared" si="95"/>
        <v>12M</v>
      </c>
    </row>
    <row r="2563" spans="1:6" x14ac:dyDescent="0.2">
      <c r="A2563">
        <v>13</v>
      </c>
      <c r="E2563" t="str">
        <f t="shared" si="96"/>
        <v>N</v>
      </c>
      <c r="F2563" t="str">
        <f t="shared" ref="F2563:F2626" si="97">A2563&amp;C2563&amp;E2563</f>
        <v>13N</v>
      </c>
    </row>
    <row r="2564" spans="1:6" x14ac:dyDescent="0.2">
      <c r="A2564">
        <v>14</v>
      </c>
      <c r="E2564" t="str">
        <f t="shared" si="96"/>
        <v>O</v>
      </c>
      <c r="F2564" t="str">
        <f t="shared" si="97"/>
        <v>14O</v>
      </c>
    </row>
    <row r="2565" spans="1:6" x14ac:dyDescent="0.2">
      <c r="A2565">
        <v>15</v>
      </c>
      <c r="E2565" t="str">
        <f t="shared" si="96"/>
        <v>P</v>
      </c>
      <c r="F2565" t="str">
        <f t="shared" si="97"/>
        <v>15P</v>
      </c>
    </row>
    <row r="2566" spans="1:6" x14ac:dyDescent="0.2">
      <c r="A2566">
        <v>16</v>
      </c>
      <c r="E2566" t="str">
        <f t="shared" si="96"/>
        <v>Q</v>
      </c>
      <c r="F2566" t="str">
        <f t="shared" si="97"/>
        <v>16Q</v>
      </c>
    </row>
    <row r="2567" spans="1:6" x14ac:dyDescent="0.2">
      <c r="A2567">
        <v>17</v>
      </c>
      <c r="E2567" t="str">
        <f t="shared" si="96"/>
        <v>R</v>
      </c>
      <c r="F2567" t="str">
        <f t="shared" si="97"/>
        <v>17R</v>
      </c>
    </row>
    <row r="2568" spans="1:6" x14ac:dyDescent="0.2">
      <c r="A2568">
        <v>18</v>
      </c>
      <c r="E2568" t="str">
        <f t="shared" si="96"/>
        <v>S</v>
      </c>
      <c r="F2568" t="str">
        <f t="shared" si="97"/>
        <v>18S</v>
      </c>
    </row>
    <row r="2569" spans="1:6" x14ac:dyDescent="0.2">
      <c r="A2569">
        <v>19</v>
      </c>
      <c r="E2569" t="str">
        <f t="shared" si="96"/>
        <v>T</v>
      </c>
      <c r="F2569" t="str">
        <f t="shared" si="97"/>
        <v>19T</v>
      </c>
    </row>
    <row r="2570" spans="1:6" x14ac:dyDescent="0.2">
      <c r="A2570">
        <v>20</v>
      </c>
      <c r="E2570" t="str">
        <f t="shared" si="96"/>
        <v>U</v>
      </c>
      <c r="F2570" t="str">
        <f t="shared" si="97"/>
        <v>20U</v>
      </c>
    </row>
    <row r="2571" spans="1:6" x14ac:dyDescent="0.2">
      <c r="A2571">
        <v>21</v>
      </c>
      <c r="E2571" t="str">
        <f t="shared" si="96"/>
        <v>V</v>
      </c>
      <c r="F2571" t="str">
        <f t="shared" si="97"/>
        <v>21V</v>
      </c>
    </row>
    <row r="2572" spans="1:6" x14ac:dyDescent="0.2">
      <c r="A2572">
        <v>22</v>
      </c>
      <c r="E2572" t="str">
        <f t="shared" si="96"/>
        <v>W</v>
      </c>
      <c r="F2572" t="str">
        <f t="shared" si="97"/>
        <v>22W</v>
      </c>
    </row>
    <row r="2573" spans="1:6" x14ac:dyDescent="0.2">
      <c r="A2573">
        <v>23</v>
      </c>
      <c r="E2573" t="str">
        <f t="shared" si="96"/>
        <v>X</v>
      </c>
      <c r="F2573" t="str">
        <f t="shared" si="97"/>
        <v>23X</v>
      </c>
    </row>
    <row r="2574" spans="1:6" x14ac:dyDescent="0.2">
      <c r="A2574">
        <v>24</v>
      </c>
      <c r="E2574" t="str">
        <f t="shared" si="96"/>
        <v>Y</v>
      </c>
      <c r="F2574" t="str">
        <f t="shared" si="97"/>
        <v>24Y</v>
      </c>
    </row>
    <row r="2575" spans="1:6" x14ac:dyDescent="0.2">
      <c r="A2575">
        <v>25</v>
      </c>
      <c r="E2575" t="str">
        <f t="shared" si="96"/>
        <v>Z</v>
      </c>
      <c r="F2575" t="str">
        <f t="shared" si="97"/>
        <v>25Z</v>
      </c>
    </row>
    <row r="2576" spans="1:6" x14ac:dyDescent="0.2">
      <c r="A2576">
        <v>0</v>
      </c>
      <c r="E2576" t="str">
        <f t="shared" si="96"/>
        <v>A</v>
      </c>
      <c r="F2576" t="str">
        <f t="shared" si="97"/>
        <v>0A</v>
      </c>
    </row>
    <row r="2577" spans="1:6" x14ac:dyDescent="0.2">
      <c r="A2577">
        <v>1</v>
      </c>
      <c r="E2577" t="str">
        <f t="shared" si="96"/>
        <v>B</v>
      </c>
      <c r="F2577" t="str">
        <f t="shared" si="97"/>
        <v>1B</v>
      </c>
    </row>
    <row r="2578" spans="1:6" x14ac:dyDescent="0.2">
      <c r="A2578">
        <v>2</v>
      </c>
      <c r="E2578" t="str">
        <f t="shared" si="96"/>
        <v>C</v>
      </c>
      <c r="F2578" t="str">
        <f t="shared" si="97"/>
        <v>2C</v>
      </c>
    </row>
    <row r="2579" spans="1:6" x14ac:dyDescent="0.2">
      <c r="A2579">
        <v>3</v>
      </c>
      <c r="E2579" t="str">
        <f t="shared" si="96"/>
        <v>D</v>
      </c>
      <c r="F2579" t="str">
        <f t="shared" si="97"/>
        <v>3D</v>
      </c>
    </row>
    <row r="2580" spans="1:6" x14ac:dyDescent="0.2">
      <c r="A2580">
        <v>4</v>
      </c>
      <c r="E2580" t="str">
        <f t="shared" si="96"/>
        <v>E</v>
      </c>
      <c r="F2580" t="str">
        <f t="shared" si="97"/>
        <v>4E</v>
      </c>
    </row>
    <row r="2581" spans="1:6" x14ac:dyDescent="0.2">
      <c r="A2581">
        <v>5</v>
      </c>
      <c r="E2581" t="str">
        <f t="shared" si="96"/>
        <v>F</v>
      </c>
      <c r="F2581" t="str">
        <f t="shared" si="97"/>
        <v>5F</v>
      </c>
    </row>
    <row r="2582" spans="1:6" x14ac:dyDescent="0.2">
      <c r="A2582">
        <v>6</v>
      </c>
      <c r="E2582" t="str">
        <f t="shared" si="96"/>
        <v>G</v>
      </c>
      <c r="F2582" t="str">
        <f t="shared" si="97"/>
        <v>6G</v>
      </c>
    </row>
    <row r="2583" spans="1:6" x14ac:dyDescent="0.2">
      <c r="A2583">
        <v>7</v>
      </c>
      <c r="E2583" t="str">
        <f t="shared" si="96"/>
        <v>H</v>
      </c>
      <c r="F2583" t="str">
        <f t="shared" si="97"/>
        <v>7H</v>
      </c>
    </row>
    <row r="2584" spans="1:6" x14ac:dyDescent="0.2">
      <c r="A2584">
        <v>8</v>
      </c>
      <c r="E2584" t="str">
        <f t="shared" si="96"/>
        <v>I</v>
      </c>
      <c r="F2584" t="str">
        <f t="shared" si="97"/>
        <v>8I</v>
      </c>
    </row>
    <row r="2585" spans="1:6" x14ac:dyDescent="0.2">
      <c r="A2585">
        <v>9</v>
      </c>
      <c r="E2585" t="str">
        <f t="shared" si="96"/>
        <v>J</v>
      </c>
      <c r="F2585" t="str">
        <f t="shared" si="97"/>
        <v>9J</v>
      </c>
    </row>
    <row r="2586" spans="1:6" x14ac:dyDescent="0.2">
      <c r="A2586">
        <v>10</v>
      </c>
      <c r="E2586" t="str">
        <f t="shared" si="96"/>
        <v>K</v>
      </c>
      <c r="F2586" t="str">
        <f t="shared" si="97"/>
        <v>10K</v>
      </c>
    </row>
    <row r="2587" spans="1:6" x14ac:dyDescent="0.2">
      <c r="A2587">
        <v>11</v>
      </c>
      <c r="E2587" t="str">
        <f t="shared" si="96"/>
        <v>L</v>
      </c>
      <c r="F2587" t="str">
        <f t="shared" si="97"/>
        <v>11L</v>
      </c>
    </row>
    <row r="2588" spans="1:6" x14ac:dyDescent="0.2">
      <c r="A2588">
        <v>12</v>
      </c>
      <c r="E2588" t="str">
        <f t="shared" si="96"/>
        <v>M</v>
      </c>
      <c r="F2588" t="str">
        <f t="shared" si="97"/>
        <v>12M</v>
      </c>
    </row>
    <row r="2589" spans="1:6" x14ac:dyDescent="0.2">
      <c r="A2589">
        <v>13</v>
      </c>
      <c r="E2589" t="str">
        <f t="shared" ref="E2589:E2652" si="98">E2563</f>
        <v>N</v>
      </c>
      <c r="F2589" t="str">
        <f t="shared" si="97"/>
        <v>13N</v>
      </c>
    </row>
    <row r="2590" spans="1:6" x14ac:dyDescent="0.2">
      <c r="A2590">
        <v>14</v>
      </c>
      <c r="E2590" t="str">
        <f t="shared" si="98"/>
        <v>O</v>
      </c>
      <c r="F2590" t="str">
        <f t="shared" si="97"/>
        <v>14O</v>
      </c>
    </row>
    <row r="2591" spans="1:6" x14ac:dyDescent="0.2">
      <c r="A2591">
        <v>15</v>
      </c>
      <c r="E2591" t="str">
        <f t="shared" si="98"/>
        <v>P</v>
      </c>
      <c r="F2591" t="str">
        <f t="shared" si="97"/>
        <v>15P</v>
      </c>
    </row>
    <row r="2592" spans="1:6" x14ac:dyDescent="0.2">
      <c r="A2592">
        <v>16</v>
      </c>
      <c r="E2592" t="str">
        <f t="shared" si="98"/>
        <v>Q</v>
      </c>
      <c r="F2592" t="str">
        <f t="shared" si="97"/>
        <v>16Q</v>
      </c>
    </row>
    <row r="2593" spans="1:6" x14ac:dyDescent="0.2">
      <c r="A2593">
        <v>17</v>
      </c>
      <c r="E2593" t="str">
        <f t="shared" si="98"/>
        <v>R</v>
      </c>
      <c r="F2593" t="str">
        <f t="shared" si="97"/>
        <v>17R</v>
      </c>
    </row>
    <row r="2594" spans="1:6" x14ac:dyDescent="0.2">
      <c r="A2594">
        <v>18</v>
      </c>
      <c r="E2594" t="str">
        <f t="shared" si="98"/>
        <v>S</v>
      </c>
      <c r="F2594" t="str">
        <f t="shared" si="97"/>
        <v>18S</v>
      </c>
    </row>
    <row r="2595" spans="1:6" x14ac:dyDescent="0.2">
      <c r="A2595">
        <v>19</v>
      </c>
      <c r="E2595" t="str">
        <f t="shared" si="98"/>
        <v>T</v>
      </c>
      <c r="F2595" t="str">
        <f t="shared" si="97"/>
        <v>19T</v>
      </c>
    </row>
    <row r="2596" spans="1:6" x14ac:dyDescent="0.2">
      <c r="A2596">
        <v>20</v>
      </c>
      <c r="E2596" t="str">
        <f t="shared" si="98"/>
        <v>U</v>
      </c>
      <c r="F2596" t="str">
        <f t="shared" si="97"/>
        <v>20U</v>
      </c>
    </row>
    <row r="2597" spans="1:6" x14ac:dyDescent="0.2">
      <c r="A2597">
        <v>21</v>
      </c>
      <c r="E2597" t="str">
        <f t="shared" si="98"/>
        <v>V</v>
      </c>
      <c r="F2597" t="str">
        <f t="shared" si="97"/>
        <v>21V</v>
      </c>
    </row>
    <row r="2598" spans="1:6" x14ac:dyDescent="0.2">
      <c r="A2598">
        <v>22</v>
      </c>
      <c r="E2598" t="str">
        <f t="shared" si="98"/>
        <v>W</v>
      </c>
      <c r="F2598" t="str">
        <f t="shared" si="97"/>
        <v>22W</v>
      </c>
    </row>
    <row r="2599" spans="1:6" x14ac:dyDescent="0.2">
      <c r="A2599">
        <v>23</v>
      </c>
      <c r="E2599" t="str">
        <f t="shared" si="98"/>
        <v>X</v>
      </c>
      <c r="F2599" t="str">
        <f t="shared" si="97"/>
        <v>23X</v>
      </c>
    </row>
    <row r="2600" spans="1:6" x14ac:dyDescent="0.2">
      <c r="A2600">
        <v>24</v>
      </c>
      <c r="E2600" t="str">
        <f t="shared" si="98"/>
        <v>Y</v>
      </c>
      <c r="F2600" t="str">
        <f t="shared" si="97"/>
        <v>24Y</v>
      </c>
    </row>
    <row r="2601" spans="1:6" x14ac:dyDescent="0.2">
      <c r="A2601">
        <v>25</v>
      </c>
      <c r="E2601" t="str">
        <f t="shared" si="98"/>
        <v>Z</v>
      </c>
      <c r="F2601" t="str">
        <f t="shared" si="97"/>
        <v>25Z</v>
      </c>
    </row>
    <row r="2602" spans="1:6" x14ac:dyDescent="0.2">
      <c r="A2602">
        <v>0</v>
      </c>
      <c r="E2602" t="str">
        <f t="shared" si="98"/>
        <v>A</v>
      </c>
      <c r="F2602" t="str">
        <f t="shared" si="97"/>
        <v>0A</v>
      </c>
    </row>
    <row r="2603" spans="1:6" x14ac:dyDescent="0.2">
      <c r="A2603">
        <v>1</v>
      </c>
      <c r="E2603" t="str">
        <f t="shared" si="98"/>
        <v>B</v>
      </c>
      <c r="F2603" t="str">
        <f t="shared" si="97"/>
        <v>1B</v>
      </c>
    </row>
    <row r="2604" spans="1:6" x14ac:dyDescent="0.2">
      <c r="A2604">
        <v>2</v>
      </c>
      <c r="E2604" t="str">
        <f t="shared" si="98"/>
        <v>C</v>
      </c>
      <c r="F2604" t="str">
        <f t="shared" si="97"/>
        <v>2C</v>
      </c>
    </row>
    <row r="2605" spans="1:6" x14ac:dyDescent="0.2">
      <c r="A2605">
        <v>3</v>
      </c>
      <c r="E2605" t="str">
        <f t="shared" si="98"/>
        <v>D</v>
      </c>
      <c r="F2605" t="str">
        <f t="shared" si="97"/>
        <v>3D</v>
      </c>
    </row>
    <row r="2606" spans="1:6" x14ac:dyDescent="0.2">
      <c r="A2606">
        <v>4</v>
      </c>
      <c r="E2606" t="str">
        <f t="shared" si="98"/>
        <v>E</v>
      </c>
      <c r="F2606" t="str">
        <f t="shared" si="97"/>
        <v>4E</v>
      </c>
    </row>
    <row r="2607" spans="1:6" x14ac:dyDescent="0.2">
      <c r="A2607">
        <v>5</v>
      </c>
      <c r="E2607" t="str">
        <f t="shared" si="98"/>
        <v>F</v>
      </c>
      <c r="F2607" t="str">
        <f t="shared" si="97"/>
        <v>5F</v>
      </c>
    </row>
    <row r="2608" spans="1:6" x14ac:dyDescent="0.2">
      <c r="A2608">
        <v>6</v>
      </c>
      <c r="E2608" t="str">
        <f t="shared" si="98"/>
        <v>G</v>
      </c>
      <c r="F2608" t="str">
        <f t="shared" si="97"/>
        <v>6G</v>
      </c>
    </row>
    <row r="2609" spans="1:6" x14ac:dyDescent="0.2">
      <c r="A2609">
        <v>7</v>
      </c>
      <c r="E2609" t="str">
        <f t="shared" si="98"/>
        <v>H</v>
      </c>
      <c r="F2609" t="str">
        <f t="shared" si="97"/>
        <v>7H</v>
      </c>
    </row>
    <row r="2610" spans="1:6" x14ac:dyDescent="0.2">
      <c r="A2610">
        <v>8</v>
      </c>
      <c r="E2610" t="str">
        <f t="shared" si="98"/>
        <v>I</v>
      </c>
      <c r="F2610" t="str">
        <f t="shared" si="97"/>
        <v>8I</v>
      </c>
    </row>
    <row r="2611" spans="1:6" x14ac:dyDescent="0.2">
      <c r="A2611">
        <v>9</v>
      </c>
      <c r="E2611" t="str">
        <f t="shared" si="98"/>
        <v>J</v>
      </c>
      <c r="F2611" t="str">
        <f t="shared" si="97"/>
        <v>9J</v>
      </c>
    </row>
    <row r="2612" spans="1:6" x14ac:dyDescent="0.2">
      <c r="A2612">
        <v>10</v>
      </c>
      <c r="E2612" t="str">
        <f t="shared" si="98"/>
        <v>K</v>
      </c>
      <c r="F2612" t="str">
        <f t="shared" si="97"/>
        <v>10K</v>
      </c>
    </row>
    <row r="2613" spans="1:6" x14ac:dyDescent="0.2">
      <c r="A2613">
        <v>11</v>
      </c>
      <c r="E2613" t="str">
        <f t="shared" si="98"/>
        <v>L</v>
      </c>
      <c r="F2613" t="str">
        <f t="shared" si="97"/>
        <v>11L</v>
      </c>
    </row>
    <row r="2614" spans="1:6" x14ac:dyDescent="0.2">
      <c r="A2614">
        <v>12</v>
      </c>
      <c r="E2614" t="str">
        <f t="shared" si="98"/>
        <v>M</v>
      </c>
      <c r="F2614" t="str">
        <f t="shared" si="97"/>
        <v>12M</v>
      </c>
    </row>
    <row r="2615" spans="1:6" x14ac:dyDescent="0.2">
      <c r="A2615">
        <v>13</v>
      </c>
      <c r="E2615" t="str">
        <f t="shared" si="98"/>
        <v>N</v>
      </c>
      <c r="F2615" t="str">
        <f t="shared" si="97"/>
        <v>13N</v>
      </c>
    </row>
    <row r="2616" spans="1:6" x14ac:dyDescent="0.2">
      <c r="A2616">
        <v>14</v>
      </c>
      <c r="E2616" t="str">
        <f t="shared" si="98"/>
        <v>O</v>
      </c>
      <c r="F2616" t="str">
        <f t="shared" si="97"/>
        <v>14O</v>
      </c>
    </row>
    <row r="2617" spans="1:6" x14ac:dyDescent="0.2">
      <c r="A2617">
        <v>15</v>
      </c>
      <c r="E2617" t="str">
        <f t="shared" si="98"/>
        <v>P</v>
      </c>
      <c r="F2617" t="str">
        <f t="shared" si="97"/>
        <v>15P</v>
      </c>
    </row>
    <row r="2618" spans="1:6" x14ac:dyDescent="0.2">
      <c r="A2618">
        <v>16</v>
      </c>
      <c r="E2618" t="str">
        <f t="shared" si="98"/>
        <v>Q</v>
      </c>
      <c r="F2618" t="str">
        <f t="shared" si="97"/>
        <v>16Q</v>
      </c>
    </row>
    <row r="2619" spans="1:6" x14ac:dyDescent="0.2">
      <c r="A2619">
        <v>17</v>
      </c>
      <c r="E2619" t="str">
        <f t="shared" si="98"/>
        <v>R</v>
      </c>
      <c r="F2619" t="str">
        <f t="shared" si="97"/>
        <v>17R</v>
      </c>
    </row>
    <row r="2620" spans="1:6" x14ac:dyDescent="0.2">
      <c r="A2620">
        <v>18</v>
      </c>
      <c r="E2620" t="str">
        <f t="shared" si="98"/>
        <v>S</v>
      </c>
      <c r="F2620" t="str">
        <f t="shared" si="97"/>
        <v>18S</v>
      </c>
    </row>
    <row r="2621" spans="1:6" x14ac:dyDescent="0.2">
      <c r="A2621">
        <v>19</v>
      </c>
      <c r="E2621" t="str">
        <f t="shared" si="98"/>
        <v>T</v>
      </c>
      <c r="F2621" t="str">
        <f t="shared" si="97"/>
        <v>19T</v>
      </c>
    </row>
    <row r="2622" spans="1:6" x14ac:dyDescent="0.2">
      <c r="A2622">
        <v>20</v>
      </c>
      <c r="E2622" t="str">
        <f t="shared" si="98"/>
        <v>U</v>
      </c>
      <c r="F2622" t="str">
        <f t="shared" si="97"/>
        <v>20U</v>
      </c>
    </row>
    <row r="2623" spans="1:6" x14ac:dyDescent="0.2">
      <c r="A2623">
        <v>21</v>
      </c>
      <c r="E2623" t="str">
        <f t="shared" si="98"/>
        <v>V</v>
      </c>
      <c r="F2623" t="str">
        <f t="shared" si="97"/>
        <v>21V</v>
      </c>
    </row>
    <row r="2624" spans="1:6" x14ac:dyDescent="0.2">
      <c r="A2624">
        <v>22</v>
      </c>
      <c r="E2624" t="str">
        <f t="shared" si="98"/>
        <v>W</v>
      </c>
      <c r="F2624" t="str">
        <f t="shared" si="97"/>
        <v>22W</v>
      </c>
    </row>
    <row r="2625" spans="1:6" x14ac:dyDescent="0.2">
      <c r="A2625">
        <v>23</v>
      </c>
      <c r="E2625" t="str">
        <f t="shared" si="98"/>
        <v>X</v>
      </c>
      <c r="F2625" t="str">
        <f t="shared" si="97"/>
        <v>23X</v>
      </c>
    </row>
    <row r="2626" spans="1:6" x14ac:dyDescent="0.2">
      <c r="A2626">
        <v>24</v>
      </c>
      <c r="E2626" t="str">
        <f t="shared" si="98"/>
        <v>Y</v>
      </c>
      <c r="F2626" t="str">
        <f t="shared" si="97"/>
        <v>24Y</v>
      </c>
    </row>
    <row r="2627" spans="1:6" x14ac:dyDescent="0.2">
      <c r="A2627">
        <v>25</v>
      </c>
      <c r="E2627" t="str">
        <f t="shared" si="98"/>
        <v>Z</v>
      </c>
      <c r="F2627" t="str">
        <f t="shared" ref="F2627:F2690" si="99">A2627&amp;C2627&amp;E2627</f>
        <v>25Z</v>
      </c>
    </row>
    <row r="2628" spans="1:6" x14ac:dyDescent="0.2">
      <c r="A2628">
        <v>0</v>
      </c>
      <c r="E2628" t="str">
        <f t="shared" si="98"/>
        <v>A</v>
      </c>
      <c r="F2628" t="str">
        <f t="shared" si="99"/>
        <v>0A</v>
      </c>
    </row>
    <row r="2629" spans="1:6" x14ac:dyDescent="0.2">
      <c r="A2629">
        <v>1</v>
      </c>
      <c r="E2629" t="str">
        <f t="shared" si="98"/>
        <v>B</v>
      </c>
      <c r="F2629" t="str">
        <f t="shared" si="99"/>
        <v>1B</v>
      </c>
    </row>
    <row r="2630" spans="1:6" x14ac:dyDescent="0.2">
      <c r="A2630">
        <v>2</v>
      </c>
      <c r="E2630" t="str">
        <f t="shared" si="98"/>
        <v>C</v>
      </c>
      <c r="F2630" t="str">
        <f t="shared" si="99"/>
        <v>2C</v>
      </c>
    </row>
    <row r="2631" spans="1:6" x14ac:dyDescent="0.2">
      <c r="A2631">
        <v>3</v>
      </c>
      <c r="E2631" t="str">
        <f t="shared" si="98"/>
        <v>D</v>
      </c>
      <c r="F2631" t="str">
        <f t="shared" si="99"/>
        <v>3D</v>
      </c>
    </row>
    <row r="2632" spans="1:6" x14ac:dyDescent="0.2">
      <c r="A2632">
        <v>4</v>
      </c>
      <c r="E2632" t="str">
        <f t="shared" si="98"/>
        <v>E</v>
      </c>
      <c r="F2632" t="str">
        <f t="shared" si="99"/>
        <v>4E</v>
      </c>
    </row>
    <row r="2633" spans="1:6" x14ac:dyDescent="0.2">
      <c r="A2633">
        <v>5</v>
      </c>
      <c r="E2633" t="str">
        <f t="shared" si="98"/>
        <v>F</v>
      </c>
      <c r="F2633" t="str">
        <f t="shared" si="99"/>
        <v>5F</v>
      </c>
    </row>
    <row r="2634" spans="1:6" x14ac:dyDescent="0.2">
      <c r="A2634">
        <v>6</v>
      </c>
      <c r="E2634" t="str">
        <f t="shared" si="98"/>
        <v>G</v>
      </c>
      <c r="F2634" t="str">
        <f t="shared" si="99"/>
        <v>6G</v>
      </c>
    </row>
    <row r="2635" spans="1:6" x14ac:dyDescent="0.2">
      <c r="A2635">
        <v>7</v>
      </c>
      <c r="E2635" t="str">
        <f t="shared" si="98"/>
        <v>H</v>
      </c>
      <c r="F2635" t="str">
        <f t="shared" si="99"/>
        <v>7H</v>
      </c>
    </row>
    <row r="2636" spans="1:6" x14ac:dyDescent="0.2">
      <c r="A2636">
        <v>8</v>
      </c>
      <c r="E2636" t="str">
        <f t="shared" si="98"/>
        <v>I</v>
      </c>
      <c r="F2636" t="str">
        <f t="shared" si="99"/>
        <v>8I</v>
      </c>
    </row>
    <row r="2637" spans="1:6" x14ac:dyDescent="0.2">
      <c r="A2637">
        <v>9</v>
      </c>
      <c r="E2637" t="str">
        <f t="shared" si="98"/>
        <v>J</v>
      </c>
      <c r="F2637" t="str">
        <f t="shared" si="99"/>
        <v>9J</v>
      </c>
    </row>
    <row r="2638" spans="1:6" x14ac:dyDescent="0.2">
      <c r="A2638">
        <v>10</v>
      </c>
      <c r="E2638" t="str">
        <f t="shared" si="98"/>
        <v>K</v>
      </c>
      <c r="F2638" t="str">
        <f t="shared" si="99"/>
        <v>10K</v>
      </c>
    </row>
    <row r="2639" spans="1:6" x14ac:dyDescent="0.2">
      <c r="A2639">
        <v>11</v>
      </c>
      <c r="E2639" t="str">
        <f t="shared" si="98"/>
        <v>L</v>
      </c>
      <c r="F2639" t="str">
        <f t="shared" si="99"/>
        <v>11L</v>
      </c>
    </row>
    <row r="2640" spans="1:6" x14ac:dyDescent="0.2">
      <c r="A2640">
        <v>12</v>
      </c>
      <c r="E2640" t="str">
        <f t="shared" si="98"/>
        <v>M</v>
      </c>
      <c r="F2640" t="str">
        <f t="shared" si="99"/>
        <v>12M</v>
      </c>
    </row>
    <row r="2641" spans="1:6" x14ac:dyDescent="0.2">
      <c r="A2641">
        <v>13</v>
      </c>
      <c r="E2641" t="str">
        <f t="shared" si="98"/>
        <v>N</v>
      </c>
      <c r="F2641" t="str">
        <f t="shared" si="99"/>
        <v>13N</v>
      </c>
    </row>
    <row r="2642" spans="1:6" x14ac:dyDescent="0.2">
      <c r="A2642">
        <v>14</v>
      </c>
      <c r="E2642" t="str">
        <f t="shared" si="98"/>
        <v>O</v>
      </c>
      <c r="F2642" t="str">
        <f t="shared" si="99"/>
        <v>14O</v>
      </c>
    </row>
    <row r="2643" spans="1:6" x14ac:dyDescent="0.2">
      <c r="A2643">
        <v>15</v>
      </c>
      <c r="E2643" t="str">
        <f t="shared" si="98"/>
        <v>P</v>
      </c>
      <c r="F2643" t="str">
        <f t="shared" si="99"/>
        <v>15P</v>
      </c>
    </row>
    <row r="2644" spans="1:6" x14ac:dyDescent="0.2">
      <c r="A2644">
        <v>16</v>
      </c>
      <c r="E2644" t="str">
        <f t="shared" si="98"/>
        <v>Q</v>
      </c>
      <c r="F2644" t="str">
        <f t="shared" si="99"/>
        <v>16Q</v>
      </c>
    </row>
    <row r="2645" spans="1:6" x14ac:dyDescent="0.2">
      <c r="A2645">
        <v>17</v>
      </c>
      <c r="E2645" t="str">
        <f t="shared" si="98"/>
        <v>R</v>
      </c>
      <c r="F2645" t="str">
        <f t="shared" si="99"/>
        <v>17R</v>
      </c>
    </row>
    <row r="2646" spans="1:6" x14ac:dyDescent="0.2">
      <c r="A2646">
        <v>18</v>
      </c>
      <c r="E2646" t="str">
        <f t="shared" si="98"/>
        <v>S</v>
      </c>
      <c r="F2646" t="str">
        <f t="shared" si="99"/>
        <v>18S</v>
      </c>
    </row>
    <row r="2647" spans="1:6" x14ac:dyDescent="0.2">
      <c r="A2647">
        <v>19</v>
      </c>
      <c r="E2647" t="str">
        <f t="shared" si="98"/>
        <v>T</v>
      </c>
      <c r="F2647" t="str">
        <f t="shared" si="99"/>
        <v>19T</v>
      </c>
    </row>
    <row r="2648" spans="1:6" x14ac:dyDescent="0.2">
      <c r="A2648">
        <v>20</v>
      </c>
      <c r="E2648" t="str">
        <f t="shared" si="98"/>
        <v>U</v>
      </c>
      <c r="F2648" t="str">
        <f t="shared" si="99"/>
        <v>20U</v>
      </c>
    </row>
    <row r="2649" spans="1:6" x14ac:dyDescent="0.2">
      <c r="A2649">
        <v>21</v>
      </c>
      <c r="E2649" t="str">
        <f t="shared" si="98"/>
        <v>V</v>
      </c>
      <c r="F2649" t="str">
        <f t="shared" si="99"/>
        <v>21V</v>
      </c>
    </row>
    <row r="2650" spans="1:6" x14ac:dyDescent="0.2">
      <c r="A2650">
        <v>22</v>
      </c>
      <c r="E2650" t="str">
        <f t="shared" si="98"/>
        <v>W</v>
      </c>
      <c r="F2650" t="str">
        <f t="shared" si="99"/>
        <v>22W</v>
      </c>
    </row>
    <row r="2651" spans="1:6" x14ac:dyDescent="0.2">
      <c r="A2651">
        <v>23</v>
      </c>
      <c r="E2651" t="str">
        <f t="shared" si="98"/>
        <v>X</v>
      </c>
      <c r="F2651" t="str">
        <f t="shared" si="99"/>
        <v>23X</v>
      </c>
    </row>
    <row r="2652" spans="1:6" x14ac:dyDescent="0.2">
      <c r="A2652">
        <v>24</v>
      </c>
      <c r="E2652" t="str">
        <f t="shared" si="98"/>
        <v>Y</v>
      </c>
      <c r="F2652" t="str">
        <f t="shared" si="99"/>
        <v>24Y</v>
      </c>
    </row>
    <row r="2653" spans="1:6" x14ac:dyDescent="0.2">
      <c r="A2653">
        <v>25</v>
      </c>
      <c r="E2653" t="str">
        <f t="shared" ref="E2653:E2716" si="100">E2627</f>
        <v>Z</v>
      </c>
      <c r="F2653" t="str">
        <f t="shared" si="99"/>
        <v>25Z</v>
      </c>
    </row>
    <row r="2654" spans="1:6" x14ac:dyDescent="0.2">
      <c r="A2654">
        <v>0</v>
      </c>
      <c r="E2654" t="str">
        <f t="shared" si="100"/>
        <v>A</v>
      </c>
      <c r="F2654" t="str">
        <f t="shared" si="99"/>
        <v>0A</v>
      </c>
    </row>
    <row r="2655" spans="1:6" x14ac:dyDescent="0.2">
      <c r="A2655">
        <v>1</v>
      </c>
      <c r="E2655" t="str">
        <f t="shared" si="100"/>
        <v>B</v>
      </c>
      <c r="F2655" t="str">
        <f t="shared" si="99"/>
        <v>1B</v>
      </c>
    </row>
    <row r="2656" spans="1:6" x14ac:dyDescent="0.2">
      <c r="A2656">
        <v>2</v>
      </c>
      <c r="E2656" t="str">
        <f t="shared" si="100"/>
        <v>C</v>
      </c>
      <c r="F2656" t="str">
        <f t="shared" si="99"/>
        <v>2C</v>
      </c>
    </row>
    <row r="2657" spans="1:6" x14ac:dyDescent="0.2">
      <c r="A2657">
        <v>3</v>
      </c>
      <c r="E2657" t="str">
        <f t="shared" si="100"/>
        <v>D</v>
      </c>
      <c r="F2657" t="str">
        <f t="shared" si="99"/>
        <v>3D</v>
      </c>
    </row>
    <row r="2658" spans="1:6" x14ac:dyDescent="0.2">
      <c r="A2658">
        <v>4</v>
      </c>
      <c r="E2658" t="str">
        <f t="shared" si="100"/>
        <v>E</v>
      </c>
      <c r="F2658" t="str">
        <f t="shared" si="99"/>
        <v>4E</v>
      </c>
    </row>
    <row r="2659" spans="1:6" x14ac:dyDescent="0.2">
      <c r="A2659">
        <v>5</v>
      </c>
      <c r="E2659" t="str">
        <f t="shared" si="100"/>
        <v>F</v>
      </c>
      <c r="F2659" t="str">
        <f t="shared" si="99"/>
        <v>5F</v>
      </c>
    </row>
    <row r="2660" spans="1:6" x14ac:dyDescent="0.2">
      <c r="A2660">
        <v>6</v>
      </c>
      <c r="E2660" t="str">
        <f t="shared" si="100"/>
        <v>G</v>
      </c>
      <c r="F2660" t="str">
        <f t="shared" si="99"/>
        <v>6G</v>
      </c>
    </row>
    <row r="2661" spans="1:6" x14ac:dyDescent="0.2">
      <c r="A2661">
        <v>7</v>
      </c>
      <c r="E2661" t="str">
        <f t="shared" si="100"/>
        <v>H</v>
      </c>
      <c r="F2661" t="str">
        <f t="shared" si="99"/>
        <v>7H</v>
      </c>
    </row>
    <row r="2662" spans="1:6" x14ac:dyDescent="0.2">
      <c r="A2662">
        <v>8</v>
      </c>
      <c r="E2662" t="str">
        <f t="shared" si="100"/>
        <v>I</v>
      </c>
      <c r="F2662" t="str">
        <f t="shared" si="99"/>
        <v>8I</v>
      </c>
    </row>
    <row r="2663" spans="1:6" x14ac:dyDescent="0.2">
      <c r="A2663">
        <v>9</v>
      </c>
      <c r="E2663" t="str">
        <f t="shared" si="100"/>
        <v>J</v>
      </c>
      <c r="F2663" t="str">
        <f t="shared" si="99"/>
        <v>9J</v>
      </c>
    </row>
    <row r="2664" spans="1:6" x14ac:dyDescent="0.2">
      <c r="A2664">
        <v>10</v>
      </c>
      <c r="E2664" t="str">
        <f t="shared" si="100"/>
        <v>K</v>
      </c>
      <c r="F2664" t="str">
        <f t="shared" si="99"/>
        <v>10K</v>
      </c>
    </row>
    <row r="2665" spans="1:6" x14ac:dyDescent="0.2">
      <c r="A2665">
        <v>11</v>
      </c>
      <c r="E2665" t="str">
        <f t="shared" si="100"/>
        <v>L</v>
      </c>
      <c r="F2665" t="str">
        <f t="shared" si="99"/>
        <v>11L</v>
      </c>
    </row>
    <row r="2666" spans="1:6" x14ac:dyDescent="0.2">
      <c r="A2666">
        <v>12</v>
      </c>
      <c r="E2666" t="str">
        <f t="shared" si="100"/>
        <v>M</v>
      </c>
      <c r="F2666" t="str">
        <f t="shared" si="99"/>
        <v>12M</v>
      </c>
    </row>
    <row r="2667" spans="1:6" x14ac:dyDescent="0.2">
      <c r="A2667">
        <v>13</v>
      </c>
      <c r="E2667" t="str">
        <f t="shared" si="100"/>
        <v>N</v>
      </c>
      <c r="F2667" t="str">
        <f t="shared" si="99"/>
        <v>13N</v>
      </c>
    </row>
    <row r="2668" spans="1:6" x14ac:dyDescent="0.2">
      <c r="A2668">
        <v>14</v>
      </c>
      <c r="E2668" t="str">
        <f t="shared" si="100"/>
        <v>O</v>
      </c>
      <c r="F2668" t="str">
        <f t="shared" si="99"/>
        <v>14O</v>
      </c>
    </row>
    <row r="2669" spans="1:6" x14ac:dyDescent="0.2">
      <c r="A2669">
        <v>15</v>
      </c>
      <c r="E2669" t="str">
        <f t="shared" si="100"/>
        <v>P</v>
      </c>
      <c r="F2669" t="str">
        <f t="shared" si="99"/>
        <v>15P</v>
      </c>
    </row>
    <row r="2670" spans="1:6" x14ac:dyDescent="0.2">
      <c r="A2670">
        <v>16</v>
      </c>
      <c r="E2670" t="str">
        <f t="shared" si="100"/>
        <v>Q</v>
      </c>
      <c r="F2670" t="str">
        <f t="shared" si="99"/>
        <v>16Q</v>
      </c>
    </row>
    <row r="2671" spans="1:6" x14ac:dyDescent="0.2">
      <c r="A2671">
        <v>17</v>
      </c>
      <c r="E2671" t="str">
        <f t="shared" si="100"/>
        <v>R</v>
      </c>
      <c r="F2671" t="str">
        <f t="shared" si="99"/>
        <v>17R</v>
      </c>
    </row>
    <row r="2672" spans="1:6" x14ac:dyDescent="0.2">
      <c r="A2672">
        <v>18</v>
      </c>
      <c r="E2672" t="str">
        <f t="shared" si="100"/>
        <v>S</v>
      </c>
      <c r="F2672" t="str">
        <f t="shared" si="99"/>
        <v>18S</v>
      </c>
    </row>
    <row r="2673" spans="1:6" x14ac:dyDescent="0.2">
      <c r="A2673">
        <v>19</v>
      </c>
      <c r="E2673" t="str">
        <f t="shared" si="100"/>
        <v>T</v>
      </c>
      <c r="F2673" t="str">
        <f t="shared" si="99"/>
        <v>19T</v>
      </c>
    </row>
    <row r="2674" spans="1:6" x14ac:dyDescent="0.2">
      <c r="A2674">
        <v>20</v>
      </c>
      <c r="E2674" t="str">
        <f t="shared" si="100"/>
        <v>U</v>
      </c>
      <c r="F2674" t="str">
        <f t="shared" si="99"/>
        <v>20U</v>
      </c>
    </row>
    <row r="2675" spans="1:6" x14ac:dyDescent="0.2">
      <c r="A2675">
        <v>21</v>
      </c>
      <c r="E2675" t="str">
        <f t="shared" si="100"/>
        <v>V</v>
      </c>
      <c r="F2675" t="str">
        <f t="shared" si="99"/>
        <v>21V</v>
      </c>
    </row>
    <row r="2676" spans="1:6" x14ac:dyDescent="0.2">
      <c r="A2676">
        <v>22</v>
      </c>
      <c r="E2676" t="str">
        <f t="shared" si="100"/>
        <v>W</v>
      </c>
      <c r="F2676" t="str">
        <f t="shared" si="99"/>
        <v>22W</v>
      </c>
    </row>
    <row r="2677" spans="1:6" x14ac:dyDescent="0.2">
      <c r="A2677">
        <v>23</v>
      </c>
      <c r="E2677" t="str">
        <f t="shared" si="100"/>
        <v>X</v>
      </c>
      <c r="F2677" t="str">
        <f t="shared" si="99"/>
        <v>23X</v>
      </c>
    </row>
    <row r="2678" spans="1:6" x14ac:dyDescent="0.2">
      <c r="A2678">
        <v>24</v>
      </c>
      <c r="E2678" t="str">
        <f t="shared" si="100"/>
        <v>Y</v>
      </c>
      <c r="F2678" t="str">
        <f t="shared" si="99"/>
        <v>24Y</v>
      </c>
    </row>
    <row r="2679" spans="1:6" x14ac:dyDescent="0.2">
      <c r="A2679">
        <v>25</v>
      </c>
      <c r="E2679" t="str">
        <f t="shared" si="100"/>
        <v>Z</v>
      </c>
      <c r="F2679" t="str">
        <f t="shared" si="99"/>
        <v>25Z</v>
      </c>
    </row>
    <row r="2680" spans="1:6" x14ac:dyDescent="0.2">
      <c r="A2680">
        <v>0</v>
      </c>
      <c r="E2680" t="str">
        <f t="shared" si="100"/>
        <v>A</v>
      </c>
      <c r="F2680" t="str">
        <f t="shared" si="99"/>
        <v>0A</v>
      </c>
    </row>
    <row r="2681" spans="1:6" x14ac:dyDescent="0.2">
      <c r="A2681">
        <v>1</v>
      </c>
      <c r="E2681" t="str">
        <f t="shared" si="100"/>
        <v>B</v>
      </c>
      <c r="F2681" t="str">
        <f t="shared" si="99"/>
        <v>1B</v>
      </c>
    </row>
    <row r="2682" spans="1:6" x14ac:dyDescent="0.2">
      <c r="A2682">
        <v>2</v>
      </c>
      <c r="E2682" t="str">
        <f t="shared" si="100"/>
        <v>C</v>
      </c>
      <c r="F2682" t="str">
        <f t="shared" si="99"/>
        <v>2C</v>
      </c>
    </row>
    <row r="2683" spans="1:6" x14ac:dyDescent="0.2">
      <c r="A2683">
        <v>3</v>
      </c>
      <c r="E2683" t="str">
        <f t="shared" si="100"/>
        <v>D</v>
      </c>
      <c r="F2683" t="str">
        <f t="shared" si="99"/>
        <v>3D</v>
      </c>
    </row>
    <row r="2684" spans="1:6" x14ac:dyDescent="0.2">
      <c r="A2684">
        <v>4</v>
      </c>
      <c r="E2684" t="str">
        <f t="shared" si="100"/>
        <v>E</v>
      </c>
      <c r="F2684" t="str">
        <f t="shared" si="99"/>
        <v>4E</v>
      </c>
    </row>
    <row r="2685" spans="1:6" x14ac:dyDescent="0.2">
      <c r="A2685">
        <v>5</v>
      </c>
      <c r="E2685" t="str">
        <f t="shared" si="100"/>
        <v>F</v>
      </c>
      <c r="F2685" t="str">
        <f t="shared" si="99"/>
        <v>5F</v>
      </c>
    </row>
    <row r="2686" spans="1:6" x14ac:dyDescent="0.2">
      <c r="A2686">
        <v>6</v>
      </c>
      <c r="E2686" t="str">
        <f t="shared" si="100"/>
        <v>G</v>
      </c>
      <c r="F2686" t="str">
        <f t="shared" si="99"/>
        <v>6G</v>
      </c>
    </row>
    <row r="2687" spans="1:6" x14ac:dyDescent="0.2">
      <c r="A2687">
        <v>7</v>
      </c>
      <c r="E2687" t="str">
        <f t="shared" si="100"/>
        <v>H</v>
      </c>
      <c r="F2687" t="str">
        <f t="shared" si="99"/>
        <v>7H</v>
      </c>
    </row>
    <row r="2688" spans="1:6" x14ac:dyDescent="0.2">
      <c r="A2688">
        <v>8</v>
      </c>
      <c r="E2688" t="str">
        <f t="shared" si="100"/>
        <v>I</v>
      </c>
      <c r="F2688" t="str">
        <f t="shared" si="99"/>
        <v>8I</v>
      </c>
    </row>
    <row r="2689" spans="1:6" x14ac:dyDescent="0.2">
      <c r="A2689">
        <v>9</v>
      </c>
      <c r="E2689" t="str">
        <f t="shared" si="100"/>
        <v>J</v>
      </c>
      <c r="F2689" t="str">
        <f t="shared" si="99"/>
        <v>9J</v>
      </c>
    </row>
    <row r="2690" spans="1:6" x14ac:dyDescent="0.2">
      <c r="A2690">
        <v>10</v>
      </c>
      <c r="E2690" t="str">
        <f t="shared" si="100"/>
        <v>K</v>
      </c>
      <c r="F2690" t="str">
        <f t="shared" si="99"/>
        <v>10K</v>
      </c>
    </row>
    <row r="2691" spans="1:6" x14ac:dyDescent="0.2">
      <c r="A2691">
        <v>11</v>
      </c>
      <c r="E2691" t="str">
        <f t="shared" si="100"/>
        <v>L</v>
      </c>
      <c r="F2691" t="str">
        <f t="shared" ref="F2691:F2754" si="101">A2691&amp;C2691&amp;E2691</f>
        <v>11L</v>
      </c>
    </row>
    <row r="2692" spans="1:6" x14ac:dyDescent="0.2">
      <c r="A2692">
        <v>12</v>
      </c>
      <c r="E2692" t="str">
        <f t="shared" si="100"/>
        <v>M</v>
      </c>
      <c r="F2692" t="str">
        <f t="shared" si="101"/>
        <v>12M</v>
      </c>
    </row>
    <row r="2693" spans="1:6" x14ac:dyDescent="0.2">
      <c r="A2693">
        <v>13</v>
      </c>
      <c r="E2693" t="str">
        <f t="shared" si="100"/>
        <v>N</v>
      </c>
      <c r="F2693" t="str">
        <f t="shared" si="101"/>
        <v>13N</v>
      </c>
    </row>
    <row r="2694" spans="1:6" x14ac:dyDescent="0.2">
      <c r="A2694">
        <v>14</v>
      </c>
      <c r="E2694" t="str">
        <f t="shared" si="100"/>
        <v>O</v>
      </c>
      <c r="F2694" t="str">
        <f t="shared" si="101"/>
        <v>14O</v>
      </c>
    </row>
    <row r="2695" spans="1:6" x14ac:dyDescent="0.2">
      <c r="A2695">
        <v>15</v>
      </c>
      <c r="E2695" t="str">
        <f t="shared" si="100"/>
        <v>P</v>
      </c>
      <c r="F2695" t="str">
        <f t="shared" si="101"/>
        <v>15P</v>
      </c>
    </row>
    <row r="2696" spans="1:6" x14ac:dyDescent="0.2">
      <c r="A2696">
        <v>16</v>
      </c>
      <c r="E2696" t="str">
        <f t="shared" si="100"/>
        <v>Q</v>
      </c>
      <c r="F2696" t="str">
        <f t="shared" si="101"/>
        <v>16Q</v>
      </c>
    </row>
    <row r="2697" spans="1:6" x14ac:dyDescent="0.2">
      <c r="A2697">
        <v>17</v>
      </c>
      <c r="E2697" t="str">
        <f t="shared" si="100"/>
        <v>R</v>
      </c>
      <c r="F2697" t="str">
        <f t="shared" si="101"/>
        <v>17R</v>
      </c>
    </row>
    <row r="2698" spans="1:6" x14ac:dyDescent="0.2">
      <c r="A2698">
        <v>18</v>
      </c>
      <c r="E2698" t="str">
        <f t="shared" si="100"/>
        <v>S</v>
      </c>
      <c r="F2698" t="str">
        <f t="shared" si="101"/>
        <v>18S</v>
      </c>
    </row>
    <row r="2699" spans="1:6" x14ac:dyDescent="0.2">
      <c r="A2699">
        <v>19</v>
      </c>
      <c r="E2699" t="str">
        <f t="shared" si="100"/>
        <v>T</v>
      </c>
      <c r="F2699" t="str">
        <f t="shared" si="101"/>
        <v>19T</v>
      </c>
    </row>
    <row r="2700" spans="1:6" x14ac:dyDescent="0.2">
      <c r="A2700">
        <v>20</v>
      </c>
      <c r="E2700" t="str">
        <f t="shared" si="100"/>
        <v>U</v>
      </c>
      <c r="F2700" t="str">
        <f t="shared" si="101"/>
        <v>20U</v>
      </c>
    </row>
    <row r="2701" spans="1:6" x14ac:dyDescent="0.2">
      <c r="A2701">
        <v>21</v>
      </c>
      <c r="E2701" t="str">
        <f t="shared" si="100"/>
        <v>V</v>
      </c>
      <c r="F2701" t="str">
        <f t="shared" si="101"/>
        <v>21V</v>
      </c>
    </row>
    <row r="2702" spans="1:6" x14ac:dyDescent="0.2">
      <c r="A2702">
        <v>22</v>
      </c>
      <c r="E2702" t="str">
        <f t="shared" si="100"/>
        <v>W</v>
      </c>
      <c r="F2702" t="str">
        <f t="shared" si="101"/>
        <v>22W</v>
      </c>
    </row>
    <row r="2703" spans="1:6" x14ac:dyDescent="0.2">
      <c r="A2703">
        <v>23</v>
      </c>
      <c r="E2703" t="str">
        <f t="shared" si="100"/>
        <v>X</v>
      </c>
      <c r="F2703" t="str">
        <f t="shared" si="101"/>
        <v>23X</v>
      </c>
    </row>
    <row r="2704" spans="1:6" x14ac:dyDescent="0.2">
      <c r="A2704">
        <v>24</v>
      </c>
      <c r="E2704" t="str">
        <f t="shared" si="100"/>
        <v>Y</v>
      </c>
      <c r="F2704" t="str">
        <f t="shared" si="101"/>
        <v>24Y</v>
      </c>
    </row>
    <row r="2705" spans="1:6" x14ac:dyDescent="0.2">
      <c r="A2705">
        <v>25</v>
      </c>
      <c r="E2705" t="str">
        <f t="shared" si="100"/>
        <v>Z</v>
      </c>
      <c r="F2705" t="str">
        <f t="shared" si="101"/>
        <v>25Z</v>
      </c>
    </row>
    <row r="2706" spans="1:6" x14ac:dyDescent="0.2">
      <c r="A2706">
        <v>0</v>
      </c>
      <c r="E2706" t="str">
        <f t="shared" si="100"/>
        <v>A</v>
      </c>
      <c r="F2706" t="str">
        <f t="shared" si="101"/>
        <v>0A</v>
      </c>
    </row>
    <row r="2707" spans="1:6" x14ac:dyDescent="0.2">
      <c r="A2707">
        <v>1</v>
      </c>
      <c r="E2707" t="str">
        <f t="shared" si="100"/>
        <v>B</v>
      </c>
      <c r="F2707" t="str">
        <f t="shared" si="101"/>
        <v>1B</v>
      </c>
    </row>
    <row r="2708" spans="1:6" x14ac:dyDescent="0.2">
      <c r="A2708">
        <v>2</v>
      </c>
      <c r="E2708" t="str">
        <f t="shared" si="100"/>
        <v>C</v>
      </c>
      <c r="F2708" t="str">
        <f t="shared" si="101"/>
        <v>2C</v>
      </c>
    </row>
    <row r="2709" spans="1:6" x14ac:dyDescent="0.2">
      <c r="A2709">
        <v>3</v>
      </c>
      <c r="E2709" t="str">
        <f t="shared" si="100"/>
        <v>D</v>
      </c>
      <c r="F2709" t="str">
        <f t="shared" si="101"/>
        <v>3D</v>
      </c>
    </row>
    <row r="2710" spans="1:6" x14ac:dyDescent="0.2">
      <c r="A2710">
        <v>4</v>
      </c>
      <c r="E2710" t="str">
        <f t="shared" si="100"/>
        <v>E</v>
      </c>
      <c r="F2710" t="str">
        <f t="shared" si="101"/>
        <v>4E</v>
      </c>
    </row>
    <row r="2711" spans="1:6" x14ac:dyDescent="0.2">
      <c r="A2711">
        <v>5</v>
      </c>
      <c r="E2711" t="str">
        <f t="shared" si="100"/>
        <v>F</v>
      </c>
      <c r="F2711" t="str">
        <f t="shared" si="101"/>
        <v>5F</v>
      </c>
    </row>
    <row r="2712" spans="1:6" x14ac:dyDescent="0.2">
      <c r="A2712">
        <v>6</v>
      </c>
      <c r="E2712" t="str">
        <f t="shared" si="100"/>
        <v>G</v>
      </c>
      <c r="F2712" t="str">
        <f t="shared" si="101"/>
        <v>6G</v>
      </c>
    </row>
    <row r="2713" spans="1:6" x14ac:dyDescent="0.2">
      <c r="A2713">
        <v>7</v>
      </c>
      <c r="E2713" t="str">
        <f t="shared" si="100"/>
        <v>H</v>
      </c>
      <c r="F2713" t="str">
        <f t="shared" si="101"/>
        <v>7H</v>
      </c>
    </row>
    <row r="2714" spans="1:6" x14ac:dyDescent="0.2">
      <c r="A2714">
        <v>8</v>
      </c>
      <c r="E2714" t="str">
        <f t="shared" si="100"/>
        <v>I</v>
      </c>
      <c r="F2714" t="str">
        <f t="shared" si="101"/>
        <v>8I</v>
      </c>
    </row>
    <row r="2715" spans="1:6" x14ac:dyDescent="0.2">
      <c r="A2715">
        <v>9</v>
      </c>
      <c r="E2715" t="str">
        <f t="shared" si="100"/>
        <v>J</v>
      </c>
      <c r="F2715" t="str">
        <f t="shared" si="101"/>
        <v>9J</v>
      </c>
    </row>
    <row r="2716" spans="1:6" x14ac:dyDescent="0.2">
      <c r="A2716">
        <v>10</v>
      </c>
      <c r="E2716" t="str">
        <f t="shared" si="100"/>
        <v>K</v>
      </c>
      <c r="F2716" t="str">
        <f t="shared" si="101"/>
        <v>10K</v>
      </c>
    </row>
    <row r="2717" spans="1:6" x14ac:dyDescent="0.2">
      <c r="A2717">
        <v>11</v>
      </c>
      <c r="E2717" t="str">
        <f t="shared" ref="E2717:E2780" si="102">E2691</f>
        <v>L</v>
      </c>
      <c r="F2717" t="str">
        <f t="shared" si="101"/>
        <v>11L</v>
      </c>
    </row>
    <row r="2718" spans="1:6" x14ac:dyDescent="0.2">
      <c r="A2718">
        <v>12</v>
      </c>
      <c r="E2718" t="str">
        <f t="shared" si="102"/>
        <v>M</v>
      </c>
      <c r="F2718" t="str">
        <f t="shared" si="101"/>
        <v>12M</v>
      </c>
    </row>
    <row r="2719" spans="1:6" x14ac:dyDescent="0.2">
      <c r="A2719">
        <v>13</v>
      </c>
      <c r="E2719" t="str">
        <f t="shared" si="102"/>
        <v>N</v>
      </c>
      <c r="F2719" t="str">
        <f t="shared" si="101"/>
        <v>13N</v>
      </c>
    </row>
    <row r="2720" spans="1:6" x14ac:dyDescent="0.2">
      <c r="A2720">
        <v>14</v>
      </c>
      <c r="E2720" t="str">
        <f t="shared" si="102"/>
        <v>O</v>
      </c>
      <c r="F2720" t="str">
        <f t="shared" si="101"/>
        <v>14O</v>
      </c>
    </row>
    <row r="2721" spans="1:6" x14ac:dyDescent="0.2">
      <c r="A2721">
        <v>15</v>
      </c>
      <c r="E2721" t="str">
        <f t="shared" si="102"/>
        <v>P</v>
      </c>
      <c r="F2721" t="str">
        <f t="shared" si="101"/>
        <v>15P</v>
      </c>
    </row>
    <row r="2722" spans="1:6" x14ac:dyDescent="0.2">
      <c r="A2722">
        <v>16</v>
      </c>
      <c r="E2722" t="str">
        <f t="shared" si="102"/>
        <v>Q</v>
      </c>
      <c r="F2722" t="str">
        <f t="shared" si="101"/>
        <v>16Q</v>
      </c>
    </row>
    <row r="2723" spans="1:6" x14ac:dyDescent="0.2">
      <c r="A2723">
        <v>17</v>
      </c>
      <c r="E2723" t="str">
        <f t="shared" si="102"/>
        <v>R</v>
      </c>
      <c r="F2723" t="str">
        <f t="shared" si="101"/>
        <v>17R</v>
      </c>
    </row>
    <row r="2724" spans="1:6" x14ac:dyDescent="0.2">
      <c r="A2724">
        <v>18</v>
      </c>
      <c r="E2724" t="str">
        <f t="shared" si="102"/>
        <v>S</v>
      </c>
      <c r="F2724" t="str">
        <f t="shared" si="101"/>
        <v>18S</v>
      </c>
    </row>
    <row r="2725" spans="1:6" x14ac:dyDescent="0.2">
      <c r="A2725">
        <v>19</v>
      </c>
      <c r="E2725" t="str">
        <f t="shared" si="102"/>
        <v>T</v>
      </c>
      <c r="F2725" t="str">
        <f t="shared" si="101"/>
        <v>19T</v>
      </c>
    </row>
    <row r="2726" spans="1:6" x14ac:dyDescent="0.2">
      <c r="A2726">
        <v>20</v>
      </c>
      <c r="E2726" t="str">
        <f t="shared" si="102"/>
        <v>U</v>
      </c>
      <c r="F2726" t="str">
        <f t="shared" si="101"/>
        <v>20U</v>
      </c>
    </row>
    <row r="2727" spans="1:6" x14ac:dyDescent="0.2">
      <c r="A2727">
        <v>21</v>
      </c>
      <c r="E2727" t="str">
        <f t="shared" si="102"/>
        <v>V</v>
      </c>
      <c r="F2727" t="str">
        <f t="shared" si="101"/>
        <v>21V</v>
      </c>
    </row>
    <row r="2728" spans="1:6" x14ac:dyDescent="0.2">
      <c r="A2728">
        <v>22</v>
      </c>
      <c r="E2728" t="str">
        <f t="shared" si="102"/>
        <v>W</v>
      </c>
      <c r="F2728" t="str">
        <f t="shared" si="101"/>
        <v>22W</v>
      </c>
    </row>
    <row r="2729" spans="1:6" x14ac:dyDescent="0.2">
      <c r="A2729">
        <v>23</v>
      </c>
      <c r="E2729" t="str">
        <f t="shared" si="102"/>
        <v>X</v>
      </c>
      <c r="F2729" t="str">
        <f t="shared" si="101"/>
        <v>23X</v>
      </c>
    </row>
    <row r="2730" spans="1:6" x14ac:dyDescent="0.2">
      <c r="A2730">
        <v>24</v>
      </c>
      <c r="E2730" t="str">
        <f t="shared" si="102"/>
        <v>Y</v>
      </c>
      <c r="F2730" t="str">
        <f t="shared" si="101"/>
        <v>24Y</v>
      </c>
    </row>
    <row r="2731" spans="1:6" x14ac:dyDescent="0.2">
      <c r="A2731">
        <v>25</v>
      </c>
      <c r="E2731" t="str">
        <f t="shared" si="102"/>
        <v>Z</v>
      </c>
      <c r="F2731" t="str">
        <f t="shared" si="101"/>
        <v>25Z</v>
      </c>
    </row>
    <row r="2732" spans="1:6" x14ac:dyDescent="0.2">
      <c r="A2732">
        <v>0</v>
      </c>
      <c r="E2732" t="str">
        <f t="shared" si="102"/>
        <v>A</v>
      </c>
      <c r="F2732" t="str">
        <f t="shared" si="101"/>
        <v>0A</v>
      </c>
    </row>
    <row r="2733" spans="1:6" x14ac:dyDescent="0.2">
      <c r="A2733">
        <v>1</v>
      </c>
      <c r="E2733" t="str">
        <f t="shared" si="102"/>
        <v>B</v>
      </c>
      <c r="F2733" t="str">
        <f t="shared" si="101"/>
        <v>1B</v>
      </c>
    </row>
    <row r="2734" spans="1:6" x14ac:dyDescent="0.2">
      <c r="A2734">
        <v>2</v>
      </c>
      <c r="E2734" t="str">
        <f t="shared" si="102"/>
        <v>C</v>
      </c>
      <c r="F2734" t="str">
        <f t="shared" si="101"/>
        <v>2C</v>
      </c>
    </row>
    <row r="2735" spans="1:6" x14ac:dyDescent="0.2">
      <c r="A2735">
        <v>3</v>
      </c>
      <c r="E2735" t="str">
        <f t="shared" si="102"/>
        <v>D</v>
      </c>
      <c r="F2735" t="str">
        <f t="shared" si="101"/>
        <v>3D</v>
      </c>
    </row>
    <row r="2736" spans="1:6" x14ac:dyDescent="0.2">
      <c r="A2736">
        <v>4</v>
      </c>
      <c r="E2736" t="str">
        <f t="shared" si="102"/>
        <v>E</v>
      </c>
      <c r="F2736" t="str">
        <f t="shared" si="101"/>
        <v>4E</v>
      </c>
    </row>
    <row r="2737" spans="1:6" x14ac:dyDescent="0.2">
      <c r="A2737">
        <v>5</v>
      </c>
      <c r="E2737" t="str">
        <f t="shared" si="102"/>
        <v>F</v>
      </c>
      <c r="F2737" t="str">
        <f t="shared" si="101"/>
        <v>5F</v>
      </c>
    </row>
    <row r="2738" spans="1:6" x14ac:dyDescent="0.2">
      <c r="A2738">
        <v>6</v>
      </c>
      <c r="E2738" t="str">
        <f t="shared" si="102"/>
        <v>G</v>
      </c>
      <c r="F2738" t="str">
        <f t="shared" si="101"/>
        <v>6G</v>
      </c>
    </row>
    <row r="2739" spans="1:6" x14ac:dyDescent="0.2">
      <c r="A2739">
        <v>7</v>
      </c>
      <c r="E2739" t="str">
        <f t="shared" si="102"/>
        <v>H</v>
      </c>
      <c r="F2739" t="str">
        <f t="shared" si="101"/>
        <v>7H</v>
      </c>
    </row>
    <row r="2740" spans="1:6" x14ac:dyDescent="0.2">
      <c r="A2740">
        <v>8</v>
      </c>
      <c r="E2740" t="str">
        <f t="shared" si="102"/>
        <v>I</v>
      </c>
      <c r="F2740" t="str">
        <f t="shared" si="101"/>
        <v>8I</v>
      </c>
    </row>
    <row r="2741" spans="1:6" x14ac:dyDescent="0.2">
      <c r="A2741">
        <v>9</v>
      </c>
      <c r="E2741" t="str">
        <f t="shared" si="102"/>
        <v>J</v>
      </c>
      <c r="F2741" t="str">
        <f t="shared" si="101"/>
        <v>9J</v>
      </c>
    </row>
    <row r="2742" spans="1:6" x14ac:dyDescent="0.2">
      <c r="A2742">
        <v>10</v>
      </c>
      <c r="E2742" t="str">
        <f t="shared" si="102"/>
        <v>K</v>
      </c>
      <c r="F2742" t="str">
        <f t="shared" si="101"/>
        <v>10K</v>
      </c>
    </row>
    <row r="2743" spans="1:6" x14ac:dyDescent="0.2">
      <c r="A2743">
        <v>11</v>
      </c>
      <c r="E2743" t="str">
        <f t="shared" si="102"/>
        <v>L</v>
      </c>
      <c r="F2743" t="str">
        <f t="shared" si="101"/>
        <v>11L</v>
      </c>
    </row>
    <row r="2744" spans="1:6" x14ac:dyDescent="0.2">
      <c r="A2744">
        <v>12</v>
      </c>
      <c r="E2744" t="str">
        <f t="shared" si="102"/>
        <v>M</v>
      </c>
      <c r="F2744" t="str">
        <f t="shared" si="101"/>
        <v>12M</v>
      </c>
    </row>
    <row r="2745" spans="1:6" x14ac:dyDescent="0.2">
      <c r="A2745">
        <v>13</v>
      </c>
      <c r="E2745" t="str">
        <f t="shared" si="102"/>
        <v>N</v>
      </c>
      <c r="F2745" t="str">
        <f t="shared" si="101"/>
        <v>13N</v>
      </c>
    </row>
    <row r="2746" spans="1:6" x14ac:dyDescent="0.2">
      <c r="A2746">
        <v>14</v>
      </c>
      <c r="E2746" t="str">
        <f t="shared" si="102"/>
        <v>O</v>
      </c>
      <c r="F2746" t="str">
        <f t="shared" si="101"/>
        <v>14O</v>
      </c>
    </row>
    <row r="2747" spans="1:6" x14ac:dyDescent="0.2">
      <c r="A2747">
        <v>15</v>
      </c>
      <c r="E2747" t="str">
        <f t="shared" si="102"/>
        <v>P</v>
      </c>
      <c r="F2747" t="str">
        <f t="shared" si="101"/>
        <v>15P</v>
      </c>
    </row>
    <row r="2748" spans="1:6" x14ac:dyDescent="0.2">
      <c r="A2748">
        <v>16</v>
      </c>
      <c r="E2748" t="str">
        <f t="shared" si="102"/>
        <v>Q</v>
      </c>
      <c r="F2748" t="str">
        <f t="shared" si="101"/>
        <v>16Q</v>
      </c>
    </row>
    <row r="2749" spans="1:6" x14ac:dyDescent="0.2">
      <c r="A2749">
        <v>17</v>
      </c>
      <c r="E2749" t="str">
        <f t="shared" si="102"/>
        <v>R</v>
      </c>
      <c r="F2749" t="str">
        <f t="shared" si="101"/>
        <v>17R</v>
      </c>
    </row>
    <row r="2750" spans="1:6" x14ac:dyDescent="0.2">
      <c r="A2750">
        <v>18</v>
      </c>
      <c r="E2750" t="str">
        <f t="shared" si="102"/>
        <v>S</v>
      </c>
      <c r="F2750" t="str">
        <f t="shared" si="101"/>
        <v>18S</v>
      </c>
    </row>
    <row r="2751" spans="1:6" x14ac:dyDescent="0.2">
      <c r="A2751">
        <v>19</v>
      </c>
      <c r="E2751" t="str">
        <f t="shared" si="102"/>
        <v>T</v>
      </c>
      <c r="F2751" t="str">
        <f t="shared" si="101"/>
        <v>19T</v>
      </c>
    </row>
    <row r="2752" spans="1:6" x14ac:dyDescent="0.2">
      <c r="A2752">
        <v>20</v>
      </c>
      <c r="E2752" t="str">
        <f t="shared" si="102"/>
        <v>U</v>
      </c>
      <c r="F2752" t="str">
        <f t="shared" si="101"/>
        <v>20U</v>
      </c>
    </row>
    <row r="2753" spans="1:6" x14ac:dyDescent="0.2">
      <c r="A2753">
        <v>21</v>
      </c>
      <c r="E2753" t="str">
        <f t="shared" si="102"/>
        <v>V</v>
      </c>
      <c r="F2753" t="str">
        <f t="shared" si="101"/>
        <v>21V</v>
      </c>
    </row>
    <row r="2754" spans="1:6" x14ac:dyDescent="0.2">
      <c r="A2754">
        <v>22</v>
      </c>
      <c r="E2754" t="str">
        <f t="shared" si="102"/>
        <v>W</v>
      </c>
      <c r="F2754" t="str">
        <f t="shared" si="101"/>
        <v>22W</v>
      </c>
    </row>
    <row r="2755" spans="1:6" x14ac:dyDescent="0.2">
      <c r="A2755">
        <v>23</v>
      </c>
      <c r="E2755" t="str">
        <f t="shared" si="102"/>
        <v>X</v>
      </c>
      <c r="F2755" t="str">
        <f t="shared" ref="F2755:F2818" si="103">A2755&amp;C2755&amp;E2755</f>
        <v>23X</v>
      </c>
    </row>
    <row r="2756" spans="1:6" x14ac:dyDescent="0.2">
      <c r="A2756">
        <v>24</v>
      </c>
      <c r="E2756" t="str">
        <f t="shared" si="102"/>
        <v>Y</v>
      </c>
      <c r="F2756" t="str">
        <f t="shared" si="103"/>
        <v>24Y</v>
      </c>
    </row>
    <row r="2757" spans="1:6" x14ac:dyDescent="0.2">
      <c r="A2757">
        <v>25</v>
      </c>
      <c r="E2757" t="str">
        <f t="shared" si="102"/>
        <v>Z</v>
      </c>
      <c r="F2757" t="str">
        <f t="shared" si="103"/>
        <v>25Z</v>
      </c>
    </row>
    <row r="2758" spans="1:6" x14ac:dyDescent="0.2">
      <c r="A2758">
        <v>0</v>
      </c>
      <c r="E2758" t="str">
        <f t="shared" si="102"/>
        <v>A</v>
      </c>
      <c r="F2758" t="str">
        <f t="shared" si="103"/>
        <v>0A</v>
      </c>
    </row>
    <row r="2759" spans="1:6" x14ac:dyDescent="0.2">
      <c r="A2759">
        <v>1</v>
      </c>
      <c r="E2759" t="str">
        <f t="shared" si="102"/>
        <v>B</v>
      </c>
      <c r="F2759" t="str">
        <f t="shared" si="103"/>
        <v>1B</v>
      </c>
    </row>
    <row r="2760" spans="1:6" x14ac:dyDescent="0.2">
      <c r="A2760">
        <v>2</v>
      </c>
      <c r="E2760" t="str">
        <f t="shared" si="102"/>
        <v>C</v>
      </c>
      <c r="F2760" t="str">
        <f t="shared" si="103"/>
        <v>2C</v>
      </c>
    </row>
    <row r="2761" spans="1:6" x14ac:dyDescent="0.2">
      <c r="A2761">
        <v>3</v>
      </c>
      <c r="E2761" t="str">
        <f t="shared" si="102"/>
        <v>D</v>
      </c>
      <c r="F2761" t="str">
        <f t="shared" si="103"/>
        <v>3D</v>
      </c>
    </row>
    <row r="2762" spans="1:6" x14ac:dyDescent="0.2">
      <c r="A2762">
        <v>4</v>
      </c>
      <c r="E2762" t="str">
        <f t="shared" si="102"/>
        <v>E</v>
      </c>
      <c r="F2762" t="str">
        <f t="shared" si="103"/>
        <v>4E</v>
      </c>
    </row>
    <row r="2763" spans="1:6" x14ac:dyDescent="0.2">
      <c r="A2763">
        <v>5</v>
      </c>
      <c r="E2763" t="str">
        <f t="shared" si="102"/>
        <v>F</v>
      </c>
      <c r="F2763" t="str">
        <f t="shared" si="103"/>
        <v>5F</v>
      </c>
    </row>
    <row r="2764" spans="1:6" x14ac:dyDescent="0.2">
      <c r="A2764">
        <v>6</v>
      </c>
      <c r="E2764" t="str">
        <f t="shared" si="102"/>
        <v>G</v>
      </c>
      <c r="F2764" t="str">
        <f t="shared" si="103"/>
        <v>6G</v>
      </c>
    </row>
    <row r="2765" spans="1:6" x14ac:dyDescent="0.2">
      <c r="A2765">
        <v>7</v>
      </c>
      <c r="E2765" t="str">
        <f t="shared" si="102"/>
        <v>H</v>
      </c>
      <c r="F2765" t="str">
        <f t="shared" si="103"/>
        <v>7H</v>
      </c>
    </row>
    <row r="2766" spans="1:6" x14ac:dyDescent="0.2">
      <c r="A2766">
        <v>8</v>
      </c>
      <c r="E2766" t="str">
        <f t="shared" si="102"/>
        <v>I</v>
      </c>
      <c r="F2766" t="str">
        <f t="shared" si="103"/>
        <v>8I</v>
      </c>
    </row>
    <row r="2767" spans="1:6" x14ac:dyDescent="0.2">
      <c r="A2767">
        <v>9</v>
      </c>
      <c r="E2767" t="str">
        <f t="shared" si="102"/>
        <v>J</v>
      </c>
      <c r="F2767" t="str">
        <f t="shared" si="103"/>
        <v>9J</v>
      </c>
    </row>
    <row r="2768" spans="1:6" x14ac:dyDescent="0.2">
      <c r="A2768">
        <v>10</v>
      </c>
      <c r="E2768" t="str">
        <f t="shared" si="102"/>
        <v>K</v>
      </c>
      <c r="F2768" t="str">
        <f t="shared" si="103"/>
        <v>10K</v>
      </c>
    </row>
    <row r="2769" spans="1:6" x14ac:dyDescent="0.2">
      <c r="A2769">
        <v>11</v>
      </c>
      <c r="E2769" t="str">
        <f t="shared" si="102"/>
        <v>L</v>
      </c>
      <c r="F2769" t="str">
        <f t="shared" si="103"/>
        <v>11L</v>
      </c>
    </row>
    <row r="2770" spans="1:6" x14ac:dyDescent="0.2">
      <c r="A2770">
        <v>12</v>
      </c>
      <c r="E2770" t="str">
        <f t="shared" si="102"/>
        <v>M</v>
      </c>
      <c r="F2770" t="str">
        <f t="shared" si="103"/>
        <v>12M</v>
      </c>
    </row>
    <row r="2771" spans="1:6" x14ac:dyDescent="0.2">
      <c r="A2771">
        <v>13</v>
      </c>
      <c r="E2771" t="str">
        <f t="shared" si="102"/>
        <v>N</v>
      </c>
      <c r="F2771" t="str">
        <f t="shared" si="103"/>
        <v>13N</v>
      </c>
    </row>
    <row r="2772" spans="1:6" x14ac:dyDescent="0.2">
      <c r="A2772">
        <v>14</v>
      </c>
      <c r="E2772" t="str">
        <f t="shared" si="102"/>
        <v>O</v>
      </c>
      <c r="F2772" t="str">
        <f t="shared" si="103"/>
        <v>14O</v>
      </c>
    </row>
    <row r="2773" spans="1:6" x14ac:dyDescent="0.2">
      <c r="A2773">
        <v>15</v>
      </c>
      <c r="E2773" t="str">
        <f t="shared" si="102"/>
        <v>P</v>
      </c>
      <c r="F2773" t="str">
        <f t="shared" si="103"/>
        <v>15P</v>
      </c>
    </row>
    <row r="2774" spans="1:6" x14ac:dyDescent="0.2">
      <c r="A2774">
        <v>16</v>
      </c>
      <c r="E2774" t="str">
        <f t="shared" si="102"/>
        <v>Q</v>
      </c>
      <c r="F2774" t="str">
        <f t="shared" si="103"/>
        <v>16Q</v>
      </c>
    </row>
    <row r="2775" spans="1:6" x14ac:dyDescent="0.2">
      <c r="A2775">
        <v>17</v>
      </c>
      <c r="E2775" t="str">
        <f t="shared" si="102"/>
        <v>R</v>
      </c>
      <c r="F2775" t="str">
        <f t="shared" si="103"/>
        <v>17R</v>
      </c>
    </row>
    <row r="2776" spans="1:6" x14ac:dyDescent="0.2">
      <c r="A2776">
        <v>18</v>
      </c>
      <c r="E2776" t="str">
        <f t="shared" si="102"/>
        <v>S</v>
      </c>
      <c r="F2776" t="str">
        <f t="shared" si="103"/>
        <v>18S</v>
      </c>
    </row>
    <row r="2777" spans="1:6" x14ac:dyDescent="0.2">
      <c r="A2777">
        <v>19</v>
      </c>
      <c r="E2777" t="str">
        <f t="shared" si="102"/>
        <v>T</v>
      </c>
      <c r="F2777" t="str">
        <f t="shared" si="103"/>
        <v>19T</v>
      </c>
    </row>
    <row r="2778" spans="1:6" x14ac:dyDescent="0.2">
      <c r="A2778">
        <v>20</v>
      </c>
      <c r="E2778" t="str">
        <f t="shared" si="102"/>
        <v>U</v>
      </c>
      <c r="F2778" t="str">
        <f t="shared" si="103"/>
        <v>20U</v>
      </c>
    </row>
    <row r="2779" spans="1:6" x14ac:dyDescent="0.2">
      <c r="A2779">
        <v>21</v>
      </c>
      <c r="E2779" t="str">
        <f t="shared" si="102"/>
        <v>V</v>
      </c>
      <c r="F2779" t="str">
        <f t="shared" si="103"/>
        <v>21V</v>
      </c>
    </row>
    <row r="2780" spans="1:6" x14ac:dyDescent="0.2">
      <c r="A2780">
        <v>22</v>
      </c>
      <c r="E2780" t="str">
        <f t="shared" si="102"/>
        <v>W</v>
      </c>
      <c r="F2780" t="str">
        <f t="shared" si="103"/>
        <v>22W</v>
      </c>
    </row>
    <row r="2781" spans="1:6" x14ac:dyDescent="0.2">
      <c r="A2781">
        <v>23</v>
      </c>
      <c r="E2781" t="str">
        <f t="shared" ref="E2781:E2844" si="104">E2755</f>
        <v>X</v>
      </c>
      <c r="F2781" t="str">
        <f t="shared" si="103"/>
        <v>23X</v>
      </c>
    </row>
    <row r="2782" spans="1:6" x14ac:dyDescent="0.2">
      <c r="A2782">
        <v>24</v>
      </c>
      <c r="E2782" t="str">
        <f t="shared" si="104"/>
        <v>Y</v>
      </c>
      <c r="F2782" t="str">
        <f t="shared" si="103"/>
        <v>24Y</v>
      </c>
    </row>
    <row r="2783" spans="1:6" x14ac:dyDescent="0.2">
      <c r="A2783">
        <v>25</v>
      </c>
      <c r="E2783" t="str">
        <f t="shared" si="104"/>
        <v>Z</v>
      </c>
      <c r="F2783" t="str">
        <f t="shared" si="103"/>
        <v>25Z</v>
      </c>
    </row>
    <row r="2784" spans="1:6" x14ac:dyDescent="0.2">
      <c r="A2784">
        <v>0</v>
      </c>
      <c r="E2784" t="str">
        <f t="shared" si="104"/>
        <v>A</v>
      </c>
      <c r="F2784" t="str">
        <f t="shared" si="103"/>
        <v>0A</v>
      </c>
    </row>
    <row r="2785" spans="1:6" x14ac:dyDescent="0.2">
      <c r="A2785">
        <v>1</v>
      </c>
      <c r="E2785" t="str">
        <f t="shared" si="104"/>
        <v>B</v>
      </c>
      <c r="F2785" t="str">
        <f t="shared" si="103"/>
        <v>1B</v>
      </c>
    </row>
    <row r="2786" spans="1:6" x14ac:dyDescent="0.2">
      <c r="A2786">
        <v>2</v>
      </c>
      <c r="E2786" t="str">
        <f t="shared" si="104"/>
        <v>C</v>
      </c>
      <c r="F2786" t="str">
        <f t="shared" si="103"/>
        <v>2C</v>
      </c>
    </row>
    <row r="2787" spans="1:6" x14ac:dyDescent="0.2">
      <c r="A2787">
        <v>3</v>
      </c>
      <c r="E2787" t="str">
        <f t="shared" si="104"/>
        <v>D</v>
      </c>
      <c r="F2787" t="str">
        <f t="shared" si="103"/>
        <v>3D</v>
      </c>
    </row>
    <row r="2788" spans="1:6" x14ac:dyDescent="0.2">
      <c r="A2788">
        <v>4</v>
      </c>
      <c r="E2788" t="str">
        <f t="shared" si="104"/>
        <v>E</v>
      </c>
      <c r="F2788" t="str">
        <f t="shared" si="103"/>
        <v>4E</v>
      </c>
    </row>
    <row r="2789" spans="1:6" x14ac:dyDescent="0.2">
      <c r="A2789">
        <v>5</v>
      </c>
      <c r="E2789" t="str">
        <f t="shared" si="104"/>
        <v>F</v>
      </c>
      <c r="F2789" t="str">
        <f t="shared" si="103"/>
        <v>5F</v>
      </c>
    </row>
    <row r="2790" spans="1:6" x14ac:dyDescent="0.2">
      <c r="A2790">
        <v>6</v>
      </c>
      <c r="E2790" t="str">
        <f t="shared" si="104"/>
        <v>G</v>
      </c>
      <c r="F2790" t="str">
        <f t="shared" si="103"/>
        <v>6G</v>
      </c>
    </row>
    <row r="2791" spans="1:6" x14ac:dyDescent="0.2">
      <c r="A2791">
        <v>7</v>
      </c>
      <c r="E2791" t="str">
        <f t="shared" si="104"/>
        <v>H</v>
      </c>
      <c r="F2791" t="str">
        <f t="shared" si="103"/>
        <v>7H</v>
      </c>
    </row>
    <row r="2792" spans="1:6" x14ac:dyDescent="0.2">
      <c r="A2792">
        <v>8</v>
      </c>
      <c r="E2792" t="str">
        <f t="shared" si="104"/>
        <v>I</v>
      </c>
      <c r="F2792" t="str">
        <f t="shared" si="103"/>
        <v>8I</v>
      </c>
    </row>
    <row r="2793" spans="1:6" x14ac:dyDescent="0.2">
      <c r="A2793">
        <v>9</v>
      </c>
      <c r="E2793" t="str">
        <f t="shared" si="104"/>
        <v>J</v>
      </c>
      <c r="F2793" t="str">
        <f t="shared" si="103"/>
        <v>9J</v>
      </c>
    </row>
    <row r="2794" spans="1:6" x14ac:dyDescent="0.2">
      <c r="A2794">
        <v>10</v>
      </c>
      <c r="E2794" t="str">
        <f t="shared" si="104"/>
        <v>K</v>
      </c>
      <c r="F2794" t="str">
        <f t="shared" si="103"/>
        <v>10K</v>
      </c>
    </row>
    <row r="2795" spans="1:6" x14ac:dyDescent="0.2">
      <c r="A2795">
        <v>11</v>
      </c>
      <c r="E2795" t="str">
        <f t="shared" si="104"/>
        <v>L</v>
      </c>
      <c r="F2795" t="str">
        <f t="shared" si="103"/>
        <v>11L</v>
      </c>
    </row>
    <row r="2796" spans="1:6" x14ac:dyDescent="0.2">
      <c r="A2796">
        <v>12</v>
      </c>
      <c r="E2796" t="str">
        <f t="shared" si="104"/>
        <v>M</v>
      </c>
      <c r="F2796" t="str">
        <f t="shared" si="103"/>
        <v>12M</v>
      </c>
    </row>
    <row r="2797" spans="1:6" x14ac:dyDescent="0.2">
      <c r="A2797">
        <v>13</v>
      </c>
      <c r="E2797" t="str">
        <f t="shared" si="104"/>
        <v>N</v>
      </c>
      <c r="F2797" t="str">
        <f t="shared" si="103"/>
        <v>13N</v>
      </c>
    </row>
    <row r="2798" spans="1:6" x14ac:dyDescent="0.2">
      <c r="A2798">
        <v>14</v>
      </c>
      <c r="E2798" t="str">
        <f t="shared" si="104"/>
        <v>O</v>
      </c>
      <c r="F2798" t="str">
        <f t="shared" si="103"/>
        <v>14O</v>
      </c>
    </row>
    <row r="2799" spans="1:6" x14ac:dyDescent="0.2">
      <c r="A2799">
        <v>15</v>
      </c>
      <c r="E2799" t="str">
        <f t="shared" si="104"/>
        <v>P</v>
      </c>
      <c r="F2799" t="str">
        <f t="shared" si="103"/>
        <v>15P</v>
      </c>
    </row>
    <row r="2800" spans="1:6" x14ac:dyDescent="0.2">
      <c r="A2800">
        <v>16</v>
      </c>
      <c r="E2800" t="str">
        <f t="shared" si="104"/>
        <v>Q</v>
      </c>
      <c r="F2800" t="str">
        <f t="shared" si="103"/>
        <v>16Q</v>
      </c>
    </row>
    <row r="2801" spans="1:6" x14ac:dyDescent="0.2">
      <c r="A2801">
        <v>17</v>
      </c>
      <c r="E2801" t="str">
        <f t="shared" si="104"/>
        <v>R</v>
      </c>
      <c r="F2801" t="str">
        <f t="shared" si="103"/>
        <v>17R</v>
      </c>
    </row>
    <row r="2802" spans="1:6" x14ac:dyDescent="0.2">
      <c r="A2802">
        <v>18</v>
      </c>
      <c r="E2802" t="str">
        <f t="shared" si="104"/>
        <v>S</v>
      </c>
      <c r="F2802" t="str">
        <f t="shared" si="103"/>
        <v>18S</v>
      </c>
    </row>
    <row r="2803" spans="1:6" x14ac:dyDescent="0.2">
      <c r="A2803">
        <v>19</v>
      </c>
      <c r="E2803" t="str">
        <f t="shared" si="104"/>
        <v>T</v>
      </c>
      <c r="F2803" t="str">
        <f t="shared" si="103"/>
        <v>19T</v>
      </c>
    </row>
    <row r="2804" spans="1:6" x14ac:dyDescent="0.2">
      <c r="A2804">
        <v>20</v>
      </c>
      <c r="E2804" t="str">
        <f t="shared" si="104"/>
        <v>U</v>
      </c>
      <c r="F2804" t="str">
        <f t="shared" si="103"/>
        <v>20U</v>
      </c>
    </row>
    <row r="2805" spans="1:6" x14ac:dyDescent="0.2">
      <c r="A2805">
        <v>21</v>
      </c>
      <c r="E2805" t="str">
        <f t="shared" si="104"/>
        <v>V</v>
      </c>
      <c r="F2805" t="str">
        <f t="shared" si="103"/>
        <v>21V</v>
      </c>
    </row>
    <row r="2806" spans="1:6" x14ac:dyDescent="0.2">
      <c r="A2806">
        <v>22</v>
      </c>
      <c r="E2806" t="str">
        <f t="shared" si="104"/>
        <v>W</v>
      </c>
      <c r="F2806" t="str">
        <f t="shared" si="103"/>
        <v>22W</v>
      </c>
    </row>
    <row r="2807" spans="1:6" x14ac:dyDescent="0.2">
      <c r="A2807">
        <v>23</v>
      </c>
      <c r="E2807" t="str">
        <f t="shared" si="104"/>
        <v>X</v>
      </c>
      <c r="F2807" t="str">
        <f t="shared" si="103"/>
        <v>23X</v>
      </c>
    </row>
    <row r="2808" spans="1:6" x14ac:dyDescent="0.2">
      <c r="A2808">
        <v>24</v>
      </c>
      <c r="E2808" t="str">
        <f t="shared" si="104"/>
        <v>Y</v>
      </c>
      <c r="F2808" t="str">
        <f t="shared" si="103"/>
        <v>24Y</v>
      </c>
    </row>
    <row r="2809" spans="1:6" x14ac:dyDescent="0.2">
      <c r="A2809">
        <v>25</v>
      </c>
      <c r="E2809" t="str">
        <f t="shared" si="104"/>
        <v>Z</v>
      </c>
      <c r="F2809" t="str">
        <f t="shared" si="103"/>
        <v>25Z</v>
      </c>
    </row>
    <row r="2810" spans="1:6" x14ac:dyDescent="0.2">
      <c r="A2810">
        <v>0</v>
      </c>
      <c r="E2810" t="str">
        <f t="shared" si="104"/>
        <v>A</v>
      </c>
      <c r="F2810" t="str">
        <f t="shared" si="103"/>
        <v>0A</v>
      </c>
    </row>
    <row r="2811" spans="1:6" x14ac:dyDescent="0.2">
      <c r="A2811">
        <v>1</v>
      </c>
      <c r="E2811" t="str">
        <f t="shared" si="104"/>
        <v>B</v>
      </c>
      <c r="F2811" t="str">
        <f t="shared" si="103"/>
        <v>1B</v>
      </c>
    </row>
    <row r="2812" spans="1:6" x14ac:dyDescent="0.2">
      <c r="A2812">
        <v>2</v>
      </c>
      <c r="E2812" t="str">
        <f t="shared" si="104"/>
        <v>C</v>
      </c>
      <c r="F2812" t="str">
        <f t="shared" si="103"/>
        <v>2C</v>
      </c>
    </row>
    <row r="2813" spans="1:6" x14ac:dyDescent="0.2">
      <c r="A2813">
        <v>3</v>
      </c>
      <c r="E2813" t="str">
        <f t="shared" si="104"/>
        <v>D</v>
      </c>
      <c r="F2813" t="str">
        <f t="shared" si="103"/>
        <v>3D</v>
      </c>
    </row>
    <row r="2814" spans="1:6" x14ac:dyDescent="0.2">
      <c r="A2814">
        <v>4</v>
      </c>
      <c r="E2814" t="str">
        <f t="shared" si="104"/>
        <v>E</v>
      </c>
      <c r="F2814" t="str">
        <f t="shared" si="103"/>
        <v>4E</v>
      </c>
    </row>
    <row r="2815" spans="1:6" x14ac:dyDescent="0.2">
      <c r="A2815">
        <v>5</v>
      </c>
      <c r="E2815" t="str">
        <f t="shared" si="104"/>
        <v>F</v>
      </c>
      <c r="F2815" t="str">
        <f t="shared" si="103"/>
        <v>5F</v>
      </c>
    </row>
    <row r="2816" spans="1:6" x14ac:dyDescent="0.2">
      <c r="A2816">
        <v>6</v>
      </c>
      <c r="E2816" t="str">
        <f t="shared" si="104"/>
        <v>G</v>
      </c>
      <c r="F2816" t="str">
        <f t="shared" si="103"/>
        <v>6G</v>
      </c>
    </row>
    <row r="2817" spans="1:6" x14ac:dyDescent="0.2">
      <c r="A2817">
        <v>7</v>
      </c>
      <c r="E2817" t="str">
        <f t="shared" si="104"/>
        <v>H</v>
      </c>
      <c r="F2817" t="str">
        <f t="shared" si="103"/>
        <v>7H</v>
      </c>
    </row>
    <row r="2818" spans="1:6" x14ac:dyDescent="0.2">
      <c r="A2818">
        <v>8</v>
      </c>
      <c r="E2818" t="str">
        <f t="shared" si="104"/>
        <v>I</v>
      </c>
      <c r="F2818" t="str">
        <f t="shared" si="103"/>
        <v>8I</v>
      </c>
    </row>
    <row r="2819" spans="1:6" x14ac:dyDescent="0.2">
      <c r="A2819">
        <v>9</v>
      </c>
      <c r="E2819" t="str">
        <f t="shared" si="104"/>
        <v>J</v>
      </c>
      <c r="F2819" t="str">
        <f t="shared" ref="F2819:F2882" si="105">A2819&amp;C2819&amp;E2819</f>
        <v>9J</v>
      </c>
    </row>
    <row r="2820" spans="1:6" x14ac:dyDescent="0.2">
      <c r="A2820">
        <v>10</v>
      </c>
      <c r="E2820" t="str">
        <f t="shared" si="104"/>
        <v>K</v>
      </c>
      <c r="F2820" t="str">
        <f t="shared" si="105"/>
        <v>10K</v>
      </c>
    </row>
    <row r="2821" spans="1:6" x14ac:dyDescent="0.2">
      <c r="A2821">
        <v>11</v>
      </c>
      <c r="E2821" t="str">
        <f t="shared" si="104"/>
        <v>L</v>
      </c>
      <c r="F2821" t="str">
        <f t="shared" si="105"/>
        <v>11L</v>
      </c>
    </row>
    <row r="2822" spans="1:6" x14ac:dyDescent="0.2">
      <c r="A2822">
        <v>12</v>
      </c>
      <c r="E2822" t="str">
        <f t="shared" si="104"/>
        <v>M</v>
      </c>
      <c r="F2822" t="str">
        <f t="shared" si="105"/>
        <v>12M</v>
      </c>
    </row>
    <row r="2823" spans="1:6" x14ac:dyDescent="0.2">
      <c r="A2823">
        <v>13</v>
      </c>
      <c r="E2823" t="str">
        <f t="shared" si="104"/>
        <v>N</v>
      </c>
      <c r="F2823" t="str">
        <f t="shared" si="105"/>
        <v>13N</v>
      </c>
    </row>
    <row r="2824" spans="1:6" x14ac:dyDescent="0.2">
      <c r="A2824">
        <v>14</v>
      </c>
      <c r="E2824" t="str">
        <f t="shared" si="104"/>
        <v>O</v>
      </c>
      <c r="F2824" t="str">
        <f t="shared" si="105"/>
        <v>14O</v>
      </c>
    </row>
    <row r="2825" spans="1:6" x14ac:dyDescent="0.2">
      <c r="A2825">
        <v>15</v>
      </c>
      <c r="E2825" t="str">
        <f t="shared" si="104"/>
        <v>P</v>
      </c>
      <c r="F2825" t="str">
        <f t="shared" si="105"/>
        <v>15P</v>
      </c>
    </row>
    <row r="2826" spans="1:6" x14ac:dyDescent="0.2">
      <c r="A2826">
        <v>16</v>
      </c>
      <c r="E2826" t="str">
        <f t="shared" si="104"/>
        <v>Q</v>
      </c>
      <c r="F2826" t="str">
        <f t="shared" si="105"/>
        <v>16Q</v>
      </c>
    </row>
    <row r="2827" spans="1:6" x14ac:dyDescent="0.2">
      <c r="A2827">
        <v>17</v>
      </c>
      <c r="E2827" t="str">
        <f t="shared" si="104"/>
        <v>R</v>
      </c>
      <c r="F2827" t="str">
        <f t="shared" si="105"/>
        <v>17R</v>
      </c>
    </row>
    <row r="2828" spans="1:6" x14ac:dyDescent="0.2">
      <c r="A2828">
        <v>18</v>
      </c>
      <c r="E2828" t="str">
        <f t="shared" si="104"/>
        <v>S</v>
      </c>
      <c r="F2828" t="str">
        <f t="shared" si="105"/>
        <v>18S</v>
      </c>
    </row>
    <row r="2829" spans="1:6" x14ac:dyDescent="0.2">
      <c r="A2829">
        <v>19</v>
      </c>
      <c r="E2829" t="str">
        <f t="shared" si="104"/>
        <v>T</v>
      </c>
      <c r="F2829" t="str">
        <f t="shared" si="105"/>
        <v>19T</v>
      </c>
    </row>
    <row r="2830" spans="1:6" x14ac:dyDescent="0.2">
      <c r="A2830">
        <v>20</v>
      </c>
      <c r="E2830" t="str">
        <f t="shared" si="104"/>
        <v>U</v>
      </c>
      <c r="F2830" t="str">
        <f t="shared" si="105"/>
        <v>20U</v>
      </c>
    </row>
    <row r="2831" spans="1:6" x14ac:dyDescent="0.2">
      <c r="A2831">
        <v>21</v>
      </c>
      <c r="E2831" t="str">
        <f t="shared" si="104"/>
        <v>V</v>
      </c>
      <c r="F2831" t="str">
        <f t="shared" si="105"/>
        <v>21V</v>
      </c>
    </row>
    <row r="2832" spans="1:6" x14ac:dyDescent="0.2">
      <c r="A2832">
        <v>22</v>
      </c>
      <c r="E2832" t="str">
        <f t="shared" si="104"/>
        <v>W</v>
      </c>
      <c r="F2832" t="str">
        <f t="shared" si="105"/>
        <v>22W</v>
      </c>
    </row>
    <row r="2833" spans="1:6" x14ac:dyDescent="0.2">
      <c r="A2833">
        <v>23</v>
      </c>
      <c r="E2833" t="str">
        <f t="shared" si="104"/>
        <v>X</v>
      </c>
      <c r="F2833" t="str">
        <f t="shared" si="105"/>
        <v>23X</v>
      </c>
    </row>
    <row r="2834" spans="1:6" x14ac:dyDescent="0.2">
      <c r="A2834">
        <v>24</v>
      </c>
      <c r="E2834" t="str">
        <f t="shared" si="104"/>
        <v>Y</v>
      </c>
      <c r="F2834" t="str">
        <f t="shared" si="105"/>
        <v>24Y</v>
      </c>
    </row>
    <row r="2835" spans="1:6" x14ac:dyDescent="0.2">
      <c r="A2835">
        <v>25</v>
      </c>
      <c r="E2835" t="str">
        <f t="shared" si="104"/>
        <v>Z</v>
      </c>
      <c r="F2835" t="str">
        <f t="shared" si="105"/>
        <v>25Z</v>
      </c>
    </row>
    <row r="2836" spans="1:6" x14ac:dyDescent="0.2">
      <c r="A2836">
        <v>0</v>
      </c>
      <c r="E2836" t="str">
        <f t="shared" si="104"/>
        <v>A</v>
      </c>
      <c r="F2836" t="str">
        <f t="shared" si="105"/>
        <v>0A</v>
      </c>
    </row>
    <row r="2837" spans="1:6" x14ac:dyDescent="0.2">
      <c r="A2837">
        <v>1</v>
      </c>
      <c r="E2837" t="str">
        <f t="shared" si="104"/>
        <v>B</v>
      </c>
      <c r="F2837" t="str">
        <f t="shared" si="105"/>
        <v>1B</v>
      </c>
    </row>
    <row r="2838" spans="1:6" x14ac:dyDescent="0.2">
      <c r="A2838">
        <v>2</v>
      </c>
      <c r="E2838" t="str">
        <f t="shared" si="104"/>
        <v>C</v>
      </c>
      <c r="F2838" t="str">
        <f t="shared" si="105"/>
        <v>2C</v>
      </c>
    </row>
    <row r="2839" spans="1:6" x14ac:dyDescent="0.2">
      <c r="A2839">
        <v>3</v>
      </c>
      <c r="E2839" t="str">
        <f t="shared" si="104"/>
        <v>D</v>
      </c>
      <c r="F2839" t="str">
        <f t="shared" si="105"/>
        <v>3D</v>
      </c>
    </row>
    <row r="2840" spans="1:6" x14ac:dyDescent="0.2">
      <c r="A2840">
        <v>4</v>
      </c>
      <c r="E2840" t="str">
        <f t="shared" si="104"/>
        <v>E</v>
      </c>
      <c r="F2840" t="str">
        <f t="shared" si="105"/>
        <v>4E</v>
      </c>
    </row>
    <row r="2841" spans="1:6" x14ac:dyDescent="0.2">
      <c r="A2841">
        <v>5</v>
      </c>
      <c r="E2841" t="str">
        <f t="shared" si="104"/>
        <v>F</v>
      </c>
      <c r="F2841" t="str">
        <f t="shared" si="105"/>
        <v>5F</v>
      </c>
    </row>
    <row r="2842" spans="1:6" x14ac:dyDescent="0.2">
      <c r="A2842">
        <v>6</v>
      </c>
      <c r="E2842" t="str">
        <f t="shared" si="104"/>
        <v>G</v>
      </c>
      <c r="F2842" t="str">
        <f t="shared" si="105"/>
        <v>6G</v>
      </c>
    </row>
    <row r="2843" spans="1:6" x14ac:dyDescent="0.2">
      <c r="A2843">
        <v>7</v>
      </c>
      <c r="E2843" t="str">
        <f t="shared" si="104"/>
        <v>H</v>
      </c>
      <c r="F2843" t="str">
        <f t="shared" si="105"/>
        <v>7H</v>
      </c>
    </row>
    <row r="2844" spans="1:6" x14ac:dyDescent="0.2">
      <c r="A2844">
        <v>8</v>
      </c>
      <c r="E2844" t="str">
        <f t="shared" si="104"/>
        <v>I</v>
      </c>
      <c r="F2844" t="str">
        <f t="shared" si="105"/>
        <v>8I</v>
      </c>
    </row>
    <row r="2845" spans="1:6" x14ac:dyDescent="0.2">
      <c r="A2845">
        <v>9</v>
      </c>
      <c r="E2845" t="str">
        <f t="shared" ref="E2845:E2908" si="106">E2819</f>
        <v>J</v>
      </c>
      <c r="F2845" t="str">
        <f t="shared" si="105"/>
        <v>9J</v>
      </c>
    </row>
    <row r="2846" spans="1:6" x14ac:dyDescent="0.2">
      <c r="A2846">
        <v>10</v>
      </c>
      <c r="E2846" t="str">
        <f t="shared" si="106"/>
        <v>K</v>
      </c>
      <c r="F2846" t="str">
        <f t="shared" si="105"/>
        <v>10K</v>
      </c>
    </row>
    <row r="2847" spans="1:6" x14ac:dyDescent="0.2">
      <c r="A2847">
        <v>11</v>
      </c>
      <c r="E2847" t="str">
        <f t="shared" si="106"/>
        <v>L</v>
      </c>
      <c r="F2847" t="str">
        <f t="shared" si="105"/>
        <v>11L</v>
      </c>
    </row>
    <row r="2848" spans="1:6" x14ac:dyDescent="0.2">
      <c r="A2848">
        <v>12</v>
      </c>
      <c r="E2848" t="str">
        <f t="shared" si="106"/>
        <v>M</v>
      </c>
      <c r="F2848" t="str">
        <f t="shared" si="105"/>
        <v>12M</v>
      </c>
    </row>
    <row r="2849" spans="1:6" x14ac:dyDescent="0.2">
      <c r="A2849">
        <v>13</v>
      </c>
      <c r="E2849" t="str">
        <f t="shared" si="106"/>
        <v>N</v>
      </c>
      <c r="F2849" t="str">
        <f t="shared" si="105"/>
        <v>13N</v>
      </c>
    </row>
    <row r="2850" spans="1:6" x14ac:dyDescent="0.2">
      <c r="A2850">
        <v>14</v>
      </c>
      <c r="E2850" t="str">
        <f t="shared" si="106"/>
        <v>O</v>
      </c>
      <c r="F2850" t="str">
        <f t="shared" si="105"/>
        <v>14O</v>
      </c>
    </row>
    <row r="2851" spans="1:6" x14ac:dyDescent="0.2">
      <c r="A2851">
        <v>15</v>
      </c>
      <c r="E2851" t="str">
        <f t="shared" si="106"/>
        <v>P</v>
      </c>
      <c r="F2851" t="str">
        <f t="shared" si="105"/>
        <v>15P</v>
      </c>
    </row>
    <row r="2852" spans="1:6" x14ac:dyDescent="0.2">
      <c r="A2852">
        <v>16</v>
      </c>
      <c r="E2852" t="str">
        <f t="shared" si="106"/>
        <v>Q</v>
      </c>
      <c r="F2852" t="str">
        <f t="shared" si="105"/>
        <v>16Q</v>
      </c>
    </row>
    <row r="2853" spans="1:6" x14ac:dyDescent="0.2">
      <c r="A2853">
        <v>17</v>
      </c>
      <c r="E2853" t="str">
        <f t="shared" si="106"/>
        <v>R</v>
      </c>
      <c r="F2853" t="str">
        <f t="shared" si="105"/>
        <v>17R</v>
      </c>
    </row>
    <row r="2854" spans="1:6" x14ac:dyDescent="0.2">
      <c r="A2854">
        <v>18</v>
      </c>
      <c r="E2854" t="str">
        <f t="shared" si="106"/>
        <v>S</v>
      </c>
      <c r="F2854" t="str">
        <f t="shared" si="105"/>
        <v>18S</v>
      </c>
    </row>
    <row r="2855" spans="1:6" x14ac:dyDescent="0.2">
      <c r="A2855">
        <v>19</v>
      </c>
      <c r="E2855" t="str">
        <f t="shared" si="106"/>
        <v>T</v>
      </c>
      <c r="F2855" t="str">
        <f t="shared" si="105"/>
        <v>19T</v>
      </c>
    </row>
    <row r="2856" spans="1:6" x14ac:dyDescent="0.2">
      <c r="A2856">
        <v>20</v>
      </c>
      <c r="E2856" t="str">
        <f t="shared" si="106"/>
        <v>U</v>
      </c>
      <c r="F2856" t="str">
        <f t="shared" si="105"/>
        <v>20U</v>
      </c>
    </row>
    <row r="2857" spans="1:6" x14ac:dyDescent="0.2">
      <c r="A2857">
        <v>21</v>
      </c>
      <c r="E2857" t="str">
        <f t="shared" si="106"/>
        <v>V</v>
      </c>
      <c r="F2857" t="str">
        <f t="shared" si="105"/>
        <v>21V</v>
      </c>
    </row>
    <row r="2858" spans="1:6" x14ac:dyDescent="0.2">
      <c r="A2858">
        <v>22</v>
      </c>
      <c r="E2858" t="str">
        <f t="shared" si="106"/>
        <v>W</v>
      </c>
      <c r="F2858" t="str">
        <f t="shared" si="105"/>
        <v>22W</v>
      </c>
    </row>
    <row r="2859" spans="1:6" x14ac:dyDescent="0.2">
      <c r="A2859">
        <v>23</v>
      </c>
      <c r="E2859" t="str">
        <f t="shared" si="106"/>
        <v>X</v>
      </c>
      <c r="F2859" t="str">
        <f t="shared" si="105"/>
        <v>23X</v>
      </c>
    </row>
    <row r="2860" spans="1:6" x14ac:dyDescent="0.2">
      <c r="A2860">
        <v>24</v>
      </c>
      <c r="E2860" t="str">
        <f t="shared" si="106"/>
        <v>Y</v>
      </c>
      <c r="F2860" t="str">
        <f t="shared" si="105"/>
        <v>24Y</v>
      </c>
    </row>
    <row r="2861" spans="1:6" x14ac:dyDescent="0.2">
      <c r="A2861">
        <v>25</v>
      </c>
      <c r="E2861" t="str">
        <f t="shared" si="106"/>
        <v>Z</v>
      </c>
      <c r="F2861" t="str">
        <f t="shared" si="105"/>
        <v>25Z</v>
      </c>
    </row>
    <row r="2862" spans="1:6" x14ac:dyDescent="0.2">
      <c r="A2862">
        <v>0</v>
      </c>
      <c r="E2862" t="str">
        <f t="shared" si="106"/>
        <v>A</v>
      </c>
      <c r="F2862" t="str">
        <f t="shared" si="105"/>
        <v>0A</v>
      </c>
    </row>
    <row r="2863" spans="1:6" x14ac:dyDescent="0.2">
      <c r="A2863">
        <v>1</v>
      </c>
      <c r="E2863" t="str">
        <f t="shared" si="106"/>
        <v>B</v>
      </c>
      <c r="F2863" t="str">
        <f t="shared" si="105"/>
        <v>1B</v>
      </c>
    </row>
    <row r="2864" spans="1:6" x14ac:dyDescent="0.2">
      <c r="A2864">
        <v>2</v>
      </c>
      <c r="E2864" t="str">
        <f t="shared" si="106"/>
        <v>C</v>
      </c>
      <c r="F2864" t="str">
        <f t="shared" si="105"/>
        <v>2C</v>
      </c>
    </row>
    <row r="2865" spans="1:6" x14ac:dyDescent="0.2">
      <c r="A2865">
        <v>3</v>
      </c>
      <c r="E2865" t="str">
        <f t="shared" si="106"/>
        <v>D</v>
      </c>
      <c r="F2865" t="str">
        <f t="shared" si="105"/>
        <v>3D</v>
      </c>
    </row>
    <row r="2866" spans="1:6" x14ac:dyDescent="0.2">
      <c r="A2866">
        <v>4</v>
      </c>
      <c r="E2866" t="str">
        <f t="shared" si="106"/>
        <v>E</v>
      </c>
      <c r="F2866" t="str">
        <f t="shared" si="105"/>
        <v>4E</v>
      </c>
    </row>
    <row r="2867" spans="1:6" x14ac:dyDescent="0.2">
      <c r="A2867">
        <v>5</v>
      </c>
      <c r="E2867" t="str">
        <f t="shared" si="106"/>
        <v>F</v>
      </c>
      <c r="F2867" t="str">
        <f t="shared" si="105"/>
        <v>5F</v>
      </c>
    </row>
    <row r="2868" spans="1:6" x14ac:dyDescent="0.2">
      <c r="A2868">
        <v>6</v>
      </c>
      <c r="E2868" t="str">
        <f t="shared" si="106"/>
        <v>G</v>
      </c>
      <c r="F2868" t="str">
        <f t="shared" si="105"/>
        <v>6G</v>
      </c>
    </row>
    <row r="2869" spans="1:6" x14ac:dyDescent="0.2">
      <c r="A2869">
        <v>7</v>
      </c>
      <c r="E2869" t="str">
        <f t="shared" si="106"/>
        <v>H</v>
      </c>
      <c r="F2869" t="str">
        <f t="shared" si="105"/>
        <v>7H</v>
      </c>
    </row>
    <row r="2870" spans="1:6" x14ac:dyDescent="0.2">
      <c r="A2870">
        <v>8</v>
      </c>
      <c r="E2870" t="str">
        <f t="shared" si="106"/>
        <v>I</v>
      </c>
      <c r="F2870" t="str">
        <f t="shared" si="105"/>
        <v>8I</v>
      </c>
    </row>
    <row r="2871" spans="1:6" x14ac:dyDescent="0.2">
      <c r="A2871">
        <v>9</v>
      </c>
      <c r="E2871" t="str">
        <f t="shared" si="106"/>
        <v>J</v>
      </c>
      <c r="F2871" t="str">
        <f t="shared" si="105"/>
        <v>9J</v>
      </c>
    </row>
    <row r="2872" spans="1:6" x14ac:dyDescent="0.2">
      <c r="A2872">
        <v>10</v>
      </c>
      <c r="E2872" t="str">
        <f t="shared" si="106"/>
        <v>K</v>
      </c>
      <c r="F2872" t="str">
        <f t="shared" si="105"/>
        <v>10K</v>
      </c>
    </row>
    <row r="2873" spans="1:6" x14ac:dyDescent="0.2">
      <c r="A2873">
        <v>11</v>
      </c>
      <c r="E2873" t="str">
        <f t="shared" si="106"/>
        <v>L</v>
      </c>
      <c r="F2873" t="str">
        <f t="shared" si="105"/>
        <v>11L</v>
      </c>
    </row>
    <row r="2874" spans="1:6" x14ac:dyDescent="0.2">
      <c r="A2874">
        <v>12</v>
      </c>
      <c r="E2874" t="str">
        <f t="shared" si="106"/>
        <v>M</v>
      </c>
      <c r="F2874" t="str">
        <f t="shared" si="105"/>
        <v>12M</v>
      </c>
    </row>
    <row r="2875" spans="1:6" x14ac:dyDescent="0.2">
      <c r="A2875">
        <v>13</v>
      </c>
      <c r="E2875" t="str">
        <f t="shared" si="106"/>
        <v>N</v>
      </c>
      <c r="F2875" t="str">
        <f t="shared" si="105"/>
        <v>13N</v>
      </c>
    </row>
    <row r="2876" spans="1:6" x14ac:dyDescent="0.2">
      <c r="A2876">
        <v>14</v>
      </c>
      <c r="E2876" t="str">
        <f t="shared" si="106"/>
        <v>O</v>
      </c>
      <c r="F2876" t="str">
        <f t="shared" si="105"/>
        <v>14O</v>
      </c>
    </row>
    <row r="2877" spans="1:6" x14ac:dyDescent="0.2">
      <c r="A2877">
        <v>15</v>
      </c>
      <c r="E2877" t="str">
        <f t="shared" si="106"/>
        <v>P</v>
      </c>
      <c r="F2877" t="str">
        <f t="shared" si="105"/>
        <v>15P</v>
      </c>
    </row>
    <row r="2878" spans="1:6" x14ac:dyDescent="0.2">
      <c r="A2878">
        <v>16</v>
      </c>
      <c r="E2878" t="str">
        <f t="shared" si="106"/>
        <v>Q</v>
      </c>
      <c r="F2878" t="str">
        <f t="shared" si="105"/>
        <v>16Q</v>
      </c>
    </row>
    <row r="2879" spans="1:6" x14ac:dyDescent="0.2">
      <c r="A2879">
        <v>17</v>
      </c>
      <c r="E2879" t="str">
        <f t="shared" si="106"/>
        <v>R</v>
      </c>
      <c r="F2879" t="str">
        <f t="shared" si="105"/>
        <v>17R</v>
      </c>
    </row>
    <row r="2880" spans="1:6" x14ac:dyDescent="0.2">
      <c r="A2880">
        <v>18</v>
      </c>
      <c r="E2880" t="str">
        <f t="shared" si="106"/>
        <v>S</v>
      </c>
      <c r="F2880" t="str">
        <f t="shared" si="105"/>
        <v>18S</v>
      </c>
    </row>
    <row r="2881" spans="1:6" x14ac:dyDescent="0.2">
      <c r="A2881">
        <v>19</v>
      </c>
      <c r="E2881" t="str">
        <f t="shared" si="106"/>
        <v>T</v>
      </c>
      <c r="F2881" t="str">
        <f t="shared" si="105"/>
        <v>19T</v>
      </c>
    </row>
    <row r="2882" spans="1:6" x14ac:dyDescent="0.2">
      <c r="A2882">
        <v>20</v>
      </c>
      <c r="E2882" t="str">
        <f t="shared" si="106"/>
        <v>U</v>
      </c>
      <c r="F2882" t="str">
        <f t="shared" si="105"/>
        <v>20U</v>
      </c>
    </row>
    <row r="2883" spans="1:6" x14ac:dyDescent="0.2">
      <c r="A2883">
        <v>21</v>
      </c>
      <c r="E2883" t="str">
        <f t="shared" si="106"/>
        <v>V</v>
      </c>
      <c r="F2883" t="str">
        <f t="shared" ref="F2883:F2914" si="107">A2883&amp;C2883&amp;E2883</f>
        <v>21V</v>
      </c>
    </row>
    <row r="2884" spans="1:6" x14ac:dyDescent="0.2">
      <c r="A2884">
        <v>22</v>
      </c>
      <c r="E2884" t="str">
        <f t="shared" si="106"/>
        <v>W</v>
      </c>
      <c r="F2884" t="str">
        <f t="shared" si="107"/>
        <v>22W</v>
      </c>
    </row>
    <row r="2885" spans="1:6" x14ac:dyDescent="0.2">
      <c r="A2885">
        <v>23</v>
      </c>
      <c r="E2885" t="str">
        <f t="shared" si="106"/>
        <v>X</v>
      </c>
      <c r="F2885" t="str">
        <f t="shared" si="107"/>
        <v>23X</v>
      </c>
    </row>
    <row r="2886" spans="1:6" x14ac:dyDescent="0.2">
      <c r="A2886">
        <v>24</v>
      </c>
      <c r="E2886" t="str">
        <f t="shared" si="106"/>
        <v>Y</v>
      </c>
      <c r="F2886" t="str">
        <f t="shared" si="107"/>
        <v>24Y</v>
      </c>
    </row>
    <row r="2887" spans="1:6" x14ac:dyDescent="0.2">
      <c r="A2887">
        <v>25</v>
      </c>
      <c r="E2887" t="str">
        <f t="shared" si="106"/>
        <v>Z</v>
      </c>
      <c r="F2887" t="str">
        <f t="shared" si="107"/>
        <v>25Z</v>
      </c>
    </row>
    <row r="2888" spans="1:6" x14ac:dyDescent="0.2">
      <c r="A2888">
        <v>0</v>
      </c>
      <c r="E2888" t="str">
        <f t="shared" si="106"/>
        <v>A</v>
      </c>
      <c r="F2888" t="str">
        <f t="shared" si="107"/>
        <v>0A</v>
      </c>
    </row>
    <row r="2889" spans="1:6" x14ac:dyDescent="0.2">
      <c r="A2889">
        <v>1</v>
      </c>
      <c r="E2889" t="str">
        <f t="shared" si="106"/>
        <v>B</v>
      </c>
      <c r="F2889" t="str">
        <f t="shared" si="107"/>
        <v>1B</v>
      </c>
    </row>
    <row r="2890" spans="1:6" x14ac:dyDescent="0.2">
      <c r="A2890">
        <v>2</v>
      </c>
      <c r="E2890" t="str">
        <f t="shared" si="106"/>
        <v>C</v>
      </c>
      <c r="F2890" t="str">
        <f t="shared" si="107"/>
        <v>2C</v>
      </c>
    </row>
    <row r="2891" spans="1:6" x14ac:dyDescent="0.2">
      <c r="A2891">
        <v>3</v>
      </c>
      <c r="E2891" t="str">
        <f t="shared" si="106"/>
        <v>D</v>
      </c>
      <c r="F2891" t="str">
        <f t="shared" si="107"/>
        <v>3D</v>
      </c>
    </row>
    <row r="2892" spans="1:6" x14ac:dyDescent="0.2">
      <c r="A2892">
        <v>4</v>
      </c>
      <c r="E2892" t="str">
        <f t="shared" si="106"/>
        <v>E</v>
      </c>
      <c r="F2892" t="str">
        <f t="shared" si="107"/>
        <v>4E</v>
      </c>
    </row>
    <row r="2893" spans="1:6" x14ac:dyDescent="0.2">
      <c r="A2893">
        <v>5</v>
      </c>
      <c r="E2893" t="str">
        <f t="shared" si="106"/>
        <v>F</v>
      </c>
      <c r="F2893" t="str">
        <f t="shared" si="107"/>
        <v>5F</v>
      </c>
    </row>
    <row r="2894" spans="1:6" x14ac:dyDescent="0.2">
      <c r="A2894">
        <v>6</v>
      </c>
      <c r="E2894" t="str">
        <f t="shared" si="106"/>
        <v>G</v>
      </c>
      <c r="F2894" t="str">
        <f t="shared" si="107"/>
        <v>6G</v>
      </c>
    </row>
    <row r="2895" spans="1:6" x14ac:dyDescent="0.2">
      <c r="A2895">
        <v>7</v>
      </c>
      <c r="E2895" t="str">
        <f t="shared" si="106"/>
        <v>H</v>
      </c>
      <c r="F2895" t="str">
        <f t="shared" si="107"/>
        <v>7H</v>
      </c>
    </row>
    <row r="2896" spans="1:6" x14ac:dyDescent="0.2">
      <c r="A2896">
        <v>8</v>
      </c>
      <c r="E2896" t="str">
        <f t="shared" si="106"/>
        <v>I</v>
      </c>
      <c r="F2896" t="str">
        <f t="shared" si="107"/>
        <v>8I</v>
      </c>
    </row>
    <row r="2897" spans="1:6" x14ac:dyDescent="0.2">
      <c r="A2897">
        <v>9</v>
      </c>
      <c r="E2897" t="str">
        <f t="shared" si="106"/>
        <v>J</v>
      </c>
      <c r="F2897" t="str">
        <f t="shared" si="107"/>
        <v>9J</v>
      </c>
    </row>
    <row r="2898" spans="1:6" x14ac:dyDescent="0.2">
      <c r="A2898">
        <v>10</v>
      </c>
      <c r="E2898" t="str">
        <f t="shared" si="106"/>
        <v>K</v>
      </c>
      <c r="F2898" t="str">
        <f t="shared" si="107"/>
        <v>10K</v>
      </c>
    </row>
    <row r="2899" spans="1:6" x14ac:dyDescent="0.2">
      <c r="A2899">
        <v>11</v>
      </c>
      <c r="E2899" t="str">
        <f t="shared" si="106"/>
        <v>L</v>
      </c>
      <c r="F2899" t="str">
        <f t="shared" si="107"/>
        <v>11L</v>
      </c>
    </row>
    <row r="2900" spans="1:6" x14ac:dyDescent="0.2">
      <c r="A2900">
        <v>12</v>
      </c>
      <c r="E2900" t="str">
        <f t="shared" si="106"/>
        <v>M</v>
      </c>
      <c r="F2900" t="str">
        <f t="shared" si="107"/>
        <v>12M</v>
      </c>
    </row>
    <row r="2901" spans="1:6" x14ac:dyDescent="0.2">
      <c r="A2901">
        <v>13</v>
      </c>
      <c r="E2901" t="str">
        <f t="shared" si="106"/>
        <v>N</v>
      </c>
      <c r="F2901" t="str">
        <f t="shared" si="107"/>
        <v>13N</v>
      </c>
    </row>
    <row r="2902" spans="1:6" x14ac:dyDescent="0.2">
      <c r="A2902">
        <v>14</v>
      </c>
      <c r="E2902" t="str">
        <f t="shared" si="106"/>
        <v>O</v>
      </c>
      <c r="F2902" t="str">
        <f t="shared" si="107"/>
        <v>14O</v>
      </c>
    </row>
    <row r="2903" spans="1:6" x14ac:dyDescent="0.2">
      <c r="A2903">
        <v>15</v>
      </c>
      <c r="E2903" t="str">
        <f t="shared" si="106"/>
        <v>P</v>
      </c>
      <c r="F2903" t="str">
        <f t="shared" si="107"/>
        <v>15P</v>
      </c>
    </row>
    <row r="2904" spans="1:6" x14ac:dyDescent="0.2">
      <c r="A2904">
        <v>16</v>
      </c>
      <c r="E2904" t="str">
        <f t="shared" si="106"/>
        <v>Q</v>
      </c>
      <c r="F2904" t="str">
        <f t="shared" si="107"/>
        <v>16Q</v>
      </c>
    </row>
    <row r="2905" spans="1:6" x14ac:dyDescent="0.2">
      <c r="A2905">
        <v>17</v>
      </c>
      <c r="E2905" t="str">
        <f t="shared" si="106"/>
        <v>R</v>
      </c>
      <c r="F2905" t="str">
        <f t="shared" si="107"/>
        <v>17R</v>
      </c>
    </row>
    <row r="2906" spans="1:6" x14ac:dyDescent="0.2">
      <c r="A2906">
        <v>18</v>
      </c>
      <c r="E2906" t="str">
        <f t="shared" si="106"/>
        <v>S</v>
      </c>
      <c r="F2906" t="str">
        <f t="shared" si="107"/>
        <v>18S</v>
      </c>
    </row>
    <row r="2907" spans="1:6" x14ac:dyDescent="0.2">
      <c r="A2907">
        <v>19</v>
      </c>
      <c r="E2907" t="str">
        <f t="shared" si="106"/>
        <v>T</v>
      </c>
      <c r="F2907" t="str">
        <f t="shared" si="107"/>
        <v>19T</v>
      </c>
    </row>
    <row r="2908" spans="1:6" x14ac:dyDescent="0.2">
      <c r="A2908">
        <v>20</v>
      </c>
      <c r="E2908" t="str">
        <f t="shared" si="106"/>
        <v>U</v>
      </c>
      <c r="F2908" t="str">
        <f t="shared" si="107"/>
        <v>20U</v>
      </c>
    </row>
    <row r="2909" spans="1:6" x14ac:dyDescent="0.2">
      <c r="A2909">
        <v>21</v>
      </c>
      <c r="E2909" t="str">
        <f t="shared" ref="E2909:E2965" si="108">E2883</f>
        <v>V</v>
      </c>
      <c r="F2909" t="str">
        <f t="shared" si="107"/>
        <v>21V</v>
      </c>
    </row>
    <row r="2910" spans="1:6" x14ac:dyDescent="0.2">
      <c r="A2910">
        <v>22</v>
      </c>
      <c r="E2910" t="str">
        <f t="shared" si="108"/>
        <v>W</v>
      </c>
      <c r="F2910" t="str">
        <f t="shared" si="107"/>
        <v>22W</v>
      </c>
    </row>
    <row r="2911" spans="1:6" x14ac:dyDescent="0.2">
      <c r="A2911">
        <v>23</v>
      </c>
      <c r="E2911" t="str">
        <f t="shared" si="108"/>
        <v>X</v>
      </c>
      <c r="F2911" t="str">
        <f t="shared" si="107"/>
        <v>23X</v>
      </c>
    </row>
    <row r="2912" spans="1:6" x14ac:dyDescent="0.2">
      <c r="A2912">
        <v>24</v>
      </c>
      <c r="E2912" t="str">
        <f t="shared" si="108"/>
        <v>Y</v>
      </c>
      <c r="F2912" t="str">
        <f t="shared" si="107"/>
        <v>24Y</v>
      </c>
    </row>
    <row r="2913" spans="1:6" x14ac:dyDescent="0.2">
      <c r="A2913">
        <v>25</v>
      </c>
      <c r="E2913" t="str">
        <f t="shared" si="108"/>
        <v>Z</v>
      </c>
      <c r="F2913" t="str">
        <f t="shared" si="107"/>
        <v>25Z</v>
      </c>
    </row>
    <row r="2914" spans="1:6" x14ac:dyDescent="0.2">
      <c r="A2914">
        <v>0</v>
      </c>
      <c r="E2914" t="str">
        <f t="shared" si="108"/>
        <v>A</v>
      </c>
      <c r="F2914" t="str">
        <f t="shared" si="107"/>
        <v>0A</v>
      </c>
    </row>
    <row r="2915" spans="1:6" x14ac:dyDescent="0.2">
      <c r="A2915">
        <v>1</v>
      </c>
      <c r="E2915" t="str">
        <f t="shared" si="108"/>
        <v>B</v>
      </c>
      <c r="F2915" t="str">
        <f t="shared" ref="F2915:F2940" si="109">A2915&amp;C2915&amp;E2915</f>
        <v>1B</v>
      </c>
    </row>
    <row r="2916" spans="1:6" x14ac:dyDescent="0.2">
      <c r="A2916">
        <v>2</v>
      </c>
      <c r="E2916" t="str">
        <f t="shared" si="108"/>
        <v>C</v>
      </c>
      <c r="F2916" t="str">
        <f t="shared" si="109"/>
        <v>2C</v>
      </c>
    </row>
    <row r="2917" spans="1:6" x14ac:dyDescent="0.2">
      <c r="A2917">
        <v>3</v>
      </c>
      <c r="E2917" t="str">
        <f t="shared" si="108"/>
        <v>D</v>
      </c>
      <c r="F2917" t="str">
        <f t="shared" si="109"/>
        <v>3D</v>
      </c>
    </row>
    <row r="2918" spans="1:6" x14ac:dyDescent="0.2">
      <c r="A2918">
        <v>4</v>
      </c>
      <c r="E2918" t="str">
        <f t="shared" si="108"/>
        <v>E</v>
      </c>
      <c r="F2918" t="str">
        <f t="shared" si="109"/>
        <v>4E</v>
      </c>
    </row>
    <row r="2919" spans="1:6" x14ac:dyDescent="0.2">
      <c r="A2919">
        <v>5</v>
      </c>
      <c r="E2919" t="str">
        <f t="shared" si="108"/>
        <v>F</v>
      </c>
      <c r="F2919" t="str">
        <f t="shared" si="109"/>
        <v>5F</v>
      </c>
    </row>
    <row r="2920" spans="1:6" x14ac:dyDescent="0.2">
      <c r="A2920">
        <v>6</v>
      </c>
      <c r="E2920" t="str">
        <f t="shared" si="108"/>
        <v>G</v>
      </c>
      <c r="F2920" t="str">
        <f t="shared" si="109"/>
        <v>6G</v>
      </c>
    </row>
    <row r="2921" spans="1:6" x14ac:dyDescent="0.2">
      <c r="A2921">
        <v>7</v>
      </c>
      <c r="E2921" t="str">
        <f t="shared" si="108"/>
        <v>H</v>
      </c>
      <c r="F2921" t="str">
        <f t="shared" si="109"/>
        <v>7H</v>
      </c>
    </row>
    <row r="2922" spans="1:6" x14ac:dyDescent="0.2">
      <c r="A2922">
        <v>8</v>
      </c>
      <c r="E2922" t="str">
        <f t="shared" si="108"/>
        <v>I</v>
      </c>
      <c r="F2922" t="str">
        <f t="shared" si="109"/>
        <v>8I</v>
      </c>
    </row>
    <row r="2923" spans="1:6" x14ac:dyDescent="0.2">
      <c r="A2923">
        <v>9</v>
      </c>
      <c r="E2923" t="str">
        <f t="shared" si="108"/>
        <v>J</v>
      </c>
      <c r="F2923" t="str">
        <f t="shared" si="109"/>
        <v>9J</v>
      </c>
    </row>
    <row r="2924" spans="1:6" x14ac:dyDescent="0.2">
      <c r="A2924">
        <v>10</v>
      </c>
      <c r="E2924" t="str">
        <f t="shared" si="108"/>
        <v>K</v>
      </c>
      <c r="F2924" t="str">
        <f t="shared" si="109"/>
        <v>10K</v>
      </c>
    </row>
    <row r="2925" spans="1:6" x14ac:dyDescent="0.2">
      <c r="A2925">
        <v>11</v>
      </c>
      <c r="E2925" t="str">
        <f t="shared" si="108"/>
        <v>L</v>
      </c>
      <c r="F2925" t="str">
        <f t="shared" si="109"/>
        <v>11L</v>
      </c>
    </row>
    <row r="2926" spans="1:6" x14ac:dyDescent="0.2">
      <c r="A2926">
        <v>12</v>
      </c>
      <c r="E2926" t="str">
        <f t="shared" si="108"/>
        <v>M</v>
      </c>
      <c r="F2926" t="str">
        <f t="shared" si="109"/>
        <v>12M</v>
      </c>
    </row>
    <row r="2927" spans="1:6" x14ac:dyDescent="0.2">
      <c r="A2927">
        <v>13</v>
      </c>
      <c r="E2927" t="str">
        <f t="shared" si="108"/>
        <v>N</v>
      </c>
      <c r="F2927" t="str">
        <f t="shared" si="109"/>
        <v>13N</v>
      </c>
    </row>
    <row r="2928" spans="1:6" x14ac:dyDescent="0.2">
      <c r="A2928">
        <v>14</v>
      </c>
      <c r="E2928" t="str">
        <f t="shared" si="108"/>
        <v>O</v>
      </c>
      <c r="F2928" t="str">
        <f t="shared" si="109"/>
        <v>14O</v>
      </c>
    </row>
    <row r="2929" spans="1:6" x14ac:dyDescent="0.2">
      <c r="A2929">
        <v>15</v>
      </c>
      <c r="E2929" t="str">
        <f t="shared" si="108"/>
        <v>P</v>
      </c>
      <c r="F2929" t="str">
        <f t="shared" si="109"/>
        <v>15P</v>
      </c>
    </row>
    <row r="2930" spans="1:6" x14ac:dyDescent="0.2">
      <c r="A2930">
        <v>16</v>
      </c>
      <c r="E2930" t="str">
        <f t="shared" si="108"/>
        <v>Q</v>
      </c>
      <c r="F2930" t="str">
        <f t="shared" si="109"/>
        <v>16Q</v>
      </c>
    </row>
    <row r="2931" spans="1:6" x14ac:dyDescent="0.2">
      <c r="A2931">
        <v>17</v>
      </c>
      <c r="E2931" t="str">
        <f t="shared" si="108"/>
        <v>R</v>
      </c>
      <c r="F2931" t="str">
        <f t="shared" si="109"/>
        <v>17R</v>
      </c>
    </row>
    <row r="2932" spans="1:6" x14ac:dyDescent="0.2">
      <c r="A2932">
        <v>18</v>
      </c>
      <c r="E2932" t="str">
        <f t="shared" si="108"/>
        <v>S</v>
      </c>
      <c r="F2932" t="str">
        <f t="shared" si="109"/>
        <v>18S</v>
      </c>
    </row>
    <row r="2933" spans="1:6" x14ac:dyDescent="0.2">
      <c r="A2933">
        <v>19</v>
      </c>
      <c r="E2933" t="str">
        <f t="shared" si="108"/>
        <v>T</v>
      </c>
      <c r="F2933" t="str">
        <f t="shared" si="109"/>
        <v>19T</v>
      </c>
    </row>
    <row r="2934" spans="1:6" x14ac:dyDescent="0.2">
      <c r="A2934">
        <v>20</v>
      </c>
      <c r="E2934" t="str">
        <f t="shared" si="108"/>
        <v>U</v>
      </c>
      <c r="F2934" t="str">
        <f t="shared" si="109"/>
        <v>20U</v>
      </c>
    </row>
    <row r="2935" spans="1:6" x14ac:dyDescent="0.2">
      <c r="A2935">
        <v>21</v>
      </c>
      <c r="E2935" t="str">
        <f t="shared" si="108"/>
        <v>V</v>
      </c>
      <c r="F2935" t="str">
        <f t="shared" si="109"/>
        <v>21V</v>
      </c>
    </row>
    <row r="2936" spans="1:6" x14ac:dyDescent="0.2">
      <c r="A2936">
        <v>22</v>
      </c>
      <c r="E2936" t="str">
        <f t="shared" si="108"/>
        <v>W</v>
      </c>
      <c r="F2936" t="str">
        <f t="shared" si="109"/>
        <v>22W</v>
      </c>
    </row>
    <row r="2937" spans="1:6" x14ac:dyDescent="0.2">
      <c r="A2937">
        <v>23</v>
      </c>
      <c r="E2937" t="str">
        <f t="shared" si="108"/>
        <v>X</v>
      </c>
      <c r="F2937" t="str">
        <f t="shared" si="109"/>
        <v>23X</v>
      </c>
    </row>
    <row r="2938" spans="1:6" x14ac:dyDescent="0.2">
      <c r="A2938">
        <v>24</v>
      </c>
      <c r="E2938" t="str">
        <f t="shared" si="108"/>
        <v>Y</v>
      </c>
      <c r="F2938" t="str">
        <f t="shared" si="109"/>
        <v>24Y</v>
      </c>
    </row>
    <row r="2939" spans="1:6" x14ac:dyDescent="0.2">
      <c r="A2939">
        <v>25</v>
      </c>
      <c r="E2939" t="str">
        <f t="shared" si="108"/>
        <v>Z</v>
      </c>
      <c r="F2939" t="str">
        <f t="shared" si="109"/>
        <v>25Z</v>
      </c>
    </row>
    <row r="2940" spans="1:6" x14ac:dyDescent="0.2">
      <c r="A2940">
        <v>0</v>
      </c>
      <c r="E2940" t="str">
        <f t="shared" si="108"/>
        <v>A</v>
      </c>
      <c r="F2940" t="str">
        <f t="shared" si="109"/>
        <v>0A</v>
      </c>
    </row>
    <row r="2941" spans="1:6" x14ac:dyDescent="0.2">
      <c r="A2941">
        <v>1</v>
      </c>
      <c r="E2941" t="str">
        <f t="shared" si="108"/>
        <v>B</v>
      </c>
      <c r="F2941" t="str">
        <f t="shared" ref="F2941:F3004" si="110">A2941&amp;C2941&amp;E2941</f>
        <v>1B</v>
      </c>
    </row>
    <row r="2942" spans="1:6" x14ac:dyDescent="0.2">
      <c r="A2942">
        <v>2</v>
      </c>
      <c r="E2942" t="str">
        <f t="shared" si="108"/>
        <v>C</v>
      </c>
      <c r="F2942" t="str">
        <f t="shared" si="110"/>
        <v>2C</v>
      </c>
    </row>
    <row r="2943" spans="1:6" x14ac:dyDescent="0.2">
      <c r="A2943">
        <v>3</v>
      </c>
      <c r="E2943" t="str">
        <f t="shared" si="108"/>
        <v>D</v>
      </c>
      <c r="F2943" t="str">
        <f t="shared" si="110"/>
        <v>3D</v>
      </c>
    </row>
    <row r="2944" spans="1:6" x14ac:dyDescent="0.2">
      <c r="A2944">
        <v>4</v>
      </c>
      <c r="E2944" t="str">
        <f t="shared" si="108"/>
        <v>E</v>
      </c>
      <c r="F2944" t="str">
        <f t="shared" si="110"/>
        <v>4E</v>
      </c>
    </row>
    <row r="2945" spans="1:6" x14ac:dyDescent="0.2">
      <c r="A2945">
        <v>5</v>
      </c>
      <c r="E2945" t="str">
        <f t="shared" si="108"/>
        <v>F</v>
      </c>
      <c r="F2945" t="str">
        <f t="shared" si="110"/>
        <v>5F</v>
      </c>
    </row>
    <row r="2946" spans="1:6" x14ac:dyDescent="0.2">
      <c r="A2946">
        <v>6</v>
      </c>
      <c r="E2946" t="str">
        <f t="shared" si="108"/>
        <v>G</v>
      </c>
      <c r="F2946" t="str">
        <f t="shared" si="110"/>
        <v>6G</v>
      </c>
    </row>
    <row r="2947" spans="1:6" x14ac:dyDescent="0.2">
      <c r="A2947">
        <v>7</v>
      </c>
      <c r="E2947" t="str">
        <f t="shared" si="108"/>
        <v>H</v>
      </c>
      <c r="F2947" t="str">
        <f t="shared" si="110"/>
        <v>7H</v>
      </c>
    </row>
    <row r="2948" spans="1:6" x14ac:dyDescent="0.2">
      <c r="A2948">
        <v>8</v>
      </c>
      <c r="E2948" t="str">
        <f t="shared" si="108"/>
        <v>I</v>
      </c>
      <c r="F2948" t="str">
        <f t="shared" si="110"/>
        <v>8I</v>
      </c>
    </row>
    <row r="2949" spans="1:6" x14ac:dyDescent="0.2">
      <c r="A2949">
        <v>9</v>
      </c>
      <c r="E2949" t="str">
        <f t="shared" si="108"/>
        <v>J</v>
      </c>
      <c r="F2949" t="str">
        <f t="shared" si="110"/>
        <v>9J</v>
      </c>
    </row>
    <row r="2950" spans="1:6" x14ac:dyDescent="0.2">
      <c r="A2950">
        <v>10</v>
      </c>
      <c r="E2950" t="str">
        <f t="shared" si="108"/>
        <v>K</v>
      </c>
      <c r="F2950" t="str">
        <f t="shared" si="110"/>
        <v>10K</v>
      </c>
    </row>
    <row r="2951" spans="1:6" x14ac:dyDescent="0.2">
      <c r="A2951">
        <v>11</v>
      </c>
      <c r="E2951" t="str">
        <f t="shared" si="108"/>
        <v>L</v>
      </c>
      <c r="F2951" t="str">
        <f t="shared" si="110"/>
        <v>11L</v>
      </c>
    </row>
    <row r="2952" spans="1:6" x14ac:dyDescent="0.2">
      <c r="A2952">
        <v>12</v>
      </c>
      <c r="E2952" t="str">
        <f t="shared" si="108"/>
        <v>M</v>
      </c>
      <c r="F2952" t="str">
        <f t="shared" si="110"/>
        <v>12M</v>
      </c>
    </row>
    <row r="2953" spans="1:6" x14ac:dyDescent="0.2">
      <c r="A2953">
        <v>13</v>
      </c>
      <c r="E2953" t="str">
        <f t="shared" si="108"/>
        <v>N</v>
      </c>
      <c r="F2953" t="str">
        <f t="shared" si="110"/>
        <v>13N</v>
      </c>
    </row>
    <row r="2954" spans="1:6" x14ac:dyDescent="0.2">
      <c r="A2954">
        <v>14</v>
      </c>
      <c r="E2954" t="str">
        <f t="shared" si="108"/>
        <v>O</v>
      </c>
      <c r="F2954" t="str">
        <f t="shared" si="110"/>
        <v>14O</v>
      </c>
    </row>
    <row r="2955" spans="1:6" x14ac:dyDescent="0.2">
      <c r="A2955">
        <v>15</v>
      </c>
      <c r="E2955" t="str">
        <f t="shared" si="108"/>
        <v>P</v>
      </c>
      <c r="F2955" t="str">
        <f t="shared" si="110"/>
        <v>15P</v>
      </c>
    </row>
    <row r="2956" spans="1:6" x14ac:dyDescent="0.2">
      <c r="A2956">
        <v>16</v>
      </c>
      <c r="E2956" t="str">
        <f t="shared" si="108"/>
        <v>Q</v>
      </c>
      <c r="F2956" t="str">
        <f t="shared" si="110"/>
        <v>16Q</v>
      </c>
    </row>
    <row r="2957" spans="1:6" x14ac:dyDescent="0.2">
      <c r="A2957">
        <v>17</v>
      </c>
      <c r="E2957" t="str">
        <f t="shared" si="108"/>
        <v>R</v>
      </c>
      <c r="F2957" t="str">
        <f t="shared" si="110"/>
        <v>17R</v>
      </c>
    </row>
    <row r="2958" spans="1:6" x14ac:dyDescent="0.2">
      <c r="A2958">
        <v>18</v>
      </c>
      <c r="E2958" t="str">
        <f t="shared" si="108"/>
        <v>S</v>
      </c>
      <c r="F2958" t="str">
        <f t="shared" si="110"/>
        <v>18S</v>
      </c>
    </row>
    <row r="2959" spans="1:6" x14ac:dyDescent="0.2">
      <c r="A2959">
        <v>19</v>
      </c>
      <c r="E2959" t="str">
        <f t="shared" si="108"/>
        <v>T</v>
      </c>
      <c r="F2959" t="str">
        <f t="shared" si="110"/>
        <v>19T</v>
      </c>
    </row>
    <row r="2960" spans="1:6" x14ac:dyDescent="0.2">
      <c r="A2960">
        <v>20</v>
      </c>
      <c r="E2960" t="str">
        <f t="shared" si="108"/>
        <v>U</v>
      </c>
      <c r="F2960" t="str">
        <f t="shared" si="110"/>
        <v>20U</v>
      </c>
    </row>
    <row r="2961" spans="1:6" x14ac:dyDescent="0.2">
      <c r="A2961">
        <v>21</v>
      </c>
      <c r="E2961" t="str">
        <f t="shared" si="108"/>
        <v>V</v>
      </c>
      <c r="F2961" t="str">
        <f t="shared" si="110"/>
        <v>21V</v>
      </c>
    </row>
    <row r="2962" spans="1:6" x14ac:dyDescent="0.2">
      <c r="A2962">
        <v>22</v>
      </c>
      <c r="E2962" t="str">
        <f t="shared" si="108"/>
        <v>W</v>
      </c>
      <c r="F2962" t="str">
        <f t="shared" si="110"/>
        <v>22W</v>
      </c>
    </row>
    <row r="2963" spans="1:6" x14ac:dyDescent="0.2">
      <c r="A2963">
        <v>23</v>
      </c>
      <c r="E2963" t="str">
        <f t="shared" si="108"/>
        <v>X</v>
      </c>
      <c r="F2963" t="str">
        <f t="shared" si="110"/>
        <v>23X</v>
      </c>
    </row>
    <row r="2964" spans="1:6" x14ac:dyDescent="0.2">
      <c r="A2964">
        <v>24</v>
      </c>
      <c r="E2964" t="str">
        <f t="shared" si="108"/>
        <v>Y</v>
      </c>
      <c r="F2964" t="str">
        <f t="shared" si="110"/>
        <v>24Y</v>
      </c>
    </row>
    <row r="2965" spans="1:6" x14ac:dyDescent="0.2">
      <c r="A2965">
        <v>25</v>
      </c>
      <c r="E2965" t="str">
        <f t="shared" si="108"/>
        <v>Z</v>
      </c>
      <c r="F2965" t="str">
        <f t="shared" si="110"/>
        <v>25Z</v>
      </c>
    </row>
    <row r="2966" spans="1:6" x14ac:dyDescent="0.2">
      <c r="A2966">
        <v>0</v>
      </c>
      <c r="E2966" t="str">
        <f>E2940</f>
        <v>A</v>
      </c>
      <c r="F2966" t="str">
        <f t="shared" si="110"/>
        <v>0A</v>
      </c>
    </row>
    <row r="2967" spans="1:6" x14ac:dyDescent="0.2">
      <c r="A2967">
        <v>1</v>
      </c>
      <c r="E2967" t="str">
        <f t="shared" ref="E2967:E3030" si="111">E2941</f>
        <v>B</v>
      </c>
      <c r="F2967" t="str">
        <f t="shared" si="110"/>
        <v>1B</v>
      </c>
    </row>
    <row r="2968" spans="1:6" x14ac:dyDescent="0.2">
      <c r="A2968">
        <v>2</v>
      </c>
      <c r="E2968" t="str">
        <f t="shared" si="111"/>
        <v>C</v>
      </c>
      <c r="F2968" t="str">
        <f t="shared" si="110"/>
        <v>2C</v>
      </c>
    </row>
    <row r="2969" spans="1:6" x14ac:dyDescent="0.2">
      <c r="A2969">
        <v>3</v>
      </c>
      <c r="E2969" t="str">
        <f t="shared" si="111"/>
        <v>D</v>
      </c>
      <c r="F2969" t="str">
        <f t="shared" si="110"/>
        <v>3D</v>
      </c>
    </row>
    <row r="2970" spans="1:6" x14ac:dyDescent="0.2">
      <c r="A2970">
        <v>4</v>
      </c>
      <c r="E2970" t="str">
        <f t="shared" si="111"/>
        <v>E</v>
      </c>
      <c r="F2970" t="str">
        <f t="shared" si="110"/>
        <v>4E</v>
      </c>
    </row>
    <row r="2971" spans="1:6" x14ac:dyDescent="0.2">
      <c r="A2971">
        <v>5</v>
      </c>
      <c r="E2971" t="str">
        <f t="shared" si="111"/>
        <v>F</v>
      </c>
      <c r="F2971" t="str">
        <f t="shared" si="110"/>
        <v>5F</v>
      </c>
    </row>
    <row r="2972" spans="1:6" x14ac:dyDescent="0.2">
      <c r="A2972">
        <v>6</v>
      </c>
      <c r="E2972" t="str">
        <f t="shared" si="111"/>
        <v>G</v>
      </c>
      <c r="F2972" t="str">
        <f t="shared" si="110"/>
        <v>6G</v>
      </c>
    </row>
    <row r="2973" spans="1:6" x14ac:dyDescent="0.2">
      <c r="A2973">
        <v>7</v>
      </c>
      <c r="E2973" t="str">
        <f t="shared" si="111"/>
        <v>H</v>
      </c>
      <c r="F2973" t="str">
        <f t="shared" si="110"/>
        <v>7H</v>
      </c>
    </row>
    <row r="2974" spans="1:6" x14ac:dyDescent="0.2">
      <c r="A2974">
        <v>8</v>
      </c>
      <c r="E2974" t="str">
        <f t="shared" si="111"/>
        <v>I</v>
      </c>
      <c r="F2974" t="str">
        <f t="shared" si="110"/>
        <v>8I</v>
      </c>
    </row>
    <row r="2975" spans="1:6" x14ac:dyDescent="0.2">
      <c r="A2975">
        <v>9</v>
      </c>
      <c r="E2975" t="str">
        <f t="shared" si="111"/>
        <v>J</v>
      </c>
      <c r="F2975" t="str">
        <f t="shared" si="110"/>
        <v>9J</v>
      </c>
    </row>
    <row r="2976" spans="1:6" x14ac:dyDescent="0.2">
      <c r="A2976">
        <v>10</v>
      </c>
      <c r="E2976" t="str">
        <f t="shared" si="111"/>
        <v>K</v>
      </c>
      <c r="F2976" t="str">
        <f t="shared" si="110"/>
        <v>10K</v>
      </c>
    </row>
    <row r="2977" spans="1:6" x14ac:dyDescent="0.2">
      <c r="A2977">
        <v>11</v>
      </c>
      <c r="E2977" t="str">
        <f t="shared" si="111"/>
        <v>L</v>
      </c>
      <c r="F2977" t="str">
        <f t="shared" si="110"/>
        <v>11L</v>
      </c>
    </row>
    <row r="2978" spans="1:6" x14ac:dyDescent="0.2">
      <c r="A2978">
        <v>12</v>
      </c>
      <c r="E2978" t="str">
        <f t="shared" si="111"/>
        <v>M</v>
      </c>
      <c r="F2978" t="str">
        <f t="shared" si="110"/>
        <v>12M</v>
      </c>
    </row>
    <row r="2979" spans="1:6" x14ac:dyDescent="0.2">
      <c r="A2979">
        <v>13</v>
      </c>
      <c r="E2979" t="str">
        <f t="shared" si="111"/>
        <v>N</v>
      </c>
      <c r="F2979" t="str">
        <f t="shared" si="110"/>
        <v>13N</v>
      </c>
    </row>
    <row r="2980" spans="1:6" x14ac:dyDescent="0.2">
      <c r="A2980">
        <v>14</v>
      </c>
      <c r="E2980" t="str">
        <f t="shared" si="111"/>
        <v>O</v>
      </c>
      <c r="F2980" t="str">
        <f t="shared" si="110"/>
        <v>14O</v>
      </c>
    </row>
    <row r="2981" spans="1:6" x14ac:dyDescent="0.2">
      <c r="A2981">
        <v>15</v>
      </c>
      <c r="E2981" t="str">
        <f t="shared" si="111"/>
        <v>P</v>
      </c>
      <c r="F2981" t="str">
        <f t="shared" si="110"/>
        <v>15P</v>
      </c>
    </row>
    <row r="2982" spans="1:6" x14ac:dyDescent="0.2">
      <c r="A2982">
        <v>16</v>
      </c>
      <c r="E2982" t="str">
        <f t="shared" si="111"/>
        <v>Q</v>
      </c>
      <c r="F2982" t="str">
        <f t="shared" si="110"/>
        <v>16Q</v>
      </c>
    </row>
    <row r="2983" spans="1:6" x14ac:dyDescent="0.2">
      <c r="A2983">
        <v>17</v>
      </c>
      <c r="E2983" t="str">
        <f t="shared" si="111"/>
        <v>R</v>
      </c>
      <c r="F2983" t="str">
        <f t="shared" si="110"/>
        <v>17R</v>
      </c>
    </row>
    <row r="2984" spans="1:6" x14ac:dyDescent="0.2">
      <c r="A2984">
        <v>18</v>
      </c>
      <c r="E2984" t="str">
        <f t="shared" si="111"/>
        <v>S</v>
      </c>
      <c r="F2984" t="str">
        <f t="shared" si="110"/>
        <v>18S</v>
      </c>
    </row>
    <row r="2985" spans="1:6" x14ac:dyDescent="0.2">
      <c r="A2985">
        <v>19</v>
      </c>
      <c r="E2985" t="str">
        <f t="shared" si="111"/>
        <v>T</v>
      </c>
      <c r="F2985" t="str">
        <f t="shared" si="110"/>
        <v>19T</v>
      </c>
    </row>
    <row r="2986" spans="1:6" x14ac:dyDescent="0.2">
      <c r="A2986">
        <v>20</v>
      </c>
      <c r="E2986" t="str">
        <f t="shared" si="111"/>
        <v>U</v>
      </c>
      <c r="F2986" t="str">
        <f t="shared" si="110"/>
        <v>20U</v>
      </c>
    </row>
    <row r="2987" spans="1:6" x14ac:dyDescent="0.2">
      <c r="A2987">
        <v>21</v>
      </c>
      <c r="E2987" t="str">
        <f t="shared" si="111"/>
        <v>V</v>
      </c>
      <c r="F2987" t="str">
        <f t="shared" si="110"/>
        <v>21V</v>
      </c>
    </row>
    <row r="2988" spans="1:6" x14ac:dyDescent="0.2">
      <c r="A2988">
        <v>22</v>
      </c>
      <c r="E2988" t="str">
        <f t="shared" si="111"/>
        <v>W</v>
      </c>
      <c r="F2988" t="str">
        <f t="shared" si="110"/>
        <v>22W</v>
      </c>
    </row>
    <row r="2989" spans="1:6" x14ac:dyDescent="0.2">
      <c r="A2989">
        <v>23</v>
      </c>
      <c r="E2989" t="str">
        <f t="shared" si="111"/>
        <v>X</v>
      </c>
      <c r="F2989" t="str">
        <f t="shared" si="110"/>
        <v>23X</v>
      </c>
    </row>
    <row r="2990" spans="1:6" x14ac:dyDescent="0.2">
      <c r="A2990">
        <v>24</v>
      </c>
      <c r="E2990" t="str">
        <f t="shared" si="111"/>
        <v>Y</v>
      </c>
      <c r="F2990" t="str">
        <f t="shared" si="110"/>
        <v>24Y</v>
      </c>
    </row>
    <row r="2991" spans="1:6" x14ac:dyDescent="0.2">
      <c r="A2991">
        <v>25</v>
      </c>
      <c r="E2991" t="str">
        <f t="shared" si="111"/>
        <v>Z</v>
      </c>
      <c r="F2991" t="str">
        <f t="shared" si="110"/>
        <v>25Z</v>
      </c>
    </row>
    <row r="2992" spans="1:6" x14ac:dyDescent="0.2">
      <c r="A2992">
        <v>0</v>
      </c>
      <c r="E2992" t="str">
        <f t="shared" si="111"/>
        <v>A</v>
      </c>
      <c r="F2992" t="str">
        <f t="shared" si="110"/>
        <v>0A</v>
      </c>
    </row>
    <row r="2993" spans="1:6" x14ac:dyDescent="0.2">
      <c r="A2993">
        <v>1</v>
      </c>
      <c r="E2993" t="str">
        <f t="shared" si="111"/>
        <v>B</v>
      </c>
      <c r="F2993" t="str">
        <f t="shared" si="110"/>
        <v>1B</v>
      </c>
    </row>
    <row r="2994" spans="1:6" x14ac:dyDescent="0.2">
      <c r="A2994">
        <v>2</v>
      </c>
      <c r="E2994" t="str">
        <f t="shared" si="111"/>
        <v>C</v>
      </c>
      <c r="F2994" t="str">
        <f t="shared" si="110"/>
        <v>2C</v>
      </c>
    </row>
    <row r="2995" spans="1:6" x14ac:dyDescent="0.2">
      <c r="A2995">
        <v>3</v>
      </c>
      <c r="E2995" t="str">
        <f t="shared" si="111"/>
        <v>D</v>
      </c>
      <c r="F2995" t="str">
        <f t="shared" si="110"/>
        <v>3D</v>
      </c>
    </row>
    <row r="2996" spans="1:6" x14ac:dyDescent="0.2">
      <c r="A2996">
        <v>4</v>
      </c>
      <c r="E2996" t="str">
        <f t="shared" si="111"/>
        <v>E</v>
      </c>
      <c r="F2996" t="str">
        <f t="shared" si="110"/>
        <v>4E</v>
      </c>
    </row>
    <row r="2997" spans="1:6" x14ac:dyDescent="0.2">
      <c r="A2997">
        <v>5</v>
      </c>
      <c r="E2997" t="str">
        <f t="shared" si="111"/>
        <v>F</v>
      </c>
      <c r="F2997" t="str">
        <f t="shared" si="110"/>
        <v>5F</v>
      </c>
    </row>
    <row r="2998" spans="1:6" x14ac:dyDescent="0.2">
      <c r="A2998">
        <v>6</v>
      </c>
      <c r="E2998" t="str">
        <f t="shared" si="111"/>
        <v>G</v>
      </c>
      <c r="F2998" t="str">
        <f t="shared" si="110"/>
        <v>6G</v>
      </c>
    </row>
    <row r="2999" spans="1:6" x14ac:dyDescent="0.2">
      <c r="A2999">
        <v>7</v>
      </c>
      <c r="E2999" t="str">
        <f t="shared" si="111"/>
        <v>H</v>
      </c>
      <c r="F2999" t="str">
        <f t="shared" si="110"/>
        <v>7H</v>
      </c>
    </row>
    <row r="3000" spans="1:6" x14ac:dyDescent="0.2">
      <c r="A3000">
        <v>8</v>
      </c>
      <c r="E3000" t="str">
        <f t="shared" si="111"/>
        <v>I</v>
      </c>
      <c r="F3000" t="str">
        <f t="shared" si="110"/>
        <v>8I</v>
      </c>
    </row>
    <row r="3001" spans="1:6" x14ac:dyDescent="0.2">
      <c r="A3001">
        <v>9</v>
      </c>
      <c r="E3001" t="str">
        <f t="shared" si="111"/>
        <v>J</v>
      </c>
      <c r="F3001" t="str">
        <f t="shared" si="110"/>
        <v>9J</v>
      </c>
    </row>
    <row r="3002" spans="1:6" x14ac:dyDescent="0.2">
      <c r="A3002">
        <v>10</v>
      </c>
      <c r="E3002" t="str">
        <f t="shared" si="111"/>
        <v>K</v>
      </c>
      <c r="F3002" t="str">
        <f t="shared" si="110"/>
        <v>10K</v>
      </c>
    </row>
    <row r="3003" spans="1:6" x14ac:dyDescent="0.2">
      <c r="A3003">
        <v>11</v>
      </c>
      <c r="E3003" t="str">
        <f t="shared" si="111"/>
        <v>L</v>
      </c>
      <c r="F3003" t="str">
        <f t="shared" si="110"/>
        <v>11L</v>
      </c>
    </row>
    <row r="3004" spans="1:6" x14ac:dyDescent="0.2">
      <c r="A3004">
        <v>12</v>
      </c>
      <c r="E3004" t="str">
        <f t="shared" si="111"/>
        <v>M</v>
      </c>
      <c r="F3004" t="str">
        <f t="shared" si="110"/>
        <v>12M</v>
      </c>
    </row>
    <row r="3005" spans="1:6" x14ac:dyDescent="0.2">
      <c r="A3005">
        <v>13</v>
      </c>
      <c r="E3005" t="str">
        <f t="shared" si="111"/>
        <v>N</v>
      </c>
      <c r="F3005" t="str">
        <f t="shared" ref="F3005:F3068" si="112">A3005&amp;C3005&amp;E3005</f>
        <v>13N</v>
      </c>
    </row>
    <row r="3006" spans="1:6" x14ac:dyDescent="0.2">
      <c r="A3006">
        <v>14</v>
      </c>
      <c r="E3006" t="str">
        <f t="shared" si="111"/>
        <v>O</v>
      </c>
      <c r="F3006" t="str">
        <f t="shared" si="112"/>
        <v>14O</v>
      </c>
    </row>
    <row r="3007" spans="1:6" x14ac:dyDescent="0.2">
      <c r="A3007">
        <v>15</v>
      </c>
      <c r="E3007" t="str">
        <f t="shared" si="111"/>
        <v>P</v>
      </c>
      <c r="F3007" t="str">
        <f t="shared" si="112"/>
        <v>15P</v>
      </c>
    </row>
    <row r="3008" spans="1:6" x14ac:dyDescent="0.2">
      <c r="A3008">
        <v>16</v>
      </c>
      <c r="E3008" t="str">
        <f t="shared" si="111"/>
        <v>Q</v>
      </c>
      <c r="F3008" t="str">
        <f t="shared" si="112"/>
        <v>16Q</v>
      </c>
    </row>
    <row r="3009" spans="1:6" x14ac:dyDescent="0.2">
      <c r="A3009">
        <v>17</v>
      </c>
      <c r="E3009" t="str">
        <f t="shared" si="111"/>
        <v>R</v>
      </c>
      <c r="F3009" t="str">
        <f t="shared" si="112"/>
        <v>17R</v>
      </c>
    </row>
    <row r="3010" spans="1:6" x14ac:dyDescent="0.2">
      <c r="A3010">
        <v>18</v>
      </c>
      <c r="E3010" t="str">
        <f t="shared" si="111"/>
        <v>S</v>
      </c>
      <c r="F3010" t="str">
        <f t="shared" si="112"/>
        <v>18S</v>
      </c>
    </row>
    <row r="3011" spans="1:6" x14ac:dyDescent="0.2">
      <c r="A3011">
        <v>19</v>
      </c>
      <c r="E3011" t="str">
        <f t="shared" si="111"/>
        <v>T</v>
      </c>
      <c r="F3011" t="str">
        <f t="shared" si="112"/>
        <v>19T</v>
      </c>
    </row>
    <row r="3012" spans="1:6" x14ac:dyDescent="0.2">
      <c r="A3012">
        <v>20</v>
      </c>
      <c r="E3012" t="str">
        <f t="shared" si="111"/>
        <v>U</v>
      </c>
      <c r="F3012" t="str">
        <f t="shared" si="112"/>
        <v>20U</v>
      </c>
    </row>
    <row r="3013" spans="1:6" x14ac:dyDescent="0.2">
      <c r="A3013">
        <v>21</v>
      </c>
      <c r="E3013" t="str">
        <f t="shared" si="111"/>
        <v>V</v>
      </c>
      <c r="F3013" t="str">
        <f t="shared" si="112"/>
        <v>21V</v>
      </c>
    </row>
    <row r="3014" spans="1:6" x14ac:dyDescent="0.2">
      <c r="A3014">
        <v>22</v>
      </c>
      <c r="E3014" t="str">
        <f t="shared" si="111"/>
        <v>W</v>
      </c>
      <c r="F3014" t="str">
        <f t="shared" si="112"/>
        <v>22W</v>
      </c>
    </row>
    <row r="3015" spans="1:6" x14ac:dyDescent="0.2">
      <c r="A3015">
        <v>23</v>
      </c>
      <c r="E3015" t="str">
        <f t="shared" si="111"/>
        <v>X</v>
      </c>
      <c r="F3015" t="str">
        <f t="shared" si="112"/>
        <v>23X</v>
      </c>
    </row>
    <row r="3016" spans="1:6" x14ac:dyDescent="0.2">
      <c r="A3016">
        <v>24</v>
      </c>
      <c r="E3016" t="str">
        <f t="shared" si="111"/>
        <v>Y</v>
      </c>
      <c r="F3016" t="str">
        <f t="shared" si="112"/>
        <v>24Y</v>
      </c>
    </row>
    <row r="3017" spans="1:6" x14ac:dyDescent="0.2">
      <c r="A3017">
        <v>25</v>
      </c>
      <c r="E3017" t="str">
        <f t="shared" si="111"/>
        <v>Z</v>
      </c>
      <c r="F3017" t="str">
        <f t="shared" si="112"/>
        <v>25Z</v>
      </c>
    </row>
    <row r="3018" spans="1:6" x14ac:dyDescent="0.2">
      <c r="A3018">
        <v>0</v>
      </c>
      <c r="E3018" t="str">
        <f t="shared" si="111"/>
        <v>A</v>
      </c>
      <c r="F3018" t="str">
        <f t="shared" si="112"/>
        <v>0A</v>
      </c>
    </row>
    <row r="3019" spans="1:6" x14ac:dyDescent="0.2">
      <c r="A3019">
        <v>1</v>
      </c>
      <c r="E3019" t="str">
        <f t="shared" si="111"/>
        <v>B</v>
      </c>
      <c r="F3019" t="str">
        <f t="shared" si="112"/>
        <v>1B</v>
      </c>
    </row>
    <row r="3020" spans="1:6" x14ac:dyDescent="0.2">
      <c r="A3020">
        <v>2</v>
      </c>
      <c r="E3020" t="str">
        <f t="shared" si="111"/>
        <v>C</v>
      </c>
      <c r="F3020" t="str">
        <f t="shared" si="112"/>
        <v>2C</v>
      </c>
    </row>
    <row r="3021" spans="1:6" x14ac:dyDescent="0.2">
      <c r="A3021">
        <v>3</v>
      </c>
      <c r="E3021" t="str">
        <f t="shared" si="111"/>
        <v>D</v>
      </c>
      <c r="F3021" t="str">
        <f t="shared" si="112"/>
        <v>3D</v>
      </c>
    </row>
    <row r="3022" spans="1:6" x14ac:dyDescent="0.2">
      <c r="A3022">
        <v>4</v>
      </c>
      <c r="E3022" t="str">
        <f t="shared" si="111"/>
        <v>E</v>
      </c>
      <c r="F3022" t="str">
        <f t="shared" si="112"/>
        <v>4E</v>
      </c>
    </row>
    <row r="3023" spans="1:6" x14ac:dyDescent="0.2">
      <c r="A3023">
        <v>5</v>
      </c>
      <c r="E3023" t="str">
        <f t="shared" si="111"/>
        <v>F</v>
      </c>
      <c r="F3023" t="str">
        <f t="shared" si="112"/>
        <v>5F</v>
      </c>
    </row>
    <row r="3024" spans="1:6" x14ac:dyDescent="0.2">
      <c r="A3024">
        <v>6</v>
      </c>
      <c r="E3024" t="str">
        <f t="shared" si="111"/>
        <v>G</v>
      </c>
      <c r="F3024" t="str">
        <f t="shared" si="112"/>
        <v>6G</v>
      </c>
    </row>
    <row r="3025" spans="1:6" x14ac:dyDescent="0.2">
      <c r="A3025">
        <v>7</v>
      </c>
      <c r="E3025" t="str">
        <f t="shared" si="111"/>
        <v>H</v>
      </c>
      <c r="F3025" t="str">
        <f t="shared" si="112"/>
        <v>7H</v>
      </c>
    </row>
    <row r="3026" spans="1:6" x14ac:dyDescent="0.2">
      <c r="A3026">
        <v>8</v>
      </c>
      <c r="E3026" t="str">
        <f t="shared" si="111"/>
        <v>I</v>
      </c>
      <c r="F3026" t="str">
        <f t="shared" si="112"/>
        <v>8I</v>
      </c>
    </row>
    <row r="3027" spans="1:6" x14ac:dyDescent="0.2">
      <c r="A3027">
        <v>9</v>
      </c>
      <c r="E3027" t="str">
        <f t="shared" si="111"/>
        <v>J</v>
      </c>
      <c r="F3027" t="str">
        <f t="shared" si="112"/>
        <v>9J</v>
      </c>
    </row>
    <row r="3028" spans="1:6" x14ac:dyDescent="0.2">
      <c r="A3028">
        <v>10</v>
      </c>
      <c r="E3028" t="str">
        <f t="shared" si="111"/>
        <v>K</v>
      </c>
      <c r="F3028" t="str">
        <f t="shared" si="112"/>
        <v>10K</v>
      </c>
    </row>
    <row r="3029" spans="1:6" x14ac:dyDescent="0.2">
      <c r="A3029">
        <v>11</v>
      </c>
      <c r="E3029" t="str">
        <f t="shared" si="111"/>
        <v>L</v>
      </c>
      <c r="F3029" t="str">
        <f t="shared" si="112"/>
        <v>11L</v>
      </c>
    </row>
    <row r="3030" spans="1:6" x14ac:dyDescent="0.2">
      <c r="A3030">
        <v>12</v>
      </c>
      <c r="E3030" t="str">
        <f t="shared" si="111"/>
        <v>M</v>
      </c>
      <c r="F3030" t="str">
        <f t="shared" si="112"/>
        <v>12M</v>
      </c>
    </row>
    <row r="3031" spans="1:6" x14ac:dyDescent="0.2">
      <c r="A3031">
        <v>13</v>
      </c>
      <c r="E3031" t="str">
        <f t="shared" ref="E3031:E3094" si="113">E3005</f>
        <v>N</v>
      </c>
      <c r="F3031" t="str">
        <f t="shared" si="112"/>
        <v>13N</v>
      </c>
    </row>
    <row r="3032" spans="1:6" x14ac:dyDescent="0.2">
      <c r="A3032">
        <v>14</v>
      </c>
      <c r="E3032" t="str">
        <f t="shared" si="113"/>
        <v>O</v>
      </c>
      <c r="F3032" t="str">
        <f t="shared" si="112"/>
        <v>14O</v>
      </c>
    </row>
    <row r="3033" spans="1:6" x14ac:dyDescent="0.2">
      <c r="A3033">
        <v>15</v>
      </c>
      <c r="E3033" t="str">
        <f t="shared" si="113"/>
        <v>P</v>
      </c>
      <c r="F3033" t="str">
        <f t="shared" si="112"/>
        <v>15P</v>
      </c>
    </row>
    <row r="3034" spans="1:6" x14ac:dyDescent="0.2">
      <c r="A3034">
        <v>16</v>
      </c>
      <c r="E3034" t="str">
        <f t="shared" si="113"/>
        <v>Q</v>
      </c>
      <c r="F3034" t="str">
        <f t="shared" si="112"/>
        <v>16Q</v>
      </c>
    </row>
    <row r="3035" spans="1:6" x14ac:dyDescent="0.2">
      <c r="A3035">
        <v>17</v>
      </c>
      <c r="E3035" t="str">
        <f t="shared" si="113"/>
        <v>R</v>
      </c>
      <c r="F3035" t="str">
        <f t="shared" si="112"/>
        <v>17R</v>
      </c>
    </row>
    <row r="3036" spans="1:6" x14ac:dyDescent="0.2">
      <c r="A3036">
        <v>18</v>
      </c>
      <c r="E3036" t="str">
        <f t="shared" si="113"/>
        <v>S</v>
      </c>
      <c r="F3036" t="str">
        <f t="shared" si="112"/>
        <v>18S</v>
      </c>
    </row>
    <row r="3037" spans="1:6" x14ac:dyDescent="0.2">
      <c r="A3037">
        <v>19</v>
      </c>
      <c r="E3037" t="str">
        <f t="shared" si="113"/>
        <v>T</v>
      </c>
      <c r="F3037" t="str">
        <f t="shared" si="112"/>
        <v>19T</v>
      </c>
    </row>
    <row r="3038" spans="1:6" x14ac:dyDescent="0.2">
      <c r="A3038">
        <v>20</v>
      </c>
      <c r="E3038" t="str">
        <f t="shared" si="113"/>
        <v>U</v>
      </c>
      <c r="F3038" t="str">
        <f t="shared" si="112"/>
        <v>20U</v>
      </c>
    </row>
    <row r="3039" spans="1:6" x14ac:dyDescent="0.2">
      <c r="A3039">
        <v>21</v>
      </c>
      <c r="E3039" t="str">
        <f t="shared" si="113"/>
        <v>V</v>
      </c>
      <c r="F3039" t="str">
        <f t="shared" si="112"/>
        <v>21V</v>
      </c>
    </row>
    <row r="3040" spans="1:6" x14ac:dyDescent="0.2">
      <c r="A3040">
        <v>22</v>
      </c>
      <c r="E3040" t="str">
        <f t="shared" si="113"/>
        <v>W</v>
      </c>
      <c r="F3040" t="str">
        <f t="shared" si="112"/>
        <v>22W</v>
      </c>
    </row>
    <row r="3041" spans="1:6" x14ac:dyDescent="0.2">
      <c r="A3041">
        <v>23</v>
      </c>
      <c r="E3041" t="str">
        <f t="shared" si="113"/>
        <v>X</v>
      </c>
      <c r="F3041" t="str">
        <f t="shared" si="112"/>
        <v>23X</v>
      </c>
    </row>
    <row r="3042" spans="1:6" x14ac:dyDescent="0.2">
      <c r="A3042">
        <v>24</v>
      </c>
      <c r="E3042" t="str">
        <f t="shared" si="113"/>
        <v>Y</v>
      </c>
      <c r="F3042" t="str">
        <f t="shared" si="112"/>
        <v>24Y</v>
      </c>
    </row>
    <row r="3043" spans="1:6" x14ac:dyDescent="0.2">
      <c r="A3043">
        <v>25</v>
      </c>
      <c r="E3043" t="str">
        <f t="shared" si="113"/>
        <v>Z</v>
      </c>
      <c r="F3043" t="str">
        <f t="shared" si="112"/>
        <v>25Z</v>
      </c>
    </row>
    <row r="3044" spans="1:6" x14ac:dyDescent="0.2">
      <c r="A3044">
        <v>0</v>
      </c>
      <c r="E3044" t="str">
        <f t="shared" si="113"/>
        <v>A</v>
      </c>
      <c r="F3044" t="str">
        <f t="shared" si="112"/>
        <v>0A</v>
      </c>
    </row>
    <row r="3045" spans="1:6" x14ac:dyDescent="0.2">
      <c r="A3045">
        <v>1</v>
      </c>
      <c r="E3045" t="str">
        <f t="shared" si="113"/>
        <v>B</v>
      </c>
      <c r="F3045" t="str">
        <f t="shared" si="112"/>
        <v>1B</v>
      </c>
    </row>
    <row r="3046" spans="1:6" x14ac:dyDescent="0.2">
      <c r="A3046">
        <v>2</v>
      </c>
      <c r="E3046" t="str">
        <f t="shared" si="113"/>
        <v>C</v>
      </c>
      <c r="F3046" t="str">
        <f t="shared" si="112"/>
        <v>2C</v>
      </c>
    </row>
    <row r="3047" spans="1:6" x14ac:dyDescent="0.2">
      <c r="A3047">
        <v>3</v>
      </c>
      <c r="E3047" t="str">
        <f t="shared" si="113"/>
        <v>D</v>
      </c>
      <c r="F3047" t="str">
        <f t="shared" si="112"/>
        <v>3D</v>
      </c>
    </row>
    <row r="3048" spans="1:6" x14ac:dyDescent="0.2">
      <c r="A3048">
        <v>4</v>
      </c>
      <c r="E3048" t="str">
        <f t="shared" si="113"/>
        <v>E</v>
      </c>
      <c r="F3048" t="str">
        <f t="shared" si="112"/>
        <v>4E</v>
      </c>
    </row>
    <row r="3049" spans="1:6" x14ac:dyDescent="0.2">
      <c r="A3049">
        <v>5</v>
      </c>
      <c r="E3049" t="str">
        <f t="shared" si="113"/>
        <v>F</v>
      </c>
      <c r="F3049" t="str">
        <f t="shared" si="112"/>
        <v>5F</v>
      </c>
    </row>
    <row r="3050" spans="1:6" x14ac:dyDescent="0.2">
      <c r="A3050">
        <v>6</v>
      </c>
      <c r="E3050" t="str">
        <f t="shared" si="113"/>
        <v>G</v>
      </c>
      <c r="F3050" t="str">
        <f t="shared" si="112"/>
        <v>6G</v>
      </c>
    </row>
    <row r="3051" spans="1:6" x14ac:dyDescent="0.2">
      <c r="A3051">
        <v>7</v>
      </c>
      <c r="E3051" t="str">
        <f t="shared" si="113"/>
        <v>H</v>
      </c>
      <c r="F3051" t="str">
        <f t="shared" si="112"/>
        <v>7H</v>
      </c>
    </row>
    <row r="3052" spans="1:6" x14ac:dyDescent="0.2">
      <c r="A3052">
        <v>8</v>
      </c>
      <c r="E3052" t="str">
        <f t="shared" si="113"/>
        <v>I</v>
      </c>
      <c r="F3052" t="str">
        <f t="shared" si="112"/>
        <v>8I</v>
      </c>
    </row>
    <row r="3053" spans="1:6" x14ac:dyDescent="0.2">
      <c r="A3053">
        <v>9</v>
      </c>
      <c r="E3053" t="str">
        <f t="shared" si="113"/>
        <v>J</v>
      </c>
      <c r="F3053" t="str">
        <f t="shared" si="112"/>
        <v>9J</v>
      </c>
    </row>
    <row r="3054" spans="1:6" x14ac:dyDescent="0.2">
      <c r="A3054">
        <v>10</v>
      </c>
      <c r="E3054" t="str">
        <f t="shared" si="113"/>
        <v>K</v>
      </c>
      <c r="F3054" t="str">
        <f t="shared" si="112"/>
        <v>10K</v>
      </c>
    </row>
    <row r="3055" spans="1:6" x14ac:dyDescent="0.2">
      <c r="A3055">
        <v>11</v>
      </c>
      <c r="E3055" t="str">
        <f t="shared" si="113"/>
        <v>L</v>
      </c>
      <c r="F3055" t="str">
        <f t="shared" si="112"/>
        <v>11L</v>
      </c>
    </row>
    <row r="3056" spans="1:6" x14ac:dyDescent="0.2">
      <c r="A3056">
        <v>12</v>
      </c>
      <c r="E3056" t="str">
        <f t="shared" si="113"/>
        <v>M</v>
      </c>
      <c r="F3056" t="str">
        <f t="shared" si="112"/>
        <v>12M</v>
      </c>
    </row>
    <row r="3057" spans="1:6" x14ac:dyDescent="0.2">
      <c r="A3057">
        <v>13</v>
      </c>
      <c r="E3057" t="str">
        <f t="shared" si="113"/>
        <v>N</v>
      </c>
      <c r="F3057" t="str">
        <f t="shared" si="112"/>
        <v>13N</v>
      </c>
    </row>
    <row r="3058" spans="1:6" x14ac:dyDescent="0.2">
      <c r="A3058">
        <v>14</v>
      </c>
      <c r="E3058" t="str">
        <f t="shared" si="113"/>
        <v>O</v>
      </c>
      <c r="F3058" t="str">
        <f t="shared" si="112"/>
        <v>14O</v>
      </c>
    </row>
    <row r="3059" spans="1:6" x14ac:dyDescent="0.2">
      <c r="A3059">
        <v>15</v>
      </c>
      <c r="E3059" t="str">
        <f t="shared" si="113"/>
        <v>P</v>
      </c>
      <c r="F3059" t="str">
        <f t="shared" si="112"/>
        <v>15P</v>
      </c>
    </row>
    <row r="3060" spans="1:6" x14ac:dyDescent="0.2">
      <c r="A3060">
        <v>16</v>
      </c>
      <c r="E3060" t="str">
        <f t="shared" si="113"/>
        <v>Q</v>
      </c>
      <c r="F3060" t="str">
        <f t="shared" si="112"/>
        <v>16Q</v>
      </c>
    </row>
    <row r="3061" spans="1:6" x14ac:dyDescent="0.2">
      <c r="A3061">
        <v>17</v>
      </c>
      <c r="E3061" t="str">
        <f t="shared" si="113"/>
        <v>R</v>
      </c>
      <c r="F3061" t="str">
        <f t="shared" si="112"/>
        <v>17R</v>
      </c>
    </row>
    <row r="3062" spans="1:6" x14ac:dyDescent="0.2">
      <c r="A3062">
        <v>18</v>
      </c>
      <c r="E3062" t="str">
        <f t="shared" si="113"/>
        <v>S</v>
      </c>
      <c r="F3062" t="str">
        <f t="shared" si="112"/>
        <v>18S</v>
      </c>
    </row>
    <row r="3063" spans="1:6" x14ac:dyDescent="0.2">
      <c r="A3063">
        <v>19</v>
      </c>
      <c r="E3063" t="str">
        <f t="shared" si="113"/>
        <v>T</v>
      </c>
      <c r="F3063" t="str">
        <f t="shared" si="112"/>
        <v>19T</v>
      </c>
    </row>
    <row r="3064" spans="1:6" x14ac:dyDescent="0.2">
      <c r="A3064">
        <v>20</v>
      </c>
      <c r="E3064" t="str">
        <f t="shared" si="113"/>
        <v>U</v>
      </c>
      <c r="F3064" t="str">
        <f t="shared" si="112"/>
        <v>20U</v>
      </c>
    </row>
    <row r="3065" spans="1:6" x14ac:dyDescent="0.2">
      <c r="A3065">
        <v>21</v>
      </c>
      <c r="E3065" t="str">
        <f t="shared" si="113"/>
        <v>V</v>
      </c>
      <c r="F3065" t="str">
        <f t="shared" si="112"/>
        <v>21V</v>
      </c>
    </row>
    <row r="3066" spans="1:6" x14ac:dyDescent="0.2">
      <c r="A3066">
        <v>22</v>
      </c>
      <c r="E3066" t="str">
        <f t="shared" si="113"/>
        <v>W</v>
      </c>
      <c r="F3066" t="str">
        <f t="shared" si="112"/>
        <v>22W</v>
      </c>
    </row>
    <row r="3067" spans="1:6" x14ac:dyDescent="0.2">
      <c r="A3067">
        <v>23</v>
      </c>
      <c r="E3067" t="str">
        <f t="shared" si="113"/>
        <v>X</v>
      </c>
      <c r="F3067" t="str">
        <f t="shared" si="112"/>
        <v>23X</v>
      </c>
    </row>
    <row r="3068" spans="1:6" x14ac:dyDescent="0.2">
      <c r="A3068">
        <v>24</v>
      </c>
      <c r="E3068" t="str">
        <f t="shared" si="113"/>
        <v>Y</v>
      </c>
      <c r="F3068" t="str">
        <f t="shared" si="112"/>
        <v>24Y</v>
      </c>
    </row>
    <row r="3069" spans="1:6" x14ac:dyDescent="0.2">
      <c r="A3069">
        <v>25</v>
      </c>
      <c r="E3069" t="str">
        <f t="shared" si="113"/>
        <v>Z</v>
      </c>
      <c r="F3069" t="str">
        <f t="shared" ref="F3069:F3132" si="114">A3069&amp;C3069&amp;E3069</f>
        <v>25Z</v>
      </c>
    </row>
    <row r="3070" spans="1:6" x14ac:dyDescent="0.2">
      <c r="A3070">
        <v>0</v>
      </c>
      <c r="E3070" t="str">
        <f t="shared" si="113"/>
        <v>A</v>
      </c>
      <c r="F3070" t="str">
        <f t="shared" si="114"/>
        <v>0A</v>
      </c>
    </row>
    <row r="3071" spans="1:6" x14ac:dyDescent="0.2">
      <c r="A3071">
        <v>1</v>
      </c>
      <c r="E3071" t="str">
        <f t="shared" si="113"/>
        <v>B</v>
      </c>
      <c r="F3071" t="str">
        <f t="shared" si="114"/>
        <v>1B</v>
      </c>
    </row>
    <row r="3072" spans="1:6" x14ac:dyDescent="0.2">
      <c r="A3072">
        <v>2</v>
      </c>
      <c r="E3072" t="str">
        <f t="shared" si="113"/>
        <v>C</v>
      </c>
      <c r="F3072" t="str">
        <f t="shared" si="114"/>
        <v>2C</v>
      </c>
    </row>
    <row r="3073" spans="1:6" x14ac:dyDescent="0.2">
      <c r="A3073">
        <v>3</v>
      </c>
      <c r="E3073" t="str">
        <f t="shared" si="113"/>
        <v>D</v>
      </c>
      <c r="F3073" t="str">
        <f t="shared" si="114"/>
        <v>3D</v>
      </c>
    </row>
    <row r="3074" spans="1:6" x14ac:dyDescent="0.2">
      <c r="A3074">
        <v>4</v>
      </c>
      <c r="E3074" t="str">
        <f t="shared" si="113"/>
        <v>E</v>
      </c>
      <c r="F3074" t="str">
        <f t="shared" si="114"/>
        <v>4E</v>
      </c>
    </row>
    <row r="3075" spans="1:6" x14ac:dyDescent="0.2">
      <c r="A3075">
        <v>5</v>
      </c>
      <c r="E3075" t="str">
        <f t="shared" si="113"/>
        <v>F</v>
      </c>
      <c r="F3075" t="str">
        <f t="shared" si="114"/>
        <v>5F</v>
      </c>
    </row>
    <row r="3076" spans="1:6" x14ac:dyDescent="0.2">
      <c r="A3076">
        <v>6</v>
      </c>
      <c r="E3076" t="str">
        <f t="shared" si="113"/>
        <v>G</v>
      </c>
      <c r="F3076" t="str">
        <f t="shared" si="114"/>
        <v>6G</v>
      </c>
    </row>
    <row r="3077" spans="1:6" x14ac:dyDescent="0.2">
      <c r="A3077">
        <v>7</v>
      </c>
      <c r="E3077" t="str">
        <f t="shared" si="113"/>
        <v>H</v>
      </c>
      <c r="F3077" t="str">
        <f t="shared" si="114"/>
        <v>7H</v>
      </c>
    </row>
    <row r="3078" spans="1:6" x14ac:dyDescent="0.2">
      <c r="A3078">
        <v>8</v>
      </c>
      <c r="E3078" t="str">
        <f t="shared" si="113"/>
        <v>I</v>
      </c>
      <c r="F3078" t="str">
        <f t="shared" si="114"/>
        <v>8I</v>
      </c>
    </row>
    <row r="3079" spans="1:6" x14ac:dyDescent="0.2">
      <c r="A3079">
        <v>9</v>
      </c>
      <c r="E3079" t="str">
        <f t="shared" si="113"/>
        <v>J</v>
      </c>
      <c r="F3079" t="str">
        <f t="shared" si="114"/>
        <v>9J</v>
      </c>
    </row>
    <row r="3080" spans="1:6" x14ac:dyDescent="0.2">
      <c r="A3080">
        <v>10</v>
      </c>
      <c r="E3080" t="str">
        <f t="shared" si="113"/>
        <v>K</v>
      </c>
      <c r="F3080" t="str">
        <f t="shared" si="114"/>
        <v>10K</v>
      </c>
    </row>
    <row r="3081" spans="1:6" x14ac:dyDescent="0.2">
      <c r="A3081">
        <v>11</v>
      </c>
      <c r="E3081" t="str">
        <f t="shared" si="113"/>
        <v>L</v>
      </c>
      <c r="F3081" t="str">
        <f t="shared" si="114"/>
        <v>11L</v>
      </c>
    </row>
    <row r="3082" spans="1:6" x14ac:dyDescent="0.2">
      <c r="A3082">
        <v>12</v>
      </c>
      <c r="E3082" t="str">
        <f t="shared" si="113"/>
        <v>M</v>
      </c>
      <c r="F3082" t="str">
        <f t="shared" si="114"/>
        <v>12M</v>
      </c>
    </row>
    <row r="3083" spans="1:6" x14ac:dyDescent="0.2">
      <c r="A3083">
        <v>13</v>
      </c>
      <c r="E3083" t="str">
        <f t="shared" si="113"/>
        <v>N</v>
      </c>
      <c r="F3083" t="str">
        <f t="shared" si="114"/>
        <v>13N</v>
      </c>
    </row>
    <row r="3084" spans="1:6" x14ac:dyDescent="0.2">
      <c r="A3084">
        <v>14</v>
      </c>
      <c r="E3084" t="str">
        <f t="shared" si="113"/>
        <v>O</v>
      </c>
      <c r="F3084" t="str">
        <f t="shared" si="114"/>
        <v>14O</v>
      </c>
    </row>
    <row r="3085" spans="1:6" x14ac:dyDescent="0.2">
      <c r="A3085">
        <v>15</v>
      </c>
      <c r="E3085" t="str">
        <f t="shared" si="113"/>
        <v>P</v>
      </c>
      <c r="F3085" t="str">
        <f t="shared" si="114"/>
        <v>15P</v>
      </c>
    </row>
    <row r="3086" spans="1:6" x14ac:dyDescent="0.2">
      <c r="A3086">
        <v>16</v>
      </c>
      <c r="E3086" t="str">
        <f t="shared" si="113"/>
        <v>Q</v>
      </c>
      <c r="F3086" t="str">
        <f t="shared" si="114"/>
        <v>16Q</v>
      </c>
    </row>
    <row r="3087" spans="1:6" x14ac:dyDescent="0.2">
      <c r="A3087">
        <v>17</v>
      </c>
      <c r="E3087" t="str">
        <f t="shared" si="113"/>
        <v>R</v>
      </c>
      <c r="F3087" t="str">
        <f t="shared" si="114"/>
        <v>17R</v>
      </c>
    </row>
    <row r="3088" spans="1:6" x14ac:dyDescent="0.2">
      <c r="A3088">
        <v>18</v>
      </c>
      <c r="E3088" t="str">
        <f t="shared" si="113"/>
        <v>S</v>
      </c>
      <c r="F3088" t="str">
        <f t="shared" si="114"/>
        <v>18S</v>
      </c>
    </row>
    <row r="3089" spans="1:6" x14ac:dyDescent="0.2">
      <c r="A3089">
        <v>19</v>
      </c>
      <c r="E3089" t="str">
        <f t="shared" si="113"/>
        <v>T</v>
      </c>
      <c r="F3089" t="str">
        <f t="shared" si="114"/>
        <v>19T</v>
      </c>
    </row>
    <row r="3090" spans="1:6" x14ac:dyDescent="0.2">
      <c r="A3090">
        <v>20</v>
      </c>
      <c r="E3090" t="str">
        <f t="shared" si="113"/>
        <v>U</v>
      </c>
      <c r="F3090" t="str">
        <f t="shared" si="114"/>
        <v>20U</v>
      </c>
    </row>
    <row r="3091" spans="1:6" x14ac:dyDescent="0.2">
      <c r="A3091">
        <v>21</v>
      </c>
      <c r="E3091" t="str">
        <f t="shared" si="113"/>
        <v>V</v>
      </c>
      <c r="F3091" t="str">
        <f t="shared" si="114"/>
        <v>21V</v>
      </c>
    </row>
    <row r="3092" spans="1:6" x14ac:dyDescent="0.2">
      <c r="A3092">
        <v>22</v>
      </c>
      <c r="E3092" t="str">
        <f t="shared" si="113"/>
        <v>W</v>
      </c>
      <c r="F3092" t="str">
        <f t="shared" si="114"/>
        <v>22W</v>
      </c>
    </row>
    <row r="3093" spans="1:6" x14ac:dyDescent="0.2">
      <c r="A3093">
        <v>23</v>
      </c>
      <c r="E3093" t="str">
        <f t="shared" si="113"/>
        <v>X</v>
      </c>
      <c r="F3093" t="str">
        <f t="shared" si="114"/>
        <v>23X</v>
      </c>
    </row>
    <row r="3094" spans="1:6" x14ac:dyDescent="0.2">
      <c r="A3094">
        <v>24</v>
      </c>
      <c r="E3094" t="str">
        <f t="shared" si="113"/>
        <v>Y</v>
      </c>
      <c r="F3094" t="str">
        <f t="shared" si="114"/>
        <v>24Y</v>
      </c>
    </row>
    <row r="3095" spans="1:6" x14ac:dyDescent="0.2">
      <c r="A3095">
        <v>25</v>
      </c>
      <c r="E3095" t="str">
        <f t="shared" ref="E3095:E3158" si="115">E3069</f>
        <v>Z</v>
      </c>
      <c r="F3095" t="str">
        <f t="shared" si="114"/>
        <v>25Z</v>
      </c>
    </row>
    <row r="3096" spans="1:6" x14ac:dyDescent="0.2">
      <c r="A3096">
        <v>0</v>
      </c>
      <c r="E3096" t="str">
        <f t="shared" si="115"/>
        <v>A</v>
      </c>
      <c r="F3096" t="str">
        <f t="shared" si="114"/>
        <v>0A</v>
      </c>
    </row>
    <row r="3097" spans="1:6" x14ac:dyDescent="0.2">
      <c r="A3097">
        <v>1</v>
      </c>
      <c r="E3097" t="str">
        <f t="shared" si="115"/>
        <v>B</v>
      </c>
      <c r="F3097" t="str">
        <f t="shared" si="114"/>
        <v>1B</v>
      </c>
    </row>
    <row r="3098" spans="1:6" x14ac:dyDescent="0.2">
      <c r="A3098">
        <v>2</v>
      </c>
      <c r="E3098" t="str">
        <f t="shared" si="115"/>
        <v>C</v>
      </c>
      <c r="F3098" t="str">
        <f t="shared" si="114"/>
        <v>2C</v>
      </c>
    </row>
    <row r="3099" spans="1:6" x14ac:dyDescent="0.2">
      <c r="A3099">
        <v>3</v>
      </c>
      <c r="E3099" t="str">
        <f t="shared" si="115"/>
        <v>D</v>
      </c>
      <c r="F3099" t="str">
        <f t="shared" si="114"/>
        <v>3D</v>
      </c>
    </row>
    <row r="3100" spans="1:6" x14ac:dyDescent="0.2">
      <c r="A3100">
        <v>4</v>
      </c>
      <c r="E3100" t="str">
        <f t="shared" si="115"/>
        <v>E</v>
      </c>
      <c r="F3100" t="str">
        <f t="shared" si="114"/>
        <v>4E</v>
      </c>
    </row>
    <row r="3101" spans="1:6" x14ac:dyDescent="0.2">
      <c r="A3101">
        <v>5</v>
      </c>
      <c r="E3101" t="str">
        <f t="shared" si="115"/>
        <v>F</v>
      </c>
      <c r="F3101" t="str">
        <f t="shared" si="114"/>
        <v>5F</v>
      </c>
    </row>
    <row r="3102" spans="1:6" x14ac:dyDescent="0.2">
      <c r="A3102">
        <v>6</v>
      </c>
      <c r="E3102" t="str">
        <f t="shared" si="115"/>
        <v>G</v>
      </c>
      <c r="F3102" t="str">
        <f t="shared" si="114"/>
        <v>6G</v>
      </c>
    </row>
    <row r="3103" spans="1:6" x14ac:dyDescent="0.2">
      <c r="A3103">
        <v>7</v>
      </c>
      <c r="E3103" t="str">
        <f t="shared" si="115"/>
        <v>H</v>
      </c>
      <c r="F3103" t="str">
        <f t="shared" si="114"/>
        <v>7H</v>
      </c>
    </row>
    <row r="3104" spans="1:6" x14ac:dyDescent="0.2">
      <c r="A3104">
        <v>8</v>
      </c>
      <c r="E3104" t="str">
        <f t="shared" si="115"/>
        <v>I</v>
      </c>
      <c r="F3104" t="str">
        <f t="shared" si="114"/>
        <v>8I</v>
      </c>
    </row>
    <row r="3105" spans="1:6" x14ac:dyDescent="0.2">
      <c r="A3105">
        <v>9</v>
      </c>
      <c r="E3105" t="str">
        <f t="shared" si="115"/>
        <v>J</v>
      </c>
      <c r="F3105" t="str">
        <f t="shared" si="114"/>
        <v>9J</v>
      </c>
    </row>
    <row r="3106" spans="1:6" x14ac:dyDescent="0.2">
      <c r="A3106">
        <v>10</v>
      </c>
      <c r="E3106" t="str">
        <f t="shared" si="115"/>
        <v>K</v>
      </c>
      <c r="F3106" t="str">
        <f t="shared" si="114"/>
        <v>10K</v>
      </c>
    </row>
    <row r="3107" spans="1:6" x14ac:dyDescent="0.2">
      <c r="A3107">
        <v>11</v>
      </c>
      <c r="E3107" t="str">
        <f t="shared" si="115"/>
        <v>L</v>
      </c>
      <c r="F3107" t="str">
        <f t="shared" si="114"/>
        <v>11L</v>
      </c>
    </row>
    <row r="3108" spans="1:6" x14ac:dyDescent="0.2">
      <c r="A3108">
        <v>12</v>
      </c>
      <c r="E3108" t="str">
        <f t="shared" si="115"/>
        <v>M</v>
      </c>
      <c r="F3108" t="str">
        <f t="shared" si="114"/>
        <v>12M</v>
      </c>
    </row>
    <row r="3109" spans="1:6" x14ac:dyDescent="0.2">
      <c r="A3109">
        <v>13</v>
      </c>
      <c r="E3109" t="str">
        <f t="shared" si="115"/>
        <v>N</v>
      </c>
      <c r="F3109" t="str">
        <f t="shared" si="114"/>
        <v>13N</v>
      </c>
    </row>
    <row r="3110" spans="1:6" x14ac:dyDescent="0.2">
      <c r="A3110">
        <v>14</v>
      </c>
      <c r="E3110" t="str">
        <f t="shared" si="115"/>
        <v>O</v>
      </c>
      <c r="F3110" t="str">
        <f t="shared" si="114"/>
        <v>14O</v>
      </c>
    </row>
    <row r="3111" spans="1:6" x14ac:dyDescent="0.2">
      <c r="A3111">
        <v>15</v>
      </c>
      <c r="E3111" t="str">
        <f t="shared" si="115"/>
        <v>P</v>
      </c>
      <c r="F3111" t="str">
        <f t="shared" si="114"/>
        <v>15P</v>
      </c>
    </row>
    <row r="3112" spans="1:6" x14ac:dyDescent="0.2">
      <c r="A3112">
        <v>16</v>
      </c>
      <c r="E3112" t="str">
        <f t="shared" si="115"/>
        <v>Q</v>
      </c>
      <c r="F3112" t="str">
        <f t="shared" si="114"/>
        <v>16Q</v>
      </c>
    </row>
    <row r="3113" spans="1:6" x14ac:dyDescent="0.2">
      <c r="A3113">
        <v>17</v>
      </c>
      <c r="E3113" t="str">
        <f t="shared" si="115"/>
        <v>R</v>
      </c>
      <c r="F3113" t="str">
        <f t="shared" si="114"/>
        <v>17R</v>
      </c>
    </row>
    <row r="3114" spans="1:6" x14ac:dyDescent="0.2">
      <c r="A3114">
        <v>18</v>
      </c>
      <c r="E3114" t="str">
        <f t="shared" si="115"/>
        <v>S</v>
      </c>
      <c r="F3114" t="str">
        <f t="shared" si="114"/>
        <v>18S</v>
      </c>
    </row>
    <row r="3115" spans="1:6" x14ac:dyDescent="0.2">
      <c r="A3115">
        <v>19</v>
      </c>
      <c r="E3115" t="str">
        <f t="shared" si="115"/>
        <v>T</v>
      </c>
      <c r="F3115" t="str">
        <f t="shared" si="114"/>
        <v>19T</v>
      </c>
    </row>
    <row r="3116" spans="1:6" x14ac:dyDescent="0.2">
      <c r="A3116">
        <v>20</v>
      </c>
      <c r="E3116" t="str">
        <f t="shared" si="115"/>
        <v>U</v>
      </c>
      <c r="F3116" t="str">
        <f t="shared" si="114"/>
        <v>20U</v>
      </c>
    </row>
    <row r="3117" spans="1:6" x14ac:dyDescent="0.2">
      <c r="A3117">
        <v>21</v>
      </c>
      <c r="E3117" t="str">
        <f t="shared" si="115"/>
        <v>V</v>
      </c>
      <c r="F3117" t="str">
        <f t="shared" si="114"/>
        <v>21V</v>
      </c>
    </row>
    <row r="3118" spans="1:6" x14ac:dyDescent="0.2">
      <c r="A3118">
        <v>22</v>
      </c>
      <c r="E3118" t="str">
        <f t="shared" si="115"/>
        <v>W</v>
      </c>
      <c r="F3118" t="str">
        <f t="shared" si="114"/>
        <v>22W</v>
      </c>
    </row>
    <row r="3119" spans="1:6" x14ac:dyDescent="0.2">
      <c r="A3119">
        <v>23</v>
      </c>
      <c r="E3119" t="str">
        <f t="shared" si="115"/>
        <v>X</v>
      </c>
      <c r="F3119" t="str">
        <f t="shared" si="114"/>
        <v>23X</v>
      </c>
    </row>
    <row r="3120" spans="1:6" x14ac:dyDescent="0.2">
      <c r="A3120">
        <v>24</v>
      </c>
      <c r="E3120" t="str">
        <f t="shared" si="115"/>
        <v>Y</v>
      </c>
      <c r="F3120" t="str">
        <f t="shared" si="114"/>
        <v>24Y</v>
      </c>
    </row>
    <row r="3121" spans="1:6" x14ac:dyDescent="0.2">
      <c r="A3121">
        <v>25</v>
      </c>
      <c r="E3121" t="str">
        <f t="shared" si="115"/>
        <v>Z</v>
      </c>
      <c r="F3121" t="str">
        <f t="shared" si="114"/>
        <v>25Z</v>
      </c>
    </row>
    <row r="3122" spans="1:6" x14ac:dyDescent="0.2">
      <c r="A3122">
        <v>0</v>
      </c>
      <c r="E3122" t="str">
        <f t="shared" si="115"/>
        <v>A</v>
      </c>
      <c r="F3122" t="str">
        <f t="shared" si="114"/>
        <v>0A</v>
      </c>
    </row>
    <row r="3123" spans="1:6" x14ac:dyDescent="0.2">
      <c r="A3123">
        <v>1</v>
      </c>
      <c r="E3123" t="str">
        <f t="shared" si="115"/>
        <v>B</v>
      </c>
      <c r="F3123" t="str">
        <f t="shared" si="114"/>
        <v>1B</v>
      </c>
    </row>
    <row r="3124" spans="1:6" x14ac:dyDescent="0.2">
      <c r="A3124">
        <v>2</v>
      </c>
      <c r="E3124" t="str">
        <f t="shared" si="115"/>
        <v>C</v>
      </c>
      <c r="F3124" t="str">
        <f t="shared" si="114"/>
        <v>2C</v>
      </c>
    </row>
    <row r="3125" spans="1:6" x14ac:dyDescent="0.2">
      <c r="A3125">
        <v>3</v>
      </c>
      <c r="E3125" t="str">
        <f t="shared" si="115"/>
        <v>D</v>
      </c>
      <c r="F3125" t="str">
        <f t="shared" si="114"/>
        <v>3D</v>
      </c>
    </row>
    <row r="3126" spans="1:6" x14ac:dyDescent="0.2">
      <c r="A3126">
        <v>4</v>
      </c>
      <c r="E3126" t="str">
        <f t="shared" si="115"/>
        <v>E</v>
      </c>
      <c r="F3126" t="str">
        <f t="shared" si="114"/>
        <v>4E</v>
      </c>
    </row>
    <row r="3127" spans="1:6" x14ac:dyDescent="0.2">
      <c r="A3127">
        <v>5</v>
      </c>
      <c r="E3127" t="str">
        <f t="shared" si="115"/>
        <v>F</v>
      </c>
      <c r="F3127" t="str">
        <f t="shared" si="114"/>
        <v>5F</v>
      </c>
    </row>
    <row r="3128" spans="1:6" x14ac:dyDescent="0.2">
      <c r="A3128">
        <v>6</v>
      </c>
      <c r="E3128" t="str">
        <f t="shared" si="115"/>
        <v>G</v>
      </c>
      <c r="F3128" t="str">
        <f t="shared" si="114"/>
        <v>6G</v>
      </c>
    </row>
    <row r="3129" spans="1:6" x14ac:dyDescent="0.2">
      <c r="A3129">
        <v>7</v>
      </c>
      <c r="E3129" t="str">
        <f t="shared" si="115"/>
        <v>H</v>
      </c>
      <c r="F3129" t="str">
        <f t="shared" si="114"/>
        <v>7H</v>
      </c>
    </row>
    <row r="3130" spans="1:6" x14ac:dyDescent="0.2">
      <c r="A3130">
        <v>8</v>
      </c>
      <c r="E3130" t="str">
        <f t="shared" si="115"/>
        <v>I</v>
      </c>
      <c r="F3130" t="str">
        <f t="shared" si="114"/>
        <v>8I</v>
      </c>
    </row>
    <row r="3131" spans="1:6" x14ac:dyDescent="0.2">
      <c r="A3131">
        <v>9</v>
      </c>
      <c r="E3131" t="str">
        <f t="shared" si="115"/>
        <v>J</v>
      </c>
      <c r="F3131" t="str">
        <f t="shared" si="114"/>
        <v>9J</v>
      </c>
    </row>
    <row r="3132" spans="1:6" x14ac:dyDescent="0.2">
      <c r="A3132">
        <v>10</v>
      </c>
      <c r="E3132" t="str">
        <f t="shared" si="115"/>
        <v>K</v>
      </c>
      <c r="F3132" t="str">
        <f t="shared" si="114"/>
        <v>10K</v>
      </c>
    </row>
    <row r="3133" spans="1:6" x14ac:dyDescent="0.2">
      <c r="A3133">
        <v>11</v>
      </c>
      <c r="E3133" t="str">
        <f t="shared" si="115"/>
        <v>L</v>
      </c>
      <c r="F3133" t="str">
        <f t="shared" ref="F3133:F3196" si="116">A3133&amp;C3133&amp;E3133</f>
        <v>11L</v>
      </c>
    </row>
    <row r="3134" spans="1:6" x14ac:dyDescent="0.2">
      <c r="A3134">
        <v>12</v>
      </c>
      <c r="E3134" t="str">
        <f t="shared" si="115"/>
        <v>M</v>
      </c>
      <c r="F3134" t="str">
        <f t="shared" si="116"/>
        <v>12M</v>
      </c>
    </row>
    <row r="3135" spans="1:6" x14ac:dyDescent="0.2">
      <c r="A3135">
        <v>13</v>
      </c>
      <c r="E3135" t="str">
        <f t="shared" si="115"/>
        <v>N</v>
      </c>
      <c r="F3135" t="str">
        <f t="shared" si="116"/>
        <v>13N</v>
      </c>
    </row>
    <row r="3136" spans="1:6" x14ac:dyDescent="0.2">
      <c r="A3136">
        <v>14</v>
      </c>
      <c r="E3136" t="str">
        <f t="shared" si="115"/>
        <v>O</v>
      </c>
      <c r="F3136" t="str">
        <f t="shared" si="116"/>
        <v>14O</v>
      </c>
    </row>
    <row r="3137" spans="1:6" x14ac:dyDescent="0.2">
      <c r="A3137">
        <v>15</v>
      </c>
      <c r="E3137" t="str">
        <f t="shared" si="115"/>
        <v>P</v>
      </c>
      <c r="F3137" t="str">
        <f t="shared" si="116"/>
        <v>15P</v>
      </c>
    </row>
    <row r="3138" spans="1:6" x14ac:dyDescent="0.2">
      <c r="A3138">
        <v>16</v>
      </c>
      <c r="E3138" t="str">
        <f t="shared" si="115"/>
        <v>Q</v>
      </c>
      <c r="F3138" t="str">
        <f t="shared" si="116"/>
        <v>16Q</v>
      </c>
    </row>
    <row r="3139" spans="1:6" x14ac:dyDescent="0.2">
      <c r="A3139">
        <v>17</v>
      </c>
      <c r="E3139" t="str">
        <f t="shared" si="115"/>
        <v>R</v>
      </c>
      <c r="F3139" t="str">
        <f t="shared" si="116"/>
        <v>17R</v>
      </c>
    </row>
    <row r="3140" spans="1:6" x14ac:dyDescent="0.2">
      <c r="A3140">
        <v>18</v>
      </c>
      <c r="E3140" t="str">
        <f t="shared" si="115"/>
        <v>S</v>
      </c>
      <c r="F3140" t="str">
        <f t="shared" si="116"/>
        <v>18S</v>
      </c>
    </row>
    <row r="3141" spans="1:6" x14ac:dyDescent="0.2">
      <c r="A3141">
        <v>19</v>
      </c>
      <c r="E3141" t="str">
        <f t="shared" si="115"/>
        <v>T</v>
      </c>
      <c r="F3141" t="str">
        <f t="shared" si="116"/>
        <v>19T</v>
      </c>
    </row>
    <row r="3142" spans="1:6" x14ac:dyDescent="0.2">
      <c r="A3142">
        <v>20</v>
      </c>
      <c r="E3142" t="str">
        <f t="shared" si="115"/>
        <v>U</v>
      </c>
      <c r="F3142" t="str">
        <f t="shared" si="116"/>
        <v>20U</v>
      </c>
    </row>
    <row r="3143" spans="1:6" x14ac:dyDescent="0.2">
      <c r="A3143">
        <v>21</v>
      </c>
      <c r="E3143" t="str">
        <f t="shared" si="115"/>
        <v>V</v>
      </c>
      <c r="F3143" t="str">
        <f t="shared" si="116"/>
        <v>21V</v>
      </c>
    </row>
    <row r="3144" spans="1:6" x14ac:dyDescent="0.2">
      <c r="A3144">
        <v>22</v>
      </c>
      <c r="E3144" t="str">
        <f t="shared" si="115"/>
        <v>W</v>
      </c>
      <c r="F3144" t="str">
        <f t="shared" si="116"/>
        <v>22W</v>
      </c>
    </row>
    <row r="3145" spans="1:6" x14ac:dyDescent="0.2">
      <c r="A3145">
        <v>23</v>
      </c>
      <c r="E3145" t="str">
        <f t="shared" si="115"/>
        <v>X</v>
      </c>
      <c r="F3145" t="str">
        <f t="shared" si="116"/>
        <v>23X</v>
      </c>
    </row>
    <row r="3146" spans="1:6" x14ac:dyDescent="0.2">
      <c r="A3146">
        <v>24</v>
      </c>
      <c r="E3146" t="str">
        <f t="shared" si="115"/>
        <v>Y</v>
      </c>
      <c r="F3146" t="str">
        <f t="shared" si="116"/>
        <v>24Y</v>
      </c>
    </row>
    <row r="3147" spans="1:6" x14ac:dyDescent="0.2">
      <c r="A3147">
        <v>25</v>
      </c>
      <c r="E3147" t="str">
        <f t="shared" si="115"/>
        <v>Z</v>
      </c>
      <c r="F3147" t="str">
        <f t="shared" si="116"/>
        <v>25Z</v>
      </c>
    </row>
    <row r="3148" spans="1:6" x14ac:dyDescent="0.2">
      <c r="A3148">
        <v>0</v>
      </c>
      <c r="E3148" t="str">
        <f t="shared" si="115"/>
        <v>A</v>
      </c>
      <c r="F3148" t="str">
        <f t="shared" si="116"/>
        <v>0A</v>
      </c>
    </row>
    <row r="3149" spans="1:6" x14ac:dyDescent="0.2">
      <c r="A3149">
        <v>1</v>
      </c>
      <c r="E3149" t="str">
        <f t="shared" si="115"/>
        <v>B</v>
      </c>
      <c r="F3149" t="str">
        <f t="shared" si="116"/>
        <v>1B</v>
      </c>
    </row>
    <row r="3150" spans="1:6" x14ac:dyDescent="0.2">
      <c r="A3150">
        <v>2</v>
      </c>
      <c r="E3150" t="str">
        <f t="shared" si="115"/>
        <v>C</v>
      </c>
      <c r="F3150" t="str">
        <f t="shared" si="116"/>
        <v>2C</v>
      </c>
    </row>
    <row r="3151" spans="1:6" x14ac:dyDescent="0.2">
      <c r="A3151">
        <v>3</v>
      </c>
      <c r="E3151" t="str">
        <f t="shared" si="115"/>
        <v>D</v>
      </c>
      <c r="F3151" t="str">
        <f t="shared" si="116"/>
        <v>3D</v>
      </c>
    </row>
    <row r="3152" spans="1:6" x14ac:dyDescent="0.2">
      <c r="A3152">
        <v>4</v>
      </c>
      <c r="E3152" t="str">
        <f t="shared" si="115"/>
        <v>E</v>
      </c>
      <c r="F3152" t="str">
        <f t="shared" si="116"/>
        <v>4E</v>
      </c>
    </row>
    <row r="3153" spans="1:6" x14ac:dyDescent="0.2">
      <c r="A3153">
        <v>5</v>
      </c>
      <c r="E3153" t="str">
        <f t="shared" si="115"/>
        <v>F</v>
      </c>
      <c r="F3153" t="str">
        <f t="shared" si="116"/>
        <v>5F</v>
      </c>
    </row>
    <row r="3154" spans="1:6" x14ac:dyDescent="0.2">
      <c r="A3154">
        <v>6</v>
      </c>
      <c r="E3154" t="str">
        <f t="shared" si="115"/>
        <v>G</v>
      </c>
      <c r="F3154" t="str">
        <f t="shared" si="116"/>
        <v>6G</v>
      </c>
    </row>
    <row r="3155" spans="1:6" x14ac:dyDescent="0.2">
      <c r="A3155">
        <v>7</v>
      </c>
      <c r="E3155" t="str">
        <f t="shared" si="115"/>
        <v>H</v>
      </c>
      <c r="F3155" t="str">
        <f t="shared" si="116"/>
        <v>7H</v>
      </c>
    </row>
    <row r="3156" spans="1:6" x14ac:dyDescent="0.2">
      <c r="A3156">
        <v>8</v>
      </c>
      <c r="E3156" t="str">
        <f t="shared" si="115"/>
        <v>I</v>
      </c>
      <c r="F3156" t="str">
        <f t="shared" si="116"/>
        <v>8I</v>
      </c>
    </row>
    <row r="3157" spans="1:6" x14ac:dyDescent="0.2">
      <c r="A3157">
        <v>9</v>
      </c>
      <c r="E3157" t="str">
        <f t="shared" si="115"/>
        <v>J</v>
      </c>
      <c r="F3157" t="str">
        <f t="shared" si="116"/>
        <v>9J</v>
      </c>
    </row>
    <row r="3158" spans="1:6" x14ac:dyDescent="0.2">
      <c r="A3158">
        <v>10</v>
      </c>
      <c r="E3158" t="str">
        <f t="shared" si="115"/>
        <v>K</v>
      </c>
      <c r="F3158" t="str">
        <f t="shared" si="116"/>
        <v>10K</v>
      </c>
    </row>
    <row r="3159" spans="1:6" x14ac:dyDescent="0.2">
      <c r="A3159">
        <v>11</v>
      </c>
      <c r="E3159" t="str">
        <f t="shared" ref="E3159:E3222" si="117">E3133</f>
        <v>L</v>
      </c>
      <c r="F3159" t="str">
        <f t="shared" si="116"/>
        <v>11L</v>
      </c>
    </row>
    <row r="3160" spans="1:6" x14ac:dyDescent="0.2">
      <c r="A3160">
        <v>12</v>
      </c>
      <c r="E3160" t="str">
        <f t="shared" si="117"/>
        <v>M</v>
      </c>
      <c r="F3160" t="str">
        <f t="shared" si="116"/>
        <v>12M</v>
      </c>
    </row>
    <row r="3161" spans="1:6" x14ac:dyDescent="0.2">
      <c r="A3161">
        <v>13</v>
      </c>
      <c r="E3161" t="str">
        <f t="shared" si="117"/>
        <v>N</v>
      </c>
      <c r="F3161" t="str">
        <f t="shared" si="116"/>
        <v>13N</v>
      </c>
    </row>
    <row r="3162" spans="1:6" x14ac:dyDescent="0.2">
      <c r="A3162">
        <v>14</v>
      </c>
      <c r="E3162" t="str">
        <f t="shared" si="117"/>
        <v>O</v>
      </c>
      <c r="F3162" t="str">
        <f t="shared" si="116"/>
        <v>14O</v>
      </c>
    </row>
    <row r="3163" spans="1:6" x14ac:dyDescent="0.2">
      <c r="A3163">
        <v>15</v>
      </c>
      <c r="E3163" t="str">
        <f t="shared" si="117"/>
        <v>P</v>
      </c>
      <c r="F3163" t="str">
        <f t="shared" si="116"/>
        <v>15P</v>
      </c>
    </row>
    <row r="3164" spans="1:6" x14ac:dyDescent="0.2">
      <c r="A3164">
        <v>16</v>
      </c>
      <c r="E3164" t="str">
        <f t="shared" si="117"/>
        <v>Q</v>
      </c>
      <c r="F3164" t="str">
        <f t="shared" si="116"/>
        <v>16Q</v>
      </c>
    </row>
    <row r="3165" spans="1:6" x14ac:dyDescent="0.2">
      <c r="A3165">
        <v>17</v>
      </c>
      <c r="E3165" t="str">
        <f t="shared" si="117"/>
        <v>R</v>
      </c>
      <c r="F3165" t="str">
        <f t="shared" si="116"/>
        <v>17R</v>
      </c>
    </row>
    <row r="3166" spans="1:6" x14ac:dyDescent="0.2">
      <c r="A3166">
        <v>18</v>
      </c>
      <c r="E3166" t="str">
        <f t="shared" si="117"/>
        <v>S</v>
      </c>
      <c r="F3166" t="str">
        <f t="shared" si="116"/>
        <v>18S</v>
      </c>
    </row>
    <row r="3167" spans="1:6" x14ac:dyDescent="0.2">
      <c r="A3167">
        <v>19</v>
      </c>
      <c r="E3167" t="str">
        <f t="shared" si="117"/>
        <v>T</v>
      </c>
      <c r="F3167" t="str">
        <f t="shared" si="116"/>
        <v>19T</v>
      </c>
    </row>
    <row r="3168" spans="1:6" x14ac:dyDescent="0.2">
      <c r="A3168">
        <v>20</v>
      </c>
      <c r="E3168" t="str">
        <f t="shared" si="117"/>
        <v>U</v>
      </c>
      <c r="F3168" t="str">
        <f t="shared" si="116"/>
        <v>20U</v>
      </c>
    </row>
    <row r="3169" spans="1:6" x14ac:dyDescent="0.2">
      <c r="A3169">
        <v>21</v>
      </c>
      <c r="E3169" t="str">
        <f t="shared" si="117"/>
        <v>V</v>
      </c>
      <c r="F3169" t="str">
        <f t="shared" si="116"/>
        <v>21V</v>
      </c>
    </row>
    <row r="3170" spans="1:6" x14ac:dyDescent="0.2">
      <c r="A3170">
        <v>22</v>
      </c>
      <c r="E3170" t="str">
        <f t="shared" si="117"/>
        <v>W</v>
      </c>
      <c r="F3170" t="str">
        <f t="shared" si="116"/>
        <v>22W</v>
      </c>
    </row>
    <row r="3171" spans="1:6" x14ac:dyDescent="0.2">
      <c r="A3171">
        <v>23</v>
      </c>
      <c r="E3171" t="str">
        <f t="shared" si="117"/>
        <v>X</v>
      </c>
      <c r="F3171" t="str">
        <f t="shared" si="116"/>
        <v>23X</v>
      </c>
    </row>
    <row r="3172" spans="1:6" x14ac:dyDescent="0.2">
      <c r="A3172">
        <v>24</v>
      </c>
      <c r="E3172" t="str">
        <f t="shared" si="117"/>
        <v>Y</v>
      </c>
      <c r="F3172" t="str">
        <f t="shared" si="116"/>
        <v>24Y</v>
      </c>
    </row>
    <row r="3173" spans="1:6" x14ac:dyDescent="0.2">
      <c r="A3173">
        <v>25</v>
      </c>
      <c r="E3173" t="str">
        <f t="shared" si="117"/>
        <v>Z</v>
      </c>
      <c r="F3173" t="str">
        <f t="shared" si="116"/>
        <v>25Z</v>
      </c>
    </row>
    <row r="3174" spans="1:6" x14ac:dyDescent="0.2">
      <c r="A3174">
        <v>0</v>
      </c>
      <c r="E3174" t="str">
        <f t="shared" si="117"/>
        <v>A</v>
      </c>
      <c r="F3174" t="str">
        <f t="shared" si="116"/>
        <v>0A</v>
      </c>
    </row>
    <row r="3175" spans="1:6" x14ac:dyDescent="0.2">
      <c r="A3175">
        <v>1</v>
      </c>
      <c r="E3175" t="str">
        <f t="shared" si="117"/>
        <v>B</v>
      </c>
      <c r="F3175" t="str">
        <f t="shared" si="116"/>
        <v>1B</v>
      </c>
    </row>
    <row r="3176" spans="1:6" x14ac:dyDescent="0.2">
      <c r="A3176">
        <v>2</v>
      </c>
      <c r="E3176" t="str">
        <f t="shared" si="117"/>
        <v>C</v>
      </c>
      <c r="F3176" t="str">
        <f t="shared" si="116"/>
        <v>2C</v>
      </c>
    </row>
    <row r="3177" spans="1:6" x14ac:dyDescent="0.2">
      <c r="A3177">
        <v>3</v>
      </c>
      <c r="E3177" t="str">
        <f t="shared" si="117"/>
        <v>D</v>
      </c>
      <c r="F3177" t="str">
        <f t="shared" si="116"/>
        <v>3D</v>
      </c>
    </row>
    <row r="3178" spans="1:6" x14ac:dyDescent="0.2">
      <c r="A3178">
        <v>4</v>
      </c>
      <c r="E3178" t="str">
        <f t="shared" si="117"/>
        <v>E</v>
      </c>
      <c r="F3178" t="str">
        <f t="shared" si="116"/>
        <v>4E</v>
      </c>
    </row>
    <row r="3179" spans="1:6" x14ac:dyDescent="0.2">
      <c r="A3179">
        <v>5</v>
      </c>
      <c r="E3179" t="str">
        <f t="shared" si="117"/>
        <v>F</v>
      </c>
      <c r="F3179" t="str">
        <f t="shared" si="116"/>
        <v>5F</v>
      </c>
    </row>
    <row r="3180" spans="1:6" x14ac:dyDescent="0.2">
      <c r="A3180">
        <v>6</v>
      </c>
      <c r="E3180" t="str">
        <f t="shared" si="117"/>
        <v>G</v>
      </c>
      <c r="F3180" t="str">
        <f t="shared" si="116"/>
        <v>6G</v>
      </c>
    </row>
    <row r="3181" spans="1:6" x14ac:dyDescent="0.2">
      <c r="A3181">
        <v>7</v>
      </c>
      <c r="E3181" t="str">
        <f t="shared" si="117"/>
        <v>H</v>
      </c>
      <c r="F3181" t="str">
        <f t="shared" si="116"/>
        <v>7H</v>
      </c>
    </row>
    <row r="3182" spans="1:6" x14ac:dyDescent="0.2">
      <c r="A3182">
        <v>8</v>
      </c>
      <c r="E3182" t="str">
        <f t="shared" si="117"/>
        <v>I</v>
      </c>
      <c r="F3182" t="str">
        <f t="shared" si="116"/>
        <v>8I</v>
      </c>
    </row>
    <row r="3183" spans="1:6" x14ac:dyDescent="0.2">
      <c r="A3183">
        <v>9</v>
      </c>
      <c r="E3183" t="str">
        <f t="shared" si="117"/>
        <v>J</v>
      </c>
      <c r="F3183" t="str">
        <f t="shared" si="116"/>
        <v>9J</v>
      </c>
    </row>
    <row r="3184" spans="1:6" x14ac:dyDescent="0.2">
      <c r="A3184">
        <v>10</v>
      </c>
      <c r="E3184" t="str">
        <f t="shared" si="117"/>
        <v>K</v>
      </c>
      <c r="F3184" t="str">
        <f t="shared" si="116"/>
        <v>10K</v>
      </c>
    </row>
    <row r="3185" spans="1:6" x14ac:dyDescent="0.2">
      <c r="A3185">
        <v>11</v>
      </c>
      <c r="E3185" t="str">
        <f t="shared" si="117"/>
        <v>L</v>
      </c>
      <c r="F3185" t="str">
        <f t="shared" si="116"/>
        <v>11L</v>
      </c>
    </row>
    <row r="3186" spans="1:6" x14ac:dyDescent="0.2">
      <c r="A3186">
        <v>12</v>
      </c>
      <c r="E3186" t="str">
        <f t="shared" si="117"/>
        <v>M</v>
      </c>
      <c r="F3186" t="str">
        <f t="shared" si="116"/>
        <v>12M</v>
      </c>
    </row>
    <row r="3187" spans="1:6" x14ac:dyDescent="0.2">
      <c r="A3187">
        <v>13</v>
      </c>
      <c r="E3187" t="str">
        <f t="shared" si="117"/>
        <v>N</v>
      </c>
      <c r="F3187" t="str">
        <f t="shared" si="116"/>
        <v>13N</v>
      </c>
    </row>
    <row r="3188" spans="1:6" x14ac:dyDescent="0.2">
      <c r="A3188">
        <v>14</v>
      </c>
      <c r="E3188" t="str">
        <f t="shared" si="117"/>
        <v>O</v>
      </c>
      <c r="F3188" t="str">
        <f t="shared" si="116"/>
        <v>14O</v>
      </c>
    </row>
    <row r="3189" spans="1:6" x14ac:dyDescent="0.2">
      <c r="A3189">
        <v>15</v>
      </c>
      <c r="E3189" t="str">
        <f t="shared" si="117"/>
        <v>P</v>
      </c>
      <c r="F3189" t="str">
        <f t="shared" si="116"/>
        <v>15P</v>
      </c>
    </row>
    <row r="3190" spans="1:6" x14ac:dyDescent="0.2">
      <c r="A3190">
        <v>16</v>
      </c>
      <c r="E3190" t="str">
        <f t="shared" si="117"/>
        <v>Q</v>
      </c>
      <c r="F3190" t="str">
        <f t="shared" si="116"/>
        <v>16Q</v>
      </c>
    </row>
    <row r="3191" spans="1:6" x14ac:dyDescent="0.2">
      <c r="A3191">
        <v>17</v>
      </c>
      <c r="E3191" t="str">
        <f t="shared" si="117"/>
        <v>R</v>
      </c>
      <c r="F3191" t="str">
        <f t="shared" si="116"/>
        <v>17R</v>
      </c>
    </row>
    <row r="3192" spans="1:6" x14ac:dyDescent="0.2">
      <c r="A3192">
        <v>18</v>
      </c>
      <c r="E3192" t="str">
        <f t="shared" si="117"/>
        <v>S</v>
      </c>
      <c r="F3192" t="str">
        <f t="shared" si="116"/>
        <v>18S</v>
      </c>
    </row>
    <row r="3193" spans="1:6" x14ac:dyDescent="0.2">
      <c r="A3193">
        <v>19</v>
      </c>
      <c r="E3193" t="str">
        <f t="shared" si="117"/>
        <v>T</v>
      </c>
      <c r="F3193" t="str">
        <f t="shared" si="116"/>
        <v>19T</v>
      </c>
    </row>
    <row r="3194" spans="1:6" x14ac:dyDescent="0.2">
      <c r="A3194">
        <v>20</v>
      </c>
      <c r="E3194" t="str">
        <f t="shared" si="117"/>
        <v>U</v>
      </c>
      <c r="F3194" t="str">
        <f t="shared" si="116"/>
        <v>20U</v>
      </c>
    </row>
    <row r="3195" spans="1:6" x14ac:dyDescent="0.2">
      <c r="A3195">
        <v>21</v>
      </c>
      <c r="E3195" t="str">
        <f t="shared" si="117"/>
        <v>V</v>
      </c>
      <c r="F3195" t="str">
        <f t="shared" si="116"/>
        <v>21V</v>
      </c>
    </row>
    <row r="3196" spans="1:6" x14ac:dyDescent="0.2">
      <c r="A3196">
        <v>22</v>
      </c>
      <c r="E3196" t="str">
        <f t="shared" si="117"/>
        <v>W</v>
      </c>
      <c r="F3196" t="str">
        <f t="shared" si="116"/>
        <v>22W</v>
      </c>
    </row>
    <row r="3197" spans="1:6" x14ac:dyDescent="0.2">
      <c r="A3197">
        <v>23</v>
      </c>
      <c r="E3197" t="str">
        <f t="shared" si="117"/>
        <v>X</v>
      </c>
      <c r="F3197" t="str">
        <f t="shared" ref="F3197:F3260" si="118">A3197&amp;C3197&amp;E3197</f>
        <v>23X</v>
      </c>
    </row>
    <row r="3198" spans="1:6" x14ac:dyDescent="0.2">
      <c r="A3198">
        <v>24</v>
      </c>
      <c r="E3198" t="str">
        <f t="shared" si="117"/>
        <v>Y</v>
      </c>
      <c r="F3198" t="str">
        <f t="shared" si="118"/>
        <v>24Y</v>
      </c>
    </row>
    <row r="3199" spans="1:6" x14ac:dyDescent="0.2">
      <c r="A3199">
        <v>25</v>
      </c>
      <c r="E3199" t="str">
        <f t="shared" si="117"/>
        <v>Z</v>
      </c>
      <c r="F3199" t="str">
        <f t="shared" si="118"/>
        <v>25Z</v>
      </c>
    </row>
    <row r="3200" spans="1:6" x14ac:dyDescent="0.2">
      <c r="A3200">
        <v>0</v>
      </c>
      <c r="E3200" t="str">
        <f t="shared" si="117"/>
        <v>A</v>
      </c>
      <c r="F3200" t="str">
        <f t="shared" si="118"/>
        <v>0A</v>
      </c>
    </row>
    <row r="3201" spans="1:6" x14ac:dyDescent="0.2">
      <c r="A3201">
        <v>1</v>
      </c>
      <c r="E3201" t="str">
        <f t="shared" si="117"/>
        <v>B</v>
      </c>
      <c r="F3201" t="str">
        <f t="shared" si="118"/>
        <v>1B</v>
      </c>
    </row>
    <row r="3202" spans="1:6" x14ac:dyDescent="0.2">
      <c r="A3202">
        <v>2</v>
      </c>
      <c r="E3202" t="str">
        <f t="shared" si="117"/>
        <v>C</v>
      </c>
      <c r="F3202" t="str">
        <f t="shared" si="118"/>
        <v>2C</v>
      </c>
    </row>
    <row r="3203" spans="1:6" x14ac:dyDescent="0.2">
      <c r="A3203">
        <v>3</v>
      </c>
      <c r="E3203" t="str">
        <f t="shared" si="117"/>
        <v>D</v>
      </c>
      <c r="F3203" t="str">
        <f t="shared" si="118"/>
        <v>3D</v>
      </c>
    </row>
    <row r="3204" spans="1:6" x14ac:dyDescent="0.2">
      <c r="A3204">
        <v>4</v>
      </c>
      <c r="E3204" t="str">
        <f t="shared" si="117"/>
        <v>E</v>
      </c>
      <c r="F3204" t="str">
        <f t="shared" si="118"/>
        <v>4E</v>
      </c>
    </row>
    <row r="3205" spans="1:6" x14ac:dyDescent="0.2">
      <c r="A3205">
        <v>5</v>
      </c>
      <c r="E3205" t="str">
        <f t="shared" si="117"/>
        <v>F</v>
      </c>
      <c r="F3205" t="str">
        <f t="shared" si="118"/>
        <v>5F</v>
      </c>
    </row>
    <row r="3206" spans="1:6" x14ac:dyDescent="0.2">
      <c r="A3206">
        <v>6</v>
      </c>
      <c r="E3206" t="str">
        <f t="shared" si="117"/>
        <v>G</v>
      </c>
      <c r="F3206" t="str">
        <f t="shared" si="118"/>
        <v>6G</v>
      </c>
    </row>
    <row r="3207" spans="1:6" x14ac:dyDescent="0.2">
      <c r="A3207">
        <v>7</v>
      </c>
      <c r="E3207" t="str">
        <f t="shared" si="117"/>
        <v>H</v>
      </c>
      <c r="F3207" t="str">
        <f t="shared" si="118"/>
        <v>7H</v>
      </c>
    </row>
    <row r="3208" spans="1:6" x14ac:dyDescent="0.2">
      <c r="A3208">
        <v>8</v>
      </c>
      <c r="E3208" t="str">
        <f t="shared" si="117"/>
        <v>I</v>
      </c>
      <c r="F3208" t="str">
        <f t="shared" si="118"/>
        <v>8I</v>
      </c>
    </row>
    <row r="3209" spans="1:6" x14ac:dyDescent="0.2">
      <c r="A3209">
        <v>9</v>
      </c>
      <c r="E3209" t="str">
        <f t="shared" si="117"/>
        <v>J</v>
      </c>
      <c r="F3209" t="str">
        <f t="shared" si="118"/>
        <v>9J</v>
      </c>
    </row>
    <row r="3210" spans="1:6" x14ac:dyDescent="0.2">
      <c r="A3210">
        <v>10</v>
      </c>
      <c r="E3210" t="str">
        <f t="shared" si="117"/>
        <v>K</v>
      </c>
      <c r="F3210" t="str">
        <f t="shared" si="118"/>
        <v>10K</v>
      </c>
    </row>
    <row r="3211" spans="1:6" x14ac:dyDescent="0.2">
      <c r="A3211">
        <v>11</v>
      </c>
      <c r="E3211" t="str">
        <f t="shared" si="117"/>
        <v>L</v>
      </c>
      <c r="F3211" t="str">
        <f t="shared" si="118"/>
        <v>11L</v>
      </c>
    </row>
    <row r="3212" spans="1:6" x14ac:dyDescent="0.2">
      <c r="A3212">
        <v>12</v>
      </c>
      <c r="E3212" t="str">
        <f t="shared" si="117"/>
        <v>M</v>
      </c>
      <c r="F3212" t="str">
        <f t="shared" si="118"/>
        <v>12M</v>
      </c>
    </row>
    <row r="3213" spans="1:6" x14ac:dyDescent="0.2">
      <c r="A3213">
        <v>13</v>
      </c>
      <c r="E3213" t="str">
        <f t="shared" si="117"/>
        <v>N</v>
      </c>
      <c r="F3213" t="str">
        <f t="shared" si="118"/>
        <v>13N</v>
      </c>
    </row>
    <row r="3214" spans="1:6" x14ac:dyDescent="0.2">
      <c r="A3214">
        <v>14</v>
      </c>
      <c r="E3214" t="str">
        <f t="shared" si="117"/>
        <v>O</v>
      </c>
      <c r="F3214" t="str">
        <f t="shared" si="118"/>
        <v>14O</v>
      </c>
    </row>
    <row r="3215" spans="1:6" x14ac:dyDescent="0.2">
      <c r="A3215">
        <v>15</v>
      </c>
      <c r="E3215" t="str">
        <f t="shared" si="117"/>
        <v>P</v>
      </c>
      <c r="F3215" t="str">
        <f t="shared" si="118"/>
        <v>15P</v>
      </c>
    </row>
    <row r="3216" spans="1:6" x14ac:dyDescent="0.2">
      <c r="A3216">
        <v>16</v>
      </c>
      <c r="E3216" t="str">
        <f t="shared" si="117"/>
        <v>Q</v>
      </c>
      <c r="F3216" t="str">
        <f t="shared" si="118"/>
        <v>16Q</v>
      </c>
    </row>
    <row r="3217" spans="1:6" x14ac:dyDescent="0.2">
      <c r="A3217">
        <v>17</v>
      </c>
      <c r="E3217" t="str">
        <f t="shared" si="117"/>
        <v>R</v>
      </c>
      <c r="F3217" t="str">
        <f t="shared" si="118"/>
        <v>17R</v>
      </c>
    </row>
    <row r="3218" spans="1:6" x14ac:dyDescent="0.2">
      <c r="A3218">
        <v>18</v>
      </c>
      <c r="E3218" t="str">
        <f t="shared" si="117"/>
        <v>S</v>
      </c>
      <c r="F3218" t="str">
        <f t="shared" si="118"/>
        <v>18S</v>
      </c>
    </row>
    <row r="3219" spans="1:6" x14ac:dyDescent="0.2">
      <c r="A3219">
        <v>19</v>
      </c>
      <c r="E3219" t="str">
        <f t="shared" si="117"/>
        <v>T</v>
      </c>
      <c r="F3219" t="str">
        <f t="shared" si="118"/>
        <v>19T</v>
      </c>
    </row>
    <row r="3220" spans="1:6" x14ac:dyDescent="0.2">
      <c r="A3220">
        <v>20</v>
      </c>
      <c r="E3220" t="str">
        <f t="shared" si="117"/>
        <v>U</v>
      </c>
      <c r="F3220" t="str">
        <f t="shared" si="118"/>
        <v>20U</v>
      </c>
    </row>
    <row r="3221" spans="1:6" x14ac:dyDescent="0.2">
      <c r="A3221">
        <v>21</v>
      </c>
      <c r="E3221" t="str">
        <f t="shared" si="117"/>
        <v>V</v>
      </c>
      <c r="F3221" t="str">
        <f t="shared" si="118"/>
        <v>21V</v>
      </c>
    </row>
    <row r="3222" spans="1:6" x14ac:dyDescent="0.2">
      <c r="A3222">
        <v>22</v>
      </c>
      <c r="E3222" t="str">
        <f t="shared" si="117"/>
        <v>W</v>
      </c>
      <c r="F3222" t="str">
        <f t="shared" si="118"/>
        <v>22W</v>
      </c>
    </row>
    <row r="3223" spans="1:6" x14ac:dyDescent="0.2">
      <c r="A3223">
        <v>23</v>
      </c>
      <c r="E3223" t="str">
        <f t="shared" ref="E3223:E3286" si="119">E3197</f>
        <v>X</v>
      </c>
      <c r="F3223" t="str">
        <f t="shared" si="118"/>
        <v>23X</v>
      </c>
    </row>
    <row r="3224" spans="1:6" x14ac:dyDescent="0.2">
      <c r="A3224">
        <v>24</v>
      </c>
      <c r="E3224" t="str">
        <f t="shared" si="119"/>
        <v>Y</v>
      </c>
      <c r="F3224" t="str">
        <f t="shared" si="118"/>
        <v>24Y</v>
      </c>
    </row>
    <row r="3225" spans="1:6" x14ac:dyDescent="0.2">
      <c r="A3225">
        <v>25</v>
      </c>
      <c r="E3225" t="str">
        <f t="shared" si="119"/>
        <v>Z</v>
      </c>
      <c r="F3225" t="str">
        <f t="shared" si="118"/>
        <v>25Z</v>
      </c>
    </row>
    <row r="3226" spans="1:6" x14ac:dyDescent="0.2">
      <c r="A3226">
        <v>0</v>
      </c>
      <c r="E3226" t="str">
        <f t="shared" si="119"/>
        <v>A</v>
      </c>
      <c r="F3226" t="str">
        <f t="shared" si="118"/>
        <v>0A</v>
      </c>
    </row>
    <row r="3227" spans="1:6" x14ac:dyDescent="0.2">
      <c r="A3227">
        <v>1</v>
      </c>
      <c r="E3227" t="str">
        <f t="shared" si="119"/>
        <v>B</v>
      </c>
      <c r="F3227" t="str">
        <f t="shared" si="118"/>
        <v>1B</v>
      </c>
    </row>
    <row r="3228" spans="1:6" x14ac:dyDescent="0.2">
      <c r="A3228">
        <v>2</v>
      </c>
      <c r="E3228" t="str">
        <f t="shared" si="119"/>
        <v>C</v>
      </c>
      <c r="F3228" t="str">
        <f t="shared" si="118"/>
        <v>2C</v>
      </c>
    </row>
    <row r="3229" spans="1:6" x14ac:dyDescent="0.2">
      <c r="A3229">
        <v>3</v>
      </c>
      <c r="E3229" t="str">
        <f t="shared" si="119"/>
        <v>D</v>
      </c>
      <c r="F3229" t="str">
        <f t="shared" si="118"/>
        <v>3D</v>
      </c>
    </row>
    <row r="3230" spans="1:6" x14ac:dyDescent="0.2">
      <c r="A3230">
        <v>4</v>
      </c>
      <c r="E3230" t="str">
        <f t="shared" si="119"/>
        <v>E</v>
      </c>
      <c r="F3230" t="str">
        <f t="shared" si="118"/>
        <v>4E</v>
      </c>
    </row>
    <row r="3231" spans="1:6" x14ac:dyDescent="0.2">
      <c r="A3231">
        <v>5</v>
      </c>
      <c r="E3231" t="str">
        <f t="shared" si="119"/>
        <v>F</v>
      </c>
      <c r="F3231" t="str">
        <f t="shared" si="118"/>
        <v>5F</v>
      </c>
    </row>
    <row r="3232" spans="1:6" x14ac:dyDescent="0.2">
      <c r="A3232">
        <v>6</v>
      </c>
      <c r="E3232" t="str">
        <f t="shared" si="119"/>
        <v>G</v>
      </c>
      <c r="F3232" t="str">
        <f t="shared" si="118"/>
        <v>6G</v>
      </c>
    </row>
    <row r="3233" spans="1:6" x14ac:dyDescent="0.2">
      <c r="A3233">
        <v>7</v>
      </c>
      <c r="E3233" t="str">
        <f t="shared" si="119"/>
        <v>H</v>
      </c>
      <c r="F3233" t="str">
        <f t="shared" si="118"/>
        <v>7H</v>
      </c>
    </row>
    <row r="3234" spans="1:6" x14ac:dyDescent="0.2">
      <c r="A3234">
        <v>8</v>
      </c>
      <c r="E3234" t="str">
        <f t="shared" si="119"/>
        <v>I</v>
      </c>
      <c r="F3234" t="str">
        <f t="shared" si="118"/>
        <v>8I</v>
      </c>
    </row>
    <row r="3235" spans="1:6" x14ac:dyDescent="0.2">
      <c r="A3235">
        <v>9</v>
      </c>
      <c r="E3235" t="str">
        <f t="shared" si="119"/>
        <v>J</v>
      </c>
      <c r="F3235" t="str">
        <f t="shared" si="118"/>
        <v>9J</v>
      </c>
    </row>
    <row r="3236" spans="1:6" x14ac:dyDescent="0.2">
      <c r="A3236">
        <v>10</v>
      </c>
      <c r="E3236" t="str">
        <f t="shared" si="119"/>
        <v>K</v>
      </c>
      <c r="F3236" t="str">
        <f t="shared" si="118"/>
        <v>10K</v>
      </c>
    </row>
    <row r="3237" spans="1:6" x14ac:dyDescent="0.2">
      <c r="A3237">
        <v>11</v>
      </c>
      <c r="E3237" t="str">
        <f t="shared" si="119"/>
        <v>L</v>
      </c>
      <c r="F3237" t="str">
        <f t="shared" si="118"/>
        <v>11L</v>
      </c>
    </row>
    <row r="3238" spans="1:6" x14ac:dyDescent="0.2">
      <c r="A3238">
        <v>12</v>
      </c>
      <c r="E3238" t="str">
        <f t="shared" si="119"/>
        <v>M</v>
      </c>
      <c r="F3238" t="str">
        <f t="shared" si="118"/>
        <v>12M</v>
      </c>
    </row>
    <row r="3239" spans="1:6" x14ac:dyDescent="0.2">
      <c r="A3239">
        <v>13</v>
      </c>
      <c r="E3239" t="str">
        <f t="shared" si="119"/>
        <v>N</v>
      </c>
      <c r="F3239" t="str">
        <f t="shared" si="118"/>
        <v>13N</v>
      </c>
    </row>
    <row r="3240" spans="1:6" x14ac:dyDescent="0.2">
      <c r="A3240">
        <v>14</v>
      </c>
      <c r="E3240" t="str">
        <f t="shared" si="119"/>
        <v>O</v>
      </c>
      <c r="F3240" t="str">
        <f t="shared" si="118"/>
        <v>14O</v>
      </c>
    </row>
    <row r="3241" spans="1:6" x14ac:dyDescent="0.2">
      <c r="A3241">
        <v>15</v>
      </c>
      <c r="E3241" t="str">
        <f t="shared" si="119"/>
        <v>P</v>
      </c>
      <c r="F3241" t="str">
        <f t="shared" si="118"/>
        <v>15P</v>
      </c>
    </row>
    <row r="3242" spans="1:6" x14ac:dyDescent="0.2">
      <c r="A3242">
        <v>16</v>
      </c>
      <c r="E3242" t="str">
        <f t="shared" si="119"/>
        <v>Q</v>
      </c>
      <c r="F3242" t="str">
        <f t="shared" si="118"/>
        <v>16Q</v>
      </c>
    </row>
    <row r="3243" spans="1:6" x14ac:dyDescent="0.2">
      <c r="A3243">
        <v>17</v>
      </c>
      <c r="E3243" t="str">
        <f t="shared" si="119"/>
        <v>R</v>
      </c>
      <c r="F3243" t="str">
        <f t="shared" si="118"/>
        <v>17R</v>
      </c>
    </row>
    <row r="3244" spans="1:6" x14ac:dyDescent="0.2">
      <c r="A3244">
        <v>18</v>
      </c>
      <c r="E3244" t="str">
        <f t="shared" si="119"/>
        <v>S</v>
      </c>
      <c r="F3244" t="str">
        <f t="shared" si="118"/>
        <v>18S</v>
      </c>
    </row>
    <row r="3245" spans="1:6" x14ac:dyDescent="0.2">
      <c r="A3245">
        <v>19</v>
      </c>
      <c r="E3245" t="str">
        <f t="shared" si="119"/>
        <v>T</v>
      </c>
      <c r="F3245" t="str">
        <f t="shared" si="118"/>
        <v>19T</v>
      </c>
    </row>
    <row r="3246" spans="1:6" x14ac:dyDescent="0.2">
      <c r="A3246">
        <v>20</v>
      </c>
      <c r="E3246" t="str">
        <f t="shared" si="119"/>
        <v>U</v>
      </c>
      <c r="F3246" t="str">
        <f t="shared" si="118"/>
        <v>20U</v>
      </c>
    </row>
    <row r="3247" spans="1:6" x14ac:dyDescent="0.2">
      <c r="A3247">
        <v>21</v>
      </c>
      <c r="E3247" t="str">
        <f t="shared" si="119"/>
        <v>V</v>
      </c>
      <c r="F3247" t="str">
        <f t="shared" si="118"/>
        <v>21V</v>
      </c>
    </row>
    <row r="3248" spans="1:6" x14ac:dyDescent="0.2">
      <c r="A3248">
        <v>22</v>
      </c>
      <c r="E3248" t="str">
        <f t="shared" si="119"/>
        <v>W</v>
      </c>
      <c r="F3248" t="str">
        <f t="shared" si="118"/>
        <v>22W</v>
      </c>
    </row>
    <row r="3249" spans="1:6" x14ac:dyDescent="0.2">
      <c r="A3249">
        <v>23</v>
      </c>
      <c r="E3249" t="str">
        <f t="shared" si="119"/>
        <v>X</v>
      </c>
      <c r="F3249" t="str">
        <f t="shared" si="118"/>
        <v>23X</v>
      </c>
    </row>
    <row r="3250" spans="1:6" x14ac:dyDescent="0.2">
      <c r="A3250">
        <v>24</v>
      </c>
      <c r="E3250" t="str">
        <f t="shared" si="119"/>
        <v>Y</v>
      </c>
      <c r="F3250" t="str">
        <f t="shared" si="118"/>
        <v>24Y</v>
      </c>
    </row>
    <row r="3251" spans="1:6" x14ac:dyDescent="0.2">
      <c r="A3251">
        <v>25</v>
      </c>
      <c r="E3251" t="str">
        <f t="shared" si="119"/>
        <v>Z</v>
      </c>
      <c r="F3251" t="str">
        <f t="shared" si="118"/>
        <v>25Z</v>
      </c>
    </row>
    <row r="3252" spans="1:6" x14ac:dyDescent="0.2">
      <c r="A3252">
        <v>0</v>
      </c>
      <c r="E3252" t="str">
        <f t="shared" si="119"/>
        <v>A</v>
      </c>
      <c r="F3252" t="str">
        <f t="shared" si="118"/>
        <v>0A</v>
      </c>
    </row>
    <row r="3253" spans="1:6" x14ac:dyDescent="0.2">
      <c r="A3253">
        <v>1</v>
      </c>
      <c r="E3253" t="str">
        <f t="shared" si="119"/>
        <v>B</v>
      </c>
      <c r="F3253" t="str">
        <f t="shared" si="118"/>
        <v>1B</v>
      </c>
    </row>
    <row r="3254" spans="1:6" x14ac:dyDescent="0.2">
      <c r="A3254">
        <v>2</v>
      </c>
      <c r="E3254" t="str">
        <f t="shared" si="119"/>
        <v>C</v>
      </c>
      <c r="F3254" t="str">
        <f t="shared" si="118"/>
        <v>2C</v>
      </c>
    </row>
    <row r="3255" spans="1:6" x14ac:dyDescent="0.2">
      <c r="A3255">
        <v>3</v>
      </c>
      <c r="E3255" t="str">
        <f t="shared" si="119"/>
        <v>D</v>
      </c>
      <c r="F3255" t="str">
        <f t="shared" si="118"/>
        <v>3D</v>
      </c>
    </row>
    <row r="3256" spans="1:6" x14ac:dyDescent="0.2">
      <c r="A3256">
        <v>4</v>
      </c>
      <c r="E3256" t="str">
        <f t="shared" si="119"/>
        <v>E</v>
      </c>
      <c r="F3256" t="str">
        <f t="shared" si="118"/>
        <v>4E</v>
      </c>
    </row>
    <row r="3257" spans="1:6" x14ac:dyDescent="0.2">
      <c r="A3257">
        <v>5</v>
      </c>
      <c r="E3257" t="str">
        <f t="shared" si="119"/>
        <v>F</v>
      </c>
      <c r="F3257" t="str">
        <f t="shared" si="118"/>
        <v>5F</v>
      </c>
    </row>
    <row r="3258" spans="1:6" x14ac:dyDescent="0.2">
      <c r="A3258">
        <v>6</v>
      </c>
      <c r="E3258" t="str">
        <f t="shared" si="119"/>
        <v>G</v>
      </c>
      <c r="F3258" t="str">
        <f t="shared" si="118"/>
        <v>6G</v>
      </c>
    </row>
    <row r="3259" spans="1:6" x14ac:dyDescent="0.2">
      <c r="A3259">
        <v>7</v>
      </c>
      <c r="E3259" t="str">
        <f t="shared" si="119"/>
        <v>H</v>
      </c>
      <c r="F3259" t="str">
        <f t="shared" si="118"/>
        <v>7H</v>
      </c>
    </row>
    <row r="3260" spans="1:6" x14ac:dyDescent="0.2">
      <c r="A3260">
        <v>8</v>
      </c>
      <c r="E3260" t="str">
        <f t="shared" si="119"/>
        <v>I</v>
      </c>
      <c r="F3260" t="str">
        <f t="shared" si="118"/>
        <v>8I</v>
      </c>
    </row>
    <row r="3261" spans="1:6" x14ac:dyDescent="0.2">
      <c r="A3261">
        <v>9</v>
      </c>
      <c r="E3261" t="str">
        <f t="shared" si="119"/>
        <v>J</v>
      </c>
      <c r="F3261" t="str">
        <f t="shared" ref="F3261:F3324" si="120">A3261&amp;C3261&amp;E3261</f>
        <v>9J</v>
      </c>
    </row>
    <row r="3262" spans="1:6" x14ac:dyDescent="0.2">
      <c r="A3262">
        <v>10</v>
      </c>
      <c r="E3262" t="str">
        <f t="shared" si="119"/>
        <v>K</v>
      </c>
      <c r="F3262" t="str">
        <f t="shared" si="120"/>
        <v>10K</v>
      </c>
    </row>
    <row r="3263" spans="1:6" x14ac:dyDescent="0.2">
      <c r="A3263">
        <v>11</v>
      </c>
      <c r="E3263" t="str">
        <f t="shared" si="119"/>
        <v>L</v>
      </c>
      <c r="F3263" t="str">
        <f t="shared" si="120"/>
        <v>11L</v>
      </c>
    </row>
    <row r="3264" spans="1:6" x14ac:dyDescent="0.2">
      <c r="A3264">
        <v>12</v>
      </c>
      <c r="E3264" t="str">
        <f t="shared" si="119"/>
        <v>M</v>
      </c>
      <c r="F3264" t="str">
        <f t="shared" si="120"/>
        <v>12M</v>
      </c>
    </row>
    <row r="3265" spans="1:6" x14ac:dyDescent="0.2">
      <c r="A3265">
        <v>13</v>
      </c>
      <c r="E3265" t="str">
        <f t="shared" si="119"/>
        <v>N</v>
      </c>
      <c r="F3265" t="str">
        <f t="shared" si="120"/>
        <v>13N</v>
      </c>
    </row>
    <row r="3266" spans="1:6" x14ac:dyDescent="0.2">
      <c r="A3266">
        <v>14</v>
      </c>
      <c r="E3266" t="str">
        <f t="shared" si="119"/>
        <v>O</v>
      </c>
      <c r="F3266" t="str">
        <f t="shared" si="120"/>
        <v>14O</v>
      </c>
    </row>
    <row r="3267" spans="1:6" x14ac:dyDescent="0.2">
      <c r="A3267">
        <v>15</v>
      </c>
      <c r="E3267" t="str">
        <f t="shared" si="119"/>
        <v>P</v>
      </c>
      <c r="F3267" t="str">
        <f t="shared" si="120"/>
        <v>15P</v>
      </c>
    </row>
    <row r="3268" spans="1:6" x14ac:dyDescent="0.2">
      <c r="A3268">
        <v>16</v>
      </c>
      <c r="E3268" t="str">
        <f t="shared" si="119"/>
        <v>Q</v>
      </c>
      <c r="F3268" t="str">
        <f t="shared" si="120"/>
        <v>16Q</v>
      </c>
    </row>
    <row r="3269" spans="1:6" x14ac:dyDescent="0.2">
      <c r="A3269">
        <v>17</v>
      </c>
      <c r="E3269" t="str">
        <f t="shared" si="119"/>
        <v>R</v>
      </c>
      <c r="F3269" t="str">
        <f t="shared" si="120"/>
        <v>17R</v>
      </c>
    </row>
    <row r="3270" spans="1:6" x14ac:dyDescent="0.2">
      <c r="A3270">
        <v>18</v>
      </c>
      <c r="E3270" t="str">
        <f t="shared" si="119"/>
        <v>S</v>
      </c>
      <c r="F3270" t="str">
        <f t="shared" si="120"/>
        <v>18S</v>
      </c>
    </row>
    <row r="3271" spans="1:6" x14ac:dyDescent="0.2">
      <c r="A3271">
        <v>19</v>
      </c>
      <c r="E3271" t="str">
        <f t="shared" si="119"/>
        <v>T</v>
      </c>
      <c r="F3271" t="str">
        <f t="shared" si="120"/>
        <v>19T</v>
      </c>
    </row>
    <row r="3272" spans="1:6" x14ac:dyDescent="0.2">
      <c r="A3272">
        <v>20</v>
      </c>
      <c r="E3272" t="str">
        <f t="shared" si="119"/>
        <v>U</v>
      </c>
      <c r="F3272" t="str">
        <f t="shared" si="120"/>
        <v>20U</v>
      </c>
    </row>
    <row r="3273" spans="1:6" x14ac:dyDescent="0.2">
      <c r="A3273">
        <v>21</v>
      </c>
      <c r="E3273" t="str">
        <f t="shared" si="119"/>
        <v>V</v>
      </c>
      <c r="F3273" t="str">
        <f t="shared" si="120"/>
        <v>21V</v>
      </c>
    </row>
    <row r="3274" spans="1:6" x14ac:dyDescent="0.2">
      <c r="A3274">
        <v>22</v>
      </c>
      <c r="E3274" t="str">
        <f t="shared" si="119"/>
        <v>W</v>
      </c>
      <c r="F3274" t="str">
        <f t="shared" si="120"/>
        <v>22W</v>
      </c>
    </row>
    <row r="3275" spans="1:6" x14ac:dyDescent="0.2">
      <c r="A3275">
        <v>23</v>
      </c>
      <c r="E3275" t="str">
        <f t="shared" si="119"/>
        <v>X</v>
      </c>
      <c r="F3275" t="str">
        <f t="shared" si="120"/>
        <v>23X</v>
      </c>
    </row>
    <row r="3276" spans="1:6" x14ac:dyDescent="0.2">
      <c r="A3276">
        <v>24</v>
      </c>
      <c r="E3276" t="str">
        <f t="shared" si="119"/>
        <v>Y</v>
      </c>
      <c r="F3276" t="str">
        <f t="shared" si="120"/>
        <v>24Y</v>
      </c>
    </row>
    <row r="3277" spans="1:6" x14ac:dyDescent="0.2">
      <c r="A3277">
        <v>25</v>
      </c>
      <c r="E3277" t="str">
        <f t="shared" si="119"/>
        <v>Z</v>
      </c>
      <c r="F3277" t="str">
        <f t="shared" si="120"/>
        <v>25Z</v>
      </c>
    </row>
    <row r="3278" spans="1:6" x14ac:dyDescent="0.2">
      <c r="A3278">
        <v>0</v>
      </c>
      <c r="E3278" t="str">
        <f t="shared" si="119"/>
        <v>A</v>
      </c>
      <c r="F3278" t="str">
        <f t="shared" si="120"/>
        <v>0A</v>
      </c>
    </row>
    <row r="3279" spans="1:6" x14ac:dyDescent="0.2">
      <c r="A3279">
        <v>1</v>
      </c>
      <c r="E3279" t="str">
        <f t="shared" si="119"/>
        <v>B</v>
      </c>
      <c r="F3279" t="str">
        <f t="shared" si="120"/>
        <v>1B</v>
      </c>
    </row>
    <row r="3280" spans="1:6" x14ac:dyDescent="0.2">
      <c r="A3280">
        <v>2</v>
      </c>
      <c r="E3280" t="str">
        <f t="shared" si="119"/>
        <v>C</v>
      </c>
      <c r="F3280" t="str">
        <f t="shared" si="120"/>
        <v>2C</v>
      </c>
    </row>
    <row r="3281" spans="1:6" x14ac:dyDescent="0.2">
      <c r="A3281">
        <v>3</v>
      </c>
      <c r="E3281" t="str">
        <f t="shared" si="119"/>
        <v>D</v>
      </c>
      <c r="F3281" t="str">
        <f t="shared" si="120"/>
        <v>3D</v>
      </c>
    </row>
    <row r="3282" spans="1:6" x14ac:dyDescent="0.2">
      <c r="A3282">
        <v>4</v>
      </c>
      <c r="E3282" t="str">
        <f t="shared" si="119"/>
        <v>E</v>
      </c>
      <c r="F3282" t="str">
        <f t="shared" si="120"/>
        <v>4E</v>
      </c>
    </row>
    <row r="3283" spans="1:6" x14ac:dyDescent="0.2">
      <c r="A3283">
        <v>5</v>
      </c>
      <c r="E3283" t="str">
        <f t="shared" si="119"/>
        <v>F</v>
      </c>
      <c r="F3283" t="str">
        <f t="shared" si="120"/>
        <v>5F</v>
      </c>
    </row>
    <row r="3284" spans="1:6" x14ac:dyDescent="0.2">
      <c r="A3284">
        <v>6</v>
      </c>
      <c r="E3284" t="str">
        <f t="shared" si="119"/>
        <v>G</v>
      </c>
      <c r="F3284" t="str">
        <f t="shared" si="120"/>
        <v>6G</v>
      </c>
    </row>
    <row r="3285" spans="1:6" x14ac:dyDescent="0.2">
      <c r="A3285">
        <v>7</v>
      </c>
      <c r="E3285" t="str">
        <f t="shared" si="119"/>
        <v>H</v>
      </c>
      <c r="F3285" t="str">
        <f t="shared" si="120"/>
        <v>7H</v>
      </c>
    </row>
    <row r="3286" spans="1:6" x14ac:dyDescent="0.2">
      <c r="A3286">
        <v>8</v>
      </c>
      <c r="E3286" t="str">
        <f t="shared" si="119"/>
        <v>I</v>
      </c>
      <c r="F3286" t="str">
        <f t="shared" si="120"/>
        <v>8I</v>
      </c>
    </row>
    <row r="3287" spans="1:6" x14ac:dyDescent="0.2">
      <c r="A3287">
        <v>9</v>
      </c>
      <c r="E3287" t="str">
        <f t="shared" ref="E3287:E3350" si="121">E3261</f>
        <v>J</v>
      </c>
      <c r="F3287" t="str">
        <f t="shared" si="120"/>
        <v>9J</v>
      </c>
    </row>
    <row r="3288" spans="1:6" x14ac:dyDescent="0.2">
      <c r="A3288">
        <v>10</v>
      </c>
      <c r="E3288" t="str">
        <f t="shared" si="121"/>
        <v>K</v>
      </c>
      <c r="F3288" t="str">
        <f t="shared" si="120"/>
        <v>10K</v>
      </c>
    </row>
    <row r="3289" spans="1:6" x14ac:dyDescent="0.2">
      <c r="A3289">
        <v>11</v>
      </c>
      <c r="E3289" t="str">
        <f t="shared" si="121"/>
        <v>L</v>
      </c>
      <c r="F3289" t="str">
        <f t="shared" si="120"/>
        <v>11L</v>
      </c>
    </row>
    <row r="3290" spans="1:6" x14ac:dyDescent="0.2">
      <c r="A3290">
        <v>12</v>
      </c>
      <c r="E3290" t="str">
        <f t="shared" si="121"/>
        <v>M</v>
      </c>
      <c r="F3290" t="str">
        <f t="shared" si="120"/>
        <v>12M</v>
      </c>
    </row>
    <row r="3291" spans="1:6" x14ac:dyDescent="0.2">
      <c r="A3291">
        <v>13</v>
      </c>
      <c r="E3291" t="str">
        <f t="shared" si="121"/>
        <v>N</v>
      </c>
      <c r="F3291" t="str">
        <f t="shared" si="120"/>
        <v>13N</v>
      </c>
    </row>
    <row r="3292" spans="1:6" x14ac:dyDescent="0.2">
      <c r="A3292">
        <v>14</v>
      </c>
      <c r="E3292" t="str">
        <f t="shared" si="121"/>
        <v>O</v>
      </c>
      <c r="F3292" t="str">
        <f t="shared" si="120"/>
        <v>14O</v>
      </c>
    </row>
    <row r="3293" spans="1:6" x14ac:dyDescent="0.2">
      <c r="A3293">
        <v>15</v>
      </c>
      <c r="E3293" t="str">
        <f t="shared" si="121"/>
        <v>P</v>
      </c>
      <c r="F3293" t="str">
        <f t="shared" si="120"/>
        <v>15P</v>
      </c>
    </row>
    <row r="3294" spans="1:6" x14ac:dyDescent="0.2">
      <c r="A3294">
        <v>16</v>
      </c>
      <c r="E3294" t="str">
        <f t="shared" si="121"/>
        <v>Q</v>
      </c>
      <c r="F3294" t="str">
        <f t="shared" si="120"/>
        <v>16Q</v>
      </c>
    </row>
    <row r="3295" spans="1:6" x14ac:dyDescent="0.2">
      <c r="A3295">
        <v>17</v>
      </c>
      <c r="E3295" t="str">
        <f t="shared" si="121"/>
        <v>R</v>
      </c>
      <c r="F3295" t="str">
        <f t="shared" si="120"/>
        <v>17R</v>
      </c>
    </row>
    <row r="3296" spans="1:6" x14ac:dyDescent="0.2">
      <c r="A3296">
        <v>18</v>
      </c>
      <c r="E3296" t="str">
        <f t="shared" si="121"/>
        <v>S</v>
      </c>
      <c r="F3296" t="str">
        <f t="shared" si="120"/>
        <v>18S</v>
      </c>
    </row>
    <row r="3297" spans="1:6" x14ac:dyDescent="0.2">
      <c r="A3297">
        <v>19</v>
      </c>
      <c r="E3297" t="str">
        <f t="shared" si="121"/>
        <v>T</v>
      </c>
      <c r="F3297" t="str">
        <f t="shared" si="120"/>
        <v>19T</v>
      </c>
    </row>
    <row r="3298" spans="1:6" x14ac:dyDescent="0.2">
      <c r="A3298">
        <v>20</v>
      </c>
      <c r="E3298" t="str">
        <f t="shared" si="121"/>
        <v>U</v>
      </c>
      <c r="F3298" t="str">
        <f t="shared" si="120"/>
        <v>20U</v>
      </c>
    </row>
    <row r="3299" spans="1:6" x14ac:dyDescent="0.2">
      <c r="A3299">
        <v>21</v>
      </c>
      <c r="E3299" t="str">
        <f t="shared" si="121"/>
        <v>V</v>
      </c>
      <c r="F3299" t="str">
        <f t="shared" si="120"/>
        <v>21V</v>
      </c>
    </row>
    <row r="3300" spans="1:6" x14ac:dyDescent="0.2">
      <c r="A3300">
        <v>22</v>
      </c>
      <c r="E3300" t="str">
        <f t="shared" si="121"/>
        <v>W</v>
      </c>
      <c r="F3300" t="str">
        <f t="shared" si="120"/>
        <v>22W</v>
      </c>
    </row>
    <row r="3301" spans="1:6" x14ac:dyDescent="0.2">
      <c r="A3301">
        <v>23</v>
      </c>
      <c r="E3301" t="str">
        <f t="shared" si="121"/>
        <v>X</v>
      </c>
      <c r="F3301" t="str">
        <f t="shared" si="120"/>
        <v>23X</v>
      </c>
    </row>
    <row r="3302" spans="1:6" x14ac:dyDescent="0.2">
      <c r="A3302">
        <v>24</v>
      </c>
      <c r="E3302" t="str">
        <f t="shared" si="121"/>
        <v>Y</v>
      </c>
      <c r="F3302" t="str">
        <f t="shared" si="120"/>
        <v>24Y</v>
      </c>
    </row>
    <row r="3303" spans="1:6" x14ac:dyDescent="0.2">
      <c r="A3303">
        <v>25</v>
      </c>
      <c r="E3303" t="str">
        <f t="shared" si="121"/>
        <v>Z</v>
      </c>
      <c r="F3303" t="str">
        <f t="shared" si="120"/>
        <v>25Z</v>
      </c>
    </row>
    <row r="3304" spans="1:6" x14ac:dyDescent="0.2">
      <c r="A3304">
        <v>0</v>
      </c>
      <c r="E3304" t="str">
        <f t="shared" si="121"/>
        <v>A</v>
      </c>
      <c r="F3304" t="str">
        <f t="shared" si="120"/>
        <v>0A</v>
      </c>
    </row>
    <row r="3305" spans="1:6" x14ac:dyDescent="0.2">
      <c r="A3305">
        <v>1</v>
      </c>
      <c r="E3305" t="str">
        <f t="shared" si="121"/>
        <v>B</v>
      </c>
      <c r="F3305" t="str">
        <f t="shared" si="120"/>
        <v>1B</v>
      </c>
    </row>
    <row r="3306" spans="1:6" x14ac:dyDescent="0.2">
      <c r="A3306">
        <v>2</v>
      </c>
      <c r="E3306" t="str">
        <f t="shared" si="121"/>
        <v>C</v>
      </c>
      <c r="F3306" t="str">
        <f t="shared" si="120"/>
        <v>2C</v>
      </c>
    </row>
    <row r="3307" spans="1:6" x14ac:dyDescent="0.2">
      <c r="A3307">
        <v>3</v>
      </c>
      <c r="E3307" t="str">
        <f t="shared" si="121"/>
        <v>D</v>
      </c>
      <c r="F3307" t="str">
        <f t="shared" si="120"/>
        <v>3D</v>
      </c>
    </row>
    <row r="3308" spans="1:6" x14ac:dyDescent="0.2">
      <c r="A3308">
        <v>4</v>
      </c>
      <c r="E3308" t="str">
        <f t="shared" si="121"/>
        <v>E</v>
      </c>
      <c r="F3308" t="str">
        <f t="shared" si="120"/>
        <v>4E</v>
      </c>
    </row>
    <row r="3309" spans="1:6" x14ac:dyDescent="0.2">
      <c r="A3309">
        <v>5</v>
      </c>
      <c r="E3309" t="str">
        <f t="shared" si="121"/>
        <v>F</v>
      </c>
      <c r="F3309" t="str">
        <f t="shared" si="120"/>
        <v>5F</v>
      </c>
    </row>
    <row r="3310" spans="1:6" x14ac:dyDescent="0.2">
      <c r="A3310">
        <v>6</v>
      </c>
      <c r="E3310" t="str">
        <f t="shared" si="121"/>
        <v>G</v>
      </c>
      <c r="F3310" t="str">
        <f t="shared" si="120"/>
        <v>6G</v>
      </c>
    </row>
    <row r="3311" spans="1:6" x14ac:dyDescent="0.2">
      <c r="A3311">
        <v>7</v>
      </c>
      <c r="E3311" t="str">
        <f t="shared" si="121"/>
        <v>H</v>
      </c>
      <c r="F3311" t="str">
        <f t="shared" si="120"/>
        <v>7H</v>
      </c>
    </row>
    <row r="3312" spans="1:6" x14ac:dyDescent="0.2">
      <c r="A3312">
        <v>8</v>
      </c>
      <c r="E3312" t="str">
        <f t="shared" si="121"/>
        <v>I</v>
      </c>
      <c r="F3312" t="str">
        <f t="shared" si="120"/>
        <v>8I</v>
      </c>
    </row>
    <row r="3313" spans="1:6" x14ac:dyDescent="0.2">
      <c r="A3313">
        <v>9</v>
      </c>
      <c r="E3313" t="str">
        <f t="shared" si="121"/>
        <v>J</v>
      </c>
      <c r="F3313" t="str">
        <f t="shared" si="120"/>
        <v>9J</v>
      </c>
    </row>
    <row r="3314" spans="1:6" x14ac:dyDescent="0.2">
      <c r="A3314">
        <v>10</v>
      </c>
      <c r="E3314" t="str">
        <f t="shared" si="121"/>
        <v>K</v>
      </c>
      <c r="F3314" t="str">
        <f t="shared" si="120"/>
        <v>10K</v>
      </c>
    </row>
    <row r="3315" spans="1:6" x14ac:dyDescent="0.2">
      <c r="A3315">
        <v>11</v>
      </c>
      <c r="E3315" t="str">
        <f t="shared" si="121"/>
        <v>L</v>
      </c>
      <c r="F3315" t="str">
        <f t="shared" si="120"/>
        <v>11L</v>
      </c>
    </row>
    <row r="3316" spans="1:6" x14ac:dyDescent="0.2">
      <c r="A3316">
        <v>12</v>
      </c>
      <c r="E3316" t="str">
        <f t="shared" si="121"/>
        <v>M</v>
      </c>
      <c r="F3316" t="str">
        <f t="shared" si="120"/>
        <v>12M</v>
      </c>
    </row>
    <row r="3317" spans="1:6" x14ac:dyDescent="0.2">
      <c r="A3317">
        <v>13</v>
      </c>
      <c r="E3317" t="str">
        <f t="shared" si="121"/>
        <v>N</v>
      </c>
      <c r="F3317" t="str">
        <f t="shared" si="120"/>
        <v>13N</v>
      </c>
    </row>
    <row r="3318" spans="1:6" x14ac:dyDescent="0.2">
      <c r="A3318">
        <v>14</v>
      </c>
      <c r="E3318" t="str">
        <f t="shared" si="121"/>
        <v>O</v>
      </c>
      <c r="F3318" t="str">
        <f t="shared" si="120"/>
        <v>14O</v>
      </c>
    </row>
    <row r="3319" spans="1:6" x14ac:dyDescent="0.2">
      <c r="A3319">
        <v>15</v>
      </c>
      <c r="E3319" t="str">
        <f t="shared" si="121"/>
        <v>P</v>
      </c>
      <c r="F3319" t="str">
        <f t="shared" si="120"/>
        <v>15P</v>
      </c>
    </row>
    <row r="3320" spans="1:6" x14ac:dyDescent="0.2">
      <c r="A3320">
        <v>16</v>
      </c>
      <c r="E3320" t="str">
        <f t="shared" si="121"/>
        <v>Q</v>
      </c>
      <c r="F3320" t="str">
        <f t="shared" si="120"/>
        <v>16Q</v>
      </c>
    </row>
    <row r="3321" spans="1:6" x14ac:dyDescent="0.2">
      <c r="A3321">
        <v>17</v>
      </c>
      <c r="E3321" t="str">
        <f t="shared" si="121"/>
        <v>R</v>
      </c>
      <c r="F3321" t="str">
        <f t="shared" si="120"/>
        <v>17R</v>
      </c>
    </row>
    <row r="3322" spans="1:6" x14ac:dyDescent="0.2">
      <c r="A3322">
        <v>18</v>
      </c>
      <c r="E3322" t="str">
        <f t="shared" si="121"/>
        <v>S</v>
      </c>
      <c r="F3322" t="str">
        <f t="shared" si="120"/>
        <v>18S</v>
      </c>
    </row>
    <row r="3323" spans="1:6" x14ac:dyDescent="0.2">
      <c r="A3323">
        <v>19</v>
      </c>
      <c r="E3323" t="str">
        <f t="shared" si="121"/>
        <v>T</v>
      </c>
      <c r="F3323" t="str">
        <f t="shared" si="120"/>
        <v>19T</v>
      </c>
    </row>
    <row r="3324" spans="1:6" x14ac:dyDescent="0.2">
      <c r="A3324">
        <v>20</v>
      </c>
      <c r="E3324" t="str">
        <f t="shared" si="121"/>
        <v>U</v>
      </c>
      <c r="F3324" t="str">
        <f t="shared" si="120"/>
        <v>20U</v>
      </c>
    </row>
    <row r="3325" spans="1:6" x14ac:dyDescent="0.2">
      <c r="A3325">
        <v>21</v>
      </c>
      <c r="E3325" t="str">
        <f t="shared" si="121"/>
        <v>V</v>
      </c>
      <c r="F3325" t="str">
        <f t="shared" ref="F3325:F3388" si="122">A3325&amp;C3325&amp;E3325</f>
        <v>21V</v>
      </c>
    </row>
    <row r="3326" spans="1:6" x14ac:dyDescent="0.2">
      <c r="A3326">
        <v>22</v>
      </c>
      <c r="E3326" t="str">
        <f t="shared" si="121"/>
        <v>W</v>
      </c>
      <c r="F3326" t="str">
        <f t="shared" si="122"/>
        <v>22W</v>
      </c>
    </row>
    <row r="3327" spans="1:6" x14ac:dyDescent="0.2">
      <c r="A3327">
        <v>23</v>
      </c>
      <c r="E3327" t="str">
        <f t="shared" si="121"/>
        <v>X</v>
      </c>
      <c r="F3327" t="str">
        <f t="shared" si="122"/>
        <v>23X</v>
      </c>
    </row>
    <row r="3328" spans="1:6" x14ac:dyDescent="0.2">
      <c r="A3328">
        <v>24</v>
      </c>
      <c r="E3328" t="str">
        <f t="shared" si="121"/>
        <v>Y</v>
      </c>
      <c r="F3328" t="str">
        <f t="shared" si="122"/>
        <v>24Y</v>
      </c>
    </row>
    <row r="3329" spans="1:6" x14ac:dyDescent="0.2">
      <c r="A3329">
        <v>25</v>
      </c>
      <c r="E3329" t="str">
        <f t="shared" si="121"/>
        <v>Z</v>
      </c>
      <c r="F3329" t="str">
        <f t="shared" si="122"/>
        <v>25Z</v>
      </c>
    </row>
    <row r="3330" spans="1:6" x14ac:dyDescent="0.2">
      <c r="A3330">
        <v>0</v>
      </c>
      <c r="E3330" t="str">
        <f t="shared" si="121"/>
        <v>A</v>
      </c>
      <c r="F3330" t="str">
        <f t="shared" si="122"/>
        <v>0A</v>
      </c>
    </row>
    <row r="3331" spans="1:6" x14ac:dyDescent="0.2">
      <c r="A3331">
        <v>1</v>
      </c>
      <c r="E3331" t="str">
        <f t="shared" si="121"/>
        <v>B</v>
      </c>
      <c r="F3331" t="str">
        <f t="shared" si="122"/>
        <v>1B</v>
      </c>
    </row>
    <row r="3332" spans="1:6" x14ac:dyDescent="0.2">
      <c r="A3332">
        <v>2</v>
      </c>
      <c r="E3332" t="str">
        <f t="shared" si="121"/>
        <v>C</v>
      </c>
      <c r="F3332" t="str">
        <f t="shared" si="122"/>
        <v>2C</v>
      </c>
    </row>
    <row r="3333" spans="1:6" x14ac:dyDescent="0.2">
      <c r="A3333">
        <v>3</v>
      </c>
      <c r="E3333" t="str">
        <f t="shared" si="121"/>
        <v>D</v>
      </c>
      <c r="F3333" t="str">
        <f t="shared" si="122"/>
        <v>3D</v>
      </c>
    </row>
    <row r="3334" spans="1:6" x14ac:dyDescent="0.2">
      <c r="A3334">
        <v>4</v>
      </c>
      <c r="E3334" t="str">
        <f t="shared" si="121"/>
        <v>E</v>
      </c>
      <c r="F3334" t="str">
        <f t="shared" si="122"/>
        <v>4E</v>
      </c>
    </row>
    <row r="3335" spans="1:6" x14ac:dyDescent="0.2">
      <c r="A3335">
        <v>5</v>
      </c>
      <c r="E3335" t="str">
        <f t="shared" si="121"/>
        <v>F</v>
      </c>
      <c r="F3335" t="str">
        <f t="shared" si="122"/>
        <v>5F</v>
      </c>
    </row>
    <row r="3336" spans="1:6" x14ac:dyDescent="0.2">
      <c r="A3336">
        <v>6</v>
      </c>
      <c r="E3336" t="str">
        <f t="shared" si="121"/>
        <v>G</v>
      </c>
      <c r="F3336" t="str">
        <f t="shared" si="122"/>
        <v>6G</v>
      </c>
    </row>
    <row r="3337" spans="1:6" x14ac:dyDescent="0.2">
      <c r="A3337">
        <v>7</v>
      </c>
      <c r="E3337" t="str">
        <f t="shared" si="121"/>
        <v>H</v>
      </c>
      <c r="F3337" t="str">
        <f t="shared" si="122"/>
        <v>7H</v>
      </c>
    </row>
    <row r="3338" spans="1:6" x14ac:dyDescent="0.2">
      <c r="A3338">
        <v>8</v>
      </c>
      <c r="E3338" t="str">
        <f t="shared" si="121"/>
        <v>I</v>
      </c>
      <c r="F3338" t="str">
        <f t="shared" si="122"/>
        <v>8I</v>
      </c>
    </row>
    <row r="3339" spans="1:6" x14ac:dyDescent="0.2">
      <c r="A3339">
        <v>9</v>
      </c>
      <c r="E3339" t="str">
        <f t="shared" si="121"/>
        <v>J</v>
      </c>
      <c r="F3339" t="str">
        <f t="shared" si="122"/>
        <v>9J</v>
      </c>
    </row>
    <row r="3340" spans="1:6" x14ac:dyDescent="0.2">
      <c r="A3340">
        <v>10</v>
      </c>
      <c r="E3340" t="str">
        <f t="shared" si="121"/>
        <v>K</v>
      </c>
      <c r="F3340" t="str">
        <f t="shared" si="122"/>
        <v>10K</v>
      </c>
    </row>
    <row r="3341" spans="1:6" x14ac:dyDescent="0.2">
      <c r="A3341">
        <v>11</v>
      </c>
      <c r="E3341" t="str">
        <f t="shared" si="121"/>
        <v>L</v>
      </c>
      <c r="F3341" t="str">
        <f t="shared" si="122"/>
        <v>11L</v>
      </c>
    </row>
    <row r="3342" spans="1:6" x14ac:dyDescent="0.2">
      <c r="A3342">
        <v>12</v>
      </c>
      <c r="E3342" t="str">
        <f t="shared" si="121"/>
        <v>M</v>
      </c>
      <c r="F3342" t="str">
        <f t="shared" si="122"/>
        <v>12M</v>
      </c>
    </row>
    <row r="3343" spans="1:6" x14ac:dyDescent="0.2">
      <c r="A3343">
        <v>13</v>
      </c>
      <c r="E3343" t="str">
        <f t="shared" si="121"/>
        <v>N</v>
      </c>
      <c r="F3343" t="str">
        <f t="shared" si="122"/>
        <v>13N</v>
      </c>
    </row>
    <row r="3344" spans="1:6" x14ac:dyDescent="0.2">
      <c r="A3344">
        <v>14</v>
      </c>
      <c r="E3344" t="str">
        <f t="shared" si="121"/>
        <v>O</v>
      </c>
      <c r="F3344" t="str">
        <f t="shared" si="122"/>
        <v>14O</v>
      </c>
    </row>
    <row r="3345" spans="1:6" x14ac:dyDescent="0.2">
      <c r="A3345">
        <v>15</v>
      </c>
      <c r="E3345" t="str">
        <f t="shared" si="121"/>
        <v>P</v>
      </c>
      <c r="F3345" t="str">
        <f t="shared" si="122"/>
        <v>15P</v>
      </c>
    </row>
    <row r="3346" spans="1:6" x14ac:dyDescent="0.2">
      <c r="A3346">
        <v>16</v>
      </c>
      <c r="E3346" t="str">
        <f t="shared" si="121"/>
        <v>Q</v>
      </c>
      <c r="F3346" t="str">
        <f t="shared" si="122"/>
        <v>16Q</v>
      </c>
    </row>
    <row r="3347" spans="1:6" x14ac:dyDescent="0.2">
      <c r="A3347">
        <v>17</v>
      </c>
      <c r="E3347" t="str">
        <f t="shared" si="121"/>
        <v>R</v>
      </c>
      <c r="F3347" t="str">
        <f t="shared" si="122"/>
        <v>17R</v>
      </c>
    </row>
    <row r="3348" spans="1:6" x14ac:dyDescent="0.2">
      <c r="A3348">
        <v>18</v>
      </c>
      <c r="E3348" t="str">
        <f t="shared" si="121"/>
        <v>S</v>
      </c>
      <c r="F3348" t="str">
        <f t="shared" si="122"/>
        <v>18S</v>
      </c>
    </row>
    <row r="3349" spans="1:6" x14ac:dyDescent="0.2">
      <c r="A3349">
        <v>19</v>
      </c>
      <c r="E3349" t="str">
        <f t="shared" si="121"/>
        <v>T</v>
      </c>
      <c r="F3349" t="str">
        <f t="shared" si="122"/>
        <v>19T</v>
      </c>
    </row>
    <row r="3350" spans="1:6" x14ac:dyDescent="0.2">
      <c r="A3350">
        <v>20</v>
      </c>
      <c r="E3350" t="str">
        <f t="shared" si="121"/>
        <v>U</v>
      </c>
      <c r="F3350" t="str">
        <f t="shared" si="122"/>
        <v>20U</v>
      </c>
    </row>
    <row r="3351" spans="1:6" x14ac:dyDescent="0.2">
      <c r="A3351">
        <v>21</v>
      </c>
      <c r="E3351" t="str">
        <f t="shared" ref="E3351:E3414" si="123">E3325</f>
        <v>V</v>
      </c>
      <c r="F3351" t="str">
        <f t="shared" si="122"/>
        <v>21V</v>
      </c>
    </row>
    <row r="3352" spans="1:6" x14ac:dyDescent="0.2">
      <c r="A3352">
        <v>22</v>
      </c>
      <c r="E3352" t="str">
        <f t="shared" si="123"/>
        <v>W</v>
      </c>
      <c r="F3352" t="str">
        <f t="shared" si="122"/>
        <v>22W</v>
      </c>
    </row>
    <row r="3353" spans="1:6" x14ac:dyDescent="0.2">
      <c r="A3353">
        <v>23</v>
      </c>
      <c r="E3353" t="str">
        <f t="shared" si="123"/>
        <v>X</v>
      </c>
      <c r="F3353" t="str">
        <f t="shared" si="122"/>
        <v>23X</v>
      </c>
    </row>
    <row r="3354" spans="1:6" x14ac:dyDescent="0.2">
      <c r="A3354">
        <v>24</v>
      </c>
      <c r="E3354" t="str">
        <f t="shared" si="123"/>
        <v>Y</v>
      </c>
      <c r="F3354" t="str">
        <f t="shared" si="122"/>
        <v>24Y</v>
      </c>
    </row>
    <row r="3355" spans="1:6" x14ac:dyDescent="0.2">
      <c r="A3355">
        <v>25</v>
      </c>
      <c r="E3355" t="str">
        <f t="shared" si="123"/>
        <v>Z</v>
      </c>
      <c r="F3355" t="str">
        <f t="shared" si="122"/>
        <v>25Z</v>
      </c>
    </row>
    <row r="3356" spans="1:6" x14ac:dyDescent="0.2">
      <c r="A3356">
        <v>0</v>
      </c>
      <c r="E3356" t="str">
        <f t="shared" si="123"/>
        <v>A</v>
      </c>
      <c r="F3356" t="str">
        <f t="shared" si="122"/>
        <v>0A</v>
      </c>
    </row>
    <row r="3357" spans="1:6" x14ac:dyDescent="0.2">
      <c r="A3357">
        <v>1</v>
      </c>
      <c r="E3357" t="str">
        <f t="shared" si="123"/>
        <v>B</v>
      </c>
      <c r="F3357" t="str">
        <f t="shared" si="122"/>
        <v>1B</v>
      </c>
    </row>
    <row r="3358" spans="1:6" x14ac:dyDescent="0.2">
      <c r="A3358">
        <v>2</v>
      </c>
      <c r="E3358" t="str">
        <f t="shared" si="123"/>
        <v>C</v>
      </c>
      <c r="F3358" t="str">
        <f t="shared" si="122"/>
        <v>2C</v>
      </c>
    </row>
    <row r="3359" spans="1:6" x14ac:dyDescent="0.2">
      <c r="A3359">
        <v>3</v>
      </c>
      <c r="E3359" t="str">
        <f t="shared" si="123"/>
        <v>D</v>
      </c>
      <c r="F3359" t="str">
        <f t="shared" si="122"/>
        <v>3D</v>
      </c>
    </row>
    <row r="3360" spans="1:6" x14ac:dyDescent="0.2">
      <c r="A3360">
        <v>4</v>
      </c>
      <c r="E3360" t="str">
        <f t="shared" si="123"/>
        <v>E</v>
      </c>
      <c r="F3360" t="str">
        <f t="shared" si="122"/>
        <v>4E</v>
      </c>
    </row>
    <row r="3361" spans="1:6" x14ac:dyDescent="0.2">
      <c r="A3361">
        <v>5</v>
      </c>
      <c r="E3361" t="str">
        <f t="shared" si="123"/>
        <v>F</v>
      </c>
      <c r="F3361" t="str">
        <f t="shared" si="122"/>
        <v>5F</v>
      </c>
    </row>
    <row r="3362" spans="1:6" x14ac:dyDescent="0.2">
      <c r="A3362">
        <v>6</v>
      </c>
      <c r="E3362" t="str">
        <f t="shared" si="123"/>
        <v>G</v>
      </c>
      <c r="F3362" t="str">
        <f t="shared" si="122"/>
        <v>6G</v>
      </c>
    </row>
    <row r="3363" spans="1:6" x14ac:dyDescent="0.2">
      <c r="A3363">
        <v>7</v>
      </c>
      <c r="E3363" t="str">
        <f t="shared" si="123"/>
        <v>H</v>
      </c>
      <c r="F3363" t="str">
        <f t="shared" si="122"/>
        <v>7H</v>
      </c>
    </row>
    <row r="3364" spans="1:6" x14ac:dyDescent="0.2">
      <c r="A3364">
        <v>8</v>
      </c>
      <c r="E3364" t="str">
        <f t="shared" si="123"/>
        <v>I</v>
      </c>
      <c r="F3364" t="str">
        <f t="shared" si="122"/>
        <v>8I</v>
      </c>
    </row>
    <row r="3365" spans="1:6" x14ac:dyDescent="0.2">
      <c r="A3365">
        <v>9</v>
      </c>
      <c r="E3365" t="str">
        <f t="shared" si="123"/>
        <v>J</v>
      </c>
      <c r="F3365" t="str">
        <f t="shared" si="122"/>
        <v>9J</v>
      </c>
    </row>
    <row r="3366" spans="1:6" x14ac:dyDescent="0.2">
      <c r="A3366">
        <v>10</v>
      </c>
      <c r="E3366" t="str">
        <f t="shared" si="123"/>
        <v>K</v>
      </c>
      <c r="F3366" t="str">
        <f t="shared" si="122"/>
        <v>10K</v>
      </c>
    </row>
    <row r="3367" spans="1:6" x14ac:dyDescent="0.2">
      <c r="A3367">
        <v>11</v>
      </c>
      <c r="E3367" t="str">
        <f t="shared" si="123"/>
        <v>L</v>
      </c>
      <c r="F3367" t="str">
        <f t="shared" si="122"/>
        <v>11L</v>
      </c>
    </row>
    <row r="3368" spans="1:6" x14ac:dyDescent="0.2">
      <c r="A3368">
        <v>12</v>
      </c>
      <c r="E3368" t="str">
        <f t="shared" si="123"/>
        <v>M</v>
      </c>
      <c r="F3368" t="str">
        <f t="shared" si="122"/>
        <v>12M</v>
      </c>
    </row>
    <row r="3369" spans="1:6" x14ac:dyDescent="0.2">
      <c r="A3369">
        <v>13</v>
      </c>
      <c r="E3369" t="str">
        <f t="shared" si="123"/>
        <v>N</v>
      </c>
      <c r="F3369" t="str">
        <f t="shared" si="122"/>
        <v>13N</v>
      </c>
    </row>
    <row r="3370" spans="1:6" x14ac:dyDescent="0.2">
      <c r="A3370">
        <v>14</v>
      </c>
      <c r="E3370" t="str">
        <f t="shared" si="123"/>
        <v>O</v>
      </c>
      <c r="F3370" t="str">
        <f t="shared" si="122"/>
        <v>14O</v>
      </c>
    </row>
    <row r="3371" spans="1:6" x14ac:dyDescent="0.2">
      <c r="A3371">
        <v>15</v>
      </c>
      <c r="E3371" t="str">
        <f t="shared" si="123"/>
        <v>P</v>
      </c>
      <c r="F3371" t="str">
        <f t="shared" si="122"/>
        <v>15P</v>
      </c>
    </row>
    <row r="3372" spans="1:6" x14ac:dyDescent="0.2">
      <c r="A3372">
        <v>16</v>
      </c>
      <c r="E3372" t="str">
        <f t="shared" si="123"/>
        <v>Q</v>
      </c>
      <c r="F3372" t="str">
        <f t="shared" si="122"/>
        <v>16Q</v>
      </c>
    </row>
    <row r="3373" spans="1:6" x14ac:dyDescent="0.2">
      <c r="A3373">
        <v>17</v>
      </c>
      <c r="E3373" t="str">
        <f t="shared" si="123"/>
        <v>R</v>
      </c>
      <c r="F3373" t="str">
        <f t="shared" si="122"/>
        <v>17R</v>
      </c>
    </row>
    <row r="3374" spans="1:6" x14ac:dyDescent="0.2">
      <c r="A3374">
        <v>18</v>
      </c>
      <c r="E3374" t="str">
        <f t="shared" si="123"/>
        <v>S</v>
      </c>
      <c r="F3374" t="str">
        <f t="shared" si="122"/>
        <v>18S</v>
      </c>
    </row>
    <row r="3375" spans="1:6" x14ac:dyDescent="0.2">
      <c r="A3375">
        <v>19</v>
      </c>
      <c r="E3375" t="str">
        <f t="shared" si="123"/>
        <v>T</v>
      </c>
      <c r="F3375" t="str">
        <f t="shared" si="122"/>
        <v>19T</v>
      </c>
    </row>
    <row r="3376" spans="1:6" x14ac:dyDescent="0.2">
      <c r="A3376">
        <v>20</v>
      </c>
      <c r="E3376" t="str">
        <f t="shared" si="123"/>
        <v>U</v>
      </c>
      <c r="F3376" t="str">
        <f t="shared" si="122"/>
        <v>20U</v>
      </c>
    </row>
    <row r="3377" spans="1:6" x14ac:dyDescent="0.2">
      <c r="A3377">
        <v>21</v>
      </c>
      <c r="E3377" t="str">
        <f t="shared" si="123"/>
        <v>V</v>
      </c>
      <c r="F3377" t="str">
        <f t="shared" si="122"/>
        <v>21V</v>
      </c>
    </row>
    <row r="3378" spans="1:6" x14ac:dyDescent="0.2">
      <c r="A3378">
        <v>22</v>
      </c>
      <c r="E3378" t="str">
        <f t="shared" si="123"/>
        <v>W</v>
      </c>
      <c r="F3378" t="str">
        <f t="shared" si="122"/>
        <v>22W</v>
      </c>
    </row>
    <row r="3379" spans="1:6" x14ac:dyDescent="0.2">
      <c r="A3379">
        <v>23</v>
      </c>
      <c r="E3379" t="str">
        <f t="shared" si="123"/>
        <v>X</v>
      </c>
      <c r="F3379" t="str">
        <f t="shared" si="122"/>
        <v>23X</v>
      </c>
    </row>
    <row r="3380" spans="1:6" x14ac:dyDescent="0.2">
      <c r="A3380">
        <v>24</v>
      </c>
      <c r="E3380" t="str">
        <f t="shared" si="123"/>
        <v>Y</v>
      </c>
      <c r="F3380" t="str">
        <f t="shared" si="122"/>
        <v>24Y</v>
      </c>
    </row>
    <row r="3381" spans="1:6" x14ac:dyDescent="0.2">
      <c r="A3381">
        <v>25</v>
      </c>
      <c r="E3381" t="str">
        <f t="shared" si="123"/>
        <v>Z</v>
      </c>
      <c r="F3381" t="str">
        <f t="shared" si="122"/>
        <v>25Z</v>
      </c>
    </row>
    <row r="3382" spans="1:6" x14ac:dyDescent="0.2">
      <c r="A3382">
        <v>0</v>
      </c>
      <c r="E3382" t="str">
        <f t="shared" si="123"/>
        <v>A</v>
      </c>
      <c r="F3382" t="str">
        <f t="shared" si="122"/>
        <v>0A</v>
      </c>
    </row>
    <row r="3383" spans="1:6" x14ac:dyDescent="0.2">
      <c r="A3383">
        <v>1</v>
      </c>
      <c r="E3383" t="str">
        <f t="shared" si="123"/>
        <v>B</v>
      </c>
      <c r="F3383" t="str">
        <f t="shared" si="122"/>
        <v>1B</v>
      </c>
    </row>
    <row r="3384" spans="1:6" x14ac:dyDescent="0.2">
      <c r="A3384">
        <v>2</v>
      </c>
      <c r="E3384" t="str">
        <f t="shared" si="123"/>
        <v>C</v>
      </c>
      <c r="F3384" t="str">
        <f t="shared" si="122"/>
        <v>2C</v>
      </c>
    </row>
    <row r="3385" spans="1:6" x14ac:dyDescent="0.2">
      <c r="A3385">
        <v>3</v>
      </c>
      <c r="E3385" t="str">
        <f t="shared" si="123"/>
        <v>D</v>
      </c>
      <c r="F3385" t="str">
        <f t="shared" si="122"/>
        <v>3D</v>
      </c>
    </row>
    <row r="3386" spans="1:6" x14ac:dyDescent="0.2">
      <c r="A3386">
        <v>4</v>
      </c>
      <c r="E3386" t="str">
        <f t="shared" si="123"/>
        <v>E</v>
      </c>
      <c r="F3386" t="str">
        <f t="shared" si="122"/>
        <v>4E</v>
      </c>
    </row>
    <row r="3387" spans="1:6" x14ac:dyDescent="0.2">
      <c r="A3387">
        <v>5</v>
      </c>
      <c r="E3387" t="str">
        <f t="shared" si="123"/>
        <v>F</v>
      </c>
      <c r="F3387" t="str">
        <f t="shared" si="122"/>
        <v>5F</v>
      </c>
    </row>
    <row r="3388" spans="1:6" x14ac:dyDescent="0.2">
      <c r="A3388">
        <v>6</v>
      </c>
      <c r="E3388" t="str">
        <f t="shared" si="123"/>
        <v>G</v>
      </c>
      <c r="F3388" t="str">
        <f t="shared" si="122"/>
        <v>6G</v>
      </c>
    </row>
    <row r="3389" spans="1:6" x14ac:dyDescent="0.2">
      <c r="A3389">
        <v>7</v>
      </c>
      <c r="E3389" t="str">
        <f t="shared" si="123"/>
        <v>H</v>
      </c>
      <c r="F3389" t="str">
        <f t="shared" ref="F3389:F3452" si="124">A3389&amp;C3389&amp;E3389</f>
        <v>7H</v>
      </c>
    </row>
    <row r="3390" spans="1:6" x14ac:dyDescent="0.2">
      <c r="A3390">
        <v>8</v>
      </c>
      <c r="E3390" t="str">
        <f t="shared" si="123"/>
        <v>I</v>
      </c>
      <c r="F3390" t="str">
        <f t="shared" si="124"/>
        <v>8I</v>
      </c>
    </row>
    <row r="3391" spans="1:6" x14ac:dyDescent="0.2">
      <c r="A3391">
        <v>9</v>
      </c>
      <c r="E3391" t="str">
        <f t="shared" si="123"/>
        <v>J</v>
      </c>
      <c r="F3391" t="str">
        <f t="shared" si="124"/>
        <v>9J</v>
      </c>
    </row>
    <row r="3392" spans="1:6" x14ac:dyDescent="0.2">
      <c r="A3392">
        <v>10</v>
      </c>
      <c r="E3392" t="str">
        <f t="shared" si="123"/>
        <v>K</v>
      </c>
      <c r="F3392" t="str">
        <f t="shared" si="124"/>
        <v>10K</v>
      </c>
    </row>
    <row r="3393" spans="1:6" x14ac:dyDescent="0.2">
      <c r="A3393">
        <v>11</v>
      </c>
      <c r="E3393" t="str">
        <f t="shared" si="123"/>
        <v>L</v>
      </c>
      <c r="F3393" t="str">
        <f t="shared" si="124"/>
        <v>11L</v>
      </c>
    </row>
    <row r="3394" spans="1:6" x14ac:dyDescent="0.2">
      <c r="A3394">
        <v>12</v>
      </c>
      <c r="E3394" t="str">
        <f t="shared" si="123"/>
        <v>M</v>
      </c>
      <c r="F3394" t="str">
        <f t="shared" si="124"/>
        <v>12M</v>
      </c>
    </row>
    <row r="3395" spans="1:6" x14ac:dyDescent="0.2">
      <c r="A3395">
        <v>13</v>
      </c>
      <c r="E3395" t="str">
        <f t="shared" si="123"/>
        <v>N</v>
      </c>
      <c r="F3395" t="str">
        <f t="shared" si="124"/>
        <v>13N</v>
      </c>
    </row>
    <row r="3396" spans="1:6" x14ac:dyDescent="0.2">
      <c r="A3396">
        <v>14</v>
      </c>
      <c r="E3396" t="str">
        <f t="shared" si="123"/>
        <v>O</v>
      </c>
      <c r="F3396" t="str">
        <f t="shared" si="124"/>
        <v>14O</v>
      </c>
    </row>
    <row r="3397" spans="1:6" x14ac:dyDescent="0.2">
      <c r="A3397">
        <v>15</v>
      </c>
      <c r="E3397" t="str">
        <f t="shared" si="123"/>
        <v>P</v>
      </c>
      <c r="F3397" t="str">
        <f t="shared" si="124"/>
        <v>15P</v>
      </c>
    </row>
    <row r="3398" spans="1:6" x14ac:dyDescent="0.2">
      <c r="A3398">
        <v>16</v>
      </c>
      <c r="E3398" t="str">
        <f t="shared" si="123"/>
        <v>Q</v>
      </c>
      <c r="F3398" t="str">
        <f t="shared" si="124"/>
        <v>16Q</v>
      </c>
    </row>
    <row r="3399" spans="1:6" x14ac:dyDescent="0.2">
      <c r="A3399">
        <v>17</v>
      </c>
      <c r="E3399" t="str">
        <f t="shared" si="123"/>
        <v>R</v>
      </c>
      <c r="F3399" t="str">
        <f t="shared" si="124"/>
        <v>17R</v>
      </c>
    </row>
    <row r="3400" spans="1:6" x14ac:dyDescent="0.2">
      <c r="A3400">
        <v>18</v>
      </c>
      <c r="E3400" t="str">
        <f t="shared" si="123"/>
        <v>S</v>
      </c>
      <c r="F3400" t="str">
        <f t="shared" si="124"/>
        <v>18S</v>
      </c>
    </row>
    <row r="3401" spans="1:6" x14ac:dyDescent="0.2">
      <c r="A3401">
        <v>19</v>
      </c>
      <c r="E3401" t="str">
        <f t="shared" si="123"/>
        <v>T</v>
      </c>
      <c r="F3401" t="str">
        <f t="shared" si="124"/>
        <v>19T</v>
      </c>
    </row>
    <row r="3402" spans="1:6" x14ac:dyDescent="0.2">
      <c r="A3402">
        <v>20</v>
      </c>
      <c r="E3402" t="str">
        <f t="shared" si="123"/>
        <v>U</v>
      </c>
      <c r="F3402" t="str">
        <f t="shared" si="124"/>
        <v>20U</v>
      </c>
    </row>
    <row r="3403" spans="1:6" x14ac:dyDescent="0.2">
      <c r="A3403">
        <v>21</v>
      </c>
      <c r="E3403" t="str">
        <f t="shared" si="123"/>
        <v>V</v>
      </c>
      <c r="F3403" t="str">
        <f t="shared" si="124"/>
        <v>21V</v>
      </c>
    </row>
    <row r="3404" spans="1:6" x14ac:dyDescent="0.2">
      <c r="A3404">
        <v>22</v>
      </c>
      <c r="E3404" t="str">
        <f t="shared" si="123"/>
        <v>W</v>
      </c>
      <c r="F3404" t="str">
        <f t="shared" si="124"/>
        <v>22W</v>
      </c>
    </row>
    <row r="3405" spans="1:6" x14ac:dyDescent="0.2">
      <c r="A3405">
        <v>23</v>
      </c>
      <c r="E3405" t="str">
        <f t="shared" si="123"/>
        <v>X</v>
      </c>
      <c r="F3405" t="str">
        <f t="shared" si="124"/>
        <v>23X</v>
      </c>
    </row>
    <row r="3406" spans="1:6" x14ac:dyDescent="0.2">
      <c r="A3406">
        <v>24</v>
      </c>
      <c r="E3406" t="str">
        <f t="shared" si="123"/>
        <v>Y</v>
      </c>
      <c r="F3406" t="str">
        <f t="shared" si="124"/>
        <v>24Y</v>
      </c>
    </row>
    <row r="3407" spans="1:6" x14ac:dyDescent="0.2">
      <c r="A3407">
        <v>25</v>
      </c>
      <c r="E3407" t="str">
        <f t="shared" si="123"/>
        <v>Z</v>
      </c>
      <c r="F3407" t="str">
        <f t="shared" si="124"/>
        <v>25Z</v>
      </c>
    </row>
    <row r="3408" spans="1:6" x14ac:dyDescent="0.2">
      <c r="A3408">
        <v>0</v>
      </c>
      <c r="E3408" t="str">
        <f t="shared" si="123"/>
        <v>A</v>
      </c>
      <c r="F3408" t="str">
        <f t="shared" si="124"/>
        <v>0A</v>
      </c>
    </row>
    <row r="3409" spans="1:6" x14ac:dyDescent="0.2">
      <c r="A3409">
        <v>1</v>
      </c>
      <c r="E3409" t="str">
        <f t="shared" si="123"/>
        <v>B</v>
      </c>
      <c r="F3409" t="str">
        <f t="shared" si="124"/>
        <v>1B</v>
      </c>
    </row>
    <row r="3410" spans="1:6" x14ac:dyDescent="0.2">
      <c r="A3410">
        <v>2</v>
      </c>
      <c r="E3410" t="str">
        <f t="shared" si="123"/>
        <v>C</v>
      </c>
      <c r="F3410" t="str">
        <f t="shared" si="124"/>
        <v>2C</v>
      </c>
    </row>
    <row r="3411" spans="1:6" x14ac:dyDescent="0.2">
      <c r="A3411">
        <v>3</v>
      </c>
      <c r="E3411" t="str">
        <f t="shared" si="123"/>
        <v>D</v>
      </c>
      <c r="F3411" t="str">
        <f t="shared" si="124"/>
        <v>3D</v>
      </c>
    </row>
    <row r="3412" spans="1:6" x14ac:dyDescent="0.2">
      <c r="A3412">
        <v>4</v>
      </c>
      <c r="E3412" t="str">
        <f t="shared" si="123"/>
        <v>E</v>
      </c>
      <c r="F3412" t="str">
        <f t="shared" si="124"/>
        <v>4E</v>
      </c>
    </row>
    <row r="3413" spans="1:6" x14ac:dyDescent="0.2">
      <c r="A3413">
        <v>5</v>
      </c>
      <c r="E3413" t="str">
        <f t="shared" si="123"/>
        <v>F</v>
      </c>
      <c r="F3413" t="str">
        <f t="shared" si="124"/>
        <v>5F</v>
      </c>
    </row>
    <row r="3414" spans="1:6" x14ac:dyDescent="0.2">
      <c r="A3414">
        <v>6</v>
      </c>
      <c r="E3414" t="str">
        <f t="shared" si="123"/>
        <v>G</v>
      </c>
      <c r="F3414" t="str">
        <f t="shared" si="124"/>
        <v>6G</v>
      </c>
    </row>
    <row r="3415" spans="1:6" x14ac:dyDescent="0.2">
      <c r="A3415">
        <v>7</v>
      </c>
      <c r="E3415" t="str">
        <f t="shared" ref="E3415:E3478" si="125">E3389</f>
        <v>H</v>
      </c>
      <c r="F3415" t="str">
        <f t="shared" si="124"/>
        <v>7H</v>
      </c>
    </row>
    <row r="3416" spans="1:6" x14ac:dyDescent="0.2">
      <c r="A3416">
        <v>8</v>
      </c>
      <c r="E3416" t="str">
        <f t="shared" si="125"/>
        <v>I</v>
      </c>
      <c r="F3416" t="str">
        <f t="shared" si="124"/>
        <v>8I</v>
      </c>
    </row>
    <row r="3417" spans="1:6" x14ac:dyDescent="0.2">
      <c r="A3417">
        <v>9</v>
      </c>
      <c r="E3417" t="str">
        <f t="shared" si="125"/>
        <v>J</v>
      </c>
      <c r="F3417" t="str">
        <f t="shared" si="124"/>
        <v>9J</v>
      </c>
    </row>
    <row r="3418" spans="1:6" x14ac:dyDescent="0.2">
      <c r="A3418">
        <v>10</v>
      </c>
      <c r="E3418" t="str">
        <f t="shared" si="125"/>
        <v>K</v>
      </c>
      <c r="F3418" t="str">
        <f t="shared" si="124"/>
        <v>10K</v>
      </c>
    </row>
    <row r="3419" spans="1:6" x14ac:dyDescent="0.2">
      <c r="A3419">
        <v>11</v>
      </c>
      <c r="E3419" t="str">
        <f t="shared" si="125"/>
        <v>L</v>
      </c>
      <c r="F3419" t="str">
        <f t="shared" si="124"/>
        <v>11L</v>
      </c>
    </row>
    <row r="3420" spans="1:6" x14ac:dyDescent="0.2">
      <c r="A3420">
        <v>12</v>
      </c>
      <c r="E3420" t="str">
        <f t="shared" si="125"/>
        <v>M</v>
      </c>
      <c r="F3420" t="str">
        <f t="shared" si="124"/>
        <v>12M</v>
      </c>
    </row>
    <row r="3421" spans="1:6" x14ac:dyDescent="0.2">
      <c r="A3421">
        <v>13</v>
      </c>
      <c r="E3421" t="str">
        <f t="shared" si="125"/>
        <v>N</v>
      </c>
      <c r="F3421" t="str">
        <f t="shared" si="124"/>
        <v>13N</v>
      </c>
    </row>
    <row r="3422" spans="1:6" x14ac:dyDescent="0.2">
      <c r="A3422">
        <v>14</v>
      </c>
      <c r="E3422" t="str">
        <f t="shared" si="125"/>
        <v>O</v>
      </c>
      <c r="F3422" t="str">
        <f t="shared" si="124"/>
        <v>14O</v>
      </c>
    </row>
    <row r="3423" spans="1:6" x14ac:dyDescent="0.2">
      <c r="A3423">
        <v>15</v>
      </c>
      <c r="E3423" t="str">
        <f t="shared" si="125"/>
        <v>P</v>
      </c>
      <c r="F3423" t="str">
        <f t="shared" si="124"/>
        <v>15P</v>
      </c>
    </row>
    <row r="3424" spans="1:6" x14ac:dyDescent="0.2">
      <c r="A3424">
        <v>16</v>
      </c>
      <c r="E3424" t="str">
        <f t="shared" si="125"/>
        <v>Q</v>
      </c>
      <c r="F3424" t="str">
        <f t="shared" si="124"/>
        <v>16Q</v>
      </c>
    </row>
    <row r="3425" spans="1:6" x14ac:dyDescent="0.2">
      <c r="A3425">
        <v>17</v>
      </c>
      <c r="E3425" t="str">
        <f t="shared" si="125"/>
        <v>R</v>
      </c>
      <c r="F3425" t="str">
        <f t="shared" si="124"/>
        <v>17R</v>
      </c>
    </row>
    <row r="3426" spans="1:6" x14ac:dyDescent="0.2">
      <c r="A3426">
        <v>18</v>
      </c>
      <c r="E3426" t="str">
        <f t="shared" si="125"/>
        <v>S</v>
      </c>
      <c r="F3426" t="str">
        <f t="shared" si="124"/>
        <v>18S</v>
      </c>
    </row>
    <row r="3427" spans="1:6" x14ac:dyDescent="0.2">
      <c r="A3427">
        <v>19</v>
      </c>
      <c r="E3427" t="str">
        <f t="shared" si="125"/>
        <v>T</v>
      </c>
      <c r="F3427" t="str">
        <f t="shared" si="124"/>
        <v>19T</v>
      </c>
    </row>
    <row r="3428" spans="1:6" x14ac:dyDescent="0.2">
      <c r="A3428">
        <v>20</v>
      </c>
      <c r="E3428" t="str">
        <f t="shared" si="125"/>
        <v>U</v>
      </c>
      <c r="F3428" t="str">
        <f t="shared" si="124"/>
        <v>20U</v>
      </c>
    </row>
    <row r="3429" spans="1:6" x14ac:dyDescent="0.2">
      <c r="A3429">
        <v>21</v>
      </c>
      <c r="E3429" t="str">
        <f t="shared" si="125"/>
        <v>V</v>
      </c>
      <c r="F3429" t="str">
        <f t="shared" si="124"/>
        <v>21V</v>
      </c>
    </row>
    <row r="3430" spans="1:6" x14ac:dyDescent="0.2">
      <c r="A3430">
        <v>22</v>
      </c>
      <c r="E3430" t="str">
        <f t="shared" si="125"/>
        <v>W</v>
      </c>
      <c r="F3430" t="str">
        <f t="shared" si="124"/>
        <v>22W</v>
      </c>
    </row>
    <row r="3431" spans="1:6" x14ac:dyDescent="0.2">
      <c r="A3431">
        <v>23</v>
      </c>
      <c r="E3431" t="str">
        <f t="shared" si="125"/>
        <v>X</v>
      </c>
      <c r="F3431" t="str">
        <f t="shared" si="124"/>
        <v>23X</v>
      </c>
    </row>
    <row r="3432" spans="1:6" x14ac:dyDescent="0.2">
      <c r="A3432">
        <v>24</v>
      </c>
      <c r="E3432" t="str">
        <f t="shared" si="125"/>
        <v>Y</v>
      </c>
      <c r="F3432" t="str">
        <f t="shared" si="124"/>
        <v>24Y</v>
      </c>
    </row>
    <row r="3433" spans="1:6" x14ac:dyDescent="0.2">
      <c r="A3433">
        <v>25</v>
      </c>
      <c r="E3433" t="str">
        <f t="shared" si="125"/>
        <v>Z</v>
      </c>
      <c r="F3433" t="str">
        <f t="shared" si="124"/>
        <v>25Z</v>
      </c>
    </row>
    <row r="3434" spans="1:6" x14ac:dyDescent="0.2">
      <c r="A3434">
        <v>0</v>
      </c>
      <c r="E3434" t="str">
        <f t="shared" si="125"/>
        <v>A</v>
      </c>
      <c r="F3434" t="str">
        <f t="shared" si="124"/>
        <v>0A</v>
      </c>
    </row>
    <row r="3435" spans="1:6" x14ac:dyDescent="0.2">
      <c r="A3435">
        <v>1</v>
      </c>
      <c r="E3435" t="str">
        <f t="shared" si="125"/>
        <v>B</v>
      </c>
      <c r="F3435" t="str">
        <f t="shared" si="124"/>
        <v>1B</v>
      </c>
    </row>
    <row r="3436" spans="1:6" x14ac:dyDescent="0.2">
      <c r="A3436">
        <v>2</v>
      </c>
      <c r="E3436" t="str">
        <f t="shared" si="125"/>
        <v>C</v>
      </c>
      <c r="F3436" t="str">
        <f t="shared" si="124"/>
        <v>2C</v>
      </c>
    </row>
    <row r="3437" spans="1:6" x14ac:dyDescent="0.2">
      <c r="A3437">
        <v>3</v>
      </c>
      <c r="E3437" t="str">
        <f t="shared" si="125"/>
        <v>D</v>
      </c>
      <c r="F3437" t="str">
        <f t="shared" si="124"/>
        <v>3D</v>
      </c>
    </row>
    <row r="3438" spans="1:6" x14ac:dyDescent="0.2">
      <c r="A3438">
        <v>4</v>
      </c>
      <c r="E3438" t="str">
        <f t="shared" si="125"/>
        <v>E</v>
      </c>
      <c r="F3438" t="str">
        <f t="shared" si="124"/>
        <v>4E</v>
      </c>
    </row>
    <row r="3439" spans="1:6" x14ac:dyDescent="0.2">
      <c r="A3439">
        <v>5</v>
      </c>
      <c r="E3439" t="str">
        <f t="shared" si="125"/>
        <v>F</v>
      </c>
      <c r="F3439" t="str">
        <f t="shared" si="124"/>
        <v>5F</v>
      </c>
    </row>
    <row r="3440" spans="1:6" x14ac:dyDescent="0.2">
      <c r="A3440">
        <v>6</v>
      </c>
      <c r="E3440" t="str">
        <f t="shared" si="125"/>
        <v>G</v>
      </c>
      <c r="F3440" t="str">
        <f t="shared" si="124"/>
        <v>6G</v>
      </c>
    </row>
    <row r="3441" spans="1:6" x14ac:dyDescent="0.2">
      <c r="A3441">
        <v>7</v>
      </c>
      <c r="E3441" t="str">
        <f t="shared" si="125"/>
        <v>H</v>
      </c>
      <c r="F3441" t="str">
        <f t="shared" si="124"/>
        <v>7H</v>
      </c>
    </row>
    <row r="3442" spans="1:6" x14ac:dyDescent="0.2">
      <c r="A3442">
        <v>8</v>
      </c>
      <c r="E3442" t="str">
        <f t="shared" si="125"/>
        <v>I</v>
      </c>
      <c r="F3442" t="str">
        <f t="shared" si="124"/>
        <v>8I</v>
      </c>
    </row>
    <row r="3443" spans="1:6" x14ac:dyDescent="0.2">
      <c r="A3443">
        <v>9</v>
      </c>
      <c r="E3443" t="str">
        <f t="shared" si="125"/>
        <v>J</v>
      </c>
      <c r="F3443" t="str">
        <f t="shared" si="124"/>
        <v>9J</v>
      </c>
    </row>
    <row r="3444" spans="1:6" x14ac:dyDescent="0.2">
      <c r="A3444">
        <v>10</v>
      </c>
      <c r="E3444" t="str">
        <f t="shared" si="125"/>
        <v>K</v>
      </c>
      <c r="F3444" t="str">
        <f t="shared" si="124"/>
        <v>10K</v>
      </c>
    </row>
    <row r="3445" spans="1:6" x14ac:dyDescent="0.2">
      <c r="A3445">
        <v>11</v>
      </c>
      <c r="E3445" t="str">
        <f t="shared" si="125"/>
        <v>L</v>
      </c>
      <c r="F3445" t="str">
        <f t="shared" si="124"/>
        <v>11L</v>
      </c>
    </row>
    <row r="3446" spans="1:6" x14ac:dyDescent="0.2">
      <c r="A3446">
        <v>12</v>
      </c>
      <c r="E3446" t="str">
        <f t="shared" si="125"/>
        <v>M</v>
      </c>
      <c r="F3446" t="str">
        <f t="shared" si="124"/>
        <v>12M</v>
      </c>
    </row>
    <row r="3447" spans="1:6" x14ac:dyDescent="0.2">
      <c r="A3447">
        <v>13</v>
      </c>
      <c r="E3447" t="str">
        <f t="shared" si="125"/>
        <v>N</v>
      </c>
      <c r="F3447" t="str">
        <f t="shared" si="124"/>
        <v>13N</v>
      </c>
    </row>
    <row r="3448" spans="1:6" x14ac:dyDescent="0.2">
      <c r="A3448">
        <v>14</v>
      </c>
      <c r="E3448" t="str">
        <f t="shared" si="125"/>
        <v>O</v>
      </c>
      <c r="F3448" t="str">
        <f t="shared" si="124"/>
        <v>14O</v>
      </c>
    </row>
    <row r="3449" spans="1:6" x14ac:dyDescent="0.2">
      <c r="A3449">
        <v>15</v>
      </c>
      <c r="E3449" t="str">
        <f t="shared" si="125"/>
        <v>P</v>
      </c>
      <c r="F3449" t="str">
        <f t="shared" si="124"/>
        <v>15P</v>
      </c>
    </row>
    <row r="3450" spans="1:6" x14ac:dyDescent="0.2">
      <c r="A3450">
        <v>16</v>
      </c>
      <c r="E3450" t="str">
        <f t="shared" si="125"/>
        <v>Q</v>
      </c>
      <c r="F3450" t="str">
        <f t="shared" si="124"/>
        <v>16Q</v>
      </c>
    </row>
    <row r="3451" spans="1:6" x14ac:dyDescent="0.2">
      <c r="A3451">
        <v>17</v>
      </c>
      <c r="E3451" t="str">
        <f t="shared" si="125"/>
        <v>R</v>
      </c>
      <c r="F3451" t="str">
        <f t="shared" si="124"/>
        <v>17R</v>
      </c>
    </row>
    <row r="3452" spans="1:6" x14ac:dyDescent="0.2">
      <c r="A3452">
        <v>18</v>
      </c>
      <c r="E3452" t="str">
        <f t="shared" si="125"/>
        <v>S</v>
      </c>
      <c r="F3452" t="str">
        <f t="shared" si="124"/>
        <v>18S</v>
      </c>
    </row>
    <row r="3453" spans="1:6" x14ac:dyDescent="0.2">
      <c r="A3453">
        <v>19</v>
      </c>
      <c r="E3453" t="str">
        <f t="shared" si="125"/>
        <v>T</v>
      </c>
      <c r="F3453" t="str">
        <f t="shared" ref="F3453:F3516" si="126">A3453&amp;C3453&amp;E3453</f>
        <v>19T</v>
      </c>
    </row>
    <row r="3454" spans="1:6" x14ac:dyDescent="0.2">
      <c r="A3454">
        <v>20</v>
      </c>
      <c r="E3454" t="str">
        <f t="shared" si="125"/>
        <v>U</v>
      </c>
      <c r="F3454" t="str">
        <f t="shared" si="126"/>
        <v>20U</v>
      </c>
    </row>
    <row r="3455" spans="1:6" x14ac:dyDescent="0.2">
      <c r="A3455">
        <v>21</v>
      </c>
      <c r="E3455" t="str">
        <f t="shared" si="125"/>
        <v>V</v>
      </c>
      <c r="F3455" t="str">
        <f t="shared" si="126"/>
        <v>21V</v>
      </c>
    </row>
    <row r="3456" spans="1:6" x14ac:dyDescent="0.2">
      <c r="A3456">
        <v>22</v>
      </c>
      <c r="E3456" t="str">
        <f t="shared" si="125"/>
        <v>W</v>
      </c>
      <c r="F3456" t="str">
        <f t="shared" si="126"/>
        <v>22W</v>
      </c>
    </row>
    <row r="3457" spans="1:6" x14ac:dyDescent="0.2">
      <c r="A3457">
        <v>23</v>
      </c>
      <c r="E3457" t="str">
        <f t="shared" si="125"/>
        <v>X</v>
      </c>
      <c r="F3457" t="str">
        <f t="shared" si="126"/>
        <v>23X</v>
      </c>
    </row>
    <row r="3458" spans="1:6" x14ac:dyDescent="0.2">
      <c r="A3458">
        <v>24</v>
      </c>
      <c r="E3458" t="str">
        <f t="shared" si="125"/>
        <v>Y</v>
      </c>
      <c r="F3458" t="str">
        <f t="shared" si="126"/>
        <v>24Y</v>
      </c>
    </row>
    <row r="3459" spans="1:6" x14ac:dyDescent="0.2">
      <c r="A3459">
        <v>25</v>
      </c>
      <c r="E3459" t="str">
        <f t="shared" si="125"/>
        <v>Z</v>
      </c>
      <c r="F3459" t="str">
        <f t="shared" si="126"/>
        <v>25Z</v>
      </c>
    </row>
    <row r="3460" spans="1:6" x14ac:dyDescent="0.2">
      <c r="A3460">
        <v>0</v>
      </c>
      <c r="E3460" t="str">
        <f t="shared" si="125"/>
        <v>A</v>
      </c>
      <c r="F3460" t="str">
        <f t="shared" si="126"/>
        <v>0A</v>
      </c>
    </row>
    <row r="3461" spans="1:6" x14ac:dyDescent="0.2">
      <c r="A3461">
        <v>1</v>
      </c>
      <c r="E3461" t="str">
        <f t="shared" si="125"/>
        <v>B</v>
      </c>
      <c r="F3461" t="str">
        <f t="shared" si="126"/>
        <v>1B</v>
      </c>
    </row>
    <row r="3462" spans="1:6" x14ac:dyDescent="0.2">
      <c r="A3462">
        <v>2</v>
      </c>
      <c r="E3462" t="str">
        <f t="shared" si="125"/>
        <v>C</v>
      </c>
      <c r="F3462" t="str">
        <f t="shared" si="126"/>
        <v>2C</v>
      </c>
    </row>
    <row r="3463" spans="1:6" x14ac:dyDescent="0.2">
      <c r="A3463">
        <v>3</v>
      </c>
      <c r="E3463" t="str">
        <f t="shared" si="125"/>
        <v>D</v>
      </c>
      <c r="F3463" t="str">
        <f t="shared" si="126"/>
        <v>3D</v>
      </c>
    </row>
    <row r="3464" spans="1:6" x14ac:dyDescent="0.2">
      <c r="A3464">
        <v>4</v>
      </c>
      <c r="E3464" t="str">
        <f t="shared" si="125"/>
        <v>E</v>
      </c>
      <c r="F3464" t="str">
        <f t="shared" si="126"/>
        <v>4E</v>
      </c>
    </row>
    <row r="3465" spans="1:6" x14ac:dyDescent="0.2">
      <c r="A3465">
        <v>5</v>
      </c>
      <c r="E3465" t="str">
        <f t="shared" si="125"/>
        <v>F</v>
      </c>
      <c r="F3465" t="str">
        <f t="shared" si="126"/>
        <v>5F</v>
      </c>
    </row>
    <row r="3466" spans="1:6" x14ac:dyDescent="0.2">
      <c r="A3466">
        <v>6</v>
      </c>
      <c r="E3466" t="str">
        <f t="shared" si="125"/>
        <v>G</v>
      </c>
      <c r="F3466" t="str">
        <f t="shared" si="126"/>
        <v>6G</v>
      </c>
    </row>
    <row r="3467" spans="1:6" x14ac:dyDescent="0.2">
      <c r="A3467">
        <v>7</v>
      </c>
      <c r="E3467" t="str">
        <f t="shared" si="125"/>
        <v>H</v>
      </c>
      <c r="F3467" t="str">
        <f t="shared" si="126"/>
        <v>7H</v>
      </c>
    </row>
    <row r="3468" spans="1:6" x14ac:dyDescent="0.2">
      <c r="A3468">
        <v>8</v>
      </c>
      <c r="E3468" t="str">
        <f t="shared" si="125"/>
        <v>I</v>
      </c>
      <c r="F3468" t="str">
        <f t="shared" si="126"/>
        <v>8I</v>
      </c>
    </row>
    <row r="3469" spans="1:6" x14ac:dyDescent="0.2">
      <c r="A3469">
        <v>9</v>
      </c>
      <c r="E3469" t="str">
        <f t="shared" si="125"/>
        <v>J</v>
      </c>
      <c r="F3469" t="str">
        <f t="shared" si="126"/>
        <v>9J</v>
      </c>
    </row>
    <row r="3470" spans="1:6" x14ac:dyDescent="0.2">
      <c r="A3470">
        <v>10</v>
      </c>
      <c r="E3470" t="str">
        <f t="shared" si="125"/>
        <v>K</v>
      </c>
      <c r="F3470" t="str">
        <f t="shared" si="126"/>
        <v>10K</v>
      </c>
    </row>
    <row r="3471" spans="1:6" x14ac:dyDescent="0.2">
      <c r="A3471">
        <v>11</v>
      </c>
      <c r="E3471" t="str">
        <f t="shared" si="125"/>
        <v>L</v>
      </c>
      <c r="F3471" t="str">
        <f t="shared" si="126"/>
        <v>11L</v>
      </c>
    </row>
    <row r="3472" spans="1:6" x14ac:dyDescent="0.2">
      <c r="A3472">
        <v>12</v>
      </c>
      <c r="E3472" t="str">
        <f t="shared" si="125"/>
        <v>M</v>
      </c>
      <c r="F3472" t="str">
        <f t="shared" si="126"/>
        <v>12M</v>
      </c>
    </row>
    <row r="3473" spans="1:6" x14ac:dyDescent="0.2">
      <c r="A3473">
        <v>13</v>
      </c>
      <c r="E3473" t="str">
        <f t="shared" si="125"/>
        <v>N</v>
      </c>
      <c r="F3473" t="str">
        <f t="shared" si="126"/>
        <v>13N</v>
      </c>
    </row>
    <row r="3474" spans="1:6" x14ac:dyDescent="0.2">
      <c r="A3474">
        <v>14</v>
      </c>
      <c r="E3474" t="str">
        <f t="shared" si="125"/>
        <v>O</v>
      </c>
      <c r="F3474" t="str">
        <f t="shared" si="126"/>
        <v>14O</v>
      </c>
    </row>
    <row r="3475" spans="1:6" x14ac:dyDescent="0.2">
      <c r="A3475">
        <v>15</v>
      </c>
      <c r="E3475" t="str">
        <f t="shared" si="125"/>
        <v>P</v>
      </c>
      <c r="F3475" t="str">
        <f t="shared" si="126"/>
        <v>15P</v>
      </c>
    </row>
    <row r="3476" spans="1:6" x14ac:dyDescent="0.2">
      <c r="A3476">
        <v>16</v>
      </c>
      <c r="E3476" t="str">
        <f t="shared" si="125"/>
        <v>Q</v>
      </c>
      <c r="F3476" t="str">
        <f t="shared" si="126"/>
        <v>16Q</v>
      </c>
    </row>
    <row r="3477" spans="1:6" x14ac:dyDescent="0.2">
      <c r="A3477">
        <v>17</v>
      </c>
      <c r="E3477" t="str">
        <f t="shared" si="125"/>
        <v>R</v>
      </c>
      <c r="F3477" t="str">
        <f t="shared" si="126"/>
        <v>17R</v>
      </c>
    </row>
    <row r="3478" spans="1:6" x14ac:dyDescent="0.2">
      <c r="A3478">
        <v>18</v>
      </c>
      <c r="E3478" t="str">
        <f t="shared" si="125"/>
        <v>S</v>
      </c>
      <c r="F3478" t="str">
        <f t="shared" si="126"/>
        <v>18S</v>
      </c>
    </row>
    <row r="3479" spans="1:6" x14ac:dyDescent="0.2">
      <c r="A3479">
        <v>19</v>
      </c>
      <c r="E3479" t="str">
        <f t="shared" ref="E3479:E3542" si="127">E3453</f>
        <v>T</v>
      </c>
      <c r="F3479" t="str">
        <f t="shared" si="126"/>
        <v>19T</v>
      </c>
    </row>
    <row r="3480" spans="1:6" x14ac:dyDescent="0.2">
      <c r="A3480">
        <v>20</v>
      </c>
      <c r="E3480" t="str">
        <f t="shared" si="127"/>
        <v>U</v>
      </c>
      <c r="F3480" t="str">
        <f t="shared" si="126"/>
        <v>20U</v>
      </c>
    </row>
    <row r="3481" spans="1:6" x14ac:dyDescent="0.2">
      <c r="A3481">
        <v>21</v>
      </c>
      <c r="E3481" t="str">
        <f t="shared" si="127"/>
        <v>V</v>
      </c>
      <c r="F3481" t="str">
        <f t="shared" si="126"/>
        <v>21V</v>
      </c>
    </row>
    <row r="3482" spans="1:6" x14ac:dyDescent="0.2">
      <c r="A3482">
        <v>22</v>
      </c>
      <c r="E3482" t="str">
        <f t="shared" si="127"/>
        <v>W</v>
      </c>
      <c r="F3482" t="str">
        <f t="shared" si="126"/>
        <v>22W</v>
      </c>
    </row>
    <row r="3483" spans="1:6" x14ac:dyDescent="0.2">
      <c r="A3483">
        <v>23</v>
      </c>
      <c r="E3483" t="str">
        <f t="shared" si="127"/>
        <v>X</v>
      </c>
      <c r="F3483" t="str">
        <f t="shared" si="126"/>
        <v>23X</v>
      </c>
    </row>
    <row r="3484" spans="1:6" x14ac:dyDescent="0.2">
      <c r="A3484">
        <v>24</v>
      </c>
      <c r="E3484" t="str">
        <f t="shared" si="127"/>
        <v>Y</v>
      </c>
      <c r="F3484" t="str">
        <f t="shared" si="126"/>
        <v>24Y</v>
      </c>
    </row>
    <row r="3485" spans="1:6" x14ac:dyDescent="0.2">
      <c r="A3485">
        <v>25</v>
      </c>
      <c r="E3485" t="str">
        <f t="shared" si="127"/>
        <v>Z</v>
      </c>
      <c r="F3485" t="str">
        <f t="shared" si="126"/>
        <v>25Z</v>
      </c>
    </row>
    <row r="3486" spans="1:6" x14ac:dyDescent="0.2">
      <c r="A3486">
        <v>0</v>
      </c>
      <c r="E3486" t="str">
        <f t="shared" si="127"/>
        <v>A</v>
      </c>
      <c r="F3486" t="str">
        <f t="shared" si="126"/>
        <v>0A</v>
      </c>
    </row>
    <row r="3487" spans="1:6" x14ac:dyDescent="0.2">
      <c r="A3487">
        <v>1</v>
      </c>
      <c r="E3487" t="str">
        <f t="shared" si="127"/>
        <v>B</v>
      </c>
      <c r="F3487" t="str">
        <f t="shared" si="126"/>
        <v>1B</v>
      </c>
    </row>
    <row r="3488" spans="1:6" x14ac:dyDescent="0.2">
      <c r="A3488">
        <v>2</v>
      </c>
      <c r="E3488" t="str">
        <f t="shared" si="127"/>
        <v>C</v>
      </c>
      <c r="F3488" t="str">
        <f t="shared" si="126"/>
        <v>2C</v>
      </c>
    </row>
    <row r="3489" spans="1:6" x14ac:dyDescent="0.2">
      <c r="A3489">
        <v>3</v>
      </c>
      <c r="E3489" t="str">
        <f t="shared" si="127"/>
        <v>D</v>
      </c>
      <c r="F3489" t="str">
        <f t="shared" si="126"/>
        <v>3D</v>
      </c>
    </row>
    <row r="3490" spans="1:6" x14ac:dyDescent="0.2">
      <c r="A3490">
        <v>4</v>
      </c>
      <c r="E3490" t="str">
        <f t="shared" si="127"/>
        <v>E</v>
      </c>
      <c r="F3490" t="str">
        <f t="shared" si="126"/>
        <v>4E</v>
      </c>
    </row>
    <row r="3491" spans="1:6" x14ac:dyDescent="0.2">
      <c r="A3491">
        <v>5</v>
      </c>
      <c r="E3491" t="str">
        <f t="shared" si="127"/>
        <v>F</v>
      </c>
      <c r="F3491" t="str">
        <f t="shared" si="126"/>
        <v>5F</v>
      </c>
    </row>
    <row r="3492" spans="1:6" x14ac:dyDescent="0.2">
      <c r="A3492">
        <v>6</v>
      </c>
      <c r="E3492" t="str">
        <f t="shared" si="127"/>
        <v>G</v>
      </c>
      <c r="F3492" t="str">
        <f t="shared" si="126"/>
        <v>6G</v>
      </c>
    </row>
    <row r="3493" spans="1:6" x14ac:dyDescent="0.2">
      <c r="A3493">
        <v>7</v>
      </c>
      <c r="E3493" t="str">
        <f t="shared" si="127"/>
        <v>H</v>
      </c>
      <c r="F3493" t="str">
        <f t="shared" si="126"/>
        <v>7H</v>
      </c>
    </row>
    <row r="3494" spans="1:6" x14ac:dyDescent="0.2">
      <c r="A3494">
        <v>8</v>
      </c>
      <c r="E3494" t="str">
        <f t="shared" si="127"/>
        <v>I</v>
      </c>
      <c r="F3494" t="str">
        <f t="shared" si="126"/>
        <v>8I</v>
      </c>
    </row>
    <row r="3495" spans="1:6" x14ac:dyDescent="0.2">
      <c r="A3495">
        <v>9</v>
      </c>
      <c r="E3495" t="str">
        <f t="shared" si="127"/>
        <v>J</v>
      </c>
      <c r="F3495" t="str">
        <f t="shared" si="126"/>
        <v>9J</v>
      </c>
    </row>
    <row r="3496" spans="1:6" x14ac:dyDescent="0.2">
      <c r="A3496">
        <v>10</v>
      </c>
      <c r="E3496" t="str">
        <f t="shared" si="127"/>
        <v>K</v>
      </c>
      <c r="F3496" t="str">
        <f t="shared" si="126"/>
        <v>10K</v>
      </c>
    </row>
    <row r="3497" spans="1:6" x14ac:dyDescent="0.2">
      <c r="A3497">
        <v>11</v>
      </c>
      <c r="E3497" t="str">
        <f t="shared" si="127"/>
        <v>L</v>
      </c>
      <c r="F3497" t="str">
        <f t="shared" si="126"/>
        <v>11L</v>
      </c>
    </row>
    <row r="3498" spans="1:6" x14ac:dyDescent="0.2">
      <c r="A3498">
        <v>12</v>
      </c>
      <c r="E3498" t="str">
        <f t="shared" si="127"/>
        <v>M</v>
      </c>
      <c r="F3498" t="str">
        <f t="shared" si="126"/>
        <v>12M</v>
      </c>
    </row>
    <row r="3499" spans="1:6" x14ac:dyDescent="0.2">
      <c r="A3499">
        <v>13</v>
      </c>
      <c r="E3499" t="str">
        <f t="shared" si="127"/>
        <v>N</v>
      </c>
      <c r="F3499" t="str">
        <f t="shared" si="126"/>
        <v>13N</v>
      </c>
    </row>
    <row r="3500" spans="1:6" x14ac:dyDescent="0.2">
      <c r="A3500">
        <v>14</v>
      </c>
      <c r="E3500" t="str">
        <f t="shared" si="127"/>
        <v>O</v>
      </c>
      <c r="F3500" t="str">
        <f t="shared" si="126"/>
        <v>14O</v>
      </c>
    </row>
    <row r="3501" spans="1:6" x14ac:dyDescent="0.2">
      <c r="A3501">
        <v>15</v>
      </c>
      <c r="E3501" t="str">
        <f t="shared" si="127"/>
        <v>P</v>
      </c>
      <c r="F3501" t="str">
        <f t="shared" si="126"/>
        <v>15P</v>
      </c>
    </row>
    <row r="3502" spans="1:6" x14ac:dyDescent="0.2">
      <c r="A3502">
        <v>16</v>
      </c>
      <c r="E3502" t="str">
        <f t="shared" si="127"/>
        <v>Q</v>
      </c>
      <c r="F3502" t="str">
        <f t="shared" si="126"/>
        <v>16Q</v>
      </c>
    </row>
    <row r="3503" spans="1:6" x14ac:dyDescent="0.2">
      <c r="A3503">
        <v>17</v>
      </c>
      <c r="E3503" t="str">
        <f t="shared" si="127"/>
        <v>R</v>
      </c>
      <c r="F3503" t="str">
        <f t="shared" si="126"/>
        <v>17R</v>
      </c>
    </row>
    <row r="3504" spans="1:6" x14ac:dyDescent="0.2">
      <c r="A3504">
        <v>18</v>
      </c>
      <c r="E3504" t="str">
        <f t="shared" si="127"/>
        <v>S</v>
      </c>
      <c r="F3504" t="str">
        <f t="shared" si="126"/>
        <v>18S</v>
      </c>
    </row>
    <row r="3505" spans="1:6" x14ac:dyDescent="0.2">
      <c r="A3505">
        <v>19</v>
      </c>
      <c r="E3505" t="str">
        <f t="shared" si="127"/>
        <v>T</v>
      </c>
      <c r="F3505" t="str">
        <f t="shared" si="126"/>
        <v>19T</v>
      </c>
    </row>
    <row r="3506" spans="1:6" x14ac:dyDescent="0.2">
      <c r="A3506">
        <v>20</v>
      </c>
      <c r="E3506" t="str">
        <f t="shared" si="127"/>
        <v>U</v>
      </c>
      <c r="F3506" t="str">
        <f t="shared" si="126"/>
        <v>20U</v>
      </c>
    </row>
    <row r="3507" spans="1:6" x14ac:dyDescent="0.2">
      <c r="A3507">
        <v>21</v>
      </c>
      <c r="E3507" t="str">
        <f t="shared" si="127"/>
        <v>V</v>
      </c>
      <c r="F3507" t="str">
        <f t="shared" si="126"/>
        <v>21V</v>
      </c>
    </row>
    <row r="3508" spans="1:6" x14ac:dyDescent="0.2">
      <c r="A3508">
        <v>22</v>
      </c>
      <c r="E3508" t="str">
        <f t="shared" si="127"/>
        <v>W</v>
      </c>
      <c r="F3508" t="str">
        <f t="shared" si="126"/>
        <v>22W</v>
      </c>
    </row>
    <row r="3509" spans="1:6" x14ac:dyDescent="0.2">
      <c r="A3509">
        <v>23</v>
      </c>
      <c r="E3509" t="str">
        <f t="shared" si="127"/>
        <v>X</v>
      </c>
      <c r="F3509" t="str">
        <f t="shared" si="126"/>
        <v>23X</v>
      </c>
    </row>
    <row r="3510" spans="1:6" x14ac:dyDescent="0.2">
      <c r="A3510">
        <v>24</v>
      </c>
      <c r="E3510" t="str">
        <f t="shared" si="127"/>
        <v>Y</v>
      </c>
      <c r="F3510" t="str">
        <f t="shared" si="126"/>
        <v>24Y</v>
      </c>
    </row>
    <row r="3511" spans="1:6" x14ac:dyDescent="0.2">
      <c r="A3511">
        <v>25</v>
      </c>
      <c r="E3511" t="str">
        <f t="shared" si="127"/>
        <v>Z</v>
      </c>
      <c r="F3511" t="str">
        <f t="shared" si="126"/>
        <v>25Z</v>
      </c>
    </row>
    <row r="3512" spans="1:6" x14ac:dyDescent="0.2">
      <c r="A3512">
        <v>0</v>
      </c>
      <c r="E3512" t="str">
        <f t="shared" si="127"/>
        <v>A</v>
      </c>
      <c r="F3512" t="str">
        <f t="shared" si="126"/>
        <v>0A</v>
      </c>
    </row>
    <row r="3513" spans="1:6" x14ac:dyDescent="0.2">
      <c r="A3513">
        <v>1</v>
      </c>
      <c r="E3513" t="str">
        <f t="shared" si="127"/>
        <v>B</v>
      </c>
      <c r="F3513" t="str">
        <f t="shared" si="126"/>
        <v>1B</v>
      </c>
    </row>
    <row r="3514" spans="1:6" x14ac:dyDescent="0.2">
      <c r="A3514">
        <v>2</v>
      </c>
      <c r="E3514" t="str">
        <f t="shared" si="127"/>
        <v>C</v>
      </c>
      <c r="F3514" t="str">
        <f t="shared" si="126"/>
        <v>2C</v>
      </c>
    </row>
    <row r="3515" spans="1:6" x14ac:dyDescent="0.2">
      <c r="A3515">
        <v>3</v>
      </c>
      <c r="E3515" t="str">
        <f t="shared" si="127"/>
        <v>D</v>
      </c>
      <c r="F3515" t="str">
        <f t="shared" si="126"/>
        <v>3D</v>
      </c>
    </row>
    <row r="3516" spans="1:6" x14ac:dyDescent="0.2">
      <c r="A3516">
        <v>4</v>
      </c>
      <c r="E3516" t="str">
        <f t="shared" si="127"/>
        <v>E</v>
      </c>
      <c r="F3516" t="str">
        <f t="shared" si="126"/>
        <v>4E</v>
      </c>
    </row>
    <row r="3517" spans="1:6" x14ac:dyDescent="0.2">
      <c r="A3517">
        <v>5</v>
      </c>
      <c r="E3517" t="str">
        <f t="shared" si="127"/>
        <v>F</v>
      </c>
      <c r="F3517" t="str">
        <f t="shared" ref="F3517:F3580" si="128">A3517&amp;C3517&amp;E3517</f>
        <v>5F</v>
      </c>
    </row>
    <row r="3518" spans="1:6" x14ac:dyDescent="0.2">
      <c r="A3518">
        <v>6</v>
      </c>
      <c r="E3518" t="str">
        <f t="shared" si="127"/>
        <v>G</v>
      </c>
      <c r="F3518" t="str">
        <f t="shared" si="128"/>
        <v>6G</v>
      </c>
    </row>
    <row r="3519" spans="1:6" x14ac:dyDescent="0.2">
      <c r="A3519">
        <v>7</v>
      </c>
      <c r="E3519" t="str">
        <f t="shared" si="127"/>
        <v>H</v>
      </c>
      <c r="F3519" t="str">
        <f t="shared" si="128"/>
        <v>7H</v>
      </c>
    </row>
    <row r="3520" spans="1:6" x14ac:dyDescent="0.2">
      <c r="A3520">
        <v>8</v>
      </c>
      <c r="E3520" t="str">
        <f t="shared" si="127"/>
        <v>I</v>
      </c>
      <c r="F3520" t="str">
        <f t="shared" si="128"/>
        <v>8I</v>
      </c>
    </row>
    <row r="3521" spans="1:6" x14ac:dyDescent="0.2">
      <c r="A3521">
        <v>9</v>
      </c>
      <c r="E3521" t="str">
        <f t="shared" si="127"/>
        <v>J</v>
      </c>
      <c r="F3521" t="str">
        <f t="shared" si="128"/>
        <v>9J</v>
      </c>
    </row>
    <row r="3522" spans="1:6" x14ac:dyDescent="0.2">
      <c r="A3522">
        <v>10</v>
      </c>
      <c r="E3522" t="str">
        <f t="shared" si="127"/>
        <v>K</v>
      </c>
      <c r="F3522" t="str">
        <f t="shared" si="128"/>
        <v>10K</v>
      </c>
    </row>
    <row r="3523" spans="1:6" x14ac:dyDescent="0.2">
      <c r="A3523">
        <v>11</v>
      </c>
      <c r="E3523" t="str">
        <f t="shared" si="127"/>
        <v>L</v>
      </c>
      <c r="F3523" t="str">
        <f t="shared" si="128"/>
        <v>11L</v>
      </c>
    </row>
    <row r="3524" spans="1:6" x14ac:dyDescent="0.2">
      <c r="A3524">
        <v>12</v>
      </c>
      <c r="E3524" t="str">
        <f t="shared" si="127"/>
        <v>M</v>
      </c>
      <c r="F3524" t="str">
        <f t="shared" si="128"/>
        <v>12M</v>
      </c>
    </row>
    <row r="3525" spans="1:6" x14ac:dyDescent="0.2">
      <c r="A3525">
        <v>13</v>
      </c>
      <c r="E3525" t="str">
        <f t="shared" si="127"/>
        <v>N</v>
      </c>
      <c r="F3525" t="str">
        <f t="shared" si="128"/>
        <v>13N</v>
      </c>
    </row>
    <row r="3526" spans="1:6" x14ac:dyDescent="0.2">
      <c r="A3526">
        <v>14</v>
      </c>
      <c r="E3526" t="str">
        <f t="shared" si="127"/>
        <v>O</v>
      </c>
      <c r="F3526" t="str">
        <f t="shared" si="128"/>
        <v>14O</v>
      </c>
    </row>
    <row r="3527" spans="1:6" x14ac:dyDescent="0.2">
      <c r="A3527">
        <v>15</v>
      </c>
      <c r="E3527" t="str">
        <f t="shared" si="127"/>
        <v>P</v>
      </c>
      <c r="F3527" t="str">
        <f t="shared" si="128"/>
        <v>15P</v>
      </c>
    </row>
    <row r="3528" spans="1:6" x14ac:dyDescent="0.2">
      <c r="A3528">
        <v>16</v>
      </c>
      <c r="E3528" t="str">
        <f t="shared" si="127"/>
        <v>Q</v>
      </c>
      <c r="F3528" t="str">
        <f t="shared" si="128"/>
        <v>16Q</v>
      </c>
    </row>
    <row r="3529" spans="1:6" x14ac:dyDescent="0.2">
      <c r="A3529">
        <v>17</v>
      </c>
      <c r="E3529" t="str">
        <f t="shared" si="127"/>
        <v>R</v>
      </c>
      <c r="F3529" t="str">
        <f t="shared" si="128"/>
        <v>17R</v>
      </c>
    </row>
    <row r="3530" spans="1:6" x14ac:dyDescent="0.2">
      <c r="A3530">
        <v>18</v>
      </c>
      <c r="E3530" t="str">
        <f t="shared" si="127"/>
        <v>S</v>
      </c>
      <c r="F3530" t="str">
        <f t="shared" si="128"/>
        <v>18S</v>
      </c>
    </row>
    <row r="3531" spans="1:6" x14ac:dyDescent="0.2">
      <c r="A3531">
        <v>19</v>
      </c>
      <c r="E3531" t="str">
        <f t="shared" si="127"/>
        <v>T</v>
      </c>
      <c r="F3531" t="str">
        <f t="shared" si="128"/>
        <v>19T</v>
      </c>
    </row>
    <row r="3532" spans="1:6" x14ac:dyDescent="0.2">
      <c r="A3532">
        <v>20</v>
      </c>
      <c r="E3532" t="str">
        <f t="shared" si="127"/>
        <v>U</v>
      </c>
      <c r="F3532" t="str">
        <f t="shared" si="128"/>
        <v>20U</v>
      </c>
    </row>
    <row r="3533" spans="1:6" x14ac:dyDescent="0.2">
      <c r="A3533">
        <v>21</v>
      </c>
      <c r="E3533" t="str">
        <f t="shared" si="127"/>
        <v>V</v>
      </c>
      <c r="F3533" t="str">
        <f t="shared" si="128"/>
        <v>21V</v>
      </c>
    </row>
    <row r="3534" spans="1:6" x14ac:dyDescent="0.2">
      <c r="A3534">
        <v>22</v>
      </c>
      <c r="E3534" t="str">
        <f t="shared" si="127"/>
        <v>W</v>
      </c>
      <c r="F3534" t="str">
        <f t="shared" si="128"/>
        <v>22W</v>
      </c>
    </row>
    <row r="3535" spans="1:6" x14ac:dyDescent="0.2">
      <c r="A3535">
        <v>23</v>
      </c>
      <c r="E3535" t="str">
        <f t="shared" si="127"/>
        <v>X</v>
      </c>
      <c r="F3535" t="str">
        <f t="shared" si="128"/>
        <v>23X</v>
      </c>
    </row>
    <row r="3536" spans="1:6" x14ac:dyDescent="0.2">
      <c r="A3536">
        <v>24</v>
      </c>
      <c r="E3536" t="str">
        <f t="shared" si="127"/>
        <v>Y</v>
      </c>
      <c r="F3536" t="str">
        <f t="shared" si="128"/>
        <v>24Y</v>
      </c>
    </row>
    <row r="3537" spans="1:6" x14ac:dyDescent="0.2">
      <c r="A3537">
        <v>25</v>
      </c>
      <c r="E3537" t="str">
        <f t="shared" si="127"/>
        <v>Z</v>
      </c>
      <c r="F3537" t="str">
        <f t="shared" si="128"/>
        <v>25Z</v>
      </c>
    </row>
    <row r="3538" spans="1:6" x14ac:dyDescent="0.2">
      <c r="A3538">
        <v>0</v>
      </c>
      <c r="E3538" t="str">
        <f t="shared" si="127"/>
        <v>A</v>
      </c>
      <c r="F3538" t="str">
        <f t="shared" si="128"/>
        <v>0A</v>
      </c>
    </row>
    <row r="3539" spans="1:6" x14ac:dyDescent="0.2">
      <c r="A3539">
        <v>1</v>
      </c>
      <c r="E3539" t="str">
        <f t="shared" si="127"/>
        <v>B</v>
      </c>
      <c r="F3539" t="str">
        <f t="shared" si="128"/>
        <v>1B</v>
      </c>
    </row>
    <row r="3540" spans="1:6" x14ac:dyDescent="0.2">
      <c r="A3540">
        <v>2</v>
      </c>
      <c r="E3540" t="str">
        <f t="shared" si="127"/>
        <v>C</v>
      </c>
      <c r="F3540" t="str">
        <f t="shared" si="128"/>
        <v>2C</v>
      </c>
    </row>
    <row r="3541" spans="1:6" x14ac:dyDescent="0.2">
      <c r="A3541">
        <v>3</v>
      </c>
      <c r="E3541" t="str">
        <f t="shared" si="127"/>
        <v>D</v>
      </c>
      <c r="F3541" t="str">
        <f t="shared" si="128"/>
        <v>3D</v>
      </c>
    </row>
    <row r="3542" spans="1:6" x14ac:dyDescent="0.2">
      <c r="A3542">
        <v>4</v>
      </c>
      <c r="E3542" t="str">
        <f t="shared" si="127"/>
        <v>E</v>
      </c>
      <c r="F3542" t="str">
        <f t="shared" si="128"/>
        <v>4E</v>
      </c>
    </row>
    <row r="3543" spans="1:6" x14ac:dyDescent="0.2">
      <c r="A3543">
        <v>5</v>
      </c>
      <c r="E3543" t="str">
        <f t="shared" ref="E3543:E3606" si="129">E3517</f>
        <v>F</v>
      </c>
      <c r="F3543" t="str">
        <f t="shared" si="128"/>
        <v>5F</v>
      </c>
    </row>
    <row r="3544" spans="1:6" x14ac:dyDescent="0.2">
      <c r="A3544">
        <v>6</v>
      </c>
      <c r="E3544" t="str">
        <f t="shared" si="129"/>
        <v>G</v>
      </c>
      <c r="F3544" t="str">
        <f t="shared" si="128"/>
        <v>6G</v>
      </c>
    </row>
    <row r="3545" spans="1:6" x14ac:dyDescent="0.2">
      <c r="A3545">
        <v>7</v>
      </c>
      <c r="E3545" t="str">
        <f t="shared" si="129"/>
        <v>H</v>
      </c>
      <c r="F3545" t="str">
        <f t="shared" si="128"/>
        <v>7H</v>
      </c>
    </row>
    <row r="3546" spans="1:6" x14ac:dyDescent="0.2">
      <c r="A3546">
        <v>8</v>
      </c>
      <c r="E3546" t="str">
        <f t="shared" si="129"/>
        <v>I</v>
      </c>
      <c r="F3546" t="str">
        <f t="shared" si="128"/>
        <v>8I</v>
      </c>
    </row>
    <row r="3547" spans="1:6" x14ac:dyDescent="0.2">
      <c r="A3547">
        <v>9</v>
      </c>
      <c r="E3547" t="str">
        <f t="shared" si="129"/>
        <v>J</v>
      </c>
      <c r="F3547" t="str">
        <f t="shared" si="128"/>
        <v>9J</v>
      </c>
    </row>
    <row r="3548" spans="1:6" x14ac:dyDescent="0.2">
      <c r="A3548">
        <v>10</v>
      </c>
      <c r="E3548" t="str">
        <f t="shared" si="129"/>
        <v>K</v>
      </c>
      <c r="F3548" t="str">
        <f t="shared" si="128"/>
        <v>10K</v>
      </c>
    </row>
    <row r="3549" spans="1:6" x14ac:dyDescent="0.2">
      <c r="A3549">
        <v>11</v>
      </c>
      <c r="E3549" t="str">
        <f t="shared" si="129"/>
        <v>L</v>
      </c>
      <c r="F3549" t="str">
        <f t="shared" si="128"/>
        <v>11L</v>
      </c>
    </row>
    <row r="3550" spans="1:6" x14ac:dyDescent="0.2">
      <c r="A3550">
        <v>12</v>
      </c>
      <c r="E3550" t="str">
        <f t="shared" si="129"/>
        <v>M</v>
      </c>
      <c r="F3550" t="str">
        <f t="shared" si="128"/>
        <v>12M</v>
      </c>
    </row>
    <row r="3551" spans="1:6" x14ac:dyDescent="0.2">
      <c r="A3551">
        <v>13</v>
      </c>
      <c r="E3551" t="str">
        <f t="shared" si="129"/>
        <v>N</v>
      </c>
      <c r="F3551" t="str">
        <f t="shared" si="128"/>
        <v>13N</v>
      </c>
    </row>
    <row r="3552" spans="1:6" x14ac:dyDescent="0.2">
      <c r="A3552">
        <v>14</v>
      </c>
      <c r="E3552" t="str">
        <f t="shared" si="129"/>
        <v>O</v>
      </c>
      <c r="F3552" t="str">
        <f t="shared" si="128"/>
        <v>14O</v>
      </c>
    </row>
    <row r="3553" spans="1:6" x14ac:dyDescent="0.2">
      <c r="A3553">
        <v>15</v>
      </c>
      <c r="E3553" t="str">
        <f t="shared" si="129"/>
        <v>P</v>
      </c>
      <c r="F3553" t="str">
        <f t="shared" si="128"/>
        <v>15P</v>
      </c>
    </row>
    <row r="3554" spans="1:6" x14ac:dyDescent="0.2">
      <c r="A3554">
        <v>16</v>
      </c>
      <c r="E3554" t="str">
        <f t="shared" si="129"/>
        <v>Q</v>
      </c>
      <c r="F3554" t="str">
        <f t="shared" si="128"/>
        <v>16Q</v>
      </c>
    </row>
    <row r="3555" spans="1:6" x14ac:dyDescent="0.2">
      <c r="A3555">
        <v>17</v>
      </c>
      <c r="E3555" t="str">
        <f t="shared" si="129"/>
        <v>R</v>
      </c>
      <c r="F3555" t="str">
        <f t="shared" si="128"/>
        <v>17R</v>
      </c>
    </row>
    <row r="3556" spans="1:6" x14ac:dyDescent="0.2">
      <c r="A3556">
        <v>18</v>
      </c>
      <c r="E3556" t="str">
        <f t="shared" si="129"/>
        <v>S</v>
      </c>
      <c r="F3556" t="str">
        <f t="shared" si="128"/>
        <v>18S</v>
      </c>
    </row>
    <row r="3557" spans="1:6" x14ac:dyDescent="0.2">
      <c r="A3557">
        <v>19</v>
      </c>
      <c r="E3557" t="str">
        <f t="shared" si="129"/>
        <v>T</v>
      </c>
      <c r="F3557" t="str">
        <f t="shared" si="128"/>
        <v>19T</v>
      </c>
    </row>
    <row r="3558" spans="1:6" x14ac:dyDescent="0.2">
      <c r="A3558">
        <v>20</v>
      </c>
      <c r="E3558" t="str">
        <f t="shared" si="129"/>
        <v>U</v>
      </c>
      <c r="F3558" t="str">
        <f t="shared" si="128"/>
        <v>20U</v>
      </c>
    </row>
    <row r="3559" spans="1:6" x14ac:dyDescent="0.2">
      <c r="A3559">
        <v>21</v>
      </c>
      <c r="E3559" t="str">
        <f t="shared" si="129"/>
        <v>V</v>
      </c>
      <c r="F3559" t="str">
        <f t="shared" si="128"/>
        <v>21V</v>
      </c>
    </row>
    <row r="3560" spans="1:6" x14ac:dyDescent="0.2">
      <c r="A3560">
        <v>22</v>
      </c>
      <c r="E3560" t="str">
        <f t="shared" si="129"/>
        <v>W</v>
      </c>
      <c r="F3560" t="str">
        <f t="shared" si="128"/>
        <v>22W</v>
      </c>
    </row>
    <row r="3561" spans="1:6" x14ac:dyDescent="0.2">
      <c r="A3561">
        <v>23</v>
      </c>
      <c r="E3561" t="str">
        <f t="shared" si="129"/>
        <v>X</v>
      </c>
      <c r="F3561" t="str">
        <f t="shared" si="128"/>
        <v>23X</v>
      </c>
    </row>
    <row r="3562" spans="1:6" x14ac:dyDescent="0.2">
      <c r="A3562">
        <v>24</v>
      </c>
      <c r="E3562" t="str">
        <f t="shared" si="129"/>
        <v>Y</v>
      </c>
      <c r="F3562" t="str">
        <f t="shared" si="128"/>
        <v>24Y</v>
      </c>
    </row>
    <row r="3563" spans="1:6" x14ac:dyDescent="0.2">
      <c r="A3563">
        <v>25</v>
      </c>
      <c r="E3563" t="str">
        <f t="shared" si="129"/>
        <v>Z</v>
      </c>
      <c r="F3563" t="str">
        <f t="shared" si="128"/>
        <v>25Z</v>
      </c>
    </row>
    <row r="3564" spans="1:6" x14ac:dyDescent="0.2">
      <c r="A3564">
        <v>0</v>
      </c>
      <c r="E3564" t="str">
        <f t="shared" si="129"/>
        <v>A</v>
      </c>
      <c r="F3564" t="str">
        <f t="shared" si="128"/>
        <v>0A</v>
      </c>
    </row>
    <row r="3565" spans="1:6" x14ac:dyDescent="0.2">
      <c r="A3565">
        <v>1</v>
      </c>
      <c r="E3565" t="str">
        <f t="shared" si="129"/>
        <v>B</v>
      </c>
      <c r="F3565" t="str">
        <f t="shared" si="128"/>
        <v>1B</v>
      </c>
    </row>
    <row r="3566" spans="1:6" x14ac:dyDescent="0.2">
      <c r="A3566">
        <v>2</v>
      </c>
      <c r="E3566" t="str">
        <f t="shared" si="129"/>
        <v>C</v>
      </c>
      <c r="F3566" t="str">
        <f t="shared" si="128"/>
        <v>2C</v>
      </c>
    </row>
    <row r="3567" spans="1:6" x14ac:dyDescent="0.2">
      <c r="A3567">
        <v>3</v>
      </c>
      <c r="E3567" t="str">
        <f t="shared" si="129"/>
        <v>D</v>
      </c>
      <c r="F3567" t="str">
        <f t="shared" si="128"/>
        <v>3D</v>
      </c>
    </row>
    <row r="3568" spans="1:6" x14ac:dyDescent="0.2">
      <c r="A3568">
        <v>4</v>
      </c>
      <c r="E3568" t="str">
        <f t="shared" si="129"/>
        <v>E</v>
      </c>
      <c r="F3568" t="str">
        <f t="shared" si="128"/>
        <v>4E</v>
      </c>
    </row>
    <row r="3569" spans="1:6" x14ac:dyDescent="0.2">
      <c r="A3569">
        <v>5</v>
      </c>
      <c r="E3569" t="str">
        <f t="shared" si="129"/>
        <v>F</v>
      </c>
      <c r="F3569" t="str">
        <f t="shared" si="128"/>
        <v>5F</v>
      </c>
    </row>
    <row r="3570" spans="1:6" x14ac:dyDescent="0.2">
      <c r="A3570">
        <v>6</v>
      </c>
      <c r="E3570" t="str">
        <f t="shared" si="129"/>
        <v>G</v>
      </c>
      <c r="F3570" t="str">
        <f t="shared" si="128"/>
        <v>6G</v>
      </c>
    </row>
    <row r="3571" spans="1:6" x14ac:dyDescent="0.2">
      <c r="A3571">
        <v>7</v>
      </c>
      <c r="E3571" t="str">
        <f t="shared" si="129"/>
        <v>H</v>
      </c>
      <c r="F3571" t="str">
        <f t="shared" si="128"/>
        <v>7H</v>
      </c>
    </row>
    <row r="3572" spans="1:6" x14ac:dyDescent="0.2">
      <c r="A3572">
        <v>8</v>
      </c>
      <c r="E3572" t="str">
        <f t="shared" si="129"/>
        <v>I</v>
      </c>
      <c r="F3572" t="str">
        <f t="shared" si="128"/>
        <v>8I</v>
      </c>
    </row>
    <row r="3573" spans="1:6" x14ac:dyDescent="0.2">
      <c r="A3573">
        <v>9</v>
      </c>
      <c r="E3573" t="str">
        <f t="shared" si="129"/>
        <v>J</v>
      </c>
      <c r="F3573" t="str">
        <f t="shared" si="128"/>
        <v>9J</v>
      </c>
    </row>
    <row r="3574" spans="1:6" x14ac:dyDescent="0.2">
      <c r="A3574">
        <v>10</v>
      </c>
      <c r="E3574" t="str">
        <f t="shared" si="129"/>
        <v>K</v>
      </c>
      <c r="F3574" t="str">
        <f t="shared" si="128"/>
        <v>10K</v>
      </c>
    </row>
    <row r="3575" spans="1:6" x14ac:dyDescent="0.2">
      <c r="A3575">
        <v>11</v>
      </c>
      <c r="E3575" t="str">
        <f t="shared" si="129"/>
        <v>L</v>
      </c>
      <c r="F3575" t="str">
        <f t="shared" si="128"/>
        <v>11L</v>
      </c>
    </row>
    <row r="3576" spans="1:6" x14ac:dyDescent="0.2">
      <c r="A3576">
        <v>12</v>
      </c>
      <c r="E3576" t="str">
        <f t="shared" si="129"/>
        <v>M</v>
      </c>
      <c r="F3576" t="str">
        <f t="shared" si="128"/>
        <v>12M</v>
      </c>
    </row>
    <row r="3577" spans="1:6" x14ac:dyDescent="0.2">
      <c r="A3577">
        <v>13</v>
      </c>
      <c r="E3577" t="str">
        <f t="shared" si="129"/>
        <v>N</v>
      </c>
      <c r="F3577" t="str">
        <f t="shared" si="128"/>
        <v>13N</v>
      </c>
    </row>
    <row r="3578" spans="1:6" x14ac:dyDescent="0.2">
      <c r="A3578">
        <v>14</v>
      </c>
      <c r="E3578" t="str">
        <f t="shared" si="129"/>
        <v>O</v>
      </c>
      <c r="F3578" t="str">
        <f t="shared" si="128"/>
        <v>14O</v>
      </c>
    </row>
    <row r="3579" spans="1:6" x14ac:dyDescent="0.2">
      <c r="A3579">
        <v>15</v>
      </c>
      <c r="E3579" t="str">
        <f t="shared" si="129"/>
        <v>P</v>
      </c>
      <c r="F3579" t="str">
        <f t="shared" si="128"/>
        <v>15P</v>
      </c>
    </row>
    <row r="3580" spans="1:6" x14ac:dyDescent="0.2">
      <c r="A3580">
        <v>16</v>
      </c>
      <c r="E3580" t="str">
        <f t="shared" si="129"/>
        <v>Q</v>
      </c>
      <c r="F3580" t="str">
        <f t="shared" si="128"/>
        <v>16Q</v>
      </c>
    </row>
    <row r="3581" spans="1:6" x14ac:dyDescent="0.2">
      <c r="A3581">
        <v>17</v>
      </c>
      <c r="E3581" t="str">
        <f t="shared" si="129"/>
        <v>R</v>
      </c>
      <c r="F3581" t="str">
        <f t="shared" ref="F3581:F3644" si="130">A3581&amp;C3581&amp;E3581</f>
        <v>17R</v>
      </c>
    </row>
    <row r="3582" spans="1:6" x14ac:dyDescent="0.2">
      <c r="A3582">
        <v>18</v>
      </c>
      <c r="E3582" t="str">
        <f t="shared" si="129"/>
        <v>S</v>
      </c>
      <c r="F3582" t="str">
        <f t="shared" si="130"/>
        <v>18S</v>
      </c>
    </row>
    <row r="3583" spans="1:6" x14ac:dyDescent="0.2">
      <c r="A3583">
        <v>19</v>
      </c>
      <c r="E3583" t="str">
        <f t="shared" si="129"/>
        <v>T</v>
      </c>
      <c r="F3583" t="str">
        <f t="shared" si="130"/>
        <v>19T</v>
      </c>
    </row>
    <row r="3584" spans="1:6" x14ac:dyDescent="0.2">
      <c r="A3584">
        <v>20</v>
      </c>
      <c r="E3584" t="str">
        <f t="shared" si="129"/>
        <v>U</v>
      </c>
      <c r="F3584" t="str">
        <f t="shared" si="130"/>
        <v>20U</v>
      </c>
    </row>
    <row r="3585" spans="1:6" x14ac:dyDescent="0.2">
      <c r="A3585">
        <v>21</v>
      </c>
      <c r="E3585" t="str">
        <f t="shared" si="129"/>
        <v>V</v>
      </c>
      <c r="F3585" t="str">
        <f t="shared" si="130"/>
        <v>21V</v>
      </c>
    </row>
    <row r="3586" spans="1:6" x14ac:dyDescent="0.2">
      <c r="A3586">
        <v>22</v>
      </c>
      <c r="E3586" t="str">
        <f t="shared" si="129"/>
        <v>W</v>
      </c>
      <c r="F3586" t="str">
        <f t="shared" si="130"/>
        <v>22W</v>
      </c>
    </row>
    <row r="3587" spans="1:6" x14ac:dyDescent="0.2">
      <c r="A3587">
        <v>23</v>
      </c>
      <c r="E3587" t="str">
        <f t="shared" si="129"/>
        <v>X</v>
      </c>
      <c r="F3587" t="str">
        <f t="shared" si="130"/>
        <v>23X</v>
      </c>
    </row>
    <row r="3588" spans="1:6" x14ac:dyDescent="0.2">
      <c r="A3588">
        <v>24</v>
      </c>
      <c r="E3588" t="str">
        <f t="shared" si="129"/>
        <v>Y</v>
      </c>
      <c r="F3588" t="str">
        <f t="shared" si="130"/>
        <v>24Y</v>
      </c>
    </row>
    <row r="3589" spans="1:6" x14ac:dyDescent="0.2">
      <c r="A3589">
        <v>25</v>
      </c>
      <c r="E3589" t="str">
        <f t="shared" si="129"/>
        <v>Z</v>
      </c>
      <c r="F3589" t="str">
        <f t="shared" si="130"/>
        <v>25Z</v>
      </c>
    </row>
    <row r="3590" spans="1:6" x14ac:dyDescent="0.2">
      <c r="A3590">
        <v>0</v>
      </c>
      <c r="E3590" t="str">
        <f t="shared" si="129"/>
        <v>A</v>
      </c>
      <c r="F3590" t="str">
        <f t="shared" si="130"/>
        <v>0A</v>
      </c>
    </row>
    <row r="3591" spans="1:6" x14ac:dyDescent="0.2">
      <c r="A3591">
        <v>1</v>
      </c>
      <c r="E3591" t="str">
        <f t="shared" si="129"/>
        <v>B</v>
      </c>
      <c r="F3591" t="str">
        <f t="shared" si="130"/>
        <v>1B</v>
      </c>
    </row>
    <row r="3592" spans="1:6" x14ac:dyDescent="0.2">
      <c r="A3592">
        <v>2</v>
      </c>
      <c r="E3592" t="str">
        <f t="shared" si="129"/>
        <v>C</v>
      </c>
      <c r="F3592" t="str">
        <f t="shared" si="130"/>
        <v>2C</v>
      </c>
    </row>
    <row r="3593" spans="1:6" x14ac:dyDescent="0.2">
      <c r="A3593">
        <v>3</v>
      </c>
      <c r="E3593" t="str">
        <f t="shared" si="129"/>
        <v>D</v>
      </c>
      <c r="F3593" t="str">
        <f t="shared" si="130"/>
        <v>3D</v>
      </c>
    </row>
    <row r="3594" spans="1:6" x14ac:dyDescent="0.2">
      <c r="A3594">
        <v>4</v>
      </c>
      <c r="E3594" t="str">
        <f t="shared" si="129"/>
        <v>E</v>
      </c>
      <c r="F3594" t="str">
        <f t="shared" si="130"/>
        <v>4E</v>
      </c>
    </row>
    <row r="3595" spans="1:6" x14ac:dyDescent="0.2">
      <c r="A3595">
        <v>5</v>
      </c>
      <c r="E3595" t="str">
        <f t="shared" si="129"/>
        <v>F</v>
      </c>
      <c r="F3595" t="str">
        <f t="shared" si="130"/>
        <v>5F</v>
      </c>
    </row>
    <row r="3596" spans="1:6" x14ac:dyDescent="0.2">
      <c r="A3596">
        <v>6</v>
      </c>
      <c r="E3596" t="str">
        <f t="shared" si="129"/>
        <v>G</v>
      </c>
      <c r="F3596" t="str">
        <f t="shared" si="130"/>
        <v>6G</v>
      </c>
    </row>
    <row r="3597" spans="1:6" x14ac:dyDescent="0.2">
      <c r="A3597">
        <v>7</v>
      </c>
      <c r="E3597" t="str">
        <f t="shared" si="129"/>
        <v>H</v>
      </c>
      <c r="F3597" t="str">
        <f t="shared" si="130"/>
        <v>7H</v>
      </c>
    </row>
    <row r="3598" spans="1:6" x14ac:dyDescent="0.2">
      <c r="A3598">
        <v>8</v>
      </c>
      <c r="E3598" t="str">
        <f t="shared" si="129"/>
        <v>I</v>
      </c>
      <c r="F3598" t="str">
        <f t="shared" si="130"/>
        <v>8I</v>
      </c>
    </row>
    <row r="3599" spans="1:6" x14ac:dyDescent="0.2">
      <c r="A3599">
        <v>9</v>
      </c>
      <c r="E3599" t="str">
        <f t="shared" si="129"/>
        <v>J</v>
      </c>
      <c r="F3599" t="str">
        <f t="shared" si="130"/>
        <v>9J</v>
      </c>
    </row>
    <row r="3600" spans="1:6" x14ac:dyDescent="0.2">
      <c r="A3600">
        <v>10</v>
      </c>
      <c r="E3600" t="str">
        <f t="shared" si="129"/>
        <v>K</v>
      </c>
      <c r="F3600" t="str">
        <f t="shared" si="130"/>
        <v>10K</v>
      </c>
    </row>
    <row r="3601" spans="1:6" x14ac:dyDescent="0.2">
      <c r="A3601">
        <v>11</v>
      </c>
      <c r="E3601" t="str">
        <f t="shared" si="129"/>
        <v>L</v>
      </c>
      <c r="F3601" t="str">
        <f t="shared" si="130"/>
        <v>11L</v>
      </c>
    </row>
    <row r="3602" spans="1:6" x14ac:dyDescent="0.2">
      <c r="A3602">
        <v>12</v>
      </c>
      <c r="E3602" t="str">
        <f t="shared" si="129"/>
        <v>M</v>
      </c>
      <c r="F3602" t="str">
        <f t="shared" si="130"/>
        <v>12M</v>
      </c>
    </row>
    <row r="3603" spans="1:6" x14ac:dyDescent="0.2">
      <c r="A3603">
        <v>13</v>
      </c>
      <c r="E3603" t="str">
        <f t="shared" si="129"/>
        <v>N</v>
      </c>
      <c r="F3603" t="str">
        <f t="shared" si="130"/>
        <v>13N</v>
      </c>
    </row>
    <row r="3604" spans="1:6" x14ac:dyDescent="0.2">
      <c r="A3604">
        <v>14</v>
      </c>
      <c r="E3604" t="str">
        <f t="shared" si="129"/>
        <v>O</v>
      </c>
      <c r="F3604" t="str">
        <f t="shared" si="130"/>
        <v>14O</v>
      </c>
    </row>
    <row r="3605" spans="1:6" x14ac:dyDescent="0.2">
      <c r="A3605">
        <v>15</v>
      </c>
      <c r="E3605" t="str">
        <f t="shared" si="129"/>
        <v>P</v>
      </c>
      <c r="F3605" t="str">
        <f t="shared" si="130"/>
        <v>15P</v>
      </c>
    </row>
    <row r="3606" spans="1:6" x14ac:dyDescent="0.2">
      <c r="A3606">
        <v>16</v>
      </c>
      <c r="E3606" t="str">
        <f t="shared" si="129"/>
        <v>Q</v>
      </c>
      <c r="F3606" t="str">
        <f t="shared" si="130"/>
        <v>16Q</v>
      </c>
    </row>
    <row r="3607" spans="1:6" x14ac:dyDescent="0.2">
      <c r="A3607">
        <v>17</v>
      </c>
      <c r="E3607" t="str">
        <f t="shared" ref="E3607:E3670" si="131">E3581</f>
        <v>R</v>
      </c>
      <c r="F3607" t="str">
        <f t="shared" si="130"/>
        <v>17R</v>
      </c>
    </row>
    <row r="3608" spans="1:6" x14ac:dyDescent="0.2">
      <c r="A3608">
        <v>18</v>
      </c>
      <c r="E3608" t="str">
        <f t="shared" si="131"/>
        <v>S</v>
      </c>
      <c r="F3608" t="str">
        <f t="shared" si="130"/>
        <v>18S</v>
      </c>
    </row>
    <row r="3609" spans="1:6" x14ac:dyDescent="0.2">
      <c r="A3609">
        <v>19</v>
      </c>
      <c r="E3609" t="str">
        <f t="shared" si="131"/>
        <v>T</v>
      </c>
      <c r="F3609" t="str">
        <f t="shared" si="130"/>
        <v>19T</v>
      </c>
    </row>
    <row r="3610" spans="1:6" x14ac:dyDescent="0.2">
      <c r="A3610">
        <v>20</v>
      </c>
      <c r="E3610" t="str">
        <f t="shared" si="131"/>
        <v>U</v>
      </c>
      <c r="F3610" t="str">
        <f t="shared" si="130"/>
        <v>20U</v>
      </c>
    </row>
    <row r="3611" spans="1:6" x14ac:dyDescent="0.2">
      <c r="A3611">
        <v>21</v>
      </c>
      <c r="E3611" t="str">
        <f t="shared" si="131"/>
        <v>V</v>
      </c>
      <c r="F3611" t="str">
        <f t="shared" si="130"/>
        <v>21V</v>
      </c>
    </row>
    <row r="3612" spans="1:6" x14ac:dyDescent="0.2">
      <c r="A3612">
        <v>22</v>
      </c>
      <c r="E3612" t="str">
        <f t="shared" si="131"/>
        <v>W</v>
      </c>
      <c r="F3612" t="str">
        <f t="shared" si="130"/>
        <v>22W</v>
      </c>
    </row>
    <row r="3613" spans="1:6" x14ac:dyDescent="0.2">
      <c r="A3613">
        <v>23</v>
      </c>
      <c r="E3613" t="str">
        <f t="shared" si="131"/>
        <v>X</v>
      </c>
      <c r="F3613" t="str">
        <f t="shared" si="130"/>
        <v>23X</v>
      </c>
    </row>
    <row r="3614" spans="1:6" x14ac:dyDescent="0.2">
      <c r="A3614">
        <v>24</v>
      </c>
      <c r="E3614" t="str">
        <f t="shared" si="131"/>
        <v>Y</v>
      </c>
      <c r="F3614" t="str">
        <f t="shared" si="130"/>
        <v>24Y</v>
      </c>
    </row>
    <row r="3615" spans="1:6" x14ac:dyDescent="0.2">
      <c r="A3615">
        <v>25</v>
      </c>
      <c r="E3615" t="str">
        <f t="shared" si="131"/>
        <v>Z</v>
      </c>
      <c r="F3615" t="str">
        <f t="shared" si="130"/>
        <v>25Z</v>
      </c>
    </row>
    <row r="3616" spans="1:6" x14ac:dyDescent="0.2">
      <c r="A3616">
        <v>0</v>
      </c>
      <c r="E3616" t="str">
        <f t="shared" si="131"/>
        <v>A</v>
      </c>
      <c r="F3616" t="str">
        <f t="shared" si="130"/>
        <v>0A</v>
      </c>
    </row>
    <row r="3617" spans="1:6" x14ac:dyDescent="0.2">
      <c r="A3617">
        <v>1</v>
      </c>
      <c r="E3617" t="str">
        <f t="shared" si="131"/>
        <v>B</v>
      </c>
      <c r="F3617" t="str">
        <f t="shared" si="130"/>
        <v>1B</v>
      </c>
    </row>
    <row r="3618" spans="1:6" x14ac:dyDescent="0.2">
      <c r="A3618">
        <v>2</v>
      </c>
      <c r="E3618" t="str">
        <f t="shared" si="131"/>
        <v>C</v>
      </c>
      <c r="F3618" t="str">
        <f t="shared" si="130"/>
        <v>2C</v>
      </c>
    </row>
    <row r="3619" spans="1:6" x14ac:dyDescent="0.2">
      <c r="A3619">
        <v>3</v>
      </c>
      <c r="E3619" t="str">
        <f t="shared" si="131"/>
        <v>D</v>
      </c>
      <c r="F3619" t="str">
        <f t="shared" si="130"/>
        <v>3D</v>
      </c>
    </row>
    <row r="3620" spans="1:6" x14ac:dyDescent="0.2">
      <c r="A3620">
        <v>4</v>
      </c>
      <c r="E3620" t="str">
        <f t="shared" si="131"/>
        <v>E</v>
      </c>
      <c r="F3620" t="str">
        <f t="shared" si="130"/>
        <v>4E</v>
      </c>
    </row>
    <row r="3621" spans="1:6" x14ac:dyDescent="0.2">
      <c r="A3621">
        <v>5</v>
      </c>
      <c r="E3621" t="str">
        <f t="shared" si="131"/>
        <v>F</v>
      </c>
      <c r="F3621" t="str">
        <f t="shared" si="130"/>
        <v>5F</v>
      </c>
    </row>
    <row r="3622" spans="1:6" x14ac:dyDescent="0.2">
      <c r="A3622">
        <v>6</v>
      </c>
      <c r="E3622" t="str">
        <f t="shared" si="131"/>
        <v>G</v>
      </c>
      <c r="F3622" t="str">
        <f t="shared" si="130"/>
        <v>6G</v>
      </c>
    </row>
    <row r="3623" spans="1:6" x14ac:dyDescent="0.2">
      <c r="A3623">
        <v>7</v>
      </c>
      <c r="E3623" t="str">
        <f t="shared" si="131"/>
        <v>H</v>
      </c>
      <c r="F3623" t="str">
        <f t="shared" si="130"/>
        <v>7H</v>
      </c>
    </row>
    <row r="3624" spans="1:6" x14ac:dyDescent="0.2">
      <c r="A3624">
        <v>8</v>
      </c>
      <c r="E3624" t="str">
        <f t="shared" si="131"/>
        <v>I</v>
      </c>
      <c r="F3624" t="str">
        <f t="shared" si="130"/>
        <v>8I</v>
      </c>
    </row>
    <row r="3625" spans="1:6" x14ac:dyDescent="0.2">
      <c r="A3625">
        <v>9</v>
      </c>
      <c r="E3625" t="str">
        <f t="shared" si="131"/>
        <v>J</v>
      </c>
      <c r="F3625" t="str">
        <f t="shared" si="130"/>
        <v>9J</v>
      </c>
    </row>
    <row r="3626" spans="1:6" x14ac:dyDescent="0.2">
      <c r="A3626">
        <v>10</v>
      </c>
      <c r="E3626" t="str">
        <f t="shared" si="131"/>
        <v>K</v>
      </c>
      <c r="F3626" t="str">
        <f t="shared" si="130"/>
        <v>10K</v>
      </c>
    </row>
    <row r="3627" spans="1:6" x14ac:dyDescent="0.2">
      <c r="A3627">
        <v>11</v>
      </c>
      <c r="E3627" t="str">
        <f t="shared" si="131"/>
        <v>L</v>
      </c>
      <c r="F3627" t="str">
        <f t="shared" si="130"/>
        <v>11L</v>
      </c>
    </row>
    <row r="3628" spans="1:6" x14ac:dyDescent="0.2">
      <c r="A3628">
        <v>12</v>
      </c>
      <c r="E3628" t="str">
        <f t="shared" si="131"/>
        <v>M</v>
      </c>
      <c r="F3628" t="str">
        <f t="shared" si="130"/>
        <v>12M</v>
      </c>
    </row>
    <row r="3629" spans="1:6" x14ac:dyDescent="0.2">
      <c r="A3629">
        <v>13</v>
      </c>
      <c r="E3629" t="str">
        <f t="shared" si="131"/>
        <v>N</v>
      </c>
      <c r="F3629" t="str">
        <f t="shared" si="130"/>
        <v>13N</v>
      </c>
    </row>
    <row r="3630" spans="1:6" x14ac:dyDescent="0.2">
      <c r="A3630">
        <v>14</v>
      </c>
      <c r="E3630" t="str">
        <f t="shared" si="131"/>
        <v>O</v>
      </c>
      <c r="F3630" t="str">
        <f t="shared" si="130"/>
        <v>14O</v>
      </c>
    </row>
    <row r="3631" spans="1:6" x14ac:dyDescent="0.2">
      <c r="A3631">
        <v>15</v>
      </c>
      <c r="E3631" t="str">
        <f t="shared" si="131"/>
        <v>P</v>
      </c>
      <c r="F3631" t="str">
        <f t="shared" si="130"/>
        <v>15P</v>
      </c>
    </row>
    <row r="3632" spans="1:6" x14ac:dyDescent="0.2">
      <c r="A3632">
        <v>16</v>
      </c>
      <c r="E3632" t="str">
        <f t="shared" si="131"/>
        <v>Q</v>
      </c>
      <c r="F3632" t="str">
        <f t="shared" si="130"/>
        <v>16Q</v>
      </c>
    </row>
    <row r="3633" spans="1:6" x14ac:dyDescent="0.2">
      <c r="A3633">
        <v>17</v>
      </c>
      <c r="E3633" t="str">
        <f t="shared" si="131"/>
        <v>R</v>
      </c>
      <c r="F3633" t="str">
        <f t="shared" si="130"/>
        <v>17R</v>
      </c>
    </row>
    <row r="3634" spans="1:6" x14ac:dyDescent="0.2">
      <c r="A3634">
        <v>18</v>
      </c>
      <c r="E3634" t="str">
        <f t="shared" si="131"/>
        <v>S</v>
      </c>
      <c r="F3634" t="str">
        <f t="shared" si="130"/>
        <v>18S</v>
      </c>
    </row>
    <row r="3635" spans="1:6" x14ac:dyDescent="0.2">
      <c r="A3635">
        <v>19</v>
      </c>
      <c r="E3635" t="str">
        <f t="shared" si="131"/>
        <v>T</v>
      </c>
      <c r="F3635" t="str">
        <f t="shared" si="130"/>
        <v>19T</v>
      </c>
    </row>
    <row r="3636" spans="1:6" x14ac:dyDescent="0.2">
      <c r="A3636">
        <v>20</v>
      </c>
      <c r="E3636" t="str">
        <f t="shared" si="131"/>
        <v>U</v>
      </c>
      <c r="F3636" t="str">
        <f t="shared" si="130"/>
        <v>20U</v>
      </c>
    </row>
    <row r="3637" spans="1:6" x14ac:dyDescent="0.2">
      <c r="A3637">
        <v>21</v>
      </c>
      <c r="E3637" t="str">
        <f t="shared" si="131"/>
        <v>V</v>
      </c>
      <c r="F3637" t="str">
        <f t="shared" si="130"/>
        <v>21V</v>
      </c>
    </row>
    <row r="3638" spans="1:6" x14ac:dyDescent="0.2">
      <c r="A3638">
        <v>22</v>
      </c>
      <c r="E3638" t="str">
        <f t="shared" si="131"/>
        <v>W</v>
      </c>
      <c r="F3638" t="str">
        <f t="shared" si="130"/>
        <v>22W</v>
      </c>
    </row>
    <row r="3639" spans="1:6" x14ac:dyDescent="0.2">
      <c r="A3639">
        <v>23</v>
      </c>
      <c r="E3639" t="str">
        <f t="shared" si="131"/>
        <v>X</v>
      </c>
      <c r="F3639" t="str">
        <f t="shared" si="130"/>
        <v>23X</v>
      </c>
    </row>
    <row r="3640" spans="1:6" x14ac:dyDescent="0.2">
      <c r="A3640">
        <v>24</v>
      </c>
      <c r="E3640" t="str">
        <f t="shared" si="131"/>
        <v>Y</v>
      </c>
      <c r="F3640" t="str">
        <f t="shared" si="130"/>
        <v>24Y</v>
      </c>
    </row>
    <row r="3641" spans="1:6" x14ac:dyDescent="0.2">
      <c r="A3641">
        <v>25</v>
      </c>
      <c r="E3641" t="str">
        <f t="shared" si="131"/>
        <v>Z</v>
      </c>
      <c r="F3641" t="str">
        <f t="shared" si="130"/>
        <v>25Z</v>
      </c>
    </row>
    <row r="3642" spans="1:6" x14ac:dyDescent="0.2">
      <c r="A3642">
        <v>0</v>
      </c>
      <c r="E3642" t="str">
        <f t="shared" si="131"/>
        <v>A</v>
      </c>
      <c r="F3642" t="str">
        <f t="shared" si="130"/>
        <v>0A</v>
      </c>
    </row>
    <row r="3643" spans="1:6" x14ac:dyDescent="0.2">
      <c r="A3643">
        <v>1</v>
      </c>
      <c r="E3643" t="str">
        <f t="shared" si="131"/>
        <v>B</v>
      </c>
      <c r="F3643" t="str">
        <f t="shared" si="130"/>
        <v>1B</v>
      </c>
    </row>
    <row r="3644" spans="1:6" x14ac:dyDescent="0.2">
      <c r="A3644">
        <v>2</v>
      </c>
      <c r="E3644" t="str">
        <f t="shared" si="131"/>
        <v>C</v>
      </c>
      <c r="F3644" t="str">
        <f t="shared" si="130"/>
        <v>2C</v>
      </c>
    </row>
    <row r="3645" spans="1:6" x14ac:dyDescent="0.2">
      <c r="A3645">
        <v>3</v>
      </c>
      <c r="E3645" t="str">
        <f t="shared" si="131"/>
        <v>D</v>
      </c>
      <c r="F3645" t="str">
        <f t="shared" ref="F3645:F3708" si="132">A3645&amp;C3645&amp;E3645</f>
        <v>3D</v>
      </c>
    </row>
    <row r="3646" spans="1:6" x14ac:dyDescent="0.2">
      <c r="A3646">
        <v>4</v>
      </c>
      <c r="E3646" t="str">
        <f t="shared" si="131"/>
        <v>E</v>
      </c>
      <c r="F3646" t="str">
        <f t="shared" si="132"/>
        <v>4E</v>
      </c>
    </row>
    <row r="3647" spans="1:6" x14ac:dyDescent="0.2">
      <c r="A3647">
        <v>5</v>
      </c>
      <c r="E3647" t="str">
        <f t="shared" si="131"/>
        <v>F</v>
      </c>
      <c r="F3647" t="str">
        <f t="shared" si="132"/>
        <v>5F</v>
      </c>
    </row>
    <row r="3648" spans="1:6" x14ac:dyDescent="0.2">
      <c r="A3648">
        <v>6</v>
      </c>
      <c r="E3648" t="str">
        <f t="shared" si="131"/>
        <v>G</v>
      </c>
      <c r="F3648" t="str">
        <f t="shared" si="132"/>
        <v>6G</v>
      </c>
    </row>
    <row r="3649" spans="1:6" x14ac:dyDescent="0.2">
      <c r="A3649">
        <v>7</v>
      </c>
      <c r="E3649" t="str">
        <f t="shared" si="131"/>
        <v>H</v>
      </c>
      <c r="F3649" t="str">
        <f t="shared" si="132"/>
        <v>7H</v>
      </c>
    </row>
    <row r="3650" spans="1:6" x14ac:dyDescent="0.2">
      <c r="A3650">
        <v>8</v>
      </c>
      <c r="E3650" t="str">
        <f t="shared" si="131"/>
        <v>I</v>
      </c>
      <c r="F3650" t="str">
        <f t="shared" si="132"/>
        <v>8I</v>
      </c>
    </row>
    <row r="3651" spans="1:6" x14ac:dyDescent="0.2">
      <c r="A3651">
        <v>9</v>
      </c>
      <c r="E3651" t="str">
        <f t="shared" si="131"/>
        <v>J</v>
      </c>
      <c r="F3651" t="str">
        <f t="shared" si="132"/>
        <v>9J</v>
      </c>
    </row>
    <row r="3652" spans="1:6" x14ac:dyDescent="0.2">
      <c r="A3652">
        <v>10</v>
      </c>
      <c r="E3652" t="str">
        <f t="shared" si="131"/>
        <v>K</v>
      </c>
      <c r="F3652" t="str">
        <f t="shared" si="132"/>
        <v>10K</v>
      </c>
    </row>
    <row r="3653" spans="1:6" x14ac:dyDescent="0.2">
      <c r="A3653">
        <v>11</v>
      </c>
      <c r="E3653" t="str">
        <f t="shared" si="131"/>
        <v>L</v>
      </c>
      <c r="F3653" t="str">
        <f t="shared" si="132"/>
        <v>11L</v>
      </c>
    </row>
    <row r="3654" spans="1:6" x14ac:dyDescent="0.2">
      <c r="A3654">
        <v>12</v>
      </c>
      <c r="E3654" t="str">
        <f t="shared" si="131"/>
        <v>M</v>
      </c>
      <c r="F3654" t="str">
        <f t="shared" si="132"/>
        <v>12M</v>
      </c>
    </row>
    <row r="3655" spans="1:6" x14ac:dyDescent="0.2">
      <c r="A3655">
        <v>13</v>
      </c>
      <c r="E3655" t="str">
        <f t="shared" si="131"/>
        <v>N</v>
      </c>
      <c r="F3655" t="str">
        <f t="shared" si="132"/>
        <v>13N</v>
      </c>
    </row>
    <row r="3656" spans="1:6" x14ac:dyDescent="0.2">
      <c r="A3656">
        <v>14</v>
      </c>
      <c r="E3656" t="str">
        <f t="shared" si="131"/>
        <v>O</v>
      </c>
      <c r="F3656" t="str">
        <f t="shared" si="132"/>
        <v>14O</v>
      </c>
    </row>
    <row r="3657" spans="1:6" x14ac:dyDescent="0.2">
      <c r="A3657">
        <v>15</v>
      </c>
      <c r="E3657" t="str">
        <f t="shared" si="131"/>
        <v>P</v>
      </c>
      <c r="F3657" t="str">
        <f t="shared" si="132"/>
        <v>15P</v>
      </c>
    </row>
    <row r="3658" spans="1:6" x14ac:dyDescent="0.2">
      <c r="A3658">
        <v>16</v>
      </c>
      <c r="E3658" t="str">
        <f t="shared" si="131"/>
        <v>Q</v>
      </c>
      <c r="F3658" t="str">
        <f t="shared" si="132"/>
        <v>16Q</v>
      </c>
    </row>
    <row r="3659" spans="1:6" x14ac:dyDescent="0.2">
      <c r="A3659">
        <v>17</v>
      </c>
      <c r="E3659" t="str">
        <f t="shared" si="131"/>
        <v>R</v>
      </c>
      <c r="F3659" t="str">
        <f t="shared" si="132"/>
        <v>17R</v>
      </c>
    </row>
    <row r="3660" spans="1:6" x14ac:dyDescent="0.2">
      <c r="A3660">
        <v>18</v>
      </c>
      <c r="E3660" t="str">
        <f t="shared" si="131"/>
        <v>S</v>
      </c>
      <c r="F3660" t="str">
        <f t="shared" si="132"/>
        <v>18S</v>
      </c>
    </row>
    <row r="3661" spans="1:6" x14ac:dyDescent="0.2">
      <c r="A3661">
        <v>19</v>
      </c>
      <c r="E3661" t="str">
        <f t="shared" si="131"/>
        <v>T</v>
      </c>
      <c r="F3661" t="str">
        <f t="shared" si="132"/>
        <v>19T</v>
      </c>
    </row>
    <row r="3662" spans="1:6" x14ac:dyDescent="0.2">
      <c r="A3662">
        <v>20</v>
      </c>
      <c r="E3662" t="str">
        <f t="shared" si="131"/>
        <v>U</v>
      </c>
      <c r="F3662" t="str">
        <f t="shared" si="132"/>
        <v>20U</v>
      </c>
    </row>
    <row r="3663" spans="1:6" x14ac:dyDescent="0.2">
      <c r="A3663">
        <v>21</v>
      </c>
      <c r="E3663" t="str">
        <f t="shared" si="131"/>
        <v>V</v>
      </c>
      <c r="F3663" t="str">
        <f t="shared" si="132"/>
        <v>21V</v>
      </c>
    </row>
    <row r="3664" spans="1:6" x14ac:dyDescent="0.2">
      <c r="A3664">
        <v>22</v>
      </c>
      <c r="E3664" t="str">
        <f t="shared" si="131"/>
        <v>W</v>
      </c>
      <c r="F3664" t="str">
        <f t="shared" si="132"/>
        <v>22W</v>
      </c>
    </row>
    <row r="3665" spans="1:6" x14ac:dyDescent="0.2">
      <c r="A3665">
        <v>23</v>
      </c>
      <c r="E3665" t="str">
        <f t="shared" si="131"/>
        <v>X</v>
      </c>
      <c r="F3665" t="str">
        <f t="shared" si="132"/>
        <v>23X</v>
      </c>
    </row>
    <row r="3666" spans="1:6" x14ac:dyDescent="0.2">
      <c r="A3666">
        <v>24</v>
      </c>
      <c r="E3666" t="str">
        <f t="shared" si="131"/>
        <v>Y</v>
      </c>
      <c r="F3666" t="str">
        <f t="shared" si="132"/>
        <v>24Y</v>
      </c>
    </row>
    <row r="3667" spans="1:6" x14ac:dyDescent="0.2">
      <c r="A3667">
        <v>25</v>
      </c>
      <c r="E3667" t="str">
        <f t="shared" si="131"/>
        <v>Z</v>
      </c>
      <c r="F3667" t="str">
        <f t="shared" si="132"/>
        <v>25Z</v>
      </c>
    </row>
    <row r="3668" spans="1:6" x14ac:dyDescent="0.2">
      <c r="A3668">
        <v>0</v>
      </c>
      <c r="E3668" t="str">
        <f t="shared" si="131"/>
        <v>A</v>
      </c>
      <c r="F3668" t="str">
        <f t="shared" si="132"/>
        <v>0A</v>
      </c>
    </row>
    <row r="3669" spans="1:6" x14ac:dyDescent="0.2">
      <c r="A3669">
        <v>1</v>
      </c>
      <c r="E3669" t="str">
        <f t="shared" si="131"/>
        <v>B</v>
      </c>
      <c r="F3669" t="str">
        <f t="shared" si="132"/>
        <v>1B</v>
      </c>
    </row>
    <row r="3670" spans="1:6" x14ac:dyDescent="0.2">
      <c r="A3670">
        <v>2</v>
      </c>
      <c r="E3670" t="str">
        <f t="shared" si="131"/>
        <v>C</v>
      </c>
      <c r="F3670" t="str">
        <f t="shared" si="132"/>
        <v>2C</v>
      </c>
    </row>
    <row r="3671" spans="1:6" x14ac:dyDescent="0.2">
      <c r="A3671">
        <v>3</v>
      </c>
      <c r="E3671" t="str">
        <f t="shared" ref="E3671:E3734" si="133">E3645</f>
        <v>D</v>
      </c>
      <c r="F3671" t="str">
        <f t="shared" si="132"/>
        <v>3D</v>
      </c>
    </row>
    <row r="3672" spans="1:6" x14ac:dyDescent="0.2">
      <c r="A3672">
        <v>4</v>
      </c>
      <c r="E3672" t="str">
        <f t="shared" si="133"/>
        <v>E</v>
      </c>
      <c r="F3672" t="str">
        <f t="shared" si="132"/>
        <v>4E</v>
      </c>
    </row>
    <row r="3673" spans="1:6" x14ac:dyDescent="0.2">
      <c r="A3673">
        <v>5</v>
      </c>
      <c r="E3673" t="str">
        <f t="shared" si="133"/>
        <v>F</v>
      </c>
      <c r="F3673" t="str">
        <f t="shared" si="132"/>
        <v>5F</v>
      </c>
    </row>
    <row r="3674" spans="1:6" x14ac:dyDescent="0.2">
      <c r="A3674">
        <v>6</v>
      </c>
      <c r="E3674" t="str">
        <f t="shared" si="133"/>
        <v>G</v>
      </c>
      <c r="F3674" t="str">
        <f t="shared" si="132"/>
        <v>6G</v>
      </c>
    </row>
    <row r="3675" spans="1:6" x14ac:dyDescent="0.2">
      <c r="A3675">
        <v>7</v>
      </c>
      <c r="E3675" t="str">
        <f t="shared" si="133"/>
        <v>H</v>
      </c>
      <c r="F3675" t="str">
        <f t="shared" si="132"/>
        <v>7H</v>
      </c>
    </row>
    <row r="3676" spans="1:6" x14ac:dyDescent="0.2">
      <c r="A3676">
        <v>8</v>
      </c>
      <c r="E3676" t="str">
        <f t="shared" si="133"/>
        <v>I</v>
      </c>
      <c r="F3676" t="str">
        <f t="shared" si="132"/>
        <v>8I</v>
      </c>
    </row>
    <row r="3677" spans="1:6" x14ac:dyDescent="0.2">
      <c r="A3677">
        <v>9</v>
      </c>
      <c r="E3677" t="str">
        <f t="shared" si="133"/>
        <v>J</v>
      </c>
      <c r="F3677" t="str">
        <f t="shared" si="132"/>
        <v>9J</v>
      </c>
    </row>
    <row r="3678" spans="1:6" x14ac:dyDescent="0.2">
      <c r="A3678">
        <v>10</v>
      </c>
      <c r="E3678" t="str">
        <f t="shared" si="133"/>
        <v>K</v>
      </c>
      <c r="F3678" t="str">
        <f t="shared" si="132"/>
        <v>10K</v>
      </c>
    </row>
    <row r="3679" spans="1:6" x14ac:dyDescent="0.2">
      <c r="A3679">
        <v>11</v>
      </c>
      <c r="E3679" t="str">
        <f t="shared" si="133"/>
        <v>L</v>
      </c>
      <c r="F3679" t="str">
        <f t="shared" si="132"/>
        <v>11L</v>
      </c>
    </row>
    <row r="3680" spans="1:6" x14ac:dyDescent="0.2">
      <c r="A3680">
        <v>12</v>
      </c>
      <c r="E3680" t="str">
        <f t="shared" si="133"/>
        <v>M</v>
      </c>
      <c r="F3680" t="str">
        <f t="shared" si="132"/>
        <v>12M</v>
      </c>
    </row>
    <row r="3681" spans="1:6" x14ac:dyDescent="0.2">
      <c r="A3681">
        <v>13</v>
      </c>
      <c r="E3681" t="str">
        <f t="shared" si="133"/>
        <v>N</v>
      </c>
      <c r="F3681" t="str">
        <f t="shared" si="132"/>
        <v>13N</v>
      </c>
    </row>
    <row r="3682" spans="1:6" x14ac:dyDescent="0.2">
      <c r="A3682">
        <v>14</v>
      </c>
      <c r="E3682" t="str">
        <f t="shared" si="133"/>
        <v>O</v>
      </c>
      <c r="F3682" t="str">
        <f t="shared" si="132"/>
        <v>14O</v>
      </c>
    </row>
    <row r="3683" spans="1:6" x14ac:dyDescent="0.2">
      <c r="A3683">
        <v>15</v>
      </c>
      <c r="E3683" t="str">
        <f t="shared" si="133"/>
        <v>P</v>
      </c>
      <c r="F3683" t="str">
        <f t="shared" si="132"/>
        <v>15P</v>
      </c>
    </row>
    <row r="3684" spans="1:6" x14ac:dyDescent="0.2">
      <c r="A3684">
        <v>16</v>
      </c>
      <c r="E3684" t="str">
        <f t="shared" si="133"/>
        <v>Q</v>
      </c>
      <c r="F3684" t="str">
        <f t="shared" si="132"/>
        <v>16Q</v>
      </c>
    </row>
    <row r="3685" spans="1:6" x14ac:dyDescent="0.2">
      <c r="A3685">
        <v>17</v>
      </c>
      <c r="E3685" t="str">
        <f t="shared" si="133"/>
        <v>R</v>
      </c>
      <c r="F3685" t="str">
        <f t="shared" si="132"/>
        <v>17R</v>
      </c>
    </row>
    <row r="3686" spans="1:6" x14ac:dyDescent="0.2">
      <c r="A3686">
        <v>18</v>
      </c>
      <c r="E3686" t="str">
        <f t="shared" si="133"/>
        <v>S</v>
      </c>
      <c r="F3686" t="str">
        <f t="shared" si="132"/>
        <v>18S</v>
      </c>
    </row>
    <row r="3687" spans="1:6" x14ac:dyDescent="0.2">
      <c r="A3687">
        <v>19</v>
      </c>
      <c r="E3687" t="str">
        <f t="shared" si="133"/>
        <v>T</v>
      </c>
      <c r="F3687" t="str">
        <f t="shared" si="132"/>
        <v>19T</v>
      </c>
    </row>
    <row r="3688" spans="1:6" x14ac:dyDescent="0.2">
      <c r="A3688">
        <v>20</v>
      </c>
      <c r="E3688" t="str">
        <f t="shared" si="133"/>
        <v>U</v>
      </c>
      <c r="F3688" t="str">
        <f t="shared" si="132"/>
        <v>20U</v>
      </c>
    </row>
    <row r="3689" spans="1:6" x14ac:dyDescent="0.2">
      <c r="A3689">
        <v>21</v>
      </c>
      <c r="E3689" t="str">
        <f t="shared" si="133"/>
        <v>V</v>
      </c>
      <c r="F3689" t="str">
        <f t="shared" si="132"/>
        <v>21V</v>
      </c>
    </row>
    <row r="3690" spans="1:6" x14ac:dyDescent="0.2">
      <c r="A3690">
        <v>22</v>
      </c>
      <c r="E3690" t="str">
        <f t="shared" si="133"/>
        <v>W</v>
      </c>
      <c r="F3690" t="str">
        <f t="shared" si="132"/>
        <v>22W</v>
      </c>
    </row>
    <row r="3691" spans="1:6" x14ac:dyDescent="0.2">
      <c r="A3691">
        <v>23</v>
      </c>
      <c r="E3691" t="str">
        <f t="shared" si="133"/>
        <v>X</v>
      </c>
      <c r="F3691" t="str">
        <f t="shared" si="132"/>
        <v>23X</v>
      </c>
    </row>
    <row r="3692" spans="1:6" x14ac:dyDescent="0.2">
      <c r="A3692">
        <v>24</v>
      </c>
      <c r="E3692" t="str">
        <f t="shared" si="133"/>
        <v>Y</v>
      </c>
      <c r="F3692" t="str">
        <f t="shared" si="132"/>
        <v>24Y</v>
      </c>
    </row>
    <row r="3693" spans="1:6" x14ac:dyDescent="0.2">
      <c r="A3693">
        <v>25</v>
      </c>
      <c r="E3693" t="str">
        <f t="shared" si="133"/>
        <v>Z</v>
      </c>
      <c r="F3693" t="str">
        <f t="shared" si="132"/>
        <v>25Z</v>
      </c>
    </row>
    <row r="3694" spans="1:6" x14ac:dyDescent="0.2">
      <c r="A3694">
        <v>0</v>
      </c>
      <c r="E3694" t="str">
        <f t="shared" si="133"/>
        <v>A</v>
      </c>
      <c r="F3694" t="str">
        <f t="shared" si="132"/>
        <v>0A</v>
      </c>
    </row>
    <row r="3695" spans="1:6" x14ac:dyDescent="0.2">
      <c r="A3695">
        <v>1</v>
      </c>
      <c r="E3695" t="str">
        <f t="shared" si="133"/>
        <v>B</v>
      </c>
      <c r="F3695" t="str">
        <f t="shared" si="132"/>
        <v>1B</v>
      </c>
    </row>
    <row r="3696" spans="1:6" x14ac:dyDescent="0.2">
      <c r="A3696">
        <v>2</v>
      </c>
      <c r="E3696" t="str">
        <f t="shared" si="133"/>
        <v>C</v>
      </c>
      <c r="F3696" t="str">
        <f t="shared" si="132"/>
        <v>2C</v>
      </c>
    </row>
    <row r="3697" spans="1:6" x14ac:dyDescent="0.2">
      <c r="A3697">
        <v>3</v>
      </c>
      <c r="E3697" t="str">
        <f t="shared" si="133"/>
        <v>D</v>
      </c>
      <c r="F3697" t="str">
        <f t="shared" si="132"/>
        <v>3D</v>
      </c>
    </row>
    <row r="3698" spans="1:6" x14ac:dyDescent="0.2">
      <c r="A3698">
        <v>4</v>
      </c>
      <c r="E3698" t="str">
        <f t="shared" si="133"/>
        <v>E</v>
      </c>
      <c r="F3698" t="str">
        <f t="shared" si="132"/>
        <v>4E</v>
      </c>
    </row>
    <row r="3699" spans="1:6" x14ac:dyDescent="0.2">
      <c r="A3699">
        <v>5</v>
      </c>
      <c r="E3699" t="str">
        <f t="shared" si="133"/>
        <v>F</v>
      </c>
      <c r="F3699" t="str">
        <f t="shared" si="132"/>
        <v>5F</v>
      </c>
    </row>
    <row r="3700" spans="1:6" x14ac:dyDescent="0.2">
      <c r="A3700">
        <v>6</v>
      </c>
      <c r="E3700" t="str">
        <f t="shared" si="133"/>
        <v>G</v>
      </c>
      <c r="F3700" t="str">
        <f t="shared" si="132"/>
        <v>6G</v>
      </c>
    </row>
    <row r="3701" spans="1:6" x14ac:dyDescent="0.2">
      <c r="A3701">
        <v>7</v>
      </c>
      <c r="E3701" t="str">
        <f t="shared" si="133"/>
        <v>H</v>
      </c>
      <c r="F3701" t="str">
        <f t="shared" si="132"/>
        <v>7H</v>
      </c>
    </row>
    <row r="3702" spans="1:6" x14ac:dyDescent="0.2">
      <c r="A3702">
        <v>8</v>
      </c>
      <c r="E3702" t="str">
        <f t="shared" si="133"/>
        <v>I</v>
      </c>
      <c r="F3702" t="str">
        <f t="shared" si="132"/>
        <v>8I</v>
      </c>
    </row>
    <row r="3703" spans="1:6" x14ac:dyDescent="0.2">
      <c r="A3703">
        <v>9</v>
      </c>
      <c r="E3703" t="str">
        <f t="shared" si="133"/>
        <v>J</v>
      </c>
      <c r="F3703" t="str">
        <f t="shared" si="132"/>
        <v>9J</v>
      </c>
    </row>
    <row r="3704" spans="1:6" x14ac:dyDescent="0.2">
      <c r="A3704">
        <v>10</v>
      </c>
      <c r="E3704" t="str">
        <f t="shared" si="133"/>
        <v>K</v>
      </c>
      <c r="F3704" t="str">
        <f t="shared" si="132"/>
        <v>10K</v>
      </c>
    </row>
    <row r="3705" spans="1:6" x14ac:dyDescent="0.2">
      <c r="A3705">
        <v>11</v>
      </c>
      <c r="E3705" t="str">
        <f t="shared" si="133"/>
        <v>L</v>
      </c>
      <c r="F3705" t="str">
        <f t="shared" si="132"/>
        <v>11L</v>
      </c>
    </row>
    <row r="3706" spans="1:6" x14ac:dyDescent="0.2">
      <c r="A3706">
        <v>12</v>
      </c>
      <c r="E3706" t="str">
        <f t="shared" si="133"/>
        <v>M</v>
      </c>
      <c r="F3706" t="str">
        <f t="shared" si="132"/>
        <v>12M</v>
      </c>
    </row>
    <row r="3707" spans="1:6" x14ac:dyDescent="0.2">
      <c r="A3707">
        <v>13</v>
      </c>
      <c r="E3707" t="str">
        <f t="shared" si="133"/>
        <v>N</v>
      </c>
      <c r="F3707" t="str">
        <f t="shared" si="132"/>
        <v>13N</v>
      </c>
    </row>
    <row r="3708" spans="1:6" x14ac:dyDescent="0.2">
      <c r="A3708">
        <v>14</v>
      </c>
      <c r="E3708" t="str">
        <f t="shared" si="133"/>
        <v>O</v>
      </c>
      <c r="F3708" t="str">
        <f t="shared" si="132"/>
        <v>14O</v>
      </c>
    </row>
    <row r="3709" spans="1:6" x14ac:dyDescent="0.2">
      <c r="A3709">
        <v>15</v>
      </c>
      <c r="E3709" t="str">
        <f t="shared" si="133"/>
        <v>P</v>
      </c>
      <c r="F3709" t="str">
        <f t="shared" ref="F3709:F3772" si="134">A3709&amp;C3709&amp;E3709</f>
        <v>15P</v>
      </c>
    </row>
    <row r="3710" spans="1:6" x14ac:dyDescent="0.2">
      <c r="A3710">
        <v>16</v>
      </c>
      <c r="E3710" t="str">
        <f t="shared" si="133"/>
        <v>Q</v>
      </c>
      <c r="F3710" t="str">
        <f t="shared" si="134"/>
        <v>16Q</v>
      </c>
    </row>
    <row r="3711" spans="1:6" x14ac:dyDescent="0.2">
      <c r="A3711">
        <v>17</v>
      </c>
      <c r="E3711" t="str">
        <f t="shared" si="133"/>
        <v>R</v>
      </c>
      <c r="F3711" t="str">
        <f t="shared" si="134"/>
        <v>17R</v>
      </c>
    </row>
    <row r="3712" spans="1:6" x14ac:dyDescent="0.2">
      <c r="A3712">
        <v>18</v>
      </c>
      <c r="E3712" t="str">
        <f t="shared" si="133"/>
        <v>S</v>
      </c>
      <c r="F3712" t="str">
        <f t="shared" si="134"/>
        <v>18S</v>
      </c>
    </row>
    <row r="3713" spans="1:6" x14ac:dyDescent="0.2">
      <c r="A3713">
        <v>19</v>
      </c>
      <c r="E3713" t="str">
        <f t="shared" si="133"/>
        <v>T</v>
      </c>
      <c r="F3713" t="str">
        <f t="shared" si="134"/>
        <v>19T</v>
      </c>
    </row>
    <row r="3714" spans="1:6" x14ac:dyDescent="0.2">
      <c r="A3714">
        <v>20</v>
      </c>
      <c r="E3714" t="str">
        <f t="shared" si="133"/>
        <v>U</v>
      </c>
      <c r="F3714" t="str">
        <f t="shared" si="134"/>
        <v>20U</v>
      </c>
    </row>
    <row r="3715" spans="1:6" x14ac:dyDescent="0.2">
      <c r="A3715">
        <v>21</v>
      </c>
      <c r="E3715" t="str">
        <f t="shared" si="133"/>
        <v>V</v>
      </c>
      <c r="F3715" t="str">
        <f t="shared" si="134"/>
        <v>21V</v>
      </c>
    </row>
    <row r="3716" spans="1:6" x14ac:dyDescent="0.2">
      <c r="A3716">
        <v>22</v>
      </c>
      <c r="E3716" t="str">
        <f t="shared" si="133"/>
        <v>W</v>
      </c>
      <c r="F3716" t="str">
        <f t="shared" si="134"/>
        <v>22W</v>
      </c>
    </row>
    <row r="3717" spans="1:6" x14ac:dyDescent="0.2">
      <c r="A3717">
        <v>23</v>
      </c>
      <c r="E3717" t="str">
        <f t="shared" si="133"/>
        <v>X</v>
      </c>
      <c r="F3717" t="str">
        <f t="shared" si="134"/>
        <v>23X</v>
      </c>
    </row>
    <row r="3718" spans="1:6" x14ac:dyDescent="0.2">
      <c r="A3718">
        <v>24</v>
      </c>
      <c r="E3718" t="str">
        <f t="shared" si="133"/>
        <v>Y</v>
      </c>
      <c r="F3718" t="str">
        <f t="shared" si="134"/>
        <v>24Y</v>
      </c>
    </row>
    <row r="3719" spans="1:6" x14ac:dyDescent="0.2">
      <c r="A3719">
        <v>25</v>
      </c>
      <c r="E3719" t="str">
        <f t="shared" si="133"/>
        <v>Z</v>
      </c>
      <c r="F3719" t="str">
        <f t="shared" si="134"/>
        <v>25Z</v>
      </c>
    </row>
    <row r="3720" spans="1:6" x14ac:dyDescent="0.2">
      <c r="A3720">
        <v>0</v>
      </c>
      <c r="E3720" t="str">
        <f t="shared" si="133"/>
        <v>A</v>
      </c>
      <c r="F3720" t="str">
        <f t="shared" si="134"/>
        <v>0A</v>
      </c>
    </row>
    <row r="3721" spans="1:6" x14ac:dyDescent="0.2">
      <c r="A3721">
        <v>1</v>
      </c>
      <c r="E3721" t="str">
        <f t="shared" si="133"/>
        <v>B</v>
      </c>
      <c r="F3721" t="str">
        <f t="shared" si="134"/>
        <v>1B</v>
      </c>
    </row>
    <row r="3722" spans="1:6" x14ac:dyDescent="0.2">
      <c r="A3722">
        <v>2</v>
      </c>
      <c r="E3722" t="str">
        <f t="shared" si="133"/>
        <v>C</v>
      </c>
      <c r="F3722" t="str">
        <f t="shared" si="134"/>
        <v>2C</v>
      </c>
    </row>
    <row r="3723" spans="1:6" x14ac:dyDescent="0.2">
      <c r="A3723">
        <v>3</v>
      </c>
      <c r="E3723" t="str">
        <f t="shared" si="133"/>
        <v>D</v>
      </c>
      <c r="F3723" t="str">
        <f t="shared" si="134"/>
        <v>3D</v>
      </c>
    </row>
    <row r="3724" spans="1:6" x14ac:dyDescent="0.2">
      <c r="A3724">
        <v>4</v>
      </c>
      <c r="E3724" t="str">
        <f t="shared" si="133"/>
        <v>E</v>
      </c>
      <c r="F3724" t="str">
        <f t="shared" si="134"/>
        <v>4E</v>
      </c>
    </row>
    <row r="3725" spans="1:6" x14ac:dyDescent="0.2">
      <c r="A3725">
        <v>5</v>
      </c>
      <c r="E3725" t="str">
        <f t="shared" si="133"/>
        <v>F</v>
      </c>
      <c r="F3725" t="str">
        <f t="shared" si="134"/>
        <v>5F</v>
      </c>
    </row>
    <row r="3726" spans="1:6" x14ac:dyDescent="0.2">
      <c r="A3726">
        <v>6</v>
      </c>
      <c r="E3726" t="str">
        <f t="shared" si="133"/>
        <v>G</v>
      </c>
      <c r="F3726" t="str">
        <f t="shared" si="134"/>
        <v>6G</v>
      </c>
    </row>
    <row r="3727" spans="1:6" x14ac:dyDescent="0.2">
      <c r="A3727">
        <v>7</v>
      </c>
      <c r="E3727" t="str">
        <f t="shared" si="133"/>
        <v>H</v>
      </c>
      <c r="F3727" t="str">
        <f t="shared" si="134"/>
        <v>7H</v>
      </c>
    </row>
    <row r="3728" spans="1:6" x14ac:dyDescent="0.2">
      <c r="A3728">
        <v>8</v>
      </c>
      <c r="E3728" t="str">
        <f t="shared" si="133"/>
        <v>I</v>
      </c>
      <c r="F3728" t="str">
        <f t="shared" si="134"/>
        <v>8I</v>
      </c>
    </row>
    <row r="3729" spans="1:6" x14ac:dyDescent="0.2">
      <c r="A3729">
        <v>9</v>
      </c>
      <c r="E3729" t="str">
        <f t="shared" si="133"/>
        <v>J</v>
      </c>
      <c r="F3729" t="str">
        <f t="shared" si="134"/>
        <v>9J</v>
      </c>
    </row>
    <row r="3730" spans="1:6" x14ac:dyDescent="0.2">
      <c r="A3730">
        <v>10</v>
      </c>
      <c r="E3730" t="str">
        <f t="shared" si="133"/>
        <v>K</v>
      </c>
      <c r="F3730" t="str">
        <f t="shared" si="134"/>
        <v>10K</v>
      </c>
    </row>
    <row r="3731" spans="1:6" x14ac:dyDescent="0.2">
      <c r="A3731">
        <v>11</v>
      </c>
      <c r="E3731" t="str">
        <f t="shared" si="133"/>
        <v>L</v>
      </c>
      <c r="F3731" t="str">
        <f t="shared" si="134"/>
        <v>11L</v>
      </c>
    </row>
    <row r="3732" spans="1:6" x14ac:dyDescent="0.2">
      <c r="A3732">
        <v>12</v>
      </c>
      <c r="E3732" t="str">
        <f t="shared" si="133"/>
        <v>M</v>
      </c>
      <c r="F3732" t="str">
        <f t="shared" si="134"/>
        <v>12M</v>
      </c>
    </row>
    <row r="3733" spans="1:6" x14ac:dyDescent="0.2">
      <c r="A3733">
        <v>13</v>
      </c>
      <c r="E3733" t="str">
        <f t="shared" si="133"/>
        <v>N</v>
      </c>
      <c r="F3733" t="str">
        <f t="shared" si="134"/>
        <v>13N</v>
      </c>
    </row>
    <row r="3734" spans="1:6" x14ac:dyDescent="0.2">
      <c r="A3734">
        <v>14</v>
      </c>
      <c r="E3734" t="str">
        <f t="shared" si="133"/>
        <v>O</v>
      </c>
      <c r="F3734" t="str">
        <f t="shared" si="134"/>
        <v>14O</v>
      </c>
    </row>
    <row r="3735" spans="1:6" x14ac:dyDescent="0.2">
      <c r="A3735">
        <v>15</v>
      </c>
      <c r="E3735" t="str">
        <f t="shared" ref="E3735:E3798" si="135">E3709</f>
        <v>P</v>
      </c>
      <c r="F3735" t="str">
        <f t="shared" si="134"/>
        <v>15P</v>
      </c>
    </row>
    <row r="3736" spans="1:6" x14ac:dyDescent="0.2">
      <c r="A3736">
        <v>16</v>
      </c>
      <c r="E3736" t="str">
        <f t="shared" si="135"/>
        <v>Q</v>
      </c>
      <c r="F3736" t="str">
        <f t="shared" si="134"/>
        <v>16Q</v>
      </c>
    </row>
    <row r="3737" spans="1:6" x14ac:dyDescent="0.2">
      <c r="A3737">
        <v>17</v>
      </c>
      <c r="E3737" t="str">
        <f t="shared" si="135"/>
        <v>R</v>
      </c>
      <c r="F3737" t="str">
        <f t="shared" si="134"/>
        <v>17R</v>
      </c>
    </row>
    <row r="3738" spans="1:6" x14ac:dyDescent="0.2">
      <c r="A3738">
        <v>18</v>
      </c>
      <c r="E3738" t="str">
        <f t="shared" si="135"/>
        <v>S</v>
      </c>
      <c r="F3738" t="str">
        <f t="shared" si="134"/>
        <v>18S</v>
      </c>
    </row>
    <row r="3739" spans="1:6" x14ac:dyDescent="0.2">
      <c r="A3739">
        <v>19</v>
      </c>
      <c r="E3739" t="str">
        <f t="shared" si="135"/>
        <v>T</v>
      </c>
      <c r="F3739" t="str">
        <f t="shared" si="134"/>
        <v>19T</v>
      </c>
    </row>
    <row r="3740" spans="1:6" x14ac:dyDescent="0.2">
      <c r="A3740">
        <v>20</v>
      </c>
      <c r="E3740" t="str">
        <f t="shared" si="135"/>
        <v>U</v>
      </c>
      <c r="F3740" t="str">
        <f t="shared" si="134"/>
        <v>20U</v>
      </c>
    </row>
    <row r="3741" spans="1:6" x14ac:dyDescent="0.2">
      <c r="A3741">
        <v>21</v>
      </c>
      <c r="E3741" t="str">
        <f t="shared" si="135"/>
        <v>V</v>
      </c>
      <c r="F3741" t="str">
        <f t="shared" si="134"/>
        <v>21V</v>
      </c>
    </row>
    <row r="3742" spans="1:6" x14ac:dyDescent="0.2">
      <c r="A3742">
        <v>22</v>
      </c>
      <c r="E3742" t="str">
        <f t="shared" si="135"/>
        <v>W</v>
      </c>
      <c r="F3742" t="str">
        <f t="shared" si="134"/>
        <v>22W</v>
      </c>
    </row>
    <row r="3743" spans="1:6" x14ac:dyDescent="0.2">
      <c r="A3743">
        <v>23</v>
      </c>
      <c r="E3743" t="str">
        <f t="shared" si="135"/>
        <v>X</v>
      </c>
      <c r="F3743" t="str">
        <f t="shared" si="134"/>
        <v>23X</v>
      </c>
    </row>
    <row r="3744" spans="1:6" x14ac:dyDescent="0.2">
      <c r="A3744">
        <v>24</v>
      </c>
      <c r="E3744" t="str">
        <f t="shared" si="135"/>
        <v>Y</v>
      </c>
      <c r="F3744" t="str">
        <f t="shared" si="134"/>
        <v>24Y</v>
      </c>
    </row>
    <row r="3745" spans="1:6" x14ac:dyDescent="0.2">
      <c r="A3745">
        <v>25</v>
      </c>
      <c r="E3745" t="str">
        <f t="shared" si="135"/>
        <v>Z</v>
      </c>
      <c r="F3745" t="str">
        <f t="shared" si="134"/>
        <v>25Z</v>
      </c>
    </row>
    <row r="3746" spans="1:6" x14ac:dyDescent="0.2">
      <c r="A3746">
        <v>0</v>
      </c>
      <c r="E3746" t="str">
        <f t="shared" si="135"/>
        <v>A</v>
      </c>
      <c r="F3746" t="str">
        <f t="shared" si="134"/>
        <v>0A</v>
      </c>
    </row>
    <row r="3747" spans="1:6" x14ac:dyDescent="0.2">
      <c r="A3747">
        <v>1</v>
      </c>
      <c r="E3747" t="str">
        <f t="shared" si="135"/>
        <v>B</v>
      </c>
      <c r="F3747" t="str">
        <f t="shared" si="134"/>
        <v>1B</v>
      </c>
    </row>
    <row r="3748" spans="1:6" x14ac:dyDescent="0.2">
      <c r="A3748">
        <v>2</v>
      </c>
      <c r="E3748" t="str">
        <f t="shared" si="135"/>
        <v>C</v>
      </c>
      <c r="F3748" t="str">
        <f t="shared" si="134"/>
        <v>2C</v>
      </c>
    </row>
    <row r="3749" spans="1:6" x14ac:dyDescent="0.2">
      <c r="A3749">
        <v>3</v>
      </c>
      <c r="E3749" t="str">
        <f t="shared" si="135"/>
        <v>D</v>
      </c>
      <c r="F3749" t="str">
        <f t="shared" si="134"/>
        <v>3D</v>
      </c>
    </row>
    <row r="3750" spans="1:6" x14ac:dyDescent="0.2">
      <c r="A3750">
        <v>4</v>
      </c>
      <c r="E3750" t="str">
        <f t="shared" si="135"/>
        <v>E</v>
      </c>
      <c r="F3750" t="str">
        <f t="shared" si="134"/>
        <v>4E</v>
      </c>
    </row>
    <row r="3751" spans="1:6" x14ac:dyDescent="0.2">
      <c r="A3751">
        <v>5</v>
      </c>
      <c r="E3751" t="str">
        <f t="shared" si="135"/>
        <v>F</v>
      </c>
      <c r="F3751" t="str">
        <f t="shared" si="134"/>
        <v>5F</v>
      </c>
    </row>
    <row r="3752" spans="1:6" x14ac:dyDescent="0.2">
      <c r="A3752">
        <v>6</v>
      </c>
      <c r="E3752" t="str">
        <f t="shared" si="135"/>
        <v>G</v>
      </c>
      <c r="F3752" t="str">
        <f t="shared" si="134"/>
        <v>6G</v>
      </c>
    </row>
    <row r="3753" spans="1:6" x14ac:dyDescent="0.2">
      <c r="A3753">
        <v>7</v>
      </c>
      <c r="E3753" t="str">
        <f t="shared" si="135"/>
        <v>H</v>
      </c>
      <c r="F3753" t="str">
        <f t="shared" si="134"/>
        <v>7H</v>
      </c>
    </row>
    <row r="3754" spans="1:6" x14ac:dyDescent="0.2">
      <c r="A3754">
        <v>8</v>
      </c>
      <c r="E3754" t="str">
        <f t="shared" si="135"/>
        <v>I</v>
      </c>
      <c r="F3754" t="str">
        <f t="shared" si="134"/>
        <v>8I</v>
      </c>
    </row>
    <row r="3755" spans="1:6" x14ac:dyDescent="0.2">
      <c r="A3755">
        <v>9</v>
      </c>
      <c r="E3755" t="str">
        <f t="shared" si="135"/>
        <v>J</v>
      </c>
      <c r="F3755" t="str">
        <f t="shared" si="134"/>
        <v>9J</v>
      </c>
    </row>
    <row r="3756" spans="1:6" x14ac:dyDescent="0.2">
      <c r="A3756">
        <v>10</v>
      </c>
      <c r="E3756" t="str">
        <f t="shared" si="135"/>
        <v>K</v>
      </c>
      <c r="F3756" t="str">
        <f t="shared" si="134"/>
        <v>10K</v>
      </c>
    </row>
    <row r="3757" spans="1:6" x14ac:dyDescent="0.2">
      <c r="A3757">
        <v>11</v>
      </c>
      <c r="E3757" t="str">
        <f t="shared" si="135"/>
        <v>L</v>
      </c>
      <c r="F3757" t="str">
        <f t="shared" si="134"/>
        <v>11L</v>
      </c>
    </row>
    <row r="3758" spans="1:6" x14ac:dyDescent="0.2">
      <c r="A3758">
        <v>12</v>
      </c>
      <c r="E3758" t="str">
        <f t="shared" si="135"/>
        <v>M</v>
      </c>
      <c r="F3758" t="str">
        <f t="shared" si="134"/>
        <v>12M</v>
      </c>
    </row>
    <row r="3759" spans="1:6" x14ac:dyDescent="0.2">
      <c r="A3759">
        <v>13</v>
      </c>
      <c r="E3759" t="str">
        <f t="shared" si="135"/>
        <v>N</v>
      </c>
      <c r="F3759" t="str">
        <f t="shared" si="134"/>
        <v>13N</v>
      </c>
    </row>
    <row r="3760" spans="1:6" x14ac:dyDescent="0.2">
      <c r="A3760">
        <v>14</v>
      </c>
      <c r="E3760" t="str">
        <f t="shared" si="135"/>
        <v>O</v>
      </c>
      <c r="F3760" t="str">
        <f t="shared" si="134"/>
        <v>14O</v>
      </c>
    </row>
    <row r="3761" spans="1:6" x14ac:dyDescent="0.2">
      <c r="A3761">
        <v>15</v>
      </c>
      <c r="E3761" t="str">
        <f t="shared" si="135"/>
        <v>P</v>
      </c>
      <c r="F3761" t="str">
        <f t="shared" si="134"/>
        <v>15P</v>
      </c>
    </row>
    <row r="3762" spans="1:6" x14ac:dyDescent="0.2">
      <c r="A3762">
        <v>16</v>
      </c>
      <c r="E3762" t="str">
        <f t="shared" si="135"/>
        <v>Q</v>
      </c>
      <c r="F3762" t="str">
        <f t="shared" si="134"/>
        <v>16Q</v>
      </c>
    </row>
    <row r="3763" spans="1:6" x14ac:dyDescent="0.2">
      <c r="A3763">
        <v>17</v>
      </c>
      <c r="E3763" t="str">
        <f t="shared" si="135"/>
        <v>R</v>
      </c>
      <c r="F3763" t="str">
        <f t="shared" si="134"/>
        <v>17R</v>
      </c>
    </row>
    <row r="3764" spans="1:6" x14ac:dyDescent="0.2">
      <c r="A3764">
        <v>18</v>
      </c>
      <c r="E3764" t="str">
        <f t="shared" si="135"/>
        <v>S</v>
      </c>
      <c r="F3764" t="str">
        <f t="shared" si="134"/>
        <v>18S</v>
      </c>
    </row>
    <row r="3765" spans="1:6" x14ac:dyDescent="0.2">
      <c r="A3765">
        <v>19</v>
      </c>
      <c r="E3765" t="str">
        <f t="shared" si="135"/>
        <v>T</v>
      </c>
      <c r="F3765" t="str">
        <f t="shared" si="134"/>
        <v>19T</v>
      </c>
    </row>
    <row r="3766" spans="1:6" x14ac:dyDescent="0.2">
      <c r="A3766">
        <v>20</v>
      </c>
      <c r="E3766" t="str">
        <f t="shared" si="135"/>
        <v>U</v>
      </c>
      <c r="F3766" t="str">
        <f t="shared" si="134"/>
        <v>20U</v>
      </c>
    </row>
    <row r="3767" spans="1:6" x14ac:dyDescent="0.2">
      <c r="A3767">
        <v>21</v>
      </c>
      <c r="E3767" t="str">
        <f t="shared" si="135"/>
        <v>V</v>
      </c>
      <c r="F3767" t="str">
        <f t="shared" si="134"/>
        <v>21V</v>
      </c>
    </row>
    <row r="3768" spans="1:6" x14ac:dyDescent="0.2">
      <c r="A3768">
        <v>22</v>
      </c>
      <c r="E3768" t="str">
        <f t="shared" si="135"/>
        <v>W</v>
      </c>
      <c r="F3768" t="str">
        <f t="shared" si="134"/>
        <v>22W</v>
      </c>
    </row>
    <row r="3769" spans="1:6" x14ac:dyDescent="0.2">
      <c r="A3769">
        <v>23</v>
      </c>
      <c r="E3769" t="str">
        <f t="shared" si="135"/>
        <v>X</v>
      </c>
      <c r="F3769" t="str">
        <f t="shared" si="134"/>
        <v>23X</v>
      </c>
    </row>
    <row r="3770" spans="1:6" x14ac:dyDescent="0.2">
      <c r="A3770">
        <v>24</v>
      </c>
      <c r="E3770" t="str">
        <f t="shared" si="135"/>
        <v>Y</v>
      </c>
      <c r="F3770" t="str">
        <f t="shared" si="134"/>
        <v>24Y</v>
      </c>
    </row>
    <row r="3771" spans="1:6" x14ac:dyDescent="0.2">
      <c r="A3771">
        <v>25</v>
      </c>
      <c r="E3771" t="str">
        <f t="shared" si="135"/>
        <v>Z</v>
      </c>
      <c r="F3771" t="str">
        <f t="shared" si="134"/>
        <v>25Z</v>
      </c>
    </row>
    <row r="3772" spans="1:6" x14ac:dyDescent="0.2">
      <c r="A3772">
        <v>0</v>
      </c>
      <c r="E3772" t="str">
        <f t="shared" si="135"/>
        <v>A</v>
      </c>
      <c r="F3772" t="str">
        <f t="shared" si="134"/>
        <v>0A</v>
      </c>
    </row>
    <row r="3773" spans="1:6" x14ac:dyDescent="0.2">
      <c r="A3773">
        <v>1</v>
      </c>
      <c r="E3773" t="str">
        <f t="shared" si="135"/>
        <v>B</v>
      </c>
      <c r="F3773" t="str">
        <f t="shared" ref="F3773:F3836" si="136">A3773&amp;C3773&amp;E3773</f>
        <v>1B</v>
      </c>
    </row>
    <row r="3774" spans="1:6" x14ac:dyDescent="0.2">
      <c r="A3774">
        <v>2</v>
      </c>
      <c r="E3774" t="str">
        <f t="shared" si="135"/>
        <v>C</v>
      </c>
      <c r="F3774" t="str">
        <f t="shared" si="136"/>
        <v>2C</v>
      </c>
    </row>
    <row r="3775" spans="1:6" x14ac:dyDescent="0.2">
      <c r="A3775">
        <v>3</v>
      </c>
      <c r="E3775" t="str">
        <f t="shared" si="135"/>
        <v>D</v>
      </c>
      <c r="F3775" t="str">
        <f t="shared" si="136"/>
        <v>3D</v>
      </c>
    </row>
    <row r="3776" spans="1:6" x14ac:dyDescent="0.2">
      <c r="A3776">
        <v>4</v>
      </c>
      <c r="E3776" t="str">
        <f t="shared" si="135"/>
        <v>E</v>
      </c>
      <c r="F3776" t="str">
        <f t="shared" si="136"/>
        <v>4E</v>
      </c>
    </row>
    <row r="3777" spans="1:6" x14ac:dyDescent="0.2">
      <c r="A3777">
        <v>5</v>
      </c>
      <c r="E3777" t="str">
        <f t="shared" si="135"/>
        <v>F</v>
      </c>
      <c r="F3777" t="str">
        <f t="shared" si="136"/>
        <v>5F</v>
      </c>
    </row>
    <row r="3778" spans="1:6" x14ac:dyDescent="0.2">
      <c r="A3778">
        <v>6</v>
      </c>
      <c r="E3778" t="str">
        <f t="shared" si="135"/>
        <v>G</v>
      </c>
      <c r="F3778" t="str">
        <f t="shared" si="136"/>
        <v>6G</v>
      </c>
    </row>
    <row r="3779" spans="1:6" x14ac:dyDescent="0.2">
      <c r="A3779">
        <v>7</v>
      </c>
      <c r="E3779" t="str">
        <f t="shared" si="135"/>
        <v>H</v>
      </c>
      <c r="F3779" t="str">
        <f t="shared" si="136"/>
        <v>7H</v>
      </c>
    </row>
    <row r="3780" spans="1:6" x14ac:dyDescent="0.2">
      <c r="A3780">
        <v>8</v>
      </c>
      <c r="E3780" t="str">
        <f t="shared" si="135"/>
        <v>I</v>
      </c>
      <c r="F3780" t="str">
        <f t="shared" si="136"/>
        <v>8I</v>
      </c>
    </row>
    <row r="3781" spans="1:6" x14ac:dyDescent="0.2">
      <c r="A3781">
        <v>9</v>
      </c>
      <c r="E3781" t="str">
        <f t="shared" si="135"/>
        <v>J</v>
      </c>
      <c r="F3781" t="str">
        <f t="shared" si="136"/>
        <v>9J</v>
      </c>
    </row>
    <row r="3782" spans="1:6" x14ac:dyDescent="0.2">
      <c r="A3782">
        <v>10</v>
      </c>
      <c r="E3782" t="str">
        <f t="shared" si="135"/>
        <v>K</v>
      </c>
      <c r="F3782" t="str">
        <f t="shared" si="136"/>
        <v>10K</v>
      </c>
    </row>
    <row r="3783" spans="1:6" x14ac:dyDescent="0.2">
      <c r="A3783">
        <v>11</v>
      </c>
      <c r="E3783" t="str">
        <f t="shared" si="135"/>
        <v>L</v>
      </c>
      <c r="F3783" t="str">
        <f t="shared" si="136"/>
        <v>11L</v>
      </c>
    </row>
    <row r="3784" spans="1:6" x14ac:dyDescent="0.2">
      <c r="A3784">
        <v>12</v>
      </c>
      <c r="E3784" t="str">
        <f t="shared" si="135"/>
        <v>M</v>
      </c>
      <c r="F3784" t="str">
        <f t="shared" si="136"/>
        <v>12M</v>
      </c>
    </row>
    <row r="3785" spans="1:6" x14ac:dyDescent="0.2">
      <c r="A3785">
        <v>13</v>
      </c>
      <c r="E3785" t="str">
        <f t="shared" si="135"/>
        <v>N</v>
      </c>
      <c r="F3785" t="str">
        <f t="shared" si="136"/>
        <v>13N</v>
      </c>
    </row>
    <row r="3786" spans="1:6" x14ac:dyDescent="0.2">
      <c r="A3786">
        <v>14</v>
      </c>
      <c r="E3786" t="str">
        <f t="shared" si="135"/>
        <v>O</v>
      </c>
      <c r="F3786" t="str">
        <f t="shared" si="136"/>
        <v>14O</v>
      </c>
    </row>
    <row r="3787" spans="1:6" x14ac:dyDescent="0.2">
      <c r="A3787">
        <v>15</v>
      </c>
      <c r="E3787" t="str">
        <f t="shared" si="135"/>
        <v>P</v>
      </c>
      <c r="F3787" t="str">
        <f t="shared" si="136"/>
        <v>15P</v>
      </c>
    </row>
    <row r="3788" spans="1:6" x14ac:dyDescent="0.2">
      <c r="A3788">
        <v>16</v>
      </c>
      <c r="E3788" t="str">
        <f t="shared" si="135"/>
        <v>Q</v>
      </c>
      <c r="F3788" t="str">
        <f t="shared" si="136"/>
        <v>16Q</v>
      </c>
    </row>
    <row r="3789" spans="1:6" x14ac:dyDescent="0.2">
      <c r="A3789">
        <v>17</v>
      </c>
      <c r="E3789" t="str">
        <f t="shared" si="135"/>
        <v>R</v>
      </c>
      <c r="F3789" t="str">
        <f t="shared" si="136"/>
        <v>17R</v>
      </c>
    </row>
    <row r="3790" spans="1:6" x14ac:dyDescent="0.2">
      <c r="A3790">
        <v>18</v>
      </c>
      <c r="E3790" t="str">
        <f t="shared" si="135"/>
        <v>S</v>
      </c>
      <c r="F3790" t="str">
        <f t="shared" si="136"/>
        <v>18S</v>
      </c>
    </row>
    <row r="3791" spans="1:6" x14ac:dyDescent="0.2">
      <c r="A3791">
        <v>19</v>
      </c>
      <c r="E3791" t="str">
        <f t="shared" si="135"/>
        <v>T</v>
      </c>
      <c r="F3791" t="str">
        <f t="shared" si="136"/>
        <v>19T</v>
      </c>
    </row>
    <row r="3792" spans="1:6" x14ac:dyDescent="0.2">
      <c r="A3792">
        <v>20</v>
      </c>
      <c r="E3792" t="str">
        <f t="shared" si="135"/>
        <v>U</v>
      </c>
      <c r="F3792" t="str">
        <f t="shared" si="136"/>
        <v>20U</v>
      </c>
    </row>
    <row r="3793" spans="1:6" x14ac:dyDescent="0.2">
      <c r="A3793">
        <v>21</v>
      </c>
      <c r="E3793" t="str">
        <f t="shared" si="135"/>
        <v>V</v>
      </c>
      <c r="F3793" t="str">
        <f t="shared" si="136"/>
        <v>21V</v>
      </c>
    </row>
    <row r="3794" spans="1:6" x14ac:dyDescent="0.2">
      <c r="A3794">
        <v>22</v>
      </c>
      <c r="E3794" t="str">
        <f t="shared" si="135"/>
        <v>W</v>
      </c>
      <c r="F3794" t="str">
        <f t="shared" si="136"/>
        <v>22W</v>
      </c>
    </row>
    <row r="3795" spans="1:6" x14ac:dyDescent="0.2">
      <c r="A3795">
        <v>23</v>
      </c>
      <c r="E3795" t="str">
        <f t="shared" si="135"/>
        <v>X</v>
      </c>
      <c r="F3795" t="str">
        <f t="shared" si="136"/>
        <v>23X</v>
      </c>
    </row>
    <row r="3796" spans="1:6" x14ac:dyDescent="0.2">
      <c r="A3796">
        <v>24</v>
      </c>
      <c r="E3796" t="str">
        <f t="shared" si="135"/>
        <v>Y</v>
      </c>
      <c r="F3796" t="str">
        <f t="shared" si="136"/>
        <v>24Y</v>
      </c>
    </row>
    <row r="3797" spans="1:6" x14ac:dyDescent="0.2">
      <c r="A3797">
        <v>25</v>
      </c>
      <c r="E3797" t="str">
        <f t="shared" si="135"/>
        <v>Z</v>
      </c>
      <c r="F3797" t="str">
        <f t="shared" si="136"/>
        <v>25Z</v>
      </c>
    </row>
    <row r="3798" spans="1:6" x14ac:dyDescent="0.2">
      <c r="A3798">
        <v>0</v>
      </c>
      <c r="E3798" t="str">
        <f t="shared" si="135"/>
        <v>A</v>
      </c>
      <c r="F3798" t="str">
        <f t="shared" si="136"/>
        <v>0A</v>
      </c>
    </row>
    <row r="3799" spans="1:6" x14ac:dyDescent="0.2">
      <c r="A3799">
        <v>1</v>
      </c>
      <c r="E3799" t="str">
        <f t="shared" ref="E3799:E3862" si="137">E3773</f>
        <v>B</v>
      </c>
      <c r="F3799" t="str">
        <f t="shared" si="136"/>
        <v>1B</v>
      </c>
    </row>
    <row r="3800" spans="1:6" x14ac:dyDescent="0.2">
      <c r="A3800">
        <v>2</v>
      </c>
      <c r="E3800" t="str">
        <f t="shared" si="137"/>
        <v>C</v>
      </c>
      <c r="F3800" t="str">
        <f t="shared" si="136"/>
        <v>2C</v>
      </c>
    </row>
    <row r="3801" spans="1:6" x14ac:dyDescent="0.2">
      <c r="A3801">
        <v>3</v>
      </c>
      <c r="E3801" t="str">
        <f t="shared" si="137"/>
        <v>D</v>
      </c>
      <c r="F3801" t="str">
        <f t="shared" si="136"/>
        <v>3D</v>
      </c>
    </row>
    <row r="3802" spans="1:6" x14ac:dyDescent="0.2">
      <c r="A3802">
        <v>4</v>
      </c>
      <c r="E3802" t="str">
        <f t="shared" si="137"/>
        <v>E</v>
      </c>
      <c r="F3802" t="str">
        <f t="shared" si="136"/>
        <v>4E</v>
      </c>
    </row>
    <row r="3803" spans="1:6" x14ac:dyDescent="0.2">
      <c r="A3803">
        <v>5</v>
      </c>
      <c r="E3803" t="str">
        <f t="shared" si="137"/>
        <v>F</v>
      </c>
      <c r="F3803" t="str">
        <f t="shared" si="136"/>
        <v>5F</v>
      </c>
    </row>
    <row r="3804" spans="1:6" x14ac:dyDescent="0.2">
      <c r="A3804">
        <v>6</v>
      </c>
      <c r="E3804" t="str">
        <f t="shared" si="137"/>
        <v>G</v>
      </c>
      <c r="F3804" t="str">
        <f t="shared" si="136"/>
        <v>6G</v>
      </c>
    </row>
    <row r="3805" spans="1:6" x14ac:dyDescent="0.2">
      <c r="A3805">
        <v>7</v>
      </c>
      <c r="E3805" t="str">
        <f t="shared" si="137"/>
        <v>H</v>
      </c>
      <c r="F3805" t="str">
        <f t="shared" si="136"/>
        <v>7H</v>
      </c>
    </row>
    <row r="3806" spans="1:6" x14ac:dyDescent="0.2">
      <c r="A3806">
        <v>8</v>
      </c>
      <c r="E3806" t="str">
        <f t="shared" si="137"/>
        <v>I</v>
      </c>
      <c r="F3806" t="str">
        <f t="shared" si="136"/>
        <v>8I</v>
      </c>
    </row>
    <row r="3807" spans="1:6" x14ac:dyDescent="0.2">
      <c r="A3807">
        <v>9</v>
      </c>
      <c r="E3807" t="str">
        <f t="shared" si="137"/>
        <v>J</v>
      </c>
      <c r="F3807" t="str">
        <f t="shared" si="136"/>
        <v>9J</v>
      </c>
    </row>
    <row r="3808" spans="1:6" x14ac:dyDescent="0.2">
      <c r="A3808">
        <v>10</v>
      </c>
      <c r="E3808" t="str">
        <f t="shared" si="137"/>
        <v>K</v>
      </c>
      <c r="F3808" t="str">
        <f t="shared" si="136"/>
        <v>10K</v>
      </c>
    </row>
    <row r="3809" spans="1:6" x14ac:dyDescent="0.2">
      <c r="A3809">
        <v>11</v>
      </c>
      <c r="E3809" t="str">
        <f t="shared" si="137"/>
        <v>L</v>
      </c>
      <c r="F3809" t="str">
        <f t="shared" si="136"/>
        <v>11L</v>
      </c>
    </row>
    <row r="3810" spans="1:6" x14ac:dyDescent="0.2">
      <c r="A3810">
        <v>12</v>
      </c>
      <c r="E3810" t="str">
        <f t="shared" si="137"/>
        <v>M</v>
      </c>
      <c r="F3810" t="str">
        <f t="shared" si="136"/>
        <v>12M</v>
      </c>
    </row>
    <row r="3811" spans="1:6" x14ac:dyDescent="0.2">
      <c r="A3811">
        <v>13</v>
      </c>
      <c r="E3811" t="str">
        <f t="shared" si="137"/>
        <v>N</v>
      </c>
      <c r="F3811" t="str">
        <f t="shared" si="136"/>
        <v>13N</v>
      </c>
    </row>
    <row r="3812" spans="1:6" x14ac:dyDescent="0.2">
      <c r="A3812">
        <v>14</v>
      </c>
      <c r="E3812" t="str">
        <f t="shared" si="137"/>
        <v>O</v>
      </c>
      <c r="F3812" t="str">
        <f t="shared" si="136"/>
        <v>14O</v>
      </c>
    </row>
    <row r="3813" spans="1:6" x14ac:dyDescent="0.2">
      <c r="A3813">
        <v>15</v>
      </c>
      <c r="E3813" t="str">
        <f t="shared" si="137"/>
        <v>P</v>
      </c>
      <c r="F3813" t="str">
        <f t="shared" si="136"/>
        <v>15P</v>
      </c>
    </row>
    <row r="3814" spans="1:6" x14ac:dyDescent="0.2">
      <c r="A3814">
        <v>16</v>
      </c>
      <c r="E3814" t="str">
        <f t="shared" si="137"/>
        <v>Q</v>
      </c>
      <c r="F3814" t="str">
        <f t="shared" si="136"/>
        <v>16Q</v>
      </c>
    </row>
    <row r="3815" spans="1:6" x14ac:dyDescent="0.2">
      <c r="A3815">
        <v>17</v>
      </c>
      <c r="E3815" t="str">
        <f t="shared" si="137"/>
        <v>R</v>
      </c>
      <c r="F3815" t="str">
        <f t="shared" si="136"/>
        <v>17R</v>
      </c>
    </row>
    <row r="3816" spans="1:6" x14ac:dyDescent="0.2">
      <c r="A3816">
        <v>18</v>
      </c>
      <c r="E3816" t="str">
        <f t="shared" si="137"/>
        <v>S</v>
      </c>
      <c r="F3816" t="str">
        <f t="shared" si="136"/>
        <v>18S</v>
      </c>
    </row>
    <row r="3817" spans="1:6" x14ac:dyDescent="0.2">
      <c r="A3817">
        <v>19</v>
      </c>
      <c r="E3817" t="str">
        <f t="shared" si="137"/>
        <v>T</v>
      </c>
      <c r="F3817" t="str">
        <f t="shared" si="136"/>
        <v>19T</v>
      </c>
    </row>
    <row r="3818" spans="1:6" x14ac:dyDescent="0.2">
      <c r="A3818">
        <v>20</v>
      </c>
      <c r="E3818" t="str">
        <f t="shared" si="137"/>
        <v>U</v>
      </c>
      <c r="F3818" t="str">
        <f t="shared" si="136"/>
        <v>20U</v>
      </c>
    </row>
    <row r="3819" spans="1:6" x14ac:dyDescent="0.2">
      <c r="A3819">
        <v>21</v>
      </c>
      <c r="E3819" t="str">
        <f t="shared" si="137"/>
        <v>V</v>
      </c>
      <c r="F3819" t="str">
        <f t="shared" si="136"/>
        <v>21V</v>
      </c>
    </row>
    <row r="3820" spans="1:6" x14ac:dyDescent="0.2">
      <c r="A3820">
        <v>22</v>
      </c>
      <c r="E3820" t="str">
        <f t="shared" si="137"/>
        <v>W</v>
      </c>
      <c r="F3820" t="str">
        <f t="shared" si="136"/>
        <v>22W</v>
      </c>
    </row>
    <row r="3821" spans="1:6" x14ac:dyDescent="0.2">
      <c r="A3821">
        <v>23</v>
      </c>
      <c r="E3821" t="str">
        <f t="shared" si="137"/>
        <v>X</v>
      </c>
      <c r="F3821" t="str">
        <f t="shared" si="136"/>
        <v>23X</v>
      </c>
    </row>
    <row r="3822" spans="1:6" x14ac:dyDescent="0.2">
      <c r="A3822">
        <v>24</v>
      </c>
      <c r="E3822" t="str">
        <f t="shared" si="137"/>
        <v>Y</v>
      </c>
      <c r="F3822" t="str">
        <f t="shared" si="136"/>
        <v>24Y</v>
      </c>
    </row>
    <row r="3823" spans="1:6" x14ac:dyDescent="0.2">
      <c r="A3823">
        <v>25</v>
      </c>
      <c r="E3823" t="str">
        <f t="shared" si="137"/>
        <v>Z</v>
      </c>
      <c r="F3823" t="str">
        <f t="shared" si="136"/>
        <v>25Z</v>
      </c>
    </row>
    <row r="3824" spans="1:6" x14ac:dyDescent="0.2">
      <c r="A3824">
        <v>0</v>
      </c>
      <c r="E3824" t="str">
        <f t="shared" si="137"/>
        <v>A</v>
      </c>
      <c r="F3824" t="str">
        <f t="shared" si="136"/>
        <v>0A</v>
      </c>
    </row>
    <row r="3825" spans="1:6" x14ac:dyDescent="0.2">
      <c r="A3825">
        <v>1</v>
      </c>
      <c r="E3825" t="str">
        <f t="shared" si="137"/>
        <v>B</v>
      </c>
      <c r="F3825" t="str">
        <f t="shared" si="136"/>
        <v>1B</v>
      </c>
    </row>
    <row r="3826" spans="1:6" x14ac:dyDescent="0.2">
      <c r="A3826">
        <v>2</v>
      </c>
      <c r="E3826" t="str">
        <f t="shared" si="137"/>
        <v>C</v>
      </c>
      <c r="F3826" t="str">
        <f t="shared" si="136"/>
        <v>2C</v>
      </c>
    </row>
    <row r="3827" spans="1:6" x14ac:dyDescent="0.2">
      <c r="A3827">
        <v>3</v>
      </c>
      <c r="E3827" t="str">
        <f t="shared" si="137"/>
        <v>D</v>
      </c>
      <c r="F3827" t="str">
        <f t="shared" si="136"/>
        <v>3D</v>
      </c>
    </row>
    <row r="3828" spans="1:6" x14ac:dyDescent="0.2">
      <c r="A3828">
        <v>4</v>
      </c>
      <c r="E3828" t="str">
        <f t="shared" si="137"/>
        <v>E</v>
      </c>
      <c r="F3828" t="str">
        <f t="shared" si="136"/>
        <v>4E</v>
      </c>
    </row>
    <row r="3829" spans="1:6" x14ac:dyDescent="0.2">
      <c r="A3829">
        <v>5</v>
      </c>
      <c r="E3829" t="str">
        <f t="shared" si="137"/>
        <v>F</v>
      </c>
      <c r="F3829" t="str">
        <f t="shared" si="136"/>
        <v>5F</v>
      </c>
    </row>
    <row r="3830" spans="1:6" x14ac:dyDescent="0.2">
      <c r="A3830">
        <v>6</v>
      </c>
      <c r="E3830" t="str">
        <f t="shared" si="137"/>
        <v>G</v>
      </c>
      <c r="F3830" t="str">
        <f t="shared" si="136"/>
        <v>6G</v>
      </c>
    </row>
    <row r="3831" spans="1:6" x14ac:dyDescent="0.2">
      <c r="A3831">
        <v>7</v>
      </c>
      <c r="E3831" t="str">
        <f t="shared" si="137"/>
        <v>H</v>
      </c>
      <c r="F3831" t="str">
        <f t="shared" si="136"/>
        <v>7H</v>
      </c>
    </row>
    <row r="3832" spans="1:6" x14ac:dyDescent="0.2">
      <c r="A3832">
        <v>8</v>
      </c>
      <c r="E3832" t="str">
        <f t="shared" si="137"/>
        <v>I</v>
      </c>
      <c r="F3832" t="str">
        <f t="shared" si="136"/>
        <v>8I</v>
      </c>
    </row>
    <row r="3833" spans="1:6" x14ac:dyDescent="0.2">
      <c r="A3833">
        <v>9</v>
      </c>
      <c r="E3833" t="str">
        <f t="shared" si="137"/>
        <v>J</v>
      </c>
      <c r="F3833" t="str">
        <f t="shared" si="136"/>
        <v>9J</v>
      </c>
    </row>
    <row r="3834" spans="1:6" x14ac:dyDescent="0.2">
      <c r="A3834">
        <v>10</v>
      </c>
      <c r="E3834" t="str">
        <f t="shared" si="137"/>
        <v>K</v>
      </c>
      <c r="F3834" t="str">
        <f t="shared" si="136"/>
        <v>10K</v>
      </c>
    </row>
    <row r="3835" spans="1:6" x14ac:dyDescent="0.2">
      <c r="A3835">
        <v>11</v>
      </c>
      <c r="E3835" t="str">
        <f t="shared" si="137"/>
        <v>L</v>
      </c>
      <c r="F3835" t="str">
        <f t="shared" si="136"/>
        <v>11L</v>
      </c>
    </row>
    <row r="3836" spans="1:6" x14ac:dyDescent="0.2">
      <c r="A3836">
        <v>12</v>
      </c>
      <c r="E3836" t="str">
        <f t="shared" si="137"/>
        <v>M</v>
      </c>
      <c r="F3836" t="str">
        <f t="shared" si="136"/>
        <v>12M</v>
      </c>
    </row>
    <row r="3837" spans="1:6" x14ac:dyDescent="0.2">
      <c r="A3837">
        <v>13</v>
      </c>
      <c r="E3837" t="str">
        <f t="shared" si="137"/>
        <v>N</v>
      </c>
      <c r="F3837" t="str">
        <f t="shared" ref="F3837:F3900" si="138">A3837&amp;C3837&amp;E3837</f>
        <v>13N</v>
      </c>
    </row>
    <row r="3838" spans="1:6" x14ac:dyDescent="0.2">
      <c r="A3838">
        <v>14</v>
      </c>
      <c r="E3838" t="str">
        <f t="shared" si="137"/>
        <v>O</v>
      </c>
      <c r="F3838" t="str">
        <f t="shared" si="138"/>
        <v>14O</v>
      </c>
    </row>
    <row r="3839" spans="1:6" x14ac:dyDescent="0.2">
      <c r="A3839">
        <v>15</v>
      </c>
      <c r="E3839" t="str">
        <f t="shared" si="137"/>
        <v>P</v>
      </c>
      <c r="F3839" t="str">
        <f t="shared" si="138"/>
        <v>15P</v>
      </c>
    </row>
    <row r="3840" spans="1:6" x14ac:dyDescent="0.2">
      <c r="A3840">
        <v>16</v>
      </c>
      <c r="E3840" t="str">
        <f t="shared" si="137"/>
        <v>Q</v>
      </c>
      <c r="F3840" t="str">
        <f t="shared" si="138"/>
        <v>16Q</v>
      </c>
    </row>
    <row r="3841" spans="1:6" x14ac:dyDescent="0.2">
      <c r="A3841">
        <v>17</v>
      </c>
      <c r="E3841" t="str">
        <f t="shared" si="137"/>
        <v>R</v>
      </c>
      <c r="F3841" t="str">
        <f t="shared" si="138"/>
        <v>17R</v>
      </c>
    </row>
    <row r="3842" spans="1:6" x14ac:dyDescent="0.2">
      <c r="A3842">
        <v>18</v>
      </c>
      <c r="E3842" t="str">
        <f t="shared" si="137"/>
        <v>S</v>
      </c>
      <c r="F3842" t="str">
        <f t="shared" si="138"/>
        <v>18S</v>
      </c>
    </row>
    <row r="3843" spans="1:6" x14ac:dyDescent="0.2">
      <c r="A3843">
        <v>19</v>
      </c>
      <c r="E3843" t="str">
        <f t="shared" si="137"/>
        <v>T</v>
      </c>
      <c r="F3843" t="str">
        <f t="shared" si="138"/>
        <v>19T</v>
      </c>
    </row>
    <row r="3844" spans="1:6" x14ac:dyDescent="0.2">
      <c r="A3844">
        <v>20</v>
      </c>
      <c r="E3844" t="str">
        <f t="shared" si="137"/>
        <v>U</v>
      </c>
      <c r="F3844" t="str">
        <f t="shared" si="138"/>
        <v>20U</v>
      </c>
    </row>
    <row r="3845" spans="1:6" x14ac:dyDescent="0.2">
      <c r="A3845">
        <v>21</v>
      </c>
      <c r="E3845" t="str">
        <f t="shared" si="137"/>
        <v>V</v>
      </c>
      <c r="F3845" t="str">
        <f t="shared" si="138"/>
        <v>21V</v>
      </c>
    </row>
    <row r="3846" spans="1:6" x14ac:dyDescent="0.2">
      <c r="A3846">
        <v>22</v>
      </c>
      <c r="E3846" t="str">
        <f t="shared" si="137"/>
        <v>W</v>
      </c>
      <c r="F3846" t="str">
        <f t="shared" si="138"/>
        <v>22W</v>
      </c>
    </row>
    <row r="3847" spans="1:6" x14ac:dyDescent="0.2">
      <c r="A3847">
        <v>23</v>
      </c>
      <c r="E3847" t="str">
        <f t="shared" si="137"/>
        <v>X</v>
      </c>
      <c r="F3847" t="str">
        <f t="shared" si="138"/>
        <v>23X</v>
      </c>
    </row>
    <row r="3848" spans="1:6" x14ac:dyDescent="0.2">
      <c r="A3848">
        <v>24</v>
      </c>
      <c r="E3848" t="str">
        <f t="shared" si="137"/>
        <v>Y</v>
      </c>
      <c r="F3848" t="str">
        <f t="shared" si="138"/>
        <v>24Y</v>
      </c>
    </row>
    <row r="3849" spans="1:6" x14ac:dyDescent="0.2">
      <c r="A3849">
        <v>25</v>
      </c>
      <c r="E3849" t="str">
        <f t="shared" si="137"/>
        <v>Z</v>
      </c>
      <c r="F3849" t="str">
        <f t="shared" si="138"/>
        <v>25Z</v>
      </c>
    </row>
    <row r="3850" spans="1:6" x14ac:dyDescent="0.2">
      <c r="A3850">
        <v>0</v>
      </c>
      <c r="E3850" t="str">
        <f t="shared" si="137"/>
        <v>A</v>
      </c>
      <c r="F3850" t="str">
        <f t="shared" si="138"/>
        <v>0A</v>
      </c>
    </row>
    <row r="3851" spans="1:6" x14ac:dyDescent="0.2">
      <c r="A3851">
        <v>1</v>
      </c>
      <c r="E3851" t="str">
        <f t="shared" si="137"/>
        <v>B</v>
      </c>
      <c r="F3851" t="str">
        <f t="shared" si="138"/>
        <v>1B</v>
      </c>
    </row>
    <row r="3852" spans="1:6" x14ac:dyDescent="0.2">
      <c r="A3852">
        <v>2</v>
      </c>
      <c r="E3852" t="str">
        <f t="shared" si="137"/>
        <v>C</v>
      </c>
      <c r="F3852" t="str">
        <f t="shared" si="138"/>
        <v>2C</v>
      </c>
    </row>
    <row r="3853" spans="1:6" x14ac:dyDescent="0.2">
      <c r="A3853">
        <v>3</v>
      </c>
      <c r="E3853" t="str">
        <f t="shared" si="137"/>
        <v>D</v>
      </c>
      <c r="F3853" t="str">
        <f t="shared" si="138"/>
        <v>3D</v>
      </c>
    </row>
    <row r="3854" spans="1:6" x14ac:dyDescent="0.2">
      <c r="A3854">
        <v>4</v>
      </c>
      <c r="E3854" t="str">
        <f t="shared" si="137"/>
        <v>E</v>
      </c>
      <c r="F3854" t="str">
        <f t="shared" si="138"/>
        <v>4E</v>
      </c>
    </row>
    <row r="3855" spans="1:6" x14ac:dyDescent="0.2">
      <c r="A3855">
        <v>5</v>
      </c>
      <c r="E3855" t="str">
        <f t="shared" si="137"/>
        <v>F</v>
      </c>
      <c r="F3855" t="str">
        <f t="shared" si="138"/>
        <v>5F</v>
      </c>
    </row>
    <row r="3856" spans="1:6" x14ac:dyDescent="0.2">
      <c r="A3856">
        <v>6</v>
      </c>
      <c r="E3856" t="str">
        <f t="shared" si="137"/>
        <v>G</v>
      </c>
      <c r="F3856" t="str">
        <f t="shared" si="138"/>
        <v>6G</v>
      </c>
    </row>
    <row r="3857" spans="1:6" x14ac:dyDescent="0.2">
      <c r="A3857">
        <v>7</v>
      </c>
      <c r="E3857" t="str">
        <f t="shared" si="137"/>
        <v>H</v>
      </c>
      <c r="F3857" t="str">
        <f t="shared" si="138"/>
        <v>7H</v>
      </c>
    </row>
    <row r="3858" spans="1:6" x14ac:dyDescent="0.2">
      <c r="A3858">
        <v>8</v>
      </c>
      <c r="E3858" t="str">
        <f t="shared" si="137"/>
        <v>I</v>
      </c>
      <c r="F3858" t="str">
        <f t="shared" si="138"/>
        <v>8I</v>
      </c>
    </row>
    <row r="3859" spans="1:6" x14ac:dyDescent="0.2">
      <c r="A3859">
        <v>9</v>
      </c>
      <c r="E3859" t="str">
        <f t="shared" si="137"/>
        <v>J</v>
      </c>
      <c r="F3859" t="str">
        <f t="shared" si="138"/>
        <v>9J</v>
      </c>
    </row>
    <row r="3860" spans="1:6" x14ac:dyDescent="0.2">
      <c r="A3860">
        <v>10</v>
      </c>
      <c r="E3860" t="str">
        <f t="shared" si="137"/>
        <v>K</v>
      </c>
      <c r="F3860" t="str">
        <f t="shared" si="138"/>
        <v>10K</v>
      </c>
    </row>
    <row r="3861" spans="1:6" x14ac:dyDescent="0.2">
      <c r="A3861">
        <v>11</v>
      </c>
      <c r="E3861" t="str">
        <f t="shared" si="137"/>
        <v>L</v>
      </c>
      <c r="F3861" t="str">
        <f t="shared" si="138"/>
        <v>11L</v>
      </c>
    </row>
    <row r="3862" spans="1:6" x14ac:dyDescent="0.2">
      <c r="A3862">
        <v>12</v>
      </c>
      <c r="E3862" t="str">
        <f t="shared" si="137"/>
        <v>M</v>
      </c>
      <c r="F3862" t="str">
        <f t="shared" si="138"/>
        <v>12M</v>
      </c>
    </row>
    <row r="3863" spans="1:6" x14ac:dyDescent="0.2">
      <c r="A3863">
        <v>13</v>
      </c>
      <c r="E3863" t="str">
        <f t="shared" ref="E3863:E3926" si="139">E3837</f>
        <v>N</v>
      </c>
      <c r="F3863" t="str">
        <f t="shared" si="138"/>
        <v>13N</v>
      </c>
    </row>
    <row r="3864" spans="1:6" x14ac:dyDescent="0.2">
      <c r="A3864">
        <v>14</v>
      </c>
      <c r="E3864" t="str">
        <f t="shared" si="139"/>
        <v>O</v>
      </c>
      <c r="F3864" t="str">
        <f t="shared" si="138"/>
        <v>14O</v>
      </c>
    </row>
    <row r="3865" spans="1:6" x14ac:dyDescent="0.2">
      <c r="A3865">
        <v>15</v>
      </c>
      <c r="E3865" t="str">
        <f t="shared" si="139"/>
        <v>P</v>
      </c>
      <c r="F3865" t="str">
        <f t="shared" si="138"/>
        <v>15P</v>
      </c>
    </row>
    <row r="3866" spans="1:6" x14ac:dyDescent="0.2">
      <c r="A3866">
        <v>16</v>
      </c>
      <c r="E3866" t="str">
        <f t="shared" si="139"/>
        <v>Q</v>
      </c>
      <c r="F3866" t="str">
        <f t="shared" si="138"/>
        <v>16Q</v>
      </c>
    </row>
    <row r="3867" spans="1:6" x14ac:dyDescent="0.2">
      <c r="A3867">
        <v>17</v>
      </c>
      <c r="E3867" t="str">
        <f t="shared" si="139"/>
        <v>R</v>
      </c>
      <c r="F3867" t="str">
        <f t="shared" si="138"/>
        <v>17R</v>
      </c>
    </row>
    <row r="3868" spans="1:6" x14ac:dyDescent="0.2">
      <c r="A3868">
        <v>18</v>
      </c>
      <c r="E3868" t="str">
        <f t="shared" si="139"/>
        <v>S</v>
      </c>
      <c r="F3868" t="str">
        <f t="shared" si="138"/>
        <v>18S</v>
      </c>
    </row>
    <row r="3869" spans="1:6" x14ac:dyDescent="0.2">
      <c r="A3869">
        <v>19</v>
      </c>
      <c r="E3869" t="str">
        <f t="shared" si="139"/>
        <v>T</v>
      </c>
      <c r="F3869" t="str">
        <f t="shared" si="138"/>
        <v>19T</v>
      </c>
    </row>
    <row r="3870" spans="1:6" x14ac:dyDescent="0.2">
      <c r="A3870">
        <v>20</v>
      </c>
      <c r="E3870" t="str">
        <f t="shared" si="139"/>
        <v>U</v>
      </c>
      <c r="F3870" t="str">
        <f t="shared" si="138"/>
        <v>20U</v>
      </c>
    </row>
    <row r="3871" spans="1:6" x14ac:dyDescent="0.2">
      <c r="A3871">
        <v>21</v>
      </c>
      <c r="E3871" t="str">
        <f t="shared" si="139"/>
        <v>V</v>
      </c>
      <c r="F3871" t="str">
        <f t="shared" si="138"/>
        <v>21V</v>
      </c>
    </row>
    <row r="3872" spans="1:6" x14ac:dyDescent="0.2">
      <c r="A3872">
        <v>22</v>
      </c>
      <c r="E3872" t="str">
        <f t="shared" si="139"/>
        <v>W</v>
      </c>
      <c r="F3872" t="str">
        <f t="shared" si="138"/>
        <v>22W</v>
      </c>
    </row>
    <row r="3873" spans="1:6" x14ac:dyDescent="0.2">
      <c r="A3873">
        <v>23</v>
      </c>
      <c r="E3873" t="str">
        <f t="shared" si="139"/>
        <v>X</v>
      </c>
      <c r="F3873" t="str">
        <f t="shared" si="138"/>
        <v>23X</v>
      </c>
    </row>
    <row r="3874" spans="1:6" x14ac:dyDescent="0.2">
      <c r="A3874">
        <v>24</v>
      </c>
      <c r="E3874" t="str">
        <f t="shared" si="139"/>
        <v>Y</v>
      </c>
      <c r="F3874" t="str">
        <f t="shared" si="138"/>
        <v>24Y</v>
      </c>
    </row>
    <row r="3875" spans="1:6" x14ac:dyDescent="0.2">
      <c r="A3875">
        <v>25</v>
      </c>
      <c r="E3875" t="str">
        <f t="shared" si="139"/>
        <v>Z</v>
      </c>
      <c r="F3875" t="str">
        <f t="shared" si="138"/>
        <v>25Z</v>
      </c>
    </row>
    <row r="3876" spans="1:6" x14ac:dyDescent="0.2">
      <c r="A3876">
        <v>0</v>
      </c>
      <c r="E3876" t="str">
        <f t="shared" si="139"/>
        <v>A</v>
      </c>
      <c r="F3876" t="str">
        <f t="shared" si="138"/>
        <v>0A</v>
      </c>
    </row>
    <row r="3877" spans="1:6" x14ac:dyDescent="0.2">
      <c r="A3877">
        <v>1</v>
      </c>
      <c r="E3877" t="str">
        <f t="shared" si="139"/>
        <v>B</v>
      </c>
      <c r="F3877" t="str">
        <f t="shared" si="138"/>
        <v>1B</v>
      </c>
    </row>
    <row r="3878" spans="1:6" x14ac:dyDescent="0.2">
      <c r="A3878">
        <v>2</v>
      </c>
      <c r="E3878" t="str">
        <f t="shared" si="139"/>
        <v>C</v>
      </c>
      <c r="F3878" t="str">
        <f t="shared" si="138"/>
        <v>2C</v>
      </c>
    </row>
    <row r="3879" spans="1:6" x14ac:dyDescent="0.2">
      <c r="A3879">
        <v>3</v>
      </c>
      <c r="E3879" t="str">
        <f t="shared" si="139"/>
        <v>D</v>
      </c>
      <c r="F3879" t="str">
        <f t="shared" si="138"/>
        <v>3D</v>
      </c>
    </row>
    <row r="3880" spans="1:6" x14ac:dyDescent="0.2">
      <c r="A3880">
        <v>4</v>
      </c>
      <c r="E3880" t="str">
        <f t="shared" si="139"/>
        <v>E</v>
      </c>
      <c r="F3880" t="str">
        <f t="shared" si="138"/>
        <v>4E</v>
      </c>
    </row>
    <row r="3881" spans="1:6" x14ac:dyDescent="0.2">
      <c r="A3881">
        <v>5</v>
      </c>
      <c r="E3881" t="str">
        <f t="shared" si="139"/>
        <v>F</v>
      </c>
      <c r="F3881" t="str">
        <f t="shared" si="138"/>
        <v>5F</v>
      </c>
    </row>
    <row r="3882" spans="1:6" x14ac:dyDescent="0.2">
      <c r="A3882">
        <v>6</v>
      </c>
      <c r="E3882" t="str">
        <f t="shared" si="139"/>
        <v>G</v>
      </c>
      <c r="F3882" t="str">
        <f t="shared" si="138"/>
        <v>6G</v>
      </c>
    </row>
    <row r="3883" spans="1:6" x14ac:dyDescent="0.2">
      <c r="A3883">
        <v>7</v>
      </c>
      <c r="E3883" t="str">
        <f t="shared" si="139"/>
        <v>H</v>
      </c>
      <c r="F3883" t="str">
        <f t="shared" si="138"/>
        <v>7H</v>
      </c>
    </row>
    <row r="3884" spans="1:6" x14ac:dyDescent="0.2">
      <c r="A3884">
        <v>8</v>
      </c>
      <c r="E3884" t="str">
        <f t="shared" si="139"/>
        <v>I</v>
      </c>
      <c r="F3884" t="str">
        <f t="shared" si="138"/>
        <v>8I</v>
      </c>
    </row>
    <row r="3885" spans="1:6" x14ac:dyDescent="0.2">
      <c r="A3885">
        <v>9</v>
      </c>
      <c r="E3885" t="str">
        <f t="shared" si="139"/>
        <v>J</v>
      </c>
      <c r="F3885" t="str">
        <f t="shared" si="138"/>
        <v>9J</v>
      </c>
    </row>
    <row r="3886" spans="1:6" x14ac:dyDescent="0.2">
      <c r="A3886">
        <v>10</v>
      </c>
      <c r="E3886" t="str">
        <f t="shared" si="139"/>
        <v>K</v>
      </c>
      <c r="F3886" t="str">
        <f t="shared" si="138"/>
        <v>10K</v>
      </c>
    </row>
    <row r="3887" spans="1:6" x14ac:dyDescent="0.2">
      <c r="A3887">
        <v>11</v>
      </c>
      <c r="E3887" t="str">
        <f t="shared" si="139"/>
        <v>L</v>
      </c>
      <c r="F3887" t="str">
        <f t="shared" si="138"/>
        <v>11L</v>
      </c>
    </row>
    <row r="3888" spans="1:6" x14ac:dyDescent="0.2">
      <c r="A3888">
        <v>12</v>
      </c>
      <c r="E3888" t="str">
        <f t="shared" si="139"/>
        <v>M</v>
      </c>
      <c r="F3888" t="str">
        <f t="shared" si="138"/>
        <v>12M</v>
      </c>
    </row>
    <row r="3889" spans="1:6" x14ac:dyDescent="0.2">
      <c r="A3889">
        <v>13</v>
      </c>
      <c r="E3889" t="str">
        <f t="shared" si="139"/>
        <v>N</v>
      </c>
      <c r="F3889" t="str">
        <f t="shared" si="138"/>
        <v>13N</v>
      </c>
    </row>
    <row r="3890" spans="1:6" x14ac:dyDescent="0.2">
      <c r="A3890">
        <v>14</v>
      </c>
      <c r="E3890" t="str">
        <f t="shared" si="139"/>
        <v>O</v>
      </c>
      <c r="F3890" t="str">
        <f t="shared" si="138"/>
        <v>14O</v>
      </c>
    </row>
    <row r="3891" spans="1:6" x14ac:dyDescent="0.2">
      <c r="A3891">
        <v>15</v>
      </c>
      <c r="E3891" t="str">
        <f t="shared" si="139"/>
        <v>P</v>
      </c>
      <c r="F3891" t="str">
        <f t="shared" si="138"/>
        <v>15P</v>
      </c>
    </row>
    <row r="3892" spans="1:6" x14ac:dyDescent="0.2">
      <c r="A3892">
        <v>16</v>
      </c>
      <c r="E3892" t="str">
        <f t="shared" si="139"/>
        <v>Q</v>
      </c>
      <c r="F3892" t="str">
        <f t="shared" si="138"/>
        <v>16Q</v>
      </c>
    </row>
    <row r="3893" spans="1:6" x14ac:dyDescent="0.2">
      <c r="A3893">
        <v>17</v>
      </c>
      <c r="E3893" t="str">
        <f t="shared" si="139"/>
        <v>R</v>
      </c>
      <c r="F3893" t="str">
        <f t="shared" si="138"/>
        <v>17R</v>
      </c>
    </row>
    <row r="3894" spans="1:6" x14ac:dyDescent="0.2">
      <c r="A3894">
        <v>18</v>
      </c>
      <c r="E3894" t="str">
        <f t="shared" si="139"/>
        <v>S</v>
      </c>
      <c r="F3894" t="str">
        <f t="shared" si="138"/>
        <v>18S</v>
      </c>
    </row>
    <row r="3895" spans="1:6" x14ac:dyDescent="0.2">
      <c r="A3895">
        <v>19</v>
      </c>
      <c r="E3895" t="str">
        <f t="shared" si="139"/>
        <v>T</v>
      </c>
      <c r="F3895" t="str">
        <f t="shared" si="138"/>
        <v>19T</v>
      </c>
    </row>
    <row r="3896" spans="1:6" x14ac:dyDescent="0.2">
      <c r="A3896">
        <v>20</v>
      </c>
      <c r="E3896" t="str">
        <f t="shared" si="139"/>
        <v>U</v>
      </c>
      <c r="F3896" t="str">
        <f t="shared" si="138"/>
        <v>20U</v>
      </c>
    </row>
    <row r="3897" spans="1:6" x14ac:dyDescent="0.2">
      <c r="A3897">
        <v>21</v>
      </c>
      <c r="E3897" t="str">
        <f t="shared" si="139"/>
        <v>V</v>
      </c>
      <c r="F3897" t="str">
        <f t="shared" si="138"/>
        <v>21V</v>
      </c>
    </row>
    <row r="3898" spans="1:6" x14ac:dyDescent="0.2">
      <c r="A3898">
        <v>22</v>
      </c>
      <c r="E3898" t="str">
        <f t="shared" si="139"/>
        <v>W</v>
      </c>
      <c r="F3898" t="str">
        <f t="shared" si="138"/>
        <v>22W</v>
      </c>
    </row>
    <row r="3899" spans="1:6" x14ac:dyDescent="0.2">
      <c r="A3899">
        <v>23</v>
      </c>
      <c r="E3899" t="str">
        <f t="shared" si="139"/>
        <v>X</v>
      </c>
      <c r="F3899" t="str">
        <f t="shared" si="138"/>
        <v>23X</v>
      </c>
    </row>
    <row r="3900" spans="1:6" x14ac:dyDescent="0.2">
      <c r="A3900">
        <v>24</v>
      </c>
      <c r="E3900" t="str">
        <f t="shared" si="139"/>
        <v>Y</v>
      </c>
      <c r="F3900" t="str">
        <f t="shared" si="138"/>
        <v>24Y</v>
      </c>
    </row>
    <row r="3901" spans="1:6" x14ac:dyDescent="0.2">
      <c r="A3901">
        <v>25</v>
      </c>
      <c r="E3901" t="str">
        <f t="shared" si="139"/>
        <v>Z</v>
      </c>
      <c r="F3901" t="str">
        <f t="shared" ref="F3901:F3964" si="140">A3901&amp;C3901&amp;E3901</f>
        <v>25Z</v>
      </c>
    </row>
    <row r="3902" spans="1:6" x14ac:dyDescent="0.2">
      <c r="A3902">
        <v>0</v>
      </c>
      <c r="E3902" t="str">
        <f t="shared" si="139"/>
        <v>A</v>
      </c>
      <c r="F3902" t="str">
        <f t="shared" si="140"/>
        <v>0A</v>
      </c>
    </row>
    <row r="3903" spans="1:6" x14ac:dyDescent="0.2">
      <c r="A3903">
        <v>1</v>
      </c>
      <c r="E3903" t="str">
        <f t="shared" si="139"/>
        <v>B</v>
      </c>
      <c r="F3903" t="str">
        <f t="shared" si="140"/>
        <v>1B</v>
      </c>
    </row>
    <row r="3904" spans="1:6" x14ac:dyDescent="0.2">
      <c r="A3904">
        <v>2</v>
      </c>
      <c r="E3904" t="str">
        <f t="shared" si="139"/>
        <v>C</v>
      </c>
      <c r="F3904" t="str">
        <f t="shared" si="140"/>
        <v>2C</v>
      </c>
    </row>
    <row r="3905" spans="1:6" x14ac:dyDescent="0.2">
      <c r="A3905">
        <v>3</v>
      </c>
      <c r="E3905" t="str">
        <f t="shared" si="139"/>
        <v>D</v>
      </c>
      <c r="F3905" t="str">
        <f t="shared" si="140"/>
        <v>3D</v>
      </c>
    </row>
    <row r="3906" spans="1:6" x14ac:dyDescent="0.2">
      <c r="A3906">
        <v>4</v>
      </c>
      <c r="E3906" t="str">
        <f t="shared" si="139"/>
        <v>E</v>
      </c>
      <c r="F3906" t="str">
        <f t="shared" si="140"/>
        <v>4E</v>
      </c>
    </row>
    <row r="3907" spans="1:6" x14ac:dyDescent="0.2">
      <c r="A3907">
        <v>5</v>
      </c>
      <c r="E3907" t="str">
        <f t="shared" si="139"/>
        <v>F</v>
      </c>
      <c r="F3907" t="str">
        <f t="shared" si="140"/>
        <v>5F</v>
      </c>
    </row>
    <row r="3908" spans="1:6" x14ac:dyDescent="0.2">
      <c r="A3908">
        <v>6</v>
      </c>
      <c r="E3908" t="str">
        <f t="shared" si="139"/>
        <v>G</v>
      </c>
      <c r="F3908" t="str">
        <f t="shared" si="140"/>
        <v>6G</v>
      </c>
    </row>
    <row r="3909" spans="1:6" x14ac:dyDescent="0.2">
      <c r="A3909">
        <v>7</v>
      </c>
      <c r="E3909" t="str">
        <f t="shared" si="139"/>
        <v>H</v>
      </c>
      <c r="F3909" t="str">
        <f t="shared" si="140"/>
        <v>7H</v>
      </c>
    </row>
    <row r="3910" spans="1:6" x14ac:dyDescent="0.2">
      <c r="A3910">
        <v>8</v>
      </c>
      <c r="E3910" t="str">
        <f t="shared" si="139"/>
        <v>I</v>
      </c>
      <c r="F3910" t="str">
        <f t="shared" si="140"/>
        <v>8I</v>
      </c>
    </row>
    <row r="3911" spans="1:6" x14ac:dyDescent="0.2">
      <c r="A3911">
        <v>9</v>
      </c>
      <c r="E3911" t="str">
        <f t="shared" si="139"/>
        <v>J</v>
      </c>
      <c r="F3911" t="str">
        <f t="shared" si="140"/>
        <v>9J</v>
      </c>
    </row>
    <row r="3912" spans="1:6" x14ac:dyDescent="0.2">
      <c r="A3912">
        <v>10</v>
      </c>
      <c r="E3912" t="str">
        <f t="shared" si="139"/>
        <v>K</v>
      </c>
      <c r="F3912" t="str">
        <f t="shared" si="140"/>
        <v>10K</v>
      </c>
    </row>
    <row r="3913" spans="1:6" x14ac:dyDescent="0.2">
      <c r="A3913">
        <v>11</v>
      </c>
      <c r="E3913" t="str">
        <f t="shared" si="139"/>
        <v>L</v>
      </c>
      <c r="F3913" t="str">
        <f t="shared" si="140"/>
        <v>11L</v>
      </c>
    </row>
    <row r="3914" spans="1:6" x14ac:dyDescent="0.2">
      <c r="A3914">
        <v>12</v>
      </c>
      <c r="E3914" t="str">
        <f t="shared" si="139"/>
        <v>M</v>
      </c>
      <c r="F3914" t="str">
        <f t="shared" si="140"/>
        <v>12M</v>
      </c>
    </row>
    <row r="3915" spans="1:6" x14ac:dyDescent="0.2">
      <c r="A3915">
        <v>13</v>
      </c>
      <c r="E3915" t="str">
        <f t="shared" si="139"/>
        <v>N</v>
      </c>
      <c r="F3915" t="str">
        <f t="shared" si="140"/>
        <v>13N</v>
      </c>
    </row>
    <row r="3916" spans="1:6" x14ac:dyDescent="0.2">
      <c r="A3916">
        <v>14</v>
      </c>
      <c r="E3916" t="str">
        <f t="shared" si="139"/>
        <v>O</v>
      </c>
      <c r="F3916" t="str">
        <f t="shared" si="140"/>
        <v>14O</v>
      </c>
    </row>
    <row r="3917" spans="1:6" x14ac:dyDescent="0.2">
      <c r="A3917">
        <v>15</v>
      </c>
      <c r="E3917" t="str">
        <f t="shared" si="139"/>
        <v>P</v>
      </c>
      <c r="F3917" t="str">
        <f t="shared" si="140"/>
        <v>15P</v>
      </c>
    </row>
    <row r="3918" spans="1:6" x14ac:dyDescent="0.2">
      <c r="A3918">
        <v>16</v>
      </c>
      <c r="E3918" t="str">
        <f t="shared" si="139"/>
        <v>Q</v>
      </c>
      <c r="F3918" t="str">
        <f t="shared" si="140"/>
        <v>16Q</v>
      </c>
    </row>
    <row r="3919" spans="1:6" x14ac:dyDescent="0.2">
      <c r="A3919">
        <v>17</v>
      </c>
      <c r="E3919" t="str">
        <f t="shared" si="139"/>
        <v>R</v>
      </c>
      <c r="F3919" t="str">
        <f t="shared" si="140"/>
        <v>17R</v>
      </c>
    </row>
    <row r="3920" spans="1:6" x14ac:dyDescent="0.2">
      <c r="A3920">
        <v>18</v>
      </c>
      <c r="E3920" t="str">
        <f t="shared" si="139"/>
        <v>S</v>
      </c>
      <c r="F3920" t="str">
        <f t="shared" si="140"/>
        <v>18S</v>
      </c>
    </row>
    <row r="3921" spans="1:6" x14ac:dyDescent="0.2">
      <c r="A3921">
        <v>19</v>
      </c>
      <c r="E3921" t="str">
        <f t="shared" si="139"/>
        <v>T</v>
      </c>
      <c r="F3921" t="str">
        <f t="shared" si="140"/>
        <v>19T</v>
      </c>
    </row>
    <row r="3922" spans="1:6" x14ac:dyDescent="0.2">
      <c r="A3922">
        <v>20</v>
      </c>
      <c r="E3922" t="str">
        <f t="shared" si="139"/>
        <v>U</v>
      </c>
      <c r="F3922" t="str">
        <f t="shared" si="140"/>
        <v>20U</v>
      </c>
    </row>
    <row r="3923" spans="1:6" x14ac:dyDescent="0.2">
      <c r="A3923">
        <v>21</v>
      </c>
      <c r="E3923" t="str">
        <f t="shared" si="139"/>
        <v>V</v>
      </c>
      <c r="F3923" t="str">
        <f t="shared" si="140"/>
        <v>21V</v>
      </c>
    </row>
    <row r="3924" spans="1:6" x14ac:dyDescent="0.2">
      <c r="A3924">
        <v>22</v>
      </c>
      <c r="E3924" t="str">
        <f t="shared" si="139"/>
        <v>W</v>
      </c>
      <c r="F3924" t="str">
        <f t="shared" si="140"/>
        <v>22W</v>
      </c>
    </row>
    <row r="3925" spans="1:6" x14ac:dyDescent="0.2">
      <c r="A3925">
        <v>23</v>
      </c>
      <c r="E3925" t="str">
        <f t="shared" si="139"/>
        <v>X</v>
      </c>
      <c r="F3925" t="str">
        <f t="shared" si="140"/>
        <v>23X</v>
      </c>
    </row>
    <row r="3926" spans="1:6" x14ac:dyDescent="0.2">
      <c r="A3926">
        <v>24</v>
      </c>
      <c r="E3926" t="str">
        <f t="shared" si="139"/>
        <v>Y</v>
      </c>
      <c r="F3926" t="str">
        <f t="shared" si="140"/>
        <v>24Y</v>
      </c>
    </row>
    <row r="3927" spans="1:6" x14ac:dyDescent="0.2">
      <c r="A3927">
        <v>25</v>
      </c>
      <c r="E3927" t="str">
        <f t="shared" ref="E3927:E3990" si="141">E3901</f>
        <v>Z</v>
      </c>
      <c r="F3927" t="str">
        <f t="shared" si="140"/>
        <v>25Z</v>
      </c>
    </row>
    <row r="3928" spans="1:6" x14ac:dyDescent="0.2">
      <c r="A3928">
        <v>0</v>
      </c>
      <c r="E3928" t="str">
        <f t="shared" si="141"/>
        <v>A</v>
      </c>
      <c r="F3928" t="str">
        <f t="shared" si="140"/>
        <v>0A</v>
      </c>
    </row>
    <row r="3929" spans="1:6" x14ac:dyDescent="0.2">
      <c r="A3929">
        <v>1</v>
      </c>
      <c r="E3929" t="str">
        <f t="shared" si="141"/>
        <v>B</v>
      </c>
      <c r="F3929" t="str">
        <f t="shared" si="140"/>
        <v>1B</v>
      </c>
    </row>
    <row r="3930" spans="1:6" x14ac:dyDescent="0.2">
      <c r="A3930">
        <v>2</v>
      </c>
      <c r="E3930" t="str">
        <f t="shared" si="141"/>
        <v>C</v>
      </c>
      <c r="F3930" t="str">
        <f t="shared" si="140"/>
        <v>2C</v>
      </c>
    </row>
    <row r="3931" spans="1:6" x14ac:dyDescent="0.2">
      <c r="A3931">
        <v>3</v>
      </c>
      <c r="E3931" t="str">
        <f t="shared" si="141"/>
        <v>D</v>
      </c>
      <c r="F3931" t="str">
        <f t="shared" si="140"/>
        <v>3D</v>
      </c>
    </row>
    <row r="3932" spans="1:6" x14ac:dyDescent="0.2">
      <c r="A3932">
        <v>4</v>
      </c>
      <c r="E3932" t="str">
        <f t="shared" si="141"/>
        <v>E</v>
      </c>
      <c r="F3932" t="str">
        <f t="shared" si="140"/>
        <v>4E</v>
      </c>
    </row>
    <row r="3933" spans="1:6" x14ac:dyDescent="0.2">
      <c r="A3933">
        <v>5</v>
      </c>
      <c r="E3933" t="str">
        <f t="shared" si="141"/>
        <v>F</v>
      </c>
      <c r="F3933" t="str">
        <f t="shared" si="140"/>
        <v>5F</v>
      </c>
    </row>
    <row r="3934" spans="1:6" x14ac:dyDescent="0.2">
      <c r="A3934">
        <v>6</v>
      </c>
      <c r="E3934" t="str">
        <f t="shared" si="141"/>
        <v>G</v>
      </c>
      <c r="F3934" t="str">
        <f t="shared" si="140"/>
        <v>6G</v>
      </c>
    </row>
    <row r="3935" spans="1:6" x14ac:dyDescent="0.2">
      <c r="A3935">
        <v>7</v>
      </c>
      <c r="E3935" t="str">
        <f t="shared" si="141"/>
        <v>H</v>
      </c>
      <c r="F3935" t="str">
        <f t="shared" si="140"/>
        <v>7H</v>
      </c>
    </row>
    <row r="3936" spans="1:6" x14ac:dyDescent="0.2">
      <c r="A3936">
        <v>8</v>
      </c>
      <c r="E3936" t="str">
        <f t="shared" si="141"/>
        <v>I</v>
      </c>
      <c r="F3936" t="str">
        <f t="shared" si="140"/>
        <v>8I</v>
      </c>
    </row>
    <row r="3937" spans="1:6" x14ac:dyDescent="0.2">
      <c r="A3937">
        <v>9</v>
      </c>
      <c r="E3937" t="str">
        <f t="shared" si="141"/>
        <v>J</v>
      </c>
      <c r="F3937" t="str">
        <f t="shared" si="140"/>
        <v>9J</v>
      </c>
    </row>
    <row r="3938" spans="1:6" x14ac:dyDescent="0.2">
      <c r="A3938">
        <v>10</v>
      </c>
      <c r="E3938" t="str">
        <f t="shared" si="141"/>
        <v>K</v>
      </c>
      <c r="F3938" t="str">
        <f t="shared" si="140"/>
        <v>10K</v>
      </c>
    </row>
    <row r="3939" spans="1:6" x14ac:dyDescent="0.2">
      <c r="A3939">
        <v>11</v>
      </c>
      <c r="E3939" t="str">
        <f t="shared" si="141"/>
        <v>L</v>
      </c>
      <c r="F3939" t="str">
        <f t="shared" si="140"/>
        <v>11L</v>
      </c>
    </row>
    <row r="3940" spans="1:6" x14ac:dyDescent="0.2">
      <c r="A3940">
        <v>12</v>
      </c>
      <c r="E3940" t="str">
        <f t="shared" si="141"/>
        <v>M</v>
      </c>
      <c r="F3940" t="str">
        <f t="shared" si="140"/>
        <v>12M</v>
      </c>
    </row>
    <row r="3941" spans="1:6" x14ac:dyDescent="0.2">
      <c r="A3941">
        <v>13</v>
      </c>
      <c r="E3941" t="str">
        <f t="shared" si="141"/>
        <v>N</v>
      </c>
      <c r="F3941" t="str">
        <f t="shared" si="140"/>
        <v>13N</v>
      </c>
    </row>
    <row r="3942" spans="1:6" x14ac:dyDescent="0.2">
      <c r="A3942">
        <v>14</v>
      </c>
      <c r="E3942" t="str">
        <f t="shared" si="141"/>
        <v>O</v>
      </c>
      <c r="F3942" t="str">
        <f t="shared" si="140"/>
        <v>14O</v>
      </c>
    </row>
    <row r="3943" spans="1:6" x14ac:dyDescent="0.2">
      <c r="A3943">
        <v>15</v>
      </c>
      <c r="E3943" t="str">
        <f t="shared" si="141"/>
        <v>P</v>
      </c>
      <c r="F3943" t="str">
        <f t="shared" si="140"/>
        <v>15P</v>
      </c>
    </row>
    <row r="3944" spans="1:6" x14ac:dyDescent="0.2">
      <c r="A3944">
        <v>16</v>
      </c>
      <c r="E3944" t="str">
        <f t="shared" si="141"/>
        <v>Q</v>
      </c>
      <c r="F3944" t="str">
        <f t="shared" si="140"/>
        <v>16Q</v>
      </c>
    </row>
    <row r="3945" spans="1:6" x14ac:dyDescent="0.2">
      <c r="A3945">
        <v>17</v>
      </c>
      <c r="E3945" t="str">
        <f t="shared" si="141"/>
        <v>R</v>
      </c>
      <c r="F3945" t="str">
        <f t="shared" si="140"/>
        <v>17R</v>
      </c>
    </row>
    <row r="3946" spans="1:6" x14ac:dyDescent="0.2">
      <c r="A3946">
        <v>18</v>
      </c>
      <c r="E3946" t="str">
        <f t="shared" si="141"/>
        <v>S</v>
      </c>
      <c r="F3946" t="str">
        <f t="shared" si="140"/>
        <v>18S</v>
      </c>
    </row>
    <row r="3947" spans="1:6" x14ac:dyDescent="0.2">
      <c r="A3947">
        <v>19</v>
      </c>
      <c r="E3947" t="str">
        <f t="shared" si="141"/>
        <v>T</v>
      </c>
      <c r="F3947" t="str">
        <f t="shared" si="140"/>
        <v>19T</v>
      </c>
    </row>
    <row r="3948" spans="1:6" x14ac:dyDescent="0.2">
      <c r="A3948">
        <v>20</v>
      </c>
      <c r="E3948" t="str">
        <f t="shared" si="141"/>
        <v>U</v>
      </c>
      <c r="F3948" t="str">
        <f t="shared" si="140"/>
        <v>20U</v>
      </c>
    </row>
    <row r="3949" spans="1:6" x14ac:dyDescent="0.2">
      <c r="A3949">
        <v>21</v>
      </c>
      <c r="E3949" t="str">
        <f t="shared" si="141"/>
        <v>V</v>
      </c>
      <c r="F3949" t="str">
        <f t="shared" si="140"/>
        <v>21V</v>
      </c>
    </row>
    <row r="3950" spans="1:6" x14ac:dyDescent="0.2">
      <c r="A3950">
        <v>22</v>
      </c>
      <c r="E3950" t="str">
        <f t="shared" si="141"/>
        <v>W</v>
      </c>
      <c r="F3950" t="str">
        <f t="shared" si="140"/>
        <v>22W</v>
      </c>
    </row>
    <row r="3951" spans="1:6" x14ac:dyDescent="0.2">
      <c r="A3951">
        <v>23</v>
      </c>
      <c r="E3951" t="str">
        <f t="shared" si="141"/>
        <v>X</v>
      </c>
      <c r="F3951" t="str">
        <f t="shared" si="140"/>
        <v>23X</v>
      </c>
    </row>
    <row r="3952" spans="1:6" x14ac:dyDescent="0.2">
      <c r="A3952">
        <v>24</v>
      </c>
      <c r="E3952" t="str">
        <f t="shared" si="141"/>
        <v>Y</v>
      </c>
      <c r="F3952" t="str">
        <f t="shared" si="140"/>
        <v>24Y</v>
      </c>
    </row>
    <row r="3953" spans="1:6" x14ac:dyDescent="0.2">
      <c r="A3953">
        <v>25</v>
      </c>
      <c r="E3953" t="str">
        <f t="shared" si="141"/>
        <v>Z</v>
      </c>
      <c r="F3953" t="str">
        <f t="shared" si="140"/>
        <v>25Z</v>
      </c>
    </row>
    <row r="3954" spans="1:6" x14ac:dyDescent="0.2">
      <c r="A3954">
        <v>0</v>
      </c>
      <c r="E3954" t="str">
        <f t="shared" si="141"/>
        <v>A</v>
      </c>
      <c r="F3954" t="str">
        <f t="shared" si="140"/>
        <v>0A</v>
      </c>
    </row>
    <row r="3955" spans="1:6" x14ac:dyDescent="0.2">
      <c r="A3955">
        <v>1</v>
      </c>
      <c r="E3955" t="str">
        <f t="shared" si="141"/>
        <v>B</v>
      </c>
      <c r="F3955" t="str">
        <f t="shared" si="140"/>
        <v>1B</v>
      </c>
    </row>
    <row r="3956" spans="1:6" x14ac:dyDescent="0.2">
      <c r="A3956">
        <v>2</v>
      </c>
      <c r="E3956" t="str">
        <f t="shared" si="141"/>
        <v>C</v>
      </c>
      <c r="F3956" t="str">
        <f t="shared" si="140"/>
        <v>2C</v>
      </c>
    </row>
    <row r="3957" spans="1:6" x14ac:dyDescent="0.2">
      <c r="A3957">
        <v>3</v>
      </c>
      <c r="E3957" t="str">
        <f t="shared" si="141"/>
        <v>D</v>
      </c>
      <c r="F3957" t="str">
        <f t="shared" si="140"/>
        <v>3D</v>
      </c>
    </row>
    <row r="3958" spans="1:6" x14ac:dyDescent="0.2">
      <c r="A3958">
        <v>4</v>
      </c>
      <c r="E3958" t="str">
        <f t="shared" si="141"/>
        <v>E</v>
      </c>
      <c r="F3958" t="str">
        <f t="shared" si="140"/>
        <v>4E</v>
      </c>
    </row>
    <row r="3959" spans="1:6" x14ac:dyDescent="0.2">
      <c r="A3959">
        <v>5</v>
      </c>
      <c r="E3959" t="str">
        <f t="shared" si="141"/>
        <v>F</v>
      </c>
      <c r="F3959" t="str">
        <f t="shared" si="140"/>
        <v>5F</v>
      </c>
    </row>
    <row r="3960" spans="1:6" x14ac:dyDescent="0.2">
      <c r="A3960">
        <v>6</v>
      </c>
      <c r="E3960" t="str">
        <f t="shared" si="141"/>
        <v>G</v>
      </c>
      <c r="F3960" t="str">
        <f t="shared" si="140"/>
        <v>6G</v>
      </c>
    </row>
    <row r="3961" spans="1:6" x14ac:dyDescent="0.2">
      <c r="A3961">
        <v>7</v>
      </c>
      <c r="E3961" t="str">
        <f t="shared" si="141"/>
        <v>H</v>
      </c>
      <c r="F3961" t="str">
        <f t="shared" si="140"/>
        <v>7H</v>
      </c>
    </row>
    <row r="3962" spans="1:6" x14ac:dyDescent="0.2">
      <c r="A3962">
        <v>8</v>
      </c>
      <c r="E3962" t="str">
        <f t="shared" si="141"/>
        <v>I</v>
      </c>
      <c r="F3962" t="str">
        <f t="shared" si="140"/>
        <v>8I</v>
      </c>
    </row>
    <row r="3963" spans="1:6" x14ac:dyDescent="0.2">
      <c r="A3963">
        <v>9</v>
      </c>
      <c r="E3963" t="str">
        <f t="shared" si="141"/>
        <v>J</v>
      </c>
      <c r="F3963" t="str">
        <f t="shared" si="140"/>
        <v>9J</v>
      </c>
    </row>
    <row r="3964" spans="1:6" x14ac:dyDescent="0.2">
      <c r="A3964">
        <v>10</v>
      </c>
      <c r="E3964" t="str">
        <f t="shared" si="141"/>
        <v>K</v>
      </c>
      <c r="F3964" t="str">
        <f t="shared" si="140"/>
        <v>10K</v>
      </c>
    </row>
    <row r="3965" spans="1:6" x14ac:dyDescent="0.2">
      <c r="A3965">
        <v>11</v>
      </c>
      <c r="E3965" t="str">
        <f t="shared" si="141"/>
        <v>L</v>
      </c>
      <c r="F3965" t="str">
        <f t="shared" ref="F3965:F4028" si="142">A3965&amp;C3965&amp;E3965</f>
        <v>11L</v>
      </c>
    </row>
    <row r="3966" spans="1:6" x14ac:dyDescent="0.2">
      <c r="A3966">
        <v>12</v>
      </c>
      <c r="E3966" t="str">
        <f t="shared" si="141"/>
        <v>M</v>
      </c>
      <c r="F3966" t="str">
        <f t="shared" si="142"/>
        <v>12M</v>
      </c>
    </row>
    <row r="3967" spans="1:6" x14ac:dyDescent="0.2">
      <c r="A3967">
        <v>13</v>
      </c>
      <c r="E3967" t="str">
        <f t="shared" si="141"/>
        <v>N</v>
      </c>
      <c r="F3967" t="str">
        <f t="shared" si="142"/>
        <v>13N</v>
      </c>
    </row>
    <row r="3968" spans="1:6" x14ac:dyDescent="0.2">
      <c r="A3968">
        <v>14</v>
      </c>
      <c r="E3968" t="str">
        <f t="shared" si="141"/>
        <v>O</v>
      </c>
      <c r="F3968" t="str">
        <f t="shared" si="142"/>
        <v>14O</v>
      </c>
    </row>
    <row r="3969" spans="1:6" x14ac:dyDescent="0.2">
      <c r="A3969">
        <v>15</v>
      </c>
      <c r="E3969" t="str">
        <f t="shared" si="141"/>
        <v>P</v>
      </c>
      <c r="F3969" t="str">
        <f t="shared" si="142"/>
        <v>15P</v>
      </c>
    </row>
    <row r="3970" spans="1:6" x14ac:dyDescent="0.2">
      <c r="A3970">
        <v>16</v>
      </c>
      <c r="E3970" t="str">
        <f t="shared" si="141"/>
        <v>Q</v>
      </c>
      <c r="F3970" t="str">
        <f t="shared" si="142"/>
        <v>16Q</v>
      </c>
    </row>
    <row r="3971" spans="1:6" x14ac:dyDescent="0.2">
      <c r="A3971">
        <v>17</v>
      </c>
      <c r="E3971" t="str">
        <f t="shared" si="141"/>
        <v>R</v>
      </c>
      <c r="F3971" t="str">
        <f t="shared" si="142"/>
        <v>17R</v>
      </c>
    </row>
    <row r="3972" spans="1:6" x14ac:dyDescent="0.2">
      <c r="A3972">
        <v>18</v>
      </c>
      <c r="E3972" t="str">
        <f t="shared" si="141"/>
        <v>S</v>
      </c>
      <c r="F3972" t="str">
        <f t="shared" si="142"/>
        <v>18S</v>
      </c>
    </row>
    <row r="3973" spans="1:6" x14ac:dyDescent="0.2">
      <c r="A3973">
        <v>19</v>
      </c>
      <c r="E3973" t="str">
        <f t="shared" si="141"/>
        <v>T</v>
      </c>
      <c r="F3973" t="str">
        <f t="shared" si="142"/>
        <v>19T</v>
      </c>
    </row>
    <row r="3974" spans="1:6" x14ac:dyDescent="0.2">
      <c r="A3974">
        <v>20</v>
      </c>
      <c r="E3974" t="str">
        <f t="shared" si="141"/>
        <v>U</v>
      </c>
      <c r="F3974" t="str">
        <f t="shared" si="142"/>
        <v>20U</v>
      </c>
    </row>
    <row r="3975" spans="1:6" x14ac:dyDescent="0.2">
      <c r="A3975">
        <v>21</v>
      </c>
      <c r="E3975" t="str">
        <f t="shared" si="141"/>
        <v>V</v>
      </c>
      <c r="F3975" t="str">
        <f t="shared" si="142"/>
        <v>21V</v>
      </c>
    </row>
    <row r="3976" spans="1:6" x14ac:dyDescent="0.2">
      <c r="A3976">
        <v>22</v>
      </c>
      <c r="E3976" t="str">
        <f t="shared" si="141"/>
        <v>W</v>
      </c>
      <c r="F3976" t="str">
        <f t="shared" si="142"/>
        <v>22W</v>
      </c>
    </row>
    <row r="3977" spans="1:6" x14ac:dyDescent="0.2">
      <c r="A3977">
        <v>23</v>
      </c>
      <c r="E3977" t="str">
        <f t="shared" si="141"/>
        <v>X</v>
      </c>
      <c r="F3977" t="str">
        <f t="shared" si="142"/>
        <v>23X</v>
      </c>
    </row>
    <row r="3978" spans="1:6" x14ac:dyDescent="0.2">
      <c r="A3978">
        <v>24</v>
      </c>
      <c r="E3978" t="str">
        <f t="shared" si="141"/>
        <v>Y</v>
      </c>
      <c r="F3978" t="str">
        <f t="shared" si="142"/>
        <v>24Y</v>
      </c>
    </row>
    <row r="3979" spans="1:6" x14ac:dyDescent="0.2">
      <c r="A3979">
        <v>25</v>
      </c>
      <c r="E3979" t="str">
        <f t="shared" si="141"/>
        <v>Z</v>
      </c>
      <c r="F3979" t="str">
        <f t="shared" si="142"/>
        <v>25Z</v>
      </c>
    </row>
    <row r="3980" spans="1:6" x14ac:dyDescent="0.2">
      <c r="A3980">
        <v>0</v>
      </c>
      <c r="E3980" t="str">
        <f t="shared" si="141"/>
        <v>A</v>
      </c>
      <c r="F3980" t="str">
        <f t="shared" si="142"/>
        <v>0A</v>
      </c>
    </row>
    <row r="3981" spans="1:6" x14ac:dyDescent="0.2">
      <c r="A3981">
        <v>1</v>
      </c>
      <c r="E3981" t="str">
        <f t="shared" si="141"/>
        <v>B</v>
      </c>
      <c r="F3981" t="str">
        <f t="shared" si="142"/>
        <v>1B</v>
      </c>
    </row>
    <row r="3982" spans="1:6" x14ac:dyDescent="0.2">
      <c r="A3982">
        <v>2</v>
      </c>
      <c r="E3982" t="str">
        <f t="shared" si="141"/>
        <v>C</v>
      </c>
      <c r="F3982" t="str">
        <f t="shared" si="142"/>
        <v>2C</v>
      </c>
    </row>
    <row r="3983" spans="1:6" x14ac:dyDescent="0.2">
      <c r="A3983">
        <v>3</v>
      </c>
      <c r="E3983" t="str">
        <f t="shared" si="141"/>
        <v>D</v>
      </c>
      <c r="F3983" t="str">
        <f t="shared" si="142"/>
        <v>3D</v>
      </c>
    </row>
    <row r="3984" spans="1:6" x14ac:dyDescent="0.2">
      <c r="A3984">
        <v>4</v>
      </c>
      <c r="E3984" t="str">
        <f t="shared" si="141"/>
        <v>E</v>
      </c>
      <c r="F3984" t="str">
        <f t="shared" si="142"/>
        <v>4E</v>
      </c>
    </row>
    <row r="3985" spans="1:6" x14ac:dyDescent="0.2">
      <c r="A3985">
        <v>5</v>
      </c>
      <c r="E3985" t="str">
        <f t="shared" si="141"/>
        <v>F</v>
      </c>
      <c r="F3985" t="str">
        <f t="shared" si="142"/>
        <v>5F</v>
      </c>
    </row>
    <row r="3986" spans="1:6" x14ac:dyDescent="0.2">
      <c r="A3986">
        <v>6</v>
      </c>
      <c r="E3986" t="str">
        <f t="shared" si="141"/>
        <v>G</v>
      </c>
      <c r="F3986" t="str">
        <f t="shared" si="142"/>
        <v>6G</v>
      </c>
    </row>
    <row r="3987" spans="1:6" x14ac:dyDescent="0.2">
      <c r="A3987">
        <v>7</v>
      </c>
      <c r="E3987" t="str">
        <f t="shared" si="141"/>
        <v>H</v>
      </c>
      <c r="F3987" t="str">
        <f t="shared" si="142"/>
        <v>7H</v>
      </c>
    </row>
    <row r="3988" spans="1:6" x14ac:dyDescent="0.2">
      <c r="A3988">
        <v>8</v>
      </c>
      <c r="E3988" t="str">
        <f t="shared" si="141"/>
        <v>I</v>
      </c>
      <c r="F3988" t="str">
        <f t="shared" si="142"/>
        <v>8I</v>
      </c>
    </row>
    <row r="3989" spans="1:6" x14ac:dyDescent="0.2">
      <c r="A3989">
        <v>9</v>
      </c>
      <c r="E3989" t="str">
        <f t="shared" si="141"/>
        <v>J</v>
      </c>
      <c r="F3989" t="str">
        <f t="shared" si="142"/>
        <v>9J</v>
      </c>
    </row>
    <row r="3990" spans="1:6" x14ac:dyDescent="0.2">
      <c r="A3990">
        <v>10</v>
      </c>
      <c r="E3990" t="str">
        <f t="shared" si="141"/>
        <v>K</v>
      </c>
      <c r="F3990" t="str">
        <f t="shared" si="142"/>
        <v>10K</v>
      </c>
    </row>
    <row r="3991" spans="1:6" x14ac:dyDescent="0.2">
      <c r="A3991">
        <v>11</v>
      </c>
      <c r="E3991" t="str">
        <f t="shared" ref="E3991:E4054" si="143">E3965</f>
        <v>L</v>
      </c>
      <c r="F3991" t="str">
        <f t="shared" si="142"/>
        <v>11L</v>
      </c>
    </row>
    <row r="3992" spans="1:6" x14ac:dyDescent="0.2">
      <c r="A3992">
        <v>12</v>
      </c>
      <c r="E3992" t="str">
        <f t="shared" si="143"/>
        <v>M</v>
      </c>
      <c r="F3992" t="str">
        <f t="shared" si="142"/>
        <v>12M</v>
      </c>
    </row>
    <row r="3993" spans="1:6" x14ac:dyDescent="0.2">
      <c r="A3993">
        <v>13</v>
      </c>
      <c r="E3993" t="str">
        <f t="shared" si="143"/>
        <v>N</v>
      </c>
      <c r="F3993" t="str">
        <f t="shared" si="142"/>
        <v>13N</v>
      </c>
    </row>
    <row r="3994" spans="1:6" x14ac:dyDescent="0.2">
      <c r="A3994">
        <v>14</v>
      </c>
      <c r="E3994" t="str">
        <f t="shared" si="143"/>
        <v>O</v>
      </c>
      <c r="F3994" t="str">
        <f t="shared" si="142"/>
        <v>14O</v>
      </c>
    </row>
    <row r="3995" spans="1:6" x14ac:dyDescent="0.2">
      <c r="A3995">
        <v>15</v>
      </c>
      <c r="E3995" t="str">
        <f t="shared" si="143"/>
        <v>P</v>
      </c>
      <c r="F3995" t="str">
        <f t="shared" si="142"/>
        <v>15P</v>
      </c>
    </row>
    <row r="3996" spans="1:6" x14ac:dyDescent="0.2">
      <c r="A3996">
        <v>16</v>
      </c>
      <c r="E3996" t="str">
        <f t="shared" si="143"/>
        <v>Q</v>
      </c>
      <c r="F3996" t="str">
        <f t="shared" si="142"/>
        <v>16Q</v>
      </c>
    </row>
    <row r="3997" spans="1:6" x14ac:dyDescent="0.2">
      <c r="A3997">
        <v>17</v>
      </c>
      <c r="E3997" t="str">
        <f t="shared" si="143"/>
        <v>R</v>
      </c>
      <c r="F3997" t="str">
        <f t="shared" si="142"/>
        <v>17R</v>
      </c>
    </row>
    <row r="3998" spans="1:6" x14ac:dyDescent="0.2">
      <c r="A3998">
        <v>18</v>
      </c>
      <c r="E3998" t="str">
        <f t="shared" si="143"/>
        <v>S</v>
      </c>
      <c r="F3998" t="str">
        <f t="shared" si="142"/>
        <v>18S</v>
      </c>
    </row>
    <row r="3999" spans="1:6" x14ac:dyDescent="0.2">
      <c r="A3999">
        <v>19</v>
      </c>
      <c r="E3999" t="str">
        <f t="shared" si="143"/>
        <v>T</v>
      </c>
      <c r="F3999" t="str">
        <f t="shared" si="142"/>
        <v>19T</v>
      </c>
    </row>
    <row r="4000" spans="1:6" x14ac:dyDescent="0.2">
      <c r="A4000">
        <v>20</v>
      </c>
      <c r="E4000" t="str">
        <f t="shared" si="143"/>
        <v>U</v>
      </c>
      <c r="F4000" t="str">
        <f t="shared" si="142"/>
        <v>20U</v>
      </c>
    </row>
    <row r="4001" spans="1:6" x14ac:dyDescent="0.2">
      <c r="A4001">
        <v>21</v>
      </c>
      <c r="E4001" t="str">
        <f t="shared" si="143"/>
        <v>V</v>
      </c>
      <c r="F4001" t="str">
        <f t="shared" si="142"/>
        <v>21V</v>
      </c>
    </row>
    <row r="4002" spans="1:6" x14ac:dyDescent="0.2">
      <c r="A4002">
        <v>22</v>
      </c>
      <c r="E4002" t="str">
        <f t="shared" si="143"/>
        <v>W</v>
      </c>
      <c r="F4002" t="str">
        <f t="shared" si="142"/>
        <v>22W</v>
      </c>
    </row>
    <row r="4003" spans="1:6" x14ac:dyDescent="0.2">
      <c r="A4003">
        <v>23</v>
      </c>
      <c r="E4003" t="str">
        <f t="shared" si="143"/>
        <v>X</v>
      </c>
      <c r="F4003" t="str">
        <f t="shared" si="142"/>
        <v>23X</v>
      </c>
    </row>
    <row r="4004" spans="1:6" x14ac:dyDescent="0.2">
      <c r="A4004">
        <v>24</v>
      </c>
      <c r="E4004" t="str">
        <f t="shared" si="143"/>
        <v>Y</v>
      </c>
      <c r="F4004" t="str">
        <f t="shared" si="142"/>
        <v>24Y</v>
      </c>
    </row>
    <row r="4005" spans="1:6" x14ac:dyDescent="0.2">
      <c r="A4005">
        <v>25</v>
      </c>
      <c r="E4005" t="str">
        <f t="shared" si="143"/>
        <v>Z</v>
      </c>
      <c r="F4005" t="str">
        <f t="shared" si="142"/>
        <v>25Z</v>
      </c>
    </row>
    <row r="4006" spans="1:6" x14ac:dyDescent="0.2">
      <c r="A4006">
        <v>0</v>
      </c>
      <c r="E4006" t="str">
        <f t="shared" si="143"/>
        <v>A</v>
      </c>
      <c r="F4006" t="str">
        <f t="shared" si="142"/>
        <v>0A</v>
      </c>
    </row>
    <row r="4007" spans="1:6" x14ac:dyDescent="0.2">
      <c r="A4007">
        <v>1</v>
      </c>
      <c r="E4007" t="str">
        <f t="shared" si="143"/>
        <v>B</v>
      </c>
      <c r="F4007" t="str">
        <f t="shared" si="142"/>
        <v>1B</v>
      </c>
    </row>
    <row r="4008" spans="1:6" x14ac:dyDescent="0.2">
      <c r="A4008">
        <v>2</v>
      </c>
      <c r="E4008" t="str">
        <f t="shared" si="143"/>
        <v>C</v>
      </c>
      <c r="F4008" t="str">
        <f t="shared" si="142"/>
        <v>2C</v>
      </c>
    </row>
    <row r="4009" spans="1:6" x14ac:dyDescent="0.2">
      <c r="A4009">
        <v>3</v>
      </c>
      <c r="E4009" t="str">
        <f t="shared" si="143"/>
        <v>D</v>
      </c>
      <c r="F4009" t="str">
        <f t="shared" si="142"/>
        <v>3D</v>
      </c>
    </row>
    <row r="4010" spans="1:6" x14ac:dyDescent="0.2">
      <c r="A4010">
        <v>4</v>
      </c>
      <c r="E4010" t="str">
        <f t="shared" si="143"/>
        <v>E</v>
      </c>
      <c r="F4010" t="str">
        <f t="shared" si="142"/>
        <v>4E</v>
      </c>
    </row>
    <row r="4011" spans="1:6" x14ac:dyDescent="0.2">
      <c r="A4011">
        <v>5</v>
      </c>
      <c r="E4011" t="str">
        <f t="shared" si="143"/>
        <v>F</v>
      </c>
      <c r="F4011" t="str">
        <f t="shared" si="142"/>
        <v>5F</v>
      </c>
    </row>
    <row r="4012" spans="1:6" x14ac:dyDescent="0.2">
      <c r="A4012">
        <v>6</v>
      </c>
      <c r="E4012" t="str">
        <f t="shared" si="143"/>
        <v>G</v>
      </c>
      <c r="F4012" t="str">
        <f t="shared" si="142"/>
        <v>6G</v>
      </c>
    </row>
    <row r="4013" spans="1:6" x14ac:dyDescent="0.2">
      <c r="A4013">
        <v>7</v>
      </c>
      <c r="E4013" t="str">
        <f t="shared" si="143"/>
        <v>H</v>
      </c>
      <c r="F4013" t="str">
        <f t="shared" si="142"/>
        <v>7H</v>
      </c>
    </row>
    <row r="4014" spans="1:6" x14ac:dyDescent="0.2">
      <c r="A4014">
        <v>8</v>
      </c>
      <c r="E4014" t="str">
        <f t="shared" si="143"/>
        <v>I</v>
      </c>
      <c r="F4014" t="str">
        <f t="shared" si="142"/>
        <v>8I</v>
      </c>
    </row>
    <row r="4015" spans="1:6" x14ac:dyDescent="0.2">
      <c r="A4015">
        <v>9</v>
      </c>
      <c r="E4015" t="str">
        <f t="shared" si="143"/>
        <v>J</v>
      </c>
      <c r="F4015" t="str">
        <f t="shared" si="142"/>
        <v>9J</v>
      </c>
    </row>
    <row r="4016" spans="1:6" x14ac:dyDescent="0.2">
      <c r="A4016">
        <v>10</v>
      </c>
      <c r="E4016" t="str">
        <f t="shared" si="143"/>
        <v>K</v>
      </c>
      <c r="F4016" t="str">
        <f t="shared" si="142"/>
        <v>10K</v>
      </c>
    </row>
    <row r="4017" spans="1:6" x14ac:dyDescent="0.2">
      <c r="A4017">
        <v>11</v>
      </c>
      <c r="E4017" t="str">
        <f t="shared" si="143"/>
        <v>L</v>
      </c>
      <c r="F4017" t="str">
        <f t="shared" si="142"/>
        <v>11L</v>
      </c>
    </row>
    <row r="4018" spans="1:6" x14ac:dyDescent="0.2">
      <c r="A4018">
        <v>12</v>
      </c>
      <c r="E4018" t="str">
        <f t="shared" si="143"/>
        <v>M</v>
      </c>
      <c r="F4018" t="str">
        <f t="shared" si="142"/>
        <v>12M</v>
      </c>
    </row>
    <row r="4019" spans="1:6" x14ac:dyDescent="0.2">
      <c r="A4019">
        <v>13</v>
      </c>
      <c r="E4019" t="str">
        <f t="shared" si="143"/>
        <v>N</v>
      </c>
      <c r="F4019" t="str">
        <f t="shared" si="142"/>
        <v>13N</v>
      </c>
    </row>
    <row r="4020" spans="1:6" x14ac:dyDescent="0.2">
      <c r="A4020">
        <v>14</v>
      </c>
      <c r="E4020" t="str">
        <f t="shared" si="143"/>
        <v>O</v>
      </c>
      <c r="F4020" t="str">
        <f t="shared" si="142"/>
        <v>14O</v>
      </c>
    </row>
    <row r="4021" spans="1:6" x14ac:dyDescent="0.2">
      <c r="A4021">
        <v>15</v>
      </c>
      <c r="E4021" t="str">
        <f t="shared" si="143"/>
        <v>P</v>
      </c>
      <c r="F4021" t="str">
        <f t="shared" si="142"/>
        <v>15P</v>
      </c>
    </row>
    <row r="4022" spans="1:6" x14ac:dyDescent="0.2">
      <c r="A4022">
        <v>16</v>
      </c>
      <c r="E4022" t="str">
        <f t="shared" si="143"/>
        <v>Q</v>
      </c>
      <c r="F4022" t="str">
        <f t="shared" si="142"/>
        <v>16Q</v>
      </c>
    </row>
    <row r="4023" spans="1:6" x14ac:dyDescent="0.2">
      <c r="A4023">
        <v>17</v>
      </c>
      <c r="E4023" t="str">
        <f t="shared" si="143"/>
        <v>R</v>
      </c>
      <c r="F4023" t="str">
        <f t="shared" si="142"/>
        <v>17R</v>
      </c>
    </row>
    <row r="4024" spans="1:6" x14ac:dyDescent="0.2">
      <c r="A4024">
        <v>18</v>
      </c>
      <c r="E4024" t="str">
        <f t="shared" si="143"/>
        <v>S</v>
      </c>
      <c r="F4024" t="str">
        <f t="shared" si="142"/>
        <v>18S</v>
      </c>
    </row>
    <row r="4025" spans="1:6" x14ac:dyDescent="0.2">
      <c r="A4025">
        <v>19</v>
      </c>
      <c r="E4025" t="str">
        <f t="shared" si="143"/>
        <v>T</v>
      </c>
      <c r="F4025" t="str">
        <f t="shared" si="142"/>
        <v>19T</v>
      </c>
    </row>
    <row r="4026" spans="1:6" x14ac:dyDescent="0.2">
      <c r="A4026">
        <v>20</v>
      </c>
      <c r="E4026" t="str">
        <f t="shared" si="143"/>
        <v>U</v>
      </c>
      <c r="F4026" t="str">
        <f t="shared" si="142"/>
        <v>20U</v>
      </c>
    </row>
    <row r="4027" spans="1:6" x14ac:dyDescent="0.2">
      <c r="A4027">
        <v>21</v>
      </c>
      <c r="E4027" t="str">
        <f t="shared" si="143"/>
        <v>V</v>
      </c>
      <c r="F4027" t="str">
        <f t="shared" si="142"/>
        <v>21V</v>
      </c>
    </row>
    <row r="4028" spans="1:6" x14ac:dyDescent="0.2">
      <c r="A4028">
        <v>22</v>
      </c>
      <c r="E4028" t="str">
        <f t="shared" si="143"/>
        <v>W</v>
      </c>
      <c r="F4028" t="str">
        <f t="shared" si="142"/>
        <v>22W</v>
      </c>
    </row>
    <row r="4029" spans="1:6" x14ac:dyDescent="0.2">
      <c r="A4029">
        <v>23</v>
      </c>
      <c r="E4029" t="str">
        <f t="shared" si="143"/>
        <v>X</v>
      </c>
      <c r="F4029" t="str">
        <f t="shared" ref="F4029:F4092" si="144">A4029&amp;C4029&amp;E4029</f>
        <v>23X</v>
      </c>
    </row>
    <row r="4030" spans="1:6" x14ac:dyDescent="0.2">
      <c r="A4030">
        <v>24</v>
      </c>
      <c r="E4030" t="str">
        <f t="shared" si="143"/>
        <v>Y</v>
      </c>
      <c r="F4030" t="str">
        <f t="shared" si="144"/>
        <v>24Y</v>
      </c>
    </row>
    <row r="4031" spans="1:6" x14ac:dyDescent="0.2">
      <c r="A4031">
        <v>25</v>
      </c>
      <c r="E4031" t="str">
        <f t="shared" si="143"/>
        <v>Z</v>
      </c>
      <c r="F4031" t="str">
        <f t="shared" si="144"/>
        <v>25Z</v>
      </c>
    </row>
    <row r="4032" spans="1:6" x14ac:dyDescent="0.2">
      <c r="A4032">
        <v>0</v>
      </c>
      <c r="E4032" t="str">
        <f t="shared" si="143"/>
        <v>A</v>
      </c>
      <c r="F4032" t="str">
        <f t="shared" si="144"/>
        <v>0A</v>
      </c>
    </row>
    <row r="4033" spans="1:6" x14ac:dyDescent="0.2">
      <c r="A4033">
        <v>1</v>
      </c>
      <c r="E4033" t="str">
        <f t="shared" si="143"/>
        <v>B</v>
      </c>
      <c r="F4033" t="str">
        <f t="shared" si="144"/>
        <v>1B</v>
      </c>
    </row>
    <row r="4034" spans="1:6" x14ac:dyDescent="0.2">
      <c r="A4034">
        <v>2</v>
      </c>
      <c r="E4034" t="str">
        <f t="shared" si="143"/>
        <v>C</v>
      </c>
      <c r="F4034" t="str">
        <f t="shared" si="144"/>
        <v>2C</v>
      </c>
    </row>
    <row r="4035" spans="1:6" x14ac:dyDescent="0.2">
      <c r="A4035">
        <v>3</v>
      </c>
      <c r="E4035" t="str">
        <f t="shared" si="143"/>
        <v>D</v>
      </c>
      <c r="F4035" t="str">
        <f t="shared" si="144"/>
        <v>3D</v>
      </c>
    </row>
    <row r="4036" spans="1:6" x14ac:dyDescent="0.2">
      <c r="A4036">
        <v>4</v>
      </c>
      <c r="E4036" t="str">
        <f t="shared" si="143"/>
        <v>E</v>
      </c>
      <c r="F4036" t="str">
        <f t="shared" si="144"/>
        <v>4E</v>
      </c>
    </row>
    <row r="4037" spans="1:6" x14ac:dyDescent="0.2">
      <c r="A4037">
        <v>5</v>
      </c>
      <c r="E4037" t="str">
        <f t="shared" si="143"/>
        <v>F</v>
      </c>
      <c r="F4037" t="str">
        <f t="shared" si="144"/>
        <v>5F</v>
      </c>
    </row>
    <row r="4038" spans="1:6" x14ac:dyDescent="0.2">
      <c r="A4038">
        <v>6</v>
      </c>
      <c r="E4038" t="str">
        <f t="shared" si="143"/>
        <v>G</v>
      </c>
      <c r="F4038" t="str">
        <f t="shared" si="144"/>
        <v>6G</v>
      </c>
    </row>
    <row r="4039" spans="1:6" x14ac:dyDescent="0.2">
      <c r="A4039">
        <v>7</v>
      </c>
      <c r="E4039" t="str">
        <f t="shared" si="143"/>
        <v>H</v>
      </c>
      <c r="F4039" t="str">
        <f t="shared" si="144"/>
        <v>7H</v>
      </c>
    </row>
    <row r="4040" spans="1:6" x14ac:dyDescent="0.2">
      <c r="A4040">
        <v>8</v>
      </c>
      <c r="E4040" t="str">
        <f t="shared" si="143"/>
        <v>I</v>
      </c>
      <c r="F4040" t="str">
        <f t="shared" si="144"/>
        <v>8I</v>
      </c>
    </row>
    <row r="4041" spans="1:6" x14ac:dyDescent="0.2">
      <c r="A4041">
        <v>9</v>
      </c>
      <c r="E4041" t="str">
        <f t="shared" si="143"/>
        <v>J</v>
      </c>
      <c r="F4041" t="str">
        <f t="shared" si="144"/>
        <v>9J</v>
      </c>
    </row>
    <row r="4042" spans="1:6" x14ac:dyDescent="0.2">
      <c r="A4042">
        <v>10</v>
      </c>
      <c r="E4042" t="str">
        <f t="shared" si="143"/>
        <v>K</v>
      </c>
      <c r="F4042" t="str">
        <f t="shared" si="144"/>
        <v>10K</v>
      </c>
    </row>
    <row r="4043" spans="1:6" x14ac:dyDescent="0.2">
      <c r="A4043">
        <v>11</v>
      </c>
      <c r="E4043" t="str">
        <f t="shared" si="143"/>
        <v>L</v>
      </c>
      <c r="F4043" t="str">
        <f t="shared" si="144"/>
        <v>11L</v>
      </c>
    </row>
    <row r="4044" spans="1:6" x14ac:dyDescent="0.2">
      <c r="A4044">
        <v>12</v>
      </c>
      <c r="E4044" t="str">
        <f t="shared" si="143"/>
        <v>M</v>
      </c>
      <c r="F4044" t="str">
        <f t="shared" si="144"/>
        <v>12M</v>
      </c>
    </row>
    <row r="4045" spans="1:6" x14ac:dyDescent="0.2">
      <c r="A4045">
        <v>13</v>
      </c>
      <c r="E4045" t="str">
        <f t="shared" si="143"/>
        <v>N</v>
      </c>
      <c r="F4045" t="str">
        <f t="shared" si="144"/>
        <v>13N</v>
      </c>
    </row>
    <row r="4046" spans="1:6" x14ac:dyDescent="0.2">
      <c r="A4046">
        <v>14</v>
      </c>
      <c r="E4046" t="str">
        <f t="shared" si="143"/>
        <v>O</v>
      </c>
      <c r="F4046" t="str">
        <f t="shared" si="144"/>
        <v>14O</v>
      </c>
    </row>
    <row r="4047" spans="1:6" x14ac:dyDescent="0.2">
      <c r="A4047">
        <v>15</v>
      </c>
      <c r="E4047" t="str">
        <f t="shared" si="143"/>
        <v>P</v>
      </c>
      <c r="F4047" t="str">
        <f t="shared" si="144"/>
        <v>15P</v>
      </c>
    </row>
    <row r="4048" spans="1:6" x14ac:dyDescent="0.2">
      <c r="A4048">
        <v>16</v>
      </c>
      <c r="E4048" t="str">
        <f t="shared" si="143"/>
        <v>Q</v>
      </c>
      <c r="F4048" t="str">
        <f t="shared" si="144"/>
        <v>16Q</v>
      </c>
    </row>
    <row r="4049" spans="1:6" x14ac:dyDescent="0.2">
      <c r="A4049">
        <v>17</v>
      </c>
      <c r="E4049" t="str">
        <f t="shared" si="143"/>
        <v>R</v>
      </c>
      <c r="F4049" t="str">
        <f t="shared" si="144"/>
        <v>17R</v>
      </c>
    </row>
    <row r="4050" spans="1:6" x14ac:dyDescent="0.2">
      <c r="A4050">
        <v>18</v>
      </c>
      <c r="E4050" t="str">
        <f t="shared" si="143"/>
        <v>S</v>
      </c>
      <c r="F4050" t="str">
        <f t="shared" si="144"/>
        <v>18S</v>
      </c>
    </row>
    <row r="4051" spans="1:6" x14ac:dyDescent="0.2">
      <c r="A4051">
        <v>19</v>
      </c>
      <c r="E4051" t="str">
        <f t="shared" si="143"/>
        <v>T</v>
      </c>
      <c r="F4051" t="str">
        <f t="shared" si="144"/>
        <v>19T</v>
      </c>
    </row>
    <row r="4052" spans="1:6" x14ac:dyDescent="0.2">
      <c r="A4052">
        <v>20</v>
      </c>
      <c r="E4052" t="str">
        <f t="shared" si="143"/>
        <v>U</v>
      </c>
      <c r="F4052" t="str">
        <f t="shared" si="144"/>
        <v>20U</v>
      </c>
    </row>
    <row r="4053" spans="1:6" x14ac:dyDescent="0.2">
      <c r="A4053">
        <v>21</v>
      </c>
      <c r="E4053" t="str">
        <f t="shared" si="143"/>
        <v>V</v>
      </c>
      <c r="F4053" t="str">
        <f t="shared" si="144"/>
        <v>21V</v>
      </c>
    </row>
    <row r="4054" spans="1:6" x14ac:dyDescent="0.2">
      <c r="A4054">
        <v>22</v>
      </c>
      <c r="E4054" t="str">
        <f t="shared" si="143"/>
        <v>W</v>
      </c>
      <c r="F4054" t="str">
        <f t="shared" si="144"/>
        <v>22W</v>
      </c>
    </row>
    <row r="4055" spans="1:6" x14ac:dyDescent="0.2">
      <c r="A4055">
        <v>23</v>
      </c>
      <c r="E4055" t="str">
        <f t="shared" ref="E4055:E4118" si="145">E4029</f>
        <v>X</v>
      </c>
      <c r="F4055" t="str">
        <f t="shared" si="144"/>
        <v>23X</v>
      </c>
    </row>
    <row r="4056" spans="1:6" x14ac:dyDescent="0.2">
      <c r="A4056">
        <v>24</v>
      </c>
      <c r="E4056" t="str">
        <f t="shared" si="145"/>
        <v>Y</v>
      </c>
      <c r="F4056" t="str">
        <f t="shared" si="144"/>
        <v>24Y</v>
      </c>
    </row>
    <row r="4057" spans="1:6" x14ac:dyDescent="0.2">
      <c r="A4057">
        <v>25</v>
      </c>
      <c r="E4057" t="str">
        <f t="shared" si="145"/>
        <v>Z</v>
      </c>
      <c r="F4057" t="str">
        <f t="shared" si="144"/>
        <v>25Z</v>
      </c>
    </row>
    <row r="4058" spans="1:6" x14ac:dyDescent="0.2">
      <c r="A4058">
        <v>0</v>
      </c>
      <c r="E4058" t="str">
        <f t="shared" si="145"/>
        <v>A</v>
      </c>
      <c r="F4058" t="str">
        <f t="shared" si="144"/>
        <v>0A</v>
      </c>
    </row>
    <row r="4059" spans="1:6" x14ac:dyDescent="0.2">
      <c r="A4059">
        <v>1</v>
      </c>
      <c r="E4059" t="str">
        <f t="shared" si="145"/>
        <v>B</v>
      </c>
      <c r="F4059" t="str">
        <f t="shared" si="144"/>
        <v>1B</v>
      </c>
    </row>
    <row r="4060" spans="1:6" x14ac:dyDescent="0.2">
      <c r="A4060">
        <v>2</v>
      </c>
      <c r="E4060" t="str">
        <f t="shared" si="145"/>
        <v>C</v>
      </c>
      <c r="F4060" t="str">
        <f t="shared" si="144"/>
        <v>2C</v>
      </c>
    </row>
    <row r="4061" spans="1:6" x14ac:dyDescent="0.2">
      <c r="A4061">
        <v>3</v>
      </c>
      <c r="E4061" t="str">
        <f t="shared" si="145"/>
        <v>D</v>
      </c>
      <c r="F4061" t="str">
        <f t="shared" si="144"/>
        <v>3D</v>
      </c>
    </row>
    <row r="4062" spans="1:6" x14ac:dyDescent="0.2">
      <c r="A4062">
        <v>4</v>
      </c>
      <c r="E4062" t="str">
        <f t="shared" si="145"/>
        <v>E</v>
      </c>
      <c r="F4062" t="str">
        <f t="shared" si="144"/>
        <v>4E</v>
      </c>
    </row>
    <row r="4063" spans="1:6" x14ac:dyDescent="0.2">
      <c r="A4063">
        <v>5</v>
      </c>
      <c r="E4063" t="str">
        <f t="shared" si="145"/>
        <v>F</v>
      </c>
      <c r="F4063" t="str">
        <f t="shared" si="144"/>
        <v>5F</v>
      </c>
    </row>
    <row r="4064" spans="1:6" x14ac:dyDescent="0.2">
      <c r="A4064">
        <v>6</v>
      </c>
      <c r="E4064" t="str">
        <f t="shared" si="145"/>
        <v>G</v>
      </c>
      <c r="F4064" t="str">
        <f t="shared" si="144"/>
        <v>6G</v>
      </c>
    </row>
    <row r="4065" spans="1:6" x14ac:dyDescent="0.2">
      <c r="A4065">
        <v>7</v>
      </c>
      <c r="E4065" t="str">
        <f t="shared" si="145"/>
        <v>H</v>
      </c>
      <c r="F4065" t="str">
        <f t="shared" si="144"/>
        <v>7H</v>
      </c>
    </row>
    <row r="4066" spans="1:6" x14ac:dyDescent="0.2">
      <c r="A4066">
        <v>8</v>
      </c>
      <c r="E4066" t="str">
        <f t="shared" si="145"/>
        <v>I</v>
      </c>
      <c r="F4066" t="str">
        <f t="shared" si="144"/>
        <v>8I</v>
      </c>
    </row>
    <row r="4067" spans="1:6" x14ac:dyDescent="0.2">
      <c r="A4067">
        <v>9</v>
      </c>
      <c r="E4067" t="str">
        <f t="shared" si="145"/>
        <v>J</v>
      </c>
      <c r="F4067" t="str">
        <f t="shared" si="144"/>
        <v>9J</v>
      </c>
    </row>
    <row r="4068" spans="1:6" x14ac:dyDescent="0.2">
      <c r="A4068">
        <v>10</v>
      </c>
      <c r="E4068" t="str">
        <f t="shared" si="145"/>
        <v>K</v>
      </c>
      <c r="F4068" t="str">
        <f t="shared" si="144"/>
        <v>10K</v>
      </c>
    </row>
    <row r="4069" spans="1:6" x14ac:dyDescent="0.2">
      <c r="A4069">
        <v>11</v>
      </c>
      <c r="E4069" t="str">
        <f t="shared" si="145"/>
        <v>L</v>
      </c>
      <c r="F4069" t="str">
        <f t="shared" si="144"/>
        <v>11L</v>
      </c>
    </row>
    <row r="4070" spans="1:6" x14ac:dyDescent="0.2">
      <c r="A4070">
        <v>12</v>
      </c>
      <c r="E4070" t="str">
        <f t="shared" si="145"/>
        <v>M</v>
      </c>
      <c r="F4070" t="str">
        <f t="shared" si="144"/>
        <v>12M</v>
      </c>
    </row>
    <row r="4071" spans="1:6" x14ac:dyDescent="0.2">
      <c r="A4071">
        <v>13</v>
      </c>
      <c r="E4071" t="str">
        <f t="shared" si="145"/>
        <v>N</v>
      </c>
      <c r="F4071" t="str">
        <f t="shared" si="144"/>
        <v>13N</v>
      </c>
    </row>
    <row r="4072" spans="1:6" x14ac:dyDescent="0.2">
      <c r="A4072">
        <v>14</v>
      </c>
      <c r="E4072" t="str">
        <f t="shared" si="145"/>
        <v>O</v>
      </c>
      <c r="F4072" t="str">
        <f t="shared" si="144"/>
        <v>14O</v>
      </c>
    </row>
    <row r="4073" spans="1:6" x14ac:dyDescent="0.2">
      <c r="A4073">
        <v>15</v>
      </c>
      <c r="E4073" t="str">
        <f t="shared" si="145"/>
        <v>P</v>
      </c>
      <c r="F4073" t="str">
        <f t="shared" si="144"/>
        <v>15P</v>
      </c>
    </row>
    <row r="4074" spans="1:6" x14ac:dyDescent="0.2">
      <c r="A4074">
        <v>16</v>
      </c>
      <c r="E4074" t="str">
        <f t="shared" si="145"/>
        <v>Q</v>
      </c>
      <c r="F4074" t="str">
        <f t="shared" si="144"/>
        <v>16Q</v>
      </c>
    </row>
    <row r="4075" spans="1:6" x14ac:dyDescent="0.2">
      <c r="A4075">
        <v>17</v>
      </c>
      <c r="E4075" t="str">
        <f t="shared" si="145"/>
        <v>R</v>
      </c>
      <c r="F4075" t="str">
        <f t="shared" si="144"/>
        <v>17R</v>
      </c>
    </row>
    <row r="4076" spans="1:6" x14ac:dyDescent="0.2">
      <c r="A4076">
        <v>18</v>
      </c>
      <c r="E4076" t="str">
        <f t="shared" si="145"/>
        <v>S</v>
      </c>
      <c r="F4076" t="str">
        <f t="shared" si="144"/>
        <v>18S</v>
      </c>
    </row>
    <row r="4077" spans="1:6" x14ac:dyDescent="0.2">
      <c r="A4077">
        <v>19</v>
      </c>
      <c r="E4077" t="str">
        <f t="shared" si="145"/>
        <v>T</v>
      </c>
      <c r="F4077" t="str">
        <f t="shared" si="144"/>
        <v>19T</v>
      </c>
    </row>
    <row r="4078" spans="1:6" x14ac:dyDescent="0.2">
      <c r="A4078">
        <v>20</v>
      </c>
      <c r="E4078" t="str">
        <f t="shared" si="145"/>
        <v>U</v>
      </c>
      <c r="F4078" t="str">
        <f t="shared" si="144"/>
        <v>20U</v>
      </c>
    </row>
    <row r="4079" spans="1:6" x14ac:dyDescent="0.2">
      <c r="A4079">
        <v>21</v>
      </c>
      <c r="E4079" t="str">
        <f t="shared" si="145"/>
        <v>V</v>
      </c>
      <c r="F4079" t="str">
        <f t="shared" si="144"/>
        <v>21V</v>
      </c>
    </row>
    <row r="4080" spans="1:6" x14ac:dyDescent="0.2">
      <c r="A4080">
        <v>22</v>
      </c>
      <c r="E4080" t="str">
        <f t="shared" si="145"/>
        <v>W</v>
      </c>
      <c r="F4080" t="str">
        <f t="shared" si="144"/>
        <v>22W</v>
      </c>
    </row>
    <row r="4081" spans="1:6" x14ac:dyDescent="0.2">
      <c r="A4081">
        <v>23</v>
      </c>
      <c r="E4081" t="str">
        <f t="shared" si="145"/>
        <v>X</v>
      </c>
      <c r="F4081" t="str">
        <f t="shared" si="144"/>
        <v>23X</v>
      </c>
    </row>
    <row r="4082" spans="1:6" x14ac:dyDescent="0.2">
      <c r="A4082">
        <v>24</v>
      </c>
      <c r="E4082" t="str">
        <f t="shared" si="145"/>
        <v>Y</v>
      </c>
      <c r="F4082" t="str">
        <f t="shared" si="144"/>
        <v>24Y</v>
      </c>
    </row>
    <row r="4083" spans="1:6" x14ac:dyDescent="0.2">
      <c r="A4083">
        <v>25</v>
      </c>
      <c r="E4083" t="str">
        <f t="shared" si="145"/>
        <v>Z</v>
      </c>
      <c r="F4083" t="str">
        <f t="shared" si="144"/>
        <v>25Z</v>
      </c>
    </row>
    <row r="4084" spans="1:6" x14ac:dyDescent="0.2">
      <c r="A4084">
        <v>0</v>
      </c>
      <c r="E4084" t="str">
        <f t="shared" si="145"/>
        <v>A</v>
      </c>
      <c r="F4084" t="str">
        <f t="shared" si="144"/>
        <v>0A</v>
      </c>
    </row>
    <row r="4085" spans="1:6" x14ac:dyDescent="0.2">
      <c r="A4085">
        <v>1</v>
      </c>
      <c r="E4085" t="str">
        <f t="shared" si="145"/>
        <v>B</v>
      </c>
      <c r="F4085" t="str">
        <f t="shared" si="144"/>
        <v>1B</v>
      </c>
    </row>
    <row r="4086" spans="1:6" x14ac:dyDescent="0.2">
      <c r="A4086">
        <v>2</v>
      </c>
      <c r="E4086" t="str">
        <f t="shared" si="145"/>
        <v>C</v>
      </c>
      <c r="F4086" t="str">
        <f t="shared" si="144"/>
        <v>2C</v>
      </c>
    </row>
    <row r="4087" spans="1:6" x14ac:dyDescent="0.2">
      <c r="A4087">
        <v>3</v>
      </c>
      <c r="E4087" t="str">
        <f t="shared" si="145"/>
        <v>D</v>
      </c>
      <c r="F4087" t="str">
        <f t="shared" si="144"/>
        <v>3D</v>
      </c>
    </row>
    <row r="4088" spans="1:6" x14ac:dyDescent="0.2">
      <c r="A4088">
        <v>4</v>
      </c>
      <c r="E4088" t="str">
        <f t="shared" si="145"/>
        <v>E</v>
      </c>
      <c r="F4088" t="str">
        <f t="shared" si="144"/>
        <v>4E</v>
      </c>
    </row>
    <row r="4089" spans="1:6" x14ac:dyDescent="0.2">
      <c r="A4089">
        <v>5</v>
      </c>
      <c r="E4089" t="str">
        <f t="shared" si="145"/>
        <v>F</v>
      </c>
      <c r="F4089" t="str">
        <f t="shared" si="144"/>
        <v>5F</v>
      </c>
    </row>
    <row r="4090" spans="1:6" x14ac:dyDescent="0.2">
      <c r="A4090">
        <v>6</v>
      </c>
      <c r="E4090" t="str">
        <f t="shared" si="145"/>
        <v>G</v>
      </c>
      <c r="F4090" t="str">
        <f t="shared" si="144"/>
        <v>6G</v>
      </c>
    </row>
    <row r="4091" spans="1:6" x14ac:dyDescent="0.2">
      <c r="A4091">
        <v>7</v>
      </c>
      <c r="E4091" t="str">
        <f t="shared" si="145"/>
        <v>H</v>
      </c>
      <c r="F4091" t="str">
        <f t="shared" si="144"/>
        <v>7H</v>
      </c>
    </row>
    <row r="4092" spans="1:6" x14ac:dyDescent="0.2">
      <c r="A4092">
        <v>8</v>
      </c>
      <c r="E4092" t="str">
        <f t="shared" si="145"/>
        <v>I</v>
      </c>
      <c r="F4092" t="str">
        <f t="shared" si="144"/>
        <v>8I</v>
      </c>
    </row>
    <row r="4093" spans="1:6" x14ac:dyDescent="0.2">
      <c r="A4093">
        <v>9</v>
      </c>
      <c r="E4093" t="str">
        <f t="shared" si="145"/>
        <v>J</v>
      </c>
      <c r="F4093" t="str">
        <f t="shared" ref="F4093:F4156" si="146">A4093&amp;C4093&amp;E4093</f>
        <v>9J</v>
      </c>
    </row>
    <row r="4094" spans="1:6" x14ac:dyDescent="0.2">
      <c r="A4094">
        <v>10</v>
      </c>
      <c r="E4094" t="str">
        <f t="shared" si="145"/>
        <v>K</v>
      </c>
      <c r="F4094" t="str">
        <f t="shared" si="146"/>
        <v>10K</v>
      </c>
    </row>
    <row r="4095" spans="1:6" x14ac:dyDescent="0.2">
      <c r="A4095">
        <v>11</v>
      </c>
      <c r="E4095" t="str">
        <f t="shared" si="145"/>
        <v>L</v>
      </c>
      <c r="F4095" t="str">
        <f t="shared" si="146"/>
        <v>11L</v>
      </c>
    </row>
    <row r="4096" spans="1:6" x14ac:dyDescent="0.2">
      <c r="A4096">
        <v>12</v>
      </c>
      <c r="E4096" t="str">
        <f t="shared" si="145"/>
        <v>M</v>
      </c>
      <c r="F4096" t="str">
        <f t="shared" si="146"/>
        <v>12M</v>
      </c>
    </row>
    <row r="4097" spans="1:6" x14ac:dyDescent="0.2">
      <c r="A4097">
        <v>13</v>
      </c>
      <c r="E4097" t="str">
        <f t="shared" si="145"/>
        <v>N</v>
      </c>
      <c r="F4097" t="str">
        <f t="shared" si="146"/>
        <v>13N</v>
      </c>
    </row>
    <row r="4098" spans="1:6" x14ac:dyDescent="0.2">
      <c r="A4098">
        <v>14</v>
      </c>
      <c r="E4098" t="str">
        <f t="shared" si="145"/>
        <v>O</v>
      </c>
      <c r="F4098" t="str">
        <f t="shared" si="146"/>
        <v>14O</v>
      </c>
    </row>
    <row r="4099" spans="1:6" x14ac:dyDescent="0.2">
      <c r="A4099">
        <v>15</v>
      </c>
      <c r="E4099" t="str">
        <f t="shared" si="145"/>
        <v>P</v>
      </c>
      <c r="F4099" t="str">
        <f t="shared" si="146"/>
        <v>15P</v>
      </c>
    </row>
    <row r="4100" spans="1:6" x14ac:dyDescent="0.2">
      <c r="A4100">
        <v>16</v>
      </c>
      <c r="E4100" t="str">
        <f t="shared" si="145"/>
        <v>Q</v>
      </c>
      <c r="F4100" t="str">
        <f t="shared" si="146"/>
        <v>16Q</v>
      </c>
    </row>
    <row r="4101" spans="1:6" x14ac:dyDescent="0.2">
      <c r="A4101">
        <v>17</v>
      </c>
      <c r="E4101" t="str">
        <f t="shared" si="145"/>
        <v>R</v>
      </c>
      <c r="F4101" t="str">
        <f t="shared" si="146"/>
        <v>17R</v>
      </c>
    </row>
    <row r="4102" spans="1:6" x14ac:dyDescent="0.2">
      <c r="A4102">
        <v>18</v>
      </c>
      <c r="E4102" t="str">
        <f t="shared" si="145"/>
        <v>S</v>
      </c>
      <c r="F4102" t="str">
        <f t="shared" si="146"/>
        <v>18S</v>
      </c>
    </row>
    <row r="4103" spans="1:6" x14ac:dyDescent="0.2">
      <c r="A4103">
        <v>19</v>
      </c>
      <c r="E4103" t="str">
        <f t="shared" si="145"/>
        <v>T</v>
      </c>
      <c r="F4103" t="str">
        <f t="shared" si="146"/>
        <v>19T</v>
      </c>
    </row>
    <row r="4104" spans="1:6" x14ac:dyDescent="0.2">
      <c r="A4104">
        <v>20</v>
      </c>
      <c r="E4104" t="str">
        <f t="shared" si="145"/>
        <v>U</v>
      </c>
      <c r="F4104" t="str">
        <f t="shared" si="146"/>
        <v>20U</v>
      </c>
    </row>
    <row r="4105" spans="1:6" x14ac:dyDescent="0.2">
      <c r="A4105">
        <v>21</v>
      </c>
      <c r="E4105" t="str">
        <f t="shared" si="145"/>
        <v>V</v>
      </c>
      <c r="F4105" t="str">
        <f t="shared" si="146"/>
        <v>21V</v>
      </c>
    </row>
    <row r="4106" spans="1:6" x14ac:dyDescent="0.2">
      <c r="A4106">
        <v>22</v>
      </c>
      <c r="E4106" t="str">
        <f t="shared" si="145"/>
        <v>W</v>
      </c>
      <c r="F4106" t="str">
        <f t="shared" si="146"/>
        <v>22W</v>
      </c>
    </row>
    <row r="4107" spans="1:6" x14ac:dyDescent="0.2">
      <c r="A4107">
        <v>23</v>
      </c>
      <c r="E4107" t="str">
        <f t="shared" si="145"/>
        <v>X</v>
      </c>
      <c r="F4107" t="str">
        <f t="shared" si="146"/>
        <v>23X</v>
      </c>
    </row>
    <row r="4108" spans="1:6" x14ac:dyDescent="0.2">
      <c r="A4108">
        <v>24</v>
      </c>
      <c r="E4108" t="str">
        <f t="shared" si="145"/>
        <v>Y</v>
      </c>
      <c r="F4108" t="str">
        <f t="shared" si="146"/>
        <v>24Y</v>
      </c>
    </row>
    <row r="4109" spans="1:6" x14ac:dyDescent="0.2">
      <c r="A4109">
        <v>25</v>
      </c>
      <c r="E4109" t="str">
        <f t="shared" si="145"/>
        <v>Z</v>
      </c>
      <c r="F4109" t="str">
        <f t="shared" si="146"/>
        <v>25Z</v>
      </c>
    </row>
    <row r="4110" spans="1:6" x14ac:dyDescent="0.2">
      <c r="A4110">
        <v>0</v>
      </c>
      <c r="E4110" t="str">
        <f t="shared" si="145"/>
        <v>A</v>
      </c>
      <c r="F4110" t="str">
        <f t="shared" si="146"/>
        <v>0A</v>
      </c>
    </row>
    <row r="4111" spans="1:6" x14ac:dyDescent="0.2">
      <c r="A4111">
        <v>1</v>
      </c>
      <c r="E4111" t="str">
        <f t="shared" si="145"/>
        <v>B</v>
      </c>
      <c r="F4111" t="str">
        <f t="shared" si="146"/>
        <v>1B</v>
      </c>
    </row>
    <row r="4112" spans="1:6" x14ac:dyDescent="0.2">
      <c r="A4112">
        <v>2</v>
      </c>
      <c r="E4112" t="str">
        <f t="shared" si="145"/>
        <v>C</v>
      </c>
      <c r="F4112" t="str">
        <f t="shared" si="146"/>
        <v>2C</v>
      </c>
    </row>
    <row r="4113" spans="1:6" x14ac:dyDescent="0.2">
      <c r="A4113">
        <v>3</v>
      </c>
      <c r="E4113" t="str">
        <f t="shared" si="145"/>
        <v>D</v>
      </c>
      <c r="F4113" t="str">
        <f t="shared" si="146"/>
        <v>3D</v>
      </c>
    </row>
    <row r="4114" spans="1:6" x14ac:dyDescent="0.2">
      <c r="A4114">
        <v>4</v>
      </c>
      <c r="E4114" t="str">
        <f t="shared" si="145"/>
        <v>E</v>
      </c>
      <c r="F4114" t="str">
        <f t="shared" si="146"/>
        <v>4E</v>
      </c>
    </row>
    <row r="4115" spans="1:6" x14ac:dyDescent="0.2">
      <c r="A4115">
        <v>5</v>
      </c>
      <c r="E4115" t="str">
        <f t="shared" si="145"/>
        <v>F</v>
      </c>
      <c r="F4115" t="str">
        <f t="shared" si="146"/>
        <v>5F</v>
      </c>
    </row>
    <row r="4116" spans="1:6" x14ac:dyDescent="0.2">
      <c r="A4116">
        <v>6</v>
      </c>
      <c r="E4116" t="str">
        <f t="shared" si="145"/>
        <v>G</v>
      </c>
      <c r="F4116" t="str">
        <f t="shared" si="146"/>
        <v>6G</v>
      </c>
    </row>
    <row r="4117" spans="1:6" x14ac:dyDescent="0.2">
      <c r="A4117">
        <v>7</v>
      </c>
      <c r="E4117" t="str">
        <f t="shared" si="145"/>
        <v>H</v>
      </c>
      <c r="F4117" t="str">
        <f t="shared" si="146"/>
        <v>7H</v>
      </c>
    </row>
    <row r="4118" spans="1:6" x14ac:dyDescent="0.2">
      <c r="A4118">
        <v>8</v>
      </c>
      <c r="E4118" t="str">
        <f t="shared" si="145"/>
        <v>I</v>
      </c>
      <c r="F4118" t="str">
        <f t="shared" si="146"/>
        <v>8I</v>
      </c>
    </row>
    <row r="4119" spans="1:6" x14ac:dyDescent="0.2">
      <c r="A4119">
        <v>9</v>
      </c>
      <c r="E4119" t="str">
        <f t="shared" ref="E4119:E4182" si="147">E4093</f>
        <v>J</v>
      </c>
      <c r="F4119" t="str">
        <f t="shared" si="146"/>
        <v>9J</v>
      </c>
    </row>
    <row r="4120" spans="1:6" x14ac:dyDescent="0.2">
      <c r="A4120">
        <v>10</v>
      </c>
      <c r="E4120" t="str">
        <f t="shared" si="147"/>
        <v>K</v>
      </c>
      <c r="F4120" t="str">
        <f t="shared" si="146"/>
        <v>10K</v>
      </c>
    </row>
    <row r="4121" spans="1:6" x14ac:dyDescent="0.2">
      <c r="A4121">
        <v>11</v>
      </c>
      <c r="E4121" t="str">
        <f t="shared" si="147"/>
        <v>L</v>
      </c>
      <c r="F4121" t="str">
        <f t="shared" si="146"/>
        <v>11L</v>
      </c>
    </row>
    <row r="4122" spans="1:6" x14ac:dyDescent="0.2">
      <c r="A4122">
        <v>12</v>
      </c>
      <c r="E4122" t="str">
        <f t="shared" si="147"/>
        <v>M</v>
      </c>
      <c r="F4122" t="str">
        <f t="shared" si="146"/>
        <v>12M</v>
      </c>
    </row>
    <row r="4123" spans="1:6" x14ac:dyDescent="0.2">
      <c r="A4123">
        <v>13</v>
      </c>
      <c r="E4123" t="str">
        <f t="shared" si="147"/>
        <v>N</v>
      </c>
      <c r="F4123" t="str">
        <f t="shared" si="146"/>
        <v>13N</v>
      </c>
    </row>
    <row r="4124" spans="1:6" x14ac:dyDescent="0.2">
      <c r="A4124">
        <v>14</v>
      </c>
      <c r="E4124" t="str">
        <f t="shared" si="147"/>
        <v>O</v>
      </c>
      <c r="F4124" t="str">
        <f t="shared" si="146"/>
        <v>14O</v>
      </c>
    </row>
    <row r="4125" spans="1:6" x14ac:dyDescent="0.2">
      <c r="A4125">
        <v>15</v>
      </c>
      <c r="E4125" t="str">
        <f t="shared" si="147"/>
        <v>P</v>
      </c>
      <c r="F4125" t="str">
        <f t="shared" si="146"/>
        <v>15P</v>
      </c>
    </row>
    <row r="4126" spans="1:6" x14ac:dyDescent="0.2">
      <c r="A4126">
        <v>16</v>
      </c>
      <c r="E4126" t="str">
        <f t="shared" si="147"/>
        <v>Q</v>
      </c>
      <c r="F4126" t="str">
        <f t="shared" si="146"/>
        <v>16Q</v>
      </c>
    </row>
    <row r="4127" spans="1:6" x14ac:dyDescent="0.2">
      <c r="A4127">
        <v>17</v>
      </c>
      <c r="E4127" t="str">
        <f t="shared" si="147"/>
        <v>R</v>
      </c>
      <c r="F4127" t="str">
        <f t="shared" si="146"/>
        <v>17R</v>
      </c>
    </row>
    <row r="4128" spans="1:6" x14ac:dyDescent="0.2">
      <c r="A4128">
        <v>18</v>
      </c>
      <c r="E4128" t="str">
        <f t="shared" si="147"/>
        <v>S</v>
      </c>
      <c r="F4128" t="str">
        <f t="shared" si="146"/>
        <v>18S</v>
      </c>
    </row>
    <row r="4129" spans="1:6" x14ac:dyDescent="0.2">
      <c r="A4129">
        <v>19</v>
      </c>
      <c r="E4129" t="str">
        <f t="shared" si="147"/>
        <v>T</v>
      </c>
      <c r="F4129" t="str">
        <f t="shared" si="146"/>
        <v>19T</v>
      </c>
    </row>
    <row r="4130" spans="1:6" x14ac:dyDescent="0.2">
      <c r="A4130">
        <v>20</v>
      </c>
      <c r="E4130" t="str">
        <f t="shared" si="147"/>
        <v>U</v>
      </c>
      <c r="F4130" t="str">
        <f t="shared" si="146"/>
        <v>20U</v>
      </c>
    </row>
    <row r="4131" spans="1:6" x14ac:dyDescent="0.2">
      <c r="A4131">
        <v>21</v>
      </c>
      <c r="E4131" t="str">
        <f t="shared" si="147"/>
        <v>V</v>
      </c>
      <c r="F4131" t="str">
        <f t="shared" si="146"/>
        <v>21V</v>
      </c>
    </row>
    <row r="4132" spans="1:6" x14ac:dyDescent="0.2">
      <c r="A4132">
        <v>22</v>
      </c>
      <c r="E4132" t="str">
        <f t="shared" si="147"/>
        <v>W</v>
      </c>
      <c r="F4132" t="str">
        <f t="shared" si="146"/>
        <v>22W</v>
      </c>
    </row>
    <row r="4133" spans="1:6" x14ac:dyDescent="0.2">
      <c r="A4133">
        <v>23</v>
      </c>
      <c r="E4133" t="str">
        <f t="shared" si="147"/>
        <v>X</v>
      </c>
      <c r="F4133" t="str">
        <f t="shared" si="146"/>
        <v>23X</v>
      </c>
    </row>
    <row r="4134" spans="1:6" x14ac:dyDescent="0.2">
      <c r="A4134">
        <v>24</v>
      </c>
      <c r="E4134" t="str">
        <f t="shared" si="147"/>
        <v>Y</v>
      </c>
      <c r="F4134" t="str">
        <f t="shared" si="146"/>
        <v>24Y</v>
      </c>
    </row>
    <row r="4135" spans="1:6" x14ac:dyDescent="0.2">
      <c r="A4135">
        <v>25</v>
      </c>
      <c r="E4135" t="str">
        <f t="shared" si="147"/>
        <v>Z</v>
      </c>
      <c r="F4135" t="str">
        <f t="shared" si="146"/>
        <v>25Z</v>
      </c>
    </row>
    <row r="4136" spans="1:6" x14ac:dyDescent="0.2">
      <c r="A4136">
        <v>0</v>
      </c>
      <c r="E4136" t="str">
        <f t="shared" si="147"/>
        <v>A</v>
      </c>
      <c r="F4136" t="str">
        <f t="shared" si="146"/>
        <v>0A</v>
      </c>
    </row>
    <row r="4137" spans="1:6" x14ac:dyDescent="0.2">
      <c r="A4137">
        <v>1</v>
      </c>
      <c r="E4137" t="str">
        <f t="shared" si="147"/>
        <v>B</v>
      </c>
      <c r="F4137" t="str">
        <f t="shared" si="146"/>
        <v>1B</v>
      </c>
    </row>
    <row r="4138" spans="1:6" x14ac:dyDescent="0.2">
      <c r="A4138">
        <v>2</v>
      </c>
      <c r="E4138" t="str">
        <f t="shared" si="147"/>
        <v>C</v>
      </c>
      <c r="F4138" t="str">
        <f t="shared" si="146"/>
        <v>2C</v>
      </c>
    </row>
    <row r="4139" spans="1:6" x14ac:dyDescent="0.2">
      <c r="A4139">
        <v>3</v>
      </c>
      <c r="E4139" t="str">
        <f t="shared" si="147"/>
        <v>D</v>
      </c>
      <c r="F4139" t="str">
        <f t="shared" si="146"/>
        <v>3D</v>
      </c>
    </row>
    <row r="4140" spans="1:6" x14ac:dyDescent="0.2">
      <c r="A4140">
        <v>4</v>
      </c>
      <c r="E4140" t="str">
        <f t="shared" si="147"/>
        <v>E</v>
      </c>
      <c r="F4140" t="str">
        <f t="shared" si="146"/>
        <v>4E</v>
      </c>
    </row>
    <row r="4141" spans="1:6" x14ac:dyDescent="0.2">
      <c r="A4141">
        <v>5</v>
      </c>
      <c r="E4141" t="str">
        <f t="shared" si="147"/>
        <v>F</v>
      </c>
      <c r="F4141" t="str">
        <f t="shared" si="146"/>
        <v>5F</v>
      </c>
    </row>
    <row r="4142" spans="1:6" x14ac:dyDescent="0.2">
      <c r="A4142">
        <v>6</v>
      </c>
      <c r="E4142" t="str">
        <f t="shared" si="147"/>
        <v>G</v>
      </c>
      <c r="F4142" t="str">
        <f t="shared" si="146"/>
        <v>6G</v>
      </c>
    </row>
    <row r="4143" spans="1:6" x14ac:dyDescent="0.2">
      <c r="A4143">
        <v>7</v>
      </c>
      <c r="E4143" t="str">
        <f t="shared" si="147"/>
        <v>H</v>
      </c>
      <c r="F4143" t="str">
        <f t="shared" si="146"/>
        <v>7H</v>
      </c>
    </row>
    <row r="4144" spans="1:6" x14ac:dyDescent="0.2">
      <c r="A4144">
        <v>8</v>
      </c>
      <c r="E4144" t="str">
        <f t="shared" si="147"/>
        <v>I</v>
      </c>
      <c r="F4144" t="str">
        <f t="shared" si="146"/>
        <v>8I</v>
      </c>
    </row>
    <row r="4145" spans="1:6" x14ac:dyDescent="0.2">
      <c r="A4145">
        <v>9</v>
      </c>
      <c r="E4145" t="str">
        <f t="shared" si="147"/>
        <v>J</v>
      </c>
      <c r="F4145" t="str">
        <f t="shared" si="146"/>
        <v>9J</v>
      </c>
    </row>
    <row r="4146" spans="1:6" x14ac:dyDescent="0.2">
      <c r="A4146">
        <v>10</v>
      </c>
      <c r="E4146" t="str">
        <f t="shared" si="147"/>
        <v>K</v>
      </c>
      <c r="F4146" t="str">
        <f t="shared" si="146"/>
        <v>10K</v>
      </c>
    </row>
    <row r="4147" spans="1:6" x14ac:dyDescent="0.2">
      <c r="A4147">
        <v>11</v>
      </c>
      <c r="E4147" t="str">
        <f t="shared" si="147"/>
        <v>L</v>
      </c>
      <c r="F4147" t="str">
        <f t="shared" si="146"/>
        <v>11L</v>
      </c>
    </row>
    <row r="4148" spans="1:6" x14ac:dyDescent="0.2">
      <c r="A4148">
        <v>12</v>
      </c>
      <c r="E4148" t="str">
        <f t="shared" si="147"/>
        <v>M</v>
      </c>
      <c r="F4148" t="str">
        <f t="shared" si="146"/>
        <v>12M</v>
      </c>
    </row>
    <row r="4149" spans="1:6" x14ac:dyDescent="0.2">
      <c r="A4149">
        <v>13</v>
      </c>
      <c r="E4149" t="str">
        <f t="shared" si="147"/>
        <v>N</v>
      </c>
      <c r="F4149" t="str">
        <f t="shared" si="146"/>
        <v>13N</v>
      </c>
    </row>
    <row r="4150" spans="1:6" x14ac:dyDescent="0.2">
      <c r="A4150">
        <v>14</v>
      </c>
      <c r="E4150" t="str">
        <f t="shared" si="147"/>
        <v>O</v>
      </c>
      <c r="F4150" t="str">
        <f t="shared" si="146"/>
        <v>14O</v>
      </c>
    </row>
    <row r="4151" spans="1:6" x14ac:dyDescent="0.2">
      <c r="A4151">
        <v>15</v>
      </c>
      <c r="E4151" t="str">
        <f t="shared" si="147"/>
        <v>P</v>
      </c>
      <c r="F4151" t="str">
        <f t="shared" si="146"/>
        <v>15P</v>
      </c>
    </row>
    <row r="4152" spans="1:6" x14ac:dyDescent="0.2">
      <c r="A4152">
        <v>16</v>
      </c>
      <c r="E4152" t="str">
        <f t="shared" si="147"/>
        <v>Q</v>
      </c>
      <c r="F4152" t="str">
        <f t="shared" si="146"/>
        <v>16Q</v>
      </c>
    </row>
    <row r="4153" spans="1:6" x14ac:dyDescent="0.2">
      <c r="A4153">
        <v>17</v>
      </c>
      <c r="E4153" t="str">
        <f t="shared" si="147"/>
        <v>R</v>
      </c>
      <c r="F4153" t="str">
        <f t="shared" si="146"/>
        <v>17R</v>
      </c>
    </row>
    <row r="4154" spans="1:6" x14ac:dyDescent="0.2">
      <c r="A4154">
        <v>18</v>
      </c>
      <c r="E4154" t="str">
        <f t="shared" si="147"/>
        <v>S</v>
      </c>
      <c r="F4154" t="str">
        <f t="shared" si="146"/>
        <v>18S</v>
      </c>
    </row>
    <row r="4155" spans="1:6" x14ac:dyDescent="0.2">
      <c r="A4155">
        <v>19</v>
      </c>
      <c r="E4155" t="str">
        <f t="shared" si="147"/>
        <v>T</v>
      </c>
      <c r="F4155" t="str">
        <f t="shared" si="146"/>
        <v>19T</v>
      </c>
    </row>
    <row r="4156" spans="1:6" x14ac:dyDescent="0.2">
      <c r="A4156">
        <v>20</v>
      </c>
      <c r="E4156" t="str">
        <f t="shared" si="147"/>
        <v>U</v>
      </c>
      <c r="F4156" t="str">
        <f t="shared" si="146"/>
        <v>20U</v>
      </c>
    </row>
    <row r="4157" spans="1:6" x14ac:dyDescent="0.2">
      <c r="A4157">
        <v>21</v>
      </c>
      <c r="E4157" t="str">
        <f t="shared" si="147"/>
        <v>V</v>
      </c>
      <c r="F4157" t="str">
        <f t="shared" ref="F4157:F4220" si="148">A4157&amp;C4157&amp;E4157</f>
        <v>21V</v>
      </c>
    </row>
    <row r="4158" spans="1:6" x14ac:dyDescent="0.2">
      <c r="A4158">
        <v>22</v>
      </c>
      <c r="E4158" t="str">
        <f t="shared" si="147"/>
        <v>W</v>
      </c>
      <c r="F4158" t="str">
        <f t="shared" si="148"/>
        <v>22W</v>
      </c>
    </row>
    <row r="4159" spans="1:6" x14ac:dyDescent="0.2">
      <c r="A4159">
        <v>23</v>
      </c>
      <c r="E4159" t="str">
        <f t="shared" si="147"/>
        <v>X</v>
      </c>
      <c r="F4159" t="str">
        <f t="shared" si="148"/>
        <v>23X</v>
      </c>
    </row>
    <row r="4160" spans="1:6" x14ac:dyDescent="0.2">
      <c r="A4160">
        <v>24</v>
      </c>
      <c r="E4160" t="str">
        <f t="shared" si="147"/>
        <v>Y</v>
      </c>
      <c r="F4160" t="str">
        <f t="shared" si="148"/>
        <v>24Y</v>
      </c>
    </row>
    <row r="4161" spans="1:6" x14ac:dyDescent="0.2">
      <c r="A4161">
        <v>25</v>
      </c>
      <c r="E4161" t="str">
        <f t="shared" si="147"/>
        <v>Z</v>
      </c>
      <c r="F4161" t="str">
        <f t="shared" si="148"/>
        <v>25Z</v>
      </c>
    </row>
    <row r="4162" spans="1:6" x14ac:dyDescent="0.2">
      <c r="A4162">
        <v>0</v>
      </c>
      <c r="E4162" t="str">
        <f t="shared" si="147"/>
        <v>A</v>
      </c>
      <c r="F4162" t="str">
        <f t="shared" si="148"/>
        <v>0A</v>
      </c>
    </row>
    <row r="4163" spans="1:6" x14ac:dyDescent="0.2">
      <c r="A4163">
        <v>1</v>
      </c>
      <c r="E4163" t="str">
        <f t="shared" si="147"/>
        <v>B</v>
      </c>
      <c r="F4163" t="str">
        <f t="shared" si="148"/>
        <v>1B</v>
      </c>
    </row>
    <row r="4164" spans="1:6" x14ac:dyDescent="0.2">
      <c r="A4164">
        <v>2</v>
      </c>
      <c r="E4164" t="str">
        <f t="shared" si="147"/>
        <v>C</v>
      </c>
      <c r="F4164" t="str">
        <f t="shared" si="148"/>
        <v>2C</v>
      </c>
    </row>
    <row r="4165" spans="1:6" x14ac:dyDescent="0.2">
      <c r="A4165">
        <v>3</v>
      </c>
      <c r="E4165" t="str">
        <f t="shared" si="147"/>
        <v>D</v>
      </c>
      <c r="F4165" t="str">
        <f t="shared" si="148"/>
        <v>3D</v>
      </c>
    </row>
    <row r="4166" spans="1:6" x14ac:dyDescent="0.2">
      <c r="A4166">
        <v>4</v>
      </c>
      <c r="E4166" t="str">
        <f t="shared" si="147"/>
        <v>E</v>
      </c>
      <c r="F4166" t="str">
        <f t="shared" si="148"/>
        <v>4E</v>
      </c>
    </row>
    <row r="4167" spans="1:6" x14ac:dyDescent="0.2">
      <c r="A4167">
        <v>5</v>
      </c>
      <c r="E4167" t="str">
        <f t="shared" si="147"/>
        <v>F</v>
      </c>
      <c r="F4167" t="str">
        <f t="shared" si="148"/>
        <v>5F</v>
      </c>
    </row>
    <row r="4168" spans="1:6" x14ac:dyDescent="0.2">
      <c r="A4168">
        <v>6</v>
      </c>
      <c r="E4168" t="str">
        <f t="shared" si="147"/>
        <v>G</v>
      </c>
      <c r="F4168" t="str">
        <f t="shared" si="148"/>
        <v>6G</v>
      </c>
    </row>
    <row r="4169" spans="1:6" x14ac:dyDescent="0.2">
      <c r="A4169">
        <v>7</v>
      </c>
      <c r="E4169" t="str">
        <f t="shared" si="147"/>
        <v>H</v>
      </c>
      <c r="F4169" t="str">
        <f t="shared" si="148"/>
        <v>7H</v>
      </c>
    </row>
    <row r="4170" spans="1:6" x14ac:dyDescent="0.2">
      <c r="A4170">
        <v>8</v>
      </c>
      <c r="E4170" t="str">
        <f t="shared" si="147"/>
        <v>I</v>
      </c>
      <c r="F4170" t="str">
        <f t="shared" si="148"/>
        <v>8I</v>
      </c>
    </row>
    <row r="4171" spans="1:6" x14ac:dyDescent="0.2">
      <c r="A4171">
        <v>9</v>
      </c>
      <c r="E4171" t="str">
        <f t="shared" si="147"/>
        <v>J</v>
      </c>
      <c r="F4171" t="str">
        <f t="shared" si="148"/>
        <v>9J</v>
      </c>
    </row>
    <row r="4172" spans="1:6" x14ac:dyDescent="0.2">
      <c r="A4172">
        <v>10</v>
      </c>
      <c r="E4172" t="str">
        <f t="shared" si="147"/>
        <v>K</v>
      </c>
      <c r="F4172" t="str">
        <f t="shared" si="148"/>
        <v>10K</v>
      </c>
    </row>
    <row r="4173" spans="1:6" x14ac:dyDescent="0.2">
      <c r="A4173">
        <v>11</v>
      </c>
      <c r="E4173" t="str">
        <f t="shared" si="147"/>
        <v>L</v>
      </c>
      <c r="F4173" t="str">
        <f t="shared" si="148"/>
        <v>11L</v>
      </c>
    </row>
    <row r="4174" spans="1:6" x14ac:dyDescent="0.2">
      <c r="A4174">
        <v>12</v>
      </c>
      <c r="E4174" t="str">
        <f t="shared" si="147"/>
        <v>M</v>
      </c>
      <c r="F4174" t="str">
        <f t="shared" si="148"/>
        <v>12M</v>
      </c>
    </row>
    <row r="4175" spans="1:6" x14ac:dyDescent="0.2">
      <c r="A4175">
        <v>13</v>
      </c>
      <c r="E4175" t="str">
        <f t="shared" si="147"/>
        <v>N</v>
      </c>
      <c r="F4175" t="str">
        <f t="shared" si="148"/>
        <v>13N</v>
      </c>
    </row>
    <row r="4176" spans="1:6" x14ac:dyDescent="0.2">
      <c r="A4176">
        <v>14</v>
      </c>
      <c r="E4176" t="str">
        <f t="shared" si="147"/>
        <v>O</v>
      </c>
      <c r="F4176" t="str">
        <f t="shared" si="148"/>
        <v>14O</v>
      </c>
    </row>
    <row r="4177" spans="1:6" x14ac:dyDescent="0.2">
      <c r="A4177">
        <v>15</v>
      </c>
      <c r="E4177" t="str">
        <f t="shared" si="147"/>
        <v>P</v>
      </c>
      <c r="F4177" t="str">
        <f t="shared" si="148"/>
        <v>15P</v>
      </c>
    </row>
    <row r="4178" spans="1:6" x14ac:dyDescent="0.2">
      <c r="A4178">
        <v>16</v>
      </c>
      <c r="E4178" t="str">
        <f t="shared" si="147"/>
        <v>Q</v>
      </c>
      <c r="F4178" t="str">
        <f t="shared" si="148"/>
        <v>16Q</v>
      </c>
    </row>
    <row r="4179" spans="1:6" x14ac:dyDescent="0.2">
      <c r="A4179">
        <v>17</v>
      </c>
      <c r="E4179" t="str">
        <f t="shared" si="147"/>
        <v>R</v>
      </c>
      <c r="F4179" t="str">
        <f t="shared" si="148"/>
        <v>17R</v>
      </c>
    </row>
    <row r="4180" spans="1:6" x14ac:dyDescent="0.2">
      <c r="A4180">
        <v>18</v>
      </c>
      <c r="E4180" t="str">
        <f t="shared" si="147"/>
        <v>S</v>
      </c>
      <c r="F4180" t="str">
        <f t="shared" si="148"/>
        <v>18S</v>
      </c>
    </row>
    <row r="4181" spans="1:6" x14ac:dyDescent="0.2">
      <c r="A4181">
        <v>19</v>
      </c>
      <c r="E4181" t="str">
        <f t="shared" si="147"/>
        <v>T</v>
      </c>
      <c r="F4181" t="str">
        <f t="shared" si="148"/>
        <v>19T</v>
      </c>
    </row>
    <row r="4182" spans="1:6" x14ac:dyDescent="0.2">
      <c r="A4182">
        <v>20</v>
      </c>
      <c r="E4182" t="str">
        <f t="shared" si="147"/>
        <v>U</v>
      </c>
      <c r="F4182" t="str">
        <f t="shared" si="148"/>
        <v>20U</v>
      </c>
    </row>
    <row r="4183" spans="1:6" x14ac:dyDescent="0.2">
      <c r="A4183">
        <v>21</v>
      </c>
      <c r="E4183" t="str">
        <f t="shared" ref="E4183:E4246" si="149">E4157</f>
        <v>V</v>
      </c>
      <c r="F4183" t="str">
        <f t="shared" si="148"/>
        <v>21V</v>
      </c>
    </row>
    <row r="4184" spans="1:6" x14ac:dyDescent="0.2">
      <c r="A4184">
        <v>22</v>
      </c>
      <c r="E4184" t="str">
        <f t="shared" si="149"/>
        <v>W</v>
      </c>
      <c r="F4184" t="str">
        <f t="shared" si="148"/>
        <v>22W</v>
      </c>
    </row>
    <row r="4185" spans="1:6" x14ac:dyDescent="0.2">
      <c r="A4185">
        <v>23</v>
      </c>
      <c r="E4185" t="str">
        <f t="shared" si="149"/>
        <v>X</v>
      </c>
      <c r="F4185" t="str">
        <f t="shared" si="148"/>
        <v>23X</v>
      </c>
    </row>
    <row r="4186" spans="1:6" x14ac:dyDescent="0.2">
      <c r="A4186">
        <v>24</v>
      </c>
      <c r="E4186" t="str">
        <f t="shared" si="149"/>
        <v>Y</v>
      </c>
      <c r="F4186" t="str">
        <f t="shared" si="148"/>
        <v>24Y</v>
      </c>
    </row>
    <row r="4187" spans="1:6" x14ac:dyDescent="0.2">
      <c r="A4187">
        <v>25</v>
      </c>
      <c r="E4187" t="str">
        <f t="shared" si="149"/>
        <v>Z</v>
      </c>
      <c r="F4187" t="str">
        <f t="shared" si="148"/>
        <v>25Z</v>
      </c>
    </row>
    <row r="4188" spans="1:6" x14ac:dyDescent="0.2">
      <c r="A4188">
        <v>0</v>
      </c>
      <c r="E4188" t="str">
        <f t="shared" si="149"/>
        <v>A</v>
      </c>
      <c r="F4188" t="str">
        <f t="shared" si="148"/>
        <v>0A</v>
      </c>
    </row>
    <row r="4189" spans="1:6" x14ac:dyDescent="0.2">
      <c r="A4189">
        <v>1</v>
      </c>
      <c r="E4189" t="str">
        <f t="shared" si="149"/>
        <v>B</v>
      </c>
      <c r="F4189" t="str">
        <f t="shared" si="148"/>
        <v>1B</v>
      </c>
    </row>
    <row r="4190" spans="1:6" x14ac:dyDescent="0.2">
      <c r="A4190">
        <v>2</v>
      </c>
      <c r="E4190" t="str">
        <f t="shared" si="149"/>
        <v>C</v>
      </c>
      <c r="F4190" t="str">
        <f t="shared" si="148"/>
        <v>2C</v>
      </c>
    </row>
    <row r="4191" spans="1:6" x14ac:dyDescent="0.2">
      <c r="A4191">
        <v>3</v>
      </c>
      <c r="E4191" t="str">
        <f t="shared" si="149"/>
        <v>D</v>
      </c>
      <c r="F4191" t="str">
        <f t="shared" si="148"/>
        <v>3D</v>
      </c>
    </row>
    <row r="4192" spans="1:6" x14ac:dyDescent="0.2">
      <c r="A4192">
        <v>4</v>
      </c>
      <c r="E4192" t="str">
        <f t="shared" si="149"/>
        <v>E</v>
      </c>
      <c r="F4192" t="str">
        <f t="shared" si="148"/>
        <v>4E</v>
      </c>
    </row>
    <row r="4193" spans="1:6" x14ac:dyDescent="0.2">
      <c r="A4193">
        <v>5</v>
      </c>
      <c r="E4193" t="str">
        <f t="shared" si="149"/>
        <v>F</v>
      </c>
      <c r="F4193" t="str">
        <f t="shared" si="148"/>
        <v>5F</v>
      </c>
    </row>
    <row r="4194" spans="1:6" x14ac:dyDescent="0.2">
      <c r="A4194">
        <v>6</v>
      </c>
      <c r="E4194" t="str">
        <f t="shared" si="149"/>
        <v>G</v>
      </c>
      <c r="F4194" t="str">
        <f t="shared" si="148"/>
        <v>6G</v>
      </c>
    </row>
    <row r="4195" spans="1:6" x14ac:dyDescent="0.2">
      <c r="A4195">
        <v>7</v>
      </c>
      <c r="E4195" t="str">
        <f t="shared" si="149"/>
        <v>H</v>
      </c>
      <c r="F4195" t="str">
        <f t="shared" si="148"/>
        <v>7H</v>
      </c>
    </row>
    <row r="4196" spans="1:6" x14ac:dyDescent="0.2">
      <c r="A4196">
        <v>8</v>
      </c>
      <c r="E4196" t="str">
        <f t="shared" si="149"/>
        <v>I</v>
      </c>
      <c r="F4196" t="str">
        <f t="shared" si="148"/>
        <v>8I</v>
      </c>
    </row>
    <row r="4197" spans="1:6" x14ac:dyDescent="0.2">
      <c r="A4197">
        <v>9</v>
      </c>
      <c r="E4197" t="str">
        <f t="shared" si="149"/>
        <v>J</v>
      </c>
      <c r="F4197" t="str">
        <f t="shared" si="148"/>
        <v>9J</v>
      </c>
    </row>
    <row r="4198" spans="1:6" x14ac:dyDescent="0.2">
      <c r="A4198">
        <v>10</v>
      </c>
      <c r="E4198" t="str">
        <f t="shared" si="149"/>
        <v>K</v>
      </c>
      <c r="F4198" t="str">
        <f t="shared" si="148"/>
        <v>10K</v>
      </c>
    </row>
    <row r="4199" spans="1:6" x14ac:dyDescent="0.2">
      <c r="A4199">
        <v>11</v>
      </c>
      <c r="E4199" t="str">
        <f t="shared" si="149"/>
        <v>L</v>
      </c>
      <c r="F4199" t="str">
        <f t="shared" si="148"/>
        <v>11L</v>
      </c>
    </row>
    <row r="4200" spans="1:6" x14ac:dyDescent="0.2">
      <c r="A4200">
        <v>12</v>
      </c>
      <c r="E4200" t="str">
        <f t="shared" si="149"/>
        <v>M</v>
      </c>
      <c r="F4200" t="str">
        <f t="shared" si="148"/>
        <v>12M</v>
      </c>
    </row>
    <row r="4201" spans="1:6" x14ac:dyDescent="0.2">
      <c r="A4201">
        <v>13</v>
      </c>
      <c r="E4201" t="str">
        <f t="shared" si="149"/>
        <v>N</v>
      </c>
      <c r="F4201" t="str">
        <f t="shared" si="148"/>
        <v>13N</v>
      </c>
    </row>
    <row r="4202" spans="1:6" x14ac:dyDescent="0.2">
      <c r="A4202">
        <v>14</v>
      </c>
      <c r="E4202" t="str">
        <f t="shared" si="149"/>
        <v>O</v>
      </c>
      <c r="F4202" t="str">
        <f t="shared" si="148"/>
        <v>14O</v>
      </c>
    </row>
    <row r="4203" spans="1:6" x14ac:dyDescent="0.2">
      <c r="A4203">
        <v>15</v>
      </c>
      <c r="E4203" t="str">
        <f t="shared" si="149"/>
        <v>P</v>
      </c>
      <c r="F4203" t="str">
        <f t="shared" si="148"/>
        <v>15P</v>
      </c>
    </row>
    <row r="4204" spans="1:6" x14ac:dyDescent="0.2">
      <c r="A4204">
        <v>16</v>
      </c>
      <c r="E4204" t="str">
        <f t="shared" si="149"/>
        <v>Q</v>
      </c>
      <c r="F4204" t="str">
        <f t="shared" si="148"/>
        <v>16Q</v>
      </c>
    </row>
    <row r="4205" spans="1:6" x14ac:dyDescent="0.2">
      <c r="A4205">
        <v>17</v>
      </c>
      <c r="E4205" t="str">
        <f t="shared" si="149"/>
        <v>R</v>
      </c>
      <c r="F4205" t="str">
        <f t="shared" si="148"/>
        <v>17R</v>
      </c>
    </row>
    <row r="4206" spans="1:6" x14ac:dyDescent="0.2">
      <c r="A4206">
        <v>18</v>
      </c>
      <c r="E4206" t="str">
        <f t="shared" si="149"/>
        <v>S</v>
      </c>
      <c r="F4206" t="str">
        <f t="shared" si="148"/>
        <v>18S</v>
      </c>
    </row>
    <row r="4207" spans="1:6" x14ac:dyDescent="0.2">
      <c r="A4207">
        <v>19</v>
      </c>
      <c r="E4207" t="str">
        <f t="shared" si="149"/>
        <v>T</v>
      </c>
      <c r="F4207" t="str">
        <f t="shared" si="148"/>
        <v>19T</v>
      </c>
    </row>
    <row r="4208" spans="1:6" x14ac:dyDescent="0.2">
      <c r="A4208">
        <v>20</v>
      </c>
      <c r="E4208" t="str">
        <f t="shared" si="149"/>
        <v>U</v>
      </c>
      <c r="F4208" t="str">
        <f t="shared" si="148"/>
        <v>20U</v>
      </c>
    </row>
    <row r="4209" spans="1:6" x14ac:dyDescent="0.2">
      <c r="A4209">
        <v>21</v>
      </c>
      <c r="E4209" t="str">
        <f t="shared" si="149"/>
        <v>V</v>
      </c>
      <c r="F4209" t="str">
        <f t="shared" si="148"/>
        <v>21V</v>
      </c>
    </row>
    <row r="4210" spans="1:6" x14ac:dyDescent="0.2">
      <c r="A4210">
        <v>22</v>
      </c>
      <c r="E4210" t="str">
        <f t="shared" si="149"/>
        <v>W</v>
      </c>
      <c r="F4210" t="str">
        <f t="shared" si="148"/>
        <v>22W</v>
      </c>
    </row>
    <row r="4211" spans="1:6" x14ac:dyDescent="0.2">
      <c r="A4211">
        <v>23</v>
      </c>
      <c r="E4211" t="str">
        <f t="shared" si="149"/>
        <v>X</v>
      </c>
      <c r="F4211" t="str">
        <f t="shared" si="148"/>
        <v>23X</v>
      </c>
    </row>
    <row r="4212" spans="1:6" x14ac:dyDescent="0.2">
      <c r="A4212">
        <v>24</v>
      </c>
      <c r="E4212" t="str">
        <f t="shared" si="149"/>
        <v>Y</v>
      </c>
      <c r="F4212" t="str">
        <f t="shared" si="148"/>
        <v>24Y</v>
      </c>
    </row>
    <row r="4213" spans="1:6" x14ac:dyDescent="0.2">
      <c r="A4213">
        <v>25</v>
      </c>
      <c r="E4213" t="str">
        <f t="shared" si="149"/>
        <v>Z</v>
      </c>
      <c r="F4213" t="str">
        <f t="shared" si="148"/>
        <v>25Z</v>
      </c>
    </row>
    <row r="4214" spans="1:6" x14ac:dyDescent="0.2">
      <c r="A4214">
        <v>0</v>
      </c>
      <c r="E4214" t="str">
        <f t="shared" si="149"/>
        <v>A</v>
      </c>
      <c r="F4214" t="str">
        <f t="shared" si="148"/>
        <v>0A</v>
      </c>
    </row>
    <row r="4215" spans="1:6" x14ac:dyDescent="0.2">
      <c r="A4215">
        <v>1</v>
      </c>
      <c r="E4215" t="str">
        <f t="shared" si="149"/>
        <v>B</v>
      </c>
      <c r="F4215" t="str">
        <f t="shared" si="148"/>
        <v>1B</v>
      </c>
    </row>
    <row r="4216" spans="1:6" x14ac:dyDescent="0.2">
      <c r="A4216">
        <v>2</v>
      </c>
      <c r="E4216" t="str">
        <f t="shared" si="149"/>
        <v>C</v>
      </c>
      <c r="F4216" t="str">
        <f t="shared" si="148"/>
        <v>2C</v>
      </c>
    </row>
    <row r="4217" spans="1:6" x14ac:dyDescent="0.2">
      <c r="A4217">
        <v>3</v>
      </c>
      <c r="E4217" t="str">
        <f t="shared" si="149"/>
        <v>D</v>
      </c>
      <c r="F4217" t="str">
        <f t="shared" si="148"/>
        <v>3D</v>
      </c>
    </row>
    <row r="4218" spans="1:6" x14ac:dyDescent="0.2">
      <c r="A4218">
        <v>4</v>
      </c>
      <c r="E4218" t="str">
        <f t="shared" si="149"/>
        <v>E</v>
      </c>
      <c r="F4218" t="str">
        <f t="shared" si="148"/>
        <v>4E</v>
      </c>
    </row>
    <row r="4219" spans="1:6" x14ac:dyDescent="0.2">
      <c r="A4219">
        <v>5</v>
      </c>
      <c r="E4219" t="str">
        <f t="shared" si="149"/>
        <v>F</v>
      </c>
      <c r="F4219" t="str">
        <f t="shared" si="148"/>
        <v>5F</v>
      </c>
    </row>
    <row r="4220" spans="1:6" x14ac:dyDescent="0.2">
      <c r="A4220">
        <v>6</v>
      </c>
      <c r="E4220" t="str">
        <f t="shared" si="149"/>
        <v>G</v>
      </c>
      <c r="F4220" t="str">
        <f t="shared" si="148"/>
        <v>6G</v>
      </c>
    </row>
    <row r="4221" spans="1:6" x14ac:dyDescent="0.2">
      <c r="A4221">
        <v>7</v>
      </c>
      <c r="E4221" t="str">
        <f t="shared" si="149"/>
        <v>H</v>
      </c>
      <c r="F4221" t="str">
        <f t="shared" ref="F4221:F4284" si="150">A4221&amp;C4221&amp;E4221</f>
        <v>7H</v>
      </c>
    </row>
    <row r="4222" spans="1:6" x14ac:dyDescent="0.2">
      <c r="A4222">
        <v>8</v>
      </c>
      <c r="E4222" t="str">
        <f t="shared" si="149"/>
        <v>I</v>
      </c>
      <c r="F4222" t="str">
        <f t="shared" si="150"/>
        <v>8I</v>
      </c>
    </row>
    <row r="4223" spans="1:6" x14ac:dyDescent="0.2">
      <c r="A4223">
        <v>9</v>
      </c>
      <c r="E4223" t="str">
        <f t="shared" si="149"/>
        <v>J</v>
      </c>
      <c r="F4223" t="str">
        <f t="shared" si="150"/>
        <v>9J</v>
      </c>
    </row>
    <row r="4224" spans="1:6" x14ac:dyDescent="0.2">
      <c r="A4224">
        <v>10</v>
      </c>
      <c r="E4224" t="str">
        <f t="shared" si="149"/>
        <v>K</v>
      </c>
      <c r="F4224" t="str">
        <f t="shared" si="150"/>
        <v>10K</v>
      </c>
    </row>
    <row r="4225" spans="1:6" x14ac:dyDescent="0.2">
      <c r="A4225">
        <v>11</v>
      </c>
      <c r="E4225" t="str">
        <f t="shared" si="149"/>
        <v>L</v>
      </c>
      <c r="F4225" t="str">
        <f t="shared" si="150"/>
        <v>11L</v>
      </c>
    </row>
    <row r="4226" spans="1:6" x14ac:dyDescent="0.2">
      <c r="A4226">
        <v>12</v>
      </c>
      <c r="E4226" t="str">
        <f t="shared" si="149"/>
        <v>M</v>
      </c>
      <c r="F4226" t="str">
        <f t="shared" si="150"/>
        <v>12M</v>
      </c>
    </row>
    <row r="4227" spans="1:6" x14ac:dyDescent="0.2">
      <c r="A4227">
        <v>13</v>
      </c>
      <c r="E4227" t="str">
        <f t="shared" si="149"/>
        <v>N</v>
      </c>
      <c r="F4227" t="str">
        <f t="shared" si="150"/>
        <v>13N</v>
      </c>
    </row>
    <row r="4228" spans="1:6" x14ac:dyDescent="0.2">
      <c r="A4228">
        <v>14</v>
      </c>
      <c r="E4228" t="str">
        <f t="shared" si="149"/>
        <v>O</v>
      </c>
      <c r="F4228" t="str">
        <f t="shared" si="150"/>
        <v>14O</v>
      </c>
    </row>
    <row r="4229" spans="1:6" x14ac:dyDescent="0.2">
      <c r="A4229">
        <v>15</v>
      </c>
      <c r="E4229" t="str">
        <f t="shared" si="149"/>
        <v>P</v>
      </c>
      <c r="F4229" t="str">
        <f t="shared" si="150"/>
        <v>15P</v>
      </c>
    </row>
    <row r="4230" spans="1:6" x14ac:dyDescent="0.2">
      <c r="A4230">
        <v>16</v>
      </c>
      <c r="E4230" t="str">
        <f t="shared" si="149"/>
        <v>Q</v>
      </c>
      <c r="F4230" t="str">
        <f t="shared" si="150"/>
        <v>16Q</v>
      </c>
    </row>
    <row r="4231" spans="1:6" x14ac:dyDescent="0.2">
      <c r="A4231">
        <v>17</v>
      </c>
      <c r="E4231" t="str">
        <f t="shared" si="149"/>
        <v>R</v>
      </c>
      <c r="F4231" t="str">
        <f t="shared" si="150"/>
        <v>17R</v>
      </c>
    </row>
    <row r="4232" spans="1:6" x14ac:dyDescent="0.2">
      <c r="A4232">
        <v>18</v>
      </c>
      <c r="E4232" t="str">
        <f t="shared" si="149"/>
        <v>S</v>
      </c>
      <c r="F4232" t="str">
        <f t="shared" si="150"/>
        <v>18S</v>
      </c>
    </row>
    <row r="4233" spans="1:6" x14ac:dyDescent="0.2">
      <c r="A4233">
        <v>19</v>
      </c>
      <c r="E4233" t="str">
        <f t="shared" si="149"/>
        <v>T</v>
      </c>
      <c r="F4233" t="str">
        <f t="shared" si="150"/>
        <v>19T</v>
      </c>
    </row>
    <row r="4234" spans="1:6" x14ac:dyDescent="0.2">
      <c r="A4234">
        <v>20</v>
      </c>
      <c r="E4234" t="str">
        <f t="shared" si="149"/>
        <v>U</v>
      </c>
      <c r="F4234" t="str">
        <f t="shared" si="150"/>
        <v>20U</v>
      </c>
    </row>
    <row r="4235" spans="1:6" x14ac:dyDescent="0.2">
      <c r="A4235">
        <v>21</v>
      </c>
      <c r="E4235" t="str">
        <f t="shared" si="149"/>
        <v>V</v>
      </c>
      <c r="F4235" t="str">
        <f t="shared" si="150"/>
        <v>21V</v>
      </c>
    </row>
    <row r="4236" spans="1:6" x14ac:dyDescent="0.2">
      <c r="A4236">
        <v>22</v>
      </c>
      <c r="E4236" t="str">
        <f t="shared" si="149"/>
        <v>W</v>
      </c>
      <c r="F4236" t="str">
        <f t="shared" si="150"/>
        <v>22W</v>
      </c>
    </row>
    <row r="4237" spans="1:6" x14ac:dyDescent="0.2">
      <c r="A4237">
        <v>23</v>
      </c>
      <c r="E4237" t="str">
        <f t="shared" si="149"/>
        <v>X</v>
      </c>
      <c r="F4237" t="str">
        <f t="shared" si="150"/>
        <v>23X</v>
      </c>
    </row>
    <row r="4238" spans="1:6" x14ac:dyDescent="0.2">
      <c r="A4238">
        <v>24</v>
      </c>
      <c r="E4238" t="str">
        <f t="shared" si="149"/>
        <v>Y</v>
      </c>
      <c r="F4238" t="str">
        <f t="shared" si="150"/>
        <v>24Y</v>
      </c>
    </row>
    <row r="4239" spans="1:6" x14ac:dyDescent="0.2">
      <c r="A4239">
        <v>25</v>
      </c>
      <c r="E4239" t="str">
        <f t="shared" si="149"/>
        <v>Z</v>
      </c>
      <c r="F4239" t="str">
        <f t="shared" si="150"/>
        <v>25Z</v>
      </c>
    </row>
    <row r="4240" spans="1:6" x14ac:dyDescent="0.2">
      <c r="A4240">
        <v>0</v>
      </c>
      <c r="E4240" t="str">
        <f t="shared" si="149"/>
        <v>A</v>
      </c>
      <c r="F4240" t="str">
        <f t="shared" si="150"/>
        <v>0A</v>
      </c>
    </row>
    <row r="4241" spans="1:6" x14ac:dyDescent="0.2">
      <c r="A4241">
        <v>1</v>
      </c>
      <c r="E4241" t="str">
        <f t="shared" si="149"/>
        <v>B</v>
      </c>
      <c r="F4241" t="str">
        <f t="shared" si="150"/>
        <v>1B</v>
      </c>
    </row>
    <row r="4242" spans="1:6" x14ac:dyDescent="0.2">
      <c r="A4242">
        <v>2</v>
      </c>
      <c r="E4242" t="str">
        <f t="shared" si="149"/>
        <v>C</v>
      </c>
      <c r="F4242" t="str">
        <f t="shared" si="150"/>
        <v>2C</v>
      </c>
    </row>
    <row r="4243" spans="1:6" x14ac:dyDescent="0.2">
      <c r="A4243">
        <v>3</v>
      </c>
      <c r="E4243" t="str">
        <f t="shared" si="149"/>
        <v>D</v>
      </c>
      <c r="F4243" t="str">
        <f t="shared" si="150"/>
        <v>3D</v>
      </c>
    </row>
    <row r="4244" spans="1:6" x14ac:dyDescent="0.2">
      <c r="A4244">
        <v>4</v>
      </c>
      <c r="E4244" t="str">
        <f t="shared" si="149"/>
        <v>E</v>
      </c>
      <c r="F4244" t="str">
        <f t="shared" si="150"/>
        <v>4E</v>
      </c>
    </row>
    <row r="4245" spans="1:6" x14ac:dyDescent="0.2">
      <c r="A4245">
        <v>5</v>
      </c>
      <c r="E4245" t="str">
        <f t="shared" si="149"/>
        <v>F</v>
      </c>
      <c r="F4245" t="str">
        <f t="shared" si="150"/>
        <v>5F</v>
      </c>
    </row>
    <row r="4246" spans="1:6" x14ac:dyDescent="0.2">
      <c r="A4246">
        <v>6</v>
      </c>
      <c r="E4246" t="str">
        <f t="shared" si="149"/>
        <v>G</v>
      </c>
      <c r="F4246" t="str">
        <f t="shared" si="150"/>
        <v>6G</v>
      </c>
    </row>
    <row r="4247" spans="1:6" x14ac:dyDescent="0.2">
      <c r="A4247">
        <v>7</v>
      </c>
      <c r="E4247" t="str">
        <f t="shared" ref="E4247:E4310" si="151">E4221</f>
        <v>H</v>
      </c>
      <c r="F4247" t="str">
        <f t="shared" si="150"/>
        <v>7H</v>
      </c>
    </row>
    <row r="4248" spans="1:6" x14ac:dyDescent="0.2">
      <c r="A4248">
        <v>8</v>
      </c>
      <c r="E4248" t="str">
        <f t="shared" si="151"/>
        <v>I</v>
      </c>
      <c r="F4248" t="str">
        <f t="shared" si="150"/>
        <v>8I</v>
      </c>
    </row>
    <row r="4249" spans="1:6" x14ac:dyDescent="0.2">
      <c r="A4249">
        <v>9</v>
      </c>
      <c r="E4249" t="str">
        <f t="shared" si="151"/>
        <v>J</v>
      </c>
      <c r="F4249" t="str">
        <f t="shared" si="150"/>
        <v>9J</v>
      </c>
    </row>
    <row r="4250" spans="1:6" x14ac:dyDescent="0.2">
      <c r="A4250">
        <v>10</v>
      </c>
      <c r="E4250" t="str">
        <f t="shared" si="151"/>
        <v>K</v>
      </c>
      <c r="F4250" t="str">
        <f t="shared" si="150"/>
        <v>10K</v>
      </c>
    </row>
    <row r="4251" spans="1:6" x14ac:dyDescent="0.2">
      <c r="A4251">
        <v>11</v>
      </c>
      <c r="E4251" t="str">
        <f t="shared" si="151"/>
        <v>L</v>
      </c>
      <c r="F4251" t="str">
        <f t="shared" si="150"/>
        <v>11L</v>
      </c>
    </row>
    <row r="4252" spans="1:6" x14ac:dyDescent="0.2">
      <c r="A4252">
        <v>12</v>
      </c>
      <c r="E4252" t="str">
        <f t="shared" si="151"/>
        <v>M</v>
      </c>
      <c r="F4252" t="str">
        <f t="shared" si="150"/>
        <v>12M</v>
      </c>
    </row>
    <row r="4253" spans="1:6" x14ac:dyDescent="0.2">
      <c r="A4253">
        <v>13</v>
      </c>
      <c r="E4253" t="str">
        <f t="shared" si="151"/>
        <v>N</v>
      </c>
      <c r="F4253" t="str">
        <f t="shared" si="150"/>
        <v>13N</v>
      </c>
    </row>
    <row r="4254" spans="1:6" x14ac:dyDescent="0.2">
      <c r="A4254">
        <v>14</v>
      </c>
      <c r="E4254" t="str">
        <f t="shared" si="151"/>
        <v>O</v>
      </c>
      <c r="F4254" t="str">
        <f t="shared" si="150"/>
        <v>14O</v>
      </c>
    </row>
    <row r="4255" spans="1:6" x14ac:dyDescent="0.2">
      <c r="A4255">
        <v>15</v>
      </c>
      <c r="E4255" t="str">
        <f t="shared" si="151"/>
        <v>P</v>
      </c>
      <c r="F4255" t="str">
        <f t="shared" si="150"/>
        <v>15P</v>
      </c>
    </row>
    <row r="4256" spans="1:6" x14ac:dyDescent="0.2">
      <c r="A4256">
        <v>16</v>
      </c>
      <c r="E4256" t="str">
        <f t="shared" si="151"/>
        <v>Q</v>
      </c>
      <c r="F4256" t="str">
        <f t="shared" si="150"/>
        <v>16Q</v>
      </c>
    </row>
    <row r="4257" spans="1:6" x14ac:dyDescent="0.2">
      <c r="A4257">
        <v>17</v>
      </c>
      <c r="E4257" t="str">
        <f t="shared" si="151"/>
        <v>R</v>
      </c>
      <c r="F4257" t="str">
        <f t="shared" si="150"/>
        <v>17R</v>
      </c>
    </row>
    <row r="4258" spans="1:6" x14ac:dyDescent="0.2">
      <c r="A4258">
        <v>18</v>
      </c>
      <c r="E4258" t="str">
        <f t="shared" si="151"/>
        <v>S</v>
      </c>
      <c r="F4258" t="str">
        <f t="shared" si="150"/>
        <v>18S</v>
      </c>
    </row>
    <row r="4259" spans="1:6" x14ac:dyDescent="0.2">
      <c r="A4259">
        <v>19</v>
      </c>
      <c r="E4259" t="str">
        <f t="shared" si="151"/>
        <v>T</v>
      </c>
      <c r="F4259" t="str">
        <f t="shared" si="150"/>
        <v>19T</v>
      </c>
    </row>
    <row r="4260" spans="1:6" x14ac:dyDescent="0.2">
      <c r="A4260">
        <v>20</v>
      </c>
      <c r="E4260" t="str">
        <f t="shared" si="151"/>
        <v>U</v>
      </c>
      <c r="F4260" t="str">
        <f t="shared" si="150"/>
        <v>20U</v>
      </c>
    </row>
    <row r="4261" spans="1:6" x14ac:dyDescent="0.2">
      <c r="A4261">
        <v>21</v>
      </c>
      <c r="E4261" t="str">
        <f t="shared" si="151"/>
        <v>V</v>
      </c>
      <c r="F4261" t="str">
        <f t="shared" si="150"/>
        <v>21V</v>
      </c>
    </row>
    <row r="4262" spans="1:6" x14ac:dyDescent="0.2">
      <c r="A4262">
        <v>22</v>
      </c>
      <c r="E4262" t="str">
        <f t="shared" si="151"/>
        <v>W</v>
      </c>
      <c r="F4262" t="str">
        <f t="shared" si="150"/>
        <v>22W</v>
      </c>
    </row>
    <row r="4263" spans="1:6" x14ac:dyDescent="0.2">
      <c r="A4263">
        <v>23</v>
      </c>
      <c r="E4263" t="str">
        <f t="shared" si="151"/>
        <v>X</v>
      </c>
      <c r="F4263" t="str">
        <f t="shared" si="150"/>
        <v>23X</v>
      </c>
    </row>
    <row r="4264" spans="1:6" x14ac:dyDescent="0.2">
      <c r="A4264">
        <v>24</v>
      </c>
      <c r="E4264" t="str">
        <f t="shared" si="151"/>
        <v>Y</v>
      </c>
      <c r="F4264" t="str">
        <f t="shared" si="150"/>
        <v>24Y</v>
      </c>
    </row>
    <row r="4265" spans="1:6" x14ac:dyDescent="0.2">
      <c r="A4265">
        <v>25</v>
      </c>
      <c r="E4265" t="str">
        <f t="shared" si="151"/>
        <v>Z</v>
      </c>
      <c r="F4265" t="str">
        <f t="shared" si="150"/>
        <v>25Z</v>
      </c>
    </row>
    <row r="4266" spans="1:6" x14ac:dyDescent="0.2">
      <c r="A4266">
        <v>0</v>
      </c>
      <c r="E4266" t="str">
        <f t="shared" si="151"/>
        <v>A</v>
      </c>
      <c r="F4266" t="str">
        <f t="shared" si="150"/>
        <v>0A</v>
      </c>
    </row>
    <row r="4267" spans="1:6" x14ac:dyDescent="0.2">
      <c r="A4267">
        <v>1</v>
      </c>
      <c r="E4267" t="str">
        <f t="shared" si="151"/>
        <v>B</v>
      </c>
      <c r="F4267" t="str">
        <f t="shared" si="150"/>
        <v>1B</v>
      </c>
    </row>
    <row r="4268" spans="1:6" x14ac:dyDescent="0.2">
      <c r="A4268">
        <v>2</v>
      </c>
      <c r="E4268" t="str">
        <f t="shared" si="151"/>
        <v>C</v>
      </c>
      <c r="F4268" t="str">
        <f t="shared" si="150"/>
        <v>2C</v>
      </c>
    </row>
    <row r="4269" spans="1:6" x14ac:dyDescent="0.2">
      <c r="A4269">
        <v>3</v>
      </c>
      <c r="E4269" t="str">
        <f t="shared" si="151"/>
        <v>D</v>
      </c>
      <c r="F4269" t="str">
        <f t="shared" si="150"/>
        <v>3D</v>
      </c>
    </row>
    <row r="4270" spans="1:6" x14ac:dyDescent="0.2">
      <c r="A4270">
        <v>4</v>
      </c>
      <c r="E4270" t="str">
        <f t="shared" si="151"/>
        <v>E</v>
      </c>
      <c r="F4270" t="str">
        <f t="shared" si="150"/>
        <v>4E</v>
      </c>
    </row>
    <row r="4271" spans="1:6" x14ac:dyDescent="0.2">
      <c r="A4271">
        <v>5</v>
      </c>
      <c r="E4271" t="str">
        <f t="shared" si="151"/>
        <v>F</v>
      </c>
      <c r="F4271" t="str">
        <f t="shared" si="150"/>
        <v>5F</v>
      </c>
    </row>
    <row r="4272" spans="1:6" x14ac:dyDescent="0.2">
      <c r="A4272">
        <v>6</v>
      </c>
      <c r="E4272" t="str">
        <f t="shared" si="151"/>
        <v>G</v>
      </c>
      <c r="F4272" t="str">
        <f t="shared" si="150"/>
        <v>6G</v>
      </c>
    </row>
    <row r="4273" spans="1:6" x14ac:dyDescent="0.2">
      <c r="A4273">
        <v>7</v>
      </c>
      <c r="E4273" t="str">
        <f t="shared" si="151"/>
        <v>H</v>
      </c>
      <c r="F4273" t="str">
        <f t="shared" si="150"/>
        <v>7H</v>
      </c>
    </row>
    <row r="4274" spans="1:6" x14ac:dyDescent="0.2">
      <c r="A4274">
        <v>8</v>
      </c>
      <c r="E4274" t="str">
        <f t="shared" si="151"/>
        <v>I</v>
      </c>
      <c r="F4274" t="str">
        <f t="shared" si="150"/>
        <v>8I</v>
      </c>
    </row>
    <row r="4275" spans="1:6" x14ac:dyDescent="0.2">
      <c r="A4275">
        <v>9</v>
      </c>
      <c r="E4275" t="str">
        <f t="shared" si="151"/>
        <v>J</v>
      </c>
      <c r="F4275" t="str">
        <f t="shared" si="150"/>
        <v>9J</v>
      </c>
    </row>
    <row r="4276" spans="1:6" x14ac:dyDescent="0.2">
      <c r="A4276">
        <v>10</v>
      </c>
      <c r="E4276" t="str">
        <f t="shared" si="151"/>
        <v>K</v>
      </c>
      <c r="F4276" t="str">
        <f t="shared" si="150"/>
        <v>10K</v>
      </c>
    </row>
    <row r="4277" spans="1:6" x14ac:dyDescent="0.2">
      <c r="A4277">
        <v>11</v>
      </c>
      <c r="E4277" t="str">
        <f t="shared" si="151"/>
        <v>L</v>
      </c>
      <c r="F4277" t="str">
        <f t="shared" si="150"/>
        <v>11L</v>
      </c>
    </row>
    <row r="4278" spans="1:6" x14ac:dyDescent="0.2">
      <c r="A4278">
        <v>12</v>
      </c>
      <c r="E4278" t="str">
        <f t="shared" si="151"/>
        <v>M</v>
      </c>
      <c r="F4278" t="str">
        <f t="shared" si="150"/>
        <v>12M</v>
      </c>
    </row>
    <row r="4279" spans="1:6" x14ac:dyDescent="0.2">
      <c r="A4279">
        <v>13</v>
      </c>
      <c r="E4279" t="str">
        <f t="shared" si="151"/>
        <v>N</v>
      </c>
      <c r="F4279" t="str">
        <f t="shared" si="150"/>
        <v>13N</v>
      </c>
    </row>
    <row r="4280" spans="1:6" x14ac:dyDescent="0.2">
      <c r="A4280">
        <v>14</v>
      </c>
      <c r="E4280" t="str">
        <f t="shared" si="151"/>
        <v>O</v>
      </c>
      <c r="F4280" t="str">
        <f t="shared" si="150"/>
        <v>14O</v>
      </c>
    </row>
    <row r="4281" spans="1:6" x14ac:dyDescent="0.2">
      <c r="A4281">
        <v>15</v>
      </c>
      <c r="E4281" t="str">
        <f t="shared" si="151"/>
        <v>P</v>
      </c>
      <c r="F4281" t="str">
        <f t="shared" si="150"/>
        <v>15P</v>
      </c>
    </row>
    <row r="4282" spans="1:6" x14ac:dyDescent="0.2">
      <c r="A4282">
        <v>16</v>
      </c>
      <c r="E4282" t="str">
        <f t="shared" si="151"/>
        <v>Q</v>
      </c>
      <c r="F4282" t="str">
        <f t="shared" si="150"/>
        <v>16Q</v>
      </c>
    </row>
    <row r="4283" spans="1:6" x14ac:dyDescent="0.2">
      <c r="A4283">
        <v>17</v>
      </c>
      <c r="E4283" t="str">
        <f t="shared" si="151"/>
        <v>R</v>
      </c>
      <c r="F4283" t="str">
        <f t="shared" si="150"/>
        <v>17R</v>
      </c>
    </row>
    <row r="4284" spans="1:6" x14ac:dyDescent="0.2">
      <c r="A4284">
        <v>18</v>
      </c>
      <c r="E4284" t="str">
        <f t="shared" si="151"/>
        <v>S</v>
      </c>
      <c r="F4284" t="str">
        <f t="shared" si="150"/>
        <v>18S</v>
      </c>
    </row>
    <row r="4285" spans="1:6" x14ac:dyDescent="0.2">
      <c r="A4285">
        <v>19</v>
      </c>
      <c r="E4285" t="str">
        <f t="shared" si="151"/>
        <v>T</v>
      </c>
      <c r="F4285" t="str">
        <f t="shared" ref="F4285:F4348" si="152">A4285&amp;C4285&amp;E4285</f>
        <v>19T</v>
      </c>
    </row>
    <row r="4286" spans="1:6" x14ac:dyDescent="0.2">
      <c r="A4286">
        <v>20</v>
      </c>
      <c r="E4286" t="str">
        <f t="shared" si="151"/>
        <v>U</v>
      </c>
      <c r="F4286" t="str">
        <f t="shared" si="152"/>
        <v>20U</v>
      </c>
    </row>
    <row r="4287" spans="1:6" x14ac:dyDescent="0.2">
      <c r="A4287">
        <v>21</v>
      </c>
      <c r="E4287" t="str">
        <f t="shared" si="151"/>
        <v>V</v>
      </c>
      <c r="F4287" t="str">
        <f t="shared" si="152"/>
        <v>21V</v>
      </c>
    </row>
    <row r="4288" spans="1:6" x14ac:dyDescent="0.2">
      <c r="A4288">
        <v>22</v>
      </c>
      <c r="E4288" t="str">
        <f t="shared" si="151"/>
        <v>W</v>
      </c>
      <c r="F4288" t="str">
        <f t="shared" si="152"/>
        <v>22W</v>
      </c>
    </row>
    <row r="4289" spans="1:6" x14ac:dyDescent="0.2">
      <c r="A4289">
        <v>23</v>
      </c>
      <c r="E4289" t="str">
        <f t="shared" si="151"/>
        <v>X</v>
      </c>
      <c r="F4289" t="str">
        <f t="shared" si="152"/>
        <v>23X</v>
      </c>
    </row>
    <row r="4290" spans="1:6" x14ac:dyDescent="0.2">
      <c r="A4290">
        <v>24</v>
      </c>
      <c r="E4290" t="str">
        <f t="shared" si="151"/>
        <v>Y</v>
      </c>
      <c r="F4290" t="str">
        <f t="shared" si="152"/>
        <v>24Y</v>
      </c>
    </row>
    <row r="4291" spans="1:6" x14ac:dyDescent="0.2">
      <c r="A4291">
        <v>25</v>
      </c>
      <c r="E4291" t="str">
        <f t="shared" si="151"/>
        <v>Z</v>
      </c>
      <c r="F4291" t="str">
        <f t="shared" si="152"/>
        <v>25Z</v>
      </c>
    </row>
    <row r="4292" spans="1:6" x14ac:dyDescent="0.2">
      <c r="A4292">
        <v>0</v>
      </c>
      <c r="E4292" t="str">
        <f t="shared" si="151"/>
        <v>A</v>
      </c>
      <c r="F4292" t="str">
        <f t="shared" si="152"/>
        <v>0A</v>
      </c>
    </row>
    <row r="4293" spans="1:6" x14ac:dyDescent="0.2">
      <c r="A4293">
        <v>1</v>
      </c>
      <c r="E4293" t="str">
        <f t="shared" si="151"/>
        <v>B</v>
      </c>
      <c r="F4293" t="str">
        <f t="shared" si="152"/>
        <v>1B</v>
      </c>
    </row>
    <row r="4294" spans="1:6" x14ac:dyDescent="0.2">
      <c r="A4294">
        <v>2</v>
      </c>
      <c r="E4294" t="str">
        <f t="shared" si="151"/>
        <v>C</v>
      </c>
      <c r="F4294" t="str">
        <f t="shared" si="152"/>
        <v>2C</v>
      </c>
    </row>
    <row r="4295" spans="1:6" x14ac:dyDescent="0.2">
      <c r="A4295">
        <v>3</v>
      </c>
      <c r="E4295" t="str">
        <f t="shared" si="151"/>
        <v>D</v>
      </c>
      <c r="F4295" t="str">
        <f t="shared" si="152"/>
        <v>3D</v>
      </c>
    </row>
    <row r="4296" spans="1:6" x14ac:dyDescent="0.2">
      <c r="A4296">
        <v>4</v>
      </c>
      <c r="E4296" t="str">
        <f t="shared" si="151"/>
        <v>E</v>
      </c>
      <c r="F4296" t="str">
        <f t="shared" si="152"/>
        <v>4E</v>
      </c>
    </row>
    <row r="4297" spans="1:6" x14ac:dyDescent="0.2">
      <c r="A4297">
        <v>5</v>
      </c>
      <c r="E4297" t="str">
        <f t="shared" si="151"/>
        <v>F</v>
      </c>
      <c r="F4297" t="str">
        <f t="shared" si="152"/>
        <v>5F</v>
      </c>
    </row>
    <row r="4298" spans="1:6" x14ac:dyDescent="0.2">
      <c r="A4298">
        <v>6</v>
      </c>
      <c r="E4298" t="str">
        <f t="shared" si="151"/>
        <v>G</v>
      </c>
      <c r="F4298" t="str">
        <f t="shared" si="152"/>
        <v>6G</v>
      </c>
    </row>
    <row r="4299" spans="1:6" x14ac:dyDescent="0.2">
      <c r="A4299">
        <v>7</v>
      </c>
      <c r="E4299" t="str">
        <f t="shared" si="151"/>
        <v>H</v>
      </c>
      <c r="F4299" t="str">
        <f t="shared" si="152"/>
        <v>7H</v>
      </c>
    </row>
    <row r="4300" spans="1:6" x14ac:dyDescent="0.2">
      <c r="A4300">
        <v>8</v>
      </c>
      <c r="E4300" t="str">
        <f t="shared" si="151"/>
        <v>I</v>
      </c>
      <c r="F4300" t="str">
        <f t="shared" si="152"/>
        <v>8I</v>
      </c>
    </row>
    <row r="4301" spans="1:6" x14ac:dyDescent="0.2">
      <c r="A4301">
        <v>9</v>
      </c>
      <c r="E4301" t="str">
        <f t="shared" si="151"/>
        <v>J</v>
      </c>
      <c r="F4301" t="str">
        <f t="shared" si="152"/>
        <v>9J</v>
      </c>
    </row>
    <row r="4302" spans="1:6" x14ac:dyDescent="0.2">
      <c r="A4302">
        <v>10</v>
      </c>
      <c r="E4302" t="str">
        <f t="shared" si="151"/>
        <v>K</v>
      </c>
      <c r="F4302" t="str">
        <f t="shared" si="152"/>
        <v>10K</v>
      </c>
    </row>
    <row r="4303" spans="1:6" x14ac:dyDescent="0.2">
      <c r="A4303">
        <v>11</v>
      </c>
      <c r="E4303" t="str">
        <f t="shared" si="151"/>
        <v>L</v>
      </c>
      <c r="F4303" t="str">
        <f t="shared" si="152"/>
        <v>11L</v>
      </c>
    </row>
    <row r="4304" spans="1:6" x14ac:dyDescent="0.2">
      <c r="A4304">
        <v>12</v>
      </c>
      <c r="E4304" t="str">
        <f t="shared" si="151"/>
        <v>M</v>
      </c>
      <c r="F4304" t="str">
        <f t="shared" si="152"/>
        <v>12M</v>
      </c>
    </row>
    <row r="4305" spans="1:6" x14ac:dyDescent="0.2">
      <c r="A4305">
        <v>13</v>
      </c>
      <c r="E4305" t="str">
        <f t="shared" si="151"/>
        <v>N</v>
      </c>
      <c r="F4305" t="str">
        <f t="shared" si="152"/>
        <v>13N</v>
      </c>
    </row>
    <row r="4306" spans="1:6" x14ac:dyDescent="0.2">
      <c r="A4306">
        <v>14</v>
      </c>
      <c r="E4306" t="str">
        <f t="shared" si="151"/>
        <v>O</v>
      </c>
      <c r="F4306" t="str">
        <f t="shared" si="152"/>
        <v>14O</v>
      </c>
    </row>
    <row r="4307" spans="1:6" x14ac:dyDescent="0.2">
      <c r="A4307">
        <v>15</v>
      </c>
      <c r="E4307" t="str">
        <f t="shared" si="151"/>
        <v>P</v>
      </c>
      <c r="F4307" t="str">
        <f t="shared" si="152"/>
        <v>15P</v>
      </c>
    </row>
    <row r="4308" spans="1:6" x14ac:dyDescent="0.2">
      <c r="A4308">
        <v>16</v>
      </c>
      <c r="E4308" t="str">
        <f t="shared" si="151"/>
        <v>Q</v>
      </c>
      <c r="F4308" t="str">
        <f t="shared" si="152"/>
        <v>16Q</v>
      </c>
    </row>
    <row r="4309" spans="1:6" x14ac:dyDescent="0.2">
      <c r="A4309">
        <v>17</v>
      </c>
      <c r="E4309" t="str">
        <f t="shared" si="151"/>
        <v>R</v>
      </c>
      <c r="F4309" t="str">
        <f t="shared" si="152"/>
        <v>17R</v>
      </c>
    </row>
    <row r="4310" spans="1:6" x14ac:dyDescent="0.2">
      <c r="A4310">
        <v>18</v>
      </c>
      <c r="E4310" t="str">
        <f t="shared" si="151"/>
        <v>S</v>
      </c>
      <c r="F4310" t="str">
        <f t="shared" si="152"/>
        <v>18S</v>
      </c>
    </row>
    <row r="4311" spans="1:6" x14ac:dyDescent="0.2">
      <c r="A4311">
        <v>19</v>
      </c>
      <c r="E4311" t="str">
        <f t="shared" ref="E4311:E4374" si="153">E4285</f>
        <v>T</v>
      </c>
      <c r="F4311" t="str">
        <f t="shared" si="152"/>
        <v>19T</v>
      </c>
    </row>
    <row r="4312" spans="1:6" x14ac:dyDescent="0.2">
      <c r="A4312">
        <v>20</v>
      </c>
      <c r="E4312" t="str">
        <f t="shared" si="153"/>
        <v>U</v>
      </c>
      <c r="F4312" t="str">
        <f t="shared" si="152"/>
        <v>20U</v>
      </c>
    </row>
    <row r="4313" spans="1:6" x14ac:dyDescent="0.2">
      <c r="A4313">
        <v>21</v>
      </c>
      <c r="E4313" t="str">
        <f t="shared" si="153"/>
        <v>V</v>
      </c>
      <c r="F4313" t="str">
        <f t="shared" si="152"/>
        <v>21V</v>
      </c>
    </row>
    <row r="4314" spans="1:6" x14ac:dyDescent="0.2">
      <c r="A4314">
        <v>22</v>
      </c>
      <c r="E4314" t="str">
        <f t="shared" si="153"/>
        <v>W</v>
      </c>
      <c r="F4314" t="str">
        <f t="shared" si="152"/>
        <v>22W</v>
      </c>
    </row>
    <row r="4315" spans="1:6" x14ac:dyDescent="0.2">
      <c r="A4315">
        <v>23</v>
      </c>
      <c r="E4315" t="str">
        <f t="shared" si="153"/>
        <v>X</v>
      </c>
      <c r="F4315" t="str">
        <f t="shared" si="152"/>
        <v>23X</v>
      </c>
    </row>
    <row r="4316" spans="1:6" x14ac:dyDescent="0.2">
      <c r="A4316">
        <v>24</v>
      </c>
      <c r="E4316" t="str">
        <f t="shared" si="153"/>
        <v>Y</v>
      </c>
      <c r="F4316" t="str">
        <f t="shared" si="152"/>
        <v>24Y</v>
      </c>
    </row>
    <row r="4317" spans="1:6" x14ac:dyDescent="0.2">
      <c r="A4317">
        <v>25</v>
      </c>
      <c r="E4317" t="str">
        <f t="shared" si="153"/>
        <v>Z</v>
      </c>
      <c r="F4317" t="str">
        <f t="shared" si="152"/>
        <v>25Z</v>
      </c>
    </row>
    <row r="4318" spans="1:6" x14ac:dyDescent="0.2">
      <c r="A4318">
        <v>0</v>
      </c>
      <c r="E4318" t="str">
        <f t="shared" si="153"/>
        <v>A</v>
      </c>
      <c r="F4318" t="str">
        <f t="shared" si="152"/>
        <v>0A</v>
      </c>
    </row>
    <row r="4319" spans="1:6" x14ac:dyDescent="0.2">
      <c r="A4319">
        <v>1</v>
      </c>
      <c r="E4319" t="str">
        <f t="shared" si="153"/>
        <v>B</v>
      </c>
      <c r="F4319" t="str">
        <f t="shared" si="152"/>
        <v>1B</v>
      </c>
    </row>
    <row r="4320" spans="1:6" x14ac:dyDescent="0.2">
      <c r="A4320">
        <v>2</v>
      </c>
      <c r="E4320" t="str">
        <f t="shared" si="153"/>
        <v>C</v>
      </c>
      <c r="F4320" t="str">
        <f t="shared" si="152"/>
        <v>2C</v>
      </c>
    </row>
    <row r="4321" spans="1:6" x14ac:dyDescent="0.2">
      <c r="A4321">
        <v>3</v>
      </c>
      <c r="E4321" t="str">
        <f t="shared" si="153"/>
        <v>D</v>
      </c>
      <c r="F4321" t="str">
        <f t="shared" si="152"/>
        <v>3D</v>
      </c>
    </row>
    <row r="4322" spans="1:6" x14ac:dyDescent="0.2">
      <c r="A4322">
        <v>4</v>
      </c>
      <c r="E4322" t="str">
        <f t="shared" si="153"/>
        <v>E</v>
      </c>
      <c r="F4322" t="str">
        <f t="shared" si="152"/>
        <v>4E</v>
      </c>
    </row>
    <row r="4323" spans="1:6" x14ac:dyDescent="0.2">
      <c r="A4323">
        <v>5</v>
      </c>
      <c r="E4323" t="str">
        <f t="shared" si="153"/>
        <v>F</v>
      </c>
      <c r="F4323" t="str">
        <f t="shared" si="152"/>
        <v>5F</v>
      </c>
    </row>
    <row r="4324" spans="1:6" x14ac:dyDescent="0.2">
      <c r="A4324">
        <v>6</v>
      </c>
      <c r="E4324" t="str">
        <f t="shared" si="153"/>
        <v>G</v>
      </c>
      <c r="F4324" t="str">
        <f t="shared" si="152"/>
        <v>6G</v>
      </c>
    </row>
    <row r="4325" spans="1:6" x14ac:dyDescent="0.2">
      <c r="A4325">
        <v>7</v>
      </c>
      <c r="E4325" t="str">
        <f t="shared" si="153"/>
        <v>H</v>
      </c>
      <c r="F4325" t="str">
        <f t="shared" si="152"/>
        <v>7H</v>
      </c>
    </row>
    <row r="4326" spans="1:6" x14ac:dyDescent="0.2">
      <c r="A4326">
        <v>8</v>
      </c>
      <c r="E4326" t="str">
        <f t="shared" si="153"/>
        <v>I</v>
      </c>
      <c r="F4326" t="str">
        <f t="shared" si="152"/>
        <v>8I</v>
      </c>
    </row>
    <row r="4327" spans="1:6" x14ac:dyDescent="0.2">
      <c r="A4327">
        <v>9</v>
      </c>
      <c r="E4327" t="str">
        <f t="shared" si="153"/>
        <v>J</v>
      </c>
      <c r="F4327" t="str">
        <f t="shared" si="152"/>
        <v>9J</v>
      </c>
    </row>
    <row r="4328" spans="1:6" x14ac:dyDescent="0.2">
      <c r="A4328">
        <v>10</v>
      </c>
      <c r="E4328" t="str">
        <f t="shared" si="153"/>
        <v>K</v>
      </c>
      <c r="F4328" t="str">
        <f t="shared" si="152"/>
        <v>10K</v>
      </c>
    </row>
    <row r="4329" spans="1:6" x14ac:dyDescent="0.2">
      <c r="A4329">
        <v>11</v>
      </c>
      <c r="E4329" t="str">
        <f t="shared" si="153"/>
        <v>L</v>
      </c>
      <c r="F4329" t="str">
        <f t="shared" si="152"/>
        <v>11L</v>
      </c>
    </row>
    <row r="4330" spans="1:6" x14ac:dyDescent="0.2">
      <c r="A4330">
        <v>12</v>
      </c>
      <c r="E4330" t="str">
        <f t="shared" si="153"/>
        <v>M</v>
      </c>
      <c r="F4330" t="str">
        <f t="shared" si="152"/>
        <v>12M</v>
      </c>
    </row>
    <row r="4331" spans="1:6" x14ac:dyDescent="0.2">
      <c r="A4331">
        <v>13</v>
      </c>
      <c r="E4331" t="str">
        <f t="shared" si="153"/>
        <v>N</v>
      </c>
      <c r="F4331" t="str">
        <f t="shared" si="152"/>
        <v>13N</v>
      </c>
    </row>
    <row r="4332" spans="1:6" x14ac:dyDescent="0.2">
      <c r="A4332">
        <v>14</v>
      </c>
      <c r="E4332" t="str">
        <f t="shared" si="153"/>
        <v>O</v>
      </c>
      <c r="F4332" t="str">
        <f t="shared" si="152"/>
        <v>14O</v>
      </c>
    </row>
    <row r="4333" spans="1:6" x14ac:dyDescent="0.2">
      <c r="A4333">
        <v>15</v>
      </c>
      <c r="E4333" t="str">
        <f t="shared" si="153"/>
        <v>P</v>
      </c>
      <c r="F4333" t="str">
        <f t="shared" si="152"/>
        <v>15P</v>
      </c>
    </row>
    <row r="4334" spans="1:6" x14ac:dyDescent="0.2">
      <c r="A4334">
        <v>16</v>
      </c>
      <c r="E4334" t="str">
        <f t="shared" si="153"/>
        <v>Q</v>
      </c>
      <c r="F4334" t="str">
        <f t="shared" si="152"/>
        <v>16Q</v>
      </c>
    </row>
    <row r="4335" spans="1:6" x14ac:dyDescent="0.2">
      <c r="A4335">
        <v>17</v>
      </c>
      <c r="E4335" t="str">
        <f t="shared" si="153"/>
        <v>R</v>
      </c>
      <c r="F4335" t="str">
        <f t="shared" si="152"/>
        <v>17R</v>
      </c>
    </row>
    <row r="4336" spans="1:6" x14ac:dyDescent="0.2">
      <c r="A4336">
        <v>18</v>
      </c>
      <c r="E4336" t="str">
        <f t="shared" si="153"/>
        <v>S</v>
      </c>
      <c r="F4336" t="str">
        <f t="shared" si="152"/>
        <v>18S</v>
      </c>
    </row>
    <row r="4337" spans="1:6" x14ac:dyDescent="0.2">
      <c r="A4337">
        <v>19</v>
      </c>
      <c r="E4337" t="str">
        <f t="shared" si="153"/>
        <v>T</v>
      </c>
      <c r="F4337" t="str">
        <f t="shared" si="152"/>
        <v>19T</v>
      </c>
    </row>
    <row r="4338" spans="1:6" x14ac:dyDescent="0.2">
      <c r="A4338">
        <v>20</v>
      </c>
      <c r="E4338" t="str">
        <f t="shared" si="153"/>
        <v>U</v>
      </c>
      <c r="F4338" t="str">
        <f t="shared" si="152"/>
        <v>20U</v>
      </c>
    </row>
    <row r="4339" spans="1:6" x14ac:dyDescent="0.2">
      <c r="A4339">
        <v>21</v>
      </c>
      <c r="E4339" t="str">
        <f t="shared" si="153"/>
        <v>V</v>
      </c>
      <c r="F4339" t="str">
        <f t="shared" si="152"/>
        <v>21V</v>
      </c>
    </row>
    <row r="4340" spans="1:6" x14ac:dyDescent="0.2">
      <c r="A4340">
        <v>22</v>
      </c>
      <c r="E4340" t="str">
        <f t="shared" si="153"/>
        <v>W</v>
      </c>
      <c r="F4340" t="str">
        <f t="shared" si="152"/>
        <v>22W</v>
      </c>
    </row>
    <row r="4341" spans="1:6" x14ac:dyDescent="0.2">
      <c r="A4341">
        <v>23</v>
      </c>
      <c r="E4341" t="str">
        <f t="shared" si="153"/>
        <v>X</v>
      </c>
      <c r="F4341" t="str">
        <f t="shared" si="152"/>
        <v>23X</v>
      </c>
    </row>
    <row r="4342" spans="1:6" x14ac:dyDescent="0.2">
      <c r="A4342">
        <v>24</v>
      </c>
      <c r="E4342" t="str">
        <f t="shared" si="153"/>
        <v>Y</v>
      </c>
      <c r="F4342" t="str">
        <f t="shared" si="152"/>
        <v>24Y</v>
      </c>
    </row>
    <row r="4343" spans="1:6" x14ac:dyDescent="0.2">
      <c r="A4343">
        <v>25</v>
      </c>
      <c r="E4343" t="str">
        <f t="shared" si="153"/>
        <v>Z</v>
      </c>
      <c r="F4343" t="str">
        <f t="shared" si="152"/>
        <v>25Z</v>
      </c>
    </row>
    <row r="4344" spans="1:6" x14ac:dyDescent="0.2">
      <c r="A4344">
        <v>0</v>
      </c>
      <c r="E4344" t="str">
        <f t="shared" si="153"/>
        <v>A</v>
      </c>
      <c r="F4344" t="str">
        <f t="shared" si="152"/>
        <v>0A</v>
      </c>
    </row>
    <row r="4345" spans="1:6" x14ac:dyDescent="0.2">
      <c r="A4345">
        <v>1</v>
      </c>
      <c r="E4345" t="str">
        <f t="shared" si="153"/>
        <v>B</v>
      </c>
      <c r="F4345" t="str">
        <f t="shared" si="152"/>
        <v>1B</v>
      </c>
    </row>
    <row r="4346" spans="1:6" x14ac:dyDescent="0.2">
      <c r="A4346">
        <v>2</v>
      </c>
      <c r="E4346" t="str">
        <f t="shared" si="153"/>
        <v>C</v>
      </c>
      <c r="F4346" t="str">
        <f t="shared" si="152"/>
        <v>2C</v>
      </c>
    </row>
    <row r="4347" spans="1:6" x14ac:dyDescent="0.2">
      <c r="A4347">
        <v>3</v>
      </c>
      <c r="E4347" t="str">
        <f t="shared" si="153"/>
        <v>D</v>
      </c>
      <c r="F4347" t="str">
        <f t="shared" si="152"/>
        <v>3D</v>
      </c>
    </row>
    <row r="4348" spans="1:6" x14ac:dyDescent="0.2">
      <c r="A4348">
        <v>4</v>
      </c>
      <c r="E4348" t="str">
        <f t="shared" si="153"/>
        <v>E</v>
      </c>
      <c r="F4348" t="str">
        <f t="shared" si="152"/>
        <v>4E</v>
      </c>
    </row>
    <row r="4349" spans="1:6" x14ac:dyDescent="0.2">
      <c r="A4349">
        <v>5</v>
      </c>
      <c r="E4349" t="str">
        <f t="shared" si="153"/>
        <v>F</v>
      </c>
      <c r="F4349" t="str">
        <f t="shared" ref="F4349:F4412" si="154">A4349&amp;C4349&amp;E4349</f>
        <v>5F</v>
      </c>
    </row>
    <row r="4350" spans="1:6" x14ac:dyDescent="0.2">
      <c r="A4350">
        <v>6</v>
      </c>
      <c r="E4350" t="str">
        <f t="shared" si="153"/>
        <v>G</v>
      </c>
      <c r="F4350" t="str">
        <f t="shared" si="154"/>
        <v>6G</v>
      </c>
    </row>
    <row r="4351" spans="1:6" x14ac:dyDescent="0.2">
      <c r="A4351">
        <v>7</v>
      </c>
      <c r="E4351" t="str">
        <f t="shared" si="153"/>
        <v>H</v>
      </c>
      <c r="F4351" t="str">
        <f t="shared" si="154"/>
        <v>7H</v>
      </c>
    </row>
    <row r="4352" spans="1:6" x14ac:dyDescent="0.2">
      <c r="A4352">
        <v>8</v>
      </c>
      <c r="E4352" t="str">
        <f t="shared" si="153"/>
        <v>I</v>
      </c>
      <c r="F4352" t="str">
        <f t="shared" si="154"/>
        <v>8I</v>
      </c>
    </row>
    <row r="4353" spans="1:6" x14ac:dyDescent="0.2">
      <c r="A4353">
        <v>9</v>
      </c>
      <c r="E4353" t="str">
        <f t="shared" si="153"/>
        <v>J</v>
      </c>
      <c r="F4353" t="str">
        <f t="shared" si="154"/>
        <v>9J</v>
      </c>
    </row>
    <row r="4354" spans="1:6" x14ac:dyDescent="0.2">
      <c r="A4354">
        <v>10</v>
      </c>
      <c r="E4354" t="str">
        <f t="shared" si="153"/>
        <v>K</v>
      </c>
      <c r="F4354" t="str">
        <f t="shared" si="154"/>
        <v>10K</v>
      </c>
    </row>
    <row r="4355" spans="1:6" x14ac:dyDescent="0.2">
      <c r="A4355">
        <v>11</v>
      </c>
      <c r="E4355" t="str">
        <f t="shared" si="153"/>
        <v>L</v>
      </c>
      <c r="F4355" t="str">
        <f t="shared" si="154"/>
        <v>11L</v>
      </c>
    </row>
    <row r="4356" spans="1:6" x14ac:dyDescent="0.2">
      <c r="A4356">
        <v>12</v>
      </c>
      <c r="E4356" t="str">
        <f t="shared" si="153"/>
        <v>M</v>
      </c>
      <c r="F4356" t="str">
        <f t="shared" si="154"/>
        <v>12M</v>
      </c>
    </row>
    <row r="4357" spans="1:6" x14ac:dyDescent="0.2">
      <c r="A4357">
        <v>13</v>
      </c>
      <c r="E4357" t="str">
        <f t="shared" si="153"/>
        <v>N</v>
      </c>
      <c r="F4357" t="str">
        <f t="shared" si="154"/>
        <v>13N</v>
      </c>
    </row>
    <row r="4358" spans="1:6" x14ac:dyDescent="0.2">
      <c r="A4358">
        <v>14</v>
      </c>
      <c r="E4358" t="str">
        <f t="shared" si="153"/>
        <v>O</v>
      </c>
      <c r="F4358" t="str">
        <f t="shared" si="154"/>
        <v>14O</v>
      </c>
    </row>
    <row r="4359" spans="1:6" x14ac:dyDescent="0.2">
      <c r="A4359">
        <v>15</v>
      </c>
      <c r="E4359" t="str">
        <f t="shared" si="153"/>
        <v>P</v>
      </c>
      <c r="F4359" t="str">
        <f t="shared" si="154"/>
        <v>15P</v>
      </c>
    </row>
    <row r="4360" spans="1:6" x14ac:dyDescent="0.2">
      <c r="A4360">
        <v>16</v>
      </c>
      <c r="E4360" t="str">
        <f t="shared" si="153"/>
        <v>Q</v>
      </c>
      <c r="F4360" t="str">
        <f t="shared" si="154"/>
        <v>16Q</v>
      </c>
    </row>
    <row r="4361" spans="1:6" x14ac:dyDescent="0.2">
      <c r="A4361">
        <v>17</v>
      </c>
      <c r="E4361" t="str">
        <f t="shared" si="153"/>
        <v>R</v>
      </c>
      <c r="F4361" t="str">
        <f t="shared" si="154"/>
        <v>17R</v>
      </c>
    </row>
    <row r="4362" spans="1:6" x14ac:dyDescent="0.2">
      <c r="A4362">
        <v>18</v>
      </c>
      <c r="E4362" t="str">
        <f t="shared" si="153"/>
        <v>S</v>
      </c>
      <c r="F4362" t="str">
        <f t="shared" si="154"/>
        <v>18S</v>
      </c>
    </row>
    <row r="4363" spans="1:6" x14ac:dyDescent="0.2">
      <c r="A4363">
        <v>19</v>
      </c>
      <c r="E4363" t="str">
        <f t="shared" si="153"/>
        <v>T</v>
      </c>
      <c r="F4363" t="str">
        <f t="shared" si="154"/>
        <v>19T</v>
      </c>
    </row>
    <row r="4364" spans="1:6" x14ac:dyDescent="0.2">
      <c r="A4364">
        <v>20</v>
      </c>
      <c r="E4364" t="str">
        <f t="shared" si="153"/>
        <v>U</v>
      </c>
      <c r="F4364" t="str">
        <f t="shared" si="154"/>
        <v>20U</v>
      </c>
    </row>
    <row r="4365" spans="1:6" x14ac:dyDescent="0.2">
      <c r="A4365">
        <v>21</v>
      </c>
      <c r="E4365" t="str">
        <f t="shared" si="153"/>
        <v>V</v>
      </c>
      <c r="F4365" t="str">
        <f t="shared" si="154"/>
        <v>21V</v>
      </c>
    </row>
    <row r="4366" spans="1:6" x14ac:dyDescent="0.2">
      <c r="A4366">
        <v>22</v>
      </c>
      <c r="E4366" t="str">
        <f t="shared" si="153"/>
        <v>W</v>
      </c>
      <c r="F4366" t="str">
        <f t="shared" si="154"/>
        <v>22W</v>
      </c>
    </row>
    <row r="4367" spans="1:6" x14ac:dyDescent="0.2">
      <c r="A4367">
        <v>23</v>
      </c>
      <c r="E4367" t="str">
        <f t="shared" si="153"/>
        <v>X</v>
      </c>
      <c r="F4367" t="str">
        <f t="shared" si="154"/>
        <v>23X</v>
      </c>
    </row>
    <row r="4368" spans="1:6" x14ac:dyDescent="0.2">
      <c r="A4368">
        <v>24</v>
      </c>
      <c r="E4368" t="str">
        <f t="shared" si="153"/>
        <v>Y</v>
      </c>
      <c r="F4368" t="str">
        <f t="shared" si="154"/>
        <v>24Y</v>
      </c>
    </row>
    <row r="4369" spans="1:6" x14ac:dyDescent="0.2">
      <c r="A4369">
        <v>25</v>
      </c>
      <c r="E4369" t="str">
        <f t="shared" si="153"/>
        <v>Z</v>
      </c>
      <c r="F4369" t="str">
        <f t="shared" si="154"/>
        <v>25Z</v>
      </c>
    </row>
    <row r="4370" spans="1:6" x14ac:dyDescent="0.2">
      <c r="A4370">
        <v>0</v>
      </c>
      <c r="E4370" t="str">
        <f t="shared" si="153"/>
        <v>A</v>
      </c>
      <c r="F4370" t="str">
        <f t="shared" si="154"/>
        <v>0A</v>
      </c>
    </row>
    <row r="4371" spans="1:6" x14ac:dyDescent="0.2">
      <c r="A4371">
        <v>1</v>
      </c>
      <c r="E4371" t="str">
        <f t="shared" si="153"/>
        <v>B</v>
      </c>
      <c r="F4371" t="str">
        <f t="shared" si="154"/>
        <v>1B</v>
      </c>
    </row>
    <row r="4372" spans="1:6" x14ac:dyDescent="0.2">
      <c r="A4372">
        <v>2</v>
      </c>
      <c r="E4372" t="str">
        <f t="shared" si="153"/>
        <v>C</v>
      </c>
      <c r="F4372" t="str">
        <f t="shared" si="154"/>
        <v>2C</v>
      </c>
    </row>
    <row r="4373" spans="1:6" x14ac:dyDescent="0.2">
      <c r="A4373">
        <v>3</v>
      </c>
      <c r="E4373" t="str">
        <f t="shared" si="153"/>
        <v>D</v>
      </c>
      <c r="F4373" t="str">
        <f t="shared" si="154"/>
        <v>3D</v>
      </c>
    </row>
    <row r="4374" spans="1:6" x14ac:dyDescent="0.2">
      <c r="A4374">
        <v>4</v>
      </c>
      <c r="E4374" t="str">
        <f t="shared" si="153"/>
        <v>E</v>
      </c>
      <c r="F4374" t="str">
        <f t="shared" si="154"/>
        <v>4E</v>
      </c>
    </row>
    <row r="4375" spans="1:6" x14ac:dyDescent="0.2">
      <c r="A4375">
        <v>5</v>
      </c>
      <c r="E4375" t="str">
        <f t="shared" ref="E4375:E4438" si="155">E4349</f>
        <v>F</v>
      </c>
      <c r="F4375" t="str">
        <f t="shared" si="154"/>
        <v>5F</v>
      </c>
    </row>
    <row r="4376" spans="1:6" x14ac:dyDescent="0.2">
      <c r="A4376">
        <v>6</v>
      </c>
      <c r="E4376" t="str">
        <f t="shared" si="155"/>
        <v>G</v>
      </c>
      <c r="F4376" t="str">
        <f t="shared" si="154"/>
        <v>6G</v>
      </c>
    </row>
    <row r="4377" spans="1:6" x14ac:dyDescent="0.2">
      <c r="A4377">
        <v>7</v>
      </c>
      <c r="E4377" t="str">
        <f t="shared" si="155"/>
        <v>H</v>
      </c>
      <c r="F4377" t="str">
        <f t="shared" si="154"/>
        <v>7H</v>
      </c>
    </row>
    <row r="4378" spans="1:6" x14ac:dyDescent="0.2">
      <c r="A4378">
        <v>8</v>
      </c>
      <c r="E4378" t="str">
        <f t="shared" si="155"/>
        <v>I</v>
      </c>
      <c r="F4378" t="str">
        <f t="shared" si="154"/>
        <v>8I</v>
      </c>
    </row>
    <row r="4379" spans="1:6" x14ac:dyDescent="0.2">
      <c r="A4379">
        <v>9</v>
      </c>
      <c r="E4379" t="str">
        <f t="shared" si="155"/>
        <v>J</v>
      </c>
      <c r="F4379" t="str">
        <f t="shared" si="154"/>
        <v>9J</v>
      </c>
    </row>
    <row r="4380" spans="1:6" x14ac:dyDescent="0.2">
      <c r="A4380">
        <v>10</v>
      </c>
      <c r="E4380" t="str">
        <f t="shared" si="155"/>
        <v>K</v>
      </c>
      <c r="F4380" t="str">
        <f t="shared" si="154"/>
        <v>10K</v>
      </c>
    </row>
    <row r="4381" spans="1:6" x14ac:dyDescent="0.2">
      <c r="A4381">
        <v>11</v>
      </c>
      <c r="E4381" t="str">
        <f t="shared" si="155"/>
        <v>L</v>
      </c>
      <c r="F4381" t="str">
        <f t="shared" si="154"/>
        <v>11L</v>
      </c>
    </row>
    <row r="4382" spans="1:6" x14ac:dyDescent="0.2">
      <c r="A4382">
        <v>12</v>
      </c>
      <c r="E4382" t="str">
        <f t="shared" si="155"/>
        <v>M</v>
      </c>
      <c r="F4382" t="str">
        <f t="shared" si="154"/>
        <v>12M</v>
      </c>
    </row>
    <row r="4383" spans="1:6" x14ac:dyDescent="0.2">
      <c r="A4383">
        <v>13</v>
      </c>
      <c r="E4383" t="str">
        <f t="shared" si="155"/>
        <v>N</v>
      </c>
      <c r="F4383" t="str">
        <f t="shared" si="154"/>
        <v>13N</v>
      </c>
    </row>
    <row r="4384" spans="1:6" x14ac:dyDescent="0.2">
      <c r="A4384">
        <v>14</v>
      </c>
      <c r="E4384" t="str">
        <f t="shared" si="155"/>
        <v>O</v>
      </c>
      <c r="F4384" t="str">
        <f t="shared" si="154"/>
        <v>14O</v>
      </c>
    </row>
    <row r="4385" spans="1:6" x14ac:dyDescent="0.2">
      <c r="A4385">
        <v>15</v>
      </c>
      <c r="E4385" t="str">
        <f t="shared" si="155"/>
        <v>P</v>
      </c>
      <c r="F4385" t="str">
        <f t="shared" si="154"/>
        <v>15P</v>
      </c>
    </row>
    <row r="4386" spans="1:6" x14ac:dyDescent="0.2">
      <c r="A4386">
        <v>16</v>
      </c>
      <c r="E4386" t="str">
        <f t="shared" si="155"/>
        <v>Q</v>
      </c>
      <c r="F4386" t="str">
        <f t="shared" si="154"/>
        <v>16Q</v>
      </c>
    </row>
    <row r="4387" spans="1:6" x14ac:dyDescent="0.2">
      <c r="A4387">
        <v>17</v>
      </c>
      <c r="E4387" t="str">
        <f t="shared" si="155"/>
        <v>R</v>
      </c>
      <c r="F4387" t="str">
        <f t="shared" si="154"/>
        <v>17R</v>
      </c>
    </row>
    <row r="4388" spans="1:6" x14ac:dyDescent="0.2">
      <c r="A4388">
        <v>18</v>
      </c>
      <c r="E4388" t="str">
        <f t="shared" si="155"/>
        <v>S</v>
      </c>
      <c r="F4388" t="str">
        <f t="shared" si="154"/>
        <v>18S</v>
      </c>
    </row>
    <row r="4389" spans="1:6" x14ac:dyDescent="0.2">
      <c r="A4389">
        <v>19</v>
      </c>
      <c r="E4389" t="str">
        <f t="shared" si="155"/>
        <v>T</v>
      </c>
      <c r="F4389" t="str">
        <f t="shared" si="154"/>
        <v>19T</v>
      </c>
    </row>
    <row r="4390" spans="1:6" x14ac:dyDescent="0.2">
      <c r="A4390">
        <v>20</v>
      </c>
      <c r="E4390" t="str">
        <f t="shared" si="155"/>
        <v>U</v>
      </c>
      <c r="F4390" t="str">
        <f t="shared" si="154"/>
        <v>20U</v>
      </c>
    </row>
    <row r="4391" spans="1:6" x14ac:dyDescent="0.2">
      <c r="A4391">
        <v>21</v>
      </c>
      <c r="E4391" t="str">
        <f t="shared" si="155"/>
        <v>V</v>
      </c>
      <c r="F4391" t="str">
        <f t="shared" si="154"/>
        <v>21V</v>
      </c>
    </row>
    <row r="4392" spans="1:6" x14ac:dyDescent="0.2">
      <c r="A4392">
        <v>22</v>
      </c>
      <c r="E4392" t="str">
        <f t="shared" si="155"/>
        <v>W</v>
      </c>
      <c r="F4392" t="str">
        <f t="shared" si="154"/>
        <v>22W</v>
      </c>
    </row>
    <row r="4393" spans="1:6" x14ac:dyDescent="0.2">
      <c r="A4393">
        <v>23</v>
      </c>
      <c r="E4393" t="str">
        <f t="shared" si="155"/>
        <v>X</v>
      </c>
      <c r="F4393" t="str">
        <f t="shared" si="154"/>
        <v>23X</v>
      </c>
    </row>
    <row r="4394" spans="1:6" x14ac:dyDescent="0.2">
      <c r="A4394">
        <v>24</v>
      </c>
      <c r="E4394" t="str">
        <f t="shared" si="155"/>
        <v>Y</v>
      </c>
      <c r="F4394" t="str">
        <f t="shared" si="154"/>
        <v>24Y</v>
      </c>
    </row>
    <row r="4395" spans="1:6" x14ac:dyDescent="0.2">
      <c r="A4395">
        <v>25</v>
      </c>
      <c r="E4395" t="str">
        <f t="shared" si="155"/>
        <v>Z</v>
      </c>
      <c r="F4395" t="str">
        <f t="shared" si="154"/>
        <v>25Z</v>
      </c>
    </row>
    <row r="4396" spans="1:6" x14ac:dyDescent="0.2">
      <c r="A4396">
        <v>0</v>
      </c>
      <c r="E4396" t="str">
        <f t="shared" si="155"/>
        <v>A</v>
      </c>
      <c r="F4396" t="str">
        <f t="shared" si="154"/>
        <v>0A</v>
      </c>
    </row>
    <row r="4397" spans="1:6" x14ac:dyDescent="0.2">
      <c r="A4397">
        <v>1</v>
      </c>
      <c r="E4397" t="str">
        <f t="shared" si="155"/>
        <v>B</v>
      </c>
      <c r="F4397" t="str">
        <f t="shared" si="154"/>
        <v>1B</v>
      </c>
    </row>
    <row r="4398" spans="1:6" x14ac:dyDescent="0.2">
      <c r="A4398">
        <v>2</v>
      </c>
      <c r="E4398" t="str">
        <f t="shared" si="155"/>
        <v>C</v>
      </c>
      <c r="F4398" t="str">
        <f t="shared" si="154"/>
        <v>2C</v>
      </c>
    </row>
    <row r="4399" spans="1:6" x14ac:dyDescent="0.2">
      <c r="A4399">
        <v>3</v>
      </c>
      <c r="E4399" t="str">
        <f t="shared" si="155"/>
        <v>D</v>
      </c>
      <c r="F4399" t="str">
        <f t="shared" si="154"/>
        <v>3D</v>
      </c>
    </row>
    <row r="4400" spans="1:6" x14ac:dyDescent="0.2">
      <c r="A4400">
        <v>4</v>
      </c>
      <c r="E4400" t="str">
        <f t="shared" si="155"/>
        <v>E</v>
      </c>
      <c r="F4400" t="str">
        <f t="shared" si="154"/>
        <v>4E</v>
      </c>
    </row>
    <row r="4401" spans="1:6" x14ac:dyDescent="0.2">
      <c r="A4401">
        <v>5</v>
      </c>
      <c r="E4401" t="str">
        <f t="shared" si="155"/>
        <v>F</v>
      </c>
      <c r="F4401" t="str">
        <f t="shared" si="154"/>
        <v>5F</v>
      </c>
    </row>
    <row r="4402" spans="1:6" x14ac:dyDescent="0.2">
      <c r="A4402">
        <v>6</v>
      </c>
      <c r="E4402" t="str">
        <f t="shared" si="155"/>
        <v>G</v>
      </c>
      <c r="F4402" t="str">
        <f t="shared" si="154"/>
        <v>6G</v>
      </c>
    </row>
    <row r="4403" spans="1:6" x14ac:dyDescent="0.2">
      <c r="A4403">
        <v>7</v>
      </c>
      <c r="E4403" t="str">
        <f t="shared" si="155"/>
        <v>H</v>
      </c>
      <c r="F4403" t="str">
        <f t="shared" si="154"/>
        <v>7H</v>
      </c>
    </row>
    <row r="4404" spans="1:6" x14ac:dyDescent="0.2">
      <c r="A4404">
        <v>8</v>
      </c>
      <c r="E4404" t="str">
        <f t="shared" si="155"/>
        <v>I</v>
      </c>
      <c r="F4404" t="str">
        <f t="shared" si="154"/>
        <v>8I</v>
      </c>
    </row>
    <row r="4405" spans="1:6" x14ac:dyDescent="0.2">
      <c r="A4405">
        <v>9</v>
      </c>
      <c r="E4405" t="str">
        <f t="shared" si="155"/>
        <v>J</v>
      </c>
      <c r="F4405" t="str">
        <f t="shared" si="154"/>
        <v>9J</v>
      </c>
    </row>
    <row r="4406" spans="1:6" x14ac:dyDescent="0.2">
      <c r="A4406">
        <v>10</v>
      </c>
      <c r="E4406" t="str">
        <f t="shared" si="155"/>
        <v>K</v>
      </c>
      <c r="F4406" t="str">
        <f t="shared" si="154"/>
        <v>10K</v>
      </c>
    </row>
    <row r="4407" spans="1:6" x14ac:dyDescent="0.2">
      <c r="A4407">
        <v>11</v>
      </c>
      <c r="E4407" t="str">
        <f t="shared" si="155"/>
        <v>L</v>
      </c>
      <c r="F4407" t="str">
        <f t="shared" si="154"/>
        <v>11L</v>
      </c>
    </row>
    <row r="4408" spans="1:6" x14ac:dyDescent="0.2">
      <c r="A4408">
        <v>12</v>
      </c>
      <c r="E4408" t="str">
        <f t="shared" si="155"/>
        <v>M</v>
      </c>
      <c r="F4408" t="str">
        <f t="shared" si="154"/>
        <v>12M</v>
      </c>
    </row>
    <row r="4409" spans="1:6" x14ac:dyDescent="0.2">
      <c r="A4409">
        <v>13</v>
      </c>
      <c r="E4409" t="str">
        <f t="shared" si="155"/>
        <v>N</v>
      </c>
      <c r="F4409" t="str">
        <f t="shared" si="154"/>
        <v>13N</v>
      </c>
    </row>
    <row r="4410" spans="1:6" x14ac:dyDescent="0.2">
      <c r="A4410">
        <v>14</v>
      </c>
      <c r="E4410" t="str">
        <f t="shared" si="155"/>
        <v>O</v>
      </c>
      <c r="F4410" t="str">
        <f t="shared" si="154"/>
        <v>14O</v>
      </c>
    </row>
    <row r="4411" spans="1:6" x14ac:dyDescent="0.2">
      <c r="A4411">
        <v>15</v>
      </c>
      <c r="E4411" t="str">
        <f t="shared" si="155"/>
        <v>P</v>
      </c>
      <c r="F4411" t="str">
        <f t="shared" si="154"/>
        <v>15P</v>
      </c>
    </row>
    <row r="4412" spans="1:6" x14ac:dyDescent="0.2">
      <c r="A4412">
        <v>16</v>
      </c>
      <c r="E4412" t="str">
        <f t="shared" si="155"/>
        <v>Q</v>
      </c>
      <c r="F4412" t="str">
        <f t="shared" si="154"/>
        <v>16Q</v>
      </c>
    </row>
    <row r="4413" spans="1:6" x14ac:dyDescent="0.2">
      <c r="A4413">
        <v>17</v>
      </c>
      <c r="E4413" t="str">
        <f t="shared" si="155"/>
        <v>R</v>
      </c>
      <c r="F4413" t="str">
        <f t="shared" ref="F4413:F4476" si="156">A4413&amp;C4413&amp;E4413</f>
        <v>17R</v>
      </c>
    </row>
    <row r="4414" spans="1:6" x14ac:dyDescent="0.2">
      <c r="A4414">
        <v>18</v>
      </c>
      <c r="E4414" t="str">
        <f t="shared" si="155"/>
        <v>S</v>
      </c>
      <c r="F4414" t="str">
        <f t="shared" si="156"/>
        <v>18S</v>
      </c>
    </row>
    <row r="4415" spans="1:6" x14ac:dyDescent="0.2">
      <c r="A4415">
        <v>19</v>
      </c>
      <c r="E4415" t="str">
        <f t="shared" si="155"/>
        <v>T</v>
      </c>
      <c r="F4415" t="str">
        <f t="shared" si="156"/>
        <v>19T</v>
      </c>
    </row>
    <row r="4416" spans="1:6" x14ac:dyDescent="0.2">
      <c r="A4416">
        <v>20</v>
      </c>
      <c r="E4416" t="str">
        <f t="shared" si="155"/>
        <v>U</v>
      </c>
      <c r="F4416" t="str">
        <f t="shared" si="156"/>
        <v>20U</v>
      </c>
    </row>
    <row r="4417" spans="1:6" x14ac:dyDescent="0.2">
      <c r="A4417">
        <v>21</v>
      </c>
      <c r="E4417" t="str">
        <f t="shared" si="155"/>
        <v>V</v>
      </c>
      <c r="F4417" t="str">
        <f t="shared" si="156"/>
        <v>21V</v>
      </c>
    </row>
    <row r="4418" spans="1:6" x14ac:dyDescent="0.2">
      <c r="A4418">
        <v>22</v>
      </c>
      <c r="E4418" t="str">
        <f t="shared" si="155"/>
        <v>W</v>
      </c>
      <c r="F4418" t="str">
        <f t="shared" si="156"/>
        <v>22W</v>
      </c>
    </row>
    <row r="4419" spans="1:6" x14ac:dyDescent="0.2">
      <c r="A4419">
        <v>23</v>
      </c>
      <c r="E4419" t="str">
        <f t="shared" si="155"/>
        <v>X</v>
      </c>
      <c r="F4419" t="str">
        <f t="shared" si="156"/>
        <v>23X</v>
      </c>
    </row>
    <row r="4420" spans="1:6" x14ac:dyDescent="0.2">
      <c r="A4420">
        <v>24</v>
      </c>
      <c r="E4420" t="str">
        <f t="shared" si="155"/>
        <v>Y</v>
      </c>
      <c r="F4420" t="str">
        <f t="shared" si="156"/>
        <v>24Y</v>
      </c>
    </row>
    <row r="4421" spans="1:6" x14ac:dyDescent="0.2">
      <c r="A4421">
        <v>25</v>
      </c>
      <c r="E4421" t="str">
        <f t="shared" si="155"/>
        <v>Z</v>
      </c>
      <c r="F4421" t="str">
        <f t="shared" si="156"/>
        <v>25Z</v>
      </c>
    </row>
    <row r="4422" spans="1:6" x14ac:dyDescent="0.2">
      <c r="A4422">
        <v>0</v>
      </c>
      <c r="E4422" t="str">
        <f t="shared" si="155"/>
        <v>A</v>
      </c>
      <c r="F4422" t="str">
        <f t="shared" si="156"/>
        <v>0A</v>
      </c>
    </row>
    <row r="4423" spans="1:6" x14ac:dyDescent="0.2">
      <c r="A4423">
        <v>1</v>
      </c>
      <c r="E4423" t="str">
        <f t="shared" si="155"/>
        <v>B</v>
      </c>
      <c r="F4423" t="str">
        <f t="shared" si="156"/>
        <v>1B</v>
      </c>
    </row>
    <row r="4424" spans="1:6" x14ac:dyDescent="0.2">
      <c r="A4424">
        <v>2</v>
      </c>
      <c r="E4424" t="str">
        <f t="shared" si="155"/>
        <v>C</v>
      </c>
      <c r="F4424" t="str">
        <f t="shared" si="156"/>
        <v>2C</v>
      </c>
    </row>
    <row r="4425" spans="1:6" x14ac:dyDescent="0.2">
      <c r="A4425">
        <v>3</v>
      </c>
      <c r="E4425" t="str">
        <f t="shared" si="155"/>
        <v>D</v>
      </c>
      <c r="F4425" t="str">
        <f t="shared" si="156"/>
        <v>3D</v>
      </c>
    </row>
    <row r="4426" spans="1:6" x14ac:dyDescent="0.2">
      <c r="A4426">
        <v>4</v>
      </c>
      <c r="E4426" t="str">
        <f t="shared" si="155"/>
        <v>E</v>
      </c>
      <c r="F4426" t="str">
        <f t="shared" si="156"/>
        <v>4E</v>
      </c>
    </row>
    <row r="4427" spans="1:6" x14ac:dyDescent="0.2">
      <c r="A4427">
        <v>5</v>
      </c>
      <c r="E4427" t="str">
        <f t="shared" si="155"/>
        <v>F</v>
      </c>
      <c r="F4427" t="str">
        <f t="shared" si="156"/>
        <v>5F</v>
      </c>
    </row>
    <row r="4428" spans="1:6" x14ac:dyDescent="0.2">
      <c r="A4428">
        <v>6</v>
      </c>
      <c r="E4428" t="str">
        <f t="shared" si="155"/>
        <v>G</v>
      </c>
      <c r="F4428" t="str">
        <f t="shared" si="156"/>
        <v>6G</v>
      </c>
    </row>
    <row r="4429" spans="1:6" x14ac:dyDescent="0.2">
      <c r="A4429">
        <v>7</v>
      </c>
      <c r="E4429" t="str">
        <f t="shared" si="155"/>
        <v>H</v>
      </c>
      <c r="F4429" t="str">
        <f t="shared" si="156"/>
        <v>7H</v>
      </c>
    </row>
    <row r="4430" spans="1:6" x14ac:dyDescent="0.2">
      <c r="A4430">
        <v>8</v>
      </c>
      <c r="E4430" t="str">
        <f t="shared" si="155"/>
        <v>I</v>
      </c>
      <c r="F4430" t="str">
        <f t="shared" si="156"/>
        <v>8I</v>
      </c>
    </row>
    <row r="4431" spans="1:6" x14ac:dyDescent="0.2">
      <c r="A4431">
        <v>9</v>
      </c>
      <c r="E4431" t="str">
        <f t="shared" si="155"/>
        <v>J</v>
      </c>
      <c r="F4431" t="str">
        <f t="shared" si="156"/>
        <v>9J</v>
      </c>
    </row>
    <row r="4432" spans="1:6" x14ac:dyDescent="0.2">
      <c r="A4432">
        <v>10</v>
      </c>
      <c r="E4432" t="str">
        <f t="shared" si="155"/>
        <v>K</v>
      </c>
      <c r="F4432" t="str">
        <f t="shared" si="156"/>
        <v>10K</v>
      </c>
    </row>
    <row r="4433" spans="1:6" x14ac:dyDescent="0.2">
      <c r="A4433">
        <v>11</v>
      </c>
      <c r="E4433" t="str">
        <f t="shared" si="155"/>
        <v>L</v>
      </c>
      <c r="F4433" t="str">
        <f t="shared" si="156"/>
        <v>11L</v>
      </c>
    </row>
    <row r="4434" spans="1:6" x14ac:dyDescent="0.2">
      <c r="A4434">
        <v>12</v>
      </c>
      <c r="E4434" t="str">
        <f t="shared" si="155"/>
        <v>M</v>
      </c>
      <c r="F4434" t="str">
        <f t="shared" si="156"/>
        <v>12M</v>
      </c>
    </row>
    <row r="4435" spans="1:6" x14ac:dyDescent="0.2">
      <c r="A4435">
        <v>13</v>
      </c>
      <c r="E4435" t="str">
        <f t="shared" si="155"/>
        <v>N</v>
      </c>
      <c r="F4435" t="str">
        <f t="shared" si="156"/>
        <v>13N</v>
      </c>
    </row>
    <row r="4436" spans="1:6" x14ac:dyDescent="0.2">
      <c r="A4436">
        <v>14</v>
      </c>
      <c r="E4436" t="str">
        <f t="shared" si="155"/>
        <v>O</v>
      </c>
      <c r="F4436" t="str">
        <f t="shared" si="156"/>
        <v>14O</v>
      </c>
    </row>
    <row r="4437" spans="1:6" x14ac:dyDescent="0.2">
      <c r="A4437">
        <v>15</v>
      </c>
      <c r="E4437" t="str">
        <f t="shared" si="155"/>
        <v>P</v>
      </c>
      <c r="F4437" t="str">
        <f t="shared" si="156"/>
        <v>15P</v>
      </c>
    </row>
    <row r="4438" spans="1:6" x14ac:dyDescent="0.2">
      <c r="A4438">
        <v>16</v>
      </c>
      <c r="E4438" t="str">
        <f t="shared" si="155"/>
        <v>Q</v>
      </c>
      <c r="F4438" t="str">
        <f t="shared" si="156"/>
        <v>16Q</v>
      </c>
    </row>
    <row r="4439" spans="1:6" x14ac:dyDescent="0.2">
      <c r="A4439">
        <v>17</v>
      </c>
      <c r="E4439" t="str">
        <f t="shared" ref="E4439:E4502" si="157">E4413</f>
        <v>R</v>
      </c>
      <c r="F4439" t="str">
        <f t="shared" si="156"/>
        <v>17R</v>
      </c>
    </row>
    <row r="4440" spans="1:6" x14ac:dyDescent="0.2">
      <c r="A4440">
        <v>18</v>
      </c>
      <c r="E4440" t="str">
        <f t="shared" si="157"/>
        <v>S</v>
      </c>
      <c r="F4440" t="str">
        <f t="shared" si="156"/>
        <v>18S</v>
      </c>
    </row>
    <row r="4441" spans="1:6" x14ac:dyDescent="0.2">
      <c r="A4441">
        <v>19</v>
      </c>
      <c r="E4441" t="str">
        <f t="shared" si="157"/>
        <v>T</v>
      </c>
      <c r="F4441" t="str">
        <f t="shared" si="156"/>
        <v>19T</v>
      </c>
    </row>
    <row r="4442" spans="1:6" x14ac:dyDescent="0.2">
      <c r="A4442">
        <v>20</v>
      </c>
      <c r="E4442" t="str">
        <f t="shared" si="157"/>
        <v>U</v>
      </c>
      <c r="F4442" t="str">
        <f t="shared" si="156"/>
        <v>20U</v>
      </c>
    </row>
    <row r="4443" spans="1:6" x14ac:dyDescent="0.2">
      <c r="A4443">
        <v>21</v>
      </c>
      <c r="E4443" t="str">
        <f t="shared" si="157"/>
        <v>V</v>
      </c>
      <c r="F4443" t="str">
        <f t="shared" si="156"/>
        <v>21V</v>
      </c>
    </row>
    <row r="4444" spans="1:6" x14ac:dyDescent="0.2">
      <c r="A4444">
        <v>22</v>
      </c>
      <c r="E4444" t="str">
        <f t="shared" si="157"/>
        <v>W</v>
      </c>
      <c r="F4444" t="str">
        <f t="shared" si="156"/>
        <v>22W</v>
      </c>
    </row>
    <row r="4445" spans="1:6" x14ac:dyDescent="0.2">
      <c r="A4445">
        <v>23</v>
      </c>
      <c r="E4445" t="str">
        <f t="shared" si="157"/>
        <v>X</v>
      </c>
      <c r="F4445" t="str">
        <f t="shared" si="156"/>
        <v>23X</v>
      </c>
    </row>
    <row r="4446" spans="1:6" x14ac:dyDescent="0.2">
      <c r="A4446">
        <v>24</v>
      </c>
      <c r="E4446" t="str">
        <f t="shared" si="157"/>
        <v>Y</v>
      </c>
      <c r="F4446" t="str">
        <f t="shared" si="156"/>
        <v>24Y</v>
      </c>
    </row>
    <row r="4447" spans="1:6" x14ac:dyDescent="0.2">
      <c r="A4447">
        <v>25</v>
      </c>
      <c r="E4447" t="str">
        <f t="shared" si="157"/>
        <v>Z</v>
      </c>
      <c r="F4447" t="str">
        <f t="shared" si="156"/>
        <v>25Z</v>
      </c>
    </row>
    <row r="4448" spans="1:6" x14ac:dyDescent="0.2">
      <c r="A4448">
        <v>0</v>
      </c>
      <c r="E4448" t="str">
        <f t="shared" si="157"/>
        <v>A</v>
      </c>
      <c r="F4448" t="str">
        <f t="shared" si="156"/>
        <v>0A</v>
      </c>
    </row>
    <row r="4449" spans="1:6" x14ac:dyDescent="0.2">
      <c r="A4449">
        <v>1</v>
      </c>
      <c r="E4449" t="str">
        <f t="shared" si="157"/>
        <v>B</v>
      </c>
      <c r="F4449" t="str">
        <f t="shared" si="156"/>
        <v>1B</v>
      </c>
    </row>
    <row r="4450" spans="1:6" x14ac:dyDescent="0.2">
      <c r="A4450">
        <v>2</v>
      </c>
      <c r="E4450" t="str">
        <f t="shared" si="157"/>
        <v>C</v>
      </c>
      <c r="F4450" t="str">
        <f t="shared" si="156"/>
        <v>2C</v>
      </c>
    </row>
    <row r="4451" spans="1:6" x14ac:dyDescent="0.2">
      <c r="A4451">
        <v>3</v>
      </c>
      <c r="E4451" t="str">
        <f t="shared" si="157"/>
        <v>D</v>
      </c>
      <c r="F4451" t="str">
        <f t="shared" si="156"/>
        <v>3D</v>
      </c>
    </row>
    <row r="4452" spans="1:6" x14ac:dyDescent="0.2">
      <c r="A4452">
        <v>4</v>
      </c>
      <c r="E4452" t="str">
        <f t="shared" si="157"/>
        <v>E</v>
      </c>
      <c r="F4452" t="str">
        <f t="shared" si="156"/>
        <v>4E</v>
      </c>
    </row>
    <row r="4453" spans="1:6" x14ac:dyDescent="0.2">
      <c r="A4453">
        <v>5</v>
      </c>
      <c r="E4453" t="str">
        <f t="shared" si="157"/>
        <v>F</v>
      </c>
      <c r="F4453" t="str">
        <f t="shared" si="156"/>
        <v>5F</v>
      </c>
    </row>
    <row r="4454" spans="1:6" x14ac:dyDescent="0.2">
      <c r="A4454">
        <v>6</v>
      </c>
      <c r="E4454" t="str">
        <f t="shared" si="157"/>
        <v>G</v>
      </c>
      <c r="F4454" t="str">
        <f t="shared" si="156"/>
        <v>6G</v>
      </c>
    </row>
    <row r="4455" spans="1:6" x14ac:dyDescent="0.2">
      <c r="A4455">
        <v>7</v>
      </c>
      <c r="E4455" t="str">
        <f t="shared" si="157"/>
        <v>H</v>
      </c>
      <c r="F4455" t="str">
        <f t="shared" si="156"/>
        <v>7H</v>
      </c>
    </row>
    <row r="4456" spans="1:6" x14ac:dyDescent="0.2">
      <c r="A4456">
        <v>8</v>
      </c>
      <c r="E4456" t="str">
        <f t="shared" si="157"/>
        <v>I</v>
      </c>
      <c r="F4456" t="str">
        <f t="shared" si="156"/>
        <v>8I</v>
      </c>
    </row>
    <row r="4457" spans="1:6" x14ac:dyDescent="0.2">
      <c r="A4457">
        <v>9</v>
      </c>
      <c r="E4457" t="str">
        <f t="shared" si="157"/>
        <v>J</v>
      </c>
      <c r="F4457" t="str">
        <f t="shared" si="156"/>
        <v>9J</v>
      </c>
    </row>
    <row r="4458" spans="1:6" x14ac:dyDescent="0.2">
      <c r="A4458">
        <v>10</v>
      </c>
      <c r="E4458" t="str">
        <f t="shared" si="157"/>
        <v>K</v>
      </c>
      <c r="F4458" t="str">
        <f t="shared" si="156"/>
        <v>10K</v>
      </c>
    </row>
    <row r="4459" spans="1:6" x14ac:dyDescent="0.2">
      <c r="A4459">
        <v>11</v>
      </c>
      <c r="E4459" t="str">
        <f t="shared" si="157"/>
        <v>L</v>
      </c>
      <c r="F4459" t="str">
        <f t="shared" si="156"/>
        <v>11L</v>
      </c>
    </row>
    <row r="4460" spans="1:6" x14ac:dyDescent="0.2">
      <c r="A4460">
        <v>12</v>
      </c>
      <c r="E4460" t="str">
        <f t="shared" si="157"/>
        <v>M</v>
      </c>
      <c r="F4460" t="str">
        <f t="shared" si="156"/>
        <v>12M</v>
      </c>
    </row>
    <row r="4461" spans="1:6" x14ac:dyDescent="0.2">
      <c r="A4461">
        <v>13</v>
      </c>
      <c r="E4461" t="str">
        <f t="shared" si="157"/>
        <v>N</v>
      </c>
      <c r="F4461" t="str">
        <f t="shared" si="156"/>
        <v>13N</v>
      </c>
    </row>
    <row r="4462" spans="1:6" x14ac:dyDescent="0.2">
      <c r="A4462">
        <v>14</v>
      </c>
      <c r="E4462" t="str">
        <f t="shared" si="157"/>
        <v>O</v>
      </c>
      <c r="F4462" t="str">
        <f t="shared" si="156"/>
        <v>14O</v>
      </c>
    </row>
    <row r="4463" spans="1:6" x14ac:dyDescent="0.2">
      <c r="A4463">
        <v>15</v>
      </c>
      <c r="E4463" t="str">
        <f t="shared" si="157"/>
        <v>P</v>
      </c>
      <c r="F4463" t="str">
        <f t="shared" si="156"/>
        <v>15P</v>
      </c>
    </row>
    <row r="4464" spans="1:6" x14ac:dyDescent="0.2">
      <c r="A4464">
        <v>16</v>
      </c>
      <c r="E4464" t="str">
        <f t="shared" si="157"/>
        <v>Q</v>
      </c>
      <c r="F4464" t="str">
        <f t="shared" si="156"/>
        <v>16Q</v>
      </c>
    </row>
    <row r="4465" spans="1:6" x14ac:dyDescent="0.2">
      <c r="A4465">
        <v>17</v>
      </c>
      <c r="E4465" t="str">
        <f t="shared" si="157"/>
        <v>R</v>
      </c>
      <c r="F4465" t="str">
        <f t="shared" si="156"/>
        <v>17R</v>
      </c>
    </row>
    <row r="4466" spans="1:6" x14ac:dyDescent="0.2">
      <c r="A4466">
        <v>18</v>
      </c>
      <c r="E4466" t="str">
        <f t="shared" si="157"/>
        <v>S</v>
      </c>
      <c r="F4466" t="str">
        <f t="shared" si="156"/>
        <v>18S</v>
      </c>
    </row>
    <row r="4467" spans="1:6" x14ac:dyDescent="0.2">
      <c r="A4467">
        <v>19</v>
      </c>
      <c r="E4467" t="str">
        <f t="shared" si="157"/>
        <v>T</v>
      </c>
      <c r="F4467" t="str">
        <f t="shared" si="156"/>
        <v>19T</v>
      </c>
    </row>
    <row r="4468" spans="1:6" x14ac:dyDescent="0.2">
      <c r="A4468">
        <v>20</v>
      </c>
      <c r="E4468" t="str">
        <f t="shared" si="157"/>
        <v>U</v>
      </c>
      <c r="F4468" t="str">
        <f t="shared" si="156"/>
        <v>20U</v>
      </c>
    </row>
    <row r="4469" spans="1:6" x14ac:dyDescent="0.2">
      <c r="A4469">
        <v>21</v>
      </c>
      <c r="E4469" t="str">
        <f t="shared" si="157"/>
        <v>V</v>
      </c>
      <c r="F4469" t="str">
        <f t="shared" si="156"/>
        <v>21V</v>
      </c>
    </row>
    <row r="4470" spans="1:6" x14ac:dyDescent="0.2">
      <c r="A4470">
        <v>22</v>
      </c>
      <c r="E4470" t="str">
        <f t="shared" si="157"/>
        <v>W</v>
      </c>
      <c r="F4470" t="str">
        <f t="shared" si="156"/>
        <v>22W</v>
      </c>
    </row>
    <row r="4471" spans="1:6" x14ac:dyDescent="0.2">
      <c r="A4471">
        <v>23</v>
      </c>
      <c r="E4471" t="str">
        <f t="shared" si="157"/>
        <v>X</v>
      </c>
      <c r="F4471" t="str">
        <f t="shared" si="156"/>
        <v>23X</v>
      </c>
    </row>
    <row r="4472" spans="1:6" x14ac:dyDescent="0.2">
      <c r="A4472">
        <v>24</v>
      </c>
      <c r="E4472" t="str">
        <f t="shared" si="157"/>
        <v>Y</v>
      </c>
      <c r="F4472" t="str">
        <f t="shared" si="156"/>
        <v>24Y</v>
      </c>
    </row>
    <row r="4473" spans="1:6" x14ac:dyDescent="0.2">
      <c r="A4473">
        <v>25</v>
      </c>
      <c r="E4473" t="str">
        <f t="shared" si="157"/>
        <v>Z</v>
      </c>
      <c r="F4473" t="str">
        <f t="shared" si="156"/>
        <v>25Z</v>
      </c>
    </row>
    <row r="4474" spans="1:6" x14ac:dyDescent="0.2">
      <c r="A4474">
        <v>0</v>
      </c>
      <c r="E4474" t="str">
        <f t="shared" si="157"/>
        <v>A</v>
      </c>
      <c r="F4474" t="str">
        <f t="shared" si="156"/>
        <v>0A</v>
      </c>
    </row>
    <row r="4475" spans="1:6" x14ac:dyDescent="0.2">
      <c r="A4475">
        <v>1</v>
      </c>
      <c r="E4475" t="str">
        <f t="shared" si="157"/>
        <v>B</v>
      </c>
      <c r="F4475" t="str">
        <f t="shared" si="156"/>
        <v>1B</v>
      </c>
    </row>
    <row r="4476" spans="1:6" x14ac:dyDescent="0.2">
      <c r="A4476">
        <v>2</v>
      </c>
      <c r="E4476" t="str">
        <f t="shared" si="157"/>
        <v>C</v>
      </c>
      <c r="F4476" t="str">
        <f t="shared" si="156"/>
        <v>2C</v>
      </c>
    </row>
    <row r="4477" spans="1:6" x14ac:dyDescent="0.2">
      <c r="A4477">
        <v>3</v>
      </c>
      <c r="E4477" t="str">
        <f t="shared" si="157"/>
        <v>D</v>
      </c>
      <c r="F4477" t="str">
        <f t="shared" ref="F4477:F4540" si="158">A4477&amp;C4477&amp;E4477</f>
        <v>3D</v>
      </c>
    </row>
    <row r="4478" spans="1:6" x14ac:dyDescent="0.2">
      <c r="A4478">
        <v>4</v>
      </c>
      <c r="E4478" t="str">
        <f t="shared" si="157"/>
        <v>E</v>
      </c>
      <c r="F4478" t="str">
        <f t="shared" si="158"/>
        <v>4E</v>
      </c>
    </row>
    <row r="4479" spans="1:6" x14ac:dyDescent="0.2">
      <c r="A4479">
        <v>5</v>
      </c>
      <c r="E4479" t="str">
        <f t="shared" si="157"/>
        <v>F</v>
      </c>
      <c r="F4479" t="str">
        <f t="shared" si="158"/>
        <v>5F</v>
      </c>
    </row>
    <row r="4480" spans="1:6" x14ac:dyDescent="0.2">
      <c r="A4480">
        <v>6</v>
      </c>
      <c r="E4480" t="str">
        <f t="shared" si="157"/>
        <v>G</v>
      </c>
      <c r="F4480" t="str">
        <f t="shared" si="158"/>
        <v>6G</v>
      </c>
    </row>
    <row r="4481" spans="1:6" x14ac:dyDescent="0.2">
      <c r="A4481">
        <v>7</v>
      </c>
      <c r="E4481" t="str">
        <f t="shared" si="157"/>
        <v>H</v>
      </c>
      <c r="F4481" t="str">
        <f t="shared" si="158"/>
        <v>7H</v>
      </c>
    </row>
    <row r="4482" spans="1:6" x14ac:dyDescent="0.2">
      <c r="A4482">
        <v>8</v>
      </c>
      <c r="E4482" t="str">
        <f t="shared" si="157"/>
        <v>I</v>
      </c>
      <c r="F4482" t="str">
        <f t="shared" si="158"/>
        <v>8I</v>
      </c>
    </row>
    <row r="4483" spans="1:6" x14ac:dyDescent="0.2">
      <c r="A4483">
        <v>9</v>
      </c>
      <c r="E4483" t="str">
        <f t="shared" si="157"/>
        <v>J</v>
      </c>
      <c r="F4483" t="str">
        <f t="shared" si="158"/>
        <v>9J</v>
      </c>
    </row>
    <row r="4484" spans="1:6" x14ac:dyDescent="0.2">
      <c r="A4484">
        <v>10</v>
      </c>
      <c r="E4484" t="str">
        <f t="shared" si="157"/>
        <v>K</v>
      </c>
      <c r="F4484" t="str">
        <f t="shared" si="158"/>
        <v>10K</v>
      </c>
    </row>
    <row r="4485" spans="1:6" x14ac:dyDescent="0.2">
      <c r="A4485">
        <v>11</v>
      </c>
      <c r="E4485" t="str">
        <f t="shared" si="157"/>
        <v>L</v>
      </c>
      <c r="F4485" t="str">
        <f t="shared" si="158"/>
        <v>11L</v>
      </c>
    </row>
    <row r="4486" spans="1:6" x14ac:dyDescent="0.2">
      <c r="A4486">
        <v>12</v>
      </c>
      <c r="E4486" t="str">
        <f t="shared" si="157"/>
        <v>M</v>
      </c>
      <c r="F4486" t="str">
        <f t="shared" si="158"/>
        <v>12M</v>
      </c>
    </row>
    <row r="4487" spans="1:6" x14ac:dyDescent="0.2">
      <c r="A4487">
        <v>13</v>
      </c>
      <c r="E4487" t="str">
        <f t="shared" si="157"/>
        <v>N</v>
      </c>
      <c r="F4487" t="str">
        <f t="shared" si="158"/>
        <v>13N</v>
      </c>
    </row>
    <row r="4488" spans="1:6" x14ac:dyDescent="0.2">
      <c r="A4488">
        <v>14</v>
      </c>
      <c r="E4488" t="str">
        <f t="shared" si="157"/>
        <v>O</v>
      </c>
      <c r="F4488" t="str">
        <f t="shared" si="158"/>
        <v>14O</v>
      </c>
    </row>
    <row r="4489" spans="1:6" x14ac:dyDescent="0.2">
      <c r="A4489">
        <v>15</v>
      </c>
      <c r="E4489" t="str">
        <f t="shared" si="157"/>
        <v>P</v>
      </c>
      <c r="F4489" t="str">
        <f t="shared" si="158"/>
        <v>15P</v>
      </c>
    </row>
    <row r="4490" spans="1:6" x14ac:dyDescent="0.2">
      <c r="A4490">
        <v>16</v>
      </c>
      <c r="E4490" t="str">
        <f t="shared" si="157"/>
        <v>Q</v>
      </c>
      <c r="F4490" t="str">
        <f t="shared" si="158"/>
        <v>16Q</v>
      </c>
    </row>
    <row r="4491" spans="1:6" x14ac:dyDescent="0.2">
      <c r="A4491">
        <v>17</v>
      </c>
      <c r="E4491" t="str">
        <f t="shared" si="157"/>
        <v>R</v>
      </c>
      <c r="F4491" t="str">
        <f t="shared" si="158"/>
        <v>17R</v>
      </c>
    </row>
    <row r="4492" spans="1:6" x14ac:dyDescent="0.2">
      <c r="A4492">
        <v>18</v>
      </c>
      <c r="E4492" t="str">
        <f t="shared" si="157"/>
        <v>S</v>
      </c>
      <c r="F4492" t="str">
        <f t="shared" si="158"/>
        <v>18S</v>
      </c>
    </row>
    <row r="4493" spans="1:6" x14ac:dyDescent="0.2">
      <c r="A4493">
        <v>19</v>
      </c>
      <c r="E4493" t="str">
        <f t="shared" si="157"/>
        <v>T</v>
      </c>
      <c r="F4493" t="str">
        <f t="shared" si="158"/>
        <v>19T</v>
      </c>
    </row>
    <row r="4494" spans="1:6" x14ac:dyDescent="0.2">
      <c r="A4494">
        <v>20</v>
      </c>
      <c r="E4494" t="str">
        <f t="shared" si="157"/>
        <v>U</v>
      </c>
      <c r="F4494" t="str">
        <f t="shared" si="158"/>
        <v>20U</v>
      </c>
    </row>
    <row r="4495" spans="1:6" x14ac:dyDescent="0.2">
      <c r="A4495">
        <v>21</v>
      </c>
      <c r="E4495" t="str">
        <f t="shared" si="157"/>
        <v>V</v>
      </c>
      <c r="F4495" t="str">
        <f t="shared" si="158"/>
        <v>21V</v>
      </c>
    </row>
    <row r="4496" spans="1:6" x14ac:dyDescent="0.2">
      <c r="A4496">
        <v>22</v>
      </c>
      <c r="E4496" t="str">
        <f t="shared" si="157"/>
        <v>W</v>
      </c>
      <c r="F4496" t="str">
        <f t="shared" si="158"/>
        <v>22W</v>
      </c>
    </row>
    <row r="4497" spans="1:6" x14ac:dyDescent="0.2">
      <c r="A4497">
        <v>23</v>
      </c>
      <c r="E4497" t="str">
        <f t="shared" si="157"/>
        <v>X</v>
      </c>
      <c r="F4497" t="str">
        <f t="shared" si="158"/>
        <v>23X</v>
      </c>
    </row>
    <row r="4498" spans="1:6" x14ac:dyDescent="0.2">
      <c r="A4498">
        <v>24</v>
      </c>
      <c r="E4498" t="str">
        <f t="shared" si="157"/>
        <v>Y</v>
      </c>
      <c r="F4498" t="str">
        <f t="shared" si="158"/>
        <v>24Y</v>
      </c>
    </row>
    <row r="4499" spans="1:6" x14ac:dyDescent="0.2">
      <c r="A4499">
        <v>25</v>
      </c>
      <c r="E4499" t="str">
        <f t="shared" si="157"/>
        <v>Z</v>
      </c>
      <c r="F4499" t="str">
        <f t="shared" si="158"/>
        <v>25Z</v>
      </c>
    </row>
    <row r="4500" spans="1:6" x14ac:dyDescent="0.2">
      <c r="A4500">
        <v>0</v>
      </c>
      <c r="E4500" t="str">
        <f t="shared" si="157"/>
        <v>A</v>
      </c>
      <c r="F4500" t="str">
        <f t="shared" si="158"/>
        <v>0A</v>
      </c>
    </row>
    <row r="4501" spans="1:6" x14ac:dyDescent="0.2">
      <c r="A4501">
        <v>1</v>
      </c>
      <c r="E4501" t="str">
        <f t="shared" si="157"/>
        <v>B</v>
      </c>
      <c r="F4501" t="str">
        <f t="shared" si="158"/>
        <v>1B</v>
      </c>
    </row>
    <row r="4502" spans="1:6" x14ac:dyDescent="0.2">
      <c r="A4502">
        <v>2</v>
      </c>
      <c r="E4502" t="str">
        <f t="shared" si="157"/>
        <v>C</v>
      </c>
      <c r="F4502" t="str">
        <f t="shared" si="158"/>
        <v>2C</v>
      </c>
    </row>
    <row r="4503" spans="1:6" x14ac:dyDescent="0.2">
      <c r="A4503">
        <v>3</v>
      </c>
      <c r="E4503" t="str">
        <f t="shared" ref="E4503:E4566" si="159">E4477</f>
        <v>D</v>
      </c>
      <c r="F4503" t="str">
        <f t="shared" si="158"/>
        <v>3D</v>
      </c>
    </row>
    <row r="4504" spans="1:6" x14ac:dyDescent="0.2">
      <c r="A4504">
        <v>4</v>
      </c>
      <c r="E4504" t="str">
        <f t="shared" si="159"/>
        <v>E</v>
      </c>
      <c r="F4504" t="str">
        <f t="shared" si="158"/>
        <v>4E</v>
      </c>
    </row>
    <row r="4505" spans="1:6" x14ac:dyDescent="0.2">
      <c r="A4505">
        <v>5</v>
      </c>
      <c r="E4505" t="str">
        <f t="shared" si="159"/>
        <v>F</v>
      </c>
      <c r="F4505" t="str">
        <f t="shared" si="158"/>
        <v>5F</v>
      </c>
    </row>
    <row r="4506" spans="1:6" x14ac:dyDescent="0.2">
      <c r="A4506">
        <v>6</v>
      </c>
      <c r="E4506" t="str">
        <f t="shared" si="159"/>
        <v>G</v>
      </c>
      <c r="F4506" t="str">
        <f t="shared" si="158"/>
        <v>6G</v>
      </c>
    </row>
    <row r="4507" spans="1:6" x14ac:dyDescent="0.2">
      <c r="A4507">
        <v>7</v>
      </c>
      <c r="E4507" t="str">
        <f t="shared" si="159"/>
        <v>H</v>
      </c>
      <c r="F4507" t="str">
        <f t="shared" si="158"/>
        <v>7H</v>
      </c>
    </row>
    <row r="4508" spans="1:6" x14ac:dyDescent="0.2">
      <c r="A4508">
        <v>8</v>
      </c>
      <c r="E4508" t="str">
        <f t="shared" si="159"/>
        <v>I</v>
      </c>
      <c r="F4508" t="str">
        <f t="shared" si="158"/>
        <v>8I</v>
      </c>
    </row>
    <row r="4509" spans="1:6" x14ac:dyDescent="0.2">
      <c r="A4509">
        <v>9</v>
      </c>
      <c r="E4509" t="str">
        <f t="shared" si="159"/>
        <v>J</v>
      </c>
      <c r="F4509" t="str">
        <f t="shared" si="158"/>
        <v>9J</v>
      </c>
    </row>
    <row r="4510" spans="1:6" x14ac:dyDescent="0.2">
      <c r="A4510">
        <v>10</v>
      </c>
      <c r="E4510" t="str">
        <f t="shared" si="159"/>
        <v>K</v>
      </c>
      <c r="F4510" t="str">
        <f t="shared" si="158"/>
        <v>10K</v>
      </c>
    </row>
    <row r="4511" spans="1:6" x14ac:dyDescent="0.2">
      <c r="A4511">
        <v>11</v>
      </c>
      <c r="E4511" t="str">
        <f t="shared" si="159"/>
        <v>L</v>
      </c>
      <c r="F4511" t="str">
        <f t="shared" si="158"/>
        <v>11L</v>
      </c>
    </row>
    <row r="4512" spans="1:6" x14ac:dyDescent="0.2">
      <c r="A4512">
        <v>12</v>
      </c>
      <c r="E4512" t="str">
        <f t="shared" si="159"/>
        <v>M</v>
      </c>
      <c r="F4512" t="str">
        <f t="shared" si="158"/>
        <v>12M</v>
      </c>
    </row>
    <row r="4513" spans="1:6" x14ac:dyDescent="0.2">
      <c r="A4513">
        <v>13</v>
      </c>
      <c r="E4513" t="str">
        <f t="shared" si="159"/>
        <v>N</v>
      </c>
      <c r="F4513" t="str">
        <f t="shared" si="158"/>
        <v>13N</v>
      </c>
    </row>
    <row r="4514" spans="1:6" x14ac:dyDescent="0.2">
      <c r="A4514">
        <v>14</v>
      </c>
      <c r="E4514" t="str">
        <f t="shared" si="159"/>
        <v>O</v>
      </c>
      <c r="F4514" t="str">
        <f t="shared" si="158"/>
        <v>14O</v>
      </c>
    </row>
    <row r="4515" spans="1:6" x14ac:dyDescent="0.2">
      <c r="A4515">
        <v>15</v>
      </c>
      <c r="E4515" t="str">
        <f t="shared" si="159"/>
        <v>P</v>
      </c>
      <c r="F4515" t="str">
        <f t="shared" si="158"/>
        <v>15P</v>
      </c>
    </row>
    <row r="4516" spans="1:6" x14ac:dyDescent="0.2">
      <c r="A4516">
        <v>16</v>
      </c>
      <c r="E4516" t="str">
        <f t="shared" si="159"/>
        <v>Q</v>
      </c>
      <c r="F4516" t="str">
        <f t="shared" si="158"/>
        <v>16Q</v>
      </c>
    </row>
    <row r="4517" spans="1:6" x14ac:dyDescent="0.2">
      <c r="A4517">
        <v>17</v>
      </c>
      <c r="E4517" t="str">
        <f t="shared" si="159"/>
        <v>R</v>
      </c>
      <c r="F4517" t="str">
        <f t="shared" si="158"/>
        <v>17R</v>
      </c>
    </row>
    <row r="4518" spans="1:6" x14ac:dyDescent="0.2">
      <c r="A4518">
        <v>18</v>
      </c>
      <c r="E4518" t="str">
        <f t="shared" si="159"/>
        <v>S</v>
      </c>
      <c r="F4518" t="str">
        <f t="shared" si="158"/>
        <v>18S</v>
      </c>
    </row>
    <row r="4519" spans="1:6" x14ac:dyDescent="0.2">
      <c r="A4519">
        <v>19</v>
      </c>
      <c r="E4519" t="str">
        <f t="shared" si="159"/>
        <v>T</v>
      </c>
      <c r="F4519" t="str">
        <f t="shared" si="158"/>
        <v>19T</v>
      </c>
    </row>
    <row r="4520" spans="1:6" x14ac:dyDescent="0.2">
      <c r="A4520">
        <v>20</v>
      </c>
      <c r="E4520" t="str">
        <f t="shared" si="159"/>
        <v>U</v>
      </c>
      <c r="F4520" t="str">
        <f t="shared" si="158"/>
        <v>20U</v>
      </c>
    </row>
    <row r="4521" spans="1:6" x14ac:dyDescent="0.2">
      <c r="A4521">
        <v>21</v>
      </c>
      <c r="E4521" t="str">
        <f t="shared" si="159"/>
        <v>V</v>
      </c>
      <c r="F4521" t="str">
        <f t="shared" si="158"/>
        <v>21V</v>
      </c>
    </row>
    <row r="4522" spans="1:6" x14ac:dyDescent="0.2">
      <c r="A4522">
        <v>22</v>
      </c>
      <c r="E4522" t="str">
        <f t="shared" si="159"/>
        <v>W</v>
      </c>
      <c r="F4522" t="str">
        <f t="shared" si="158"/>
        <v>22W</v>
      </c>
    </row>
    <row r="4523" spans="1:6" x14ac:dyDescent="0.2">
      <c r="A4523">
        <v>23</v>
      </c>
      <c r="E4523" t="str">
        <f t="shared" si="159"/>
        <v>X</v>
      </c>
      <c r="F4523" t="str">
        <f t="shared" si="158"/>
        <v>23X</v>
      </c>
    </row>
    <row r="4524" spans="1:6" x14ac:dyDescent="0.2">
      <c r="A4524">
        <v>24</v>
      </c>
      <c r="E4524" t="str">
        <f t="shared" si="159"/>
        <v>Y</v>
      </c>
      <c r="F4524" t="str">
        <f t="shared" si="158"/>
        <v>24Y</v>
      </c>
    </row>
    <row r="4525" spans="1:6" x14ac:dyDescent="0.2">
      <c r="A4525">
        <v>25</v>
      </c>
      <c r="E4525" t="str">
        <f t="shared" si="159"/>
        <v>Z</v>
      </c>
      <c r="F4525" t="str">
        <f t="shared" si="158"/>
        <v>25Z</v>
      </c>
    </row>
    <row r="4526" spans="1:6" x14ac:dyDescent="0.2">
      <c r="A4526">
        <v>0</v>
      </c>
      <c r="E4526" t="str">
        <f t="shared" si="159"/>
        <v>A</v>
      </c>
      <c r="F4526" t="str">
        <f t="shared" si="158"/>
        <v>0A</v>
      </c>
    </row>
    <row r="4527" spans="1:6" x14ac:dyDescent="0.2">
      <c r="A4527">
        <v>1</v>
      </c>
      <c r="E4527" t="str">
        <f t="shared" si="159"/>
        <v>B</v>
      </c>
      <c r="F4527" t="str">
        <f t="shared" si="158"/>
        <v>1B</v>
      </c>
    </row>
    <row r="4528" spans="1:6" x14ac:dyDescent="0.2">
      <c r="A4528">
        <v>2</v>
      </c>
      <c r="E4528" t="str">
        <f t="shared" si="159"/>
        <v>C</v>
      </c>
      <c r="F4528" t="str">
        <f t="shared" si="158"/>
        <v>2C</v>
      </c>
    </row>
    <row r="4529" spans="1:6" x14ac:dyDescent="0.2">
      <c r="A4529">
        <v>3</v>
      </c>
      <c r="E4529" t="str">
        <f t="shared" si="159"/>
        <v>D</v>
      </c>
      <c r="F4529" t="str">
        <f t="shared" si="158"/>
        <v>3D</v>
      </c>
    </row>
    <row r="4530" spans="1:6" x14ac:dyDescent="0.2">
      <c r="A4530">
        <v>4</v>
      </c>
      <c r="E4530" t="str">
        <f t="shared" si="159"/>
        <v>E</v>
      </c>
      <c r="F4530" t="str">
        <f t="shared" si="158"/>
        <v>4E</v>
      </c>
    </row>
    <row r="4531" spans="1:6" x14ac:dyDescent="0.2">
      <c r="A4531">
        <v>5</v>
      </c>
      <c r="E4531" t="str">
        <f t="shared" si="159"/>
        <v>F</v>
      </c>
      <c r="F4531" t="str">
        <f t="shared" si="158"/>
        <v>5F</v>
      </c>
    </row>
    <row r="4532" spans="1:6" x14ac:dyDescent="0.2">
      <c r="A4532">
        <v>6</v>
      </c>
      <c r="E4532" t="str">
        <f t="shared" si="159"/>
        <v>G</v>
      </c>
      <c r="F4532" t="str">
        <f t="shared" si="158"/>
        <v>6G</v>
      </c>
    </row>
    <row r="4533" spans="1:6" x14ac:dyDescent="0.2">
      <c r="A4533">
        <v>7</v>
      </c>
      <c r="E4533" t="str">
        <f t="shared" si="159"/>
        <v>H</v>
      </c>
      <c r="F4533" t="str">
        <f t="shared" si="158"/>
        <v>7H</v>
      </c>
    </row>
    <row r="4534" spans="1:6" x14ac:dyDescent="0.2">
      <c r="A4534">
        <v>8</v>
      </c>
      <c r="E4534" t="str">
        <f t="shared" si="159"/>
        <v>I</v>
      </c>
      <c r="F4534" t="str">
        <f t="shared" si="158"/>
        <v>8I</v>
      </c>
    </row>
    <row r="4535" spans="1:6" x14ac:dyDescent="0.2">
      <c r="A4535">
        <v>9</v>
      </c>
      <c r="E4535" t="str">
        <f t="shared" si="159"/>
        <v>J</v>
      </c>
      <c r="F4535" t="str">
        <f t="shared" si="158"/>
        <v>9J</v>
      </c>
    </row>
    <row r="4536" spans="1:6" x14ac:dyDescent="0.2">
      <c r="A4536">
        <v>10</v>
      </c>
      <c r="E4536" t="str">
        <f t="shared" si="159"/>
        <v>K</v>
      </c>
      <c r="F4536" t="str">
        <f t="shared" si="158"/>
        <v>10K</v>
      </c>
    </row>
    <row r="4537" spans="1:6" x14ac:dyDescent="0.2">
      <c r="A4537">
        <v>11</v>
      </c>
      <c r="E4537" t="str">
        <f t="shared" si="159"/>
        <v>L</v>
      </c>
      <c r="F4537" t="str">
        <f t="shared" si="158"/>
        <v>11L</v>
      </c>
    </row>
    <row r="4538" spans="1:6" x14ac:dyDescent="0.2">
      <c r="A4538">
        <v>12</v>
      </c>
      <c r="E4538" t="str">
        <f t="shared" si="159"/>
        <v>M</v>
      </c>
      <c r="F4538" t="str">
        <f t="shared" si="158"/>
        <v>12M</v>
      </c>
    </row>
    <row r="4539" spans="1:6" x14ac:dyDescent="0.2">
      <c r="A4539">
        <v>13</v>
      </c>
      <c r="E4539" t="str">
        <f t="shared" si="159"/>
        <v>N</v>
      </c>
      <c r="F4539" t="str">
        <f t="shared" si="158"/>
        <v>13N</v>
      </c>
    </row>
    <row r="4540" spans="1:6" x14ac:dyDescent="0.2">
      <c r="A4540">
        <v>14</v>
      </c>
      <c r="E4540" t="str">
        <f t="shared" si="159"/>
        <v>O</v>
      </c>
      <c r="F4540" t="str">
        <f t="shared" si="158"/>
        <v>14O</v>
      </c>
    </row>
    <row r="4541" spans="1:6" x14ac:dyDescent="0.2">
      <c r="A4541">
        <v>15</v>
      </c>
      <c r="E4541" t="str">
        <f t="shared" si="159"/>
        <v>P</v>
      </c>
      <c r="F4541" t="str">
        <f t="shared" ref="F4541:F4604" si="160">A4541&amp;C4541&amp;E4541</f>
        <v>15P</v>
      </c>
    </row>
    <row r="4542" spans="1:6" x14ac:dyDescent="0.2">
      <c r="A4542">
        <v>16</v>
      </c>
      <c r="E4542" t="str">
        <f t="shared" si="159"/>
        <v>Q</v>
      </c>
      <c r="F4542" t="str">
        <f t="shared" si="160"/>
        <v>16Q</v>
      </c>
    </row>
    <row r="4543" spans="1:6" x14ac:dyDescent="0.2">
      <c r="A4543">
        <v>17</v>
      </c>
      <c r="E4543" t="str">
        <f t="shared" si="159"/>
        <v>R</v>
      </c>
      <c r="F4543" t="str">
        <f t="shared" si="160"/>
        <v>17R</v>
      </c>
    </row>
    <row r="4544" spans="1:6" x14ac:dyDescent="0.2">
      <c r="A4544">
        <v>18</v>
      </c>
      <c r="E4544" t="str">
        <f t="shared" si="159"/>
        <v>S</v>
      </c>
      <c r="F4544" t="str">
        <f t="shared" si="160"/>
        <v>18S</v>
      </c>
    </row>
    <row r="4545" spans="1:6" x14ac:dyDescent="0.2">
      <c r="A4545">
        <v>19</v>
      </c>
      <c r="E4545" t="str">
        <f t="shared" si="159"/>
        <v>T</v>
      </c>
      <c r="F4545" t="str">
        <f t="shared" si="160"/>
        <v>19T</v>
      </c>
    </row>
    <row r="4546" spans="1:6" x14ac:dyDescent="0.2">
      <c r="A4546">
        <v>20</v>
      </c>
      <c r="E4546" t="str">
        <f t="shared" si="159"/>
        <v>U</v>
      </c>
      <c r="F4546" t="str">
        <f t="shared" si="160"/>
        <v>20U</v>
      </c>
    </row>
    <row r="4547" spans="1:6" x14ac:dyDescent="0.2">
      <c r="A4547">
        <v>21</v>
      </c>
      <c r="E4547" t="str">
        <f t="shared" si="159"/>
        <v>V</v>
      </c>
      <c r="F4547" t="str">
        <f t="shared" si="160"/>
        <v>21V</v>
      </c>
    </row>
    <row r="4548" spans="1:6" x14ac:dyDescent="0.2">
      <c r="A4548">
        <v>22</v>
      </c>
      <c r="E4548" t="str">
        <f t="shared" si="159"/>
        <v>W</v>
      </c>
      <c r="F4548" t="str">
        <f t="shared" si="160"/>
        <v>22W</v>
      </c>
    </row>
    <row r="4549" spans="1:6" x14ac:dyDescent="0.2">
      <c r="A4549">
        <v>23</v>
      </c>
      <c r="E4549" t="str">
        <f t="shared" si="159"/>
        <v>X</v>
      </c>
      <c r="F4549" t="str">
        <f t="shared" si="160"/>
        <v>23X</v>
      </c>
    </row>
    <row r="4550" spans="1:6" x14ac:dyDescent="0.2">
      <c r="A4550">
        <v>24</v>
      </c>
      <c r="E4550" t="str">
        <f t="shared" si="159"/>
        <v>Y</v>
      </c>
      <c r="F4550" t="str">
        <f t="shared" si="160"/>
        <v>24Y</v>
      </c>
    </row>
    <row r="4551" spans="1:6" x14ac:dyDescent="0.2">
      <c r="A4551">
        <v>25</v>
      </c>
      <c r="E4551" t="str">
        <f t="shared" si="159"/>
        <v>Z</v>
      </c>
      <c r="F4551" t="str">
        <f t="shared" si="160"/>
        <v>25Z</v>
      </c>
    </row>
    <row r="4552" spans="1:6" x14ac:dyDescent="0.2">
      <c r="A4552">
        <v>0</v>
      </c>
      <c r="E4552" t="str">
        <f t="shared" si="159"/>
        <v>A</v>
      </c>
      <c r="F4552" t="str">
        <f t="shared" si="160"/>
        <v>0A</v>
      </c>
    </row>
    <row r="4553" spans="1:6" x14ac:dyDescent="0.2">
      <c r="A4553">
        <v>1</v>
      </c>
      <c r="E4553" t="str">
        <f t="shared" si="159"/>
        <v>B</v>
      </c>
      <c r="F4553" t="str">
        <f t="shared" si="160"/>
        <v>1B</v>
      </c>
    </row>
    <row r="4554" spans="1:6" x14ac:dyDescent="0.2">
      <c r="A4554">
        <v>2</v>
      </c>
      <c r="E4554" t="str">
        <f t="shared" si="159"/>
        <v>C</v>
      </c>
      <c r="F4554" t="str">
        <f t="shared" si="160"/>
        <v>2C</v>
      </c>
    </row>
    <row r="4555" spans="1:6" x14ac:dyDescent="0.2">
      <c r="A4555">
        <v>3</v>
      </c>
      <c r="E4555" t="str">
        <f t="shared" si="159"/>
        <v>D</v>
      </c>
      <c r="F4555" t="str">
        <f t="shared" si="160"/>
        <v>3D</v>
      </c>
    </row>
    <row r="4556" spans="1:6" x14ac:dyDescent="0.2">
      <c r="A4556">
        <v>4</v>
      </c>
      <c r="E4556" t="str">
        <f t="shared" si="159"/>
        <v>E</v>
      </c>
      <c r="F4556" t="str">
        <f t="shared" si="160"/>
        <v>4E</v>
      </c>
    </row>
    <row r="4557" spans="1:6" x14ac:dyDescent="0.2">
      <c r="A4557">
        <v>5</v>
      </c>
      <c r="E4557" t="str">
        <f t="shared" si="159"/>
        <v>F</v>
      </c>
      <c r="F4557" t="str">
        <f t="shared" si="160"/>
        <v>5F</v>
      </c>
    </row>
    <row r="4558" spans="1:6" x14ac:dyDescent="0.2">
      <c r="A4558">
        <v>6</v>
      </c>
      <c r="E4558" t="str">
        <f t="shared" si="159"/>
        <v>G</v>
      </c>
      <c r="F4558" t="str">
        <f t="shared" si="160"/>
        <v>6G</v>
      </c>
    </row>
    <row r="4559" spans="1:6" x14ac:dyDescent="0.2">
      <c r="A4559">
        <v>7</v>
      </c>
      <c r="E4559" t="str">
        <f t="shared" si="159"/>
        <v>H</v>
      </c>
      <c r="F4559" t="str">
        <f t="shared" si="160"/>
        <v>7H</v>
      </c>
    </row>
    <row r="4560" spans="1:6" x14ac:dyDescent="0.2">
      <c r="A4560">
        <v>8</v>
      </c>
      <c r="E4560" t="str">
        <f t="shared" si="159"/>
        <v>I</v>
      </c>
      <c r="F4560" t="str">
        <f t="shared" si="160"/>
        <v>8I</v>
      </c>
    </row>
    <row r="4561" spans="1:6" x14ac:dyDescent="0.2">
      <c r="A4561">
        <v>9</v>
      </c>
      <c r="E4561" t="str">
        <f t="shared" si="159"/>
        <v>J</v>
      </c>
      <c r="F4561" t="str">
        <f t="shared" si="160"/>
        <v>9J</v>
      </c>
    </row>
    <row r="4562" spans="1:6" x14ac:dyDescent="0.2">
      <c r="A4562">
        <v>10</v>
      </c>
      <c r="E4562" t="str">
        <f t="shared" si="159"/>
        <v>K</v>
      </c>
      <c r="F4562" t="str">
        <f t="shared" si="160"/>
        <v>10K</v>
      </c>
    </row>
    <row r="4563" spans="1:6" x14ac:dyDescent="0.2">
      <c r="A4563">
        <v>11</v>
      </c>
      <c r="E4563" t="str">
        <f t="shared" si="159"/>
        <v>L</v>
      </c>
      <c r="F4563" t="str">
        <f t="shared" si="160"/>
        <v>11L</v>
      </c>
    </row>
    <row r="4564" spans="1:6" x14ac:dyDescent="0.2">
      <c r="A4564">
        <v>12</v>
      </c>
      <c r="E4564" t="str">
        <f t="shared" si="159"/>
        <v>M</v>
      </c>
      <c r="F4564" t="str">
        <f t="shared" si="160"/>
        <v>12M</v>
      </c>
    </row>
    <row r="4565" spans="1:6" x14ac:dyDescent="0.2">
      <c r="A4565">
        <v>13</v>
      </c>
      <c r="E4565" t="str">
        <f t="shared" si="159"/>
        <v>N</v>
      </c>
      <c r="F4565" t="str">
        <f t="shared" si="160"/>
        <v>13N</v>
      </c>
    </row>
    <row r="4566" spans="1:6" x14ac:dyDescent="0.2">
      <c r="A4566">
        <v>14</v>
      </c>
      <c r="E4566" t="str">
        <f t="shared" si="159"/>
        <v>O</v>
      </c>
      <c r="F4566" t="str">
        <f t="shared" si="160"/>
        <v>14O</v>
      </c>
    </row>
    <row r="4567" spans="1:6" x14ac:dyDescent="0.2">
      <c r="A4567">
        <v>15</v>
      </c>
      <c r="E4567" t="str">
        <f t="shared" ref="E4567:E4630" si="161">E4541</f>
        <v>P</v>
      </c>
      <c r="F4567" t="str">
        <f t="shared" si="160"/>
        <v>15P</v>
      </c>
    </row>
    <row r="4568" spans="1:6" x14ac:dyDescent="0.2">
      <c r="A4568">
        <v>16</v>
      </c>
      <c r="E4568" t="str">
        <f t="shared" si="161"/>
        <v>Q</v>
      </c>
      <c r="F4568" t="str">
        <f t="shared" si="160"/>
        <v>16Q</v>
      </c>
    </row>
    <row r="4569" spans="1:6" x14ac:dyDescent="0.2">
      <c r="A4569">
        <v>17</v>
      </c>
      <c r="E4569" t="str">
        <f t="shared" si="161"/>
        <v>R</v>
      </c>
      <c r="F4569" t="str">
        <f t="shared" si="160"/>
        <v>17R</v>
      </c>
    </row>
    <row r="4570" spans="1:6" x14ac:dyDescent="0.2">
      <c r="A4570">
        <v>18</v>
      </c>
      <c r="E4570" t="str">
        <f t="shared" si="161"/>
        <v>S</v>
      </c>
      <c r="F4570" t="str">
        <f t="shared" si="160"/>
        <v>18S</v>
      </c>
    </row>
    <row r="4571" spans="1:6" x14ac:dyDescent="0.2">
      <c r="A4571">
        <v>19</v>
      </c>
      <c r="E4571" t="str">
        <f t="shared" si="161"/>
        <v>T</v>
      </c>
      <c r="F4571" t="str">
        <f t="shared" si="160"/>
        <v>19T</v>
      </c>
    </row>
    <row r="4572" spans="1:6" x14ac:dyDescent="0.2">
      <c r="A4572">
        <v>20</v>
      </c>
      <c r="E4572" t="str">
        <f t="shared" si="161"/>
        <v>U</v>
      </c>
      <c r="F4572" t="str">
        <f t="shared" si="160"/>
        <v>20U</v>
      </c>
    </row>
    <row r="4573" spans="1:6" x14ac:dyDescent="0.2">
      <c r="A4573">
        <v>21</v>
      </c>
      <c r="E4573" t="str">
        <f t="shared" si="161"/>
        <v>V</v>
      </c>
      <c r="F4573" t="str">
        <f t="shared" si="160"/>
        <v>21V</v>
      </c>
    </row>
    <row r="4574" spans="1:6" x14ac:dyDescent="0.2">
      <c r="A4574">
        <v>22</v>
      </c>
      <c r="E4574" t="str">
        <f t="shared" si="161"/>
        <v>W</v>
      </c>
      <c r="F4574" t="str">
        <f t="shared" si="160"/>
        <v>22W</v>
      </c>
    </row>
    <row r="4575" spans="1:6" x14ac:dyDescent="0.2">
      <c r="A4575">
        <v>23</v>
      </c>
      <c r="E4575" t="str">
        <f t="shared" si="161"/>
        <v>X</v>
      </c>
      <c r="F4575" t="str">
        <f t="shared" si="160"/>
        <v>23X</v>
      </c>
    </row>
    <row r="4576" spans="1:6" x14ac:dyDescent="0.2">
      <c r="A4576">
        <v>24</v>
      </c>
      <c r="E4576" t="str">
        <f t="shared" si="161"/>
        <v>Y</v>
      </c>
      <c r="F4576" t="str">
        <f t="shared" si="160"/>
        <v>24Y</v>
      </c>
    </row>
    <row r="4577" spans="1:6" x14ac:dyDescent="0.2">
      <c r="A4577">
        <v>25</v>
      </c>
      <c r="E4577" t="str">
        <f t="shared" si="161"/>
        <v>Z</v>
      </c>
      <c r="F4577" t="str">
        <f t="shared" si="160"/>
        <v>25Z</v>
      </c>
    </row>
    <row r="4578" spans="1:6" x14ac:dyDescent="0.2">
      <c r="A4578">
        <v>0</v>
      </c>
      <c r="E4578" t="str">
        <f t="shared" si="161"/>
        <v>A</v>
      </c>
      <c r="F4578" t="str">
        <f t="shared" si="160"/>
        <v>0A</v>
      </c>
    </row>
    <row r="4579" spans="1:6" x14ac:dyDescent="0.2">
      <c r="A4579">
        <v>1</v>
      </c>
      <c r="E4579" t="str">
        <f t="shared" si="161"/>
        <v>B</v>
      </c>
      <c r="F4579" t="str">
        <f t="shared" si="160"/>
        <v>1B</v>
      </c>
    </row>
    <row r="4580" spans="1:6" x14ac:dyDescent="0.2">
      <c r="A4580">
        <v>2</v>
      </c>
      <c r="E4580" t="str">
        <f t="shared" si="161"/>
        <v>C</v>
      </c>
      <c r="F4580" t="str">
        <f t="shared" si="160"/>
        <v>2C</v>
      </c>
    </row>
    <row r="4581" spans="1:6" x14ac:dyDescent="0.2">
      <c r="A4581">
        <v>3</v>
      </c>
      <c r="E4581" t="str">
        <f t="shared" si="161"/>
        <v>D</v>
      </c>
      <c r="F4581" t="str">
        <f t="shared" si="160"/>
        <v>3D</v>
      </c>
    </row>
    <row r="4582" spans="1:6" x14ac:dyDescent="0.2">
      <c r="A4582">
        <v>4</v>
      </c>
      <c r="E4582" t="str">
        <f t="shared" si="161"/>
        <v>E</v>
      </c>
      <c r="F4582" t="str">
        <f t="shared" si="160"/>
        <v>4E</v>
      </c>
    </row>
    <row r="4583" spans="1:6" x14ac:dyDescent="0.2">
      <c r="A4583">
        <v>5</v>
      </c>
      <c r="E4583" t="str">
        <f t="shared" si="161"/>
        <v>F</v>
      </c>
      <c r="F4583" t="str">
        <f t="shared" si="160"/>
        <v>5F</v>
      </c>
    </row>
    <row r="4584" spans="1:6" x14ac:dyDescent="0.2">
      <c r="A4584">
        <v>6</v>
      </c>
      <c r="E4584" t="str">
        <f t="shared" si="161"/>
        <v>G</v>
      </c>
      <c r="F4584" t="str">
        <f t="shared" si="160"/>
        <v>6G</v>
      </c>
    </row>
    <row r="4585" spans="1:6" x14ac:dyDescent="0.2">
      <c r="A4585">
        <v>7</v>
      </c>
      <c r="E4585" t="str">
        <f t="shared" si="161"/>
        <v>H</v>
      </c>
      <c r="F4585" t="str">
        <f t="shared" si="160"/>
        <v>7H</v>
      </c>
    </row>
    <row r="4586" spans="1:6" x14ac:dyDescent="0.2">
      <c r="A4586">
        <v>8</v>
      </c>
      <c r="E4586" t="str">
        <f t="shared" si="161"/>
        <v>I</v>
      </c>
      <c r="F4586" t="str">
        <f t="shared" si="160"/>
        <v>8I</v>
      </c>
    </row>
    <row r="4587" spans="1:6" x14ac:dyDescent="0.2">
      <c r="A4587">
        <v>9</v>
      </c>
      <c r="E4587" t="str">
        <f t="shared" si="161"/>
        <v>J</v>
      </c>
      <c r="F4587" t="str">
        <f t="shared" si="160"/>
        <v>9J</v>
      </c>
    </row>
    <row r="4588" spans="1:6" x14ac:dyDescent="0.2">
      <c r="A4588">
        <v>10</v>
      </c>
      <c r="E4588" t="str">
        <f t="shared" si="161"/>
        <v>K</v>
      </c>
      <c r="F4588" t="str">
        <f t="shared" si="160"/>
        <v>10K</v>
      </c>
    </row>
    <row r="4589" spans="1:6" x14ac:dyDescent="0.2">
      <c r="A4589">
        <v>11</v>
      </c>
      <c r="E4589" t="str">
        <f t="shared" si="161"/>
        <v>L</v>
      </c>
      <c r="F4589" t="str">
        <f t="shared" si="160"/>
        <v>11L</v>
      </c>
    </row>
    <row r="4590" spans="1:6" x14ac:dyDescent="0.2">
      <c r="A4590">
        <v>12</v>
      </c>
      <c r="E4590" t="str">
        <f t="shared" si="161"/>
        <v>M</v>
      </c>
      <c r="F4590" t="str">
        <f t="shared" si="160"/>
        <v>12M</v>
      </c>
    </row>
    <row r="4591" spans="1:6" x14ac:dyDescent="0.2">
      <c r="A4591">
        <v>13</v>
      </c>
      <c r="E4591" t="str">
        <f t="shared" si="161"/>
        <v>N</v>
      </c>
      <c r="F4591" t="str">
        <f t="shared" si="160"/>
        <v>13N</v>
      </c>
    </row>
    <row r="4592" spans="1:6" x14ac:dyDescent="0.2">
      <c r="A4592">
        <v>14</v>
      </c>
      <c r="E4592" t="str">
        <f t="shared" si="161"/>
        <v>O</v>
      </c>
      <c r="F4592" t="str">
        <f t="shared" si="160"/>
        <v>14O</v>
      </c>
    </row>
    <row r="4593" spans="1:6" x14ac:dyDescent="0.2">
      <c r="A4593">
        <v>15</v>
      </c>
      <c r="E4593" t="str">
        <f t="shared" si="161"/>
        <v>P</v>
      </c>
      <c r="F4593" t="str">
        <f t="shared" si="160"/>
        <v>15P</v>
      </c>
    </row>
    <row r="4594" spans="1:6" x14ac:dyDescent="0.2">
      <c r="A4594">
        <v>16</v>
      </c>
      <c r="E4594" t="str">
        <f t="shared" si="161"/>
        <v>Q</v>
      </c>
      <c r="F4594" t="str">
        <f t="shared" si="160"/>
        <v>16Q</v>
      </c>
    </row>
    <row r="4595" spans="1:6" x14ac:dyDescent="0.2">
      <c r="A4595">
        <v>17</v>
      </c>
      <c r="E4595" t="str">
        <f t="shared" si="161"/>
        <v>R</v>
      </c>
      <c r="F4595" t="str">
        <f t="shared" si="160"/>
        <v>17R</v>
      </c>
    </row>
    <row r="4596" spans="1:6" x14ac:dyDescent="0.2">
      <c r="A4596">
        <v>18</v>
      </c>
      <c r="E4596" t="str">
        <f t="shared" si="161"/>
        <v>S</v>
      </c>
      <c r="F4596" t="str">
        <f t="shared" si="160"/>
        <v>18S</v>
      </c>
    </row>
    <row r="4597" spans="1:6" x14ac:dyDescent="0.2">
      <c r="A4597">
        <v>19</v>
      </c>
      <c r="E4597" t="str">
        <f t="shared" si="161"/>
        <v>T</v>
      </c>
      <c r="F4597" t="str">
        <f t="shared" si="160"/>
        <v>19T</v>
      </c>
    </row>
    <row r="4598" spans="1:6" x14ac:dyDescent="0.2">
      <c r="A4598">
        <v>20</v>
      </c>
      <c r="E4598" t="str">
        <f t="shared" si="161"/>
        <v>U</v>
      </c>
      <c r="F4598" t="str">
        <f t="shared" si="160"/>
        <v>20U</v>
      </c>
    </row>
    <row r="4599" spans="1:6" x14ac:dyDescent="0.2">
      <c r="A4599">
        <v>21</v>
      </c>
      <c r="E4599" t="str">
        <f t="shared" si="161"/>
        <v>V</v>
      </c>
      <c r="F4599" t="str">
        <f t="shared" si="160"/>
        <v>21V</v>
      </c>
    </row>
    <row r="4600" spans="1:6" x14ac:dyDescent="0.2">
      <c r="A4600">
        <v>22</v>
      </c>
      <c r="E4600" t="str">
        <f t="shared" si="161"/>
        <v>W</v>
      </c>
      <c r="F4600" t="str">
        <f t="shared" si="160"/>
        <v>22W</v>
      </c>
    </row>
    <row r="4601" spans="1:6" x14ac:dyDescent="0.2">
      <c r="A4601">
        <v>23</v>
      </c>
      <c r="E4601" t="str">
        <f t="shared" si="161"/>
        <v>X</v>
      </c>
      <c r="F4601" t="str">
        <f t="shared" si="160"/>
        <v>23X</v>
      </c>
    </row>
    <row r="4602" spans="1:6" x14ac:dyDescent="0.2">
      <c r="A4602">
        <v>24</v>
      </c>
      <c r="E4602" t="str">
        <f t="shared" si="161"/>
        <v>Y</v>
      </c>
      <c r="F4602" t="str">
        <f t="shared" si="160"/>
        <v>24Y</v>
      </c>
    </row>
    <row r="4603" spans="1:6" x14ac:dyDescent="0.2">
      <c r="A4603">
        <v>25</v>
      </c>
      <c r="E4603" t="str">
        <f t="shared" si="161"/>
        <v>Z</v>
      </c>
      <c r="F4603" t="str">
        <f t="shared" si="160"/>
        <v>25Z</v>
      </c>
    </row>
    <row r="4604" spans="1:6" x14ac:dyDescent="0.2">
      <c r="A4604">
        <v>0</v>
      </c>
      <c r="E4604" t="str">
        <f t="shared" si="161"/>
        <v>A</v>
      </c>
      <c r="F4604" t="str">
        <f t="shared" si="160"/>
        <v>0A</v>
      </c>
    </row>
    <row r="4605" spans="1:6" x14ac:dyDescent="0.2">
      <c r="A4605">
        <v>1</v>
      </c>
      <c r="E4605" t="str">
        <f t="shared" si="161"/>
        <v>B</v>
      </c>
      <c r="F4605" t="str">
        <f t="shared" ref="F4605:F4668" si="162">A4605&amp;C4605&amp;E4605</f>
        <v>1B</v>
      </c>
    </row>
    <row r="4606" spans="1:6" x14ac:dyDescent="0.2">
      <c r="A4606">
        <v>2</v>
      </c>
      <c r="E4606" t="str">
        <f t="shared" si="161"/>
        <v>C</v>
      </c>
      <c r="F4606" t="str">
        <f t="shared" si="162"/>
        <v>2C</v>
      </c>
    </row>
    <row r="4607" spans="1:6" x14ac:dyDescent="0.2">
      <c r="A4607">
        <v>3</v>
      </c>
      <c r="E4607" t="str">
        <f t="shared" si="161"/>
        <v>D</v>
      </c>
      <c r="F4607" t="str">
        <f t="shared" si="162"/>
        <v>3D</v>
      </c>
    </row>
    <row r="4608" spans="1:6" x14ac:dyDescent="0.2">
      <c r="A4608">
        <v>4</v>
      </c>
      <c r="E4608" t="str">
        <f t="shared" si="161"/>
        <v>E</v>
      </c>
      <c r="F4608" t="str">
        <f t="shared" si="162"/>
        <v>4E</v>
      </c>
    </row>
    <row r="4609" spans="1:6" x14ac:dyDescent="0.2">
      <c r="A4609">
        <v>5</v>
      </c>
      <c r="E4609" t="str">
        <f t="shared" si="161"/>
        <v>F</v>
      </c>
      <c r="F4609" t="str">
        <f t="shared" si="162"/>
        <v>5F</v>
      </c>
    </row>
    <row r="4610" spans="1:6" x14ac:dyDescent="0.2">
      <c r="A4610">
        <v>6</v>
      </c>
      <c r="E4610" t="str">
        <f t="shared" si="161"/>
        <v>G</v>
      </c>
      <c r="F4610" t="str">
        <f t="shared" si="162"/>
        <v>6G</v>
      </c>
    </row>
    <row r="4611" spans="1:6" x14ac:dyDescent="0.2">
      <c r="A4611">
        <v>7</v>
      </c>
      <c r="E4611" t="str">
        <f t="shared" si="161"/>
        <v>H</v>
      </c>
      <c r="F4611" t="str">
        <f t="shared" si="162"/>
        <v>7H</v>
      </c>
    </row>
    <row r="4612" spans="1:6" x14ac:dyDescent="0.2">
      <c r="A4612">
        <v>8</v>
      </c>
      <c r="E4612" t="str">
        <f t="shared" si="161"/>
        <v>I</v>
      </c>
      <c r="F4612" t="str">
        <f t="shared" si="162"/>
        <v>8I</v>
      </c>
    </row>
    <row r="4613" spans="1:6" x14ac:dyDescent="0.2">
      <c r="A4613">
        <v>9</v>
      </c>
      <c r="E4613" t="str">
        <f t="shared" si="161"/>
        <v>J</v>
      </c>
      <c r="F4613" t="str">
        <f t="shared" si="162"/>
        <v>9J</v>
      </c>
    </row>
    <row r="4614" spans="1:6" x14ac:dyDescent="0.2">
      <c r="A4614">
        <v>10</v>
      </c>
      <c r="E4614" t="str">
        <f t="shared" si="161"/>
        <v>K</v>
      </c>
      <c r="F4614" t="str">
        <f t="shared" si="162"/>
        <v>10K</v>
      </c>
    </row>
    <row r="4615" spans="1:6" x14ac:dyDescent="0.2">
      <c r="A4615">
        <v>11</v>
      </c>
      <c r="E4615" t="str">
        <f t="shared" si="161"/>
        <v>L</v>
      </c>
      <c r="F4615" t="str">
        <f t="shared" si="162"/>
        <v>11L</v>
      </c>
    </row>
    <row r="4616" spans="1:6" x14ac:dyDescent="0.2">
      <c r="A4616">
        <v>12</v>
      </c>
      <c r="E4616" t="str">
        <f t="shared" si="161"/>
        <v>M</v>
      </c>
      <c r="F4616" t="str">
        <f t="shared" si="162"/>
        <v>12M</v>
      </c>
    </row>
    <row r="4617" spans="1:6" x14ac:dyDescent="0.2">
      <c r="A4617">
        <v>13</v>
      </c>
      <c r="E4617" t="str">
        <f t="shared" si="161"/>
        <v>N</v>
      </c>
      <c r="F4617" t="str">
        <f t="shared" si="162"/>
        <v>13N</v>
      </c>
    </row>
    <row r="4618" spans="1:6" x14ac:dyDescent="0.2">
      <c r="A4618">
        <v>14</v>
      </c>
      <c r="E4618" t="str">
        <f t="shared" si="161"/>
        <v>O</v>
      </c>
      <c r="F4618" t="str">
        <f t="shared" si="162"/>
        <v>14O</v>
      </c>
    </row>
    <row r="4619" spans="1:6" x14ac:dyDescent="0.2">
      <c r="A4619">
        <v>15</v>
      </c>
      <c r="E4619" t="str">
        <f t="shared" si="161"/>
        <v>P</v>
      </c>
      <c r="F4619" t="str">
        <f t="shared" si="162"/>
        <v>15P</v>
      </c>
    </row>
    <row r="4620" spans="1:6" x14ac:dyDescent="0.2">
      <c r="A4620">
        <v>16</v>
      </c>
      <c r="E4620" t="str">
        <f t="shared" si="161"/>
        <v>Q</v>
      </c>
      <c r="F4620" t="str">
        <f t="shared" si="162"/>
        <v>16Q</v>
      </c>
    </row>
    <row r="4621" spans="1:6" x14ac:dyDescent="0.2">
      <c r="A4621">
        <v>17</v>
      </c>
      <c r="E4621" t="str">
        <f t="shared" si="161"/>
        <v>R</v>
      </c>
      <c r="F4621" t="str">
        <f t="shared" si="162"/>
        <v>17R</v>
      </c>
    </row>
    <row r="4622" spans="1:6" x14ac:dyDescent="0.2">
      <c r="A4622">
        <v>18</v>
      </c>
      <c r="E4622" t="str">
        <f t="shared" si="161"/>
        <v>S</v>
      </c>
      <c r="F4622" t="str">
        <f t="shared" si="162"/>
        <v>18S</v>
      </c>
    </row>
    <row r="4623" spans="1:6" x14ac:dyDescent="0.2">
      <c r="A4623">
        <v>19</v>
      </c>
      <c r="E4623" t="str">
        <f t="shared" si="161"/>
        <v>T</v>
      </c>
      <c r="F4623" t="str">
        <f t="shared" si="162"/>
        <v>19T</v>
      </c>
    </row>
    <row r="4624" spans="1:6" x14ac:dyDescent="0.2">
      <c r="A4624">
        <v>20</v>
      </c>
      <c r="E4624" t="str">
        <f t="shared" si="161"/>
        <v>U</v>
      </c>
      <c r="F4624" t="str">
        <f t="shared" si="162"/>
        <v>20U</v>
      </c>
    </row>
    <row r="4625" spans="1:6" x14ac:dyDescent="0.2">
      <c r="A4625">
        <v>21</v>
      </c>
      <c r="E4625" t="str">
        <f t="shared" si="161"/>
        <v>V</v>
      </c>
      <c r="F4625" t="str">
        <f t="shared" si="162"/>
        <v>21V</v>
      </c>
    </row>
    <row r="4626" spans="1:6" x14ac:dyDescent="0.2">
      <c r="A4626">
        <v>22</v>
      </c>
      <c r="E4626" t="str">
        <f t="shared" si="161"/>
        <v>W</v>
      </c>
      <c r="F4626" t="str">
        <f t="shared" si="162"/>
        <v>22W</v>
      </c>
    </row>
    <row r="4627" spans="1:6" x14ac:dyDescent="0.2">
      <c r="A4627">
        <v>23</v>
      </c>
      <c r="E4627" t="str">
        <f t="shared" si="161"/>
        <v>X</v>
      </c>
      <c r="F4627" t="str">
        <f t="shared" si="162"/>
        <v>23X</v>
      </c>
    </row>
    <row r="4628" spans="1:6" x14ac:dyDescent="0.2">
      <c r="A4628">
        <v>24</v>
      </c>
      <c r="E4628" t="str">
        <f t="shared" si="161"/>
        <v>Y</v>
      </c>
      <c r="F4628" t="str">
        <f t="shared" si="162"/>
        <v>24Y</v>
      </c>
    </row>
    <row r="4629" spans="1:6" x14ac:dyDescent="0.2">
      <c r="A4629">
        <v>25</v>
      </c>
      <c r="E4629" t="str">
        <f t="shared" si="161"/>
        <v>Z</v>
      </c>
      <c r="F4629" t="str">
        <f t="shared" si="162"/>
        <v>25Z</v>
      </c>
    </row>
    <row r="4630" spans="1:6" x14ac:dyDescent="0.2">
      <c r="A4630">
        <v>0</v>
      </c>
      <c r="E4630" t="str">
        <f t="shared" si="161"/>
        <v>A</v>
      </c>
      <c r="F4630" t="str">
        <f t="shared" si="162"/>
        <v>0A</v>
      </c>
    </row>
    <row r="4631" spans="1:6" x14ac:dyDescent="0.2">
      <c r="A4631">
        <v>1</v>
      </c>
      <c r="E4631" t="str">
        <f t="shared" ref="E4631:E4694" si="163">E4605</f>
        <v>B</v>
      </c>
      <c r="F4631" t="str">
        <f t="shared" si="162"/>
        <v>1B</v>
      </c>
    </row>
    <row r="4632" spans="1:6" x14ac:dyDescent="0.2">
      <c r="A4632">
        <v>2</v>
      </c>
      <c r="E4632" t="str">
        <f t="shared" si="163"/>
        <v>C</v>
      </c>
      <c r="F4632" t="str">
        <f t="shared" si="162"/>
        <v>2C</v>
      </c>
    </row>
    <row r="4633" spans="1:6" x14ac:dyDescent="0.2">
      <c r="A4633">
        <v>3</v>
      </c>
      <c r="E4633" t="str">
        <f t="shared" si="163"/>
        <v>D</v>
      </c>
      <c r="F4633" t="str">
        <f t="shared" si="162"/>
        <v>3D</v>
      </c>
    </row>
    <row r="4634" spans="1:6" x14ac:dyDescent="0.2">
      <c r="A4634">
        <v>4</v>
      </c>
      <c r="E4634" t="str">
        <f t="shared" si="163"/>
        <v>E</v>
      </c>
      <c r="F4634" t="str">
        <f t="shared" si="162"/>
        <v>4E</v>
      </c>
    </row>
    <row r="4635" spans="1:6" x14ac:dyDescent="0.2">
      <c r="A4635">
        <v>5</v>
      </c>
      <c r="E4635" t="str">
        <f t="shared" si="163"/>
        <v>F</v>
      </c>
      <c r="F4635" t="str">
        <f t="shared" si="162"/>
        <v>5F</v>
      </c>
    </row>
    <row r="4636" spans="1:6" x14ac:dyDescent="0.2">
      <c r="A4636">
        <v>6</v>
      </c>
      <c r="E4636" t="str">
        <f t="shared" si="163"/>
        <v>G</v>
      </c>
      <c r="F4636" t="str">
        <f t="shared" si="162"/>
        <v>6G</v>
      </c>
    </row>
    <row r="4637" spans="1:6" x14ac:dyDescent="0.2">
      <c r="A4637">
        <v>7</v>
      </c>
      <c r="E4637" t="str">
        <f t="shared" si="163"/>
        <v>H</v>
      </c>
      <c r="F4637" t="str">
        <f t="shared" si="162"/>
        <v>7H</v>
      </c>
    </row>
    <row r="4638" spans="1:6" x14ac:dyDescent="0.2">
      <c r="A4638">
        <v>8</v>
      </c>
      <c r="E4638" t="str">
        <f t="shared" si="163"/>
        <v>I</v>
      </c>
      <c r="F4638" t="str">
        <f t="shared" si="162"/>
        <v>8I</v>
      </c>
    </row>
    <row r="4639" spans="1:6" x14ac:dyDescent="0.2">
      <c r="A4639">
        <v>9</v>
      </c>
      <c r="E4639" t="str">
        <f t="shared" si="163"/>
        <v>J</v>
      </c>
      <c r="F4639" t="str">
        <f t="shared" si="162"/>
        <v>9J</v>
      </c>
    </row>
    <row r="4640" spans="1:6" x14ac:dyDescent="0.2">
      <c r="A4640">
        <v>10</v>
      </c>
      <c r="E4640" t="str">
        <f t="shared" si="163"/>
        <v>K</v>
      </c>
      <c r="F4640" t="str">
        <f t="shared" si="162"/>
        <v>10K</v>
      </c>
    </row>
    <row r="4641" spans="1:6" x14ac:dyDescent="0.2">
      <c r="A4641">
        <v>11</v>
      </c>
      <c r="E4641" t="str">
        <f t="shared" si="163"/>
        <v>L</v>
      </c>
      <c r="F4641" t="str">
        <f t="shared" si="162"/>
        <v>11L</v>
      </c>
    </row>
    <row r="4642" spans="1:6" x14ac:dyDescent="0.2">
      <c r="A4642">
        <v>12</v>
      </c>
      <c r="E4642" t="str">
        <f t="shared" si="163"/>
        <v>M</v>
      </c>
      <c r="F4642" t="str">
        <f t="shared" si="162"/>
        <v>12M</v>
      </c>
    </row>
    <row r="4643" spans="1:6" x14ac:dyDescent="0.2">
      <c r="A4643">
        <v>13</v>
      </c>
      <c r="E4643" t="str">
        <f t="shared" si="163"/>
        <v>N</v>
      </c>
      <c r="F4643" t="str">
        <f t="shared" si="162"/>
        <v>13N</v>
      </c>
    </row>
    <row r="4644" spans="1:6" x14ac:dyDescent="0.2">
      <c r="A4644">
        <v>14</v>
      </c>
      <c r="E4644" t="str">
        <f t="shared" si="163"/>
        <v>O</v>
      </c>
      <c r="F4644" t="str">
        <f t="shared" si="162"/>
        <v>14O</v>
      </c>
    </row>
    <row r="4645" spans="1:6" x14ac:dyDescent="0.2">
      <c r="A4645">
        <v>15</v>
      </c>
      <c r="E4645" t="str">
        <f t="shared" si="163"/>
        <v>P</v>
      </c>
      <c r="F4645" t="str">
        <f t="shared" si="162"/>
        <v>15P</v>
      </c>
    </row>
    <row r="4646" spans="1:6" x14ac:dyDescent="0.2">
      <c r="A4646">
        <v>16</v>
      </c>
      <c r="E4646" t="str">
        <f t="shared" si="163"/>
        <v>Q</v>
      </c>
      <c r="F4646" t="str">
        <f t="shared" si="162"/>
        <v>16Q</v>
      </c>
    </row>
    <row r="4647" spans="1:6" x14ac:dyDescent="0.2">
      <c r="A4647">
        <v>17</v>
      </c>
      <c r="E4647" t="str">
        <f t="shared" si="163"/>
        <v>R</v>
      </c>
      <c r="F4647" t="str">
        <f t="shared" si="162"/>
        <v>17R</v>
      </c>
    </row>
    <row r="4648" spans="1:6" x14ac:dyDescent="0.2">
      <c r="A4648">
        <v>18</v>
      </c>
      <c r="E4648" t="str">
        <f t="shared" si="163"/>
        <v>S</v>
      </c>
      <c r="F4648" t="str">
        <f t="shared" si="162"/>
        <v>18S</v>
      </c>
    </row>
    <row r="4649" spans="1:6" x14ac:dyDescent="0.2">
      <c r="A4649">
        <v>19</v>
      </c>
      <c r="E4649" t="str">
        <f t="shared" si="163"/>
        <v>T</v>
      </c>
      <c r="F4649" t="str">
        <f t="shared" si="162"/>
        <v>19T</v>
      </c>
    </row>
    <row r="4650" spans="1:6" x14ac:dyDescent="0.2">
      <c r="A4650">
        <v>20</v>
      </c>
      <c r="E4650" t="str">
        <f t="shared" si="163"/>
        <v>U</v>
      </c>
      <c r="F4650" t="str">
        <f t="shared" si="162"/>
        <v>20U</v>
      </c>
    </row>
    <row r="4651" spans="1:6" x14ac:dyDescent="0.2">
      <c r="A4651">
        <v>21</v>
      </c>
      <c r="E4651" t="str">
        <f t="shared" si="163"/>
        <v>V</v>
      </c>
      <c r="F4651" t="str">
        <f t="shared" si="162"/>
        <v>21V</v>
      </c>
    </row>
    <row r="4652" spans="1:6" x14ac:dyDescent="0.2">
      <c r="A4652">
        <v>22</v>
      </c>
      <c r="E4652" t="str">
        <f t="shared" si="163"/>
        <v>W</v>
      </c>
      <c r="F4652" t="str">
        <f t="shared" si="162"/>
        <v>22W</v>
      </c>
    </row>
    <row r="4653" spans="1:6" x14ac:dyDescent="0.2">
      <c r="A4653">
        <v>23</v>
      </c>
      <c r="E4653" t="str">
        <f t="shared" si="163"/>
        <v>X</v>
      </c>
      <c r="F4653" t="str">
        <f t="shared" si="162"/>
        <v>23X</v>
      </c>
    </row>
    <row r="4654" spans="1:6" x14ac:dyDescent="0.2">
      <c r="A4654">
        <v>24</v>
      </c>
      <c r="E4654" t="str">
        <f t="shared" si="163"/>
        <v>Y</v>
      </c>
      <c r="F4654" t="str">
        <f t="shared" si="162"/>
        <v>24Y</v>
      </c>
    </row>
    <row r="4655" spans="1:6" x14ac:dyDescent="0.2">
      <c r="A4655">
        <v>25</v>
      </c>
      <c r="E4655" t="str">
        <f t="shared" si="163"/>
        <v>Z</v>
      </c>
      <c r="F4655" t="str">
        <f t="shared" si="162"/>
        <v>25Z</v>
      </c>
    </row>
    <row r="4656" spans="1:6" x14ac:dyDescent="0.2">
      <c r="A4656">
        <v>0</v>
      </c>
      <c r="E4656" t="str">
        <f t="shared" si="163"/>
        <v>A</v>
      </c>
      <c r="F4656" t="str">
        <f t="shared" si="162"/>
        <v>0A</v>
      </c>
    </row>
    <row r="4657" spans="1:6" x14ac:dyDescent="0.2">
      <c r="A4657">
        <v>1</v>
      </c>
      <c r="E4657" t="str">
        <f t="shared" si="163"/>
        <v>B</v>
      </c>
      <c r="F4657" t="str">
        <f t="shared" si="162"/>
        <v>1B</v>
      </c>
    </row>
    <row r="4658" spans="1:6" x14ac:dyDescent="0.2">
      <c r="A4658">
        <v>2</v>
      </c>
      <c r="E4658" t="str">
        <f t="shared" si="163"/>
        <v>C</v>
      </c>
      <c r="F4658" t="str">
        <f t="shared" si="162"/>
        <v>2C</v>
      </c>
    </row>
    <row r="4659" spans="1:6" x14ac:dyDescent="0.2">
      <c r="A4659">
        <v>3</v>
      </c>
      <c r="E4659" t="str">
        <f t="shared" si="163"/>
        <v>D</v>
      </c>
      <c r="F4659" t="str">
        <f t="shared" si="162"/>
        <v>3D</v>
      </c>
    </row>
    <row r="4660" spans="1:6" x14ac:dyDescent="0.2">
      <c r="A4660">
        <v>4</v>
      </c>
      <c r="E4660" t="str">
        <f t="shared" si="163"/>
        <v>E</v>
      </c>
      <c r="F4660" t="str">
        <f t="shared" si="162"/>
        <v>4E</v>
      </c>
    </row>
    <row r="4661" spans="1:6" x14ac:dyDescent="0.2">
      <c r="A4661">
        <v>5</v>
      </c>
      <c r="E4661" t="str">
        <f t="shared" si="163"/>
        <v>F</v>
      </c>
      <c r="F4661" t="str">
        <f t="shared" si="162"/>
        <v>5F</v>
      </c>
    </row>
    <row r="4662" spans="1:6" x14ac:dyDescent="0.2">
      <c r="A4662">
        <v>6</v>
      </c>
      <c r="E4662" t="str">
        <f t="shared" si="163"/>
        <v>G</v>
      </c>
      <c r="F4662" t="str">
        <f t="shared" si="162"/>
        <v>6G</v>
      </c>
    </row>
    <row r="4663" spans="1:6" x14ac:dyDescent="0.2">
      <c r="A4663">
        <v>7</v>
      </c>
      <c r="E4663" t="str">
        <f t="shared" si="163"/>
        <v>H</v>
      </c>
      <c r="F4663" t="str">
        <f t="shared" si="162"/>
        <v>7H</v>
      </c>
    </row>
    <row r="4664" spans="1:6" x14ac:dyDescent="0.2">
      <c r="A4664">
        <v>8</v>
      </c>
      <c r="E4664" t="str">
        <f t="shared" si="163"/>
        <v>I</v>
      </c>
      <c r="F4664" t="str">
        <f t="shared" si="162"/>
        <v>8I</v>
      </c>
    </row>
    <row r="4665" spans="1:6" x14ac:dyDescent="0.2">
      <c r="A4665">
        <v>9</v>
      </c>
      <c r="E4665" t="str">
        <f t="shared" si="163"/>
        <v>J</v>
      </c>
      <c r="F4665" t="str">
        <f t="shared" si="162"/>
        <v>9J</v>
      </c>
    </row>
    <row r="4666" spans="1:6" x14ac:dyDescent="0.2">
      <c r="A4666">
        <v>10</v>
      </c>
      <c r="E4666" t="str">
        <f t="shared" si="163"/>
        <v>K</v>
      </c>
      <c r="F4666" t="str">
        <f t="shared" si="162"/>
        <v>10K</v>
      </c>
    </row>
    <row r="4667" spans="1:6" x14ac:dyDescent="0.2">
      <c r="A4667">
        <v>11</v>
      </c>
      <c r="E4667" t="str">
        <f t="shared" si="163"/>
        <v>L</v>
      </c>
      <c r="F4667" t="str">
        <f t="shared" si="162"/>
        <v>11L</v>
      </c>
    </row>
    <row r="4668" spans="1:6" x14ac:dyDescent="0.2">
      <c r="A4668">
        <v>12</v>
      </c>
      <c r="E4668" t="str">
        <f t="shared" si="163"/>
        <v>M</v>
      </c>
      <c r="F4668" t="str">
        <f t="shared" si="162"/>
        <v>12M</v>
      </c>
    </row>
    <row r="4669" spans="1:6" x14ac:dyDescent="0.2">
      <c r="A4669">
        <v>13</v>
      </c>
      <c r="E4669" t="str">
        <f t="shared" si="163"/>
        <v>N</v>
      </c>
      <c r="F4669" t="str">
        <f t="shared" ref="F4669:F4732" si="164">A4669&amp;C4669&amp;E4669</f>
        <v>13N</v>
      </c>
    </row>
    <row r="4670" spans="1:6" x14ac:dyDescent="0.2">
      <c r="A4670">
        <v>14</v>
      </c>
      <c r="E4670" t="str">
        <f t="shared" si="163"/>
        <v>O</v>
      </c>
      <c r="F4670" t="str">
        <f t="shared" si="164"/>
        <v>14O</v>
      </c>
    </row>
    <row r="4671" spans="1:6" x14ac:dyDescent="0.2">
      <c r="A4671">
        <v>15</v>
      </c>
      <c r="E4671" t="str">
        <f t="shared" si="163"/>
        <v>P</v>
      </c>
      <c r="F4671" t="str">
        <f t="shared" si="164"/>
        <v>15P</v>
      </c>
    </row>
    <row r="4672" spans="1:6" x14ac:dyDescent="0.2">
      <c r="A4672">
        <v>16</v>
      </c>
      <c r="E4672" t="str">
        <f t="shared" si="163"/>
        <v>Q</v>
      </c>
      <c r="F4672" t="str">
        <f t="shared" si="164"/>
        <v>16Q</v>
      </c>
    </row>
    <row r="4673" spans="1:6" x14ac:dyDescent="0.2">
      <c r="A4673">
        <v>17</v>
      </c>
      <c r="E4673" t="str">
        <f t="shared" si="163"/>
        <v>R</v>
      </c>
      <c r="F4673" t="str">
        <f t="shared" si="164"/>
        <v>17R</v>
      </c>
    </row>
    <row r="4674" spans="1:6" x14ac:dyDescent="0.2">
      <c r="A4674">
        <v>18</v>
      </c>
      <c r="E4674" t="str">
        <f t="shared" si="163"/>
        <v>S</v>
      </c>
      <c r="F4674" t="str">
        <f t="shared" si="164"/>
        <v>18S</v>
      </c>
    </row>
    <row r="4675" spans="1:6" x14ac:dyDescent="0.2">
      <c r="A4675">
        <v>19</v>
      </c>
      <c r="E4675" t="str">
        <f t="shared" si="163"/>
        <v>T</v>
      </c>
      <c r="F4675" t="str">
        <f t="shared" si="164"/>
        <v>19T</v>
      </c>
    </row>
    <row r="4676" spans="1:6" x14ac:dyDescent="0.2">
      <c r="A4676">
        <v>20</v>
      </c>
      <c r="E4676" t="str">
        <f t="shared" si="163"/>
        <v>U</v>
      </c>
      <c r="F4676" t="str">
        <f t="shared" si="164"/>
        <v>20U</v>
      </c>
    </row>
    <row r="4677" spans="1:6" x14ac:dyDescent="0.2">
      <c r="A4677">
        <v>21</v>
      </c>
      <c r="E4677" t="str">
        <f t="shared" si="163"/>
        <v>V</v>
      </c>
      <c r="F4677" t="str">
        <f t="shared" si="164"/>
        <v>21V</v>
      </c>
    </row>
    <row r="4678" spans="1:6" x14ac:dyDescent="0.2">
      <c r="A4678">
        <v>22</v>
      </c>
      <c r="E4678" t="str">
        <f t="shared" si="163"/>
        <v>W</v>
      </c>
      <c r="F4678" t="str">
        <f t="shared" si="164"/>
        <v>22W</v>
      </c>
    </row>
    <row r="4679" spans="1:6" x14ac:dyDescent="0.2">
      <c r="A4679">
        <v>23</v>
      </c>
      <c r="E4679" t="str">
        <f t="shared" si="163"/>
        <v>X</v>
      </c>
      <c r="F4679" t="str">
        <f t="shared" si="164"/>
        <v>23X</v>
      </c>
    </row>
    <row r="4680" spans="1:6" x14ac:dyDescent="0.2">
      <c r="A4680">
        <v>24</v>
      </c>
      <c r="E4680" t="str">
        <f t="shared" si="163"/>
        <v>Y</v>
      </c>
      <c r="F4680" t="str">
        <f t="shared" si="164"/>
        <v>24Y</v>
      </c>
    </row>
    <row r="4681" spans="1:6" x14ac:dyDescent="0.2">
      <c r="A4681">
        <v>25</v>
      </c>
      <c r="E4681" t="str">
        <f t="shared" si="163"/>
        <v>Z</v>
      </c>
      <c r="F4681" t="str">
        <f t="shared" si="164"/>
        <v>25Z</v>
      </c>
    </row>
    <row r="4682" spans="1:6" x14ac:dyDescent="0.2">
      <c r="A4682">
        <v>0</v>
      </c>
      <c r="E4682" t="str">
        <f t="shared" si="163"/>
        <v>A</v>
      </c>
      <c r="F4682" t="str">
        <f t="shared" si="164"/>
        <v>0A</v>
      </c>
    </row>
    <row r="4683" spans="1:6" x14ac:dyDescent="0.2">
      <c r="A4683">
        <v>1</v>
      </c>
      <c r="E4683" t="str">
        <f t="shared" si="163"/>
        <v>B</v>
      </c>
      <c r="F4683" t="str">
        <f t="shared" si="164"/>
        <v>1B</v>
      </c>
    </row>
    <row r="4684" spans="1:6" x14ac:dyDescent="0.2">
      <c r="A4684">
        <v>2</v>
      </c>
      <c r="E4684" t="str">
        <f t="shared" si="163"/>
        <v>C</v>
      </c>
      <c r="F4684" t="str">
        <f t="shared" si="164"/>
        <v>2C</v>
      </c>
    </row>
    <row r="4685" spans="1:6" x14ac:dyDescent="0.2">
      <c r="A4685">
        <v>3</v>
      </c>
      <c r="E4685" t="str">
        <f t="shared" si="163"/>
        <v>D</v>
      </c>
      <c r="F4685" t="str">
        <f t="shared" si="164"/>
        <v>3D</v>
      </c>
    </row>
    <row r="4686" spans="1:6" x14ac:dyDescent="0.2">
      <c r="A4686">
        <v>4</v>
      </c>
      <c r="E4686" t="str">
        <f t="shared" si="163"/>
        <v>E</v>
      </c>
      <c r="F4686" t="str">
        <f t="shared" si="164"/>
        <v>4E</v>
      </c>
    </row>
    <row r="4687" spans="1:6" x14ac:dyDescent="0.2">
      <c r="A4687">
        <v>5</v>
      </c>
      <c r="E4687" t="str">
        <f t="shared" si="163"/>
        <v>F</v>
      </c>
      <c r="F4687" t="str">
        <f t="shared" si="164"/>
        <v>5F</v>
      </c>
    </row>
    <row r="4688" spans="1:6" x14ac:dyDescent="0.2">
      <c r="A4688">
        <v>6</v>
      </c>
      <c r="E4688" t="str">
        <f t="shared" si="163"/>
        <v>G</v>
      </c>
      <c r="F4688" t="str">
        <f t="shared" si="164"/>
        <v>6G</v>
      </c>
    </row>
    <row r="4689" spans="1:6" x14ac:dyDescent="0.2">
      <c r="A4689">
        <v>7</v>
      </c>
      <c r="E4689" t="str">
        <f t="shared" si="163"/>
        <v>H</v>
      </c>
      <c r="F4689" t="str">
        <f t="shared" si="164"/>
        <v>7H</v>
      </c>
    </row>
    <row r="4690" spans="1:6" x14ac:dyDescent="0.2">
      <c r="A4690">
        <v>8</v>
      </c>
      <c r="E4690" t="str">
        <f t="shared" si="163"/>
        <v>I</v>
      </c>
      <c r="F4690" t="str">
        <f t="shared" si="164"/>
        <v>8I</v>
      </c>
    </row>
    <row r="4691" spans="1:6" x14ac:dyDescent="0.2">
      <c r="A4691">
        <v>9</v>
      </c>
      <c r="E4691" t="str">
        <f t="shared" si="163"/>
        <v>J</v>
      </c>
      <c r="F4691" t="str">
        <f t="shared" si="164"/>
        <v>9J</v>
      </c>
    </row>
    <row r="4692" spans="1:6" x14ac:dyDescent="0.2">
      <c r="A4692">
        <v>10</v>
      </c>
      <c r="E4692" t="str">
        <f t="shared" si="163"/>
        <v>K</v>
      </c>
      <c r="F4692" t="str">
        <f t="shared" si="164"/>
        <v>10K</v>
      </c>
    </row>
    <row r="4693" spans="1:6" x14ac:dyDescent="0.2">
      <c r="A4693">
        <v>11</v>
      </c>
      <c r="E4693" t="str">
        <f t="shared" si="163"/>
        <v>L</v>
      </c>
      <c r="F4693" t="str">
        <f t="shared" si="164"/>
        <v>11L</v>
      </c>
    </row>
    <row r="4694" spans="1:6" x14ac:dyDescent="0.2">
      <c r="A4694">
        <v>12</v>
      </c>
      <c r="E4694" t="str">
        <f t="shared" si="163"/>
        <v>M</v>
      </c>
      <c r="F4694" t="str">
        <f t="shared" si="164"/>
        <v>12M</v>
      </c>
    </row>
    <row r="4695" spans="1:6" x14ac:dyDescent="0.2">
      <c r="A4695">
        <v>13</v>
      </c>
      <c r="E4695" t="str">
        <f t="shared" ref="E4695:E4758" si="165">E4669</f>
        <v>N</v>
      </c>
      <c r="F4695" t="str">
        <f t="shared" si="164"/>
        <v>13N</v>
      </c>
    </row>
    <row r="4696" spans="1:6" x14ac:dyDescent="0.2">
      <c r="A4696">
        <v>14</v>
      </c>
      <c r="E4696" t="str">
        <f t="shared" si="165"/>
        <v>O</v>
      </c>
      <c r="F4696" t="str">
        <f t="shared" si="164"/>
        <v>14O</v>
      </c>
    </row>
    <row r="4697" spans="1:6" x14ac:dyDescent="0.2">
      <c r="A4697">
        <v>15</v>
      </c>
      <c r="E4697" t="str">
        <f t="shared" si="165"/>
        <v>P</v>
      </c>
      <c r="F4697" t="str">
        <f t="shared" si="164"/>
        <v>15P</v>
      </c>
    </row>
    <row r="4698" spans="1:6" x14ac:dyDescent="0.2">
      <c r="A4698">
        <v>16</v>
      </c>
      <c r="E4698" t="str">
        <f t="shared" si="165"/>
        <v>Q</v>
      </c>
      <c r="F4698" t="str">
        <f t="shared" si="164"/>
        <v>16Q</v>
      </c>
    </row>
    <row r="4699" spans="1:6" x14ac:dyDescent="0.2">
      <c r="A4699">
        <v>17</v>
      </c>
      <c r="E4699" t="str">
        <f t="shared" si="165"/>
        <v>R</v>
      </c>
      <c r="F4699" t="str">
        <f t="shared" si="164"/>
        <v>17R</v>
      </c>
    </row>
    <row r="4700" spans="1:6" x14ac:dyDescent="0.2">
      <c r="A4700">
        <v>18</v>
      </c>
      <c r="E4700" t="str">
        <f t="shared" si="165"/>
        <v>S</v>
      </c>
      <c r="F4700" t="str">
        <f t="shared" si="164"/>
        <v>18S</v>
      </c>
    </row>
    <row r="4701" spans="1:6" x14ac:dyDescent="0.2">
      <c r="A4701">
        <v>19</v>
      </c>
      <c r="E4701" t="str">
        <f t="shared" si="165"/>
        <v>T</v>
      </c>
      <c r="F4701" t="str">
        <f t="shared" si="164"/>
        <v>19T</v>
      </c>
    </row>
    <row r="4702" spans="1:6" x14ac:dyDescent="0.2">
      <c r="A4702">
        <v>20</v>
      </c>
      <c r="E4702" t="str">
        <f t="shared" si="165"/>
        <v>U</v>
      </c>
      <c r="F4702" t="str">
        <f t="shared" si="164"/>
        <v>20U</v>
      </c>
    </row>
    <row r="4703" spans="1:6" x14ac:dyDescent="0.2">
      <c r="A4703">
        <v>21</v>
      </c>
      <c r="E4703" t="str">
        <f t="shared" si="165"/>
        <v>V</v>
      </c>
      <c r="F4703" t="str">
        <f t="shared" si="164"/>
        <v>21V</v>
      </c>
    </row>
    <row r="4704" spans="1:6" x14ac:dyDescent="0.2">
      <c r="A4704">
        <v>22</v>
      </c>
      <c r="E4704" t="str">
        <f t="shared" si="165"/>
        <v>W</v>
      </c>
      <c r="F4704" t="str">
        <f t="shared" si="164"/>
        <v>22W</v>
      </c>
    </row>
    <row r="4705" spans="1:6" x14ac:dyDescent="0.2">
      <c r="A4705">
        <v>23</v>
      </c>
      <c r="E4705" t="str">
        <f t="shared" si="165"/>
        <v>X</v>
      </c>
      <c r="F4705" t="str">
        <f t="shared" si="164"/>
        <v>23X</v>
      </c>
    </row>
    <row r="4706" spans="1:6" x14ac:dyDescent="0.2">
      <c r="A4706">
        <v>24</v>
      </c>
      <c r="E4706" t="str">
        <f t="shared" si="165"/>
        <v>Y</v>
      </c>
      <c r="F4706" t="str">
        <f t="shared" si="164"/>
        <v>24Y</v>
      </c>
    </row>
    <row r="4707" spans="1:6" x14ac:dyDescent="0.2">
      <c r="A4707">
        <v>25</v>
      </c>
      <c r="E4707" t="str">
        <f t="shared" si="165"/>
        <v>Z</v>
      </c>
      <c r="F4707" t="str">
        <f t="shared" si="164"/>
        <v>25Z</v>
      </c>
    </row>
    <row r="4708" spans="1:6" x14ac:dyDescent="0.2">
      <c r="A4708">
        <v>0</v>
      </c>
      <c r="E4708" t="str">
        <f t="shared" si="165"/>
        <v>A</v>
      </c>
      <c r="F4708" t="str">
        <f t="shared" si="164"/>
        <v>0A</v>
      </c>
    </row>
    <row r="4709" spans="1:6" x14ac:dyDescent="0.2">
      <c r="A4709">
        <v>1</v>
      </c>
      <c r="E4709" t="str">
        <f t="shared" si="165"/>
        <v>B</v>
      </c>
      <c r="F4709" t="str">
        <f t="shared" si="164"/>
        <v>1B</v>
      </c>
    </row>
    <row r="4710" spans="1:6" x14ac:dyDescent="0.2">
      <c r="A4710">
        <v>2</v>
      </c>
      <c r="E4710" t="str">
        <f t="shared" si="165"/>
        <v>C</v>
      </c>
      <c r="F4710" t="str">
        <f t="shared" si="164"/>
        <v>2C</v>
      </c>
    </row>
    <row r="4711" spans="1:6" x14ac:dyDescent="0.2">
      <c r="A4711">
        <v>3</v>
      </c>
      <c r="E4711" t="str">
        <f t="shared" si="165"/>
        <v>D</v>
      </c>
      <c r="F4711" t="str">
        <f t="shared" si="164"/>
        <v>3D</v>
      </c>
    </row>
    <row r="4712" spans="1:6" x14ac:dyDescent="0.2">
      <c r="A4712">
        <v>4</v>
      </c>
      <c r="E4712" t="str">
        <f t="shared" si="165"/>
        <v>E</v>
      </c>
      <c r="F4712" t="str">
        <f t="shared" si="164"/>
        <v>4E</v>
      </c>
    </row>
    <row r="4713" spans="1:6" x14ac:dyDescent="0.2">
      <c r="A4713">
        <v>5</v>
      </c>
      <c r="E4713" t="str">
        <f t="shared" si="165"/>
        <v>F</v>
      </c>
      <c r="F4713" t="str">
        <f t="shared" si="164"/>
        <v>5F</v>
      </c>
    </row>
    <row r="4714" spans="1:6" x14ac:dyDescent="0.2">
      <c r="A4714">
        <v>6</v>
      </c>
      <c r="E4714" t="str">
        <f t="shared" si="165"/>
        <v>G</v>
      </c>
      <c r="F4714" t="str">
        <f t="shared" si="164"/>
        <v>6G</v>
      </c>
    </row>
    <row r="4715" spans="1:6" x14ac:dyDescent="0.2">
      <c r="A4715">
        <v>7</v>
      </c>
      <c r="E4715" t="str">
        <f t="shared" si="165"/>
        <v>H</v>
      </c>
      <c r="F4715" t="str">
        <f t="shared" si="164"/>
        <v>7H</v>
      </c>
    </row>
    <row r="4716" spans="1:6" x14ac:dyDescent="0.2">
      <c r="A4716">
        <v>8</v>
      </c>
      <c r="E4716" t="str">
        <f t="shared" si="165"/>
        <v>I</v>
      </c>
      <c r="F4716" t="str">
        <f t="shared" si="164"/>
        <v>8I</v>
      </c>
    </row>
    <row r="4717" spans="1:6" x14ac:dyDescent="0.2">
      <c r="A4717">
        <v>9</v>
      </c>
      <c r="E4717" t="str">
        <f t="shared" si="165"/>
        <v>J</v>
      </c>
      <c r="F4717" t="str">
        <f t="shared" si="164"/>
        <v>9J</v>
      </c>
    </row>
    <row r="4718" spans="1:6" x14ac:dyDescent="0.2">
      <c r="A4718">
        <v>10</v>
      </c>
      <c r="E4718" t="str">
        <f t="shared" si="165"/>
        <v>K</v>
      </c>
      <c r="F4718" t="str">
        <f t="shared" si="164"/>
        <v>10K</v>
      </c>
    </row>
    <row r="4719" spans="1:6" x14ac:dyDescent="0.2">
      <c r="A4719">
        <v>11</v>
      </c>
      <c r="E4719" t="str">
        <f t="shared" si="165"/>
        <v>L</v>
      </c>
      <c r="F4719" t="str">
        <f t="shared" si="164"/>
        <v>11L</v>
      </c>
    </row>
    <row r="4720" spans="1:6" x14ac:dyDescent="0.2">
      <c r="A4720">
        <v>12</v>
      </c>
      <c r="E4720" t="str">
        <f t="shared" si="165"/>
        <v>M</v>
      </c>
      <c r="F4720" t="str">
        <f t="shared" si="164"/>
        <v>12M</v>
      </c>
    </row>
    <row r="4721" spans="1:6" x14ac:dyDescent="0.2">
      <c r="A4721">
        <v>13</v>
      </c>
      <c r="E4721" t="str">
        <f t="shared" si="165"/>
        <v>N</v>
      </c>
      <c r="F4721" t="str">
        <f t="shared" si="164"/>
        <v>13N</v>
      </c>
    </row>
    <row r="4722" spans="1:6" x14ac:dyDescent="0.2">
      <c r="A4722">
        <v>14</v>
      </c>
      <c r="E4722" t="str">
        <f t="shared" si="165"/>
        <v>O</v>
      </c>
      <c r="F4722" t="str">
        <f t="shared" si="164"/>
        <v>14O</v>
      </c>
    </row>
    <row r="4723" spans="1:6" x14ac:dyDescent="0.2">
      <c r="A4723">
        <v>15</v>
      </c>
      <c r="E4723" t="str">
        <f t="shared" si="165"/>
        <v>P</v>
      </c>
      <c r="F4723" t="str">
        <f t="shared" si="164"/>
        <v>15P</v>
      </c>
    </row>
    <row r="4724" spans="1:6" x14ac:dyDescent="0.2">
      <c r="A4724">
        <v>16</v>
      </c>
      <c r="E4724" t="str">
        <f t="shared" si="165"/>
        <v>Q</v>
      </c>
      <c r="F4724" t="str">
        <f t="shared" si="164"/>
        <v>16Q</v>
      </c>
    </row>
    <row r="4725" spans="1:6" x14ac:dyDescent="0.2">
      <c r="A4725">
        <v>17</v>
      </c>
      <c r="E4725" t="str">
        <f t="shared" si="165"/>
        <v>R</v>
      </c>
      <c r="F4725" t="str">
        <f t="shared" si="164"/>
        <v>17R</v>
      </c>
    </row>
    <row r="4726" spans="1:6" x14ac:dyDescent="0.2">
      <c r="A4726">
        <v>18</v>
      </c>
      <c r="E4726" t="str">
        <f t="shared" si="165"/>
        <v>S</v>
      </c>
      <c r="F4726" t="str">
        <f t="shared" si="164"/>
        <v>18S</v>
      </c>
    </row>
    <row r="4727" spans="1:6" x14ac:dyDescent="0.2">
      <c r="A4727">
        <v>19</v>
      </c>
      <c r="E4727" t="str">
        <f t="shared" si="165"/>
        <v>T</v>
      </c>
      <c r="F4727" t="str">
        <f t="shared" si="164"/>
        <v>19T</v>
      </c>
    </row>
    <row r="4728" spans="1:6" x14ac:dyDescent="0.2">
      <c r="A4728">
        <v>20</v>
      </c>
      <c r="E4728" t="str">
        <f t="shared" si="165"/>
        <v>U</v>
      </c>
      <c r="F4728" t="str">
        <f t="shared" si="164"/>
        <v>20U</v>
      </c>
    </row>
    <row r="4729" spans="1:6" x14ac:dyDescent="0.2">
      <c r="A4729">
        <v>21</v>
      </c>
      <c r="E4729" t="str">
        <f t="shared" si="165"/>
        <v>V</v>
      </c>
      <c r="F4729" t="str">
        <f t="shared" si="164"/>
        <v>21V</v>
      </c>
    </row>
    <row r="4730" spans="1:6" x14ac:dyDescent="0.2">
      <c r="A4730">
        <v>22</v>
      </c>
      <c r="E4730" t="str">
        <f t="shared" si="165"/>
        <v>W</v>
      </c>
      <c r="F4730" t="str">
        <f t="shared" si="164"/>
        <v>22W</v>
      </c>
    </row>
    <row r="4731" spans="1:6" x14ac:dyDescent="0.2">
      <c r="A4731">
        <v>23</v>
      </c>
      <c r="E4731" t="str">
        <f t="shared" si="165"/>
        <v>X</v>
      </c>
      <c r="F4731" t="str">
        <f t="shared" si="164"/>
        <v>23X</v>
      </c>
    </row>
    <row r="4732" spans="1:6" x14ac:dyDescent="0.2">
      <c r="A4732">
        <v>24</v>
      </c>
      <c r="E4732" t="str">
        <f t="shared" si="165"/>
        <v>Y</v>
      </c>
      <c r="F4732" t="str">
        <f t="shared" si="164"/>
        <v>24Y</v>
      </c>
    </row>
    <row r="4733" spans="1:6" x14ac:dyDescent="0.2">
      <c r="A4733">
        <v>25</v>
      </c>
      <c r="E4733" t="str">
        <f t="shared" si="165"/>
        <v>Z</v>
      </c>
      <c r="F4733" t="str">
        <f t="shared" ref="F4733:F4796" si="166">A4733&amp;C4733&amp;E4733</f>
        <v>25Z</v>
      </c>
    </row>
    <row r="4734" spans="1:6" x14ac:dyDescent="0.2">
      <c r="A4734">
        <v>0</v>
      </c>
      <c r="E4734" t="str">
        <f t="shared" si="165"/>
        <v>A</v>
      </c>
      <c r="F4734" t="str">
        <f t="shared" si="166"/>
        <v>0A</v>
      </c>
    </row>
    <row r="4735" spans="1:6" x14ac:dyDescent="0.2">
      <c r="A4735">
        <v>1</v>
      </c>
      <c r="E4735" t="str">
        <f t="shared" si="165"/>
        <v>B</v>
      </c>
      <c r="F4735" t="str">
        <f t="shared" si="166"/>
        <v>1B</v>
      </c>
    </row>
    <row r="4736" spans="1:6" x14ac:dyDescent="0.2">
      <c r="A4736">
        <v>2</v>
      </c>
      <c r="E4736" t="str">
        <f t="shared" si="165"/>
        <v>C</v>
      </c>
      <c r="F4736" t="str">
        <f t="shared" si="166"/>
        <v>2C</v>
      </c>
    </row>
    <row r="4737" spans="1:6" x14ac:dyDescent="0.2">
      <c r="A4737">
        <v>3</v>
      </c>
      <c r="E4737" t="str">
        <f t="shared" si="165"/>
        <v>D</v>
      </c>
      <c r="F4737" t="str">
        <f t="shared" si="166"/>
        <v>3D</v>
      </c>
    </row>
    <row r="4738" spans="1:6" x14ac:dyDescent="0.2">
      <c r="A4738">
        <v>4</v>
      </c>
      <c r="E4738" t="str">
        <f t="shared" si="165"/>
        <v>E</v>
      </c>
      <c r="F4738" t="str">
        <f t="shared" si="166"/>
        <v>4E</v>
      </c>
    </row>
    <row r="4739" spans="1:6" x14ac:dyDescent="0.2">
      <c r="A4739">
        <v>5</v>
      </c>
      <c r="E4739" t="str">
        <f t="shared" si="165"/>
        <v>F</v>
      </c>
      <c r="F4739" t="str">
        <f t="shared" si="166"/>
        <v>5F</v>
      </c>
    </row>
    <row r="4740" spans="1:6" x14ac:dyDescent="0.2">
      <c r="A4740">
        <v>6</v>
      </c>
      <c r="E4740" t="str">
        <f t="shared" si="165"/>
        <v>G</v>
      </c>
      <c r="F4740" t="str">
        <f t="shared" si="166"/>
        <v>6G</v>
      </c>
    </row>
    <row r="4741" spans="1:6" x14ac:dyDescent="0.2">
      <c r="A4741">
        <v>7</v>
      </c>
      <c r="E4741" t="str">
        <f t="shared" si="165"/>
        <v>H</v>
      </c>
      <c r="F4741" t="str">
        <f t="shared" si="166"/>
        <v>7H</v>
      </c>
    </row>
    <row r="4742" spans="1:6" x14ac:dyDescent="0.2">
      <c r="A4742">
        <v>8</v>
      </c>
      <c r="E4742" t="str">
        <f t="shared" si="165"/>
        <v>I</v>
      </c>
      <c r="F4742" t="str">
        <f t="shared" si="166"/>
        <v>8I</v>
      </c>
    </row>
    <row r="4743" spans="1:6" x14ac:dyDescent="0.2">
      <c r="A4743">
        <v>9</v>
      </c>
      <c r="E4743" t="str">
        <f t="shared" si="165"/>
        <v>J</v>
      </c>
      <c r="F4743" t="str">
        <f t="shared" si="166"/>
        <v>9J</v>
      </c>
    </row>
    <row r="4744" spans="1:6" x14ac:dyDescent="0.2">
      <c r="A4744">
        <v>10</v>
      </c>
      <c r="E4744" t="str">
        <f t="shared" si="165"/>
        <v>K</v>
      </c>
      <c r="F4744" t="str">
        <f t="shared" si="166"/>
        <v>10K</v>
      </c>
    </row>
    <row r="4745" spans="1:6" x14ac:dyDescent="0.2">
      <c r="A4745">
        <v>11</v>
      </c>
      <c r="E4745" t="str">
        <f t="shared" si="165"/>
        <v>L</v>
      </c>
      <c r="F4745" t="str">
        <f t="shared" si="166"/>
        <v>11L</v>
      </c>
    </row>
    <row r="4746" spans="1:6" x14ac:dyDescent="0.2">
      <c r="A4746">
        <v>12</v>
      </c>
      <c r="E4746" t="str">
        <f t="shared" si="165"/>
        <v>M</v>
      </c>
      <c r="F4746" t="str">
        <f t="shared" si="166"/>
        <v>12M</v>
      </c>
    </row>
    <row r="4747" spans="1:6" x14ac:dyDescent="0.2">
      <c r="A4747">
        <v>13</v>
      </c>
      <c r="E4747" t="str">
        <f t="shared" si="165"/>
        <v>N</v>
      </c>
      <c r="F4747" t="str">
        <f t="shared" si="166"/>
        <v>13N</v>
      </c>
    </row>
    <row r="4748" spans="1:6" x14ac:dyDescent="0.2">
      <c r="A4748">
        <v>14</v>
      </c>
      <c r="E4748" t="str">
        <f t="shared" si="165"/>
        <v>O</v>
      </c>
      <c r="F4748" t="str">
        <f t="shared" si="166"/>
        <v>14O</v>
      </c>
    </row>
    <row r="4749" spans="1:6" x14ac:dyDescent="0.2">
      <c r="A4749">
        <v>15</v>
      </c>
      <c r="E4749" t="str">
        <f t="shared" si="165"/>
        <v>P</v>
      </c>
      <c r="F4749" t="str">
        <f t="shared" si="166"/>
        <v>15P</v>
      </c>
    </row>
    <row r="4750" spans="1:6" x14ac:dyDescent="0.2">
      <c r="A4750">
        <v>16</v>
      </c>
      <c r="E4750" t="str">
        <f t="shared" si="165"/>
        <v>Q</v>
      </c>
      <c r="F4750" t="str">
        <f t="shared" si="166"/>
        <v>16Q</v>
      </c>
    </row>
    <row r="4751" spans="1:6" x14ac:dyDescent="0.2">
      <c r="A4751">
        <v>17</v>
      </c>
      <c r="E4751" t="str">
        <f t="shared" si="165"/>
        <v>R</v>
      </c>
      <c r="F4751" t="str">
        <f t="shared" si="166"/>
        <v>17R</v>
      </c>
    </row>
    <row r="4752" spans="1:6" x14ac:dyDescent="0.2">
      <c r="A4752">
        <v>18</v>
      </c>
      <c r="E4752" t="str">
        <f t="shared" si="165"/>
        <v>S</v>
      </c>
      <c r="F4752" t="str">
        <f t="shared" si="166"/>
        <v>18S</v>
      </c>
    </row>
    <row r="4753" spans="1:6" x14ac:dyDescent="0.2">
      <c r="A4753">
        <v>19</v>
      </c>
      <c r="E4753" t="str">
        <f t="shared" si="165"/>
        <v>T</v>
      </c>
      <c r="F4753" t="str">
        <f t="shared" si="166"/>
        <v>19T</v>
      </c>
    </row>
    <row r="4754" spans="1:6" x14ac:dyDescent="0.2">
      <c r="A4754">
        <v>20</v>
      </c>
      <c r="E4754" t="str">
        <f t="shared" si="165"/>
        <v>U</v>
      </c>
      <c r="F4754" t="str">
        <f t="shared" si="166"/>
        <v>20U</v>
      </c>
    </row>
    <row r="4755" spans="1:6" x14ac:dyDescent="0.2">
      <c r="A4755">
        <v>21</v>
      </c>
      <c r="E4755" t="str">
        <f t="shared" si="165"/>
        <v>V</v>
      </c>
      <c r="F4755" t="str">
        <f t="shared" si="166"/>
        <v>21V</v>
      </c>
    </row>
    <row r="4756" spans="1:6" x14ac:dyDescent="0.2">
      <c r="A4756">
        <v>22</v>
      </c>
      <c r="E4756" t="str">
        <f t="shared" si="165"/>
        <v>W</v>
      </c>
      <c r="F4756" t="str">
        <f t="shared" si="166"/>
        <v>22W</v>
      </c>
    </row>
    <row r="4757" spans="1:6" x14ac:dyDescent="0.2">
      <c r="A4757">
        <v>23</v>
      </c>
      <c r="E4757" t="str">
        <f t="shared" si="165"/>
        <v>X</v>
      </c>
      <c r="F4757" t="str">
        <f t="shared" si="166"/>
        <v>23X</v>
      </c>
    </row>
    <row r="4758" spans="1:6" x14ac:dyDescent="0.2">
      <c r="A4758">
        <v>24</v>
      </c>
      <c r="E4758" t="str">
        <f t="shared" si="165"/>
        <v>Y</v>
      </c>
      <c r="F4758" t="str">
        <f t="shared" si="166"/>
        <v>24Y</v>
      </c>
    </row>
    <row r="4759" spans="1:6" x14ac:dyDescent="0.2">
      <c r="A4759">
        <v>25</v>
      </c>
      <c r="E4759" t="str">
        <f t="shared" ref="E4759:E4822" si="167">E4733</f>
        <v>Z</v>
      </c>
      <c r="F4759" t="str">
        <f t="shared" si="166"/>
        <v>25Z</v>
      </c>
    </row>
    <row r="4760" spans="1:6" x14ac:dyDescent="0.2">
      <c r="A4760">
        <v>0</v>
      </c>
      <c r="E4760" t="str">
        <f t="shared" si="167"/>
        <v>A</v>
      </c>
      <c r="F4760" t="str">
        <f t="shared" si="166"/>
        <v>0A</v>
      </c>
    </row>
    <row r="4761" spans="1:6" x14ac:dyDescent="0.2">
      <c r="A4761">
        <v>1</v>
      </c>
      <c r="E4761" t="str">
        <f t="shared" si="167"/>
        <v>B</v>
      </c>
      <c r="F4761" t="str">
        <f t="shared" si="166"/>
        <v>1B</v>
      </c>
    </row>
    <row r="4762" spans="1:6" x14ac:dyDescent="0.2">
      <c r="A4762">
        <v>2</v>
      </c>
      <c r="E4762" t="str">
        <f t="shared" si="167"/>
        <v>C</v>
      </c>
      <c r="F4762" t="str">
        <f t="shared" si="166"/>
        <v>2C</v>
      </c>
    </row>
    <row r="4763" spans="1:6" x14ac:dyDescent="0.2">
      <c r="A4763">
        <v>3</v>
      </c>
      <c r="E4763" t="str">
        <f t="shared" si="167"/>
        <v>D</v>
      </c>
      <c r="F4763" t="str">
        <f t="shared" si="166"/>
        <v>3D</v>
      </c>
    </row>
    <row r="4764" spans="1:6" x14ac:dyDescent="0.2">
      <c r="A4764">
        <v>4</v>
      </c>
      <c r="E4764" t="str">
        <f t="shared" si="167"/>
        <v>E</v>
      </c>
      <c r="F4764" t="str">
        <f t="shared" si="166"/>
        <v>4E</v>
      </c>
    </row>
    <row r="4765" spans="1:6" x14ac:dyDescent="0.2">
      <c r="A4765">
        <v>5</v>
      </c>
      <c r="E4765" t="str">
        <f t="shared" si="167"/>
        <v>F</v>
      </c>
      <c r="F4765" t="str">
        <f t="shared" si="166"/>
        <v>5F</v>
      </c>
    </row>
    <row r="4766" spans="1:6" x14ac:dyDescent="0.2">
      <c r="A4766">
        <v>6</v>
      </c>
      <c r="E4766" t="str">
        <f t="shared" si="167"/>
        <v>G</v>
      </c>
      <c r="F4766" t="str">
        <f t="shared" si="166"/>
        <v>6G</v>
      </c>
    </row>
    <row r="4767" spans="1:6" x14ac:dyDescent="0.2">
      <c r="A4767">
        <v>7</v>
      </c>
      <c r="E4767" t="str">
        <f t="shared" si="167"/>
        <v>H</v>
      </c>
      <c r="F4767" t="str">
        <f t="shared" si="166"/>
        <v>7H</v>
      </c>
    </row>
    <row r="4768" spans="1:6" x14ac:dyDescent="0.2">
      <c r="A4768">
        <v>8</v>
      </c>
      <c r="E4768" t="str">
        <f t="shared" si="167"/>
        <v>I</v>
      </c>
      <c r="F4768" t="str">
        <f t="shared" si="166"/>
        <v>8I</v>
      </c>
    </row>
    <row r="4769" spans="1:6" x14ac:dyDescent="0.2">
      <c r="A4769">
        <v>9</v>
      </c>
      <c r="E4769" t="str">
        <f t="shared" si="167"/>
        <v>J</v>
      </c>
      <c r="F4769" t="str">
        <f t="shared" si="166"/>
        <v>9J</v>
      </c>
    </row>
    <row r="4770" spans="1:6" x14ac:dyDescent="0.2">
      <c r="A4770">
        <v>10</v>
      </c>
      <c r="E4770" t="str">
        <f t="shared" si="167"/>
        <v>K</v>
      </c>
      <c r="F4770" t="str">
        <f t="shared" si="166"/>
        <v>10K</v>
      </c>
    </row>
    <row r="4771" spans="1:6" x14ac:dyDescent="0.2">
      <c r="A4771">
        <v>11</v>
      </c>
      <c r="E4771" t="str">
        <f t="shared" si="167"/>
        <v>L</v>
      </c>
      <c r="F4771" t="str">
        <f t="shared" si="166"/>
        <v>11L</v>
      </c>
    </row>
    <row r="4772" spans="1:6" x14ac:dyDescent="0.2">
      <c r="A4772">
        <v>12</v>
      </c>
      <c r="E4772" t="str">
        <f t="shared" si="167"/>
        <v>M</v>
      </c>
      <c r="F4772" t="str">
        <f t="shared" si="166"/>
        <v>12M</v>
      </c>
    </row>
    <row r="4773" spans="1:6" x14ac:dyDescent="0.2">
      <c r="A4773">
        <v>13</v>
      </c>
      <c r="E4773" t="str">
        <f t="shared" si="167"/>
        <v>N</v>
      </c>
      <c r="F4773" t="str">
        <f t="shared" si="166"/>
        <v>13N</v>
      </c>
    </row>
    <row r="4774" spans="1:6" x14ac:dyDescent="0.2">
      <c r="A4774">
        <v>14</v>
      </c>
      <c r="E4774" t="str">
        <f t="shared" si="167"/>
        <v>O</v>
      </c>
      <c r="F4774" t="str">
        <f t="shared" si="166"/>
        <v>14O</v>
      </c>
    </row>
    <row r="4775" spans="1:6" x14ac:dyDescent="0.2">
      <c r="A4775">
        <v>15</v>
      </c>
      <c r="E4775" t="str">
        <f t="shared" si="167"/>
        <v>P</v>
      </c>
      <c r="F4775" t="str">
        <f t="shared" si="166"/>
        <v>15P</v>
      </c>
    </row>
    <row r="4776" spans="1:6" x14ac:dyDescent="0.2">
      <c r="A4776">
        <v>16</v>
      </c>
      <c r="E4776" t="str">
        <f t="shared" si="167"/>
        <v>Q</v>
      </c>
      <c r="F4776" t="str">
        <f t="shared" si="166"/>
        <v>16Q</v>
      </c>
    </row>
    <row r="4777" spans="1:6" x14ac:dyDescent="0.2">
      <c r="A4777">
        <v>17</v>
      </c>
      <c r="E4777" t="str">
        <f t="shared" si="167"/>
        <v>R</v>
      </c>
      <c r="F4777" t="str">
        <f t="shared" si="166"/>
        <v>17R</v>
      </c>
    </row>
    <row r="4778" spans="1:6" x14ac:dyDescent="0.2">
      <c r="A4778">
        <v>18</v>
      </c>
      <c r="E4778" t="str">
        <f t="shared" si="167"/>
        <v>S</v>
      </c>
      <c r="F4778" t="str">
        <f t="shared" si="166"/>
        <v>18S</v>
      </c>
    </row>
    <row r="4779" spans="1:6" x14ac:dyDescent="0.2">
      <c r="A4779">
        <v>19</v>
      </c>
      <c r="E4779" t="str">
        <f t="shared" si="167"/>
        <v>T</v>
      </c>
      <c r="F4779" t="str">
        <f t="shared" si="166"/>
        <v>19T</v>
      </c>
    </row>
    <row r="4780" spans="1:6" x14ac:dyDescent="0.2">
      <c r="A4780">
        <v>20</v>
      </c>
      <c r="E4780" t="str">
        <f t="shared" si="167"/>
        <v>U</v>
      </c>
      <c r="F4780" t="str">
        <f t="shared" si="166"/>
        <v>20U</v>
      </c>
    </row>
    <row r="4781" spans="1:6" x14ac:dyDescent="0.2">
      <c r="A4781">
        <v>21</v>
      </c>
      <c r="E4781" t="str">
        <f t="shared" si="167"/>
        <v>V</v>
      </c>
      <c r="F4781" t="str">
        <f t="shared" si="166"/>
        <v>21V</v>
      </c>
    </row>
    <row r="4782" spans="1:6" x14ac:dyDescent="0.2">
      <c r="A4782">
        <v>22</v>
      </c>
      <c r="E4782" t="str">
        <f t="shared" si="167"/>
        <v>W</v>
      </c>
      <c r="F4782" t="str">
        <f t="shared" si="166"/>
        <v>22W</v>
      </c>
    </row>
    <row r="4783" spans="1:6" x14ac:dyDescent="0.2">
      <c r="A4783">
        <v>23</v>
      </c>
      <c r="E4783" t="str">
        <f t="shared" si="167"/>
        <v>X</v>
      </c>
      <c r="F4783" t="str">
        <f t="shared" si="166"/>
        <v>23X</v>
      </c>
    </row>
    <row r="4784" spans="1:6" x14ac:dyDescent="0.2">
      <c r="A4784">
        <v>24</v>
      </c>
      <c r="E4784" t="str">
        <f t="shared" si="167"/>
        <v>Y</v>
      </c>
      <c r="F4784" t="str">
        <f t="shared" si="166"/>
        <v>24Y</v>
      </c>
    </row>
    <row r="4785" spans="1:6" x14ac:dyDescent="0.2">
      <c r="A4785">
        <v>25</v>
      </c>
      <c r="E4785" t="str">
        <f t="shared" si="167"/>
        <v>Z</v>
      </c>
      <c r="F4785" t="str">
        <f t="shared" si="166"/>
        <v>25Z</v>
      </c>
    </row>
    <row r="4786" spans="1:6" x14ac:dyDescent="0.2">
      <c r="A4786">
        <v>0</v>
      </c>
      <c r="E4786" t="str">
        <f t="shared" si="167"/>
        <v>A</v>
      </c>
      <c r="F4786" t="str">
        <f t="shared" si="166"/>
        <v>0A</v>
      </c>
    </row>
    <row r="4787" spans="1:6" x14ac:dyDescent="0.2">
      <c r="A4787">
        <v>1</v>
      </c>
      <c r="E4787" t="str">
        <f t="shared" si="167"/>
        <v>B</v>
      </c>
      <c r="F4787" t="str">
        <f t="shared" si="166"/>
        <v>1B</v>
      </c>
    </row>
    <row r="4788" spans="1:6" x14ac:dyDescent="0.2">
      <c r="A4788">
        <v>2</v>
      </c>
      <c r="E4788" t="str">
        <f t="shared" si="167"/>
        <v>C</v>
      </c>
      <c r="F4788" t="str">
        <f t="shared" si="166"/>
        <v>2C</v>
      </c>
    </row>
    <row r="4789" spans="1:6" x14ac:dyDescent="0.2">
      <c r="A4789">
        <v>3</v>
      </c>
      <c r="E4789" t="str">
        <f t="shared" si="167"/>
        <v>D</v>
      </c>
      <c r="F4789" t="str">
        <f t="shared" si="166"/>
        <v>3D</v>
      </c>
    </row>
    <row r="4790" spans="1:6" x14ac:dyDescent="0.2">
      <c r="A4790">
        <v>4</v>
      </c>
      <c r="E4790" t="str">
        <f t="shared" si="167"/>
        <v>E</v>
      </c>
      <c r="F4790" t="str">
        <f t="shared" si="166"/>
        <v>4E</v>
      </c>
    </row>
    <row r="4791" spans="1:6" x14ac:dyDescent="0.2">
      <c r="A4791">
        <v>5</v>
      </c>
      <c r="E4791" t="str">
        <f t="shared" si="167"/>
        <v>F</v>
      </c>
      <c r="F4791" t="str">
        <f t="shared" si="166"/>
        <v>5F</v>
      </c>
    </row>
    <row r="4792" spans="1:6" x14ac:dyDescent="0.2">
      <c r="A4792">
        <v>6</v>
      </c>
      <c r="E4792" t="str">
        <f t="shared" si="167"/>
        <v>G</v>
      </c>
      <c r="F4792" t="str">
        <f t="shared" si="166"/>
        <v>6G</v>
      </c>
    </row>
    <row r="4793" spans="1:6" x14ac:dyDescent="0.2">
      <c r="A4793">
        <v>7</v>
      </c>
      <c r="E4793" t="str">
        <f t="shared" si="167"/>
        <v>H</v>
      </c>
      <c r="F4793" t="str">
        <f t="shared" si="166"/>
        <v>7H</v>
      </c>
    </row>
    <row r="4794" spans="1:6" x14ac:dyDescent="0.2">
      <c r="A4794">
        <v>8</v>
      </c>
      <c r="E4794" t="str">
        <f t="shared" si="167"/>
        <v>I</v>
      </c>
      <c r="F4794" t="str">
        <f t="shared" si="166"/>
        <v>8I</v>
      </c>
    </row>
    <row r="4795" spans="1:6" x14ac:dyDescent="0.2">
      <c r="A4795">
        <v>9</v>
      </c>
      <c r="E4795" t="str">
        <f t="shared" si="167"/>
        <v>J</v>
      </c>
      <c r="F4795" t="str">
        <f t="shared" si="166"/>
        <v>9J</v>
      </c>
    </row>
    <row r="4796" spans="1:6" x14ac:dyDescent="0.2">
      <c r="A4796">
        <v>10</v>
      </c>
      <c r="E4796" t="str">
        <f t="shared" si="167"/>
        <v>K</v>
      </c>
      <c r="F4796" t="str">
        <f t="shared" si="166"/>
        <v>10K</v>
      </c>
    </row>
    <row r="4797" spans="1:6" x14ac:dyDescent="0.2">
      <c r="A4797">
        <v>11</v>
      </c>
      <c r="E4797" t="str">
        <f t="shared" si="167"/>
        <v>L</v>
      </c>
      <c r="F4797" t="str">
        <f t="shared" ref="F4797:F4860" si="168">A4797&amp;C4797&amp;E4797</f>
        <v>11L</v>
      </c>
    </row>
    <row r="4798" spans="1:6" x14ac:dyDescent="0.2">
      <c r="A4798">
        <v>12</v>
      </c>
      <c r="E4798" t="str">
        <f t="shared" si="167"/>
        <v>M</v>
      </c>
      <c r="F4798" t="str">
        <f t="shared" si="168"/>
        <v>12M</v>
      </c>
    </row>
    <row r="4799" spans="1:6" x14ac:dyDescent="0.2">
      <c r="A4799">
        <v>13</v>
      </c>
      <c r="E4799" t="str">
        <f t="shared" si="167"/>
        <v>N</v>
      </c>
      <c r="F4799" t="str">
        <f t="shared" si="168"/>
        <v>13N</v>
      </c>
    </row>
    <row r="4800" spans="1:6" x14ac:dyDescent="0.2">
      <c r="A4800">
        <v>14</v>
      </c>
      <c r="E4800" t="str">
        <f t="shared" si="167"/>
        <v>O</v>
      </c>
      <c r="F4800" t="str">
        <f t="shared" si="168"/>
        <v>14O</v>
      </c>
    </row>
    <row r="4801" spans="1:6" x14ac:dyDescent="0.2">
      <c r="A4801">
        <v>15</v>
      </c>
      <c r="E4801" t="str">
        <f t="shared" si="167"/>
        <v>P</v>
      </c>
      <c r="F4801" t="str">
        <f t="shared" si="168"/>
        <v>15P</v>
      </c>
    </row>
    <row r="4802" spans="1:6" x14ac:dyDescent="0.2">
      <c r="A4802">
        <v>16</v>
      </c>
      <c r="E4802" t="str">
        <f t="shared" si="167"/>
        <v>Q</v>
      </c>
      <c r="F4802" t="str">
        <f t="shared" si="168"/>
        <v>16Q</v>
      </c>
    </row>
    <row r="4803" spans="1:6" x14ac:dyDescent="0.2">
      <c r="A4803">
        <v>17</v>
      </c>
      <c r="E4803" t="str">
        <f t="shared" si="167"/>
        <v>R</v>
      </c>
      <c r="F4803" t="str">
        <f t="shared" si="168"/>
        <v>17R</v>
      </c>
    </row>
    <row r="4804" spans="1:6" x14ac:dyDescent="0.2">
      <c r="A4804">
        <v>18</v>
      </c>
      <c r="E4804" t="str">
        <f t="shared" si="167"/>
        <v>S</v>
      </c>
      <c r="F4804" t="str">
        <f t="shared" si="168"/>
        <v>18S</v>
      </c>
    </row>
    <row r="4805" spans="1:6" x14ac:dyDescent="0.2">
      <c r="A4805">
        <v>19</v>
      </c>
      <c r="E4805" t="str">
        <f t="shared" si="167"/>
        <v>T</v>
      </c>
      <c r="F4805" t="str">
        <f t="shared" si="168"/>
        <v>19T</v>
      </c>
    </row>
    <row r="4806" spans="1:6" x14ac:dyDescent="0.2">
      <c r="A4806">
        <v>20</v>
      </c>
      <c r="E4806" t="str">
        <f t="shared" si="167"/>
        <v>U</v>
      </c>
      <c r="F4806" t="str">
        <f t="shared" si="168"/>
        <v>20U</v>
      </c>
    </row>
    <row r="4807" spans="1:6" x14ac:dyDescent="0.2">
      <c r="A4807">
        <v>21</v>
      </c>
      <c r="E4807" t="str">
        <f t="shared" si="167"/>
        <v>V</v>
      </c>
      <c r="F4807" t="str">
        <f t="shared" si="168"/>
        <v>21V</v>
      </c>
    </row>
    <row r="4808" spans="1:6" x14ac:dyDescent="0.2">
      <c r="A4808">
        <v>22</v>
      </c>
      <c r="E4808" t="str">
        <f t="shared" si="167"/>
        <v>W</v>
      </c>
      <c r="F4808" t="str">
        <f t="shared" si="168"/>
        <v>22W</v>
      </c>
    </row>
    <row r="4809" spans="1:6" x14ac:dyDescent="0.2">
      <c r="A4809">
        <v>23</v>
      </c>
      <c r="E4809" t="str">
        <f t="shared" si="167"/>
        <v>X</v>
      </c>
      <c r="F4809" t="str">
        <f t="shared" si="168"/>
        <v>23X</v>
      </c>
    </row>
    <row r="4810" spans="1:6" x14ac:dyDescent="0.2">
      <c r="A4810">
        <v>24</v>
      </c>
      <c r="E4810" t="str">
        <f t="shared" si="167"/>
        <v>Y</v>
      </c>
      <c r="F4810" t="str">
        <f t="shared" si="168"/>
        <v>24Y</v>
      </c>
    </row>
    <row r="4811" spans="1:6" x14ac:dyDescent="0.2">
      <c r="A4811">
        <v>25</v>
      </c>
      <c r="E4811" t="str">
        <f t="shared" si="167"/>
        <v>Z</v>
      </c>
      <c r="F4811" t="str">
        <f t="shared" si="168"/>
        <v>25Z</v>
      </c>
    </row>
    <row r="4812" spans="1:6" x14ac:dyDescent="0.2">
      <c r="A4812">
        <v>0</v>
      </c>
      <c r="E4812" t="str">
        <f t="shared" si="167"/>
        <v>A</v>
      </c>
      <c r="F4812" t="str">
        <f t="shared" si="168"/>
        <v>0A</v>
      </c>
    </row>
    <row r="4813" spans="1:6" x14ac:dyDescent="0.2">
      <c r="A4813">
        <v>1</v>
      </c>
      <c r="E4813" t="str">
        <f t="shared" si="167"/>
        <v>B</v>
      </c>
      <c r="F4813" t="str">
        <f t="shared" si="168"/>
        <v>1B</v>
      </c>
    </row>
    <row r="4814" spans="1:6" x14ac:dyDescent="0.2">
      <c r="A4814">
        <v>2</v>
      </c>
      <c r="E4814" t="str">
        <f t="shared" si="167"/>
        <v>C</v>
      </c>
      <c r="F4814" t="str">
        <f t="shared" si="168"/>
        <v>2C</v>
      </c>
    </row>
    <row r="4815" spans="1:6" x14ac:dyDescent="0.2">
      <c r="A4815">
        <v>3</v>
      </c>
      <c r="E4815" t="str">
        <f t="shared" si="167"/>
        <v>D</v>
      </c>
      <c r="F4815" t="str">
        <f t="shared" si="168"/>
        <v>3D</v>
      </c>
    </row>
    <row r="4816" spans="1:6" x14ac:dyDescent="0.2">
      <c r="A4816">
        <v>4</v>
      </c>
      <c r="E4816" t="str">
        <f t="shared" si="167"/>
        <v>E</v>
      </c>
      <c r="F4816" t="str">
        <f t="shared" si="168"/>
        <v>4E</v>
      </c>
    </row>
    <row r="4817" spans="1:6" x14ac:dyDescent="0.2">
      <c r="A4817">
        <v>5</v>
      </c>
      <c r="E4817" t="str">
        <f t="shared" si="167"/>
        <v>F</v>
      </c>
      <c r="F4817" t="str">
        <f t="shared" si="168"/>
        <v>5F</v>
      </c>
    </row>
    <row r="4818" spans="1:6" x14ac:dyDescent="0.2">
      <c r="A4818">
        <v>6</v>
      </c>
      <c r="E4818" t="str">
        <f t="shared" si="167"/>
        <v>G</v>
      </c>
      <c r="F4818" t="str">
        <f t="shared" si="168"/>
        <v>6G</v>
      </c>
    </row>
    <row r="4819" spans="1:6" x14ac:dyDescent="0.2">
      <c r="A4819">
        <v>7</v>
      </c>
      <c r="E4819" t="str">
        <f t="shared" si="167"/>
        <v>H</v>
      </c>
      <c r="F4819" t="str">
        <f t="shared" si="168"/>
        <v>7H</v>
      </c>
    </row>
    <row r="4820" spans="1:6" x14ac:dyDescent="0.2">
      <c r="A4820">
        <v>8</v>
      </c>
      <c r="E4820" t="str">
        <f t="shared" si="167"/>
        <v>I</v>
      </c>
      <c r="F4820" t="str">
        <f t="shared" si="168"/>
        <v>8I</v>
      </c>
    </row>
    <row r="4821" spans="1:6" x14ac:dyDescent="0.2">
      <c r="A4821">
        <v>9</v>
      </c>
      <c r="E4821" t="str">
        <f t="shared" si="167"/>
        <v>J</v>
      </c>
      <c r="F4821" t="str">
        <f t="shared" si="168"/>
        <v>9J</v>
      </c>
    </row>
    <row r="4822" spans="1:6" x14ac:dyDescent="0.2">
      <c r="A4822">
        <v>10</v>
      </c>
      <c r="E4822" t="str">
        <f t="shared" si="167"/>
        <v>K</v>
      </c>
      <c r="F4822" t="str">
        <f t="shared" si="168"/>
        <v>10K</v>
      </c>
    </row>
    <row r="4823" spans="1:6" x14ac:dyDescent="0.2">
      <c r="A4823">
        <v>11</v>
      </c>
      <c r="E4823" t="str">
        <f t="shared" ref="E4823:E4886" si="169">E4797</f>
        <v>L</v>
      </c>
      <c r="F4823" t="str">
        <f t="shared" si="168"/>
        <v>11L</v>
      </c>
    </row>
    <row r="4824" spans="1:6" x14ac:dyDescent="0.2">
      <c r="A4824">
        <v>12</v>
      </c>
      <c r="E4824" t="str">
        <f t="shared" si="169"/>
        <v>M</v>
      </c>
      <c r="F4824" t="str">
        <f t="shared" si="168"/>
        <v>12M</v>
      </c>
    </row>
    <row r="4825" spans="1:6" x14ac:dyDescent="0.2">
      <c r="A4825">
        <v>13</v>
      </c>
      <c r="E4825" t="str">
        <f t="shared" si="169"/>
        <v>N</v>
      </c>
      <c r="F4825" t="str">
        <f t="shared" si="168"/>
        <v>13N</v>
      </c>
    </row>
    <row r="4826" spans="1:6" x14ac:dyDescent="0.2">
      <c r="A4826">
        <v>14</v>
      </c>
      <c r="E4826" t="str">
        <f t="shared" si="169"/>
        <v>O</v>
      </c>
      <c r="F4826" t="str">
        <f t="shared" si="168"/>
        <v>14O</v>
      </c>
    </row>
    <row r="4827" spans="1:6" x14ac:dyDescent="0.2">
      <c r="A4827">
        <v>15</v>
      </c>
      <c r="E4827" t="str">
        <f t="shared" si="169"/>
        <v>P</v>
      </c>
      <c r="F4827" t="str">
        <f t="shared" si="168"/>
        <v>15P</v>
      </c>
    </row>
    <row r="4828" spans="1:6" x14ac:dyDescent="0.2">
      <c r="A4828">
        <v>16</v>
      </c>
      <c r="E4828" t="str">
        <f t="shared" si="169"/>
        <v>Q</v>
      </c>
      <c r="F4828" t="str">
        <f t="shared" si="168"/>
        <v>16Q</v>
      </c>
    </row>
    <row r="4829" spans="1:6" x14ac:dyDescent="0.2">
      <c r="A4829">
        <v>17</v>
      </c>
      <c r="E4829" t="str">
        <f t="shared" si="169"/>
        <v>R</v>
      </c>
      <c r="F4829" t="str">
        <f t="shared" si="168"/>
        <v>17R</v>
      </c>
    </row>
    <row r="4830" spans="1:6" x14ac:dyDescent="0.2">
      <c r="A4830">
        <v>18</v>
      </c>
      <c r="E4830" t="str">
        <f t="shared" si="169"/>
        <v>S</v>
      </c>
      <c r="F4830" t="str">
        <f t="shared" si="168"/>
        <v>18S</v>
      </c>
    </row>
    <row r="4831" spans="1:6" x14ac:dyDescent="0.2">
      <c r="A4831">
        <v>19</v>
      </c>
      <c r="E4831" t="str">
        <f t="shared" si="169"/>
        <v>T</v>
      </c>
      <c r="F4831" t="str">
        <f t="shared" si="168"/>
        <v>19T</v>
      </c>
    </row>
    <row r="4832" spans="1:6" x14ac:dyDescent="0.2">
      <c r="A4832">
        <v>20</v>
      </c>
      <c r="E4832" t="str">
        <f t="shared" si="169"/>
        <v>U</v>
      </c>
      <c r="F4832" t="str">
        <f t="shared" si="168"/>
        <v>20U</v>
      </c>
    </row>
    <row r="4833" spans="1:6" x14ac:dyDescent="0.2">
      <c r="A4833">
        <v>21</v>
      </c>
      <c r="E4833" t="str">
        <f t="shared" si="169"/>
        <v>V</v>
      </c>
      <c r="F4833" t="str">
        <f t="shared" si="168"/>
        <v>21V</v>
      </c>
    </row>
    <row r="4834" spans="1:6" x14ac:dyDescent="0.2">
      <c r="A4834">
        <v>22</v>
      </c>
      <c r="E4834" t="str">
        <f t="shared" si="169"/>
        <v>W</v>
      </c>
      <c r="F4834" t="str">
        <f t="shared" si="168"/>
        <v>22W</v>
      </c>
    </row>
    <row r="4835" spans="1:6" x14ac:dyDescent="0.2">
      <c r="A4835">
        <v>23</v>
      </c>
      <c r="E4835" t="str">
        <f t="shared" si="169"/>
        <v>X</v>
      </c>
      <c r="F4835" t="str">
        <f t="shared" si="168"/>
        <v>23X</v>
      </c>
    </row>
    <row r="4836" spans="1:6" x14ac:dyDescent="0.2">
      <c r="A4836">
        <v>24</v>
      </c>
      <c r="E4836" t="str">
        <f t="shared" si="169"/>
        <v>Y</v>
      </c>
      <c r="F4836" t="str">
        <f t="shared" si="168"/>
        <v>24Y</v>
      </c>
    </row>
    <row r="4837" spans="1:6" x14ac:dyDescent="0.2">
      <c r="A4837">
        <v>25</v>
      </c>
      <c r="E4837" t="str">
        <f t="shared" si="169"/>
        <v>Z</v>
      </c>
      <c r="F4837" t="str">
        <f t="shared" si="168"/>
        <v>25Z</v>
      </c>
    </row>
    <row r="4838" spans="1:6" x14ac:dyDescent="0.2">
      <c r="A4838">
        <v>0</v>
      </c>
      <c r="E4838" t="str">
        <f t="shared" si="169"/>
        <v>A</v>
      </c>
      <c r="F4838" t="str">
        <f t="shared" si="168"/>
        <v>0A</v>
      </c>
    </row>
    <row r="4839" spans="1:6" x14ac:dyDescent="0.2">
      <c r="A4839">
        <v>1</v>
      </c>
      <c r="E4839" t="str">
        <f t="shared" si="169"/>
        <v>B</v>
      </c>
      <c r="F4839" t="str">
        <f t="shared" si="168"/>
        <v>1B</v>
      </c>
    </row>
    <row r="4840" spans="1:6" x14ac:dyDescent="0.2">
      <c r="A4840">
        <v>2</v>
      </c>
      <c r="E4840" t="str">
        <f t="shared" si="169"/>
        <v>C</v>
      </c>
      <c r="F4840" t="str">
        <f t="shared" si="168"/>
        <v>2C</v>
      </c>
    </row>
    <row r="4841" spans="1:6" x14ac:dyDescent="0.2">
      <c r="A4841">
        <v>3</v>
      </c>
      <c r="E4841" t="str">
        <f t="shared" si="169"/>
        <v>D</v>
      </c>
      <c r="F4841" t="str">
        <f t="shared" si="168"/>
        <v>3D</v>
      </c>
    </row>
    <row r="4842" spans="1:6" x14ac:dyDescent="0.2">
      <c r="A4842">
        <v>4</v>
      </c>
      <c r="E4842" t="str">
        <f t="shared" si="169"/>
        <v>E</v>
      </c>
      <c r="F4842" t="str">
        <f t="shared" si="168"/>
        <v>4E</v>
      </c>
    </row>
    <row r="4843" spans="1:6" x14ac:dyDescent="0.2">
      <c r="A4843">
        <v>5</v>
      </c>
      <c r="E4843" t="str">
        <f t="shared" si="169"/>
        <v>F</v>
      </c>
      <c r="F4843" t="str">
        <f t="shared" si="168"/>
        <v>5F</v>
      </c>
    </row>
    <row r="4844" spans="1:6" x14ac:dyDescent="0.2">
      <c r="A4844">
        <v>6</v>
      </c>
      <c r="E4844" t="str">
        <f t="shared" si="169"/>
        <v>G</v>
      </c>
      <c r="F4844" t="str">
        <f t="shared" si="168"/>
        <v>6G</v>
      </c>
    </row>
    <row r="4845" spans="1:6" x14ac:dyDescent="0.2">
      <c r="A4845">
        <v>7</v>
      </c>
      <c r="E4845" t="str">
        <f t="shared" si="169"/>
        <v>H</v>
      </c>
      <c r="F4845" t="str">
        <f t="shared" si="168"/>
        <v>7H</v>
      </c>
    </row>
    <row r="4846" spans="1:6" x14ac:dyDescent="0.2">
      <c r="A4846">
        <v>8</v>
      </c>
      <c r="E4846" t="str">
        <f t="shared" si="169"/>
        <v>I</v>
      </c>
      <c r="F4846" t="str">
        <f t="shared" si="168"/>
        <v>8I</v>
      </c>
    </row>
    <row r="4847" spans="1:6" x14ac:dyDescent="0.2">
      <c r="A4847">
        <v>9</v>
      </c>
      <c r="E4847" t="str">
        <f t="shared" si="169"/>
        <v>J</v>
      </c>
      <c r="F4847" t="str">
        <f t="shared" si="168"/>
        <v>9J</v>
      </c>
    </row>
    <row r="4848" spans="1:6" x14ac:dyDescent="0.2">
      <c r="A4848">
        <v>10</v>
      </c>
      <c r="E4848" t="str">
        <f t="shared" si="169"/>
        <v>K</v>
      </c>
      <c r="F4848" t="str">
        <f t="shared" si="168"/>
        <v>10K</v>
      </c>
    </row>
    <row r="4849" spans="1:6" x14ac:dyDescent="0.2">
      <c r="A4849">
        <v>11</v>
      </c>
      <c r="E4849" t="str">
        <f t="shared" si="169"/>
        <v>L</v>
      </c>
      <c r="F4849" t="str">
        <f t="shared" si="168"/>
        <v>11L</v>
      </c>
    </row>
    <row r="4850" spans="1:6" x14ac:dyDescent="0.2">
      <c r="A4850">
        <v>12</v>
      </c>
      <c r="E4850" t="str">
        <f t="shared" si="169"/>
        <v>M</v>
      </c>
      <c r="F4850" t="str">
        <f t="shared" si="168"/>
        <v>12M</v>
      </c>
    </row>
    <row r="4851" spans="1:6" x14ac:dyDescent="0.2">
      <c r="A4851">
        <v>13</v>
      </c>
      <c r="E4851" t="str">
        <f t="shared" si="169"/>
        <v>N</v>
      </c>
      <c r="F4851" t="str">
        <f t="shared" si="168"/>
        <v>13N</v>
      </c>
    </row>
    <row r="4852" spans="1:6" x14ac:dyDescent="0.2">
      <c r="A4852">
        <v>14</v>
      </c>
      <c r="E4852" t="str">
        <f t="shared" si="169"/>
        <v>O</v>
      </c>
      <c r="F4852" t="str">
        <f t="shared" si="168"/>
        <v>14O</v>
      </c>
    </row>
    <row r="4853" spans="1:6" x14ac:dyDescent="0.2">
      <c r="A4853">
        <v>15</v>
      </c>
      <c r="E4853" t="str">
        <f t="shared" si="169"/>
        <v>P</v>
      </c>
      <c r="F4853" t="str">
        <f t="shared" si="168"/>
        <v>15P</v>
      </c>
    </row>
    <row r="4854" spans="1:6" x14ac:dyDescent="0.2">
      <c r="A4854">
        <v>16</v>
      </c>
      <c r="E4854" t="str">
        <f t="shared" si="169"/>
        <v>Q</v>
      </c>
      <c r="F4854" t="str">
        <f t="shared" si="168"/>
        <v>16Q</v>
      </c>
    </row>
    <row r="4855" spans="1:6" x14ac:dyDescent="0.2">
      <c r="A4855">
        <v>17</v>
      </c>
      <c r="E4855" t="str">
        <f t="shared" si="169"/>
        <v>R</v>
      </c>
      <c r="F4855" t="str">
        <f t="shared" si="168"/>
        <v>17R</v>
      </c>
    </row>
    <row r="4856" spans="1:6" x14ac:dyDescent="0.2">
      <c r="A4856">
        <v>18</v>
      </c>
      <c r="E4856" t="str">
        <f t="shared" si="169"/>
        <v>S</v>
      </c>
      <c r="F4856" t="str">
        <f t="shared" si="168"/>
        <v>18S</v>
      </c>
    </row>
    <row r="4857" spans="1:6" x14ac:dyDescent="0.2">
      <c r="A4857">
        <v>19</v>
      </c>
      <c r="E4857" t="str">
        <f t="shared" si="169"/>
        <v>T</v>
      </c>
      <c r="F4857" t="str">
        <f t="shared" si="168"/>
        <v>19T</v>
      </c>
    </row>
    <row r="4858" spans="1:6" x14ac:dyDescent="0.2">
      <c r="A4858">
        <v>20</v>
      </c>
      <c r="E4858" t="str">
        <f t="shared" si="169"/>
        <v>U</v>
      </c>
      <c r="F4858" t="str">
        <f t="shared" si="168"/>
        <v>20U</v>
      </c>
    </row>
    <row r="4859" spans="1:6" x14ac:dyDescent="0.2">
      <c r="A4859">
        <v>21</v>
      </c>
      <c r="E4859" t="str">
        <f t="shared" si="169"/>
        <v>V</v>
      </c>
      <c r="F4859" t="str">
        <f t="shared" si="168"/>
        <v>21V</v>
      </c>
    </row>
    <row r="4860" spans="1:6" x14ac:dyDescent="0.2">
      <c r="A4860">
        <v>22</v>
      </c>
      <c r="E4860" t="str">
        <f t="shared" si="169"/>
        <v>W</v>
      </c>
      <c r="F4860" t="str">
        <f t="shared" si="168"/>
        <v>22W</v>
      </c>
    </row>
    <row r="4861" spans="1:6" x14ac:dyDescent="0.2">
      <c r="A4861">
        <v>23</v>
      </c>
      <c r="E4861" t="str">
        <f t="shared" si="169"/>
        <v>X</v>
      </c>
      <c r="F4861" t="str">
        <f t="shared" ref="F4861:F4924" si="170">A4861&amp;C4861&amp;E4861</f>
        <v>23X</v>
      </c>
    </row>
    <row r="4862" spans="1:6" x14ac:dyDescent="0.2">
      <c r="A4862">
        <v>24</v>
      </c>
      <c r="E4862" t="str">
        <f t="shared" si="169"/>
        <v>Y</v>
      </c>
      <c r="F4862" t="str">
        <f t="shared" si="170"/>
        <v>24Y</v>
      </c>
    </row>
    <row r="4863" spans="1:6" x14ac:dyDescent="0.2">
      <c r="A4863">
        <v>25</v>
      </c>
      <c r="E4863" t="str">
        <f t="shared" si="169"/>
        <v>Z</v>
      </c>
      <c r="F4863" t="str">
        <f t="shared" si="170"/>
        <v>25Z</v>
      </c>
    </row>
    <row r="4864" spans="1:6" x14ac:dyDescent="0.2">
      <c r="A4864">
        <v>0</v>
      </c>
      <c r="E4864" t="str">
        <f t="shared" si="169"/>
        <v>A</v>
      </c>
      <c r="F4864" t="str">
        <f t="shared" si="170"/>
        <v>0A</v>
      </c>
    </row>
    <row r="4865" spans="1:6" x14ac:dyDescent="0.2">
      <c r="A4865">
        <v>1</v>
      </c>
      <c r="E4865" t="str">
        <f t="shared" si="169"/>
        <v>B</v>
      </c>
      <c r="F4865" t="str">
        <f t="shared" si="170"/>
        <v>1B</v>
      </c>
    </row>
    <row r="4866" spans="1:6" x14ac:dyDescent="0.2">
      <c r="A4866">
        <v>2</v>
      </c>
      <c r="E4866" t="str">
        <f t="shared" si="169"/>
        <v>C</v>
      </c>
      <c r="F4866" t="str">
        <f t="shared" si="170"/>
        <v>2C</v>
      </c>
    </row>
    <row r="4867" spans="1:6" x14ac:dyDescent="0.2">
      <c r="A4867">
        <v>3</v>
      </c>
      <c r="E4867" t="str">
        <f t="shared" si="169"/>
        <v>D</v>
      </c>
      <c r="F4867" t="str">
        <f t="shared" si="170"/>
        <v>3D</v>
      </c>
    </row>
    <row r="4868" spans="1:6" x14ac:dyDescent="0.2">
      <c r="A4868">
        <v>4</v>
      </c>
      <c r="E4868" t="str">
        <f t="shared" si="169"/>
        <v>E</v>
      </c>
      <c r="F4868" t="str">
        <f t="shared" si="170"/>
        <v>4E</v>
      </c>
    </row>
    <row r="4869" spans="1:6" x14ac:dyDescent="0.2">
      <c r="A4869">
        <v>5</v>
      </c>
      <c r="E4869" t="str">
        <f t="shared" si="169"/>
        <v>F</v>
      </c>
      <c r="F4869" t="str">
        <f t="shared" si="170"/>
        <v>5F</v>
      </c>
    </row>
    <row r="4870" spans="1:6" x14ac:dyDescent="0.2">
      <c r="A4870">
        <v>6</v>
      </c>
      <c r="E4870" t="str">
        <f t="shared" si="169"/>
        <v>G</v>
      </c>
      <c r="F4870" t="str">
        <f t="shared" si="170"/>
        <v>6G</v>
      </c>
    </row>
    <row r="4871" spans="1:6" x14ac:dyDescent="0.2">
      <c r="A4871">
        <v>7</v>
      </c>
      <c r="E4871" t="str">
        <f t="shared" si="169"/>
        <v>H</v>
      </c>
      <c r="F4871" t="str">
        <f t="shared" si="170"/>
        <v>7H</v>
      </c>
    </row>
    <row r="4872" spans="1:6" x14ac:dyDescent="0.2">
      <c r="A4872">
        <v>8</v>
      </c>
      <c r="E4872" t="str">
        <f t="shared" si="169"/>
        <v>I</v>
      </c>
      <c r="F4872" t="str">
        <f t="shared" si="170"/>
        <v>8I</v>
      </c>
    </row>
    <row r="4873" spans="1:6" x14ac:dyDescent="0.2">
      <c r="A4873">
        <v>9</v>
      </c>
      <c r="E4873" t="str">
        <f t="shared" si="169"/>
        <v>J</v>
      </c>
      <c r="F4873" t="str">
        <f t="shared" si="170"/>
        <v>9J</v>
      </c>
    </row>
    <row r="4874" spans="1:6" x14ac:dyDescent="0.2">
      <c r="A4874">
        <v>10</v>
      </c>
      <c r="E4874" t="str">
        <f t="shared" si="169"/>
        <v>K</v>
      </c>
      <c r="F4874" t="str">
        <f t="shared" si="170"/>
        <v>10K</v>
      </c>
    </row>
    <row r="4875" spans="1:6" x14ac:dyDescent="0.2">
      <c r="A4875">
        <v>11</v>
      </c>
      <c r="E4875" t="str">
        <f t="shared" si="169"/>
        <v>L</v>
      </c>
      <c r="F4875" t="str">
        <f t="shared" si="170"/>
        <v>11L</v>
      </c>
    </row>
    <row r="4876" spans="1:6" x14ac:dyDescent="0.2">
      <c r="A4876">
        <v>12</v>
      </c>
      <c r="E4876" t="str">
        <f t="shared" si="169"/>
        <v>M</v>
      </c>
      <c r="F4876" t="str">
        <f t="shared" si="170"/>
        <v>12M</v>
      </c>
    </row>
    <row r="4877" spans="1:6" x14ac:dyDescent="0.2">
      <c r="A4877">
        <v>13</v>
      </c>
      <c r="E4877" t="str">
        <f t="shared" si="169"/>
        <v>N</v>
      </c>
      <c r="F4877" t="str">
        <f t="shared" si="170"/>
        <v>13N</v>
      </c>
    </row>
    <row r="4878" spans="1:6" x14ac:dyDescent="0.2">
      <c r="A4878">
        <v>14</v>
      </c>
      <c r="E4878" t="str">
        <f t="shared" si="169"/>
        <v>O</v>
      </c>
      <c r="F4878" t="str">
        <f t="shared" si="170"/>
        <v>14O</v>
      </c>
    </row>
    <row r="4879" spans="1:6" x14ac:dyDescent="0.2">
      <c r="A4879">
        <v>15</v>
      </c>
      <c r="E4879" t="str">
        <f t="shared" si="169"/>
        <v>P</v>
      </c>
      <c r="F4879" t="str">
        <f t="shared" si="170"/>
        <v>15P</v>
      </c>
    </row>
    <row r="4880" spans="1:6" x14ac:dyDescent="0.2">
      <c r="A4880">
        <v>16</v>
      </c>
      <c r="E4880" t="str">
        <f t="shared" si="169"/>
        <v>Q</v>
      </c>
      <c r="F4880" t="str">
        <f t="shared" si="170"/>
        <v>16Q</v>
      </c>
    </row>
    <row r="4881" spans="1:6" x14ac:dyDescent="0.2">
      <c r="A4881">
        <v>17</v>
      </c>
      <c r="E4881" t="str">
        <f t="shared" si="169"/>
        <v>R</v>
      </c>
      <c r="F4881" t="str">
        <f t="shared" si="170"/>
        <v>17R</v>
      </c>
    </row>
    <row r="4882" spans="1:6" x14ac:dyDescent="0.2">
      <c r="A4882">
        <v>18</v>
      </c>
      <c r="E4882" t="str">
        <f t="shared" si="169"/>
        <v>S</v>
      </c>
      <c r="F4882" t="str">
        <f t="shared" si="170"/>
        <v>18S</v>
      </c>
    </row>
    <row r="4883" spans="1:6" x14ac:dyDescent="0.2">
      <c r="A4883">
        <v>19</v>
      </c>
      <c r="E4883" t="str">
        <f t="shared" si="169"/>
        <v>T</v>
      </c>
      <c r="F4883" t="str">
        <f t="shared" si="170"/>
        <v>19T</v>
      </c>
    </row>
    <row r="4884" spans="1:6" x14ac:dyDescent="0.2">
      <c r="A4884">
        <v>20</v>
      </c>
      <c r="E4884" t="str">
        <f t="shared" si="169"/>
        <v>U</v>
      </c>
      <c r="F4884" t="str">
        <f t="shared" si="170"/>
        <v>20U</v>
      </c>
    </row>
    <row r="4885" spans="1:6" x14ac:dyDescent="0.2">
      <c r="A4885">
        <v>21</v>
      </c>
      <c r="E4885" t="str">
        <f t="shared" si="169"/>
        <v>V</v>
      </c>
      <c r="F4885" t="str">
        <f t="shared" si="170"/>
        <v>21V</v>
      </c>
    </row>
    <row r="4886" spans="1:6" x14ac:dyDescent="0.2">
      <c r="A4886">
        <v>22</v>
      </c>
      <c r="E4886" t="str">
        <f t="shared" si="169"/>
        <v>W</v>
      </c>
      <c r="F4886" t="str">
        <f t="shared" si="170"/>
        <v>22W</v>
      </c>
    </row>
    <row r="4887" spans="1:6" x14ac:dyDescent="0.2">
      <c r="A4887">
        <v>23</v>
      </c>
      <c r="E4887" t="str">
        <f t="shared" ref="E4887:E4950" si="171">E4861</f>
        <v>X</v>
      </c>
      <c r="F4887" t="str">
        <f t="shared" si="170"/>
        <v>23X</v>
      </c>
    </row>
    <row r="4888" spans="1:6" x14ac:dyDescent="0.2">
      <c r="A4888">
        <v>24</v>
      </c>
      <c r="E4888" t="str">
        <f t="shared" si="171"/>
        <v>Y</v>
      </c>
      <c r="F4888" t="str">
        <f t="shared" si="170"/>
        <v>24Y</v>
      </c>
    </row>
    <row r="4889" spans="1:6" x14ac:dyDescent="0.2">
      <c r="A4889">
        <v>25</v>
      </c>
      <c r="E4889" t="str">
        <f t="shared" si="171"/>
        <v>Z</v>
      </c>
      <c r="F4889" t="str">
        <f t="shared" si="170"/>
        <v>25Z</v>
      </c>
    </row>
    <row r="4890" spans="1:6" x14ac:dyDescent="0.2">
      <c r="A4890">
        <v>0</v>
      </c>
      <c r="E4890" t="str">
        <f t="shared" si="171"/>
        <v>A</v>
      </c>
      <c r="F4890" t="str">
        <f t="shared" si="170"/>
        <v>0A</v>
      </c>
    </row>
    <row r="4891" spans="1:6" x14ac:dyDescent="0.2">
      <c r="A4891">
        <v>1</v>
      </c>
      <c r="E4891" t="str">
        <f t="shared" si="171"/>
        <v>B</v>
      </c>
      <c r="F4891" t="str">
        <f t="shared" si="170"/>
        <v>1B</v>
      </c>
    </row>
    <row r="4892" spans="1:6" x14ac:dyDescent="0.2">
      <c r="A4892">
        <v>2</v>
      </c>
      <c r="E4892" t="str">
        <f t="shared" si="171"/>
        <v>C</v>
      </c>
      <c r="F4892" t="str">
        <f t="shared" si="170"/>
        <v>2C</v>
      </c>
    </row>
    <row r="4893" spans="1:6" x14ac:dyDescent="0.2">
      <c r="A4893">
        <v>3</v>
      </c>
      <c r="E4893" t="str">
        <f t="shared" si="171"/>
        <v>D</v>
      </c>
      <c r="F4893" t="str">
        <f t="shared" si="170"/>
        <v>3D</v>
      </c>
    </row>
    <row r="4894" spans="1:6" x14ac:dyDescent="0.2">
      <c r="A4894">
        <v>4</v>
      </c>
      <c r="E4894" t="str">
        <f t="shared" si="171"/>
        <v>E</v>
      </c>
      <c r="F4894" t="str">
        <f t="shared" si="170"/>
        <v>4E</v>
      </c>
    </row>
    <row r="4895" spans="1:6" x14ac:dyDescent="0.2">
      <c r="A4895">
        <v>5</v>
      </c>
      <c r="E4895" t="str">
        <f t="shared" si="171"/>
        <v>F</v>
      </c>
      <c r="F4895" t="str">
        <f t="shared" si="170"/>
        <v>5F</v>
      </c>
    </row>
    <row r="4896" spans="1:6" x14ac:dyDescent="0.2">
      <c r="A4896">
        <v>6</v>
      </c>
      <c r="E4896" t="str">
        <f t="shared" si="171"/>
        <v>G</v>
      </c>
      <c r="F4896" t="str">
        <f t="shared" si="170"/>
        <v>6G</v>
      </c>
    </row>
    <row r="4897" spans="1:6" x14ac:dyDescent="0.2">
      <c r="A4897">
        <v>7</v>
      </c>
      <c r="E4897" t="str">
        <f t="shared" si="171"/>
        <v>H</v>
      </c>
      <c r="F4897" t="str">
        <f t="shared" si="170"/>
        <v>7H</v>
      </c>
    </row>
    <row r="4898" spans="1:6" x14ac:dyDescent="0.2">
      <c r="A4898">
        <v>8</v>
      </c>
      <c r="E4898" t="str">
        <f t="shared" si="171"/>
        <v>I</v>
      </c>
      <c r="F4898" t="str">
        <f t="shared" si="170"/>
        <v>8I</v>
      </c>
    </row>
    <row r="4899" spans="1:6" x14ac:dyDescent="0.2">
      <c r="A4899">
        <v>9</v>
      </c>
      <c r="E4899" t="str">
        <f t="shared" si="171"/>
        <v>J</v>
      </c>
      <c r="F4899" t="str">
        <f t="shared" si="170"/>
        <v>9J</v>
      </c>
    </row>
    <row r="4900" spans="1:6" x14ac:dyDescent="0.2">
      <c r="A4900">
        <v>10</v>
      </c>
      <c r="E4900" t="str">
        <f t="shared" si="171"/>
        <v>K</v>
      </c>
      <c r="F4900" t="str">
        <f t="shared" si="170"/>
        <v>10K</v>
      </c>
    </row>
    <row r="4901" spans="1:6" x14ac:dyDescent="0.2">
      <c r="A4901">
        <v>11</v>
      </c>
      <c r="E4901" t="str">
        <f t="shared" si="171"/>
        <v>L</v>
      </c>
      <c r="F4901" t="str">
        <f t="shared" si="170"/>
        <v>11L</v>
      </c>
    </row>
    <row r="4902" spans="1:6" x14ac:dyDescent="0.2">
      <c r="A4902">
        <v>12</v>
      </c>
      <c r="E4902" t="str">
        <f t="shared" si="171"/>
        <v>M</v>
      </c>
      <c r="F4902" t="str">
        <f t="shared" si="170"/>
        <v>12M</v>
      </c>
    </row>
    <row r="4903" spans="1:6" x14ac:dyDescent="0.2">
      <c r="A4903">
        <v>13</v>
      </c>
      <c r="E4903" t="str">
        <f t="shared" si="171"/>
        <v>N</v>
      </c>
      <c r="F4903" t="str">
        <f t="shared" si="170"/>
        <v>13N</v>
      </c>
    </row>
    <row r="4904" spans="1:6" x14ac:dyDescent="0.2">
      <c r="A4904">
        <v>14</v>
      </c>
      <c r="E4904" t="str">
        <f t="shared" si="171"/>
        <v>O</v>
      </c>
      <c r="F4904" t="str">
        <f t="shared" si="170"/>
        <v>14O</v>
      </c>
    </row>
    <row r="4905" spans="1:6" x14ac:dyDescent="0.2">
      <c r="A4905">
        <v>15</v>
      </c>
      <c r="E4905" t="str">
        <f t="shared" si="171"/>
        <v>P</v>
      </c>
      <c r="F4905" t="str">
        <f t="shared" si="170"/>
        <v>15P</v>
      </c>
    </row>
    <row r="4906" spans="1:6" x14ac:dyDescent="0.2">
      <c r="A4906">
        <v>16</v>
      </c>
      <c r="E4906" t="str">
        <f t="shared" si="171"/>
        <v>Q</v>
      </c>
      <c r="F4906" t="str">
        <f t="shared" si="170"/>
        <v>16Q</v>
      </c>
    </row>
    <row r="4907" spans="1:6" x14ac:dyDescent="0.2">
      <c r="A4907">
        <v>17</v>
      </c>
      <c r="E4907" t="str">
        <f t="shared" si="171"/>
        <v>R</v>
      </c>
      <c r="F4907" t="str">
        <f t="shared" si="170"/>
        <v>17R</v>
      </c>
    </row>
    <row r="4908" spans="1:6" x14ac:dyDescent="0.2">
      <c r="A4908">
        <v>18</v>
      </c>
      <c r="E4908" t="str">
        <f t="shared" si="171"/>
        <v>S</v>
      </c>
      <c r="F4908" t="str">
        <f t="shared" si="170"/>
        <v>18S</v>
      </c>
    </row>
    <row r="4909" spans="1:6" x14ac:dyDescent="0.2">
      <c r="A4909">
        <v>19</v>
      </c>
      <c r="E4909" t="str">
        <f t="shared" si="171"/>
        <v>T</v>
      </c>
      <c r="F4909" t="str">
        <f t="shared" si="170"/>
        <v>19T</v>
      </c>
    </row>
    <row r="4910" spans="1:6" x14ac:dyDescent="0.2">
      <c r="A4910">
        <v>20</v>
      </c>
      <c r="E4910" t="str">
        <f t="shared" si="171"/>
        <v>U</v>
      </c>
      <c r="F4910" t="str">
        <f t="shared" si="170"/>
        <v>20U</v>
      </c>
    </row>
    <row r="4911" spans="1:6" x14ac:dyDescent="0.2">
      <c r="A4911">
        <v>21</v>
      </c>
      <c r="E4911" t="str">
        <f t="shared" si="171"/>
        <v>V</v>
      </c>
      <c r="F4911" t="str">
        <f t="shared" si="170"/>
        <v>21V</v>
      </c>
    </row>
    <row r="4912" spans="1:6" x14ac:dyDescent="0.2">
      <c r="A4912">
        <v>22</v>
      </c>
      <c r="E4912" t="str">
        <f t="shared" si="171"/>
        <v>W</v>
      </c>
      <c r="F4912" t="str">
        <f t="shared" si="170"/>
        <v>22W</v>
      </c>
    </row>
    <row r="4913" spans="1:6" x14ac:dyDescent="0.2">
      <c r="A4913">
        <v>23</v>
      </c>
      <c r="E4913" t="str">
        <f t="shared" si="171"/>
        <v>X</v>
      </c>
      <c r="F4913" t="str">
        <f t="shared" si="170"/>
        <v>23X</v>
      </c>
    </row>
    <row r="4914" spans="1:6" x14ac:dyDescent="0.2">
      <c r="A4914">
        <v>24</v>
      </c>
      <c r="E4914" t="str">
        <f t="shared" si="171"/>
        <v>Y</v>
      </c>
      <c r="F4914" t="str">
        <f t="shared" si="170"/>
        <v>24Y</v>
      </c>
    </row>
    <row r="4915" spans="1:6" x14ac:dyDescent="0.2">
      <c r="A4915">
        <v>25</v>
      </c>
      <c r="E4915" t="str">
        <f t="shared" si="171"/>
        <v>Z</v>
      </c>
      <c r="F4915" t="str">
        <f t="shared" si="170"/>
        <v>25Z</v>
      </c>
    </row>
    <row r="4916" spans="1:6" x14ac:dyDescent="0.2">
      <c r="A4916">
        <v>0</v>
      </c>
      <c r="E4916" t="str">
        <f t="shared" si="171"/>
        <v>A</v>
      </c>
      <c r="F4916" t="str">
        <f t="shared" si="170"/>
        <v>0A</v>
      </c>
    </row>
    <row r="4917" spans="1:6" x14ac:dyDescent="0.2">
      <c r="A4917">
        <v>1</v>
      </c>
      <c r="E4917" t="str">
        <f t="shared" si="171"/>
        <v>B</v>
      </c>
      <c r="F4917" t="str">
        <f t="shared" si="170"/>
        <v>1B</v>
      </c>
    </row>
    <row r="4918" spans="1:6" x14ac:dyDescent="0.2">
      <c r="A4918">
        <v>2</v>
      </c>
      <c r="E4918" t="str">
        <f t="shared" si="171"/>
        <v>C</v>
      </c>
      <c r="F4918" t="str">
        <f t="shared" si="170"/>
        <v>2C</v>
      </c>
    </row>
    <row r="4919" spans="1:6" x14ac:dyDescent="0.2">
      <c r="A4919">
        <v>3</v>
      </c>
      <c r="E4919" t="str">
        <f t="shared" si="171"/>
        <v>D</v>
      </c>
      <c r="F4919" t="str">
        <f t="shared" si="170"/>
        <v>3D</v>
      </c>
    </row>
    <row r="4920" spans="1:6" x14ac:dyDescent="0.2">
      <c r="A4920">
        <v>4</v>
      </c>
      <c r="E4920" t="str">
        <f t="shared" si="171"/>
        <v>E</v>
      </c>
      <c r="F4920" t="str">
        <f t="shared" si="170"/>
        <v>4E</v>
      </c>
    </row>
    <row r="4921" spans="1:6" x14ac:dyDescent="0.2">
      <c r="A4921">
        <v>5</v>
      </c>
      <c r="E4921" t="str">
        <f t="shared" si="171"/>
        <v>F</v>
      </c>
      <c r="F4921" t="str">
        <f t="shared" si="170"/>
        <v>5F</v>
      </c>
    </row>
    <row r="4922" spans="1:6" x14ac:dyDescent="0.2">
      <c r="A4922">
        <v>6</v>
      </c>
      <c r="E4922" t="str">
        <f t="shared" si="171"/>
        <v>G</v>
      </c>
      <c r="F4922" t="str">
        <f t="shared" si="170"/>
        <v>6G</v>
      </c>
    </row>
    <row r="4923" spans="1:6" x14ac:dyDescent="0.2">
      <c r="A4923">
        <v>7</v>
      </c>
      <c r="E4923" t="str">
        <f t="shared" si="171"/>
        <v>H</v>
      </c>
      <c r="F4923" t="str">
        <f t="shared" si="170"/>
        <v>7H</v>
      </c>
    </row>
    <row r="4924" spans="1:6" x14ac:dyDescent="0.2">
      <c r="A4924">
        <v>8</v>
      </c>
      <c r="E4924" t="str">
        <f t="shared" si="171"/>
        <v>I</v>
      </c>
      <c r="F4924" t="str">
        <f t="shared" si="170"/>
        <v>8I</v>
      </c>
    </row>
    <row r="4925" spans="1:6" x14ac:dyDescent="0.2">
      <c r="A4925">
        <v>9</v>
      </c>
      <c r="E4925" t="str">
        <f t="shared" si="171"/>
        <v>J</v>
      </c>
      <c r="F4925" t="str">
        <f t="shared" ref="F4925:F4988" si="172">A4925&amp;C4925&amp;E4925</f>
        <v>9J</v>
      </c>
    </row>
    <row r="4926" spans="1:6" x14ac:dyDescent="0.2">
      <c r="A4926">
        <v>10</v>
      </c>
      <c r="E4926" t="str">
        <f t="shared" si="171"/>
        <v>K</v>
      </c>
      <c r="F4926" t="str">
        <f t="shared" si="172"/>
        <v>10K</v>
      </c>
    </row>
    <row r="4927" spans="1:6" x14ac:dyDescent="0.2">
      <c r="A4927">
        <v>11</v>
      </c>
      <c r="E4927" t="str">
        <f t="shared" si="171"/>
        <v>L</v>
      </c>
      <c r="F4927" t="str">
        <f t="shared" si="172"/>
        <v>11L</v>
      </c>
    </row>
    <row r="4928" spans="1:6" x14ac:dyDescent="0.2">
      <c r="A4928">
        <v>12</v>
      </c>
      <c r="E4928" t="str">
        <f t="shared" si="171"/>
        <v>M</v>
      </c>
      <c r="F4928" t="str">
        <f t="shared" si="172"/>
        <v>12M</v>
      </c>
    </row>
    <row r="4929" spans="1:6" x14ac:dyDescent="0.2">
      <c r="A4929">
        <v>13</v>
      </c>
      <c r="E4929" t="str">
        <f t="shared" si="171"/>
        <v>N</v>
      </c>
      <c r="F4929" t="str">
        <f t="shared" si="172"/>
        <v>13N</v>
      </c>
    </row>
    <row r="4930" spans="1:6" x14ac:dyDescent="0.2">
      <c r="A4930">
        <v>14</v>
      </c>
      <c r="E4930" t="str">
        <f t="shared" si="171"/>
        <v>O</v>
      </c>
      <c r="F4930" t="str">
        <f t="shared" si="172"/>
        <v>14O</v>
      </c>
    </row>
    <row r="4931" spans="1:6" x14ac:dyDescent="0.2">
      <c r="A4931">
        <v>15</v>
      </c>
      <c r="E4931" t="str">
        <f t="shared" si="171"/>
        <v>P</v>
      </c>
      <c r="F4931" t="str">
        <f t="shared" si="172"/>
        <v>15P</v>
      </c>
    </row>
    <row r="4932" spans="1:6" x14ac:dyDescent="0.2">
      <c r="A4932">
        <v>16</v>
      </c>
      <c r="E4932" t="str">
        <f t="shared" si="171"/>
        <v>Q</v>
      </c>
      <c r="F4932" t="str">
        <f t="shared" si="172"/>
        <v>16Q</v>
      </c>
    </row>
    <row r="4933" spans="1:6" x14ac:dyDescent="0.2">
      <c r="A4933">
        <v>17</v>
      </c>
      <c r="E4933" t="str">
        <f t="shared" si="171"/>
        <v>R</v>
      </c>
      <c r="F4933" t="str">
        <f t="shared" si="172"/>
        <v>17R</v>
      </c>
    </row>
    <row r="4934" spans="1:6" x14ac:dyDescent="0.2">
      <c r="A4934">
        <v>18</v>
      </c>
      <c r="E4934" t="str">
        <f t="shared" si="171"/>
        <v>S</v>
      </c>
      <c r="F4934" t="str">
        <f t="shared" si="172"/>
        <v>18S</v>
      </c>
    </row>
    <row r="4935" spans="1:6" x14ac:dyDescent="0.2">
      <c r="A4935">
        <v>19</v>
      </c>
      <c r="E4935" t="str">
        <f t="shared" si="171"/>
        <v>T</v>
      </c>
      <c r="F4935" t="str">
        <f t="shared" si="172"/>
        <v>19T</v>
      </c>
    </row>
    <row r="4936" spans="1:6" x14ac:dyDescent="0.2">
      <c r="A4936">
        <v>20</v>
      </c>
      <c r="E4936" t="str">
        <f t="shared" si="171"/>
        <v>U</v>
      </c>
      <c r="F4936" t="str">
        <f t="shared" si="172"/>
        <v>20U</v>
      </c>
    </row>
    <row r="4937" spans="1:6" x14ac:dyDescent="0.2">
      <c r="A4937">
        <v>21</v>
      </c>
      <c r="E4937" t="str">
        <f t="shared" si="171"/>
        <v>V</v>
      </c>
      <c r="F4937" t="str">
        <f t="shared" si="172"/>
        <v>21V</v>
      </c>
    </row>
    <row r="4938" spans="1:6" x14ac:dyDescent="0.2">
      <c r="A4938">
        <v>22</v>
      </c>
      <c r="E4938" t="str">
        <f t="shared" si="171"/>
        <v>W</v>
      </c>
      <c r="F4938" t="str">
        <f t="shared" si="172"/>
        <v>22W</v>
      </c>
    </row>
    <row r="4939" spans="1:6" x14ac:dyDescent="0.2">
      <c r="A4939">
        <v>23</v>
      </c>
      <c r="E4939" t="str">
        <f t="shared" si="171"/>
        <v>X</v>
      </c>
      <c r="F4939" t="str">
        <f t="shared" si="172"/>
        <v>23X</v>
      </c>
    </row>
    <row r="4940" spans="1:6" x14ac:dyDescent="0.2">
      <c r="A4940">
        <v>24</v>
      </c>
      <c r="E4940" t="str">
        <f t="shared" si="171"/>
        <v>Y</v>
      </c>
      <c r="F4940" t="str">
        <f t="shared" si="172"/>
        <v>24Y</v>
      </c>
    </row>
    <row r="4941" spans="1:6" x14ac:dyDescent="0.2">
      <c r="A4941">
        <v>25</v>
      </c>
      <c r="E4941" t="str">
        <f t="shared" si="171"/>
        <v>Z</v>
      </c>
      <c r="F4941" t="str">
        <f t="shared" si="172"/>
        <v>25Z</v>
      </c>
    </row>
    <row r="4942" spans="1:6" x14ac:dyDescent="0.2">
      <c r="A4942">
        <v>0</v>
      </c>
      <c r="E4942" t="str">
        <f t="shared" si="171"/>
        <v>A</v>
      </c>
      <c r="F4942" t="str">
        <f t="shared" si="172"/>
        <v>0A</v>
      </c>
    </row>
    <row r="4943" spans="1:6" x14ac:dyDescent="0.2">
      <c r="A4943">
        <v>1</v>
      </c>
      <c r="E4943" t="str">
        <f t="shared" si="171"/>
        <v>B</v>
      </c>
      <c r="F4943" t="str">
        <f t="shared" si="172"/>
        <v>1B</v>
      </c>
    </row>
    <row r="4944" spans="1:6" x14ac:dyDescent="0.2">
      <c r="A4944">
        <v>2</v>
      </c>
      <c r="E4944" t="str">
        <f t="shared" si="171"/>
        <v>C</v>
      </c>
      <c r="F4944" t="str">
        <f t="shared" si="172"/>
        <v>2C</v>
      </c>
    </row>
    <row r="4945" spans="1:6" x14ac:dyDescent="0.2">
      <c r="A4945">
        <v>3</v>
      </c>
      <c r="E4945" t="str">
        <f t="shared" si="171"/>
        <v>D</v>
      </c>
      <c r="F4945" t="str">
        <f t="shared" si="172"/>
        <v>3D</v>
      </c>
    </row>
    <row r="4946" spans="1:6" x14ac:dyDescent="0.2">
      <c r="A4946">
        <v>4</v>
      </c>
      <c r="E4946" t="str">
        <f t="shared" si="171"/>
        <v>E</v>
      </c>
      <c r="F4946" t="str">
        <f t="shared" si="172"/>
        <v>4E</v>
      </c>
    </row>
    <row r="4947" spans="1:6" x14ac:dyDescent="0.2">
      <c r="A4947">
        <v>5</v>
      </c>
      <c r="E4947" t="str">
        <f t="shared" si="171"/>
        <v>F</v>
      </c>
      <c r="F4947" t="str">
        <f t="shared" si="172"/>
        <v>5F</v>
      </c>
    </row>
    <row r="4948" spans="1:6" x14ac:dyDescent="0.2">
      <c r="A4948">
        <v>6</v>
      </c>
      <c r="E4948" t="str">
        <f t="shared" si="171"/>
        <v>G</v>
      </c>
      <c r="F4948" t="str">
        <f t="shared" si="172"/>
        <v>6G</v>
      </c>
    </row>
    <row r="4949" spans="1:6" x14ac:dyDescent="0.2">
      <c r="A4949">
        <v>7</v>
      </c>
      <c r="E4949" t="str">
        <f t="shared" si="171"/>
        <v>H</v>
      </c>
      <c r="F4949" t="str">
        <f t="shared" si="172"/>
        <v>7H</v>
      </c>
    </row>
    <row r="4950" spans="1:6" x14ac:dyDescent="0.2">
      <c r="A4950">
        <v>8</v>
      </c>
      <c r="E4950" t="str">
        <f t="shared" si="171"/>
        <v>I</v>
      </c>
      <c r="F4950" t="str">
        <f t="shared" si="172"/>
        <v>8I</v>
      </c>
    </row>
    <row r="4951" spans="1:6" x14ac:dyDescent="0.2">
      <c r="A4951">
        <v>9</v>
      </c>
      <c r="E4951" t="str">
        <f t="shared" ref="E4951:E5014" si="173">E4925</f>
        <v>J</v>
      </c>
      <c r="F4951" t="str">
        <f t="shared" si="172"/>
        <v>9J</v>
      </c>
    </row>
    <row r="4952" spans="1:6" x14ac:dyDescent="0.2">
      <c r="A4952">
        <v>10</v>
      </c>
      <c r="E4952" t="str">
        <f t="shared" si="173"/>
        <v>K</v>
      </c>
      <c r="F4952" t="str">
        <f t="shared" si="172"/>
        <v>10K</v>
      </c>
    </row>
    <row r="4953" spans="1:6" x14ac:dyDescent="0.2">
      <c r="A4953">
        <v>11</v>
      </c>
      <c r="E4953" t="str">
        <f t="shared" si="173"/>
        <v>L</v>
      </c>
      <c r="F4953" t="str">
        <f t="shared" si="172"/>
        <v>11L</v>
      </c>
    </row>
    <row r="4954" spans="1:6" x14ac:dyDescent="0.2">
      <c r="A4954">
        <v>12</v>
      </c>
      <c r="E4954" t="str">
        <f t="shared" si="173"/>
        <v>M</v>
      </c>
      <c r="F4954" t="str">
        <f t="shared" si="172"/>
        <v>12M</v>
      </c>
    </row>
    <row r="4955" spans="1:6" x14ac:dyDescent="0.2">
      <c r="A4955">
        <v>13</v>
      </c>
      <c r="E4955" t="str">
        <f t="shared" si="173"/>
        <v>N</v>
      </c>
      <c r="F4955" t="str">
        <f t="shared" si="172"/>
        <v>13N</v>
      </c>
    </row>
    <row r="4956" spans="1:6" x14ac:dyDescent="0.2">
      <c r="A4956">
        <v>14</v>
      </c>
      <c r="E4956" t="str">
        <f t="shared" si="173"/>
        <v>O</v>
      </c>
      <c r="F4956" t="str">
        <f t="shared" si="172"/>
        <v>14O</v>
      </c>
    </row>
    <row r="4957" spans="1:6" x14ac:dyDescent="0.2">
      <c r="A4957">
        <v>15</v>
      </c>
      <c r="E4957" t="str">
        <f t="shared" si="173"/>
        <v>P</v>
      </c>
      <c r="F4957" t="str">
        <f t="shared" si="172"/>
        <v>15P</v>
      </c>
    </row>
    <row r="4958" spans="1:6" x14ac:dyDescent="0.2">
      <c r="A4958">
        <v>16</v>
      </c>
      <c r="E4958" t="str">
        <f t="shared" si="173"/>
        <v>Q</v>
      </c>
      <c r="F4958" t="str">
        <f t="shared" si="172"/>
        <v>16Q</v>
      </c>
    </row>
    <row r="4959" spans="1:6" x14ac:dyDescent="0.2">
      <c r="A4959">
        <v>17</v>
      </c>
      <c r="E4959" t="str">
        <f t="shared" si="173"/>
        <v>R</v>
      </c>
      <c r="F4959" t="str">
        <f t="shared" si="172"/>
        <v>17R</v>
      </c>
    </row>
    <row r="4960" spans="1:6" x14ac:dyDescent="0.2">
      <c r="A4960">
        <v>18</v>
      </c>
      <c r="E4960" t="str">
        <f t="shared" si="173"/>
        <v>S</v>
      </c>
      <c r="F4960" t="str">
        <f t="shared" si="172"/>
        <v>18S</v>
      </c>
    </row>
    <row r="4961" spans="1:6" x14ac:dyDescent="0.2">
      <c r="A4961">
        <v>19</v>
      </c>
      <c r="E4961" t="str">
        <f t="shared" si="173"/>
        <v>T</v>
      </c>
      <c r="F4961" t="str">
        <f t="shared" si="172"/>
        <v>19T</v>
      </c>
    </row>
    <row r="4962" spans="1:6" x14ac:dyDescent="0.2">
      <c r="A4962">
        <v>20</v>
      </c>
      <c r="E4962" t="str">
        <f t="shared" si="173"/>
        <v>U</v>
      </c>
      <c r="F4962" t="str">
        <f t="shared" si="172"/>
        <v>20U</v>
      </c>
    </row>
    <row r="4963" spans="1:6" x14ac:dyDescent="0.2">
      <c r="A4963">
        <v>21</v>
      </c>
      <c r="E4963" t="str">
        <f t="shared" si="173"/>
        <v>V</v>
      </c>
      <c r="F4963" t="str">
        <f t="shared" si="172"/>
        <v>21V</v>
      </c>
    </row>
    <row r="4964" spans="1:6" x14ac:dyDescent="0.2">
      <c r="A4964">
        <v>22</v>
      </c>
      <c r="E4964" t="str">
        <f t="shared" si="173"/>
        <v>W</v>
      </c>
      <c r="F4964" t="str">
        <f t="shared" si="172"/>
        <v>22W</v>
      </c>
    </row>
    <row r="4965" spans="1:6" x14ac:dyDescent="0.2">
      <c r="A4965">
        <v>23</v>
      </c>
      <c r="E4965" t="str">
        <f t="shared" si="173"/>
        <v>X</v>
      </c>
      <c r="F4965" t="str">
        <f t="shared" si="172"/>
        <v>23X</v>
      </c>
    </row>
    <row r="4966" spans="1:6" x14ac:dyDescent="0.2">
      <c r="A4966">
        <v>24</v>
      </c>
      <c r="E4966" t="str">
        <f t="shared" si="173"/>
        <v>Y</v>
      </c>
      <c r="F4966" t="str">
        <f t="shared" si="172"/>
        <v>24Y</v>
      </c>
    </row>
    <row r="4967" spans="1:6" x14ac:dyDescent="0.2">
      <c r="A4967">
        <v>25</v>
      </c>
      <c r="E4967" t="str">
        <f t="shared" si="173"/>
        <v>Z</v>
      </c>
      <c r="F4967" t="str">
        <f t="shared" si="172"/>
        <v>25Z</v>
      </c>
    </row>
    <row r="4968" spans="1:6" x14ac:dyDescent="0.2">
      <c r="A4968">
        <v>0</v>
      </c>
      <c r="E4968" t="str">
        <f t="shared" si="173"/>
        <v>A</v>
      </c>
      <c r="F4968" t="str">
        <f t="shared" si="172"/>
        <v>0A</v>
      </c>
    </row>
    <row r="4969" spans="1:6" x14ac:dyDescent="0.2">
      <c r="A4969">
        <v>1</v>
      </c>
      <c r="E4969" t="str">
        <f t="shared" si="173"/>
        <v>B</v>
      </c>
      <c r="F4969" t="str">
        <f t="shared" si="172"/>
        <v>1B</v>
      </c>
    </row>
    <row r="4970" spans="1:6" x14ac:dyDescent="0.2">
      <c r="A4970">
        <v>2</v>
      </c>
      <c r="E4970" t="str">
        <f t="shared" si="173"/>
        <v>C</v>
      </c>
      <c r="F4970" t="str">
        <f t="shared" si="172"/>
        <v>2C</v>
      </c>
    </row>
    <row r="4971" spans="1:6" x14ac:dyDescent="0.2">
      <c r="A4971">
        <v>3</v>
      </c>
      <c r="E4971" t="str">
        <f t="shared" si="173"/>
        <v>D</v>
      </c>
      <c r="F4971" t="str">
        <f t="shared" si="172"/>
        <v>3D</v>
      </c>
    </row>
    <row r="4972" spans="1:6" x14ac:dyDescent="0.2">
      <c r="A4972">
        <v>4</v>
      </c>
      <c r="E4972" t="str">
        <f t="shared" si="173"/>
        <v>E</v>
      </c>
      <c r="F4972" t="str">
        <f t="shared" si="172"/>
        <v>4E</v>
      </c>
    </row>
    <row r="4973" spans="1:6" x14ac:dyDescent="0.2">
      <c r="A4973">
        <v>5</v>
      </c>
      <c r="E4973" t="str">
        <f t="shared" si="173"/>
        <v>F</v>
      </c>
      <c r="F4973" t="str">
        <f t="shared" si="172"/>
        <v>5F</v>
      </c>
    </row>
    <row r="4974" spans="1:6" x14ac:dyDescent="0.2">
      <c r="A4974">
        <v>6</v>
      </c>
      <c r="E4974" t="str">
        <f t="shared" si="173"/>
        <v>G</v>
      </c>
      <c r="F4974" t="str">
        <f t="shared" si="172"/>
        <v>6G</v>
      </c>
    </row>
    <row r="4975" spans="1:6" x14ac:dyDescent="0.2">
      <c r="A4975">
        <v>7</v>
      </c>
      <c r="E4975" t="str">
        <f t="shared" si="173"/>
        <v>H</v>
      </c>
      <c r="F4975" t="str">
        <f t="shared" si="172"/>
        <v>7H</v>
      </c>
    </row>
    <row r="4976" spans="1:6" x14ac:dyDescent="0.2">
      <c r="A4976">
        <v>8</v>
      </c>
      <c r="E4976" t="str">
        <f t="shared" si="173"/>
        <v>I</v>
      </c>
      <c r="F4976" t="str">
        <f t="shared" si="172"/>
        <v>8I</v>
      </c>
    </row>
    <row r="4977" spans="1:6" x14ac:dyDescent="0.2">
      <c r="A4977">
        <v>9</v>
      </c>
      <c r="E4977" t="str">
        <f t="shared" si="173"/>
        <v>J</v>
      </c>
      <c r="F4977" t="str">
        <f t="shared" si="172"/>
        <v>9J</v>
      </c>
    </row>
    <row r="4978" spans="1:6" x14ac:dyDescent="0.2">
      <c r="A4978">
        <v>10</v>
      </c>
      <c r="E4978" t="str">
        <f t="shared" si="173"/>
        <v>K</v>
      </c>
      <c r="F4978" t="str">
        <f t="shared" si="172"/>
        <v>10K</v>
      </c>
    </row>
    <row r="4979" spans="1:6" x14ac:dyDescent="0.2">
      <c r="A4979">
        <v>11</v>
      </c>
      <c r="E4979" t="str">
        <f t="shared" si="173"/>
        <v>L</v>
      </c>
      <c r="F4979" t="str">
        <f t="shared" si="172"/>
        <v>11L</v>
      </c>
    </row>
    <row r="4980" spans="1:6" x14ac:dyDescent="0.2">
      <c r="A4980">
        <v>12</v>
      </c>
      <c r="E4980" t="str">
        <f t="shared" si="173"/>
        <v>M</v>
      </c>
      <c r="F4980" t="str">
        <f t="shared" si="172"/>
        <v>12M</v>
      </c>
    </row>
    <row r="4981" spans="1:6" x14ac:dyDescent="0.2">
      <c r="A4981">
        <v>13</v>
      </c>
      <c r="E4981" t="str">
        <f t="shared" si="173"/>
        <v>N</v>
      </c>
      <c r="F4981" t="str">
        <f t="shared" si="172"/>
        <v>13N</v>
      </c>
    </row>
    <row r="4982" spans="1:6" x14ac:dyDescent="0.2">
      <c r="A4982">
        <v>14</v>
      </c>
      <c r="E4982" t="str">
        <f t="shared" si="173"/>
        <v>O</v>
      </c>
      <c r="F4982" t="str">
        <f t="shared" si="172"/>
        <v>14O</v>
      </c>
    </row>
    <row r="4983" spans="1:6" x14ac:dyDescent="0.2">
      <c r="A4983">
        <v>15</v>
      </c>
      <c r="E4983" t="str">
        <f t="shared" si="173"/>
        <v>P</v>
      </c>
      <c r="F4983" t="str">
        <f t="shared" si="172"/>
        <v>15P</v>
      </c>
    </row>
    <row r="4984" spans="1:6" x14ac:dyDescent="0.2">
      <c r="A4984">
        <v>16</v>
      </c>
      <c r="E4984" t="str">
        <f t="shared" si="173"/>
        <v>Q</v>
      </c>
      <c r="F4984" t="str">
        <f t="shared" si="172"/>
        <v>16Q</v>
      </c>
    </row>
    <row r="4985" spans="1:6" x14ac:dyDescent="0.2">
      <c r="A4985">
        <v>17</v>
      </c>
      <c r="E4985" t="str">
        <f t="shared" si="173"/>
        <v>R</v>
      </c>
      <c r="F4985" t="str">
        <f t="shared" si="172"/>
        <v>17R</v>
      </c>
    </row>
    <row r="4986" spans="1:6" x14ac:dyDescent="0.2">
      <c r="A4986">
        <v>18</v>
      </c>
      <c r="E4986" t="str">
        <f t="shared" si="173"/>
        <v>S</v>
      </c>
      <c r="F4986" t="str">
        <f t="shared" si="172"/>
        <v>18S</v>
      </c>
    </row>
    <row r="4987" spans="1:6" x14ac:dyDescent="0.2">
      <c r="A4987">
        <v>19</v>
      </c>
      <c r="E4987" t="str">
        <f t="shared" si="173"/>
        <v>T</v>
      </c>
      <c r="F4987" t="str">
        <f t="shared" si="172"/>
        <v>19T</v>
      </c>
    </row>
    <row r="4988" spans="1:6" x14ac:dyDescent="0.2">
      <c r="A4988">
        <v>20</v>
      </c>
      <c r="E4988" t="str">
        <f t="shared" si="173"/>
        <v>U</v>
      </c>
      <c r="F4988" t="str">
        <f t="shared" si="172"/>
        <v>20U</v>
      </c>
    </row>
    <row r="4989" spans="1:6" x14ac:dyDescent="0.2">
      <c r="A4989">
        <v>21</v>
      </c>
      <c r="E4989" t="str">
        <f t="shared" si="173"/>
        <v>V</v>
      </c>
      <c r="F4989" t="str">
        <f t="shared" ref="F4989:F5052" si="174">A4989&amp;C4989&amp;E4989</f>
        <v>21V</v>
      </c>
    </row>
    <row r="4990" spans="1:6" x14ac:dyDescent="0.2">
      <c r="A4990">
        <v>22</v>
      </c>
      <c r="E4990" t="str">
        <f t="shared" si="173"/>
        <v>W</v>
      </c>
      <c r="F4990" t="str">
        <f t="shared" si="174"/>
        <v>22W</v>
      </c>
    </row>
    <row r="4991" spans="1:6" x14ac:dyDescent="0.2">
      <c r="A4991">
        <v>23</v>
      </c>
      <c r="E4991" t="str">
        <f t="shared" si="173"/>
        <v>X</v>
      </c>
      <c r="F4991" t="str">
        <f t="shared" si="174"/>
        <v>23X</v>
      </c>
    </row>
    <row r="4992" spans="1:6" x14ac:dyDescent="0.2">
      <c r="A4992">
        <v>24</v>
      </c>
      <c r="E4992" t="str">
        <f t="shared" si="173"/>
        <v>Y</v>
      </c>
      <c r="F4992" t="str">
        <f t="shared" si="174"/>
        <v>24Y</v>
      </c>
    </row>
    <row r="4993" spans="1:6" x14ac:dyDescent="0.2">
      <c r="A4993">
        <v>25</v>
      </c>
      <c r="E4993" t="str">
        <f t="shared" si="173"/>
        <v>Z</v>
      </c>
      <c r="F4993" t="str">
        <f t="shared" si="174"/>
        <v>25Z</v>
      </c>
    </row>
    <row r="4994" spans="1:6" x14ac:dyDescent="0.2">
      <c r="A4994">
        <v>0</v>
      </c>
      <c r="E4994" t="str">
        <f t="shared" si="173"/>
        <v>A</v>
      </c>
      <c r="F4994" t="str">
        <f t="shared" si="174"/>
        <v>0A</v>
      </c>
    </row>
    <row r="4995" spans="1:6" x14ac:dyDescent="0.2">
      <c r="A4995">
        <v>1</v>
      </c>
      <c r="E4995" t="str">
        <f t="shared" si="173"/>
        <v>B</v>
      </c>
      <c r="F4995" t="str">
        <f t="shared" si="174"/>
        <v>1B</v>
      </c>
    </row>
    <row r="4996" spans="1:6" x14ac:dyDescent="0.2">
      <c r="A4996">
        <v>2</v>
      </c>
      <c r="E4996" t="str">
        <f t="shared" si="173"/>
        <v>C</v>
      </c>
      <c r="F4996" t="str">
        <f t="shared" si="174"/>
        <v>2C</v>
      </c>
    </row>
    <row r="4997" spans="1:6" x14ac:dyDescent="0.2">
      <c r="A4997">
        <v>3</v>
      </c>
      <c r="E4997" t="str">
        <f t="shared" si="173"/>
        <v>D</v>
      </c>
      <c r="F4997" t="str">
        <f t="shared" si="174"/>
        <v>3D</v>
      </c>
    </row>
    <row r="4998" spans="1:6" x14ac:dyDescent="0.2">
      <c r="A4998">
        <v>4</v>
      </c>
      <c r="E4998" t="str">
        <f t="shared" si="173"/>
        <v>E</v>
      </c>
      <c r="F4998" t="str">
        <f t="shared" si="174"/>
        <v>4E</v>
      </c>
    </row>
    <row r="4999" spans="1:6" x14ac:dyDescent="0.2">
      <c r="A4999">
        <v>5</v>
      </c>
      <c r="E4999" t="str">
        <f t="shared" si="173"/>
        <v>F</v>
      </c>
      <c r="F4999" t="str">
        <f t="shared" si="174"/>
        <v>5F</v>
      </c>
    </row>
    <row r="5000" spans="1:6" x14ac:dyDescent="0.2">
      <c r="A5000">
        <v>6</v>
      </c>
      <c r="E5000" t="str">
        <f t="shared" si="173"/>
        <v>G</v>
      </c>
      <c r="F5000" t="str">
        <f t="shared" si="174"/>
        <v>6G</v>
      </c>
    </row>
    <row r="5001" spans="1:6" x14ac:dyDescent="0.2">
      <c r="A5001">
        <v>7</v>
      </c>
      <c r="E5001" t="str">
        <f t="shared" si="173"/>
        <v>H</v>
      </c>
      <c r="F5001" t="str">
        <f t="shared" si="174"/>
        <v>7H</v>
      </c>
    </row>
    <row r="5002" spans="1:6" x14ac:dyDescent="0.2">
      <c r="A5002">
        <v>8</v>
      </c>
      <c r="E5002" t="str">
        <f t="shared" si="173"/>
        <v>I</v>
      </c>
      <c r="F5002" t="str">
        <f t="shared" si="174"/>
        <v>8I</v>
      </c>
    </row>
    <row r="5003" spans="1:6" x14ac:dyDescent="0.2">
      <c r="A5003">
        <v>9</v>
      </c>
      <c r="E5003" t="str">
        <f t="shared" si="173"/>
        <v>J</v>
      </c>
      <c r="F5003" t="str">
        <f t="shared" si="174"/>
        <v>9J</v>
      </c>
    </row>
    <row r="5004" spans="1:6" x14ac:dyDescent="0.2">
      <c r="A5004">
        <v>10</v>
      </c>
      <c r="E5004" t="str">
        <f t="shared" si="173"/>
        <v>K</v>
      </c>
      <c r="F5004" t="str">
        <f t="shared" si="174"/>
        <v>10K</v>
      </c>
    </row>
    <row r="5005" spans="1:6" x14ac:dyDescent="0.2">
      <c r="A5005">
        <v>11</v>
      </c>
      <c r="E5005" t="str">
        <f t="shared" si="173"/>
        <v>L</v>
      </c>
      <c r="F5005" t="str">
        <f t="shared" si="174"/>
        <v>11L</v>
      </c>
    </row>
    <row r="5006" spans="1:6" x14ac:dyDescent="0.2">
      <c r="A5006">
        <v>12</v>
      </c>
      <c r="E5006" t="str">
        <f t="shared" si="173"/>
        <v>M</v>
      </c>
      <c r="F5006" t="str">
        <f t="shared" si="174"/>
        <v>12M</v>
      </c>
    </row>
    <row r="5007" spans="1:6" x14ac:dyDescent="0.2">
      <c r="A5007">
        <v>13</v>
      </c>
      <c r="E5007" t="str">
        <f t="shared" si="173"/>
        <v>N</v>
      </c>
      <c r="F5007" t="str">
        <f t="shared" si="174"/>
        <v>13N</v>
      </c>
    </row>
    <row r="5008" spans="1:6" x14ac:dyDescent="0.2">
      <c r="A5008">
        <v>14</v>
      </c>
      <c r="E5008" t="str">
        <f t="shared" si="173"/>
        <v>O</v>
      </c>
      <c r="F5008" t="str">
        <f t="shared" si="174"/>
        <v>14O</v>
      </c>
    </row>
    <row r="5009" spans="1:6" x14ac:dyDescent="0.2">
      <c r="A5009">
        <v>15</v>
      </c>
      <c r="E5009" t="str">
        <f t="shared" si="173"/>
        <v>P</v>
      </c>
      <c r="F5009" t="str">
        <f t="shared" si="174"/>
        <v>15P</v>
      </c>
    </row>
    <row r="5010" spans="1:6" x14ac:dyDescent="0.2">
      <c r="A5010">
        <v>16</v>
      </c>
      <c r="E5010" t="str">
        <f t="shared" si="173"/>
        <v>Q</v>
      </c>
      <c r="F5010" t="str">
        <f t="shared" si="174"/>
        <v>16Q</v>
      </c>
    </row>
    <row r="5011" spans="1:6" x14ac:dyDescent="0.2">
      <c r="A5011">
        <v>17</v>
      </c>
      <c r="E5011" t="str">
        <f t="shared" si="173"/>
        <v>R</v>
      </c>
      <c r="F5011" t="str">
        <f t="shared" si="174"/>
        <v>17R</v>
      </c>
    </row>
    <row r="5012" spans="1:6" x14ac:dyDescent="0.2">
      <c r="A5012">
        <v>18</v>
      </c>
      <c r="E5012" t="str">
        <f t="shared" si="173"/>
        <v>S</v>
      </c>
      <c r="F5012" t="str">
        <f t="shared" si="174"/>
        <v>18S</v>
      </c>
    </row>
    <row r="5013" spans="1:6" x14ac:dyDescent="0.2">
      <c r="A5013">
        <v>19</v>
      </c>
      <c r="E5013" t="str">
        <f t="shared" si="173"/>
        <v>T</v>
      </c>
      <c r="F5013" t="str">
        <f t="shared" si="174"/>
        <v>19T</v>
      </c>
    </row>
    <row r="5014" spans="1:6" x14ac:dyDescent="0.2">
      <c r="A5014">
        <v>20</v>
      </c>
      <c r="E5014" t="str">
        <f t="shared" si="173"/>
        <v>U</v>
      </c>
      <c r="F5014" t="str">
        <f t="shared" si="174"/>
        <v>20U</v>
      </c>
    </row>
    <row r="5015" spans="1:6" x14ac:dyDescent="0.2">
      <c r="A5015">
        <v>21</v>
      </c>
      <c r="E5015" t="str">
        <f t="shared" ref="E5015:E5078" si="175">E4989</f>
        <v>V</v>
      </c>
      <c r="F5015" t="str">
        <f t="shared" si="174"/>
        <v>21V</v>
      </c>
    </row>
    <row r="5016" spans="1:6" x14ac:dyDescent="0.2">
      <c r="A5016">
        <v>22</v>
      </c>
      <c r="E5016" t="str">
        <f t="shared" si="175"/>
        <v>W</v>
      </c>
      <c r="F5016" t="str">
        <f t="shared" si="174"/>
        <v>22W</v>
      </c>
    </row>
    <row r="5017" spans="1:6" x14ac:dyDescent="0.2">
      <c r="A5017">
        <v>23</v>
      </c>
      <c r="E5017" t="str">
        <f t="shared" si="175"/>
        <v>X</v>
      </c>
      <c r="F5017" t="str">
        <f t="shared" si="174"/>
        <v>23X</v>
      </c>
    </row>
    <row r="5018" spans="1:6" x14ac:dyDescent="0.2">
      <c r="A5018">
        <v>24</v>
      </c>
      <c r="E5018" t="str">
        <f t="shared" si="175"/>
        <v>Y</v>
      </c>
      <c r="F5018" t="str">
        <f t="shared" si="174"/>
        <v>24Y</v>
      </c>
    </row>
    <row r="5019" spans="1:6" x14ac:dyDescent="0.2">
      <c r="A5019">
        <v>25</v>
      </c>
      <c r="E5019" t="str">
        <f t="shared" si="175"/>
        <v>Z</v>
      </c>
      <c r="F5019" t="str">
        <f t="shared" si="174"/>
        <v>25Z</v>
      </c>
    </row>
    <row r="5020" spans="1:6" x14ac:dyDescent="0.2">
      <c r="A5020">
        <v>0</v>
      </c>
      <c r="E5020" t="str">
        <f t="shared" si="175"/>
        <v>A</v>
      </c>
      <c r="F5020" t="str">
        <f t="shared" si="174"/>
        <v>0A</v>
      </c>
    </row>
    <row r="5021" spans="1:6" x14ac:dyDescent="0.2">
      <c r="A5021">
        <v>1</v>
      </c>
      <c r="E5021" t="str">
        <f t="shared" si="175"/>
        <v>B</v>
      </c>
      <c r="F5021" t="str">
        <f t="shared" si="174"/>
        <v>1B</v>
      </c>
    </row>
    <row r="5022" spans="1:6" x14ac:dyDescent="0.2">
      <c r="A5022">
        <v>2</v>
      </c>
      <c r="E5022" t="str">
        <f t="shared" si="175"/>
        <v>C</v>
      </c>
      <c r="F5022" t="str">
        <f t="shared" si="174"/>
        <v>2C</v>
      </c>
    </row>
    <row r="5023" spans="1:6" x14ac:dyDescent="0.2">
      <c r="A5023">
        <v>3</v>
      </c>
      <c r="E5023" t="str">
        <f t="shared" si="175"/>
        <v>D</v>
      </c>
      <c r="F5023" t="str">
        <f t="shared" si="174"/>
        <v>3D</v>
      </c>
    </row>
    <row r="5024" spans="1:6" x14ac:dyDescent="0.2">
      <c r="A5024">
        <v>4</v>
      </c>
      <c r="E5024" t="str">
        <f t="shared" si="175"/>
        <v>E</v>
      </c>
      <c r="F5024" t="str">
        <f t="shared" si="174"/>
        <v>4E</v>
      </c>
    </row>
    <row r="5025" spans="1:6" x14ac:dyDescent="0.2">
      <c r="A5025">
        <v>5</v>
      </c>
      <c r="E5025" t="str">
        <f t="shared" si="175"/>
        <v>F</v>
      </c>
      <c r="F5025" t="str">
        <f t="shared" si="174"/>
        <v>5F</v>
      </c>
    </row>
    <row r="5026" spans="1:6" x14ac:dyDescent="0.2">
      <c r="A5026">
        <v>6</v>
      </c>
      <c r="E5026" t="str">
        <f t="shared" si="175"/>
        <v>G</v>
      </c>
      <c r="F5026" t="str">
        <f t="shared" si="174"/>
        <v>6G</v>
      </c>
    </row>
    <row r="5027" spans="1:6" x14ac:dyDescent="0.2">
      <c r="A5027">
        <v>7</v>
      </c>
      <c r="E5027" t="str">
        <f t="shared" si="175"/>
        <v>H</v>
      </c>
      <c r="F5027" t="str">
        <f t="shared" si="174"/>
        <v>7H</v>
      </c>
    </row>
    <row r="5028" spans="1:6" x14ac:dyDescent="0.2">
      <c r="A5028">
        <v>8</v>
      </c>
      <c r="E5028" t="str">
        <f t="shared" si="175"/>
        <v>I</v>
      </c>
      <c r="F5028" t="str">
        <f t="shared" si="174"/>
        <v>8I</v>
      </c>
    </row>
    <row r="5029" spans="1:6" x14ac:dyDescent="0.2">
      <c r="A5029">
        <v>9</v>
      </c>
      <c r="E5029" t="str">
        <f t="shared" si="175"/>
        <v>J</v>
      </c>
      <c r="F5029" t="str">
        <f t="shared" si="174"/>
        <v>9J</v>
      </c>
    </row>
    <row r="5030" spans="1:6" x14ac:dyDescent="0.2">
      <c r="A5030">
        <v>10</v>
      </c>
      <c r="E5030" t="str">
        <f t="shared" si="175"/>
        <v>K</v>
      </c>
      <c r="F5030" t="str">
        <f t="shared" si="174"/>
        <v>10K</v>
      </c>
    </row>
    <row r="5031" spans="1:6" x14ac:dyDescent="0.2">
      <c r="A5031">
        <v>11</v>
      </c>
      <c r="E5031" t="str">
        <f t="shared" si="175"/>
        <v>L</v>
      </c>
      <c r="F5031" t="str">
        <f t="shared" si="174"/>
        <v>11L</v>
      </c>
    </row>
    <row r="5032" spans="1:6" x14ac:dyDescent="0.2">
      <c r="A5032">
        <v>12</v>
      </c>
      <c r="E5032" t="str">
        <f t="shared" si="175"/>
        <v>M</v>
      </c>
      <c r="F5032" t="str">
        <f t="shared" si="174"/>
        <v>12M</v>
      </c>
    </row>
    <row r="5033" spans="1:6" x14ac:dyDescent="0.2">
      <c r="A5033">
        <v>13</v>
      </c>
      <c r="E5033" t="str">
        <f t="shared" si="175"/>
        <v>N</v>
      </c>
      <c r="F5033" t="str">
        <f t="shared" si="174"/>
        <v>13N</v>
      </c>
    </row>
    <row r="5034" spans="1:6" x14ac:dyDescent="0.2">
      <c r="A5034">
        <v>14</v>
      </c>
      <c r="E5034" t="str">
        <f t="shared" si="175"/>
        <v>O</v>
      </c>
      <c r="F5034" t="str">
        <f t="shared" si="174"/>
        <v>14O</v>
      </c>
    </row>
    <row r="5035" spans="1:6" x14ac:dyDescent="0.2">
      <c r="A5035">
        <v>15</v>
      </c>
      <c r="E5035" t="str">
        <f t="shared" si="175"/>
        <v>P</v>
      </c>
      <c r="F5035" t="str">
        <f t="shared" si="174"/>
        <v>15P</v>
      </c>
    </row>
    <row r="5036" spans="1:6" x14ac:dyDescent="0.2">
      <c r="A5036">
        <v>16</v>
      </c>
      <c r="E5036" t="str">
        <f t="shared" si="175"/>
        <v>Q</v>
      </c>
      <c r="F5036" t="str">
        <f t="shared" si="174"/>
        <v>16Q</v>
      </c>
    </row>
    <row r="5037" spans="1:6" x14ac:dyDescent="0.2">
      <c r="A5037">
        <v>17</v>
      </c>
      <c r="E5037" t="str">
        <f t="shared" si="175"/>
        <v>R</v>
      </c>
      <c r="F5037" t="str">
        <f t="shared" si="174"/>
        <v>17R</v>
      </c>
    </row>
    <row r="5038" spans="1:6" x14ac:dyDescent="0.2">
      <c r="A5038">
        <v>18</v>
      </c>
      <c r="E5038" t="str">
        <f t="shared" si="175"/>
        <v>S</v>
      </c>
      <c r="F5038" t="str">
        <f t="shared" si="174"/>
        <v>18S</v>
      </c>
    </row>
    <row r="5039" spans="1:6" x14ac:dyDescent="0.2">
      <c r="A5039">
        <v>19</v>
      </c>
      <c r="E5039" t="str">
        <f t="shared" si="175"/>
        <v>T</v>
      </c>
      <c r="F5039" t="str">
        <f t="shared" si="174"/>
        <v>19T</v>
      </c>
    </row>
    <row r="5040" spans="1:6" x14ac:dyDescent="0.2">
      <c r="A5040">
        <v>20</v>
      </c>
      <c r="E5040" t="str">
        <f t="shared" si="175"/>
        <v>U</v>
      </c>
      <c r="F5040" t="str">
        <f t="shared" si="174"/>
        <v>20U</v>
      </c>
    </row>
    <row r="5041" spans="1:6" x14ac:dyDescent="0.2">
      <c r="A5041">
        <v>21</v>
      </c>
      <c r="E5041" t="str">
        <f t="shared" si="175"/>
        <v>V</v>
      </c>
      <c r="F5041" t="str">
        <f t="shared" si="174"/>
        <v>21V</v>
      </c>
    </row>
    <row r="5042" spans="1:6" x14ac:dyDescent="0.2">
      <c r="A5042">
        <v>22</v>
      </c>
      <c r="E5042" t="str">
        <f t="shared" si="175"/>
        <v>W</v>
      </c>
      <c r="F5042" t="str">
        <f t="shared" si="174"/>
        <v>22W</v>
      </c>
    </row>
    <row r="5043" spans="1:6" x14ac:dyDescent="0.2">
      <c r="A5043">
        <v>23</v>
      </c>
      <c r="E5043" t="str">
        <f t="shared" si="175"/>
        <v>X</v>
      </c>
      <c r="F5043" t="str">
        <f t="shared" si="174"/>
        <v>23X</v>
      </c>
    </row>
    <row r="5044" spans="1:6" x14ac:dyDescent="0.2">
      <c r="A5044">
        <v>24</v>
      </c>
      <c r="E5044" t="str">
        <f t="shared" si="175"/>
        <v>Y</v>
      </c>
      <c r="F5044" t="str">
        <f t="shared" si="174"/>
        <v>24Y</v>
      </c>
    </row>
    <row r="5045" spans="1:6" x14ac:dyDescent="0.2">
      <c r="A5045">
        <v>25</v>
      </c>
      <c r="E5045" t="str">
        <f t="shared" si="175"/>
        <v>Z</v>
      </c>
      <c r="F5045" t="str">
        <f t="shared" si="174"/>
        <v>25Z</v>
      </c>
    </row>
    <row r="5046" spans="1:6" x14ac:dyDescent="0.2">
      <c r="A5046">
        <v>0</v>
      </c>
      <c r="E5046" t="str">
        <f t="shared" si="175"/>
        <v>A</v>
      </c>
      <c r="F5046" t="str">
        <f t="shared" si="174"/>
        <v>0A</v>
      </c>
    </row>
    <row r="5047" spans="1:6" x14ac:dyDescent="0.2">
      <c r="A5047">
        <v>1</v>
      </c>
      <c r="E5047" t="str">
        <f t="shared" si="175"/>
        <v>B</v>
      </c>
      <c r="F5047" t="str">
        <f t="shared" si="174"/>
        <v>1B</v>
      </c>
    </row>
    <row r="5048" spans="1:6" x14ac:dyDescent="0.2">
      <c r="A5048">
        <v>2</v>
      </c>
      <c r="E5048" t="str">
        <f t="shared" si="175"/>
        <v>C</v>
      </c>
      <c r="F5048" t="str">
        <f t="shared" si="174"/>
        <v>2C</v>
      </c>
    </row>
    <row r="5049" spans="1:6" x14ac:dyDescent="0.2">
      <c r="A5049">
        <v>3</v>
      </c>
      <c r="E5049" t="str">
        <f t="shared" si="175"/>
        <v>D</v>
      </c>
      <c r="F5049" t="str">
        <f t="shared" si="174"/>
        <v>3D</v>
      </c>
    </row>
    <row r="5050" spans="1:6" x14ac:dyDescent="0.2">
      <c r="A5050">
        <v>4</v>
      </c>
      <c r="E5050" t="str">
        <f t="shared" si="175"/>
        <v>E</v>
      </c>
      <c r="F5050" t="str">
        <f t="shared" si="174"/>
        <v>4E</v>
      </c>
    </row>
    <row r="5051" spans="1:6" x14ac:dyDescent="0.2">
      <c r="A5051">
        <v>5</v>
      </c>
      <c r="E5051" t="str">
        <f t="shared" si="175"/>
        <v>F</v>
      </c>
      <c r="F5051" t="str">
        <f t="shared" si="174"/>
        <v>5F</v>
      </c>
    </row>
    <row r="5052" spans="1:6" x14ac:dyDescent="0.2">
      <c r="A5052">
        <v>6</v>
      </c>
      <c r="E5052" t="str">
        <f t="shared" si="175"/>
        <v>G</v>
      </c>
      <c r="F5052" t="str">
        <f t="shared" si="174"/>
        <v>6G</v>
      </c>
    </row>
    <row r="5053" spans="1:6" x14ac:dyDescent="0.2">
      <c r="A5053">
        <v>7</v>
      </c>
      <c r="E5053" t="str">
        <f t="shared" si="175"/>
        <v>H</v>
      </c>
      <c r="F5053" t="str">
        <f t="shared" ref="F5053:F5116" si="176">A5053&amp;C5053&amp;E5053</f>
        <v>7H</v>
      </c>
    </row>
    <row r="5054" spans="1:6" x14ac:dyDescent="0.2">
      <c r="A5054">
        <v>8</v>
      </c>
      <c r="E5054" t="str">
        <f t="shared" si="175"/>
        <v>I</v>
      </c>
      <c r="F5054" t="str">
        <f t="shared" si="176"/>
        <v>8I</v>
      </c>
    </row>
    <row r="5055" spans="1:6" x14ac:dyDescent="0.2">
      <c r="A5055">
        <v>9</v>
      </c>
      <c r="E5055" t="str">
        <f t="shared" si="175"/>
        <v>J</v>
      </c>
      <c r="F5055" t="str">
        <f t="shared" si="176"/>
        <v>9J</v>
      </c>
    </row>
    <row r="5056" spans="1:6" x14ac:dyDescent="0.2">
      <c r="A5056">
        <v>10</v>
      </c>
      <c r="E5056" t="str">
        <f t="shared" si="175"/>
        <v>K</v>
      </c>
      <c r="F5056" t="str">
        <f t="shared" si="176"/>
        <v>10K</v>
      </c>
    </row>
    <row r="5057" spans="1:6" x14ac:dyDescent="0.2">
      <c r="A5057">
        <v>11</v>
      </c>
      <c r="E5057" t="str">
        <f t="shared" si="175"/>
        <v>L</v>
      </c>
      <c r="F5057" t="str">
        <f t="shared" si="176"/>
        <v>11L</v>
      </c>
    </row>
    <row r="5058" spans="1:6" x14ac:dyDescent="0.2">
      <c r="A5058">
        <v>12</v>
      </c>
      <c r="E5058" t="str">
        <f t="shared" si="175"/>
        <v>M</v>
      </c>
      <c r="F5058" t="str">
        <f t="shared" si="176"/>
        <v>12M</v>
      </c>
    </row>
    <row r="5059" spans="1:6" x14ac:dyDescent="0.2">
      <c r="A5059">
        <v>13</v>
      </c>
      <c r="E5059" t="str">
        <f t="shared" si="175"/>
        <v>N</v>
      </c>
      <c r="F5059" t="str">
        <f t="shared" si="176"/>
        <v>13N</v>
      </c>
    </row>
    <row r="5060" spans="1:6" x14ac:dyDescent="0.2">
      <c r="A5060">
        <v>14</v>
      </c>
      <c r="E5060" t="str">
        <f t="shared" si="175"/>
        <v>O</v>
      </c>
      <c r="F5060" t="str">
        <f t="shared" si="176"/>
        <v>14O</v>
      </c>
    </row>
    <row r="5061" spans="1:6" x14ac:dyDescent="0.2">
      <c r="A5061">
        <v>15</v>
      </c>
      <c r="E5061" t="str">
        <f t="shared" si="175"/>
        <v>P</v>
      </c>
      <c r="F5061" t="str">
        <f t="shared" si="176"/>
        <v>15P</v>
      </c>
    </row>
    <row r="5062" spans="1:6" x14ac:dyDescent="0.2">
      <c r="A5062">
        <v>16</v>
      </c>
      <c r="E5062" t="str">
        <f t="shared" si="175"/>
        <v>Q</v>
      </c>
      <c r="F5062" t="str">
        <f t="shared" si="176"/>
        <v>16Q</v>
      </c>
    </row>
    <row r="5063" spans="1:6" x14ac:dyDescent="0.2">
      <c r="A5063">
        <v>17</v>
      </c>
      <c r="E5063" t="str">
        <f t="shared" si="175"/>
        <v>R</v>
      </c>
      <c r="F5063" t="str">
        <f t="shared" si="176"/>
        <v>17R</v>
      </c>
    </row>
    <row r="5064" spans="1:6" x14ac:dyDescent="0.2">
      <c r="A5064">
        <v>18</v>
      </c>
      <c r="E5064" t="str">
        <f t="shared" si="175"/>
        <v>S</v>
      </c>
      <c r="F5064" t="str">
        <f t="shared" si="176"/>
        <v>18S</v>
      </c>
    </row>
    <row r="5065" spans="1:6" x14ac:dyDescent="0.2">
      <c r="A5065">
        <v>19</v>
      </c>
      <c r="E5065" t="str">
        <f t="shared" si="175"/>
        <v>T</v>
      </c>
      <c r="F5065" t="str">
        <f t="shared" si="176"/>
        <v>19T</v>
      </c>
    </row>
    <row r="5066" spans="1:6" x14ac:dyDescent="0.2">
      <c r="A5066">
        <v>20</v>
      </c>
      <c r="E5066" t="str">
        <f t="shared" si="175"/>
        <v>U</v>
      </c>
      <c r="F5066" t="str">
        <f t="shared" si="176"/>
        <v>20U</v>
      </c>
    </row>
    <row r="5067" spans="1:6" x14ac:dyDescent="0.2">
      <c r="A5067">
        <v>21</v>
      </c>
      <c r="E5067" t="str">
        <f t="shared" si="175"/>
        <v>V</v>
      </c>
      <c r="F5067" t="str">
        <f t="shared" si="176"/>
        <v>21V</v>
      </c>
    </row>
    <row r="5068" spans="1:6" x14ac:dyDescent="0.2">
      <c r="A5068">
        <v>22</v>
      </c>
      <c r="E5068" t="str">
        <f t="shared" si="175"/>
        <v>W</v>
      </c>
      <c r="F5068" t="str">
        <f t="shared" si="176"/>
        <v>22W</v>
      </c>
    </row>
    <row r="5069" spans="1:6" x14ac:dyDescent="0.2">
      <c r="A5069">
        <v>23</v>
      </c>
      <c r="E5069" t="str">
        <f t="shared" si="175"/>
        <v>X</v>
      </c>
      <c r="F5069" t="str">
        <f t="shared" si="176"/>
        <v>23X</v>
      </c>
    </row>
    <row r="5070" spans="1:6" x14ac:dyDescent="0.2">
      <c r="A5070">
        <v>24</v>
      </c>
      <c r="E5070" t="str">
        <f t="shared" si="175"/>
        <v>Y</v>
      </c>
      <c r="F5070" t="str">
        <f t="shared" si="176"/>
        <v>24Y</v>
      </c>
    </row>
    <row r="5071" spans="1:6" x14ac:dyDescent="0.2">
      <c r="A5071">
        <v>25</v>
      </c>
      <c r="E5071" t="str">
        <f t="shared" si="175"/>
        <v>Z</v>
      </c>
      <c r="F5071" t="str">
        <f t="shared" si="176"/>
        <v>25Z</v>
      </c>
    </row>
    <row r="5072" spans="1:6" x14ac:dyDescent="0.2">
      <c r="A5072">
        <v>0</v>
      </c>
      <c r="E5072" t="str">
        <f t="shared" si="175"/>
        <v>A</v>
      </c>
      <c r="F5072" t="str">
        <f t="shared" si="176"/>
        <v>0A</v>
      </c>
    </row>
    <row r="5073" spans="1:6" x14ac:dyDescent="0.2">
      <c r="A5073">
        <v>1</v>
      </c>
      <c r="E5073" t="str">
        <f t="shared" si="175"/>
        <v>B</v>
      </c>
      <c r="F5073" t="str">
        <f t="shared" si="176"/>
        <v>1B</v>
      </c>
    </row>
    <row r="5074" spans="1:6" x14ac:dyDescent="0.2">
      <c r="A5074">
        <v>2</v>
      </c>
      <c r="E5074" t="str">
        <f t="shared" si="175"/>
        <v>C</v>
      </c>
      <c r="F5074" t="str">
        <f t="shared" si="176"/>
        <v>2C</v>
      </c>
    </row>
    <row r="5075" spans="1:6" x14ac:dyDescent="0.2">
      <c r="A5075">
        <v>3</v>
      </c>
      <c r="E5075" t="str">
        <f t="shared" si="175"/>
        <v>D</v>
      </c>
      <c r="F5075" t="str">
        <f t="shared" si="176"/>
        <v>3D</v>
      </c>
    </row>
    <row r="5076" spans="1:6" x14ac:dyDescent="0.2">
      <c r="A5076">
        <v>4</v>
      </c>
      <c r="E5076" t="str">
        <f t="shared" si="175"/>
        <v>E</v>
      </c>
      <c r="F5076" t="str">
        <f t="shared" si="176"/>
        <v>4E</v>
      </c>
    </row>
    <row r="5077" spans="1:6" x14ac:dyDescent="0.2">
      <c r="A5077">
        <v>5</v>
      </c>
      <c r="E5077" t="str">
        <f t="shared" si="175"/>
        <v>F</v>
      </c>
      <c r="F5077" t="str">
        <f t="shared" si="176"/>
        <v>5F</v>
      </c>
    </row>
    <row r="5078" spans="1:6" x14ac:dyDescent="0.2">
      <c r="A5078">
        <v>6</v>
      </c>
      <c r="E5078" t="str">
        <f t="shared" si="175"/>
        <v>G</v>
      </c>
      <c r="F5078" t="str">
        <f t="shared" si="176"/>
        <v>6G</v>
      </c>
    </row>
    <row r="5079" spans="1:6" x14ac:dyDescent="0.2">
      <c r="A5079">
        <v>7</v>
      </c>
      <c r="E5079" t="str">
        <f t="shared" ref="E5079:E5142" si="177">E5053</f>
        <v>H</v>
      </c>
      <c r="F5079" t="str">
        <f t="shared" si="176"/>
        <v>7H</v>
      </c>
    </row>
    <row r="5080" spans="1:6" x14ac:dyDescent="0.2">
      <c r="A5080">
        <v>8</v>
      </c>
      <c r="E5080" t="str">
        <f t="shared" si="177"/>
        <v>I</v>
      </c>
      <c r="F5080" t="str">
        <f t="shared" si="176"/>
        <v>8I</v>
      </c>
    </row>
    <row r="5081" spans="1:6" x14ac:dyDescent="0.2">
      <c r="A5081">
        <v>9</v>
      </c>
      <c r="E5081" t="str">
        <f t="shared" si="177"/>
        <v>J</v>
      </c>
      <c r="F5081" t="str">
        <f t="shared" si="176"/>
        <v>9J</v>
      </c>
    </row>
    <row r="5082" spans="1:6" x14ac:dyDescent="0.2">
      <c r="A5082">
        <v>10</v>
      </c>
      <c r="E5082" t="str">
        <f t="shared" si="177"/>
        <v>K</v>
      </c>
      <c r="F5082" t="str">
        <f t="shared" si="176"/>
        <v>10K</v>
      </c>
    </row>
    <row r="5083" spans="1:6" x14ac:dyDescent="0.2">
      <c r="A5083">
        <v>11</v>
      </c>
      <c r="E5083" t="str">
        <f t="shared" si="177"/>
        <v>L</v>
      </c>
      <c r="F5083" t="str">
        <f t="shared" si="176"/>
        <v>11L</v>
      </c>
    </row>
    <row r="5084" spans="1:6" x14ac:dyDescent="0.2">
      <c r="A5084">
        <v>12</v>
      </c>
      <c r="E5084" t="str">
        <f t="shared" si="177"/>
        <v>M</v>
      </c>
      <c r="F5084" t="str">
        <f t="shared" si="176"/>
        <v>12M</v>
      </c>
    </row>
    <row r="5085" spans="1:6" x14ac:dyDescent="0.2">
      <c r="A5085">
        <v>13</v>
      </c>
      <c r="E5085" t="str">
        <f t="shared" si="177"/>
        <v>N</v>
      </c>
      <c r="F5085" t="str">
        <f t="shared" si="176"/>
        <v>13N</v>
      </c>
    </row>
    <row r="5086" spans="1:6" x14ac:dyDescent="0.2">
      <c r="A5086">
        <v>14</v>
      </c>
      <c r="E5086" t="str">
        <f t="shared" si="177"/>
        <v>O</v>
      </c>
      <c r="F5086" t="str">
        <f t="shared" si="176"/>
        <v>14O</v>
      </c>
    </row>
    <row r="5087" spans="1:6" x14ac:dyDescent="0.2">
      <c r="A5087">
        <v>15</v>
      </c>
      <c r="E5087" t="str">
        <f t="shared" si="177"/>
        <v>P</v>
      </c>
      <c r="F5087" t="str">
        <f t="shared" si="176"/>
        <v>15P</v>
      </c>
    </row>
    <row r="5088" spans="1:6" x14ac:dyDescent="0.2">
      <c r="A5088">
        <v>16</v>
      </c>
      <c r="E5088" t="str">
        <f t="shared" si="177"/>
        <v>Q</v>
      </c>
      <c r="F5088" t="str">
        <f t="shared" si="176"/>
        <v>16Q</v>
      </c>
    </row>
    <row r="5089" spans="1:6" x14ac:dyDescent="0.2">
      <c r="A5089">
        <v>17</v>
      </c>
      <c r="E5089" t="str">
        <f t="shared" si="177"/>
        <v>R</v>
      </c>
      <c r="F5089" t="str">
        <f t="shared" si="176"/>
        <v>17R</v>
      </c>
    </row>
    <row r="5090" spans="1:6" x14ac:dyDescent="0.2">
      <c r="A5090">
        <v>18</v>
      </c>
      <c r="E5090" t="str">
        <f t="shared" si="177"/>
        <v>S</v>
      </c>
      <c r="F5090" t="str">
        <f t="shared" si="176"/>
        <v>18S</v>
      </c>
    </row>
    <row r="5091" spans="1:6" x14ac:dyDescent="0.2">
      <c r="A5091">
        <v>19</v>
      </c>
      <c r="E5091" t="str">
        <f t="shared" si="177"/>
        <v>T</v>
      </c>
      <c r="F5091" t="str">
        <f t="shared" si="176"/>
        <v>19T</v>
      </c>
    </row>
    <row r="5092" spans="1:6" x14ac:dyDescent="0.2">
      <c r="A5092">
        <v>20</v>
      </c>
      <c r="E5092" t="str">
        <f t="shared" si="177"/>
        <v>U</v>
      </c>
      <c r="F5092" t="str">
        <f t="shared" si="176"/>
        <v>20U</v>
      </c>
    </row>
    <row r="5093" spans="1:6" x14ac:dyDescent="0.2">
      <c r="A5093">
        <v>21</v>
      </c>
      <c r="E5093" t="str">
        <f t="shared" si="177"/>
        <v>V</v>
      </c>
      <c r="F5093" t="str">
        <f t="shared" si="176"/>
        <v>21V</v>
      </c>
    </row>
    <row r="5094" spans="1:6" x14ac:dyDescent="0.2">
      <c r="A5094">
        <v>22</v>
      </c>
      <c r="E5094" t="str">
        <f t="shared" si="177"/>
        <v>W</v>
      </c>
      <c r="F5094" t="str">
        <f t="shared" si="176"/>
        <v>22W</v>
      </c>
    </row>
    <row r="5095" spans="1:6" x14ac:dyDescent="0.2">
      <c r="A5095">
        <v>23</v>
      </c>
      <c r="E5095" t="str">
        <f t="shared" si="177"/>
        <v>X</v>
      </c>
      <c r="F5095" t="str">
        <f t="shared" si="176"/>
        <v>23X</v>
      </c>
    </row>
    <row r="5096" spans="1:6" x14ac:dyDescent="0.2">
      <c r="A5096">
        <v>24</v>
      </c>
      <c r="E5096" t="str">
        <f t="shared" si="177"/>
        <v>Y</v>
      </c>
      <c r="F5096" t="str">
        <f t="shared" si="176"/>
        <v>24Y</v>
      </c>
    </row>
    <row r="5097" spans="1:6" x14ac:dyDescent="0.2">
      <c r="A5097">
        <v>25</v>
      </c>
      <c r="E5097" t="str">
        <f t="shared" si="177"/>
        <v>Z</v>
      </c>
      <c r="F5097" t="str">
        <f t="shared" si="176"/>
        <v>25Z</v>
      </c>
    </row>
    <row r="5098" spans="1:6" x14ac:dyDescent="0.2">
      <c r="A5098">
        <v>0</v>
      </c>
      <c r="E5098" t="str">
        <f t="shared" si="177"/>
        <v>A</v>
      </c>
      <c r="F5098" t="str">
        <f t="shared" si="176"/>
        <v>0A</v>
      </c>
    </row>
    <row r="5099" spans="1:6" x14ac:dyDescent="0.2">
      <c r="A5099">
        <v>1</v>
      </c>
      <c r="E5099" t="str">
        <f t="shared" si="177"/>
        <v>B</v>
      </c>
      <c r="F5099" t="str">
        <f t="shared" si="176"/>
        <v>1B</v>
      </c>
    </row>
    <row r="5100" spans="1:6" x14ac:dyDescent="0.2">
      <c r="A5100">
        <v>2</v>
      </c>
      <c r="E5100" t="str">
        <f t="shared" si="177"/>
        <v>C</v>
      </c>
      <c r="F5100" t="str">
        <f t="shared" si="176"/>
        <v>2C</v>
      </c>
    </row>
    <row r="5101" spans="1:6" x14ac:dyDescent="0.2">
      <c r="A5101">
        <v>3</v>
      </c>
      <c r="E5101" t="str">
        <f t="shared" si="177"/>
        <v>D</v>
      </c>
      <c r="F5101" t="str">
        <f t="shared" si="176"/>
        <v>3D</v>
      </c>
    </row>
    <row r="5102" spans="1:6" x14ac:dyDescent="0.2">
      <c r="A5102">
        <v>4</v>
      </c>
      <c r="E5102" t="str">
        <f t="shared" si="177"/>
        <v>E</v>
      </c>
      <c r="F5102" t="str">
        <f t="shared" si="176"/>
        <v>4E</v>
      </c>
    </row>
    <row r="5103" spans="1:6" x14ac:dyDescent="0.2">
      <c r="A5103">
        <v>5</v>
      </c>
      <c r="E5103" t="str">
        <f t="shared" si="177"/>
        <v>F</v>
      </c>
      <c r="F5103" t="str">
        <f t="shared" si="176"/>
        <v>5F</v>
      </c>
    </row>
    <row r="5104" spans="1:6" x14ac:dyDescent="0.2">
      <c r="A5104">
        <v>6</v>
      </c>
      <c r="E5104" t="str">
        <f t="shared" si="177"/>
        <v>G</v>
      </c>
      <c r="F5104" t="str">
        <f t="shared" si="176"/>
        <v>6G</v>
      </c>
    </row>
    <row r="5105" spans="1:6" x14ac:dyDescent="0.2">
      <c r="A5105">
        <v>7</v>
      </c>
      <c r="E5105" t="str">
        <f t="shared" si="177"/>
        <v>H</v>
      </c>
      <c r="F5105" t="str">
        <f t="shared" si="176"/>
        <v>7H</v>
      </c>
    </row>
    <row r="5106" spans="1:6" x14ac:dyDescent="0.2">
      <c r="A5106">
        <v>8</v>
      </c>
      <c r="E5106" t="str">
        <f t="shared" si="177"/>
        <v>I</v>
      </c>
      <c r="F5106" t="str">
        <f t="shared" si="176"/>
        <v>8I</v>
      </c>
    </row>
    <row r="5107" spans="1:6" x14ac:dyDescent="0.2">
      <c r="A5107">
        <v>9</v>
      </c>
      <c r="E5107" t="str">
        <f t="shared" si="177"/>
        <v>J</v>
      </c>
      <c r="F5107" t="str">
        <f t="shared" si="176"/>
        <v>9J</v>
      </c>
    </row>
    <row r="5108" spans="1:6" x14ac:dyDescent="0.2">
      <c r="A5108">
        <v>10</v>
      </c>
      <c r="E5108" t="str">
        <f t="shared" si="177"/>
        <v>K</v>
      </c>
      <c r="F5108" t="str">
        <f t="shared" si="176"/>
        <v>10K</v>
      </c>
    </row>
    <row r="5109" spans="1:6" x14ac:dyDescent="0.2">
      <c r="A5109">
        <v>11</v>
      </c>
      <c r="E5109" t="str">
        <f t="shared" si="177"/>
        <v>L</v>
      </c>
      <c r="F5109" t="str">
        <f t="shared" si="176"/>
        <v>11L</v>
      </c>
    </row>
    <row r="5110" spans="1:6" x14ac:dyDescent="0.2">
      <c r="A5110">
        <v>12</v>
      </c>
      <c r="E5110" t="str">
        <f t="shared" si="177"/>
        <v>M</v>
      </c>
      <c r="F5110" t="str">
        <f t="shared" si="176"/>
        <v>12M</v>
      </c>
    </row>
    <row r="5111" spans="1:6" x14ac:dyDescent="0.2">
      <c r="A5111">
        <v>13</v>
      </c>
      <c r="E5111" t="str">
        <f t="shared" si="177"/>
        <v>N</v>
      </c>
      <c r="F5111" t="str">
        <f t="shared" si="176"/>
        <v>13N</v>
      </c>
    </row>
    <row r="5112" spans="1:6" x14ac:dyDescent="0.2">
      <c r="A5112">
        <v>14</v>
      </c>
      <c r="E5112" t="str">
        <f t="shared" si="177"/>
        <v>O</v>
      </c>
      <c r="F5112" t="str">
        <f t="shared" si="176"/>
        <v>14O</v>
      </c>
    </row>
    <row r="5113" spans="1:6" x14ac:dyDescent="0.2">
      <c r="A5113">
        <v>15</v>
      </c>
      <c r="E5113" t="str">
        <f t="shared" si="177"/>
        <v>P</v>
      </c>
      <c r="F5113" t="str">
        <f t="shared" si="176"/>
        <v>15P</v>
      </c>
    </row>
    <row r="5114" spans="1:6" x14ac:dyDescent="0.2">
      <c r="A5114">
        <v>16</v>
      </c>
      <c r="E5114" t="str">
        <f t="shared" si="177"/>
        <v>Q</v>
      </c>
      <c r="F5114" t="str">
        <f t="shared" si="176"/>
        <v>16Q</v>
      </c>
    </row>
    <row r="5115" spans="1:6" x14ac:dyDescent="0.2">
      <c r="A5115">
        <v>17</v>
      </c>
      <c r="E5115" t="str">
        <f t="shared" si="177"/>
        <v>R</v>
      </c>
      <c r="F5115" t="str">
        <f t="shared" si="176"/>
        <v>17R</v>
      </c>
    </row>
    <row r="5116" spans="1:6" x14ac:dyDescent="0.2">
      <c r="A5116">
        <v>18</v>
      </c>
      <c r="E5116" t="str">
        <f t="shared" si="177"/>
        <v>S</v>
      </c>
      <c r="F5116" t="str">
        <f t="shared" si="176"/>
        <v>18S</v>
      </c>
    </row>
    <row r="5117" spans="1:6" x14ac:dyDescent="0.2">
      <c r="A5117">
        <v>19</v>
      </c>
      <c r="E5117" t="str">
        <f t="shared" si="177"/>
        <v>T</v>
      </c>
      <c r="F5117" t="str">
        <f t="shared" ref="F5117:F5180" si="178">A5117&amp;C5117&amp;E5117</f>
        <v>19T</v>
      </c>
    </row>
    <row r="5118" spans="1:6" x14ac:dyDescent="0.2">
      <c r="A5118">
        <v>20</v>
      </c>
      <c r="E5118" t="str">
        <f t="shared" si="177"/>
        <v>U</v>
      </c>
      <c r="F5118" t="str">
        <f t="shared" si="178"/>
        <v>20U</v>
      </c>
    </row>
    <row r="5119" spans="1:6" x14ac:dyDescent="0.2">
      <c r="A5119">
        <v>21</v>
      </c>
      <c r="E5119" t="str">
        <f t="shared" si="177"/>
        <v>V</v>
      </c>
      <c r="F5119" t="str">
        <f t="shared" si="178"/>
        <v>21V</v>
      </c>
    </row>
    <row r="5120" spans="1:6" x14ac:dyDescent="0.2">
      <c r="A5120">
        <v>22</v>
      </c>
      <c r="E5120" t="str">
        <f t="shared" si="177"/>
        <v>W</v>
      </c>
      <c r="F5120" t="str">
        <f t="shared" si="178"/>
        <v>22W</v>
      </c>
    </row>
    <row r="5121" spans="1:6" x14ac:dyDescent="0.2">
      <c r="A5121">
        <v>23</v>
      </c>
      <c r="E5121" t="str">
        <f t="shared" si="177"/>
        <v>X</v>
      </c>
      <c r="F5121" t="str">
        <f t="shared" si="178"/>
        <v>23X</v>
      </c>
    </row>
    <row r="5122" spans="1:6" x14ac:dyDescent="0.2">
      <c r="A5122">
        <v>24</v>
      </c>
      <c r="E5122" t="str">
        <f t="shared" si="177"/>
        <v>Y</v>
      </c>
      <c r="F5122" t="str">
        <f t="shared" si="178"/>
        <v>24Y</v>
      </c>
    </row>
    <row r="5123" spans="1:6" x14ac:dyDescent="0.2">
      <c r="A5123">
        <v>25</v>
      </c>
      <c r="E5123" t="str">
        <f t="shared" si="177"/>
        <v>Z</v>
      </c>
      <c r="F5123" t="str">
        <f t="shared" si="178"/>
        <v>25Z</v>
      </c>
    </row>
    <row r="5124" spans="1:6" x14ac:dyDescent="0.2">
      <c r="A5124">
        <v>0</v>
      </c>
      <c r="E5124" t="str">
        <f t="shared" si="177"/>
        <v>A</v>
      </c>
      <c r="F5124" t="str">
        <f t="shared" si="178"/>
        <v>0A</v>
      </c>
    </row>
    <row r="5125" spans="1:6" x14ac:dyDescent="0.2">
      <c r="A5125">
        <v>1</v>
      </c>
      <c r="E5125" t="str">
        <f t="shared" si="177"/>
        <v>B</v>
      </c>
      <c r="F5125" t="str">
        <f t="shared" si="178"/>
        <v>1B</v>
      </c>
    </row>
    <row r="5126" spans="1:6" x14ac:dyDescent="0.2">
      <c r="A5126">
        <v>2</v>
      </c>
      <c r="E5126" t="str">
        <f t="shared" si="177"/>
        <v>C</v>
      </c>
      <c r="F5126" t="str">
        <f t="shared" si="178"/>
        <v>2C</v>
      </c>
    </row>
    <row r="5127" spans="1:6" x14ac:dyDescent="0.2">
      <c r="A5127">
        <v>3</v>
      </c>
      <c r="E5127" t="str">
        <f t="shared" si="177"/>
        <v>D</v>
      </c>
      <c r="F5127" t="str">
        <f t="shared" si="178"/>
        <v>3D</v>
      </c>
    </row>
    <row r="5128" spans="1:6" x14ac:dyDescent="0.2">
      <c r="A5128">
        <v>4</v>
      </c>
      <c r="E5128" t="str">
        <f t="shared" si="177"/>
        <v>E</v>
      </c>
      <c r="F5128" t="str">
        <f t="shared" si="178"/>
        <v>4E</v>
      </c>
    </row>
    <row r="5129" spans="1:6" x14ac:dyDescent="0.2">
      <c r="A5129">
        <v>5</v>
      </c>
      <c r="E5129" t="str">
        <f t="shared" si="177"/>
        <v>F</v>
      </c>
      <c r="F5129" t="str">
        <f t="shared" si="178"/>
        <v>5F</v>
      </c>
    </row>
    <row r="5130" spans="1:6" x14ac:dyDescent="0.2">
      <c r="A5130">
        <v>6</v>
      </c>
      <c r="E5130" t="str">
        <f t="shared" si="177"/>
        <v>G</v>
      </c>
      <c r="F5130" t="str">
        <f t="shared" si="178"/>
        <v>6G</v>
      </c>
    </row>
    <row r="5131" spans="1:6" x14ac:dyDescent="0.2">
      <c r="A5131">
        <v>7</v>
      </c>
      <c r="E5131" t="str">
        <f t="shared" si="177"/>
        <v>H</v>
      </c>
      <c r="F5131" t="str">
        <f t="shared" si="178"/>
        <v>7H</v>
      </c>
    </row>
    <row r="5132" spans="1:6" x14ac:dyDescent="0.2">
      <c r="A5132">
        <v>8</v>
      </c>
      <c r="E5132" t="str">
        <f t="shared" si="177"/>
        <v>I</v>
      </c>
      <c r="F5132" t="str">
        <f t="shared" si="178"/>
        <v>8I</v>
      </c>
    </row>
    <row r="5133" spans="1:6" x14ac:dyDescent="0.2">
      <c r="A5133">
        <v>9</v>
      </c>
      <c r="E5133" t="str">
        <f t="shared" si="177"/>
        <v>J</v>
      </c>
      <c r="F5133" t="str">
        <f t="shared" si="178"/>
        <v>9J</v>
      </c>
    </row>
    <row r="5134" spans="1:6" x14ac:dyDescent="0.2">
      <c r="A5134">
        <v>10</v>
      </c>
      <c r="E5134" t="str">
        <f t="shared" si="177"/>
        <v>K</v>
      </c>
      <c r="F5134" t="str">
        <f t="shared" si="178"/>
        <v>10K</v>
      </c>
    </row>
    <row r="5135" spans="1:6" x14ac:dyDescent="0.2">
      <c r="A5135">
        <v>11</v>
      </c>
      <c r="E5135" t="str">
        <f t="shared" si="177"/>
        <v>L</v>
      </c>
      <c r="F5135" t="str">
        <f t="shared" si="178"/>
        <v>11L</v>
      </c>
    </row>
    <row r="5136" spans="1:6" x14ac:dyDescent="0.2">
      <c r="A5136">
        <v>12</v>
      </c>
      <c r="E5136" t="str">
        <f t="shared" si="177"/>
        <v>M</v>
      </c>
      <c r="F5136" t="str">
        <f t="shared" si="178"/>
        <v>12M</v>
      </c>
    </row>
    <row r="5137" spans="1:6" x14ac:dyDescent="0.2">
      <c r="A5137">
        <v>13</v>
      </c>
      <c r="E5137" t="str">
        <f t="shared" si="177"/>
        <v>N</v>
      </c>
      <c r="F5137" t="str">
        <f t="shared" si="178"/>
        <v>13N</v>
      </c>
    </row>
    <row r="5138" spans="1:6" x14ac:dyDescent="0.2">
      <c r="A5138">
        <v>14</v>
      </c>
      <c r="E5138" t="str">
        <f t="shared" si="177"/>
        <v>O</v>
      </c>
      <c r="F5138" t="str">
        <f t="shared" si="178"/>
        <v>14O</v>
      </c>
    </row>
    <row r="5139" spans="1:6" x14ac:dyDescent="0.2">
      <c r="A5139">
        <v>15</v>
      </c>
      <c r="E5139" t="str">
        <f t="shared" si="177"/>
        <v>P</v>
      </c>
      <c r="F5139" t="str">
        <f t="shared" si="178"/>
        <v>15P</v>
      </c>
    </row>
    <row r="5140" spans="1:6" x14ac:dyDescent="0.2">
      <c r="A5140">
        <v>16</v>
      </c>
      <c r="E5140" t="str">
        <f t="shared" si="177"/>
        <v>Q</v>
      </c>
      <c r="F5140" t="str">
        <f t="shared" si="178"/>
        <v>16Q</v>
      </c>
    </row>
    <row r="5141" spans="1:6" x14ac:dyDescent="0.2">
      <c r="A5141">
        <v>17</v>
      </c>
      <c r="E5141" t="str">
        <f t="shared" si="177"/>
        <v>R</v>
      </c>
      <c r="F5141" t="str">
        <f t="shared" si="178"/>
        <v>17R</v>
      </c>
    </row>
    <row r="5142" spans="1:6" x14ac:dyDescent="0.2">
      <c r="A5142">
        <v>18</v>
      </c>
      <c r="E5142" t="str">
        <f t="shared" si="177"/>
        <v>S</v>
      </c>
      <c r="F5142" t="str">
        <f t="shared" si="178"/>
        <v>18S</v>
      </c>
    </row>
    <row r="5143" spans="1:6" x14ac:dyDescent="0.2">
      <c r="A5143">
        <v>19</v>
      </c>
      <c r="E5143" t="str">
        <f t="shared" ref="E5143:E5206" si="179">E5117</f>
        <v>T</v>
      </c>
      <c r="F5143" t="str">
        <f t="shared" si="178"/>
        <v>19T</v>
      </c>
    </row>
    <row r="5144" spans="1:6" x14ac:dyDescent="0.2">
      <c r="A5144">
        <v>20</v>
      </c>
      <c r="E5144" t="str">
        <f t="shared" si="179"/>
        <v>U</v>
      </c>
      <c r="F5144" t="str">
        <f t="shared" si="178"/>
        <v>20U</v>
      </c>
    </row>
    <row r="5145" spans="1:6" x14ac:dyDescent="0.2">
      <c r="A5145">
        <v>21</v>
      </c>
      <c r="E5145" t="str">
        <f t="shared" si="179"/>
        <v>V</v>
      </c>
      <c r="F5145" t="str">
        <f t="shared" si="178"/>
        <v>21V</v>
      </c>
    </row>
    <row r="5146" spans="1:6" x14ac:dyDescent="0.2">
      <c r="A5146">
        <v>22</v>
      </c>
      <c r="E5146" t="str">
        <f t="shared" si="179"/>
        <v>W</v>
      </c>
      <c r="F5146" t="str">
        <f t="shared" si="178"/>
        <v>22W</v>
      </c>
    </row>
    <row r="5147" spans="1:6" x14ac:dyDescent="0.2">
      <c r="A5147">
        <v>23</v>
      </c>
      <c r="E5147" t="str">
        <f t="shared" si="179"/>
        <v>X</v>
      </c>
      <c r="F5147" t="str">
        <f t="shared" si="178"/>
        <v>23X</v>
      </c>
    </row>
    <row r="5148" spans="1:6" x14ac:dyDescent="0.2">
      <c r="A5148">
        <v>24</v>
      </c>
      <c r="E5148" t="str">
        <f t="shared" si="179"/>
        <v>Y</v>
      </c>
      <c r="F5148" t="str">
        <f t="shared" si="178"/>
        <v>24Y</v>
      </c>
    </row>
    <row r="5149" spans="1:6" x14ac:dyDescent="0.2">
      <c r="A5149">
        <v>25</v>
      </c>
      <c r="E5149" t="str">
        <f t="shared" si="179"/>
        <v>Z</v>
      </c>
      <c r="F5149" t="str">
        <f t="shared" si="178"/>
        <v>25Z</v>
      </c>
    </row>
    <row r="5150" spans="1:6" x14ac:dyDescent="0.2">
      <c r="A5150">
        <v>0</v>
      </c>
      <c r="E5150" t="str">
        <f t="shared" si="179"/>
        <v>A</v>
      </c>
      <c r="F5150" t="str">
        <f t="shared" si="178"/>
        <v>0A</v>
      </c>
    </row>
    <row r="5151" spans="1:6" x14ac:dyDescent="0.2">
      <c r="A5151">
        <v>1</v>
      </c>
      <c r="E5151" t="str">
        <f t="shared" si="179"/>
        <v>B</v>
      </c>
      <c r="F5151" t="str">
        <f t="shared" si="178"/>
        <v>1B</v>
      </c>
    </row>
    <row r="5152" spans="1:6" x14ac:dyDescent="0.2">
      <c r="A5152">
        <v>2</v>
      </c>
      <c r="E5152" t="str">
        <f t="shared" si="179"/>
        <v>C</v>
      </c>
      <c r="F5152" t="str">
        <f t="shared" si="178"/>
        <v>2C</v>
      </c>
    </row>
    <row r="5153" spans="1:6" x14ac:dyDescent="0.2">
      <c r="A5153">
        <v>3</v>
      </c>
      <c r="E5153" t="str">
        <f t="shared" si="179"/>
        <v>D</v>
      </c>
      <c r="F5153" t="str">
        <f t="shared" si="178"/>
        <v>3D</v>
      </c>
    </row>
    <row r="5154" spans="1:6" x14ac:dyDescent="0.2">
      <c r="A5154">
        <v>4</v>
      </c>
      <c r="E5154" t="str">
        <f t="shared" si="179"/>
        <v>E</v>
      </c>
      <c r="F5154" t="str">
        <f t="shared" si="178"/>
        <v>4E</v>
      </c>
    </row>
    <row r="5155" spans="1:6" x14ac:dyDescent="0.2">
      <c r="A5155">
        <v>5</v>
      </c>
      <c r="E5155" t="str">
        <f t="shared" si="179"/>
        <v>F</v>
      </c>
      <c r="F5155" t="str">
        <f t="shared" si="178"/>
        <v>5F</v>
      </c>
    </row>
    <row r="5156" spans="1:6" x14ac:dyDescent="0.2">
      <c r="A5156">
        <v>6</v>
      </c>
      <c r="E5156" t="str">
        <f t="shared" si="179"/>
        <v>G</v>
      </c>
      <c r="F5156" t="str">
        <f t="shared" si="178"/>
        <v>6G</v>
      </c>
    </row>
    <row r="5157" spans="1:6" x14ac:dyDescent="0.2">
      <c r="A5157">
        <v>7</v>
      </c>
      <c r="E5157" t="str">
        <f t="shared" si="179"/>
        <v>H</v>
      </c>
      <c r="F5157" t="str">
        <f t="shared" si="178"/>
        <v>7H</v>
      </c>
    </row>
    <row r="5158" spans="1:6" x14ac:dyDescent="0.2">
      <c r="A5158">
        <v>8</v>
      </c>
      <c r="E5158" t="str">
        <f t="shared" si="179"/>
        <v>I</v>
      </c>
      <c r="F5158" t="str">
        <f t="shared" si="178"/>
        <v>8I</v>
      </c>
    </row>
    <row r="5159" spans="1:6" x14ac:dyDescent="0.2">
      <c r="A5159">
        <v>9</v>
      </c>
      <c r="E5159" t="str">
        <f t="shared" si="179"/>
        <v>J</v>
      </c>
      <c r="F5159" t="str">
        <f t="shared" si="178"/>
        <v>9J</v>
      </c>
    </row>
    <row r="5160" spans="1:6" x14ac:dyDescent="0.2">
      <c r="A5160">
        <v>10</v>
      </c>
      <c r="E5160" t="str">
        <f t="shared" si="179"/>
        <v>K</v>
      </c>
      <c r="F5160" t="str">
        <f t="shared" si="178"/>
        <v>10K</v>
      </c>
    </row>
    <row r="5161" spans="1:6" x14ac:dyDescent="0.2">
      <c r="A5161">
        <v>11</v>
      </c>
      <c r="E5161" t="str">
        <f t="shared" si="179"/>
        <v>L</v>
      </c>
      <c r="F5161" t="str">
        <f t="shared" si="178"/>
        <v>11L</v>
      </c>
    </row>
    <row r="5162" spans="1:6" x14ac:dyDescent="0.2">
      <c r="A5162">
        <v>12</v>
      </c>
      <c r="E5162" t="str">
        <f t="shared" si="179"/>
        <v>M</v>
      </c>
      <c r="F5162" t="str">
        <f t="shared" si="178"/>
        <v>12M</v>
      </c>
    </row>
    <row r="5163" spans="1:6" x14ac:dyDescent="0.2">
      <c r="A5163">
        <v>13</v>
      </c>
      <c r="E5163" t="str">
        <f t="shared" si="179"/>
        <v>N</v>
      </c>
      <c r="F5163" t="str">
        <f t="shared" si="178"/>
        <v>13N</v>
      </c>
    </row>
    <row r="5164" spans="1:6" x14ac:dyDescent="0.2">
      <c r="A5164">
        <v>14</v>
      </c>
      <c r="E5164" t="str">
        <f t="shared" si="179"/>
        <v>O</v>
      </c>
      <c r="F5164" t="str">
        <f t="shared" si="178"/>
        <v>14O</v>
      </c>
    </row>
    <row r="5165" spans="1:6" x14ac:dyDescent="0.2">
      <c r="A5165">
        <v>15</v>
      </c>
      <c r="E5165" t="str">
        <f t="shared" si="179"/>
        <v>P</v>
      </c>
      <c r="F5165" t="str">
        <f t="shared" si="178"/>
        <v>15P</v>
      </c>
    </row>
    <row r="5166" spans="1:6" x14ac:dyDescent="0.2">
      <c r="A5166">
        <v>16</v>
      </c>
      <c r="E5166" t="str">
        <f t="shared" si="179"/>
        <v>Q</v>
      </c>
      <c r="F5166" t="str">
        <f t="shared" si="178"/>
        <v>16Q</v>
      </c>
    </row>
    <row r="5167" spans="1:6" x14ac:dyDescent="0.2">
      <c r="A5167">
        <v>17</v>
      </c>
      <c r="E5167" t="str">
        <f t="shared" si="179"/>
        <v>R</v>
      </c>
      <c r="F5167" t="str">
        <f t="shared" si="178"/>
        <v>17R</v>
      </c>
    </row>
    <row r="5168" spans="1:6" x14ac:dyDescent="0.2">
      <c r="A5168">
        <v>18</v>
      </c>
      <c r="E5168" t="str">
        <f t="shared" si="179"/>
        <v>S</v>
      </c>
      <c r="F5168" t="str">
        <f t="shared" si="178"/>
        <v>18S</v>
      </c>
    </row>
    <row r="5169" spans="1:6" x14ac:dyDescent="0.2">
      <c r="A5169">
        <v>19</v>
      </c>
      <c r="E5169" t="str">
        <f t="shared" si="179"/>
        <v>T</v>
      </c>
      <c r="F5169" t="str">
        <f t="shared" si="178"/>
        <v>19T</v>
      </c>
    </row>
    <row r="5170" spans="1:6" x14ac:dyDescent="0.2">
      <c r="A5170">
        <v>20</v>
      </c>
      <c r="E5170" t="str">
        <f t="shared" si="179"/>
        <v>U</v>
      </c>
      <c r="F5170" t="str">
        <f t="shared" si="178"/>
        <v>20U</v>
      </c>
    </row>
    <row r="5171" spans="1:6" x14ac:dyDescent="0.2">
      <c r="A5171">
        <v>21</v>
      </c>
      <c r="E5171" t="str">
        <f t="shared" si="179"/>
        <v>V</v>
      </c>
      <c r="F5171" t="str">
        <f t="shared" si="178"/>
        <v>21V</v>
      </c>
    </row>
    <row r="5172" spans="1:6" x14ac:dyDescent="0.2">
      <c r="A5172">
        <v>22</v>
      </c>
      <c r="E5172" t="str">
        <f t="shared" si="179"/>
        <v>W</v>
      </c>
      <c r="F5172" t="str">
        <f t="shared" si="178"/>
        <v>22W</v>
      </c>
    </row>
    <row r="5173" spans="1:6" x14ac:dyDescent="0.2">
      <c r="A5173">
        <v>23</v>
      </c>
      <c r="E5173" t="str">
        <f t="shared" si="179"/>
        <v>X</v>
      </c>
      <c r="F5173" t="str">
        <f t="shared" si="178"/>
        <v>23X</v>
      </c>
    </row>
    <row r="5174" spans="1:6" x14ac:dyDescent="0.2">
      <c r="A5174">
        <v>24</v>
      </c>
      <c r="E5174" t="str">
        <f t="shared" si="179"/>
        <v>Y</v>
      </c>
      <c r="F5174" t="str">
        <f t="shared" si="178"/>
        <v>24Y</v>
      </c>
    </row>
    <row r="5175" spans="1:6" x14ac:dyDescent="0.2">
      <c r="A5175">
        <v>25</v>
      </c>
      <c r="E5175" t="str">
        <f t="shared" si="179"/>
        <v>Z</v>
      </c>
      <c r="F5175" t="str">
        <f t="shared" si="178"/>
        <v>25Z</v>
      </c>
    </row>
    <row r="5176" spans="1:6" x14ac:dyDescent="0.2">
      <c r="A5176">
        <v>0</v>
      </c>
      <c r="E5176" t="str">
        <f t="shared" si="179"/>
        <v>A</v>
      </c>
      <c r="F5176" t="str">
        <f t="shared" si="178"/>
        <v>0A</v>
      </c>
    </row>
    <row r="5177" spans="1:6" x14ac:dyDescent="0.2">
      <c r="A5177">
        <v>1</v>
      </c>
      <c r="E5177" t="str">
        <f t="shared" si="179"/>
        <v>B</v>
      </c>
      <c r="F5177" t="str">
        <f t="shared" si="178"/>
        <v>1B</v>
      </c>
    </row>
    <row r="5178" spans="1:6" x14ac:dyDescent="0.2">
      <c r="A5178">
        <v>2</v>
      </c>
      <c r="E5178" t="str">
        <f t="shared" si="179"/>
        <v>C</v>
      </c>
      <c r="F5178" t="str">
        <f t="shared" si="178"/>
        <v>2C</v>
      </c>
    </row>
    <row r="5179" spans="1:6" x14ac:dyDescent="0.2">
      <c r="A5179">
        <v>3</v>
      </c>
      <c r="E5179" t="str">
        <f t="shared" si="179"/>
        <v>D</v>
      </c>
      <c r="F5179" t="str">
        <f t="shared" si="178"/>
        <v>3D</v>
      </c>
    </row>
    <row r="5180" spans="1:6" x14ac:dyDescent="0.2">
      <c r="A5180">
        <v>4</v>
      </c>
      <c r="E5180" t="str">
        <f t="shared" si="179"/>
        <v>E</v>
      </c>
      <c r="F5180" t="str">
        <f t="shared" si="178"/>
        <v>4E</v>
      </c>
    </row>
    <row r="5181" spans="1:6" x14ac:dyDescent="0.2">
      <c r="A5181">
        <v>5</v>
      </c>
      <c r="E5181" t="str">
        <f t="shared" si="179"/>
        <v>F</v>
      </c>
      <c r="F5181" t="str">
        <f t="shared" ref="F5181:F5244" si="180">A5181&amp;C5181&amp;E5181</f>
        <v>5F</v>
      </c>
    </row>
    <row r="5182" spans="1:6" x14ac:dyDescent="0.2">
      <c r="A5182">
        <v>6</v>
      </c>
      <c r="E5182" t="str">
        <f t="shared" si="179"/>
        <v>G</v>
      </c>
      <c r="F5182" t="str">
        <f t="shared" si="180"/>
        <v>6G</v>
      </c>
    </row>
    <row r="5183" spans="1:6" x14ac:dyDescent="0.2">
      <c r="A5183">
        <v>7</v>
      </c>
      <c r="E5183" t="str">
        <f t="shared" si="179"/>
        <v>H</v>
      </c>
      <c r="F5183" t="str">
        <f t="shared" si="180"/>
        <v>7H</v>
      </c>
    </row>
    <row r="5184" spans="1:6" x14ac:dyDescent="0.2">
      <c r="A5184">
        <v>8</v>
      </c>
      <c r="E5184" t="str">
        <f t="shared" si="179"/>
        <v>I</v>
      </c>
      <c r="F5184" t="str">
        <f t="shared" si="180"/>
        <v>8I</v>
      </c>
    </row>
    <row r="5185" spans="1:6" x14ac:dyDescent="0.2">
      <c r="A5185">
        <v>9</v>
      </c>
      <c r="E5185" t="str">
        <f t="shared" si="179"/>
        <v>J</v>
      </c>
      <c r="F5185" t="str">
        <f t="shared" si="180"/>
        <v>9J</v>
      </c>
    </row>
    <row r="5186" spans="1:6" x14ac:dyDescent="0.2">
      <c r="A5186">
        <v>10</v>
      </c>
      <c r="E5186" t="str">
        <f t="shared" si="179"/>
        <v>K</v>
      </c>
      <c r="F5186" t="str">
        <f t="shared" si="180"/>
        <v>10K</v>
      </c>
    </row>
    <row r="5187" spans="1:6" x14ac:dyDescent="0.2">
      <c r="A5187">
        <v>11</v>
      </c>
      <c r="E5187" t="str">
        <f t="shared" si="179"/>
        <v>L</v>
      </c>
      <c r="F5187" t="str">
        <f t="shared" si="180"/>
        <v>11L</v>
      </c>
    </row>
    <row r="5188" spans="1:6" x14ac:dyDescent="0.2">
      <c r="A5188">
        <v>12</v>
      </c>
      <c r="E5188" t="str">
        <f t="shared" si="179"/>
        <v>M</v>
      </c>
      <c r="F5188" t="str">
        <f t="shared" si="180"/>
        <v>12M</v>
      </c>
    </row>
    <row r="5189" spans="1:6" x14ac:dyDescent="0.2">
      <c r="A5189">
        <v>13</v>
      </c>
      <c r="E5189" t="str">
        <f t="shared" si="179"/>
        <v>N</v>
      </c>
      <c r="F5189" t="str">
        <f t="shared" si="180"/>
        <v>13N</v>
      </c>
    </row>
    <row r="5190" spans="1:6" x14ac:dyDescent="0.2">
      <c r="A5190">
        <v>14</v>
      </c>
      <c r="E5190" t="str">
        <f t="shared" si="179"/>
        <v>O</v>
      </c>
      <c r="F5190" t="str">
        <f t="shared" si="180"/>
        <v>14O</v>
      </c>
    </row>
    <row r="5191" spans="1:6" x14ac:dyDescent="0.2">
      <c r="A5191">
        <v>15</v>
      </c>
      <c r="E5191" t="str">
        <f t="shared" si="179"/>
        <v>P</v>
      </c>
      <c r="F5191" t="str">
        <f t="shared" si="180"/>
        <v>15P</v>
      </c>
    </row>
    <row r="5192" spans="1:6" x14ac:dyDescent="0.2">
      <c r="A5192">
        <v>16</v>
      </c>
      <c r="E5192" t="str">
        <f t="shared" si="179"/>
        <v>Q</v>
      </c>
      <c r="F5192" t="str">
        <f t="shared" si="180"/>
        <v>16Q</v>
      </c>
    </row>
    <row r="5193" spans="1:6" x14ac:dyDescent="0.2">
      <c r="A5193">
        <v>17</v>
      </c>
      <c r="E5193" t="str">
        <f t="shared" si="179"/>
        <v>R</v>
      </c>
      <c r="F5193" t="str">
        <f t="shared" si="180"/>
        <v>17R</v>
      </c>
    </row>
    <row r="5194" spans="1:6" x14ac:dyDescent="0.2">
      <c r="A5194">
        <v>18</v>
      </c>
      <c r="E5194" t="str">
        <f t="shared" si="179"/>
        <v>S</v>
      </c>
      <c r="F5194" t="str">
        <f t="shared" si="180"/>
        <v>18S</v>
      </c>
    </row>
    <row r="5195" spans="1:6" x14ac:dyDescent="0.2">
      <c r="A5195">
        <v>19</v>
      </c>
      <c r="E5195" t="str">
        <f t="shared" si="179"/>
        <v>T</v>
      </c>
      <c r="F5195" t="str">
        <f t="shared" si="180"/>
        <v>19T</v>
      </c>
    </row>
    <row r="5196" spans="1:6" x14ac:dyDescent="0.2">
      <c r="A5196">
        <v>20</v>
      </c>
      <c r="E5196" t="str">
        <f t="shared" si="179"/>
        <v>U</v>
      </c>
      <c r="F5196" t="str">
        <f t="shared" si="180"/>
        <v>20U</v>
      </c>
    </row>
    <row r="5197" spans="1:6" x14ac:dyDescent="0.2">
      <c r="A5197">
        <v>21</v>
      </c>
      <c r="E5197" t="str">
        <f t="shared" si="179"/>
        <v>V</v>
      </c>
      <c r="F5197" t="str">
        <f t="shared" si="180"/>
        <v>21V</v>
      </c>
    </row>
    <row r="5198" spans="1:6" x14ac:dyDescent="0.2">
      <c r="A5198">
        <v>22</v>
      </c>
      <c r="E5198" t="str">
        <f t="shared" si="179"/>
        <v>W</v>
      </c>
      <c r="F5198" t="str">
        <f t="shared" si="180"/>
        <v>22W</v>
      </c>
    </row>
    <row r="5199" spans="1:6" x14ac:dyDescent="0.2">
      <c r="A5199">
        <v>23</v>
      </c>
      <c r="E5199" t="str">
        <f t="shared" si="179"/>
        <v>X</v>
      </c>
      <c r="F5199" t="str">
        <f t="shared" si="180"/>
        <v>23X</v>
      </c>
    </row>
    <row r="5200" spans="1:6" x14ac:dyDescent="0.2">
      <c r="A5200">
        <v>24</v>
      </c>
      <c r="E5200" t="str">
        <f t="shared" si="179"/>
        <v>Y</v>
      </c>
      <c r="F5200" t="str">
        <f t="shared" si="180"/>
        <v>24Y</v>
      </c>
    </row>
    <row r="5201" spans="1:6" x14ac:dyDescent="0.2">
      <c r="A5201">
        <v>25</v>
      </c>
      <c r="E5201" t="str">
        <f t="shared" si="179"/>
        <v>Z</v>
      </c>
      <c r="F5201" t="str">
        <f t="shared" si="180"/>
        <v>25Z</v>
      </c>
    </row>
    <row r="5202" spans="1:6" x14ac:dyDescent="0.2">
      <c r="A5202">
        <v>0</v>
      </c>
      <c r="E5202" t="str">
        <f t="shared" si="179"/>
        <v>A</v>
      </c>
      <c r="F5202" t="str">
        <f t="shared" si="180"/>
        <v>0A</v>
      </c>
    </row>
    <row r="5203" spans="1:6" x14ac:dyDescent="0.2">
      <c r="A5203">
        <v>1</v>
      </c>
      <c r="E5203" t="str">
        <f t="shared" si="179"/>
        <v>B</v>
      </c>
      <c r="F5203" t="str">
        <f t="shared" si="180"/>
        <v>1B</v>
      </c>
    </row>
    <row r="5204" spans="1:6" x14ac:dyDescent="0.2">
      <c r="A5204">
        <v>2</v>
      </c>
      <c r="E5204" t="str">
        <f t="shared" si="179"/>
        <v>C</v>
      </c>
      <c r="F5204" t="str">
        <f t="shared" si="180"/>
        <v>2C</v>
      </c>
    </row>
    <row r="5205" spans="1:6" x14ac:dyDescent="0.2">
      <c r="A5205">
        <v>3</v>
      </c>
      <c r="E5205" t="str">
        <f t="shared" si="179"/>
        <v>D</v>
      </c>
      <c r="F5205" t="str">
        <f t="shared" si="180"/>
        <v>3D</v>
      </c>
    </row>
    <row r="5206" spans="1:6" x14ac:dyDescent="0.2">
      <c r="A5206">
        <v>4</v>
      </c>
      <c r="E5206" t="str">
        <f t="shared" si="179"/>
        <v>E</v>
      </c>
      <c r="F5206" t="str">
        <f t="shared" si="180"/>
        <v>4E</v>
      </c>
    </row>
    <row r="5207" spans="1:6" x14ac:dyDescent="0.2">
      <c r="A5207">
        <v>5</v>
      </c>
      <c r="E5207" t="str">
        <f t="shared" ref="E5207:E5270" si="181">E5181</f>
        <v>F</v>
      </c>
      <c r="F5207" t="str">
        <f t="shared" si="180"/>
        <v>5F</v>
      </c>
    </row>
    <row r="5208" spans="1:6" x14ac:dyDescent="0.2">
      <c r="A5208">
        <v>6</v>
      </c>
      <c r="E5208" t="str">
        <f t="shared" si="181"/>
        <v>G</v>
      </c>
      <c r="F5208" t="str">
        <f t="shared" si="180"/>
        <v>6G</v>
      </c>
    </row>
    <row r="5209" spans="1:6" x14ac:dyDescent="0.2">
      <c r="A5209">
        <v>7</v>
      </c>
      <c r="E5209" t="str">
        <f t="shared" si="181"/>
        <v>H</v>
      </c>
      <c r="F5209" t="str">
        <f t="shared" si="180"/>
        <v>7H</v>
      </c>
    </row>
    <row r="5210" spans="1:6" x14ac:dyDescent="0.2">
      <c r="A5210">
        <v>8</v>
      </c>
      <c r="E5210" t="str">
        <f t="shared" si="181"/>
        <v>I</v>
      </c>
      <c r="F5210" t="str">
        <f t="shared" si="180"/>
        <v>8I</v>
      </c>
    </row>
    <row r="5211" spans="1:6" x14ac:dyDescent="0.2">
      <c r="A5211">
        <v>9</v>
      </c>
      <c r="E5211" t="str">
        <f t="shared" si="181"/>
        <v>J</v>
      </c>
      <c r="F5211" t="str">
        <f t="shared" si="180"/>
        <v>9J</v>
      </c>
    </row>
    <row r="5212" spans="1:6" x14ac:dyDescent="0.2">
      <c r="A5212">
        <v>10</v>
      </c>
      <c r="E5212" t="str">
        <f t="shared" si="181"/>
        <v>K</v>
      </c>
      <c r="F5212" t="str">
        <f t="shared" si="180"/>
        <v>10K</v>
      </c>
    </row>
    <row r="5213" spans="1:6" x14ac:dyDescent="0.2">
      <c r="A5213">
        <v>11</v>
      </c>
      <c r="E5213" t="str">
        <f t="shared" si="181"/>
        <v>L</v>
      </c>
      <c r="F5213" t="str">
        <f t="shared" si="180"/>
        <v>11L</v>
      </c>
    </row>
    <row r="5214" spans="1:6" x14ac:dyDescent="0.2">
      <c r="A5214">
        <v>12</v>
      </c>
      <c r="E5214" t="str">
        <f t="shared" si="181"/>
        <v>M</v>
      </c>
      <c r="F5214" t="str">
        <f t="shared" si="180"/>
        <v>12M</v>
      </c>
    </row>
    <row r="5215" spans="1:6" x14ac:dyDescent="0.2">
      <c r="A5215">
        <v>13</v>
      </c>
      <c r="E5215" t="str">
        <f t="shared" si="181"/>
        <v>N</v>
      </c>
      <c r="F5215" t="str">
        <f t="shared" si="180"/>
        <v>13N</v>
      </c>
    </row>
    <row r="5216" spans="1:6" x14ac:dyDescent="0.2">
      <c r="A5216">
        <v>14</v>
      </c>
      <c r="E5216" t="str">
        <f t="shared" si="181"/>
        <v>O</v>
      </c>
      <c r="F5216" t="str">
        <f t="shared" si="180"/>
        <v>14O</v>
      </c>
    </row>
    <row r="5217" spans="1:6" x14ac:dyDescent="0.2">
      <c r="A5217">
        <v>15</v>
      </c>
      <c r="E5217" t="str">
        <f t="shared" si="181"/>
        <v>P</v>
      </c>
      <c r="F5217" t="str">
        <f t="shared" si="180"/>
        <v>15P</v>
      </c>
    </row>
    <row r="5218" spans="1:6" x14ac:dyDescent="0.2">
      <c r="A5218">
        <v>16</v>
      </c>
      <c r="E5218" t="str">
        <f t="shared" si="181"/>
        <v>Q</v>
      </c>
      <c r="F5218" t="str">
        <f t="shared" si="180"/>
        <v>16Q</v>
      </c>
    </row>
    <row r="5219" spans="1:6" x14ac:dyDescent="0.2">
      <c r="A5219">
        <v>17</v>
      </c>
      <c r="E5219" t="str">
        <f t="shared" si="181"/>
        <v>R</v>
      </c>
      <c r="F5219" t="str">
        <f t="shared" si="180"/>
        <v>17R</v>
      </c>
    </row>
    <row r="5220" spans="1:6" x14ac:dyDescent="0.2">
      <c r="A5220">
        <v>18</v>
      </c>
      <c r="E5220" t="str">
        <f t="shared" si="181"/>
        <v>S</v>
      </c>
      <c r="F5220" t="str">
        <f t="shared" si="180"/>
        <v>18S</v>
      </c>
    </row>
    <row r="5221" spans="1:6" x14ac:dyDescent="0.2">
      <c r="A5221">
        <v>19</v>
      </c>
      <c r="E5221" t="str">
        <f t="shared" si="181"/>
        <v>T</v>
      </c>
      <c r="F5221" t="str">
        <f t="shared" si="180"/>
        <v>19T</v>
      </c>
    </row>
    <row r="5222" spans="1:6" x14ac:dyDescent="0.2">
      <c r="A5222">
        <v>20</v>
      </c>
      <c r="E5222" t="str">
        <f t="shared" si="181"/>
        <v>U</v>
      </c>
      <c r="F5222" t="str">
        <f t="shared" si="180"/>
        <v>20U</v>
      </c>
    </row>
    <row r="5223" spans="1:6" x14ac:dyDescent="0.2">
      <c r="A5223">
        <v>21</v>
      </c>
      <c r="E5223" t="str">
        <f t="shared" si="181"/>
        <v>V</v>
      </c>
      <c r="F5223" t="str">
        <f t="shared" si="180"/>
        <v>21V</v>
      </c>
    </row>
    <row r="5224" spans="1:6" x14ac:dyDescent="0.2">
      <c r="A5224">
        <v>22</v>
      </c>
      <c r="E5224" t="str">
        <f t="shared" si="181"/>
        <v>W</v>
      </c>
      <c r="F5224" t="str">
        <f t="shared" si="180"/>
        <v>22W</v>
      </c>
    </row>
    <row r="5225" spans="1:6" x14ac:dyDescent="0.2">
      <c r="A5225">
        <v>23</v>
      </c>
      <c r="E5225" t="str">
        <f t="shared" si="181"/>
        <v>X</v>
      </c>
      <c r="F5225" t="str">
        <f t="shared" si="180"/>
        <v>23X</v>
      </c>
    </row>
    <row r="5226" spans="1:6" x14ac:dyDescent="0.2">
      <c r="A5226">
        <v>24</v>
      </c>
      <c r="E5226" t="str">
        <f t="shared" si="181"/>
        <v>Y</v>
      </c>
      <c r="F5226" t="str">
        <f t="shared" si="180"/>
        <v>24Y</v>
      </c>
    </row>
    <row r="5227" spans="1:6" x14ac:dyDescent="0.2">
      <c r="A5227">
        <v>25</v>
      </c>
      <c r="E5227" t="str">
        <f t="shared" si="181"/>
        <v>Z</v>
      </c>
      <c r="F5227" t="str">
        <f t="shared" si="180"/>
        <v>25Z</v>
      </c>
    </row>
    <row r="5228" spans="1:6" x14ac:dyDescent="0.2">
      <c r="A5228">
        <v>0</v>
      </c>
      <c r="E5228" t="str">
        <f t="shared" si="181"/>
        <v>A</v>
      </c>
      <c r="F5228" t="str">
        <f t="shared" si="180"/>
        <v>0A</v>
      </c>
    </row>
    <row r="5229" spans="1:6" x14ac:dyDescent="0.2">
      <c r="A5229">
        <v>1</v>
      </c>
      <c r="E5229" t="str">
        <f t="shared" si="181"/>
        <v>B</v>
      </c>
      <c r="F5229" t="str">
        <f t="shared" si="180"/>
        <v>1B</v>
      </c>
    </row>
    <row r="5230" spans="1:6" x14ac:dyDescent="0.2">
      <c r="A5230">
        <v>2</v>
      </c>
      <c r="E5230" t="str">
        <f t="shared" si="181"/>
        <v>C</v>
      </c>
      <c r="F5230" t="str">
        <f t="shared" si="180"/>
        <v>2C</v>
      </c>
    </row>
    <row r="5231" spans="1:6" x14ac:dyDescent="0.2">
      <c r="A5231">
        <v>3</v>
      </c>
      <c r="E5231" t="str">
        <f t="shared" si="181"/>
        <v>D</v>
      </c>
      <c r="F5231" t="str">
        <f t="shared" si="180"/>
        <v>3D</v>
      </c>
    </row>
    <row r="5232" spans="1:6" x14ac:dyDescent="0.2">
      <c r="A5232">
        <v>4</v>
      </c>
      <c r="E5232" t="str">
        <f t="shared" si="181"/>
        <v>E</v>
      </c>
      <c r="F5232" t="str">
        <f t="shared" si="180"/>
        <v>4E</v>
      </c>
    </row>
    <row r="5233" spans="1:6" x14ac:dyDescent="0.2">
      <c r="A5233">
        <v>5</v>
      </c>
      <c r="E5233" t="str">
        <f t="shared" si="181"/>
        <v>F</v>
      </c>
      <c r="F5233" t="str">
        <f t="shared" si="180"/>
        <v>5F</v>
      </c>
    </row>
    <row r="5234" spans="1:6" x14ac:dyDescent="0.2">
      <c r="A5234">
        <v>6</v>
      </c>
      <c r="E5234" t="str">
        <f t="shared" si="181"/>
        <v>G</v>
      </c>
      <c r="F5234" t="str">
        <f t="shared" si="180"/>
        <v>6G</v>
      </c>
    </row>
    <row r="5235" spans="1:6" x14ac:dyDescent="0.2">
      <c r="A5235">
        <v>7</v>
      </c>
      <c r="E5235" t="str">
        <f t="shared" si="181"/>
        <v>H</v>
      </c>
      <c r="F5235" t="str">
        <f t="shared" si="180"/>
        <v>7H</v>
      </c>
    </row>
    <row r="5236" spans="1:6" x14ac:dyDescent="0.2">
      <c r="A5236">
        <v>8</v>
      </c>
      <c r="E5236" t="str">
        <f t="shared" si="181"/>
        <v>I</v>
      </c>
      <c r="F5236" t="str">
        <f t="shared" si="180"/>
        <v>8I</v>
      </c>
    </row>
    <row r="5237" spans="1:6" x14ac:dyDescent="0.2">
      <c r="A5237">
        <v>9</v>
      </c>
      <c r="E5237" t="str">
        <f t="shared" si="181"/>
        <v>J</v>
      </c>
      <c r="F5237" t="str">
        <f t="shared" si="180"/>
        <v>9J</v>
      </c>
    </row>
    <row r="5238" spans="1:6" x14ac:dyDescent="0.2">
      <c r="A5238">
        <v>10</v>
      </c>
      <c r="E5238" t="str">
        <f t="shared" si="181"/>
        <v>K</v>
      </c>
      <c r="F5238" t="str">
        <f t="shared" si="180"/>
        <v>10K</v>
      </c>
    </row>
    <row r="5239" spans="1:6" x14ac:dyDescent="0.2">
      <c r="A5239">
        <v>11</v>
      </c>
      <c r="E5239" t="str">
        <f t="shared" si="181"/>
        <v>L</v>
      </c>
      <c r="F5239" t="str">
        <f t="shared" si="180"/>
        <v>11L</v>
      </c>
    </row>
    <row r="5240" spans="1:6" x14ac:dyDescent="0.2">
      <c r="A5240">
        <v>12</v>
      </c>
      <c r="E5240" t="str">
        <f t="shared" si="181"/>
        <v>M</v>
      </c>
      <c r="F5240" t="str">
        <f t="shared" si="180"/>
        <v>12M</v>
      </c>
    </row>
    <row r="5241" spans="1:6" x14ac:dyDescent="0.2">
      <c r="A5241">
        <v>13</v>
      </c>
      <c r="E5241" t="str">
        <f t="shared" si="181"/>
        <v>N</v>
      </c>
      <c r="F5241" t="str">
        <f t="shared" si="180"/>
        <v>13N</v>
      </c>
    </row>
    <row r="5242" spans="1:6" x14ac:dyDescent="0.2">
      <c r="A5242">
        <v>14</v>
      </c>
      <c r="E5242" t="str">
        <f t="shared" si="181"/>
        <v>O</v>
      </c>
      <c r="F5242" t="str">
        <f t="shared" si="180"/>
        <v>14O</v>
      </c>
    </row>
    <row r="5243" spans="1:6" x14ac:dyDescent="0.2">
      <c r="A5243">
        <v>15</v>
      </c>
      <c r="E5243" t="str">
        <f t="shared" si="181"/>
        <v>P</v>
      </c>
      <c r="F5243" t="str">
        <f t="shared" si="180"/>
        <v>15P</v>
      </c>
    </row>
    <row r="5244" spans="1:6" x14ac:dyDescent="0.2">
      <c r="A5244">
        <v>16</v>
      </c>
      <c r="E5244" t="str">
        <f t="shared" si="181"/>
        <v>Q</v>
      </c>
      <c r="F5244" t="str">
        <f t="shared" si="180"/>
        <v>16Q</v>
      </c>
    </row>
    <row r="5245" spans="1:6" x14ac:dyDescent="0.2">
      <c r="A5245">
        <v>17</v>
      </c>
      <c r="E5245" t="str">
        <f t="shared" si="181"/>
        <v>R</v>
      </c>
      <c r="F5245" t="str">
        <f t="shared" ref="F5245:F5308" si="182">A5245&amp;C5245&amp;E5245</f>
        <v>17R</v>
      </c>
    </row>
    <row r="5246" spans="1:6" x14ac:dyDescent="0.2">
      <c r="A5246">
        <v>18</v>
      </c>
      <c r="E5246" t="str">
        <f t="shared" si="181"/>
        <v>S</v>
      </c>
      <c r="F5246" t="str">
        <f t="shared" si="182"/>
        <v>18S</v>
      </c>
    </row>
    <row r="5247" spans="1:6" x14ac:dyDescent="0.2">
      <c r="A5247">
        <v>19</v>
      </c>
      <c r="E5247" t="str">
        <f t="shared" si="181"/>
        <v>T</v>
      </c>
      <c r="F5247" t="str">
        <f t="shared" si="182"/>
        <v>19T</v>
      </c>
    </row>
    <row r="5248" spans="1:6" x14ac:dyDescent="0.2">
      <c r="A5248">
        <v>20</v>
      </c>
      <c r="E5248" t="str">
        <f t="shared" si="181"/>
        <v>U</v>
      </c>
      <c r="F5248" t="str">
        <f t="shared" si="182"/>
        <v>20U</v>
      </c>
    </row>
    <row r="5249" spans="1:6" x14ac:dyDescent="0.2">
      <c r="A5249">
        <v>21</v>
      </c>
      <c r="E5249" t="str">
        <f t="shared" si="181"/>
        <v>V</v>
      </c>
      <c r="F5249" t="str">
        <f t="shared" si="182"/>
        <v>21V</v>
      </c>
    </row>
    <row r="5250" spans="1:6" x14ac:dyDescent="0.2">
      <c r="A5250">
        <v>22</v>
      </c>
      <c r="E5250" t="str">
        <f t="shared" si="181"/>
        <v>W</v>
      </c>
      <c r="F5250" t="str">
        <f t="shared" si="182"/>
        <v>22W</v>
      </c>
    </row>
    <row r="5251" spans="1:6" x14ac:dyDescent="0.2">
      <c r="A5251">
        <v>23</v>
      </c>
      <c r="E5251" t="str">
        <f t="shared" si="181"/>
        <v>X</v>
      </c>
      <c r="F5251" t="str">
        <f t="shared" si="182"/>
        <v>23X</v>
      </c>
    </row>
    <row r="5252" spans="1:6" x14ac:dyDescent="0.2">
      <c r="A5252">
        <v>24</v>
      </c>
      <c r="E5252" t="str">
        <f t="shared" si="181"/>
        <v>Y</v>
      </c>
      <c r="F5252" t="str">
        <f t="shared" si="182"/>
        <v>24Y</v>
      </c>
    </row>
    <row r="5253" spans="1:6" x14ac:dyDescent="0.2">
      <c r="A5253">
        <v>25</v>
      </c>
      <c r="E5253" t="str">
        <f t="shared" si="181"/>
        <v>Z</v>
      </c>
      <c r="F5253" t="str">
        <f t="shared" si="182"/>
        <v>25Z</v>
      </c>
    </row>
    <row r="5254" spans="1:6" x14ac:dyDescent="0.2">
      <c r="A5254">
        <v>0</v>
      </c>
      <c r="E5254" t="str">
        <f t="shared" si="181"/>
        <v>A</v>
      </c>
      <c r="F5254" t="str">
        <f t="shared" si="182"/>
        <v>0A</v>
      </c>
    </row>
    <row r="5255" spans="1:6" x14ac:dyDescent="0.2">
      <c r="A5255">
        <v>1</v>
      </c>
      <c r="E5255" t="str">
        <f t="shared" si="181"/>
        <v>B</v>
      </c>
      <c r="F5255" t="str">
        <f t="shared" si="182"/>
        <v>1B</v>
      </c>
    </row>
    <row r="5256" spans="1:6" x14ac:dyDescent="0.2">
      <c r="A5256">
        <v>2</v>
      </c>
      <c r="E5256" t="str">
        <f t="shared" si="181"/>
        <v>C</v>
      </c>
      <c r="F5256" t="str">
        <f t="shared" si="182"/>
        <v>2C</v>
      </c>
    </row>
    <row r="5257" spans="1:6" x14ac:dyDescent="0.2">
      <c r="A5257">
        <v>3</v>
      </c>
      <c r="E5257" t="str">
        <f t="shared" si="181"/>
        <v>D</v>
      </c>
      <c r="F5257" t="str">
        <f t="shared" si="182"/>
        <v>3D</v>
      </c>
    </row>
    <row r="5258" spans="1:6" x14ac:dyDescent="0.2">
      <c r="A5258">
        <v>4</v>
      </c>
      <c r="E5258" t="str">
        <f t="shared" si="181"/>
        <v>E</v>
      </c>
      <c r="F5258" t="str">
        <f t="shared" si="182"/>
        <v>4E</v>
      </c>
    </row>
    <row r="5259" spans="1:6" x14ac:dyDescent="0.2">
      <c r="A5259">
        <v>5</v>
      </c>
      <c r="E5259" t="str">
        <f t="shared" si="181"/>
        <v>F</v>
      </c>
      <c r="F5259" t="str">
        <f t="shared" si="182"/>
        <v>5F</v>
      </c>
    </row>
    <row r="5260" spans="1:6" x14ac:dyDescent="0.2">
      <c r="A5260">
        <v>6</v>
      </c>
      <c r="E5260" t="str">
        <f t="shared" si="181"/>
        <v>G</v>
      </c>
      <c r="F5260" t="str">
        <f t="shared" si="182"/>
        <v>6G</v>
      </c>
    </row>
    <row r="5261" spans="1:6" x14ac:dyDescent="0.2">
      <c r="A5261">
        <v>7</v>
      </c>
      <c r="E5261" t="str">
        <f t="shared" si="181"/>
        <v>H</v>
      </c>
      <c r="F5261" t="str">
        <f t="shared" si="182"/>
        <v>7H</v>
      </c>
    </row>
    <row r="5262" spans="1:6" x14ac:dyDescent="0.2">
      <c r="A5262">
        <v>8</v>
      </c>
      <c r="E5262" t="str">
        <f t="shared" si="181"/>
        <v>I</v>
      </c>
      <c r="F5262" t="str">
        <f t="shared" si="182"/>
        <v>8I</v>
      </c>
    </row>
    <row r="5263" spans="1:6" x14ac:dyDescent="0.2">
      <c r="A5263">
        <v>9</v>
      </c>
      <c r="E5263" t="str">
        <f t="shared" si="181"/>
        <v>J</v>
      </c>
      <c r="F5263" t="str">
        <f t="shared" si="182"/>
        <v>9J</v>
      </c>
    </row>
    <row r="5264" spans="1:6" x14ac:dyDescent="0.2">
      <c r="A5264">
        <v>10</v>
      </c>
      <c r="E5264" t="str">
        <f t="shared" si="181"/>
        <v>K</v>
      </c>
      <c r="F5264" t="str">
        <f t="shared" si="182"/>
        <v>10K</v>
      </c>
    </row>
    <row r="5265" spans="1:6" x14ac:dyDescent="0.2">
      <c r="A5265">
        <v>11</v>
      </c>
      <c r="E5265" t="str">
        <f t="shared" si="181"/>
        <v>L</v>
      </c>
      <c r="F5265" t="str">
        <f t="shared" si="182"/>
        <v>11L</v>
      </c>
    </row>
    <row r="5266" spans="1:6" x14ac:dyDescent="0.2">
      <c r="A5266">
        <v>12</v>
      </c>
      <c r="E5266" t="str">
        <f t="shared" si="181"/>
        <v>M</v>
      </c>
      <c r="F5266" t="str">
        <f t="shared" si="182"/>
        <v>12M</v>
      </c>
    </row>
    <row r="5267" spans="1:6" x14ac:dyDescent="0.2">
      <c r="A5267">
        <v>13</v>
      </c>
      <c r="E5267" t="str">
        <f t="shared" si="181"/>
        <v>N</v>
      </c>
      <c r="F5267" t="str">
        <f t="shared" si="182"/>
        <v>13N</v>
      </c>
    </row>
    <row r="5268" spans="1:6" x14ac:dyDescent="0.2">
      <c r="A5268">
        <v>14</v>
      </c>
      <c r="E5268" t="str">
        <f t="shared" si="181"/>
        <v>O</v>
      </c>
      <c r="F5268" t="str">
        <f t="shared" si="182"/>
        <v>14O</v>
      </c>
    </row>
    <row r="5269" spans="1:6" x14ac:dyDescent="0.2">
      <c r="A5269">
        <v>15</v>
      </c>
      <c r="E5269" t="str">
        <f t="shared" si="181"/>
        <v>P</v>
      </c>
      <c r="F5269" t="str">
        <f t="shared" si="182"/>
        <v>15P</v>
      </c>
    </row>
    <row r="5270" spans="1:6" x14ac:dyDescent="0.2">
      <c r="A5270">
        <v>16</v>
      </c>
      <c r="E5270" t="str">
        <f t="shared" si="181"/>
        <v>Q</v>
      </c>
      <c r="F5270" t="str">
        <f t="shared" si="182"/>
        <v>16Q</v>
      </c>
    </row>
    <row r="5271" spans="1:6" x14ac:dyDescent="0.2">
      <c r="A5271">
        <v>17</v>
      </c>
      <c r="E5271" t="str">
        <f t="shared" ref="E5271:E5334" si="183">E5245</f>
        <v>R</v>
      </c>
      <c r="F5271" t="str">
        <f t="shared" si="182"/>
        <v>17R</v>
      </c>
    </row>
    <row r="5272" spans="1:6" x14ac:dyDescent="0.2">
      <c r="A5272">
        <v>18</v>
      </c>
      <c r="E5272" t="str">
        <f t="shared" si="183"/>
        <v>S</v>
      </c>
      <c r="F5272" t="str">
        <f t="shared" si="182"/>
        <v>18S</v>
      </c>
    </row>
    <row r="5273" spans="1:6" x14ac:dyDescent="0.2">
      <c r="A5273">
        <v>19</v>
      </c>
      <c r="E5273" t="str">
        <f t="shared" si="183"/>
        <v>T</v>
      </c>
      <c r="F5273" t="str">
        <f t="shared" si="182"/>
        <v>19T</v>
      </c>
    </row>
    <row r="5274" spans="1:6" x14ac:dyDescent="0.2">
      <c r="A5274">
        <v>20</v>
      </c>
      <c r="E5274" t="str">
        <f t="shared" si="183"/>
        <v>U</v>
      </c>
      <c r="F5274" t="str">
        <f t="shared" si="182"/>
        <v>20U</v>
      </c>
    </row>
    <row r="5275" spans="1:6" x14ac:dyDescent="0.2">
      <c r="A5275">
        <v>21</v>
      </c>
      <c r="E5275" t="str">
        <f t="shared" si="183"/>
        <v>V</v>
      </c>
      <c r="F5275" t="str">
        <f t="shared" si="182"/>
        <v>21V</v>
      </c>
    </row>
    <row r="5276" spans="1:6" x14ac:dyDescent="0.2">
      <c r="A5276">
        <v>22</v>
      </c>
      <c r="E5276" t="str">
        <f t="shared" si="183"/>
        <v>W</v>
      </c>
      <c r="F5276" t="str">
        <f t="shared" si="182"/>
        <v>22W</v>
      </c>
    </row>
    <row r="5277" spans="1:6" x14ac:dyDescent="0.2">
      <c r="A5277">
        <v>23</v>
      </c>
      <c r="E5277" t="str">
        <f t="shared" si="183"/>
        <v>X</v>
      </c>
      <c r="F5277" t="str">
        <f t="shared" si="182"/>
        <v>23X</v>
      </c>
    </row>
    <row r="5278" spans="1:6" x14ac:dyDescent="0.2">
      <c r="A5278">
        <v>24</v>
      </c>
      <c r="E5278" t="str">
        <f t="shared" si="183"/>
        <v>Y</v>
      </c>
      <c r="F5278" t="str">
        <f t="shared" si="182"/>
        <v>24Y</v>
      </c>
    </row>
    <row r="5279" spans="1:6" x14ac:dyDescent="0.2">
      <c r="A5279">
        <v>25</v>
      </c>
      <c r="E5279" t="str">
        <f t="shared" si="183"/>
        <v>Z</v>
      </c>
      <c r="F5279" t="str">
        <f t="shared" si="182"/>
        <v>25Z</v>
      </c>
    </row>
    <row r="5280" spans="1:6" x14ac:dyDescent="0.2">
      <c r="A5280">
        <v>0</v>
      </c>
      <c r="E5280" t="str">
        <f t="shared" si="183"/>
        <v>A</v>
      </c>
      <c r="F5280" t="str">
        <f t="shared" si="182"/>
        <v>0A</v>
      </c>
    </row>
    <row r="5281" spans="1:6" x14ac:dyDescent="0.2">
      <c r="A5281">
        <v>1</v>
      </c>
      <c r="E5281" t="str">
        <f t="shared" si="183"/>
        <v>B</v>
      </c>
      <c r="F5281" t="str">
        <f t="shared" si="182"/>
        <v>1B</v>
      </c>
    </row>
    <row r="5282" spans="1:6" x14ac:dyDescent="0.2">
      <c r="A5282">
        <v>2</v>
      </c>
      <c r="E5282" t="str">
        <f t="shared" si="183"/>
        <v>C</v>
      </c>
      <c r="F5282" t="str">
        <f t="shared" si="182"/>
        <v>2C</v>
      </c>
    </row>
    <row r="5283" spans="1:6" x14ac:dyDescent="0.2">
      <c r="A5283">
        <v>3</v>
      </c>
      <c r="E5283" t="str">
        <f t="shared" si="183"/>
        <v>D</v>
      </c>
      <c r="F5283" t="str">
        <f t="shared" si="182"/>
        <v>3D</v>
      </c>
    </row>
    <row r="5284" spans="1:6" x14ac:dyDescent="0.2">
      <c r="A5284">
        <v>4</v>
      </c>
      <c r="E5284" t="str">
        <f t="shared" si="183"/>
        <v>E</v>
      </c>
      <c r="F5284" t="str">
        <f t="shared" si="182"/>
        <v>4E</v>
      </c>
    </row>
    <row r="5285" spans="1:6" x14ac:dyDescent="0.2">
      <c r="A5285">
        <v>5</v>
      </c>
      <c r="E5285" t="str">
        <f t="shared" si="183"/>
        <v>F</v>
      </c>
      <c r="F5285" t="str">
        <f t="shared" si="182"/>
        <v>5F</v>
      </c>
    </row>
    <row r="5286" spans="1:6" x14ac:dyDescent="0.2">
      <c r="A5286">
        <v>6</v>
      </c>
      <c r="E5286" t="str">
        <f t="shared" si="183"/>
        <v>G</v>
      </c>
      <c r="F5286" t="str">
        <f t="shared" si="182"/>
        <v>6G</v>
      </c>
    </row>
    <row r="5287" spans="1:6" x14ac:dyDescent="0.2">
      <c r="A5287">
        <v>7</v>
      </c>
      <c r="E5287" t="str">
        <f t="shared" si="183"/>
        <v>H</v>
      </c>
      <c r="F5287" t="str">
        <f t="shared" si="182"/>
        <v>7H</v>
      </c>
    </row>
    <row r="5288" spans="1:6" x14ac:dyDescent="0.2">
      <c r="A5288">
        <v>8</v>
      </c>
      <c r="E5288" t="str">
        <f t="shared" si="183"/>
        <v>I</v>
      </c>
      <c r="F5288" t="str">
        <f t="shared" si="182"/>
        <v>8I</v>
      </c>
    </row>
    <row r="5289" spans="1:6" x14ac:dyDescent="0.2">
      <c r="A5289">
        <v>9</v>
      </c>
      <c r="E5289" t="str">
        <f t="shared" si="183"/>
        <v>J</v>
      </c>
      <c r="F5289" t="str">
        <f t="shared" si="182"/>
        <v>9J</v>
      </c>
    </row>
    <row r="5290" spans="1:6" x14ac:dyDescent="0.2">
      <c r="A5290">
        <v>10</v>
      </c>
      <c r="E5290" t="str">
        <f t="shared" si="183"/>
        <v>K</v>
      </c>
      <c r="F5290" t="str">
        <f t="shared" si="182"/>
        <v>10K</v>
      </c>
    </row>
    <row r="5291" spans="1:6" x14ac:dyDescent="0.2">
      <c r="A5291">
        <v>11</v>
      </c>
      <c r="E5291" t="str">
        <f t="shared" si="183"/>
        <v>L</v>
      </c>
      <c r="F5291" t="str">
        <f t="shared" si="182"/>
        <v>11L</v>
      </c>
    </row>
    <row r="5292" spans="1:6" x14ac:dyDescent="0.2">
      <c r="A5292">
        <v>12</v>
      </c>
      <c r="E5292" t="str">
        <f t="shared" si="183"/>
        <v>M</v>
      </c>
      <c r="F5292" t="str">
        <f t="shared" si="182"/>
        <v>12M</v>
      </c>
    </row>
    <row r="5293" spans="1:6" x14ac:dyDescent="0.2">
      <c r="A5293">
        <v>13</v>
      </c>
      <c r="E5293" t="str">
        <f t="shared" si="183"/>
        <v>N</v>
      </c>
      <c r="F5293" t="str">
        <f t="shared" si="182"/>
        <v>13N</v>
      </c>
    </row>
    <row r="5294" spans="1:6" x14ac:dyDescent="0.2">
      <c r="A5294">
        <v>14</v>
      </c>
      <c r="E5294" t="str">
        <f t="shared" si="183"/>
        <v>O</v>
      </c>
      <c r="F5294" t="str">
        <f t="shared" si="182"/>
        <v>14O</v>
      </c>
    </row>
    <row r="5295" spans="1:6" x14ac:dyDescent="0.2">
      <c r="A5295">
        <v>15</v>
      </c>
      <c r="E5295" t="str">
        <f t="shared" si="183"/>
        <v>P</v>
      </c>
      <c r="F5295" t="str">
        <f t="shared" si="182"/>
        <v>15P</v>
      </c>
    </row>
    <row r="5296" spans="1:6" x14ac:dyDescent="0.2">
      <c r="A5296">
        <v>16</v>
      </c>
      <c r="E5296" t="str">
        <f t="shared" si="183"/>
        <v>Q</v>
      </c>
      <c r="F5296" t="str">
        <f t="shared" si="182"/>
        <v>16Q</v>
      </c>
    </row>
    <row r="5297" spans="1:6" x14ac:dyDescent="0.2">
      <c r="A5297">
        <v>17</v>
      </c>
      <c r="E5297" t="str">
        <f t="shared" si="183"/>
        <v>R</v>
      </c>
      <c r="F5297" t="str">
        <f t="shared" si="182"/>
        <v>17R</v>
      </c>
    </row>
    <row r="5298" spans="1:6" x14ac:dyDescent="0.2">
      <c r="A5298">
        <v>18</v>
      </c>
      <c r="E5298" t="str">
        <f t="shared" si="183"/>
        <v>S</v>
      </c>
      <c r="F5298" t="str">
        <f t="shared" si="182"/>
        <v>18S</v>
      </c>
    </row>
    <row r="5299" spans="1:6" x14ac:dyDescent="0.2">
      <c r="A5299">
        <v>19</v>
      </c>
      <c r="E5299" t="str">
        <f t="shared" si="183"/>
        <v>T</v>
      </c>
      <c r="F5299" t="str">
        <f t="shared" si="182"/>
        <v>19T</v>
      </c>
    </row>
    <row r="5300" spans="1:6" x14ac:dyDescent="0.2">
      <c r="A5300">
        <v>20</v>
      </c>
      <c r="E5300" t="str">
        <f t="shared" si="183"/>
        <v>U</v>
      </c>
      <c r="F5300" t="str">
        <f t="shared" si="182"/>
        <v>20U</v>
      </c>
    </row>
    <row r="5301" spans="1:6" x14ac:dyDescent="0.2">
      <c r="A5301">
        <v>21</v>
      </c>
      <c r="E5301" t="str">
        <f t="shared" si="183"/>
        <v>V</v>
      </c>
      <c r="F5301" t="str">
        <f t="shared" si="182"/>
        <v>21V</v>
      </c>
    </row>
    <row r="5302" spans="1:6" x14ac:dyDescent="0.2">
      <c r="A5302">
        <v>22</v>
      </c>
      <c r="E5302" t="str">
        <f t="shared" si="183"/>
        <v>W</v>
      </c>
      <c r="F5302" t="str">
        <f t="shared" si="182"/>
        <v>22W</v>
      </c>
    </row>
    <row r="5303" spans="1:6" x14ac:dyDescent="0.2">
      <c r="A5303">
        <v>23</v>
      </c>
      <c r="E5303" t="str">
        <f t="shared" si="183"/>
        <v>X</v>
      </c>
      <c r="F5303" t="str">
        <f t="shared" si="182"/>
        <v>23X</v>
      </c>
    </row>
    <row r="5304" spans="1:6" x14ac:dyDescent="0.2">
      <c r="A5304">
        <v>24</v>
      </c>
      <c r="E5304" t="str">
        <f t="shared" si="183"/>
        <v>Y</v>
      </c>
      <c r="F5304" t="str">
        <f t="shared" si="182"/>
        <v>24Y</v>
      </c>
    </row>
    <row r="5305" spans="1:6" x14ac:dyDescent="0.2">
      <c r="A5305">
        <v>25</v>
      </c>
      <c r="E5305" t="str">
        <f t="shared" si="183"/>
        <v>Z</v>
      </c>
      <c r="F5305" t="str">
        <f t="shared" si="182"/>
        <v>25Z</v>
      </c>
    </row>
    <row r="5306" spans="1:6" x14ac:dyDescent="0.2">
      <c r="A5306">
        <v>0</v>
      </c>
      <c r="E5306" t="str">
        <f t="shared" si="183"/>
        <v>A</v>
      </c>
      <c r="F5306" t="str">
        <f t="shared" si="182"/>
        <v>0A</v>
      </c>
    </row>
    <row r="5307" spans="1:6" x14ac:dyDescent="0.2">
      <c r="A5307">
        <v>1</v>
      </c>
      <c r="E5307" t="str">
        <f t="shared" si="183"/>
        <v>B</v>
      </c>
      <c r="F5307" t="str">
        <f t="shared" si="182"/>
        <v>1B</v>
      </c>
    </row>
    <row r="5308" spans="1:6" x14ac:dyDescent="0.2">
      <c r="A5308">
        <v>2</v>
      </c>
      <c r="E5308" t="str">
        <f t="shared" si="183"/>
        <v>C</v>
      </c>
      <c r="F5308" t="str">
        <f t="shared" si="182"/>
        <v>2C</v>
      </c>
    </row>
    <row r="5309" spans="1:6" x14ac:dyDescent="0.2">
      <c r="A5309">
        <v>3</v>
      </c>
      <c r="E5309" t="str">
        <f t="shared" si="183"/>
        <v>D</v>
      </c>
      <c r="F5309" t="str">
        <f t="shared" ref="F5309:F5372" si="184">A5309&amp;C5309&amp;E5309</f>
        <v>3D</v>
      </c>
    </row>
    <row r="5310" spans="1:6" x14ac:dyDescent="0.2">
      <c r="A5310">
        <v>4</v>
      </c>
      <c r="E5310" t="str">
        <f t="shared" si="183"/>
        <v>E</v>
      </c>
      <c r="F5310" t="str">
        <f t="shared" si="184"/>
        <v>4E</v>
      </c>
    </row>
    <row r="5311" spans="1:6" x14ac:dyDescent="0.2">
      <c r="A5311">
        <v>5</v>
      </c>
      <c r="E5311" t="str">
        <f t="shared" si="183"/>
        <v>F</v>
      </c>
      <c r="F5311" t="str">
        <f t="shared" si="184"/>
        <v>5F</v>
      </c>
    </row>
    <row r="5312" spans="1:6" x14ac:dyDescent="0.2">
      <c r="A5312">
        <v>6</v>
      </c>
      <c r="E5312" t="str">
        <f t="shared" si="183"/>
        <v>G</v>
      </c>
      <c r="F5312" t="str">
        <f t="shared" si="184"/>
        <v>6G</v>
      </c>
    </row>
    <row r="5313" spans="1:6" x14ac:dyDescent="0.2">
      <c r="A5313">
        <v>7</v>
      </c>
      <c r="E5313" t="str">
        <f t="shared" si="183"/>
        <v>H</v>
      </c>
      <c r="F5313" t="str">
        <f t="shared" si="184"/>
        <v>7H</v>
      </c>
    </row>
    <row r="5314" spans="1:6" x14ac:dyDescent="0.2">
      <c r="A5314">
        <v>8</v>
      </c>
      <c r="E5314" t="str">
        <f t="shared" si="183"/>
        <v>I</v>
      </c>
      <c r="F5314" t="str">
        <f t="shared" si="184"/>
        <v>8I</v>
      </c>
    </row>
    <row r="5315" spans="1:6" x14ac:dyDescent="0.2">
      <c r="A5315">
        <v>9</v>
      </c>
      <c r="E5315" t="str">
        <f t="shared" si="183"/>
        <v>J</v>
      </c>
      <c r="F5315" t="str">
        <f t="shared" si="184"/>
        <v>9J</v>
      </c>
    </row>
    <row r="5316" spans="1:6" x14ac:dyDescent="0.2">
      <c r="A5316">
        <v>10</v>
      </c>
      <c r="E5316" t="str">
        <f t="shared" si="183"/>
        <v>K</v>
      </c>
      <c r="F5316" t="str">
        <f t="shared" si="184"/>
        <v>10K</v>
      </c>
    </row>
    <row r="5317" spans="1:6" x14ac:dyDescent="0.2">
      <c r="A5317">
        <v>11</v>
      </c>
      <c r="E5317" t="str">
        <f t="shared" si="183"/>
        <v>L</v>
      </c>
      <c r="F5317" t="str">
        <f t="shared" si="184"/>
        <v>11L</v>
      </c>
    </row>
    <row r="5318" spans="1:6" x14ac:dyDescent="0.2">
      <c r="A5318">
        <v>12</v>
      </c>
      <c r="E5318" t="str">
        <f t="shared" si="183"/>
        <v>M</v>
      </c>
      <c r="F5318" t="str">
        <f t="shared" si="184"/>
        <v>12M</v>
      </c>
    </row>
    <row r="5319" spans="1:6" x14ac:dyDescent="0.2">
      <c r="A5319">
        <v>13</v>
      </c>
      <c r="E5319" t="str">
        <f t="shared" si="183"/>
        <v>N</v>
      </c>
      <c r="F5319" t="str">
        <f t="shared" si="184"/>
        <v>13N</v>
      </c>
    </row>
    <row r="5320" spans="1:6" x14ac:dyDescent="0.2">
      <c r="A5320">
        <v>14</v>
      </c>
      <c r="E5320" t="str">
        <f t="shared" si="183"/>
        <v>O</v>
      </c>
      <c r="F5320" t="str">
        <f t="shared" si="184"/>
        <v>14O</v>
      </c>
    </row>
    <row r="5321" spans="1:6" x14ac:dyDescent="0.2">
      <c r="A5321">
        <v>15</v>
      </c>
      <c r="E5321" t="str">
        <f t="shared" si="183"/>
        <v>P</v>
      </c>
      <c r="F5321" t="str">
        <f t="shared" si="184"/>
        <v>15P</v>
      </c>
    </row>
    <row r="5322" spans="1:6" x14ac:dyDescent="0.2">
      <c r="A5322">
        <v>16</v>
      </c>
      <c r="E5322" t="str">
        <f t="shared" si="183"/>
        <v>Q</v>
      </c>
      <c r="F5322" t="str">
        <f t="shared" si="184"/>
        <v>16Q</v>
      </c>
    </row>
    <row r="5323" spans="1:6" x14ac:dyDescent="0.2">
      <c r="A5323">
        <v>17</v>
      </c>
      <c r="E5323" t="str">
        <f t="shared" si="183"/>
        <v>R</v>
      </c>
      <c r="F5323" t="str">
        <f t="shared" si="184"/>
        <v>17R</v>
      </c>
    </row>
    <row r="5324" spans="1:6" x14ac:dyDescent="0.2">
      <c r="A5324">
        <v>18</v>
      </c>
      <c r="E5324" t="str">
        <f t="shared" si="183"/>
        <v>S</v>
      </c>
      <c r="F5324" t="str">
        <f t="shared" si="184"/>
        <v>18S</v>
      </c>
    </row>
    <row r="5325" spans="1:6" x14ac:dyDescent="0.2">
      <c r="A5325">
        <v>19</v>
      </c>
      <c r="E5325" t="str">
        <f t="shared" si="183"/>
        <v>T</v>
      </c>
      <c r="F5325" t="str">
        <f t="shared" si="184"/>
        <v>19T</v>
      </c>
    </row>
    <row r="5326" spans="1:6" x14ac:dyDescent="0.2">
      <c r="A5326">
        <v>20</v>
      </c>
      <c r="E5326" t="str">
        <f t="shared" si="183"/>
        <v>U</v>
      </c>
      <c r="F5326" t="str">
        <f t="shared" si="184"/>
        <v>20U</v>
      </c>
    </row>
    <row r="5327" spans="1:6" x14ac:dyDescent="0.2">
      <c r="A5327">
        <v>21</v>
      </c>
      <c r="E5327" t="str">
        <f t="shared" si="183"/>
        <v>V</v>
      </c>
      <c r="F5327" t="str">
        <f t="shared" si="184"/>
        <v>21V</v>
      </c>
    </row>
    <row r="5328" spans="1:6" x14ac:dyDescent="0.2">
      <c r="A5328">
        <v>22</v>
      </c>
      <c r="E5328" t="str">
        <f t="shared" si="183"/>
        <v>W</v>
      </c>
      <c r="F5328" t="str">
        <f t="shared" si="184"/>
        <v>22W</v>
      </c>
    </row>
    <row r="5329" spans="1:6" x14ac:dyDescent="0.2">
      <c r="A5329">
        <v>23</v>
      </c>
      <c r="E5329" t="str">
        <f t="shared" si="183"/>
        <v>X</v>
      </c>
      <c r="F5329" t="str">
        <f t="shared" si="184"/>
        <v>23X</v>
      </c>
    </row>
    <row r="5330" spans="1:6" x14ac:dyDescent="0.2">
      <c r="A5330">
        <v>24</v>
      </c>
      <c r="E5330" t="str">
        <f t="shared" si="183"/>
        <v>Y</v>
      </c>
      <c r="F5330" t="str">
        <f t="shared" si="184"/>
        <v>24Y</v>
      </c>
    </row>
    <row r="5331" spans="1:6" x14ac:dyDescent="0.2">
      <c r="A5331">
        <v>25</v>
      </c>
      <c r="E5331" t="str">
        <f t="shared" si="183"/>
        <v>Z</v>
      </c>
      <c r="F5331" t="str">
        <f t="shared" si="184"/>
        <v>25Z</v>
      </c>
    </row>
    <row r="5332" spans="1:6" x14ac:dyDescent="0.2">
      <c r="A5332">
        <v>0</v>
      </c>
      <c r="E5332" t="str">
        <f t="shared" si="183"/>
        <v>A</v>
      </c>
      <c r="F5332" t="str">
        <f t="shared" si="184"/>
        <v>0A</v>
      </c>
    </row>
    <row r="5333" spans="1:6" x14ac:dyDescent="0.2">
      <c r="A5333">
        <v>1</v>
      </c>
      <c r="E5333" t="str">
        <f t="shared" si="183"/>
        <v>B</v>
      </c>
      <c r="F5333" t="str">
        <f t="shared" si="184"/>
        <v>1B</v>
      </c>
    </row>
    <row r="5334" spans="1:6" x14ac:dyDescent="0.2">
      <c r="A5334">
        <v>2</v>
      </c>
      <c r="E5334" t="str">
        <f t="shared" si="183"/>
        <v>C</v>
      </c>
      <c r="F5334" t="str">
        <f t="shared" si="184"/>
        <v>2C</v>
      </c>
    </row>
    <row r="5335" spans="1:6" x14ac:dyDescent="0.2">
      <c r="A5335">
        <v>3</v>
      </c>
      <c r="E5335" t="str">
        <f t="shared" ref="E5335:E5398" si="185">E5309</f>
        <v>D</v>
      </c>
      <c r="F5335" t="str">
        <f t="shared" si="184"/>
        <v>3D</v>
      </c>
    </row>
    <row r="5336" spans="1:6" x14ac:dyDescent="0.2">
      <c r="A5336">
        <v>4</v>
      </c>
      <c r="E5336" t="str">
        <f t="shared" si="185"/>
        <v>E</v>
      </c>
      <c r="F5336" t="str">
        <f t="shared" si="184"/>
        <v>4E</v>
      </c>
    </row>
    <row r="5337" spans="1:6" x14ac:dyDescent="0.2">
      <c r="A5337">
        <v>5</v>
      </c>
      <c r="E5337" t="str">
        <f t="shared" si="185"/>
        <v>F</v>
      </c>
      <c r="F5337" t="str">
        <f t="shared" si="184"/>
        <v>5F</v>
      </c>
    </row>
    <row r="5338" spans="1:6" x14ac:dyDescent="0.2">
      <c r="A5338">
        <v>6</v>
      </c>
      <c r="E5338" t="str">
        <f t="shared" si="185"/>
        <v>G</v>
      </c>
      <c r="F5338" t="str">
        <f t="shared" si="184"/>
        <v>6G</v>
      </c>
    </row>
    <row r="5339" spans="1:6" x14ac:dyDescent="0.2">
      <c r="A5339">
        <v>7</v>
      </c>
      <c r="E5339" t="str">
        <f t="shared" si="185"/>
        <v>H</v>
      </c>
      <c r="F5339" t="str">
        <f t="shared" si="184"/>
        <v>7H</v>
      </c>
    </row>
    <row r="5340" spans="1:6" x14ac:dyDescent="0.2">
      <c r="A5340">
        <v>8</v>
      </c>
      <c r="E5340" t="str">
        <f t="shared" si="185"/>
        <v>I</v>
      </c>
      <c r="F5340" t="str">
        <f t="shared" si="184"/>
        <v>8I</v>
      </c>
    </row>
    <row r="5341" spans="1:6" x14ac:dyDescent="0.2">
      <c r="A5341">
        <v>9</v>
      </c>
      <c r="E5341" t="str">
        <f t="shared" si="185"/>
        <v>J</v>
      </c>
      <c r="F5341" t="str">
        <f t="shared" si="184"/>
        <v>9J</v>
      </c>
    </row>
    <row r="5342" spans="1:6" x14ac:dyDescent="0.2">
      <c r="A5342">
        <v>10</v>
      </c>
      <c r="E5342" t="str">
        <f t="shared" si="185"/>
        <v>K</v>
      </c>
      <c r="F5342" t="str">
        <f t="shared" si="184"/>
        <v>10K</v>
      </c>
    </row>
    <row r="5343" spans="1:6" x14ac:dyDescent="0.2">
      <c r="A5343">
        <v>11</v>
      </c>
      <c r="E5343" t="str">
        <f t="shared" si="185"/>
        <v>L</v>
      </c>
      <c r="F5343" t="str">
        <f t="shared" si="184"/>
        <v>11L</v>
      </c>
    </row>
    <row r="5344" spans="1:6" x14ac:dyDescent="0.2">
      <c r="A5344">
        <v>12</v>
      </c>
      <c r="E5344" t="str">
        <f t="shared" si="185"/>
        <v>M</v>
      </c>
      <c r="F5344" t="str">
        <f t="shared" si="184"/>
        <v>12M</v>
      </c>
    </row>
    <row r="5345" spans="1:6" x14ac:dyDescent="0.2">
      <c r="A5345">
        <v>13</v>
      </c>
      <c r="E5345" t="str">
        <f t="shared" si="185"/>
        <v>N</v>
      </c>
      <c r="F5345" t="str">
        <f t="shared" si="184"/>
        <v>13N</v>
      </c>
    </row>
    <row r="5346" spans="1:6" x14ac:dyDescent="0.2">
      <c r="A5346">
        <v>14</v>
      </c>
      <c r="E5346" t="str">
        <f t="shared" si="185"/>
        <v>O</v>
      </c>
      <c r="F5346" t="str">
        <f t="shared" si="184"/>
        <v>14O</v>
      </c>
    </row>
    <row r="5347" spans="1:6" x14ac:dyDescent="0.2">
      <c r="A5347">
        <v>15</v>
      </c>
      <c r="E5347" t="str">
        <f t="shared" si="185"/>
        <v>P</v>
      </c>
      <c r="F5347" t="str">
        <f t="shared" si="184"/>
        <v>15P</v>
      </c>
    </row>
    <row r="5348" spans="1:6" x14ac:dyDescent="0.2">
      <c r="A5348">
        <v>16</v>
      </c>
      <c r="E5348" t="str">
        <f t="shared" si="185"/>
        <v>Q</v>
      </c>
      <c r="F5348" t="str">
        <f t="shared" si="184"/>
        <v>16Q</v>
      </c>
    </row>
    <row r="5349" spans="1:6" x14ac:dyDescent="0.2">
      <c r="A5349">
        <v>17</v>
      </c>
      <c r="E5349" t="str">
        <f t="shared" si="185"/>
        <v>R</v>
      </c>
      <c r="F5349" t="str">
        <f t="shared" si="184"/>
        <v>17R</v>
      </c>
    </row>
    <row r="5350" spans="1:6" x14ac:dyDescent="0.2">
      <c r="A5350">
        <v>18</v>
      </c>
      <c r="E5350" t="str">
        <f t="shared" si="185"/>
        <v>S</v>
      </c>
      <c r="F5350" t="str">
        <f t="shared" si="184"/>
        <v>18S</v>
      </c>
    </row>
    <row r="5351" spans="1:6" x14ac:dyDescent="0.2">
      <c r="A5351">
        <v>19</v>
      </c>
      <c r="E5351" t="str">
        <f t="shared" si="185"/>
        <v>T</v>
      </c>
      <c r="F5351" t="str">
        <f t="shared" si="184"/>
        <v>19T</v>
      </c>
    </row>
    <row r="5352" spans="1:6" x14ac:dyDescent="0.2">
      <c r="A5352">
        <v>20</v>
      </c>
      <c r="E5352" t="str">
        <f t="shared" si="185"/>
        <v>U</v>
      </c>
      <c r="F5352" t="str">
        <f t="shared" si="184"/>
        <v>20U</v>
      </c>
    </row>
    <row r="5353" spans="1:6" x14ac:dyDescent="0.2">
      <c r="A5353">
        <v>21</v>
      </c>
      <c r="E5353" t="str">
        <f t="shared" si="185"/>
        <v>V</v>
      </c>
      <c r="F5353" t="str">
        <f t="shared" si="184"/>
        <v>21V</v>
      </c>
    </row>
    <row r="5354" spans="1:6" x14ac:dyDescent="0.2">
      <c r="A5354">
        <v>22</v>
      </c>
      <c r="E5354" t="str">
        <f t="shared" si="185"/>
        <v>W</v>
      </c>
      <c r="F5354" t="str">
        <f t="shared" si="184"/>
        <v>22W</v>
      </c>
    </row>
    <row r="5355" spans="1:6" x14ac:dyDescent="0.2">
      <c r="A5355">
        <v>23</v>
      </c>
      <c r="E5355" t="str">
        <f t="shared" si="185"/>
        <v>X</v>
      </c>
      <c r="F5355" t="str">
        <f t="shared" si="184"/>
        <v>23X</v>
      </c>
    </row>
    <row r="5356" spans="1:6" x14ac:dyDescent="0.2">
      <c r="A5356">
        <v>24</v>
      </c>
      <c r="E5356" t="str">
        <f t="shared" si="185"/>
        <v>Y</v>
      </c>
      <c r="F5356" t="str">
        <f t="shared" si="184"/>
        <v>24Y</v>
      </c>
    </row>
    <row r="5357" spans="1:6" x14ac:dyDescent="0.2">
      <c r="A5357">
        <v>25</v>
      </c>
      <c r="E5357" t="str">
        <f t="shared" si="185"/>
        <v>Z</v>
      </c>
      <c r="F5357" t="str">
        <f t="shared" si="184"/>
        <v>25Z</v>
      </c>
    </row>
    <row r="5358" spans="1:6" x14ac:dyDescent="0.2">
      <c r="A5358">
        <v>0</v>
      </c>
      <c r="E5358" t="str">
        <f t="shared" si="185"/>
        <v>A</v>
      </c>
      <c r="F5358" t="str">
        <f t="shared" si="184"/>
        <v>0A</v>
      </c>
    </row>
    <row r="5359" spans="1:6" x14ac:dyDescent="0.2">
      <c r="A5359">
        <v>1</v>
      </c>
      <c r="E5359" t="str">
        <f t="shared" si="185"/>
        <v>B</v>
      </c>
      <c r="F5359" t="str">
        <f t="shared" si="184"/>
        <v>1B</v>
      </c>
    </row>
    <row r="5360" spans="1:6" x14ac:dyDescent="0.2">
      <c r="A5360">
        <v>2</v>
      </c>
      <c r="E5360" t="str">
        <f t="shared" si="185"/>
        <v>C</v>
      </c>
      <c r="F5360" t="str">
        <f t="shared" si="184"/>
        <v>2C</v>
      </c>
    </row>
    <row r="5361" spans="1:6" x14ac:dyDescent="0.2">
      <c r="A5361">
        <v>3</v>
      </c>
      <c r="E5361" t="str">
        <f t="shared" si="185"/>
        <v>D</v>
      </c>
      <c r="F5361" t="str">
        <f t="shared" si="184"/>
        <v>3D</v>
      </c>
    </row>
    <row r="5362" spans="1:6" x14ac:dyDescent="0.2">
      <c r="A5362">
        <v>4</v>
      </c>
      <c r="E5362" t="str">
        <f t="shared" si="185"/>
        <v>E</v>
      </c>
      <c r="F5362" t="str">
        <f t="shared" si="184"/>
        <v>4E</v>
      </c>
    </row>
    <row r="5363" spans="1:6" x14ac:dyDescent="0.2">
      <c r="A5363">
        <v>5</v>
      </c>
      <c r="E5363" t="str">
        <f t="shared" si="185"/>
        <v>F</v>
      </c>
      <c r="F5363" t="str">
        <f t="shared" si="184"/>
        <v>5F</v>
      </c>
    </row>
    <row r="5364" spans="1:6" x14ac:dyDescent="0.2">
      <c r="A5364">
        <v>6</v>
      </c>
      <c r="E5364" t="str">
        <f t="shared" si="185"/>
        <v>G</v>
      </c>
      <c r="F5364" t="str">
        <f t="shared" si="184"/>
        <v>6G</v>
      </c>
    </row>
    <row r="5365" spans="1:6" x14ac:dyDescent="0.2">
      <c r="A5365">
        <v>7</v>
      </c>
      <c r="E5365" t="str">
        <f t="shared" si="185"/>
        <v>H</v>
      </c>
      <c r="F5365" t="str">
        <f t="shared" si="184"/>
        <v>7H</v>
      </c>
    </row>
    <row r="5366" spans="1:6" x14ac:dyDescent="0.2">
      <c r="A5366">
        <v>8</v>
      </c>
      <c r="E5366" t="str">
        <f t="shared" si="185"/>
        <v>I</v>
      </c>
      <c r="F5366" t="str">
        <f t="shared" si="184"/>
        <v>8I</v>
      </c>
    </row>
    <row r="5367" spans="1:6" x14ac:dyDescent="0.2">
      <c r="A5367">
        <v>9</v>
      </c>
      <c r="E5367" t="str">
        <f t="shared" si="185"/>
        <v>J</v>
      </c>
      <c r="F5367" t="str">
        <f t="shared" si="184"/>
        <v>9J</v>
      </c>
    </row>
    <row r="5368" spans="1:6" x14ac:dyDescent="0.2">
      <c r="A5368">
        <v>10</v>
      </c>
      <c r="E5368" t="str">
        <f t="shared" si="185"/>
        <v>K</v>
      </c>
      <c r="F5368" t="str">
        <f t="shared" si="184"/>
        <v>10K</v>
      </c>
    </row>
    <row r="5369" spans="1:6" x14ac:dyDescent="0.2">
      <c r="A5369">
        <v>11</v>
      </c>
      <c r="E5369" t="str">
        <f t="shared" si="185"/>
        <v>L</v>
      </c>
      <c r="F5369" t="str">
        <f t="shared" si="184"/>
        <v>11L</v>
      </c>
    </row>
    <row r="5370" spans="1:6" x14ac:dyDescent="0.2">
      <c r="A5370">
        <v>12</v>
      </c>
      <c r="E5370" t="str">
        <f t="shared" si="185"/>
        <v>M</v>
      </c>
      <c r="F5370" t="str">
        <f t="shared" si="184"/>
        <v>12M</v>
      </c>
    </row>
    <row r="5371" spans="1:6" x14ac:dyDescent="0.2">
      <c r="A5371">
        <v>13</v>
      </c>
      <c r="E5371" t="str">
        <f t="shared" si="185"/>
        <v>N</v>
      </c>
      <c r="F5371" t="str">
        <f t="shared" si="184"/>
        <v>13N</v>
      </c>
    </row>
    <row r="5372" spans="1:6" x14ac:dyDescent="0.2">
      <c r="A5372">
        <v>14</v>
      </c>
      <c r="E5372" t="str">
        <f t="shared" si="185"/>
        <v>O</v>
      </c>
      <c r="F5372" t="str">
        <f t="shared" si="184"/>
        <v>14O</v>
      </c>
    </row>
    <row r="5373" spans="1:6" x14ac:dyDescent="0.2">
      <c r="A5373">
        <v>15</v>
      </c>
      <c r="E5373" t="str">
        <f t="shared" si="185"/>
        <v>P</v>
      </c>
      <c r="F5373" t="str">
        <f t="shared" ref="F5373:F5436" si="186">A5373&amp;C5373&amp;E5373</f>
        <v>15P</v>
      </c>
    </row>
    <row r="5374" spans="1:6" x14ac:dyDescent="0.2">
      <c r="A5374">
        <v>16</v>
      </c>
      <c r="E5374" t="str">
        <f t="shared" si="185"/>
        <v>Q</v>
      </c>
      <c r="F5374" t="str">
        <f t="shared" si="186"/>
        <v>16Q</v>
      </c>
    </row>
    <row r="5375" spans="1:6" x14ac:dyDescent="0.2">
      <c r="A5375">
        <v>17</v>
      </c>
      <c r="E5375" t="str">
        <f t="shared" si="185"/>
        <v>R</v>
      </c>
      <c r="F5375" t="str">
        <f t="shared" si="186"/>
        <v>17R</v>
      </c>
    </row>
    <row r="5376" spans="1:6" x14ac:dyDescent="0.2">
      <c r="A5376">
        <v>18</v>
      </c>
      <c r="E5376" t="str">
        <f t="shared" si="185"/>
        <v>S</v>
      </c>
      <c r="F5376" t="str">
        <f t="shared" si="186"/>
        <v>18S</v>
      </c>
    </row>
    <row r="5377" spans="1:6" x14ac:dyDescent="0.2">
      <c r="A5377">
        <v>19</v>
      </c>
      <c r="E5377" t="str">
        <f t="shared" si="185"/>
        <v>T</v>
      </c>
      <c r="F5377" t="str">
        <f t="shared" si="186"/>
        <v>19T</v>
      </c>
    </row>
    <row r="5378" spans="1:6" x14ac:dyDescent="0.2">
      <c r="A5378">
        <v>20</v>
      </c>
      <c r="E5378" t="str">
        <f t="shared" si="185"/>
        <v>U</v>
      </c>
      <c r="F5378" t="str">
        <f t="shared" si="186"/>
        <v>20U</v>
      </c>
    </row>
    <row r="5379" spans="1:6" x14ac:dyDescent="0.2">
      <c r="A5379">
        <v>21</v>
      </c>
      <c r="E5379" t="str">
        <f t="shared" si="185"/>
        <v>V</v>
      </c>
      <c r="F5379" t="str">
        <f t="shared" si="186"/>
        <v>21V</v>
      </c>
    </row>
    <row r="5380" spans="1:6" x14ac:dyDescent="0.2">
      <c r="A5380">
        <v>22</v>
      </c>
      <c r="E5380" t="str">
        <f t="shared" si="185"/>
        <v>W</v>
      </c>
      <c r="F5380" t="str">
        <f t="shared" si="186"/>
        <v>22W</v>
      </c>
    </row>
    <row r="5381" spans="1:6" x14ac:dyDescent="0.2">
      <c r="A5381">
        <v>23</v>
      </c>
      <c r="E5381" t="str">
        <f t="shared" si="185"/>
        <v>X</v>
      </c>
      <c r="F5381" t="str">
        <f t="shared" si="186"/>
        <v>23X</v>
      </c>
    </row>
    <row r="5382" spans="1:6" x14ac:dyDescent="0.2">
      <c r="A5382">
        <v>24</v>
      </c>
      <c r="E5382" t="str">
        <f t="shared" si="185"/>
        <v>Y</v>
      </c>
      <c r="F5382" t="str">
        <f t="shared" si="186"/>
        <v>24Y</v>
      </c>
    </row>
    <row r="5383" spans="1:6" x14ac:dyDescent="0.2">
      <c r="A5383">
        <v>25</v>
      </c>
      <c r="E5383" t="str">
        <f t="shared" si="185"/>
        <v>Z</v>
      </c>
      <c r="F5383" t="str">
        <f t="shared" si="186"/>
        <v>25Z</v>
      </c>
    </row>
    <row r="5384" spans="1:6" x14ac:dyDescent="0.2">
      <c r="A5384">
        <v>0</v>
      </c>
      <c r="E5384" t="str">
        <f t="shared" si="185"/>
        <v>A</v>
      </c>
      <c r="F5384" t="str">
        <f t="shared" si="186"/>
        <v>0A</v>
      </c>
    </row>
    <row r="5385" spans="1:6" x14ac:dyDescent="0.2">
      <c r="A5385">
        <v>1</v>
      </c>
      <c r="E5385" t="str">
        <f t="shared" si="185"/>
        <v>B</v>
      </c>
      <c r="F5385" t="str">
        <f t="shared" si="186"/>
        <v>1B</v>
      </c>
    </row>
    <row r="5386" spans="1:6" x14ac:dyDescent="0.2">
      <c r="A5386">
        <v>2</v>
      </c>
      <c r="E5386" t="str">
        <f t="shared" si="185"/>
        <v>C</v>
      </c>
      <c r="F5386" t="str">
        <f t="shared" si="186"/>
        <v>2C</v>
      </c>
    </row>
    <row r="5387" spans="1:6" x14ac:dyDescent="0.2">
      <c r="A5387">
        <v>3</v>
      </c>
      <c r="E5387" t="str">
        <f t="shared" si="185"/>
        <v>D</v>
      </c>
      <c r="F5387" t="str">
        <f t="shared" si="186"/>
        <v>3D</v>
      </c>
    </row>
    <row r="5388" spans="1:6" x14ac:dyDescent="0.2">
      <c r="A5388">
        <v>4</v>
      </c>
      <c r="E5388" t="str">
        <f t="shared" si="185"/>
        <v>E</v>
      </c>
      <c r="F5388" t="str">
        <f t="shared" si="186"/>
        <v>4E</v>
      </c>
    </row>
    <row r="5389" spans="1:6" x14ac:dyDescent="0.2">
      <c r="A5389">
        <v>5</v>
      </c>
      <c r="E5389" t="str">
        <f t="shared" si="185"/>
        <v>F</v>
      </c>
      <c r="F5389" t="str">
        <f t="shared" si="186"/>
        <v>5F</v>
      </c>
    </row>
    <row r="5390" spans="1:6" x14ac:dyDescent="0.2">
      <c r="A5390">
        <v>6</v>
      </c>
      <c r="E5390" t="str">
        <f t="shared" si="185"/>
        <v>G</v>
      </c>
      <c r="F5390" t="str">
        <f t="shared" si="186"/>
        <v>6G</v>
      </c>
    </row>
    <row r="5391" spans="1:6" x14ac:dyDescent="0.2">
      <c r="A5391">
        <v>7</v>
      </c>
      <c r="E5391" t="str">
        <f t="shared" si="185"/>
        <v>H</v>
      </c>
      <c r="F5391" t="str">
        <f t="shared" si="186"/>
        <v>7H</v>
      </c>
    </row>
    <row r="5392" spans="1:6" x14ac:dyDescent="0.2">
      <c r="A5392">
        <v>8</v>
      </c>
      <c r="E5392" t="str">
        <f t="shared" si="185"/>
        <v>I</v>
      </c>
      <c r="F5392" t="str">
        <f t="shared" si="186"/>
        <v>8I</v>
      </c>
    </row>
    <row r="5393" spans="1:6" x14ac:dyDescent="0.2">
      <c r="A5393">
        <v>9</v>
      </c>
      <c r="E5393" t="str">
        <f t="shared" si="185"/>
        <v>J</v>
      </c>
      <c r="F5393" t="str">
        <f t="shared" si="186"/>
        <v>9J</v>
      </c>
    </row>
    <row r="5394" spans="1:6" x14ac:dyDescent="0.2">
      <c r="A5394">
        <v>10</v>
      </c>
      <c r="E5394" t="str">
        <f t="shared" si="185"/>
        <v>K</v>
      </c>
      <c r="F5394" t="str">
        <f t="shared" si="186"/>
        <v>10K</v>
      </c>
    </row>
    <row r="5395" spans="1:6" x14ac:dyDescent="0.2">
      <c r="A5395">
        <v>11</v>
      </c>
      <c r="E5395" t="str">
        <f t="shared" si="185"/>
        <v>L</v>
      </c>
      <c r="F5395" t="str">
        <f t="shared" si="186"/>
        <v>11L</v>
      </c>
    </row>
    <row r="5396" spans="1:6" x14ac:dyDescent="0.2">
      <c r="A5396">
        <v>12</v>
      </c>
      <c r="E5396" t="str">
        <f t="shared" si="185"/>
        <v>M</v>
      </c>
      <c r="F5396" t="str">
        <f t="shared" si="186"/>
        <v>12M</v>
      </c>
    </row>
    <row r="5397" spans="1:6" x14ac:dyDescent="0.2">
      <c r="A5397">
        <v>13</v>
      </c>
      <c r="E5397" t="str">
        <f t="shared" si="185"/>
        <v>N</v>
      </c>
      <c r="F5397" t="str">
        <f t="shared" si="186"/>
        <v>13N</v>
      </c>
    </row>
    <row r="5398" spans="1:6" x14ac:dyDescent="0.2">
      <c r="A5398">
        <v>14</v>
      </c>
      <c r="E5398" t="str">
        <f t="shared" si="185"/>
        <v>O</v>
      </c>
      <c r="F5398" t="str">
        <f t="shared" si="186"/>
        <v>14O</v>
      </c>
    </row>
    <row r="5399" spans="1:6" x14ac:dyDescent="0.2">
      <c r="A5399">
        <v>15</v>
      </c>
      <c r="E5399" t="str">
        <f t="shared" ref="E5399:E5462" si="187">E5373</f>
        <v>P</v>
      </c>
      <c r="F5399" t="str">
        <f t="shared" si="186"/>
        <v>15P</v>
      </c>
    </row>
    <row r="5400" spans="1:6" x14ac:dyDescent="0.2">
      <c r="A5400">
        <v>16</v>
      </c>
      <c r="E5400" t="str">
        <f t="shared" si="187"/>
        <v>Q</v>
      </c>
      <c r="F5400" t="str">
        <f t="shared" si="186"/>
        <v>16Q</v>
      </c>
    </row>
    <row r="5401" spans="1:6" x14ac:dyDescent="0.2">
      <c r="A5401">
        <v>17</v>
      </c>
      <c r="E5401" t="str">
        <f t="shared" si="187"/>
        <v>R</v>
      </c>
      <c r="F5401" t="str">
        <f t="shared" si="186"/>
        <v>17R</v>
      </c>
    </row>
    <row r="5402" spans="1:6" x14ac:dyDescent="0.2">
      <c r="A5402">
        <v>18</v>
      </c>
      <c r="E5402" t="str">
        <f t="shared" si="187"/>
        <v>S</v>
      </c>
      <c r="F5402" t="str">
        <f t="shared" si="186"/>
        <v>18S</v>
      </c>
    </row>
    <row r="5403" spans="1:6" x14ac:dyDescent="0.2">
      <c r="A5403">
        <v>19</v>
      </c>
      <c r="E5403" t="str">
        <f t="shared" si="187"/>
        <v>T</v>
      </c>
      <c r="F5403" t="str">
        <f t="shared" si="186"/>
        <v>19T</v>
      </c>
    </row>
    <row r="5404" spans="1:6" x14ac:dyDescent="0.2">
      <c r="A5404">
        <v>20</v>
      </c>
      <c r="E5404" t="str">
        <f t="shared" si="187"/>
        <v>U</v>
      </c>
      <c r="F5404" t="str">
        <f t="shared" si="186"/>
        <v>20U</v>
      </c>
    </row>
    <row r="5405" spans="1:6" x14ac:dyDescent="0.2">
      <c r="A5405">
        <v>21</v>
      </c>
      <c r="E5405" t="str">
        <f t="shared" si="187"/>
        <v>V</v>
      </c>
      <c r="F5405" t="str">
        <f t="shared" si="186"/>
        <v>21V</v>
      </c>
    </row>
    <row r="5406" spans="1:6" x14ac:dyDescent="0.2">
      <c r="A5406">
        <v>22</v>
      </c>
      <c r="E5406" t="str">
        <f t="shared" si="187"/>
        <v>W</v>
      </c>
      <c r="F5406" t="str">
        <f t="shared" si="186"/>
        <v>22W</v>
      </c>
    </row>
    <row r="5407" spans="1:6" x14ac:dyDescent="0.2">
      <c r="A5407">
        <v>23</v>
      </c>
      <c r="E5407" t="str">
        <f t="shared" si="187"/>
        <v>X</v>
      </c>
      <c r="F5407" t="str">
        <f t="shared" si="186"/>
        <v>23X</v>
      </c>
    </row>
    <row r="5408" spans="1:6" x14ac:dyDescent="0.2">
      <c r="A5408">
        <v>24</v>
      </c>
      <c r="E5408" t="str">
        <f t="shared" si="187"/>
        <v>Y</v>
      </c>
      <c r="F5408" t="str">
        <f t="shared" si="186"/>
        <v>24Y</v>
      </c>
    </row>
    <row r="5409" spans="1:6" x14ac:dyDescent="0.2">
      <c r="A5409">
        <v>25</v>
      </c>
      <c r="E5409" t="str">
        <f t="shared" si="187"/>
        <v>Z</v>
      </c>
      <c r="F5409" t="str">
        <f t="shared" si="186"/>
        <v>25Z</v>
      </c>
    </row>
    <row r="5410" spans="1:6" x14ac:dyDescent="0.2">
      <c r="A5410">
        <v>0</v>
      </c>
      <c r="E5410" t="str">
        <f t="shared" si="187"/>
        <v>A</v>
      </c>
      <c r="F5410" t="str">
        <f t="shared" si="186"/>
        <v>0A</v>
      </c>
    </row>
    <row r="5411" spans="1:6" x14ac:dyDescent="0.2">
      <c r="A5411">
        <v>1</v>
      </c>
      <c r="E5411" t="str">
        <f t="shared" si="187"/>
        <v>B</v>
      </c>
      <c r="F5411" t="str">
        <f t="shared" si="186"/>
        <v>1B</v>
      </c>
    </row>
    <row r="5412" spans="1:6" x14ac:dyDescent="0.2">
      <c r="A5412">
        <v>2</v>
      </c>
      <c r="E5412" t="str">
        <f t="shared" si="187"/>
        <v>C</v>
      </c>
      <c r="F5412" t="str">
        <f t="shared" si="186"/>
        <v>2C</v>
      </c>
    </row>
    <row r="5413" spans="1:6" x14ac:dyDescent="0.2">
      <c r="A5413">
        <v>3</v>
      </c>
      <c r="E5413" t="str">
        <f t="shared" si="187"/>
        <v>D</v>
      </c>
      <c r="F5413" t="str">
        <f t="shared" si="186"/>
        <v>3D</v>
      </c>
    </row>
    <row r="5414" spans="1:6" x14ac:dyDescent="0.2">
      <c r="A5414">
        <v>4</v>
      </c>
      <c r="E5414" t="str">
        <f t="shared" si="187"/>
        <v>E</v>
      </c>
      <c r="F5414" t="str">
        <f t="shared" si="186"/>
        <v>4E</v>
      </c>
    </row>
    <row r="5415" spans="1:6" x14ac:dyDescent="0.2">
      <c r="A5415">
        <v>5</v>
      </c>
      <c r="E5415" t="str">
        <f t="shared" si="187"/>
        <v>F</v>
      </c>
      <c r="F5415" t="str">
        <f t="shared" si="186"/>
        <v>5F</v>
      </c>
    </row>
    <row r="5416" spans="1:6" x14ac:dyDescent="0.2">
      <c r="A5416">
        <v>6</v>
      </c>
      <c r="E5416" t="str">
        <f t="shared" si="187"/>
        <v>G</v>
      </c>
      <c r="F5416" t="str">
        <f t="shared" si="186"/>
        <v>6G</v>
      </c>
    </row>
    <row r="5417" spans="1:6" x14ac:dyDescent="0.2">
      <c r="A5417">
        <v>7</v>
      </c>
      <c r="E5417" t="str">
        <f t="shared" si="187"/>
        <v>H</v>
      </c>
      <c r="F5417" t="str">
        <f t="shared" si="186"/>
        <v>7H</v>
      </c>
    </row>
    <row r="5418" spans="1:6" x14ac:dyDescent="0.2">
      <c r="A5418">
        <v>8</v>
      </c>
      <c r="E5418" t="str">
        <f t="shared" si="187"/>
        <v>I</v>
      </c>
      <c r="F5418" t="str">
        <f t="shared" si="186"/>
        <v>8I</v>
      </c>
    </row>
    <row r="5419" spans="1:6" x14ac:dyDescent="0.2">
      <c r="A5419">
        <v>9</v>
      </c>
      <c r="E5419" t="str">
        <f t="shared" si="187"/>
        <v>J</v>
      </c>
      <c r="F5419" t="str">
        <f t="shared" si="186"/>
        <v>9J</v>
      </c>
    </row>
    <row r="5420" spans="1:6" x14ac:dyDescent="0.2">
      <c r="A5420">
        <v>10</v>
      </c>
      <c r="E5420" t="str">
        <f t="shared" si="187"/>
        <v>K</v>
      </c>
      <c r="F5420" t="str">
        <f t="shared" si="186"/>
        <v>10K</v>
      </c>
    </row>
    <row r="5421" spans="1:6" x14ac:dyDescent="0.2">
      <c r="A5421">
        <v>11</v>
      </c>
      <c r="E5421" t="str">
        <f t="shared" si="187"/>
        <v>L</v>
      </c>
      <c r="F5421" t="str">
        <f t="shared" si="186"/>
        <v>11L</v>
      </c>
    </row>
    <row r="5422" spans="1:6" x14ac:dyDescent="0.2">
      <c r="A5422">
        <v>12</v>
      </c>
      <c r="E5422" t="str">
        <f t="shared" si="187"/>
        <v>M</v>
      </c>
      <c r="F5422" t="str">
        <f t="shared" si="186"/>
        <v>12M</v>
      </c>
    </row>
    <row r="5423" spans="1:6" x14ac:dyDescent="0.2">
      <c r="A5423">
        <v>13</v>
      </c>
      <c r="E5423" t="str">
        <f t="shared" si="187"/>
        <v>N</v>
      </c>
      <c r="F5423" t="str">
        <f t="shared" si="186"/>
        <v>13N</v>
      </c>
    </row>
    <row r="5424" spans="1:6" x14ac:dyDescent="0.2">
      <c r="A5424">
        <v>14</v>
      </c>
      <c r="E5424" t="str">
        <f t="shared" si="187"/>
        <v>O</v>
      </c>
      <c r="F5424" t="str">
        <f t="shared" si="186"/>
        <v>14O</v>
      </c>
    </row>
    <row r="5425" spans="1:6" x14ac:dyDescent="0.2">
      <c r="A5425">
        <v>15</v>
      </c>
      <c r="E5425" t="str">
        <f t="shared" si="187"/>
        <v>P</v>
      </c>
      <c r="F5425" t="str">
        <f t="shared" si="186"/>
        <v>15P</v>
      </c>
    </row>
    <row r="5426" spans="1:6" x14ac:dyDescent="0.2">
      <c r="A5426">
        <v>16</v>
      </c>
      <c r="E5426" t="str">
        <f t="shared" si="187"/>
        <v>Q</v>
      </c>
      <c r="F5426" t="str">
        <f t="shared" si="186"/>
        <v>16Q</v>
      </c>
    </row>
    <row r="5427" spans="1:6" x14ac:dyDescent="0.2">
      <c r="A5427">
        <v>17</v>
      </c>
      <c r="E5427" t="str">
        <f t="shared" si="187"/>
        <v>R</v>
      </c>
      <c r="F5427" t="str">
        <f t="shared" si="186"/>
        <v>17R</v>
      </c>
    </row>
    <row r="5428" spans="1:6" x14ac:dyDescent="0.2">
      <c r="A5428">
        <v>18</v>
      </c>
      <c r="E5428" t="str">
        <f t="shared" si="187"/>
        <v>S</v>
      </c>
      <c r="F5428" t="str">
        <f t="shared" si="186"/>
        <v>18S</v>
      </c>
    </row>
    <row r="5429" spans="1:6" x14ac:dyDescent="0.2">
      <c r="A5429">
        <v>19</v>
      </c>
      <c r="E5429" t="str">
        <f t="shared" si="187"/>
        <v>T</v>
      </c>
      <c r="F5429" t="str">
        <f t="shared" si="186"/>
        <v>19T</v>
      </c>
    </row>
    <row r="5430" spans="1:6" x14ac:dyDescent="0.2">
      <c r="A5430">
        <v>20</v>
      </c>
      <c r="E5430" t="str">
        <f t="shared" si="187"/>
        <v>U</v>
      </c>
      <c r="F5430" t="str">
        <f t="shared" si="186"/>
        <v>20U</v>
      </c>
    </row>
    <row r="5431" spans="1:6" x14ac:dyDescent="0.2">
      <c r="A5431">
        <v>21</v>
      </c>
      <c r="E5431" t="str">
        <f t="shared" si="187"/>
        <v>V</v>
      </c>
      <c r="F5431" t="str">
        <f t="shared" si="186"/>
        <v>21V</v>
      </c>
    </row>
    <row r="5432" spans="1:6" x14ac:dyDescent="0.2">
      <c r="A5432">
        <v>22</v>
      </c>
      <c r="E5432" t="str">
        <f t="shared" si="187"/>
        <v>W</v>
      </c>
      <c r="F5432" t="str">
        <f t="shared" si="186"/>
        <v>22W</v>
      </c>
    </row>
    <row r="5433" spans="1:6" x14ac:dyDescent="0.2">
      <c r="A5433">
        <v>23</v>
      </c>
      <c r="E5433" t="str">
        <f t="shared" si="187"/>
        <v>X</v>
      </c>
      <c r="F5433" t="str">
        <f t="shared" si="186"/>
        <v>23X</v>
      </c>
    </row>
    <row r="5434" spans="1:6" x14ac:dyDescent="0.2">
      <c r="A5434">
        <v>24</v>
      </c>
      <c r="E5434" t="str">
        <f t="shared" si="187"/>
        <v>Y</v>
      </c>
      <c r="F5434" t="str">
        <f t="shared" si="186"/>
        <v>24Y</v>
      </c>
    </row>
    <row r="5435" spans="1:6" x14ac:dyDescent="0.2">
      <c r="A5435">
        <v>25</v>
      </c>
      <c r="E5435" t="str">
        <f t="shared" si="187"/>
        <v>Z</v>
      </c>
      <c r="F5435" t="str">
        <f t="shared" si="186"/>
        <v>25Z</v>
      </c>
    </row>
    <row r="5436" spans="1:6" x14ac:dyDescent="0.2">
      <c r="A5436">
        <v>0</v>
      </c>
      <c r="E5436" t="str">
        <f t="shared" si="187"/>
        <v>A</v>
      </c>
      <c r="F5436" t="str">
        <f t="shared" si="186"/>
        <v>0A</v>
      </c>
    </row>
    <row r="5437" spans="1:6" x14ac:dyDescent="0.2">
      <c r="A5437">
        <v>1</v>
      </c>
      <c r="E5437" t="str">
        <f t="shared" si="187"/>
        <v>B</v>
      </c>
      <c r="F5437" t="str">
        <f t="shared" ref="F5437:F5500" si="188">A5437&amp;C5437&amp;E5437</f>
        <v>1B</v>
      </c>
    </row>
    <row r="5438" spans="1:6" x14ac:dyDescent="0.2">
      <c r="A5438">
        <v>2</v>
      </c>
      <c r="E5438" t="str">
        <f t="shared" si="187"/>
        <v>C</v>
      </c>
      <c r="F5438" t="str">
        <f t="shared" si="188"/>
        <v>2C</v>
      </c>
    </row>
    <row r="5439" spans="1:6" x14ac:dyDescent="0.2">
      <c r="A5439">
        <v>3</v>
      </c>
      <c r="E5439" t="str">
        <f t="shared" si="187"/>
        <v>D</v>
      </c>
      <c r="F5439" t="str">
        <f t="shared" si="188"/>
        <v>3D</v>
      </c>
    </row>
    <row r="5440" spans="1:6" x14ac:dyDescent="0.2">
      <c r="A5440">
        <v>4</v>
      </c>
      <c r="E5440" t="str">
        <f t="shared" si="187"/>
        <v>E</v>
      </c>
      <c r="F5440" t="str">
        <f t="shared" si="188"/>
        <v>4E</v>
      </c>
    </row>
    <row r="5441" spans="1:6" x14ac:dyDescent="0.2">
      <c r="A5441">
        <v>5</v>
      </c>
      <c r="E5441" t="str">
        <f t="shared" si="187"/>
        <v>F</v>
      </c>
      <c r="F5441" t="str">
        <f t="shared" si="188"/>
        <v>5F</v>
      </c>
    </row>
    <row r="5442" spans="1:6" x14ac:dyDescent="0.2">
      <c r="A5442">
        <v>6</v>
      </c>
      <c r="E5442" t="str">
        <f t="shared" si="187"/>
        <v>G</v>
      </c>
      <c r="F5442" t="str">
        <f t="shared" si="188"/>
        <v>6G</v>
      </c>
    </row>
    <row r="5443" spans="1:6" x14ac:dyDescent="0.2">
      <c r="A5443">
        <v>7</v>
      </c>
      <c r="E5443" t="str">
        <f t="shared" si="187"/>
        <v>H</v>
      </c>
      <c r="F5443" t="str">
        <f t="shared" si="188"/>
        <v>7H</v>
      </c>
    </row>
    <row r="5444" spans="1:6" x14ac:dyDescent="0.2">
      <c r="A5444">
        <v>8</v>
      </c>
      <c r="E5444" t="str">
        <f t="shared" si="187"/>
        <v>I</v>
      </c>
      <c r="F5444" t="str">
        <f t="shared" si="188"/>
        <v>8I</v>
      </c>
    </row>
    <row r="5445" spans="1:6" x14ac:dyDescent="0.2">
      <c r="A5445">
        <v>9</v>
      </c>
      <c r="E5445" t="str">
        <f t="shared" si="187"/>
        <v>J</v>
      </c>
      <c r="F5445" t="str">
        <f t="shared" si="188"/>
        <v>9J</v>
      </c>
    </row>
    <row r="5446" spans="1:6" x14ac:dyDescent="0.2">
      <c r="A5446">
        <v>10</v>
      </c>
      <c r="E5446" t="str">
        <f t="shared" si="187"/>
        <v>K</v>
      </c>
      <c r="F5446" t="str">
        <f t="shared" si="188"/>
        <v>10K</v>
      </c>
    </row>
    <row r="5447" spans="1:6" x14ac:dyDescent="0.2">
      <c r="A5447">
        <v>11</v>
      </c>
      <c r="E5447" t="str">
        <f t="shared" si="187"/>
        <v>L</v>
      </c>
      <c r="F5447" t="str">
        <f t="shared" si="188"/>
        <v>11L</v>
      </c>
    </row>
    <row r="5448" spans="1:6" x14ac:dyDescent="0.2">
      <c r="A5448">
        <v>12</v>
      </c>
      <c r="E5448" t="str">
        <f t="shared" si="187"/>
        <v>M</v>
      </c>
      <c r="F5448" t="str">
        <f t="shared" si="188"/>
        <v>12M</v>
      </c>
    </row>
    <row r="5449" spans="1:6" x14ac:dyDescent="0.2">
      <c r="A5449">
        <v>13</v>
      </c>
      <c r="E5449" t="str">
        <f t="shared" si="187"/>
        <v>N</v>
      </c>
      <c r="F5449" t="str">
        <f t="shared" si="188"/>
        <v>13N</v>
      </c>
    </row>
    <row r="5450" spans="1:6" x14ac:dyDescent="0.2">
      <c r="A5450">
        <v>14</v>
      </c>
      <c r="E5450" t="str">
        <f t="shared" si="187"/>
        <v>O</v>
      </c>
      <c r="F5450" t="str">
        <f t="shared" si="188"/>
        <v>14O</v>
      </c>
    </row>
    <row r="5451" spans="1:6" x14ac:dyDescent="0.2">
      <c r="A5451">
        <v>15</v>
      </c>
      <c r="E5451" t="str">
        <f t="shared" si="187"/>
        <v>P</v>
      </c>
      <c r="F5451" t="str">
        <f t="shared" si="188"/>
        <v>15P</v>
      </c>
    </row>
    <row r="5452" spans="1:6" x14ac:dyDescent="0.2">
      <c r="A5452">
        <v>16</v>
      </c>
      <c r="E5452" t="str">
        <f t="shared" si="187"/>
        <v>Q</v>
      </c>
      <c r="F5452" t="str">
        <f t="shared" si="188"/>
        <v>16Q</v>
      </c>
    </row>
    <row r="5453" spans="1:6" x14ac:dyDescent="0.2">
      <c r="A5453">
        <v>17</v>
      </c>
      <c r="E5453" t="str">
        <f t="shared" si="187"/>
        <v>R</v>
      </c>
      <c r="F5453" t="str">
        <f t="shared" si="188"/>
        <v>17R</v>
      </c>
    </row>
    <row r="5454" spans="1:6" x14ac:dyDescent="0.2">
      <c r="A5454">
        <v>18</v>
      </c>
      <c r="E5454" t="str">
        <f t="shared" si="187"/>
        <v>S</v>
      </c>
      <c r="F5454" t="str">
        <f t="shared" si="188"/>
        <v>18S</v>
      </c>
    </row>
    <row r="5455" spans="1:6" x14ac:dyDescent="0.2">
      <c r="A5455">
        <v>19</v>
      </c>
      <c r="E5455" t="str">
        <f t="shared" si="187"/>
        <v>T</v>
      </c>
      <c r="F5455" t="str">
        <f t="shared" si="188"/>
        <v>19T</v>
      </c>
    </row>
    <row r="5456" spans="1:6" x14ac:dyDescent="0.2">
      <c r="A5456">
        <v>20</v>
      </c>
      <c r="E5456" t="str">
        <f t="shared" si="187"/>
        <v>U</v>
      </c>
      <c r="F5456" t="str">
        <f t="shared" si="188"/>
        <v>20U</v>
      </c>
    </row>
    <row r="5457" spans="1:6" x14ac:dyDescent="0.2">
      <c r="A5457">
        <v>21</v>
      </c>
      <c r="E5457" t="str">
        <f t="shared" si="187"/>
        <v>V</v>
      </c>
      <c r="F5457" t="str">
        <f t="shared" si="188"/>
        <v>21V</v>
      </c>
    </row>
    <row r="5458" spans="1:6" x14ac:dyDescent="0.2">
      <c r="A5458">
        <v>22</v>
      </c>
      <c r="E5458" t="str">
        <f t="shared" si="187"/>
        <v>W</v>
      </c>
      <c r="F5458" t="str">
        <f t="shared" si="188"/>
        <v>22W</v>
      </c>
    </row>
    <row r="5459" spans="1:6" x14ac:dyDescent="0.2">
      <c r="A5459">
        <v>23</v>
      </c>
      <c r="E5459" t="str">
        <f t="shared" si="187"/>
        <v>X</v>
      </c>
      <c r="F5459" t="str">
        <f t="shared" si="188"/>
        <v>23X</v>
      </c>
    </row>
    <row r="5460" spans="1:6" x14ac:dyDescent="0.2">
      <c r="A5460">
        <v>24</v>
      </c>
      <c r="E5460" t="str">
        <f t="shared" si="187"/>
        <v>Y</v>
      </c>
      <c r="F5460" t="str">
        <f t="shared" si="188"/>
        <v>24Y</v>
      </c>
    </row>
    <row r="5461" spans="1:6" x14ac:dyDescent="0.2">
      <c r="A5461">
        <v>25</v>
      </c>
      <c r="E5461" t="str">
        <f t="shared" si="187"/>
        <v>Z</v>
      </c>
      <c r="F5461" t="str">
        <f t="shared" si="188"/>
        <v>25Z</v>
      </c>
    </row>
    <row r="5462" spans="1:6" x14ac:dyDescent="0.2">
      <c r="A5462">
        <v>0</v>
      </c>
      <c r="E5462" t="str">
        <f t="shared" si="187"/>
        <v>A</v>
      </c>
      <c r="F5462" t="str">
        <f t="shared" si="188"/>
        <v>0A</v>
      </c>
    </row>
    <row r="5463" spans="1:6" x14ac:dyDescent="0.2">
      <c r="A5463">
        <v>1</v>
      </c>
      <c r="E5463" t="str">
        <f t="shared" ref="E5463:E5526" si="189">E5437</f>
        <v>B</v>
      </c>
      <c r="F5463" t="str">
        <f t="shared" si="188"/>
        <v>1B</v>
      </c>
    </row>
    <row r="5464" spans="1:6" x14ac:dyDescent="0.2">
      <c r="A5464">
        <v>2</v>
      </c>
      <c r="E5464" t="str">
        <f t="shared" si="189"/>
        <v>C</v>
      </c>
      <c r="F5464" t="str">
        <f t="shared" si="188"/>
        <v>2C</v>
      </c>
    </row>
    <row r="5465" spans="1:6" x14ac:dyDescent="0.2">
      <c r="A5465">
        <v>3</v>
      </c>
      <c r="E5465" t="str">
        <f t="shared" si="189"/>
        <v>D</v>
      </c>
      <c r="F5465" t="str">
        <f t="shared" si="188"/>
        <v>3D</v>
      </c>
    </row>
    <row r="5466" spans="1:6" x14ac:dyDescent="0.2">
      <c r="A5466">
        <v>4</v>
      </c>
      <c r="E5466" t="str">
        <f t="shared" si="189"/>
        <v>E</v>
      </c>
      <c r="F5466" t="str">
        <f t="shared" si="188"/>
        <v>4E</v>
      </c>
    </row>
    <row r="5467" spans="1:6" x14ac:dyDescent="0.2">
      <c r="A5467">
        <v>5</v>
      </c>
      <c r="E5467" t="str">
        <f t="shared" si="189"/>
        <v>F</v>
      </c>
      <c r="F5467" t="str">
        <f t="shared" si="188"/>
        <v>5F</v>
      </c>
    </row>
    <row r="5468" spans="1:6" x14ac:dyDescent="0.2">
      <c r="A5468">
        <v>6</v>
      </c>
      <c r="E5468" t="str">
        <f t="shared" si="189"/>
        <v>G</v>
      </c>
      <c r="F5468" t="str">
        <f t="shared" si="188"/>
        <v>6G</v>
      </c>
    </row>
    <row r="5469" spans="1:6" x14ac:dyDescent="0.2">
      <c r="A5469">
        <v>7</v>
      </c>
      <c r="E5469" t="str">
        <f t="shared" si="189"/>
        <v>H</v>
      </c>
      <c r="F5469" t="str">
        <f t="shared" si="188"/>
        <v>7H</v>
      </c>
    </row>
    <row r="5470" spans="1:6" x14ac:dyDescent="0.2">
      <c r="A5470">
        <v>8</v>
      </c>
      <c r="E5470" t="str">
        <f t="shared" si="189"/>
        <v>I</v>
      </c>
      <c r="F5470" t="str">
        <f t="shared" si="188"/>
        <v>8I</v>
      </c>
    </row>
    <row r="5471" spans="1:6" x14ac:dyDescent="0.2">
      <c r="A5471">
        <v>9</v>
      </c>
      <c r="E5471" t="str">
        <f t="shared" si="189"/>
        <v>J</v>
      </c>
      <c r="F5471" t="str">
        <f t="shared" si="188"/>
        <v>9J</v>
      </c>
    </row>
    <row r="5472" spans="1:6" x14ac:dyDescent="0.2">
      <c r="A5472">
        <v>10</v>
      </c>
      <c r="E5472" t="str">
        <f t="shared" si="189"/>
        <v>K</v>
      </c>
      <c r="F5472" t="str">
        <f t="shared" si="188"/>
        <v>10K</v>
      </c>
    </row>
    <row r="5473" spans="1:6" x14ac:dyDescent="0.2">
      <c r="A5473">
        <v>11</v>
      </c>
      <c r="E5473" t="str">
        <f t="shared" si="189"/>
        <v>L</v>
      </c>
      <c r="F5473" t="str">
        <f t="shared" si="188"/>
        <v>11L</v>
      </c>
    </row>
    <row r="5474" spans="1:6" x14ac:dyDescent="0.2">
      <c r="A5474">
        <v>12</v>
      </c>
      <c r="E5474" t="str">
        <f t="shared" si="189"/>
        <v>M</v>
      </c>
      <c r="F5474" t="str">
        <f t="shared" si="188"/>
        <v>12M</v>
      </c>
    </row>
    <row r="5475" spans="1:6" x14ac:dyDescent="0.2">
      <c r="A5475">
        <v>13</v>
      </c>
      <c r="E5475" t="str">
        <f t="shared" si="189"/>
        <v>N</v>
      </c>
      <c r="F5475" t="str">
        <f t="shared" si="188"/>
        <v>13N</v>
      </c>
    </row>
    <row r="5476" spans="1:6" x14ac:dyDescent="0.2">
      <c r="A5476">
        <v>14</v>
      </c>
      <c r="E5476" t="str">
        <f t="shared" si="189"/>
        <v>O</v>
      </c>
      <c r="F5476" t="str">
        <f t="shared" si="188"/>
        <v>14O</v>
      </c>
    </row>
    <row r="5477" spans="1:6" x14ac:dyDescent="0.2">
      <c r="A5477">
        <v>15</v>
      </c>
      <c r="E5477" t="str">
        <f t="shared" si="189"/>
        <v>P</v>
      </c>
      <c r="F5477" t="str">
        <f t="shared" si="188"/>
        <v>15P</v>
      </c>
    </row>
    <row r="5478" spans="1:6" x14ac:dyDescent="0.2">
      <c r="A5478">
        <v>16</v>
      </c>
      <c r="E5478" t="str">
        <f t="shared" si="189"/>
        <v>Q</v>
      </c>
      <c r="F5478" t="str">
        <f t="shared" si="188"/>
        <v>16Q</v>
      </c>
    </row>
    <row r="5479" spans="1:6" x14ac:dyDescent="0.2">
      <c r="A5479">
        <v>17</v>
      </c>
      <c r="E5479" t="str">
        <f t="shared" si="189"/>
        <v>R</v>
      </c>
      <c r="F5479" t="str">
        <f t="shared" si="188"/>
        <v>17R</v>
      </c>
    </row>
    <row r="5480" spans="1:6" x14ac:dyDescent="0.2">
      <c r="A5480">
        <v>18</v>
      </c>
      <c r="E5480" t="str">
        <f t="shared" si="189"/>
        <v>S</v>
      </c>
      <c r="F5480" t="str">
        <f t="shared" si="188"/>
        <v>18S</v>
      </c>
    </row>
    <row r="5481" spans="1:6" x14ac:dyDescent="0.2">
      <c r="A5481">
        <v>19</v>
      </c>
      <c r="E5481" t="str">
        <f t="shared" si="189"/>
        <v>T</v>
      </c>
      <c r="F5481" t="str">
        <f t="shared" si="188"/>
        <v>19T</v>
      </c>
    </row>
    <row r="5482" spans="1:6" x14ac:dyDescent="0.2">
      <c r="A5482">
        <v>20</v>
      </c>
      <c r="E5482" t="str">
        <f t="shared" si="189"/>
        <v>U</v>
      </c>
      <c r="F5482" t="str">
        <f t="shared" si="188"/>
        <v>20U</v>
      </c>
    </row>
    <row r="5483" spans="1:6" x14ac:dyDescent="0.2">
      <c r="A5483">
        <v>21</v>
      </c>
      <c r="E5483" t="str">
        <f t="shared" si="189"/>
        <v>V</v>
      </c>
      <c r="F5483" t="str">
        <f t="shared" si="188"/>
        <v>21V</v>
      </c>
    </row>
    <row r="5484" spans="1:6" x14ac:dyDescent="0.2">
      <c r="A5484">
        <v>22</v>
      </c>
      <c r="E5484" t="str">
        <f t="shared" si="189"/>
        <v>W</v>
      </c>
      <c r="F5484" t="str">
        <f t="shared" si="188"/>
        <v>22W</v>
      </c>
    </row>
    <row r="5485" spans="1:6" x14ac:dyDescent="0.2">
      <c r="A5485">
        <v>23</v>
      </c>
      <c r="E5485" t="str">
        <f t="shared" si="189"/>
        <v>X</v>
      </c>
      <c r="F5485" t="str">
        <f t="shared" si="188"/>
        <v>23X</v>
      </c>
    </row>
    <row r="5486" spans="1:6" x14ac:dyDescent="0.2">
      <c r="A5486">
        <v>24</v>
      </c>
      <c r="E5486" t="str">
        <f t="shared" si="189"/>
        <v>Y</v>
      </c>
      <c r="F5486" t="str">
        <f t="shared" si="188"/>
        <v>24Y</v>
      </c>
    </row>
    <row r="5487" spans="1:6" x14ac:dyDescent="0.2">
      <c r="A5487">
        <v>25</v>
      </c>
      <c r="E5487" t="str">
        <f t="shared" si="189"/>
        <v>Z</v>
      </c>
      <c r="F5487" t="str">
        <f t="shared" si="188"/>
        <v>25Z</v>
      </c>
    </row>
    <row r="5488" spans="1:6" x14ac:dyDescent="0.2">
      <c r="A5488">
        <v>0</v>
      </c>
      <c r="E5488" t="str">
        <f t="shared" si="189"/>
        <v>A</v>
      </c>
      <c r="F5488" t="str">
        <f t="shared" si="188"/>
        <v>0A</v>
      </c>
    </row>
    <row r="5489" spans="1:6" x14ac:dyDescent="0.2">
      <c r="A5489">
        <v>1</v>
      </c>
      <c r="E5489" t="str">
        <f t="shared" si="189"/>
        <v>B</v>
      </c>
      <c r="F5489" t="str">
        <f t="shared" si="188"/>
        <v>1B</v>
      </c>
    </row>
    <row r="5490" spans="1:6" x14ac:dyDescent="0.2">
      <c r="A5490">
        <v>2</v>
      </c>
      <c r="E5490" t="str">
        <f t="shared" si="189"/>
        <v>C</v>
      </c>
      <c r="F5490" t="str">
        <f t="shared" si="188"/>
        <v>2C</v>
      </c>
    </row>
    <row r="5491" spans="1:6" x14ac:dyDescent="0.2">
      <c r="A5491">
        <v>3</v>
      </c>
      <c r="E5491" t="str">
        <f t="shared" si="189"/>
        <v>D</v>
      </c>
      <c r="F5491" t="str">
        <f t="shared" si="188"/>
        <v>3D</v>
      </c>
    </row>
    <row r="5492" spans="1:6" x14ac:dyDescent="0.2">
      <c r="A5492">
        <v>4</v>
      </c>
      <c r="E5492" t="str">
        <f t="shared" si="189"/>
        <v>E</v>
      </c>
      <c r="F5492" t="str">
        <f t="shared" si="188"/>
        <v>4E</v>
      </c>
    </row>
    <row r="5493" spans="1:6" x14ac:dyDescent="0.2">
      <c r="A5493">
        <v>5</v>
      </c>
      <c r="E5493" t="str">
        <f t="shared" si="189"/>
        <v>F</v>
      </c>
      <c r="F5493" t="str">
        <f t="shared" si="188"/>
        <v>5F</v>
      </c>
    </row>
    <row r="5494" spans="1:6" x14ac:dyDescent="0.2">
      <c r="A5494">
        <v>6</v>
      </c>
      <c r="E5494" t="str">
        <f t="shared" si="189"/>
        <v>G</v>
      </c>
      <c r="F5494" t="str">
        <f t="shared" si="188"/>
        <v>6G</v>
      </c>
    </row>
    <row r="5495" spans="1:6" x14ac:dyDescent="0.2">
      <c r="A5495">
        <v>7</v>
      </c>
      <c r="E5495" t="str">
        <f t="shared" si="189"/>
        <v>H</v>
      </c>
      <c r="F5495" t="str">
        <f t="shared" si="188"/>
        <v>7H</v>
      </c>
    </row>
    <row r="5496" spans="1:6" x14ac:dyDescent="0.2">
      <c r="A5496">
        <v>8</v>
      </c>
      <c r="E5496" t="str">
        <f t="shared" si="189"/>
        <v>I</v>
      </c>
      <c r="F5496" t="str">
        <f t="shared" si="188"/>
        <v>8I</v>
      </c>
    </row>
    <row r="5497" spans="1:6" x14ac:dyDescent="0.2">
      <c r="A5497">
        <v>9</v>
      </c>
      <c r="E5497" t="str">
        <f t="shared" si="189"/>
        <v>J</v>
      </c>
      <c r="F5497" t="str">
        <f t="shared" si="188"/>
        <v>9J</v>
      </c>
    </row>
    <row r="5498" spans="1:6" x14ac:dyDescent="0.2">
      <c r="A5498">
        <v>10</v>
      </c>
      <c r="E5498" t="str">
        <f t="shared" si="189"/>
        <v>K</v>
      </c>
      <c r="F5498" t="str">
        <f t="shared" si="188"/>
        <v>10K</v>
      </c>
    </row>
    <row r="5499" spans="1:6" x14ac:dyDescent="0.2">
      <c r="A5499">
        <v>11</v>
      </c>
      <c r="E5499" t="str">
        <f t="shared" si="189"/>
        <v>L</v>
      </c>
      <c r="F5499" t="str">
        <f t="shared" si="188"/>
        <v>11L</v>
      </c>
    </row>
    <row r="5500" spans="1:6" x14ac:dyDescent="0.2">
      <c r="A5500">
        <v>12</v>
      </c>
      <c r="E5500" t="str">
        <f t="shared" si="189"/>
        <v>M</v>
      </c>
      <c r="F5500" t="str">
        <f t="shared" si="188"/>
        <v>12M</v>
      </c>
    </row>
    <row r="5501" spans="1:6" x14ac:dyDescent="0.2">
      <c r="A5501">
        <v>13</v>
      </c>
      <c r="E5501" t="str">
        <f t="shared" si="189"/>
        <v>N</v>
      </c>
      <c r="F5501" t="str">
        <f t="shared" ref="F5501:F5564" si="190">A5501&amp;C5501&amp;E5501</f>
        <v>13N</v>
      </c>
    </row>
    <row r="5502" spans="1:6" x14ac:dyDescent="0.2">
      <c r="A5502">
        <v>14</v>
      </c>
      <c r="E5502" t="str">
        <f t="shared" si="189"/>
        <v>O</v>
      </c>
      <c r="F5502" t="str">
        <f t="shared" si="190"/>
        <v>14O</v>
      </c>
    </row>
    <row r="5503" spans="1:6" x14ac:dyDescent="0.2">
      <c r="A5503">
        <v>15</v>
      </c>
      <c r="E5503" t="str">
        <f t="shared" si="189"/>
        <v>P</v>
      </c>
      <c r="F5503" t="str">
        <f t="shared" si="190"/>
        <v>15P</v>
      </c>
    </row>
    <row r="5504" spans="1:6" x14ac:dyDescent="0.2">
      <c r="A5504">
        <v>16</v>
      </c>
      <c r="E5504" t="str">
        <f t="shared" si="189"/>
        <v>Q</v>
      </c>
      <c r="F5504" t="str">
        <f t="shared" si="190"/>
        <v>16Q</v>
      </c>
    </row>
    <row r="5505" spans="1:6" x14ac:dyDescent="0.2">
      <c r="A5505">
        <v>17</v>
      </c>
      <c r="E5505" t="str">
        <f t="shared" si="189"/>
        <v>R</v>
      </c>
      <c r="F5505" t="str">
        <f t="shared" si="190"/>
        <v>17R</v>
      </c>
    </row>
    <row r="5506" spans="1:6" x14ac:dyDescent="0.2">
      <c r="A5506">
        <v>18</v>
      </c>
      <c r="E5506" t="str">
        <f t="shared" si="189"/>
        <v>S</v>
      </c>
      <c r="F5506" t="str">
        <f t="shared" si="190"/>
        <v>18S</v>
      </c>
    </row>
    <row r="5507" spans="1:6" x14ac:dyDescent="0.2">
      <c r="A5507">
        <v>19</v>
      </c>
      <c r="E5507" t="str">
        <f t="shared" si="189"/>
        <v>T</v>
      </c>
      <c r="F5507" t="str">
        <f t="shared" si="190"/>
        <v>19T</v>
      </c>
    </row>
    <row r="5508" spans="1:6" x14ac:dyDescent="0.2">
      <c r="A5508">
        <v>20</v>
      </c>
      <c r="E5508" t="str">
        <f t="shared" si="189"/>
        <v>U</v>
      </c>
      <c r="F5508" t="str">
        <f t="shared" si="190"/>
        <v>20U</v>
      </c>
    </row>
    <row r="5509" spans="1:6" x14ac:dyDescent="0.2">
      <c r="A5509">
        <v>21</v>
      </c>
      <c r="E5509" t="str">
        <f t="shared" si="189"/>
        <v>V</v>
      </c>
      <c r="F5509" t="str">
        <f t="shared" si="190"/>
        <v>21V</v>
      </c>
    </row>
    <row r="5510" spans="1:6" x14ac:dyDescent="0.2">
      <c r="A5510">
        <v>22</v>
      </c>
      <c r="E5510" t="str">
        <f t="shared" si="189"/>
        <v>W</v>
      </c>
      <c r="F5510" t="str">
        <f t="shared" si="190"/>
        <v>22W</v>
      </c>
    </row>
    <row r="5511" spans="1:6" x14ac:dyDescent="0.2">
      <c r="A5511">
        <v>23</v>
      </c>
      <c r="E5511" t="str">
        <f t="shared" si="189"/>
        <v>X</v>
      </c>
      <c r="F5511" t="str">
        <f t="shared" si="190"/>
        <v>23X</v>
      </c>
    </row>
    <row r="5512" spans="1:6" x14ac:dyDescent="0.2">
      <c r="A5512">
        <v>24</v>
      </c>
      <c r="E5512" t="str">
        <f t="shared" si="189"/>
        <v>Y</v>
      </c>
      <c r="F5512" t="str">
        <f t="shared" si="190"/>
        <v>24Y</v>
      </c>
    </row>
    <row r="5513" spans="1:6" x14ac:dyDescent="0.2">
      <c r="A5513">
        <v>25</v>
      </c>
      <c r="E5513" t="str">
        <f t="shared" si="189"/>
        <v>Z</v>
      </c>
      <c r="F5513" t="str">
        <f t="shared" si="190"/>
        <v>25Z</v>
      </c>
    </row>
    <row r="5514" spans="1:6" x14ac:dyDescent="0.2">
      <c r="A5514">
        <v>0</v>
      </c>
      <c r="E5514" t="str">
        <f t="shared" si="189"/>
        <v>A</v>
      </c>
      <c r="F5514" t="str">
        <f t="shared" si="190"/>
        <v>0A</v>
      </c>
    </row>
    <row r="5515" spans="1:6" x14ac:dyDescent="0.2">
      <c r="A5515">
        <v>1</v>
      </c>
      <c r="E5515" t="str">
        <f t="shared" si="189"/>
        <v>B</v>
      </c>
      <c r="F5515" t="str">
        <f t="shared" si="190"/>
        <v>1B</v>
      </c>
    </row>
    <row r="5516" spans="1:6" x14ac:dyDescent="0.2">
      <c r="A5516">
        <v>2</v>
      </c>
      <c r="E5516" t="str">
        <f t="shared" si="189"/>
        <v>C</v>
      </c>
      <c r="F5516" t="str">
        <f t="shared" si="190"/>
        <v>2C</v>
      </c>
    </row>
    <row r="5517" spans="1:6" x14ac:dyDescent="0.2">
      <c r="A5517">
        <v>3</v>
      </c>
      <c r="E5517" t="str">
        <f t="shared" si="189"/>
        <v>D</v>
      </c>
      <c r="F5517" t="str">
        <f t="shared" si="190"/>
        <v>3D</v>
      </c>
    </row>
    <row r="5518" spans="1:6" x14ac:dyDescent="0.2">
      <c r="A5518">
        <v>4</v>
      </c>
      <c r="E5518" t="str">
        <f t="shared" si="189"/>
        <v>E</v>
      </c>
      <c r="F5518" t="str">
        <f t="shared" si="190"/>
        <v>4E</v>
      </c>
    </row>
    <row r="5519" spans="1:6" x14ac:dyDescent="0.2">
      <c r="A5519">
        <v>5</v>
      </c>
      <c r="E5519" t="str">
        <f t="shared" si="189"/>
        <v>F</v>
      </c>
      <c r="F5519" t="str">
        <f t="shared" si="190"/>
        <v>5F</v>
      </c>
    </row>
    <row r="5520" spans="1:6" x14ac:dyDescent="0.2">
      <c r="A5520">
        <v>6</v>
      </c>
      <c r="E5520" t="str">
        <f t="shared" si="189"/>
        <v>G</v>
      </c>
      <c r="F5520" t="str">
        <f t="shared" si="190"/>
        <v>6G</v>
      </c>
    </row>
    <row r="5521" spans="1:6" x14ac:dyDescent="0.2">
      <c r="A5521">
        <v>7</v>
      </c>
      <c r="E5521" t="str">
        <f t="shared" si="189"/>
        <v>H</v>
      </c>
      <c r="F5521" t="str">
        <f t="shared" si="190"/>
        <v>7H</v>
      </c>
    </row>
    <row r="5522" spans="1:6" x14ac:dyDescent="0.2">
      <c r="A5522">
        <v>8</v>
      </c>
      <c r="E5522" t="str">
        <f t="shared" si="189"/>
        <v>I</v>
      </c>
      <c r="F5522" t="str">
        <f t="shared" si="190"/>
        <v>8I</v>
      </c>
    </row>
    <row r="5523" spans="1:6" x14ac:dyDescent="0.2">
      <c r="A5523">
        <v>9</v>
      </c>
      <c r="E5523" t="str">
        <f t="shared" si="189"/>
        <v>J</v>
      </c>
      <c r="F5523" t="str">
        <f t="shared" si="190"/>
        <v>9J</v>
      </c>
    </row>
    <row r="5524" spans="1:6" x14ac:dyDescent="0.2">
      <c r="A5524">
        <v>10</v>
      </c>
      <c r="E5524" t="str">
        <f t="shared" si="189"/>
        <v>K</v>
      </c>
      <c r="F5524" t="str">
        <f t="shared" si="190"/>
        <v>10K</v>
      </c>
    </row>
    <row r="5525" spans="1:6" x14ac:dyDescent="0.2">
      <c r="A5525">
        <v>11</v>
      </c>
      <c r="E5525" t="str">
        <f t="shared" si="189"/>
        <v>L</v>
      </c>
      <c r="F5525" t="str">
        <f t="shared" si="190"/>
        <v>11L</v>
      </c>
    </row>
    <row r="5526" spans="1:6" x14ac:dyDescent="0.2">
      <c r="A5526">
        <v>12</v>
      </c>
      <c r="E5526" t="str">
        <f t="shared" si="189"/>
        <v>M</v>
      </c>
      <c r="F5526" t="str">
        <f t="shared" si="190"/>
        <v>12M</v>
      </c>
    </row>
    <row r="5527" spans="1:6" x14ac:dyDescent="0.2">
      <c r="A5527">
        <v>13</v>
      </c>
      <c r="E5527" t="str">
        <f t="shared" ref="E5527:E5590" si="191">E5501</f>
        <v>N</v>
      </c>
      <c r="F5527" t="str">
        <f t="shared" si="190"/>
        <v>13N</v>
      </c>
    </row>
    <row r="5528" spans="1:6" x14ac:dyDescent="0.2">
      <c r="A5528">
        <v>14</v>
      </c>
      <c r="E5528" t="str">
        <f t="shared" si="191"/>
        <v>O</v>
      </c>
      <c r="F5528" t="str">
        <f t="shared" si="190"/>
        <v>14O</v>
      </c>
    </row>
    <row r="5529" spans="1:6" x14ac:dyDescent="0.2">
      <c r="A5529">
        <v>15</v>
      </c>
      <c r="E5529" t="str">
        <f t="shared" si="191"/>
        <v>P</v>
      </c>
      <c r="F5529" t="str">
        <f t="shared" si="190"/>
        <v>15P</v>
      </c>
    </row>
    <row r="5530" spans="1:6" x14ac:dyDescent="0.2">
      <c r="A5530">
        <v>16</v>
      </c>
      <c r="E5530" t="str">
        <f t="shared" si="191"/>
        <v>Q</v>
      </c>
      <c r="F5530" t="str">
        <f t="shared" si="190"/>
        <v>16Q</v>
      </c>
    </row>
    <row r="5531" spans="1:6" x14ac:dyDescent="0.2">
      <c r="A5531">
        <v>17</v>
      </c>
      <c r="E5531" t="str">
        <f t="shared" si="191"/>
        <v>R</v>
      </c>
      <c r="F5531" t="str">
        <f t="shared" si="190"/>
        <v>17R</v>
      </c>
    </row>
    <row r="5532" spans="1:6" x14ac:dyDescent="0.2">
      <c r="A5532">
        <v>18</v>
      </c>
      <c r="E5532" t="str">
        <f t="shared" si="191"/>
        <v>S</v>
      </c>
      <c r="F5532" t="str">
        <f t="shared" si="190"/>
        <v>18S</v>
      </c>
    </row>
    <row r="5533" spans="1:6" x14ac:dyDescent="0.2">
      <c r="A5533">
        <v>19</v>
      </c>
      <c r="E5533" t="str">
        <f t="shared" si="191"/>
        <v>T</v>
      </c>
      <c r="F5533" t="str">
        <f t="shared" si="190"/>
        <v>19T</v>
      </c>
    </row>
    <row r="5534" spans="1:6" x14ac:dyDescent="0.2">
      <c r="A5534">
        <v>20</v>
      </c>
      <c r="E5534" t="str">
        <f t="shared" si="191"/>
        <v>U</v>
      </c>
      <c r="F5534" t="str">
        <f t="shared" si="190"/>
        <v>20U</v>
      </c>
    </row>
    <row r="5535" spans="1:6" x14ac:dyDescent="0.2">
      <c r="A5535">
        <v>21</v>
      </c>
      <c r="E5535" t="str">
        <f t="shared" si="191"/>
        <v>V</v>
      </c>
      <c r="F5535" t="str">
        <f t="shared" si="190"/>
        <v>21V</v>
      </c>
    </row>
    <row r="5536" spans="1:6" x14ac:dyDescent="0.2">
      <c r="A5536">
        <v>22</v>
      </c>
      <c r="E5536" t="str">
        <f t="shared" si="191"/>
        <v>W</v>
      </c>
      <c r="F5536" t="str">
        <f t="shared" si="190"/>
        <v>22W</v>
      </c>
    </row>
    <row r="5537" spans="1:6" x14ac:dyDescent="0.2">
      <c r="A5537">
        <v>23</v>
      </c>
      <c r="E5537" t="str">
        <f t="shared" si="191"/>
        <v>X</v>
      </c>
      <c r="F5537" t="str">
        <f t="shared" si="190"/>
        <v>23X</v>
      </c>
    </row>
    <row r="5538" spans="1:6" x14ac:dyDescent="0.2">
      <c r="A5538">
        <v>24</v>
      </c>
      <c r="E5538" t="str">
        <f t="shared" si="191"/>
        <v>Y</v>
      </c>
      <c r="F5538" t="str">
        <f t="shared" si="190"/>
        <v>24Y</v>
      </c>
    </row>
    <row r="5539" spans="1:6" x14ac:dyDescent="0.2">
      <c r="A5539">
        <v>25</v>
      </c>
      <c r="E5539" t="str">
        <f t="shared" si="191"/>
        <v>Z</v>
      </c>
      <c r="F5539" t="str">
        <f t="shared" si="190"/>
        <v>25Z</v>
      </c>
    </row>
    <row r="5540" spans="1:6" x14ac:dyDescent="0.2">
      <c r="A5540">
        <v>0</v>
      </c>
      <c r="E5540" t="str">
        <f t="shared" si="191"/>
        <v>A</v>
      </c>
      <c r="F5540" t="str">
        <f t="shared" si="190"/>
        <v>0A</v>
      </c>
    </row>
    <row r="5541" spans="1:6" x14ac:dyDescent="0.2">
      <c r="A5541">
        <v>1</v>
      </c>
      <c r="E5541" t="str">
        <f t="shared" si="191"/>
        <v>B</v>
      </c>
      <c r="F5541" t="str">
        <f t="shared" si="190"/>
        <v>1B</v>
      </c>
    </row>
    <row r="5542" spans="1:6" x14ac:dyDescent="0.2">
      <c r="A5542">
        <v>2</v>
      </c>
      <c r="E5542" t="str">
        <f t="shared" si="191"/>
        <v>C</v>
      </c>
      <c r="F5542" t="str">
        <f t="shared" si="190"/>
        <v>2C</v>
      </c>
    </row>
    <row r="5543" spans="1:6" x14ac:dyDescent="0.2">
      <c r="A5543">
        <v>3</v>
      </c>
      <c r="E5543" t="str">
        <f t="shared" si="191"/>
        <v>D</v>
      </c>
      <c r="F5543" t="str">
        <f t="shared" si="190"/>
        <v>3D</v>
      </c>
    </row>
    <row r="5544" spans="1:6" x14ac:dyDescent="0.2">
      <c r="A5544">
        <v>4</v>
      </c>
      <c r="E5544" t="str">
        <f t="shared" si="191"/>
        <v>E</v>
      </c>
      <c r="F5544" t="str">
        <f t="shared" si="190"/>
        <v>4E</v>
      </c>
    </row>
    <row r="5545" spans="1:6" x14ac:dyDescent="0.2">
      <c r="A5545">
        <v>5</v>
      </c>
      <c r="E5545" t="str">
        <f t="shared" si="191"/>
        <v>F</v>
      </c>
      <c r="F5545" t="str">
        <f t="shared" si="190"/>
        <v>5F</v>
      </c>
    </row>
    <row r="5546" spans="1:6" x14ac:dyDescent="0.2">
      <c r="A5546">
        <v>6</v>
      </c>
      <c r="E5546" t="str">
        <f t="shared" si="191"/>
        <v>G</v>
      </c>
      <c r="F5546" t="str">
        <f t="shared" si="190"/>
        <v>6G</v>
      </c>
    </row>
    <row r="5547" spans="1:6" x14ac:dyDescent="0.2">
      <c r="A5547">
        <v>7</v>
      </c>
      <c r="E5547" t="str">
        <f t="shared" si="191"/>
        <v>H</v>
      </c>
      <c r="F5547" t="str">
        <f t="shared" si="190"/>
        <v>7H</v>
      </c>
    </row>
    <row r="5548" spans="1:6" x14ac:dyDescent="0.2">
      <c r="A5548">
        <v>8</v>
      </c>
      <c r="E5548" t="str">
        <f t="shared" si="191"/>
        <v>I</v>
      </c>
      <c r="F5548" t="str">
        <f t="shared" si="190"/>
        <v>8I</v>
      </c>
    </row>
    <row r="5549" spans="1:6" x14ac:dyDescent="0.2">
      <c r="A5549">
        <v>9</v>
      </c>
      <c r="E5549" t="str">
        <f t="shared" si="191"/>
        <v>J</v>
      </c>
      <c r="F5549" t="str">
        <f t="shared" si="190"/>
        <v>9J</v>
      </c>
    </row>
    <row r="5550" spans="1:6" x14ac:dyDescent="0.2">
      <c r="A5550">
        <v>10</v>
      </c>
      <c r="E5550" t="str">
        <f t="shared" si="191"/>
        <v>K</v>
      </c>
      <c r="F5550" t="str">
        <f t="shared" si="190"/>
        <v>10K</v>
      </c>
    </row>
    <row r="5551" spans="1:6" x14ac:dyDescent="0.2">
      <c r="A5551">
        <v>11</v>
      </c>
      <c r="E5551" t="str">
        <f t="shared" si="191"/>
        <v>L</v>
      </c>
      <c r="F5551" t="str">
        <f t="shared" si="190"/>
        <v>11L</v>
      </c>
    </row>
    <row r="5552" spans="1:6" x14ac:dyDescent="0.2">
      <c r="A5552">
        <v>12</v>
      </c>
      <c r="E5552" t="str">
        <f t="shared" si="191"/>
        <v>M</v>
      </c>
      <c r="F5552" t="str">
        <f t="shared" si="190"/>
        <v>12M</v>
      </c>
    </row>
    <row r="5553" spans="1:6" x14ac:dyDescent="0.2">
      <c r="A5553">
        <v>13</v>
      </c>
      <c r="E5553" t="str">
        <f t="shared" si="191"/>
        <v>N</v>
      </c>
      <c r="F5553" t="str">
        <f t="shared" si="190"/>
        <v>13N</v>
      </c>
    </row>
    <row r="5554" spans="1:6" x14ac:dyDescent="0.2">
      <c r="A5554">
        <v>14</v>
      </c>
      <c r="E5554" t="str">
        <f t="shared" si="191"/>
        <v>O</v>
      </c>
      <c r="F5554" t="str">
        <f t="shared" si="190"/>
        <v>14O</v>
      </c>
    </row>
    <row r="5555" spans="1:6" x14ac:dyDescent="0.2">
      <c r="A5555">
        <v>15</v>
      </c>
      <c r="E5555" t="str">
        <f t="shared" si="191"/>
        <v>P</v>
      </c>
      <c r="F5555" t="str">
        <f t="shared" si="190"/>
        <v>15P</v>
      </c>
    </row>
    <row r="5556" spans="1:6" x14ac:dyDescent="0.2">
      <c r="A5556">
        <v>16</v>
      </c>
      <c r="E5556" t="str">
        <f t="shared" si="191"/>
        <v>Q</v>
      </c>
      <c r="F5556" t="str">
        <f t="shared" si="190"/>
        <v>16Q</v>
      </c>
    </row>
    <row r="5557" spans="1:6" x14ac:dyDescent="0.2">
      <c r="A5557">
        <v>17</v>
      </c>
      <c r="E5557" t="str">
        <f t="shared" si="191"/>
        <v>R</v>
      </c>
      <c r="F5557" t="str">
        <f t="shared" si="190"/>
        <v>17R</v>
      </c>
    </row>
    <row r="5558" spans="1:6" x14ac:dyDescent="0.2">
      <c r="A5558">
        <v>18</v>
      </c>
      <c r="E5558" t="str">
        <f t="shared" si="191"/>
        <v>S</v>
      </c>
      <c r="F5558" t="str">
        <f t="shared" si="190"/>
        <v>18S</v>
      </c>
    </row>
    <row r="5559" spans="1:6" x14ac:dyDescent="0.2">
      <c r="A5559">
        <v>19</v>
      </c>
      <c r="E5559" t="str">
        <f t="shared" si="191"/>
        <v>T</v>
      </c>
      <c r="F5559" t="str">
        <f t="shared" si="190"/>
        <v>19T</v>
      </c>
    </row>
    <row r="5560" spans="1:6" x14ac:dyDescent="0.2">
      <c r="A5560">
        <v>20</v>
      </c>
      <c r="E5560" t="str">
        <f t="shared" si="191"/>
        <v>U</v>
      </c>
      <c r="F5560" t="str">
        <f t="shared" si="190"/>
        <v>20U</v>
      </c>
    </row>
    <row r="5561" spans="1:6" x14ac:dyDescent="0.2">
      <c r="A5561">
        <v>21</v>
      </c>
      <c r="E5561" t="str">
        <f t="shared" si="191"/>
        <v>V</v>
      </c>
      <c r="F5561" t="str">
        <f t="shared" si="190"/>
        <v>21V</v>
      </c>
    </row>
    <row r="5562" spans="1:6" x14ac:dyDescent="0.2">
      <c r="A5562">
        <v>22</v>
      </c>
      <c r="E5562" t="str">
        <f t="shared" si="191"/>
        <v>W</v>
      </c>
      <c r="F5562" t="str">
        <f t="shared" si="190"/>
        <v>22W</v>
      </c>
    </row>
    <row r="5563" spans="1:6" x14ac:dyDescent="0.2">
      <c r="A5563">
        <v>23</v>
      </c>
      <c r="E5563" t="str">
        <f t="shared" si="191"/>
        <v>X</v>
      </c>
      <c r="F5563" t="str">
        <f t="shared" si="190"/>
        <v>23X</v>
      </c>
    </row>
    <row r="5564" spans="1:6" x14ac:dyDescent="0.2">
      <c r="A5564">
        <v>24</v>
      </c>
      <c r="E5564" t="str">
        <f t="shared" si="191"/>
        <v>Y</v>
      </c>
      <c r="F5564" t="str">
        <f t="shared" si="190"/>
        <v>24Y</v>
      </c>
    </row>
    <row r="5565" spans="1:6" x14ac:dyDescent="0.2">
      <c r="A5565">
        <v>25</v>
      </c>
      <c r="E5565" t="str">
        <f t="shared" si="191"/>
        <v>Z</v>
      </c>
      <c r="F5565" t="str">
        <f t="shared" ref="F5565:F5628" si="192">A5565&amp;C5565&amp;E5565</f>
        <v>25Z</v>
      </c>
    </row>
    <row r="5566" spans="1:6" x14ac:dyDescent="0.2">
      <c r="A5566">
        <v>0</v>
      </c>
      <c r="E5566" t="str">
        <f t="shared" si="191"/>
        <v>A</v>
      </c>
      <c r="F5566" t="str">
        <f t="shared" si="192"/>
        <v>0A</v>
      </c>
    </row>
    <row r="5567" spans="1:6" x14ac:dyDescent="0.2">
      <c r="A5567">
        <v>1</v>
      </c>
      <c r="E5567" t="str">
        <f t="shared" si="191"/>
        <v>B</v>
      </c>
      <c r="F5567" t="str">
        <f t="shared" si="192"/>
        <v>1B</v>
      </c>
    </row>
    <row r="5568" spans="1:6" x14ac:dyDescent="0.2">
      <c r="A5568">
        <v>2</v>
      </c>
      <c r="E5568" t="str">
        <f t="shared" si="191"/>
        <v>C</v>
      </c>
      <c r="F5568" t="str">
        <f t="shared" si="192"/>
        <v>2C</v>
      </c>
    </row>
    <row r="5569" spans="1:6" x14ac:dyDescent="0.2">
      <c r="A5569">
        <v>3</v>
      </c>
      <c r="E5569" t="str">
        <f t="shared" si="191"/>
        <v>D</v>
      </c>
      <c r="F5569" t="str">
        <f t="shared" si="192"/>
        <v>3D</v>
      </c>
    </row>
    <row r="5570" spans="1:6" x14ac:dyDescent="0.2">
      <c r="A5570">
        <v>4</v>
      </c>
      <c r="E5570" t="str">
        <f t="shared" si="191"/>
        <v>E</v>
      </c>
      <c r="F5570" t="str">
        <f t="shared" si="192"/>
        <v>4E</v>
      </c>
    </row>
    <row r="5571" spans="1:6" x14ac:dyDescent="0.2">
      <c r="A5571">
        <v>5</v>
      </c>
      <c r="E5571" t="str">
        <f t="shared" si="191"/>
        <v>F</v>
      </c>
      <c r="F5571" t="str">
        <f t="shared" si="192"/>
        <v>5F</v>
      </c>
    </row>
    <row r="5572" spans="1:6" x14ac:dyDescent="0.2">
      <c r="A5572">
        <v>6</v>
      </c>
      <c r="E5572" t="str">
        <f t="shared" si="191"/>
        <v>G</v>
      </c>
      <c r="F5572" t="str">
        <f t="shared" si="192"/>
        <v>6G</v>
      </c>
    </row>
    <row r="5573" spans="1:6" x14ac:dyDescent="0.2">
      <c r="A5573">
        <v>7</v>
      </c>
      <c r="E5573" t="str">
        <f t="shared" si="191"/>
        <v>H</v>
      </c>
      <c r="F5573" t="str">
        <f t="shared" si="192"/>
        <v>7H</v>
      </c>
    </row>
    <row r="5574" spans="1:6" x14ac:dyDescent="0.2">
      <c r="A5574">
        <v>8</v>
      </c>
      <c r="E5574" t="str">
        <f t="shared" si="191"/>
        <v>I</v>
      </c>
      <c r="F5574" t="str">
        <f t="shared" si="192"/>
        <v>8I</v>
      </c>
    </row>
    <row r="5575" spans="1:6" x14ac:dyDescent="0.2">
      <c r="A5575">
        <v>9</v>
      </c>
      <c r="E5575" t="str">
        <f t="shared" si="191"/>
        <v>J</v>
      </c>
      <c r="F5575" t="str">
        <f t="shared" si="192"/>
        <v>9J</v>
      </c>
    </row>
    <row r="5576" spans="1:6" x14ac:dyDescent="0.2">
      <c r="A5576">
        <v>10</v>
      </c>
      <c r="E5576" t="str">
        <f t="shared" si="191"/>
        <v>K</v>
      </c>
      <c r="F5576" t="str">
        <f t="shared" si="192"/>
        <v>10K</v>
      </c>
    </row>
    <row r="5577" spans="1:6" x14ac:dyDescent="0.2">
      <c r="A5577">
        <v>11</v>
      </c>
      <c r="E5577" t="str">
        <f t="shared" si="191"/>
        <v>L</v>
      </c>
      <c r="F5577" t="str">
        <f t="shared" si="192"/>
        <v>11L</v>
      </c>
    </row>
    <row r="5578" spans="1:6" x14ac:dyDescent="0.2">
      <c r="A5578">
        <v>12</v>
      </c>
      <c r="E5578" t="str">
        <f t="shared" si="191"/>
        <v>M</v>
      </c>
      <c r="F5578" t="str">
        <f t="shared" si="192"/>
        <v>12M</v>
      </c>
    </row>
    <row r="5579" spans="1:6" x14ac:dyDescent="0.2">
      <c r="A5579">
        <v>13</v>
      </c>
      <c r="E5579" t="str">
        <f t="shared" si="191"/>
        <v>N</v>
      </c>
      <c r="F5579" t="str">
        <f t="shared" si="192"/>
        <v>13N</v>
      </c>
    </row>
    <row r="5580" spans="1:6" x14ac:dyDescent="0.2">
      <c r="A5580">
        <v>14</v>
      </c>
      <c r="E5580" t="str">
        <f t="shared" si="191"/>
        <v>O</v>
      </c>
      <c r="F5580" t="str">
        <f t="shared" si="192"/>
        <v>14O</v>
      </c>
    </row>
    <row r="5581" spans="1:6" x14ac:dyDescent="0.2">
      <c r="A5581">
        <v>15</v>
      </c>
      <c r="E5581" t="str">
        <f t="shared" si="191"/>
        <v>P</v>
      </c>
      <c r="F5581" t="str">
        <f t="shared" si="192"/>
        <v>15P</v>
      </c>
    </row>
    <row r="5582" spans="1:6" x14ac:dyDescent="0.2">
      <c r="A5582">
        <v>16</v>
      </c>
      <c r="E5582" t="str">
        <f t="shared" si="191"/>
        <v>Q</v>
      </c>
      <c r="F5582" t="str">
        <f t="shared" si="192"/>
        <v>16Q</v>
      </c>
    </row>
    <row r="5583" spans="1:6" x14ac:dyDescent="0.2">
      <c r="A5583">
        <v>17</v>
      </c>
      <c r="E5583" t="str">
        <f t="shared" si="191"/>
        <v>R</v>
      </c>
      <c r="F5583" t="str">
        <f t="shared" si="192"/>
        <v>17R</v>
      </c>
    </row>
    <row r="5584" spans="1:6" x14ac:dyDescent="0.2">
      <c r="A5584">
        <v>18</v>
      </c>
      <c r="E5584" t="str">
        <f t="shared" si="191"/>
        <v>S</v>
      </c>
      <c r="F5584" t="str">
        <f t="shared" si="192"/>
        <v>18S</v>
      </c>
    </row>
    <row r="5585" spans="1:6" x14ac:dyDescent="0.2">
      <c r="A5585">
        <v>19</v>
      </c>
      <c r="E5585" t="str">
        <f t="shared" si="191"/>
        <v>T</v>
      </c>
      <c r="F5585" t="str">
        <f t="shared" si="192"/>
        <v>19T</v>
      </c>
    </row>
    <row r="5586" spans="1:6" x14ac:dyDescent="0.2">
      <c r="A5586">
        <v>20</v>
      </c>
      <c r="E5586" t="str">
        <f t="shared" si="191"/>
        <v>U</v>
      </c>
      <c r="F5586" t="str">
        <f t="shared" si="192"/>
        <v>20U</v>
      </c>
    </row>
    <row r="5587" spans="1:6" x14ac:dyDescent="0.2">
      <c r="A5587">
        <v>21</v>
      </c>
      <c r="E5587" t="str">
        <f t="shared" si="191"/>
        <v>V</v>
      </c>
      <c r="F5587" t="str">
        <f t="shared" si="192"/>
        <v>21V</v>
      </c>
    </row>
    <row r="5588" spans="1:6" x14ac:dyDescent="0.2">
      <c r="A5588">
        <v>22</v>
      </c>
      <c r="E5588" t="str">
        <f t="shared" si="191"/>
        <v>W</v>
      </c>
      <c r="F5588" t="str">
        <f t="shared" si="192"/>
        <v>22W</v>
      </c>
    </row>
    <row r="5589" spans="1:6" x14ac:dyDescent="0.2">
      <c r="A5589">
        <v>23</v>
      </c>
      <c r="E5589" t="str">
        <f t="shared" si="191"/>
        <v>X</v>
      </c>
      <c r="F5589" t="str">
        <f t="shared" si="192"/>
        <v>23X</v>
      </c>
    </row>
    <row r="5590" spans="1:6" x14ac:dyDescent="0.2">
      <c r="A5590">
        <v>24</v>
      </c>
      <c r="E5590" t="str">
        <f t="shared" si="191"/>
        <v>Y</v>
      </c>
      <c r="F5590" t="str">
        <f t="shared" si="192"/>
        <v>24Y</v>
      </c>
    </row>
    <row r="5591" spans="1:6" x14ac:dyDescent="0.2">
      <c r="A5591">
        <v>25</v>
      </c>
      <c r="E5591" t="str">
        <f t="shared" ref="E5591:E5654" si="193">E5565</f>
        <v>Z</v>
      </c>
      <c r="F5591" t="str">
        <f t="shared" si="192"/>
        <v>25Z</v>
      </c>
    </row>
    <row r="5592" spans="1:6" x14ac:dyDescent="0.2">
      <c r="A5592">
        <v>0</v>
      </c>
      <c r="E5592" t="str">
        <f t="shared" si="193"/>
        <v>A</v>
      </c>
      <c r="F5592" t="str">
        <f t="shared" si="192"/>
        <v>0A</v>
      </c>
    </row>
    <row r="5593" spans="1:6" x14ac:dyDescent="0.2">
      <c r="A5593">
        <v>1</v>
      </c>
      <c r="E5593" t="str">
        <f t="shared" si="193"/>
        <v>B</v>
      </c>
      <c r="F5593" t="str">
        <f t="shared" si="192"/>
        <v>1B</v>
      </c>
    </row>
    <row r="5594" spans="1:6" x14ac:dyDescent="0.2">
      <c r="A5594">
        <v>2</v>
      </c>
      <c r="E5594" t="str">
        <f t="shared" si="193"/>
        <v>C</v>
      </c>
      <c r="F5594" t="str">
        <f t="shared" si="192"/>
        <v>2C</v>
      </c>
    </row>
    <row r="5595" spans="1:6" x14ac:dyDescent="0.2">
      <c r="A5595">
        <v>3</v>
      </c>
      <c r="E5595" t="str">
        <f t="shared" si="193"/>
        <v>D</v>
      </c>
      <c r="F5595" t="str">
        <f t="shared" si="192"/>
        <v>3D</v>
      </c>
    </row>
    <row r="5596" spans="1:6" x14ac:dyDescent="0.2">
      <c r="A5596">
        <v>4</v>
      </c>
      <c r="E5596" t="str">
        <f t="shared" si="193"/>
        <v>E</v>
      </c>
      <c r="F5596" t="str">
        <f t="shared" si="192"/>
        <v>4E</v>
      </c>
    </row>
    <row r="5597" spans="1:6" x14ac:dyDescent="0.2">
      <c r="A5597">
        <v>5</v>
      </c>
      <c r="E5597" t="str">
        <f t="shared" si="193"/>
        <v>F</v>
      </c>
      <c r="F5597" t="str">
        <f t="shared" si="192"/>
        <v>5F</v>
      </c>
    </row>
    <row r="5598" spans="1:6" x14ac:dyDescent="0.2">
      <c r="A5598">
        <v>6</v>
      </c>
      <c r="E5598" t="str">
        <f t="shared" si="193"/>
        <v>G</v>
      </c>
      <c r="F5598" t="str">
        <f t="shared" si="192"/>
        <v>6G</v>
      </c>
    </row>
    <row r="5599" spans="1:6" x14ac:dyDescent="0.2">
      <c r="A5599">
        <v>7</v>
      </c>
      <c r="E5599" t="str">
        <f t="shared" si="193"/>
        <v>H</v>
      </c>
      <c r="F5599" t="str">
        <f t="shared" si="192"/>
        <v>7H</v>
      </c>
    </row>
    <row r="5600" spans="1:6" x14ac:dyDescent="0.2">
      <c r="A5600">
        <v>8</v>
      </c>
      <c r="E5600" t="str">
        <f t="shared" si="193"/>
        <v>I</v>
      </c>
      <c r="F5600" t="str">
        <f t="shared" si="192"/>
        <v>8I</v>
      </c>
    </row>
    <row r="5601" spans="1:6" x14ac:dyDescent="0.2">
      <c r="A5601">
        <v>9</v>
      </c>
      <c r="E5601" t="str">
        <f t="shared" si="193"/>
        <v>J</v>
      </c>
      <c r="F5601" t="str">
        <f t="shared" si="192"/>
        <v>9J</v>
      </c>
    </row>
    <row r="5602" spans="1:6" x14ac:dyDescent="0.2">
      <c r="A5602">
        <v>10</v>
      </c>
      <c r="E5602" t="str">
        <f t="shared" si="193"/>
        <v>K</v>
      </c>
      <c r="F5602" t="str">
        <f t="shared" si="192"/>
        <v>10K</v>
      </c>
    </row>
    <row r="5603" spans="1:6" x14ac:dyDescent="0.2">
      <c r="A5603">
        <v>11</v>
      </c>
      <c r="E5603" t="str">
        <f t="shared" si="193"/>
        <v>L</v>
      </c>
      <c r="F5603" t="str">
        <f t="shared" si="192"/>
        <v>11L</v>
      </c>
    </row>
    <row r="5604" spans="1:6" x14ac:dyDescent="0.2">
      <c r="A5604">
        <v>12</v>
      </c>
      <c r="E5604" t="str">
        <f t="shared" si="193"/>
        <v>M</v>
      </c>
      <c r="F5604" t="str">
        <f t="shared" si="192"/>
        <v>12M</v>
      </c>
    </row>
    <row r="5605" spans="1:6" x14ac:dyDescent="0.2">
      <c r="A5605">
        <v>13</v>
      </c>
      <c r="E5605" t="str">
        <f t="shared" si="193"/>
        <v>N</v>
      </c>
      <c r="F5605" t="str">
        <f t="shared" si="192"/>
        <v>13N</v>
      </c>
    </row>
    <row r="5606" spans="1:6" x14ac:dyDescent="0.2">
      <c r="A5606">
        <v>14</v>
      </c>
      <c r="E5606" t="str">
        <f t="shared" si="193"/>
        <v>O</v>
      </c>
      <c r="F5606" t="str">
        <f t="shared" si="192"/>
        <v>14O</v>
      </c>
    </row>
    <row r="5607" spans="1:6" x14ac:dyDescent="0.2">
      <c r="A5607">
        <v>15</v>
      </c>
      <c r="E5607" t="str">
        <f t="shared" si="193"/>
        <v>P</v>
      </c>
      <c r="F5607" t="str">
        <f t="shared" si="192"/>
        <v>15P</v>
      </c>
    </row>
    <row r="5608" spans="1:6" x14ac:dyDescent="0.2">
      <c r="A5608">
        <v>16</v>
      </c>
      <c r="E5608" t="str">
        <f t="shared" si="193"/>
        <v>Q</v>
      </c>
      <c r="F5608" t="str">
        <f t="shared" si="192"/>
        <v>16Q</v>
      </c>
    </row>
    <row r="5609" spans="1:6" x14ac:dyDescent="0.2">
      <c r="A5609">
        <v>17</v>
      </c>
      <c r="E5609" t="str">
        <f t="shared" si="193"/>
        <v>R</v>
      </c>
      <c r="F5609" t="str">
        <f t="shared" si="192"/>
        <v>17R</v>
      </c>
    </row>
    <row r="5610" spans="1:6" x14ac:dyDescent="0.2">
      <c r="A5610">
        <v>18</v>
      </c>
      <c r="E5610" t="str">
        <f t="shared" si="193"/>
        <v>S</v>
      </c>
      <c r="F5610" t="str">
        <f t="shared" si="192"/>
        <v>18S</v>
      </c>
    </row>
    <row r="5611" spans="1:6" x14ac:dyDescent="0.2">
      <c r="A5611">
        <v>19</v>
      </c>
      <c r="E5611" t="str">
        <f t="shared" si="193"/>
        <v>T</v>
      </c>
      <c r="F5611" t="str">
        <f t="shared" si="192"/>
        <v>19T</v>
      </c>
    </row>
    <row r="5612" spans="1:6" x14ac:dyDescent="0.2">
      <c r="A5612">
        <v>20</v>
      </c>
      <c r="E5612" t="str">
        <f t="shared" si="193"/>
        <v>U</v>
      </c>
      <c r="F5612" t="str">
        <f t="shared" si="192"/>
        <v>20U</v>
      </c>
    </row>
    <row r="5613" spans="1:6" x14ac:dyDescent="0.2">
      <c r="A5613">
        <v>21</v>
      </c>
      <c r="E5613" t="str">
        <f t="shared" si="193"/>
        <v>V</v>
      </c>
      <c r="F5613" t="str">
        <f t="shared" si="192"/>
        <v>21V</v>
      </c>
    </row>
    <row r="5614" spans="1:6" x14ac:dyDescent="0.2">
      <c r="A5614">
        <v>22</v>
      </c>
      <c r="E5614" t="str">
        <f t="shared" si="193"/>
        <v>W</v>
      </c>
      <c r="F5614" t="str">
        <f t="shared" si="192"/>
        <v>22W</v>
      </c>
    </row>
    <row r="5615" spans="1:6" x14ac:dyDescent="0.2">
      <c r="A5615">
        <v>23</v>
      </c>
      <c r="E5615" t="str">
        <f t="shared" si="193"/>
        <v>X</v>
      </c>
      <c r="F5615" t="str">
        <f t="shared" si="192"/>
        <v>23X</v>
      </c>
    </row>
    <row r="5616" spans="1:6" x14ac:dyDescent="0.2">
      <c r="A5616">
        <v>24</v>
      </c>
      <c r="E5616" t="str">
        <f t="shared" si="193"/>
        <v>Y</v>
      </c>
      <c r="F5616" t="str">
        <f t="shared" si="192"/>
        <v>24Y</v>
      </c>
    </row>
    <row r="5617" spans="1:6" x14ac:dyDescent="0.2">
      <c r="A5617">
        <v>25</v>
      </c>
      <c r="E5617" t="str">
        <f t="shared" si="193"/>
        <v>Z</v>
      </c>
      <c r="F5617" t="str">
        <f t="shared" si="192"/>
        <v>25Z</v>
      </c>
    </row>
    <row r="5618" spans="1:6" x14ac:dyDescent="0.2">
      <c r="A5618">
        <v>0</v>
      </c>
      <c r="E5618" t="str">
        <f t="shared" si="193"/>
        <v>A</v>
      </c>
      <c r="F5618" t="str">
        <f t="shared" si="192"/>
        <v>0A</v>
      </c>
    </row>
    <row r="5619" spans="1:6" x14ac:dyDescent="0.2">
      <c r="A5619">
        <v>1</v>
      </c>
      <c r="E5619" t="str">
        <f t="shared" si="193"/>
        <v>B</v>
      </c>
      <c r="F5619" t="str">
        <f t="shared" si="192"/>
        <v>1B</v>
      </c>
    </row>
    <row r="5620" spans="1:6" x14ac:dyDescent="0.2">
      <c r="A5620">
        <v>2</v>
      </c>
      <c r="E5620" t="str">
        <f t="shared" si="193"/>
        <v>C</v>
      </c>
      <c r="F5620" t="str">
        <f t="shared" si="192"/>
        <v>2C</v>
      </c>
    </row>
    <row r="5621" spans="1:6" x14ac:dyDescent="0.2">
      <c r="A5621">
        <v>3</v>
      </c>
      <c r="E5621" t="str">
        <f t="shared" si="193"/>
        <v>D</v>
      </c>
      <c r="F5621" t="str">
        <f t="shared" si="192"/>
        <v>3D</v>
      </c>
    </row>
    <row r="5622" spans="1:6" x14ac:dyDescent="0.2">
      <c r="A5622">
        <v>4</v>
      </c>
      <c r="E5622" t="str">
        <f t="shared" si="193"/>
        <v>E</v>
      </c>
      <c r="F5622" t="str">
        <f t="shared" si="192"/>
        <v>4E</v>
      </c>
    </row>
    <row r="5623" spans="1:6" x14ac:dyDescent="0.2">
      <c r="A5623">
        <v>5</v>
      </c>
      <c r="E5623" t="str">
        <f t="shared" si="193"/>
        <v>F</v>
      </c>
      <c r="F5623" t="str">
        <f t="shared" si="192"/>
        <v>5F</v>
      </c>
    </row>
    <row r="5624" spans="1:6" x14ac:dyDescent="0.2">
      <c r="A5624">
        <v>6</v>
      </c>
      <c r="E5624" t="str">
        <f t="shared" si="193"/>
        <v>G</v>
      </c>
      <c r="F5624" t="str">
        <f t="shared" si="192"/>
        <v>6G</v>
      </c>
    </row>
    <row r="5625" spans="1:6" x14ac:dyDescent="0.2">
      <c r="A5625">
        <v>7</v>
      </c>
      <c r="E5625" t="str">
        <f t="shared" si="193"/>
        <v>H</v>
      </c>
      <c r="F5625" t="str">
        <f t="shared" si="192"/>
        <v>7H</v>
      </c>
    </row>
    <row r="5626" spans="1:6" x14ac:dyDescent="0.2">
      <c r="A5626">
        <v>8</v>
      </c>
      <c r="E5626" t="str">
        <f t="shared" si="193"/>
        <v>I</v>
      </c>
      <c r="F5626" t="str">
        <f t="shared" si="192"/>
        <v>8I</v>
      </c>
    </row>
    <row r="5627" spans="1:6" x14ac:dyDescent="0.2">
      <c r="A5627">
        <v>9</v>
      </c>
      <c r="E5627" t="str">
        <f t="shared" si="193"/>
        <v>J</v>
      </c>
      <c r="F5627" t="str">
        <f t="shared" si="192"/>
        <v>9J</v>
      </c>
    </row>
    <row r="5628" spans="1:6" x14ac:dyDescent="0.2">
      <c r="A5628">
        <v>10</v>
      </c>
      <c r="E5628" t="str">
        <f t="shared" si="193"/>
        <v>K</v>
      </c>
      <c r="F5628" t="str">
        <f t="shared" si="192"/>
        <v>10K</v>
      </c>
    </row>
    <row r="5629" spans="1:6" x14ac:dyDescent="0.2">
      <c r="A5629">
        <v>11</v>
      </c>
      <c r="E5629" t="str">
        <f t="shared" si="193"/>
        <v>L</v>
      </c>
      <c r="F5629" t="str">
        <f t="shared" ref="F5629:F5692" si="194">A5629&amp;C5629&amp;E5629</f>
        <v>11L</v>
      </c>
    </row>
    <row r="5630" spans="1:6" x14ac:dyDescent="0.2">
      <c r="A5630">
        <v>12</v>
      </c>
      <c r="E5630" t="str">
        <f t="shared" si="193"/>
        <v>M</v>
      </c>
      <c r="F5630" t="str">
        <f t="shared" si="194"/>
        <v>12M</v>
      </c>
    </row>
    <row r="5631" spans="1:6" x14ac:dyDescent="0.2">
      <c r="A5631">
        <v>13</v>
      </c>
      <c r="E5631" t="str">
        <f t="shared" si="193"/>
        <v>N</v>
      </c>
      <c r="F5631" t="str">
        <f t="shared" si="194"/>
        <v>13N</v>
      </c>
    </row>
    <row r="5632" spans="1:6" x14ac:dyDescent="0.2">
      <c r="A5632">
        <v>14</v>
      </c>
      <c r="E5632" t="str">
        <f t="shared" si="193"/>
        <v>O</v>
      </c>
      <c r="F5632" t="str">
        <f t="shared" si="194"/>
        <v>14O</v>
      </c>
    </row>
    <row r="5633" spans="1:6" x14ac:dyDescent="0.2">
      <c r="A5633">
        <v>15</v>
      </c>
      <c r="E5633" t="str">
        <f t="shared" si="193"/>
        <v>P</v>
      </c>
      <c r="F5633" t="str">
        <f t="shared" si="194"/>
        <v>15P</v>
      </c>
    </row>
    <row r="5634" spans="1:6" x14ac:dyDescent="0.2">
      <c r="A5634">
        <v>16</v>
      </c>
      <c r="E5634" t="str">
        <f t="shared" si="193"/>
        <v>Q</v>
      </c>
      <c r="F5634" t="str">
        <f t="shared" si="194"/>
        <v>16Q</v>
      </c>
    </row>
    <row r="5635" spans="1:6" x14ac:dyDescent="0.2">
      <c r="A5635">
        <v>17</v>
      </c>
      <c r="E5635" t="str">
        <f t="shared" si="193"/>
        <v>R</v>
      </c>
      <c r="F5635" t="str">
        <f t="shared" si="194"/>
        <v>17R</v>
      </c>
    </row>
    <row r="5636" spans="1:6" x14ac:dyDescent="0.2">
      <c r="A5636">
        <v>18</v>
      </c>
      <c r="E5636" t="str">
        <f t="shared" si="193"/>
        <v>S</v>
      </c>
      <c r="F5636" t="str">
        <f t="shared" si="194"/>
        <v>18S</v>
      </c>
    </row>
    <row r="5637" spans="1:6" x14ac:dyDescent="0.2">
      <c r="A5637">
        <v>19</v>
      </c>
      <c r="E5637" t="str">
        <f t="shared" si="193"/>
        <v>T</v>
      </c>
      <c r="F5637" t="str">
        <f t="shared" si="194"/>
        <v>19T</v>
      </c>
    </row>
    <row r="5638" spans="1:6" x14ac:dyDescent="0.2">
      <c r="A5638">
        <v>20</v>
      </c>
      <c r="E5638" t="str">
        <f t="shared" si="193"/>
        <v>U</v>
      </c>
      <c r="F5638" t="str">
        <f t="shared" si="194"/>
        <v>20U</v>
      </c>
    </row>
    <row r="5639" spans="1:6" x14ac:dyDescent="0.2">
      <c r="A5639">
        <v>21</v>
      </c>
      <c r="E5639" t="str">
        <f t="shared" si="193"/>
        <v>V</v>
      </c>
      <c r="F5639" t="str">
        <f t="shared" si="194"/>
        <v>21V</v>
      </c>
    </row>
    <row r="5640" spans="1:6" x14ac:dyDescent="0.2">
      <c r="A5640">
        <v>22</v>
      </c>
      <c r="E5640" t="str">
        <f t="shared" si="193"/>
        <v>W</v>
      </c>
      <c r="F5640" t="str">
        <f t="shared" si="194"/>
        <v>22W</v>
      </c>
    </row>
    <row r="5641" spans="1:6" x14ac:dyDescent="0.2">
      <c r="A5641">
        <v>23</v>
      </c>
      <c r="E5641" t="str">
        <f t="shared" si="193"/>
        <v>X</v>
      </c>
      <c r="F5641" t="str">
        <f t="shared" si="194"/>
        <v>23X</v>
      </c>
    </row>
    <row r="5642" spans="1:6" x14ac:dyDescent="0.2">
      <c r="A5642">
        <v>24</v>
      </c>
      <c r="E5642" t="str">
        <f t="shared" si="193"/>
        <v>Y</v>
      </c>
      <c r="F5642" t="str">
        <f t="shared" si="194"/>
        <v>24Y</v>
      </c>
    </row>
    <row r="5643" spans="1:6" x14ac:dyDescent="0.2">
      <c r="A5643">
        <v>25</v>
      </c>
      <c r="E5643" t="str">
        <f t="shared" si="193"/>
        <v>Z</v>
      </c>
      <c r="F5643" t="str">
        <f t="shared" si="194"/>
        <v>25Z</v>
      </c>
    </row>
    <row r="5644" spans="1:6" x14ac:dyDescent="0.2">
      <c r="A5644">
        <v>0</v>
      </c>
      <c r="E5644" t="str">
        <f t="shared" si="193"/>
        <v>A</v>
      </c>
      <c r="F5644" t="str">
        <f t="shared" si="194"/>
        <v>0A</v>
      </c>
    </row>
    <row r="5645" spans="1:6" x14ac:dyDescent="0.2">
      <c r="A5645">
        <v>1</v>
      </c>
      <c r="E5645" t="str">
        <f t="shared" si="193"/>
        <v>B</v>
      </c>
      <c r="F5645" t="str">
        <f t="shared" si="194"/>
        <v>1B</v>
      </c>
    </row>
    <row r="5646" spans="1:6" x14ac:dyDescent="0.2">
      <c r="A5646">
        <v>2</v>
      </c>
      <c r="E5646" t="str">
        <f t="shared" si="193"/>
        <v>C</v>
      </c>
      <c r="F5646" t="str">
        <f t="shared" si="194"/>
        <v>2C</v>
      </c>
    </row>
    <row r="5647" spans="1:6" x14ac:dyDescent="0.2">
      <c r="A5647">
        <v>3</v>
      </c>
      <c r="E5647" t="str">
        <f t="shared" si="193"/>
        <v>D</v>
      </c>
      <c r="F5647" t="str">
        <f t="shared" si="194"/>
        <v>3D</v>
      </c>
    </row>
    <row r="5648" spans="1:6" x14ac:dyDescent="0.2">
      <c r="A5648">
        <v>4</v>
      </c>
      <c r="E5648" t="str">
        <f t="shared" si="193"/>
        <v>E</v>
      </c>
      <c r="F5648" t="str">
        <f t="shared" si="194"/>
        <v>4E</v>
      </c>
    </row>
    <row r="5649" spans="1:6" x14ac:dyDescent="0.2">
      <c r="A5649">
        <v>5</v>
      </c>
      <c r="E5649" t="str">
        <f t="shared" si="193"/>
        <v>F</v>
      </c>
      <c r="F5649" t="str">
        <f t="shared" si="194"/>
        <v>5F</v>
      </c>
    </row>
    <row r="5650" spans="1:6" x14ac:dyDescent="0.2">
      <c r="A5650">
        <v>6</v>
      </c>
      <c r="E5650" t="str">
        <f t="shared" si="193"/>
        <v>G</v>
      </c>
      <c r="F5650" t="str">
        <f t="shared" si="194"/>
        <v>6G</v>
      </c>
    </row>
    <row r="5651" spans="1:6" x14ac:dyDescent="0.2">
      <c r="A5651">
        <v>7</v>
      </c>
      <c r="E5651" t="str">
        <f t="shared" si="193"/>
        <v>H</v>
      </c>
      <c r="F5651" t="str">
        <f t="shared" si="194"/>
        <v>7H</v>
      </c>
    </row>
    <row r="5652" spans="1:6" x14ac:dyDescent="0.2">
      <c r="A5652">
        <v>8</v>
      </c>
      <c r="E5652" t="str">
        <f t="shared" si="193"/>
        <v>I</v>
      </c>
      <c r="F5652" t="str">
        <f t="shared" si="194"/>
        <v>8I</v>
      </c>
    </row>
    <row r="5653" spans="1:6" x14ac:dyDescent="0.2">
      <c r="A5653">
        <v>9</v>
      </c>
      <c r="E5653" t="str">
        <f t="shared" si="193"/>
        <v>J</v>
      </c>
      <c r="F5653" t="str">
        <f t="shared" si="194"/>
        <v>9J</v>
      </c>
    </row>
    <row r="5654" spans="1:6" x14ac:dyDescent="0.2">
      <c r="A5654">
        <v>10</v>
      </c>
      <c r="E5654" t="str">
        <f t="shared" si="193"/>
        <v>K</v>
      </c>
      <c r="F5654" t="str">
        <f t="shared" si="194"/>
        <v>10K</v>
      </c>
    </row>
    <row r="5655" spans="1:6" x14ac:dyDescent="0.2">
      <c r="A5655">
        <v>11</v>
      </c>
      <c r="E5655" t="str">
        <f t="shared" ref="E5655:E5718" si="195">E5629</f>
        <v>L</v>
      </c>
      <c r="F5655" t="str">
        <f t="shared" si="194"/>
        <v>11L</v>
      </c>
    </row>
    <row r="5656" spans="1:6" x14ac:dyDescent="0.2">
      <c r="A5656">
        <v>12</v>
      </c>
      <c r="E5656" t="str">
        <f t="shared" si="195"/>
        <v>M</v>
      </c>
      <c r="F5656" t="str">
        <f t="shared" si="194"/>
        <v>12M</v>
      </c>
    </row>
    <row r="5657" spans="1:6" x14ac:dyDescent="0.2">
      <c r="A5657">
        <v>13</v>
      </c>
      <c r="E5657" t="str">
        <f t="shared" si="195"/>
        <v>N</v>
      </c>
      <c r="F5657" t="str">
        <f t="shared" si="194"/>
        <v>13N</v>
      </c>
    </row>
    <row r="5658" spans="1:6" x14ac:dyDescent="0.2">
      <c r="A5658">
        <v>14</v>
      </c>
      <c r="E5658" t="str">
        <f t="shared" si="195"/>
        <v>O</v>
      </c>
      <c r="F5658" t="str">
        <f t="shared" si="194"/>
        <v>14O</v>
      </c>
    </row>
    <row r="5659" spans="1:6" x14ac:dyDescent="0.2">
      <c r="A5659">
        <v>15</v>
      </c>
      <c r="E5659" t="str">
        <f t="shared" si="195"/>
        <v>P</v>
      </c>
      <c r="F5659" t="str">
        <f t="shared" si="194"/>
        <v>15P</v>
      </c>
    </row>
    <row r="5660" spans="1:6" x14ac:dyDescent="0.2">
      <c r="A5660">
        <v>16</v>
      </c>
      <c r="E5660" t="str">
        <f t="shared" si="195"/>
        <v>Q</v>
      </c>
      <c r="F5660" t="str">
        <f t="shared" si="194"/>
        <v>16Q</v>
      </c>
    </row>
    <row r="5661" spans="1:6" x14ac:dyDescent="0.2">
      <c r="A5661">
        <v>17</v>
      </c>
      <c r="E5661" t="str">
        <f t="shared" si="195"/>
        <v>R</v>
      </c>
      <c r="F5661" t="str">
        <f t="shared" si="194"/>
        <v>17R</v>
      </c>
    </row>
    <row r="5662" spans="1:6" x14ac:dyDescent="0.2">
      <c r="A5662">
        <v>18</v>
      </c>
      <c r="E5662" t="str">
        <f t="shared" si="195"/>
        <v>S</v>
      </c>
      <c r="F5662" t="str">
        <f t="shared" si="194"/>
        <v>18S</v>
      </c>
    </row>
    <row r="5663" spans="1:6" x14ac:dyDescent="0.2">
      <c r="A5663">
        <v>19</v>
      </c>
      <c r="E5663" t="str">
        <f t="shared" si="195"/>
        <v>T</v>
      </c>
      <c r="F5663" t="str">
        <f t="shared" si="194"/>
        <v>19T</v>
      </c>
    </row>
    <row r="5664" spans="1:6" x14ac:dyDescent="0.2">
      <c r="A5664">
        <v>20</v>
      </c>
      <c r="E5664" t="str">
        <f t="shared" si="195"/>
        <v>U</v>
      </c>
      <c r="F5664" t="str">
        <f t="shared" si="194"/>
        <v>20U</v>
      </c>
    </row>
    <row r="5665" spans="1:6" x14ac:dyDescent="0.2">
      <c r="A5665">
        <v>21</v>
      </c>
      <c r="E5665" t="str">
        <f t="shared" si="195"/>
        <v>V</v>
      </c>
      <c r="F5665" t="str">
        <f t="shared" si="194"/>
        <v>21V</v>
      </c>
    </row>
    <row r="5666" spans="1:6" x14ac:dyDescent="0.2">
      <c r="A5666">
        <v>22</v>
      </c>
      <c r="E5666" t="str">
        <f t="shared" si="195"/>
        <v>W</v>
      </c>
      <c r="F5666" t="str">
        <f t="shared" si="194"/>
        <v>22W</v>
      </c>
    </row>
    <row r="5667" spans="1:6" x14ac:dyDescent="0.2">
      <c r="A5667">
        <v>23</v>
      </c>
      <c r="E5667" t="str">
        <f t="shared" si="195"/>
        <v>X</v>
      </c>
      <c r="F5667" t="str">
        <f t="shared" si="194"/>
        <v>23X</v>
      </c>
    </row>
    <row r="5668" spans="1:6" x14ac:dyDescent="0.2">
      <c r="A5668">
        <v>24</v>
      </c>
      <c r="E5668" t="str">
        <f t="shared" si="195"/>
        <v>Y</v>
      </c>
      <c r="F5668" t="str">
        <f t="shared" si="194"/>
        <v>24Y</v>
      </c>
    </row>
    <row r="5669" spans="1:6" x14ac:dyDescent="0.2">
      <c r="A5669">
        <v>25</v>
      </c>
      <c r="E5669" t="str">
        <f t="shared" si="195"/>
        <v>Z</v>
      </c>
      <c r="F5669" t="str">
        <f t="shared" si="194"/>
        <v>25Z</v>
      </c>
    </row>
    <row r="5670" spans="1:6" x14ac:dyDescent="0.2">
      <c r="A5670">
        <v>0</v>
      </c>
      <c r="E5670" t="str">
        <f t="shared" si="195"/>
        <v>A</v>
      </c>
      <c r="F5670" t="str">
        <f t="shared" si="194"/>
        <v>0A</v>
      </c>
    </row>
    <row r="5671" spans="1:6" x14ac:dyDescent="0.2">
      <c r="A5671">
        <v>1</v>
      </c>
      <c r="E5671" t="str">
        <f t="shared" si="195"/>
        <v>B</v>
      </c>
      <c r="F5671" t="str">
        <f t="shared" si="194"/>
        <v>1B</v>
      </c>
    </row>
    <row r="5672" spans="1:6" x14ac:dyDescent="0.2">
      <c r="A5672">
        <v>2</v>
      </c>
      <c r="E5672" t="str">
        <f t="shared" si="195"/>
        <v>C</v>
      </c>
      <c r="F5672" t="str">
        <f t="shared" si="194"/>
        <v>2C</v>
      </c>
    </row>
    <row r="5673" spans="1:6" x14ac:dyDescent="0.2">
      <c r="A5673">
        <v>3</v>
      </c>
      <c r="E5673" t="str">
        <f t="shared" si="195"/>
        <v>D</v>
      </c>
      <c r="F5673" t="str">
        <f t="shared" si="194"/>
        <v>3D</v>
      </c>
    </row>
    <row r="5674" spans="1:6" x14ac:dyDescent="0.2">
      <c r="A5674">
        <v>4</v>
      </c>
      <c r="E5674" t="str">
        <f t="shared" si="195"/>
        <v>E</v>
      </c>
      <c r="F5674" t="str">
        <f t="shared" si="194"/>
        <v>4E</v>
      </c>
    </row>
    <row r="5675" spans="1:6" x14ac:dyDescent="0.2">
      <c r="A5675">
        <v>5</v>
      </c>
      <c r="E5675" t="str">
        <f t="shared" si="195"/>
        <v>F</v>
      </c>
      <c r="F5675" t="str">
        <f t="shared" si="194"/>
        <v>5F</v>
      </c>
    </row>
    <row r="5676" spans="1:6" x14ac:dyDescent="0.2">
      <c r="A5676">
        <v>6</v>
      </c>
      <c r="E5676" t="str">
        <f t="shared" si="195"/>
        <v>G</v>
      </c>
      <c r="F5676" t="str">
        <f t="shared" si="194"/>
        <v>6G</v>
      </c>
    </row>
    <row r="5677" spans="1:6" x14ac:dyDescent="0.2">
      <c r="A5677">
        <v>7</v>
      </c>
      <c r="E5677" t="str">
        <f t="shared" si="195"/>
        <v>H</v>
      </c>
      <c r="F5677" t="str">
        <f t="shared" si="194"/>
        <v>7H</v>
      </c>
    </row>
    <row r="5678" spans="1:6" x14ac:dyDescent="0.2">
      <c r="A5678">
        <v>8</v>
      </c>
      <c r="E5678" t="str">
        <f t="shared" si="195"/>
        <v>I</v>
      </c>
      <c r="F5678" t="str">
        <f t="shared" si="194"/>
        <v>8I</v>
      </c>
    </row>
    <row r="5679" spans="1:6" x14ac:dyDescent="0.2">
      <c r="A5679">
        <v>9</v>
      </c>
      <c r="E5679" t="str">
        <f t="shared" si="195"/>
        <v>J</v>
      </c>
      <c r="F5679" t="str">
        <f t="shared" si="194"/>
        <v>9J</v>
      </c>
    </row>
    <row r="5680" spans="1:6" x14ac:dyDescent="0.2">
      <c r="A5680">
        <v>10</v>
      </c>
      <c r="E5680" t="str">
        <f t="shared" si="195"/>
        <v>K</v>
      </c>
      <c r="F5680" t="str">
        <f t="shared" si="194"/>
        <v>10K</v>
      </c>
    </row>
    <row r="5681" spans="1:6" x14ac:dyDescent="0.2">
      <c r="A5681">
        <v>11</v>
      </c>
      <c r="E5681" t="str">
        <f t="shared" si="195"/>
        <v>L</v>
      </c>
      <c r="F5681" t="str">
        <f t="shared" si="194"/>
        <v>11L</v>
      </c>
    </row>
    <row r="5682" spans="1:6" x14ac:dyDescent="0.2">
      <c r="A5682">
        <v>12</v>
      </c>
      <c r="E5682" t="str">
        <f t="shared" si="195"/>
        <v>M</v>
      </c>
      <c r="F5682" t="str">
        <f t="shared" si="194"/>
        <v>12M</v>
      </c>
    </row>
    <row r="5683" spans="1:6" x14ac:dyDescent="0.2">
      <c r="A5683">
        <v>13</v>
      </c>
      <c r="E5683" t="str">
        <f t="shared" si="195"/>
        <v>N</v>
      </c>
      <c r="F5683" t="str">
        <f t="shared" si="194"/>
        <v>13N</v>
      </c>
    </row>
    <row r="5684" spans="1:6" x14ac:dyDescent="0.2">
      <c r="A5684">
        <v>14</v>
      </c>
      <c r="E5684" t="str">
        <f t="shared" si="195"/>
        <v>O</v>
      </c>
      <c r="F5684" t="str">
        <f t="shared" si="194"/>
        <v>14O</v>
      </c>
    </row>
    <row r="5685" spans="1:6" x14ac:dyDescent="0.2">
      <c r="A5685">
        <v>15</v>
      </c>
      <c r="E5685" t="str">
        <f t="shared" si="195"/>
        <v>P</v>
      </c>
      <c r="F5685" t="str">
        <f t="shared" si="194"/>
        <v>15P</v>
      </c>
    </row>
    <row r="5686" spans="1:6" x14ac:dyDescent="0.2">
      <c r="A5686">
        <v>16</v>
      </c>
      <c r="E5686" t="str">
        <f t="shared" si="195"/>
        <v>Q</v>
      </c>
      <c r="F5686" t="str">
        <f t="shared" si="194"/>
        <v>16Q</v>
      </c>
    </row>
    <row r="5687" spans="1:6" x14ac:dyDescent="0.2">
      <c r="A5687">
        <v>17</v>
      </c>
      <c r="E5687" t="str">
        <f t="shared" si="195"/>
        <v>R</v>
      </c>
      <c r="F5687" t="str">
        <f t="shared" si="194"/>
        <v>17R</v>
      </c>
    </row>
    <row r="5688" spans="1:6" x14ac:dyDescent="0.2">
      <c r="A5688">
        <v>18</v>
      </c>
      <c r="E5688" t="str">
        <f t="shared" si="195"/>
        <v>S</v>
      </c>
      <c r="F5688" t="str">
        <f t="shared" si="194"/>
        <v>18S</v>
      </c>
    </row>
    <row r="5689" spans="1:6" x14ac:dyDescent="0.2">
      <c r="A5689">
        <v>19</v>
      </c>
      <c r="E5689" t="str">
        <f t="shared" si="195"/>
        <v>T</v>
      </c>
      <c r="F5689" t="str">
        <f t="shared" si="194"/>
        <v>19T</v>
      </c>
    </row>
    <row r="5690" spans="1:6" x14ac:dyDescent="0.2">
      <c r="A5690">
        <v>20</v>
      </c>
      <c r="E5690" t="str">
        <f t="shared" si="195"/>
        <v>U</v>
      </c>
      <c r="F5690" t="str">
        <f t="shared" si="194"/>
        <v>20U</v>
      </c>
    </row>
    <row r="5691" spans="1:6" x14ac:dyDescent="0.2">
      <c r="A5691">
        <v>21</v>
      </c>
      <c r="E5691" t="str">
        <f t="shared" si="195"/>
        <v>V</v>
      </c>
      <c r="F5691" t="str">
        <f t="shared" si="194"/>
        <v>21V</v>
      </c>
    </row>
    <row r="5692" spans="1:6" x14ac:dyDescent="0.2">
      <c r="A5692">
        <v>22</v>
      </c>
      <c r="E5692" t="str">
        <f t="shared" si="195"/>
        <v>W</v>
      </c>
      <c r="F5692" t="str">
        <f t="shared" si="194"/>
        <v>22W</v>
      </c>
    </row>
    <row r="5693" spans="1:6" x14ac:dyDescent="0.2">
      <c r="A5693">
        <v>23</v>
      </c>
      <c r="E5693" t="str">
        <f t="shared" si="195"/>
        <v>X</v>
      </c>
      <c r="F5693" t="str">
        <f t="shared" ref="F5693:F5756" si="196">A5693&amp;C5693&amp;E5693</f>
        <v>23X</v>
      </c>
    </row>
    <row r="5694" spans="1:6" x14ac:dyDescent="0.2">
      <c r="A5694">
        <v>24</v>
      </c>
      <c r="E5694" t="str">
        <f t="shared" si="195"/>
        <v>Y</v>
      </c>
      <c r="F5694" t="str">
        <f t="shared" si="196"/>
        <v>24Y</v>
      </c>
    </row>
    <row r="5695" spans="1:6" x14ac:dyDescent="0.2">
      <c r="A5695">
        <v>25</v>
      </c>
      <c r="E5695" t="str">
        <f t="shared" si="195"/>
        <v>Z</v>
      </c>
      <c r="F5695" t="str">
        <f t="shared" si="196"/>
        <v>25Z</v>
      </c>
    </row>
    <row r="5696" spans="1:6" x14ac:dyDescent="0.2">
      <c r="A5696">
        <v>0</v>
      </c>
      <c r="E5696" t="str">
        <f t="shared" si="195"/>
        <v>A</v>
      </c>
      <c r="F5696" t="str">
        <f t="shared" si="196"/>
        <v>0A</v>
      </c>
    </row>
    <row r="5697" spans="1:6" x14ac:dyDescent="0.2">
      <c r="A5697">
        <v>1</v>
      </c>
      <c r="E5697" t="str">
        <f t="shared" si="195"/>
        <v>B</v>
      </c>
      <c r="F5697" t="str">
        <f t="shared" si="196"/>
        <v>1B</v>
      </c>
    </row>
    <row r="5698" spans="1:6" x14ac:dyDescent="0.2">
      <c r="A5698">
        <v>2</v>
      </c>
      <c r="E5698" t="str">
        <f t="shared" si="195"/>
        <v>C</v>
      </c>
      <c r="F5698" t="str">
        <f t="shared" si="196"/>
        <v>2C</v>
      </c>
    </row>
    <row r="5699" spans="1:6" x14ac:dyDescent="0.2">
      <c r="A5699">
        <v>3</v>
      </c>
      <c r="E5699" t="str">
        <f t="shared" si="195"/>
        <v>D</v>
      </c>
      <c r="F5699" t="str">
        <f t="shared" si="196"/>
        <v>3D</v>
      </c>
    </row>
    <row r="5700" spans="1:6" x14ac:dyDescent="0.2">
      <c r="A5700">
        <v>4</v>
      </c>
      <c r="E5700" t="str">
        <f t="shared" si="195"/>
        <v>E</v>
      </c>
      <c r="F5700" t="str">
        <f t="shared" si="196"/>
        <v>4E</v>
      </c>
    </row>
    <row r="5701" spans="1:6" x14ac:dyDescent="0.2">
      <c r="A5701">
        <v>5</v>
      </c>
      <c r="E5701" t="str">
        <f t="shared" si="195"/>
        <v>F</v>
      </c>
      <c r="F5701" t="str">
        <f t="shared" si="196"/>
        <v>5F</v>
      </c>
    </row>
    <row r="5702" spans="1:6" x14ac:dyDescent="0.2">
      <c r="A5702">
        <v>6</v>
      </c>
      <c r="E5702" t="str">
        <f t="shared" si="195"/>
        <v>G</v>
      </c>
      <c r="F5702" t="str">
        <f t="shared" si="196"/>
        <v>6G</v>
      </c>
    </row>
    <row r="5703" spans="1:6" x14ac:dyDescent="0.2">
      <c r="A5703">
        <v>7</v>
      </c>
      <c r="E5703" t="str">
        <f t="shared" si="195"/>
        <v>H</v>
      </c>
      <c r="F5703" t="str">
        <f t="shared" si="196"/>
        <v>7H</v>
      </c>
    </row>
    <row r="5704" spans="1:6" x14ac:dyDescent="0.2">
      <c r="A5704">
        <v>8</v>
      </c>
      <c r="E5704" t="str">
        <f t="shared" si="195"/>
        <v>I</v>
      </c>
      <c r="F5704" t="str">
        <f t="shared" si="196"/>
        <v>8I</v>
      </c>
    </row>
    <row r="5705" spans="1:6" x14ac:dyDescent="0.2">
      <c r="A5705">
        <v>9</v>
      </c>
      <c r="E5705" t="str">
        <f t="shared" si="195"/>
        <v>J</v>
      </c>
      <c r="F5705" t="str">
        <f t="shared" si="196"/>
        <v>9J</v>
      </c>
    </row>
    <row r="5706" spans="1:6" x14ac:dyDescent="0.2">
      <c r="A5706">
        <v>10</v>
      </c>
      <c r="E5706" t="str">
        <f t="shared" si="195"/>
        <v>K</v>
      </c>
      <c r="F5706" t="str">
        <f t="shared" si="196"/>
        <v>10K</v>
      </c>
    </row>
    <row r="5707" spans="1:6" x14ac:dyDescent="0.2">
      <c r="A5707">
        <v>11</v>
      </c>
      <c r="E5707" t="str">
        <f t="shared" si="195"/>
        <v>L</v>
      </c>
      <c r="F5707" t="str">
        <f t="shared" si="196"/>
        <v>11L</v>
      </c>
    </row>
    <row r="5708" spans="1:6" x14ac:dyDescent="0.2">
      <c r="A5708">
        <v>12</v>
      </c>
      <c r="E5708" t="str">
        <f t="shared" si="195"/>
        <v>M</v>
      </c>
      <c r="F5708" t="str">
        <f t="shared" si="196"/>
        <v>12M</v>
      </c>
    </row>
    <row r="5709" spans="1:6" x14ac:dyDescent="0.2">
      <c r="A5709">
        <v>13</v>
      </c>
      <c r="E5709" t="str">
        <f t="shared" si="195"/>
        <v>N</v>
      </c>
      <c r="F5709" t="str">
        <f t="shared" si="196"/>
        <v>13N</v>
      </c>
    </row>
    <row r="5710" spans="1:6" x14ac:dyDescent="0.2">
      <c r="A5710">
        <v>14</v>
      </c>
      <c r="E5710" t="str">
        <f t="shared" si="195"/>
        <v>O</v>
      </c>
      <c r="F5710" t="str">
        <f t="shared" si="196"/>
        <v>14O</v>
      </c>
    </row>
    <row r="5711" spans="1:6" x14ac:dyDescent="0.2">
      <c r="A5711">
        <v>15</v>
      </c>
      <c r="E5711" t="str">
        <f t="shared" si="195"/>
        <v>P</v>
      </c>
      <c r="F5711" t="str">
        <f t="shared" si="196"/>
        <v>15P</v>
      </c>
    </row>
    <row r="5712" spans="1:6" x14ac:dyDescent="0.2">
      <c r="A5712">
        <v>16</v>
      </c>
      <c r="E5712" t="str">
        <f t="shared" si="195"/>
        <v>Q</v>
      </c>
      <c r="F5712" t="str">
        <f t="shared" si="196"/>
        <v>16Q</v>
      </c>
    </row>
    <row r="5713" spans="1:6" x14ac:dyDescent="0.2">
      <c r="A5713">
        <v>17</v>
      </c>
      <c r="E5713" t="str">
        <f t="shared" si="195"/>
        <v>R</v>
      </c>
      <c r="F5713" t="str">
        <f t="shared" si="196"/>
        <v>17R</v>
      </c>
    </row>
    <row r="5714" spans="1:6" x14ac:dyDescent="0.2">
      <c r="A5714">
        <v>18</v>
      </c>
      <c r="E5714" t="str">
        <f t="shared" si="195"/>
        <v>S</v>
      </c>
      <c r="F5714" t="str">
        <f t="shared" si="196"/>
        <v>18S</v>
      </c>
    </row>
    <row r="5715" spans="1:6" x14ac:dyDescent="0.2">
      <c r="A5715">
        <v>19</v>
      </c>
      <c r="E5715" t="str">
        <f t="shared" si="195"/>
        <v>T</v>
      </c>
      <c r="F5715" t="str">
        <f t="shared" si="196"/>
        <v>19T</v>
      </c>
    </row>
    <row r="5716" spans="1:6" x14ac:dyDescent="0.2">
      <c r="A5716">
        <v>20</v>
      </c>
      <c r="E5716" t="str">
        <f t="shared" si="195"/>
        <v>U</v>
      </c>
      <c r="F5716" t="str">
        <f t="shared" si="196"/>
        <v>20U</v>
      </c>
    </row>
    <row r="5717" spans="1:6" x14ac:dyDescent="0.2">
      <c r="A5717">
        <v>21</v>
      </c>
      <c r="E5717" t="str">
        <f t="shared" si="195"/>
        <v>V</v>
      </c>
      <c r="F5717" t="str">
        <f t="shared" si="196"/>
        <v>21V</v>
      </c>
    </row>
    <row r="5718" spans="1:6" x14ac:dyDescent="0.2">
      <c r="A5718">
        <v>22</v>
      </c>
      <c r="E5718" t="str">
        <f t="shared" si="195"/>
        <v>W</v>
      </c>
      <c r="F5718" t="str">
        <f t="shared" si="196"/>
        <v>22W</v>
      </c>
    </row>
    <row r="5719" spans="1:6" x14ac:dyDescent="0.2">
      <c r="A5719">
        <v>23</v>
      </c>
      <c r="E5719" t="str">
        <f t="shared" ref="E5719:E5782" si="197">E5693</f>
        <v>X</v>
      </c>
      <c r="F5719" t="str">
        <f t="shared" si="196"/>
        <v>23X</v>
      </c>
    </row>
    <row r="5720" spans="1:6" x14ac:dyDescent="0.2">
      <c r="A5720">
        <v>24</v>
      </c>
      <c r="E5720" t="str">
        <f t="shared" si="197"/>
        <v>Y</v>
      </c>
      <c r="F5720" t="str">
        <f t="shared" si="196"/>
        <v>24Y</v>
      </c>
    </row>
    <row r="5721" spans="1:6" x14ac:dyDescent="0.2">
      <c r="A5721">
        <v>25</v>
      </c>
      <c r="E5721" t="str">
        <f t="shared" si="197"/>
        <v>Z</v>
      </c>
      <c r="F5721" t="str">
        <f t="shared" si="196"/>
        <v>25Z</v>
      </c>
    </row>
    <row r="5722" spans="1:6" x14ac:dyDescent="0.2">
      <c r="A5722">
        <v>0</v>
      </c>
      <c r="E5722" t="str">
        <f t="shared" si="197"/>
        <v>A</v>
      </c>
      <c r="F5722" t="str">
        <f t="shared" si="196"/>
        <v>0A</v>
      </c>
    </row>
    <row r="5723" spans="1:6" x14ac:dyDescent="0.2">
      <c r="A5723">
        <v>1</v>
      </c>
      <c r="E5723" t="str">
        <f t="shared" si="197"/>
        <v>B</v>
      </c>
      <c r="F5723" t="str">
        <f t="shared" si="196"/>
        <v>1B</v>
      </c>
    </row>
    <row r="5724" spans="1:6" x14ac:dyDescent="0.2">
      <c r="A5724">
        <v>2</v>
      </c>
      <c r="E5724" t="str">
        <f t="shared" si="197"/>
        <v>C</v>
      </c>
      <c r="F5724" t="str">
        <f t="shared" si="196"/>
        <v>2C</v>
      </c>
    </row>
    <row r="5725" spans="1:6" x14ac:dyDescent="0.2">
      <c r="A5725">
        <v>3</v>
      </c>
      <c r="E5725" t="str">
        <f t="shared" si="197"/>
        <v>D</v>
      </c>
      <c r="F5725" t="str">
        <f t="shared" si="196"/>
        <v>3D</v>
      </c>
    </row>
    <row r="5726" spans="1:6" x14ac:dyDescent="0.2">
      <c r="A5726">
        <v>4</v>
      </c>
      <c r="E5726" t="str">
        <f t="shared" si="197"/>
        <v>E</v>
      </c>
      <c r="F5726" t="str">
        <f t="shared" si="196"/>
        <v>4E</v>
      </c>
    </row>
    <row r="5727" spans="1:6" x14ac:dyDescent="0.2">
      <c r="A5727">
        <v>5</v>
      </c>
      <c r="E5727" t="str">
        <f t="shared" si="197"/>
        <v>F</v>
      </c>
      <c r="F5727" t="str">
        <f t="shared" si="196"/>
        <v>5F</v>
      </c>
    </row>
    <row r="5728" spans="1:6" x14ac:dyDescent="0.2">
      <c r="A5728">
        <v>6</v>
      </c>
      <c r="E5728" t="str">
        <f t="shared" si="197"/>
        <v>G</v>
      </c>
      <c r="F5728" t="str">
        <f t="shared" si="196"/>
        <v>6G</v>
      </c>
    </row>
    <row r="5729" spans="1:6" x14ac:dyDescent="0.2">
      <c r="A5729">
        <v>7</v>
      </c>
      <c r="E5729" t="str">
        <f t="shared" si="197"/>
        <v>H</v>
      </c>
      <c r="F5729" t="str">
        <f t="shared" si="196"/>
        <v>7H</v>
      </c>
    </row>
    <row r="5730" spans="1:6" x14ac:dyDescent="0.2">
      <c r="A5730">
        <v>8</v>
      </c>
      <c r="E5730" t="str">
        <f t="shared" si="197"/>
        <v>I</v>
      </c>
      <c r="F5730" t="str">
        <f t="shared" si="196"/>
        <v>8I</v>
      </c>
    </row>
    <row r="5731" spans="1:6" x14ac:dyDescent="0.2">
      <c r="A5731">
        <v>9</v>
      </c>
      <c r="E5731" t="str">
        <f t="shared" si="197"/>
        <v>J</v>
      </c>
      <c r="F5731" t="str">
        <f t="shared" si="196"/>
        <v>9J</v>
      </c>
    </row>
    <row r="5732" spans="1:6" x14ac:dyDescent="0.2">
      <c r="A5732">
        <v>10</v>
      </c>
      <c r="E5732" t="str">
        <f t="shared" si="197"/>
        <v>K</v>
      </c>
      <c r="F5732" t="str">
        <f t="shared" si="196"/>
        <v>10K</v>
      </c>
    </row>
    <row r="5733" spans="1:6" x14ac:dyDescent="0.2">
      <c r="A5733">
        <v>11</v>
      </c>
      <c r="E5733" t="str">
        <f t="shared" si="197"/>
        <v>L</v>
      </c>
      <c r="F5733" t="str">
        <f t="shared" si="196"/>
        <v>11L</v>
      </c>
    </row>
    <row r="5734" spans="1:6" x14ac:dyDescent="0.2">
      <c r="A5734">
        <v>12</v>
      </c>
      <c r="E5734" t="str">
        <f t="shared" si="197"/>
        <v>M</v>
      </c>
      <c r="F5734" t="str">
        <f t="shared" si="196"/>
        <v>12M</v>
      </c>
    </row>
    <row r="5735" spans="1:6" x14ac:dyDescent="0.2">
      <c r="A5735">
        <v>13</v>
      </c>
      <c r="E5735" t="str">
        <f t="shared" si="197"/>
        <v>N</v>
      </c>
      <c r="F5735" t="str">
        <f t="shared" si="196"/>
        <v>13N</v>
      </c>
    </row>
    <row r="5736" spans="1:6" x14ac:dyDescent="0.2">
      <c r="A5736">
        <v>14</v>
      </c>
      <c r="E5736" t="str">
        <f t="shared" si="197"/>
        <v>O</v>
      </c>
      <c r="F5736" t="str">
        <f t="shared" si="196"/>
        <v>14O</v>
      </c>
    </row>
    <row r="5737" spans="1:6" x14ac:dyDescent="0.2">
      <c r="A5737">
        <v>15</v>
      </c>
      <c r="E5737" t="str">
        <f t="shared" si="197"/>
        <v>P</v>
      </c>
      <c r="F5737" t="str">
        <f t="shared" si="196"/>
        <v>15P</v>
      </c>
    </row>
    <row r="5738" spans="1:6" x14ac:dyDescent="0.2">
      <c r="A5738">
        <v>16</v>
      </c>
      <c r="E5738" t="str">
        <f t="shared" si="197"/>
        <v>Q</v>
      </c>
      <c r="F5738" t="str">
        <f t="shared" si="196"/>
        <v>16Q</v>
      </c>
    </row>
    <row r="5739" spans="1:6" x14ac:dyDescent="0.2">
      <c r="A5739">
        <v>17</v>
      </c>
      <c r="E5739" t="str">
        <f t="shared" si="197"/>
        <v>R</v>
      </c>
      <c r="F5739" t="str">
        <f t="shared" si="196"/>
        <v>17R</v>
      </c>
    </row>
    <row r="5740" spans="1:6" x14ac:dyDescent="0.2">
      <c r="A5740">
        <v>18</v>
      </c>
      <c r="E5740" t="str">
        <f t="shared" si="197"/>
        <v>S</v>
      </c>
      <c r="F5740" t="str">
        <f t="shared" si="196"/>
        <v>18S</v>
      </c>
    </row>
    <row r="5741" spans="1:6" x14ac:dyDescent="0.2">
      <c r="A5741">
        <v>19</v>
      </c>
      <c r="E5741" t="str">
        <f t="shared" si="197"/>
        <v>T</v>
      </c>
      <c r="F5741" t="str">
        <f t="shared" si="196"/>
        <v>19T</v>
      </c>
    </row>
    <row r="5742" spans="1:6" x14ac:dyDescent="0.2">
      <c r="A5742">
        <v>20</v>
      </c>
      <c r="E5742" t="str">
        <f t="shared" si="197"/>
        <v>U</v>
      </c>
      <c r="F5742" t="str">
        <f t="shared" si="196"/>
        <v>20U</v>
      </c>
    </row>
    <row r="5743" spans="1:6" x14ac:dyDescent="0.2">
      <c r="A5743">
        <v>21</v>
      </c>
      <c r="E5743" t="str">
        <f t="shared" si="197"/>
        <v>V</v>
      </c>
      <c r="F5743" t="str">
        <f t="shared" si="196"/>
        <v>21V</v>
      </c>
    </row>
    <row r="5744" spans="1:6" x14ac:dyDescent="0.2">
      <c r="A5744">
        <v>22</v>
      </c>
      <c r="E5744" t="str">
        <f t="shared" si="197"/>
        <v>W</v>
      </c>
      <c r="F5744" t="str">
        <f t="shared" si="196"/>
        <v>22W</v>
      </c>
    </row>
    <row r="5745" spans="1:6" x14ac:dyDescent="0.2">
      <c r="A5745">
        <v>23</v>
      </c>
      <c r="E5745" t="str">
        <f t="shared" si="197"/>
        <v>X</v>
      </c>
      <c r="F5745" t="str">
        <f t="shared" si="196"/>
        <v>23X</v>
      </c>
    </row>
    <row r="5746" spans="1:6" x14ac:dyDescent="0.2">
      <c r="A5746">
        <v>24</v>
      </c>
      <c r="E5746" t="str">
        <f t="shared" si="197"/>
        <v>Y</v>
      </c>
      <c r="F5746" t="str">
        <f t="shared" si="196"/>
        <v>24Y</v>
      </c>
    </row>
    <row r="5747" spans="1:6" x14ac:dyDescent="0.2">
      <c r="A5747">
        <v>25</v>
      </c>
      <c r="E5747" t="str">
        <f t="shared" si="197"/>
        <v>Z</v>
      </c>
      <c r="F5747" t="str">
        <f t="shared" si="196"/>
        <v>25Z</v>
      </c>
    </row>
    <row r="5748" spans="1:6" x14ac:dyDescent="0.2">
      <c r="A5748">
        <v>0</v>
      </c>
      <c r="E5748" t="str">
        <f t="shared" si="197"/>
        <v>A</v>
      </c>
      <c r="F5748" t="str">
        <f t="shared" si="196"/>
        <v>0A</v>
      </c>
    </row>
    <row r="5749" spans="1:6" x14ac:dyDescent="0.2">
      <c r="A5749">
        <v>1</v>
      </c>
      <c r="E5749" t="str">
        <f t="shared" si="197"/>
        <v>B</v>
      </c>
      <c r="F5749" t="str">
        <f t="shared" si="196"/>
        <v>1B</v>
      </c>
    </row>
    <row r="5750" spans="1:6" x14ac:dyDescent="0.2">
      <c r="A5750">
        <v>2</v>
      </c>
      <c r="E5750" t="str">
        <f t="shared" si="197"/>
        <v>C</v>
      </c>
      <c r="F5750" t="str">
        <f t="shared" si="196"/>
        <v>2C</v>
      </c>
    </row>
    <row r="5751" spans="1:6" x14ac:dyDescent="0.2">
      <c r="A5751">
        <v>3</v>
      </c>
      <c r="E5751" t="str">
        <f t="shared" si="197"/>
        <v>D</v>
      </c>
      <c r="F5751" t="str">
        <f t="shared" si="196"/>
        <v>3D</v>
      </c>
    </row>
    <row r="5752" spans="1:6" x14ac:dyDescent="0.2">
      <c r="A5752">
        <v>4</v>
      </c>
      <c r="E5752" t="str">
        <f t="shared" si="197"/>
        <v>E</v>
      </c>
      <c r="F5752" t="str">
        <f t="shared" si="196"/>
        <v>4E</v>
      </c>
    </row>
    <row r="5753" spans="1:6" x14ac:dyDescent="0.2">
      <c r="A5753">
        <v>5</v>
      </c>
      <c r="E5753" t="str">
        <f t="shared" si="197"/>
        <v>F</v>
      </c>
      <c r="F5753" t="str">
        <f t="shared" si="196"/>
        <v>5F</v>
      </c>
    </row>
    <row r="5754" spans="1:6" x14ac:dyDescent="0.2">
      <c r="A5754">
        <v>6</v>
      </c>
      <c r="E5754" t="str">
        <f t="shared" si="197"/>
        <v>G</v>
      </c>
      <c r="F5754" t="str">
        <f t="shared" si="196"/>
        <v>6G</v>
      </c>
    </row>
    <row r="5755" spans="1:6" x14ac:dyDescent="0.2">
      <c r="A5755">
        <v>7</v>
      </c>
      <c r="E5755" t="str">
        <f t="shared" si="197"/>
        <v>H</v>
      </c>
      <c r="F5755" t="str">
        <f t="shared" si="196"/>
        <v>7H</v>
      </c>
    </row>
    <row r="5756" spans="1:6" x14ac:dyDescent="0.2">
      <c r="A5756">
        <v>8</v>
      </c>
      <c r="E5756" t="str">
        <f t="shared" si="197"/>
        <v>I</v>
      </c>
      <c r="F5756" t="str">
        <f t="shared" si="196"/>
        <v>8I</v>
      </c>
    </row>
    <row r="5757" spans="1:6" x14ac:dyDescent="0.2">
      <c r="A5757">
        <v>9</v>
      </c>
      <c r="E5757" t="str">
        <f t="shared" si="197"/>
        <v>J</v>
      </c>
      <c r="F5757" t="str">
        <f t="shared" ref="F5757:F5820" si="198">A5757&amp;C5757&amp;E5757</f>
        <v>9J</v>
      </c>
    </row>
    <row r="5758" spans="1:6" x14ac:dyDescent="0.2">
      <c r="A5758">
        <v>10</v>
      </c>
      <c r="E5758" t="str">
        <f t="shared" si="197"/>
        <v>K</v>
      </c>
      <c r="F5758" t="str">
        <f t="shared" si="198"/>
        <v>10K</v>
      </c>
    </row>
    <row r="5759" spans="1:6" x14ac:dyDescent="0.2">
      <c r="A5759">
        <v>11</v>
      </c>
      <c r="E5759" t="str">
        <f t="shared" si="197"/>
        <v>L</v>
      </c>
      <c r="F5759" t="str">
        <f t="shared" si="198"/>
        <v>11L</v>
      </c>
    </row>
    <row r="5760" spans="1:6" x14ac:dyDescent="0.2">
      <c r="A5760">
        <v>12</v>
      </c>
      <c r="E5760" t="str">
        <f t="shared" si="197"/>
        <v>M</v>
      </c>
      <c r="F5760" t="str">
        <f t="shared" si="198"/>
        <v>12M</v>
      </c>
    </row>
    <row r="5761" spans="1:6" x14ac:dyDescent="0.2">
      <c r="A5761">
        <v>13</v>
      </c>
      <c r="E5761" t="str">
        <f t="shared" si="197"/>
        <v>N</v>
      </c>
      <c r="F5761" t="str">
        <f t="shared" si="198"/>
        <v>13N</v>
      </c>
    </row>
    <row r="5762" spans="1:6" x14ac:dyDescent="0.2">
      <c r="A5762">
        <v>14</v>
      </c>
      <c r="E5762" t="str">
        <f t="shared" si="197"/>
        <v>O</v>
      </c>
      <c r="F5762" t="str">
        <f t="shared" si="198"/>
        <v>14O</v>
      </c>
    </row>
    <row r="5763" spans="1:6" x14ac:dyDescent="0.2">
      <c r="A5763">
        <v>15</v>
      </c>
      <c r="E5763" t="str">
        <f t="shared" si="197"/>
        <v>P</v>
      </c>
      <c r="F5763" t="str">
        <f t="shared" si="198"/>
        <v>15P</v>
      </c>
    </row>
    <row r="5764" spans="1:6" x14ac:dyDescent="0.2">
      <c r="A5764">
        <v>16</v>
      </c>
      <c r="E5764" t="str">
        <f t="shared" si="197"/>
        <v>Q</v>
      </c>
      <c r="F5764" t="str">
        <f t="shared" si="198"/>
        <v>16Q</v>
      </c>
    </row>
    <row r="5765" spans="1:6" x14ac:dyDescent="0.2">
      <c r="A5765">
        <v>17</v>
      </c>
      <c r="E5765" t="str">
        <f t="shared" si="197"/>
        <v>R</v>
      </c>
      <c r="F5765" t="str">
        <f t="shared" si="198"/>
        <v>17R</v>
      </c>
    </row>
    <row r="5766" spans="1:6" x14ac:dyDescent="0.2">
      <c r="A5766">
        <v>18</v>
      </c>
      <c r="E5766" t="str">
        <f t="shared" si="197"/>
        <v>S</v>
      </c>
      <c r="F5766" t="str">
        <f t="shared" si="198"/>
        <v>18S</v>
      </c>
    </row>
    <row r="5767" spans="1:6" x14ac:dyDescent="0.2">
      <c r="A5767">
        <v>19</v>
      </c>
      <c r="E5767" t="str">
        <f t="shared" si="197"/>
        <v>T</v>
      </c>
      <c r="F5767" t="str">
        <f t="shared" si="198"/>
        <v>19T</v>
      </c>
    </row>
    <row r="5768" spans="1:6" x14ac:dyDescent="0.2">
      <c r="A5768">
        <v>20</v>
      </c>
      <c r="E5768" t="str">
        <f t="shared" si="197"/>
        <v>U</v>
      </c>
      <c r="F5768" t="str">
        <f t="shared" si="198"/>
        <v>20U</v>
      </c>
    </row>
    <row r="5769" spans="1:6" x14ac:dyDescent="0.2">
      <c r="A5769">
        <v>21</v>
      </c>
      <c r="E5769" t="str">
        <f t="shared" si="197"/>
        <v>V</v>
      </c>
      <c r="F5769" t="str">
        <f t="shared" si="198"/>
        <v>21V</v>
      </c>
    </row>
    <row r="5770" spans="1:6" x14ac:dyDescent="0.2">
      <c r="A5770">
        <v>22</v>
      </c>
      <c r="E5770" t="str">
        <f t="shared" si="197"/>
        <v>W</v>
      </c>
      <c r="F5770" t="str">
        <f t="shared" si="198"/>
        <v>22W</v>
      </c>
    </row>
    <row r="5771" spans="1:6" x14ac:dyDescent="0.2">
      <c r="A5771">
        <v>23</v>
      </c>
      <c r="E5771" t="str">
        <f t="shared" si="197"/>
        <v>X</v>
      </c>
      <c r="F5771" t="str">
        <f t="shared" si="198"/>
        <v>23X</v>
      </c>
    </row>
    <row r="5772" spans="1:6" x14ac:dyDescent="0.2">
      <c r="A5772">
        <v>24</v>
      </c>
      <c r="E5772" t="str">
        <f t="shared" si="197"/>
        <v>Y</v>
      </c>
      <c r="F5772" t="str">
        <f t="shared" si="198"/>
        <v>24Y</v>
      </c>
    </row>
    <row r="5773" spans="1:6" x14ac:dyDescent="0.2">
      <c r="A5773">
        <v>25</v>
      </c>
      <c r="E5773" t="str">
        <f t="shared" si="197"/>
        <v>Z</v>
      </c>
      <c r="F5773" t="str">
        <f t="shared" si="198"/>
        <v>25Z</v>
      </c>
    </row>
    <row r="5774" spans="1:6" x14ac:dyDescent="0.2">
      <c r="A5774">
        <v>0</v>
      </c>
      <c r="E5774" t="str">
        <f t="shared" si="197"/>
        <v>A</v>
      </c>
      <c r="F5774" t="str">
        <f t="shared" si="198"/>
        <v>0A</v>
      </c>
    </row>
    <row r="5775" spans="1:6" x14ac:dyDescent="0.2">
      <c r="A5775">
        <v>1</v>
      </c>
      <c r="E5775" t="str">
        <f t="shared" si="197"/>
        <v>B</v>
      </c>
      <c r="F5775" t="str">
        <f t="shared" si="198"/>
        <v>1B</v>
      </c>
    </row>
    <row r="5776" spans="1:6" x14ac:dyDescent="0.2">
      <c r="A5776">
        <v>2</v>
      </c>
      <c r="E5776" t="str">
        <f t="shared" si="197"/>
        <v>C</v>
      </c>
      <c r="F5776" t="str">
        <f t="shared" si="198"/>
        <v>2C</v>
      </c>
    </row>
    <row r="5777" spans="1:6" x14ac:dyDescent="0.2">
      <c r="A5777">
        <v>3</v>
      </c>
      <c r="E5777" t="str">
        <f t="shared" si="197"/>
        <v>D</v>
      </c>
      <c r="F5777" t="str">
        <f t="shared" si="198"/>
        <v>3D</v>
      </c>
    </row>
    <row r="5778" spans="1:6" x14ac:dyDescent="0.2">
      <c r="A5778">
        <v>4</v>
      </c>
      <c r="E5778" t="str">
        <f t="shared" si="197"/>
        <v>E</v>
      </c>
      <c r="F5778" t="str">
        <f t="shared" si="198"/>
        <v>4E</v>
      </c>
    </row>
    <row r="5779" spans="1:6" x14ac:dyDescent="0.2">
      <c r="A5779">
        <v>5</v>
      </c>
      <c r="E5779" t="str">
        <f t="shared" si="197"/>
        <v>F</v>
      </c>
      <c r="F5779" t="str">
        <f t="shared" si="198"/>
        <v>5F</v>
      </c>
    </row>
    <row r="5780" spans="1:6" x14ac:dyDescent="0.2">
      <c r="A5780">
        <v>6</v>
      </c>
      <c r="E5780" t="str">
        <f t="shared" si="197"/>
        <v>G</v>
      </c>
      <c r="F5780" t="str">
        <f t="shared" si="198"/>
        <v>6G</v>
      </c>
    </row>
    <row r="5781" spans="1:6" x14ac:dyDescent="0.2">
      <c r="A5781">
        <v>7</v>
      </c>
      <c r="E5781" t="str">
        <f t="shared" si="197"/>
        <v>H</v>
      </c>
      <c r="F5781" t="str">
        <f t="shared" si="198"/>
        <v>7H</v>
      </c>
    </row>
    <row r="5782" spans="1:6" x14ac:dyDescent="0.2">
      <c r="A5782">
        <v>8</v>
      </c>
      <c r="E5782" t="str">
        <f t="shared" si="197"/>
        <v>I</v>
      </c>
      <c r="F5782" t="str">
        <f t="shared" si="198"/>
        <v>8I</v>
      </c>
    </row>
    <row r="5783" spans="1:6" x14ac:dyDescent="0.2">
      <c r="A5783">
        <v>9</v>
      </c>
      <c r="E5783" t="str">
        <f t="shared" ref="E5783:E5846" si="199">E5757</f>
        <v>J</v>
      </c>
      <c r="F5783" t="str">
        <f t="shared" si="198"/>
        <v>9J</v>
      </c>
    </row>
    <row r="5784" spans="1:6" x14ac:dyDescent="0.2">
      <c r="A5784">
        <v>10</v>
      </c>
      <c r="E5784" t="str">
        <f t="shared" si="199"/>
        <v>K</v>
      </c>
      <c r="F5784" t="str">
        <f t="shared" si="198"/>
        <v>10K</v>
      </c>
    </row>
    <row r="5785" spans="1:6" x14ac:dyDescent="0.2">
      <c r="A5785">
        <v>11</v>
      </c>
      <c r="E5785" t="str">
        <f t="shared" si="199"/>
        <v>L</v>
      </c>
      <c r="F5785" t="str">
        <f t="shared" si="198"/>
        <v>11L</v>
      </c>
    </row>
    <row r="5786" spans="1:6" x14ac:dyDescent="0.2">
      <c r="A5786">
        <v>12</v>
      </c>
      <c r="E5786" t="str">
        <f t="shared" si="199"/>
        <v>M</v>
      </c>
      <c r="F5786" t="str">
        <f t="shared" si="198"/>
        <v>12M</v>
      </c>
    </row>
    <row r="5787" spans="1:6" x14ac:dyDescent="0.2">
      <c r="A5787">
        <v>13</v>
      </c>
      <c r="E5787" t="str">
        <f t="shared" si="199"/>
        <v>N</v>
      </c>
      <c r="F5787" t="str">
        <f t="shared" si="198"/>
        <v>13N</v>
      </c>
    </row>
    <row r="5788" spans="1:6" x14ac:dyDescent="0.2">
      <c r="A5788">
        <v>14</v>
      </c>
      <c r="E5788" t="str">
        <f t="shared" si="199"/>
        <v>O</v>
      </c>
      <c r="F5788" t="str">
        <f t="shared" si="198"/>
        <v>14O</v>
      </c>
    </row>
    <row r="5789" spans="1:6" x14ac:dyDescent="0.2">
      <c r="A5789">
        <v>15</v>
      </c>
      <c r="E5789" t="str">
        <f t="shared" si="199"/>
        <v>P</v>
      </c>
      <c r="F5789" t="str">
        <f t="shared" si="198"/>
        <v>15P</v>
      </c>
    </row>
    <row r="5790" spans="1:6" x14ac:dyDescent="0.2">
      <c r="A5790">
        <v>16</v>
      </c>
      <c r="E5790" t="str">
        <f t="shared" si="199"/>
        <v>Q</v>
      </c>
      <c r="F5790" t="str">
        <f t="shared" si="198"/>
        <v>16Q</v>
      </c>
    </row>
    <row r="5791" spans="1:6" x14ac:dyDescent="0.2">
      <c r="A5791">
        <v>17</v>
      </c>
      <c r="E5791" t="str">
        <f t="shared" si="199"/>
        <v>R</v>
      </c>
      <c r="F5791" t="str">
        <f t="shared" si="198"/>
        <v>17R</v>
      </c>
    </row>
    <row r="5792" spans="1:6" x14ac:dyDescent="0.2">
      <c r="A5792">
        <v>18</v>
      </c>
      <c r="E5792" t="str">
        <f t="shared" si="199"/>
        <v>S</v>
      </c>
      <c r="F5792" t="str">
        <f t="shared" si="198"/>
        <v>18S</v>
      </c>
    </row>
    <row r="5793" spans="1:6" x14ac:dyDescent="0.2">
      <c r="A5793">
        <v>19</v>
      </c>
      <c r="E5793" t="str">
        <f t="shared" si="199"/>
        <v>T</v>
      </c>
      <c r="F5793" t="str">
        <f t="shared" si="198"/>
        <v>19T</v>
      </c>
    </row>
    <row r="5794" spans="1:6" x14ac:dyDescent="0.2">
      <c r="A5794">
        <v>20</v>
      </c>
      <c r="E5794" t="str">
        <f t="shared" si="199"/>
        <v>U</v>
      </c>
      <c r="F5794" t="str">
        <f t="shared" si="198"/>
        <v>20U</v>
      </c>
    </row>
    <row r="5795" spans="1:6" x14ac:dyDescent="0.2">
      <c r="A5795">
        <v>21</v>
      </c>
      <c r="E5795" t="str">
        <f t="shared" si="199"/>
        <v>V</v>
      </c>
      <c r="F5795" t="str">
        <f t="shared" si="198"/>
        <v>21V</v>
      </c>
    </row>
    <row r="5796" spans="1:6" x14ac:dyDescent="0.2">
      <c r="A5796">
        <v>22</v>
      </c>
      <c r="E5796" t="str">
        <f t="shared" si="199"/>
        <v>W</v>
      </c>
      <c r="F5796" t="str">
        <f t="shared" si="198"/>
        <v>22W</v>
      </c>
    </row>
    <row r="5797" spans="1:6" x14ac:dyDescent="0.2">
      <c r="A5797">
        <v>23</v>
      </c>
      <c r="E5797" t="str">
        <f t="shared" si="199"/>
        <v>X</v>
      </c>
      <c r="F5797" t="str">
        <f t="shared" si="198"/>
        <v>23X</v>
      </c>
    </row>
    <row r="5798" spans="1:6" x14ac:dyDescent="0.2">
      <c r="A5798">
        <v>24</v>
      </c>
      <c r="E5798" t="str">
        <f t="shared" si="199"/>
        <v>Y</v>
      </c>
      <c r="F5798" t="str">
        <f t="shared" si="198"/>
        <v>24Y</v>
      </c>
    </row>
    <row r="5799" spans="1:6" x14ac:dyDescent="0.2">
      <c r="A5799">
        <v>25</v>
      </c>
      <c r="E5799" t="str">
        <f t="shared" si="199"/>
        <v>Z</v>
      </c>
      <c r="F5799" t="str">
        <f t="shared" si="198"/>
        <v>25Z</v>
      </c>
    </row>
    <row r="5800" spans="1:6" x14ac:dyDescent="0.2">
      <c r="A5800">
        <v>0</v>
      </c>
      <c r="E5800" t="str">
        <f t="shared" si="199"/>
        <v>A</v>
      </c>
      <c r="F5800" t="str">
        <f t="shared" si="198"/>
        <v>0A</v>
      </c>
    </row>
    <row r="5801" spans="1:6" x14ac:dyDescent="0.2">
      <c r="A5801">
        <v>1</v>
      </c>
      <c r="E5801" t="str">
        <f t="shared" si="199"/>
        <v>B</v>
      </c>
      <c r="F5801" t="str">
        <f t="shared" si="198"/>
        <v>1B</v>
      </c>
    </row>
    <row r="5802" spans="1:6" x14ac:dyDescent="0.2">
      <c r="A5802">
        <v>2</v>
      </c>
      <c r="E5802" t="str">
        <f t="shared" si="199"/>
        <v>C</v>
      </c>
      <c r="F5802" t="str">
        <f t="shared" si="198"/>
        <v>2C</v>
      </c>
    </row>
    <row r="5803" spans="1:6" x14ac:dyDescent="0.2">
      <c r="A5803">
        <v>3</v>
      </c>
      <c r="E5803" t="str">
        <f t="shared" si="199"/>
        <v>D</v>
      </c>
      <c r="F5803" t="str">
        <f t="shared" si="198"/>
        <v>3D</v>
      </c>
    </row>
    <row r="5804" spans="1:6" x14ac:dyDescent="0.2">
      <c r="A5804">
        <v>4</v>
      </c>
      <c r="E5804" t="str">
        <f t="shared" si="199"/>
        <v>E</v>
      </c>
      <c r="F5804" t="str">
        <f t="shared" si="198"/>
        <v>4E</v>
      </c>
    </row>
    <row r="5805" spans="1:6" x14ac:dyDescent="0.2">
      <c r="A5805">
        <v>5</v>
      </c>
      <c r="E5805" t="str">
        <f t="shared" si="199"/>
        <v>F</v>
      </c>
      <c r="F5805" t="str">
        <f t="shared" si="198"/>
        <v>5F</v>
      </c>
    </row>
    <row r="5806" spans="1:6" x14ac:dyDescent="0.2">
      <c r="A5806">
        <v>6</v>
      </c>
      <c r="E5806" t="str">
        <f t="shared" si="199"/>
        <v>G</v>
      </c>
      <c r="F5806" t="str">
        <f t="shared" si="198"/>
        <v>6G</v>
      </c>
    </row>
    <row r="5807" spans="1:6" x14ac:dyDescent="0.2">
      <c r="A5807">
        <v>7</v>
      </c>
      <c r="E5807" t="str">
        <f t="shared" si="199"/>
        <v>H</v>
      </c>
      <c r="F5807" t="str">
        <f t="shared" si="198"/>
        <v>7H</v>
      </c>
    </row>
    <row r="5808" spans="1:6" x14ac:dyDescent="0.2">
      <c r="A5808">
        <v>8</v>
      </c>
      <c r="E5808" t="str">
        <f t="shared" si="199"/>
        <v>I</v>
      </c>
      <c r="F5808" t="str">
        <f t="shared" si="198"/>
        <v>8I</v>
      </c>
    </row>
    <row r="5809" spans="1:6" x14ac:dyDescent="0.2">
      <c r="A5809">
        <v>9</v>
      </c>
      <c r="E5809" t="str">
        <f t="shared" si="199"/>
        <v>J</v>
      </c>
      <c r="F5809" t="str">
        <f t="shared" si="198"/>
        <v>9J</v>
      </c>
    </row>
    <row r="5810" spans="1:6" x14ac:dyDescent="0.2">
      <c r="A5810">
        <v>10</v>
      </c>
      <c r="E5810" t="str">
        <f t="shared" si="199"/>
        <v>K</v>
      </c>
      <c r="F5810" t="str">
        <f t="shared" si="198"/>
        <v>10K</v>
      </c>
    </row>
    <row r="5811" spans="1:6" x14ac:dyDescent="0.2">
      <c r="A5811">
        <v>11</v>
      </c>
      <c r="E5811" t="str">
        <f t="shared" si="199"/>
        <v>L</v>
      </c>
      <c r="F5811" t="str">
        <f t="shared" si="198"/>
        <v>11L</v>
      </c>
    </row>
    <row r="5812" spans="1:6" x14ac:dyDescent="0.2">
      <c r="A5812">
        <v>12</v>
      </c>
      <c r="E5812" t="str">
        <f t="shared" si="199"/>
        <v>M</v>
      </c>
      <c r="F5812" t="str">
        <f t="shared" si="198"/>
        <v>12M</v>
      </c>
    </row>
    <row r="5813" spans="1:6" x14ac:dyDescent="0.2">
      <c r="A5813">
        <v>13</v>
      </c>
      <c r="E5813" t="str">
        <f t="shared" si="199"/>
        <v>N</v>
      </c>
      <c r="F5813" t="str">
        <f t="shared" si="198"/>
        <v>13N</v>
      </c>
    </row>
    <row r="5814" spans="1:6" x14ac:dyDescent="0.2">
      <c r="A5814">
        <v>14</v>
      </c>
      <c r="E5814" t="str">
        <f t="shared" si="199"/>
        <v>O</v>
      </c>
      <c r="F5814" t="str">
        <f t="shared" si="198"/>
        <v>14O</v>
      </c>
    </row>
    <row r="5815" spans="1:6" x14ac:dyDescent="0.2">
      <c r="A5815">
        <v>15</v>
      </c>
      <c r="E5815" t="str">
        <f t="shared" si="199"/>
        <v>P</v>
      </c>
      <c r="F5815" t="str">
        <f t="shared" si="198"/>
        <v>15P</v>
      </c>
    </row>
    <row r="5816" spans="1:6" x14ac:dyDescent="0.2">
      <c r="A5816">
        <v>16</v>
      </c>
      <c r="E5816" t="str">
        <f t="shared" si="199"/>
        <v>Q</v>
      </c>
      <c r="F5816" t="str">
        <f t="shared" si="198"/>
        <v>16Q</v>
      </c>
    </row>
    <row r="5817" spans="1:6" x14ac:dyDescent="0.2">
      <c r="A5817">
        <v>17</v>
      </c>
      <c r="E5817" t="str">
        <f t="shared" si="199"/>
        <v>R</v>
      </c>
      <c r="F5817" t="str">
        <f t="shared" si="198"/>
        <v>17R</v>
      </c>
    </row>
    <row r="5818" spans="1:6" x14ac:dyDescent="0.2">
      <c r="A5818">
        <v>18</v>
      </c>
      <c r="E5818" t="str">
        <f t="shared" si="199"/>
        <v>S</v>
      </c>
      <c r="F5818" t="str">
        <f t="shared" si="198"/>
        <v>18S</v>
      </c>
    </row>
    <row r="5819" spans="1:6" x14ac:dyDescent="0.2">
      <c r="A5819">
        <v>19</v>
      </c>
      <c r="E5819" t="str">
        <f t="shared" si="199"/>
        <v>T</v>
      </c>
      <c r="F5819" t="str">
        <f t="shared" si="198"/>
        <v>19T</v>
      </c>
    </row>
    <row r="5820" spans="1:6" x14ac:dyDescent="0.2">
      <c r="A5820">
        <v>20</v>
      </c>
      <c r="E5820" t="str">
        <f t="shared" si="199"/>
        <v>U</v>
      </c>
      <c r="F5820" t="str">
        <f t="shared" si="198"/>
        <v>20U</v>
      </c>
    </row>
    <row r="5821" spans="1:6" x14ac:dyDescent="0.2">
      <c r="A5821">
        <v>21</v>
      </c>
      <c r="E5821" t="str">
        <f t="shared" si="199"/>
        <v>V</v>
      </c>
      <c r="F5821" t="str">
        <f t="shared" ref="F5821:F5852" si="200">A5821&amp;C5821&amp;E5821</f>
        <v>21V</v>
      </c>
    </row>
    <row r="5822" spans="1:6" x14ac:dyDescent="0.2">
      <c r="A5822">
        <v>22</v>
      </c>
      <c r="E5822" t="str">
        <f t="shared" si="199"/>
        <v>W</v>
      </c>
      <c r="F5822" t="str">
        <f t="shared" si="200"/>
        <v>22W</v>
      </c>
    </row>
    <row r="5823" spans="1:6" x14ac:dyDescent="0.2">
      <c r="A5823">
        <v>23</v>
      </c>
      <c r="E5823" t="str">
        <f t="shared" si="199"/>
        <v>X</v>
      </c>
      <c r="F5823" t="str">
        <f t="shared" si="200"/>
        <v>23X</v>
      </c>
    </row>
    <row r="5824" spans="1:6" x14ac:dyDescent="0.2">
      <c r="A5824">
        <v>24</v>
      </c>
      <c r="E5824" t="str">
        <f t="shared" si="199"/>
        <v>Y</v>
      </c>
      <c r="F5824" t="str">
        <f t="shared" si="200"/>
        <v>24Y</v>
      </c>
    </row>
    <row r="5825" spans="1:6" x14ac:dyDescent="0.2">
      <c r="A5825">
        <v>25</v>
      </c>
      <c r="E5825" t="str">
        <f t="shared" si="199"/>
        <v>Z</v>
      </c>
      <c r="F5825" t="str">
        <f t="shared" si="200"/>
        <v>25Z</v>
      </c>
    </row>
    <row r="5826" spans="1:6" x14ac:dyDescent="0.2">
      <c r="A5826">
        <v>0</v>
      </c>
      <c r="E5826" t="str">
        <f t="shared" si="199"/>
        <v>A</v>
      </c>
      <c r="F5826" t="str">
        <f t="shared" si="200"/>
        <v>0A</v>
      </c>
    </row>
    <row r="5827" spans="1:6" x14ac:dyDescent="0.2">
      <c r="A5827">
        <v>1</v>
      </c>
      <c r="E5827" t="str">
        <f t="shared" si="199"/>
        <v>B</v>
      </c>
      <c r="F5827" t="str">
        <f t="shared" si="200"/>
        <v>1B</v>
      </c>
    </row>
    <row r="5828" spans="1:6" x14ac:dyDescent="0.2">
      <c r="A5828">
        <v>2</v>
      </c>
      <c r="E5828" t="str">
        <f t="shared" si="199"/>
        <v>C</v>
      </c>
      <c r="F5828" t="str">
        <f t="shared" si="200"/>
        <v>2C</v>
      </c>
    </row>
    <row r="5829" spans="1:6" x14ac:dyDescent="0.2">
      <c r="A5829">
        <v>3</v>
      </c>
      <c r="E5829" t="str">
        <f t="shared" si="199"/>
        <v>D</v>
      </c>
      <c r="F5829" t="str">
        <f t="shared" si="200"/>
        <v>3D</v>
      </c>
    </row>
    <row r="5830" spans="1:6" x14ac:dyDescent="0.2">
      <c r="A5830">
        <v>4</v>
      </c>
      <c r="E5830" t="str">
        <f t="shared" si="199"/>
        <v>E</v>
      </c>
      <c r="F5830" t="str">
        <f t="shared" si="200"/>
        <v>4E</v>
      </c>
    </row>
    <row r="5831" spans="1:6" x14ac:dyDescent="0.2">
      <c r="A5831">
        <v>5</v>
      </c>
      <c r="E5831" t="str">
        <f t="shared" si="199"/>
        <v>F</v>
      </c>
      <c r="F5831" t="str">
        <f t="shared" si="200"/>
        <v>5F</v>
      </c>
    </row>
    <row r="5832" spans="1:6" x14ac:dyDescent="0.2">
      <c r="A5832">
        <v>6</v>
      </c>
      <c r="E5832" t="str">
        <f t="shared" si="199"/>
        <v>G</v>
      </c>
      <c r="F5832" t="str">
        <f t="shared" si="200"/>
        <v>6G</v>
      </c>
    </row>
    <row r="5833" spans="1:6" x14ac:dyDescent="0.2">
      <c r="A5833">
        <v>7</v>
      </c>
      <c r="E5833" t="str">
        <f t="shared" si="199"/>
        <v>H</v>
      </c>
      <c r="F5833" t="str">
        <f t="shared" si="200"/>
        <v>7H</v>
      </c>
    </row>
    <row r="5834" spans="1:6" x14ac:dyDescent="0.2">
      <c r="A5834">
        <v>8</v>
      </c>
      <c r="E5834" t="str">
        <f t="shared" si="199"/>
        <v>I</v>
      </c>
      <c r="F5834" t="str">
        <f t="shared" si="200"/>
        <v>8I</v>
      </c>
    </row>
    <row r="5835" spans="1:6" x14ac:dyDescent="0.2">
      <c r="A5835">
        <v>9</v>
      </c>
      <c r="E5835" t="str">
        <f t="shared" si="199"/>
        <v>J</v>
      </c>
      <c r="F5835" t="str">
        <f t="shared" si="200"/>
        <v>9J</v>
      </c>
    </row>
    <row r="5836" spans="1:6" x14ac:dyDescent="0.2">
      <c r="A5836">
        <v>10</v>
      </c>
      <c r="E5836" t="str">
        <f t="shared" si="199"/>
        <v>K</v>
      </c>
      <c r="F5836" t="str">
        <f t="shared" si="200"/>
        <v>10K</v>
      </c>
    </row>
    <row r="5837" spans="1:6" x14ac:dyDescent="0.2">
      <c r="A5837">
        <v>11</v>
      </c>
      <c r="E5837" t="str">
        <f t="shared" si="199"/>
        <v>L</v>
      </c>
      <c r="F5837" t="str">
        <f t="shared" si="200"/>
        <v>11L</v>
      </c>
    </row>
    <row r="5838" spans="1:6" x14ac:dyDescent="0.2">
      <c r="A5838">
        <v>12</v>
      </c>
      <c r="E5838" t="str">
        <f t="shared" si="199"/>
        <v>M</v>
      </c>
      <c r="F5838" t="str">
        <f t="shared" si="200"/>
        <v>12M</v>
      </c>
    </row>
    <row r="5839" spans="1:6" x14ac:dyDescent="0.2">
      <c r="A5839">
        <v>13</v>
      </c>
      <c r="E5839" t="str">
        <f t="shared" si="199"/>
        <v>N</v>
      </c>
      <c r="F5839" t="str">
        <f t="shared" si="200"/>
        <v>13N</v>
      </c>
    </row>
    <row r="5840" spans="1:6" x14ac:dyDescent="0.2">
      <c r="A5840">
        <v>14</v>
      </c>
      <c r="E5840" t="str">
        <f t="shared" si="199"/>
        <v>O</v>
      </c>
      <c r="F5840" t="str">
        <f t="shared" si="200"/>
        <v>14O</v>
      </c>
    </row>
    <row r="5841" spans="1:6" x14ac:dyDescent="0.2">
      <c r="A5841">
        <v>15</v>
      </c>
      <c r="E5841" t="str">
        <f t="shared" si="199"/>
        <v>P</v>
      </c>
      <c r="F5841" t="str">
        <f t="shared" si="200"/>
        <v>15P</v>
      </c>
    </row>
    <row r="5842" spans="1:6" x14ac:dyDescent="0.2">
      <c r="A5842">
        <v>16</v>
      </c>
      <c r="E5842" t="str">
        <f t="shared" si="199"/>
        <v>Q</v>
      </c>
      <c r="F5842" t="str">
        <f t="shared" si="200"/>
        <v>16Q</v>
      </c>
    </row>
    <row r="5843" spans="1:6" x14ac:dyDescent="0.2">
      <c r="A5843">
        <v>17</v>
      </c>
      <c r="E5843" t="str">
        <f t="shared" si="199"/>
        <v>R</v>
      </c>
      <c r="F5843" t="str">
        <f t="shared" si="200"/>
        <v>17R</v>
      </c>
    </row>
    <row r="5844" spans="1:6" x14ac:dyDescent="0.2">
      <c r="A5844">
        <v>18</v>
      </c>
      <c r="E5844" t="str">
        <f t="shared" si="199"/>
        <v>S</v>
      </c>
      <c r="F5844" t="str">
        <f t="shared" si="200"/>
        <v>18S</v>
      </c>
    </row>
    <row r="5845" spans="1:6" x14ac:dyDescent="0.2">
      <c r="A5845">
        <v>19</v>
      </c>
      <c r="E5845" t="str">
        <f t="shared" si="199"/>
        <v>T</v>
      </c>
      <c r="F5845" t="str">
        <f t="shared" si="200"/>
        <v>19T</v>
      </c>
    </row>
    <row r="5846" spans="1:6" x14ac:dyDescent="0.2">
      <c r="A5846">
        <v>20</v>
      </c>
      <c r="E5846" t="str">
        <f t="shared" si="199"/>
        <v>U</v>
      </c>
      <c r="F5846" t="str">
        <f t="shared" si="200"/>
        <v>20U</v>
      </c>
    </row>
    <row r="5847" spans="1:6" x14ac:dyDescent="0.2">
      <c r="A5847">
        <v>21</v>
      </c>
      <c r="E5847" t="str">
        <f t="shared" ref="E5847:E5877" si="201">E5821</f>
        <v>V</v>
      </c>
      <c r="F5847" t="str">
        <f t="shared" si="200"/>
        <v>21V</v>
      </c>
    </row>
    <row r="5848" spans="1:6" x14ac:dyDescent="0.2">
      <c r="A5848">
        <v>22</v>
      </c>
      <c r="E5848" t="str">
        <f t="shared" si="201"/>
        <v>W</v>
      </c>
      <c r="F5848" t="str">
        <f t="shared" si="200"/>
        <v>22W</v>
      </c>
    </row>
    <row r="5849" spans="1:6" x14ac:dyDescent="0.2">
      <c r="A5849">
        <v>23</v>
      </c>
      <c r="E5849" t="str">
        <f t="shared" si="201"/>
        <v>X</v>
      </c>
      <c r="F5849" t="str">
        <f t="shared" si="200"/>
        <v>23X</v>
      </c>
    </row>
    <row r="5850" spans="1:6" x14ac:dyDescent="0.2">
      <c r="A5850">
        <v>24</v>
      </c>
      <c r="E5850" t="str">
        <f t="shared" si="201"/>
        <v>Y</v>
      </c>
      <c r="F5850" t="str">
        <f t="shared" si="200"/>
        <v>24Y</v>
      </c>
    </row>
    <row r="5851" spans="1:6" x14ac:dyDescent="0.2">
      <c r="A5851">
        <v>25</v>
      </c>
      <c r="E5851" t="str">
        <f t="shared" si="201"/>
        <v>Z</v>
      </c>
      <c r="F5851" t="str">
        <f t="shared" si="200"/>
        <v>25Z</v>
      </c>
    </row>
    <row r="5852" spans="1:6" x14ac:dyDescent="0.2">
      <c r="A5852">
        <v>0</v>
      </c>
      <c r="E5852" t="str">
        <f t="shared" si="201"/>
        <v>A</v>
      </c>
      <c r="F5852" t="str">
        <f t="shared" si="200"/>
        <v>0A</v>
      </c>
    </row>
    <row r="5853" spans="1:6" x14ac:dyDescent="0.2">
      <c r="A5853">
        <v>1</v>
      </c>
      <c r="E5853" t="str">
        <f t="shared" si="201"/>
        <v>B</v>
      </c>
      <c r="F5853" t="str">
        <f t="shared" ref="F5853:F5877" si="202">A5853&amp;C5853&amp;E5853</f>
        <v>1B</v>
      </c>
    </row>
    <row r="5854" spans="1:6" x14ac:dyDescent="0.2">
      <c r="A5854">
        <v>2</v>
      </c>
      <c r="E5854" t="str">
        <f t="shared" si="201"/>
        <v>C</v>
      </c>
      <c r="F5854" t="str">
        <f t="shared" si="202"/>
        <v>2C</v>
      </c>
    </row>
    <row r="5855" spans="1:6" x14ac:dyDescent="0.2">
      <c r="A5855">
        <v>3</v>
      </c>
      <c r="E5855" t="str">
        <f t="shared" si="201"/>
        <v>D</v>
      </c>
      <c r="F5855" t="str">
        <f t="shared" si="202"/>
        <v>3D</v>
      </c>
    </row>
    <row r="5856" spans="1:6" x14ac:dyDescent="0.2">
      <c r="A5856">
        <v>4</v>
      </c>
      <c r="E5856" t="str">
        <f t="shared" si="201"/>
        <v>E</v>
      </c>
      <c r="F5856" t="str">
        <f t="shared" si="202"/>
        <v>4E</v>
      </c>
    </row>
    <row r="5857" spans="1:6" x14ac:dyDescent="0.2">
      <c r="A5857">
        <v>5</v>
      </c>
      <c r="E5857" t="str">
        <f t="shared" si="201"/>
        <v>F</v>
      </c>
      <c r="F5857" t="str">
        <f t="shared" si="202"/>
        <v>5F</v>
      </c>
    </row>
    <row r="5858" spans="1:6" x14ac:dyDescent="0.2">
      <c r="A5858">
        <v>6</v>
      </c>
      <c r="E5858" t="str">
        <f t="shared" si="201"/>
        <v>G</v>
      </c>
      <c r="F5858" t="str">
        <f t="shared" si="202"/>
        <v>6G</v>
      </c>
    </row>
    <row r="5859" spans="1:6" x14ac:dyDescent="0.2">
      <c r="A5859">
        <v>7</v>
      </c>
      <c r="E5859" t="str">
        <f t="shared" si="201"/>
        <v>H</v>
      </c>
      <c r="F5859" t="str">
        <f t="shared" si="202"/>
        <v>7H</v>
      </c>
    </row>
    <row r="5860" spans="1:6" x14ac:dyDescent="0.2">
      <c r="A5860">
        <v>8</v>
      </c>
      <c r="E5860" t="str">
        <f t="shared" si="201"/>
        <v>I</v>
      </c>
      <c r="F5860" t="str">
        <f t="shared" si="202"/>
        <v>8I</v>
      </c>
    </row>
    <row r="5861" spans="1:6" x14ac:dyDescent="0.2">
      <c r="A5861">
        <v>9</v>
      </c>
      <c r="E5861" t="str">
        <f t="shared" si="201"/>
        <v>J</v>
      </c>
      <c r="F5861" t="str">
        <f t="shared" si="202"/>
        <v>9J</v>
      </c>
    </row>
    <row r="5862" spans="1:6" x14ac:dyDescent="0.2">
      <c r="A5862">
        <v>10</v>
      </c>
      <c r="E5862" t="str">
        <f t="shared" si="201"/>
        <v>K</v>
      </c>
      <c r="F5862" t="str">
        <f t="shared" si="202"/>
        <v>10K</v>
      </c>
    </row>
    <row r="5863" spans="1:6" x14ac:dyDescent="0.2">
      <c r="A5863">
        <v>11</v>
      </c>
      <c r="E5863" t="str">
        <f t="shared" si="201"/>
        <v>L</v>
      </c>
      <c r="F5863" t="str">
        <f t="shared" si="202"/>
        <v>11L</v>
      </c>
    </row>
    <row r="5864" spans="1:6" x14ac:dyDescent="0.2">
      <c r="A5864">
        <v>12</v>
      </c>
      <c r="E5864" t="str">
        <f t="shared" si="201"/>
        <v>M</v>
      </c>
      <c r="F5864" t="str">
        <f t="shared" si="202"/>
        <v>12M</v>
      </c>
    </row>
    <row r="5865" spans="1:6" x14ac:dyDescent="0.2">
      <c r="A5865">
        <v>13</v>
      </c>
      <c r="E5865" t="str">
        <f t="shared" si="201"/>
        <v>N</v>
      </c>
      <c r="F5865" t="str">
        <f t="shared" si="202"/>
        <v>13N</v>
      </c>
    </row>
    <row r="5866" spans="1:6" x14ac:dyDescent="0.2">
      <c r="A5866">
        <v>14</v>
      </c>
      <c r="E5866" t="str">
        <f t="shared" si="201"/>
        <v>O</v>
      </c>
      <c r="F5866" t="str">
        <f t="shared" si="202"/>
        <v>14O</v>
      </c>
    </row>
    <row r="5867" spans="1:6" x14ac:dyDescent="0.2">
      <c r="A5867">
        <v>15</v>
      </c>
      <c r="E5867" t="str">
        <f t="shared" si="201"/>
        <v>P</v>
      </c>
      <c r="F5867" t="str">
        <f t="shared" si="202"/>
        <v>15P</v>
      </c>
    </row>
    <row r="5868" spans="1:6" x14ac:dyDescent="0.2">
      <c r="A5868">
        <v>16</v>
      </c>
      <c r="E5868" t="str">
        <f t="shared" si="201"/>
        <v>Q</v>
      </c>
      <c r="F5868" t="str">
        <f t="shared" si="202"/>
        <v>16Q</v>
      </c>
    </row>
    <row r="5869" spans="1:6" x14ac:dyDescent="0.2">
      <c r="A5869">
        <v>17</v>
      </c>
      <c r="E5869" t="str">
        <f t="shared" si="201"/>
        <v>R</v>
      </c>
      <c r="F5869" t="str">
        <f t="shared" si="202"/>
        <v>17R</v>
      </c>
    </row>
    <row r="5870" spans="1:6" x14ac:dyDescent="0.2">
      <c r="A5870">
        <v>18</v>
      </c>
      <c r="E5870" t="str">
        <f t="shared" si="201"/>
        <v>S</v>
      </c>
      <c r="F5870" t="str">
        <f t="shared" si="202"/>
        <v>18S</v>
      </c>
    </row>
    <row r="5871" spans="1:6" x14ac:dyDescent="0.2">
      <c r="A5871">
        <v>19</v>
      </c>
      <c r="E5871" t="str">
        <f t="shared" si="201"/>
        <v>T</v>
      </c>
      <c r="F5871" t="str">
        <f t="shared" si="202"/>
        <v>19T</v>
      </c>
    </row>
    <row r="5872" spans="1:6" x14ac:dyDescent="0.2">
      <c r="A5872">
        <v>20</v>
      </c>
      <c r="E5872" t="str">
        <f t="shared" si="201"/>
        <v>U</v>
      </c>
      <c r="F5872" t="str">
        <f t="shared" si="202"/>
        <v>20U</v>
      </c>
    </row>
    <row r="5873" spans="1:6" x14ac:dyDescent="0.2">
      <c r="A5873">
        <v>21</v>
      </c>
      <c r="E5873" t="str">
        <f t="shared" si="201"/>
        <v>V</v>
      </c>
      <c r="F5873" t="str">
        <f t="shared" si="202"/>
        <v>21V</v>
      </c>
    </row>
    <row r="5874" spans="1:6" x14ac:dyDescent="0.2">
      <c r="A5874">
        <v>22</v>
      </c>
      <c r="E5874" t="str">
        <f t="shared" si="201"/>
        <v>W</v>
      </c>
      <c r="F5874" t="str">
        <f t="shared" si="202"/>
        <v>22W</v>
      </c>
    </row>
    <row r="5875" spans="1:6" x14ac:dyDescent="0.2">
      <c r="A5875">
        <v>23</v>
      </c>
      <c r="E5875" t="str">
        <f t="shared" si="201"/>
        <v>X</v>
      </c>
      <c r="F5875" t="str">
        <f t="shared" si="202"/>
        <v>23X</v>
      </c>
    </row>
    <row r="5876" spans="1:6" x14ac:dyDescent="0.2">
      <c r="A5876">
        <v>24</v>
      </c>
      <c r="E5876" t="str">
        <f t="shared" si="201"/>
        <v>Y</v>
      </c>
      <c r="F5876" t="str">
        <f t="shared" si="202"/>
        <v>24Y</v>
      </c>
    </row>
    <row r="5877" spans="1:6" x14ac:dyDescent="0.2">
      <c r="A5877">
        <v>25</v>
      </c>
      <c r="E5877" t="str">
        <f t="shared" si="201"/>
        <v>Z</v>
      </c>
      <c r="F5877" t="str">
        <f t="shared" si="202"/>
        <v>25Z</v>
      </c>
    </row>
    <row r="5878" spans="1:6" x14ac:dyDescent="0.2">
      <c r="A5878">
        <v>0</v>
      </c>
      <c r="E5878" t="str">
        <f>E5852</f>
        <v>A</v>
      </c>
      <c r="F5878" t="str">
        <f t="shared" ref="F5878:F5909" si="203">A5878&amp;C5878&amp;E5878</f>
        <v>0A</v>
      </c>
    </row>
    <row r="5879" spans="1:6" x14ac:dyDescent="0.2">
      <c r="A5879">
        <v>1</v>
      </c>
      <c r="E5879" t="str">
        <f t="shared" ref="E5879:E5935" si="204">E5853</f>
        <v>B</v>
      </c>
      <c r="F5879" t="str">
        <f t="shared" si="203"/>
        <v>1B</v>
      </c>
    </row>
    <row r="5880" spans="1:6" x14ac:dyDescent="0.2">
      <c r="A5880">
        <v>2</v>
      </c>
      <c r="E5880" t="str">
        <f t="shared" si="204"/>
        <v>C</v>
      </c>
      <c r="F5880" t="str">
        <f t="shared" si="203"/>
        <v>2C</v>
      </c>
    </row>
    <row r="5881" spans="1:6" x14ac:dyDescent="0.2">
      <c r="A5881">
        <v>3</v>
      </c>
      <c r="E5881" t="str">
        <f t="shared" si="204"/>
        <v>D</v>
      </c>
      <c r="F5881" t="str">
        <f t="shared" si="203"/>
        <v>3D</v>
      </c>
    </row>
    <row r="5882" spans="1:6" x14ac:dyDescent="0.2">
      <c r="A5882">
        <v>4</v>
      </c>
      <c r="E5882" t="str">
        <f t="shared" si="204"/>
        <v>E</v>
      </c>
      <c r="F5882" t="str">
        <f t="shared" si="203"/>
        <v>4E</v>
      </c>
    </row>
    <row r="5883" spans="1:6" x14ac:dyDescent="0.2">
      <c r="A5883">
        <v>5</v>
      </c>
      <c r="E5883" t="str">
        <f t="shared" si="204"/>
        <v>F</v>
      </c>
      <c r="F5883" t="str">
        <f t="shared" si="203"/>
        <v>5F</v>
      </c>
    </row>
    <row r="5884" spans="1:6" x14ac:dyDescent="0.2">
      <c r="A5884">
        <v>6</v>
      </c>
      <c r="E5884" t="str">
        <f t="shared" si="204"/>
        <v>G</v>
      </c>
      <c r="F5884" t="str">
        <f t="shared" si="203"/>
        <v>6G</v>
      </c>
    </row>
    <row r="5885" spans="1:6" x14ac:dyDescent="0.2">
      <c r="A5885">
        <v>7</v>
      </c>
      <c r="E5885" t="str">
        <f t="shared" si="204"/>
        <v>H</v>
      </c>
      <c r="F5885" t="str">
        <f t="shared" si="203"/>
        <v>7H</v>
      </c>
    </row>
    <row r="5886" spans="1:6" x14ac:dyDescent="0.2">
      <c r="A5886">
        <v>8</v>
      </c>
      <c r="E5886" t="str">
        <f t="shared" si="204"/>
        <v>I</v>
      </c>
      <c r="F5886" t="str">
        <f t="shared" si="203"/>
        <v>8I</v>
      </c>
    </row>
    <row r="5887" spans="1:6" x14ac:dyDescent="0.2">
      <c r="A5887">
        <v>9</v>
      </c>
      <c r="E5887" t="str">
        <f t="shared" si="204"/>
        <v>J</v>
      </c>
      <c r="F5887" t="str">
        <f t="shared" si="203"/>
        <v>9J</v>
      </c>
    </row>
    <row r="5888" spans="1:6" x14ac:dyDescent="0.2">
      <c r="A5888">
        <v>10</v>
      </c>
      <c r="E5888" t="str">
        <f t="shared" si="204"/>
        <v>K</v>
      </c>
      <c r="F5888" t="str">
        <f t="shared" si="203"/>
        <v>10K</v>
      </c>
    </row>
    <row r="5889" spans="1:6" x14ac:dyDescent="0.2">
      <c r="A5889">
        <v>11</v>
      </c>
      <c r="E5889" t="str">
        <f t="shared" si="204"/>
        <v>L</v>
      </c>
      <c r="F5889" t="str">
        <f t="shared" si="203"/>
        <v>11L</v>
      </c>
    </row>
    <row r="5890" spans="1:6" x14ac:dyDescent="0.2">
      <c r="A5890">
        <v>12</v>
      </c>
      <c r="E5890" t="str">
        <f t="shared" si="204"/>
        <v>M</v>
      </c>
      <c r="F5890" t="str">
        <f t="shared" si="203"/>
        <v>12M</v>
      </c>
    </row>
    <row r="5891" spans="1:6" x14ac:dyDescent="0.2">
      <c r="A5891">
        <v>13</v>
      </c>
      <c r="E5891" t="str">
        <f t="shared" si="204"/>
        <v>N</v>
      </c>
      <c r="F5891" t="str">
        <f t="shared" si="203"/>
        <v>13N</v>
      </c>
    </row>
    <row r="5892" spans="1:6" x14ac:dyDescent="0.2">
      <c r="A5892">
        <v>14</v>
      </c>
      <c r="E5892" t="str">
        <f t="shared" si="204"/>
        <v>O</v>
      </c>
      <c r="F5892" t="str">
        <f t="shared" si="203"/>
        <v>14O</v>
      </c>
    </row>
    <row r="5893" spans="1:6" x14ac:dyDescent="0.2">
      <c r="A5893">
        <v>15</v>
      </c>
      <c r="E5893" t="str">
        <f t="shared" si="204"/>
        <v>P</v>
      </c>
      <c r="F5893" t="str">
        <f t="shared" si="203"/>
        <v>15P</v>
      </c>
    </row>
    <row r="5894" spans="1:6" x14ac:dyDescent="0.2">
      <c r="A5894">
        <v>16</v>
      </c>
      <c r="E5894" t="str">
        <f t="shared" si="204"/>
        <v>Q</v>
      </c>
      <c r="F5894" t="str">
        <f t="shared" si="203"/>
        <v>16Q</v>
      </c>
    </row>
    <row r="5895" spans="1:6" x14ac:dyDescent="0.2">
      <c r="A5895">
        <v>17</v>
      </c>
      <c r="E5895" t="str">
        <f t="shared" si="204"/>
        <v>R</v>
      </c>
      <c r="F5895" t="str">
        <f t="shared" si="203"/>
        <v>17R</v>
      </c>
    </row>
    <row r="5896" spans="1:6" x14ac:dyDescent="0.2">
      <c r="A5896">
        <v>18</v>
      </c>
      <c r="E5896" t="str">
        <f t="shared" si="204"/>
        <v>S</v>
      </c>
      <c r="F5896" t="str">
        <f t="shared" si="203"/>
        <v>18S</v>
      </c>
    </row>
    <row r="5897" spans="1:6" x14ac:dyDescent="0.2">
      <c r="A5897">
        <v>19</v>
      </c>
      <c r="E5897" t="str">
        <f t="shared" si="204"/>
        <v>T</v>
      </c>
      <c r="F5897" t="str">
        <f t="shared" si="203"/>
        <v>19T</v>
      </c>
    </row>
    <row r="5898" spans="1:6" x14ac:dyDescent="0.2">
      <c r="A5898">
        <v>20</v>
      </c>
      <c r="E5898" t="str">
        <f t="shared" si="204"/>
        <v>U</v>
      </c>
      <c r="F5898" t="str">
        <f t="shared" si="203"/>
        <v>20U</v>
      </c>
    </row>
    <row r="5899" spans="1:6" x14ac:dyDescent="0.2">
      <c r="A5899">
        <v>21</v>
      </c>
      <c r="E5899" t="str">
        <f t="shared" si="204"/>
        <v>V</v>
      </c>
      <c r="F5899" t="str">
        <f t="shared" si="203"/>
        <v>21V</v>
      </c>
    </row>
    <row r="5900" spans="1:6" x14ac:dyDescent="0.2">
      <c r="A5900">
        <v>22</v>
      </c>
      <c r="E5900" t="str">
        <f t="shared" si="204"/>
        <v>W</v>
      </c>
      <c r="F5900" t="str">
        <f t="shared" si="203"/>
        <v>22W</v>
      </c>
    </row>
    <row r="5901" spans="1:6" x14ac:dyDescent="0.2">
      <c r="A5901">
        <v>23</v>
      </c>
      <c r="E5901" t="str">
        <f t="shared" si="204"/>
        <v>X</v>
      </c>
      <c r="F5901" t="str">
        <f t="shared" si="203"/>
        <v>23X</v>
      </c>
    </row>
    <row r="5902" spans="1:6" x14ac:dyDescent="0.2">
      <c r="A5902">
        <v>24</v>
      </c>
      <c r="E5902" t="str">
        <f t="shared" si="204"/>
        <v>Y</v>
      </c>
      <c r="F5902" t="str">
        <f t="shared" si="203"/>
        <v>24Y</v>
      </c>
    </row>
    <row r="5903" spans="1:6" x14ac:dyDescent="0.2">
      <c r="A5903">
        <v>25</v>
      </c>
      <c r="E5903" t="str">
        <f t="shared" si="204"/>
        <v>Z</v>
      </c>
      <c r="F5903" t="str">
        <f t="shared" si="203"/>
        <v>25Z</v>
      </c>
    </row>
    <row r="5904" spans="1:6" x14ac:dyDescent="0.2">
      <c r="A5904">
        <v>0</v>
      </c>
      <c r="E5904" t="str">
        <f t="shared" si="204"/>
        <v>A</v>
      </c>
      <c r="F5904" t="str">
        <f t="shared" si="203"/>
        <v>0A</v>
      </c>
    </row>
    <row r="5905" spans="1:6" x14ac:dyDescent="0.2">
      <c r="A5905">
        <v>1</v>
      </c>
      <c r="E5905" t="str">
        <f t="shared" si="204"/>
        <v>B</v>
      </c>
      <c r="F5905" t="str">
        <f t="shared" si="203"/>
        <v>1B</v>
      </c>
    </row>
    <row r="5906" spans="1:6" x14ac:dyDescent="0.2">
      <c r="A5906">
        <v>2</v>
      </c>
      <c r="E5906" t="str">
        <f t="shared" si="204"/>
        <v>C</v>
      </c>
      <c r="F5906" t="str">
        <f t="shared" si="203"/>
        <v>2C</v>
      </c>
    </row>
    <row r="5907" spans="1:6" x14ac:dyDescent="0.2">
      <c r="A5907">
        <v>3</v>
      </c>
      <c r="E5907" t="str">
        <f t="shared" si="204"/>
        <v>D</v>
      </c>
      <c r="F5907" t="str">
        <f t="shared" si="203"/>
        <v>3D</v>
      </c>
    </row>
    <row r="5908" spans="1:6" x14ac:dyDescent="0.2">
      <c r="A5908">
        <v>4</v>
      </c>
      <c r="E5908" t="str">
        <f t="shared" si="204"/>
        <v>E</v>
      </c>
      <c r="F5908" t="str">
        <f t="shared" si="203"/>
        <v>4E</v>
      </c>
    </row>
    <row r="5909" spans="1:6" x14ac:dyDescent="0.2">
      <c r="A5909">
        <v>5</v>
      </c>
      <c r="E5909" t="str">
        <f t="shared" si="204"/>
        <v>F</v>
      </c>
      <c r="F5909" t="str">
        <f t="shared" si="203"/>
        <v>5F</v>
      </c>
    </row>
    <row r="5910" spans="1:6" x14ac:dyDescent="0.2">
      <c r="A5910">
        <v>6</v>
      </c>
      <c r="E5910" t="str">
        <f t="shared" si="204"/>
        <v>G</v>
      </c>
      <c r="F5910" t="str">
        <f t="shared" ref="F5910:F5973" si="205">A5910&amp;C5910&amp;E5910</f>
        <v>6G</v>
      </c>
    </row>
    <row r="5911" spans="1:6" x14ac:dyDescent="0.2">
      <c r="A5911">
        <v>7</v>
      </c>
      <c r="E5911" t="str">
        <f t="shared" si="204"/>
        <v>H</v>
      </c>
      <c r="F5911" t="str">
        <f t="shared" si="205"/>
        <v>7H</v>
      </c>
    </row>
    <row r="5912" spans="1:6" x14ac:dyDescent="0.2">
      <c r="A5912">
        <v>8</v>
      </c>
      <c r="E5912" t="str">
        <f t="shared" si="204"/>
        <v>I</v>
      </c>
      <c r="F5912" t="str">
        <f t="shared" si="205"/>
        <v>8I</v>
      </c>
    </row>
    <row r="5913" spans="1:6" x14ac:dyDescent="0.2">
      <c r="A5913">
        <v>9</v>
      </c>
      <c r="E5913" t="str">
        <f t="shared" si="204"/>
        <v>J</v>
      </c>
      <c r="F5913" t="str">
        <f t="shared" si="205"/>
        <v>9J</v>
      </c>
    </row>
    <row r="5914" spans="1:6" x14ac:dyDescent="0.2">
      <c r="A5914">
        <v>10</v>
      </c>
      <c r="E5914" t="str">
        <f t="shared" si="204"/>
        <v>K</v>
      </c>
      <c r="F5914" t="str">
        <f t="shared" si="205"/>
        <v>10K</v>
      </c>
    </row>
    <row r="5915" spans="1:6" x14ac:dyDescent="0.2">
      <c r="A5915">
        <v>11</v>
      </c>
      <c r="E5915" t="str">
        <f t="shared" si="204"/>
        <v>L</v>
      </c>
      <c r="F5915" t="str">
        <f t="shared" si="205"/>
        <v>11L</v>
      </c>
    </row>
    <row r="5916" spans="1:6" x14ac:dyDescent="0.2">
      <c r="A5916">
        <v>12</v>
      </c>
      <c r="E5916" t="str">
        <f t="shared" si="204"/>
        <v>M</v>
      </c>
      <c r="F5916" t="str">
        <f t="shared" si="205"/>
        <v>12M</v>
      </c>
    </row>
    <row r="5917" spans="1:6" x14ac:dyDescent="0.2">
      <c r="A5917">
        <v>13</v>
      </c>
      <c r="E5917" t="str">
        <f t="shared" si="204"/>
        <v>N</v>
      </c>
      <c r="F5917" t="str">
        <f t="shared" si="205"/>
        <v>13N</v>
      </c>
    </row>
    <row r="5918" spans="1:6" x14ac:dyDescent="0.2">
      <c r="A5918">
        <v>14</v>
      </c>
      <c r="E5918" t="str">
        <f t="shared" si="204"/>
        <v>O</v>
      </c>
      <c r="F5918" t="str">
        <f t="shared" si="205"/>
        <v>14O</v>
      </c>
    </row>
    <row r="5919" spans="1:6" x14ac:dyDescent="0.2">
      <c r="A5919">
        <v>15</v>
      </c>
      <c r="E5919" t="str">
        <f t="shared" si="204"/>
        <v>P</v>
      </c>
      <c r="F5919" t="str">
        <f t="shared" si="205"/>
        <v>15P</v>
      </c>
    </row>
    <row r="5920" spans="1:6" x14ac:dyDescent="0.2">
      <c r="A5920">
        <v>16</v>
      </c>
      <c r="E5920" t="str">
        <f t="shared" si="204"/>
        <v>Q</v>
      </c>
      <c r="F5920" t="str">
        <f t="shared" si="205"/>
        <v>16Q</v>
      </c>
    </row>
    <row r="5921" spans="1:6" x14ac:dyDescent="0.2">
      <c r="A5921">
        <v>17</v>
      </c>
      <c r="E5921" t="str">
        <f t="shared" si="204"/>
        <v>R</v>
      </c>
      <c r="F5921" t="str">
        <f t="shared" si="205"/>
        <v>17R</v>
      </c>
    </row>
    <row r="5922" spans="1:6" x14ac:dyDescent="0.2">
      <c r="A5922">
        <v>18</v>
      </c>
      <c r="E5922" t="str">
        <f t="shared" si="204"/>
        <v>S</v>
      </c>
      <c r="F5922" t="str">
        <f t="shared" si="205"/>
        <v>18S</v>
      </c>
    </row>
    <row r="5923" spans="1:6" x14ac:dyDescent="0.2">
      <c r="A5923">
        <v>19</v>
      </c>
      <c r="E5923" t="str">
        <f t="shared" si="204"/>
        <v>T</v>
      </c>
      <c r="F5923" t="str">
        <f t="shared" si="205"/>
        <v>19T</v>
      </c>
    </row>
    <row r="5924" spans="1:6" x14ac:dyDescent="0.2">
      <c r="A5924">
        <v>20</v>
      </c>
      <c r="E5924" t="str">
        <f t="shared" si="204"/>
        <v>U</v>
      </c>
      <c r="F5924" t="str">
        <f t="shared" si="205"/>
        <v>20U</v>
      </c>
    </row>
    <row r="5925" spans="1:6" x14ac:dyDescent="0.2">
      <c r="A5925">
        <v>21</v>
      </c>
      <c r="E5925" t="str">
        <f t="shared" si="204"/>
        <v>V</v>
      </c>
      <c r="F5925" t="str">
        <f t="shared" si="205"/>
        <v>21V</v>
      </c>
    </row>
    <row r="5926" spans="1:6" x14ac:dyDescent="0.2">
      <c r="A5926">
        <v>22</v>
      </c>
      <c r="E5926" t="str">
        <f t="shared" si="204"/>
        <v>W</v>
      </c>
      <c r="F5926" t="str">
        <f t="shared" si="205"/>
        <v>22W</v>
      </c>
    </row>
    <row r="5927" spans="1:6" x14ac:dyDescent="0.2">
      <c r="A5927">
        <v>23</v>
      </c>
      <c r="E5927" t="str">
        <f t="shared" si="204"/>
        <v>X</v>
      </c>
      <c r="F5927" t="str">
        <f t="shared" si="205"/>
        <v>23X</v>
      </c>
    </row>
    <row r="5928" spans="1:6" x14ac:dyDescent="0.2">
      <c r="A5928">
        <v>24</v>
      </c>
      <c r="E5928" t="str">
        <f t="shared" si="204"/>
        <v>Y</v>
      </c>
      <c r="F5928" t="str">
        <f t="shared" si="205"/>
        <v>24Y</v>
      </c>
    </row>
    <row r="5929" spans="1:6" x14ac:dyDescent="0.2">
      <c r="A5929">
        <v>25</v>
      </c>
      <c r="E5929" t="str">
        <f t="shared" si="204"/>
        <v>Z</v>
      </c>
      <c r="F5929" t="str">
        <f t="shared" si="205"/>
        <v>25Z</v>
      </c>
    </row>
    <row r="5930" spans="1:6" x14ac:dyDescent="0.2">
      <c r="A5930">
        <v>0</v>
      </c>
      <c r="E5930" t="str">
        <f t="shared" si="204"/>
        <v>A</v>
      </c>
      <c r="F5930" t="str">
        <f t="shared" si="205"/>
        <v>0A</v>
      </c>
    </row>
    <row r="5931" spans="1:6" x14ac:dyDescent="0.2">
      <c r="A5931">
        <v>1</v>
      </c>
      <c r="E5931" t="str">
        <f t="shared" si="204"/>
        <v>B</v>
      </c>
      <c r="F5931" t="str">
        <f t="shared" si="205"/>
        <v>1B</v>
      </c>
    </row>
    <row r="5932" spans="1:6" x14ac:dyDescent="0.2">
      <c r="A5932">
        <v>2</v>
      </c>
      <c r="E5932" t="str">
        <f t="shared" si="204"/>
        <v>C</v>
      </c>
      <c r="F5932" t="str">
        <f t="shared" si="205"/>
        <v>2C</v>
      </c>
    </row>
    <row r="5933" spans="1:6" x14ac:dyDescent="0.2">
      <c r="A5933">
        <v>3</v>
      </c>
      <c r="E5933" t="str">
        <f t="shared" si="204"/>
        <v>D</v>
      </c>
      <c r="F5933" t="str">
        <f t="shared" si="205"/>
        <v>3D</v>
      </c>
    </row>
    <row r="5934" spans="1:6" x14ac:dyDescent="0.2">
      <c r="A5934">
        <v>4</v>
      </c>
      <c r="E5934" t="str">
        <f t="shared" si="204"/>
        <v>E</v>
      </c>
      <c r="F5934" t="str">
        <f t="shared" si="205"/>
        <v>4E</v>
      </c>
    </row>
    <row r="5935" spans="1:6" x14ac:dyDescent="0.2">
      <c r="A5935">
        <v>5</v>
      </c>
      <c r="E5935" t="str">
        <f t="shared" si="204"/>
        <v>F</v>
      </c>
      <c r="F5935" t="str">
        <f t="shared" si="205"/>
        <v>5F</v>
      </c>
    </row>
    <row r="5936" spans="1:6" x14ac:dyDescent="0.2">
      <c r="A5936">
        <v>6</v>
      </c>
      <c r="E5936" t="str">
        <f t="shared" ref="E5936:E5999" si="206">E5910</f>
        <v>G</v>
      </c>
      <c r="F5936" t="str">
        <f t="shared" si="205"/>
        <v>6G</v>
      </c>
    </row>
    <row r="5937" spans="1:6" x14ac:dyDescent="0.2">
      <c r="A5937">
        <v>7</v>
      </c>
      <c r="E5937" t="str">
        <f t="shared" si="206"/>
        <v>H</v>
      </c>
      <c r="F5937" t="str">
        <f t="shared" si="205"/>
        <v>7H</v>
      </c>
    </row>
    <row r="5938" spans="1:6" x14ac:dyDescent="0.2">
      <c r="A5938">
        <v>8</v>
      </c>
      <c r="E5938" t="str">
        <f t="shared" si="206"/>
        <v>I</v>
      </c>
      <c r="F5938" t="str">
        <f t="shared" si="205"/>
        <v>8I</v>
      </c>
    </row>
    <row r="5939" spans="1:6" x14ac:dyDescent="0.2">
      <c r="A5939">
        <v>9</v>
      </c>
      <c r="E5939" t="str">
        <f t="shared" si="206"/>
        <v>J</v>
      </c>
      <c r="F5939" t="str">
        <f t="shared" si="205"/>
        <v>9J</v>
      </c>
    </row>
    <row r="5940" spans="1:6" x14ac:dyDescent="0.2">
      <c r="A5940">
        <v>10</v>
      </c>
      <c r="E5940" t="str">
        <f t="shared" si="206"/>
        <v>K</v>
      </c>
      <c r="F5940" t="str">
        <f t="shared" si="205"/>
        <v>10K</v>
      </c>
    </row>
    <row r="5941" spans="1:6" x14ac:dyDescent="0.2">
      <c r="A5941">
        <v>11</v>
      </c>
      <c r="E5941" t="str">
        <f t="shared" si="206"/>
        <v>L</v>
      </c>
      <c r="F5941" t="str">
        <f t="shared" si="205"/>
        <v>11L</v>
      </c>
    </row>
    <row r="5942" spans="1:6" x14ac:dyDescent="0.2">
      <c r="A5942">
        <v>12</v>
      </c>
      <c r="E5942" t="str">
        <f t="shared" si="206"/>
        <v>M</v>
      </c>
      <c r="F5942" t="str">
        <f t="shared" si="205"/>
        <v>12M</v>
      </c>
    </row>
    <row r="5943" spans="1:6" x14ac:dyDescent="0.2">
      <c r="A5943">
        <v>13</v>
      </c>
      <c r="E5943" t="str">
        <f t="shared" si="206"/>
        <v>N</v>
      </c>
      <c r="F5943" t="str">
        <f t="shared" si="205"/>
        <v>13N</v>
      </c>
    </row>
    <row r="5944" spans="1:6" x14ac:dyDescent="0.2">
      <c r="A5944">
        <v>14</v>
      </c>
      <c r="E5944" t="str">
        <f t="shared" si="206"/>
        <v>O</v>
      </c>
      <c r="F5944" t="str">
        <f t="shared" si="205"/>
        <v>14O</v>
      </c>
    </row>
    <row r="5945" spans="1:6" x14ac:dyDescent="0.2">
      <c r="A5945">
        <v>15</v>
      </c>
      <c r="E5945" t="str">
        <f t="shared" si="206"/>
        <v>P</v>
      </c>
      <c r="F5945" t="str">
        <f t="shared" si="205"/>
        <v>15P</v>
      </c>
    </row>
    <row r="5946" spans="1:6" x14ac:dyDescent="0.2">
      <c r="A5946">
        <v>16</v>
      </c>
      <c r="E5946" t="str">
        <f t="shared" si="206"/>
        <v>Q</v>
      </c>
      <c r="F5946" t="str">
        <f t="shared" si="205"/>
        <v>16Q</v>
      </c>
    </row>
    <row r="5947" spans="1:6" x14ac:dyDescent="0.2">
      <c r="A5947">
        <v>17</v>
      </c>
      <c r="E5947" t="str">
        <f t="shared" si="206"/>
        <v>R</v>
      </c>
      <c r="F5947" t="str">
        <f t="shared" si="205"/>
        <v>17R</v>
      </c>
    </row>
    <row r="5948" spans="1:6" x14ac:dyDescent="0.2">
      <c r="A5948">
        <v>18</v>
      </c>
      <c r="E5948" t="str">
        <f t="shared" si="206"/>
        <v>S</v>
      </c>
      <c r="F5948" t="str">
        <f t="shared" si="205"/>
        <v>18S</v>
      </c>
    </row>
    <row r="5949" spans="1:6" x14ac:dyDescent="0.2">
      <c r="A5949">
        <v>19</v>
      </c>
      <c r="E5949" t="str">
        <f t="shared" si="206"/>
        <v>T</v>
      </c>
      <c r="F5949" t="str">
        <f t="shared" si="205"/>
        <v>19T</v>
      </c>
    </row>
    <row r="5950" spans="1:6" x14ac:dyDescent="0.2">
      <c r="A5950">
        <v>20</v>
      </c>
      <c r="E5950" t="str">
        <f t="shared" si="206"/>
        <v>U</v>
      </c>
      <c r="F5950" t="str">
        <f t="shared" si="205"/>
        <v>20U</v>
      </c>
    </row>
    <row r="5951" spans="1:6" x14ac:dyDescent="0.2">
      <c r="A5951">
        <v>21</v>
      </c>
      <c r="E5951" t="str">
        <f t="shared" si="206"/>
        <v>V</v>
      </c>
      <c r="F5951" t="str">
        <f t="shared" si="205"/>
        <v>21V</v>
      </c>
    </row>
    <row r="5952" spans="1:6" x14ac:dyDescent="0.2">
      <c r="A5952">
        <v>22</v>
      </c>
      <c r="E5952" t="str">
        <f t="shared" si="206"/>
        <v>W</v>
      </c>
      <c r="F5952" t="str">
        <f t="shared" si="205"/>
        <v>22W</v>
      </c>
    </row>
    <row r="5953" spans="1:6" x14ac:dyDescent="0.2">
      <c r="A5953">
        <v>23</v>
      </c>
      <c r="E5953" t="str">
        <f t="shared" si="206"/>
        <v>X</v>
      </c>
      <c r="F5953" t="str">
        <f t="shared" si="205"/>
        <v>23X</v>
      </c>
    </row>
    <row r="5954" spans="1:6" x14ac:dyDescent="0.2">
      <c r="A5954">
        <v>24</v>
      </c>
      <c r="E5954" t="str">
        <f t="shared" si="206"/>
        <v>Y</v>
      </c>
      <c r="F5954" t="str">
        <f t="shared" si="205"/>
        <v>24Y</v>
      </c>
    </row>
    <row r="5955" spans="1:6" x14ac:dyDescent="0.2">
      <c r="A5955">
        <v>25</v>
      </c>
      <c r="E5955" t="str">
        <f t="shared" si="206"/>
        <v>Z</v>
      </c>
      <c r="F5955" t="str">
        <f t="shared" si="205"/>
        <v>25Z</v>
      </c>
    </row>
    <row r="5956" spans="1:6" x14ac:dyDescent="0.2">
      <c r="A5956">
        <v>0</v>
      </c>
      <c r="E5956" t="str">
        <f t="shared" si="206"/>
        <v>A</v>
      </c>
      <c r="F5956" t="str">
        <f t="shared" si="205"/>
        <v>0A</v>
      </c>
    </row>
    <row r="5957" spans="1:6" x14ac:dyDescent="0.2">
      <c r="A5957">
        <v>1</v>
      </c>
      <c r="E5957" t="str">
        <f t="shared" si="206"/>
        <v>B</v>
      </c>
      <c r="F5957" t="str">
        <f t="shared" si="205"/>
        <v>1B</v>
      </c>
    </row>
    <row r="5958" spans="1:6" x14ac:dyDescent="0.2">
      <c r="A5958">
        <v>2</v>
      </c>
      <c r="E5958" t="str">
        <f t="shared" si="206"/>
        <v>C</v>
      </c>
      <c r="F5958" t="str">
        <f t="shared" si="205"/>
        <v>2C</v>
      </c>
    </row>
    <row r="5959" spans="1:6" x14ac:dyDescent="0.2">
      <c r="A5959">
        <v>3</v>
      </c>
      <c r="E5959" t="str">
        <f t="shared" si="206"/>
        <v>D</v>
      </c>
      <c r="F5959" t="str">
        <f t="shared" si="205"/>
        <v>3D</v>
      </c>
    </row>
    <row r="5960" spans="1:6" x14ac:dyDescent="0.2">
      <c r="A5960">
        <v>4</v>
      </c>
      <c r="E5960" t="str">
        <f t="shared" si="206"/>
        <v>E</v>
      </c>
      <c r="F5960" t="str">
        <f t="shared" si="205"/>
        <v>4E</v>
      </c>
    </row>
    <row r="5961" spans="1:6" x14ac:dyDescent="0.2">
      <c r="A5961">
        <v>5</v>
      </c>
      <c r="E5961" t="str">
        <f t="shared" si="206"/>
        <v>F</v>
      </c>
      <c r="F5961" t="str">
        <f t="shared" si="205"/>
        <v>5F</v>
      </c>
    </row>
    <row r="5962" spans="1:6" x14ac:dyDescent="0.2">
      <c r="A5962">
        <v>6</v>
      </c>
      <c r="E5962" t="str">
        <f t="shared" si="206"/>
        <v>G</v>
      </c>
      <c r="F5962" t="str">
        <f t="shared" si="205"/>
        <v>6G</v>
      </c>
    </row>
    <row r="5963" spans="1:6" x14ac:dyDescent="0.2">
      <c r="A5963">
        <v>7</v>
      </c>
      <c r="E5963" t="str">
        <f t="shared" si="206"/>
        <v>H</v>
      </c>
      <c r="F5963" t="str">
        <f t="shared" si="205"/>
        <v>7H</v>
      </c>
    </row>
    <row r="5964" spans="1:6" x14ac:dyDescent="0.2">
      <c r="A5964">
        <v>8</v>
      </c>
      <c r="E5964" t="str">
        <f t="shared" si="206"/>
        <v>I</v>
      </c>
      <c r="F5964" t="str">
        <f t="shared" si="205"/>
        <v>8I</v>
      </c>
    </row>
    <row r="5965" spans="1:6" x14ac:dyDescent="0.2">
      <c r="A5965">
        <v>9</v>
      </c>
      <c r="E5965" t="str">
        <f t="shared" si="206"/>
        <v>J</v>
      </c>
      <c r="F5965" t="str">
        <f t="shared" si="205"/>
        <v>9J</v>
      </c>
    </row>
    <row r="5966" spans="1:6" x14ac:dyDescent="0.2">
      <c r="A5966">
        <v>10</v>
      </c>
      <c r="E5966" t="str">
        <f t="shared" si="206"/>
        <v>K</v>
      </c>
      <c r="F5966" t="str">
        <f t="shared" si="205"/>
        <v>10K</v>
      </c>
    </row>
    <row r="5967" spans="1:6" x14ac:dyDescent="0.2">
      <c r="A5967">
        <v>11</v>
      </c>
      <c r="E5967" t="str">
        <f t="shared" si="206"/>
        <v>L</v>
      </c>
      <c r="F5967" t="str">
        <f t="shared" si="205"/>
        <v>11L</v>
      </c>
    </row>
    <row r="5968" spans="1:6" x14ac:dyDescent="0.2">
      <c r="A5968">
        <v>12</v>
      </c>
      <c r="E5968" t="str">
        <f t="shared" si="206"/>
        <v>M</v>
      </c>
      <c r="F5968" t="str">
        <f t="shared" si="205"/>
        <v>12M</v>
      </c>
    </row>
    <row r="5969" spans="1:6" x14ac:dyDescent="0.2">
      <c r="A5969">
        <v>13</v>
      </c>
      <c r="E5969" t="str">
        <f t="shared" si="206"/>
        <v>N</v>
      </c>
      <c r="F5969" t="str">
        <f t="shared" si="205"/>
        <v>13N</v>
      </c>
    </row>
    <row r="5970" spans="1:6" x14ac:dyDescent="0.2">
      <c r="A5970">
        <v>14</v>
      </c>
      <c r="E5970" t="str">
        <f t="shared" si="206"/>
        <v>O</v>
      </c>
      <c r="F5970" t="str">
        <f t="shared" si="205"/>
        <v>14O</v>
      </c>
    </row>
    <row r="5971" spans="1:6" x14ac:dyDescent="0.2">
      <c r="A5971">
        <v>15</v>
      </c>
      <c r="E5971" t="str">
        <f t="shared" si="206"/>
        <v>P</v>
      </c>
      <c r="F5971" t="str">
        <f t="shared" si="205"/>
        <v>15P</v>
      </c>
    </row>
    <row r="5972" spans="1:6" x14ac:dyDescent="0.2">
      <c r="A5972">
        <v>16</v>
      </c>
      <c r="E5972" t="str">
        <f t="shared" si="206"/>
        <v>Q</v>
      </c>
      <c r="F5972" t="str">
        <f t="shared" si="205"/>
        <v>16Q</v>
      </c>
    </row>
    <row r="5973" spans="1:6" x14ac:dyDescent="0.2">
      <c r="A5973">
        <v>17</v>
      </c>
      <c r="E5973" t="str">
        <f t="shared" si="206"/>
        <v>R</v>
      </c>
      <c r="F5973" t="str">
        <f t="shared" si="205"/>
        <v>17R</v>
      </c>
    </row>
    <row r="5974" spans="1:6" x14ac:dyDescent="0.2">
      <c r="A5974">
        <v>18</v>
      </c>
      <c r="E5974" t="str">
        <f t="shared" si="206"/>
        <v>S</v>
      </c>
      <c r="F5974" t="str">
        <f t="shared" ref="F5974:F6037" si="207">A5974&amp;C5974&amp;E5974</f>
        <v>18S</v>
      </c>
    </row>
    <row r="5975" spans="1:6" x14ac:dyDescent="0.2">
      <c r="A5975">
        <v>19</v>
      </c>
      <c r="E5975" t="str">
        <f t="shared" si="206"/>
        <v>T</v>
      </c>
      <c r="F5975" t="str">
        <f t="shared" si="207"/>
        <v>19T</v>
      </c>
    </row>
    <row r="5976" spans="1:6" x14ac:dyDescent="0.2">
      <c r="A5976">
        <v>20</v>
      </c>
      <c r="E5976" t="str">
        <f t="shared" si="206"/>
        <v>U</v>
      </c>
      <c r="F5976" t="str">
        <f t="shared" si="207"/>
        <v>20U</v>
      </c>
    </row>
    <row r="5977" spans="1:6" x14ac:dyDescent="0.2">
      <c r="A5977">
        <v>21</v>
      </c>
      <c r="E5977" t="str">
        <f t="shared" si="206"/>
        <v>V</v>
      </c>
      <c r="F5977" t="str">
        <f t="shared" si="207"/>
        <v>21V</v>
      </c>
    </row>
    <row r="5978" spans="1:6" x14ac:dyDescent="0.2">
      <c r="A5978">
        <v>22</v>
      </c>
      <c r="E5978" t="str">
        <f t="shared" si="206"/>
        <v>W</v>
      </c>
      <c r="F5978" t="str">
        <f t="shared" si="207"/>
        <v>22W</v>
      </c>
    </row>
    <row r="5979" spans="1:6" x14ac:dyDescent="0.2">
      <c r="A5979">
        <v>23</v>
      </c>
      <c r="E5979" t="str">
        <f t="shared" si="206"/>
        <v>X</v>
      </c>
      <c r="F5979" t="str">
        <f t="shared" si="207"/>
        <v>23X</v>
      </c>
    </row>
    <row r="5980" spans="1:6" x14ac:dyDescent="0.2">
      <c r="A5980">
        <v>24</v>
      </c>
      <c r="E5980" t="str">
        <f t="shared" si="206"/>
        <v>Y</v>
      </c>
      <c r="F5980" t="str">
        <f t="shared" si="207"/>
        <v>24Y</v>
      </c>
    </row>
    <row r="5981" spans="1:6" x14ac:dyDescent="0.2">
      <c r="A5981">
        <v>25</v>
      </c>
      <c r="E5981" t="str">
        <f t="shared" si="206"/>
        <v>Z</v>
      </c>
      <c r="F5981" t="str">
        <f t="shared" si="207"/>
        <v>25Z</v>
      </c>
    </row>
    <row r="5982" spans="1:6" x14ac:dyDescent="0.2">
      <c r="A5982">
        <v>0</v>
      </c>
      <c r="E5982" t="str">
        <f t="shared" si="206"/>
        <v>A</v>
      </c>
      <c r="F5982" t="str">
        <f t="shared" si="207"/>
        <v>0A</v>
      </c>
    </row>
    <row r="5983" spans="1:6" x14ac:dyDescent="0.2">
      <c r="A5983">
        <v>1</v>
      </c>
      <c r="E5983" t="str">
        <f t="shared" si="206"/>
        <v>B</v>
      </c>
      <c r="F5983" t="str">
        <f t="shared" si="207"/>
        <v>1B</v>
      </c>
    </row>
    <row r="5984" spans="1:6" x14ac:dyDescent="0.2">
      <c r="A5984">
        <v>2</v>
      </c>
      <c r="E5984" t="str">
        <f t="shared" si="206"/>
        <v>C</v>
      </c>
      <c r="F5984" t="str">
        <f t="shared" si="207"/>
        <v>2C</v>
      </c>
    </row>
    <row r="5985" spans="1:6" x14ac:dyDescent="0.2">
      <c r="A5985">
        <v>3</v>
      </c>
      <c r="E5985" t="str">
        <f t="shared" si="206"/>
        <v>D</v>
      </c>
      <c r="F5985" t="str">
        <f t="shared" si="207"/>
        <v>3D</v>
      </c>
    </row>
    <row r="5986" spans="1:6" x14ac:dyDescent="0.2">
      <c r="A5986">
        <v>4</v>
      </c>
      <c r="E5986" t="str">
        <f t="shared" si="206"/>
        <v>E</v>
      </c>
      <c r="F5986" t="str">
        <f t="shared" si="207"/>
        <v>4E</v>
      </c>
    </row>
    <row r="5987" spans="1:6" x14ac:dyDescent="0.2">
      <c r="A5987">
        <v>5</v>
      </c>
      <c r="E5987" t="str">
        <f t="shared" si="206"/>
        <v>F</v>
      </c>
      <c r="F5987" t="str">
        <f t="shared" si="207"/>
        <v>5F</v>
      </c>
    </row>
    <row r="5988" spans="1:6" x14ac:dyDescent="0.2">
      <c r="A5988">
        <v>6</v>
      </c>
      <c r="E5988" t="str">
        <f t="shared" si="206"/>
        <v>G</v>
      </c>
      <c r="F5988" t="str">
        <f t="shared" si="207"/>
        <v>6G</v>
      </c>
    </row>
    <row r="5989" spans="1:6" x14ac:dyDescent="0.2">
      <c r="A5989">
        <v>7</v>
      </c>
      <c r="E5989" t="str">
        <f t="shared" si="206"/>
        <v>H</v>
      </c>
      <c r="F5989" t="str">
        <f t="shared" si="207"/>
        <v>7H</v>
      </c>
    </row>
    <row r="5990" spans="1:6" x14ac:dyDescent="0.2">
      <c r="A5990">
        <v>8</v>
      </c>
      <c r="E5990" t="str">
        <f t="shared" si="206"/>
        <v>I</v>
      </c>
      <c r="F5990" t="str">
        <f t="shared" si="207"/>
        <v>8I</v>
      </c>
    </row>
    <row r="5991" spans="1:6" x14ac:dyDescent="0.2">
      <c r="A5991">
        <v>9</v>
      </c>
      <c r="E5991" t="str">
        <f t="shared" si="206"/>
        <v>J</v>
      </c>
      <c r="F5991" t="str">
        <f t="shared" si="207"/>
        <v>9J</v>
      </c>
    </row>
    <row r="5992" spans="1:6" x14ac:dyDescent="0.2">
      <c r="A5992">
        <v>10</v>
      </c>
      <c r="E5992" t="str">
        <f t="shared" si="206"/>
        <v>K</v>
      </c>
      <c r="F5992" t="str">
        <f t="shared" si="207"/>
        <v>10K</v>
      </c>
    </row>
    <row r="5993" spans="1:6" x14ac:dyDescent="0.2">
      <c r="A5993">
        <v>11</v>
      </c>
      <c r="E5993" t="str">
        <f t="shared" si="206"/>
        <v>L</v>
      </c>
      <c r="F5993" t="str">
        <f t="shared" si="207"/>
        <v>11L</v>
      </c>
    </row>
    <row r="5994" spans="1:6" x14ac:dyDescent="0.2">
      <c r="A5994">
        <v>12</v>
      </c>
      <c r="E5994" t="str">
        <f t="shared" si="206"/>
        <v>M</v>
      </c>
      <c r="F5994" t="str">
        <f t="shared" si="207"/>
        <v>12M</v>
      </c>
    </row>
    <row r="5995" spans="1:6" x14ac:dyDescent="0.2">
      <c r="A5995">
        <v>13</v>
      </c>
      <c r="E5995" t="str">
        <f t="shared" si="206"/>
        <v>N</v>
      </c>
      <c r="F5995" t="str">
        <f t="shared" si="207"/>
        <v>13N</v>
      </c>
    </row>
    <row r="5996" spans="1:6" x14ac:dyDescent="0.2">
      <c r="A5996">
        <v>14</v>
      </c>
      <c r="E5996" t="str">
        <f t="shared" si="206"/>
        <v>O</v>
      </c>
      <c r="F5996" t="str">
        <f t="shared" si="207"/>
        <v>14O</v>
      </c>
    </row>
    <row r="5997" spans="1:6" x14ac:dyDescent="0.2">
      <c r="A5997">
        <v>15</v>
      </c>
      <c r="E5997" t="str">
        <f t="shared" si="206"/>
        <v>P</v>
      </c>
      <c r="F5997" t="str">
        <f t="shared" si="207"/>
        <v>15P</v>
      </c>
    </row>
    <row r="5998" spans="1:6" x14ac:dyDescent="0.2">
      <c r="A5998">
        <v>16</v>
      </c>
      <c r="E5998" t="str">
        <f t="shared" si="206"/>
        <v>Q</v>
      </c>
      <c r="F5998" t="str">
        <f t="shared" si="207"/>
        <v>16Q</v>
      </c>
    </row>
    <row r="5999" spans="1:6" x14ac:dyDescent="0.2">
      <c r="A5999">
        <v>17</v>
      </c>
      <c r="E5999" t="str">
        <f t="shared" si="206"/>
        <v>R</v>
      </c>
      <c r="F5999" t="str">
        <f t="shared" si="207"/>
        <v>17R</v>
      </c>
    </row>
    <row r="6000" spans="1:6" x14ac:dyDescent="0.2">
      <c r="A6000">
        <v>18</v>
      </c>
      <c r="E6000" t="str">
        <f t="shared" ref="E6000:E6063" si="208">E5974</f>
        <v>S</v>
      </c>
      <c r="F6000" t="str">
        <f t="shared" si="207"/>
        <v>18S</v>
      </c>
    </row>
    <row r="6001" spans="1:6" x14ac:dyDescent="0.2">
      <c r="A6001">
        <v>19</v>
      </c>
      <c r="E6001" t="str">
        <f t="shared" si="208"/>
        <v>T</v>
      </c>
      <c r="F6001" t="str">
        <f t="shared" si="207"/>
        <v>19T</v>
      </c>
    </row>
    <row r="6002" spans="1:6" x14ac:dyDescent="0.2">
      <c r="A6002">
        <v>20</v>
      </c>
      <c r="E6002" t="str">
        <f t="shared" si="208"/>
        <v>U</v>
      </c>
      <c r="F6002" t="str">
        <f t="shared" si="207"/>
        <v>20U</v>
      </c>
    </row>
    <row r="6003" spans="1:6" x14ac:dyDescent="0.2">
      <c r="A6003">
        <v>21</v>
      </c>
      <c r="E6003" t="str">
        <f t="shared" si="208"/>
        <v>V</v>
      </c>
      <c r="F6003" t="str">
        <f t="shared" si="207"/>
        <v>21V</v>
      </c>
    </row>
    <row r="6004" spans="1:6" x14ac:dyDescent="0.2">
      <c r="A6004">
        <v>22</v>
      </c>
      <c r="E6004" t="str">
        <f t="shared" si="208"/>
        <v>W</v>
      </c>
      <c r="F6004" t="str">
        <f t="shared" si="207"/>
        <v>22W</v>
      </c>
    </row>
    <row r="6005" spans="1:6" x14ac:dyDescent="0.2">
      <c r="A6005">
        <v>23</v>
      </c>
      <c r="E6005" t="str">
        <f t="shared" si="208"/>
        <v>X</v>
      </c>
      <c r="F6005" t="str">
        <f t="shared" si="207"/>
        <v>23X</v>
      </c>
    </row>
    <row r="6006" spans="1:6" x14ac:dyDescent="0.2">
      <c r="A6006">
        <v>24</v>
      </c>
      <c r="E6006" t="str">
        <f t="shared" si="208"/>
        <v>Y</v>
      </c>
      <c r="F6006" t="str">
        <f t="shared" si="207"/>
        <v>24Y</v>
      </c>
    </row>
    <row r="6007" spans="1:6" x14ac:dyDescent="0.2">
      <c r="A6007">
        <v>25</v>
      </c>
      <c r="E6007" t="str">
        <f t="shared" si="208"/>
        <v>Z</v>
      </c>
      <c r="F6007" t="str">
        <f t="shared" si="207"/>
        <v>25Z</v>
      </c>
    </row>
    <row r="6008" spans="1:6" x14ac:dyDescent="0.2">
      <c r="A6008">
        <v>0</v>
      </c>
      <c r="E6008" t="str">
        <f t="shared" si="208"/>
        <v>A</v>
      </c>
      <c r="F6008" t="str">
        <f t="shared" si="207"/>
        <v>0A</v>
      </c>
    </row>
    <row r="6009" spans="1:6" x14ac:dyDescent="0.2">
      <c r="A6009">
        <v>1</v>
      </c>
      <c r="E6009" t="str">
        <f t="shared" si="208"/>
        <v>B</v>
      </c>
      <c r="F6009" t="str">
        <f t="shared" si="207"/>
        <v>1B</v>
      </c>
    </row>
    <row r="6010" spans="1:6" x14ac:dyDescent="0.2">
      <c r="A6010">
        <v>2</v>
      </c>
      <c r="E6010" t="str">
        <f t="shared" si="208"/>
        <v>C</v>
      </c>
      <c r="F6010" t="str">
        <f t="shared" si="207"/>
        <v>2C</v>
      </c>
    </row>
    <row r="6011" spans="1:6" x14ac:dyDescent="0.2">
      <c r="A6011">
        <v>3</v>
      </c>
      <c r="E6011" t="str">
        <f t="shared" si="208"/>
        <v>D</v>
      </c>
      <c r="F6011" t="str">
        <f t="shared" si="207"/>
        <v>3D</v>
      </c>
    </row>
    <row r="6012" spans="1:6" x14ac:dyDescent="0.2">
      <c r="A6012">
        <v>4</v>
      </c>
      <c r="E6012" t="str">
        <f t="shared" si="208"/>
        <v>E</v>
      </c>
      <c r="F6012" t="str">
        <f t="shared" si="207"/>
        <v>4E</v>
      </c>
    </row>
    <row r="6013" spans="1:6" x14ac:dyDescent="0.2">
      <c r="A6013">
        <v>5</v>
      </c>
      <c r="E6013" t="str">
        <f t="shared" si="208"/>
        <v>F</v>
      </c>
      <c r="F6013" t="str">
        <f t="shared" si="207"/>
        <v>5F</v>
      </c>
    </row>
    <row r="6014" spans="1:6" x14ac:dyDescent="0.2">
      <c r="A6014">
        <v>6</v>
      </c>
      <c r="E6014" t="str">
        <f t="shared" si="208"/>
        <v>G</v>
      </c>
      <c r="F6014" t="str">
        <f t="shared" si="207"/>
        <v>6G</v>
      </c>
    </row>
    <row r="6015" spans="1:6" x14ac:dyDescent="0.2">
      <c r="A6015">
        <v>7</v>
      </c>
      <c r="E6015" t="str">
        <f t="shared" si="208"/>
        <v>H</v>
      </c>
      <c r="F6015" t="str">
        <f t="shared" si="207"/>
        <v>7H</v>
      </c>
    </row>
    <row r="6016" spans="1:6" x14ac:dyDescent="0.2">
      <c r="A6016">
        <v>8</v>
      </c>
      <c r="E6016" t="str">
        <f t="shared" si="208"/>
        <v>I</v>
      </c>
      <c r="F6016" t="str">
        <f t="shared" si="207"/>
        <v>8I</v>
      </c>
    </row>
    <row r="6017" spans="1:6" x14ac:dyDescent="0.2">
      <c r="A6017">
        <v>9</v>
      </c>
      <c r="E6017" t="str">
        <f t="shared" si="208"/>
        <v>J</v>
      </c>
      <c r="F6017" t="str">
        <f t="shared" si="207"/>
        <v>9J</v>
      </c>
    </row>
    <row r="6018" spans="1:6" x14ac:dyDescent="0.2">
      <c r="A6018">
        <v>10</v>
      </c>
      <c r="E6018" t="str">
        <f t="shared" si="208"/>
        <v>K</v>
      </c>
      <c r="F6018" t="str">
        <f t="shared" si="207"/>
        <v>10K</v>
      </c>
    </row>
    <row r="6019" spans="1:6" x14ac:dyDescent="0.2">
      <c r="A6019">
        <v>11</v>
      </c>
      <c r="E6019" t="str">
        <f t="shared" si="208"/>
        <v>L</v>
      </c>
      <c r="F6019" t="str">
        <f t="shared" si="207"/>
        <v>11L</v>
      </c>
    </row>
    <row r="6020" spans="1:6" x14ac:dyDescent="0.2">
      <c r="A6020">
        <v>12</v>
      </c>
      <c r="E6020" t="str">
        <f t="shared" si="208"/>
        <v>M</v>
      </c>
      <c r="F6020" t="str">
        <f t="shared" si="207"/>
        <v>12M</v>
      </c>
    </row>
    <row r="6021" spans="1:6" x14ac:dyDescent="0.2">
      <c r="A6021">
        <v>13</v>
      </c>
      <c r="E6021" t="str">
        <f t="shared" si="208"/>
        <v>N</v>
      </c>
      <c r="F6021" t="str">
        <f t="shared" si="207"/>
        <v>13N</v>
      </c>
    </row>
    <row r="6022" spans="1:6" x14ac:dyDescent="0.2">
      <c r="A6022">
        <v>14</v>
      </c>
      <c r="E6022" t="str">
        <f t="shared" si="208"/>
        <v>O</v>
      </c>
      <c r="F6022" t="str">
        <f t="shared" si="207"/>
        <v>14O</v>
      </c>
    </row>
    <row r="6023" spans="1:6" x14ac:dyDescent="0.2">
      <c r="A6023">
        <v>15</v>
      </c>
      <c r="E6023" t="str">
        <f t="shared" si="208"/>
        <v>P</v>
      </c>
      <c r="F6023" t="str">
        <f t="shared" si="207"/>
        <v>15P</v>
      </c>
    </row>
    <row r="6024" spans="1:6" x14ac:dyDescent="0.2">
      <c r="A6024">
        <v>16</v>
      </c>
      <c r="E6024" t="str">
        <f t="shared" si="208"/>
        <v>Q</v>
      </c>
      <c r="F6024" t="str">
        <f t="shared" si="207"/>
        <v>16Q</v>
      </c>
    </row>
    <row r="6025" spans="1:6" x14ac:dyDescent="0.2">
      <c r="A6025">
        <v>17</v>
      </c>
      <c r="E6025" t="str">
        <f t="shared" si="208"/>
        <v>R</v>
      </c>
      <c r="F6025" t="str">
        <f t="shared" si="207"/>
        <v>17R</v>
      </c>
    </row>
    <row r="6026" spans="1:6" x14ac:dyDescent="0.2">
      <c r="A6026">
        <v>18</v>
      </c>
      <c r="E6026" t="str">
        <f t="shared" si="208"/>
        <v>S</v>
      </c>
      <c r="F6026" t="str">
        <f t="shared" si="207"/>
        <v>18S</v>
      </c>
    </row>
    <row r="6027" spans="1:6" x14ac:dyDescent="0.2">
      <c r="A6027">
        <v>19</v>
      </c>
      <c r="E6027" t="str">
        <f t="shared" si="208"/>
        <v>T</v>
      </c>
      <c r="F6027" t="str">
        <f t="shared" si="207"/>
        <v>19T</v>
      </c>
    </row>
    <row r="6028" spans="1:6" x14ac:dyDescent="0.2">
      <c r="A6028">
        <v>20</v>
      </c>
      <c r="E6028" t="str">
        <f t="shared" si="208"/>
        <v>U</v>
      </c>
      <c r="F6028" t="str">
        <f t="shared" si="207"/>
        <v>20U</v>
      </c>
    </row>
    <row r="6029" spans="1:6" x14ac:dyDescent="0.2">
      <c r="A6029">
        <v>21</v>
      </c>
      <c r="E6029" t="str">
        <f t="shared" si="208"/>
        <v>V</v>
      </c>
      <c r="F6029" t="str">
        <f t="shared" si="207"/>
        <v>21V</v>
      </c>
    </row>
    <row r="6030" spans="1:6" x14ac:dyDescent="0.2">
      <c r="A6030">
        <v>22</v>
      </c>
      <c r="E6030" t="str">
        <f t="shared" si="208"/>
        <v>W</v>
      </c>
      <c r="F6030" t="str">
        <f t="shared" si="207"/>
        <v>22W</v>
      </c>
    </row>
    <row r="6031" spans="1:6" x14ac:dyDescent="0.2">
      <c r="A6031">
        <v>23</v>
      </c>
      <c r="E6031" t="str">
        <f t="shared" si="208"/>
        <v>X</v>
      </c>
      <c r="F6031" t="str">
        <f t="shared" si="207"/>
        <v>23X</v>
      </c>
    </row>
    <row r="6032" spans="1:6" x14ac:dyDescent="0.2">
      <c r="A6032">
        <v>24</v>
      </c>
      <c r="E6032" t="str">
        <f t="shared" si="208"/>
        <v>Y</v>
      </c>
      <c r="F6032" t="str">
        <f t="shared" si="207"/>
        <v>24Y</v>
      </c>
    </row>
    <row r="6033" spans="1:6" x14ac:dyDescent="0.2">
      <c r="A6033">
        <v>25</v>
      </c>
      <c r="E6033" t="str">
        <f t="shared" si="208"/>
        <v>Z</v>
      </c>
      <c r="F6033" t="str">
        <f t="shared" si="207"/>
        <v>25Z</v>
      </c>
    </row>
    <row r="6034" spans="1:6" x14ac:dyDescent="0.2">
      <c r="A6034">
        <v>0</v>
      </c>
      <c r="E6034" t="str">
        <f t="shared" si="208"/>
        <v>A</v>
      </c>
      <c r="F6034" t="str">
        <f t="shared" si="207"/>
        <v>0A</v>
      </c>
    </row>
    <row r="6035" spans="1:6" x14ac:dyDescent="0.2">
      <c r="A6035">
        <v>1</v>
      </c>
      <c r="E6035" t="str">
        <f t="shared" si="208"/>
        <v>B</v>
      </c>
      <c r="F6035" t="str">
        <f t="shared" si="207"/>
        <v>1B</v>
      </c>
    </row>
    <row r="6036" spans="1:6" x14ac:dyDescent="0.2">
      <c r="A6036">
        <v>2</v>
      </c>
      <c r="E6036" t="str">
        <f t="shared" si="208"/>
        <v>C</v>
      </c>
      <c r="F6036" t="str">
        <f t="shared" si="207"/>
        <v>2C</v>
      </c>
    </row>
    <row r="6037" spans="1:6" x14ac:dyDescent="0.2">
      <c r="A6037">
        <v>3</v>
      </c>
      <c r="E6037" t="str">
        <f t="shared" si="208"/>
        <v>D</v>
      </c>
      <c r="F6037" t="str">
        <f t="shared" si="207"/>
        <v>3D</v>
      </c>
    </row>
    <row r="6038" spans="1:6" x14ac:dyDescent="0.2">
      <c r="A6038">
        <v>4</v>
      </c>
      <c r="E6038" t="str">
        <f t="shared" si="208"/>
        <v>E</v>
      </c>
      <c r="F6038" t="str">
        <f t="shared" ref="F6038:F6101" si="209">A6038&amp;C6038&amp;E6038</f>
        <v>4E</v>
      </c>
    </row>
    <row r="6039" spans="1:6" x14ac:dyDescent="0.2">
      <c r="A6039">
        <v>5</v>
      </c>
      <c r="E6039" t="str">
        <f t="shared" si="208"/>
        <v>F</v>
      </c>
      <c r="F6039" t="str">
        <f t="shared" si="209"/>
        <v>5F</v>
      </c>
    </row>
    <row r="6040" spans="1:6" x14ac:dyDescent="0.2">
      <c r="A6040">
        <v>6</v>
      </c>
      <c r="E6040" t="str">
        <f t="shared" si="208"/>
        <v>G</v>
      </c>
      <c r="F6040" t="str">
        <f t="shared" si="209"/>
        <v>6G</v>
      </c>
    </row>
    <row r="6041" spans="1:6" x14ac:dyDescent="0.2">
      <c r="A6041">
        <v>7</v>
      </c>
      <c r="E6041" t="str">
        <f t="shared" si="208"/>
        <v>H</v>
      </c>
      <c r="F6041" t="str">
        <f t="shared" si="209"/>
        <v>7H</v>
      </c>
    </row>
    <row r="6042" spans="1:6" x14ac:dyDescent="0.2">
      <c r="A6042">
        <v>8</v>
      </c>
      <c r="E6042" t="str">
        <f t="shared" si="208"/>
        <v>I</v>
      </c>
      <c r="F6042" t="str">
        <f t="shared" si="209"/>
        <v>8I</v>
      </c>
    </row>
    <row r="6043" spans="1:6" x14ac:dyDescent="0.2">
      <c r="A6043">
        <v>9</v>
      </c>
      <c r="E6043" t="str">
        <f t="shared" si="208"/>
        <v>J</v>
      </c>
      <c r="F6043" t="str">
        <f t="shared" si="209"/>
        <v>9J</v>
      </c>
    </row>
    <row r="6044" spans="1:6" x14ac:dyDescent="0.2">
      <c r="A6044">
        <v>10</v>
      </c>
      <c r="E6044" t="str">
        <f t="shared" si="208"/>
        <v>K</v>
      </c>
      <c r="F6044" t="str">
        <f t="shared" si="209"/>
        <v>10K</v>
      </c>
    </row>
    <row r="6045" spans="1:6" x14ac:dyDescent="0.2">
      <c r="A6045">
        <v>11</v>
      </c>
      <c r="E6045" t="str">
        <f t="shared" si="208"/>
        <v>L</v>
      </c>
      <c r="F6045" t="str">
        <f t="shared" si="209"/>
        <v>11L</v>
      </c>
    </row>
    <row r="6046" spans="1:6" x14ac:dyDescent="0.2">
      <c r="A6046">
        <v>12</v>
      </c>
      <c r="E6046" t="str">
        <f t="shared" si="208"/>
        <v>M</v>
      </c>
      <c r="F6046" t="str">
        <f t="shared" si="209"/>
        <v>12M</v>
      </c>
    </row>
    <row r="6047" spans="1:6" x14ac:dyDescent="0.2">
      <c r="A6047">
        <v>13</v>
      </c>
      <c r="E6047" t="str">
        <f t="shared" si="208"/>
        <v>N</v>
      </c>
      <c r="F6047" t="str">
        <f t="shared" si="209"/>
        <v>13N</v>
      </c>
    </row>
    <row r="6048" spans="1:6" x14ac:dyDescent="0.2">
      <c r="A6048">
        <v>14</v>
      </c>
      <c r="E6048" t="str">
        <f t="shared" si="208"/>
        <v>O</v>
      </c>
      <c r="F6048" t="str">
        <f t="shared" si="209"/>
        <v>14O</v>
      </c>
    </row>
    <row r="6049" spans="1:6" x14ac:dyDescent="0.2">
      <c r="A6049">
        <v>15</v>
      </c>
      <c r="E6049" t="str">
        <f t="shared" si="208"/>
        <v>P</v>
      </c>
      <c r="F6049" t="str">
        <f t="shared" si="209"/>
        <v>15P</v>
      </c>
    </row>
    <row r="6050" spans="1:6" x14ac:dyDescent="0.2">
      <c r="A6050">
        <v>16</v>
      </c>
      <c r="E6050" t="str">
        <f t="shared" si="208"/>
        <v>Q</v>
      </c>
      <c r="F6050" t="str">
        <f t="shared" si="209"/>
        <v>16Q</v>
      </c>
    </row>
    <row r="6051" spans="1:6" x14ac:dyDescent="0.2">
      <c r="A6051">
        <v>17</v>
      </c>
      <c r="E6051" t="str">
        <f t="shared" si="208"/>
        <v>R</v>
      </c>
      <c r="F6051" t="str">
        <f t="shared" si="209"/>
        <v>17R</v>
      </c>
    </row>
    <row r="6052" spans="1:6" x14ac:dyDescent="0.2">
      <c r="A6052">
        <v>18</v>
      </c>
      <c r="E6052" t="str">
        <f t="shared" si="208"/>
        <v>S</v>
      </c>
      <c r="F6052" t="str">
        <f t="shared" si="209"/>
        <v>18S</v>
      </c>
    </row>
    <row r="6053" spans="1:6" x14ac:dyDescent="0.2">
      <c r="A6053">
        <v>19</v>
      </c>
      <c r="E6053" t="str">
        <f t="shared" si="208"/>
        <v>T</v>
      </c>
      <c r="F6053" t="str">
        <f t="shared" si="209"/>
        <v>19T</v>
      </c>
    </row>
    <row r="6054" spans="1:6" x14ac:dyDescent="0.2">
      <c r="A6054">
        <v>20</v>
      </c>
      <c r="E6054" t="str">
        <f t="shared" si="208"/>
        <v>U</v>
      </c>
      <c r="F6054" t="str">
        <f t="shared" si="209"/>
        <v>20U</v>
      </c>
    </row>
    <row r="6055" spans="1:6" x14ac:dyDescent="0.2">
      <c r="A6055">
        <v>21</v>
      </c>
      <c r="E6055" t="str">
        <f t="shared" si="208"/>
        <v>V</v>
      </c>
      <c r="F6055" t="str">
        <f t="shared" si="209"/>
        <v>21V</v>
      </c>
    </row>
    <row r="6056" spans="1:6" x14ac:dyDescent="0.2">
      <c r="A6056">
        <v>22</v>
      </c>
      <c r="E6056" t="str">
        <f t="shared" si="208"/>
        <v>W</v>
      </c>
      <c r="F6056" t="str">
        <f t="shared" si="209"/>
        <v>22W</v>
      </c>
    </row>
    <row r="6057" spans="1:6" x14ac:dyDescent="0.2">
      <c r="A6057">
        <v>23</v>
      </c>
      <c r="E6057" t="str">
        <f t="shared" si="208"/>
        <v>X</v>
      </c>
      <c r="F6057" t="str">
        <f t="shared" si="209"/>
        <v>23X</v>
      </c>
    </row>
    <row r="6058" spans="1:6" x14ac:dyDescent="0.2">
      <c r="A6058">
        <v>24</v>
      </c>
      <c r="E6058" t="str">
        <f t="shared" si="208"/>
        <v>Y</v>
      </c>
      <c r="F6058" t="str">
        <f t="shared" si="209"/>
        <v>24Y</v>
      </c>
    </row>
    <row r="6059" spans="1:6" x14ac:dyDescent="0.2">
      <c r="A6059">
        <v>25</v>
      </c>
      <c r="E6059" t="str">
        <f t="shared" si="208"/>
        <v>Z</v>
      </c>
      <c r="F6059" t="str">
        <f t="shared" si="209"/>
        <v>25Z</v>
      </c>
    </row>
    <row r="6060" spans="1:6" x14ac:dyDescent="0.2">
      <c r="A6060">
        <v>0</v>
      </c>
      <c r="E6060" t="str">
        <f t="shared" si="208"/>
        <v>A</v>
      </c>
      <c r="F6060" t="str">
        <f t="shared" si="209"/>
        <v>0A</v>
      </c>
    </row>
    <row r="6061" spans="1:6" x14ac:dyDescent="0.2">
      <c r="A6061">
        <v>1</v>
      </c>
      <c r="E6061" t="str">
        <f t="shared" si="208"/>
        <v>B</v>
      </c>
      <c r="F6061" t="str">
        <f t="shared" si="209"/>
        <v>1B</v>
      </c>
    </row>
    <row r="6062" spans="1:6" x14ac:dyDescent="0.2">
      <c r="A6062">
        <v>2</v>
      </c>
      <c r="E6062" t="str">
        <f t="shared" si="208"/>
        <v>C</v>
      </c>
      <c r="F6062" t="str">
        <f t="shared" si="209"/>
        <v>2C</v>
      </c>
    </row>
    <row r="6063" spans="1:6" x14ac:dyDescent="0.2">
      <c r="A6063">
        <v>3</v>
      </c>
      <c r="E6063" t="str">
        <f t="shared" si="208"/>
        <v>D</v>
      </c>
      <c r="F6063" t="str">
        <f t="shared" si="209"/>
        <v>3D</v>
      </c>
    </row>
    <row r="6064" spans="1:6" x14ac:dyDescent="0.2">
      <c r="A6064">
        <v>4</v>
      </c>
      <c r="E6064" t="str">
        <f t="shared" ref="E6064:E6127" si="210">E6038</f>
        <v>E</v>
      </c>
      <c r="F6064" t="str">
        <f t="shared" si="209"/>
        <v>4E</v>
      </c>
    </row>
    <row r="6065" spans="1:6" x14ac:dyDescent="0.2">
      <c r="A6065">
        <v>5</v>
      </c>
      <c r="E6065" t="str">
        <f t="shared" si="210"/>
        <v>F</v>
      </c>
      <c r="F6065" t="str">
        <f t="shared" si="209"/>
        <v>5F</v>
      </c>
    </row>
    <row r="6066" spans="1:6" x14ac:dyDescent="0.2">
      <c r="A6066">
        <v>6</v>
      </c>
      <c r="E6066" t="str">
        <f t="shared" si="210"/>
        <v>G</v>
      </c>
      <c r="F6066" t="str">
        <f t="shared" si="209"/>
        <v>6G</v>
      </c>
    </row>
    <row r="6067" spans="1:6" x14ac:dyDescent="0.2">
      <c r="A6067">
        <v>7</v>
      </c>
      <c r="E6067" t="str">
        <f t="shared" si="210"/>
        <v>H</v>
      </c>
      <c r="F6067" t="str">
        <f t="shared" si="209"/>
        <v>7H</v>
      </c>
    </row>
    <row r="6068" spans="1:6" x14ac:dyDescent="0.2">
      <c r="A6068">
        <v>8</v>
      </c>
      <c r="E6068" t="str">
        <f t="shared" si="210"/>
        <v>I</v>
      </c>
      <c r="F6068" t="str">
        <f t="shared" si="209"/>
        <v>8I</v>
      </c>
    </row>
    <row r="6069" spans="1:6" x14ac:dyDescent="0.2">
      <c r="A6069">
        <v>9</v>
      </c>
      <c r="E6069" t="str">
        <f t="shared" si="210"/>
        <v>J</v>
      </c>
      <c r="F6069" t="str">
        <f t="shared" si="209"/>
        <v>9J</v>
      </c>
    </row>
    <row r="6070" spans="1:6" x14ac:dyDescent="0.2">
      <c r="A6070">
        <v>10</v>
      </c>
      <c r="E6070" t="str">
        <f t="shared" si="210"/>
        <v>K</v>
      </c>
      <c r="F6070" t="str">
        <f t="shared" si="209"/>
        <v>10K</v>
      </c>
    </row>
    <row r="6071" spans="1:6" x14ac:dyDescent="0.2">
      <c r="A6071">
        <v>11</v>
      </c>
      <c r="E6071" t="str">
        <f t="shared" si="210"/>
        <v>L</v>
      </c>
      <c r="F6071" t="str">
        <f t="shared" si="209"/>
        <v>11L</v>
      </c>
    </row>
    <row r="6072" spans="1:6" x14ac:dyDescent="0.2">
      <c r="A6072">
        <v>12</v>
      </c>
      <c r="E6072" t="str">
        <f t="shared" si="210"/>
        <v>M</v>
      </c>
      <c r="F6072" t="str">
        <f t="shared" si="209"/>
        <v>12M</v>
      </c>
    </row>
    <row r="6073" spans="1:6" x14ac:dyDescent="0.2">
      <c r="A6073">
        <v>13</v>
      </c>
      <c r="E6073" t="str">
        <f t="shared" si="210"/>
        <v>N</v>
      </c>
      <c r="F6073" t="str">
        <f t="shared" si="209"/>
        <v>13N</v>
      </c>
    </row>
    <row r="6074" spans="1:6" x14ac:dyDescent="0.2">
      <c r="A6074">
        <v>14</v>
      </c>
      <c r="E6074" t="str">
        <f t="shared" si="210"/>
        <v>O</v>
      </c>
      <c r="F6074" t="str">
        <f t="shared" si="209"/>
        <v>14O</v>
      </c>
    </row>
    <row r="6075" spans="1:6" x14ac:dyDescent="0.2">
      <c r="A6075">
        <v>15</v>
      </c>
      <c r="E6075" t="str">
        <f t="shared" si="210"/>
        <v>P</v>
      </c>
      <c r="F6075" t="str">
        <f t="shared" si="209"/>
        <v>15P</v>
      </c>
    </row>
    <row r="6076" spans="1:6" x14ac:dyDescent="0.2">
      <c r="A6076">
        <v>16</v>
      </c>
      <c r="E6076" t="str">
        <f t="shared" si="210"/>
        <v>Q</v>
      </c>
      <c r="F6076" t="str">
        <f t="shared" si="209"/>
        <v>16Q</v>
      </c>
    </row>
    <row r="6077" spans="1:6" x14ac:dyDescent="0.2">
      <c r="A6077">
        <v>17</v>
      </c>
      <c r="E6077" t="str">
        <f t="shared" si="210"/>
        <v>R</v>
      </c>
      <c r="F6077" t="str">
        <f t="shared" si="209"/>
        <v>17R</v>
      </c>
    </row>
    <row r="6078" spans="1:6" x14ac:dyDescent="0.2">
      <c r="A6078">
        <v>18</v>
      </c>
      <c r="E6078" t="str">
        <f t="shared" si="210"/>
        <v>S</v>
      </c>
      <c r="F6078" t="str">
        <f t="shared" si="209"/>
        <v>18S</v>
      </c>
    </row>
    <row r="6079" spans="1:6" x14ac:dyDescent="0.2">
      <c r="A6079">
        <v>19</v>
      </c>
      <c r="E6079" t="str">
        <f t="shared" si="210"/>
        <v>T</v>
      </c>
      <c r="F6079" t="str">
        <f t="shared" si="209"/>
        <v>19T</v>
      </c>
    </row>
    <row r="6080" spans="1:6" x14ac:dyDescent="0.2">
      <c r="A6080">
        <v>20</v>
      </c>
      <c r="E6080" t="str">
        <f t="shared" si="210"/>
        <v>U</v>
      </c>
      <c r="F6080" t="str">
        <f t="shared" si="209"/>
        <v>20U</v>
      </c>
    </row>
    <row r="6081" spans="1:6" x14ac:dyDescent="0.2">
      <c r="A6081">
        <v>21</v>
      </c>
      <c r="E6081" t="str">
        <f t="shared" si="210"/>
        <v>V</v>
      </c>
      <c r="F6081" t="str">
        <f t="shared" si="209"/>
        <v>21V</v>
      </c>
    </row>
    <row r="6082" spans="1:6" x14ac:dyDescent="0.2">
      <c r="A6082">
        <v>22</v>
      </c>
      <c r="E6082" t="str">
        <f t="shared" si="210"/>
        <v>W</v>
      </c>
      <c r="F6082" t="str">
        <f t="shared" si="209"/>
        <v>22W</v>
      </c>
    </row>
    <row r="6083" spans="1:6" x14ac:dyDescent="0.2">
      <c r="A6083">
        <v>23</v>
      </c>
      <c r="E6083" t="str">
        <f t="shared" si="210"/>
        <v>X</v>
      </c>
      <c r="F6083" t="str">
        <f t="shared" si="209"/>
        <v>23X</v>
      </c>
    </row>
    <row r="6084" spans="1:6" x14ac:dyDescent="0.2">
      <c r="A6084">
        <v>24</v>
      </c>
      <c r="E6084" t="str">
        <f t="shared" si="210"/>
        <v>Y</v>
      </c>
      <c r="F6084" t="str">
        <f t="shared" si="209"/>
        <v>24Y</v>
      </c>
    </row>
    <row r="6085" spans="1:6" x14ac:dyDescent="0.2">
      <c r="A6085">
        <v>25</v>
      </c>
      <c r="E6085" t="str">
        <f t="shared" si="210"/>
        <v>Z</v>
      </c>
      <c r="F6085" t="str">
        <f t="shared" si="209"/>
        <v>25Z</v>
      </c>
    </row>
    <row r="6086" spans="1:6" x14ac:dyDescent="0.2">
      <c r="A6086">
        <v>0</v>
      </c>
      <c r="E6086" t="str">
        <f t="shared" si="210"/>
        <v>A</v>
      </c>
      <c r="F6086" t="str">
        <f t="shared" si="209"/>
        <v>0A</v>
      </c>
    </row>
    <row r="6087" spans="1:6" x14ac:dyDescent="0.2">
      <c r="A6087">
        <v>1</v>
      </c>
      <c r="E6087" t="str">
        <f t="shared" si="210"/>
        <v>B</v>
      </c>
      <c r="F6087" t="str">
        <f t="shared" si="209"/>
        <v>1B</v>
      </c>
    </row>
    <row r="6088" spans="1:6" x14ac:dyDescent="0.2">
      <c r="A6088">
        <v>2</v>
      </c>
      <c r="E6088" t="str">
        <f t="shared" si="210"/>
        <v>C</v>
      </c>
      <c r="F6088" t="str">
        <f t="shared" si="209"/>
        <v>2C</v>
      </c>
    </row>
    <row r="6089" spans="1:6" x14ac:dyDescent="0.2">
      <c r="A6089">
        <v>3</v>
      </c>
      <c r="E6089" t="str">
        <f t="shared" si="210"/>
        <v>D</v>
      </c>
      <c r="F6089" t="str">
        <f t="shared" si="209"/>
        <v>3D</v>
      </c>
    </row>
    <row r="6090" spans="1:6" x14ac:dyDescent="0.2">
      <c r="A6090">
        <v>4</v>
      </c>
      <c r="E6090" t="str">
        <f t="shared" si="210"/>
        <v>E</v>
      </c>
      <c r="F6090" t="str">
        <f t="shared" si="209"/>
        <v>4E</v>
      </c>
    </row>
    <row r="6091" spans="1:6" x14ac:dyDescent="0.2">
      <c r="A6091">
        <v>5</v>
      </c>
      <c r="E6091" t="str">
        <f t="shared" si="210"/>
        <v>F</v>
      </c>
      <c r="F6091" t="str">
        <f t="shared" si="209"/>
        <v>5F</v>
      </c>
    </row>
    <row r="6092" spans="1:6" x14ac:dyDescent="0.2">
      <c r="A6092">
        <v>6</v>
      </c>
      <c r="E6092" t="str">
        <f t="shared" si="210"/>
        <v>G</v>
      </c>
      <c r="F6092" t="str">
        <f t="shared" si="209"/>
        <v>6G</v>
      </c>
    </row>
    <row r="6093" spans="1:6" x14ac:dyDescent="0.2">
      <c r="A6093">
        <v>7</v>
      </c>
      <c r="E6093" t="str">
        <f t="shared" si="210"/>
        <v>H</v>
      </c>
      <c r="F6093" t="str">
        <f t="shared" si="209"/>
        <v>7H</v>
      </c>
    </row>
    <row r="6094" spans="1:6" x14ac:dyDescent="0.2">
      <c r="A6094">
        <v>8</v>
      </c>
      <c r="E6094" t="str">
        <f t="shared" si="210"/>
        <v>I</v>
      </c>
      <c r="F6094" t="str">
        <f t="shared" si="209"/>
        <v>8I</v>
      </c>
    </row>
    <row r="6095" spans="1:6" x14ac:dyDescent="0.2">
      <c r="A6095">
        <v>9</v>
      </c>
      <c r="E6095" t="str">
        <f t="shared" si="210"/>
        <v>J</v>
      </c>
      <c r="F6095" t="str">
        <f t="shared" si="209"/>
        <v>9J</v>
      </c>
    </row>
    <row r="6096" spans="1:6" x14ac:dyDescent="0.2">
      <c r="A6096">
        <v>10</v>
      </c>
      <c r="E6096" t="str">
        <f t="shared" si="210"/>
        <v>K</v>
      </c>
      <c r="F6096" t="str">
        <f t="shared" si="209"/>
        <v>10K</v>
      </c>
    </row>
    <row r="6097" spans="1:6" x14ac:dyDescent="0.2">
      <c r="A6097">
        <v>11</v>
      </c>
      <c r="E6097" t="str">
        <f t="shared" si="210"/>
        <v>L</v>
      </c>
      <c r="F6097" t="str">
        <f t="shared" si="209"/>
        <v>11L</v>
      </c>
    </row>
    <row r="6098" spans="1:6" x14ac:dyDescent="0.2">
      <c r="A6098">
        <v>12</v>
      </c>
      <c r="E6098" t="str">
        <f t="shared" si="210"/>
        <v>M</v>
      </c>
      <c r="F6098" t="str">
        <f t="shared" si="209"/>
        <v>12M</v>
      </c>
    </row>
    <row r="6099" spans="1:6" x14ac:dyDescent="0.2">
      <c r="A6099">
        <v>13</v>
      </c>
      <c r="E6099" t="str">
        <f t="shared" si="210"/>
        <v>N</v>
      </c>
      <c r="F6099" t="str">
        <f t="shared" si="209"/>
        <v>13N</v>
      </c>
    </row>
    <row r="6100" spans="1:6" x14ac:dyDescent="0.2">
      <c r="A6100">
        <v>14</v>
      </c>
      <c r="E6100" t="str">
        <f t="shared" si="210"/>
        <v>O</v>
      </c>
      <c r="F6100" t="str">
        <f t="shared" si="209"/>
        <v>14O</v>
      </c>
    </row>
    <row r="6101" spans="1:6" x14ac:dyDescent="0.2">
      <c r="A6101">
        <v>15</v>
      </c>
      <c r="E6101" t="str">
        <f t="shared" si="210"/>
        <v>P</v>
      </c>
      <c r="F6101" t="str">
        <f t="shared" si="209"/>
        <v>15P</v>
      </c>
    </row>
    <row r="6102" spans="1:6" x14ac:dyDescent="0.2">
      <c r="A6102">
        <v>16</v>
      </c>
      <c r="E6102" t="str">
        <f t="shared" si="210"/>
        <v>Q</v>
      </c>
      <c r="F6102" t="str">
        <f t="shared" ref="F6102:F6165" si="211">A6102&amp;C6102&amp;E6102</f>
        <v>16Q</v>
      </c>
    </row>
    <row r="6103" spans="1:6" x14ac:dyDescent="0.2">
      <c r="A6103">
        <v>17</v>
      </c>
      <c r="E6103" t="str">
        <f t="shared" si="210"/>
        <v>R</v>
      </c>
      <c r="F6103" t="str">
        <f t="shared" si="211"/>
        <v>17R</v>
      </c>
    </row>
    <row r="6104" spans="1:6" x14ac:dyDescent="0.2">
      <c r="A6104">
        <v>18</v>
      </c>
      <c r="E6104" t="str">
        <f t="shared" si="210"/>
        <v>S</v>
      </c>
      <c r="F6104" t="str">
        <f t="shared" si="211"/>
        <v>18S</v>
      </c>
    </row>
    <row r="6105" spans="1:6" x14ac:dyDescent="0.2">
      <c r="A6105">
        <v>19</v>
      </c>
      <c r="E6105" t="str">
        <f t="shared" si="210"/>
        <v>T</v>
      </c>
      <c r="F6105" t="str">
        <f t="shared" si="211"/>
        <v>19T</v>
      </c>
    </row>
    <row r="6106" spans="1:6" x14ac:dyDescent="0.2">
      <c r="A6106">
        <v>20</v>
      </c>
      <c r="E6106" t="str">
        <f t="shared" si="210"/>
        <v>U</v>
      </c>
      <c r="F6106" t="str">
        <f t="shared" si="211"/>
        <v>20U</v>
      </c>
    </row>
    <row r="6107" spans="1:6" x14ac:dyDescent="0.2">
      <c r="A6107">
        <v>21</v>
      </c>
      <c r="E6107" t="str">
        <f t="shared" si="210"/>
        <v>V</v>
      </c>
      <c r="F6107" t="str">
        <f t="shared" si="211"/>
        <v>21V</v>
      </c>
    </row>
    <row r="6108" spans="1:6" x14ac:dyDescent="0.2">
      <c r="A6108">
        <v>22</v>
      </c>
      <c r="E6108" t="str">
        <f t="shared" si="210"/>
        <v>W</v>
      </c>
      <c r="F6108" t="str">
        <f t="shared" si="211"/>
        <v>22W</v>
      </c>
    </row>
    <row r="6109" spans="1:6" x14ac:dyDescent="0.2">
      <c r="A6109">
        <v>23</v>
      </c>
      <c r="E6109" t="str">
        <f t="shared" si="210"/>
        <v>X</v>
      </c>
      <c r="F6109" t="str">
        <f t="shared" si="211"/>
        <v>23X</v>
      </c>
    </row>
    <row r="6110" spans="1:6" x14ac:dyDescent="0.2">
      <c r="A6110">
        <v>24</v>
      </c>
      <c r="E6110" t="str">
        <f t="shared" si="210"/>
        <v>Y</v>
      </c>
      <c r="F6110" t="str">
        <f t="shared" si="211"/>
        <v>24Y</v>
      </c>
    </row>
    <row r="6111" spans="1:6" x14ac:dyDescent="0.2">
      <c r="A6111">
        <v>25</v>
      </c>
      <c r="E6111" t="str">
        <f t="shared" si="210"/>
        <v>Z</v>
      </c>
      <c r="F6111" t="str">
        <f t="shared" si="211"/>
        <v>25Z</v>
      </c>
    </row>
    <row r="6112" spans="1:6" x14ac:dyDescent="0.2">
      <c r="A6112">
        <v>0</v>
      </c>
      <c r="E6112" t="str">
        <f t="shared" si="210"/>
        <v>A</v>
      </c>
      <c r="F6112" t="str">
        <f t="shared" si="211"/>
        <v>0A</v>
      </c>
    </row>
    <row r="6113" spans="1:6" x14ac:dyDescent="0.2">
      <c r="A6113">
        <v>1</v>
      </c>
      <c r="E6113" t="str">
        <f t="shared" si="210"/>
        <v>B</v>
      </c>
      <c r="F6113" t="str">
        <f t="shared" si="211"/>
        <v>1B</v>
      </c>
    </row>
    <row r="6114" spans="1:6" x14ac:dyDescent="0.2">
      <c r="A6114">
        <v>2</v>
      </c>
      <c r="E6114" t="str">
        <f t="shared" si="210"/>
        <v>C</v>
      </c>
      <c r="F6114" t="str">
        <f t="shared" si="211"/>
        <v>2C</v>
      </c>
    </row>
    <row r="6115" spans="1:6" x14ac:dyDescent="0.2">
      <c r="A6115">
        <v>3</v>
      </c>
      <c r="E6115" t="str">
        <f t="shared" si="210"/>
        <v>D</v>
      </c>
      <c r="F6115" t="str">
        <f t="shared" si="211"/>
        <v>3D</v>
      </c>
    </row>
    <row r="6116" spans="1:6" x14ac:dyDescent="0.2">
      <c r="A6116">
        <v>4</v>
      </c>
      <c r="E6116" t="str">
        <f t="shared" si="210"/>
        <v>E</v>
      </c>
      <c r="F6116" t="str">
        <f t="shared" si="211"/>
        <v>4E</v>
      </c>
    </row>
    <row r="6117" spans="1:6" x14ac:dyDescent="0.2">
      <c r="A6117">
        <v>5</v>
      </c>
      <c r="E6117" t="str">
        <f t="shared" si="210"/>
        <v>F</v>
      </c>
      <c r="F6117" t="str">
        <f t="shared" si="211"/>
        <v>5F</v>
      </c>
    </row>
    <row r="6118" spans="1:6" x14ac:dyDescent="0.2">
      <c r="A6118">
        <v>6</v>
      </c>
      <c r="E6118" t="str">
        <f t="shared" si="210"/>
        <v>G</v>
      </c>
      <c r="F6118" t="str">
        <f t="shared" si="211"/>
        <v>6G</v>
      </c>
    </row>
    <row r="6119" spans="1:6" x14ac:dyDescent="0.2">
      <c r="A6119">
        <v>7</v>
      </c>
      <c r="E6119" t="str">
        <f t="shared" si="210"/>
        <v>H</v>
      </c>
      <c r="F6119" t="str">
        <f t="shared" si="211"/>
        <v>7H</v>
      </c>
    </row>
    <row r="6120" spans="1:6" x14ac:dyDescent="0.2">
      <c r="A6120">
        <v>8</v>
      </c>
      <c r="E6120" t="str">
        <f t="shared" si="210"/>
        <v>I</v>
      </c>
      <c r="F6120" t="str">
        <f t="shared" si="211"/>
        <v>8I</v>
      </c>
    </row>
    <row r="6121" spans="1:6" x14ac:dyDescent="0.2">
      <c r="A6121">
        <v>9</v>
      </c>
      <c r="E6121" t="str">
        <f t="shared" si="210"/>
        <v>J</v>
      </c>
      <c r="F6121" t="str">
        <f t="shared" si="211"/>
        <v>9J</v>
      </c>
    </row>
    <row r="6122" spans="1:6" x14ac:dyDescent="0.2">
      <c r="A6122">
        <v>10</v>
      </c>
      <c r="E6122" t="str">
        <f t="shared" si="210"/>
        <v>K</v>
      </c>
      <c r="F6122" t="str">
        <f t="shared" si="211"/>
        <v>10K</v>
      </c>
    </row>
    <row r="6123" spans="1:6" x14ac:dyDescent="0.2">
      <c r="A6123">
        <v>11</v>
      </c>
      <c r="E6123" t="str">
        <f t="shared" si="210"/>
        <v>L</v>
      </c>
      <c r="F6123" t="str">
        <f t="shared" si="211"/>
        <v>11L</v>
      </c>
    </row>
    <row r="6124" spans="1:6" x14ac:dyDescent="0.2">
      <c r="A6124">
        <v>12</v>
      </c>
      <c r="E6124" t="str">
        <f t="shared" si="210"/>
        <v>M</v>
      </c>
      <c r="F6124" t="str">
        <f t="shared" si="211"/>
        <v>12M</v>
      </c>
    </row>
    <row r="6125" spans="1:6" x14ac:dyDescent="0.2">
      <c r="A6125">
        <v>13</v>
      </c>
      <c r="E6125" t="str">
        <f t="shared" si="210"/>
        <v>N</v>
      </c>
      <c r="F6125" t="str">
        <f t="shared" si="211"/>
        <v>13N</v>
      </c>
    </row>
    <row r="6126" spans="1:6" x14ac:dyDescent="0.2">
      <c r="A6126">
        <v>14</v>
      </c>
      <c r="E6126" t="str">
        <f t="shared" si="210"/>
        <v>O</v>
      </c>
      <c r="F6126" t="str">
        <f t="shared" si="211"/>
        <v>14O</v>
      </c>
    </row>
    <row r="6127" spans="1:6" x14ac:dyDescent="0.2">
      <c r="A6127">
        <v>15</v>
      </c>
      <c r="E6127" t="str">
        <f t="shared" si="210"/>
        <v>P</v>
      </c>
      <c r="F6127" t="str">
        <f t="shared" si="211"/>
        <v>15P</v>
      </c>
    </row>
    <row r="6128" spans="1:6" x14ac:dyDescent="0.2">
      <c r="A6128">
        <v>16</v>
      </c>
      <c r="E6128" t="str">
        <f t="shared" ref="E6128:E6191" si="212">E6102</f>
        <v>Q</v>
      </c>
      <c r="F6128" t="str">
        <f t="shared" si="211"/>
        <v>16Q</v>
      </c>
    </row>
    <row r="6129" spans="1:6" x14ac:dyDescent="0.2">
      <c r="A6129">
        <v>17</v>
      </c>
      <c r="E6129" t="str">
        <f t="shared" si="212"/>
        <v>R</v>
      </c>
      <c r="F6129" t="str">
        <f t="shared" si="211"/>
        <v>17R</v>
      </c>
    </row>
    <row r="6130" spans="1:6" x14ac:dyDescent="0.2">
      <c r="A6130">
        <v>18</v>
      </c>
      <c r="E6130" t="str">
        <f t="shared" si="212"/>
        <v>S</v>
      </c>
      <c r="F6130" t="str">
        <f t="shared" si="211"/>
        <v>18S</v>
      </c>
    </row>
    <row r="6131" spans="1:6" x14ac:dyDescent="0.2">
      <c r="A6131">
        <v>19</v>
      </c>
      <c r="E6131" t="str">
        <f t="shared" si="212"/>
        <v>T</v>
      </c>
      <c r="F6131" t="str">
        <f t="shared" si="211"/>
        <v>19T</v>
      </c>
    </row>
    <row r="6132" spans="1:6" x14ac:dyDescent="0.2">
      <c r="A6132">
        <v>20</v>
      </c>
      <c r="E6132" t="str">
        <f t="shared" si="212"/>
        <v>U</v>
      </c>
      <c r="F6132" t="str">
        <f t="shared" si="211"/>
        <v>20U</v>
      </c>
    </row>
    <row r="6133" spans="1:6" x14ac:dyDescent="0.2">
      <c r="A6133">
        <v>21</v>
      </c>
      <c r="E6133" t="str">
        <f t="shared" si="212"/>
        <v>V</v>
      </c>
      <c r="F6133" t="str">
        <f t="shared" si="211"/>
        <v>21V</v>
      </c>
    </row>
    <row r="6134" spans="1:6" x14ac:dyDescent="0.2">
      <c r="A6134">
        <v>22</v>
      </c>
      <c r="E6134" t="str">
        <f t="shared" si="212"/>
        <v>W</v>
      </c>
      <c r="F6134" t="str">
        <f t="shared" si="211"/>
        <v>22W</v>
      </c>
    </row>
    <row r="6135" spans="1:6" x14ac:dyDescent="0.2">
      <c r="A6135">
        <v>23</v>
      </c>
      <c r="E6135" t="str">
        <f t="shared" si="212"/>
        <v>X</v>
      </c>
      <c r="F6135" t="str">
        <f t="shared" si="211"/>
        <v>23X</v>
      </c>
    </row>
    <row r="6136" spans="1:6" x14ac:dyDescent="0.2">
      <c r="A6136">
        <v>24</v>
      </c>
      <c r="E6136" t="str">
        <f t="shared" si="212"/>
        <v>Y</v>
      </c>
      <c r="F6136" t="str">
        <f t="shared" si="211"/>
        <v>24Y</v>
      </c>
    </row>
    <row r="6137" spans="1:6" x14ac:dyDescent="0.2">
      <c r="A6137">
        <v>25</v>
      </c>
      <c r="E6137" t="str">
        <f t="shared" si="212"/>
        <v>Z</v>
      </c>
      <c r="F6137" t="str">
        <f t="shared" si="211"/>
        <v>25Z</v>
      </c>
    </row>
    <row r="6138" spans="1:6" x14ac:dyDescent="0.2">
      <c r="A6138">
        <v>0</v>
      </c>
      <c r="E6138" t="str">
        <f t="shared" si="212"/>
        <v>A</v>
      </c>
      <c r="F6138" t="str">
        <f t="shared" si="211"/>
        <v>0A</v>
      </c>
    </row>
    <row r="6139" spans="1:6" x14ac:dyDescent="0.2">
      <c r="A6139">
        <v>1</v>
      </c>
      <c r="E6139" t="str">
        <f t="shared" si="212"/>
        <v>B</v>
      </c>
      <c r="F6139" t="str">
        <f t="shared" si="211"/>
        <v>1B</v>
      </c>
    </row>
    <row r="6140" spans="1:6" x14ac:dyDescent="0.2">
      <c r="A6140">
        <v>2</v>
      </c>
      <c r="E6140" t="str">
        <f t="shared" si="212"/>
        <v>C</v>
      </c>
      <c r="F6140" t="str">
        <f t="shared" si="211"/>
        <v>2C</v>
      </c>
    </row>
    <row r="6141" spans="1:6" x14ac:dyDescent="0.2">
      <c r="A6141">
        <v>3</v>
      </c>
      <c r="E6141" t="str">
        <f t="shared" si="212"/>
        <v>D</v>
      </c>
      <c r="F6141" t="str">
        <f t="shared" si="211"/>
        <v>3D</v>
      </c>
    </row>
    <row r="6142" spans="1:6" x14ac:dyDescent="0.2">
      <c r="A6142">
        <v>4</v>
      </c>
      <c r="E6142" t="str">
        <f t="shared" si="212"/>
        <v>E</v>
      </c>
      <c r="F6142" t="str">
        <f t="shared" si="211"/>
        <v>4E</v>
      </c>
    </row>
    <row r="6143" spans="1:6" x14ac:dyDescent="0.2">
      <c r="A6143">
        <v>5</v>
      </c>
      <c r="E6143" t="str">
        <f t="shared" si="212"/>
        <v>F</v>
      </c>
      <c r="F6143" t="str">
        <f t="shared" si="211"/>
        <v>5F</v>
      </c>
    </row>
    <row r="6144" spans="1:6" x14ac:dyDescent="0.2">
      <c r="A6144">
        <v>6</v>
      </c>
      <c r="E6144" t="str">
        <f t="shared" si="212"/>
        <v>G</v>
      </c>
      <c r="F6144" t="str">
        <f t="shared" si="211"/>
        <v>6G</v>
      </c>
    </row>
    <row r="6145" spans="1:6" x14ac:dyDescent="0.2">
      <c r="A6145">
        <v>7</v>
      </c>
      <c r="E6145" t="str">
        <f t="shared" si="212"/>
        <v>H</v>
      </c>
      <c r="F6145" t="str">
        <f t="shared" si="211"/>
        <v>7H</v>
      </c>
    </row>
    <row r="6146" spans="1:6" x14ac:dyDescent="0.2">
      <c r="A6146">
        <v>8</v>
      </c>
      <c r="E6146" t="str">
        <f t="shared" si="212"/>
        <v>I</v>
      </c>
      <c r="F6146" t="str">
        <f t="shared" si="211"/>
        <v>8I</v>
      </c>
    </row>
    <row r="6147" spans="1:6" x14ac:dyDescent="0.2">
      <c r="A6147">
        <v>9</v>
      </c>
      <c r="E6147" t="str">
        <f t="shared" si="212"/>
        <v>J</v>
      </c>
      <c r="F6147" t="str">
        <f t="shared" si="211"/>
        <v>9J</v>
      </c>
    </row>
    <row r="6148" spans="1:6" x14ac:dyDescent="0.2">
      <c r="A6148">
        <v>10</v>
      </c>
      <c r="E6148" t="str">
        <f t="shared" si="212"/>
        <v>K</v>
      </c>
      <c r="F6148" t="str">
        <f t="shared" si="211"/>
        <v>10K</v>
      </c>
    </row>
    <row r="6149" spans="1:6" x14ac:dyDescent="0.2">
      <c r="A6149">
        <v>11</v>
      </c>
      <c r="E6149" t="str">
        <f t="shared" si="212"/>
        <v>L</v>
      </c>
      <c r="F6149" t="str">
        <f t="shared" si="211"/>
        <v>11L</v>
      </c>
    </row>
    <row r="6150" spans="1:6" x14ac:dyDescent="0.2">
      <c r="A6150">
        <v>12</v>
      </c>
      <c r="E6150" t="str">
        <f t="shared" si="212"/>
        <v>M</v>
      </c>
      <c r="F6150" t="str">
        <f t="shared" si="211"/>
        <v>12M</v>
      </c>
    </row>
    <row r="6151" spans="1:6" x14ac:dyDescent="0.2">
      <c r="A6151">
        <v>13</v>
      </c>
      <c r="E6151" t="str">
        <f t="shared" si="212"/>
        <v>N</v>
      </c>
      <c r="F6151" t="str">
        <f t="shared" si="211"/>
        <v>13N</v>
      </c>
    </row>
    <row r="6152" spans="1:6" x14ac:dyDescent="0.2">
      <c r="A6152">
        <v>14</v>
      </c>
      <c r="E6152" t="str">
        <f t="shared" si="212"/>
        <v>O</v>
      </c>
      <c r="F6152" t="str">
        <f t="shared" si="211"/>
        <v>14O</v>
      </c>
    </row>
    <row r="6153" spans="1:6" x14ac:dyDescent="0.2">
      <c r="A6153">
        <v>15</v>
      </c>
      <c r="E6153" t="str">
        <f t="shared" si="212"/>
        <v>P</v>
      </c>
      <c r="F6153" t="str">
        <f t="shared" si="211"/>
        <v>15P</v>
      </c>
    </row>
    <row r="6154" spans="1:6" x14ac:dyDescent="0.2">
      <c r="A6154">
        <v>16</v>
      </c>
      <c r="E6154" t="str">
        <f t="shared" si="212"/>
        <v>Q</v>
      </c>
      <c r="F6154" t="str">
        <f t="shared" si="211"/>
        <v>16Q</v>
      </c>
    </row>
    <row r="6155" spans="1:6" x14ac:dyDescent="0.2">
      <c r="A6155">
        <v>17</v>
      </c>
      <c r="E6155" t="str">
        <f t="shared" si="212"/>
        <v>R</v>
      </c>
      <c r="F6155" t="str">
        <f t="shared" si="211"/>
        <v>17R</v>
      </c>
    </row>
    <row r="6156" spans="1:6" x14ac:dyDescent="0.2">
      <c r="A6156">
        <v>18</v>
      </c>
      <c r="E6156" t="str">
        <f t="shared" si="212"/>
        <v>S</v>
      </c>
      <c r="F6156" t="str">
        <f t="shared" si="211"/>
        <v>18S</v>
      </c>
    </row>
    <row r="6157" spans="1:6" x14ac:dyDescent="0.2">
      <c r="A6157">
        <v>19</v>
      </c>
      <c r="E6157" t="str">
        <f t="shared" si="212"/>
        <v>T</v>
      </c>
      <c r="F6157" t="str">
        <f t="shared" si="211"/>
        <v>19T</v>
      </c>
    </row>
    <row r="6158" spans="1:6" x14ac:dyDescent="0.2">
      <c r="A6158">
        <v>20</v>
      </c>
      <c r="E6158" t="str">
        <f t="shared" si="212"/>
        <v>U</v>
      </c>
      <c r="F6158" t="str">
        <f t="shared" si="211"/>
        <v>20U</v>
      </c>
    </row>
    <row r="6159" spans="1:6" x14ac:dyDescent="0.2">
      <c r="A6159">
        <v>21</v>
      </c>
      <c r="E6159" t="str">
        <f t="shared" si="212"/>
        <v>V</v>
      </c>
      <c r="F6159" t="str">
        <f t="shared" si="211"/>
        <v>21V</v>
      </c>
    </row>
    <row r="6160" spans="1:6" x14ac:dyDescent="0.2">
      <c r="A6160">
        <v>22</v>
      </c>
      <c r="E6160" t="str">
        <f t="shared" si="212"/>
        <v>W</v>
      </c>
      <c r="F6160" t="str">
        <f t="shared" si="211"/>
        <v>22W</v>
      </c>
    </row>
    <row r="6161" spans="1:6" x14ac:dyDescent="0.2">
      <c r="A6161">
        <v>23</v>
      </c>
      <c r="E6161" t="str">
        <f t="shared" si="212"/>
        <v>X</v>
      </c>
      <c r="F6161" t="str">
        <f t="shared" si="211"/>
        <v>23X</v>
      </c>
    </row>
    <row r="6162" spans="1:6" x14ac:dyDescent="0.2">
      <c r="A6162">
        <v>24</v>
      </c>
      <c r="E6162" t="str">
        <f t="shared" si="212"/>
        <v>Y</v>
      </c>
      <c r="F6162" t="str">
        <f t="shared" si="211"/>
        <v>24Y</v>
      </c>
    </row>
    <row r="6163" spans="1:6" x14ac:dyDescent="0.2">
      <c r="A6163">
        <v>25</v>
      </c>
      <c r="E6163" t="str">
        <f t="shared" si="212"/>
        <v>Z</v>
      </c>
      <c r="F6163" t="str">
        <f t="shared" si="211"/>
        <v>25Z</v>
      </c>
    </row>
    <row r="6164" spans="1:6" x14ac:dyDescent="0.2">
      <c r="A6164">
        <v>0</v>
      </c>
      <c r="E6164" t="str">
        <f t="shared" si="212"/>
        <v>A</v>
      </c>
      <c r="F6164" t="str">
        <f t="shared" si="211"/>
        <v>0A</v>
      </c>
    </row>
    <row r="6165" spans="1:6" x14ac:dyDescent="0.2">
      <c r="A6165">
        <v>1</v>
      </c>
      <c r="E6165" t="str">
        <f t="shared" si="212"/>
        <v>B</v>
      </c>
      <c r="F6165" t="str">
        <f t="shared" si="211"/>
        <v>1B</v>
      </c>
    </row>
    <row r="6166" spans="1:6" x14ac:dyDescent="0.2">
      <c r="A6166">
        <v>2</v>
      </c>
      <c r="E6166" t="str">
        <f t="shared" si="212"/>
        <v>C</v>
      </c>
      <c r="F6166" t="str">
        <f t="shared" ref="F6166:F6229" si="213">A6166&amp;C6166&amp;E6166</f>
        <v>2C</v>
      </c>
    </row>
    <row r="6167" spans="1:6" x14ac:dyDescent="0.2">
      <c r="A6167">
        <v>3</v>
      </c>
      <c r="E6167" t="str">
        <f t="shared" si="212"/>
        <v>D</v>
      </c>
      <c r="F6167" t="str">
        <f t="shared" si="213"/>
        <v>3D</v>
      </c>
    </row>
    <row r="6168" spans="1:6" x14ac:dyDescent="0.2">
      <c r="A6168">
        <v>4</v>
      </c>
      <c r="E6168" t="str">
        <f t="shared" si="212"/>
        <v>E</v>
      </c>
      <c r="F6168" t="str">
        <f t="shared" si="213"/>
        <v>4E</v>
      </c>
    </row>
    <row r="6169" spans="1:6" x14ac:dyDescent="0.2">
      <c r="A6169">
        <v>5</v>
      </c>
      <c r="E6169" t="str">
        <f t="shared" si="212"/>
        <v>F</v>
      </c>
      <c r="F6169" t="str">
        <f t="shared" si="213"/>
        <v>5F</v>
      </c>
    </row>
    <row r="6170" spans="1:6" x14ac:dyDescent="0.2">
      <c r="A6170">
        <v>6</v>
      </c>
      <c r="E6170" t="str">
        <f t="shared" si="212"/>
        <v>G</v>
      </c>
      <c r="F6170" t="str">
        <f t="shared" si="213"/>
        <v>6G</v>
      </c>
    </row>
    <row r="6171" spans="1:6" x14ac:dyDescent="0.2">
      <c r="A6171">
        <v>7</v>
      </c>
      <c r="E6171" t="str">
        <f t="shared" si="212"/>
        <v>H</v>
      </c>
      <c r="F6171" t="str">
        <f t="shared" si="213"/>
        <v>7H</v>
      </c>
    </row>
    <row r="6172" spans="1:6" x14ac:dyDescent="0.2">
      <c r="A6172">
        <v>8</v>
      </c>
      <c r="E6172" t="str">
        <f t="shared" si="212"/>
        <v>I</v>
      </c>
      <c r="F6172" t="str">
        <f t="shared" si="213"/>
        <v>8I</v>
      </c>
    </row>
    <row r="6173" spans="1:6" x14ac:dyDescent="0.2">
      <c r="A6173">
        <v>9</v>
      </c>
      <c r="E6173" t="str">
        <f t="shared" si="212"/>
        <v>J</v>
      </c>
      <c r="F6173" t="str">
        <f t="shared" si="213"/>
        <v>9J</v>
      </c>
    </row>
    <row r="6174" spans="1:6" x14ac:dyDescent="0.2">
      <c r="A6174">
        <v>10</v>
      </c>
      <c r="E6174" t="str">
        <f t="shared" si="212"/>
        <v>K</v>
      </c>
      <c r="F6174" t="str">
        <f t="shared" si="213"/>
        <v>10K</v>
      </c>
    </row>
    <row r="6175" spans="1:6" x14ac:dyDescent="0.2">
      <c r="A6175">
        <v>11</v>
      </c>
      <c r="E6175" t="str">
        <f t="shared" si="212"/>
        <v>L</v>
      </c>
      <c r="F6175" t="str">
        <f t="shared" si="213"/>
        <v>11L</v>
      </c>
    </row>
    <row r="6176" spans="1:6" x14ac:dyDescent="0.2">
      <c r="A6176">
        <v>12</v>
      </c>
      <c r="E6176" t="str">
        <f t="shared" si="212"/>
        <v>M</v>
      </c>
      <c r="F6176" t="str">
        <f t="shared" si="213"/>
        <v>12M</v>
      </c>
    </row>
    <row r="6177" spans="1:6" x14ac:dyDescent="0.2">
      <c r="A6177">
        <v>13</v>
      </c>
      <c r="E6177" t="str">
        <f t="shared" si="212"/>
        <v>N</v>
      </c>
      <c r="F6177" t="str">
        <f t="shared" si="213"/>
        <v>13N</v>
      </c>
    </row>
    <row r="6178" spans="1:6" x14ac:dyDescent="0.2">
      <c r="A6178">
        <v>14</v>
      </c>
      <c r="E6178" t="str">
        <f t="shared" si="212"/>
        <v>O</v>
      </c>
      <c r="F6178" t="str">
        <f t="shared" si="213"/>
        <v>14O</v>
      </c>
    </row>
    <row r="6179" spans="1:6" x14ac:dyDescent="0.2">
      <c r="A6179">
        <v>15</v>
      </c>
      <c r="E6179" t="str">
        <f t="shared" si="212"/>
        <v>P</v>
      </c>
      <c r="F6179" t="str">
        <f t="shared" si="213"/>
        <v>15P</v>
      </c>
    </row>
    <row r="6180" spans="1:6" x14ac:dyDescent="0.2">
      <c r="A6180">
        <v>16</v>
      </c>
      <c r="E6180" t="str">
        <f t="shared" si="212"/>
        <v>Q</v>
      </c>
      <c r="F6180" t="str">
        <f t="shared" si="213"/>
        <v>16Q</v>
      </c>
    </row>
    <row r="6181" spans="1:6" x14ac:dyDescent="0.2">
      <c r="A6181">
        <v>17</v>
      </c>
      <c r="E6181" t="str">
        <f t="shared" si="212"/>
        <v>R</v>
      </c>
      <c r="F6181" t="str">
        <f t="shared" si="213"/>
        <v>17R</v>
      </c>
    </row>
    <row r="6182" spans="1:6" x14ac:dyDescent="0.2">
      <c r="A6182">
        <v>18</v>
      </c>
      <c r="E6182" t="str">
        <f t="shared" si="212"/>
        <v>S</v>
      </c>
      <c r="F6182" t="str">
        <f t="shared" si="213"/>
        <v>18S</v>
      </c>
    </row>
    <row r="6183" spans="1:6" x14ac:dyDescent="0.2">
      <c r="A6183">
        <v>19</v>
      </c>
      <c r="E6183" t="str">
        <f t="shared" si="212"/>
        <v>T</v>
      </c>
      <c r="F6183" t="str">
        <f t="shared" si="213"/>
        <v>19T</v>
      </c>
    </row>
    <row r="6184" spans="1:6" x14ac:dyDescent="0.2">
      <c r="A6184">
        <v>20</v>
      </c>
      <c r="E6184" t="str">
        <f t="shared" si="212"/>
        <v>U</v>
      </c>
      <c r="F6184" t="str">
        <f t="shared" si="213"/>
        <v>20U</v>
      </c>
    </row>
    <row r="6185" spans="1:6" x14ac:dyDescent="0.2">
      <c r="A6185">
        <v>21</v>
      </c>
      <c r="E6185" t="str">
        <f t="shared" si="212"/>
        <v>V</v>
      </c>
      <c r="F6185" t="str">
        <f t="shared" si="213"/>
        <v>21V</v>
      </c>
    </row>
    <row r="6186" spans="1:6" x14ac:dyDescent="0.2">
      <c r="A6186">
        <v>22</v>
      </c>
      <c r="E6186" t="str">
        <f t="shared" si="212"/>
        <v>W</v>
      </c>
      <c r="F6186" t="str">
        <f t="shared" si="213"/>
        <v>22W</v>
      </c>
    </row>
    <row r="6187" spans="1:6" x14ac:dyDescent="0.2">
      <c r="A6187">
        <v>23</v>
      </c>
      <c r="E6187" t="str">
        <f t="shared" si="212"/>
        <v>X</v>
      </c>
      <c r="F6187" t="str">
        <f t="shared" si="213"/>
        <v>23X</v>
      </c>
    </row>
    <row r="6188" spans="1:6" x14ac:dyDescent="0.2">
      <c r="A6188">
        <v>24</v>
      </c>
      <c r="E6188" t="str">
        <f t="shared" si="212"/>
        <v>Y</v>
      </c>
      <c r="F6188" t="str">
        <f t="shared" si="213"/>
        <v>24Y</v>
      </c>
    </row>
    <row r="6189" spans="1:6" x14ac:dyDescent="0.2">
      <c r="A6189">
        <v>25</v>
      </c>
      <c r="E6189" t="str">
        <f t="shared" si="212"/>
        <v>Z</v>
      </c>
      <c r="F6189" t="str">
        <f t="shared" si="213"/>
        <v>25Z</v>
      </c>
    </row>
    <row r="6190" spans="1:6" x14ac:dyDescent="0.2">
      <c r="A6190">
        <v>0</v>
      </c>
      <c r="E6190" t="str">
        <f t="shared" si="212"/>
        <v>A</v>
      </c>
      <c r="F6190" t="str">
        <f t="shared" si="213"/>
        <v>0A</v>
      </c>
    </row>
    <row r="6191" spans="1:6" x14ac:dyDescent="0.2">
      <c r="A6191">
        <v>1</v>
      </c>
      <c r="E6191" t="str">
        <f t="shared" si="212"/>
        <v>B</v>
      </c>
      <c r="F6191" t="str">
        <f t="shared" si="213"/>
        <v>1B</v>
      </c>
    </row>
    <row r="6192" spans="1:6" x14ac:dyDescent="0.2">
      <c r="A6192">
        <v>2</v>
      </c>
      <c r="E6192" t="str">
        <f t="shared" ref="E6192:E6255" si="214">E6166</f>
        <v>C</v>
      </c>
      <c r="F6192" t="str">
        <f t="shared" si="213"/>
        <v>2C</v>
      </c>
    </row>
    <row r="6193" spans="1:6" x14ac:dyDescent="0.2">
      <c r="A6193">
        <v>3</v>
      </c>
      <c r="E6193" t="str">
        <f t="shared" si="214"/>
        <v>D</v>
      </c>
      <c r="F6193" t="str">
        <f t="shared" si="213"/>
        <v>3D</v>
      </c>
    </row>
    <row r="6194" spans="1:6" x14ac:dyDescent="0.2">
      <c r="A6194">
        <v>4</v>
      </c>
      <c r="E6194" t="str">
        <f t="shared" si="214"/>
        <v>E</v>
      </c>
      <c r="F6194" t="str">
        <f t="shared" si="213"/>
        <v>4E</v>
      </c>
    </row>
    <row r="6195" spans="1:6" x14ac:dyDescent="0.2">
      <c r="A6195">
        <v>5</v>
      </c>
      <c r="E6195" t="str">
        <f t="shared" si="214"/>
        <v>F</v>
      </c>
      <c r="F6195" t="str">
        <f t="shared" si="213"/>
        <v>5F</v>
      </c>
    </row>
    <row r="6196" spans="1:6" x14ac:dyDescent="0.2">
      <c r="A6196">
        <v>6</v>
      </c>
      <c r="E6196" t="str">
        <f t="shared" si="214"/>
        <v>G</v>
      </c>
      <c r="F6196" t="str">
        <f t="shared" si="213"/>
        <v>6G</v>
      </c>
    </row>
    <row r="6197" spans="1:6" x14ac:dyDescent="0.2">
      <c r="A6197">
        <v>7</v>
      </c>
      <c r="E6197" t="str">
        <f t="shared" si="214"/>
        <v>H</v>
      </c>
      <c r="F6197" t="str">
        <f t="shared" si="213"/>
        <v>7H</v>
      </c>
    </row>
    <row r="6198" spans="1:6" x14ac:dyDescent="0.2">
      <c r="A6198">
        <v>8</v>
      </c>
      <c r="E6198" t="str">
        <f t="shared" si="214"/>
        <v>I</v>
      </c>
      <c r="F6198" t="str">
        <f t="shared" si="213"/>
        <v>8I</v>
      </c>
    </row>
    <row r="6199" spans="1:6" x14ac:dyDescent="0.2">
      <c r="A6199">
        <v>9</v>
      </c>
      <c r="E6199" t="str">
        <f t="shared" si="214"/>
        <v>J</v>
      </c>
      <c r="F6199" t="str">
        <f t="shared" si="213"/>
        <v>9J</v>
      </c>
    </row>
    <row r="6200" spans="1:6" x14ac:dyDescent="0.2">
      <c r="A6200">
        <v>10</v>
      </c>
      <c r="E6200" t="str">
        <f t="shared" si="214"/>
        <v>K</v>
      </c>
      <c r="F6200" t="str">
        <f t="shared" si="213"/>
        <v>10K</v>
      </c>
    </row>
    <row r="6201" spans="1:6" x14ac:dyDescent="0.2">
      <c r="A6201">
        <v>11</v>
      </c>
      <c r="E6201" t="str">
        <f t="shared" si="214"/>
        <v>L</v>
      </c>
      <c r="F6201" t="str">
        <f t="shared" si="213"/>
        <v>11L</v>
      </c>
    </row>
    <row r="6202" spans="1:6" x14ac:dyDescent="0.2">
      <c r="A6202">
        <v>12</v>
      </c>
      <c r="E6202" t="str">
        <f t="shared" si="214"/>
        <v>M</v>
      </c>
      <c r="F6202" t="str">
        <f t="shared" si="213"/>
        <v>12M</v>
      </c>
    </row>
    <row r="6203" spans="1:6" x14ac:dyDescent="0.2">
      <c r="A6203">
        <v>13</v>
      </c>
      <c r="E6203" t="str">
        <f t="shared" si="214"/>
        <v>N</v>
      </c>
      <c r="F6203" t="str">
        <f t="shared" si="213"/>
        <v>13N</v>
      </c>
    </row>
    <row r="6204" spans="1:6" x14ac:dyDescent="0.2">
      <c r="A6204">
        <v>14</v>
      </c>
      <c r="E6204" t="str">
        <f t="shared" si="214"/>
        <v>O</v>
      </c>
      <c r="F6204" t="str">
        <f t="shared" si="213"/>
        <v>14O</v>
      </c>
    </row>
    <row r="6205" spans="1:6" x14ac:dyDescent="0.2">
      <c r="A6205">
        <v>15</v>
      </c>
      <c r="E6205" t="str">
        <f t="shared" si="214"/>
        <v>P</v>
      </c>
      <c r="F6205" t="str">
        <f t="shared" si="213"/>
        <v>15P</v>
      </c>
    </row>
    <row r="6206" spans="1:6" x14ac:dyDescent="0.2">
      <c r="A6206">
        <v>16</v>
      </c>
      <c r="E6206" t="str">
        <f t="shared" si="214"/>
        <v>Q</v>
      </c>
      <c r="F6206" t="str">
        <f t="shared" si="213"/>
        <v>16Q</v>
      </c>
    </row>
    <row r="6207" spans="1:6" x14ac:dyDescent="0.2">
      <c r="A6207">
        <v>17</v>
      </c>
      <c r="E6207" t="str">
        <f t="shared" si="214"/>
        <v>R</v>
      </c>
      <c r="F6207" t="str">
        <f t="shared" si="213"/>
        <v>17R</v>
      </c>
    </row>
    <row r="6208" spans="1:6" x14ac:dyDescent="0.2">
      <c r="A6208">
        <v>18</v>
      </c>
      <c r="E6208" t="str">
        <f t="shared" si="214"/>
        <v>S</v>
      </c>
      <c r="F6208" t="str">
        <f t="shared" si="213"/>
        <v>18S</v>
      </c>
    </row>
    <row r="6209" spans="1:6" x14ac:dyDescent="0.2">
      <c r="A6209">
        <v>19</v>
      </c>
      <c r="E6209" t="str">
        <f t="shared" si="214"/>
        <v>T</v>
      </c>
      <c r="F6209" t="str">
        <f t="shared" si="213"/>
        <v>19T</v>
      </c>
    </row>
    <row r="6210" spans="1:6" x14ac:dyDescent="0.2">
      <c r="A6210">
        <v>20</v>
      </c>
      <c r="E6210" t="str">
        <f t="shared" si="214"/>
        <v>U</v>
      </c>
      <c r="F6210" t="str">
        <f t="shared" si="213"/>
        <v>20U</v>
      </c>
    </row>
    <row r="6211" spans="1:6" x14ac:dyDescent="0.2">
      <c r="A6211">
        <v>21</v>
      </c>
      <c r="E6211" t="str">
        <f t="shared" si="214"/>
        <v>V</v>
      </c>
      <c r="F6211" t="str">
        <f t="shared" si="213"/>
        <v>21V</v>
      </c>
    </row>
    <row r="6212" spans="1:6" x14ac:dyDescent="0.2">
      <c r="A6212">
        <v>22</v>
      </c>
      <c r="E6212" t="str">
        <f t="shared" si="214"/>
        <v>W</v>
      </c>
      <c r="F6212" t="str">
        <f t="shared" si="213"/>
        <v>22W</v>
      </c>
    </row>
    <row r="6213" spans="1:6" x14ac:dyDescent="0.2">
      <c r="A6213">
        <v>23</v>
      </c>
      <c r="E6213" t="str">
        <f t="shared" si="214"/>
        <v>X</v>
      </c>
      <c r="F6213" t="str">
        <f t="shared" si="213"/>
        <v>23X</v>
      </c>
    </row>
    <row r="6214" spans="1:6" x14ac:dyDescent="0.2">
      <c r="A6214">
        <v>24</v>
      </c>
      <c r="E6214" t="str">
        <f t="shared" si="214"/>
        <v>Y</v>
      </c>
      <c r="F6214" t="str">
        <f t="shared" si="213"/>
        <v>24Y</v>
      </c>
    </row>
    <row r="6215" spans="1:6" x14ac:dyDescent="0.2">
      <c r="A6215">
        <v>25</v>
      </c>
      <c r="E6215" t="str">
        <f t="shared" si="214"/>
        <v>Z</v>
      </c>
      <c r="F6215" t="str">
        <f t="shared" si="213"/>
        <v>25Z</v>
      </c>
    </row>
    <row r="6216" spans="1:6" x14ac:dyDescent="0.2">
      <c r="A6216">
        <v>0</v>
      </c>
      <c r="E6216" t="str">
        <f t="shared" si="214"/>
        <v>A</v>
      </c>
      <c r="F6216" t="str">
        <f t="shared" si="213"/>
        <v>0A</v>
      </c>
    </row>
    <row r="6217" spans="1:6" x14ac:dyDescent="0.2">
      <c r="A6217">
        <v>1</v>
      </c>
      <c r="E6217" t="str">
        <f t="shared" si="214"/>
        <v>B</v>
      </c>
      <c r="F6217" t="str">
        <f t="shared" si="213"/>
        <v>1B</v>
      </c>
    </row>
    <row r="6218" spans="1:6" x14ac:dyDescent="0.2">
      <c r="A6218">
        <v>2</v>
      </c>
      <c r="E6218" t="str">
        <f t="shared" si="214"/>
        <v>C</v>
      </c>
      <c r="F6218" t="str">
        <f t="shared" si="213"/>
        <v>2C</v>
      </c>
    </row>
    <row r="6219" spans="1:6" x14ac:dyDescent="0.2">
      <c r="A6219">
        <v>3</v>
      </c>
      <c r="E6219" t="str">
        <f t="shared" si="214"/>
        <v>D</v>
      </c>
      <c r="F6219" t="str">
        <f t="shared" si="213"/>
        <v>3D</v>
      </c>
    </row>
    <row r="6220" spans="1:6" x14ac:dyDescent="0.2">
      <c r="A6220">
        <v>4</v>
      </c>
      <c r="E6220" t="str">
        <f t="shared" si="214"/>
        <v>E</v>
      </c>
      <c r="F6220" t="str">
        <f t="shared" si="213"/>
        <v>4E</v>
      </c>
    </row>
    <row r="6221" spans="1:6" x14ac:dyDescent="0.2">
      <c r="A6221">
        <v>5</v>
      </c>
      <c r="E6221" t="str">
        <f t="shared" si="214"/>
        <v>F</v>
      </c>
      <c r="F6221" t="str">
        <f t="shared" si="213"/>
        <v>5F</v>
      </c>
    </row>
    <row r="6222" spans="1:6" x14ac:dyDescent="0.2">
      <c r="A6222">
        <v>6</v>
      </c>
      <c r="E6222" t="str">
        <f t="shared" si="214"/>
        <v>G</v>
      </c>
      <c r="F6222" t="str">
        <f t="shared" si="213"/>
        <v>6G</v>
      </c>
    </row>
    <row r="6223" spans="1:6" x14ac:dyDescent="0.2">
      <c r="A6223">
        <v>7</v>
      </c>
      <c r="E6223" t="str">
        <f t="shared" si="214"/>
        <v>H</v>
      </c>
      <c r="F6223" t="str">
        <f t="shared" si="213"/>
        <v>7H</v>
      </c>
    </row>
    <row r="6224" spans="1:6" x14ac:dyDescent="0.2">
      <c r="A6224">
        <v>8</v>
      </c>
      <c r="E6224" t="str">
        <f t="shared" si="214"/>
        <v>I</v>
      </c>
      <c r="F6224" t="str">
        <f t="shared" si="213"/>
        <v>8I</v>
      </c>
    </row>
    <row r="6225" spans="1:6" x14ac:dyDescent="0.2">
      <c r="A6225">
        <v>9</v>
      </c>
      <c r="E6225" t="str">
        <f t="shared" si="214"/>
        <v>J</v>
      </c>
      <c r="F6225" t="str">
        <f t="shared" si="213"/>
        <v>9J</v>
      </c>
    </row>
    <row r="6226" spans="1:6" x14ac:dyDescent="0.2">
      <c r="A6226">
        <v>10</v>
      </c>
      <c r="E6226" t="str">
        <f t="shared" si="214"/>
        <v>K</v>
      </c>
      <c r="F6226" t="str">
        <f t="shared" si="213"/>
        <v>10K</v>
      </c>
    </row>
    <row r="6227" spans="1:6" x14ac:dyDescent="0.2">
      <c r="A6227">
        <v>11</v>
      </c>
      <c r="E6227" t="str">
        <f t="shared" si="214"/>
        <v>L</v>
      </c>
      <c r="F6227" t="str">
        <f t="shared" si="213"/>
        <v>11L</v>
      </c>
    </row>
    <row r="6228" spans="1:6" x14ac:dyDescent="0.2">
      <c r="A6228">
        <v>12</v>
      </c>
      <c r="E6228" t="str">
        <f t="shared" si="214"/>
        <v>M</v>
      </c>
      <c r="F6228" t="str">
        <f t="shared" si="213"/>
        <v>12M</v>
      </c>
    </row>
    <row r="6229" spans="1:6" x14ac:dyDescent="0.2">
      <c r="A6229">
        <v>13</v>
      </c>
      <c r="E6229" t="str">
        <f t="shared" si="214"/>
        <v>N</v>
      </c>
      <c r="F6229" t="str">
        <f t="shared" si="213"/>
        <v>13N</v>
      </c>
    </row>
    <row r="6230" spans="1:6" x14ac:dyDescent="0.2">
      <c r="A6230">
        <v>14</v>
      </c>
      <c r="E6230" t="str">
        <f t="shared" si="214"/>
        <v>O</v>
      </c>
      <c r="F6230" t="str">
        <f t="shared" ref="F6230:F6293" si="215">A6230&amp;C6230&amp;E6230</f>
        <v>14O</v>
      </c>
    </row>
    <row r="6231" spans="1:6" x14ac:dyDescent="0.2">
      <c r="A6231">
        <v>15</v>
      </c>
      <c r="E6231" t="str">
        <f t="shared" si="214"/>
        <v>P</v>
      </c>
      <c r="F6231" t="str">
        <f t="shared" si="215"/>
        <v>15P</v>
      </c>
    </row>
    <row r="6232" spans="1:6" x14ac:dyDescent="0.2">
      <c r="A6232">
        <v>16</v>
      </c>
      <c r="E6232" t="str">
        <f t="shared" si="214"/>
        <v>Q</v>
      </c>
      <c r="F6232" t="str">
        <f t="shared" si="215"/>
        <v>16Q</v>
      </c>
    </row>
    <row r="6233" spans="1:6" x14ac:dyDescent="0.2">
      <c r="A6233">
        <v>17</v>
      </c>
      <c r="E6233" t="str">
        <f t="shared" si="214"/>
        <v>R</v>
      </c>
      <c r="F6233" t="str">
        <f t="shared" si="215"/>
        <v>17R</v>
      </c>
    </row>
    <row r="6234" spans="1:6" x14ac:dyDescent="0.2">
      <c r="A6234">
        <v>18</v>
      </c>
      <c r="E6234" t="str">
        <f t="shared" si="214"/>
        <v>S</v>
      </c>
      <c r="F6234" t="str">
        <f t="shared" si="215"/>
        <v>18S</v>
      </c>
    </row>
    <row r="6235" spans="1:6" x14ac:dyDescent="0.2">
      <c r="A6235">
        <v>19</v>
      </c>
      <c r="E6235" t="str">
        <f t="shared" si="214"/>
        <v>T</v>
      </c>
      <c r="F6235" t="str">
        <f t="shared" si="215"/>
        <v>19T</v>
      </c>
    </row>
    <row r="6236" spans="1:6" x14ac:dyDescent="0.2">
      <c r="A6236">
        <v>20</v>
      </c>
      <c r="E6236" t="str">
        <f t="shared" si="214"/>
        <v>U</v>
      </c>
      <c r="F6236" t="str">
        <f t="shared" si="215"/>
        <v>20U</v>
      </c>
    </row>
    <row r="6237" spans="1:6" x14ac:dyDescent="0.2">
      <c r="A6237">
        <v>21</v>
      </c>
      <c r="E6237" t="str">
        <f t="shared" si="214"/>
        <v>V</v>
      </c>
      <c r="F6237" t="str">
        <f t="shared" si="215"/>
        <v>21V</v>
      </c>
    </row>
    <row r="6238" spans="1:6" x14ac:dyDescent="0.2">
      <c r="A6238">
        <v>22</v>
      </c>
      <c r="E6238" t="str">
        <f t="shared" si="214"/>
        <v>W</v>
      </c>
      <c r="F6238" t="str">
        <f t="shared" si="215"/>
        <v>22W</v>
      </c>
    </row>
    <row r="6239" spans="1:6" x14ac:dyDescent="0.2">
      <c r="A6239">
        <v>23</v>
      </c>
      <c r="E6239" t="str">
        <f t="shared" si="214"/>
        <v>X</v>
      </c>
      <c r="F6239" t="str">
        <f t="shared" si="215"/>
        <v>23X</v>
      </c>
    </row>
    <row r="6240" spans="1:6" x14ac:dyDescent="0.2">
      <c r="A6240">
        <v>24</v>
      </c>
      <c r="E6240" t="str">
        <f t="shared" si="214"/>
        <v>Y</v>
      </c>
      <c r="F6240" t="str">
        <f t="shared" si="215"/>
        <v>24Y</v>
      </c>
    </row>
    <row r="6241" spans="1:6" x14ac:dyDescent="0.2">
      <c r="A6241">
        <v>25</v>
      </c>
      <c r="E6241" t="str">
        <f t="shared" si="214"/>
        <v>Z</v>
      </c>
      <c r="F6241" t="str">
        <f t="shared" si="215"/>
        <v>25Z</v>
      </c>
    </row>
    <row r="6242" spans="1:6" x14ac:dyDescent="0.2">
      <c r="A6242">
        <v>0</v>
      </c>
      <c r="E6242" t="str">
        <f t="shared" si="214"/>
        <v>A</v>
      </c>
      <c r="F6242" t="str">
        <f t="shared" si="215"/>
        <v>0A</v>
      </c>
    </row>
    <row r="6243" spans="1:6" x14ac:dyDescent="0.2">
      <c r="A6243">
        <v>1</v>
      </c>
      <c r="E6243" t="str">
        <f t="shared" si="214"/>
        <v>B</v>
      </c>
      <c r="F6243" t="str">
        <f t="shared" si="215"/>
        <v>1B</v>
      </c>
    </row>
    <row r="6244" spans="1:6" x14ac:dyDescent="0.2">
      <c r="A6244">
        <v>2</v>
      </c>
      <c r="E6244" t="str">
        <f t="shared" si="214"/>
        <v>C</v>
      </c>
      <c r="F6244" t="str">
        <f t="shared" si="215"/>
        <v>2C</v>
      </c>
    </row>
    <row r="6245" spans="1:6" x14ac:dyDescent="0.2">
      <c r="A6245">
        <v>3</v>
      </c>
      <c r="E6245" t="str">
        <f t="shared" si="214"/>
        <v>D</v>
      </c>
      <c r="F6245" t="str">
        <f t="shared" si="215"/>
        <v>3D</v>
      </c>
    </row>
    <row r="6246" spans="1:6" x14ac:dyDescent="0.2">
      <c r="A6246">
        <v>4</v>
      </c>
      <c r="E6246" t="str">
        <f t="shared" si="214"/>
        <v>E</v>
      </c>
      <c r="F6246" t="str">
        <f t="shared" si="215"/>
        <v>4E</v>
      </c>
    </row>
    <row r="6247" spans="1:6" x14ac:dyDescent="0.2">
      <c r="A6247">
        <v>5</v>
      </c>
      <c r="E6247" t="str">
        <f t="shared" si="214"/>
        <v>F</v>
      </c>
      <c r="F6247" t="str">
        <f t="shared" si="215"/>
        <v>5F</v>
      </c>
    </row>
    <row r="6248" spans="1:6" x14ac:dyDescent="0.2">
      <c r="A6248">
        <v>6</v>
      </c>
      <c r="E6248" t="str">
        <f t="shared" si="214"/>
        <v>G</v>
      </c>
      <c r="F6248" t="str">
        <f t="shared" si="215"/>
        <v>6G</v>
      </c>
    </row>
    <row r="6249" spans="1:6" x14ac:dyDescent="0.2">
      <c r="A6249">
        <v>7</v>
      </c>
      <c r="E6249" t="str">
        <f t="shared" si="214"/>
        <v>H</v>
      </c>
      <c r="F6249" t="str">
        <f t="shared" si="215"/>
        <v>7H</v>
      </c>
    </row>
    <row r="6250" spans="1:6" x14ac:dyDescent="0.2">
      <c r="A6250">
        <v>8</v>
      </c>
      <c r="E6250" t="str">
        <f t="shared" si="214"/>
        <v>I</v>
      </c>
      <c r="F6250" t="str">
        <f t="shared" si="215"/>
        <v>8I</v>
      </c>
    </row>
    <row r="6251" spans="1:6" x14ac:dyDescent="0.2">
      <c r="A6251">
        <v>9</v>
      </c>
      <c r="E6251" t="str">
        <f t="shared" si="214"/>
        <v>J</v>
      </c>
      <c r="F6251" t="str">
        <f t="shared" si="215"/>
        <v>9J</v>
      </c>
    </row>
    <row r="6252" spans="1:6" x14ac:dyDescent="0.2">
      <c r="A6252">
        <v>10</v>
      </c>
      <c r="E6252" t="str">
        <f t="shared" si="214"/>
        <v>K</v>
      </c>
      <c r="F6252" t="str">
        <f t="shared" si="215"/>
        <v>10K</v>
      </c>
    </row>
    <row r="6253" spans="1:6" x14ac:dyDescent="0.2">
      <c r="A6253">
        <v>11</v>
      </c>
      <c r="E6253" t="str">
        <f t="shared" si="214"/>
        <v>L</v>
      </c>
      <c r="F6253" t="str">
        <f t="shared" si="215"/>
        <v>11L</v>
      </c>
    </row>
    <row r="6254" spans="1:6" x14ac:dyDescent="0.2">
      <c r="A6254">
        <v>12</v>
      </c>
      <c r="E6254" t="str">
        <f t="shared" si="214"/>
        <v>M</v>
      </c>
      <c r="F6254" t="str">
        <f t="shared" si="215"/>
        <v>12M</v>
      </c>
    </row>
    <row r="6255" spans="1:6" x14ac:dyDescent="0.2">
      <c r="A6255">
        <v>13</v>
      </c>
      <c r="E6255" t="str">
        <f t="shared" si="214"/>
        <v>N</v>
      </c>
      <c r="F6255" t="str">
        <f t="shared" si="215"/>
        <v>13N</v>
      </c>
    </row>
    <row r="6256" spans="1:6" x14ac:dyDescent="0.2">
      <c r="A6256">
        <v>14</v>
      </c>
      <c r="E6256" t="str">
        <f t="shared" ref="E6256:E6319" si="216">E6230</f>
        <v>O</v>
      </c>
      <c r="F6256" t="str">
        <f t="shared" si="215"/>
        <v>14O</v>
      </c>
    </row>
    <row r="6257" spans="1:6" x14ac:dyDescent="0.2">
      <c r="A6257">
        <v>15</v>
      </c>
      <c r="E6257" t="str">
        <f t="shared" si="216"/>
        <v>P</v>
      </c>
      <c r="F6257" t="str">
        <f t="shared" si="215"/>
        <v>15P</v>
      </c>
    </row>
    <row r="6258" spans="1:6" x14ac:dyDescent="0.2">
      <c r="A6258">
        <v>16</v>
      </c>
      <c r="E6258" t="str">
        <f t="shared" si="216"/>
        <v>Q</v>
      </c>
      <c r="F6258" t="str">
        <f t="shared" si="215"/>
        <v>16Q</v>
      </c>
    </row>
    <row r="6259" spans="1:6" x14ac:dyDescent="0.2">
      <c r="A6259">
        <v>17</v>
      </c>
      <c r="E6259" t="str">
        <f t="shared" si="216"/>
        <v>R</v>
      </c>
      <c r="F6259" t="str">
        <f t="shared" si="215"/>
        <v>17R</v>
      </c>
    </row>
    <row r="6260" spans="1:6" x14ac:dyDescent="0.2">
      <c r="A6260">
        <v>18</v>
      </c>
      <c r="E6260" t="str">
        <f t="shared" si="216"/>
        <v>S</v>
      </c>
      <c r="F6260" t="str">
        <f t="shared" si="215"/>
        <v>18S</v>
      </c>
    </row>
    <row r="6261" spans="1:6" x14ac:dyDescent="0.2">
      <c r="A6261">
        <v>19</v>
      </c>
      <c r="E6261" t="str">
        <f t="shared" si="216"/>
        <v>T</v>
      </c>
      <c r="F6261" t="str">
        <f t="shared" si="215"/>
        <v>19T</v>
      </c>
    </row>
    <row r="6262" spans="1:6" x14ac:dyDescent="0.2">
      <c r="A6262">
        <v>20</v>
      </c>
      <c r="E6262" t="str">
        <f t="shared" si="216"/>
        <v>U</v>
      </c>
      <c r="F6262" t="str">
        <f t="shared" si="215"/>
        <v>20U</v>
      </c>
    </row>
    <row r="6263" spans="1:6" x14ac:dyDescent="0.2">
      <c r="A6263">
        <v>21</v>
      </c>
      <c r="E6263" t="str">
        <f t="shared" si="216"/>
        <v>V</v>
      </c>
      <c r="F6263" t="str">
        <f t="shared" si="215"/>
        <v>21V</v>
      </c>
    </row>
    <row r="6264" spans="1:6" x14ac:dyDescent="0.2">
      <c r="A6264">
        <v>22</v>
      </c>
      <c r="E6264" t="str">
        <f t="shared" si="216"/>
        <v>W</v>
      </c>
      <c r="F6264" t="str">
        <f t="shared" si="215"/>
        <v>22W</v>
      </c>
    </row>
    <row r="6265" spans="1:6" x14ac:dyDescent="0.2">
      <c r="A6265">
        <v>23</v>
      </c>
      <c r="E6265" t="str">
        <f t="shared" si="216"/>
        <v>X</v>
      </c>
      <c r="F6265" t="str">
        <f t="shared" si="215"/>
        <v>23X</v>
      </c>
    </row>
    <row r="6266" spans="1:6" x14ac:dyDescent="0.2">
      <c r="A6266">
        <v>24</v>
      </c>
      <c r="E6266" t="str">
        <f t="shared" si="216"/>
        <v>Y</v>
      </c>
      <c r="F6266" t="str">
        <f t="shared" si="215"/>
        <v>24Y</v>
      </c>
    </row>
    <row r="6267" spans="1:6" x14ac:dyDescent="0.2">
      <c r="A6267">
        <v>25</v>
      </c>
      <c r="E6267" t="str">
        <f t="shared" si="216"/>
        <v>Z</v>
      </c>
      <c r="F6267" t="str">
        <f t="shared" si="215"/>
        <v>25Z</v>
      </c>
    </row>
    <row r="6268" spans="1:6" x14ac:dyDescent="0.2">
      <c r="A6268">
        <v>0</v>
      </c>
      <c r="E6268" t="str">
        <f t="shared" si="216"/>
        <v>A</v>
      </c>
      <c r="F6268" t="str">
        <f t="shared" si="215"/>
        <v>0A</v>
      </c>
    </row>
    <row r="6269" spans="1:6" x14ac:dyDescent="0.2">
      <c r="A6269">
        <v>1</v>
      </c>
      <c r="E6269" t="str">
        <f t="shared" si="216"/>
        <v>B</v>
      </c>
      <c r="F6269" t="str">
        <f t="shared" si="215"/>
        <v>1B</v>
      </c>
    </row>
    <row r="6270" spans="1:6" x14ac:dyDescent="0.2">
      <c r="A6270">
        <v>2</v>
      </c>
      <c r="E6270" t="str">
        <f t="shared" si="216"/>
        <v>C</v>
      </c>
      <c r="F6270" t="str">
        <f t="shared" si="215"/>
        <v>2C</v>
      </c>
    </row>
    <row r="6271" spans="1:6" x14ac:dyDescent="0.2">
      <c r="A6271">
        <v>3</v>
      </c>
      <c r="E6271" t="str">
        <f t="shared" si="216"/>
        <v>D</v>
      </c>
      <c r="F6271" t="str">
        <f t="shared" si="215"/>
        <v>3D</v>
      </c>
    </row>
    <row r="6272" spans="1:6" x14ac:dyDescent="0.2">
      <c r="A6272">
        <v>4</v>
      </c>
      <c r="E6272" t="str">
        <f t="shared" si="216"/>
        <v>E</v>
      </c>
      <c r="F6272" t="str">
        <f t="shared" si="215"/>
        <v>4E</v>
      </c>
    </row>
    <row r="6273" spans="1:6" x14ac:dyDescent="0.2">
      <c r="A6273">
        <v>5</v>
      </c>
      <c r="E6273" t="str">
        <f t="shared" si="216"/>
        <v>F</v>
      </c>
      <c r="F6273" t="str">
        <f t="shared" si="215"/>
        <v>5F</v>
      </c>
    </row>
    <row r="6274" spans="1:6" x14ac:dyDescent="0.2">
      <c r="A6274">
        <v>6</v>
      </c>
      <c r="E6274" t="str">
        <f t="shared" si="216"/>
        <v>G</v>
      </c>
      <c r="F6274" t="str">
        <f t="shared" si="215"/>
        <v>6G</v>
      </c>
    </row>
    <row r="6275" spans="1:6" x14ac:dyDescent="0.2">
      <c r="A6275">
        <v>7</v>
      </c>
      <c r="E6275" t="str">
        <f t="shared" si="216"/>
        <v>H</v>
      </c>
      <c r="F6275" t="str">
        <f t="shared" si="215"/>
        <v>7H</v>
      </c>
    </row>
    <row r="6276" spans="1:6" x14ac:dyDescent="0.2">
      <c r="A6276">
        <v>8</v>
      </c>
      <c r="E6276" t="str">
        <f t="shared" si="216"/>
        <v>I</v>
      </c>
      <c r="F6276" t="str">
        <f t="shared" si="215"/>
        <v>8I</v>
      </c>
    </row>
    <row r="6277" spans="1:6" x14ac:dyDescent="0.2">
      <c r="A6277">
        <v>9</v>
      </c>
      <c r="E6277" t="str">
        <f t="shared" si="216"/>
        <v>J</v>
      </c>
      <c r="F6277" t="str">
        <f t="shared" si="215"/>
        <v>9J</v>
      </c>
    </row>
    <row r="6278" spans="1:6" x14ac:dyDescent="0.2">
      <c r="A6278">
        <v>10</v>
      </c>
      <c r="E6278" t="str">
        <f t="shared" si="216"/>
        <v>K</v>
      </c>
      <c r="F6278" t="str">
        <f t="shared" si="215"/>
        <v>10K</v>
      </c>
    </row>
    <row r="6279" spans="1:6" x14ac:dyDescent="0.2">
      <c r="A6279">
        <v>11</v>
      </c>
      <c r="E6279" t="str">
        <f t="shared" si="216"/>
        <v>L</v>
      </c>
      <c r="F6279" t="str">
        <f t="shared" si="215"/>
        <v>11L</v>
      </c>
    </row>
    <row r="6280" spans="1:6" x14ac:dyDescent="0.2">
      <c r="A6280">
        <v>12</v>
      </c>
      <c r="E6280" t="str">
        <f t="shared" si="216"/>
        <v>M</v>
      </c>
      <c r="F6280" t="str">
        <f t="shared" si="215"/>
        <v>12M</v>
      </c>
    </row>
    <row r="6281" spans="1:6" x14ac:dyDescent="0.2">
      <c r="A6281">
        <v>13</v>
      </c>
      <c r="E6281" t="str">
        <f t="shared" si="216"/>
        <v>N</v>
      </c>
      <c r="F6281" t="str">
        <f t="shared" si="215"/>
        <v>13N</v>
      </c>
    </row>
    <row r="6282" spans="1:6" x14ac:dyDescent="0.2">
      <c r="A6282">
        <v>14</v>
      </c>
      <c r="E6282" t="str">
        <f t="shared" si="216"/>
        <v>O</v>
      </c>
      <c r="F6282" t="str">
        <f t="shared" si="215"/>
        <v>14O</v>
      </c>
    </row>
    <row r="6283" spans="1:6" x14ac:dyDescent="0.2">
      <c r="A6283">
        <v>15</v>
      </c>
      <c r="E6283" t="str">
        <f t="shared" si="216"/>
        <v>P</v>
      </c>
      <c r="F6283" t="str">
        <f t="shared" si="215"/>
        <v>15P</v>
      </c>
    </row>
    <row r="6284" spans="1:6" x14ac:dyDescent="0.2">
      <c r="A6284">
        <v>16</v>
      </c>
      <c r="E6284" t="str">
        <f t="shared" si="216"/>
        <v>Q</v>
      </c>
      <c r="F6284" t="str">
        <f t="shared" si="215"/>
        <v>16Q</v>
      </c>
    </row>
    <row r="6285" spans="1:6" x14ac:dyDescent="0.2">
      <c r="A6285">
        <v>17</v>
      </c>
      <c r="E6285" t="str">
        <f t="shared" si="216"/>
        <v>R</v>
      </c>
      <c r="F6285" t="str">
        <f t="shared" si="215"/>
        <v>17R</v>
      </c>
    </row>
    <row r="6286" spans="1:6" x14ac:dyDescent="0.2">
      <c r="A6286">
        <v>18</v>
      </c>
      <c r="E6286" t="str">
        <f t="shared" si="216"/>
        <v>S</v>
      </c>
      <c r="F6286" t="str">
        <f t="shared" si="215"/>
        <v>18S</v>
      </c>
    </row>
    <row r="6287" spans="1:6" x14ac:dyDescent="0.2">
      <c r="A6287">
        <v>19</v>
      </c>
      <c r="E6287" t="str">
        <f t="shared" si="216"/>
        <v>T</v>
      </c>
      <c r="F6287" t="str">
        <f t="shared" si="215"/>
        <v>19T</v>
      </c>
    </row>
    <row r="6288" spans="1:6" x14ac:dyDescent="0.2">
      <c r="A6288">
        <v>20</v>
      </c>
      <c r="E6288" t="str">
        <f t="shared" si="216"/>
        <v>U</v>
      </c>
      <c r="F6288" t="str">
        <f t="shared" si="215"/>
        <v>20U</v>
      </c>
    </row>
    <row r="6289" spans="1:6" x14ac:dyDescent="0.2">
      <c r="A6289">
        <v>21</v>
      </c>
      <c r="E6289" t="str">
        <f t="shared" si="216"/>
        <v>V</v>
      </c>
      <c r="F6289" t="str">
        <f t="shared" si="215"/>
        <v>21V</v>
      </c>
    </row>
    <row r="6290" spans="1:6" x14ac:dyDescent="0.2">
      <c r="A6290">
        <v>22</v>
      </c>
      <c r="E6290" t="str">
        <f t="shared" si="216"/>
        <v>W</v>
      </c>
      <c r="F6290" t="str">
        <f t="shared" si="215"/>
        <v>22W</v>
      </c>
    </row>
    <row r="6291" spans="1:6" x14ac:dyDescent="0.2">
      <c r="A6291">
        <v>23</v>
      </c>
      <c r="E6291" t="str">
        <f t="shared" si="216"/>
        <v>X</v>
      </c>
      <c r="F6291" t="str">
        <f t="shared" si="215"/>
        <v>23X</v>
      </c>
    </row>
    <row r="6292" spans="1:6" x14ac:dyDescent="0.2">
      <c r="A6292">
        <v>24</v>
      </c>
      <c r="E6292" t="str">
        <f t="shared" si="216"/>
        <v>Y</v>
      </c>
      <c r="F6292" t="str">
        <f t="shared" si="215"/>
        <v>24Y</v>
      </c>
    </row>
    <row r="6293" spans="1:6" x14ac:dyDescent="0.2">
      <c r="A6293">
        <v>25</v>
      </c>
      <c r="E6293" t="str">
        <f t="shared" si="216"/>
        <v>Z</v>
      </c>
      <c r="F6293" t="str">
        <f t="shared" si="215"/>
        <v>25Z</v>
      </c>
    </row>
    <row r="6294" spans="1:6" x14ac:dyDescent="0.2">
      <c r="A6294">
        <v>0</v>
      </c>
      <c r="E6294" t="str">
        <f t="shared" si="216"/>
        <v>A</v>
      </c>
      <c r="F6294" t="str">
        <f t="shared" ref="F6294:F6357" si="217">A6294&amp;C6294&amp;E6294</f>
        <v>0A</v>
      </c>
    </row>
    <row r="6295" spans="1:6" x14ac:dyDescent="0.2">
      <c r="A6295">
        <v>1</v>
      </c>
      <c r="E6295" t="str">
        <f t="shared" si="216"/>
        <v>B</v>
      </c>
      <c r="F6295" t="str">
        <f t="shared" si="217"/>
        <v>1B</v>
      </c>
    </row>
    <row r="6296" spans="1:6" x14ac:dyDescent="0.2">
      <c r="A6296">
        <v>2</v>
      </c>
      <c r="E6296" t="str">
        <f t="shared" si="216"/>
        <v>C</v>
      </c>
      <c r="F6296" t="str">
        <f t="shared" si="217"/>
        <v>2C</v>
      </c>
    </row>
    <row r="6297" spans="1:6" x14ac:dyDescent="0.2">
      <c r="A6297">
        <v>3</v>
      </c>
      <c r="E6297" t="str">
        <f t="shared" si="216"/>
        <v>D</v>
      </c>
      <c r="F6297" t="str">
        <f t="shared" si="217"/>
        <v>3D</v>
      </c>
    </row>
    <row r="6298" spans="1:6" x14ac:dyDescent="0.2">
      <c r="A6298">
        <v>4</v>
      </c>
      <c r="E6298" t="str">
        <f t="shared" si="216"/>
        <v>E</v>
      </c>
      <c r="F6298" t="str">
        <f t="shared" si="217"/>
        <v>4E</v>
      </c>
    </row>
    <row r="6299" spans="1:6" x14ac:dyDescent="0.2">
      <c r="A6299">
        <v>5</v>
      </c>
      <c r="E6299" t="str">
        <f t="shared" si="216"/>
        <v>F</v>
      </c>
      <c r="F6299" t="str">
        <f t="shared" si="217"/>
        <v>5F</v>
      </c>
    </row>
    <row r="6300" spans="1:6" x14ac:dyDescent="0.2">
      <c r="A6300">
        <v>6</v>
      </c>
      <c r="E6300" t="str">
        <f t="shared" si="216"/>
        <v>G</v>
      </c>
      <c r="F6300" t="str">
        <f t="shared" si="217"/>
        <v>6G</v>
      </c>
    </row>
    <row r="6301" spans="1:6" x14ac:dyDescent="0.2">
      <c r="A6301">
        <v>7</v>
      </c>
      <c r="E6301" t="str">
        <f t="shared" si="216"/>
        <v>H</v>
      </c>
      <c r="F6301" t="str">
        <f t="shared" si="217"/>
        <v>7H</v>
      </c>
    </row>
    <row r="6302" spans="1:6" x14ac:dyDescent="0.2">
      <c r="A6302">
        <v>8</v>
      </c>
      <c r="E6302" t="str">
        <f t="shared" si="216"/>
        <v>I</v>
      </c>
      <c r="F6302" t="str">
        <f t="shared" si="217"/>
        <v>8I</v>
      </c>
    </row>
    <row r="6303" spans="1:6" x14ac:dyDescent="0.2">
      <c r="A6303">
        <v>9</v>
      </c>
      <c r="E6303" t="str">
        <f t="shared" si="216"/>
        <v>J</v>
      </c>
      <c r="F6303" t="str">
        <f t="shared" si="217"/>
        <v>9J</v>
      </c>
    </row>
    <row r="6304" spans="1:6" x14ac:dyDescent="0.2">
      <c r="A6304">
        <v>10</v>
      </c>
      <c r="E6304" t="str">
        <f t="shared" si="216"/>
        <v>K</v>
      </c>
      <c r="F6304" t="str">
        <f t="shared" si="217"/>
        <v>10K</v>
      </c>
    </row>
    <row r="6305" spans="1:6" x14ac:dyDescent="0.2">
      <c r="A6305">
        <v>11</v>
      </c>
      <c r="E6305" t="str">
        <f t="shared" si="216"/>
        <v>L</v>
      </c>
      <c r="F6305" t="str">
        <f t="shared" si="217"/>
        <v>11L</v>
      </c>
    </row>
    <row r="6306" spans="1:6" x14ac:dyDescent="0.2">
      <c r="A6306">
        <v>12</v>
      </c>
      <c r="E6306" t="str">
        <f t="shared" si="216"/>
        <v>M</v>
      </c>
      <c r="F6306" t="str">
        <f t="shared" si="217"/>
        <v>12M</v>
      </c>
    </row>
    <row r="6307" spans="1:6" x14ac:dyDescent="0.2">
      <c r="A6307">
        <v>13</v>
      </c>
      <c r="E6307" t="str">
        <f t="shared" si="216"/>
        <v>N</v>
      </c>
      <c r="F6307" t="str">
        <f t="shared" si="217"/>
        <v>13N</v>
      </c>
    </row>
    <row r="6308" spans="1:6" x14ac:dyDescent="0.2">
      <c r="A6308">
        <v>14</v>
      </c>
      <c r="E6308" t="str">
        <f t="shared" si="216"/>
        <v>O</v>
      </c>
      <c r="F6308" t="str">
        <f t="shared" si="217"/>
        <v>14O</v>
      </c>
    </row>
    <row r="6309" spans="1:6" x14ac:dyDescent="0.2">
      <c r="A6309">
        <v>15</v>
      </c>
      <c r="E6309" t="str">
        <f t="shared" si="216"/>
        <v>P</v>
      </c>
      <c r="F6309" t="str">
        <f t="shared" si="217"/>
        <v>15P</v>
      </c>
    </row>
    <row r="6310" spans="1:6" x14ac:dyDescent="0.2">
      <c r="A6310">
        <v>16</v>
      </c>
      <c r="E6310" t="str">
        <f t="shared" si="216"/>
        <v>Q</v>
      </c>
      <c r="F6310" t="str">
        <f t="shared" si="217"/>
        <v>16Q</v>
      </c>
    </row>
    <row r="6311" spans="1:6" x14ac:dyDescent="0.2">
      <c r="A6311">
        <v>17</v>
      </c>
      <c r="E6311" t="str">
        <f t="shared" si="216"/>
        <v>R</v>
      </c>
      <c r="F6311" t="str">
        <f t="shared" si="217"/>
        <v>17R</v>
      </c>
    </row>
    <row r="6312" spans="1:6" x14ac:dyDescent="0.2">
      <c r="A6312">
        <v>18</v>
      </c>
      <c r="E6312" t="str">
        <f t="shared" si="216"/>
        <v>S</v>
      </c>
      <c r="F6312" t="str">
        <f t="shared" si="217"/>
        <v>18S</v>
      </c>
    </row>
    <row r="6313" spans="1:6" x14ac:dyDescent="0.2">
      <c r="A6313">
        <v>19</v>
      </c>
      <c r="E6313" t="str">
        <f t="shared" si="216"/>
        <v>T</v>
      </c>
      <c r="F6313" t="str">
        <f t="shared" si="217"/>
        <v>19T</v>
      </c>
    </row>
    <row r="6314" spans="1:6" x14ac:dyDescent="0.2">
      <c r="A6314">
        <v>20</v>
      </c>
      <c r="E6314" t="str">
        <f t="shared" si="216"/>
        <v>U</v>
      </c>
      <c r="F6314" t="str">
        <f t="shared" si="217"/>
        <v>20U</v>
      </c>
    </row>
    <row r="6315" spans="1:6" x14ac:dyDescent="0.2">
      <c r="A6315">
        <v>21</v>
      </c>
      <c r="E6315" t="str">
        <f t="shared" si="216"/>
        <v>V</v>
      </c>
      <c r="F6315" t="str">
        <f t="shared" si="217"/>
        <v>21V</v>
      </c>
    </row>
    <row r="6316" spans="1:6" x14ac:dyDescent="0.2">
      <c r="A6316">
        <v>22</v>
      </c>
      <c r="E6316" t="str">
        <f t="shared" si="216"/>
        <v>W</v>
      </c>
      <c r="F6316" t="str">
        <f t="shared" si="217"/>
        <v>22W</v>
      </c>
    </row>
    <row r="6317" spans="1:6" x14ac:dyDescent="0.2">
      <c r="A6317">
        <v>23</v>
      </c>
      <c r="E6317" t="str">
        <f t="shared" si="216"/>
        <v>X</v>
      </c>
      <c r="F6317" t="str">
        <f t="shared" si="217"/>
        <v>23X</v>
      </c>
    </row>
    <row r="6318" spans="1:6" x14ac:dyDescent="0.2">
      <c r="A6318">
        <v>24</v>
      </c>
      <c r="E6318" t="str">
        <f t="shared" si="216"/>
        <v>Y</v>
      </c>
      <c r="F6318" t="str">
        <f t="shared" si="217"/>
        <v>24Y</v>
      </c>
    </row>
    <row r="6319" spans="1:6" x14ac:dyDescent="0.2">
      <c r="A6319">
        <v>25</v>
      </c>
      <c r="E6319" t="str">
        <f t="shared" si="216"/>
        <v>Z</v>
      </c>
      <c r="F6319" t="str">
        <f t="shared" si="217"/>
        <v>25Z</v>
      </c>
    </row>
    <row r="6320" spans="1:6" x14ac:dyDescent="0.2">
      <c r="A6320">
        <v>0</v>
      </c>
      <c r="E6320" t="str">
        <f t="shared" ref="E6320:E6383" si="218">E6294</f>
        <v>A</v>
      </c>
      <c r="F6320" t="str">
        <f t="shared" si="217"/>
        <v>0A</v>
      </c>
    </row>
    <row r="6321" spans="1:6" x14ac:dyDescent="0.2">
      <c r="A6321">
        <v>1</v>
      </c>
      <c r="E6321" t="str">
        <f t="shared" si="218"/>
        <v>B</v>
      </c>
      <c r="F6321" t="str">
        <f t="shared" si="217"/>
        <v>1B</v>
      </c>
    </row>
    <row r="6322" spans="1:6" x14ac:dyDescent="0.2">
      <c r="A6322">
        <v>2</v>
      </c>
      <c r="E6322" t="str">
        <f t="shared" si="218"/>
        <v>C</v>
      </c>
      <c r="F6322" t="str">
        <f t="shared" si="217"/>
        <v>2C</v>
      </c>
    </row>
    <row r="6323" spans="1:6" x14ac:dyDescent="0.2">
      <c r="A6323">
        <v>3</v>
      </c>
      <c r="E6323" t="str">
        <f t="shared" si="218"/>
        <v>D</v>
      </c>
      <c r="F6323" t="str">
        <f t="shared" si="217"/>
        <v>3D</v>
      </c>
    </row>
    <row r="6324" spans="1:6" x14ac:dyDescent="0.2">
      <c r="A6324">
        <v>4</v>
      </c>
      <c r="E6324" t="str">
        <f t="shared" si="218"/>
        <v>E</v>
      </c>
      <c r="F6324" t="str">
        <f t="shared" si="217"/>
        <v>4E</v>
      </c>
    </row>
    <row r="6325" spans="1:6" x14ac:dyDescent="0.2">
      <c r="A6325">
        <v>5</v>
      </c>
      <c r="E6325" t="str">
        <f t="shared" si="218"/>
        <v>F</v>
      </c>
      <c r="F6325" t="str">
        <f t="shared" si="217"/>
        <v>5F</v>
      </c>
    </row>
    <row r="6326" spans="1:6" x14ac:dyDescent="0.2">
      <c r="A6326">
        <v>6</v>
      </c>
      <c r="E6326" t="str">
        <f t="shared" si="218"/>
        <v>G</v>
      </c>
      <c r="F6326" t="str">
        <f t="shared" si="217"/>
        <v>6G</v>
      </c>
    </row>
    <row r="6327" spans="1:6" x14ac:dyDescent="0.2">
      <c r="A6327">
        <v>7</v>
      </c>
      <c r="E6327" t="str">
        <f t="shared" si="218"/>
        <v>H</v>
      </c>
      <c r="F6327" t="str">
        <f t="shared" si="217"/>
        <v>7H</v>
      </c>
    </row>
    <row r="6328" spans="1:6" x14ac:dyDescent="0.2">
      <c r="A6328">
        <v>8</v>
      </c>
      <c r="E6328" t="str">
        <f t="shared" si="218"/>
        <v>I</v>
      </c>
      <c r="F6328" t="str">
        <f t="shared" si="217"/>
        <v>8I</v>
      </c>
    </row>
    <row r="6329" spans="1:6" x14ac:dyDescent="0.2">
      <c r="A6329">
        <v>9</v>
      </c>
      <c r="E6329" t="str">
        <f t="shared" si="218"/>
        <v>J</v>
      </c>
      <c r="F6329" t="str">
        <f t="shared" si="217"/>
        <v>9J</v>
      </c>
    </row>
    <row r="6330" spans="1:6" x14ac:dyDescent="0.2">
      <c r="A6330">
        <v>10</v>
      </c>
      <c r="E6330" t="str">
        <f t="shared" si="218"/>
        <v>K</v>
      </c>
      <c r="F6330" t="str">
        <f t="shared" si="217"/>
        <v>10K</v>
      </c>
    </row>
    <row r="6331" spans="1:6" x14ac:dyDescent="0.2">
      <c r="A6331">
        <v>11</v>
      </c>
      <c r="E6331" t="str">
        <f t="shared" si="218"/>
        <v>L</v>
      </c>
      <c r="F6331" t="str">
        <f t="shared" si="217"/>
        <v>11L</v>
      </c>
    </row>
    <row r="6332" spans="1:6" x14ac:dyDescent="0.2">
      <c r="A6332">
        <v>12</v>
      </c>
      <c r="E6332" t="str">
        <f t="shared" si="218"/>
        <v>M</v>
      </c>
      <c r="F6332" t="str">
        <f t="shared" si="217"/>
        <v>12M</v>
      </c>
    </row>
    <row r="6333" spans="1:6" x14ac:dyDescent="0.2">
      <c r="A6333">
        <v>13</v>
      </c>
      <c r="E6333" t="str">
        <f t="shared" si="218"/>
        <v>N</v>
      </c>
      <c r="F6333" t="str">
        <f t="shared" si="217"/>
        <v>13N</v>
      </c>
    </row>
    <row r="6334" spans="1:6" x14ac:dyDescent="0.2">
      <c r="A6334">
        <v>14</v>
      </c>
      <c r="E6334" t="str">
        <f t="shared" si="218"/>
        <v>O</v>
      </c>
      <c r="F6334" t="str">
        <f t="shared" si="217"/>
        <v>14O</v>
      </c>
    </row>
    <row r="6335" spans="1:6" x14ac:dyDescent="0.2">
      <c r="A6335">
        <v>15</v>
      </c>
      <c r="E6335" t="str">
        <f t="shared" si="218"/>
        <v>P</v>
      </c>
      <c r="F6335" t="str">
        <f t="shared" si="217"/>
        <v>15P</v>
      </c>
    </row>
    <row r="6336" spans="1:6" x14ac:dyDescent="0.2">
      <c r="A6336">
        <v>16</v>
      </c>
      <c r="E6336" t="str">
        <f t="shared" si="218"/>
        <v>Q</v>
      </c>
      <c r="F6336" t="str">
        <f t="shared" si="217"/>
        <v>16Q</v>
      </c>
    </row>
    <row r="6337" spans="1:6" x14ac:dyDescent="0.2">
      <c r="A6337">
        <v>17</v>
      </c>
      <c r="E6337" t="str">
        <f t="shared" si="218"/>
        <v>R</v>
      </c>
      <c r="F6337" t="str">
        <f t="shared" si="217"/>
        <v>17R</v>
      </c>
    </row>
    <row r="6338" spans="1:6" x14ac:dyDescent="0.2">
      <c r="A6338">
        <v>18</v>
      </c>
      <c r="E6338" t="str">
        <f t="shared" si="218"/>
        <v>S</v>
      </c>
      <c r="F6338" t="str">
        <f t="shared" si="217"/>
        <v>18S</v>
      </c>
    </row>
    <row r="6339" spans="1:6" x14ac:dyDescent="0.2">
      <c r="A6339">
        <v>19</v>
      </c>
      <c r="E6339" t="str">
        <f t="shared" si="218"/>
        <v>T</v>
      </c>
      <c r="F6339" t="str">
        <f t="shared" si="217"/>
        <v>19T</v>
      </c>
    </row>
    <row r="6340" spans="1:6" x14ac:dyDescent="0.2">
      <c r="A6340">
        <v>20</v>
      </c>
      <c r="E6340" t="str">
        <f t="shared" si="218"/>
        <v>U</v>
      </c>
      <c r="F6340" t="str">
        <f t="shared" si="217"/>
        <v>20U</v>
      </c>
    </row>
    <row r="6341" spans="1:6" x14ac:dyDescent="0.2">
      <c r="A6341">
        <v>21</v>
      </c>
      <c r="E6341" t="str">
        <f t="shared" si="218"/>
        <v>V</v>
      </c>
      <c r="F6341" t="str">
        <f t="shared" si="217"/>
        <v>21V</v>
      </c>
    </row>
    <row r="6342" spans="1:6" x14ac:dyDescent="0.2">
      <c r="A6342">
        <v>22</v>
      </c>
      <c r="E6342" t="str">
        <f t="shared" si="218"/>
        <v>W</v>
      </c>
      <c r="F6342" t="str">
        <f t="shared" si="217"/>
        <v>22W</v>
      </c>
    </row>
    <row r="6343" spans="1:6" x14ac:dyDescent="0.2">
      <c r="A6343">
        <v>23</v>
      </c>
      <c r="E6343" t="str">
        <f t="shared" si="218"/>
        <v>X</v>
      </c>
      <c r="F6343" t="str">
        <f t="shared" si="217"/>
        <v>23X</v>
      </c>
    </row>
    <row r="6344" spans="1:6" x14ac:dyDescent="0.2">
      <c r="A6344">
        <v>24</v>
      </c>
      <c r="E6344" t="str">
        <f t="shared" si="218"/>
        <v>Y</v>
      </c>
      <c r="F6344" t="str">
        <f t="shared" si="217"/>
        <v>24Y</v>
      </c>
    </row>
    <row r="6345" spans="1:6" x14ac:dyDescent="0.2">
      <c r="A6345">
        <v>25</v>
      </c>
      <c r="E6345" t="str">
        <f t="shared" si="218"/>
        <v>Z</v>
      </c>
      <c r="F6345" t="str">
        <f t="shared" si="217"/>
        <v>25Z</v>
      </c>
    </row>
    <row r="6346" spans="1:6" x14ac:dyDescent="0.2">
      <c r="A6346">
        <v>0</v>
      </c>
      <c r="E6346" t="str">
        <f t="shared" si="218"/>
        <v>A</v>
      </c>
      <c r="F6346" t="str">
        <f t="shared" si="217"/>
        <v>0A</v>
      </c>
    </row>
    <row r="6347" spans="1:6" x14ac:dyDescent="0.2">
      <c r="A6347">
        <v>1</v>
      </c>
      <c r="E6347" t="str">
        <f t="shared" si="218"/>
        <v>B</v>
      </c>
      <c r="F6347" t="str">
        <f t="shared" si="217"/>
        <v>1B</v>
      </c>
    </row>
    <row r="6348" spans="1:6" x14ac:dyDescent="0.2">
      <c r="A6348">
        <v>2</v>
      </c>
      <c r="E6348" t="str">
        <f t="shared" si="218"/>
        <v>C</v>
      </c>
      <c r="F6348" t="str">
        <f t="shared" si="217"/>
        <v>2C</v>
      </c>
    </row>
    <row r="6349" spans="1:6" x14ac:dyDescent="0.2">
      <c r="A6349">
        <v>3</v>
      </c>
      <c r="E6349" t="str">
        <f t="shared" si="218"/>
        <v>D</v>
      </c>
      <c r="F6349" t="str">
        <f t="shared" si="217"/>
        <v>3D</v>
      </c>
    </row>
    <row r="6350" spans="1:6" x14ac:dyDescent="0.2">
      <c r="A6350">
        <v>4</v>
      </c>
      <c r="E6350" t="str">
        <f t="shared" si="218"/>
        <v>E</v>
      </c>
      <c r="F6350" t="str">
        <f t="shared" si="217"/>
        <v>4E</v>
      </c>
    </row>
    <row r="6351" spans="1:6" x14ac:dyDescent="0.2">
      <c r="A6351">
        <v>5</v>
      </c>
      <c r="E6351" t="str">
        <f t="shared" si="218"/>
        <v>F</v>
      </c>
      <c r="F6351" t="str">
        <f t="shared" si="217"/>
        <v>5F</v>
      </c>
    </row>
    <row r="6352" spans="1:6" x14ac:dyDescent="0.2">
      <c r="A6352">
        <v>6</v>
      </c>
      <c r="E6352" t="str">
        <f t="shared" si="218"/>
        <v>G</v>
      </c>
      <c r="F6352" t="str">
        <f t="shared" si="217"/>
        <v>6G</v>
      </c>
    </row>
    <row r="6353" spans="1:6" x14ac:dyDescent="0.2">
      <c r="A6353">
        <v>7</v>
      </c>
      <c r="E6353" t="str">
        <f t="shared" si="218"/>
        <v>H</v>
      </c>
      <c r="F6353" t="str">
        <f t="shared" si="217"/>
        <v>7H</v>
      </c>
    </row>
    <row r="6354" spans="1:6" x14ac:dyDescent="0.2">
      <c r="A6354">
        <v>8</v>
      </c>
      <c r="E6354" t="str">
        <f t="shared" si="218"/>
        <v>I</v>
      </c>
      <c r="F6354" t="str">
        <f t="shared" si="217"/>
        <v>8I</v>
      </c>
    </row>
    <row r="6355" spans="1:6" x14ac:dyDescent="0.2">
      <c r="A6355">
        <v>9</v>
      </c>
      <c r="E6355" t="str">
        <f t="shared" si="218"/>
        <v>J</v>
      </c>
      <c r="F6355" t="str">
        <f t="shared" si="217"/>
        <v>9J</v>
      </c>
    </row>
    <row r="6356" spans="1:6" x14ac:dyDescent="0.2">
      <c r="A6356">
        <v>10</v>
      </c>
      <c r="E6356" t="str">
        <f t="shared" si="218"/>
        <v>K</v>
      </c>
      <c r="F6356" t="str">
        <f t="shared" si="217"/>
        <v>10K</v>
      </c>
    </row>
    <row r="6357" spans="1:6" x14ac:dyDescent="0.2">
      <c r="A6357">
        <v>11</v>
      </c>
      <c r="E6357" t="str">
        <f t="shared" si="218"/>
        <v>L</v>
      </c>
      <c r="F6357" t="str">
        <f t="shared" si="217"/>
        <v>11L</v>
      </c>
    </row>
    <row r="6358" spans="1:6" x14ac:dyDescent="0.2">
      <c r="A6358">
        <v>12</v>
      </c>
      <c r="E6358" t="str">
        <f t="shared" si="218"/>
        <v>M</v>
      </c>
      <c r="F6358" t="str">
        <f t="shared" ref="F6358:F6421" si="219">A6358&amp;C6358&amp;E6358</f>
        <v>12M</v>
      </c>
    </row>
    <row r="6359" spans="1:6" x14ac:dyDescent="0.2">
      <c r="A6359">
        <v>13</v>
      </c>
      <c r="E6359" t="str">
        <f t="shared" si="218"/>
        <v>N</v>
      </c>
      <c r="F6359" t="str">
        <f t="shared" si="219"/>
        <v>13N</v>
      </c>
    </row>
    <row r="6360" spans="1:6" x14ac:dyDescent="0.2">
      <c r="A6360">
        <v>14</v>
      </c>
      <c r="E6360" t="str">
        <f t="shared" si="218"/>
        <v>O</v>
      </c>
      <c r="F6360" t="str">
        <f t="shared" si="219"/>
        <v>14O</v>
      </c>
    </row>
    <row r="6361" spans="1:6" x14ac:dyDescent="0.2">
      <c r="A6361">
        <v>15</v>
      </c>
      <c r="E6361" t="str">
        <f t="shared" si="218"/>
        <v>P</v>
      </c>
      <c r="F6361" t="str">
        <f t="shared" si="219"/>
        <v>15P</v>
      </c>
    </row>
    <row r="6362" spans="1:6" x14ac:dyDescent="0.2">
      <c r="A6362">
        <v>16</v>
      </c>
      <c r="E6362" t="str">
        <f t="shared" si="218"/>
        <v>Q</v>
      </c>
      <c r="F6362" t="str">
        <f t="shared" si="219"/>
        <v>16Q</v>
      </c>
    </row>
    <row r="6363" spans="1:6" x14ac:dyDescent="0.2">
      <c r="A6363">
        <v>17</v>
      </c>
      <c r="E6363" t="str">
        <f t="shared" si="218"/>
        <v>R</v>
      </c>
      <c r="F6363" t="str">
        <f t="shared" si="219"/>
        <v>17R</v>
      </c>
    </row>
    <row r="6364" spans="1:6" x14ac:dyDescent="0.2">
      <c r="A6364">
        <v>18</v>
      </c>
      <c r="E6364" t="str">
        <f t="shared" si="218"/>
        <v>S</v>
      </c>
      <c r="F6364" t="str">
        <f t="shared" si="219"/>
        <v>18S</v>
      </c>
    </row>
    <row r="6365" spans="1:6" x14ac:dyDescent="0.2">
      <c r="A6365">
        <v>19</v>
      </c>
      <c r="E6365" t="str">
        <f t="shared" si="218"/>
        <v>T</v>
      </c>
      <c r="F6365" t="str">
        <f t="shared" si="219"/>
        <v>19T</v>
      </c>
    </row>
    <row r="6366" spans="1:6" x14ac:dyDescent="0.2">
      <c r="A6366">
        <v>20</v>
      </c>
      <c r="E6366" t="str">
        <f t="shared" si="218"/>
        <v>U</v>
      </c>
      <c r="F6366" t="str">
        <f t="shared" si="219"/>
        <v>20U</v>
      </c>
    </row>
    <row r="6367" spans="1:6" x14ac:dyDescent="0.2">
      <c r="A6367">
        <v>21</v>
      </c>
      <c r="E6367" t="str">
        <f t="shared" si="218"/>
        <v>V</v>
      </c>
      <c r="F6367" t="str">
        <f t="shared" si="219"/>
        <v>21V</v>
      </c>
    </row>
    <row r="6368" spans="1:6" x14ac:dyDescent="0.2">
      <c r="A6368">
        <v>22</v>
      </c>
      <c r="E6368" t="str">
        <f t="shared" si="218"/>
        <v>W</v>
      </c>
      <c r="F6368" t="str">
        <f t="shared" si="219"/>
        <v>22W</v>
      </c>
    </row>
    <row r="6369" spans="1:6" x14ac:dyDescent="0.2">
      <c r="A6369">
        <v>23</v>
      </c>
      <c r="E6369" t="str">
        <f t="shared" si="218"/>
        <v>X</v>
      </c>
      <c r="F6369" t="str">
        <f t="shared" si="219"/>
        <v>23X</v>
      </c>
    </row>
    <row r="6370" spans="1:6" x14ac:dyDescent="0.2">
      <c r="A6370">
        <v>24</v>
      </c>
      <c r="E6370" t="str">
        <f t="shared" si="218"/>
        <v>Y</v>
      </c>
      <c r="F6370" t="str">
        <f t="shared" si="219"/>
        <v>24Y</v>
      </c>
    </row>
    <row r="6371" spans="1:6" x14ac:dyDescent="0.2">
      <c r="A6371">
        <v>25</v>
      </c>
      <c r="E6371" t="str">
        <f t="shared" si="218"/>
        <v>Z</v>
      </c>
      <c r="F6371" t="str">
        <f t="shared" si="219"/>
        <v>25Z</v>
      </c>
    </row>
    <row r="6372" spans="1:6" x14ac:dyDescent="0.2">
      <c r="A6372">
        <v>0</v>
      </c>
      <c r="E6372" t="str">
        <f t="shared" si="218"/>
        <v>A</v>
      </c>
      <c r="F6372" t="str">
        <f t="shared" si="219"/>
        <v>0A</v>
      </c>
    </row>
    <row r="6373" spans="1:6" x14ac:dyDescent="0.2">
      <c r="A6373">
        <v>1</v>
      </c>
      <c r="E6373" t="str">
        <f t="shared" si="218"/>
        <v>B</v>
      </c>
      <c r="F6373" t="str">
        <f t="shared" si="219"/>
        <v>1B</v>
      </c>
    </row>
    <row r="6374" spans="1:6" x14ac:dyDescent="0.2">
      <c r="A6374">
        <v>2</v>
      </c>
      <c r="E6374" t="str">
        <f t="shared" si="218"/>
        <v>C</v>
      </c>
      <c r="F6374" t="str">
        <f t="shared" si="219"/>
        <v>2C</v>
      </c>
    </row>
    <row r="6375" spans="1:6" x14ac:dyDescent="0.2">
      <c r="A6375">
        <v>3</v>
      </c>
      <c r="E6375" t="str">
        <f t="shared" si="218"/>
        <v>D</v>
      </c>
      <c r="F6375" t="str">
        <f t="shared" si="219"/>
        <v>3D</v>
      </c>
    </row>
    <row r="6376" spans="1:6" x14ac:dyDescent="0.2">
      <c r="A6376">
        <v>4</v>
      </c>
      <c r="E6376" t="str">
        <f t="shared" si="218"/>
        <v>E</v>
      </c>
      <c r="F6376" t="str">
        <f t="shared" si="219"/>
        <v>4E</v>
      </c>
    </row>
    <row r="6377" spans="1:6" x14ac:dyDescent="0.2">
      <c r="A6377">
        <v>5</v>
      </c>
      <c r="E6377" t="str">
        <f t="shared" si="218"/>
        <v>F</v>
      </c>
      <c r="F6377" t="str">
        <f t="shared" si="219"/>
        <v>5F</v>
      </c>
    </row>
    <row r="6378" spans="1:6" x14ac:dyDescent="0.2">
      <c r="A6378">
        <v>6</v>
      </c>
      <c r="E6378" t="str">
        <f t="shared" si="218"/>
        <v>G</v>
      </c>
      <c r="F6378" t="str">
        <f t="shared" si="219"/>
        <v>6G</v>
      </c>
    </row>
    <row r="6379" spans="1:6" x14ac:dyDescent="0.2">
      <c r="A6379">
        <v>7</v>
      </c>
      <c r="E6379" t="str">
        <f t="shared" si="218"/>
        <v>H</v>
      </c>
      <c r="F6379" t="str">
        <f t="shared" si="219"/>
        <v>7H</v>
      </c>
    </row>
    <row r="6380" spans="1:6" x14ac:dyDescent="0.2">
      <c r="A6380">
        <v>8</v>
      </c>
      <c r="E6380" t="str">
        <f t="shared" si="218"/>
        <v>I</v>
      </c>
      <c r="F6380" t="str">
        <f t="shared" si="219"/>
        <v>8I</v>
      </c>
    </row>
    <row r="6381" spans="1:6" x14ac:dyDescent="0.2">
      <c r="A6381">
        <v>9</v>
      </c>
      <c r="E6381" t="str">
        <f t="shared" si="218"/>
        <v>J</v>
      </c>
      <c r="F6381" t="str">
        <f t="shared" si="219"/>
        <v>9J</v>
      </c>
    </row>
    <row r="6382" spans="1:6" x14ac:dyDescent="0.2">
      <c r="A6382">
        <v>10</v>
      </c>
      <c r="E6382" t="str">
        <f t="shared" si="218"/>
        <v>K</v>
      </c>
      <c r="F6382" t="str">
        <f t="shared" si="219"/>
        <v>10K</v>
      </c>
    </row>
    <row r="6383" spans="1:6" x14ac:dyDescent="0.2">
      <c r="A6383">
        <v>11</v>
      </c>
      <c r="E6383" t="str">
        <f t="shared" si="218"/>
        <v>L</v>
      </c>
      <c r="F6383" t="str">
        <f t="shared" si="219"/>
        <v>11L</v>
      </c>
    </row>
    <row r="6384" spans="1:6" x14ac:dyDescent="0.2">
      <c r="A6384">
        <v>12</v>
      </c>
      <c r="E6384" t="str">
        <f t="shared" ref="E6384:E6447" si="220">E6358</f>
        <v>M</v>
      </c>
      <c r="F6384" t="str">
        <f t="shared" si="219"/>
        <v>12M</v>
      </c>
    </row>
    <row r="6385" spans="1:6" x14ac:dyDescent="0.2">
      <c r="A6385">
        <v>13</v>
      </c>
      <c r="E6385" t="str">
        <f t="shared" si="220"/>
        <v>N</v>
      </c>
      <c r="F6385" t="str">
        <f t="shared" si="219"/>
        <v>13N</v>
      </c>
    </row>
    <row r="6386" spans="1:6" x14ac:dyDescent="0.2">
      <c r="A6386">
        <v>14</v>
      </c>
      <c r="E6386" t="str">
        <f t="shared" si="220"/>
        <v>O</v>
      </c>
      <c r="F6386" t="str">
        <f t="shared" si="219"/>
        <v>14O</v>
      </c>
    </row>
    <row r="6387" spans="1:6" x14ac:dyDescent="0.2">
      <c r="A6387">
        <v>15</v>
      </c>
      <c r="E6387" t="str">
        <f t="shared" si="220"/>
        <v>P</v>
      </c>
      <c r="F6387" t="str">
        <f t="shared" si="219"/>
        <v>15P</v>
      </c>
    </row>
    <row r="6388" spans="1:6" x14ac:dyDescent="0.2">
      <c r="A6388">
        <v>16</v>
      </c>
      <c r="E6388" t="str">
        <f t="shared" si="220"/>
        <v>Q</v>
      </c>
      <c r="F6388" t="str">
        <f t="shared" si="219"/>
        <v>16Q</v>
      </c>
    </row>
    <row r="6389" spans="1:6" x14ac:dyDescent="0.2">
      <c r="A6389">
        <v>17</v>
      </c>
      <c r="E6389" t="str">
        <f t="shared" si="220"/>
        <v>R</v>
      </c>
      <c r="F6389" t="str">
        <f t="shared" si="219"/>
        <v>17R</v>
      </c>
    </row>
    <row r="6390" spans="1:6" x14ac:dyDescent="0.2">
      <c r="A6390">
        <v>18</v>
      </c>
      <c r="E6390" t="str">
        <f t="shared" si="220"/>
        <v>S</v>
      </c>
      <c r="F6390" t="str">
        <f t="shared" si="219"/>
        <v>18S</v>
      </c>
    </row>
    <row r="6391" spans="1:6" x14ac:dyDescent="0.2">
      <c r="A6391">
        <v>19</v>
      </c>
      <c r="E6391" t="str">
        <f t="shared" si="220"/>
        <v>T</v>
      </c>
      <c r="F6391" t="str">
        <f t="shared" si="219"/>
        <v>19T</v>
      </c>
    </row>
    <row r="6392" spans="1:6" x14ac:dyDescent="0.2">
      <c r="A6392">
        <v>20</v>
      </c>
      <c r="E6392" t="str">
        <f t="shared" si="220"/>
        <v>U</v>
      </c>
      <c r="F6392" t="str">
        <f t="shared" si="219"/>
        <v>20U</v>
      </c>
    </row>
    <row r="6393" spans="1:6" x14ac:dyDescent="0.2">
      <c r="A6393">
        <v>21</v>
      </c>
      <c r="E6393" t="str">
        <f t="shared" si="220"/>
        <v>V</v>
      </c>
      <c r="F6393" t="str">
        <f t="shared" si="219"/>
        <v>21V</v>
      </c>
    </row>
    <row r="6394" spans="1:6" x14ac:dyDescent="0.2">
      <c r="A6394">
        <v>22</v>
      </c>
      <c r="E6394" t="str">
        <f t="shared" si="220"/>
        <v>W</v>
      </c>
      <c r="F6394" t="str">
        <f t="shared" si="219"/>
        <v>22W</v>
      </c>
    </row>
    <row r="6395" spans="1:6" x14ac:dyDescent="0.2">
      <c r="A6395">
        <v>23</v>
      </c>
      <c r="E6395" t="str">
        <f t="shared" si="220"/>
        <v>X</v>
      </c>
      <c r="F6395" t="str">
        <f t="shared" si="219"/>
        <v>23X</v>
      </c>
    </row>
    <row r="6396" spans="1:6" x14ac:dyDescent="0.2">
      <c r="A6396">
        <v>24</v>
      </c>
      <c r="E6396" t="str">
        <f t="shared" si="220"/>
        <v>Y</v>
      </c>
      <c r="F6396" t="str">
        <f t="shared" si="219"/>
        <v>24Y</v>
      </c>
    </row>
    <row r="6397" spans="1:6" x14ac:dyDescent="0.2">
      <c r="A6397">
        <v>25</v>
      </c>
      <c r="E6397" t="str">
        <f t="shared" si="220"/>
        <v>Z</v>
      </c>
      <c r="F6397" t="str">
        <f t="shared" si="219"/>
        <v>25Z</v>
      </c>
    </row>
    <row r="6398" spans="1:6" x14ac:dyDescent="0.2">
      <c r="A6398">
        <v>0</v>
      </c>
      <c r="E6398" t="str">
        <f t="shared" si="220"/>
        <v>A</v>
      </c>
      <c r="F6398" t="str">
        <f t="shared" si="219"/>
        <v>0A</v>
      </c>
    </row>
    <row r="6399" spans="1:6" x14ac:dyDescent="0.2">
      <c r="A6399">
        <v>1</v>
      </c>
      <c r="E6399" t="str">
        <f t="shared" si="220"/>
        <v>B</v>
      </c>
      <c r="F6399" t="str">
        <f t="shared" si="219"/>
        <v>1B</v>
      </c>
    </row>
    <row r="6400" spans="1:6" x14ac:dyDescent="0.2">
      <c r="A6400">
        <v>2</v>
      </c>
      <c r="E6400" t="str">
        <f t="shared" si="220"/>
        <v>C</v>
      </c>
      <c r="F6400" t="str">
        <f t="shared" si="219"/>
        <v>2C</v>
      </c>
    </row>
    <row r="6401" spans="1:6" x14ac:dyDescent="0.2">
      <c r="A6401">
        <v>3</v>
      </c>
      <c r="E6401" t="str">
        <f t="shared" si="220"/>
        <v>D</v>
      </c>
      <c r="F6401" t="str">
        <f t="shared" si="219"/>
        <v>3D</v>
      </c>
    </row>
    <row r="6402" spans="1:6" x14ac:dyDescent="0.2">
      <c r="A6402">
        <v>4</v>
      </c>
      <c r="E6402" t="str">
        <f t="shared" si="220"/>
        <v>E</v>
      </c>
      <c r="F6402" t="str">
        <f t="shared" si="219"/>
        <v>4E</v>
      </c>
    </row>
    <row r="6403" spans="1:6" x14ac:dyDescent="0.2">
      <c r="A6403">
        <v>5</v>
      </c>
      <c r="E6403" t="str">
        <f t="shared" si="220"/>
        <v>F</v>
      </c>
      <c r="F6403" t="str">
        <f t="shared" si="219"/>
        <v>5F</v>
      </c>
    </row>
    <row r="6404" spans="1:6" x14ac:dyDescent="0.2">
      <c r="A6404">
        <v>6</v>
      </c>
      <c r="E6404" t="str">
        <f t="shared" si="220"/>
        <v>G</v>
      </c>
      <c r="F6404" t="str">
        <f t="shared" si="219"/>
        <v>6G</v>
      </c>
    </row>
    <row r="6405" spans="1:6" x14ac:dyDescent="0.2">
      <c r="A6405">
        <v>7</v>
      </c>
      <c r="E6405" t="str">
        <f t="shared" si="220"/>
        <v>H</v>
      </c>
      <c r="F6405" t="str">
        <f t="shared" si="219"/>
        <v>7H</v>
      </c>
    </row>
    <row r="6406" spans="1:6" x14ac:dyDescent="0.2">
      <c r="A6406">
        <v>8</v>
      </c>
      <c r="E6406" t="str">
        <f t="shared" si="220"/>
        <v>I</v>
      </c>
      <c r="F6406" t="str">
        <f t="shared" si="219"/>
        <v>8I</v>
      </c>
    </row>
    <row r="6407" spans="1:6" x14ac:dyDescent="0.2">
      <c r="A6407">
        <v>9</v>
      </c>
      <c r="E6407" t="str">
        <f t="shared" si="220"/>
        <v>J</v>
      </c>
      <c r="F6407" t="str">
        <f t="shared" si="219"/>
        <v>9J</v>
      </c>
    </row>
    <row r="6408" spans="1:6" x14ac:dyDescent="0.2">
      <c r="A6408">
        <v>10</v>
      </c>
      <c r="E6408" t="str">
        <f t="shared" si="220"/>
        <v>K</v>
      </c>
      <c r="F6408" t="str">
        <f t="shared" si="219"/>
        <v>10K</v>
      </c>
    </row>
    <row r="6409" spans="1:6" x14ac:dyDescent="0.2">
      <c r="A6409">
        <v>11</v>
      </c>
      <c r="E6409" t="str">
        <f t="shared" si="220"/>
        <v>L</v>
      </c>
      <c r="F6409" t="str">
        <f t="shared" si="219"/>
        <v>11L</v>
      </c>
    </row>
    <row r="6410" spans="1:6" x14ac:dyDescent="0.2">
      <c r="A6410">
        <v>12</v>
      </c>
      <c r="E6410" t="str">
        <f t="shared" si="220"/>
        <v>M</v>
      </c>
      <c r="F6410" t="str">
        <f t="shared" si="219"/>
        <v>12M</v>
      </c>
    </row>
    <row r="6411" spans="1:6" x14ac:dyDescent="0.2">
      <c r="A6411">
        <v>13</v>
      </c>
      <c r="E6411" t="str">
        <f t="shared" si="220"/>
        <v>N</v>
      </c>
      <c r="F6411" t="str">
        <f t="shared" si="219"/>
        <v>13N</v>
      </c>
    </row>
    <row r="6412" spans="1:6" x14ac:dyDescent="0.2">
      <c r="A6412">
        <v>14</v>
      </c>
      <c r="E6412" t="str">
        <f t="shared" si="220"/>
        <v>O</v>
      </c>
      <c r="F6412" t="str">
        <f t="shared" si="219"/>
        <v>14O</v>
      </c>
    </row>
    <row r="6413" spans="1:6" x14ac:dyDescent="0.2">
      <c r="A6413">
        <v>15</v>
      </c>
      <c r="E6413" t="str">
        <f t="shared" si="220"/>
        <v>P</v>
      </c>
      <c r="F6413" t="str">
        <f t="shared" si="219"/>
        <v>15P</v>
      </c>
    </row>
    <row r="6414" spans="1:6" x14ac:dyDescent="0.2">
      <c r="A6414">
        <v>16</v>
      </c>
      <c r="E6414" t="str">
        <f t="shared" si="220"/>
        <v>Q</v>
      </c>
      <c r="F6414" t="str">
        <f t="shared" si="219"/>
        <v>16Q</v>
      </c>
    </row>
    <row r="6415" spans="1:6" x14ac:dyDescent="0.2">
      <c r="A6415">
        <v>17</v>
      </c>
      <c r="E6415" t="str">
        <f t="shared" si="220"/>
        <v>R</v>
      </c>
      <c r="F6415" t="str">
        <f t="shared" si="219"/>
        <v>17R</v>
      </c>
    </row>
    <row r="6416" spans="1:6" x14ac:dyDescent="0.2">
      <c r="A6416">
        <v>18</v>
      </c>
      <c r="E6416" t="str">
        <f t="shared" si="220"/>
        <v>S</v>
      </c>
      <c r="F6416" t="str">
        <f t="shared" si="219"/>
        <v>18S</v>
      </c>
    </row>
    <row r="6417" spans="1:6" x14ac:dyDescent="0.2">
      <c r="A6417">
        <v>19</v>
      </c>
      <c r="E6417" t="str">
        <f t="shared" si="220"/>
        <v>T</v>
      </c>
      <c r="F6417" t="str">
        <f t="shared" si="219"/>
        <v>19T</v>
      </c>
    </row>
    <row r="6418" spans="1:6" x14ac:dyDescent="0.2">
      <c r="A6418">
        <v>20</v>
      </c>
      <c r="E6418" t="str">
        <f t="shared" si="220"/>
        <v>U</v>
      </c>
      <c r="F6418" t="str">
        <f t="shared" si="219"/>
        <v>20U</v>
      </c>
    </row>
    <row r="6419" spans="1:6" x14ac:dyDescent="0.2">
      <c r="A6419">
        <v>21</v>
      </c>
      <c r="E6419" t="str">
        <f t="shared" si="220"/>
        <v>V</v>
      </c>
      <c r="F6419" t="str">
        <f t="shared" si="219"/>
        <v>21V</v>
      </c>
    </row>
    <row r="6420" spans="1:6" x14ac:dyDescent="0.2">
      <c r="A6420">
        <v>22</v>
      </c>
      <c r="E6420" t="str">
        <f t="shared" si="220"/>
        <v>W</v>
      </c>
      <c r="F6420" t="str">
        <f t="shared" si="219"/>
        <v>22W</v>
      </c>
    </row>
    <row r="6421" spans="1:6" x14ac:dyDescent="0.2">
      <c r="A6421">
        <v>23</v>
      </c>
      <c r="E6421" t="str">
        <f t="shared" si="220"/>
        <v>X</v>
      </c>
      <c r="F6421" t="str">
        <f t="shared" si="219"/>
        <v>23X</v>
      </c>
    </row>
    <row r="6422" spans="1:6" x14ac:dyDescent="0.2">
      <c r="A6422">
        <v>24</v>
      </c>
      <c r="E6422" t="str">
        <f t="shared" si="220"/>
        <v>Y</v>
      </c>
      <c r="F6422" t="str">
        <f t="shared" ref="F6422:F6485" si="221">A6422&amp;C6422&amp;E6422</f>
        <v>24Y</v>
      </c>
    </row>
    <row r="6423" spans="1:6" x14ac:dyDescent="0.2">
      <c r="A6423">
        <v>25</v>
      </c>
      <c r="E6423" t="str">
        <f t="shared" si="220"/>
        <v>Z</v>
      </c>
      <c r="F6423" t="str">
        <f t="shared" si="221"/>
        <v>25Z</v>
      </c>
    </row>
    <row r="6424" spans="1:6" x14ac:dyDescent="0.2">
      <c r="A6424">
        <v>0</v>
      </c>
      <c r="E6424" t="str">
        <f t="shared" si="220"/>
        <v>A</v>
      </c>
      <c r="F6424" t="str">
        <f t="shared" si="221"/>
        <v>0A</v>
      </c>
    </row>
    <row r="6425" spans="1:6" x14ac:dyDescent="0.2">
      <c r="A6425">
        <v>1</v>
      </c>
      <c r="E6425" t="str">
        <f t="shared" si="220"/>
        <v>B</v>
      </c>
      <c r="F6425" t="str">
        <f t="shared" si="221"/>
        <v>1B</v>
      </c>
    </row>
    <row r="6426" spans="1:6" x14ac:dyDescent="0.2">
      <c r="A6426">
        <v>2</v>
      </c>
      <c r="E6426" t="str">
        <f t="shared" si="220"/>
        <v>C</v>
      </c>
      <c r="F6426" t="str">
        <f t="shared" si="221"/>
        <v>2C</v>
      </c>
    </row>
    <row r="6427" spans="1:6" x14ac:dyDescent="0.2">
      <c r="A6427">
        <v>3</v>
      </c>
      <c r="E6427" t="str">
        <f t="shared" si="220"/>
        <v>D</v>
      </c>
      <c r="F6427" t="str">
        <f t="shared" si="221"/>
        <v>3D</v>
      </c>
    </row>
    <row r="6428" spans="1:6" x14ac:dyDescent="0.2">
      <c r="A6428">
        <v>4</v>
      </c>
      <c r="E6428" t="str">
        <f t="shared" si="220"/>
        <v>E</v>
      </c>
      <c r="F6428" t="str">
        <f t="shared" si="221"/>
        <v>4E</v>
      </c>
    </row>
    <row r="6429" spans="1:6" x14ac:dyDescent="0.2">
      <c r="A6429">
        <v>5</v>
      </c>
      <c r="E6429" t="str">
        <f t="shared" si="220"/>
        <v>F</v>
      </c>
      <c r="F6429" t="str">
        <f t="shared" si="221"/>
        <v>5F</v>
      </c>
    </row>
    <row r="6430" spans="1:6" x14ac:dyDescent="0.2">
      <c r="A6430">
        <v>6</v>
      </c>
      <c r="E6430" t="str">
        <f t="shared" si="220"/>
        <v>G</v>
      </c>
      <c r="F6430" t="str">
        <f t="shared" si="221"/>
        <v>6G</v>
      </c>
    </row>
    <row r="6431" spans="1:6" x14ac:dyDescent="0.2">
      <c r="A6431">
        <v>7</v>
      </c>
      <c r="E6431" t="str">
        <f t="shared" si="220"/>
        <v>H</v>
      </c>
      <c r="F6431" t="str">
        <f t="shared" si="221"/>
        <v>7H</v>
      </c>
    </row>
    <row r="6432" spans="1:6" x14ac:dyDescent="0.2">
      <c r="A6432">
        <v>8</v>
      </c>
      <c r="E6432" t="str">
        <f t="shared" si="220"/>
        <v>I</v>
      </c>
      <c r="F6432" t="str">
        <f t="shared" si="221"/>
        <v>8I</v>
      </c>
    </row>
    <row r="6433" spans="1:6" x14ac:dyDescent="0.2">
      <c r="A6433">
        <v>9</v>
      </c>
      <c r="E6433" t="str">
        <f t="shared" si="220"/>
        <v>J</v>
      </c>
      <c r="F6433" t="str">
        <f t="shared" si="221"/>
        <v>9J</v>
      </c>
    </row>
    <row r="6434" spans="1:6" x14ac:dyDescent="0.2">
      <c r="A6434">
        <v>10</v>
      </c>
      <c r="E6434" t="str">
        <f t="shared" si="220"/>
        <v>K</v>
      </c>
      <c r="F6434" t="str">
        <f t="shared" si="221"/>
        <v>10K</v>
      </c>
    </row>
    <row r="6435" spans="1:6" x14ac:dyDescent="0.2">
      <c r="A6435">
        <v>11</v>
      </c>
      <c r="E6435" t="str">
        <f t="shared" si="220"/>
        <v>L</v>
      </c>
      <c r="F6435" t="str">
        <f t="shared" si="221"/>
        <v>11L</v>
      </c>
    </row>
    <row r="6436" spans="1:6" x14ac:dyDescent="0.2">
      <c r="A6436">
        <v>12</v>
      </c>
      <c r="E6436" t="str">
        <f t="shared" si="220"/>
        <v>M</v>
      </c>
      <c r="F6436" t="str">
        <f t="shared" si="221"/>
        <v>12M</v>
      </c>
    </row>
    <row r="6437" spans="1:6" x14ac:dyDescent="0.2">
      <c r="A6437">
        <v>13</v>
      </c>
      <c r="E6437" t="str">
        <f t="shared" si="220"/>
        <v>N</v>
      </c>
      <c r="F6437" t="str">
        <f t="shared" si="221"/>
        <v>13N</v>
      </c>
    </row>
    <row r="6438" spans="1:6" x14ac:dyDescent="0.2">
      <c r="A6438">
        <v>14</v>
      </c>
      <c r="E6438" t="str">
        <f t="shared" si="220"/>
        <v>O</v>
      </c>
      <c r="F6438" t="str">
        <f t="shared" si="221"/>
        <v>14O</v>
      </c>
    </row>
    <row r="6439" spans="1:6" x14ac:dyDescent="0.2">
      <c r="A6439">
        <v>15</v>
      </c>
      <c r="E6439" t="str">
        <f t="shared" si="220"/>
        <v>P</v>
      </c>
      <c r="F6439" t="str">
        <f t="shared" si="221"/>
        <v>15P</v>
      </c>
    </row>
    <row r="6440" spans="1:6" x14ac:dyDescent="0.2">
      <c r="A6440">
        <v>16</v>
      </c>
      <c r="E6440" t="str">
        <f t="shared" si="220"/>
        <v>Q</v>
      </c>
      <c r="F6440" t="str">
        <f t="shared" si="221"/>
        <v>16Q</v>
      </c>
    </row>
    <row r="6441" spans="1:6" x14ac:dyDescent="0.2">
      <c r="A6441">
        <v>17</v>
      </c>
      <c r="E6441" t="str">
        <f t="shared" si="220"/>
        <v>R</v>
      </c>
      <c r="F6441" t="str">
        <f t="shared" si="221"/>
        <v>17R</v>
      </c>
    </row>
    <row r="6442" spans="1:6" x14ac:dyDescent="0.2">
      <c r="A6442">
        <v>18</v>
      </c>
      <c r="E6442" t="str">
        <f t="shared" si="220"/>
        <v>S</v>
      </c>
      <c r="F6442" t="str">
        <f t="shared" si="221"/>
        <v>18S</v>
      </c>
    </row>
    <row r="6443" spans="1:6" x14ac:dyDescent="0.2">
      <c r="A6443">
        <v>19</v>
      </c>
      <c r="E6443" t="str">
        <f t="shared" si="220"/>
        <v>T</v>
      </c>
      <c r="F6443" t="str">
        <f t="shared" si="221"/>
        <v>19T</v>
      </c>
    </row>
    <row r="6444" spans="1:6" x14ac:dyDescent="0.2">
      <c r="A6444">
        <v>20</v>
      </c>
      <c r="E6444" t="str">
        <f t="shared" si="220"/>
        <v>U</v>
      </c>
      <c r="F6444" t="str">
        <f t="shared" si="221"/>
        <v>20U</v>
      </c>
    </row>
    <row r="6445" spans="1:6" x14ac:dyDescent="0.2">
      <c r="A6445">
        <v>21</v>
      </c>
      <c r="E6445" t="str">
        <f t="shared" si="220"/>
        <v>V</v>
      </c>
      <c r="F6445" t="str">
        <f t="shared" si="221"/>
        <v>21V</v>
      </c>
    </row>
    <row r="6446" spans="1:6" x14ac:dyDescent="0.2">
      <c r="A6446">
        <v>22</v>
      </c>
      <c r="E6446" t="str">
        <f t="shared" si="220"/>
        <v>W</v>
      </c>
      <c r="F6446" t="str">
        <f t="shared" si="221"/>
        <v>22W</v>
      </c>
    </row>
    <row r="6447" spans="1:6" x14ac:dyDescent="0.2">
      <c r="A6447">
        <v>23</v>
      </c>
      <c r="E6447" t="str">
        <f t="shared" si="220"/>
        <v>X</v>
      </c>
      <c r="F6447" t="str">
        <f t="shared" si="221"/>
        <v>23X</v>
      </c>
    </row>
    <row r="6448" spans="1:6" x14ac:dyDescent="0.2">
      <c r="A6448">
        <v>24</v>
      </c>
      <c r="E6448" t="str">
        <f t="shared" ref="E6448:E6511" si="222">E6422</f>
        <v>Y</v>
      </c>
      <c r="F6448" t="str">
        <f t="shared" si="221"/>
        <v>24Y</v>
      </c>
    </row>
    <row r="6449" spans="1:6" x14ac:dyDescent="0.2">
      <c r="A6449">
        <v>25</v>
      </c>
      <c r="E6449" t="str">
        <f t="shared" si="222"/>
        <v>Z</v>
      </c>
      <c r="F6449" t="str">
        <f t="shared" si="221"/>
        <v>25Z</v>
      </c>
    </row>
    <row r="6450" spans="1:6" x14ac:dyDescent="0.2">
      <c r="A6450">
        <v>0</v>
      </c>
      <c r="E6450" t="str">
        <f t="shared" si="222"/>
        <v>A</v>
      </c>
      <c r="F6450" t="str">
        <f t="shared" si="221"/>
        <v>0A</v>
      </c>
    </row>
    <row r="6451" spans="1:6" x14ac:dyDescent="0.2">
      <c r="A6451">
        <v>1</v>
      </c>
      <c r="E6451" t="str">
        <f t="shared" si="222"/>
        <v>B</v>
      </c>
      <c r="F6451" t="str">
        <f t="shared" si="221"/>
        <v>1B</v>
      </c>
    </row>
    <row r="6452" spans="1:6" x14ac:dyDescent="0.2">
      <c r="A6452">
        <v>2</v>
      </c>
      <c r="E6452" t="str">
        <f t="shared" si="222"/>
        <v>C</v>
      </c>
      <c r="F6452" t="str">
        <f t="shared" si="221"/>
        <v>2C</v>
      </c>
    </row>
    <row r="6453" spans="1:6" x14ac:dyDescent="0.2">
      <c r="A6453">
        <v>3</v>
      </c>
      <c r="E6453" t="str">
        <f t="shared" si="222"/>
        <v>D</v>
      </c>
      <c r="F6453" t="str">
        <f t="shared" si="221"/>
        <v>3D</v>
      </c>
    </row>
    <row r="6454" spans="1:6" x14ac:dyDescent="0.2">
      <c r="A6454">
        <v>4</v>
      </c>
      <c r="E6454" t="str">
        <f t="shared" si="222"/>
        <v>E</v>
      </c>
      <c r="F6454" t="str">
        <f t="shared" si="221"/>
        <v>4E</v>
      </c>
    </row>
    <row r="6455" spans="1:6" x14ac:dyDescent="0.2">
      <c r="A6455">
        <v>5</v>
      </c>
      <c r="E6455" t="str">
        <f t="shared" si="222"/>
        <v>F</v>
      </c>
      <c r="F6455" t="str">
        <f t="shared" si="221"/>
        <v>5F</v>
      </c>
    </row>
    <row r="6456" spans="1:6" x14ac:dyDescent="0.2">
      <c r="A6456">
        <v>6</v>
      </c>
      <c r="E6456" t="str">
        <f t="shared" si="222"/>
        <v>G</v>
      </c>
      <c r="F6456" t="str">
        <f t="shared" si="221"/>
        <v>6G</v>
      </c>
    </row>
    <row r="6457" spans="1:6" x14ac:dyDescent="0.2">
      <c r="A6457">
        <v>7</v>
      </c>
      <c r="E6457" t="str">
        <f t="shared" si="222"/>
        <v>H</v>
      </c>
      <c r="F6457" t="str">
        <f t="shared" si="221"/>
        <v>7H</v>
      </c>
    </row>
    <row r="6458" spans="1:6" x14ac:dyDescent="0.2">
      <c r="A6458">
        <v>8</v>
      </c>
      <c r="E6458" t="str">
        <f t="shared" si="222"/>
        <v>I</v>
      </c>
      <c r="F6458" t="str">
        <f t="shared" si="221"/>
        <v>8I</v>
      </c>
    </row>
    <row r="6459" spans="1:6" x14ac:dyDescent="0.2">
      <c r="A6459">
        <v>9</v>
      </c>
      <c r="E6459" t="str">
        <f t="shared" si="222"/>
        <v>J</v>
      </c>
      <c r="F6459" t="str">
        <f t="shared" si="221"/>
        <v>9J</v>
      </c>
    </row>
    <row r="6460" spans="1:6" x14ac:dyDescent="0.2">
      <c r="A6460">
        <v>10</v>
      </c>
      <c r="E6460" t="str">
        <f t="shared" si="222"/>
        <v>K</v>
      </c>
      <c r="F6460" t="str">
        <f t="shared" si="221"/>
        <v>10K</v>
      </c>
    </row>
    <row r="6461" spans="1:6" x14ac:dyDescent="0.2">
      <c r="A6461">
        <v>11</v>
      </c>
      <c r="E6461" t="str">
        <f t="shared" si="222"/>
        <v>L</v>
      </c>
      <c r="F6461" t="str">
        <f t="shared" si="221"/>
        <v>11L</v>
      </c>
    </row>
    <row r="6462" spans="1:6" x14ac:dyDescent="0.2">
      <c r="A6462">
        <v>12</v>
      </c>
      <c r="E6462" t="str">
        <f t="shared" si="222"/>
        <v>M</v>
      </c>
      <c r="F6462" t="str">
        <f t="shared" si="221"/>
        <v>12M</v>
      </c>
    </row>
    <row r="6463" spans="1:6" x14ac:dyDescent="0.2">
      <c r="A6463">
        <v>13</v>
      </c>
      <c r="E6463" t="str">
        <f t="shared" si="222"/>
        <v>N</v>
      </c>
      <c r="F6463" t="str">
        <f t="shared" si="221"/>
        <v>13N</v>
      </c>
    </row>
    <row r="6464" spans="1:6" x14ac:dyDescent="0.2">
      <c r="A6464">
        <v>14</v>
      </c>
      <c r="E6464" t="str">
        <f t="shared" si="222"/>
        <v>O</v>
      </c>
      <c r="F6464" t="str">
        <f t="shared" si="221"/>
        <v>14O</v>
      </c>
    </row>
    <row r="6465" spans="1:6" x14ac:dyDescent="0.2">
      <c r="A6465">
        <v>15</v>
      </c>
      <c r="E6465" t="str">
        <f t="shared" si="222"/>
        <v>P</v>
      </c>
      <c r="F6465" t="str">
        <f t="shared" si="221"/>
        <v>15P</v>
      </c>
    </row>
    <row r="6466" spans="1:6" x14ac:dyDescent="0.2">
      <c r="A6466">
        <v>16</v>
      </c>
      <c r="E6466" t="str">
        <f t="shared" si="222"/>
        <v>Q</v>
      </c>
      <c r="F6466" t="str">
        <f t="shared" si="221"/>
        <v>16Q</v>
      </c>
    </row>
    <row r="6467" spans="1:6" x14ac:dyDescent="0.2">
      <c r="A6467">
        <v>17</v>
      </c>
      <c r="E6467" t="str">
        <f t="shared" si="222"/>
        <v>R</v>
      </c>
      <c r="F6467" t="str">
        <f t="shared" si="221"/>
        <v>17R</v>
      </c>
    </row>
    <row r="6468" spans="1:6" x14ac:dyDescent="0.2">
      <c r="A6468">
        <v>18</v>
      </c>
      <c r="E6468" t="str">
        <f t="shared" si="222"/>
        <v>S</v>
      </c>
      <c r="F6468" t="str">
        <f t="shared" si="221"/>
        <v>18S</v>
      </c>
    </row>
    <row r="6469" spans="1:6" x14ac:dyDescent="0.2">
      <c r="A6469">
        <v>19</v>
      </c>
      <c r="E6469" t="str">
        <f t="shared" si="222"/>
        <v>T</v>
      </c>
      <c r="F6469" t="str">
        <f t="shared" si="221"/>
        <v>19T</v>
      </c>
    </row>
    <row r="6470" spans="1:6" x14ac:dyDescent="0.2">
      <c r="A6470">
        <v>20</v>
      </c>
      <c r="E6470" t="str">
        <f t="shared" si="222"/>
        <v>U</v>
      </c>
      <c r="F6470" t="str">
        <f t="shared" si="221"/>
        <v>20U</v>
      </c>
    </row>
    <row r="6471" spans="1:6" x14ac:dyDescent="0.2">
      <c r="A6471">
        <v>21</v>
      </c>
      <c r="E6471" t="str">
        <f t="shared" si="222"/>
        <v>V</v>
      </c>
      <c r="F6471" t="str">
        <f t="shared" si="221"/>
        <v>21V</v>
      </c>
    </row>
    <row r="6472" spans="1:6" x14ac:dyDescent="0.2">
      <c r="A6472">
        <v>22</v>
      </c>
      <c r="E6472" t="str">
        <f t="shared" si="222"/>
        <v>W</v>
      </c>
      <c r="F6472" t="str">
        <f t="shared" si="221"/>
        <v>22W</v>
      </c>
    </row>
    <row r="6473" spans="1:6" x14ac:dyDescent="0.2">
      <c r="A6473">
        <v>23</v>
      </c>
      <c r="E6473" t="str">
        <f t="shared" si="222"/>
        <v>X</v>
      </c>
      <c r="F6473" t="str">
        <f t="shared" si="221"/>
        <v>23X</v>
      </c>
    </row>
    <row r="6474" spans="1:6" x14ac:dyDescent="0.2">
      <c r="A6474">
        <v>24</v>
      </c>
      <c r="E6474" t="str">
        <f t="shared" si="222"/>
        <v>Y</v>
      </c>
      <c r="F6474" t="str">
        <f t="shared" si="221"/>
        <v>24Y</v>
      </c>
    </row>
    <row r="6475" spans="1:6" x14ac:dyDescent="0.2">
      <c r="A6475">
        <v>25</v>
      </c>
      <c r="E6475" t="str">
        <f t="shared" si="222"/>
        <v>Z</v>
      </c>
      <c r="F6475" t="str">
        <f t="shared" si="221"/>
        <v>25Z</v>
      </c>
    </row>
    <row r="6476" spans="1:6" x14ac:dyDescent="0.2">
      <c r="A6476">
        <v>0</v>
      </c>
      <c r="E6476" t="str">
        <f t="shared" si="222"/>
        <v>A</v>
      </c>
      <c r="F6476" t="str">
        <f t="shared" si="221"/>
        <v>0A</v>
      </c>
    </row>
    <row r="6477" spans="1:6" x14ac:dyDescent="0.2">
      <c r="A6477">
        <v>1</v>
      </c>
      <c r="E6477" t="str">
        <f t="shared" si="222"/>
        <v>B</v>
      </c>
      <c r="F6477" t="str">
        <f t="shared" si="221"/>
        <v>1B</v>
      </c>
    </row>
    <row r="6478" spans="1:6" x14ac:dyDescent="0.2">
      <c r="A6478">
        <v>2</v>
      </c>
      <c r="E6478" t="str">
        <f t="shared" si="222"/>
        <v>C</v>
      </c>
      <c r="F6478" t="str">
        <f t="shared" si="221"/>
        <v>2C</v>
      </c>
    </row>
    <row r="6479" spans="1:6" x14ac:dyDescent="0.2">
      <c r="A6479">
        <v>3</v>
      </c>
      <c r="E6479" t="str">
        <f t="shared" si="222"/>
        <v>D</v>
      </c>
      <c r="F6479" t="str">
        <f t="shared" si="221"/>
        <v>3D</v>
      </c>
    </row>
    <row r="6480" spans="1:6" x14ac:dyDescent="0.2">
      <c r="A6480">
        <v>4</v>
      </c>
      <c r="E6480" t="str">
        <f t="shared" si="222"/>
        <v>E</v>
      </c>
      <c r="F6480" t="str">
        <f t="shared" si="221"/>
        <v>4E</v>
      </c>
    </row>
    <row r="6481" spans="1:6" x14ac:dyDescent="0.2">
      <c r="A6481">
        <v>5</v>
      </c>
      <c r="E6481" t="str">
        <f t="shared" si="222"/>
        <v>F</v>
      </c>
      <c r="F6481" t="str">
        <f t="shared" si="221"/>
        <v>5F</v>
      </c>
    </row>
    <row r="6482" spans="1:6" x14ac:dyDescent="0.2">
      <c r="A6482">
        <v>6</v>
      </c>
      <c r="E6482" t="str">
        <f t="shared" si="222"/>
        <v>G</v>
      </c>
      <c r="F6482" t="str">
        <f t="shared" si="221"/>
        <v>6G</v>
      </c>
    </row>
    <row r="6483" spans="1:6" x14ac:dyDescent="0.2">
      <c r="A6483">
        <v>7</v>
      </c>
      <c r="E6483" t="str">
        <f t="shared" si="222"/>
        <v>H</v>
      </c>
      <c r="F6483" t="str">
        <f t="shared" si="221"/>
        <v>7H</v>
      </c>
    </row>
    <row r="6484" spans="1:6" x14ac:dyDescent="0.2">
      <c r="A6484">
        <v>8</v>
      </c>
      <c r="E6484" t="str">
        <f t="shared" si="222"/>
        <v>I</v>
      </c>
      <c r="F6484" t="str">
        <f t="shared" si="221"/>
        <v>8I</v>
      </c>
    </row>
    <row r="6485" spans="1:6" x14ac:dyDescent="0.2">
      <c r="A6485">
        <v>9</v>
      </c>
      <c r="E6485" t="str">
        <f t="shared" si="222"/>
        <v>J</v>
      </c>
      <c r="F6485" t="str">
        <f t="shared" si="221"/>
        <v>9J</v>
      </c>
    </row>
    <row r="6486" spans="1:6" x14ac:dyDescent="0.2">
      <c r="A6486">
        <v>10</v>
      </c>
      <c r="E6486" t="str">
        <f t="shared" si="222"/>
        <v>K</v>
      </c>
      <c r="F6486" t="str">
        <f t="shared" ref="F6486:F6549" si="223">A6486&amp;C6486&amp;E6486</f>
        <v>10K</v>
      </c>
    </row>
    <row r="6487" spans="1:6" x14ac:dyDescent="0.2">
      <c r="A6487">
        <v>11</v>
      </c>
      <c r="E6487" t="str">
        <f t="shared" si="222"/>
        <v>L</v>
      </c>
      <c r="F6487" t="str">
        <f t="shared" si="223"/>
        <v>11L</v>
      </c>
    </row>
    <row r="6488" spans="1:6" x14ac:dyDescent="0.2">
      <c r="A6488">
        <v>12</v>
      </c>
      <c r="E6488" t="str">
        <f t="shared" si="222"/>
        <v>M</v>
      </c>
      <c r="F6488" t="str">
        <f t="shared" si="223"/>
        <v>12M</v>
      </c>
    </row>
    <row r="6489" spans="1:6" x14ac:dyDescent="0.2">
      <c r="A6489">
        <v>13</v>
      </c>
      <c r="E6489" t="str">
        <f t="shared" si="222"/>
        <v>N</v>
      </c>
      <c r="F6489" t="str">
        <f t="shared" si="223"/>
        <v>13N</v>
      </c>
    </row>
    <row r="6490" spans="1:6" x14ac:dyDescent="0.2">
      <c r="A6490">
        <v>14</v>
      </c>
      <c r="E6490" t="str">
        <f t="shared" si="222"/>
        <v>O</v>
      </c>
      <c r="F6490" t="str">
        <f t="shared" si="223"/>
        <v>14O</v>
      </c>
    </row>
    <row r="6491" spans="1:6" x14ac:dyDescent="0.2">
      <c r="A6491">
        <v>15</v>
      </c>
      <c r="E6491" t="str">
        <f t="shared" si="222"/>
        <v>P</v>
      </c>
      <c r="F6491" t="str">
        <f t="shared" si="223"/>
        <v>15P</v>
      </c>
    </row>
    <row r="6492" spans="1:6" x14ac:dyDescent="0.2">
      <c r="A6492">
        <v>16</v>
      </c>
      <c r="E6492" t="str">
        <f t="shared" si="222"/>
        <v>Q</v>
      </c>
      <c r="F6492" t="str">
        <f t="shared" si="223"/>
        <v>16Q</v>
      </c>
    </row>
    <row r="6493" spans="1:6" x14ac:dyDescent="0.2">
      <c r="A6493">
        <v>17</v>
      </c>
      <c r="E6493" t="str">
        <f t="shared" si="222"/>
        <v>R</v>
      </c>
      <c r="F6493" t="str">
        <f t="shared" si="223"/>
        <v>17R</v>
      </c>
    </row>
    <row r="6494" spans="1:6" x14ac:dyDescent="0.2">
      <c r="A6494">
        <v>18</v>
      </c>
      <c r="E6494" t="str">
        <f t="shared" si="222"/>
        <v>S</v>
      </c>
      <c r="F6494" t="str">
        <f t="shared" si="223"/>
        <v>18S</v>
      </c>
    </row>
    <row r="6495" spans="1:6" x14ac:dyDescent="0.2">
      <c r="A6495">
        <v>19</v>
      </c>
      <c r="E6495" t="str">
        <f t="shared" si="222"/>
        <v>T</v>
      </c>
      <c r="F6495" t="str">
        <f t="shared" si="223"/>
        <v>19T</v>
      </c>
    </row>
    <row r="6496" spans="1:6" x14ac:dyDescent="0.2">
      <c r="A6496">
        <v>20</v>
      </c>
      <c r="E6496" t="str">
        <f t="shared" si="222"/>
        <v>U</v>
      </c>
      <c r="F6496" t="str">
        <f t="shared" si="223"/>
        <v>20U</v>
      </c>
    </row>
    <row r="6497" spans="1:6" x14ac:dyDescent="0.2">
      <c r="A6497">
        <v>21</v>
      </c>
      <c r="E6497" t="str">
        <f t="shared" si="222"/>
        <v>V</v>
      </c>
      <c r="F6497" t="str">
        <f t="shared" si="223"/>
        <v>21V</v>
      </c>
    </row>
    <row r="6498" spans="1:6" x14ac:dyDescent="0.2">
      <c r="A6498">
        <v>22</v>
      </c>
      <c r="E6498" t="str">
        <f t="shared" si="222"/>
        <v>W</v>
      </c>
      <c r="F6498" t="str">
        <f t="shared" si="223"/>
        <v>22W</v>
      </c>
    </row>
    <row r="6499" spans="1:6" x14ac:dyDescent="0.2">
      <c r="A6499">
        <v>23</v>
      </c>
      <c r="E6499" t="str">
        <f t="shared" si="222"/>
        <v>X</v>
      </c>
      <c r="F6499" t="str">
        <f t="shared" si="223"/>
        <v>23X</v>
      </c>
    </row>
    <row r="6500" spans="1:6" x14ac:dyDescent="0.2">
      <c r="A6500">
        <v>24</v>
      </c>
      <c r="E6500" t="str">
        <f t="shared" si="222"/>
        <v>Y</v>
      </c>
      <c r="F6500" t="str">
        <f t="shared" si="223"/>
        <v>24Y</v>
      </c>
    </row>
    <row r="6501" spans="1:6" x14ac:dyDescent="0.2">
      <c r="A6501">
        <v>25</v>
      </c>
      <c r="E6501" t="str">
        <f t="shared" si="222"/>
        <v>Z</v>
      </c>
      <c r="F6501" t="str">
        <f t="shared" si="223"/>
        <v>25Z</v>
      </c>
    </row>
    <row r="6502" spans="1:6" x14ac:dyDescent="0.2">
      <c r="A6502">
        <v>0</v>
      </c>
      <c r="E6502" t="str">
        <f t="shared" si="222"/>
        <v>A</v>
      </c>
      <c r="F6502" t="str">
        <f t="shared" si="223"/>
        <v>0A</v>
      </c>
    </row>
    <row r="6503" spans="1:6" x14ac:dyDescent="0.2">
      <c r="A6503">
        <v>1</v>
      </c>
      <c r="E6503" t="str">
        <f t="shared" si="222"/>
        <v>B</v>
      </c>
      <c r="F6503" t="str">
        <f t="shared" si="223"/>
        <v>1B</v>
      </c>
    </row>
    <row r="6504" spans="1:6" x14ac:dyDescent="0.2">
      <c r="A6504">
        <v>2</v>
      </c>
      <c r="E6504" t="str">
        <f t="shared" si="222"/>
        <v>C</v>
      </c>
      <c r="F6504" t="str">
        <f t="shared" si="223"/>
        <v>2C</v>
      </c>
    </row>
    <row r="6505" spans="1:6" x14ac:dyDescent="0.2">
      <c r="A6505">
        <v>3</v>
      </c>
      <c r="E6505" t="str">
        <f t="shared" si="222"/>
        <v>D</v>
      </c>
      <c r="F6505" t="str">
        <f t="shared" si="223"/>
        <v>3D</v>
      </c>
    </row>
    <row r="6506" spans="1:6" x14ac:dyDescent="0.2">
      <c r="A6506">
        <v>4</v>
      </c>
      <c r="E6506" t="str">
        <f t="shared" si="222"/>
        <v>E</v>
      </c>
      <c r="F6506" t="str">
        <f t="shared" si="223"/>
        <v>4E</v>
      </c>
    </row>
    <row r="6507" spans="1:6" x14ac:dyDescent="0.2">
      <c r="A6507">
        <v>5</v>
      </c>
      <c r="E6507" t="str">
        <f t="shared" si="222"/>
        <v>F</v>
      </c>
      <c r="F6507" t="str">
        <f t="shared" si="223"/>
        <v>5F</v>
      </c>
    </row>
    <row r="6508" spans="1:6" x14ac:dyDescent="0.2">
      <c r="A6508">
        <v>6</v>
      </c>
      <c r="E6508" t="str">
        <f t="shared" si="222"/>
        <v>G</v>
      </c>
      <c r="F6508" t="str">
        <f t="shared" si="223"/>
        <v>6G</v>
      </c>
    </row>
    <row r="6509" spans="1:6" x14ac:dyDescent="0.2">
      <c r="A6509">
        <v>7</v>
      </c>
      <c r="E6509" t="str">
        <f t="shared" si="222"/>
        <v>H</v>
      </c>
      <c r="F6509" t="str">
        <f t="shared" si="223"/>
        <v>7H</v>
      </c>
    </row>
    <row r="6510" spans="1:6" x14ac:dyDescent="0.2">
      <c r="A6510">
        <v>8</v>
      </c>
      <c r="E6510" t="str">
        <f t="shared" si="222"/>
        <v>I</v>
      </c>
      <c r="F6510" t="str">
        <f t="shared" si="223"/>
        <v>8I</v>
      </c>
    </row>
    <row r="6511" spans="1:6" x14ac:dyDescent="0.2">
      <c r="A6511">
        <v>9</v>
      </c>
      <c r="E6511" t="str">
        <f t="shared" si="222"/>
        <v>J</v>
      </c>
      <c r="F6511" t="str">
        <f t="shared" si="223"/>
        <v>9J</v>
      </c>
    </row>
    <row r="6512" spans="1:6" x14ac:dyDescent="0.2">
      <c r="A6512">
        <v>10</v>
      </c>
      <c r="E6512" t="str">
        <f t="shared" ref="E6512:E6575" si="224">E6486</f>
        <v>K</v>
      </c>
      <c r="F6512" t="str">
        <f t="shared" si="223"/>
        <v>10K</v>
      </c>
    </row>
    <row r="6513" spans="1:6" x14ac:dyDescent="0.2">
      <c r="A6513">
        <v>11</v>
      </c>
      <c r="E6513" t="str">
        <f t="shared" si="224"/>
        <v>L</v>
      </c>
      <c r="F6513" t="str">
        <f t="shared" si="223"/>
        <v>11L</v>
      </c>
    </row>
    <row r="6514" spans="1:6" x14ac:dyDescent="0.2">
      <c r="A6514">
        <v>12</v>
      </c>
      <c r="E6514" t="str">
        <f t="shared" si="224"/>
        <v>M</v>
      </c>
      <c r="F6514" t="str">
        <f t="shared" si="223"/>
        <v>12M</v>
      </c>
    </row>
    <row r="6515" spans="1:6" x14ac:dyDescent="0.2">
      <c r="A6515">
        <v>13</v>
      </c>
      <c r="E6515" t="str">
        <f t="shared" si="224"/>
        <v>N</v>
      </c>
      <c r="F6515" t="str">
        <f t="shared" si="223"/>
        <v>13N</v>
      </c>
    </row>
    <row r="6516" spans="1:6" x14ac:dyDescent="0.2">
      <c r="A6516">
        <v>14</v>
      </c>
      <c r="E6516" t="str">
        <f t="shared" si="224"/>
        <v>O</v>
      </c>
      <c r="F6516" t="str">
        <f t="shared" si="223"/>
        <v>14O</v>
      </c>
    </row>
    <row r="6517" spans="1:6" x14ac:dyDescent="0.2">
      <c r="A6517">
        <v>15</v>
      </c>
      <c r="E6517" t="str">
        <f t="shared" si="224"/>
        <v>P</v>
      </c>
      <c r="F6517" t="str">
        <f t="shared" si="223"/>
        <v>15P</v>
      </c>
    </row>
    <row r="6518" spans="1:6" x14ac:dyDescent="0.2">
      <c r="A6518">
        <v>16</v>
      </c>
      <c r="E6518" t="str">
        <f t="shared" si="224"/>
        <v>Q</v>
      </c>
      <c r="F6518" t="str">
        <f t="shared" si="223"/>
        <v>16Q</v>
      </c>
    </row>
    <row r="6519" spans="1:6" x14ac:dyDescent="0.2">
      <c r="A6519">
        <v>17</v>
      </c>
      <c r="E6519" t="str">
        <f t="shared" si="224"/>
        <v>R</v>
      </c>
      <c r="F6519" t="str">
        <f t="shared" si="223"/>
        <v>17R</v>
      </c>
    </row>
    <row r="6520" spans="1:6" x14ac:dyDescent="0.2">
      <c r="A6520">
        <v>18</v>
      </c>
      <c r="E6520" t="str">
        <f t="shared" si="224"/>
        <v>S</v>
      </c>
      <c r="F6520" t="str">
        <f t="shared" si="223"/>
        <v>18S</v>
      </c>
    </row>
    <row r="6521" spans="1:6" x14ac:dyDescent="0.2">
      <c r="A6521">
        <v>19</v>
      </c>
      <c r="E6521" t="str">
        <f t="shared" si="224"/>
        <v>T</v>
      </c>
      <c r="F6521" t="str">
        <f t="shared" si="223"/>
        <v>19T</v>
      </c>
    </row>
    <row r="6522" spans="1:6" x14ac:dyDescent="0.2">
      <c r="A6522">
        <v>20</v>
      </c>
      <c r="E6522" t="str">
        <f t="shared" si="224"/>
        <v>U</v>
      </c>
      <c r="F6522" t="str">
        <f t="shared" si="223"/>
        <v>20U</v>
      </c>
    </row>
    <row r="6523" spans="1:6" x14ac:dyDescent="0.2">
      <c r="A6523">
        <v>21</v>
      </c>
      <c r="E6523" t="str">
        <f t="shared" si="224"/>
        <v>V</v>
      </c>
      <c r="F6523" t="str">
        <f t="shared" si="223"/>
        <v>21V</v>
      </c>
    </row>
    <row r="6524" spans="1:6" x14ac:dyDescent="0.2">
      <c r="A6524">
        <v>22</v>
      </c>
      <c r="E6524" t="str">
        <f t="shared" si="224"/>
        <v>W</v>
      </c>
      <c r="F6524" t="str">
        <f t="shared" si="223"/>
        <v>22W</v>
      </c>
    </row>
    <row r="6525" spans="1:6" x14ac:dyDescent="0.2">
      <c r="A6525">
        <v>23</v>
      </c>
      <c r="E6525" t="str">
        <f t="shared" si="224"/>
        <v>X</v>
      </c>
      <c r="F6525" t="str">
        <f t="shared" si="223"/>
        <v>23X</v>
      </c>
    </row>
    <row r="6526" spans="1:6" x14ac:dyDescent="0.2">
      <c r="A6526">
        <v>24</v>
      </c>
      <c r="E6526" t="str">
        <f t="shared" si="224"/>
        <v>Y</v>
      </c>
      <c r="F6526" t="str">
        <f t="shared" si="223"/>
        <v>24Y</v>
      </c>
    </row>
    <row r="6527" spans="1:6" x14ac:dyDescent="0.2">
      <c r="A6527">
        <v>25</v>
      </c>
      <c r="E6527" t="str">
        <f t="shared" si="224"/>
        <v>Z</v>
      </c>
      <c r="F6527" t="str">
        <f t="shared" si="223"/>
        <v>25Z</v>
      </c>
    </row>
    <row r="6528" spans="1:6" x14ac:dyDescent="0.2">
      <c r="A6528">
        <v>0</v>
      </c>
      <c r="E6528" t="str">
        <f t="shared" si="224"/>
        <v>A</v>
      </c>
      <c r="F6528" t="str">
        <f t="shared" si="223"/>
        <v>0A</v>
      </c>
    </row>
    <row r="6529" spans="1:6" x14ac:dyDescent="0.2">
      <c r="A6529">
        <v>1</v>
      </c>
      <c r="E6529" t="str">
        <f t="shared" si="224"/>
        <v>B</v>
      </c>
      <c r="F6529" t="str">
        <f t="shared" si="223"/>
        <v>1B</v>
      </c>
    </row>
    <row r="6530" spans="1:6" x14ac:dyDescent="0.2">
      <c r="A6530">
        <v>2</v>
      </c>
      <c r="E6530" t="str">
        <f t="shared" si="224"/>
        <v>C</v>
      </c>
      <c r="F6530" t="str">
        <f t="shared" si="223"/>
        <v>2C</v>
      </c>
    </row>
    <row r="6531" spans="1:6" x14ac:dyDescent="0.2">
      <c r="A6531">
        <v>3</v>
      </c>
      <c r="E6531" t="str">
        <f t="shared" si="224"/>
        <v>D</v>
      </c>
      <c r="F6531" t="str">
        <f t="shared" si="223"/>
        <v>3D</v>
      </c>
    </row>
    <row r="6532" spans="1:6" x14ac:dyDescent="0.2">
      <c r="A6532">
        <v>4</v>
      </c>
      <c r="E6532" t="str">
        <f t="shared" si="224"/>
        <v>E</v>
      </c>
      <c r="F6532" t="str">
        <f t="shared" si="223"/>
        <v>4E</v>
      </c>
    </row>
    <row r="6533" spans="1:6" x14ac:dyDescent="0.2">
      <c r="A6533">
        <v>5</v>
      </c>
      <c r="E6533" t="str">
        <f t="shared" si="224"/>
        <v>F</v>
      </c>
      <c r="F6533" t="str">
        <f t="shared" si="223"/>
        <v>5F</v>
      </c>
    </row>
    <row r="6534" spans="1:6" x14ac:dyDescent="0.2">
      <c r="A6534">
        <v>6</v>
      </c>
      <c r="E6534" t="str">
        <f t="shared" si="224"/>
        <v>G</v>
      </c>
      <c r="F6534" t="str">
        <f t="shared" si="223"/>
        <v>6G</v>
      </c>
    </row>
    <row r="6535" spans="1:6" x14ac:dyDescent="0.2">
      <c r="A6535">
        <v>7</v>
      </c>
      <c r="E6535" t="str">
        <f t="shared" si="224"/>
        <v>H</v>
      </c>
      <c r="F6535" t="str">
        <f t="shared" si="223"/>
        <v>7H</v>
      </c>
    </row>
    <row r="6536" spans="1:6" x14ac:dyDescent="0.2">
      <c r="A6536">
        <v>8</v>
      </c>
      <c r="E6536" t="str">
        <f t="shared" si="224"/>
        <v>I</v>
      </c>
      <c r="F6536" t="str">
        <f t="shared" si="223"/>
        <v>8I</v>
      </c>
    </row>
    <row r="6537" spans="1:6" x14ac:dyDescent="0.2">
      <c r="A6537">
        <v>9</v>
      </c>
      <c r="E6537" t="str">
        <f t="shared" si="224"/>
        <v>J</v>
      </c>
      <c r="F6537" t="str">
        <f t="shared" si="223"/>
        <v>9J</v>
      </c>
    </row>
    <row r="6538" spans="1:6" x14ac:dyDescent="0.2">
      <c r="A6538">
        <v>10</v>
      </c>
      <c r="E6538" t="str">
        <f t="shared" si="224"/>
        <v>K</v>
      </c>
      <c r="F6538" t="str">
        <f t="shared" si="223"/>
        <v>10K</v>
      </c>
    </row>
    <row r="6539" spans="1:6" x14ac:dyDescent="0.2">
      <c r="A6539">
        <v>11</v>
      </c>
      <c r="E6539" t="str">
        <f t="shared" si="224"/>
        <v>L</v>
      </c>
      <c r="F6539" t="str">
        <f t="shared" si="223"/>
        <v>11L</v>
      </c>
    </row>
    <row r="6540" spans="1:6" x14ac:dyDescent="0.2">
      <c r="A6540">
        <v>12</v>
      </c>
      <c r="E6540" t="str">
        <f t="shared" si="224"/>
        <v>M</v>
      </c>
      <c r="F6540" t="str">
        <f t="shared" si="223"/>
        <v>12M</v>
      </c>
    </row>
    <row r="6541" spans="1:6" x14ac:dyDescent="0.2">
      <c r="A6541">
        <v>13</v>
      </c>
      <c r="E6541" t="str">
        <f t="shared" si="224"/>
        <v>N</v>
      </c>
      <c r="F6541" t="str">
        <f t="shared" si="223"/>
        <v>13N</v>
      </c>
    </row>
    <row r="6542" spans="1:6" x14ac:dyDescent="0.2">
      <c r="A6542">
        <v>14</v>
      </c>
      <c r="E6542" t="str">
        <f t="shared" si="224"/>
        <v>O</v>
      </c>
      <c r="F6542" t="str">
        <f t="shared" si="223"/>
        <v>14O</v>
      </c>
    </row>
    <row r="6543" spans="1:6" x14ac:dyDescent="0.2">
      <c r="A6543">
        <v>15</v>
      </c>
      <c r="E6543" t="str">
        <f t="shared" si="224"/>
        <v>P</v>
      </c>
      <c r="F6543" t="str">
        <f t="shared" si="223"/>
        <v>15P</v>
      </c>
    </row>
    <row r="6544" spans="1:6" x14ac:dyDescent="0.2">
      <c r="A6544">
        <v>16</v>
      </c>
      <c r="E6544" t="str">
        <f t="shared" si="224"/>
        <v>Q</v>
      </c>
      <c r="F6544" t="str">
        <f t="shared" si="223"/>
        <v>16Q</v>
      </c>
    </row>
    <row r="6545" spans="1:6" x14ac:dyDescent="0.2">
      <c r="A6545">
        <v>17</v>
      </c>
      <c r="E6545" t="str">
        <f t="shared" si="224"/>
        <v>R</v>
      </c>
      <c r="F6545" t="str">
        <f t="shared" si="223"/>
        <v>17R</v>
      </c>
    </row>
    <row r="6546" spans="1:6" x14ac:dyDescent="0.2">
      <c r="A6546">
        <v>18</v>
      </c>
      <c r="E6546" t="str">
        <f t="shared" si="224"/>
        <v>S</v>
      </c>
      <c r="F6546" t="str">
        <f t="shared" si="223"/>
        <v>18S</v>
      </c>
    </row>
    <row r="6547" spans="1:6" x14ac:dyDescent="0.2">
      <c r="A6547">
        <v>19</v>
      </c>
      <c r="E6547" t="str">
        <f t="shared" si="224"/>
        <v>T</v>
      </c>
      <c r="F6547" t="str">
        <f t="shared" si="223"/>
        <v>19T</v>
      </c>
    </row>
    <row r="6548" spans="1:6" x14ac:dyDescent="0.2">
      <c r="A6548">
        <v>20</v>
      </c>
      <c r="E6548" t="str">
        <f t="shared" si="224"/>
        <v>U</v>
      </c>
      <c r="F6548" t="str">
        <f t="shared" si="223"/>
        <v>20U</v>
      </c>
    </row>
    <row r="6549" spans="1:6" x14ac:dyDescent="0.2">
      <c r="A6549">
        <v>21</v>
      </c>
      <c r="E6549" t="str">
        <f t="shared" si="224"/>
        <v>V</v>
      </c>
      <c r="F6549" t="str">
        <f t="shared" si="223"/>
        <v>21V</v>
      </c>
    </row>
    <row r="6550" spans="1:6" x14ac:dyDescent="0.2">
      <c r="A6550">
        <v>22</v>
      </c>
      <c r="E6550" t="str">
        <f t="shared" si="224"/>
        <v>W</v>
      </c>
      <c r="F6550" t="str">
        <f t="shared" ref="F6550:F6613" si="225">A6550&amp;C6550&amp;E6550</f>
        <v>22W</v>
      </c>
    </row>
    <row r="6551" spans="1:6" x14ac:dyDescent="0.2">
      <c r="A6551">
        <v>23</v>
      </c>
      <c r="E6551" t="str">
        <f t="shared" si="224"/>
        <v>X</v>
      </c>
      <c r="F6551" t="str">
        <f t="shared" si="225"/>
        <v>23X</v>
      </c>
    </row>
    <row r="6552" spans="1:6" x14ac:dyDescent="0.2">
      <c r="A6552">
        <v>24</v>
      </c>
      <c r="E6552" t="str">
        <f t="shared" si="224"/>
        <v>Y</v>
      </c>
      <c r="F6552" t="str">
        <f t="shared" si="225"/>
        <v>24Y</v>
      </c>
    </row>
    <row r="6553" spans="1:6" x14ac:dyDescent="0.2">
      <c r="A6553">
        <v>25</v>
      </c>
      <c r="E6553" t="str">
        <f t="shared" si="224"/>
        <v>Z</v>
      </c>
      <c r="F6553" t="str">
        <f t="shared" si="225"/>
        <v>25Z</v>
      </c>
    </row>
    <row r="6554" spans="1:6" x14ac:dyDescent="0.2">
      <c r="A6554">
        <v>0</v>
      </c>
      <c r="E6554" t="str">
        <f t="shared" si="224"/>
        <v>A</v>
      </c>
      <c r="F6554" t="str">
        <f t="shared" si="225"/>
        <v>0A</v>
      </c>
    </row>
    <row r="6555" spans="1:6" x14ac:dyDescent="0.2">
      <c r="A6555">
        <v>1</v>
      </c>
      <c r="E6555" t="str">
        <f t="shared" si="224"/>
        <v>B</v>
      </c>
      <c r="F6555" t="str">
        <f t="shared" si="225"/>
        <v>1B</v>
      </c>
    </row>
    <row r="6556" spans="1:6" x14ac:dyDescent="0.2">
      <c r="A6556">
        <v>2</v>
      </c>
      <c r="E6556" t="str">
        <f t="shared" si="224"/>
        <v>C</v>
      </c>
      <c r="F6556" t="str">
        <f t="shared" si="225"/>
        <v>2C</v>
      </c>
    </row>
    <row r="6557" spans="1:6" x14ac:dyDescent="0.2">
      <c r="A6557">
        <v>3</v>
      </c>
      <c r="E6557" t="str">
        <f t="shared" si="224"/>
        <v>D</v>
      </c>
      <c r="F6557" t="str">
        <f t="shared" si="225"/>
        <v>3D</v>
      </c>
    </row>
    <row r="6558" spans="1:6" x14ac:dyDescent="0.2">
      <c r="A6558">
        <v>4</v>
      </c>
      <c r="E6558" t="str">
        <f t="shared" si="224"/>
        <v>E</v>
      </c>
      <c r="F6558" t="str">
        <f t="shared" si="225"/>
        <v>4E</v>
      </c>
    </row>
    <row r="6559" spans="1:6" x14ac:dyDescent="0.2">
      <c r="A6559">
        <v>5</v>
      </c>
      <c r="E6559" t="str">
        <f t="shared" si="224"/>
        <v>F</v>
      </c>
      <c r="F6559" t="str">
        <f t="shared" si="225"/>
        <v>5F</v>
      </c>
    </row>
    <row r="6560" spans="1:6" x14ac:dyDescent="0.2">
      <c r="A6560">
        <v>6</v>
      </c>
      <c r="E6560" t="str">
        <f t="shared" si="224"/>
        <v>G</v>
      </c>
      <c r="F6560" t="str">
        <f t="shared" si="225"/>
        <v>6G</v>
      </c>
    </row>
    <row r="6561" spans="1:6" x14ac:dyDescent="0.2">
      <c r="A6561">
        <v>7</v>
      </c>
      <c r="E6561" t="str">
        <f t="shared" si="224"/>
        <v>H</v>
      </c>
      <c r="F6561" t="str">
        <f t="shared" si="225"/>
        <v>7H</v>
      </c>
    </row>
    <row r="6562" spans="1:6" x14ac:dyDescent="0.2">
      <c r="A6562">
        <v>8</v>
      </c>
      <c r="E6562" t="str">
        <f t="shared" si="224"/>
        <v>I</v>
      </c>
      <c r="F6562" t="str">
        <f t="shared" si="225"/>
        <v>8I</v>
      </c>
    </row>
    <row r="6563" spans="1:6" x14ac:dyDescent="0.2">
      <c r="A6563">
        <v>9</v>
      </c>
      <c r="E6563" t="str">
        <f t="shared" si="224"/>
        <v>J</v>
      </c>
      <c r="F6563" t="str">
        <f t="shared" si="225"/>
        <v>9J</v>
      </c>
    </row>
    <row r="6564" spans="1:6" x14ac:dyDescent="0.2">
      <c r="A6564">
        <v>10</v>
      </c>
      <c r="E6564" t="str">
        <f t="shared" si="224"/>
        <v>K</v>
      </c>
      <c r="F6564" t="str">
        <f t="shared" si="225"/>
        <v>10K</v>
      </c>
    </row>
    <row r="6565" spans="1:6" x14ac:dyDescent="0.2">
      <c r="A6565">
        <v>11</v>
      </c>
      <c r="E6565" t="str">
        <f t="shared" si="224"/>
        <v>L</v>
      </c>
      <c r="F6565" t="str">
        <f t="shared" si="225"/>
        <v>11L</v>
      </c>
    </row>
    <row r="6566" spans="1:6" x14ac:dyDescent="0.2">
      <c r="A6566">
        <v>12</v>
      </c>
      <c r="E6566" t="str">
        <f t="shared" si="224"/>
        <v>M</v>
      </c>
      <c r="F6566" t="str">
        <f t="shared" si="225"/>
        <v>12M</v>
      </c>
    </row>
    <row r="6567" spans="1:6" x14ac:dyDescent="0.2">
      <c r="A6567">
        <v>13</v>
      </c>
      <c r="E6567" t="str">
        <f t="shared" si="224"/>
        <v>N</v>
      </c>
      <c r="F6567" t="str">
        <f t="shared" si="225"/>
        <v>13N</v>
      </c>
    </row>
    <row r="6568" spans="1:6" x14ac:dyDescent="0.2">
      <c r="A6568">
        <v>14</v>
      </c>
      <c r="E6568" t="str">
        <f t="shared" si="224"/>
        <v>O</v>
      </c>
      <c r="F6568" t="str">
        <f t="shared" si="225"/>
        <v>14O</v>
      </c>
    </row>
    <row r="6569" spans="1:6" x14ac:dyDescent="0.2">
      <c r="A6569">
        <v>15</v>
      </c>
      <c r="E6569" t="str">
        <f t="shared" si="224"/>
        <v>P</v>
      </c>
      <c r="F6569" t="str">
        <f t="shared" si="225"/>
        <v>15P</v>
      </c>
    </row>
    <row r="6570" spans="1:6" x14ac:dyDescent="0.2">
      <c r="A6570">
        <v>16</v>
      </c>
      <c r="E6570" t="str">
        <f t="shared" si="224"/>
        <v>Q</v>
      </c>
      <c r="F6570" t="str">
        <f t="shared" si="225"/>
        <v>16Q</v>
      </c>
    </row>
    <row r="6571" spans="1:6" x14ac:dyDescent="0.2">
      <c r="A6571">
        <v>17</v>
      </c>
      <c r="E6571" t="str">
        <f t="shared" si="224"/>
        <v>R</v>
      </c>
      <c r="F6571" t="str">
        <f t="shared" si="225"/>
        <v>17R</v>
      </c>
    </row>
    <row r="6572" spans="1:6" x14ac:dyDescent="0.2">
      <c r="A6572">
        <v>18</v>
      </c>
      <c r="E6572" t="str">
        <f t="shared" si="224"/>
        <v>S</v>
      </c>
      <c r="F6572" t="str">
        <f t="shared" si="225"/>
        <v>18S</v>
      </c>
    </row>
    <row r="6573" spans="1:6" x14ac:dyDescent="0.2">
      <c r="A6573">
        <v>19</v>
      </c>
      <c r="E6573" t="str">
        <f t="shared" si="224"/>
        <v>T</v>
      </c>
      <c r="F6573" t="str">
        <f t="shared" si="225"/>
        <v>19T</v>
      </c>
    </row>
    <row r="6574" spans="1:6" x14ac:dyDescent="0.2">
      <c r="A6574">
        <v>20</v>
      </c>
      <c r="E6574" t="str">
        <f t="shared" si="224"/>
        <v>U</v>
      </c>
      <c r="F6574" t="str">
        <f t="shared" si="225"/>
        <v>20U</v>
      </c>
    </row>
    <row r="6575" spans="1:6" x14ac:dyDescent="0.2">
      <c r="A6575">
        <v>21</v>
      </c>
      <c r="E6575" t="str">
        <f t="shared" si="224"/>
        <v>V</v>
      </c>
      <c r="F6575" t="str">
        <f t="shared" si="225"/>
        <v>21V</v>
      </c>
    </row>
    <row r="6576" spans="1:6" x14ac:dyDescent="0.2">
      <c r="A6576">
        <v>22</v>
      </c>
      <c r="E6576" t="str">
        <f t="shared" ref="E6576:E6639" si="226">E6550</f>
        <v>W</v>
      </c>
      <c r="F6576" t="str">
        <f t="shared" si="225"/>
        <v>22W</v>
      </c>
    </row>
    <row r="6577" spans="1:6" x14ac:dyDescent="0.2">
      <c r="A6577">
        <v>23</v>
      </c>
      <c r="E6577" t="str">
        <f t="shared" si="226"/>
        <v>X</v>
      </c>
      <c r="F6577" t="str">
        <f t="shared" si="225"/>
        <v>23X</v>
      </c>
    </row>
    <row r="6578" spans="1:6" x14ac:dyDescent="0.2">
      <c r="A6578">
        <v>24</v>
      </c>
      <c r="E6578" t="str">
        <f t="shared" si="226"/>
        <v>Y</v>
      </c>
      <c r="F6578" t="str">
        <f t="shared" si="225"/>
        <v>24Y</v>
      </c>
    </row>
    <row r="6579" spans="1:6" x14ac:dyDescent="0.2">
      <c r="A6579">
        <v>25</v>
      </c>
      <c r="E6579" t="str">
        <f t="shared" si="226"/>
        <v>Z</v>
      </c>
      <c r="F6579" t="str">
        <f t="shared" si="225"/>
        <v>25Z</v>
      </c>
    </row>
    <row r="6580" spans="1:6" x14ac:dyDescent="0.2">
      <c r="A6580">
        <v>0</v>
      </c>
      <c r="E6580" t="str">
        <f t="shared" si="226"/>
        <v>A</v>
      </c>
      <c r="F6580" t="str">
        <f t="shared" si="225"/>
        <v>0A</v>
      </c>
    </row>
    <row r="6581" spans="1:6" x14ac:dyDescent="0.2">
      <c r="A6581">
        <v>1</v>
      </c>
      <c r="E6581" t="str">
        <f t="shared" si="226"/>
        <v>B</v>
      </c>
      <c r="F6581" t="str">
        <f t="shared" si="225"/>
        <v>1B</v>
      </c>
    </row>
    <row r="6582" spans="1:6" x14ac:dyDescent="0.2">
      <c r="A6582">
        <v>2</v>
      </c>
      <c r="E6582" t="str">
        <f t="shared" si="226"/>
        <v>C</v>
      </c>
      <c r="F6582" t="str">
        <f t="shared" si="225"/>
        <v>2C</v>
      </c>
    </row>
    <row r="6583" spans="1:6" x14ac:dyDescent="0.2">
      <c r="A6583">
        <v>3</v>
      </c>
      <c r="E6583" t="str">
        <f t="shared" si="226"/>
        <v>D</v>
      </c>
      <c r="F6583" t="str">
        <f t="shared" si="225"/>
        <v>3D</v>
      </c>
    </row>
    <row r="6584" spans="1:6" x14ac:dyDescent="0.2">
      <c r="A6584">
        <v>4</v>
      </c>
      <c r="E6584" t="str">
        <f t="shared" si="226"/>
        <v>E</v>
      </c>
      <c r="F6584" t="str">
        <f t="shared" si="225"/>
        <v>4E</v>
      </c>
    </row>
    <row r="6585" spans="1:6" x14ac:dyDescent="0.2">
      <c r="A6585">
        <v>5</v>
      </c>
      <c r="E6585" t="str">
        <f t="shared" si="226"/>
        <v>F</v>
      </c>
      <c r="F6585" t="str">
        <f t="shared" si="225"/>
        <v>5F</v>
      </c>
    </row>
    <row r="6586" spans="1:6" x14ac:dyDescent="0.2">
      <c r="A6586">
        <v>6</v>
      </c>
      <c r="E6586" t="str">
        <f t="shared" si="226"/>
        <v>G</v>
      </c>
      <c r="F6586" t="str">
        <f t="shared" si="225"/>
        <v>6G</v>
      </c>
    </row>
    <row r="6587" spans="1:6" x14ac:dyDescent="0.2">
      <c r="A6587">
        <v>7</v>
      </c>
      <c r="E6587" t="str">
        <f t="shared" si="226"/>
        <v>H</v>
      </c>
      <c r="F6587" t="str">
        <f t="shared" si="225"/>
        <v>7H</v>
      </c>
    </row>
    <row r="6588" spans="1:6" x14ac:dyDescent="0.2">
      <c r="A6588">
        <v>8</v>
      </c>
      <c r="E6588" t="str">
        <f t="shared" si="226"/>
        <v>I</v>
      </c>
      <c r="F6588" t="str">
        <f t="shared" si="225"/>
        <v>8I</v>
      </c>
    </row>
    <row r="6589" spans="1:6" x14ac:dyDescent="0.2">
      <c r="A6589">
        <v>9</v>
      </c>
      <c r="E6589" t="str">
        <f t="shared" si="226"/>
        <v>J</v>
      </c>
      <c r="F6589" t="str">
        <f t="shared" si="225"/>
        <v>9J</v>
      </c>
    </row>
    <row r="6590" spans="1:6" x14ac:dyDescent="0.2">
      <c r="A6590">
        <v>10</v>
      </c>
      <c r="E6590" t="str">
        <f t="shared" si="226"/>
        <v>K</v>
      </c>
      <c r="F6590" t="str">
        <f t="shared" si="225"/>
        <v>10K</v>
      </c>
    </row>
    <row r="6591" spans="1:6" x14ac:dyDescent="0.2">
      <c r="A6591">
        <v>11</v>
      </c>
      <c r="E6591" t="str">
        <f t="shared" si="226"/>
        <v>L</v>
      </c>
      <c r="F6591" t="str">
        <f t="shared" si="225"/>
        <v>11L</v>
      </c>
    </row>
    <row r="6592" spans="1:6" x14ac:dyDescent="0.2">
      <c r="A6592">
        <v>12</v>
      </c>
      <c r="E6592" t="str">
        <f t="shared" si="226"/>
        <v>M</v>
      </c>
      <c r="F6592" t="str">
        <f t="shared" si="225"/>
        <v>12M</v>
      </c>
    </row>
    <row r="6593" spans="1:6" x14ac:dyDescent="0.2">
      <c r="A6593">
        <v>13</v>
      </c>
      <c r="E6593" t="str">
        <f t="shared" si="226"/>
        <v>N</v>
      </c>
      <c r="F6593" t="str">
        <f t="shared" si="225"/>
        <v>13N</v>
      </c>
    </row>
    <row r="6594" spans="1:6" x14ac:dyDescent="0.2">
      <c r="A6594">
        <v>14</v>
      </c>
      <c r="E6594" t="str">
        <f t="shared" si="226"/>
        <v>O</v>
      </c>
      <c r="F6594" t="str">
        <f t="shared" si="225"/>
        <v>14O</v>
      </c>
    </row>
    <row r="6595" spans="1:6" x14ac:dyDescent="0.2">
      <c r="A6595">
        <v>15</v>
      </c>
      <c r="E6595" t="str">
        <f t="shared" si="226"/>
        <v>P</v>
      </c>
      <c r="F6595" t="str">
        <f t="shared" si="225"/>
        <v>15P</v>
      </c>
    </row>
    <row r="6596" spans="1:6" x14ac:dyDescent="0.2">
      <c r="A6596">
        <v>16</v>
      </c>
      <c r="E6596" t="str">
        <f t="shared" si="226"/>
        <v>Q</v>
      </c>
      <c r="F6596" t="str">
        <f t="shared" si="225"/>
        <v>16Q</v>
      </c>
    </row>
    <row r="6597" spans="1:6" x14ac:dyDescent="0.2">
      <c r="A6597">
        <v>17</v>
      </c>
      <c r="E6597" t="str">
        <f t="shared" si="226"/>
        <v>R</v>
      </c>
      <c r="F6597" t="str">
        <f t="shared" si="225"/>
        <v>17R</v>
      </c>
    </row>
    <row r="6598" spans="1:6" x14ac:dyDescent="0.2">
      <c r="A6598">
        <v>18</v>
      </c>
      <c r="E6598" t="str">
        <f t="shared" si="226"/>
        <v>S</v>
      </c>
      <c r="F6598" t="str">
        <f t="shared" si="225"/>
        <v>18S</v>
      </c>
    </row>
    <row r="6599" spans="1:6" x14ac:dyDescent="0.2">
      <c r="A6599">
        <v>19</v>
      </c>
      <c r="E6599" t="str">
        <f t="shared" si="226"/>
        <v>T</v>
      </c>
      <c r="F6599" t="str">
        <f t="shared" si="225"/>
        <v>19T</v>
      </c>
    </row>
    <row r="6600" spans="1:6" x14ac:dyDescent="0.2">
      <c r="A6600">
        <v>20</v>
      </c>
      <c r="E6600" t="str">
        <f t="shared" si="226"/>
        <v>U</v>
      </c>
      <c r="F6600" t="str">
        <f t="shared" si="225"/>
        <v>20U</v>
      </c>
    </row>
    <row r="6601" spans="1:6" x14ac:dyDescent="0.2">
      <c r="A6601">
        <v>21</v>
      </c>
      <c r="E6601" t="str">
        <f t="shared" si="226"/>
        <v>V</v>
      </c>
      <c r="F6601" t="str">
        <f t="shared" si="225"/>
        <v>21V</v>
      </c>
    </row>
    <row r="6602" spans="1:6" x14ac:dyDescent="0.2">
      <c r="A6602">
        <v>22</v>
      </c>
      <c r="E6602" t="str">
        <f t="shared" si="226"/>
        <v>W</v>
      </c>
      <c r="F6602" t="str">
        <f t="shared" si="225"/>
        <v>22W</v>
      </c>
    </row>
    <row r="6603" spans="1:6" x14ac:dyDescent="0.2">
      <c r="A6603">
        <v>23</v>
      </c>
      <c r="E6603" t="str">
        <f t="shared" si="226"/>
        <v>X</v>
      </c>
      <c r="F6603" t="str">
        <f t="shared" si="225"/>
        <v>23X</v>
      </c>
    </row>
    <row r="6604" spans="1:6" x14ac:dyDescent="0.2">
      <c r="A6604">
        <v>24</v>
      </c>
      <c r="E6604" t="str">
        <f t="shared" si="226"/>
        <v>Y</v>
      </c>
      <c r="F6604" t="str">
        <f t="shared" si="225"/>
        <v>24Y</v>
      </c>
    </row>
    <row r="6605" spans="1:6" x14ac:dyDescent="0.2">
      <c r="A6605">
        <v>25</v>
      </c>
      <c r="E6605" t="str">
        <f t="shared" si="226"/>
        <v>Z</v>
      </c>
      <c r="F6605" t="str">
        <f t="shared" si="225"/>
        <v>25Z</v>
      </c>
    </row>
    <row r="6606" spans="1:6" x14ac:dyDescent="0.2">
      <c r="A6606">
        <v>0</v>
      </c>
      <c r="E6606" t="str">
        <f t="shared" si="226"/>
        <v>A</v>
      </c>
      <c r="F6606" t="str">
        <f t="shared" si="225"/>
        <v>0A</v>
      </c>
    </row>
    <row r="6607" spans="1:6" x14ac:dyDescent="0.2">
      <c r="A6607">
        <v>1</v>
      </c>
      <c r="E6607" t="str">
        <f t="shared" si="226"/>
        <v>B</v>
      </c>
      <c r="F6607" t="str">
        <f t="shared" si="225"/>
        <v>1B</v>
      </c>
    </row>
    <row r="6608" spans="1:6" x14ac:dyDescent="0.2">
      <c r="A6608">
        <v>2</v>
      </c>
      <c r="E6608" t="str">
        <f t="shared" si="226"/>
        <v>C</v>
      </c>
      <c r="F6608" t="str">
        <f t="shared" si="225"/>
        <v>2C</v>
      </c>
    </row>
    <row r="6609" spans="1:6" x14ac:dyDescent="0.2">
      <c r="A6609">
        <v>3</v>
      </c>
      <c r="E6609" t="str">
        <f t="shared" si="226"/>
        <v>D</v>
      </c>
      <c r="F6609" t="str">
        <f t="shared" si="225"/>
        <v>3D</v>
      </c>
    </row>
    <row r="6610" spans="1:6" x14ac:dyDescent="0.2">
      <c r="A6610">
        <v>4</v>
      </c>
      <c r="E6610" t="str">
        <f t="shared" si="226"/>
        <v>E</v>
      </c>
      <c r="F6610" t="str">
        <f t="shared" si="225"/>
        <v>4E</v>
      </c>
    </row>
    <row r="6611" spans="1:6" x14ac:dyDescent="0.2">
      <c r="A6611">
        <v>5</v>
      </c>
      <c r="E6611" t="str">
        <f t="shared" si="226"/>
        <v>F</v>
      </c>
      <c r="F6611" t="str">
        <f t="shared" si="225"/>
        <v>5F</v>
      </c>
    </row>
    <row r="6612" spans="1:6" x14ac:dyDescent="0.2">
      <c r="A6612">
        <v>6</v>
      </c>
      <c r="E6612" t="str">
        <f t="shared" si="226"/>
        <v>G</v>
      </c>
      <c r="F6612" t="str">
        <f t="shared" si="225"/>
        <v>6G</v>
      </c>
    </row>
    <row r="6613" spans="1:6" x14ac:dyDescent="0.2">
      <c r="A6613">
        <v>7</v>
      </c>
      <c r="E6613" t="str">
        <f t="shared" si="226"/>
        <v>H</v>
      </c>
      <c r="F6613" t="str">
        <f t="shared" si="225"/>
        <v>7H</v>
      </c>
    </row>
    <row r="6614" spans="1:6" x14ac:dyDescent="0.2">
      <c r="A6614">
        <v>8</v>
      </c>
      <c r="E6614" t="str">
        <f t="shared" si="226"/>
        <v>I</v>
      </c>
      <c r="F6614" t="str">
        <f t="shared" ref="F6614:F6677" si="227">A6614&amp;C6614&amp;E6614</f>
        <v>8I</v>
      </c>
    </row>
    <row r="6615" spans="1:6" x14ac:dyDescent="0.2">
      <c r="A6615">
        <v>9</v>
      </c>
      <c r="E6615" t="str">
        <f t="shared" si="226"/>
        <v>J</v>
      </c>
      <c r="F6615" t="str">
        <f t="shared" si="227"/>
        <v>9J</v>
      </c>
    </row>
    <row r="6616" spans="1:6" x14ac:dyDescent="0.2">
      <c r="A6616">
        <v>10</v>
      </c>
      <c r="E6616" t="str">
        <f t="shared" si="226"/>
        <v>K</v>
      </c>
      <c r="F6616" t="str">
        <f t="shared" si="227"/>
        <v>10K</v>
      </c>
    </row>
    <row r="6617" spans="1:6" x14ac:dyDescent="0.2">
      <c r="A6617">
        <v>11</v>
      </c>
      <c r="E6617" t="str">
        <f t="shared" si="226"/>
        <v>L</v>
      </c>
      <c r="F6617" t="str">
        <f t="shared" si="227"/>
        <v>11L</v>
      </c>
    </row>
    <row r="6618" spans="1:6" x14ac:dyDescent="0.2">
      <c r="A6618">
        <v>12</v>
      </c>
      <c r="E6618" t="str">
        <f t="shared" si="226"/>
        <v>M</v>
      </c>
      <c r="F6618" t="str">
        <f t="shared" si="227"/>
        <v>12M</v>
      </c>
    </row>
    <row r="6619" spans="1:6" x14ac:dyDescent="0.2">
      <c r="A6619">
        <v>13</v>
      </c>
      <c r="E6619" t="str">
        <f t="shared" si="226"/>
        <v>N</v>
      </c>
      <c r="F6619" t="str">
        <f t="shared" si="227"/>
        <v>13N</v>
      </c>
    </row>
    <row r="6620" spans="1:6" x14ac:dyDescent="0.2">
      <c r="A6620">
        <v>14</v>
      </c>
      <c r="E6620" t="str">
        <f t="shared" si="226"/>
        <v>O</v>
      </c>
      <c r="F6620" t="str">
        <f t="shared" si="227"/>
        <v>14O</v>
      </c>
    </row>
    <row r="6621" spans="1:6" x14ac:dyDescent="0.2">
      <c r="A6621">
        <v>15</v>
      </c>
      <c r="E6621" t="str">
        <f t="shared" si="226"/>
        <v>P</v>
      </c>
      <c r="F6621" t="str">
        <f t="shared" si="227"/>
        <v>15P</v>
      </c>
    </row>
    <row r="6622" spans="1:6" x14ac:dyDescent="0.2">
      <c r="A6622">
        <v>16</v>
      </c>
      <c r="E6622" t="str">
        <f t="shared" si="226"/>
        <v>Q</v>
      </c>
      <c r="F6622" t="str">
        <f t="shared" si="227"/>
        <v>16Q</v>
      </c>
    </row>
    <row r="6623" spans="1:6" x14ac:dyDescent="0.2">
      <c r="A6623">
        <v>17</v>
      </c>
      <c r="E6623" t="str">
        <f t="shared" si="226"/>
        <v>R</v>
      </c>
      <c r="F6623" t="str">
        <f t="shared" si="227"/>
        <v>17R</v>
      </c>
    </row>
    <row r="6624" spans="1:6" x14ac:dyDescent="0.2">
      <c r="A6624">
        <v>18</v>
      </c>
      <c r="E6624" t="str">
        <f t="shared" si="226"/>
        <v>S</v>
      </c>
      <c r="F6624" t="str">
        <f t="shared" si="227"/>
        <v>18S</v>
      </c>
    </row>
    <row r="6625" spans="1:6" x14ac:dyDescent="0.2">
      <c r="A6625">
        <v>19</v>
      </c>
      <c r="E6625" t="str">
        <f t="shared" si="226"/>
        <v>T</v>
      </c>
      <c r="F6625" t="str">
        <f t="shared" si="227"/>
        <v>19T</v>
      </c>
    </row>
    <row r="6626" spans="1:6" x14ac:dyDescent="0.2">
      <c r="A6626">
        <v>20</v>
      </c>
      <c r="E6626" t="str">
        <f t="shared" si="226"/>
        <v>U</v>
      </c>
      <c r="F6626" t="str">
        <f t="shared" si="227"/>
        <v>20U</v>
      </c>
    </row>
    <row r="6627" spans="1:6" x14ac:dyDescent="0.2">
      <c r="A6627">
        <v>21</v>
      </c>
      <c r="E6627" t="str">
        <f t="shared" si="226"/>
        <v>V</v>
      </c>
      <c r="F6627" t="str">
        <f t="shared" si="227"/>
        <v>21V</v>
      </c>
    </row>
    <row r="6628" spans="1:6" x14ac:dyDescent="0.2">
      <c r="A6628">
        <v>22</v>
      </c>
      <c r="E6628" t="str">
        <f t="shared" si="226"/>
        <v>W</v>
      </c>
      <c r="F6628" t="str">
        <f t="shared" si="227"/>
        <v>22W</v>
      </c>
    </row>
    <row r="6629" spans="1:6" x14ac:dyDescent="0.2">
      <c r="A6629">
        <v>23</v>
      </c>
      <c r="E6629" t="str">
        <f t="shared" si="226"/>
        <v>X</v>
      </c>
      <c r="F6629" t="str">
        <f t="shared" si="227"/>
        <v>23X</v>
      </c>
    </row>
    <row r="6630" spans="1:6" x14ac:dyDescent="0.2">
      <c r="A6630">
        <v>24</v>
      </c>
      <c r="E6630" t="str">
        <f t="shared" si="226"/>
        <v>Y</v>
      </c>
      <c r="F6630" t="str">
        <f t="shared" si="227"/>
        <v>24Y</v>
      </c>
    </row>
    <row r="6631" spans="1:6" x14ac:dyDescent="0.2">
      <c r="A6631">
        <v>25</v>
      </c>
      <c r="E6631" t="str">
        <f t="shared" si="226"/>
        <v>Z</v>
      </c>
      <c r="F6631" t="str">
        <f t="shared" si="227"/>
        <v>25Z</v>
      </c>
    </row>
    <row r="6632" spans="1:6" x14ac:dyDescent="0.2">
      <c r="A6632">
        <v>0</v>
      </c>
      <c r="E6632" t="str">
        <f t="shared" si="226"/>
        <v>A</v>
      </c>
      <c r="F6632" t="str">
        <f t="shared" si="227"/>
        <v>0A</v>
      </c>
    </row>
    <row r="6633" spans="1:6" x14ac:dyDescent="0.2">
      <c r="A6633">
        <v>1</v>
      </c>
      <c r="E6633" t="str">
        <f t="shared" si="226"/>
        <v>B</v>
      </c>
      <c r="F6633" t="str">
        <f t="shared" si="227"/>
        <v>1B</v>
      </c>
    </row>
    <row r="6634" spans="1:6" x14ac:dyDescent="0.2">
      <c r="A6634">
        <v>2</v>
      </c>
      <c r="E6634" t="str">
        <f t="shared" si="226"/>
        <v>C</v>
      </c>
      <c r="F6634" t="str">
        <f t="shared" si="227"/>
        <v>2C</v>
      </c>
    </row>
    <row r="6635" spans="1:6" x14ac:dyDescent="0.2">
      <c r="A6635">
        <v>3</v>
      </c>
      <c r="E6635" t="str">
        <f t="shared" si="226"/>
        <v>D</v>
      </c>
      <c r="F6635" t="str">
        <f t="shared" si="227"/>
        <v>3D</v>
      </c>
    </row>
    <row r="6636" spans="1:6" x14ac:dyDescent="0.2">
      <c r="A6636">
        <v>4</v>
      </c>
      <c r="E6636" t="str">
        <f t="shared" si="226"/>
        <v>E</v>
      </c>
      <c r="F6636" t="str">
        <f t="shared" si="227"/>
        <v>4E</v>
      </c>
    </row>
    <row r="6637" spans="1:6" x14ac:dyDescent="0.2">
      <c r="A6637">
        <v>5</v>
      </c>
      <c r="E6637" t="str">
        <f t="shared" si="226"/>
        <v>F</v>
      </c>
      <c r="F6637" t="str">
        <f t="shared" si="227"/>
        <v>5F</v>
      </c>
    </row>
    <row r="6638" spans="1:6" x14ac:dyDescent="0.2">
      <c r="A6638">
        <v>6</v>
      </c>
      <c r="E6638" t="str">
        <f t="shared" si="226"/>
        <v>G</v>
      </c>
      <c r="F6638" t="str">
        <f t="shared" si="227"/>
        <v>6G</v>
      </c>
    </row>
    <row r="6639" spans="1:6" x14ac:dyDescent="0.2">
      <c r="A6639">
        <v>7</v>
      </c>
      <c r="E6639" t="str">
        <f t="shared" si="226"/>
        <v>H</v>
      </c>
      <c r="F6639" t="str">
        <f t="shared" si="227"/>
        <v>7H</v>
      </c>
    </row>
    <row r="6640" spans="1:6" x14ac:dyDescent="0.2">
      <c r="A6640">
        <v>8</v>
      </c>
      <c r="E6640" t="str">
        <f t="shared" ref="E6640:E6703" si="228">E6614</f>
        <v>I</v>
      </c>
      <c r="F6640" t="str">
        <f t="shared" si="227"/>
        <v>8I</v>
      </c>
    </row>
    <row r="6641" spans="1:6" x14ac:dyDescent="0.2">
      <c r="A6641">
        <v>9</v>
      </c>
      <c r="E6641" t="str">
        <f t="shared" si="228"/>
        <v>J</v>
      </c>
      <c r="F6641" t="str">
        <f t="shared" si="227"/>
        <v>9J</v>
      </c>
    </row>
    <row r="6642" spans="1:6" x14ac:dyDescent="0.2">
      <c r="A6642">
        <v>10</v>
      </c>
      <c r="E6642" t="str">
        <f t="shared" si="228"/>
        <v>K</v>
      </c>
      <c r="F6642" t="str">
        <f t="shared" si="227"/>
        <v>10K</v>
      </c>
    </row>
    <row r="6643" spans="1:6" x14ac:dyDescent="0.2">
      <c r="A6643">
        <v>11</v>
      </c>
      <c r="E6643" t="str">
        <f t="shared" si="228"/>
        <v>L</v>
      </c>
      <c r="F6643" t="str">
        <f t="shared" si="227"/>
        <v>11L</v>
      </c>
    </row>
    <row r="6644" spans="1:6" x14ac:dyDescent="0.2">
      <c r="A6644">
        <v>12</v>
      </c>
      <c r="E6644" t="str">
        <f t="shared" si="228"/>
        <v>M</v>
      </c>
      <c r="F6644" t="str">
        <f t="shared" si="227"/>
        <v>12M</v>
      </c>
    </row>
    <row r="6645" spans="1:6" x14ac:dyDescent="0.2">
      <c r="A6645">
        <v>13</v>
      </c>
      <c r="E6645" t="str">
        <f t="shared" si="228"/>
        <v>N</v>
      </c>
      <c r="F6645" t="str">
        <f t="shared" si="227"/>
        <v>13N</v>
      </c>
    </row>
    <row r="6646" spans="1:6" x14ac:dyDescent="0.2">
      <c r="A6646">
        <v>14</v>
      </c>
      <c r="E6646" t="str">
        <f t="shared" si="228"/>
        <v>O</v>
      </c>
      <c r="F6646" t="str">
        <f t="shared" si="227"/>
        <v>14O</v>
      </c>
    </row>
    <row r="6647" spans="1:6" x14ac:dyDescent="0.2">
      <c r="A6647">
        <v>15</v>
      </c>
      <c r="E6647" t="str">
        <f t="shared" si="228"/>
        <v>P</v>
      </c>
      <c r="F6647" t="str">
        <f t="shared" si="227"/>
        <v>15P</v>
      </c>
    </row>
    <row r="6648" spans="1:6" x14ac:dyDescent="0.2">
      <c r="A6648">
        <v>16</v>
      </c>
      <c r="E6648" t="str">
        <f t="shared" si="228"/>
        <v>Q</v>
      </c>
      <c r="F6648" t="str">
        <f t="shared" si="227"/>
        <v>16Q</v>
      </c>
    </row>
    <row r="6649" spans="1:6" x14ac:dyDescent="0.2">
      <c r="A6649">
        <v>17</v>
      </c>
      <c r="E6649" t="str">
        <f t="shared" si="228"/>
        <v>R</v>
      </c>
      <c r="F6649" t="str">
        <f t="shared" si="227"/>
        <v>17R</v>
      </c>
    </row>
    <row r="6650" spans="1:6" x14ac:dyDescent="0.2">
      <c r="A6650">
        <v>18</v>
      </c>
      <c r="E6650" t="str">
        <f t="shared" si="228"/>
        <v>S</v>
      </c>
      <c r="F6650" t="str">
        <f t="shared" si="227"/>
        <v>18S</v>
      </c>
    </row>
    <row r="6651" spans="1:6" x14ac:dyDescent="0.2">
      <c r="A6651">
        <v>19</v>
      </c>
      <c r="E6651" t="str">
        <f t="shared" si="228"/>
        <v>T</v>
      </c>
      <c r="F6651" t="str">
        <f t="shared" si="227"/>
        <v>19T</v>
      </c>
    </row>
    <row r="6652" spans="1:6" x14ac:dyDescent="0.2">
      <c r="A6652">
        <v>20</v>
      </c>
      <c r="E6652" t="str">
        <f t="shared" si="228"/>
        <v>U</v>
      </c>
      <c r="F6652" t="str">
        <f t="shared" si="227"/>
        <v>20U</v>
      </c>
    </row>
    <row r="6653" spans="1:6" x14ac:dyDescent="0.2">
      <c r="A6653">
        <v>21</v>
      </c>
      <c r="E6653" t="str">
        <f t="shared" si="228"/>
        <v>V</v>
      </c>
      <c r="F6653" t="str">
        <f t="shared" si="227"/>
        <v>21V</v>
      </c>
    </row>
    <row r="6654" spans="1:6" x14ac:dyDescent="0.2">
      <c r="A6654">
        <v>22</v>
      </c>
      <c r="E6654" t="str">
        <f t="shared" si="228"/>
        <v>W</v>
      </c>
      <c r="F6654" t="str">
        <f t="shared" si="227"/>
        <v>22W</v>
      </c>
    </row>
    <row r="6655" spans="1:6" x14ac:dyDescent="0.2">
      <c r="A6655">
        <v>23</v>
      </c>
      <c r="E6655" t="str">
        <f t="shared" si="228"/>
        <v>X</v>
      </c>
      <c r="F6655" t="str">
        <f t="shared" si="227"/>
        <v>23X</v>
      </c>
    </row>
    <row r="6656" spans="1:6" x14ac:dyDescent="0.2">
      <c r="A6656">
        <v>24</v>
      </c>
      <c r="E6656" t="str">
        <f t="shared" si="228"/>
        <v>Y</v>
      </c>
      <c r="F6656" t="str">
        <f t="shared" si="227"/>
        <v>24Y</v>
      </c>
    </row>
    <row r="6657" spans="1:6" x14ac:dyDescent="0.2">
      <c r="A6657">
        <v>25</v>
      </c>
      <c r="E6657" t="str">
        <f t="shared" si="228"/>
        <v>Z</v>
      </c>
      <c r="F6657" t="str">
        <f t="shared" si="227"/>
        <v>25Z</v>
      </c>
    </row>
    <row r="6658" spans="1:6" x14ac:dyDescent="0.2">
      <c r="A6658">
        <v>0</v>
      </c>
      <c r="E6658" t="str">
        <f t="shared" si="228"/>
        <v>A</v>
      </c>
      <c r="F6658" t="str">
        <f t="shared" si="227"/>
        <v>0A</v>
      </c>
    </row>
    <row r="6659" spans="1:6" x14ac:dyDescent="0.2">
      <c r="A6659">
        <v>1</v>
      </c>
      <c r="E6659" t="str">
        <f t="shared" si="228"/>
        <v>B</v>
      </c>
      <c r="F6659" t="str">
        <f t="shared" si="227"/>
        <v>1B</v>
      </c>
    </row>
    <row r="6660" spans="1:6" x14ac:dyDescent="0.2">
      <c r="A6660">
        <v>2</v>
      </c>
      <c r="E6660" t="str">
        <f t="shared" si="228"/>
        <v>C</v>
      </c>
      <c r="F6660" t="str">
        <f t="shared" si="227"/>
        <v>2C</v>
      </c>
    </row>
    <row r="6661" spans="1:6" x14ac:dyDescent="0.2">
      <c r="A6661">
        <v>3</v>
      </c>
      <c r="E6661" t="str">
        <f t="shared" si="228"/>
        <v>D</v>
      </c>
      <c r="F6661" t="str">
        <f t="shared" si="227"/>
        <v>3D</v>
      </c>
    </row>
    <row r="6662" spans="1:6" x14ac:dyDescent="0.2">
      <c r="A6662">
        <v>4</v>
      </c>
      <c r="E6662" t="str">
        <f t="shared" si="228"/>
        <v>E</v>
      </c>
      <c r="F6662" t="str">
        <f t="shared" si="227"/>
        <v>4E</v>
      </c>
    </row>
    <row r="6663" spans="1:6" x14ac:dyDescent="0.2">
      <c r="A6663">
        <v>5</v>
      </c>
      <c r="E6663" t="str">
        <f t="shared" si="228"/>
        <v>F</v>
      </c>
      <c r="F6663" t="str">
        <f t="shared" si="227"/>
        <v>5F</v>
      </c>
    </row>
    <row r="6664" spans="1:6" x14ac:dyDescent="0.2">
      <c r="A6664">
        <v>6</v>
      </c>
      <c r="E6664" t="str">
        <f t="shared" si="228"/>
        <v>G</v>
      </c>
      <c r="F6664" t="str">
        <f t="shared" si="227"/>
        <v>6G</v>
      </c>
    </row>
    <row r="6665" spans="1:6" x14ac:dyDescent="0.2">
      <c r="A6665">
        <v>7</v>
      </c>
      <c r="E6665" t="str">
        <f t="shared" si="228"/>
        <v>H</v>
      </c>
      <c r="F6665" t="str">
        <f t="shared" si="227"/>
        <v>7H</v>
      </c>
    </row>
    <row r="6666" spans="1:6" x14ac:dyDescent="0.2">
      <c r="A6666">
        <v>8</v>
      </c>
      <c r="E6666" t="str">
        <f t="shared" si="228"/>
        <v>I</v>
      </c>
      <c r="F6666" t="str">
        <f t="shared" si="227"/>
        <v>8I</v>
      </c>
    </row>
    <row r="6667" spans="1:6" x14ac:dyDescent="0.2">
      <c r="A6667">
        <v>9</v>
      </c>
      <c r="E6667" t="str">
        <f t="shared" si="228"/>
        <v>J</v>
      </c>
      <c r="F6667" t="str">
        <f t="shared" si="227"/>
        <v>9J</v>
      </c>
    </row>
    <row r="6668" spans="1:6" x14ac:dyDescent="0.2">
      <c r="A6668">
        <v>10</v>
      </c>
      <c r="E6668" t="str">
        <f t="shared" si="228"/>
        <v>K</v>
      </c>
      <c r="F6668" t="str">
        <f t="shared" si="227"/>
        <v>10K</v>
      </c>
    </row>
    <row r="6669" spans="1:6" x14ac:dyDescent="0.2">
      <c r="A6669">
        <v>11</v>
      </c>
      <c r="E6669" t="str">
        <f t="shared" si="228"/>
        <v>L</v>
      </c>
      <c r="F6669" t="str">
        <f t="shared" si="227"/>
        <v>11L</v>
      </c>
    </row>
    <row r="6670" spans="1:6" x14ac:dyDescent="0.2">
      <c r="A6670">
        <v>12</v>
      </c>
      <c r="E6670" t="str">
        <f t="shared" si="228"/>
        <v>M</v>
      </c>
      <c r="F6670" t="str">
        <f t="shared" si="227"/>
        <v>12M</v>
      </c>
    </row>
    <row r="6671" spans="1:6" x14ac:dyDescent="0.2">
      <c r="A6671">
        <v>13</v>
      </c>
      <c r="E6671" t="str">
        <f t="shared" si="228"/>
        <v>N</v>
      </c>
      <c r="F6671" t="str">
        <f t="shared" si="227"/>
        <v>13N</v>
      </c>
    </row>
    <row r="6672" spans="1:6" x14ac:dyDescent="0.2">
      <c r="A6672">
        <v>14</v>
      </c>
      <c r="E6672" t="str">
        <f t="shared" si="228"/>
        <v>O</v>
      </c>
      <c r="F6672" t="str">
        <f t="shared" si="227"/>
        <v>14O</v>
      </c>
    </row>
    <row r="6673" spans="1:6" x14ac:dyDescent="0.2">
      <c r="A6673">
        <v>15</v>
      </c>
      <c r="E6673" t="str">
        <f t="shared" si="228"/>
        <v>P</v>
      </c>
      <c r="F6673" t="str">
        <f t="shared" si="227"/>
        <v>15P</v>
      </c>
    </row>
    <row r="6674" spans="1:6" x14ac:dyDescent="0.2">
      <c r="A6674">
        <v>16</v>
      </c>
      <c r="E6674" t="str">
        <f t="shared" si="228"/>
        <v>Q</v>
      </c>
      <c r="F6674" t="str">
        <f t="shared" si="227"/>
        <v>16Q</v>
      </c>
    </row>
    <row r="6675" spans="1:6" x14ac:dyDescent="0.2">
      <c r="A6675">
        <v>17</v>
      </c>
      <c r="E6675" t="str">
        <f t="shared" si="228"/>
        <v>R</v>
      </c>
      <c r="F6675" t="str">
        <f t="shared" si="227"/>
        <v>17R</v>
      </c>
    </row>
    <row r="6676" spans="1:6" x14ac:dyDescent="0.2">
      <c r="A6676">
        <v>18</v>
      </c>
      <c r="E6676" t="str">
        <f t="shared" si="228"/>
        <v>S</v>
      </c>
      <c r="F6676" t="str">
        <f t="shared" si="227"/>
        <v>18S</v>
      </c>
    </row>
    <row r="6677" spans="1:6" x14ac:dyDescent="0.2">
      <c r="A6677">
        <v>19</v>
      </c>
      <c r="E6677" t="str">
        <f t="shared" si="228"/>
        <v>T</v>
      </c>
      <c r="F6677" t="str">
        <f t="shared" si="227"/>
        <v>19T</v>
      </c>
    </row>
    <row r="6678" spans="1:6" x14ac:dyDescent="0.2">
      <c r="A6678">
        <v>20</v>
      </c>
      <c r="E6678" t="str">
        <f t="shared" si="228"/>
        <v>U</v>
      </c>
      <c r="F6678" t="str">
        <f t="shared" ref="F6678:F6741" si="229">A6678&amp;C6678&amp;E6678</f>
        <v>20U</v>
      </c>
    </row>
    <row r="6679" spans="1:6" x14ac:dyDescent="0.2">
      <c r="A6679">
        <v>21</v>
      </c>
      <c r="E6679" t="str">
        <f t="shared" si="228"/>
        <v>V</v>
      </c>
      <c r="F6679" t="str">
        <f t="shared" si="229"/>
        <v>21V</v>
      </c>
    </row>
    <row r="6680" spans="1:6" x14ac:dyDescent="0.2">
      <c r="A6680">
        <v>22</v>
      </c>
      <c r="E6680" t="str">
        <f t="shared" si="228"/>
        <v>W</v>
      </c>
      <c r="F6680" t="str">
        <f t="shared" si="229"/>
        <v>22W</v>
      </c>
    </row>
    <row r="6681" spans="1:6" x14ac:dyDescent="0.2">
      <c r="A6681">
        <v>23</v>
      </c>
      <c r="E6681" t="str">
        <f t="shared" si="228"/>
        <v>X</v>
      </c>
      <c r="F6681" t="str">
        <f t="shared" si="229"/>
        <v>23X</v>
      </c>
    </row>
    <row r="6682" spans="1:6" x14ac:dyDescent="0.2">
      <c r="A6682">
        <v>24</v>
      </c>
      <c r="E6682" t="str">
        <f t="shared" si="228"/>
        <v>Y</v>
      </c>
      <c r="F6682" t="str">
        <f t="shared" si="229"/>
        <v>24Y</v>
      </c>
    </row>
    <row r="6683" spans="1:6" x14ac:dyDescent="0.2">
      <c r="A6683">
        <v>25</v>
      </c>
      <c r="E6683" t="str">
        <f t="shared" si="228"/>
        <v>Z</v>
      </c>
      <c r="F6683" t="str">
        <f t="shared" si="229"/>
        <v>25Z</v>
      </c>
    </row>
    <row r="6684" spans="1:6" x14ac:dyDescent="0.2">
      <c r="A6684">
        <v>0</v>
      </c>
      <c r="E6684" t="str">
        <f t="shared" si="228"/>
        <v>A</v>
      </c>
      <c r="F6684" t="str">
        <f t="shared" si="229"/>
        <v>0A</v>
      </c>
    </row>
    <row r="6685" spans="1:6" x14ac:dyDescent="0.2">
      <c r="A6685">
        <v>1</v>
      </c>
      <c r="E6685" t="str">
        <f t="shared" si="228"/>
        <v>B</v>
      </c>
      <c r="F6685" t="str">
        <f t="shared" si="229"/>
        <v>1B</v>
      </c>
    </row>
    <row r="6686" spans="1:6" x14ac:dyDescent="0.2">
      <c r="A6686">
        <v>2</v>
      </c>
      <c r="E6686" t="str">
        <f t="shared" si="228"/>
        <v>C</v>
      </c>
      <c r="F6686" t="str">
        <f t="shared" si="229"/>
        <v>2C</v>
      </c>
    </row>
    <row r="6687" spans="1:6" x14ac:dyDescent="0.2">
      <c r="A6687">
        <v>3</v>
      </c>
      <c r="E6687" t="str">
        <f t="shared" si="228"/>
        <v>D</v>
      </c>
      <c r="F6687" t="str">
        <f t="shared" si="229"/>
        <v>3D</v>
      </c>
    </row>
    <row r="6688" spans="1:6" x14ac:dyDescent="0.2">
      <c r="A6688">
        <v>4</v>
      </c>
      <c r="E6688" t="str">
        <f t="shared" si="228"/>
        <v>E</v>
      </c>
      <c r="F6688" t="str">
        <f t="shared" si="229"/>
        <v>4E</v>
      </c>
    </row>
    <row r="6689" spans="1:6" x14ac:dyDescent="0.2">
      <c r="A6689">
        <v>5</v>
      </c>
      <c r="E6689" t="str">
        <f t="shared" si="228"/>
        <v>F</v>
      </c>
      <c r="F6689" t="str">
        <f t="shared" si="229"/>
        <v>5F</v>
      </c>
    </row>
    <row r="6690" spans="1:6" x14ac:dyDescent="0.2">
      <c r="A6690">
        <v>6</v>
      </c>
      <c r="E6690" t="str">
        <f t="shared" si="228"/>
        <v>G</v>
      </c>
      <c r="F6690" t="str">
        <f t="shared" si="229"/>
        <v>6G</v>
      </c>
    </row>
    <row r="6691" spans="1:6" x14ac:dyDescent="0.2">
      <c r="A6691">
        <v>7</v>
      </c>
      <c r="E6691" t="str">
        <f t="shared" si="228"/>
        <v>H</v>
      </c>
      <c r="F6691" t="str">
        <f t="shared" si="229"/>
        <v>7H</v>
      </c>
    </row>
    <row r="6692" spans="1:6" x14ac:dyDescent="0.2">
      <c r="A6692">
        <v>8</v>
      </c>
      <c r="E6692" t="str">
        <f t="shared" si="228"/>
        <v>I</v>
      </c>
      <c r="F6692" t="str">
        <f t="shared" si="229"/>
        <v>8I</v>
      </c>
    </row>
    <row r="6693" spans="1:6" x14ac:dyDescent="0.2">
      <c r="A6693">
        <v>9</v>
      </c>
      <c r="E6693" t="str">
        <f t="shared" si="228"/>
        <v>J</v>
      </c>
      <c r="F6693" t="str">
        <f t="shared" si="229"/>
        <v>9J</v>
      </c>
    </row>
    <row r="6694" spans="1:6" x14ac:dyDescent="0.2">
      <c r="A6694">
        <v>10</v>
      </c>
      <c r="E6694" t="str">
        <f t="shared" si="228"/>
        <v>K</v>
      </c>
      <c r="F6694" t="str">
        <f t="shared" si="229"/>
        <v>10K</v>
      </c>
    </row>
    <row r="6695" spans="1:6" x14ac:dyDescent="0.2">
      <c r="A6695">
        <v>11</v>
      </c>
      <c r="E6695" t="str">
        <f t="shared" si="228"/>
        <v>L</v>
      </c>
      <c r="F6695" t="str">
        <f t="shared" si="229"/>
        <v>11L</v>
      </c>
    </row>
    <row r="6696" spans="1:6" x14ac:dyDescent="0.2">
      <c r="A6696">
        <v>12</v>
      </c>
      <c r="E6696" t="str">
        <f t="shared" si="228"/>
        <v>M</v>
      </c>
      <c r="F6696" t="str">
        <f t="shared" si="229"/>
        <v>12M</v>
      </c>
    </row>
    <row r="6697" spans="1:6" x14ac:dyDescent="0.2">
      <c r="A6697">
        <v>13</v>
      </c>
      <c r="E6697" t="str">
        <f t="shared" si="228"/>
        <v>N</v>
      </c>
      <c r="F6697" t="str">
        <f t="shared" si="229"/>
        <v>13N</v>
      </c>
    </row>
    <row r="6698" spans="1:6" x14ac:dyDescent="0.2">
      <c r="A6698">
        <v>14</v>
      </c>
      <c r="E6698" t="str">
        <f t="shared" si="228"/>
        <v>O</v>
      </c>
      <c r="F6698" t="str">
        <f t="shared" si="229"/>
        <v>14O</v>
      </c>
    </row>
    <row r="6699" spans="1:6" x14ac:dyDescent="0.2">
      <c r="A6699">
        <v>15</v>
      </c>
      <c r="E6699" t="str">
        <f t="shared" si="228"/>
        <v>P</v>
      </c>
      <c r="F6699" t="str">
        <f t="shared" si="229"/>
        <v>15P</v>
      </c>
    </row>
    <row r="6700" spans="1:6" x14ac:dyDescent="0.2">
      <c r="A6700">
        <v>16</v>
      </c>
      <c r="E6700" t="str">
        <f t="shared" si="228"/>
        <v>Q</v>
      </c>
      <c r="F6700" t="str">
        <f t="shared" si="229"/>
        <v>16Q</v>
      </c>
    </row>
    <row r="6701" spans="1:6" x14ac:dyDescent="0.2">
      <c r="A6701">
        <v>17</v>
      </c>
      <c r="E6701" t="str">
        <f t="shared" si="228"/>
        <v>R</v>
      </c>
      <c r="F6701" t="str">
        <f t="shared" si="229"/>
        <v>17R</v>
      </c>
    </row>
    <row r="6702" spans="1:6" x14ac:dyDescent="0.2">
      <c r="A6702">
        <v>18</v>
      </c>
      <c r="E6702" t="str">
        <f t="shared" si="228"/>
        <v>S</v>
      </c>
      <c r="F6702" t="str">
        <f t="shared" si="229"/>
        <v>18S</v>
      </c>
    </row>
    <row r="6703" spans="1:6" x14ac:dyDescent="0.2">
      <c r="A6703">
        <v>19</v>
      </c>
      <c r="E6703" t="str">
        <f t="shared" si="228"/>
        <v>T</v>
      </c>
      <c r="F6703" t="str">
        <f t="shared" si="229"/>
        <v>19T</v>
      </c>
    </row>
    <row r="6704" spans="1:6" x14ac:dyDescent="0.2">
      <c r="A6704">
        <v>20</v>
      </c>
      <c r="E6704" t="str">
        <f t="shared" ref="E6704:E6767" si="230">E6678</f>
        <v>U</v>
      </c>
      <c r="F6704" t="str">
        <f t="shared" si="229"/>
        <v>20U</v>
      </c>
    </row>
    <row r="6705" spans="1:6" x14ac:dyDescent="0.2">
      <c r="A6705">
        <v>21</v>
      </c>
      <c r="E6705" t="str">
        <f t="shared" si="230"/>
        <v>V</v>
      </c>
      <c r="F6705" t="str">
        <f t="shared" si="229"/>
        <v>21V</v>
      </c>
    </row>
    <row r="6706" spans="1:6" x14ac:dyDescent="0.2">
      <c r="A6706">
        <v>22</v>
      </c>
      <c r="E6706" t="str">
        <f t="shared" si="230"/>
        <v>W</v>
      </c>
      <c r="F6706" t="str">
        <f t="shared" si="229"/>
        <v>22W</v>
      </c>
    </row>
    <row r="6707" spans="1:6" x14ac:dyDescent="0.2">
      <c r="A6707">
        <v>23</v>
      </c>
      <c r="E6707" t="str">
        <f t="shared" si="230"/>
        <v>X</v>
      </c>
      <c r="F6707" t="str">
        <f t="shared" si="229"/>
        <v>23X</v>
      </c>
    </row>
    <row r="6708" spans="1:6" x14ac:dyDescent="0.2">
      <c r="A6708">
        <v>24</v>
      </c>
      <c r="E6708" t="str">
        <f t="shared" si="230"/>
        <v>Y</v>
      </c>
      <c r="F6708" t="str">
        <f t="shared" si="229"/>
        <v>24Y</v>
      </c>
    </row>
    <row r="6709" spans="1:6" x14ac:dyDescent="0.2">
      <c r="A6709">
        <v>25</v>
      </c>
      <c r="E6709" t="str">
        <f t="shared" si="230"/>
        <v>Z</v>
      </c>
      <c r="F6709" t="str">
        <f t="shared" si="229"/>
        <v>25Z</v>
      </c>
    </row>
    <row r="6710" spans="1:6" x14ac:dyDescent="0.2">
      <c r="A6710">
        <v>0</v>
      </c>
      <c r="E6710" t="str">
        <f t="shared" si="230"/>
        <v>A</v>
      </c>
      <c r="F6710" t="str">
        <f t="shared" si="229"/>
        <v>0A</v>
      </c>
    </row>
    <row r="6711" spans="1:6" x14ac:dyDescent="0.2">
      <c r="A6711">
        <v>1</v>
      </c>
      <c r="E6711" t="str">
        <f t="shared" si="230"/>
        <v>B</v>
      </c>
      <c r="F6711" t="str">
        <f t="shared" si="229"/>
        <v>1B</v>
      </c>
    </row>
    <row r="6712" spans="1:6" x14ac:dyDescent="0.2">
      <c r="A6712">
        <v>2</v>
      </c>
      <c r="E6712" t="str">
        <f t="shared" si="230"/>
        <v>C</v>
      </c>
      <c r="F6712" t="str">
        <f t="shared" si="229"/>
        <v>2C</v>
      </c>
    </row>
    <row r="6713" spans="1:6" x14ac:dyDescent="0.2">
      <c r="A6713">
        <v>3</v>
      </c>
      <c r="E6713" t="str">
        <f t="shared" si="230"/>
        <v>D</v>
      </c>
      <c r="F6713" t="str">
        <f t="shared" si="229"/>
        <v>3D</v>
      </c>
    </row>
    <row r="6714" spans="1:6" x14ac:dyDescent="0.2">
      <c r="A6714">
        <v>4</v>
      </c>
      <c r="E6714" t="str">
        <f t="shared" si="230"/>
        <v>E</v>
      </c>
      <c r="F6714" t="str">
        <f t="shared" si="229"/>
        <v>4E</v>
      </c>
    </row>
    <row r="6715" spans="1:6" x14ac:dyDescent="0.2">
      <c r="A6715">
        <v>5</v>
      </c>
      <c r="E6715" t="str">
        <f t="shared" si="230"/>
        <v>F</v>
      </c>
      <c r="F6715" t="str">
        <f t="shared" si="229"/>
        <v>5F</v>
      </c>
    </row>
    <row r="6716" spans="1:6" x14ac:dyDescent="0.2">
      <c r="A6716">
        <v>6</v>
      </c>
      <c r="E6716" t="str">
        <f t="shared" si="230"/>
        <v>G</v>
      </c>
      <c r="F6716" t="str">
        <f t="shared" si="229"/>
        <v>6G</v>
      </c>
    </row>
    <row r="6717" spans="1:6" x14ac:dyDescent="0.2">
      <c r="A6717">
        <v>7</v>
      </c>
      <c r="E6717" t="str">
        <f t="shared" si="230"/>
        <v>H</v>
      </c>
      <c r="F6717" t="str">
        <f t="shared" si="229"/>
        <v>7H</v>
      </c>
    </row>
    <row r="6718" spans="1:6" x14ac:dyDescent="0.2">
      <c r="A6718">
        <v>8</v>
      </c>
      <c r="E6718" t="str">
        <f t="shared" si="230"/>
        <v>I</v>
      </c>
      <c r="F6718" t="str">
        <f t="shared" si="229"/>
        <v>8I</v>
      </c>
    </row>
    <row r="6719" spans="1:6" x14ac:dyDescent="0.2">
      <c r="A6719">
        <v>9</v>
      </c>
      <c r="E6719" t="str">
        <f t="shared" si="230"/>
        <v>J</v>
      </c>
      <c r="F6719" t="str">
        <f t="shared" si="229"/>
        <v>9J</v>
      </c>
    </row>
    <row r="6720" spans="1:6" x14ac:dyDescent="0.2">
      <c r="A6720">
        <v>10</v>
      </c>
      <c r="E6720" t="str">
        <f t="shared" si="230"/>
        <v>K</v>
      </c>
      <c r="F6720" t="str">
        <f t="shared" si="229"/>
        <v>10K</v>
      </c>
    </row>
    <row r="6721" spans="1:6" x14ac:dyDescent="0.2">
      <c r="A6721">
        <v>11</v>
      </c>
      <c r="E6721" t="str">
        <f t="shared" si="230"/>
        <v>L</v>
      </c>
      <c r="F6721" t="str">
        <f t="shared" si="229"/>
        <v>11L</v>
      </c>
    </row>
    <row r="6722" spans="1:6" x14ac:dyDescent="0.2">
      <c r="A6722">
        <v>12</v>
      </c>
      <c r="E6722" t="str">
        <f t="shared" si="230"/>
        <v>M</v>
      </c>
      <c r="F6722" t="str">
        <f t="shared" si="229"/>
        <v>12M</v>
      </c>
    </row>
    <row r="6723" spans="1:6" x14ac:dyDescent="0.2">
      <c r="A6723">
        <v>13</v>
      </c>
      <c r="E6723" t="str">
        <f t="shared" si="230"/>
        <v>N</v>
      </c>
      <c r="F6723" t="str">
        <f t="shared" si="229"/>
        <v>13N</v>
      </c>
    </row>
    <row r="6724" spans="1:6" x14ac:dyDescent="0.2">
      <c r="A6724">
        <v>14</v>
      </c>
      <c r="E6724" t="str">
        <f t="shared" si="230"/>
        <v>O</v>
      </c>
      <c r="F6724" t="str">
        <f t="shared" si="229"/>
        <v>14O</v>
      </c>
    </row>
    <row r="6725" spans="1:6" x14ac:dyDescent="0.2">
      <c r="A6725">
        <v>15</v>
      </c>
      <c r="E6725" t="str">
        <f t="shared" si="230"/>
        <v>P</v>
      </c>
      <c r="F6725" t="str">
        <f t="shared" si="229"/>
        <v>15P</v>
      </c>
    </row>
    <row r="6726" spans="1:6" x14ac:dyDescent="0.2">
      <c r="A6726">
        <v>16</v>
      </c>
      <c r="E6726" t="str">
        <f t="shared" si="230"/>
        <v>Q</v>
      </c>
      <c r="F6726" t="str">
        <f t="shared" si="229"/>
        <v>16Q</v>
      </c>
    </row>
    <row r="6727" spans="1:6" x14ac:dyDescent="0.2">
      <c r="A6727">
        <v>17</v>
      </c>
      <c r="E6727" t="str">
        <f t="shared" si="230"/>
        <v>R</v>
      </c>
      <c r="F6727" t="str">
        <f t="shared" si="229"/>
        <v>17R</v>
      </c>
    </row>
    <row r="6728" spans="1:6" x14ac:dyDescent="0.2">
      <c r="A6728">
        <v>18</v>
      </c>
      <c r="E6728" t="str">
        <f t="shared" si="230"/>
        <v>S</v>
      </c>
      <c r="F6728" t="str">
        <f t="shared" si="229"/>
        <v>18S</v>
      </c>
    </row>
    <row r="6729" spans="1:6" x14ac:dyDescent="0.2">
      <c r="A6729">
        <v>19</v>
      </c>
      <c r="E6729" t="str">
        <f t="shared" si="230"/>
        <v>T</v>
      </c>
      <c r="F6729" t="str">
        <f t="shared" si="229"/>
        <v>19T</v>
      </c>
    </row>
    <row r="6730" spans="1:6" x14ac:dyDescent="0.2">
      <c r="A6730">
        <v>20</v>
      </c>
      <c r="E6730" t="str">
        <f t="shared" si="230"/>
        <v>U</v>
      </c>
      <c r="F6730" t="str">
        <f t="shared" si="229"/>
        <v>20U</v>
      </c>
    </row>
    <row r="6731" spans="1:6" x14ac:dyDescent="0.2">
      <c r="A6731">
        <v>21</v>
      </c>
      <c r="E6731" t="str">
        <f t="shared" si="230"/>
        <v>V</v>
      </c>
      <c r="F6731" t="str">
        <f t="shared" si="229"/>
        <v>21V</v>
      </c>
    </row>
    <row r="6732" spans="1:6" x14ac:dyDescent="0.2">
      <c r="A6732">
        <v>22</v>
      </c>
      <c r="E6732" t="str">
        <f t="shared" si="230"/>
        <v>W</v>
      </c>
      <c r="F6732" t="str">
        <f t="shared" si="229"/>
        <v>22W</v>
      </c>
    </row>
    <row r="6733" spans="1:6" x14ac:dyDescent="0.2">
      <c r="A6733">
        <v>23</v>
      </c>
      <c r="E6733" t="str">
        <f t="shared" si="230"/>
        <v>X</v>
      </c>
      <c r="F6733" t="str">
        <f t="shared" si="229"/>
        <v>23X</v>
      </c>
    </row>
    <row r="6734" spans="1:6" x14ac:dyDescent="0.2">
      <c r="A6734">
        <v>24</v>
      </c>
      <c r="E6734" t="str">
        <f t="shared" si="230"/>
        <v>Y</v>
      </c>
      <c r="F6734" t="str">
        <f t="shared" si="229"/>
        <v>24Y</v>
      </c>
    </row>
    <row r="6735" spans="1:6" x14ac:dyDescent="0.2">
      <c r="A6735">
        <v>25</v>
      </c>
      <c r="E6735" t="str">
        <f t="shared" si="230"/>
        <v>Z</v>
      </c>
      <c r="F6735" t="str">
        <f t="shared" si="229"/>
        <v>25Z</v>
      </c>
    </row>
    <row r="6736" spans="1:6" x14ac:dyDescent="0.2">
      <c r="A6736">
        <v>0</v>
      </c>
      <c r="E6736" t="str">
        <f t="shared" si="230"/>
        <v>A</v>
      </c>
      <c r="F6736" t="str">
        <f t="shared" si="229"/>
        <v>0A</v>
      </c>
    </row>
    <row r="6737" spans="1:6" x14ac:dyDescent="0.2">
      <c r="A6737">
        <v>1</v>
      </c>
      <c r="E6737" t="str">
        <f t="shared" si="230"/>
        <v>B</v>
      </c>
      <c r="F6737" t="str">
        <f t="shared" si="229"/>
        <v>1B</v>
      </c>
    </row>
    <row r="6738" spans="1:6" x14ac:dyDescent="0.2">
      <c r="A6738">
        <v>2</v>
      </c>
      <c r="E6738" t="str">
        <f t="shared" si="230"/>
        <v>C</v>
      </c>
      <c r="F6738" t="str">
        <f t="shared" si="229"/>
        <v>2C</v>
      </c>
    </row>
    <row r="6739" spans="1:6" x14ac:dyDescent="0.2">
      <c r="A6739">
        <v>3</v>
      </c>
      <c r="E6739" t="str">
        <f t="shared" si="230"/>
        <v>D</v>
      </c>
      <c r="F6739" t="str">
        <f t="shared" si="229"/>
        <v>3D</v>
      </c>
    </row>
    <row r="6740" spans="1:6" x14ac:dyDescent="0.2">
      <c r="A6740">
        <v>4</v>
      </c>
      <c r="E6740" t="str">
        <f t="shared" si="230"/>
        <v>E</v>
      </c>
      <c r="F6740" t="str">
        <f t="shared" si="229"/>
        <v>4E</v>
      </c>
    </row>
    <row r="6741" spans="1:6" x14ac:dyDescent="0.2">
      <c r="A6741">
        <v>5</v>
      </c>
      <c r="E6741" t="str">
        <f t="shared" si="230"/>
        <v>F</v>
      </c>
      <c r="F6741" t="str">
        <f t="shared" si="229"/>
        <v>5F</v>
      </c>
    </row>
    <row r="6742" spans="1:6" x14ac:dyDescent="0.2">
      <c r="A6742">
        <v>6</v>
      </c>
      <c r="E6742" t="str">
        <f t="shared" si="230"/>
        <v>G</v>
      </c>
      <c r="F6742" t="str">
        <f t="shared" ref="F6742:F6805" si="231">A6742&amp;C6742&amp;E6742</f>
        <v>6G</v>
      </c>
    </row>
    <row r="6743" spans="1:6" x14ac:dyDescent="0.2">
      <c r="A6743">
        <v>7</v>
      </c>
      <c r="E6743" t="str">
        <f t="shared" si="230"/>
        <v>H</v>
      </c>
      <c r="F6743" t="str">
        <f t="shared" si="231"/>
        <v>7H</v>
      </c>
    </row>
    <row r="6744" spans="1:6" x14ac:dyDescent="0.2">
      <c r="A6744">
        <v>8</v>
      </c>
      <c r="E6744" t="str">
        <f t="shared" si="230"/>
        <v>I</v>
      </c>
      <c r="F6744" t="str">
        <f t="shared" si="231"/>
        <v>8I</v>
      </c>
    </row>
    <row r="6745" spans="1:6" x14ac:dyDescent="0.2">
      <c r="A6745">
        <v>9</v>
      </c>
      <c r="E6745" t="str">
        <f t="shared" si="230"/>
        <v>J</v>
      </c>
      <c r="F6745" t="str">
        <f t="shared" si="231"/>
        <v>9J</v>
      </c>
    </row>
    <row r="6746" spans="1:6" x14ac:dyDescent="0.2">
      <c r="A6746">
        <v>10</v>
      </c>
      <c r="E6746" t="str">
        <f t="shared" si="230"/>
        <v>K</v>
      </c>
      <c r="F6746" t="str">
        <f t="shared" si="231"/>
        <v>10K</v>
      </c>
    </row>
    <row r="6747" spans="1:6" x14ac:dyDescent="0.2">
      <c r="A6747">
        <v>11</v>
      </c>
      <c r="E6747" t="str">
        <f t="shared" si="230"/>
        <v>L</v>
      </c>
      <c r="F6747" t="str">
        <f t="shared" si="231"/>
        <v>11L</v>
      </c>
    </row>
    <row r="6748" spans="1:6" x14ac:dyDescent="0.2">
      <c r="A6748">
        <v>12</v>
      </c>
      <c r="E6748" t="str">
        <f t="shared" si="230"/>
        <v>M</v>
      </c>
      <c r="F6748" t="str">
        <f t="shared" si="231"/>
        <v>12M</v>
      </c>
    </row>
    <row r="6749" spans="1:6" x14ac:dyDescent="0.2">
      <c r="A6749">
        <v>13</v>
      </c>
      <c r="E6749" t="str">
        <f t="shared" si="230"/>
        <v>N</v>
      </c>
      <c r="F6749" t="str">
        <f t="shared" si="231"/>
        <v>13N</v>
      </c>
    </row>
    <row r="6750" spans="1:6" x14ac:dyDescent="0.2">
      <c r="A6750">
        <v>14</v>
      </c>
      <c r="E6750" t="str">
        <f t="shared" si="230"/>
        <v>O</v>
      </c>
      <c r="F6750" t="str">
        <f t="shared" si="231"/>
        <v>14O</v>
      </c>
    </row>
    <row r="6751" spans="1:6" x14ac:dyDescent="0.2">
      <c r="A6751">
        <v>15</v>
      </c>
      <c r="E6751" t="str">
        <f t="shared" si="230"/>
        <v>P</v>
      </c>
      <c r="F6751" t="str">
        <f t="shared" si="231"/>
        <v>15P</v>
      </c>
    </row>
    <row r="6752" spans="1:6" x14ac:dyDescent="0.2">
      <c r="A6752">
        <v>16</v>
      </c>
      <c r="E6752" t="str">
        <f t="shared" si="230"/>
        <v>Q</v>
      </c>
      <c r="F6752" t="str">
        <f t="shared" si="231"/>
        <v>16Q</v>
      </c>
    </row>
    <row r="6753" spans="1:6" x14ac:dyDescent="0.2">
      <c r="A6753">
        <v>17</v>
      </c>
      <c r="E6753" t="str">
        <f t="shared" si="230"/>
        <v>R</v>
      </c>
      <c r="F6753" t="str">
        <f t="shared" si="231"/>
        <v>17R</v>
      </c>
    </row>
    <row r="6754" spans="1:6" x14ac:dyDescent="0.2">
      <c r="A6754">
        <v>18</v>
      </c>
      <c r="E6754" t="str">
        <f t="shared" si="230"/>
        <v>S</v>
      </c>
      <c r="F6754" t="str">
        <f t="shared" si="231"/>
        <v>18S</v>
      </c>
    </row>
    <row r="6755" spans="1:6" x14ac:dyDescent="0.2">
      <c r="A6755">
        <v>19</v>
      </c>
      <c r="E6755" t="str">
        <f t="shared" si="230"/>
        <v>T</v>
      </c>
      <c r="F6755" t="str">
        <f t="shared" si="231"/>
        <v>19T</v>
      </c>
    </row>
    <row r="6756" spans="1:6" x14ac:dyDescent="0.2">
      <c r="A6756">
        <v>20</v>
      </c>
      <c r="E6756" t="str">
        <f t="shared" si="230"/>
        <v>U</v>
      </c>
      <c r="F6756" t="str">
        <f t="shared" si="231"/>
        <v>20U</v>
      </c>
    </row>
    <row r="6757" spans="1:6" x14ac:dyDescent="0.2">
      <c r="A6757">
        <v>21</v>
      </c>
      <c r="E6757" t="str">
        <f t="shared" si="230"/>
        <v>V</v>
      </c>
      <c r="F6757" t="str">
        <f t="shared" si="231"/>
        <v>21V</v>
      </c>
    </row>
    <row r="6758" spans="1:6" x14ac:dyDescent="0.2">
      <c r="A6758">
        <v>22</v>
      </c>
      <c r="E6758" t="str">
        <f t="shared" si="230"/>
        <v>W</v>
      </c>
      <c r="F6758" t="str">
        <f t="shared" si="231"/>
        <v>22W</v>
      </c>
    </row>
    <row r="6759" spans="1:6" x14ac:dyDescent="0.2">
      <c r="A6759">
        <v>23</v>
      </c>
      <c r="E6759" t="str">
        <f t="shared" si="230"/>
        <v>X</v>
      </c>
      <c r="F6759" t="str">
        <f t="shared" si="231"/>
        <v>23X</v>
      </c>
    </row>
    <row r="6760" spans="1:6" x14ac:dyDescent="0.2">
      <c r="A6760">
        <v>24</v>
      </c>
      <c r="E6760" t="str">
        <f t="shared" si="230"/>
        <v>Y</v>
      </c>
      <c r="F6760" t="str">
        <f t="shared" si="231"/>
        <v>24Y</v>
      </c>
    </row>
    <row r="6761" spans="1:6" x14ac:dyDescent="0.2">
      <c r="A6761">
        <v>25</v>
      </c>
      <c r="E6761" t="str">
        <f t="shared" si="230"/>
        <v>Z</v>
      </c>
      <c r="F6761" t="str">
        <f t="shared" si="231"/>
        <v>25Z</v>
      </c>
    </row>
    <row r="6762" spans="1:6" x14ac:dyDescent="0.2">
      <c r="A6762">
        <v>0</v>
      </c>
      <c r="E6762" t="str">
        <f t="shared" si="230"/>
        <v>A</v>
      </c>
      <c r="F6762" t="str">
        <f t="shared" si="231"/>
        <v>0A</v>
      </c>
    </row>
    <row r="6763" spans="1:6" x14ac:dyDescent="0.2">
      <c r="A6763">
        <v>1</v>
      </c>
      <c r="E6763" t="str">
        <f t="shared" si="230"/>
        <v>B</v>
      </c>
      <c r="F6763" t="str">
        <f t="shared" si="231"/>
        <v>1B</v>
      </c>
    </row>
    <row r="6764" spans="1:6" x14ac:dyDescent="0.2">
      <c r="A6764">
        <v>2</v>
      </c>
      <c r="E6764" t="str">
        <f t="shared" si="230"/>
        <v>C</v>
      </c>
      <c r="F6764" t="str">
        <f t="shared" si="231"/>
        <v>2C</v>
      </c>
    </row>
    <row r="6765" spans="1:6" x14ac:dyDescent="0.2">
      <c r="A6765">
        <v>3</v>
      </c>
      <c r="E6765" t="str">
        <f t="shared" si="230"/>
        <v>D</v>
      </c>
      <c r="F6765" t="str">
        <f t="shared" si="231"/>
        <v>3D</v>
      </c>
    </row>
    <row r="6766" spans="1:6" x14ac:dyDescent="0.2">
      <c r="A6766">
        <v>4</v>
      </c>
      <c r="E6766" t="str">
        <f t="shared" si="230"/>
        <v>E</v>
      </c>
      <c r="F6766" t="str">
        <f t="shared" si="231"/>
        <v>4E</v>
      </c>
    </row>
    <row r="6767" spans="1:6" x14ac:dyDescent="0.2">
      <c r="A6767">
        <v>5</v>
      </c>
      <c r="E6767" t="str">
        <f t="shared" si="230"/>
        <v>F</v>
      </c>
      <c r="F6767" t="str">
        <f t="shared" si="231"/>
        <v>5F</v>
      </c>
    </row>
    <row r="6768" spans="1:6" x14ac:dyDescent="0.2">
      <c r="A6768">
        <v>6</v>
      </c>
      <c r="E6768" t="str">
        <f t="shared" ref="E6768:E6831" si="232">E6742</f>
        <v>G</v>
      </c>
      <c r="F6768" t="str">
        <f t="shared" si="231"/>
        <v>6G</v>
      </c>
    </row>
    <row r="6769" spans="1:6" x14ac:dyDescent="0.2">
      <c r="A6769">
        <v>7</v>
      </c>
      <c r="E6769" t="str">
        <f t="shared" si="232"/>
        <v>H</v>
      </c>
      <c r="F6769" t="str">
        <f t="shared" si="231"/>
        <v>7H</v>
      </c>
    </row>
    <row r="6770" spans="1:6" x14ac:dyDescent="0.2">
      <c r="A6770">
        <v>8</v>
      </c>
      <c r="E6770" t="str">
        <f t="shared" si="232"/>
        <v>I</v>
      </c>
      <c r="F6770" t="str">
        <f t="shared" si="231"/>
        <v>8I</v>
      </c>
    </row>
    <row r="6771" spans="1:6" x14ac:dyDescent="0.2">
      <c r="A6771">
        <v>9</v>
      </c>
      <c r="E6771" t="str">
        <f t="shared" si="232"/>
        <v>J</v>
      </c>
      <c r="F6771" t="str">
        <f t="shared" si="231"/>
        <v>9J</v>
      </c>
    </row>
    <row r="6772" spans="1:6" x14ac:dyDescent="0.2">
      <c r="A6772">
        <v>10</v>
      </c>
      <c r="E6772" t="str">
        <f t="shared" si="232"/>
        <v>K</v>
      </c>
      <c r="F6772" t="str">
        <f t="shared" si="231"/>
        <v>10K</v>
      </c>
    </row>
    <row r="6773" spans="1:6" x14ac:dyDescent="0.2">
      <c r="A6773">
        <v>11</v>
      </c>
      <c r="E6773" t="str">
        <f t="shared" si="232"/>
        <v>L</v>
      </c>
      <c r="F6773" t="str">
        <f t="shared" si="231"/>
        <v>11L</v>
      </c>
    </row>
    <row r="6774" spans="1:6" x14ac:dyDescent="0.2">
      <c r="A6774">
        <v>12</v>
      </c>
      <c r="E6774" t="str">
        <f t="shared" si="232"/>
        <v>M</v>
      </c>
      <c r="F6774" t="str">
        <f t="shared" si="231"/>
        <v>12M</v>
      </c>
    </row>
    <row r="6775" spans="1:6" x14ac:dyDescent="0.2">
      <c r="A6775">
        <v>13</v>
      </c>
      <c r="E6775" t="str">
        <f t="shared" si="232"/>
        <v>N</v>
      </c>
      <c r="F6775" t="str">
        <f t="shared" si="231"/>
        <v>13N</v>
      </c>
    </row>
    <row r="6776" spans="1:6" x14ac:dyDescent="0.2">
      <c r="A6776">
        <v>14</v>
      </c>
      <c r="E6776" t="str">
        <f t="shared" si="232"/>
        <v>O</v>
      </c>
      <c r="F6776" t="str">
        <f t="shared" si="231"/>
        <v>14O</v>
      </c>
    </row>
    <row r="6777" spans="1:6" x14ac:dyDescent="0.2">
      <c r="A6777">
        <v>15</v>
      </c>
      <c r="E6777" t="str">
        <f t="shared" si="232"/>
        <v>P</v>
      </c>
      <c r="F6777" t="str">
        <f t="shared" si="231"/>
        <v>15P</v>
      </c>
    </row>
    <row r="6778" spans="1:6" x14ac:dyDescent="0.2">
      <c r="A6778">
        <v>16</v>
      </c>
      <c r="E6778" t="str">
        <f t="shared" si="232"/>
        <v>Q</v>
      </c>
      <c r="F6778" t="str">
        <f t="shared" si="231"/>
        <v>16Q</v>
      </c>
    </row>
    <row r="6779" spans="1:6" x14ac:dyDescent="0.2">
      <c r="A6779">
        <v>17</v>
      </c>
      <c r="E6779" t="str">
        <f t="shared" si="232"/>
        <v>R</v>
      </c>
      <c r="F6779" t="str">
        <f t="shared" si="231"/>
        <v>17R</v>
      </c>
    </row>
    <row r="6780" spans="1:6" x14ac:dyDescent="0.2">
      <c r="A6780">
        <v>18</v>
      </c>
      <c r="E6780" t="str">
        <f t="shared" si="232"/>
        <v>S</v>
      </c>
      <c r="F6780" t="str">
        <f t="shared" si="231"/>
        <v>18S</v>
      </c>
    </row>
    <row r="6781" spans="1:6" x14ac:dyDescent="0.2">
      <c r="A6781">
        <v>19</v>
      </c>
      <c r="E6781" t="str">
        <f t="shared" si="232"/>
        <v>T</v>
      </c>
      <c r="F6781" t="str">
        <f t="shared" si="231"/>
        <v>19T</v>
      </c>
    </row>
    <row r="6782" spans="1:6" x14ac:dyDescent="0.2">
      <c r="A6782">
        <v>20</v>
      </c>
      <c r="E6782" t="str">
        <f t="shared" si="232"/>
        <v>U</v>
      </c>
      <c r="F6782" t="str">
        <f t="shared" si="231"/>
        <v>20U</v>
      </c>
    </row>
    <row r="6783" spans="1:6" x14ac:dyDescent="0.2">
      <c r="A6783">
        <v>21</v>
      </c>
      <c r="E6783" t="str">
        <f t="shared" si="232"/>
        <v>V</v>
      </c>
      <c r="F6783" t="str">
        <f t="shared" si="231"/>
        <v>21V</v>
      </c>
    </row>
    <row r="6784" spans="1:6" x14ac:dyDescent="0.2">
      <c r="A6784">
        <v>22</v>
      </c>
      <c r="E6784" t="str">
        <f t="shared" si="232"/>
        <v>W</v>
      </c>
      <c r="F6784" t="str">
        <f t="shared" si="231"/>
        <v>22W</v>
      </c>
    </row>
    <row r="6785" spans="1:6" x14ac:dyDescent="0.2">
      <c r="A6785">
        <v>23</v>
      </c>
      <c r="E6785" t="str">
        <f t="shared" si="232"/>
        <v>X</v>
      </c>
      <c r="F6785" t="str">
        <f t="shared" si="231"/>
        <v>23X</v>
      </c>
    </row>
    <row r="6786" spans="1:6" x14ac:dyDescent="0.2">
      <c r="A6786">
        <v>24</v>
      </c>
      <c r="E6786" t="str">
        <f t="shared" si="232"/>
        <v>Y</v>
      </c>
      <c r="F6786" t="str">
        <f t="shared" si="231"/>
        <v>24Y</v>
      </c>
    </row>
    <row r="6787" spans="1:6" x14ac:dyDescent="0.2">
      <c r="A6787">
        <v>25</v>
      </c>
      <c r="E6787" t="str">
        <f t="shared" si="232"/>
        <v>Z</v>
      </c>
      <c r="F6787" t="str">
        <f t="shared" si="231"/>
        <v>25Z</v>
      </c>
    </row>
    <row r="6788" spans="1:6" x14ac:dyDescent="0.2">
      <c r="A6788">
        <v>0</v>
      </c>
      <c r="E6788" t="str">
        <f t="shared" si="232"/>
        <v>A</v>
      </c>
      <c r="F6788" t="str">
        <f t="shared" si="231"/>
        <v>0A</v>
      </c>
    </row>
    <row r="6789" spans="1:6" x14ac:dyDescent="0.2">
      <c r="A6789">
        <v>1</v>
      </c>
      <c r="E6789" t="str">
        <f t="shared" si="232"/>
        <v>B</v>
      </c>
      <c r="F6789" t="str">
        <f t="shared" si="231"/>
        <v>1B</v>
      </c>
    </row>
    <row r="6790" spans="1:6" x14ac:dyDescent="0.2">
      <c r="A6790">
        <v>2</v>
      </c>
      <c r="E6790" t="str">
        <f t="shared" si="232"/>
        <v>C</v>
      </c>
      <c r="F6790" t="str">
        <f t="shared" si="231"/>
        <v>2C</v>
      </c>
    </row>
    <row r="6791" spans="1:6" x14ac:dyDescent="0.2">
      <c r="A6791">
        <v>3</v>
      </c>
      <c r="E6791" t="str">
        <f t="shared" si="232"/>
        <v>D</v>
      </c>
      <c r="F6791" t="str">
        <f t="shared" si="231"/>
        <v>3D</v>
      </c>
    </row>
    <row r="6792" spans="1:6" x14ac:dyDescent="0.2">
      <c r="A6792">
        <v>4</v>
      </c>
      <c r="E6792" t="str">
        <f t="shared" si="232"/>
        <v>E</v>
      </c>
      <c r="F6792" t="str">
        <f t="shared" si="231"/>
        <v>4E</v>
      </c>
    </row>
    <row r="6793" spans="1:6" x14ac:dyDescent="0.2">
      <c r="A6793">
        <v>5</v>
      </c>
      <c r="E6793" t="str">
        <f t="shared" si="232"/>
        <v>F</v>
      </c>
      <c r="F6793" t="str">
        <f t="shared" si="231"/>
        <v>5F</v>
      </c>
    </row>
    <row r="6794" spans="1:6" x14ac:dyDescent="0.2">
      <c r="A6794">
        <v>6</v>
      </c>
      <c r="E6794" t="str">
        <f t="shared" si="232"/>
        <v>G</v>
      </c>
      <c r="F6794" t="str">
        <f t="shared" si="231"/>
        <v>6G</v>
      </c>
    </row>
    <row r="6795" spans="1:6" x14ac:dyDescent="0.2">
      <c r="A6795">
        <v>7</v>
      </c>
      <c r="E6795" t="str">
        <f t="shared" si="232"/>
        <v>H</v>
      </c>
      <c r="F6795" t="str">
        <f t="shared" si="231"/>
        <v>7H</v>
      </c>
    </row>
    <row r="6796" spans="1:6" x14ac:dyDescent="0.2">
      <c r="A6796">
        <v>8</v>
      </c>
      <c r="E6796" t="str">
        <f t="shared" si="232"/>
        <v>I</v>
      </c>
      <c r="F6796" t="str">
        <f t="shared" si="231"/>
        <v>8I</v>
      </c>
    </row>
    <row r="6797" spans="1:6" x14ac:dyDescent="0.2">
      <c r="A6797">
        <v>9</v>
      </c>
      <c r="E6797" t="str">
        <f t="shared" si="232"/>
        <v>J</v>
      </c>
      <c r="F6797" t="str">
        <f t="shared" si="231"/>
        <v>9J</v>
      </c>
    </row>
    <row r="6798" spans="1:6" x14ac:dyDescent="0.2">
      <c r="A6798">
        <v>10</v>
      </c>
      <c r="E6798" t="str">
        <f t="shared" si="232"/>
        <v>K</v>
      </c>
      <c r="F6798" t="str">
        <f t="shared" si="231"/>
        <v>10K</v>
      </c>
    </row>
    <row r="6799" spans="1:6" x14ac:dyDescent="0.2">
      <c r="A6799">
        <v>11</v>
      </c>
      <c r="E6799" t="str">
        <f t="shared" si="232"/>
        <v>L</v>
      </c>
      <c r="F6799" t="str">
        <f t="shared" si="231"/>
        <v>11L</v>
      </c>
    </row>
    <row r="6800" spans="1:6" x14ac:dyDescent="0.2">
      <c r="A6800">
        <v>12</v>
      </c>
      <c r="E6800" t="str">
        <f t="shared" si="232"/>
        <v>M</v>
      </c>
      <c r="F6800" t="str">
        <f t="shared" si="231"/>
        <v>12M</v>
      </c>
    </row>
    <row r="6801" spans="1:6" x14ac:dyDescent="0.2">
      <c r="A6801">
        <v>13</v>
      </c>
      <c r="E6801" t="str">
        <f t="shared" si="232"/>
        <v>N</v>
      </c>
      <c r="F6801" t="str">
        <f t="shared" si="231"/>
        <v>13N</v>
      </c>
    </row>
    <row r="6802" spans="1:6" x14ac:dyDescent="0.2">
      <c r="A6802">
        <v>14</v>
      </c>
      <c r="E6802" t="str">
        <f t="shared" si="232"/>
        <v>O</v>
      </c>
      <c r="F6802" t="str">
        <f t="shared" si="231"/>
        <v>14O</v>
      </c>
    </row>
    <row r="6803" spans="1:6" x14ac:dyDescent="0.2">
      <c r="A6803">
        <v>15</v>
      </c>
      <c r="E6803" t="str">
        <f t="shared" si="232"/>
        <v>P</v>
      </c>
      <c r="F6803" t="str">
        <f t="shared" si="231"/>
        <v>15P</v>
      </c>
    </row>
    <row r="6804" spans="1:6" x14ac:dyDescent="0.2">
      <c r="A6804">
        <v>16</v>
      </c>
      <c r="E6804" t="str">
        <f t="shared" si="232"/>
        <v>Q</v>
      </c>
      <c r="F6804" t="str">
        <f t="shared" si="231"/>
        <v>16Q</v>
      </c>
    </row>
    <row r="6805" spans="1:6" x14ac:dyDescent="0.2">
      <c r="A6805">
        <v>17</v>
      </c>
      <c r="E6805" t="str">
        <f t="shared" si="232"/>
        <v>R</v>
      </c>
      <c r="F6805" t="str">
        <f t="shared" si="231"/>
        <v>17R</v>
      </c>
    </row>
    <row r="6806" spans="1:6" x14ac:dyDescent="0.2">
      <c r="A6806">
        <v>18</v>
      </c>
      <c r="E6806" t="str">
        <f t="shared" si="232"/>
        <v>S</v>
      </c>
      <c r="F6806" t="str">
        <f t="shared" ref="F6806:F6869" si="233">A6806&amp;C6806&amp;E6806</f>
        <v>18S</v>
      </c>
    </row>
    <row r="6807" spans="1:6" x14ac:dyDescent="0.2">
      <c r="A6807">
        <v>19</v>
      </c>
      <c r="E6807" t="str">
        <f t="shared" si="232"/>
        <v>T</v>
      </c>
      <c r="F6807" t="str">
        <f t="shared" si="233"/>
        <v>19T</v>
      </c>
    </row>
    <row r="6808" spans="1:6" x14ac:dyDescent="0.2">
      <c r="A6808">
        <v>20</v>
      </c>
      <c r="E6808" t="str">
        <f t="shared" si="232"/>
        <v>U</v>
      </c>
      <c r="F6808" t="str">
        <f t="shared" si="233"/>
        <v>20U</v>
      </c>
    </row>
    <row r="6809" spans="1:6" x14ac:dyDescent="0.2">
      <c r="A6809">
        <v>21</v>
      </c>
      <c r="E6809" t="str">
        <f t="shared" si="232"/>
        <v>V</v>
      </c>
      <c r="F6809" t="str">
        <f t="shared" si="233"/>
        <v>21V</v>
      </c>
    </row>
    <row r="6810" spans="1:6" x14ac:dyDescent="0.2">
      <c r="A6810">
        <v>22</v>
      </c>
      <c r="E6810" t="str">
        <f t="shared" si="232"/>
        <v>W</v>
      </c>
      <c r="F6810" t="str">
        <f t="shared" si="233"/>
        <v>22W</v>
      </c>
    </row>
    <row r="6811" spans="1:6" x14ac:dyDescent="0.2">
      <c r="A6811">
        <v>23</v>
      </c>
      <c r="E6811" t="str">
        <f t="shared" si="232"/>
        <v>X</v>
      </c>
      <c r="F6811" t="str">
        <f t="shared" si="233"/>
        <v>23X</v>
      </c>
    </row>
    <row r="6812" spans="1:6" x14ac:dyDescent="0.2">
      <c r="A6812">
        <v>24</v>
      </c>
      <c r="E6812" t="str">
        <f t="shared" si="232"/>
        <v>Y</v>
      </c>
      <c r="F6812" t="str">
        <f t="shared" si="233"/>
        <v>24Y</v>
      </c>
    </row>
    <row r="6813" spans="1:6" x14ac:dyDescent="0.2">
      <c r="A6813">
        <v>25</v>
      </c>
      <c r="E6813" t="str">
        <f t="shared" si="232"/>
        <v>Z</v>
      </c>
      <c r="F6813" t="str">
        <f t="shared" si="233"/>
        <v>25Z</v>
      </c>
    </row>
    <row r="6814" spans="1:6" x14ac:dyDescent="0.2">
      <c r="A6814">
        <v>0</v>
      </c>
      <c r="E6814" t="str">
        <f t="shared" si="232"/>
        <v>A</v>
      </c>
      <c r="F6814" t="str">
        <f t="shared" si="233"/>
        <v>0A</v>
      </c>
    </row>
    <row r="6815" spans="1:6" x14ac:dyDescent="0.2">
      <c r="A6815">
        <v>1</v>
      </c>
      <c r="E6815" t="str">
        <f t="shared" si="232"/>
        <v>B</v>
      </c>
      <c r="F6815" t="str">
        <f t="shared" si="233"/>
        <v>1B</v>
      </c>
    </row>
    <row r="6816" spans="1:6" x14ac:dyDescent="0.2">
      <c r="A6816">
        <v>2</v>
      </c>
      <c r="E6816" t="str">
        <f t="shared" si="232"/>
        <v>C</v>
      </c>
      <c r="F6816" t="str">
        <f t="shared" si="233"/>
        <v>2C</v>
      </c>
    </row>
    <row r="6817" spans="1:6" x14ac:dyDescent="0.2">
      <c r="A6817">
        <v>3</v>
      </c>
      <c r="E6817" t="str">
        <f t="shared" si="232"/>
        <v>D</v>
      </c>
      <c r="F6817" t="str">
        <f t="shared" si="233"/>
        <v>3D</v>
      </c>
    </row>
    <row r="6818" spans="1:6" x14ac:dyDescent="0.2">
      <c r="A6818">
        <v>4</v>
      </c>
      <c r="E6818" t="str">
        <f t="shared" si="232"/>
        <v>E</v>
      </c>
      <c r="F6818" t="str">
        <f t="shared" si="233"/>
        <v>4E</v>
      </c>
    </row>
    <row r="6819" spans="1:6" x14ac:dyDescent="0.2">
      <c r="A6819">
        <v>5</v>
      </c>
      <c r="E6819" t="str">
        <f t="shared" si="232"/>
        <v>F</v>
      </c>
      <c r="F6819" t="str">
        <f t="shared" si="233"/>
        <v>5F</v>
      </c>
    </row>
    <row r="6820" spans="1:6" x14ac:dyDescent="0.2">
      <c r="A6820">
        <v>6</v>
      </c>
      <c r="E6820" t="str">
        <f t="shared" si="232"/>
        <v>G</v>
      </c>
      <c r="F6820" t="str">
        <f t="shared" si="233"/>
        <v>6G</v>
      </c>
    </row>
    <row r="6821" spans="1:6" x14ac:dyDescent="0.2">
      <c r="A6821">
        <v>7</v>
      </c>
      <c r="E6821" t="str">
        <f t="shared" si="232"/>
        <v>H</v>
      </c>
      <c r="F6821" t="str">
        <f t="shared" si="233"/>
        <v>7H</v>
      </c>
    </row>
    <row r="6822" spans="1:6" x14ac:dyDescent="0.2">
      <c r="A6822">
        <v>8</v>
      </c>
      <c r="E6822" t="str">
        <f t="shared" si="232"/>
        <v>I</v>
      </c>
      <c r="F6822" t="str">
        <f t="shared" si="233"/>
        <v>8I</v>
      </c>
    </row>
    <row r="6823" spans="1:6" x14ac:dyDescent="0.2">
      <c r="A6823">
        <v>9</v>
      </c>
      <c r="E6823" t="str">
        <f t="shared" si="232"/>
        <v>J</v>
      </c>
      <c r="F6823" t="str">
        <f t="shared" si="233"/>
        <v>9J</v>
      </c>
    </row>
    <row r="6824" spans="1:6" x14ac:dyDescent="0.2">
      <c r="A6824">
        <v>10</v>
      </c>
      <c r="E6824" t="str">
        <f t="shared" si="232"/>
        <v>K</v>
      </c>
      <c r="F6824" t="str">
        <f t="shared" si="233"/>
        <v>10K</v>
      </c>
    </row>
    <row r="6825" spans="1:6" x14ac:dyDescent="0.2">
      <c r="A6825">
        <v>11</v>
      </c>
      <c r="E6825" t="str">
        <f t="shared" si="232"/>
        <v>L</v>
      </c>
      <c r="F6825" t="str">
        <f t="shared" si="233"/>
        <v>11L</v>
      </c>
    </row>
    <row r="6826" spans="1:6" x14ac:dyDescent="0.2">
      <c r="A6826">
        <v>12</v>
      </c>
      <c r="E6826" t="str">
        <f t="shared" si="232"/>
        <v>M</v>
      </c>
      <c r="F6826" t="str">
        <f t="shared" si="233"/>
        <v>12M</v>
      </c>
    </row>
    <row r="6827" spans="1:6" x14ac:dyDescent="0.2">
      <c r="A6827">
        <v>13</v>
      </c>
      <c r="E6827" t="str">
        <f t="shared" si="232"/>
        <v>N</v>
      </c>
      <c r="F6827" t="str">
        <f t="shared" si="233"/>
        <v>13N</v>
      </c>
    </row>
    <row r="6828" spans="1:6" x14ac:dyDescent="0.2">
      <c r="A6828">
        <v>14</v>
      </c>
      <c r="E6828" t="str">
        <f t="shared" si="232"/>
        <v>O</v>
      </c>
      <c r="F6828" t="str">
        <f t="shared" si="233"/>
        <v>14O</v>
      </c>
    </row>
    <row r="6829" spans="1:6" x14ac:dyDescent="0.2">
      <c r="A6829">
        <v>15</v>
      </c>
      <c r="E6829" t="str">
        <f t="shared" si="232"/>
        <v>P</v>
      </c>
      <c r="F6829" t="str">
        <f t="shared" si="233"/>
        <v>15P</v>
      </c>
    </row>
    <row r="6830" spans="1:6" x14ac:dyDescent="0.2">
      <c r="A6830">
        <v>16</v>
      </c>
      <c r="E6830" t="str">
        <f t="shared" si="232"/>
        <v>Q</v>
      </c>
      <c r="F6830" t="str">
        <f t="shared" si="233"/>
        <v>16Q</v>
      </c>
    </row>
    <row r="6831" spans="1:6" x14ac:dyDescent="0.2">
      <c r="A6831">
        <v>17</v>
      </c>
      <c r="E6831" t="str">
        <f t="shared" si="232"/>
        <v>R</v>
      </c>
      <c r="F6831" t="str">
        <f t="shared" si="233"/>
        <v>17R</v>
      </c>
    </row>
    <row r="6832" spans="1:6" x14ac:dyDescent="0.2">
      <c r="A6832">
        <v>18</v>
      </c>
      <c r="E6832" t="str">
        <f t="shared" ref="E6832:E6895" si="234">E6806</f>
        <v>S</v>
      </c>
      <c r="F6832" t="str">
        <f t="shared" si="233"/>
        <v>18S</v>
      </c>
    </row>
    <row r="6833" spans="1:6" x14ac:dyDescent="0.2">
      <c r="A6833">
        <v>19</v>
      </c>
      <c r="E6833" t="str">
        <f t="shared" si="234"/>
        <v>T</v>
      </c>
      <c r="F6833" t="str">
        <f t="shared" si="233"/>
        <v>19T</v>
      </c>
    </row>
    <row r="6834" spans="1:6" x14ac:dyDescent="0.2">
      <c r="A6834">
        <v>20</v>
      </c>
      <c r="E6834" t="str">
        <f t="shared" si="234"/>
        <v>U</v>
      </c>
      <c r="F6834" t="str">
        <f t="shared" si="233"/>
        <v>20U</v>
      </c>
    </row>
    <row r="6835" spans="1:6" x14ac:dyDescent="0.2">
      <c r="A6835">
        <v>21</v>
      </c>
      <c r="E6835" t="str">
        <f t="shared" si="234"/>
        <v>V</v>
      </c>
      <c r="F6835" t="str">
        <f t="shared" si="233"/>
        <v>21V</v>
      </c>
    </row>
    <row r="6836" spans="1:6" x14ac:dyDescent="0.2">
      <c r="A6836">
        <v>22</v>
      </c>
      <c r="E6836" t="str">
        <f t="shared" si="234"/>
        <v>W</v>
      </c>
      <c r="F6836" t="str">
        <f t="shared" si="233"/>
        <v>22W</v>
      </c>
    </row>
    <row r="6837" spans="1:6" x14ac:dyDescent="0.2">
      <c r="A6837">
        <v>23</v>
      </c>
      <c r="E6837" t="str">
        <f t="shared" si="234"/>
        <v>X</v>
      </c>
      <c r="F6837" t="str">
        <f t="shared" si="233"/>
        <v>23X</v>
      </c>
    </row>
    <row r="6838" spans="1:6" x14ac:dyDescent="0.2">
      <c r="A6838">
        <v>24</v>
      </c>
      <c r="E6838" t="str">
        <f t="shared" si="234"/>
        <v>Y</v>
      </c>
      <c r="F6838" t="str">
        <f t="shared" si="233"/>
        <v>24Y</v>
      </c>
    </row>
    <row r="6839" spans="1:6" x14ac:dyDescent="0.2">
      <c r="A6839">
        <v>25</v>
      </c>
      <c r="E6839" t="str">
        <f t="shared" si="234"/>
        <v>Z</v>
      </c>
      <c r="F6839" t="str">
        <f t="shared" si="233"/>
        <v>25Z</v>
      </c>
    </row>
    <row r="6840" spans="1:6" x14ac:dyDescent="0.2">
      <c r="A6840">
        <v>0</v>
      </c>
      <c r="E6840" t="str">
        <f t="shared" si="234"/>
        <v>A</v>
      </c>
      <c r="F6840" t="str">
        <f t="shared" si="233"/>
        <v>0A</v>
      </c>
    </row>
    <row r="6841" spans="1:6" x14ac:dyDescent="0.2">
      <c r="A6841">
        <v>1</v>
      </c>
      <c r="E6841" t="str">
        <f t="shared" si="234"/>
        <v>B</v>
      </c>
      <c r="F6841" t="str">
        <f t="shared" si="233"/>
        <v>1B</v>
      </c>
    </row>
    <row r="6842" spans="1:6" x14ac:dyDescent="0.2">
      <c r="A6842">
        <v>2</v>
      </c>
      <c r="E6842" t="str">
        <f t="shared" si="234"/>
        <v>C</v>
      </c>
      <c r="F6842" t="str">
        <f t="shared" si="233"/>
        <v>2C</v>
      </c>
    </row>
    <row r="6843" spans="1:6" x14ac:dyDescent="0.2">
      <c r="A6843">
        <v>3</v>
      </c>
      <c r="E6843" t="str">
        <f t="shared" si="234"/>
        <v>D</v>
      </c>
      <c r="F6843" t="str">
        <f t="shared" si="233"/>
        <v>3D</v>
      </c>
    </row>
    <row r="6844" spans="1:6" x14ac:dyDescent="0.2">
      <c r="A6844">
        <v>4</v>
      </c>
      <c r="E6844" t="str">
        <f t="shared" si="234"/>
        <v>E</v>
      </c>
      <c r="F6844" t="str">
        <f t="shared" si="233"/>
        <v>4E</v>
      </c>
    </row>
    <row r="6845" spans="1:6" x14ac:dyDescent="0.2">
      <c r="A6845">
        <v>5</v>
      </c>
      <c r="E6845" t="str">
        <f t="shared" si="234"/>
        <v>F</v>
      </c>
      <c r="F6845" t="str">
        <f t="shared" si="233"/>
        <v>5F</v>
      </c>
    </row>
    <row r="6846" spans="1:6" x14ac:dyDescent="0.2">
      <c r="A6846">
        <v>6</v>
      </c>
      <c r="E6846" t="str">
        <f t="shared" si="234"/>
        <v>G</v>
      </c>
      <c r="F6846" t="str">
        <f t="shared" si="233"/>
        <v>6G</v>
      </c>
    </row>
    <row r="6847" spans="1:6" x14ac:dyDescent="0.2">
      <c r="A6847">
        <v>7</v>
      </c>
      <c r="E6847" t="str">
        <f t="shared" si="234"/>
        <v>H</v>
      </c>
      <c r="F6847" t="str">
        <f t="shared" si="233"/>
        <v>7H</v>
      </c>
    </row>
    <row r="6848" spans="1:6" x14ac:dyDescent="0.2">
      <c r="A6848">
        <v>8</v>
      </c>
      <c r="E6848" t="str">
        <f t="shared" si="234"/>
        <v>I</v>
      </c>
      <c r="F6848" t="str">
        <f t="shared" si="233"/>
        <v>8I</v>
      </c>
    </row>
    <row r="6849" spans="1:6" x14ac:dyDescent="0.2">
      <c r="A6849">
        <v>9</v>
      </c>
      <c r="E6849" t="str">
        <f t="shared" si="234"/>
        <v>J</v>
      </c>
      <c r="F6849" t="str">
        <f t="shared" si="233"/>
        <v>9J</v>
      </c>
    </row>
    <row r="6850" spans="1:6" x14ac:dyDescent="0.2">
      <c r="A6850">
        <v>10</v>
      </c>
      <c r="E6850" t="str">
        <f t="shared" si="234"/>
        <v>K</v>
      </c>
      <c r="F6850" t="str">
        <f t="shared" si="233"/>
        <v>10K</v>
      </c>
    </row>
    <row r="6851" spans="1:6" x14ac:dyDescent="0.2">
      <c r="A6851">
        <v>11</v>
      </c>
      <c r="E6851" t="str">
        <f t="shared" si="234"/>
        <v>L</v>
      </c>
      <c r="F6851" t="str">
        <f t="shared" si="233"/>
        <v>11L</v>
      </c>
    </row>
    <row r="6852" spans="1:6" x14ac:dyDescent="0.2">
      <c r="A6852">
        <v>12</v>
      </c>
      <c r="E6852" t="str">
        <f t="shared" si="234"/>
        <v>M</v>
      </c>
      <c r="F6852" t="str">
        <f t="shared" si="233"/>
        <v>12M</v>
      </c>
    </row>
    <row r="6853" spans="1:6" x14ac:dyDescent="0.2">
      <c r="A6853">
        <v>13</v>
      </c>
      <c r="E6853" t="str">
        <f t="shared" si="234"/>
        <v>N</v>
      </c>
      <c r="F6853" t="str">
        <f t="shared" si="233"/>
        <v>13N</v>
      </c>
    </row>
    <row r="6854" spans="1:6" x14ac:dyDescent="0.2">
      <c r="A6854">
        <v>14</v>
      </c>
      <c r="E6854" t="str">
        <f t="shared" si="234"/>
        <v>O</v>
      </c>
      <c r="F6854" t="str">
        <f t="shared" si="233"/>
        <v>14O</v>
      </c>
    </row>
    <row r="6855" spans="1:6" x14ac:dyDescent="0.2">
      <c r="A6855">
        <v>15</v>
      </c>
      <c r="E6855" t="str">
        <f t="shared" si="234"/>
        <v>P</v>
      </c>
      <c r="F6855" t="str">
        <f t="shared" si="233"/>
        <v>15P</v>
      </c>
    </row>
    <row r="6856" spans="1:6" x14ac:dyDescent="0.2">
      <c r="A6856">
        <v>16</v>
      </c>
      <c r="E6856" t="str">
        <f t="shared" si="234"/>
        <v>Q</v>
      </c>
      <c r="F6856" t="str">
        <f t="shared" si="233"/>
        <v>16Q</v>
      </c>
    </row>
    <row r="6857" spans="1:6" x14ac:dyDescent="0.2">
      <c r="A6857">
        <v>17</v>
      </c>
      <c r="E6857" t="str">
        <f t="shared" si="234"/>
        <v>R</v>
      </c>
      <c r="F6857" t="str">
        <f t="shared" si="233"/>
        <v>17R</v>
      </c>
    </row>
    <row r="6858" spans="1:6" x14ac:dyDescent="0.2">
      <c r="A6858">
        <v>18</v>
      </c>
      <c r="E6858" t="str">
        <f t="shared" si="234"/>
        <v>S</v>
      </c>
      <c r="F6858" t="str">
        <f t="shared" si="233"/>
        <v>18S</v>
      </c>
    </row>
    <row r="6859" spans="1:6" x14ac:dyDescent="0.2">
      <c r="A6859">
        <v>19</v>
      </c>
      <c r="E6859" t="str">
        <f t="shared" si="234"/>
        <v>T</v>
      </c>
      <c r="F6859" t="str">
        <f t="shared" si="233"/>
        <v>19T</v>
      </c>
    </row>
    <row r="6860" spans="1:6" x14ac:dyDescent="0.2">
      <c r="A6860">
        <v>20</v>
      </c>
      <c r="E6860" t="str">
        <f t="shared" si="234"/>
        <v>U</v>
      </c>
      <c r="F6860" t="str">
        <f t="shared" si="233"/>
        <v>20U</v>
      </c>
    </row>
    <row r="6861" spans="1:6" x14ac:dyDescent="0.2">
      <c r="A6861">
        <v>21</v>
      </c>
      <c r="E6861" t="str">
        <f t="shared" si="234"/>
        <v>V</v>
      </c>
      <c r="F6861" t="str">
        <f t="shared" si="233"/>
        <v>21V</v>
      </c>
    </row>
    <row r="6862" spans="1:6" x14ac:dyDescent="0.2">
      <c r="A6862">
        <v>22</v>
      </c>
      <c r="E6862" t="str">
        <f t="shared" si="234"/>
        <v>W</v>
      </c>
      <c r="F6862" t="str">
        <f t="shared" si="233"/>
        <v>22W</v>
      </c>
    </row>
    <row r="6863" spans="1:6" x14ac:dyDescent="0.2">
      <c r="A6863">
        <v>23</v>
      </c>
      <c r="E6863" t="str">
        <f t="shared" si="234"/>
        <v>X</v>
      </c>
      <c r="F6863" t="str">
        <f t="shared" si="233"/>
        <v>23X</v>
      </c>
    </row>
    <row r="6864" spans="1:6" x14ac:dyDescent="0.2">
      <c r="A6864">
        <v>24</v>
      </c>
      <c r="E6864" t="str">
        <f t="shared" si="234"/>
        <v>Y</v>
      </c>
      <c r="F6864" t="str">
        <f t="shared" si="233"/>
        <v>24Y</v>
      </c>
    </row>
    <row r="6865" spans="1:6" x14ac:dyDescent="0.2">
      <c r="A6865">
        <v>25</v>
      </c>
      <c r="E6865" t="str">
        <f t="shared" si="234"/>
        <v>Z</v>
      </c>
      <c r="F6865" t="str">
        <f t="shared" si="233"/>
        <v>25Z</v>
      </c>
    </row>
    <row r="6866" spans="1:6" x14ac:dyDescent="0.2">
      <c r="A6866">
        <v>0</v>
      </c>
      <c r="E6866" t="str">
        <f t="shared" si="234"/>
        <v>A</v>
      </c>
      <c r="F6866" t="str">
        <f t="shared" si="233"/>
        <v>0A</v>
      </c>
    </row>
    <row r="6867" spans="1:6" x14ac:dyDescent="0.2">
      <c r="A6867">
        <v>1</v>
      </c>
      <c r="E6867" t="str">
        <f t="shared" si="234"/>
        <v>B</v>
      </c>
      <c r="F6867" t="str">
        <f t="shared" si="233"/>
        <v>1B</v>
      </c>
    </row>
    <row r="6868" spans="1:6" x14ac:dyDescent="0.2">
      <c r="A6868">
        <v>2</v>
      </c>
      <c r="E6868" t="str">
        <f t="shared" si="234"/>
        <v>C</v>
      </c>
      <c r="F6868" t="str">
        <f t="shared" si="233"/>
        <v>2C</v>
      </c>
    </row>
    <row r="6869" spans="1:6" x14ac:dyDescent="0.2">
      <c r="A6869">
        <v>3</v>
      </c>
      <c r="E6869" t="str">
        <f t="shared" si="234"/>
        <v>D</v>
      </c>
      <c r="F6869" t="str">
        <f t="shared" si="233"/>
        <v>3D</v>
      </c>
    </row>
    <row r="6870" spans="1:6" x14ac:dyDescent="0.2">
      <c r="A6870">
        <v>4</v>
      </c>
      <c r="E6870" t="str">
        <f t="shared" si="234"/>
        <v>E</v>
      </c>
      <c r="F6870" t="str">
        <f t="shared" ref="F6870:F6933" si="235">A6870&amp;C6870&amp;E6870</f>
        <v>4E</v>
      </c>
    </row>
    <row r="6871" spans="1:6" x14ac:dyDescent="0.2">
      <c r="A6871">
        <v>5</v>
      </c>
      <c r="E6871" t="str">
        <f t="shared" si="234"/>
        <v>F</v>
      </c>
      <c r="F6871" t="str">
        <f t="shared" si="235"/>
        <v>5F</v>
      </c>
    </row>
    <row r="6872" spans="1:6" x14ac:dyDescent="0.2">
      <c r="A6872">
        <v>6</v>
      </c>
      <c r="E6872" t="str">
        <f t="shared" si="234"/>
        <v>G</v>
      </c>
      <c r="F6872" t="str">
        <f t="shared" si="235"/>
        <v>6G</v>
      </c>
    </row>
    <row r="6873" spans="1:6" x14ac:dyDescent="0.2">
      <c r="A6873">
        <v>7</v>
      </c>
      <c r="E6873" t="str">
        <f t="shared" si="234"/>
        <v>H</v>
      </c>
      <c r="F6873" t="str">
        <f t="shared" si="235"/>
        <v>7H</v>
      </c>
    </row>
    <row r="6874" spans="1:6" x14ac:dyDescent="0.2">
      <c r="A6874">
        <v>8</v>
      </c>
      <c r="E6874" t="str">
        <f t="shared" si="234"/>
        <v>I</v>
      </c>
      <c r="F6874" t="str">
        <f t="shared" si="235"/>
        <v>8I</v>
      </c>
    </row>
    <row r="6875" spans="1:6" x14ac:dyDescent="0.2">
      <c r="A6875">
        <v>9</v>
      </c>
      <c r="E6875" t="str">
        <f t="shared" si="234"/>
        <v>J</v>
      </c>
      <c r="F6875" t="str">
        <f t="shared" si="235"/>
        <v>9J</v>
      </c>
    </row>
    <row r="6876" spans="1:6" x14ac:dyDescent="0.2">
      <c r="A6876">
        <v>10</v>
      </c>
      <c r="E6876" t="str">
        <f t="shared" si="234"/>
        <v>K</v>
      </c>
      <c r="F6876" t="str">
        <f t="shared" si="235"/>
        <v>10K</v>
      </c>
    </row>
    <row r="6877" spans="1:6" x14ac:dyDescent="0.2">
      <c r="A6877">
        <v>11</v>
      </c>
      <c r="E6877" t="str">
        <f t="shared" si="234"/>
        <v>L</v>
      </c>
      <c r="F6877" t="str">
        <f t="shared" si="235"/>
        <v>11L</v>
      </c>
    </row>
    <row r="6878" spans="1:6" x14ac:dyDescent="0.2">
      <c r="A6878">
        <v>12</v>
      </c>
      <c r="E6878" t="str">
        <f t="shared" si="234"/>
        <v>M</v>
      </c>
      <c r="F6878" t="str">
        <f t="shared" si="235"/>
        <v>12M</v>
      </c>
    </row>
    <row r="6879" spans="1:6" x14ac:dyDescent="0.2">
      <c r="A6879">
        <v>13</v>
      </c>
      <c r="E6879" t="str">
        <f t="shared" si="234"/>
        <v>N</v>
      </c>
      <c r="F6879" t="str">
        <f t="shared" si="235"/>
        <v>13N</v>
      </c>
    </row>
    <row r="6880" spans="1:6" x14ac:dyDescent="0.2">
      <c r="A6880">
        <v>14</v>
      </c>
      <c r="E6880" t="str">
        <f t="shared" si="234"/>
        <v>O</v>
      </c>
      <c r="F6880" t="str">
        <f t="shared" si="235"/>
        <v>14O</v>
      </c>
    </row>
    <row r="6881" spans="1:6" x14ac:dyDescent="0.2">
      <c r="A6881">
        <v>15</v>
      </c>
      <c r="E6881" t="str">
        <f t="shared" si="234"/>
        <v>P</v>
      </c>
      <c r="F6881" t="str">
        <f t="shared" si="235"/>
        <v>15P</v>
      </c>
    </row>
    <row r="6882" spans="1:6" x14ac:dyDescent="0.2">
      <c r="A6882">
        <v>16</v>
      </c>
      <c r="E6882" t="str">
        <f t="shared" si="234"/>
        <v>Q</v>
      </c>
      <c r="F6882" t="str">
        <f t="shared" si="235"/>
        <v>16Q</v>
      </c>
    </row>
    <row r="6883" spans="1:6" x14ac:dyDescent="0.2">
      <c r="A6883">
        <v>17</v>
      </c>
      <c r="E6883" t="str">
        <f t="shared" si="234"/>
        <v>R</v>
      </c>
      <c r="F6883" t="str">
        <f t="shared" si="235"/>
        <v>17R</v>
      </c>
    </row>
    <row r="6884" spans="1:6" x14ac:dyDescent="0.2">
      <c r="A6884">
        <v>18</v>
      </c>
      <c r="E6884" t="str">
        <f t="shared" si="234"/>
        <v>S</v>
      </c>
      <c r="F6884" t="str">
        <f t="shared" si="235"/>
        <v>18S</v>
      </c>
    </row>
    <row r="6885" spans="1:6" x14ac:dyDescent="0.2">
      <c r="A6885">
        <v>19</v>
      </c>
      <c r="E6885" t="str">
        <f t="shared" si="234"/>
        <v>T</v>
      </c>
      <c r="F6885" t="str">
        <f t="shared" si="235"/>
        <v>19T</v>
      </c>
    </row>
    <row r="6886" spans="1:6" x14ac:dyDescent="0.2">
      <c r="A6886">
        <v>20</v>
      </c>
      <c r="E6886" t="str">
        <f t="shared" si="234"/>
        <v>U</v>
      </c>
      <c r="F6886" t="str">
        <f t="shared" si="235"/>
        <v>20U</v>
      </c>
    </row>
    <row r="6887" spans="1:6" x14ac:dyDescent="0.2">
      <c r="A6887">
        <v>21</v>
      </c>
      <c r="E6887" t="str">
        <f t="shared" si="234"/>
        <v>V</v>
      </c>
      <c r="F6887" t="str">
        <f t="shared" si="235"/>
        <v>21V</v>
      </c>
    </row>
    <row r="6888" spans="1:6" x14ac:dyDescent="0.2">
      <c r="A6888">
        <v>22</v>
      </c>
      <c r="E6888" t="str">
        <f t="shared" si="234"/>
        <v>W</v>
      </c>
      <c r="F6888" t="str">
        <f t="shared" si="235"/>
        <v>22W</v>
      </c>
    </row>
    <row r="6889" spans="1:6" x14ac:dyDescent="0.2">
      <c r="A6889">
        <v>23</v>
      </c>
      <c r="E6889" t="str">
        <f t="shared" si="234"/>
        <v>X</v>
      </c>
      <c r="F6889" t="str">
        <f t="shared" si="235"/>
        <v>23X</v>
      </c>
    </row>
    <row r="6890" spans="1:6" x14ac:dyDescent="0.2">
      <c r="A6890">
        <v>24</v>
      </c>
      <c r="E6890" t="str">
        <f t="shared" si="234"/>
        <v>Y</v>
      </c>
      <c r="F6890" t="str">
        <f t="shared" si="235"/>
        <v>24Y</v>
      </c>
    </row>
    <row r="6891" spans="1:6" x14ac:dyDescent="0.2">
      <c r="A6891">
        <v>25</v>
      </c>
      <c r="E6891" t="str">
        <f t="shared" si="234"/>
        <v>Z</v>
      </c>
      <c r="F6891" t="str">
        <f t="shared" si="235"/>
        <v>25Z</v>
      </c>
    </row>
    <row r="6892" spans="1:6" x14ac:dyDescent="0.2">
      <c r="A6892">
        <v>0</v>
      </c>
      <c r="E6892" t="str">
        <f t="shared" si="234"/>
        <v>A</v>
      </c>
      <c r="F6892" t="str">
        <f t="shared" si="235"/>
        <v>0A</v>
      </c>
    </row>
    <row r="6893" spans="1:6" x14ac:dyDescent="0.2">
      <c r="A6893">
        <v>1</v>
      </c>
      <c r="E6893" t="str">
        <f t="shared" si="234"/>
        <v>B</v>
      </c>
      <c r="F6893" t="str">
        <f t="shared" si="235"/>
        <v>1B</v>
      </c>
    </row>
    <row r="6894" spans="1:6" x14ac:dyDescent="0.2">
      <c r="A6894">
        <v>2</v>
      </c>
      <c r="E6894" t="str">
        <f t="shared" si="234"/>
        <v>C</v>
      </c>
      <c r="F6894" t="str">
        <f t="shared" si="235"/>
        <v>2C</v>
      </c>
    </row>
    <row r="6895" spans="1:6" x14ac:dyDescent="0.2">
      <c r="A6895">
        <v>3</v>
      </c>
      <c r="E6895" t="str">
        <f t="shared" si="234"/>
        <v>D</v>
      </c>
      <c r="F6895" t="str">
        <f t="shared" si="235"/>
        <v>3D</v>
      </c>
    </row>
    <row r="6896" spans="1:6" x14ac:dyDescent="0.2">
      <c r="A6896">
        <v>4</v>
      </c>
      <c r="E6896" t="str">
        <f t="shared" ref="E6896:E6959" si="236">E6870</f>
        <v>E</v>
      </c>
      <c r="F6896" t="str">
        <f t="shared" si="235"/>
        <v>4E</v>
      </c>
    </row>
    <row r="6897" spans="1:6" x14ac:dyDescent="0.2">
      <c r="A6897">
        <v>5</v>
      </c>
      <c r="E6897" t="str">
        <f t="shared" si="236"/>
        <v>F</v>
      </c>
      <c r="F6897" t="str">
        <f t="shared" si="235"/>
        <v>5F</v>
      </c>
    </row>
    <row r="6898" spans="1:6" x14ac:dyDescent="0.2">
      <c r="A6898">
        <v>6</v>
      </c>
      <c r="E6898" t="str">
        <f t="shared" si="236"/>
        <v>G</v>
      </c>
      <c r="F6898" t="str">
        <f t="shared" si="235"/>
        <v>6G</v>
      </c>
    </row>
    <row r="6899" spans="1:6" x14ac:dyDescent="0.2">
      <c r="A6899">
        <v>7</v>
      </c>
      <c r="E6899" t="str">
        <f t="shared" si="236"/>
        <v>H</v>
      </c>
      <c r="F6899" t="str">
        <f t="shared" si="235"/>
        <v>7H</v>
      </c>
    </row>
    <row r="6900" spans="1:6" x14ac:dyDescent="0.2">
      <c r="A6900">
        <v>8</v>
      </c>
      <c r="E6900" t="str">
        <f t="shared" si="236"/>
        <v>I</v>
      </c>
      <c r="F6900" t="str">
        <f t="shared" si="235"/>
        <v>8I</v>
      </c>
    </row>
    <row r="6901" spans="1:6" x14ac:dyDescent="0.2">
      <c r="A6901">
        <v>9</v>
      </c>
      <c r="E6901" t="str">
        <f t="shared" si="236"/>
        <v>J</v>
      </c>
      <c r="F6901" t="str">
        <f t="shared" si="235"/>
        <v>9J</v>
      </c>
    </row>
    <row r="6902" spans="1:6" x14ac:dyDescent="0.2">
      <c r="A6902">
        <v>10</v>
      </c>
      <c r="E6902" t="str">
        <f t="shared" si="236"/>
        <v>K</v>
      </c>
      <c r="F6902" t="str">
        <f t="shared" si="235"/>
        <v>10K</v>
      </c>
    </row>
    <row r="6903" spans="1:6" x14ac:dyDescent="0.2">
      <c r="A6903">
        <v>11</v>
      </c>
      <c r="E6903" t="str">
        <f t="shared" si="236"/>
        <v>L</v>
      </c>
      <c r="F6903" t="str">
        <f t="shared" si="235"/>
        <v>11L</v>
      </c>
    </row>
    <row r="6904" spans="1:6" x14ac:dyDescent="0.2">
      <c r="A6904">
        <v>12</v>
      </c>
      <c r="E6904" t="str">
        <f t="shared" si="236"/>
        <v>M</v>
      </c>
      <c r="F6904" t="str">
        <f t="shared" si="235"/>
        <v>12M</v>
      </c>
    </row>
    <row r="6905" spans="1:6" x14ac:dyDescent="0.2">
      <c r="A6905">
        <v>13</v>
      </c>
      <c r="E6905" t="str">
        <f t="shared" si="236"/>
        <v>N</v>
      </c>
      <c r="F6905" t="str">
        <f t="shared" si="235"/>
        <v>13N</v>
      </c>
    </row>
    <row r="6906" spans="1:6" x14ac:dyDescent="0.2">
      <c r="A6906">
        <v>14</v>
      </c>
      <c r="E6906" t="str">
        <f t="shared" si="236"/>
        <v>O</v>
      </c>
      <c r="F6906" t="str">
        <f t="shared" si="235"/>
        <v>14O</v>
      </c>
    </row>
    <row r="6907" spans="1:6" x14ac:dyDescent="0.2">
      <c r="A6907">
        <v>15</v>
      </c>
      <c r="E6907" t="str">
        <f t="shared" si="236"/>
        <v>P</v>
      </c>
      <c r="F6907" t="str">
        <f t="shared" si="235"/>
        <v>15P</v>
      </c>
    </row>
    <row r="6908" spans="1:6" x14ac:dyDescent="0.2">
      <c r="A6908">
        <v>16</v>
      </c>
      <c r="E6908" t="str">
        <f t="shared" si="236"/>
        <v>Q</v>
      </c>
      <c r="F6908" t="str">
        <f t="shared" si="235"/>
        <v>16Q</v>
      </c>
    </row>
    <row r="6909" spans="1:6" x14ac:dyDescent="0.2">
      <c r="A6909">
        <v>17</v>
      </c>
      <c r="E6909" t="str">
        <f t="shared" si="236"/>
        <v>R</v>
      </c>
      <c r="F6909" t="str">
        <f t="shared" si="235"/>
        <v>17R</v>
      </c>
    </row>
    <row r="6910" spans="1:6" x14ac:dyDescent="0.2">
      <c r="A6910">
        <v>18</v>
      </c>
      <c r="E6910" t="str">
        <f t="shared" si="236"/>
        <v>S</v>
      </c>
      <c r="F6910" t="str">
        <f t="shared" si="235"/>
        <v>18S</v>
      </c>
    </row>
    <row r="6911" spans="1:6" x14ac:dyDescent="0.2">
      <c r="A6911">
        <v>19</v>
      </c>
      <c r="E6911" t="str">
        <f t="shared" si="236"/>
        <v>T</v>
      </c>
      <c r="F6911" t="str">
        <f t="shared" si="235"/>
        <v>19T</v>
      </c>
    </row>
    <row r="6912" spans="1:6" x14ac:dyDescent="0.2">
      <c r="A6912">
        <v>20</v>
      </c>
      <c r="E6912" t="str">
        <f t="shared" si="236"/>
        <v>U</v>
      </c>
      <c r="F6912" t="str">
        <f t="shared" si="235"/>
        <v>20U</v>
      </c>
    </row>
    <row r="6913" spans="1:6" x14ac:dyDescent="0.2">
      <c r="A6913">
        <v>21</v>
      </c>
      <c r="E6913" t="str">
        <f t="shared" si="236"/>
        <v>V</v>
      </c>
      <c r="F6913" t="str">
        <f t="shared" si="235"/>
        <v>21V</v>
      </c>
    </row>
    <row r="6914" spans="1:6" x14ac:dyDescent="0.2">
      <c r="A6914">
        <v>22</v>
      </c>
      <c r="E6914" t="str">
        <f t="shared" si="236"/>
        <v>W</v>
      </c>
      <c r="F6914" t="str">
        <f t="shared" si="235"/>
        <v>22W</v>
      </c>
    </row>
    <row r="6915" spans="1:6" x14ac:dyDescent="0.2">
      <c r="A6915">
        <v>23</v>
      </c>
      <c r="E6915" t="str">
        <f t="shared" si="236"/>
        <v>X</v>
      </c>
      <c r="F6915" t="str">
        <f t="shared" si="235"/>
        <v>23X</v>
      </c>
    </row>
    <row r="6916" spans="1:6" x14ac:dyDescent="0.2">
      <c r="A6916">
        <v>24</v>
      </c>
      <c r="E6916" t="str">
        <f t="shared" si="236"/>
        <v>Y</v>
      </c>
      <c r="F6916" t="str">
        <f t="shared" si="235"/>
        <v>24Y</v>
      </c>
    </row>
    <row r="6917" spans="1:6" x14ac:dyDescent="0.2">
      <c r="A6917">
        <v>25</v>
      </c>
      <c r="E6917" t="str">
        <f t="shared" si="236"/>
        <v>Z</v>
      </c>
      <c r="F6917" t="str">
        <f t="shared" si="235"/>
        <v>25Z</v>
      </c>
    </row>
    <row r="6918" spans="1:6" x14ac:dyDescent="0.2">
      <c r="A6918">
        <v>0</v>
      </c>
      <c r="E6918" t="str">
        <f t="shared" si="236"/>
        <v>A</v>
      </c>
      <c r="F6918" t="str">
        <f t="shared" si="235"/>
        <v>0A</v>
      </c>
    </row>
    <row r="6919" spans="1:6" x14ac:dyDescent="0.2">
      <c r="A6919">
        <v>1</v>
      </c>
      <c r="E6919" t="str">
        <f t="shared" si="236"/>
        <v>B</v>
      </c>
      <c r="F6919" t="str">
        <f t="shared" si="235"/>
        <v>1B</v>
      </c>
    </row>
    <row r="6920" spans="1:6" x14ac:dyDescent="0.2">
      <c r="A6920">
        <v>2</v>
      </c>
      <c r="E6920" t="str">
        <f t="shared" si="236"/>
        <v>C</v>
      </c>
      <c r="F6920" t="str">
        <f t="shared" si="235"/>
        <v>2C</v>
      </c>
    </row>
    <row r="6921" spans="1:6" x14ac:dyDescent="0.2">
      <c r="A6921">
        <v>3</v>
      </c>
      <c r="E6921" t="str">
        <f t="shared" si="236"/>
        <v>D</v>
      </c>
      <c r="F6921" t="str">
        <f t="shared" si="235"/>
        <v>3D</v>
      </c>
    </row>
    <row r="6922" spans="1:6" x14ac:dyDescent="0.2">
      <c r="A6922">
        <v>4</v>
      </c>
      <c r="E6922" t="str">
        <f t="shared" si="236"/>
        <v>E</v>
      </c>
      <c r="F6922" t="str">
        <f t="shared" si="235"/>
        <v>4E</v>
      </c>
    </row>
    <row r="6923" spans="1:6" x14ac:dyDescent="0.2">
      <c r="A6923">
        <v>5</v>
      </c>
      <c r="E6923" t="str">
        <f t="shared" si="236"/>
        <v>F</v>
      </c>
      <c r="F6923" t="str">
        <f t="shared" si="235"/>
        <v>5F</v>
      </c>
    </row>
    <row r="6924" spans="1:6" x14ac:dyDescent="0.2">
      <c r="A6924">
        <v>6</v>
      </c>
      <c r="E6924" t="str">
        <f t="shared" si="236"/>
        <v>G</v>
      </c>
      <c r="F6924" t="str">
        <f t="shared" si="235"/>
        <v>6G</v>
      </c>
    </row>
    <row r="6925" spans="1:6" x14ac:dyDescent="0.2">
      <c r="A6925">
        <v>7</v>
      </c>
      <c r="E6925" t="str">
        <f t="shared" si="236"/>
        <v>H</v>
      </c>
      <c r="F6925" t="str">
        <f t="shared" si="235"/>
        <v>7H</v>
      </c>
    </row>
    <row r="6926" spans="1:6" x14ac:dyDescent="0.2">
      <c r="A6926">
        <v>8</v>
      </c>
      <c r="E6926" t="str">
        <f t="shared" si="236"/>
        <v>I</v>
      </c>
      <c r="F6926" t="str">
        <f t="shared" si="235"/>
        <v>8I</v>
      </c>
    </row>
    <row r="6927" spans="1:6" x14ac:dyDescent="0.2">
      <c r="A6927">
        <v>9</v>
      </c>
      <c r="E6927" t="str">
        <f t="shared" si="236"/>
        <v>J</v>
      </c>
      <c r="F6927" t="str">
        <f t="shared" si="235"/>
        <v>9J</v>
      </c>
    </row>
    <row r="6928" spans="1:6" x14ac:dyDescent="0.2">
      <c r="A6928">
        <v>10</v>
      </c>
      <c r="E6928" t="str">
        <f t="shared" si="236"/>
        <v>K</v>
      </c>
      <c r="F6928" t="str">
        <f t="shared" si="235"/>
        <v>10K</v>
      </c>
    </row>
    <row r="6929" spans="1:6" x14ac:dyDescent="0.2">
      <c r="A6929">
        <v>11</v>
      </c>
      <c r="E6929" t="str">
        <f t="shared" si="236"/>
        <v>L</v>
      </c>
      <c r="F6929" t="str">
        <f t="shared" si="235"/>
        <v>11L</v>
      </c>
    </row>
    <row r="6930" spans="1:6" x14ac:dyDescent="0.2">
      <c r="A6930">
        <v>12</v>
      </c>
      <c r="E6930" t="str">
        <f t="shared" si="236"/>
        <v>M</v>
      </c>
      <c r="F6930" t="str">
        <f t="shared" si="235"/>
        <v>12M</v>
      </c>
    </row>
    <row r="6931" spans="1:6" x14ac:dyDescent="0.2">
      <c r="A6931">
        <v>13</v>
      </c>
      <c r="E6931" t="str">
        <f t="shared" si="236"/>
        <v>N</v>
      </c>
      <c r="F6931" t="str">
        <f t="shared" si="235"/>
        <v>13N</v>
      </c>
    </row>
    <row r="6932" spans="1:6" x14ac:dyDescent="0.2">
      <c r="A6932">
        <v>14</v>
      </c>
      <c r="E6932" t="str">
        <f t="shared" si="236"/>
        <v>O</v>
      </c>
      <c r="F6932" t="str">
        <f t="shared" si="235"/>
        <v>14O</v>
      </c>
    </row>
    <row r="6933" spans="1:6" x14ac:dyDescent="0.2">
      <c r="A6933">
        <v>15</v>
      </c>
      <c r="E6933" t="str">
        <f t="shared" si="236"/>
        <v>P</v>
      </c>
      <c r="F6933" t="str">
        <f t="shared" si="235"/>
        <v>15P</v>
      </c>
    </row>
    <row r="6934" spans="1:6" x14ac:dyDescent="0.2">
      <c r="A6934">
        <v>16</v>
      </c>
      <c r="E6934" t="str">
        <f t="shared" si="236"/>
        <v>Q</v>
      </c>
      <c r="F6934" t="str">
        <f t="shared" ref="F6934:F6997" si="237">A6934&amp;C6934&amp;E6934</f>
        <v>16Q</v>
      </c>
    </row>
    <row r="6935" spans="1:6" x14ac:dyDescent="0.2">
      <c r="A6935">
        <v>17</v>
      </c>
      <c r="E6935" t="str">
        <f t="shared" si="236"/>
        <v>R</v>
      </c>
      <c r="F6935" t="str">
        <f t="shared" si="237"/>
        <v>17R</v>
      </c>
    </row>
    <row r="6936" spans="1:6" x14ac:dyDescent="0.2">
      <c r="A6936">
        <v>18</v>
      </c>
      <c r="E6936" t="str">
        <f t="shared" si="236"/>
        <v>S</v>
      </c>
      <c r="F6936" t="str">
        <f t="shared" si="237"/>
        <v>18S</v>
      </c>
    </row>
    <row r="6937" spans="1:6" x14ac:dyDescent="0.2">
      <c r="A6937">
        <v>19</v>
      </c>
      <c r="E6937" t="str">
        <f t="shared" si="236"/>
        <v>T</v>
      </c>
      <c r="F6937" t="str">
        <f t="shared" si="237"/>
        <v>19T</v>
      </c>
    </row>
    <row r="6938" spans="1:6" x14ac:dyDescent="0.2">
      <c r="A6938">
        <v>20</v>
      </c>
      <c r="E6938" t="str">
        <f t="shared" si="236"/>
        <v>U</v>
      </c>
      <c r="F6938" t="str">
        <f t="shared" si="237"/>
        <v>20U</v>
      </c>
    </row>
    <row r="6939" spans="1:6" x14ac:dyDescent="0.2">
      <c r="A6939">
        <v>21</v>
      </c>
      <c r="E6939" t="str">
        <f t="shared" si="236"/>
        <v>V</v>
      </c>
      <c r="F6939" t="str">
        <f t="shared" si="237"/>
        <v>21V</v>
      </c>
    </row>
    <row r="6940" spans="1:6" x14ac:dyDescent="0.2">
      <c r="A6940">
        <v>22</v>
      </c>
      <c r="E6940" t="str">
        <f t="shared" si="236"/>
        <v>W</v>
      </c>
      <c r="F6940" t="str">
        <f t="shared" si="237"/>
        <v>22W</v>
      </c>
    </row>
    <row r="6941" spans="1:6" x14ac:dyDescent="0.2">
      <c r="A6941">
        <v>23</v>
      </c>
      <c r="E6941" t="str">
        <f t="shared" si="236"/>
        <v>X</v>
      </c>
      <c r="F6941" t="str">
        <f t="shared" si="237"/>
        <v>23X</v>
      </c>
    </row>
    <row r="6942" spans="1:6" x14ac:dyDescent="0.2">
      <c r="A6942">
        <v>24</v>
      </c>
      <c r="E6942" t="str">
        <f t="shared" si="236"/>
        <v>Y</v>
      </c>
      <c r="F6942" t="str">
        <f t="shared" si="237"/>
        <v>24Y</v>
      </c>
    </row>
    <row r="6943" spans="1:6" x14ac:dyDescent="0.2">
      <c r="A6943">
        <v>25</v>
      </c>
      <c r="E6943" t="str">
        <f t="shared" si="236"/>
        <v>Z</v>
      </c>
      <c r="F6943" t="str">
        <f t="shared" si="237"/>
        <v>25Z</v>
      </c>
    </row>
    <row r="6944" spans="1:6" x14ac:dyDescent="0.2">
      <c r="A6944">
        <v>0</v>
      </c>
      <c r="E6944" t="str">
        <f t="shared" si="236"/>
        <v>A</v>
      </c>
      <c r="F6944" t="str">
        <f t="shared" si="237"/>
        <v>0A</v>
      </c>
    </row>
    <row r="6945" spans="1:6" x14ac:dyDescent="0.2">
      <c r="A6945">
        <v>1</v>
      </c>
      <c r="E6945" t="str">
        <f t="shared" si="236"/>
        <v>B</v>
      </c>
      <c r="F6945" t="str">
        <f t="shared" si="237"/>
        <v>1B</v>
      </c>
    </row>
    <row r="6946" spans="1:6" x14ac:dyDescent="0.2">
      <c r="A6946">
        <v>2</v>
      </c>
      <c r="E6946" t="str">
        <f t="shared" si="236"/>
        <v>C</v>
      </c>
      <c r="F6946" t="str">
        <f t="shared" si="237"/>
        <v>2C</v>
      </c>
    </row>
    <row r="6947" spans="1:6" x14ac:dyDescent="0.2">
      <c r="A6947">
        <v>3</v>
      </c>
      <c r="E6947" t="str">
        <f t="shared" si="236"/>
        <v>D</v>
      </c>
      <c r="F6947" t="str">
        <f t="shared" si="237"/>
        <v>3D</v>
      </c>
    </row>
    <row r="6948" spans="1:6" x14ac:dyDescent="0.2">
      <c r="A6948">
        <v>4</v>
      </c>
      <c r="E6948" t="str">
        <f t="shared" si="236"/>
        <v>E</v>
      </c>
      <c r="F6948" t="str">
        <f t="shared" si="237"/>
        <v>4E</v>
      </c>
    </row>
    <row r="6949" spans="1:6" x14ac:dyDescent="0.2">
      <c r="A6949">
        <v>5</v>
      </c>
      <c r="E6949" t="str">
        <f t="shared" si="236"/>
        <v>F</v>
      </c>
      <c r="F6949" t="str">
        <f t="shared" si="237"/>
        <v>5F</v>
      </c>
    </row>
    <row r="6950" spans="1:6" x14ac:dyDescent="0.2">
      <c r="A6950">
        <v>6</v>
      </c>
      <c r="E6950" t="str">
        <f t="shared" si="236"/>
        <v>G</v>
      </c>
      <c r="F6950" t="str">
        <f t="shared" si="237"/>
        <v>6G</v>
      </c>
    </row>
    <row r="6951" spans="1:6" x14ac:dyDescent="0.2">
      <c r="A6951">
        <v>7</v>
      </c>
      <c r="E6951" t="str">
        <f t="shared" si="236"/>
        <v>H</v>
      </c>
      <c r="F6951" t="str">
        <f t="shared" si="237"/>
        <v>7H</v>
      </c>
    </row>
    <row r="6952" spans="1:6" x14ac:dyDescent="0.2">
      <c r="A6952">
        <v>8</v>
      </c>
      <c r="E6952" t="str">
        <f t="shared" si="236"/>
        <v>I</v>
      </c>
      <c r="F6952" t="str">
        <f t="shared" si="237"/>
        <v>8I</v>
      </c>
    </row>
    <row r="6953" spans="1:6" x14ac:dyDescent="0.2">
      <c r="A6953">
        <v>9</v>
      </c>
      <c r="E6953" t="str">
        <f t="shared" si="236"/>
        <v>J</v>
      </c>
      <c r="F6953" t="str">
        <f t="shared" si="237"/>
        <v>9J</v>
      </c>
    </row>
    <row r="6954" spans="1:6" x14ac:dyDescent="0.2">
      <c r="A6954">
        <v>10</v>
      </c>
      <c r="E6954" t="str">
        <f t="shared" si="236"/>
        <v>K</v>
      </c>
      <c r="F6954" t="str">
        <f t="shared" si="237"/>
        <v>10K</v>
      </c>
    </row>
    <row r="6955" spans="1:6" x14ac:dyDescent="0.2">
      <c r="A6955">
        <v>11</v>
      </c>
      <c r="E6955" t="str">
        <f t="shared" si="236"/>
        <v>L</v>
      </c>
      <c r="F6955" t="str">
        <f t="shared" si="237"/>
        <v>11L</v>
      </c>
    </row>
    <row r="6956" spans="1:6" x14ac:dyDescent="0.2">
      <c r="A6956">
        <v>12</v>
      </c>
      <c r="E6956" t="str">
        <f t="shared" si="236"/>
        <v>M</v>
      </c>
      <c r="F6956" t="str">
        <f t="shared" si="237"/>
        <v>12M</v>
      </c>
    </row>
    <row r="6957" spans="1:6" x14ac:dyDescent="0.2">
      <c r="A6957">
        <v>13</v>
      </c>
      <c r="E6957" t="str">
        <f t="shared" si="236"/>
        <v>N</v>
      </c>
      <c r="F6957" t="str">
        <f t="shared" si="237"/>
        <v>13N</v>
      </c>
    </row>
    <row r="6958" spans="1:6" x14ac:dyDescent="0.2">
      <c r="A6958">
        <v>14</v>
      </c>
      <c r="E6958" t="str">
        <f t="shared" si="236"/>
        <v>O</v>
      </c>
      <c r="F6958" t="str">
        <f t="shared" si="237"/>
        <v>14O</v>
      </c>
    </row>
    <row r="6959" spans="1:6" x14ac:dyDescent="0.2">
      <c r="A6959">
        <v>15</v>
      </c>
      <c r="E6959" t="str">
        <f t="shared" si="236"/>
        <v>P</v>
      </c>
      <c r="F6959" t="str">
        <f t="shared" si="237"/>
        <v>15P</v>
      </c>
    </row>
    <row r="6960" spans="1:6" x14ac:dyDescent="0.2">
      <c r="A6960">
        <v>16</v>
      </c>
      <c r="E6960" t="str">
        <f t="shared" ref="E6960:E7023" si="238">E6934</f>
        <v>Q</v>
      </c>
      <c r="F6960" t="str">
        <f t="shared" si="237"/>
        <v>16Q</v>
      </c>
    </row>
    <row r="6961" spans="1:6" x14ac:dyDescent="0.2">
      <c r="A6961">
        <v>17</v>
      </c>
      <c r="E6961" t="str">
        <f t="shared" si="238"/>
        <v>R</v>
      </c>
      <c r="F6961" t="str">
        <f t="shared" si="237"/>
        <v>17R</v>
      </c>
    </row>
    <row r="6962" spans="1:6" x14ac:dyDescent="0.2">
      <c r="A6962">
        <v>18</v>
      </c>
      <c r="E6962" t="str">
        <f t="shared" si="238"/>
        <v>S</v>
      </c>
      <c r="F6962" t="str">
        <f t="shared" si="237"/>
        <v>18S</v>
      </c>
    </row>
    <row r="6963" spans="1:6" x14ac:dyDescent="0.2">
      <c r="A6963">
        <v>19</v>
      </c>
      <c r="E6963" t="str">
        <f t="shared" si="238"/>
        <v>T</v>
      </c>
      <c r="F6963" t="str">
        <f t="shared" si="237"/>
        <v>19T</v>
      </c>
    </row>
    <row r="6964" spans="1:6" x14ac:dyDescent="0.2">
      <c r="A6964">
        <v>20</v>
      </c>
      <c r="E6964" t="str">
        <f t="shared" si="238"/>
        <v>U</v>
      </c>
      <c r="F6964" t="str">
        <f t="shared" si="237"/>
        <v>20U</v>
      </c>
    </row>
    <row r="6965" spans="1:6" x14ac:dyDescent="0.2">
      <c r="A6965">
        <v>21</v>
      </c>
      <c r="E6965" t="str">
        <f t="shared" si="238"/>
        <v>V</v>
      </c>
      <c r="F6965" t="str">
        <f t="shared" si="237"/>
        <v>21V</v>
      </c>
    </row>
    <row r="6966" spans="1:6" x14ac:dyDescent="0.2">
      <c r="A6966">
        <v>22</v>
      </c>
      <c r="E6966" t="str">
        <f t="shared" si="238"/>
        <v>W</v>
      </c>
      <c r="F6966" t="str">
        <f t="shared" si="237"/>
        <v>22W</v>
      </c>
    </row>
    <row r="6967" spans="1:6" x14ac:dyDescent="0.2">
      <c r="A6967">
        <v>23</v>
      </c>
      <c r="E6967" t="str">
        <f t="shared" si="238"/>
        <v>X</v>
      </c>
      <c r="F6967" t="str">
        <f t="shared" si="237"/>
        <v>23X</v>
      </c>
    </row>
    <row r="6968" spans="1:6" x14ac:dyDescent="0.2">
      <c r="A6968">
        <v>24</v>
      </c>
      <c r="E6968" t="str">
        <f t="shared" si="238"/>
        <v>Y</v>
      </c>
      <c r="F6968" t="str">
        <f t="shared" si="237"/>
        <v>24Y</v>
      </c>
    </row>
    <row r="6969" spans="1:6" x14ac:dyDescent="0.2">
      <c r="A6969">
        <v>25</v>
      </c>
      <c r="E6969" t="str">
        <f t="shared" si="238"/>
        <v>Z</v>
      </c>
      <c r="F6969" t="str">
        <f t="shared" si="237"/>
        <v>25Z</v>
      </c>
    </row>
    <row r="6970" spans="1:6" x14ac:dyDescent="0.2">
      <c r="A6970">
        <v>0</v>
      </c>
      <c r="E6970" t="str">
        <f t="shared" si="238"/>
        <v>A</v>
      </c>
      <c r="F6970" t="str">
        <f t="shared" si="237"/>
        <v>0A</v>
      </c>
    </row>
    <row r="6971" spans="1:6" x14ac:dyDescent="0.2">
      <c r="A6971">
        <v>1</v>
      </c>
      <c r="E6971" t="str">
        <f t="shared" si="238"/>
        <v>B</v>
      </c>
      <c r="F6971" t="str">
        <f t="shared" si="237"/>
        <v>1B</v>
      </c>
    </row>
    <row r="6972" spans="1:6" x14ac:dyDescent="0.2">
      <c r="A6972">
        <v>2</v>
      </c>
      <c r="E6972" t="str">
        <f t="shared" si="238"/>
        <v>C</v>
      </c>
      <c r="F6972" t="str">
        <f t="shared" si="237"/>
        <v>2C</v>
      </c>
    </row>
    <row r="6973" spans="1:6" x14ac:dyDescent="0.2">
      <c r="A6973">
        <v>3</v>
      </c>
      <c r="E6973" t="str">
        <f t="shared" si="238"/>
        <v>D</v>
      </c>
      <c r="F6973" t="str">
        <f t="shared" si="237"/>
        <v>3D</v>
      </c>
    </row>
    <row r="6974" spans="1:6" x14ac:dyDescent="0.2">
      <c r="A6974">
        <v>4</v>
      </c>
      <c r="E6974" t="str">
        <f t="shared" si="238"/>
        <v>E</v>
      </c>
      <c r="F6974" t="str">
        <f t="shared" si="237"/>
        <v>4E</v>
      </c>
    </row>
    <row r="6975" spans="1:6" x14ac:dyDescent="0.2">
      <c r="A6975">
        <v>5</v>
      </c>
      <c r="E6975" t="str">
        <f t="shared" si="238"/>
        <v>F</v>
      </c>
      <c r="F6975" t="str">
        <f t="shared" si="237"/>
        <v>5F</v>
      </c>
    </row>
    <row r="6976" spans="1:6" x14ac:dyDescent="0.2">
      <c r="A6976">
        <v>6</v>
      </c>
      <c r="E6976" t="str">
        <f t="shared" si="238"/>
        <v>G</v>
      </c>
      <c r="F6976" t="str">
        <f t="shared" si="237"/>
        <v>6G</v>
      </c>
    </row>
    <row r="6977" spans="1:6" x14ac:dyDescent="0.2">
      <c r="A6977">
        <v>7</v>
      </c>
      <c r="E6977" t="str">
        <f t="shared" si="238"/>
        <v>H</v>
      </c>
      <c r="F6977" t="str">
        <f t="shared" si="237"/>
        <v>7H</v>
      </c>
    </row>
    <row r="6978" spans="1:6" x14ac:dyDescent="0.2">
      <c r="A6978">
        <v>8</v>
      </c>
      <c r="E6978" t="str">
        <f t="shared" si="238"/>
        <v>I</v>
      </c>
      <c r="F6978" t="str">
        <f t="shared" si="237"/>
        <v>8I</v>
      </c>
    </row>
    <row r="6979" spans="1:6" x14ac:dyDescent="0.2">
      <c r="A6979">
        <v>9</v>
      </c>
      <c r="E6979" t="str">
        <f t="shared" si="238"/>
        <v>J</v>
      </c>
      <c r="F6979" t="str">
        <f t="shared" si="237"/>
        <v>9J</v>
      </c>
    </row>
    <row r="6980" spans="1:6" x14ac:dyDescent="0.2">
      <c r="A6980">
        <v>10</v>
      </c>
      <c r="E6980" t="str">
        <f t="shared" si="238"/>
        <v>K</v>
      </c>
      <c r="F6980" t="str">
        <f t="shared" si="237"/>
        <v>10K</v>
      </c>
    </row>
    <row r="6981" spans="1:6" x14ac:dyDescent="0.2">
      <c r="A6981">
        <v>11</v>
      </c>
      <c r="E6981" t="str">
        <f t="shared" si="238"/>
        <v>L</v>
      </c>
      <c r="F6981" t="str">
        <f t="shared" si="237"/>
        <v>11L</v>
      </c>
    </row>
    <row r="6982" spans="1:6" x14ac:dyDescent="0.2">
      <c r="A6982">
        <v>12</v>
      </c>
      <c r="E6982" t="str">
        <f t="shared" si="238"/>
        <v>M</v>
      </c>
      <c r="F6982" t="str">
        <f t="shared" si="237"/>
        <v>12M</v>
      </c>
    </row>
    <row r="6983" spans="1:6" x14ac:dyDescent="0.2">
      <c r="A6983">
        <v>13</v>
      </c>
      <c r="E6983" t="str">
        <f t="shared" si="238"/>
        <v>N</v>
      </c>
      <c r="F6983" t="str">
        <f t="shared" si="237"/>
        <v>13N</v>
      </c>
    </row>
    <row r="6984" spans="1:6" x14ac:dyDescent="0.2">
      <c r="A6984">
        <v>14</v>
      </c>
      <c r="E6984" t="str">
        <f t="shared" si="238"/>
        <v>O</v>
      </c>
      <c r="F6984" t="str">
        <f t="shared" si="237"/>
        <v>14O</v>
      </c>
    </row>
    <row r="6985" spans="1:6" x14ac:dyDescent="0.2">
      <c r="A6985">
        <v>15</v>
      </c>
      <c r="E6985" t="str">
        <f t="shared" si="238"/>
        <v>P</v>
      </c>
      <c r="F6985" t="str">
        <f t="shared" si="237"/>
        <v>15P</v>
      </c>
    </row>
    <row r="6986" spans="1:6" x14ac:dyDescent="0.2">
      <c r="A6986">
        <v>16</v>
      </c>
      <c r="E6986" t="str">
        <f t="shared" si="238"/>
        <v>Q</v>
      </c>
      <c r="F6986" t="str">
        <f t="shared" si="237"/>
        <v>16Q</v>
      </c>
    </row>
    <row r="6987" spans="1:6" x14ac:dyDescent="0.2">
      <c r="A6987">
        <v>17</v>
      </c>
      <c r="E6987" t="str">
        <f t="shared" si="238"/>
        <v>R</v>
      </c>
      <c r="F6987" t="str">
        <f t="shared" si="237"/>
        <v>17R</v>
      </c>
    </row>
    <row r="6988" spans="1:6" x14ac:dyDescent="0.2">
      <c r="A6988">
        <v>18</v>
      </c>
      <c r="E6988" t="str">
        <f t="shared" si="238"/>
        <v>S</v>
      </c>
      <c r="F6988" t="str">
        <f t="shared" si="237"/>
        <v>18S</v>
      </c>
    </row>
    <row r="6989" spans="1:6" x14ac:dyDescent="0.2">
      <c r="A6989">
        <v>19</v>
      </c>
      <c r="E6989" t="str">
        <f t="shared" si="238"/>
        <v>T</v>
      </c>
      <c r="F6989" t="str">
        <f t="shared" si="237"/>
        <v>19T</v>
      </c>
    </row>
    <row r="6990" spans="1:6" x14ac:dyDescent="0.2">
      <c r="A6990">
        <v>20</v>
      </c>
      <c r="E6990" t="str">
        <f t="shared" si="238"/>
        <v>U</v>
      </c>
      <c r="F6990" t="str">
        <f t="shared" si="237"/>
        <v>20U</v>
      </c>
    </row>
    <row r="6991" spans="1:6" x14ac:dyDescent="0.2">
      <c r="A6991">
        <v>21</v>
      </c>
      <c r="E6991" t="str">
        <f t="shared" si="238"/>
        <v>V</v>
      </c>
      <c r="F6991" t="str">
        <f t="shared" si="237"/>
        <v>21V</v>
      </c>
    </row>
    <row r="6992" spans="1:6" x14ac:dyDescent="0.2">
      <c r="A6992">
        <v>22</v>
      </c>
      <c r="E6992" t="str">
        <f t="shared" si="238"/>
        <v>W</v>
      </c>
      <c r="F6992" t="str">
        <f t="shared" si="237"/>
        <v>22W</v>
      </c>
    </row>
    <row r="6993" spans="1:6" x14ac:dyDescent="0.2">
      <c r="A6993">
        <v>23</v>
      </c>
      <c r="E6993" t="str">
        <f t="shared" si="238"/>
        <v>X</v>
      </c>
      <c r="F6993" t="str">
        <f t="shared" si="237"/>
        <v>23X</v>
      </c>
    </row>
    <row r="6994" spans="1:6" x14ac:dyDescent="0.2">
      <c r="A6994">
        <v>24</v>
      </c>
      <c r="E6994" t="str">
        <f t="shared" si="238"/>
        <v>Y</v>
      </c>
      <c r="F6994" t="str">
        <f t="shared" si="237"/>
        <v>24Y</v>
      </c>
    </row>
    <row r="6995" spans="1:6" x14ac:dyDescent="0.2">
      <c r="A6995">
        <v>25</v>
      </c>
      <c r="E6995" t="str">
        <f t="shared" si="238"/>
        <v>Z</v>
      </c>
      <c r="F6995" t="str">
        <f t="shared" si="237"/>
        <v>25Z</v>
      </c>
    </row>
    <row r="6996" spans="1:6" x14ac:dyDescent="0.2">
      <c r="A6996">
        <v>0</v>
      </c>
      <c r="E6996" t="str">
        <f t="shared" si="238"/>
        <v>A</v>
      </c>
      <c r="F6996" t="str">
        <f t="shared" si="237"/>
        <v>0A</v>
      </c>
    </row>
    <row r="6997" spans="1:6" x14ac:dyDescent="0.2">
      <c r="A6997">
        <v>1</v>
      </c>
      <c r="E6997" t="str">
        <f t="shared" si="238"/>
        <v>B</v>
      </c>
      <c r="F6997" t="str">
        <f t="shared" si="237"/>
        <v>1B</v>
      </c>
    </row>
    <row r="6998" spans="1:6" x14ac:dyDescent="0.2">
      <c r="A6998">
        <v>2</v>
      </c>
      <c r="E6998" t="str">
        <f t="shared" si="238"/>
        <v>C</v>
      </c>
      <c r="F6998" t="str">
        <f t="shared" ref="F6998:F7061" si="239">A6998&amp;C6998&amp;E6998</f>
        <v>2C</v>
      </c>
    </row>
    <row r="6999" spans="1:6" x14ac:dyDescent="0.2">
      <c r="A6999">
        <v>3</v>
      </c>
      <c r="E6999" t="str">
        <f t="shared" si="238"/>
        <v>D</v>
      </c>
      <c r="F6999" t="str">
        <f t="shared" si="239"/>
        <v>3D</v>
      </c>
    </row>
    <row r="7000" spans="1:6" x14ac:dyDescent="0.2">
      <c r="A7000">
        <v>4</v>
      </c>
      <c r="E7000" t="str">
        <f t="shared" si="238"/>
        <v>E</v>
      </c>
      <c r="F7000" t="str">
        <f t="shared" si="239"/>
        <v>4E</v>
      </c>
    </row>
    <row r="7001" spans="1:6" x14ac:dyDescent="0.2">
      <c r="A7001">
        <v>5</v>
      </c>
      <c r="E7001" t="str">
        <f t="shared" si="238"/>
        <v>F</v>
      </c>
      <c r="F7001" t="str">
        <f t="shared" si="239"/>
        <v>5F</v>
      </c>
    </row>
    <row r="7002" spans="1:6" x14ac:dyDescent="0.2">
      <c r="A7002">
        <v>6</v>
      </c>
      <c r="E7002" t="str">
        <f t="shared" si="238"/>
        <v>G</v>
      </c>
      <c r="F7002" t="str">
        <f t="shared" si="239"/>
        <v>6G</v>
      </c>
    </row>
    <row r="7003" spans="1:6" x14ac:dyDescent="0.2">
      <c r="A7003">
        <v>7</v>
      </c>
      <c r="E7003" t="str">
        <f t="shared" si="238"/>
        <v>H</v>
      </c>
      <c r="F7003" t="str">
        <f t="shared" si="239"/>
        <v>7H</v>
      </c>
    </row>
    <row r="7004" spans="1:6" x14ac:dyDescent="0.2">
      <c r="A7004">
        <v>8</v>
      </c>
      <c r="E7004" t="str">
        <f t="shared" si="238"/>
        <v>I</v>
      </c>
      <c r="F7004" t="str">
        <f t="shared" si="239"/>
        <v>8I</v>
      </c>
    </row>
    <row r="7005" spans="1:6" x14ac:dyDescent="0.2">
      <c r="A7005">
        <v>9</v>
      </c>
      <c r="E7005" t="str">
        <f t="shared" si="238"/>
        <v>J</v>
      </c>
      <c r="F7005" t="str">
        <f t="shared" si="239"/>
        <v>9J</v>
      </c>
    </row>
    <row r="7006" spans="1:6" x14ac:dyDescent="0.2">
      <c r="A7006">
        <v>10</v>
      </c>
      <c r="E7006" t="str">
        <f t="shared" si="238"/>
        <v>K</v>
      </c>
      <c r="F7006" t="str">
        <f t="shared" si="239"/>
        <v>10K</v>
      </c>
    </row>
    <row r="7007" spans="1:6" x14ac:dyDescent="0.2">
      <c r="A7007">
        <v>11</v>
      </c>
      <c r="E7007" t="str">
        <f t="shared" si="238"/>
        <v>L</v>
      </c>
      <c r="F7007" t="str">
        <f t="shared" si="239"/>
        <v>11L</v>
      </c>
    </row>
    <row r="7008" spans="1:6" x14ac:dyDescent="0.2">
      <c r="A7008">
        <v>12</v>
      </c>
      <c r="E7008" t="str">
        <f t="shared" si="238"/>
        <v>M</v>
      </c>
      <c r="F7008" t="str">
        <f t="shared" si="239"/>
        <v>12M</v>
      </c>
    </row>
    <row r="7009" spans="1:6" x14ac:dyDescent="0.2">
      <c r="A7009">
        <v>13</v>
      </c>
      <c r="E7009" t="str">
        <f t="shared" si="238"/>
        <v>N</v>
      </c>
      <c r="F7009" t="str">
        <f t="shared" si="239"/>
        <v>13N</v>
      </c>
    </row>
    <row r="7010" spans="1:6" x14ac:dyDescent="0.2">
      <c r="A7010">
        <v>14</v>
      </c>
      <c r="E7010" t="str">
        <f t="shared" si="238"/>
        <v>O</v>
      </c>
      <c r="F7010" t="str">
        <f t="shared" si="239"/>
        <v>14O</v>
      </c>
    </row>
    <row r="7011" spans="1:6" x14ac:dyDescent="0.2">
      <c r="A7011">
        <v>15</v>
      </c>
      <c r="E7011" t="str">
        <f t="shared" si="238"/>
        <v>P</v>
      </c>
      <c r="F7011" t="str">
        <f t="shared" si="239"/>
        <v>15P</v>
      </c>
    </row>
    <row r="7012" spans="1:6" x14ac:dyDescent="0.2">
      <c r="A7012">
        <v>16</v>
      </c>
      <c r="E7012" t="str">
        <f t="shared" si="238"/>
        <v>Q</v>
      </c>
      <c r="F7012" t="str">
        <f t="shared" si="239"/>
        <v>16Q</v>
      </c>
    </row>
    <row r="7013" spans="1:6" x14ac:dyDescent="0.2">
      <c r="A7013">
        <v>17</v>
      </c>
      <c r="E7013" t="str">
        <f t="shared" si="238"/>
        <v>R</v>
      </c>
      <c r="F7013" t="str">
        <f t="shared" si="239"/>
        <v>17R</v>
      </c>
    </row>
    <row r="7014" spans="1:6" x14ac:dyDescent="0.2">
      <c r="A7014">
        <v>18</v>
      </c>
      <c r="E7014" t="str">
        <f t="shared" si="238"/>
        <v>S</v>
      </c>
      <c r="F7014" t="str">
        <f t="shared" si="239"/>
        <v>18S</v>
      </c>
    </row>
    <row r="7015" spans="1:6" x14ac:dyDescent="0.2">
      <c r="A7015">
        <v>19</v>
      </c>
      <c r="E7015" t="str">
        <f t="shared" si="238"/>
        <v>T</v>
      </c>
      <c r="F7015" t="str">
        <f t="shared" si="239"/>
        <v>19T</v>
      </c>
    </row>
    <row r="7016" spans="1:6" x14ac:dyDescent="0.2">
      <c r="A7016">
        <v>20</v>
      </c>
      <c r="E7016" t="str">
        <f t="shared" si="238"/>
        <v>U</v>
      </c>
      <c r="F7016" t="str">
        <f t="shared" si="239"/>
        <v>20U</v>
      </c>
    </row>
    <row r="7017" spans="1:6" x14ac:dyDescent="0.2">
      <c r="A7017">
        <v>21</v>
      </c>
      <c r="E7017" t="str">
        <f t="shared" si="238"/>
        <v>V</v>
      </c>
      <c r="F7017" t="str">
        <f t="shared" si="239"/>
        <v>21V</v>
      </c>
    </row>
    <row r="7018" spans="1:6" x14ac:dyDescent="0.2">
      <c r="A7018">
        <v>22</v>
      </c>
      <c r="E7018" t="str">
        <f t="shared" si="238"/>
        <v>W</v>
      </c>
      <c r="F7018" t="str">
        <f t="shared" si="239"/>
        <v>22W</v>
      </c>
    </row>
    <row r="7019" spans="1:6" x14ac:dyDescent="0.2">
      <c r="A7019">
        <v>23</v>
      </c>
      <c r="E7019" t="str">
        <f t="shared" si="238"/>
        <v>X</v>
      </c>
      <c r="F7019" t="str">
        <f t="shared" si="239"/>
        <v>23X</v>
      </c>
    </row>
    <row r="7020" spans="1:6" x14ac:dyDescent="0.2">
      <c r="A7020">
        <v>24</v>
      </c>
      <c r="E7020" t="str">
        <f t="shared" si="238"/>
        <v>Y</v>
      </c>
      <c r="F7020" t="str">
        <f t="shared" si="239"/>
        <v>24Y</v>
      </c>
    </row>
    <row r="7021" spans="1:6" x14ac:dyDescent="0.2">
      <c r="A7021">
        <v>25</v>
      </c>
      <c r="E7021" t="str">
        <f t="shared" si="238"/>
        <v>Z</v>
      </c>
      <c r="F7021" t="str">
        <f t="shared" si="239"/>
        <v>25Z</v>
      </c>
    </row>
    <row r="7022" spans="1:6" x14ac:dyDescent="0.2">
      <c r="A7022">
        <v>0</v>
      </c>
      <c r="E7022" t="str">
        <f t="shared" si="238"/>
        <v>A</v>
      </c>
      <c r="F7022" t="str">
        <f t="shared" si="239"/>
        <v>0A</v>
      </c>
    </row>
    <row r="7023" spans="1:6" x14ac:dyDescent="0.2">
      <c r="A7023">
        <v>1</v>
      </c>
      <c r="E7023" t="str">
        <f t="shared" si="238"/>
        <v>B</v>
      </c>
      <c r="F7023" t="str">
        <f t="shared" si="239"/>
        <v>1B</v>
      </c>
    </row>
    <row r="7024" spans="1:6" x14ac:dyDescent="0.2">
      <c r="A7024">
        <v>2</v>
      </c>
      <c r="E7024" t="str">
        <f t="shared" ref="E7024:E7087" si="240">E6998</f>
        <v>C</v>
      </c>
      <c r="F7024" t="str">
        <f t="shared" si="239"/>
        <v>2C</v>
      </c>
    </row>
    <row r="7025" spans="1:6" x14ac:dyDescent="0.2">
      <c r="A7025">
        <v>3</v>
      </c>
      <c r="E7025" t="str">
        <f t="shared" si="240"/>
        <v>D</v>
      </c>
      <c r="F7025" t="str">
        <f t="shared" si="239"/>
        <v>3D</v>
      </c>
    </row>
    <row r="7026" spans="1:6" x14ac:dyDescent="0.2">
      <c r="A7026">
        <v>4</v>
      </c>
      <c r="E7026" t="str">
        <f t="shared" si="240"/>
        <v>E</v>
      </c>
      <c r="F7026" t="str">
        <f t="shared" si="239"/>
        <v>4E</v>
      </c>
    </row>
    <row r="7027" spans="1:6" x14ac:dyDescent="0.2">
      <c r="A7027">
        <v>5</v>
      </c>
      <c r="E7027" t="str">
        <f t="shared" si="240"/>
        <v>F</v>
      </c>
      <c r="F7027" t="str">
        <f t="shared" si="239"/>
        <v>5F</v>
      </c>
    </row>
    <row r="7028" spans="1:6" x14ac:dyDescent="0.2">
      <c r="A7028">
        <v>6</v>
      </c>
      <c r="E7028" t="str">
        <f t="shared" si="240"/>
        <v>G</v>
      </c>
      <c r="F7028" t="str">
        <f t="shared" si="239"/>
        <v>6G</v>
      </c>
    </row>
    <row r="7029" spans="1:6" x14ac:dyDescent="0.2">
      <c r="A7029">
        <v>7</v>
      </c>
      <c r="E7029" t="str">
        <f t="shared" si="240"/>
        <v>H</v>
      </c>
      <c r="F7029" t="str">
        <f t="shared" si="239"/>
        <v>7H</v>
      </c>
    </row>
    <row r="7030" spans="1:6" x14ac:dyDescent="0.2">
      <c r="A7030">
        <v>8</v>
      </c>
      <c r="E7030" t="str">
        <f t="shared" si="240"/>
        <v>I</v>
      </c>
      <c r="F7030" t="str">
        <f t="shared" si="239"/>
        <v>8I</v>
      </c>
    </row>
    <row r="7031" spans="1:6" x14ac:dyDescent="0.2">
      <c r="A7031">
        <v>9</v>
      </c>
      <c r="E7031" t="str">
        <f t="shared" si="240"/>
        <v>J</v>
      </c>
      <c r="F7031" t="str">
        <f t="shared" si="239"/>
        <v>9J</v>
      </c>
    </row>
    <row r="7032" spans="1:6" x14ac:dyDescent="0.2">
      <c r="A7032">
        <v>10</v>
      </c>
      <c r="E7032" t="str">
        <f t="shared" si="240"/>
        <v>K</v>
      </c>
      <c r="F7032" t="str">
        <f t="shared" si="239"/>
        <v>10K</v>
      </c>
    </row>
    <row r="7033" spans="1:6" x14ac:dyDescent="0.2">
      <c r="A7033">
        <v>11</v>
      </c>
      <c r="E7033" t="str">
        <f t="shared" si="240"/>
        <v>L</v>
      </c>
      <c r="F7033" t="str">
        <f t="shared" si="239"/>
        <v>11L</v>
      </c>
    </row>
    <row r="7034" spans="1:6" x14ac:dyDescent="0.2">
      <c r="A7034">
        <v>12</v>
      </c>
      <c r="E7034" t="str">
        <f t="shared" si="240"/>
        <v>M</v>
      </c>
      <c r="F7034" t="str">
        <f t="shared" si="239"/>
        <v>12M</v>
      </c>
    </row>
    <row r="7035" spans="1:6" x14ac:dyDescent="0.2">
      <c r="A7035">
        <v>13</v>
      </c>
      <c r="E7035" t="str">
        <f t="shared" si="240"/>
        <v>N</v>
      </c>
      <c r="F7035" t="str">
        <f t="shared" si="239"/>
        <v>13N</v>
      </c>
    </row>
    <row r="7036" spans="1:6" x14ac:dyDescent="0.2">
      <c r="A7036">
        <v>14</v>
      </c>
      <c r="E7036" t="str">
        <f t="shared" si="240"/>
        <v>O</v>
      </c>
      <c r="F7036" t="str">
        <f t="shared" si="239"/>
        <v>14O</v>
      </c>
    </row>
    <row r="7037" spans="1:6" x14ac:dyDescent="0.2">
      <c r="A7037">
        <v>15</v>
      </c>
      <c r="E7037" t="str">
        <f t="shared" si="240"/>
        <v>P</v>
      </c>
      <c r="F7037" t="str">
        <f t="shared" si="239"/>
        <v>15P</v>
      </c>
    </row>
    <row r="7038" spans="1:6" x14ac:dyDescent="0.2">
      <c r="A7038">
        <v>16</v>
      </c>
      <c r="E7038" t="str">
        <f t="shared" si="240"/>
        <v>Q</v>
      </c>
      <c r="F7038" t="str">
        <f t="shared" si="239"/>
        <v>16Q</v>
      </c>
    </row>
    <row r="7039" spans="1:6" x14ac:dyDescent="0.2">
      <c r="A7039">
        <v>17</v>
      </c>
      <c r="E7039" t="str">
        <f t="shared" si="240"/>
        <v>R</v>
      </c>
      <c r="F7039" t="str">
        <f t="shared" si="239"/>
        <v>17R</v>
      </c>
    </row>
    <row r="7040" spans="1:6" x14ac:dyDescent="0.2">
      <c r="A7040">
        <v>18</v>
      </c>
      <c r="E7040" t="str">
        <f t="shared" si="240"/>
        <v>S</v>
      </c>
      <c r="F7040" t="str">
        <f t="shared" si="239"/>
        <v>18S</v>
      </c>
    </row>
    <row r="7041" spans="1:6" x14ac:dyDescent="0.2">
      <c r="A7041">
        <v>19</v>
      </c>
      <c r="E7041" t="str">
        <f t="shared" si="240"/>
        <v>T</v>
      </c>
      <c r="F7041" t="str">
        <f t="shared" si="239"/>
        <v>19T</v>
      </c>
    </row>
    <row r="7042" spans="1:6" x14ac:dyDescent="0.2">
      <c r="A7042">
        <v>20</v>
      </c>
      <c r="E7042" t="str">
        <f t="shared" si="240"/>
        <v>U</v>
      </c>
      <c r="F7042" t="str">
        <f t="shared" si="239"/>
        <v>20U</v>
      </c>
    </row>
    <row r="7043" spans="1:6" x14ac:dyDescent="0.2">
      <c r="A7043">
        <v>21</v>
      </c>
      <c r="E7043" t="str">
        <f t="shared" si="240"/>
        <v>V</v>
      </c>
      <c r="F7043" t="str">
        <f t="shared" si="239"/>
        <v>21V</v>
      </c>
    </row>
    <row r="7044" spans="1:6" x14ac:dyDescent="0.2">
      <c r="A7044">
        <v>22</v>
      </c>
      <c r="E7044" t="str">
        <f t="shared" si="240"/>
        <v>W</v>
      </c>
      <c r="F7044" t="str">
        <f t="shared" si="239"/>
        <v>22W</v>
      </c>
    </row>
    <row r="7045" spans="1:6" x14ac:dyDescent="0.2">
      <c r="A7045">
        <v>23</v>
      </c>
      <c r="E7045" t="str">
        <f t="shared" si="240"/>
        <v>X</v>
      </c>
      <c r="F7045" t="str">
        <f t="shared" si="239"/>
        <v>23X</v>
      </c>
    </row>
    <row r="7046" spans="1:6" x14ac:dyDescent="0.2">
      <c r="A7046">
        <v>24</v>
      </c>
      <c r="E7046" t="str">
        <f t="shared" si="240"/>
        <v>Y</v>
      </c>
      <c r="F7046" t="str">
        <f t="shared" si="239"/>
        <v>24Y</v>
      </c>
    </row>
    <row r="7047" spans="1:6" x14ac:dyDescent="0.2">
      <c r="A7047">
        <v>25</v>
      </c>
      <c r="E7047" t="str">
        <f t="shared" si="240"/>
        <v>Z</v>
      </c>
      <c r="F7047" t="str">
        <f t="shared" si="239"/>
        <v>25Z</v>
      </c>
    </row>
    <row r="7048" spans="1:6" x14ac:dyDescent="0.2">
      <c r="A7048">
        <v>0</v>
      </c>
      <c r="E7048" t="str">
        <f t="shared" si="240"/>
        <v>A</v>
      </c>
      <c r="F7048" t="str">
        <f t="shared" si="239"/>
        <v>0A</v>
      </c>
    </row>
    <row r="7049" spans="1:6" x14ac:dyDescent="0.2">
      <c r="A7049">
        <v>1</v>
      </c>
      <c r="E7049" t="str">
        <f t="shared" si="240"/>
        <v>B</v>
      </c>
      <c r="F7049" t="str">
        <f t="shared" si="239"/>
        <v>1B</v>
      </c>
    </row>
    <row r="7050" spans="1:6" x14ac:dyDescent="0.2">
      <c r="A7050">
        <v>2</v>
      </c>
      <c r="E7050" t="str">
        <f t="shared" si="240"/>
        <v>C</v>
      </c>
      <c r="F7050" t="str">
        <f t="shared" si="239"/>
        <v>2C</v>
      </c>
    </row>
    <row r="7051" spans="1:6" x14ac:dyDescent="0.2">
      <c r="A7051">
        <v>3</v>
      </c>
      <c r="E7051" t="str">
        <f t="shared" si="240"/>
        <v>D</v>
      </c>
      <c r="F7051" t="str">
        <f t="shared" si="239"/>
        <v>3D</v>
      </c>
    </row>
    <row r="7052" spans="1:6" x14ac:dyDescent="0.2">
      <c r="A7052">
        <v>4</v>
      </c>
      <c r="E7052" t="str">
        <f t="shared" si="240"/>
        <v>E</v>
      </c>
      <c r="F7052" t="str">
        <f t="shared" si="239"/>
        <v>4E</v>
      </c>
    </row>
    <row r="7053" spans="1:6" x14ac:dyDescent="0.2">
      <c r="A7053">
        <v>5</v>
      </c>
      <c r="E7053" t="str">
        <f t="shared" si="240"/>
        <v>F</v>
      </c>
      <c r="F7053" t="str">
        <f t="shared" si="239"/>
        <v>5F</v>
      </c>
    </row>
    <row r="7054" spans="1:6" x14ac:dyDescent="0.2">
      <c r="A7054">
        <v>6</v>
      </c>
      <c r="E7054" t="str">
        <f t="shared" si="240"/>
        <v>G</v>
      </c>
      <c r="F7054" t="str">
        <f t="shared" si="239"/>
        <v>6G</v>
      </c>
    </row>
    <row r="7055" spans="1:6" x14ac:dyDescent="0.2">
      <c r="A7055">
        <v>7</v>
      </c>
      <c r="E7055" t="str">
        <f t="shared" si="240"/>
        <v>H</v>
      </c>
      <c r="F7055" t="str">
        <f t="shared" si="239"/>
        <v>7H</v>
      </c>
    </row>
    <row r="7056" spans="1:6" x14ac:dyDescent="0.2">
      <c r="A7056">
        <v>8</v>
      </c>
      <c r="E7056" t="str">
        <f t="shared" si="240"/>
        <v>I</v>
      </c>
      <c r="F7056" t="str">
        <f t="shared" si="239"/>
        <v>8I</v>
      </c>
    </row>
    <row r="7057" spans="1:6" x14ac:dyDescent="0.2">
      <c r="A7057">
        <v>9</v>
      </c>
      <c r="E7057" t="str">
        <f t="shared" si="240"/>
        <v>J</v>
      </c>
      <c r="F7057" t="str">
        <f t="shared" si="239"/>
        <v>9J</v>
      </c>
    </row>
    <row r="7058" spans="1:6" x14ac:dyDescent="0.2">
      <c r="A7058">
        <v>10</v>
      </c>
      <c r="E7058" t="str">
        <f t="shared" si="240"/>
        <v>K</v>
      </c>
      <c r="F7058" t="str">
        <f t="shared" si="239"/>
        <v>10K</v>
      </c>
    </row>
    <row r="7059" spans="1:6" x14ac:dyDescent="0.2">
      <c r="A7059">
        <v>11</v>
      </c>
      <c r="E7059" t="str">
        <f t="shared" si="240"/>
        <v>L</v>
      </c>
      <c r="F7059" t="str">
        <f t="shared" si="239"/>
        <v>11L</v>
      </c>
    </row>
    <row r="7060" spans="1:6" x14ac:dyDescent="0.2">
      <c r="A7060">
        <v>12</v>
      </c>
      <c r="E7060" t="str">
        <f t="shared" si="240"/>
        <v>M</v>
      </c>
      <c r="F7060" t="str">
        <f t="shared" si="239"/>
        <v>12M</v>
      </c>
    </row>
    <row r="7061" spans="1:6" x14ac:dyDescent="0.2">
      <c r="A7061">
        <v>13</v>
      </c>
      <c r="E7061" t="str">
        <f t="shared" si="240"/>
        <v>N</v>
      </c>
      <c r="F7061" t="str">
        <f t="shared" si="239"/>
        <v>13N</v>
      </c>
    </row>
    <row r="7062" spans="1:6" x14ac:dyDescent="0.2">
      <c r="A7062">
        <v>14</v>
      </c>
      <c r="E7062" t="str">
        <f t="shared" si="240"/>
        <v>O</v>
      </c>
      <c r="F7062" t="str">
        <f t="shared" ref="F7062:F7125" si="241">A7062&amp;C7062&amp;E7062</f>
        <v>14O</v>
      </c>
    </row>
    <row r="7063" spans="1:6" x14ac:dyDescent="0.2">
      <c r="A7063">
        <v>15</v>
      </c>
      <c r="E7063" t="str">
        <f t="shared" si="240"/>
        <v>P</v>
      </c>
      <c r="F7063" t="str">
        <f t="shared" si="241"/>
        <v>15P</v>
      </c>
    </row>
    <row r="7064" spans="1:6" x14ac:dyDescent="0.2">
      <c r="A7064">
        <v>16</v>
      </c>
      <c r="E7064" t="str">
        <f t="shared" si="240"/>
        <v>Q</v>
      </c>
      <c r="F7064" t="str">
        <f t="shared" si="241"/>
        <v>16Q</v>
      </c>
    </row>
    <row r="7065" spans="1:6" x14ac:dyDescent="0.2">
      <c r="A7065">
        <v>17</v>
      </c>
      <c r="E7065" t="str">
        <f t="shared" si="240"/>
        <v>R</v>
      </c>
      <c r="F7065" t="str">
        <f t="shared" si="241"/>
        <v>17R</v>
      </c>
    </row>
    <row r="7066" spans="1:6" x14ac:dyDescent="0.2">
      <c r="A7066">
        <v>18</v>
      </c>
      <c r="E7066" t="str">
        <f t="shared" si="240"/>
        <v>S</v>
      </c>
      <c r="F7066" t="str">
        <f t="shared" si="241"/>
        <v>18S</v>
      </c>
    </row>
    <row r="7067" spans="1:6" x14ac:dyDescent="0.2">
      <c r="A7067">
        <v>19</v>
      </c>
      <c r="E7067" t="str">
        <f t="shared" si="240"/>
        <v>T</v>
      </c>
      <c r="F7067" t="str">
        <f t="shared" si="241"/>
        <v>19T</v>
      </c>
    </row>
    <row r="7068" spans="1:6" x14ac:dyDescent="0.2">
      <c r="A7068">
        <v>20</v>
      </c>
      <c r="E7068" t="str">
        <f t="shared" si="240"/>
        <v>U</v>
      </c>
      <c r="F7068" t="str">
        <f t="shared" si="241"/>
        <v>20U</v>
      </c>
    </row>
    <row r="7069" spans="1:6" x14ac:dyDescent="0.2">
      <c r="A7069">
        <v>21</v>
      </c>
      <c r="E7069" t="str">
        <f t="shared" si="240"/>
        <v>V</v>
      </c>
      <c r="F7069" t="str">
        <f t="shared" si="241"/>
        <v>21V</v>
      </c>
    </row>
    <row r="7070" spans="1:6" x14ac:dyDescent="0.2">
      <c r="A7070">
        <v>22</v>
      </c>
      <c r="E7070" t="str">
        <f t="shared" si="240"/>
        <v>W</v>
      </c>
      <c r="F7070" t="str">
        <f t="shared" si="241"/>
        <v>22W</v>
      </c>
    </row>
    <row r="7071" spans="1:6" x14ac:dyDescent="0.2">
      <c r="A7071">
        <v>23</v>
      </c>
      <c r="E7071" t="str">
        <f t="shared" si="240"/>
        <v>X</v>
      </c>
      <c r="F7071" t="str">
        <f t="shared" si="241"/>
        <v>23X</v>
      </c>
    </row>
    <row r="7072" spans="1:6" x14ac:dyDescent="0.2">
      <c r="A7072">
        <v>24</v>
      </c>
      <c r="E7072" t="str">
        <f t="shared" si="240"/>
        <v>Y</v>
      </c>
      <c r="F7072" t="str">
        <f t="shared" si="241"/>
        <v>24Y</v>
      </c>
    </row>
    <row r="7073" spans="1:6" x14ac:dyDescent="0.2">
      <c r="A7073">
        <v>25</v>
      </c>
      <c r="E7073" t="str">
        <f t="shared" si="240"/>
        <v>Z</v>
      </c>
      <c r="F7073" t="str">
        <f t="shared" si="241"/>
        <v>25Z</v>
      </c>
    </row>
    <row r="7074" spans="1:6" x14ac:dyDescent="0.2">
      <c r="A7074">
        <v>0</v>
      </c>
      <c r="E7074" t="str">
        <f t="shared" si="240"/>
        <v>A</v>
      </c>
      <c r="F7074" t="str">
        <f t="shared" si="241"/>
        <v>0A</v>
      </c>
    </row>
    <row r="7075" spans="1:6" x14ac:dyDescent="0.2">
      <c r="A7075">
        <v>1</v>
      </c>
      <c r="E7075" t="str">
        <f t="shared" si="240"/>
        <v>B</v>
      </c>
      <c r="F7075" t="str">
        <f t="shared" si="241"/>
        <v>1B</v>
      </c>
    </row>
    <row r="7076" spans="1:6" x14ac:dyDescent="0.2">
      <c r="A7076">
        <v>2</v>
      </c>
      <c r="E7076" t="str">
        <f t="shared" si="240"/>
        <v>C</v>
      </c>
      <c r="F7076" t="str">
        <f t="shared" si="241"/>
        <v>2C</v>
      </c>
    </row>
    <row r="7077" spans="1:6" x14ac:dyDescent="0.2">
      <c r="A7077">
        <v>3</v>
      </c>
      <c r="E7077" t="str">
        <f t="shared" si="240"/>
        <v>D</v>
      </c>
      <c r="F7077" t="str">
        <f t="shared" si="241"/>
        <v>3D</v>
      </c>
    </row>
    <row r="7078" spans="1:6" x14ac:dyDescent="0.2">
      <c r="A7078">
        <v>4</v>
      </c>
      <c r="E7078" t="str">
        <f t="shared" si="240"/>
        <v>E</v>
      </c>
      <c r="F7078" t="str">
        <f t="shared" si="241"/>
        <v>4E</v>
      </c>
    </row>
    <row r="7079" spans="1:6" x14ac:dyDescent="0.2">
      <c r="A7079">
        <v>5</v>
      </c>
      <c r="E7079" t="str">
        <f t="shared" si="240"/>
        <v>F</v>
      </c>
      <c r="F7079" t="str">
        <f t="shared" si="241"/>
        <v>5F</v>
      </c>
    </row>
    <row r="7080" spans="1:6" x14ac:dyDescent="0.2">
      <c r="A7080">
        <v>6</v>
      </c>
      <c r="E7080" t="str">
        <f t="shared" si="240"/>
        <v>G</v>
      </c>
      <c r="F7080" t="str">
        <f t="shared" si="241"/>
        <v>6G</v>
      </c>
    </row>
    <row r="7081" spans="1:6" x14ac:dyDescent="0.2">
      <c r="A7081">
        <v>7</v>
      </c>
      <c r="E7081" t="str">
        <f t="shared" si="240"/>
        <v>H</v>
      </c>
      <c r="F7081" t="str">
        <f t="shared" si="241"/>
        <v>7H</v>
      </c>
    </row>
    <row r="7082" spans="1:6" x14ac:dyDescent="0.2">
      <c r="A7082">
        <v>8</v>
      </c>
      <c r="E7082" t="str">
        <f t="shared" si="240"/>
        <v>I</v>
      </c>
      <c r="F7082" t="str">
        <f t="shared" si="241"/>
        <v>8I</v>
      </c>
    </row>
    <row r="7083" spans="1:6" x14ac:dyDescent="0.2">
      <c r="A7083">
        <v>9</v>
      </c>
      <c r="E7083" t="str">
        <f t="shared" si="240"/>
        <v>J</v>
      </c>
      <c r="F7083" t="str">
        <f t="shared" si="241"/>
        <v>9J</v>
      </c>
    </row>
    <row r="7084" spans="1:6" x14ac:dyDescent="0.2">
      <c r="A7084">
        <v>10</v>
      </c>
      <c r="E7084" t="str">
        <f t="shared" si="240"/>
        <v>K</v>
      </c>
      <c r="F7084" t="str">
        <f t="shared" si="241"/>
        <v>10K</v>
      </c>
    </row>
    <row r="7085" spans="1:6" x14ac:dyDescent="0.2">
      <c r="A7085">
        <v>11</v>
      </c>
      <c r="E7085" t="str">
        <f t="shared" si="240"/>
        <v>L</v>
      </c>
      <c r="F7085" t="str">
        <f t="shared" si="241"/>
        <v>11L</v>
      </c>
    </row>
    <row r="7086" spans="1:6" x14ac:dyDescent="0.2">
      <c r="A7086">
        <v>12</v>
      </c>
      <c r="E7086" t="str">
        <f t="shared" si="240"/>
        <v>M</v>
      </c>
      <c r="F7086" t="str">
        <f t="shared" si="241"/>
        <v>12M</v>
      </c>
    </row>
    <row r="7087" spans="1:6" x14ac:dyDescent="0.2">
      <c r="A7087">
        <v>13</v>
      </c>
      <c r="E7087" t="str">
        <f t="shared" si="240"/>
        <v>N</v>
      </c>
      <c r="F7087" t="str">
        <f t="shared" si="241"/>
        <v>13N</v>
      </c>
    </row>
    <row r="7088" spans="1:6" x14ac:dyDescent="0.2">
      <c r="A7088">
        <v>14</v>
      </c>
      <c r="E7088" t="str">
        <f t="shared" ref="E7088:E7151" si="242">E7062</f>
        <v>O</v>
      </c>
      <c r="F7088" t="str">
        <f t="shared" si="241"/>
        <v>14O</v>
      </c>
    </row>
    <row r="7089" spans="1:6" x14ac:dyDescent="0.2">
      <c r="A7089">
        <v>15</v>
      </c>
      <c r="E7089" t="str">
        <f t="shared" si="242"/>
        <v>P</v>
      </c>
      <c r="F7089" t="str">
        <f t="shared" si="241"/>
        <v>15P</v>
      </c>
    </row>
    <row r="7090" spans="1:6" x14ac:dyDescent="0.2">
      <c r="A7090">
        <v>16</v>
      </c>
      <c r="E7090" t="str">
        <f t="shared" si="242"/>
        <v>Q</v>
      </c>
      <c r="F7090" t="str">
        <f t="shared" si="241"/>
        <v>16Q</v>
      </c>
    </row>
    <row r="7091" spans="1:6" x14ac:dyDescent="0.2">
      <c r="A7091">
        <v>17</v>
      </c>
      <c r="E7091" t="str">
        <f t="shared" si="242"/>
        <v>R</v>
      </c>
      <c r="F7091" t="str">
        <f t="shared" si="241"/>
        <v>17R</v>
      </c>
    </row>
    <row r="7092" spans="1:6" x14ac:dyDescent="0.2">
      <c r="A7092">
        <v>18</v>
      </c>
      <c r="E7092" t="str">
        <f t="shared" si="242"/>
        <v>S</v>
      </c>
      <c r="F7092" t="str">
        <f t="shared" si="241"/>
        <v>18S</v>
      </c>
    </row>
    <row r="7093" spans="1:6" x14ac:dyDescent="0.2">
      <c r="A7093">
        <v>19</v>
      </c>
      <c r="E7093" t="str">
        <f t="shared" si="242"/>
        <v>T</v>
      </c>
      <c r="F7093" t="str">
        <f t="shared" si="241"/>
        <v>19T</v>
      </c>
    </row>
    <row r="7094" spans="1:6" x14ac:dyDescent="0.2">
      <c r="A7094">
        <v>20</v>
      </c>
      <c r="E7094" t="str">
        <f t="shared" si="242"/>
        <v>U</v>
      </c>
      <c r="F7094" t="str">
        <f t="shared" si="241"/>
        <v>20U</v>
      </c>
    </row>
    <row r="7095" spans="1:6" x14ac:dyDescent="0.2">
      <c r="A7095">
        <v>21</v>
      </c>
      <c r="E7095" t="str">
        <f t="shared" si="242"/>
        <v>V</v>
      </c>
      <c r="F7095" t="str">
        <f t="shared" si="241"/>
        <v>21V</v>
      </c>
    </row>
    <row r="7096" spans="1:6" x14ac:dyDescent="0.2">
      <c r="A7096">
        <v>22</v>
      </c>
      <c r="E7096" t="str">
        <f t="shared" si="242"/>
        <v>W</v>
      </c>
      <c r="F7096" t="str">
        <f t="shared" si="241"/>
        <v>22W</v>
      </c>
    </row>
    <row r="7097" spans="1:6" x14ac:dyDescent="0.2">
      <c r="A7097">
        <v>23</v>
      </c>
      <c r="E7097" t="str">
        <f t="shared" si="242"/>
        <v>X</v>
      </c>
      <c r="F7097" t="str">
        <f t="shared" si="241"/>
        <v>23X</v>
      </c>
    </row>
    <row r="7098" spans="1:6" x14ac:dyDescent="0.2">
      <c r="A7098">
        <v>24</v>
      </c>
      <c r="E7098" t="str">
        <f t="shared" si="242"/>
        <v>Y</v>
      </c>
      <c r="F7098" t="str">
        <f t="shared" si="241"/>
        <v>24Y</v>
      </c>
    </row>
    <row r="7099" spans="1:6" x14ac:dyDescent="0.2">
      <c r="A7099">
        <v>25</v>
      </c>
      <c r="E7099" t="str">
        <f t="shared" si="242"/>
        <v>Z</v>
      </c>
      <c r="F7099" t="str">
        <f t="shared" si="241"/>
        <v>25Z</v>
      </c>
    </row>
    <row r="7100" spans="1:6" x14ac:dyDescent="0.2">
      <c r="A7100">
        <v>0</v>
      </c>
      <c r="E7100" t="str">
        <f t="shared" si="242"/>
        <v>A</v>
      </c>
      <c r="F7100" t="str">
        <f t="shared" si="241"/>
        <v>0A</v>
      </c>
    </row>
    <row r="7101" spans="1:6" x14ac:dyDescent="0.2">
      <c r="A7101">
        <v>1</v>
      </c>
      <c r="E7101" t="str">
        <f t="shared" si="242"/>
        <v>B</v>
      </c>
      <c r="F7101" t="str">
        <f t="shared" si="241"/>
        <v>1B</v>
      </c>
    </row>
    <row r="7102" spans="1:6" x14ac:dyDescent="0.2">
      <c r="A7102">
        <v>2</v>
      </c>
      <c r="E7102" t="str">
        <f t="shared" si="242"/>
        <v>C</v>
      </c>
      <c r="F7102" t="str">
        <f t="shared" si="241"/>
        <v>2C</v>
      </c>
    </row>
    <row r="7103" spans="1:6" x14ac:dyDescent="0.2">
      <c r="A7103">
        <v>3</v>
      </c>
      <c r="E7103" t="str">
        <f t="shared" si="242"/>
        <v>D</v>
      </c>
      <c r="F7103" t="str">
        <f t="shared" si="241"/>
        <v>3D</v>
      </c>
    </row>
    <row r="7104" spans="1:6" x14ac:dyDescent="0.2">
      <c r="A7104">
        <v>4</v>
      </c>
      <c r="E7104" t="str">
        <f t="shared" si="242"/>
        <v>E</v>
      </c>
      <c r="F7104" t="str">
        <f t="shared" si="241"/>
        <v>4E</v>
      </c>
    </row>
    <row r="7105" spans="1:6" x14ac:dyDescent="0.2">
      <c r="A7105">
        <v>5</v>
      </c>
      <c r="E7105" t="str">
        <f t="shared" si="242"/>
        <v>F</v>
      </c>
      <c r="F7105" t="str">
        <f t="shared" si="241"/>
        <v>5F</v>
      </c>
    </row>
    <row r="7106" spans="1:6" x14ac:dyDescent="0.2">
      <c r="A7106">
        <v>6</v>
      </c>
      <c r="E7106" t="str">
        <f t="shared" si="242"/>
        <v>G</v>
      </c>
      <c r="F7106" t="str">
        <f t="shared" si="241"/>
        <v>6G</v>
      </c>
    </row>
    <row r="7107" spans="1:6" x14ac:dyDescent="0.2">
      <c r="A7107">
        <v>7</v>
      </c>
      <c r="E7107" t="str">
        <f t="shared" si="242"/>
        <v>H</v>
      </c>
      <c r="F7107" t="str">
        <f t="shared" si="241"/>
        <v>7H</v>
      </c>
    </row>
    <row r="7108" spans="1:6" x14ac:dyDescent="0.2">
      <c r="A7108">
        <v>8</v>
      </c>
      <c r="E7108" t="str">
        <f t="shared" si="242"/>
        <v>I</v>
      </c>
      <c r="F7108" t="str">
        <f t="shared" si="241"/>
        <v>8I</v>
      </c>
    </row>
    <row r="7109" spans="1:6" x14ac:dyDescent="0.2">
      <c r="A7109">
        <v>9</v>
      </c>
      <c r="E7109" t="str">
        <f t="shared" si="242"/>
        <v>J</v>
      </c>
      <c r="F7109" t="str">
        <f t="shared" si="241"/>
        <v>9J</v>
      </c>
    </row>
    <row r="7110" spans="1:6" x14ac:dyDescent="0.2">
      <c r="A7110">
        <v>10</v>
      </c>
      <c r="E7110" t="str">
        <f t="shared" si="242"/>
        <v>K</v>
      </c>
      <c r="F7110" t="str">
        <f t="shared" si="241"/>
        <v>10K</v>
      </c>
    </row>
    <row r="7111" spans="1:6" x14ac:dyDescent="0.2">
      <c r="A7111">
        <v>11</v>
      </c>
      <c r="E7111" t="str">
        <f t="shared" si="242"/>
        <v>L</v>
      </c>
      <c r="F7111" t="str">
        <f t="shared" si="241"/>
        <v>11L</v>
      </c>
    </row>
    <row r="7112" spans="1:6" x14ac:dyDescent="0.2">
      <c r="A7112">
        <v>12</v>
      </c>
      <c r="E7112" t="str">
        <f t="shared" si="242"/>
        <v>M</v>
      </c>
      <c r="F7112" t="str">
        <f t="shared" si="241"/>
        <v>12M</v>
      </c>
    </row>
    <row r="7113" spans="1:6" x14ac:dyDescent="0.2">
      <c r="A7113">
        <v>13</v>
      </c>
      <c r="E7113" t="str">
        <f t="shared" si="242"/>
        <v>N</v>
      </c>
      <c r="F7113" t="str">
        <f t="shared" si="241"/>
        <v>13N</v>
      </c>
    </row>
    <row r="7114" spans="1:6" x14ac:dyDescent="0.2">
      <c r="A7114">
        <v>14</v>
      </c>
      <c r="E7114" t="str">
        <f t="shared" si="242"/>
        <v>O</v>
      </c>
      <c r="F7114" t="str">
        <f t="shared" si="241"/>
        <v>14O</v>
      </c>
    </row>
    <row r="7115" spans="1:6" x14ac:dyDescent="0.2">
      <c r="A7115">
        <v>15</v>
      </c>
      <c r="E7115" t="str">
        <f t="shared" si="242"/>
        <v>P</v>
      </c>
      <c r="F7115" t="str">
        <f t="shared" si="241"/>
        <v>15P</v>
      </c>
    </row>
    <row r="7116" spans="1:6" x14ac:dyDescent="0.2">
      <c r="A7116">
        <v>16</v>
      </c>
      <c r="E7116" t="str">
        <f t="shared" si="242"/>
        <v>Q</v>
      </c>
      <c r="F7116" t="str">
        <f t="shared" si="241"/>
        <v>16Q</v>
      </c>
    </row>
    <row r="7117" spans="1:6" x14ac:dyDescent="0.2">
      <c r="A7117">
        <v>17</v>
      </c>
      <c r="E7117" t="str">
        <f t="shared" si="242"/>
        <v>R</v>
      </c>
      <c r="F7117" t="str">
        <f t="shared" si="241"/>
        <v>17R</v>
      </c>
    </row>
    <row r="7118" spans="1:6" x14ac:dyDescent="0.2">
      <c r="A7118">
        <v>18</v>
      </c>
      <c r="E7118" t="str">
        <f t="shared" si="242"/>
        <v>S</v>
      </c>
      <c r="F7118" t="str">
        <f t="shared" si="241"/>
        <v>18S</v>
      </c>
    </row>
    <row r="7119" spans="1:6" x14ac:dyDescent="0.2">
      <c r="A7119">
        <v>19</v>
      </c>
      <c r="E7119" t="str">
        <f t="shared" si="242"/>
        <v>T</v>
      </c>
      <c r="F7119" t="str">
        <f t="shared" si="241"/>
        <v>19T</v>
      </c>
    </row>
    <row r="7120" spans="1:6" x14ac:dyDescent="0.2">
      <c r="A7120">
        <v>20</v>
      </c>
      <c r="E7120" t="str">
        <f t="shared" si="242"/>
        <v>U</v>
      </c>
      <c r="F7120" t="str">
        <f t="shared" si="241"/>
        <v>20U</v>
      </c>
    </row>
    <row r="7121" spans="1:6" x14ac:dyDescent="0.2">
      <c r="A7121">
        <v>21</v>
      </c>
      <c r="E7121" t="str">
        <f t="shared" si="242"/>
        <v>V</v>
      </c>
      <c r="F7121" t="str">
        <f t="shared" si="241"/>
        <v>21V</v>
      </c>
    </row>
    <row r="7122" spans="1:6" x14ac:dyDescent="0.2">
      <c r="A7122">
        <v>22</v>
      </c>
      <c r="E7122" t="str">
        <f t="shared" si="242"/>
        <v>W</v>
      </c>
      <c r="F7122" t="str">
        <f t="shared" si="241"/>
        <v>22W</v>
      </c>
    </row>
    <row r="7123" spans="1:6" x14ac:dyDescent="0.2">
      <c r="A7123">
        <v>23</v>
      </c>
      <c r="E7123" t="str">
        <f t="shared" si="242"/>
        <v>X</v>
      </c>
      <c r="F7123" t="str">
        <f t="shared" si="241"/>
        <v>23X</v>
      </c>
    </row>
    <row r="7124" spans="1:6" x14ac:dyDescent="0.2">
      <c r="A7124">
        <v>24</v>
      </c>
      <c r="E7124" t="str">
        <f t="shared" si="242"/>
        <v>Y</v>
      </c>
      <c r="F7124" t="str">
        <f t="shared" si="241"/>
        <v>24Y</v>
      </c>
    </row>
    <row r="7125" spans="1:6" x14ac:dyDescent="0.2">
      <c r="A7125">
        <v>25</v>
      </c>
      <c r="E7125" t="str">
        <f t="shared" si="242"/>
        <v>Z</v>
      </c>
      <c r="F7125" t="str">
        <f t="shared" si="241"/>
        <v>25Z</v>
      </c>
    </row>
    <row r="7126" spans="1:6" x14ac:dyDescent="0.2">
      <c r="A7126">
        <v>0</v>
      </c>
      <c r="E7126" t="str">
        <f t="shared" si="242"/>
        <v>A</v>
      </c>
      <c r="F7126" t="str">
        <f t="shared" ref="F7126:F7189" si="243">A7126&amp;C7126&amp;E7126</f>
        <v>0A</v>
      </c>
    </row>
    <row r="7127" spans="1:6" x14ac:dyDescent="0.2">
      <c r="A7127">
        <v>1</v>
      </c>
      <c r="E7127" t="str">
        <f t="shared" si="242"/>
        <v>B</v>
      </c>
      <c r="F7127" t="str">
        <f t="shared" si="243"/>
        <v>1B</v>
      </c>
    </row>
    <row r="7128" spans="1:6" x14ac:dyDescent="0.2">
      <c r="A7128">
        <v>2</v>
      </c>
      <c r="E7128" t="str">
        <f t="shared" si="242"/>
        <v>C</v>
      </c>
      <c r="F7128" t="str">
        <f t="shared" si="243"/>
        <v>2C</v>
      </c>
    </row>
    <row r="7129" spans="1:6" x14ac:dyDescent="0.2">
      <c r="A7129">
        <v>3</v>
      </c>
      <c r="E7129" t="str">
        <f t="shared" si="242"/>
        <v>D</v>
      </c>
      <c r="F7129" t="str">
        <f t="shared" si="243"/>
        <v>3D</v>
      </c>
    </row>
    <row r="7130" spans="1:6" x14ac:dyDescent="0.2">
      <c r="A7130">
        <v>4</v>
      </c>
      <c r="E7130" t="str">
        <f t="shared" si="242"/>
        <v>E</v>
      </c>
      <c r="F7130" t="str">
        <f t="shared" si="243"/>
        <v>4E</v>
      </c>
    </row>
    <row r="7131" spans="1:6" x14ac:dyDescent="0.2">
      <c r="A7131">
        <v>5</v>
      </c>
      <c r="E7131" t="str">
        <f t="shared" si="242"/>
        <v>F</v>
      </c>
      <c r="F7131" t="str">
        <f t="shared" si="243"/>
        <v>5F</v>
      </c>
    </row>
    <row r="7132" spans="1:6" x14ac:dyDescent="0.2">
      <c r="A7132">
        <v>6</v>
      </c>
      <c r="E7132" t="str">
        <f t="shared" si="242"/>
        <v>G</v>
      </c>
      <c r="F7132" t="str">
        <f t="shared" si="243"/>
        <v>6G</v>
      </c>
    </row>
    <row r="7133" spans="1:6" x14ac:dyDescent="0.2">
      <c r="A7133">
        <v>7</v>
      </c>
      <c r="E7133" t="str">
        <f t="shared" si="242"/>
        <v>H</v>
      </c>
      <c r="F7133" t="str">
        <f t="shared" si="243"/>
        <v>7H</v>
      </c>
    </row>
    <row r="7134" spans="1:6" x14ac:dyDescent="0.2">
      <c r="A7134">
        <v>8</v>
      </c>
      <c r="E7134" t="str">
        <f t="shared" si="242"/>
        <v>I</v>
      </c>
      <c r="F7134" t="str">
        <f t="shared" si="243"/>
        <v>8I</v>
      </c>
    </row>
    <row r="7135" spans="1:6" x14ac:dyDescent="0.2">
      <c r="A7135">
        <v>9</v>
      </c>
      <c r="E7135" t="str">
        <f t="shared" si="242"/>
        <v>J</v>
      </c>
      <c r="F7135" t="str">
        <f t="shared" si="243"/>
        <v>9J</v>
      </c>
    </row>
    <row r="7136" spans="1:6" x14ac:dyDescent="0.2">
      <c r="A7136">
        <v>10</v>
      </c>
      <c r="E7136" t="str">
        <f t="shared" si="242"/>
        <v>K</v>
      </c>
      <c r="F7136" t="str">
        <f t="shared" si="243"/>
        <v>10K</v>
      </c>
    </row>
    <row r="7137" spans="1:6" x14ac:dyDescent="0.2">
      <c r="A7137">
        <v>11</v>
      </c>
      <c r="E7137" t="str">
        <f t="shared" si="242"/>
        <v>L</v>
      </c>
      <c r="F7137" t="str">
        <f t="shared" si="243"/>
        <v>11L</v>
      </c>
    </row>
    <row r="7138" spans="1:6" x14ac:dyDescent="0.2">
      <c r="A7138">
        <v>12</v>
      </c>
      <c r="E7138" t="str">
        <f t="shared" si="242"/>
        <v>M</v>
      </c>
      <c r="F7138" t="str">
        <f t="shared" si="243"/>
        <v>12M</v>
      </c>
    </row>
    <row r="7139" spans="1:6" x14ac:dyDescent="0.2">
      <c r="A7139">
        <v>13</v>
      </c>
      <c r="E7139" t="str">
        <f t="shared" si="242"/>
        <v>N</v>
      </c>
      <c r="F7139" t="str">
        <f t="shared" si="243"/>
        <v>13N</v>
      </c>
    </row>
    <row r="7140" spans="1:6" x14ac:dyDescent="0.2">
      <c r="A7140">
        <v>14</v>
      </c>
      <c r="E7140" t="str">
        <f t="shared" si="242"/>
        <v>O</v>
      </c>
      <c r="F7140" t="str">
        <f t="shared" si="243"/>
        <v>14O</v>
      </c>
    </row>
    <row r="7141" spans="1:6" x14ac:dyDescent="0.2">
      <c r="A7141">
        <v>15</v>
      </c>
      <c r="E7141" t="str">
        <f t="shared" si="242"/>
        <v>P</v>
      </c>
      <c r="F7141" t="str">
        <f t="shared" si="243"/>
        <v>15P</v>
      </c>
    </row>
    <row r="7142" spans="1:6" x14ac:dyDescent="0.2">
      <c r="A7142">
        <v>16</v>
      </c>
      <c r="E7142" t="str">
        <f t="shared" si="242"/>
        <v>Q</v>
      </c>
      <c r="F7142" t="str">
        <f t="shared" si="243"/>
        <v>16Q</v>
      </c>
    </row>
    <row r="7143" spans="1:6" x14ac:dyDescent="0.2">
      <c r="A7143">
        <v>17</v>
      </c>
      <c r="E7143" t="str">
        <f t="shared" si="242"/>
        <v>R</v>
      </c>
      <c r="F7143" t="str">
        <f t="shared" si="243"/>
        <v>17R</v>
      </c>
    </row>
    <row r="7144" spans="1:6" x14ac:dyDescent="0.2">
      <c r="A7144">
        <v>18</v>
      </c>
      <c r="E7144" t="str">
        <f t="shared" si="242"/>
        <v>S</v>
      </c>
      <c r="F7144" t="str">
        <f t="shared" si="243"/>
        <v>18S</v>
      </c>
    </row>
    <row r="7145" spans="1:6" x14ac:dyDescent="0.2">
      <c r="A7145">
        <v>19</v>
      </c>
      <c r="E7145" t="str">
        <f t="shared" si="242"/>
        <v>T</v>
      </c>
      <c r="F7145" t="str">
        <f t="shared" si="243"/>
        <v>19T</v>
      </c>
    </row>
    <row r="7146" spans="1:6" x14ac:dyDescent="0.2">
      <c r="A7146">
        <v>20</v>
      </c>
      <c r="E7146" t="str">
        <f t="shared" si="242"/>
        <v>U</v>
      </c>
      <c r="F7146" t="str">
        <f t="shared" si="243"/>
        <v>20U</v>
      </c>
    </row>
    <row r="7147" spans="1:6" x14ac:dyDescent="0.2">
      <c r="A7147">
        <v>21</v>
      </c>
      <c r="E7147" t="str">
        <f t="shared" si="242"/>
        <v>V</v>
      </c>
      <c r="F7147" t="str">
        <f t="shared" si="243"/>
        <v>21V</v>
      </c>
    </row>
    <row r="7148" spans="1:6" x14ac:dyDescent="0.2">
      <c r="A7148">
        <v>22</v>
      </c>
      <c r="E7148" t="str">
        <f t="shared" si="242"/>
        <v>W</v>
      </c>
      <c r="F7148" t="str">
        <f t="shared" si="243"/>
        <v>22W</v>
      </c>
    </row>
    <row r="7149" spans="1:6" x14ac:dyDescent="0.2">
      <c r="A7149">
        <v>23</v>
      </c>
      <c r="E7149" t="str">
        <f t="shared" si="242"/>
        <v>X</v>
      </c>
      <c r="F7149" t="str">
        <f t="shared" si="243"/>
        <v>23X</v>
      </c>
    </row>
    <row r="7150" spans="1:6" x14ac:dyDescent="0.2">
      <c r="A7150">
        <v>24</v>
      </c>
      <c r="E7150" t="str">
        <f t="shared" si="242"/>
        <v>Y</v>
      </c>
      <c r="F7150" t="str">
        <f t="shared" si="243"/>
        <v>24Y</v>
      </c>
    </row>
    <row r="7151" spans="1:6" x14ac:dyDescent="0.2">
      <c r="A7151">
        <v>25</v>
      </c>
      <c r="E7151" t="str">
        <f t="shared" si="242"/>
        <v>Z</v>
      </c>
      <c r="F7151" t="str">
        <f t="shared" si="243"/>
        <v>25Z</v>
      </c>
    </row>
    <row r="7152" spans="1:6" x14ac:dyDescent="0.2">
      <c r="A7152">
        <v>0</v>
      </c>
      <c r="E7152" t="str">
        <f t="shared" ref="E7152:E7215" si="244">E7126</f>
        <v>A</v>
      </c>
      <c r="F7152" t="str">
        <f t="shared" si="243"/>
        <v>0A</v>
      </c>
    </row>
    <row r="7153" spans="1:6" x14ac:dyDescent="0.2">
      <c r="A7153">
        <v>1</v>
      </c>
      <c r="E7153" t="str">
        <f t="shared" si="244"/>
        <v>B</v>
      </c>
      <c r="F7153" t="str">
        <f t="shared" si="243"/>
        <v>1B</v>
      </c>
    </row>
    <row r="7154" spans="1:6" x14ac:dyDescent="0.2">
      <c r="A7154">
        <v>2</v>
      </c>
      <c r="E7154" t="str">
        <f t="shared" si="244"/>
        <v>C</v>
      </c>
      <c r="F7154" t="str">
        <f t="shared" si="243"/>
        <v>2C</v>
      </c>
    </row>
    <row r="7155" spans="1:6" x14ac:dyDescent="0.2">
      <c r="A7155">
        <v>3</v>
      </c>
      <c r="E7155" t="str">
        <f t="shared" si="244"/>
        <v>D</v>
      </c>
      <c r="F7155" t="str">
        <f t="shared" si="243"/>
        <v>3D</v>
      </c>
    </row>
    <row r="7156" spans="1:6" x14ac:dyDescent="0.2">
      <c r="A7156">
        <v>4</v>
      </c>
      <c r="E7156" t="str">
        <f t="shared" si="244"/>
        <v>E</v>
      </c>
      <c r="F7156" t="str">
        <f t="shared" si="243"/>
        <v>4E</v>
      </c>
    </row>
    <row r="7157" spans="1:6" x14ac:dyDescent="0.2">
      <c r="A7157">
        <v>5</v>
      </c>
      <c r="E7157" t="str">
        <f t="shared" si="244"/>
        <v>F</v>
      </c>
      <c r="F7157" t="str">
        <f t="shared" si="243"/>
        <v>5F</v>
      </c>
    </row>
    <row r="7158" spans="1:6" x14ac:dyDescent="0.2">
      <c r="A7158">
        <v>6</v>
      </c>
      <c r="E7158" t="str">
        <f t="shared" si="244"/>
        <v>G</v>
      </c>
      <c r="F7158" t="str">
        <f t="shared" si="243"/>
        <v>6G</v>
      </c>
    </row>
    <row r="7159" spans="1:6" x14ac:dyDescent="0.2">
      <c r="A7159">
        <v>7</v>
      </c>
      <c r="E7159" t="str">
        <f t="shared" si="244"/>
        <v>H</v>
      </c>
      <c r="F7159" t="str">
        <f t="shared" si="243"/>
        <v>7H</v>
      </c>
    </row>
    <row r="7160" spans="1:6" x14ac:dyDescent="0.2">
      <c r="A7160">
        <v>8</v>
      </c>
      <c r="E7160" t="str">
        <f t="shared" si="244"/>
        <v>I</v>
      </c>
      <c r="F7160" t="str">
        <f t="shared" si="243"/>
        <v>8I</v>
      </c>
    </row>
    <row r="7161" spans="1:6" x14ac:dyDescent="0.2">
      <c r="A7161">
        <v>9</v>
      </c>
      <c r="E7161" t="str">
        <f t="shared" si="244"/>
        <v>J</v>
      </c>
      <c r="F7161" t="str">
        <f t="shared" si="243"/>
        <v>9J</v>
      </c>
    </row>
    <row r="7162" spans="1:6" x14ac:dyDescent="0.2">
      <c r="A7162">
        <v>10</v>
      </c>
      <c r="E7162" t="str">
        <f t="shared" si="244"/>
        <v>K</v>
      </c>
      <c r="F7162" t="str">
        <f t="shared" si="243"/>
        <v>10K</v>
      </c>
    </row>
    <row r="7163" spans="1:6" x14ac:dyDescent="0.2">
      <c r="A7163">
        <v>11</v>
      </c>
      <c r="E7163" t="str">
        <f t="shared" si="244"/>
        <v>L</v>
      </c>
      <c r="F7163" t="str">
        <f t="shared" si="243"/>
        <v>11L</v>
      </c>
    </row>
    <row r="7164" spans="1:6" x14ac:dyDescent="0.2">
      <c r="A7164">
        <v>12</v>
      </c>
      <c r="E7164" t="str">
        <f t="shared" si="244"/>
        <v>M</v>
      </c>
      <c r="F7164" t="str">
        <f t="shared" si="243"/>
        <v>12M</v>
      </c>
    </row>
    <row r="7165" spans="1:6" x14ac:dyDescent="0.2">
      <c r="A7165">
        <v>13</v>
      </c>
      <c r="E7165" t="str">
        <f t="shared" si="244"/>
        <v>N</v>
      </c>
      <c r="F7165" t="str">
        <f t="shared" si="243"/>
        <v>13N</v>
      </c>
    </row>
    <row r="7166" spans="1:6" x14ac:dyDescent="0.2">
      <c r="A7166">
        <v>14</v>
      </c>
      <c r="E7166" t="str">
        <f t="shared" si="244"/>
        <v>O</v>
      </c>
      <c r="F7166" t="str">
        <f t="shared" si="243"/>
        <v>14O</v>
      </c>
    </row>
    <row r="7167" spans="1:6" x14ac:dyDescent="0.2">
      <c r="A7167">
        <v>15</v>
      </c>
      <c r="E7167" t="str">
        <f t="shared" si="244"/>
        <v>P</v>
      </c>
      <c r="F7167" t="str">
        <f t="shared" si="243"/>
        <v>15P</v>
      </c>
    </row>
    <row r="7168" spans="1:6" x14ac:dyDescent="0.2">
      <c r="A7168">
        <v>16</v>
      </c>
      <c r="E7168" t="str">
        <f t="shared" si="244"/>
        <v>Q</v>
      </c>
      <c r="F7168" t="str">
        <f t="shared" si="243"/>
        <v>16Q</v>
      </c>
    </row>
    <row r="7169" spans="1:6" x14ac:dyDescent="0.2">
      <c r="A7169">
        <v>17</v>
      </c>
      <c r="E7169" t="str">
        <f t="shared" si="244"/>
        <v>R</v>
      </c>
      <c r="F7169" t="str">
        <f t="shared" si="243"/>
        <v>17R</v>
      </c>
    </row>
    <row r="7170" spans="1:6" x14ac:dyDescent="0.2">
      <c r="A7170">
        <v>18</v>
      </c>
      <c r="E7170" t="str">
        <f t="shared" si="244"/>
        <v>S</v>
      </c>
      <c r="F7170" t="str">
        <f t="shared" si="243"/>
        <v>18S</v>
      </c>
    </row>
    <row r="7171" spans="1:6" x14ac:dyDescent="0.2">
      <c r="A7171">
        <v>19</v>
      </c>
      <c r="E7171" t="str">
        <f t="shared" si="244"/>
        <v>T</v>
      </c>
      <c r="F7171" t="str">
        <f t="shared" si="243"/>
        <v>19T</v>
      </c>
    </row>
    <row r="7172" spans="1:6" x14ac:dyDescent="0.2">
      <c r="A7172">
        <v>20</v>
      </c>
      <c r="E7172" t="str">
        <f t="shared" si="244"/>
        <v>U</v>
      </c>
      <c r="F7172" t="str">
        <f t="shared" si="243"/>
        <v>20U</v>
      </c>
    </row>
    <row r="7173" spans="1:6" x14ac:dyDescent="0.2">
      <c r="A7173">
        <v>21</v>
      </c>
      <c r="E7173" t="str">
        <f t="shared" si="244"/>
        <v>V</v>
      </c>
      <c r="F7173" t="str">
        <f t="shared" si="243"/>
        <v>21V</v>
      </c>
    </row>
    <row r="7174" spans="1:6" x14ac:dyDescent="0.2">
      <c r="A7174">
        <v>22</v>
      </c>
      <c r="E7174" t="str">
        <f t="shared" si="244"/>
        <v>W</v>
      </c>
      <c r="F7174" t="str">
        <f t="shared" si="243"/>
        <v>22W</v>
      </c>
    </row>
    <row r="7175" spans="1:6" x14ac:dyDescent="0.2">
      <c r="A7175">
        <v>23</v>
      </c>
      <c r="E7175" t="str">
        <f t="shared" si="244"/>
        <v>X</v>
      </c>
      <c r="F7175" t="str">
        <f t="shared" si="243"/>
        <v>23X</v>
      </c>
    </row>
    <row r="7176" spans="1:6" x14ac:dyDescent="0.2">
      <c r="A7176">
        <v>24</v>
      </c>
      <c r="E7176" t="str">
        <f t="shared" si="244"/>
        <v>Y</v>
      </c>
      <c r="F7176" t="str">
        <f t="shared" si="243"/>
        <v>24Y</v>
      </c>
    </row>
    <row r="7177" spans="1:6" x14ac:dyDescent="0.2">
      <c r="A7177">
        <v>25</v>
      </c>
      <c r="E7177" t="str">
        <f t="shared" si="244"/>
        <v>Z</v>
      </c>
      <c r="F7177" t="str">
        <f t="shared" si="243"/>
        <v>25Z</v>
      </c>
    </row>
    <row r="7178" spans="1:6" x14ac:dyDescent="0.2">
      <c r="A7178">
        <v>0</v>
      </c>
      <c r="E7178" t="str">
        <f t="shared" si="244"/>
        <v>A</v>
      </c>
      <c r="F7178" t="str">
        <f t="shared" si="243"/>
        <v>0A</v>
      </c>
    </row>
    <row r="7179" spans="1:6" x14ac:dyDescent="0.2">
      <c r="A7179">
        <v>1</v>
      </c>
      <c r="E7179" t="str">
        <f t="shared" si="244"/>
        <v>B</v>
      </c>
      <c r="F7179" t="str">
        <f t="shared" si="243"/>
        <v>1B</v>
      </c>
    </row>
    <row r="7180" spans="1:6" x14ac:dyDescent="0.2">
      <c r="A7180">
        <v>2</v>
      </c>
      <c r="E7180" t="str">
        <f t="shared" si="244"/>
        <v>C</v>
      </c>
      <c r="F7180" t="str">
        <f t="shared" si="243"/>
        <v>2C</v>
      </c>
    </row>
    <row r="7181" spans="1:6" x14ac:dyDescent="0.2">
      <c r="A7181">
        <v>3</v>
      </c>
      <c r="E7181" t="str">
        <f t="shared" si="244"/>
        <v>D</v>
      </c>
      <c r="F7181" t="str">
        <f t="shared" si="243"/>
        <v>3D</v>
      </c>
    </row>
    <row r="7182" spans="1:6" x14ac:dyDescent="0.2">
      <c r="A7182">
        <v>4</v>
      </c>
      <c r="E7182" t="str">
        <f t="shared" si="244"/>
        <v>E</v>
      </c>
      <c r="F7182" t="str">
        <f t="shared" si="243"/>
        <v>4E</v>
      </c>
    </row>
    <row r="7183" spans="1:6" x14ac:dyDescent="0.2">
      <c r="A7183">
        <v>5</v>
      </c>
      <c r="E7183" t="str">
        <f t="shared" si="244"/>
        <v>F</v>
      </c>
      <c r="F7183" t="str">
        <f t="shared" si="243"/>
        <v>5F</v>
      </c>
    </row>
    <row r="7184" spans="1:6" x14ac:dyDescent="0.2">
      <c r="A7184">
        <v>6</v>
      </c>
      <c r="E7184" t="str">
        <f t="shared" si="244"/>
        <v>G</v>
      </c>
      <c r="F7184" t="str">
        <f t="shared" si="243"/>
        <v>6G</v>
      </c>
    </row>
    <row r="7185" spans="1:6" x14ac:dyDescent="0.2">
      <c r="A7185">
        <v>7</v>
      </c>
      <c r="E7185" t="str">
        <f t="shared" si="244"/>
        <v>H</v>
      </c>
      <c r="F7185" t="str">
        <f t="shared" si="243"/>
        <v>7H</v>
      </c>
    </row>
    <row r="7186" spans="1:6" x14ac:dyDescent="0.2">
      <c r="A7186">
        <v>8</v>
      </c>
      <c r="E7186" t="str">
        <f t="shared" si="244"/>
        <v>I</v>
      </c>
      <c r="F7186" t="str">
        <f t="shared" si="243"/>
        <v>8I</v>
      </c>
    </row>
    <row r="7187" spans="1:6" x14ac:dyDescent="0.2">
      <c r="A7187">
        <v>9</v>
      </c>
      <c r="E7187" t="str">
        <f t="shared" si="244"/>
        <v>J</v>
      </c>
      <c r="F7187" t="str">
        <f t="shared" si="243"/>
        <v>9J</v>
      </c>
    </row>
    <row r="7188" spans="1:6" x14ac:dyDescent="0.2">
      <c r="A7188">
        <v>10</v>
      </c>
      <c r="E7188" t="str">
        <f t="shared" si="244"/>
        <v>K</v>
      </c>
      <c r="F7188" t="str">
        <f t="shared" si="243"/>
        <v>10K</v>
      </c>
    </row>
    <row r="7189" spans="1:6" x14ac:dyDescent="0.2">
      <c r="A7189">
        <v>11</v>
      </c>
      <c r="E7189" t="str">
        <f t="shared" si="244"/>
        <v>L</v>
      </c>
      <c r="F7189" t="str">
        <f t="shared" si="243"/>
        <v>11L</v>
      </c>
    </row>
    <row r="7190" spans="1:6" x14ac:dyDescent="0.2">
      <c r="A7190">
        <v>12</v>
      </c>
      <c r="E7190" t="str">
        <f t="shared" si="244"/>
        <v>M</v>
      </c>
      <c r="F7190" t="str">
        <f t="shared" ref="F7190:F7253" si="245">A7190&amp;C7190&amp;E7190</f>
        <v>12M</v>
      </c>
    </row>
    <row r="7191" spans="1:6" x14ac:dyDescent="0.2">
      <c r="A7191">
        <v>13</v>
      </c>
      <c r="E7191" t="str">
        <f t="shared" si="244"/>
        <v>N</v>
      </c>
      <c r="F7191" t="str">
        <f t="shared" si="245"/>
        <v>13N</v>
      </c>
    </row>
    <row r="7192" spans="1:6" x14ac:dyDescent="0.2">
      <c r="A7192">
        <v>14</v>
      </c>
      <c r="E7192" t="str">
        <f t="shared" si="244"/>
        <v>O</v>
      </c>
      <c r="F7192" t="str">
        <f t="shared" si="245"/>
        <v>14O</v>
      </c>
    </row>
    <row r="7193" spans="1:6" x14ac:dyDescent="0.2">
      <c r="A7193">
        <v>15</v>
      </c>
      <c r="E7193" t="str">
        <f t="shared" si="244"/>
        <v>P</v>
      </c>
      <c r="F7193" t="str">
        <f t="shared" si="245"/>
        <v>15P</v>
      </c>
    </row>
    <row r="7194" spans="1:6" x14ac:dyDescent="0.2">
      <c r="A7194">
        <v>16</v>
      </c>
      <c r="E7194" t="str">
        <f t="shared" si="244"/>
        <v>Q</v>
      </c>
      <c r="F7194" t="str">
        <f t="shared" si="245"/>
        <v>16Q</v>
      </c>
    </row>
    <row r="7195" spans="1:6" x14ac:dyDescent="0.2">
      <c r="A7195">
        <v>17</v>
      </c>
      <c r="E7195" t="str">
        <f t="shared" si="244"/>
        <v>R</v>
      </c>
      <c r="F7195" t="str">
        <f t="shared" si="245"/>
        <v>17R</v>
      </c>
    </row>
    <row r="7196" spans="1:6" x14ac:dyDescent="0.2">
      <c r="A7196">
        <v>18</v>
      </c>
      <c r="E7196" t="str">
        <f t="shared" si="244"/>
        <v>S</v>
      </c>
      <c r="F7196" t="str">
        <f t="shared" si="245"/>
        <v>18S</v>
      </c>
    </row>
    <row r="7197" spans="1:6" x14ac:dyDescent="0.2">
      <c r="A7197">
        <v>19</v>
      </c>
      <c r="E7197" t="str">
        <f t="shared" si="244"/>
        <v>T</v>
      </c>
      <c r="F7197" t="str">
        <f t="shared" si="245"/>
        <v>19T</v>
      </c>
    </row>
    <row r="7198" spans="1:6" x14ac:dyDescent="0.2">
      <c r="A7198">
        <v>20</v>
      </c>
      <c r="E7198" t="str">
        <f t="shared" si="244"/>
        <v>U</v>
      </c>
      <c r="F7198" t="str">
        <f t="shared" si="245"/>
        <v>20U</v>
      </c>
    </row>
    <row r="7199" spans="1:6" x14ac:dyDescent="0.2">
      <c r="A7199">
        <v>21</v>
      </c>
      <c r="E7199" t="str">
        <f t="shared" si="244"/>
        <v>V</v>
      </c>
      <c r="F7199" t="str">
        <f t="shared" si="245"/>
        <v>21V</v>
      </c>
    </row>
    <row r="7200" spans="1:6" x14ac:dyDescent="0.2">
      <c r="A7200">
        <v>22</v>
      </c>
      <c r="E7200" t="str">
        <f t="shared" si="244"/>
        <v>W</v>
      </c>
      <c r="F7200" t="str">
        <f t="shared" si="245"/>
        <v>22W</v>
      </c>
    </row>
    <row r="7201" spans="1:6" x14ac:dyDescent="0.2">
      <c r="A7201">
        <v>23</v>
      </c>
      <c r="E7201" t="str">
        <f t="shared" si="244"/>
        <v>X</v>
      </c>
      <c r="F7201" t="str">
        <f t="shared" si="245"/>
        <v>23X</v>
      </c>
    </row>
    <row r="7202" spans="1:6" x14ac:dyDescent="0.2">
      <c r="A7202">
        <v>24</v>
      </c>
      <c r="E7202" t="str">
        <f t="shared" si="244"/>
        <v>Y</v>
      </c>
      <c r="F7202" t="str">
        <f t="shared" si="245"/>
        <v>24Y</v>
      </c>
    </row>
    <row r="7203" spans="1:6" x14ac:dyDescent="0.2">
      <c r="A7203">
        <v>25</v>
      </c>
      <c r="E7203" t="str">
        <f t="shared" si="244"/>
        <v>Z</v>
      </c>
      <c r="F7203" t="str">
        <f t="shared" si="245"/>
        <v>25Z</v>
      </c>
    </row>
    <row r="7204" spans="1:6" x14ac:dyDescent="0.2">
      <c r="A7204">
        <v>0</v>
      </c>
      <c r="E7204" t="str">
        <f t="shared" si="244"/>
        <v>A</v>
      </c>
      <c r="F7204" t="str">
        <f t="shared" si="245"/>
        <v>0A</v>
      </c>
    </row>
    <row r="7205" spans="1:6" x14ac:dyDescent="0.2">
      <c r="A7205">
        <v>1</v>
      </c>
      <c r="E7205" t="str">
        <f t="shared" si="244"/>
        <v>B</v>
      </c>
      <c r="F7205" t="str">
        <f t="shared" si="245"/>
        <v>1B</v>
      </c>
    </row>
    <row r="7206" spans="1:6" x14ac:dyDescent="0.2">
      <c r="A7206">
        <v>2</v>
      </c>
      <c r="E7206" t="str">
        <f t="shared" si="244"/>
        <v>C</v>
      </c>
      <c r="F7206" t="str">
        <f t="shared" si="245"/>
        <v>2C</v>
      </c>
    </row>
    <row r="7207" spans="1:6" x14ac:dyDescent="0.2">
      <c r="A7207">
        <v>3</v>
      </c>
      <c r="E7207" t="str">
        <f t="shared" si="244"/>
        <v>D</v>
      </c>
      <c r="F7207" t="str">
        <f t="shared" si="245"/>
        <v>3D</v>
      </c>
    </row>
    <row r="7208" spans="1:6" x14ac:dyDescent="0.2">
      <c r="A7208">
        <v>4</v>
      </c>
      <c r="E7208" t="str">
        <f t="shared" si="244"/>
        <v>E</v>
      </c>
      <c r="F7208" t="str">
        <f t="shared" si="245"/>
        <v>4E</v>
      </c>
    </row>
    <row r="7209" spans="1:6" x14ac:dyDescent="0.2">
      <c r="A7209">
        <v>5</v>
      </c>
      <c r="E7209" t="str">
        <f t="shared" si="244"/>
        <v>F</v>
      </c>
      <c r="F7209" t="str">
        <f t="shared" si="245"/>
        <v>5F</v>
      </c>
    </row>
    <row r="7210" spans="1:6" x14ac:dyDescent="0.2">
      <c r="A7210">
        <v>6</v>
      </c>
      <c r="E7210" t="str">
        <f t="shared" si="244"/>
        <v>G</v>
      </c>
      <c r="F7210" t="str">
        <f t="shared" si="245"/>
        <v>6G</v>
      </c>
    </row>
    <row r="7211" spans="1:6" x14ac:dyDescent="0.2">
      <c r="A7211">
        <v>7</v>
      </c>
      <c r="E7211" t="str">
        <f t="shared" si="244"/>
        <v>H</v>
      </c>
      <c r="F7211" t="str">
        <f t="shared" si="245"/>
        <v>7H</v>
      </c>
    </row>
    <row r="7212" spans="1:6" x14ac:dyDescent="0.2">
      <c r="A7212">
        <v>8</v>
      </c>
      <c r="E7212" t="str">
        <f t="shared" si="244"/>
        <v>I</v>
      </c>
      <c r="F7212" t="str">
        <f t="shared" si="245"/>
        <v>8I</v>
      </c>
    </row>
    <row r="7213" spans="1:6" x14ac:dyDescent="0.2">
      <c r="A7213">
        <v>9</v>
      </c>
      <c r="E7213" t="str">
        <f t="shared" si="244"/>
        <v>J</v>
      </c>
      <c r="F7213" t="str">
        <f t="shared" si="245"/>
        <v>9J</v>
      </c>
    </row>
    <row r="7214" spans="1:6" x14ac:dyDescent="0.2">
      <c r="A7214">
        <v>10</v>
      </c>
      <c r="E7214" t="str">
        <f t="shared" si="244"/>
        <v>K</v>
      </c>
      <c r="F7214" t="str">
        <f t="shared" si="245"/>
        <v>10K</v>
      </c>
    </row>
    <row r="7215" spans="1:6" x14ac:dyDescent="0.2">
      <c r="A7215">
        <v>11</v>
      </c>
      <c r="E7215" t="str">
        <f t="shared" si="244"/>
        <v>L</v>
      </c>
      <c r="F7215" t="str">
        <f t="shared" si="245"/>
        <v>11L</v>
      </c>
    </row>
    <row r="7216" spans="1:6" x14ac:dyDescent="0.2">
      <c r="A7216">
        <v>12</v>
      </c>
      <c r="E7216" t="str">
        <f t="shared" ref="E7216:E7279" si="246">E7190</f>
        <v>M</v>
      </c>
      <c r="F7216" t="str">
        <f t="shared" si="245"/>
        <v>12M</v>
      </c>
    </row>
    <row r="7217" spans="1:6" x14ac:dyDescent="0.2">
      <c r="A7217">
        <v>13</v>
      </c>
      <c r="E7217" t="str">
        <f t="shared" si="246"/>
        <v>N</v>
      </c>
      <c r="F7217" t="str">
        <f t="shared" si="245"/>
        <v>13N</v>
      </c>
    </row>
    <row r="7218" spans="1:6" x14ac:dyDescent="0.2">
      <c r="A7218">
        <v>14</v>
      </c>
      <c r="E7218" t="str">
        <f t="shared" si="246"/>
        <v>O</v>
      </c>
      <c r="F7218" t="str">
        <f t="shared" si="245"/>
        <v>14O</v>
      </c>
    </row>
    <row r="7219" spans="1:6" x14ac:dyDescent="0.2">
      <c r="A7219">
        <v>15</v>
      </c>
      <c r="E7219" t="str">
        <f t="shared" si="246"/>
        <v>P</v>
      </c>
      <c r="F7219" t="str">
        <f t="shared" si="245"/>
        <v>15P</v>
      </c>
    </row>
    <row r="7220" spans="1:6" x14ac:dyDescent="0.2">
      <c r="A7220">
        <v>16</v>
      </c>
      <c r="E7220" t="str">
        <f t="shared" si="246"/>
        <v>Q</v>
      </c>
      <c r="F7220" t="str">
        <f t="shared" si="245"/>
        <v>16Q</v>
      </c>
    </row>
    <row r="7221" spans="1:6" x14ac:dyDescent="0.2">
      <c r="A7221">
        <v>17</v>
      </c>
      <c r="E7221" t="str">
        <f t="shared" si="246"/>
        <v>R</v>
      </c>
      <c r="F7221" t="str">
        <f t="shared" si="245"/>
        <v>17R</v>
      </c>
    </row>
    <row r="7222" spans="1:6" x14ac:dyDescent="0.2">
      <c r="A7222">
        <v>18</v>
      </c>
      <c r="E7222" t="str">
        <f t="shared" si="246"/>
        <v>S</v>
      </c>
      <c r="F7222" t="str">
        <f t="shared" si="245"/>
        <v>18S</v>
      </c>
    </row>
    <row r="7223" spans="1:6" x14ac:dyDescent="0.2">
      <c r="A7223">
        <v>19</v>
      </c>
      <c r="E7223" t="str">
        <f t="shared" si="246"/>
        <v>T</v>
      </c>
      <c r="F7223" t="str">
        <f t="shared" si="245"/>
        <v>19T</v>
      </c>
    </row>
    <row r="7224" spans="1:6" x14ac:dyDescent="0.2">
      <c r="A7224">
        <v>20</v>
      </c>
      <c r="E7224" t="str">
        <f t="shared" si="246"/>
        <v>U</v>
      </c>
      <c r="F7224" t="str">
        <f t="shared" si="245"/>
        <v>20U</v>
      </c>
    </row>
    <row r="7225" spans="1:6" x14ac:dyDescent="0.2">
      <c r="A7225">
        <v>21</v>
      </c>
      <c r="E7225" t="str">
        <f t="shared" si="246"/>
        <v>V</v>
      </c>
      <c r="F7225" t="str">
        <f t="shared" si="245"/>
        <v>21V</v>
      </c>
    </row>
    <row r="7226" spans="1:6" x14ac:dyDescent="0.2">
      <c r="A7226">
        <v>22</v>
      </c>
      <c r="E7226" t="str">
        <f t="shared" si="246"/>
        <v>W</v>
      </c>
      <c r="F7226" t="str">
        <f t="shared" si="245"/>
        <v>22W</v>
      </c>
    </row>
    <row r="7227" spans="1:6" x14ac:dyDescent="0.2">
      <c r="A7227">
        <v>23</v>
      </c>
      <c r="E7227" t="str">
        <f t="shared" si="246"/>
        <v>X</v>
      </c>
      <c r="F7227" t="str">
        <f t="shared" si="245"/>
        <v>23X</v>
      </c>
    </row>
    <row r="7228" spans="1:6" x14ac:dyDescent="0.2">
      <c r="A7228">
        <v>24</v>
      </c>
      <c r="E7228" t="str">
        <f t="shared" si="246"/>
        <v>Y</v>
      </c>
      <c r="F7228" t="str">
        <f t="shared" si="245"/>
        <v>24Y</v>
      </c>
    </row>
    <row r="7229" spans="1:6" x14ac:dyDescent="0.2">
      <c r="A7229">
        <v>25</v>
      </c>
      <c r="E7229" t="str">
        <f t="shared" si="246"/>
        <v>Z</v>
      </c>
      <c r="F7229" t="str">
        <f t="shared" si="245"/>
        <v>25Z</v>
      </c>
    </row>
    <row r="7230" spans="1:6" x14ac:dyDescent="0.2">
      <c r="A7230">
        <v>0</v>
      </c>
      <c r="E7230" t="str">
        <f t="shared" si="246"/>
        <v>A</v>
      </c>
      <c r="F7230" t="str">
        <f t="shared" si="245"/>
        <v>0A</v>
      </c>
    </row>
    <row r="7231" spans="1:6" x14ac:dyDescent="0.2">
      <c r="A7231">
        <v>1</v>
      </c>
      <c r="E7231" t="str">
        <f t="shared" si="246"/>
        <v>B</v>
      </c>
      <c r="F7231" t="str">
        <f t="shared" si="245"/>
        <v>1B</v>
      </c>
    </row>
    <row r="7232" spans="1:6" x14ac:dyDescent="0.2">
      <c r="A7232">
        <v>2</v>
      </c>
      <c r="E7232" t="str">
        <f t="shared" si="246"/>
        <v>C</v>
      </c>
      <c r="F7232" t="str">
        <f t="shared" si="245"/>
        <v>2C</v>
      </c>
    </row>
    <row r="7233" spans="1:6" x14ac:dyDescent="0.2">
      <c r="A7233">
        <v>3</v>
      </c>
      <c r="E7233" t="str">
        <f t="shared" si="246"/>
        <v>D</v>
      </c>
      <c r="F7233" t="str">
        <f t="shared" si="245"/>
        <v>3D</v>
      </c>
    </row>
    <row r="7234" spans="1:6" x14ac:dyDescent="0.2">
      <c r="A7234">
        <v>4</v>
      </c>
      <c r="E7234" t="str">
        <f t="shared" si="246"/>
        <v>E</v>
      </c>
      <c r="F7234" t="str">
        <f t="shared" si="245"/>
        <v>4E</v>
      </c>
    </row>
    <row r="7235" spans="1:6" x14ac:dyDescent="0.2">
      <c r="A7235">
        <v>5</v>
      </c>
      <c r="E7235" t="str">
        <f t="shared" si="246"/>
        <v>F</v>
      </c>
      <c r="F7235" t="str">
        <f t="shared" si="245"/>
        <v>5F</v>
      </c>
    </row>
    <row r="7236" spans="1:6" x14ac:dyDescent="0.2">
      <c r="A7236">
        <v>6</v>
      </c>
      <c r="E7236" t="str">
        <f t="shared" si="246"/>
        <v>G</v>
      </c>
      <c r="F7236" t="str">
        <f t="shared" si="245"/>
        <v>6G</v>
      </c>
    </row>
    <row r="7237" spans="1:6" x14ac:dyDescent="0.2">
      <c r="A7237">
        <v>7</v>
      </c>
      <c r="E7237" t="str">
        <f t="shared" si="246"/>
        <v>H</v>
      </c>
      <c r="F7237" t="str">
        <f t="shared" si="245"/>
        <v>7H</v>
      </c>
    </row>
    <row r="7238" spans="1:6" x14ac:dyDescent="0.2">
      <c r="A7238">
        <v>8</v>
      </c>
      <c r="E7238" t="str">
        <f t="shared" si="246"/>
        <v>I</v>
      </c>
      <c r="F7238" t="str">
        <f t="shared" si="245"/>
        <v>8I</v>
      </c>
    </row>
    <row r="7239" spans="1:6" x14ac:dyDescent="0.2">
      <c r="A7239">
        <v>9</v>
      </c>
      <c r="E7239" t="str">
        <f t="shared" si="246"/>
        <v>J</v>
      </c>
      <c r="F7239" t="str">
        <f t="shared" si="245"/>
        <v>9J</v>
      </c>
    </row>
    <row r="7240" spans="1:6" x14ac:dyDescent="0.2">
      <c r="A7240">
        <v>10</v>
      </c>
      <c r="E7240" t="str">
        <f t="shared" si="246"/>
        <v>K</v>
      </c>
      <c r="F7240" t="str">
        <f t="shared" si="245"/>
        <v>10K</v>
      </c>
    </row>
    <row r="7241" spans="1:6" x14ac:dyDescent="0.2">
      <c r="A7241">
        <v>11</v>
      </c>
      <c r="E7241" t="str">
        <f t="shared" si="246"/>
        <v>L</v>
      </c>
      <c r="F7241" t="str">
        <f t="shared" si="245"/>
        <v>11L</v>
      </c>
    </row>
    <row r="7242" spans="1:6" x14ac:dyDescent="0.2">
      <c r="A7242">
        <v>12</v>
      </c>
      <c r="E7242" t="str">
        <f t="shared" si="246"/>
        <v>M</v>
      </c>
      <c r="F7242" t="str">
        <f t="shared" si="245"/>
        <v>12M</v>
      </c>
    </row>
    <row r="7243" spans="1:6" x14ac:dyDescent="0.2">
      <c r="A7243">
        <v>13</v>
      </c>
      <c r="E7243" t="str">
        <f t="shared" si="246"/>
        <v>N</v>
      </c>
      <c r="F7243" t="str">
        <f t="shared" si="245"/>
        <v>13N</v>
      </c>
    </row>
    <row r="7244" spans="1:6" x14ac:dyDescent="0.2">
      <c r="A7244">
        <v>14</v>
      </c>
      <c r="E7244" t="str">
        <f t="shared" si="246"/>
        <v>O</v>
      </c>
      <c r="F7244" t="str">
        <f t="shared" si="245"/>
        <v>14O</v>
      </c>
    </row>
    <row r="7245" spans="1:6" x14ac:dyDescent="0.2">
      <c r="A7245">
        <v>15</v>
      </c>
      <c r="E7245" t="str">
        <f t="shared" si="246"/>
        <v>P</v>
      </c>
      <c r="F7245" t="str">
        <f t="shared" si="245"/>
        <v>15P</v>
      </c>
    </row>
    <row r="7246" spans="1:6" x14ac:dyDescent="0.2">
      <c r="A7246">
        <v>16</v>
      </c>
      <c r="E7246" t="str">
        <f t="shared" si="246"/>
        <v>Q</v>
      </c>
      <c r="F7246" t="str">
        <f t="shared" si="245"/>
        <v>16Q</v>
      </c>
    </row>
    <row r="7247" spans="1:6" x14ac:dyDescent="0.2">
      <c r="A7247">
        <v>17</v>
      </c>
      <c r="E7247" t="str">
        <f t="shared" si="246"/>
        <v>R</v>
      </c>
      <c r="F7247" t="str">
        <f t="shared" si="245"/>
        <v>17R</v>
      </c>
    </row>
    <row r="7248" spans="1:6" x14ac:dyDescent="0.2">
      <c r="A7248">
        <v>18</v>
      </c>
      <c r="E7248" t="str">
        <f t="shared" si="246"/>
        <v>S</v>
      </c>
      <c r="F7248" t="str">
        <f t="shared" si="245"/>
        <v>18S</v>
      </c>
    </row>
    <row r="7249" spans="1:6" x14ac:dyDescent="0.2">
      <c r="A7249">
        <v>19</v>
      </c>
      <c r="E7249" t="str">
        <f t="shared" si="246"/>
        <v>T</v>
      </c>
      <c r="F7249" t="str">
        <f t="shared" si="245"/>
        <v>19T</v>
      </c>
    </row>
    <row r="7250" spans="1:6" x14ac:dyDescent="0.2">
      <c r="A7250">
        <v>20</v>
      </c>
      <c r="E7250" t="str">
        <f t="shared" si="246"/>
        <v>U</v>
      </c>
      <c r="F7250" t="str">
        <f t="shared" si="245"/>
        <v>20U</v>
      </c>
    </row>
    <row r="7251" spans="1:6" x14ac:dyDescent="0.2">
      <c r="A7251">
        <v>21</v>
      </c>
      <c r="E7251" t="str">
        <f t="shared" si="246"/>
        <v>V</v>
      </c>
      <c r="F7251" t="str">
        <f t="shared" si="245"/>
        <v>21V</v>
      </c>
    </row>
    <row r="7252" spans="1:6" x14ac:dyDescent="0.2">
      <c r="A7252">
        <v>22</v>
      </c>
      <c r="E7252" t="str">
        <f t="shared" si="246"/>
        <v>W</v>
      </c>
      <c r="F7252" t="str">
        <f t="shared" si="245"/>
        <v>22W</v>
      </c>
    </row>
    <row r="7253" spans="1:6" x14ac:dyDescent="0.2">
      <c r="A7253">
        <v>23</v>
      </c>
      <c r="E7253" t="str">
        <f t="shared" si="246"/>
        <v>X</v>
      </c>
      <c r="F7253" t="str">
        <f t="shared" si="245"/>
        <v>23X</v>
      </c>
    </row>
    <row r="7254" spans="1:6" x14ac:dyDescent="0.2">
      <c r="A7254">
        <v>24</v>
      </c>
      <c r="E7254" t="str">
        <f t="shared" si="246"/>
        <v>Y</v>
      </c>
      <c r="F7254" t="str">
        <f t="shared" ref="F7254:F7317" si="247">A7254&amp;C7254&amp;E7254</f>
        <v>24Y</v>
      </c>
    </row>
    <row r="7255" spans="1:6" x14ac:dyDescent="0.2">
      <c r="A7255">
        <v>25</v>
      </c>
      <c r="E7255" t="str">
        <f t="shared" si="246"/>
        <v>Z</v>
      </c>
      <c r="F7255" t="str">
        <f t="shared" si="247"/>
        <v>25Z</v>
      </c>
    </row>
    <row r="7256" spans="1:6" x14ac:dyDescent="0.2">
      <c r="A7256">
        <v>0</v>
      </c>
      <c r="E7256" t="str">
        <f t="shared" si="246"/>
        <v>A</v>
      </c>
      <c r="F7256" t="str">
        <f t="shared" si="247"/>
        <v>0A</v>
      </c>
    </row>
    <row r="7257" spans="1:6" x14ac:dyDescent="0.2">
      <c r="A7257">
        <v>1</v>
      </c>
      <c r="E7257" t="str">
        <f t="shared" si="246"/>
        <v>B</v>
      </c>
      <c r="F7257" t="str">
        <f t="shared" si="247"/>
        <v>1B</v>
      </c>
    </row>
    <row r="7258" spans="1:6" x14ac:dyDescent="0.2">
      <c r="A7258">
        <v>2</v>
      </c>
      <c r="E7258" t="str">
        <f t="shared" si="246"/>
        <v>C</v>
      </c>
      <c r="F7258" t="str">
        <f t="shared" si="247"/>
        <v>2C</v>
      </c>
    </row>
    <row r="7259" spans="1:6" x14ac:dyDescent="0.2">
      <c r="A7259">
        <v>3</v>
      </c>
      <c r="E7259" t="str">
        <f t="shared" si="246"/>
        <v>D</v>
      </c>
      <c r="F7259" t="str">
        <f t="shared" si="247"/>
        <v>3D</v>
      </c>
    </row>
    <row r="7260" spans="1:6" x14ac:dyDescent="0.2">
      <c r="A7260">
        <v>4</v>
      </c>
      <c r="E7260" t="str">
        <f t="shared" si="246"/>
        <v>E</v>
      </c>
      <c r="F7260" t="str">
        <f t="shared" si="247"/>
        <v>4E</v>
      </c>
    </row>
    <row r="7261" spans="1:6" x14ac:dyDescent="0.2">
      <c r="A7261">
        <v>5</v>
      </c>
      <c r="E7261" t="str">
        <f t="shared" si="246"/>
        <v>F</v>
      </c>
      <c r="F7261" t="str">
        <f t="shared" si="247"/>
        <v>5F</v>
      </c>
    </row>
    <row r="7262" spans="1:6" x14ac:dyDescent="0.2">
      <c r="A7262">
        <v>6</v>
      </c>
      <c r="E7262" t="str">
        <f t="shared" si="246"/>
        <v>G</v>
      </c>
      <c r="F7262" t="str">
        <f t="shared" si="247"/>
        <v>6G</v>
      </c>
    </row>
    <row r="7263" spans="1:6" x14ac:dyDescent="0.2">
      <c r="A7263">
        <v>7</v>
      </c>
      <c r="E7263" t="str">
        <f t="shared" si="246"/>
        <v>H</v>
      </c>
      <c r="F7263" t="str">
        <f t="shared" si="247"/>
        <v>7H</v>
      </c>
    </row>
    <row r="7264" spans="1:6" x14ac:dyDescent="0.2">
      <c r="A7264">
        <v>8</v>
      </c>
      <c r="E7264" t="str">
        <f t="shared" si="246"/>
        <v>I</v>
      </c>
      <c r="F7264" t="str">
        <f t="shared" si="247"/>
        <v>8I</v>
      </c>
    </row>
    <row r="7265" spans="1:6" x14ac:dyDescent="0.2">
      <c r="A7265">
        <v>9</v>
      </c>
      <c r="E7265" t="str">
        <f t="shared" si="246"/>
        <v>J</v>
      </c>
      <c r="F7265" t="str">
        <f t="shared" si="247"/>
        <v>9J</v>
      </c>
    </row>
    <row r="7266" spans="1:6" x14ac:dyDescent="0.2">
      <c r="A7266">
        <v>10</v>
      </c>
      <c r="E7266" t="str">
        <f t="shared" si="246"/>
        <v>K</v>
      </c>
      <c r="F7266" t="str">
        <f t="shared" si="247"/>
        <v>10K</v>
      </c>
    </row>
    <row r="7267" spans="1:6" x14ac:dyDescent="0.2">
      <c r="A7267">
        <v>11</v>
      </c>
      <c r="E7267" t="str">
        <f t="shared" si="246"/>
        <v>L</v>
      </c>
      <c r="F7267" t="str">
        <f t="shared" si="247"/>
        <v>11L</v>
      </c>
    </row>
    <row r="7268" spans="1:6" x14ac:dyDescent="0.2">
      <c r="A7268">
        <v>12</v>
      </c>
      <c r="E7268" t="str">
        <f t="shared" si="246"/>
        <v>M</v>
      </c>
      <c r="F7268" t="str">
        <f t="shared" si="247"/>
        <v>12M</v>
      </c>
    </row>
    <row r="7269" spans="1:6" x14ac:dyDescent="0.2">
      <c r="A7269">
        <v>13</v>
      </c>
      <c r="E7269" t="str">
        <f t="shared" si="246"/>
        <v>N</v>
      </c>
      <c r="F7269" t="str">
        <f t="shared" si="247"/>
        <v>13N</v>
      </c>
    </row>
    <row r="7270" spans="1:6" x14ac:dyDescent="0.2">
      <c r="A7270">
        <v>14</v>
      </c>
      <c r="E7270" t="str">
        <f t="shared" si="246"/>
        <v>O</v>
      </c>
      <c r="F7270" t="str">
        <f t="shared" si="247"/>
        <v>14O</v>
      </c>
    </row>
    <row r="7271" spans="1:6" x14ac:dyDescent="0.2">
      <c r="A7271">
        <v>15</v>
      </c>
      <c r="E7271" t="str">
        <f t="shared" si="246"/>
        <v>P</v>
      </c>
      <c r="F7271" t="str">
        <f t="shared" si="247"/>
        <v>15P</v>
      </c>
    </row>
    <row r="7272" spans="1:6" x14ac:dyDescent="0.2">
      <c r="A7272">
        <v>16</v>
      </c>
      <c r="E7272" t="str">
        <f t="shared" si="246"/>
        <v>Q</v>
      </c>
      <c r="F7272" t="str">
        <f t="shared" si="247"/>
        <v>16Q</v>
      </c>
    </row>
    <row r="7273" spans="1:6" x14ac:dyDescent="0.2">
      <c r="A7273">
        <v>17</v>
      </c>
      <c r="E7273" t="str">
        <f t="shared" si="246"/>
        <v>R</v>
      </c>
      <c r="F7273" t="str">
        <f t="shared" si="247"/>
        <v>17R</v>
      </c>
    </row>
    <row r="7274" spans="1:6" x14ac:dyDescent="0.2">
      <c r="A7274">
        <v>18</v>
      </c>
      <c r="E7274" t="str">
        <f t="shared" si="246"/>
        <v>S</v>
      </c>
      <c r="F7274" t="str">
        <f t="shared" si="247"/>
        <v>18S</v>
      </c>
    </row>
    <row r="7275" spans="1:6" x14ac:dyDescent="0.2">
      <c r="A7275">
        <v>19</v>
      </c>
      <c r="E7275" t="str">
        <f t="shared" si="246"/>
        <v>T</v>
      </c>
      <c r="F7275" t="str">
        <f t="shared" si="247"/>
        <v>19T</v>
      </c>
    </row>
    <row r="7276" spans="1:6" x14ac:dyDescent="0.2">
      <c r="A7276">
        <v>20</v>
      </c>
      <c r="E7276" t="str">
        <f t="shared" si="246"/>
        <v>U</v>
      </c>
      <c r="F7276" t="str">
        <f t="shared" si="247"/>
        <v>20U</v>
      </c>
    </row>
    <row r="7277" spans="1:6" x14ac:dyDescent="0.2">
      <c r="A7277">
        <v>21</v>
      </c>
      <c r="E7277" t="str">
        <f t="shared" si="246"/>
        <v>V</v>
      </c>
      <c r="F7277" t="str">
        <f t="shared" si="247"/>
        <v>21V</v>
      </c>
    </row>
    <row r="7278" spans="1:6" x14ac:dyDescent="0.2">
      <c r="A7278">
        <v>22</v>
      </c>
      <c r="E7278" t="str">
        <f t="shared" si="246"/>
        <v>W</v>
      </c>
      <c r="F7278" t="str">
        <f t="shared" si="247"/>
        <v>22W</v>
      </c>
    </row>
    <row r="7279" spans="1:6" x14ac:dyDescent="0.2">
      <c r="A7279">
        <v>23</v>
      </c>
      <c r="E7279" t="str">
        <f t="shared" si="246"/>
        <v>X</v>
      </c>
      <c r="F7279" t="str">
        <f t="shared" si="247"/>
        <v>23X</v>
      </c>
    </row>
    <row r="7280" spans="1:6" x14ac:dyDescent="0.2">
      <c r="A7280">
        <v>24</v>
      </c>
      <c r="E7280" t="str">
        <f t="shared" ref="E7280:E7343" si="248">E7254</f>
        <v>Y</v>
      </c>
      <c r="F7280" t="str">
        <f t="shared" si="247"/>
        <v>24Y</v>
      </c>
    </row>
    <row r="7281" spans="1:6" x14ac:dyDescent="0.2">
      <c r="A7281">
        <v>25</v>
      </c>
      <c r="E7281" t="str">
        <f t="shared" si="248"/>
        <v>Z</v>
      </c>
      <c r="F7281" t="str">
        <f t="shared" si="247"/>
        <v>25Z</v>
      </c>
    </row>
    <row r="7282" spans="1:6" x14ac:dyDescent="0.2">
      <c r="A7282">
        <v>0</v>
      </c>
      <c r="E7282" t="str">
        <f t="shared" si="248"/>
        <v>A</v>
      </c>
      <c r="F7282" t="str">
        <f t="shared" si="247"/>
        <v>0A</v>
      </c>
    </row>
    <row r="7283" spans="1:6" x14ac:dyDescent="0.2">
      <c r="A7283">
        <v>1</v>
      </c>
      <c r="E7283" t="str">
        <f t="shared" si="248"/>
        <v>B</v>
      </c>
      <c r="F7283" t="str">
        <f t="shared" si="247"/>
        <v>1B</v>
      </c>
    </row>
    <row r="7284" spans="1:6" x14ac:dyDescent="0.2">
      <c r="A7284">
        <v>2</v>
      </c>
      <c r="E7284" t="str">
        <f t="shared" si="248"/>
        <v>C</v>
      </c>
      <c r="F7284" t="str">
        <f t="shared" si="247"/>
        <v>2C</v>
      </c>
    </row>
    <row r="7285" spans="1:6" x14ac:dyDescent="0.2">
      <c r="A7285">
        <v>3</v>
      </c>
      <c r="E7285" t="str">
        <f t="shared" si="248"/>
        <v>D</v>
      </c>
      <c r="F7285" t="str">
        <f t="shared" si="247"/>
        <v>3D</v>
      </c>
    </row>
    <row r="7286" spans="1:6" x14ac:dyDescent="0.2">
      <c r="A7286">
        <v>4</v>
      </c>
      <c r="E7286" t="str">
        <f t="shared" si="248"/>
        <v>E</v>
      </c>
      <c r="F7286" t="str">
        <f t="shared" si="247"/>
        <v>4E</v>
      </c>
    </row>
    <row r="7287" spans="1:6" x14ac:dyDescent="0.2">
      <c r="A7287">
        <v>5</v>
      </c>
      <c r="E7287" t="str">
        <f t="shared" si="248"/>
        <v>F</v>
      </c>
      <c r="F7287" t="str">
        <f t="shared" si="247"/>
        <v>5F</v>
      </c>
    </row>
    <row r="7288" spans="1:6" x14ac:dyDescent="0.2">
      <c r="A7288">
        <v>6</v>
      </c>
      <c r="E7288" t="str">
        <f t="shared" si="248"/>
        <v>G</v>
      </c>
      <c r="F7288" t="str">
        <f t="shared" si="247"/>
        <v>6G</v>
      </c>
    </row>
    <row r="7289" spans="1:6" x14ac:dyDescent="0.2">
      <c r="A7289">
        <v>7</v>
      </c>
      <c r="E7289" t="str">
        <f t="shared" si="248"/>
        <v>H</v>
      </c>
      <c r="F7289" t="str">
        <f t="shared" si="247"/>
        <v>7H</v>
      </c>
    </row>
    <row r="7290" spans="1:6" x14ac:dyDescent="0.2">
      <c r="A7290">
        <v>8</v>
      </c>
      <c r="E7290" t="str">
        <f t="shared" si="248"/>
        <v>I</v>
      </c>
      <c r="F7290" t="str">
        <f t="shared" si="247"/>
        <v>8I</v>
      </c>
    </row>
    <row r="7291" spans="1:6" x14ac:dyDescent="0.2">
      <c r="A7291">
        <v>9</v>
      </c>
      <c r="E7291" t="str">
        <f t="shared" si="248"/>
        <v>J</v>
      </c>
      <c r="F7291" t="str">
        <f t="shared" si="247"/>
        <v>9J</v>
      </c>
    </row>
    <row r="7292" spans="1:6" x14ac:dyDescent="0.2">
      <c r="A7292">
        <v>10</v>
      </c>
      <c r="E7292" t="str">
        <f t="shared" si="248"/>
        <v>K</v>
      </c>
      <c r="F7292" t="str">
        <f t="shared" si="247"/>
        <v>10K</v>
      </c>
    </row>
    <row r="7293" spans="1:6" x14ac:dyDescent="0.2">
      <c r="A7293">
        <v>11</v>
      </c>
      <c r="E7293" t="str">
        <f t="shared" si="248"/>
        <v>L</v>
      </c>
      <c r="F7293" t="str">
        <f t="shared" si="247"/>
        <v>11L</v>
      </c>
    </row>
    <row r="7294" spans="1:6" x14ac:dyDescent="0.2">
      <c r="A7294">
        <v>12</v>
      </c>
      <c r="E7294" t="str">
        <f t="shared" si="248"/>
        <v>M</v>
      </c>
      <c r="F7294" t="str">
        <f t="shared" si="247"/>
        <v>12M</v>
      </c>
    </row>
    <row r="7295" spans="1:6" x14ac:dyDescent="0.2">
      <c r="A7295">
        <v>13</v>
      </c>
      <c r="E7295" t="str">
        <f t="shared" si="248"/>
        <v>N</v>
      </c>
      <c r="F7295" t="str">
        <f t="shared" si="247"/>
        <v>13N</v>
      </c>
    </row>
    <row r="7296" spans="1:6" x14ac:dyDescent="0.2">
      <c r="A7296">
        <v>14</v>
      </c>
      <c r="E7296" t="str">
        <f t="shared" si="248"/>
        <v>O</v>
      </c>
      <c r="F7296" t="str">
        <f t="shared" si="247"/>
        <v>14O</v>
      </c>
    </row>
    <row r="7297" spans="1:6" x14ac:dyDescent="0.2">
      <c r="A7297">
        <v>15</v>
      </c>
      <c r="E7297" t="str">
        <f t="shared" si="248"/>
        <v>P</v>
      </c>
      <c r="F7297" t="str">
        <f t="shared" si="247"/>
        <v>15P</v>
      </c>
    </row>
    <row r="7298" spans="1:6" x14ac:dyDescent="0.2">
      <c r="A7298">
        <v>16</v>
      </c>
      <c r="E7298" t="str">
        <f t="shared" si="248"/>
        <v>Q</v>
      </c>
      <c r="F7298" t="str">
        <f t="shared" si="247"/>
        <v>16Q</v>
      </c>
    </row>
    <row r="7299" spans="1:6" x14ac:dyDescent="0.2">
      <c r="A7299">
        <v>17</v>
      </c>
      <c r="E7299" t="str">
        <f t="shared" si="248"/>
        <v>R</v>
      </c>
      <c r="F7299" t="str">
        <f t="shared" si="247"/>
        <v>17R</v>
      </c>
    </row>
    <row r="7300" spans="1:6" x14ac:dyDescent="0.2">
      <c r="A7300">
        <v>18</v>
      </c>
      <c r="E7300" t="str">
        <f t="shared" si="248"/>
        <v>S</v>
      </c>
      <c r="F7300" t="str">
        <f t="shared" si="247"/>
        <v>18S</v>
      </c>
    </row>
    <row r="7301" spans="1:6" x14ac:dyDescent="0.2">
      <c r="A7301">
        <v>19</v>
      </c>
      <c r="E7301" t="str">
        <f t="shared" si="248"/>
        <v>T</v>
      </c>
      <c r="F7301" t="str">
        <f t="shared" si="247"/>
        <v>19T</v>
      </c>
    </row>
    <row r="7302" spans="1:6" x14ac:dyDescent="0.2">
      <c r="A7302">
        <v>20</v>
      </c>
      <c r="E7302" t="str">
        <f t="shared" si="248"/>
        <v>U</v>
      </c>
      <c r="F7302" t="str">
        <f t="shared" si="247"/>
        <v>20U</v>
      </c>
    </row>
    <row r="7303" spans="1:6" x14ac:dyDescent="0.2">
      <c r="A7303">
        <v>21</v>
      </c>
      <c r="E7303" t="str">
        <f t="shared" si="248"/>
        <v>V</v>
      </c>
      <c r="F7303" t="str">
        <f t="shared" si="247"/>
        <v>21V</v>
      </c>
    </row>
    <row r="7304" spans="1:6" x14ac:dyDescent="0.2">
      <c r="A7304">
        <v>22</v>
      </c>
      <c r="E7304" t="str">
        <f t="shared" si="248"/>
        <v>W</v>
      </c>
      <c r="F7304" t="str">
        <f t="shared" si="247"/>
        <v>22W</v>
      </c>
    </row>
    <row r="7305" spans="1:6" x14ac:dyDescent="0.2">
      <c r="A7305">
        <v>23</v>
      </c>
      <c r="E7305" t="str">
        <f t="shared" si="248"/>
        <v>X</v>
      </c>
      <c r="F7305" t="str">
        <f t="shared" si="247"/>
        <v>23X</v>
      </c>
    </row>
    <row r="7306" spans="1:6" x14ac:dyDescent="0.2">
      <c r="A7306">
        <v>24</v>
      </c>
      <c r="E7306" t="str">
        <f t="shared" si="248"/>
        <v>Y</v>
      </c>
      <c r="F7306" t="str">
        <f t="shared" si="247"/>
        <v>24Y</v>
      </c>
    </row>
    <row r="7307" spans="1:6" x14ac:dyDescent="0.2">
      <c r="A7307">
        <v>25</v>
      </c>
      <c r="E7307" t="str">
        <f t="shared" si="248"/>
        <v>Z</v>
      </c>
      <c r="F7307" t="str">
        <f t="shared" si="247"/>
        <v>25Z</v>
      </c>
    </row>
    <row r="7308" spans="1:6" x14ac:dyDescent="0.2">
      <c r="A7308">
        <v>0</v>
      </c>
      <c r="E7308" t="str">
        <f t="shared" si="248"/>
        <v>A</v>
      </c>
      <c r="F7308" t="str">
        <f t="shared" si="247"/>
        <v>0A</v>
      </c>
    </row>
    <row r="7309" spans="1:6" x14ac:dyDescent="0.2">
      <c r="A7309">
        <v>1</v>
      </c>
      <c r="E7309" t="str">
        <f t="shared" si="248"/>
        <v>B</v>
      </c>
      <c r="F7309" t="str">
        <f t="shared" si="247"/>
        <v>1B</v>
      </c>
    </row>
    <row r="7310" spans="1:6" x14ac:dyDescent="0.2">
      <c r="A7310">
        <v>2</v>
      </c>
      <c r="E7310" t="str">
        <f t="shared" si="248"/>
        <v>C</v>
      </c>
      <c r="F7310" t="str">
        <f t="shared" si="247"/>
        <v>2C</v>
      </c>
    </row>
    <row r="7311" spans="1:6" x14ac:dyDescent="0.2">
      <c r="A7311">
        <v>3</v>
      </c>
      <c r="E7311" t="str">
        <f t="shared" si="248"/>
        <v>D</v>
      </c>
      <c r="F7311" t="str">
        <f t="shared" si="247"/>
        <v>3D</v>
      </c>
    </row>
    <row r="7312" spans="1:6" x14ac:dyDescent="0.2">
      <c r="A7312">
        <v>4</v>
      </c>
      <c r="E7312" t="str">
        <f t="shared" si="248"/>
        <v>E</v>
      </c>
      <c r="F7312" t="str">
        <f t="shared" si="247"/>
        <v>4E</v>
      </c>
    </row>
    <row r="7313" spans="1:6" x14ac:dyDescent="0.2">
      <c r="A7313">
        <v>5</v>
      </c>
      <c r="E7313" t="str">
        <f t="shared" si="248"/>
        <v>F</v>
      </c>
      <c r="F7313" t="str">
        <f t="shared" si="247"/>
        <v>5F</v>
      </c>
    </row>
    <row r="7314" spans="1:6" x14ac:dyDescent="0.2">
      <c r="A7314">
        <v>6</v>
      </c>
      <c r="E7314" t="str">
        <f t="shared" si="248"/>
        <v>G</v>
      </c>
      <c r="F7314" t="str">
        <f t="shared" si="247"/>
        <v>6G</v>
      </c>
    </row>
    <row r="7315" spans="1:6" x14ac:dyDescent="0.2">
      <c r="A7315">
        <v>7</v>
      </c>
      <c r="E7315" t="str">
        <f t="shared" si="248"/>
        <v>H</v>
      </c>
      <c r="F7315" t="str">
        <f t="shared" si="247"/>
        <v>7H</v>
      </c>
    </row>
    <row r="7316" spans="1:6" x14ac:dyDescent="0.2">
      <c r="A7316">
        <v>8</v>
      </c>
      <c r="E7316" t="str">
        <f t="shared" si="248"/>
        <v>I</v>
      </c>
      <c r="F7316" t="str">
        <f t="shared" si="247"/>
        <v>8I</v>
      </c>
    </row>
    <row r="7317" spans="1:6" x14ac:dyDescent="0.2">
      <c r="A7317">
        <v>9</v>
      </c>
      <c r="E7317" t="str">
        <f t="shared" si="248"/>
        <v>J</v>
      </c>
      <c r="F7317" t="str">
        <f t="shared" si="247"/>
        <v>9J</v>
      </c>
    </row>
    <row r="7318" spans="1:6" x14ac:dyDescent="0.2">
      <c r="A7318">
        <v>10</v>
      </c>
      <c r="E7318" t="str">
        <f t="shared" si="248"/>
        <v>K</v>
      </c>
      <c r="F7318" t="str">
        <f t="shared" ref="F7318:F7381" si="249">A7318&amp;C7318&amp;E7318</f>
        <v>10K</v>
      </c>
    </row>
    <row r="7319" spans="1:6" x14ac:dyDescent="0.2">
      <c r="A7319">
        <v>11</v>
      </c>
      <c r="E7319" t="str">
        <f t="shared" si="248"/>
        <v>L</v>
      </c>
      <c r="F7319" t="str">
        <f t="shared" si="249"/>
        <v>11L</v>
      </c>
    </row>
    <row r="7320" spans="1:6" x14ac:dyDescent="0.2">
      <c r="A7320">
        <v>12</v>
      </c>
      <c r="E7320" t="str">
        <f t="shared" si="248"/>
        <v>M</v>
      </c>
      <c r="F7320" t="str">
        <f t="shared" si="249"/>
        <v>12M</v>
      </c>
    </row>
    <row r="7321" spans="1:6" x14ac:dyDescent="0.2">
      <c r="A7321">
        <v>13</v>
      </c>
      <c r="E7321" t="str">
        <f t="shared" si="248"/>
        <v>N</v>
      </c>
      <c r="F7321" t="str">
        <f t="shared" si="249"/>
        <v>13N</v>
      </c>
    </row>
    <row r="7322" spans="1:6" x14ac:dyDescent="0.2">
      <c r="A7322">
        <v>14</v>
      </c>
      <c r="E7322" t="str">
        <f t="shared" si="248"/>
        <v>O</v>
      </c>
      <c r="F7322" t="str">
        <f t="shared" si="249"/>
        <v>14O</v>
      </c>
    </row>
    <row r="7323" spans="1:6" x14ac:dyDescent="0.2">
      <c r="A7323">
        <v>15</v>
      </c>
      <c r="E7323" t="str">
        <f t="shared" si="248"/>
        <v>P</v>
      </c>
      <c r="F7323" t="str">
        <f t="shared" si="249"/>
        <v>15P</v>
      </c>
    </row>
    <row r="7324" spans="1:6" x14ac:dyDescent="0.2">
      <c r="A7324">
        <v>16</v>
      </c>
      <c r="E7324" t="str">
        <f t="shared" si="248"/>
        <v>Q</v>
      </c>
      <c r="F7324" t="str">
        <f t="shared" si="249"/>
        <v>16Q</v>
      </c>
    </row>
    <row r="7325" spans="1:6" x14ac:dyDescent="0.2">
      <c r="A7325">
        <v>17</v>
      </c>
      <c r="E7325" t="str">
        <f t="shared" si="248"/>
        <v>R</v>
      </c>
      <c r="F7325" t="str">
        <f t="shared" si="249"/>
        <v>17R</v>
      </c>
    </row>
    <row r="7326" spans="1:6" x14ac:dyDescent="0.2">
      <c r="A7326">
        <v>18</v>
      </c>
      <c r="E7326" t="str">
        <f t="shared" si="248"/>
        <v>S</v>
      </c>
      <c r="F7326" t="str">
        <f t="shared" si="249"/>
        <v>18S</v>
      </c>
    </row>
    <row r="7327" spans="1:6" x14ac:dyDescent="0.2">
      <c r="A7327">
        <v>19</v>
      </c>
      <c r="E7327" t="str">
        <f t="shared" si="248"/>
        <v>T</v>
      </c>
      <c r="F7327" t="str">
        <f t="shared" si="249"/>
        <v>19T</v>
      </c>
    </row>
    <row r="7328" spans="1:6" x14ac:dyDescent="0.2">
      <c r="A7328">
        <v>20</v>
      </c>
      <c r="E7328" t="str">
        <f t="shared" si="248"/>
        <v>U</v>
      </c>
      <c r="F7328" t="str">
        <f t="shared" si="249"/>
        <v>20U</v>
      </c>
    </row>
    <row r="7329" spans="1:6" x14ac:dyDescent="0.2">
      <c r="A7329">
        <v>21</v>
      </c>
      <c r="E7329" t="str">
        <f t="shared" si="248"/>
        <v>V</v>
      </c>
      <c r="F7329" t="str">
        <f t="shared" si="249"/>
        <v>21V</v>
      </c>
    </row>
    <row r="7330" spans="1:6" x14ac:dyDescent="0.2">
      <c r="A7330">
        <v>22</v>
      </c>
      <c r="E7330" t="str">
        <f t="shared" si="248"/>
        <v>W</v>
      </c>
      <c r="F7330" t="str">
        <f t="shared" si="249"/>
        <v>22W</v>
      </c>
    </row>
    <row r="7331" spans="1:6" x14ac:dyDescent="0.2">
      <c r="A7331">
        <v>23</v>
      </c>
      <c r="E7331" t="str">
        <f t="shared" si="248"/>
        <v>X</v>
      </c>
      <c r="F7331" t="str">
        <f t="shared" si="249"/>
        <v>23X</v>
      </c>
    </row>
    <row r="7332" spans="1:6" x14ac:dyDescent="0.2">
      <c r="A7332">
        <v>24</v>
      </c>
      <c r="E7332" t="str">
        <f t="shared" si="248"/>
        <v>Y</v>
      </c>
      <c r="F7332" t="str">
        <f t="shared" si="249"/>
        <v>24Y</v>
      </c>
    </row>
    <row r="7333" spans="1:6" x14ac:dyDescent="0.2">
      <c r="A7333">
        <v>25</v>
      </c>
      <c r="E7333" t="str">
        <f t="shared" si="248"/>
        <v>Z</v>
      </c>
      <c r="F7333" t="str">
        <f t="shared" si="249"/>
        <v>25Z</v>
      </c>
    </row>
    <row r="7334" spans="1:6" x14ac:dyDescent="0.2">
      <c r="A7334">
        <v>0</v>
      </c>
      <c r="E7334" t="str">
        <f t="shared" si="248"/>
        <v>A</v>
      </c>
      <c r="F7334" t="str">
        <f t="shared" si="249"/>
        <v>0A</v>
      </c>
    </row>
    <row r="7335" spans="1:6" x14ac:dyDescent="0.2">
      <c r="A7335">
        <v>1</v>
      </c>
      <c r="E7335" t="str">
        <f t="shared" si="248"/>
        <v>B</v>
      </c>
      <c r="F7335" t="str">
        <f t="shared" si="249"/>
        <v>1B</v>
      </c>
    </row>
    <row r="7336" spans="1:6" x14ac:dyDescent="0.2">
      <c r="A7336">
        <v>2</v>
      </c>
      <c r="E7336" t="str">
        <f t="shared" si="248"/>
        <v>C</v>
      </c>
      <c r="F7336" t="str">
        <f t="shared" si="249"/>
        <v>2C</v>
      </c>
    </row>
    <row r="7337" spans="1:6" x14ac:dyDescent="0.2">
      <c r="A7337">
        <v>3</v>
      </c>
      <c r="E7337" t="str">
        <f t="shared" si="248"/>
        <v>D</v>
      </c>
      <c r="F7337" t="str">
        <f t="shared" si="249"/>
        <v>3D</v>
      </c>
    </row>
    <row r="7338" spans="1:6" x14ac:dyDescent="0.2">
      <c r="A7338">
        <v>4</v>
      </c>
      <c r="E7338" t="str">
        <f t="shared" si="248"/>
        <v>E</v>
      </c>
      <c r="F7338" t="str">
        <f t="shared" si="249"/>
        <v>4E</v>
      </c>
    </row>
    <row r="7339" spans="1:6" x14ac:dyDescent="0.2">
      <c r="A7339">
        <v>5</v>
      </c>
      <c r="E7339" t="str">
        <f t="shared" si="248"/>
        <v>F</v>
      </c>
      <c r="F7339" t="str">
        <f t="shared" si="249"/>
        <v>5F</v>
      </c>
    </row>
    <row r="7340" spans="1:6" x14ac:dyDescent="0.2">
      <c r="A7340">
        <v>6</v>
      </c>
      <c r="E7340" t="str">
        <f t="shared" si="248"/>
        <v>G</v>
      </c>
      <c r="F7340" t="str">
        <f t="shared" si="249"/>
        <v>6G</v>
      </c>
    </row>
    <row r="7341" spans="1:6" x14ac:dyDescent="0.2">
      <c r="A7341">
        <v>7</v>
      </c>
      <c r="E7341" t="str">
        <f t="shared" si="248"/>
        <v>H</v>
      </c>
      <c r="F7341" t="str">
        <f t="shared" si="249"/>
        <v>7H</v>
      </c>
    </row>
    <row r="7342" spans="1:6" x14ac:dyDescent="0.2">
      <c r="A7342">
        <v>8</v>
      </c>
      <c r="E7342" t="str">
        <f t="shared" si="248"/>
        <v>I</v>
      </c>
      <c r="F7342" t="str">
        <f t="shared" si="249"/>
        <v>8I</v>
      </c>
    </row>
    <row r="7343" spans="1:6" x14ac:dyDescent="0.2">
      <c r="A7343">
        <v>9</v>
      </c>
      <c r="E7343" t="str">
        <f t="shared" si="248"/>
        <v>J</v>
      </c>
      <c r="F7343" t="str">
        <f t="shared" si="249"/>
        <v>9J</v>
      </c>
    </row>
    <row r="7344" spans="1:6" x14ac:dyDescent="0.2">
      <c r="A7344">
        <v>10</v>
      </c>
      <c r="E7344" t="str">
        <f t="shared" ref="E7344:E7407" si="250">E7318</f>
        <v>K</v>
      </c>
      <c r="F7344" t="str">
        <f t="shared" si="249"/>
        <v>10K</v>
      </c>
    </row>
    <row r="7345" spans="1:6" x14ac:dyDescent="0.2">
      <c r="A7345">
        <v>11</v>
      </c>
      <c r="E7345" t="str">
        <f t="shared" si="250"/>
        <v>L</v>
      </c>
      <c r="F7345" t="str">
        <f t="shared" si="249"/>
        <v>11L</v>
      </c>
    </row>
    <row r="7346" spans="1:6" x14ac:dyDescent="0.2">
      <c r="A7346">
        <v>12</v>
      </c>
      <c r="E7346" t="str">
        <f t="shared" si="250"/>
        <v>M</v>
      </c>
      <c r="F7346" t="str">
        <f t="shared" si="249"/>
        <v>12M</v>
      </c>
    </row>
    <row r="7347" spans="1:6" x14ac:dyDescent="0.2">
      <c r="A7347">
        <v>13</v>
      </c>
      <c r="E7347" t="str">
        <f t="shared" si="250"/>
        <v>N</v>
      </c>
      <c r="F7347" t="str">
        <f t="shared" si="249"/>
        <v>13N</v>
      </c>
    </row>
    <row r="7348" spans="1:6" x14ac:dyDescent="0.2">
      <c r="A7348">
        <v>14</v>
      </c>
      <c r="E7348" t="str">
        <f t="shared" si="250"/>
        <v>O</v>
      </c>
      <c r="F7348" t="str">
        <f t="shared" si="249"/>
        <v>14O</v>
      </c>
    </row>
    <row r="7349" spans="1:6" x14ac:dyDescent="0.2">
      <c r="A7349">
        <v>15</v>
      </c>
      <c r="E7349" t="str">
        <f t="shared" si="250"/>
        <v>P</v>
      </c>
      <c r="F7349" t="str">
        <f t="shared" si="249"/>
        <v>15P</v>
      </c>
    </row>
    <row r="7350" spans="1:6" x14ac:dyDescent="0.2">
      <c r="A7350">
        <v>16</v>
      </c>
      <c r="E7350" t="str">
        <f t="shared" si="250"/>
        <v>Q</v>
      </c>
      <c r="F7350" t="str">
        <f t="shared" si="249"/>
        <v>16Q</v>
      </c>
    </row>
    <row r="7351" spans="1:6" x14ac:dyDescent="0.2">
      <c r="A7351">
        <v>17</v>
      </c>
      <c r="E7351" t="str">
        <f t="shared" si="250"/>
        <v>R</v>
      </c>
      <c r="F7351" t="str">
        <f t="shared" si="249"/>
        <v>17R</v>
      </c>
    </row>
    <row r="7352" spans="1:6" x14ac:dyDescent="0.2">
      <c r="A7352">
        <v>18</v>
      </c>
      <c r="E7352" t="str">
        <f t="shared" si="250"/>
        <v>S</v>
      </c>
      <c r="F7352" t="str">
        <f t="shared" si="249"/>
        <v>18S</v>
      </c>
    </row>
    <row r="7353" spans="1:6" x14ac:dyDescent="0.2">
      <c r="A7353">
        <v>19</v>
      </c>
      <c r="E7353" t="str">
        <f t="shared" si="250"/>
        <v>T</v>
      </c>
      <c r="F7353" t="str">
        <f t="shared" si="249"/>
        <v>19T</v>
      </c>
    </row>
    <row r="7354" spans="1:6" x14ac:dyDescent="0.2">
      <c r="A7354">
        <v>20</v>
      </c>
      <c r="E7354" t="str">
        <f t="shared" si="250"/>
        <v>U</v>
      </c>
      <c r="F7354" t="str">
        <f t="shared" si="249"/>
        <v>20U</v>
      </c>
    </row>
    <row r="7355" spans="1:6" x14ac:dyDescent="0.2">
      <c r="A7355">
        <v>21</v>
      </c>
      <c r="E7355" t="str">
        <f t="shared" si="250"/>
        <v>V</v>
      </c>
      <c r="F7355" t="str">
        <f t="shared" si="249"/>
        <v>21V</v>
      </c>
    </row>
    <row r="7356" spans="1:6" x14ac:dyDescent="0.2">
      <c r="A7356">
        <v>22</v>
      </c>
      <c r="E7356" t="str">
        <f t="shared" si="250"/>
        <v>W</v>
      </c>
      <c r="F7356" t="str">
        <f t="shared" si="249"/>
        <v>22W</v>
      </c>
    </row>
    <row r="7357" spans="1:6" x14ac:dyDescent="0.2">
      <c r="A7357">
        <v>23</v>
      </c>
      <c r="E7357" t="str">
        <f t="shared" si="250"/>
        <v>X</v>
      </c>
      <c r="F7357" t="str">
        <f t="shared" si="249"/>
        <v>23X</v>
      </c>
    </row>
    <row r="7358" spans="1:6" x14ac:dyDescent="0.2">
      <c r="A7358">
        <v>24</v>
      </c>
      <c r="E7358" t="str">
        <f t="shared" si="250"/>
        <v>Y</v>
      </c>
      <c r="F7358" t="str">
        <f t="shared" si="249"/>
        <v>24Y</v>
      </c>
    </row>
    <row r="7359" spans="1:6" x14ac:dyDescent="0.2">
      <c r="A7359">
        <v>25</v>
      </c>
      <c r="E7359" t="str">
        <f t="shared" si="250"/>
        <v>Z</v>
      </c>
      <c r="F7359" t="str">
        <f t="shared" si="249"/>
        <v>25Z</v>
      </c>
    </row>
    <row r="7360" spans="1:6" x14ac:dyDescent="0.2">
      <c r="A7360">
        <v>0</v>
      </c>
      <c r="E7360" t="str">
        <f t="shared" si="250"/>
        <v>A</v>
      </c>
      <c r="F7360" t="str">
        <f t="shared" si="249"/>
        <v>0A</v>
      </c>
    </row>
    <row r="7361" spans="1:6" x14ac:dyDescent="0.2">
      <c r="A7361">
        <v>1</v>
      </c>
      <c r="E7361" t="str">
        <f t="shared" si="250"/>
        <v>B</v>
      </c>
      <c r="F7361" t="str">
        <f t="shared" si="249"/>
        <v>1B</v>
      </c>
    </row>
    <row r="7362" spans="1:6" x14ac:dyDescent="0.2">
      <c r="A7362">
        <v>2</v>
      </c>
      <c r="E7362" t="str">
        <f t="shared" si="250"/>
        <v>C</v>
      </c>
      <c r="F7362" t="str">
        <f t="shared" si="249"/>
        <v>2C</v>
      </c>
    </row>
    <row r="7363" spans="1:6" x14ac:dyDescent="0.2">
      <c r="A7363">
        <v>3</v>
      </c>
      <c r="E7363" t="str">
        <f t="shared" si="250"/>
        <v>D</v>
      </c>
      <c r="F7363" t="str">
        <f t="shared" si="249"/>
        <v>3D</v>
      </c>
    </row>
    <row r="7364" spans="1:6" x14ac:dyDescent="0.2">
      <c r="A7364">
        <v>4</v>
      </c>
      <c r="E7364" t="str">
        <f t="shared" si="250"/>
        <v>E</v>
      </c>
      <c r="F7364" t="str">
        <f t="shared" si="249"/>
        <v>4E</v>
      </c>
    </row>
    <row r="7365" spans="1:6" x14ac:dyDescent="0.2">
      <c r="A7365">
        <v>5</v>
      </c>
      <c r="E7365" t="str">
        <f t="shared" si="250"/>
        <v>F</v>
      </c>
      <c r="F7365" t="str">
        <f t="shared" si="249"/>
        <v>5F</v>
      </c>
    </row>
    <row r="7366" spans="1:6" x14ac:dyDescent="0.2">
      <c r="A7366">
        <v>6</v>
      </c>
      <c r="E7366" t="str">
        <f t="shared" si="250"/>
        <v>G</v>
      </c>
      <c r="F7366" t="str">
        <f t="shared" si="249"/>
        <v>6G</v>
      </c>
    </row>
    <row r="7367" spans="1:6" x14ac:dyDescent="0.2">
      <c r="A7367">
        <v>7</v>
      </c>
      <c r="E7367" t="str">
        <f t="shared" si="250"/>
        <v>H</v>
      </c>
      <c r="F7367" t="str">
        <f t="shared" si="249"/>
        <v>7H</v>
      </c>
    </row>
    <row r="7368" spans="1:6" x14ac:dyDescent="0.2">
      <c r="A7368">
        <v>8</v>
      </c>
      <c r="E7368" t="str">
        <f t="shared" si="250"/>
        <v>I</v>
      </c>
      <c r="F7368" t="str">
        <f t="shared" si="249"/>
        <v>8I</v>
      </c>
    </row>
    <row r="7369" spans="1:6" x14ac:dyDescent="0.2">
      <c r="A7369">
        <v>9</v>
      </c>
      <c r="E7369" t="str">
        <f t="shared" si="250"/>
        <v>J</v>
      </c>
      <c r="F7369" t="str">
        <f t="shared" si="249"/>
        <v>9J</v>
      </c>
    </row>
    <row r="7370" spans="1:6" x14ac:dyDescent="0.2">
      <c r="A7370">
        <v>10</v>
      </c>
      <c r="E7370" t="str">
        <f t="shared" si="250"/>
        <v>K</v>
      </c>
      <c r="F7370" t="str">
        <f t="shared" si="249"/>
        <v>10K</v>
      </c>
    </row>
    <row r="7371" spans="1:6" x14ac:dyDescent="0.2">
      <c r="A7371">
        <v>11</v>
      </c>
      <c r="E7371" t="str">
        <f t="shared" si="250"/>
        <v>L</v>
      </c>
      <c r="F7371" t="str">
        <f t="shared" si="249"/>
        <v>11L</v>
      </c>
    </row>
    <row r="7372" spans="1:6" x14ac:dyDescent="0.2">
      <c r="A7372">
        <v>12</v>
      </c>
      <c r="E7372" t="str">
        <f t="shared" si="250"/>
        <v>M</v>
      </c>
      <c r="F7372" t="str">
        <f t="shared" si="249"/>
        <v>12M</v>
      </c>
    </row>
    <row r="7373" spans="1:6" x14ac:dyDescent="0.2">
      <c r="A7373">
        <v>13</v>
      </c>
      <c r="E7373" t="str">
        <f t="shared" si="250"/>
        <v>N</v>
      </c>
      <c r="F7373" t="str">
        <f t="shared" si="249"/>
        <v>13N</v>
      </c>
    </row>
    <row r="7374" spans="1:6" x14ac:dyDescent="0.2">
      <c r="A7374">
        <v>14</v>
      </c>
      <c r="E7374" t="str">
        <f t="shared" si="250"/>
        <v>O</v>
      </c>
      <c r="F7374" t="str">
        <f t="shared" si="249"/>
        <v>14O</v>
      </c>
    </row>
    <row r="7375" spans="1:6" x14ac:dyDescent="0.2">
      <c r="A7375">
        <v>15</v>
      </c>
      <c r="E7375" t="str">
        <f t="shared" si="250"/>
        <v>P</v>
      </c>
      <c r="F7375" t="str">
        <f t="shared" si="249"/>
        <v>15P</v>
      </c>
    </row>
    <row r="7376" spans="1:6" x14ac:dyDescent="0.2">
      <c r="A7376">
        <v>16</v>
      </c>
      <c r="E7376" t="str">
        <f t="shared" si="250"/>
        <v>Q</v>
      </c>
      <c r="F7376" t="str">
        <f t="shared" si="249"/>
        <v>16Q</v>
      </c>
    </row>
    <row r="7377" spans="1:6" x14ac:dyDescent="0.2">
      <c r="A7377">
        <v>17</v>
      </c>
      <c r="E7377" t="str">
        <f t="shared" si="250"/>
        <v>R</v>
      </c>
      <c r="F7377" t="str">
        <f t="shared" si="249"/>
        <v>17R</v>
      </c>
    </row>
    <row r="7378" spans="1:6" x14ac:dyDescent="0.2">
      <c r="A7378">
        <v>18</v>
      </c>
      <c r="E7378" t="str">
        <f t="shared" si="250"/>
        <v>S</v>
      </c>
      <c r="F7378" t="str">
        <f t="shared" si="249"/>
        <v>18S</v>
      </c>
    </row>
    <row r="7379" spans="1:6" x14ac:dyDescent="0.2">
      <c r="A7379">
        <v>19</v>
      </c>
      <c r="E7379" t="str">
        <f t="shared" si="250"/>
        <v>T</v>
      </c>
      <c r="F7379" t="str">
        <f t="shared" si="249"/>
        <v>19T</v>
      </c>
    </row>
    <row r="7380" spans="1:6" x14ac:dyDescent="0.2">
      <c r="A7380">
        <v>20</v>
      </c>
      <c r="E7380" t="str">
        <f t="shared" si="250"/>
        <v>U</v>
      </c>
      <c r="F7380" t="str">
        <f t="shared" si="249"/>
        <v>20U</v>
      </c>
    </row>
    <row r="7381" spans="1:6" x14ac:dyDescent="0.2">
      <c r="A7381">
        <v>21</v>
      </c>
      <c r="E7381" t="str">
        <f t="shared" si="250"/>
        <v>V</v>
      </c>
      <c r="F7381" t="str">
        <f t="shared" si="249"/>
        <v>21V</v>
      </c>
    </row>
    <row r="7382" spans="1:6" x14ac:dyDescent="0.2">
      <c r="A7382">
        <v>22</v>
      </c>
      <c r="E7382" t="str">
        <f t="shared" si="250"/>
        <v>W</v>
      </c>
      <c r="F7382" t="str">
        <f t="shared" ref="F7382:F7445" si="251">A7382&amp;C7382&amp;E7382</f>
        <v>22W</v>
      </c>
    </row>
    <row r="7383" spans="1:6" x14ac:dyDescent="0.2">
      <c r="A7383">
        <v>23</v>
      </c>
      <c r="E7383" t="str">
        <f t="shared" si="250"/>
        <v>X</v>
      </c>
      <c r="F7383" t="str">
        <f t="shared" si="251"/>
        <v>23X</v>
      </c>
    </row>
    <row r="7384" spans="1:6" x14ac:dyDescent="0.2">
      <c r="A7384">
        <v>24</v>
      </c>
      <c r="E7384" t="str">
        <f t="shared" si="250"/>
        <v>Y</v>
      </c>
      <c r="F7384" t="str">
        <f t="shared" si="251"/>
        <v>24Y</v>
      </c>
    </row>
    <row r="7385" spans="1:6" x14ac:dyDescent="0.2">
      <c r="A7385">
        <v>25</v>
      </c>
      <c r="E7385" t="str">
        <f t="shared" si="250"/>
        <v>Z</v>
      </c>
      <c r="F7385" t="str">
        <f t="shared" si="251"/>
        <v>25Z</v>
      </c>
    </row>
    <row r="7386" spans="1:6" x14ac:dyDescent="0.2">
      <c r="A7386">
        <v>0</v>
      </c>
      <c r="E7386" t="str">
        <f t="shared" si="250"/>
        <v>A</v>
      </c>
      <c r="F7386" t="str">
        <f t="shared" si="251"/>
        <v>0A</v>
      </c>
    </row>
    <row r="7387" spans="1:6" x14ac:dyDescent="0.2">
      <c r="A7387">
        <v>1</v>
      </c>
      <c r="E7387" t="str">
        <f t="shared" si="250"/>
        <v>B</v>
      </c>
      <c r="F7387" t="str">
        <f t="shared" si="251"/>
        <v>1B</v>
      </c>
    </row>
    <row r="7388" spans="1:6" x14ac:dyDescent="0.2">
      <c r="A7388">
        <v>2</v>
      </c>
      <c r="E7388" t="str">
        <f t="shared" si="250"/>
        <v>C</v>
      </c>
      <c r="F7388" t="str">
        <f t="shared" si="251"/>
        <v>2C</v>
      </c>
    </row>
    <row r="7389" spans="1:6" x14ac:dyDescent="0.2">
      <c r="A7389">
        <v>3</v>
      </c>
      <c r="E7389" t="str">
        <f t="shared" si="250"/>
        <v>D</v>
      </c>
      <c r="F7389" t="str">
        <f t="shared" si="251"/>
        <v>3D</v>
      </c>
    </row>
    <row r="7390" spans="1:6" x14ac:dyDescent="0.2">
      <c r="A7390">
        <v>4</v>
      </c>
      <c r="E7390" t="str">
        <f t="shared" si="250"/>
        <v>E</v>
      </c>
      <c r="F7390" t="str">
        <f t="shared" si="251"/>
        <v>4E</v>
      </c>
    </row>
    <row r="7391" spans="1:6" x14ac:dyDescent="0.2">
      <c r="A7391">
        <v>5</v>
      </c>
      <c r="E7391" t="str">
        <f t="shared" si="250"/>
        <v>F</v>
      </c>
      <c r="F7391" t="str">
        <f t="shared" si="251"/>
        <v>5F</v>
      </c>
    </row>
    <row r="7392" spans="1:6" x14ac:dyDescent="0.2">
      <c r="A7392">
        <v>6</v>
      </c>
      <c r="E7392" t="str">
        <f t="shared" si="250"/>
        <v>G</v>
      </c>
      <c r="F7392" t="str">
        <f t="shared" si="251"/>
        <v>6G</v>
      </c>
    </row>
    <row r="7393" spans="1:6" x14ac:dyDescent="0.2">
      <c r="A7393">
        <v>7</v>
      </c>
      <c r="E7393" t="str">
        <f t="shared" si="250"/>
        <v>H</v>
      </c>
      <c r="F7393" t="str">
        <f t="shared" si="251"/>
        <v>7H</v>
      </c>
    </row>
    <row r="7394" spans="1:6" x14ac:dyDescent="0.2">
      <c r="A7394">
        <v>8</v>
      </c>
      <c r="E7394" t="str">
        <f t="shared" si="250"/>
        <v>I</v>
      </c>
      <c r="F7394" t="str">
        <f t="shared" si="251"/>
        <v>8I</v>
      </c>
    </row>
    <row r="7395" spans="1:6" x14ac:dyDescent="0.2">
      <c r="A7395">
        <v>9</v>
      </c>
      <c r="E7395" t="str">
        <f t="shared" si="250"/>
        <v>J</v>
      </c>
      <c r="F7395" t="str">
        <f t="shared" si="251"/>
        <v>9J</v>
      </c>
    </row>
    <row r="7396" spans="1:6" x14ac:dyDescent="0.2">
      <c r="A7396">
        <v>10</v>
      </c>
      <c r="E7396" t="str">
        <f t="shared" si="250"/>
        <v>K</v>
      </c>
      <c r="F7396" t="str">
        <f t="shared" si="251"/>
        <v>10K</v>
      </c>
    </row>
    <row r="7397" spans="1:6" x14ac:dyDescent="0.2">
      <c r="A7397">
        <v>11</v>
      </c>
      <c r="E7397" t="str">
        <f t="shared" si="250"/>
        <v>L</v>
      </c>
      <c r="F7397" t="str">
        <f t="shared" si="251"/>
        <v>11L</v>
      </c>
    </row>
    <row r="7398" spans="1:6" x14ac:dyDescent="0.2">
      <c r="A7398">
        <v>12</v>
      </c>
      <c r="E7398" t="str">
        <f t="shared" si="250"/>
        <v>M</v>
      </c>
      <c r="F7398" t="str">
        <f t="shared" si="251"/>
        <v>12M</v>
      </c>
    </row>
    <row r="7399" spans="1:6" x14ac:dyDescent="0.2">
      <c r="A7399">
        <v>13</v>
      </c>
      <c r="E7399" t="str">
        <f t="shared" si="250"/>
        <v>N</v>
      </c>
      <c r="F7399" t="str">
        <f t="shared" si="251"/>
        <v>13N</v>
      </c>
    </row>
    <row r="7400" spans="1:6" x14ac:dyDescent="0.2">
      <c r="A7400">
        <v>14</v>
      </c>
      <c r="E7400" t="str">
        <f t="shared" si="250"/>
        <v>O</v>
      </c>
      <c r="F7400" t="str">
        <f t="shared" si="251"/>
        <v>14O</v>
      </c>
    </row>
    <row r="7401" spans="1:6" x14ac:dyDescent="0.2">
      <c r="A7401">
        <v>15</v>
      </c>
      <c r="E7401" t="str">
        <f t="shared" si="250"/>
        <v>P</v>
      </c>
      <c r="F7401" t="str">
        <f t="shared" si="251"/>
        <v>15P</v>
      </c>
    </row>
    <row r="7402" spans="1:6" x14ac:dyDescent="0.2">
      <c r="A7402">
        <v>16</v>
      </c>
      <c r="E7402" t="str">
        <f t="shared" si="250"/>
        <v>Q</v>
      </c>
      <c r="F7402" t="str">
        <f t="shared" si="251"/>
        <v>16Q</v>
      </c>
    </row>
    <row r="7403" spans="1:6" x14ac:dyDescent="0.2">
      <c r="A7403">
        <v>17</v>
      </c>
      <c r="E7403" t="str">
        <f t="shared" si="250"/>
        <v>R</v>
      </c>
      <c r="F7403" t="str">
        <f t="shared" si="251"/>
        <v>17R</v>
      </c>
    </row>
    <row r="7404" spans="1:6" x14ac:dyDescent="0.2">
      <c r="A7404">
        <v>18</v>
      </c>
      <c r="E7404" t="str">
        <f t="shared" si="250"/>
        <v>S</v>
      </c>
      <c r="F7404" t="str">
        <f t="shared" si="251"/>
        <v>18S</v>
      </c>
    </row>
    <row r="7405" spans="1:6" x14ac:dyDescent="0.2">
      <c r="A7405">
        <v>19</v>
      </c>
      <c r="E7405" t="str">
        <f t="shared" si="250"/>
        <v>T</v>
      </c>
      <c r="F7405" t="str">
        <f t="shared" si="251"/>
        <v>19T</v>
      </c>
    </row>
    <row r="7406" spans="1:6" x14ac:dyDescent="0.2">
      <c r="A7406">
        <v>20</v>
      </c>
      <c r="E7406" t="str">
        <f t="shared" si="250"/>
        <v>U</v>
      </c>
      <c r="F7406" t="str">
        <f t="shared" si="251"/>
        <v>20U</v>
      </c>
    </row>
    <row r="7407" spans="1:6" x14ac:dyDescent="0.2">
      <c r="A7407">
        <v>21</v>
      </c>
      <c r="E7407" t="str">
        <f t="shared" si="250"/>
        <v>V</v>
      </c>
      <c r="F7407" t="str">
        <f t="shared" si="251"/>
        <v>21V</v>
      </c>
    </row>
    <row r="7408" spans="1:6" x14ac:dyDescent="0.2">
      <c r="A7408">
        <v>22</v>
      </c>
      <c r="E7408" t="str">
        <f t="shared" ref="E7408:E7471" si="252">E7382</f>
        <v>W</v>
      </c>
      <c r="F7408" t="str">
        <f t="shared" si="251"/>
        <v>22W</v>
      </c>
    </row>
    <row r="7409" spans="1:6" x14ac:dyDescent="0.2">
      <c r="A7409">
        <v>23</v>
      </c>
      <c r="E7409" t="str">
        <f t="shared" si="252"/>
        <v>X</v>
      </c>
      <c r="F7409" t="str">
        <f t="shared" si="251"/>
        <v>23X</v>
      </c>
    </row>
    <row r="7410" spans="1:6" x14ac:dyDescent="0.2">
      <c r="A7410">
        <v>24</v>
      </c>
      <c r="E7410" t="str">
        <f t="shared" si="252"/>
        <v>Y</v>
      </c>
      <c r="F7410" t="str">
        <f t="shared" si="251"/>
        <v>24Y</v>
      </c>
    </row>
    <row r="7411" spans="1:6" x14ac:dyDescent="0.2">
      <c r="A7411">
        <v>25</v>
      </c>
      <c r="E7411" t="str">
        <f t="shared" si="252"/>
        <v>Z</v>
      </c>
      <c r="F7411" t="str">
        <f t="shared" si="251"/>
        <v>25Z</v>
      </c>
    </row>
    <row r="7412" spans="1:6" x14ac:dyDescent="0.2">
      <c r="A7412">
        <v>0</v>
      </c>
      <c r="E7412" t="str">
        <f t="shared" si="252"/>
        <v>A</v>
      </c>
      <c r="F7412" t="str">
        <f t="shared" si="251"/>
        <v>0A</v>
      </c>
    </row>
    <row r="7413" spans="1:6" x14ac:dyDescent="0.2">
      <c r="A7413">
        <v>1</v>
      </c>
      <c r="E7413" t="str">
        <f t="shared" si="252"/>
        <v>B</v>
      </c>
      <c r="F7413" t="str">
        <f t="shared" si="251"/>
        <v>1B</v>
      </c>
    </row>
    <row r="7414" spans="1:6" x14ac:dyDescent="0.2">
      <c r="A7414">
        <v>2</v>
      </c>
      <c r="E7414" t="str">
        <f t="shared" si="252"/>
        <v>C</v>
      </c>
      <c r="F7414" t="str">
        <f t="shared" si="251"/>
        <v>2C</v>
      </c>
    </row>
    <row r="7415" spans="1:6" x14ac:dyDescent="0.2">
      <c r="A7415">
        <v>3</v>
      </c>
      <c r="E7415" t="str">
        <f t="shared" si="252"/>
        <v>D</v>
      </c>
      <c r="F7415" t="str">
        <f t="shared" si="251"/>
        <v>3D</v>
      </c>
    </row>
    <row r="7416" spans="1:6" x14ac:dyDescent="0.2">
      <c r="A7416">
        <v>4</v>
      </c>
      <c r="E7416" t="str">
        <f t="shared" si="252"/>
        <v>E</v>
      </c>
      <c r="F7416" t="str">
        <f t="shared" si="251"/>
        <v>4E</v>
      </c>
    </row>
    <row r="7417" spans="1:6" x14ac:dyDescent="0.2">
      <c r="A7417">
        <v>5</v>
      </c>
      <c r="E7417" t="str">
        <f t="shared" si="252"/>
        <v>F</v>
      </c>
      <c r="F7417" t="str">
        <f t="shared" si="251"/>
        <v>5F</v>
      </c>
    </row>
    <row r="7418" spans="1:6" x14ac:dyDescent="0.2">
      <c r="A7418">
        <v>6</v>
      </c>
      <c r="E7418" t="str">
        <f t="shared" si="252"/>
        <v>G</v>
      </c>
      <c r="F7418" t="str">
        <f t="shared" si="251"/>
        <v>6G</v>
      </c>
    </row>
    <row r="7419" spans="1:6" x14ac:dyDescent="0.2">
      <c r="A7419">
        <v>7</v>
      </c>
      <c r="E7419" t="str">
        <f t="shared" si="252"/>
        <v>H</v>
      </c>
      <c r="F7419" t="str">
        <f t="shared" si="251"/>
        <v>7H</v>
      </c>
    </row>
    <row r="7420" spans="1:6" x14ac:dyDescent="0.2">
      <c r="A7420">
        <v>8</v>
      </c>
      <c r="E7420" t="str">
        <f t="shared" si="252"/>
        <v>I</v>
      </c>
      <c r="F7420" t="str">
        <f t="shared" si="251"/>
        <v>8I</v>
      </c>
    </row>
    <row r="7421" spans="1:6" x14ac:dyDescent="0.2">
      <c r="A7421">
        <v>9</v>
      </c>
      <c r="E7421" t="str">
        <f t="shared" si="252"/>
        <v>J</v>
      </c>
      <c r="F7421" t="str">
        <f t="shared" si="251"/>
        <v>9J</v>
      </c>
    </row>
    <row r="7422" spans="1:6" x14ac:dyDescent="0.2">
      <c r="A7422">
        <v>10</v>
      </c>
      <c r="E7422" t="str">
        <f t="shared" si="252"/>
        <v>K</v>
      </c>
      <c r="F7422" t="str">
        <f t="shared" si="251"/>
        <v>10K</v>
      </c>
    </row>
    <row r="7423" spans="1:6" x14ac:dyDescent="0.2">
      <c r="A7423">
        <v>11</v>
      </c>
      <c r="E7423" t="str">
        <f t="shared" si="252"/>
        <v>L</v>
      </c>
      <c r="F7423" t="str">
        <f t="shared" si="251"/>
        <v>11L</v>
      </c>
    </row>
    <row r="7424" spans="1:6" x14ac:dyDescent="0.2">
      <c r="A7424">
        <v>12</v>
      </c>
      <c r="E7424" t="str">
        <f t="shared" si="252"/>
        <v>M</v>
      </c>
      <c r="F7424" t="str">
        <f t="shared" si="251"/>
        <v>12M</v>
      </c>
    </row>
    <row r="7425" spans="1:6" x14ac:dyDescent="0.2">
      <c r="A7425">
        <v>13</v>
      </c>
      <c r="E7425" t="str">
        <f t="shared" si="252"/>
        <v>N</v>
      </c>
      <c r="F7425" t="str">
        <f t="shared" si="251"/>
        <v>13N</v>
      </c>
    </row>
    <row r="7426" spans="1:6" x14ac:dyDescent="0.2">
      <c r="A7426">
        <v>14</v>
      </c>
      <c r="E7426" t="str">
        <f t="shared" si="252"/>
        <v>O</v>
      </c>
      <c r="F7426" t="str">
        <f t="shared" si="251"/>
        <v>14O</v>
      </c>
    </row>
    <row r="7427" spans="1:6" x14ac:dyDescent="0.2">
      <c r="A7427">
        <v>15</v>
      </c>
      <c r="E7427" t="str">
        <f t="shared" si="252"/>
        <v>P</v>
      </c>
      <c r="F7427" t="str">
        <f t="shared" si="251"/>
        <v>15P</v>
      </c>
    </row>
    <row r="7428" spans="1:6" x14ac:dyDescent="0.2">
      <c r="A7428">
        <v>16</v>
      </c>
      <c r="E7428" t="str">
        <f t="shared" si="252"/>
        <v>Q</v>
      </c>
      <c r="F7428" t="str">
        <f t="shared" si="251"/>
        <v>16Q</v>
      </c>
    </row>
    <row r="7429" spans="1:6" x14ac:dyDescent="0.2">
      <c r="A7429">
        <v>17</v>
      </c>
      <c r="E7429" t="str">
        <f t="shared" si="252"/>
        <v>R</v>
      </c>
      <c r="F7429" t="str">
        <f t="shared" si="251"/>
        <v>17R</v>
      </c>
    </row>
    <row r="7430" spans="1:6" x14ac:dyDescent="0.2">
      <c r="A7430">
        <v>18</v>
      </c>
      <c r="E7430" t="str">
        <f t="shared" si="252"/>
        <v>S</v>
      </c>
      <c r="F7430" t="str">
        <f t="shared" si="251"/>
        <v>18S</v>
      </c>
    </row>
    <row r="7431" spans="1:6" x14ac:dyDescent="0.2">
      <c r="A7431">
        <v>19</v>
      </c>
      <c r="E7431" t="str">
        <f t="shared" si="252"/>
        <v>T</v>
      </c>
      <c r="F7431" t="str">
        <f t="shared" si="251"/>
        <v>19T</v>
      </c>
    </row>
    <row r="7432" spans="1:6" x14ac:dyDescent="0.2">
      <c r="A7432">
        <v>20</v>
      </c>
      <c r="E7432" t="str">
        <f t="shared" si="252"/>
        <v>U</v>
      </c>
      <c r="F7432" t="str">
        <f t="shared" si="251"/>
        <v>20U</v>
      </c>
    </row>
    <row r="7433" spans="1:6" x14ac:dyDescent="0.2">
      <c r="A7433">
        <v>21</v>
      </c>
      <c r="E7433" t="str">
        <f t="shared" si="252"/>
        <v>V</v>
      </c>
      <c r="F7433" t="str">
        <f t="shared" si="251"/>
        <v>21V</v>
      </c>
    </row>
    <row r="7434" spans="1:6" x14ac:dyDescent="0.2">
      <c r="A7434">
        <v>22</v>
      </c>
      <c r="E7434" t="str">
        <f t="shared" si="252"/>
        <v>W</v>
      </c>
      <c r="F7434" t="str">
        <f t="shared" si="251"/>
        <v>22W</v>
      </c>
    </row>
    <row r="7435" spans="1:6" x14ac:dyDescent="0.2">
      <c r="A7435">
        <v>23</v>
      </c>
      <c r="E7435" t="str">
        <f t="shared" si="252"/>
        <v>X</v>
      </c>
      <c r="F7435" t="str">
        <f t="shared" si="251"/>
        <v>23X</v>
      </c>
    </row>
    <row r="7436" spans="1:6" x14ac:dyDescent="0.2">
      <c r="A7436">
        <v>24</v>
      </c>
      <c r="E7436" t="str">
        <f t="shared" si="252"/>
        <v>Y</v>
      </c>
      <c r="F7436" t="str">
        <f t="shared" si="251"/>
        <v>24Y</v>
      </c>
    </row>
    <row r="7437" spans="1:6" x14ac:dyDescent="0.2">
      <c r="A7437">
        <v>25</v>
      </c>
      <c r="E7437" t="str">
        <f t="shared" si="252"/>
        <v>Z</v>
      </c>
      <c r="F7437" t="str">
        <f t="shared" si="251"/>
        <v>25Z</v>
      </c>
    </row>
    <row r="7438" spans="1:6" x14ac:dyDescent="0.2">
      <c r="A7438">
        <v>0</v>
      </c>
      <c r="E7438" t="str">
        <f t="shared" si="252"/>
        <v>A</v>
      </c>
      <c r="F7438" t="str">
        <f t="shared" si="251"/>
        <v>0A</v>
      </c>
    </row>
    <row r="7439" spans="1:6" x14ac:dyDescent="0.2">
      <c r="A7439">
        <v>1</v>
      </c>
      <c r="E7439" t="str">
        <f t="shared" si="252"/>
        <v>B</v>
      </c>
      <c r="F7439" t="str">
        <f t="shared" si="251"/>
        <v>1B</v>
      </c>
    </row>
    <row r="7440" spans="1:6" x14ac:dyDescent="0.2">
      <c r="A7440">
        <v>2</v>
      </c>
      <c r="E7440" t="str">
        <f t="shared" si="252"/>
        <v>C</v>
      </c>
      <c r="F7440" t="str">
        <f t="shared" si="251"/>
        <v>2C</v>
      </c>
    </row>
    <row r="7441" spans="1:6" x14ac:dyDescent="0.2">
      <c r="A7441">
        <v>3</v>
      </c>
      <c r="E7441" t="str">
        <f t="shared" si="252"/>
        <v>D</v>
      </c>
      <c r="F7441" t="str">
        <f t="shared" si="251"/>
        <v>3D</v>
      </c>
    </row>
    <row r="7442" spans="1:6" x14ac:dyDescent="0.2">
      <c r="A7442">
        <v>4</v>
      </c>
      <c r="E7442" t="str">
        <f t="shared" si="252"/>
        <v>E</v>
      </c>
      <c r="F7442" t="str">
        <f t="shared" si="251"/>
        <v>4E</v>
      </c>
    </row>
    <row r="7443" spans="1:6" x14ac:dyDescent="0.2">
      <c r="A7443">
        <v>5</v>
      </c>
      <c r="E7443" t="str">
        <f t="shared" si="252"/>
        <v>F</v>
      </c>
      <c r="F7443" t="str">
        <f t="shared" si="251"/>
        <v>5F</v>
      </c>
    </row>
    <row r="7444" spans="1:6" x14ac:dyDescent="0.2">
      <c r="A7444">
        <v>6</v>
      </c>
      <c r="E7444" t="str">
        <f t="shared" si="252"/>
        <v>G</v>
      </c>
      <c r="F7444" t="str">
        <f t="shared" si="251"/>
        <v>6G</v>
      </c>
    </row>
    <row r="7445" spans="1:6" x14ac:dyDescent="0.2">
      <c r="A7445">
        <v>7</v>
      </c>
      <c r="E7445" t="str">
        <f t="shared" si="252"/>
        <v>H</v>
      </c>
      <c r="F7445" t="str">
        <f t="shared" si="251"/>
        <v>7H</v>
      </c>
    </row>
    <row r="7446" spans="1:6" x14ac:dyDescent="0.2">
      <c r="A7446">
        <v>8</v>
      </c>
      <c r="E7446" t="str">
        <f t="shared" si="252"/>
        <v>I</v>
      </c>
      <c r="F7446" t="str">
        <f t="shared" ref="F7446:F7509" si="253">A7446&amp;C7446&amp;E7446</f>
        <v>8I</v>
      </c>
    </row>
    <row r="7447" spans="1:6" x14ac:dyDescent="0.2">
      <c r="A7447">
        <v>9</v>
      </c>
      <c r="E7447" t="str">
        <f t="shared" si="252"/>
        <v>J</v>
      </c>
      <c r="F7447" t="str">
        <f t="shared" si="253"/>
        <v>9J</v>
      </c>
    </row>
    <row r="7448" spans="1:6" x14ac:dyDescent="0.2">
      <c r="A7448">
        <v>10</v>
      </c>
      <c r="E7448" t="str">
        <f t="shared" si="252"/>
        <v>K</v>
      </c>
      <c r="F7448" t="str">
        <f t="shared" si="253"/>
        <v>10K</v>
      </c>
    </row>
    <row r="7449" spans="1:6" x14ac:dyDescent="0.2">
      <c r="A7449">
        <v>11</v>
      </c>
      <c r="E7449" t="str">
        <f t="shared" si="252"/>
        <v>L</v>
      </c>
      <c r="F7449" t="str">
        <f t="shared" si="253"/>
        <v>11L</v>
      </c>
    </row>
    <row r="7450" spans="1:6" x14ac:dyDescent="0.2">
      <c r="A7450">
        <v>12</v>
      </c>
      <c r="E7450" t="str">
        <f t="shared" si="252"/>
        <v>M</v>
      </c>
      <c r="F7450" t="str">
        <f t="shared" si="253"/>
        <v>12M</v>
      </c>
    </row>
    <row r="7451" spans="1:6" x14ac:dyDescent="0.2">
      <c r="A7451">
        <v>13</v>
      </c>
      <c r="E7451" t="str">
        <f t="shared" si="252"/>
        <v>N</v>
      </c>
      <c r="F7451" t="str">
        <f t="shared" si="253"/>
        <v>13N</v>
      </c>
    </row>
    <row r="7452" spans="1:6" x14ac:dyDescent="0.2">
      <c r="A7452">
        <v>14</v>
      </c>
      <c r="E7452" t="str">
        <f t="shared" si="252"/>
        <v>O</v>
      </c>
      <c r="F7452" t="str">
        <f t="shared" si="253"/>
        <v>14O</v>
      </c>
    </row>
    <row r="7453" spans="1:6" x14ac:dyDescent="0.2">
      <c r="A7453">
        <v>15</v>
      </c>
      <c r="E7453" t="str">
        <f t="shared" si="252"/>
        <v>P</v>
      </c>
      <c r="F7453" t="str">
        <f t="shared" si="253"/>
        <v>15P</v>
      </c>
    </row>
    <row r="7454" spans="1:6" x14ac:dyDescent="0.2">
      <c r="A7454">
        <v>16</v>
      </c>
      <c r="E7454" t="str">
        <f t="shared" si="252"/>
        <v>Q</v>
      </c>
      <c r="F7454" t="str">
        <f t="shared" si="253"/>
        <v>16Q</v>
      </c>
    </row>
    <row r="7455" spans="1:6" x14ac:dyDescent="0.2">
      <c r="A7455">
        <v>17</v>
      </c>
      <c r="E7455" t="str">
        <f t="shared" si="252"/>
        <v>R</v>
      </c>
      <c r="F7455" t="str">
        <f t="shared" si="253"/>
        <v>17R</v>
      </c>
    </row>
    <row r="7456" spans="1:6" x14ac:dyDescent="0.2">
      <c r="A7456">
        <v>18</v>
      </c>
      <c r="E7456" t="str">
        <f t="shared" si="252"/>
        <v>S</v>
      </c>
      <c r="F7456" t="str">
        <f t="shared" si="253"/>
        <v>18S</v>
      </c>
    </row>
    <row r="7457" spans="1:6" x14ac:dyDescent="0.2">
      <c r="A7457">
        <v>19</v>
      </c>
      <c r="E7457" t="str">
        <f t="shared" si="252"/>
        <v>T</v>
      </c>
      <c r="F7457" t="str">
        <f t="shared" si="253"/>
        <v>19T</v>
      </c>
    </row>
    <row r="7458" spans="1:6" x14ac:dyDescent="0.2">
      <c r="A7458">
        <v>20</v>
      </c>
      <c r="E7458" t="str">
        <f t="shared" si="252"/>
        <v>U</v>
      </c>
      <c r="F7458" t="str">
        <f t="shared" si="253"/>
        <v>20U</v>
      </c>
    </row>
    <row r="7459" spans="1:6" x14ac:dyDescent="0.2">
      <c r="A7459">
        <v>21</v>
      </c>
      <c r="E7459" t="str">
        <f t="shared" si="252"/>
        <v>V</v>
      </c>
      <c r="F7459" t="str">
        <f t="shared" si="253"/>
        <v>21V</v>
      </c>
    </row>
    <row r="7460" spans="1:6" x14ac:dyDescent="0.2">
      <c r="A7460">
        <v>22</v>
      </c>
      <c r="E7460" t="str">
        <f t="shared" si="252"/>
        <v>W</v>
      </c>
      <c r="F7460" t="str">
        <f t="shared" si="253"/>
        <v>22W</v>
      </c>
    </row>
    <row r="7461" spans="1:6" x14ac:dyDescent="0.2">
      <c r="A7461">
        <v>23</v>
      </c>
      <c r="E7461" t="str">
        <f t="shared" si="252"/>
        <v>X</v>
      </c>
      <c r="F7461" t="str">
        <f t="shared" si="253"/>
        <v>23X</v>
      </c>
    </row>
    <row r="7462" spans="1:6" x14ac:dyDescent="0.2">
      <c r="A7462">
        <v>24</v>
      </c>
      <c r="E7462" t="str">
        <f t="shared" si="252"/>
        <v>Y</v>
      </c>
      <c r="F7462" t="str">
        <f t="shared" si="253"/>
        <v>24Y</v>
      </c>
    </row>
    <row r="7463" spans="1:6" x14ac:dyDescent="0.2">
      <c r="A7463">
        <v>25</v>
      </c>
      <c r="E7463" t="str">
        <f t="shared" si="252"/>
        <v>Z</v>
      </c>
      <c r="F7463" t="str">
        <f t="shared" si="253"/>
        <v>25Z</v>
      </c>
    </row>
    <row r="7464" spans="1:6" x14ac:dyDescent="0.2">
      <c r="A7464">
        <v>0</v>
      </c>
      <c r="E7464" t="str">
        <f t="shared" si="252"/>
        <v>A</v>
      </c>
      <c r="F7464" t="str">
        <f t="shared" si="253"/>
        <v>0A</v>
      </c>
    </row>
    <row r="7465" spans="1:6" x14ac:dyDescent="0.2">
      <c r="A7465">
        <v>1</v>
      </c>
      <c r="E7465" t="str">
        <f t="shared" si="252"/>
        <v>B</v>
      </c>
      <c r="F7465" t="str">
        <f t="shared" si="253"/>
        <v>1B</v>
      </c>
    </row>
    <row r="7466" spans="1:6" x14ac:dyDescent="0.2">
      <c r="A7466">
        <v>2</v>
      </c>
      <c r="E7466" t="str">
        <f t="shared" si="252"/>
        <v>C</v>
      </c>
      <c r="F7466" t="str">
        <f t="shared" si="253"/>
        <v>2C</v>
      </c>
    </row>
    <row r="7467" spans="1:6" x14ac:dyDescent="0.2">
      <c r="A7467">
        <v>3</v>
      </c>
      <c r="E7467" t="str">
        <f t="shared" si="252"/>
        <v>D</v>
      </c>
      <c r="F7467" t="str">
        <f t="shared" si="253"/>
        <v>3D</v>
      </c>
    </row>
    <row r="7468" spans="1:6" x14ac:dyDescent="0.2">
      <c r="A7468">
        <v>4</v>
      </c>
      <c r="E7468" t="str">
        <f t="shared" si="252"/>
        <v>E</v>
      </c>
      <c r="F7468" t="str">
        <f t="shared" si="253"/>
        <v>4E</v>
      </c>
    </row>
    <row r="7469" spans="1:6" x14ac:dyDescent="0.2">
      <c r="A7469">
        <v>5</v>
      </c>
      <c r="E7469" t="str">
        <f t="shared" si="252"/>
        <v>F</v>
      </c>
      <c r="F7469" t="str">
        <f t="shared" si="253"/>
        <v>5F</v>
      </c>
    </row>
    <row r="7470" spans="1:6" x14ac:dyDescent="0.2">
      <c r="A7470">
        <v>6</v>
      </c>
      <c r="E7470" t="str">
        <f t="shared" si="252"/>
        <v>G</v>
      </c>
      <c r="F7470" t="str">
        <f t="shared" si="253"/>
        <v>6G</v>
      </c>
    </row>
    <row r="7471" spans="1:6" x14ac:dyDescent="0.2">
      <c r="A7471">
        <v>7</v>
      </c>
      <c r="E7471" t="str">
        <f t="shared" si="252"/>
        <v>H</v>
      </c>
      <c r="F7471" t="str">
        <f t="shared" si="253"/>
        <v>7H</v>
      </c>
    </row>
    <row r="7472" spans="1:6" x14ac:dyDescent="0.2">
      <c r="A7472">
        <v>8</v>
      </c>
      <c r="E7472" t="str">
        <f t="shared" ref="E7472:E7535" si="254">E7446</f>
        <v>I</v>
      </c>
      <c r="F7472" t="str">
        <f t="shared" si="253"/>
        <v>8I</v>
      </c>
    </row>
    <row r="7473" spans="1:6" x14ac:dyDescent="0.2">
      <c r="A7473">
        <v>9</v>
      </c>
      <c r="E7473" t="str">
        <f t="shared" si="254"/>
        <v>J</v>
      </c>
      <c r="F7473" t="str">
        <f t="shared" si="253"/>
        <v>9J</v>
      </c>
    </row>
    <row r="7474" spans="1:6" x14ac:dyDescent="0.2">
      <c r="A7474">
        <v>10</v>
      </c>
      <c r="E7474" t="str">
        <f t="shared" si="254"/>
        <v>K</v>
      </c>
      <c r="F7474" t="str">
        <f t="shared" si="253"/>
        <v>10K</v>
      </c>
    </row>
    <row r="7475" spans="1:6" x14ac:dyDescent="0.2">
      <c r="A7475">
        <v>11</v>
      </c>
      <c r="E7475" t="str">
        <f t="shared" si="254"/>
        <v>L</v>
      </c>
      <c r="F7475" t="str">
        <f t="shared" si="253"/>
        <v>11L</v>
      </c>
    </row>
    <row r="7476" spans="1:6" x14ac:dyDescent="0.2">
      <c r="A7476">
        <v>12</v>
      </c>
      <c r="E7476" t="str">
        <f t="shared" si="254"/>
        <v>M</v>
      </c>
      <c r="F7476" t="str">
        <f t="shared" si="253"/>
        <v>12M</v>
      </c>
    </row>
    <row r="7477" spans="1:6" x14ac:dyDescent="0.2">
      <c r="A7477">
        <v>13</v>
      </c>
      <c r="E7477" t="str">
        <f t="shared" si="254"/>
        <v>N</v>
      </c>
      <c r="F7477" t="str">
        <f t="shared" si="253"/>
        <v>13N</v>
      </c>
    </row>
    <row r="7478" spans="1:6" x14ac:dyDescent="0.2">
      <c r="A7478">
        <v>14</v>
      </c>
      <c r="E7478" t="str">
        <f t="shared" si="254"/>
        <v>O</v>
      </c>
      <c r="F7478" t="str">
        <f t="shared" si="253"/>
        <v>14O</v>
      </c>
    </row>
    <row r="7479" spans="1:6" x14ac:dyDescent="0.2">
      <c r="A7479">
        <v>15</v>
      </c>
      <c r="E7479" t="str">
        <f t="shared" si="254"/>
        <v>P</v>
      </c>
      <c r="F7479" t="str">
        <f t="shared" si="253"/>
        <v>15P</v>
      </c>
    </row>
    <row r="7480" spans="1:6" x14ac:dyDescent="0.2">
      <c r="A7480">
        <v>16</v>
      </c>
      <c r="E7480" t="str">
        <f t="shared" si="254"/>
        <v>Q</v>
      </c>
      <c r="F7480" t="str">
        <f t="shared" si="253"/>
        <v>16Q</v>
      </c>
    </row>
    <row r="7481" spans="1:6" x14ac:dyDescent="0.2">
      <c r="A7481">
        <v>17</v>
      </c>
      <c r="E7481" t="str">
        <f t="shared" si="254"/>
        <v>R</v>
      </c>
      <c r="F7481" t="str">
        <f t="shared" si="253"/>
        <v>17R</v>
      </c>
    </row>
    <row r="7482" spans="1:6" x14ac:dyDescent="0.2">
      <c r="A7482">
        <v>18</v>
      </c>
      <c r="E7482" t="str">
        <f t="shared" si="254"/>
        <v>S</v>
      </c>
      <c r="F7482" t="str">
        <f t="shared" si="253"/>
        <v>18S</v>
      </c>
    </row>
    <row r="7483" spans="1:6" x14ac:dyDescent="0.2">
      <c r="A7483">
        <v>19</v>
      </c>
      <c r="E7483" t="str">
        <f t="shared" si="254"/>
        <v>T</v>
      </c>
      <c r="F7483" t="str">
        <f t="shared" si="253"/>
        <v>19T</v>
      </c>
    </row>
    <row r="7484" spans="1:6" x14ac:dyDescent="0.2">
      <c r="A7484">
        <v>20</v>
      </c>
      <c r="E7484" t="str">
        <f t="shared" si="254"/>
        <v>U</v>
      </c>
      <c r="F7484" t="str">
        <f t="shared" si="253"/>
        <v>20U</v>
      </c>
    </row>
    <row r="7485" spans="1:6" x14ac:dyDescent="0.2">
      <c r="A7485">
        <v>21</v>
      </c>
      <c r="E7485" t="str">
        <f t="shared" si="254"/>
        <v>V</v>
      </c>
      <c r="F7485" t="str">
        <f t="shared" si="253"/>
        <v>21V</v>
      </c>
    </row>
    <row r="7486" spans="1:6" x14ac:dyDescent="0.2">
      <c r="A7486">
        <v>22</v>
      </c>
      <c r="E7486" t="str">
        <f t="shared" si="254"/>
        <v>W</v>
      </c>
      <c r="F7486" t="str">
        <f t="shared" si="253"/>
        <v>22W</v>
      </c>
    </row>
    <row r="7487" spans="1:6" x14ac:dyDescent="0.2">
      <c r="A7487">
        <v>23</v>
      </c>
      <c r="E7487" t="str">
        <f t="shared" si="254"/>
        <v>X</v>
      </c>
      <c r="F7487" t="str">
        <f t="shared" si="253"/>
        <v>23X</v>
      </c>
    </row>
    <row r="7488" spans="1:6" x14ac:dyDescent="0.2">
      <c r="A7488">
        <v>24</v>
      </c>
      <c r="E7488" t="str">
        <f t="shared" si="254"/>
        <v>Y</v>
      </c>
      <c r="F7488" t="str">
        <f t="shared" si="253"/>
        <v>24Y</v>
      </c>
    </row>
    <row r="7489" spans="1:6" x14ac:dyDescent="0.2">
      <c r="A7489">
        <v>25</v>
      </c>
      <c r="E7489" t="str">
        <f t="shared" si="254"/>
        <v>Z</v>
      </c>
      <c r="F7489" t="str">
        <f t="shared" si="253"/>
        <v>25Z</v>
      </c>
    </row>
    <row r="7490" spans="1:6" x14ac:dyDescent="0.2">
      <c r="A7490">
        <v>0</v>
      </c>
      <c r="E7490" t="str">
        <f t="shared" si="254"/>
        <v>A</v>
      </c>
      <c r="F7490" t="str">
        <f t="shared" si="253"/>
        <v>0A</v>
      </c>
    </row>
    <row r="7491" spans="1:6" x14ac:dyDescent="0.2">
      <c r="A7491">
        <v>1</v>
      </c>
      <c r="E7491" t="str">
        <f t="shared" si="254"/>
        <v>B</v>
      </c>
      <c r="F7491" t="str">
        <f t="shared" si="253"/>
        <v>1B</v>
      </c>
    </row>
    <row r="7492" spans="1:6" x14ac:dyDescent="0.2">
      <c r="A7492">
        <v>2</v>
      </c>
      <c r="E7492" t="str">
        <f t="shared" si="254"/>
        <v>C</v>
      </c>
      <c r="F7492" t="str">
        <f t="shared" si="253"/>
        <v>2C</v>
      </c>
    </row>
    <row r="7493" spans="1:6" x14ac:dyDescent="0.2">
      <c r="A7493">
        <v>3</v>
      </c>
      <c r="E7493" t="str">
        <f t="shared" si="254"/>
        <v>D</v>
      </c>
      <c r="F7493" t="str">
        <f t="shared" si="253"/>
        <v>3D</v>
      </c>
    </row>
    <row r="7494" spans="1:6" x14ac:dyDescent="0.2">
      <c r="A7494">
        <v>4</v>
      </c>
      <c r="E7494" t="str">
        <f t="shared" si="254"/>
        <v>E</v>
      </c>
      <c r="F7494" t="str">
        <f t="shared" si="253"/>
        <v>4E</v>
      </c>
    </row>
    <row r="7495" spans="1:6" x14ac:dyDescent="0.2">
      <c r="A7495">
        <v>5</v>
      </c>
      <c r="E7495" t="str">
        <f t="shared" si="254"/>
        <v>F</v>
      </c>
      <c r="F7495" t="str">
        <f t="shared" si="253"/>
        <v>5F</v>
      </c>
    </row>
    <row r="7496" spans="1:6" x14ac:dyDescent="0.2">
      <c r="A7496">
        <v>6</v>
      </c>
      <c r="E7496" t="str">
        <f t="shared" si="254"/>
        <v>G</v>
      </c>
      <c r="F7496" t="str">
        <f t="shared" si="253"/>
        <v>6G</v>
      </c>
    </row>
    <row r="7497" spans="1:6" x14ac:dyDescent="0.2">
      <c r="A7497">
        <v>7</v>
      </c>
      <c r="E7497" t="str">
        <f t="shared" si="254"/>
        <v>H</v>
      </c>
      <c r="F7497" t="str">
        <f t="shared" si="253"/>
        <v>7H</v>
      </c>
    </row>
    <row r="7498" spans="1:6" x14ac:dyDescent="0.2">
      <c r="A7498">
        <v>8</v>
      </c>
      <c r="E7498" t="str">
        <f t="shared" si="254"/>
        <v>I</v>
      </c>
      <c r="F7498" t="str">
        <f t="shared" si="253"/>
        <v>8I</v>
      </c>
    </row>
    <row r="7499" spans="1:6" x14ac:dyDescent="0.2">
      <c r="A7499">
        <v>9</v>
      </c>
      <c r="E7499" t="str">
        <f t="shared" si="254"/>
        <v>J</v>
      </c>
      <c r="F7499" t="str">
        <f t="shared" si="253"/>
        <v>9J</v>
      </c>
    </row>
    <row r="7500" spans="1:6" x14ac:dyDescent="0.2">
      <c r="A7500">
        <v>10</v>
      </c>
      <c r="E7500" t="str">
        <f t="shared" si="254"/>
        <v>K</v>
      </c>
      <c r="F7500" t="str">
        <f t="shared" si="253"/>
        <v>10K</v>
      </c>
    </row>
    <row r="7501" spans="1:6" x14ac:dyDescent="0.2">
      <c r="A7501">
        <v>11</v>
      </c>
      <c r="E7501" t="str">
        <f t="shared" si="254"/>
        <v>L</v>
      </c>
      <c r="F7501" t="str">
        <f t="shared" si="253"/>
        <v>11L</v>
      </c>
    </row>
    <row r="7502" spans="1:6" x14ac:dyDescent="0.2">
      <c r="A7502">
        <v>12</v>
      </c>
      <c r="E7502" t="str">
        <f t="shared" si="254"/>
        <v>M</v>
      </c>
      <c r="F7502" t="str">
        <f t="shared" si="253"/>
        <v>12M</v>
      </c>
    </row>
    <row r="7503" spans="1:6" x14ac:dyDescent="0.2">
      <c r="A7503">
        <v>13</v>
      </c>
      <c r="E7503" t="str">
        <f t="shared" si="254"/>
        <v>N</v>
      </c>
      <c r="F7503" t="str">
        <f t="shared" si="253"/>
        <v>13N</v>
      </c>
    </row>
    <row r="7504" spans="1:6" x14ac:dyDescent="0.2">
      <c r="A7504">
        <v>14</v>
      </c>
      <c r="E7504" t="str">
        <f t="shared" si="254"/>
        <v>O</v>
      </c>
      <c r="F7504" t="str">
        <f t="shared" si="253"/>
        <v>14O</v>
      </c>
    </row>
    <row r="7505" spans="1:6" x14ac:dyDescent="0.2">
      <c r="A7505">
        <v>15</v>
      </c>
      <c r="E7505" t="str">
        <f t="shared" si="254"/>
        <v>P</v>
      </c>
      <c r="F7505" t="str">
        <f t="shared" si="253"/>
        <v>15P</v>
      </c>
    </row>
    <row r="7506" spans="1:6" x14ac:dyDescent="0.2">
      <c r="A7506">
        <v>16</v>
      </c>
      <c r="E7506" t="str">
        <f t="shared" si="254"/>
        <v>Q</v>
      </c>
      <c r="F7506" t="str">
        <f t="shared" si="253"/>
        <v>16Q</v>
      </c>
    </row>
    <row r="7507" spans="1:6" x14ac:dyDescent="0.2">
      <c r="A7507">
        <v>17</v>
      </c>
      <c r="E7507" t="str">
        <f t="shared" si="254"/>
        <v>R</v>
      </c>
      <c r="F7507" t="str">
        <f t="shared" si="253"/>
        <v>17R</v>
      </c>
    </row>
    <row r="7508" spans="1:6" x14ac:dyDescent="0.2">
      <c r="A7508">
        <v>18</v>
      </c>
      <c r="E7508" t="str">
        <f t="shared" si="254"/>
        <v>S</v>
      </c>
      <c r="F7508" t="str">
        <f t="shared" si="253"/>
        <v>18S</v>
      </c>
    </row>
    <row r="7509" spans="1:6" x14ac:dyDescent="0.2">
      <c r="A7509">
        <v>19</v>
      </c>
      <c r="E7509" t="str">
        <f t="shared" si="254"/>
        <v>T</v>
      </c>
      <c r="F7509" t="str">
        <f t="shared" si="253"/>
        <v>19T</v>
      </c>
    </row>
    <row r="7510" spans="1:6" x14ac:dyDescent="0.2">
      <c r="A7510">
        <v>20</v>
      </c>
      <c r="E7510" t="str">
        <f t="shared" si="254"/>
        <v>U</v>
      </c>
      <c r="F7510" t="str">
        <f t="shared" ref="F7510:F7573" si="255">A7510&amp;C7510&amp;E7510</f>
        <v>20U</v>
      </c>
    </row>
    <row r="7511" spans="1:6" x14ac:dyDescent="0.2">
      <c r="A7511">
        <v>21</v>
      </c>
      <c r="E7511" t="str">
        <f t="shared" si="254"/>
        <v>V</v>
      </c>
      <c r="F7511" t="str">
        <f t="shared" si="255"/>
        <v>21V</v>
      </c>
    </row>
    <row r="7512" spans="1:6" x14ac:dyDescent="0.2">
      <c r="A7512">
        <v>22</v>
      </c>
      <c r="E7512" t="str">
        <f t="shared" si="254"/>
        <v>W</v>
      </c>
      <c r="F7512" t="str">
        <f t="shared" si="255"/>
        <v>22W</v>
      </c>
    </row>
    <row r="7513" spans="1:6" x14ac:dyDescent="0.2">
      <c r="A7513">
        <v>23</v>
      </c>
      <c r="E7513" t="str">
        <f t="shared" si="254"/>
        <v>X</v>
      </c>
      <c r="F7513" t="str">
        <f t="shared" si="255"/>
        <v>23X</v>
      </c>
    </row>
    <row r="7514" spans="1:6" x14ac:dyDescent="0.2">
      <c r="A7514">
        <v>24</v>
      </c>
      <c r="E7514" t="str">
        <f t="shared" si="254"/>
        <v>Y</v>
      </c>
      <c r="F7514" t="str">
        <f t="shared" si="255"/>
        <v>24Y</v>
      </c>
    </row>
    <row r="7515" spans="1:6" x14ac:dyDescent="0.2">
      <c r="A7515">
        <v>25</v>
      </c>
      <c r="E7515" t="str">
        <f t="shared" si="254"/>
        <v>Z</v>
      </c>
      <c r="F7515" t="str">
        <f t="shared" si="255"/>
        <v>25Z</v>
      </c>
    </row>
    <row r="7516" spans="1:6" x14ac:dyDescent="0.2">
      <c r="A7516">
        <v>0</v>
      </c>
      <c r="E7516" t="str">
        <f t="shared" si="254"/>
        <v>A</v>
      </c>
      <c r="F7516" t="str">
        <f t="shared" si="255"/>
        <v>0A</v>
      </c>
    </row>
    <row r="7517" spans="1:6" x14ac:dyDescent="0.2">
      <c r="A7517">
        <v>1</v>
      </c>
      <c r="E7517" t="str">
        <f t="shared" si="254"/>
        <v>B</v>
      </c>
      <c r="F7517" t="str">
        <f t="shared" si="255"/>
        <v>1B</v>
      </c>
    </row>
    <row r="7518" spans="1:6" x14ac:dyDescent="0.2">
      <c r="A7518">
        <v>2</v>
      </c>
      <c r="E7518" t="str">
        <f t="shared" si="254"/>
        <v>C</v>
      </c>
      <c r="F7518" t="str">
        <f t="shared" si="255"/>
        <v>2C</v>
      </c>
    </row>
    <row r="7519" spans="1:6" x14ac:dyDescent="0.2">
      <c r="A7519">
        <v>3</v>
      </c>
      <c r="E7519" t="str">
        <f t="shared" si="254"/>
        <v>D</v>
      </c>
      <c r="F7519" t="str">
        <f t="shared" si="255"/>
        <v>3D</v>
      </c>
    </row>
    <row r="7520" spans="1:6" x14ac:dyDescent="0.2">
      <c r="A7520">
        <v>4</v>
      </c>
      <c r="E7520" t="str">
        <f t="shared" si="254"/>
        <v>E</v>
      </c>
      <c r="F7520" t="str">
        <f t="shared" si="255"/>
        <v>4E</v>
      </c>
    </row>
    <row r="7521" spans="1:6" x14ac:dyDescent="0.2">
      <c r="A7521">
        <v>5</v>
      </c>
      <c r="E7521" t="str">
        <f t="shared" si="254"/>
        <v>F</v>
      </c>
      <c r="F7521" t="str">
        <f t="shared" si="255"/>
        <v>5F</v>
      </c>
    </row>
    <row r="7522" spans="1:6" x14ac:dyDescent="0.2">
      <c r="A7522">
        <v>6</v>
      </c>
      <c r="E7522" t="str">
        <f t="shared" si="254"/>
        <v>G</v>
      </c>
      <c r="F7522" t="str">
        <f t="shared" si="255"/>
        <v>6G</v>
      </c>
    </row>
    <row r="7523" spans="1:6" x14ac:dyDescent="0.2">
      <c r="A7523">
        <v>7</v>
      </c>
      <c r="E7523" t="str">
        <f t="shared" si="254"/>
        <v>H</v>
      </c>
      <c r="F7523" t="str">
        <f t="shared" si="255"/>
        <v>7H</v>
      </c>
    </row>
    <row r="7524" spans="1:6" x14ac:dyDescent="0.2">
      <c r="A7524">
        <v>8</v>
      </c>
      <c r="E7524" t="str">
        <f t="shared" si="254"/>
        <v>I</v>
      </c>
      <c r="F7524" t="str">
        <f t="shared" si="255"/>
        <v>8I</v>
      </c>
    </row>
    <row r="7525" spans="1:6" x14ac:dyDescent="0.2">
      <c r="A7525">
        <v>9</v>
      </c>
      <c r="E7525" t="str">
        <f t="shared" si="254"/>
        <v>J</v>
      </c>
      <c r="F7525" t="str">
        <f t="shared" si="255"/>
        <v>9J</v>
      </c>
    </row>
    <row r="7526" spans="1:6" x14ac:dyDescent="0.2">
      <c r="A7526">
        <v>10</v>
      </c>
      <c r="E7526" t="str">
        <f t="shared" si="254"/>
        <v>K</v>
      </c>
      <c r="F7526" t="str">
        <f t="shared" si="255"/>
        <v>10K</v>
      </c>
    </row>
    <row r="7527" spans="1:6" x14ac:dyDescent="0.2">
      <c r="A7527">
        <v>11</v>
      </c>
      <c r="E7527" t="str">
        <f t="shared" si="254"/>
        <v>L</v>
      </c>
      <c r="F7527" t="str">
        <f t="shared" si="255"/>
        <v>11L</v>
      </c>
    </row>
    <row r="7528" spans="1:6" x14ac:dyDescent="0.2">
      <c r="A7528">
        <v>12</v>
      </c>
      <c r="E7528" t="str">
        <f t="shared" si="254"/>
        <v>M</v>
      </c>
      <c r="F7528" t="str">
        <f t="shared" si="255"/>
        <v>12M</v>
      </c>
    </row>
    <row r="7529" spans="1:6" x14ac:dyDescent="0.2">
      <c r="A7529">
        <v>13</v>
      </c>
      <c r="E7529" t="str">
        <f t="shared" si="254"/>
        <v>N</v>
      </c>
      <c r="F7529" t="str">
        <f t="shared" si="255"/>
        <v>13N</v>
      </c>
    </row>
    <row r="7530" spans="1:6" x14ac:dyDescent="0.2">
      <c r="A7530">
        <v>14</v>
      </c>
      <c r="E7530" t="str">
        <f t="shared" si="254"/>
        <v>O</v>
      </c>
      <c r="F7530" t="str">
        <f t="shared" si="255"/>
        <v>14O</v>
      </c>
    </row>
    <row r="7531" spans="1:6" x14ac:dyDescent="0.2">
      <c r="A7531">
        <v>15</v>
      </c>
      <c r="E7531" t="str">
        <f t="shared" si="254"/>
        <v>P</v>
      </c>
      <c r="F7531" t="str">
        <f t="shared" si="255"/>
        <v>15P</v>
      </c>
    </row>
    <row r="7532" spans="1:6" x14ac:dyDescent="0.2">
      <c r="A7532">
        <v>16</v>
      </c>
      <c r="E7532" t="str">
        <f t="shared" si="254"/>
        <v>Q</v>
      </c>
      <c r="F7532" t="str">
        <f t="shared" si="255"/>
        <v>16Q</v>
      </c>
    </row>
    <row r="7533" spans="1:6" x14ac:dyDescent="0.2">
      <c r="A7533">
        <v>17</v>
      </c>
      <c r="E7533" t="str">
        <f t="shared" si="254"/>
        <v>R</v>
      </c>
      <c r="F7533" t="str">
        <f t="shared" si="255"/>
        <v>17R</v>
      </c>
    </row>
    <row r="7534" spans="1:6" x14ac:dyDescent="0.2">
      <c r="A7534">
        <v>18</v>
      </c>
      <c r="E7534" t="str">
        <f t="shared" si="254"/>
        <v>S</v>
      </c>
      <c r="F7534" t="str">
        <f t="shared" si="255"/>
        <v>18S</v>
      </c>
    </row>
    <row r="7535" spans="1:6" x14ac:dyDescent="0.2">
      <c r="A7535">
        <v>19</v>
      </c>
      <c r="E7535" t="str">
        <f t="shared" si="254"/>
        <v>T</v>
      </c>
      <c r="F7535" t="str">
        <f t="shared" si="255"/>
        <v>19T</v>
      </c>
    </row>
    <row r="7536" spans="1:6" x14ac:dyDescent="0.2">
      <c r="A7536">
        <v>20</v>
      </c>
      <c r="E7536" t="str">
        <f t="shared" ref="E7536:E7599" si="256">E7510</f>
        <v>U</v>
      </c>
      <c r="F7536" t="str">
        <f t="shared" si="255"/>
        <v>20U</v>
      </c>
    </row>
    <row r="7537" spans="1:6" x14ac:dyDescent="0.2">
      <c r="A7537">
        <v>21</v>
      </c>
      <c r="E7537" t="str">
        <f t="shared" si="256"/>
        <v>V</v>
      </c>
      <c r="F7537" t="str">
        <f t="shared" si="255"/>
        <v>21V</v>
      </c>
    </row>
    <row r="7538" spans="1:6" x14ac:dyDescent="0.2">
      <c r="A7538">
        <v>22</v>
      </c>
      <c r="E7538" t="str">
        <f t="shared" si="256"/>
        <v>W</v>
      </c>
      <c r="F7538" t="str">
        <f t="shared" si="255"/>
        <v>22W</v>
      </c>
    </row>
    <row r="7539" spans="1:6" x14ac:dyDescent="0.2">
      <c r="A7539">
        <v>23</v>
      </c>
      <c r="E7539" t="str">
        <f t="shared" si="256"/>
        <v>X</v>
      </c>
      <c r="F7539" t="str">
        <f t="shared" si="255"/>
        <v>23X</v>
      </c>
    </row>
    <row r="7540" spans="1:6" x14ac:dyDescent="0.2">
      <c r="A7540">
        <v>24</v>
      </c>
      <c r="E7540" t="str">
        <f t="shared" si="256"/>
        <v>Y</v>
      </c>
      <c r="F7540" t="str">
        <f t="shared" si="255"/>
        <v>24Y</v>
      </c>
    </row>
    <row r="7541" spans="1:6" x14ac:dyDescent="0.2">
      <c r="A7541">
        <v>25</v>
      </c>
      <c r="E7541" t="str">
        <f t="shared" si="256"/>
        <v>Z</v>
      </c>
      <c r="F7541" t="str">
        <f t="shared" si="255"/>
        <v>25Z</v>
      </c>
    </row>
    <row r="7542" spans="1:6" x14ac:dyDescent="0.2">
      <c r="A7542">
        <v>0</v>
      </c>
      <c r="E7542" t="str">
        <f t="shared" si="256"/>
        <v>A</v>
      </c>
      <c r="F7542" t="str">
        <f t="shared" si="255"/>
        <v>0A</v>
      </c>
    </row>
    <row r="7543" spans="1:6" x14ac:dyDescent="0.2">
      <c r="A7543">
        <v>1</v>
      </c>
      <c r="E7543" t="str">
        <f t="shared" si="256"/>
        <v>B</v>
      </c>
      <c r="F7543" t="str">
        <f t="shared" si="255"/>
        <v>1B</v>
      </c>
    </row>
    <row r="7544" spans="1:6" x14ac:dyDescent="0.2">
      <c r="A7544">
        <v>2</v>
      </c>
      <c r="E7544" t="str">
        <f t="shared" si="256"/>
        <v>C</v>
      </c>
      <c r="F7544" t="str">
        <f t="shared" si="255"/>
        <v>2C</v>
      </c>
    </row>
    <row r="7545" spans="1:6" x14ac:dyDescent="0.2">
      <c r="A7545">
        <v>3</v>
      </c>
      <c r="E7545" t="str">
        <f t="shared" si="256"/>
        <v>D</v>
      </c>
      <c r="F7545" t="str">
        <f t="shared" si="255"/>
        <v>3D</v>
      </c>
    </row>
    <row r="7546" spans="1:6" x14ac:dyDescent="0.2">
      <c r="A7546">
        <v>4</v>
      </c>
      <c r="E7546" t="str">
        <f t="shared" si="256"/>
        <v>E</v>
      </c>
      <c r="F7546" t="str">
        <f t="shared" si="255"/>
        <v>4E</v>
      </c>
    </row>
    <row r="7547" spans="1:6" x14ac:dyDescent="0.2">
      <c r="A7547">
        <v>5</v>
      </c>
      <c r="E7547" t="str">
        <f t="shared" si="256"/>
        <v>F</v>
      </c>
      <c r="F7547" t="str">
        <f t="shared" si="255"/>
        <v>5F</v>
      </c>
    </row>
    <row r="7548" spans="1:6" x14ac:dyDescent="0.2">
      <c r="A7548">
        <v>6</v>
      </c>
      <c r="E7548" t="str">
        <f t="shared" si="256"/>
        <v>G</v>
      </c>
      <c r="F7548" t="str">
        <f t="shared" si="255"/>
        <v>6G</v>
      </c>
    </row>
    <row r="7549" spans="1:6" x14ac:dyDescent="0.2">
      <c r="A7549">
        <v>7</v>
      </c>
      <c r="E7549" t="str">
        <f t="shared" si="256"/>
        <v>H</v>
      </c>
      <c r="F7549" t="str">
        <f t="shared" si="255"/>
        <v>7H</v>
      </c>
    </row>
    <row r="7550" spans="1:6" x14ac:dyDescent="0.2">
      <c r="A7550">
        <v>8</v>
      </c>
      <c r="E7550" t="str">
        <f t="shared" si="256"/>
        <v>I</v>
      </c>
      <c r="F7550" t="str">
        <f t="shared" si="255"/>
        <v>8I</v>
      </c>
    </row>
    <row r="7551" spans="1:6" x14ac:dyDescent="0.2">
      <c r="A7551">
        <v>9</v>
      </c>
      <c r="E7551" t="str">
        <f t="shared" si="256"/>
        <v>J</v>
      </c>
      <c r="F7551" t="str">
        <f t="shared" si="255"/>
        <v>9J</v>
      </c>
    </row>
    <row r="7552" spans="1:6" x14ac:dyDescent="0.2">
      <c r="A7552">
        <v>10</v>
      </c>
      <c r="E7552" t="str">
        <f t="shared" si="256"/>
        <v>K</v>
      </c>
      <c r="F7552" t="str">
        <f t="shared" si="255"/>
        <v>10K</v>
      </c>
    </row>
    <row r="7553" spans="1:6" x14ac:dyDescent="0.2">
      <c r="A7553">
        <v>11</v>
      </c>
      <c r="E7553" t="str">
        <f t="shared" si="256"/>
        <v>L</v>
      </c>
      <c r="F7553" t="str">
        <f t="shared" si="255"/>
        <v>11L</v>
      </c>
    </row>
    <row r="7554" spans="1:6" x14ac:dyDescent="0.2">
      <c r="A7554">
        <v>12</v>
      </c>
      <c r="E7554" t="str">
        <f t="shared" si="256"/>
        <v>M</v>
      </c>
      <c r="F7554" t="str">
        <f t="shared" si="255"/>
        <v>12M</v>
      </c>
    </row>
    <row r="7555" spans="1:6" x14ac:dyDescent="0.2">
      <c r="A7555">
        <v>13</v>
      </c>
      <c r="E7555" t="str">
        <f t="shared" si="256"/>
        <v>N</v>
      </c>
      <c r="F7555" t="str">
        <f t="shared" si="255"/>
        <v>13N</v>
      </c>
    </row>
    <row r="7556" spans="1:6" x14ac:dyDescent="0.2">
      <c r="A7556">
        <v>14</v>
      </c>
      <c r="E7556" t="str">
        <f t="shared" si="256"/>
        <v>O</v>
      </c>
      <c r="F7556" t="str">
        <f t="shared" si="255"/>
        <v>14O</v>
      </c>
    </row>
    <row r="7557" spans="1:6" x14ac:dyDescent="0.2">
      <c r="A7557">
        <v>15</v>
      </c>
      <c r="E7557" t="str">
        <f t="shared" si="256"/>
        <v>P</v>
      </c>
      <c r="F7557" t="str">
        <f t="shared" si="255"/>
        <v>15P</v>
      </c>
    </row>
    <row r="7558" spans="1:6" x14ac:dyDescent="0.2">
      <c r="A7558">
        <v>16</v>
      </c>
      <c r="E7558" t="str">
        <f t="shared" si="256"/>
        <v>Q</v>
      </c>
      <c r="F7558" t="str">
        <f t="shared" si="255"/>
        <v>16Q</v>
      </c>
    </row>
    <row r="7559" spans="1:6" x14ac:dyDescent="0.2">
      <c r="A7559">
        <v>17</v>
      </c>
      <c r="E7559" t="str">
        <f t="shared" si="256"/>
        <v>R</v>
      </c>
      <c r="F7559" t="str">
        <f t="shared" si="255"/>
        <v>17R</v>
      </c>
    </row>
    <row r="7560" spans="1:6" x14ac:dyDescent="0.2">
      <c r="A7560">
        <v>18</v>
      </c>
      <c r="E7560" t="str">
        <f t="shared" si="256"/>
        <v>S</v>
      </c>
      <c r="F7560" t="str">
        <f t="shared" si="255"/>
        <v>18S</v>
      </c>
    </row>
    <row r="7561" spans="1:6" x14ac:dyDescent="0.2">
      <c r="A7561">
        <v>19</v>
      </c>
      <c r="E7561" t="str">
        <f t="shared" si="256"/>
        <v>T</v>
      </c>
      <c r="F7561" t="str">
        <f t="shared" si="255"/>
        <v>19T</v>
      </c>
    </row>
    <row r="7562" spans="1:6" x14ac:dyDescent="0.2">
      <c r="A7562">
        <v>20</v>
      </c>
      <c r="E7562" t="str">
        <f t="shared" si="256"/>
        <v>U</v>
      </c>
      <c r="F7562" t="str">
        <f t="shared" si="255"/>
        <v>20U</v>
      </c>
    </row>
    <row r="7563" spans="1:6" x14ac:dyDescent="0.2">
      <c r="A7563">
        <v>21</v>
      </c>
      <c r="E7563" t="str">
        <f t="shared" si="256"/>
        <v>V</v>
      </c>
      <c r="F7563" t="str">
        <f t="shared" si="255"/>
        <v>21V</v>
      </c>
    </row>
    <row r="7564" spans="1:6" x14ac:dyDescent="0.2">
      <c r="A7564">
        <v>22</v>
      </c>
      <c r="E7564" t="str">
        <f t="shared" si="256"/>
        <v>W</v>
      </c>
      <c r="F7564" t="str">
        <f t="shared" si="255"/>
        <v>22W</v>
      </c>
    </row>
    <row r="7565" spans="1:6" x14ac:dyDescent="0.2">
      <c r="A7565">
        <v>23</v>
      </c>
      <c r="E7565" t="str">
        <f t="shared" si="256"/>
        <v>X</v>
      </c>
      <c r="F7565" t="str">
        <f t="shared" si="255"/>
        <v>23X</v>
      </c>
    </row>
    <row r="7566" spans="1:6" x14ac:dyDescent="0.2">
      <c r="A7566">
        <v>24</v>
      </c>
      <c r="E7566" t="str">
        <f t="shared" si="256"/>
        <v>Y</v>
      </c>
      <c r="F7566" t="str">
        <f t="shared" si="255"/>
        <v>24Y</v>
      </c>
    </row>
    <row r="7567" spans="1:6" x14ac:dyDescent="0.2">
      <c r="A7567">
        <v>25</v>
      </c>
      <c r="E7567" t="str">
        <f t="shared" si="256"/>
        <v>Z</v>
      </c>
      <c r="F7567" t="str">
        <f t="shared" si="255"/>
        <v>25Z</v>
      </c>
    </row>
    <row r="7568" spans="1:6" x14ac:dyDescent="0.2">
      <c r="A7568">
        <v>0</v>
      </c>
      <c r="E7568" t="str">
        <f t="shared" si="256"/>
        <v>A</v>
      </c>
      <c r="F7568" t="str">
        <f t="shared" si="255"/>
        <v>0A</v>
      </c>
    </row>
    <row r="7569" spans="1:6" x14ac:dyDescent="0.2">
      <c r="A7569">
        <v>1</v>
      </c>
      <c r="E7569" t="str">
        <f t="shared" si="256"/>
        <v>B</v>
      </c>
      <c r="F7569" t="str">
        <f t="shared" si="255"/>
        <v>1B</v>
      </c>
    </row>
    <row r="7570" spans="1:6" x14ac:dyDescent="0.2">
      <c r="A7570">
        <v>2</v>
      </c>
      <c r="E7570" t="str">
        <f t="shared" si="256"/>
        <v>C</v>
      </c>
      <c r="F7570" t="str">
        <f t="shared" si="255"/>
        <v>2C</v>
      </c>
    </row>
    <row r="7571" spans="1:6" x14ac:dyDescent="0.2">
      <c r="A7571">
        <v>3</v>
      </c>
      <c r="E7571" t="str">
        <f t="shared" si="256"/>
        <v>D</v>
      </c>
      <c r="F7571" t="str">
        <f t="shared" si="255"/>
        <v>3D</v>
      </c>
    </row>
    <row r="7572" spans="1:6" x14ac:dyDescent="0.2">
      <c r="A7572">
        <v>4</v>
      </c>
      <c r="E7572" t="str">
        <f t="shared" si="256"/>
        <v>E</v>
      </c>
      <c r="F7572" t="str">
        <f t="shared" si="255"/>
        <v>4E</v>
      </c>
    </row>
    <row r="7573" spans="1:6" x14ac:dyDescent="0.2">
      <c r="A7573">
        <v>5</v>
      </c>
      <c r="E7573" t="str">
        <f t="shared" si="256"/>
        <v>F</v>
      </c>
      <c r="F7573" t="str">
        <f t="shared" si="255"/>
        <v>5F</v>
      </c>
    </row>
    <row r="7574" spans="1:6" x14ac:dyDescent="0.2">
      <c r="A7574">
        <v>6</v>
      </c>
      <c r="E7574" t="str">
        <f t="shared" si="256"/>
        <v>G</v>
      </c>
      <c r="F7574" t="str">
        <f t="shared" ref="F7574:F7637" si="257">A7574&amp;C7574&amp;E7574</f>
        <v>6G</v>
      </c>
    </row>
    <row r="7575" spans="1:6" x14ac:dyDescent="0.2">
      <c r="A7575">
        <v>7</v>
      </c>
      <c r="E7575" t="str">
        <f t="shared" si="256"/>
        <v>H</v>
      </c>
      <c r="F7575" t="str">
        <f t="shared" si="257"/>
        <v>7H</v>
      </c>
    </row>
    <row r="7576" spans="1:6" x14ac:dyDescent="0.2">
      <c r="A7576">
        <v>8</v>
      </c>
      <c r="E7576" t="str">
        <f t="shared" si="256"/>
        <v>I</v>
      </c>
      <c r="F7576" t="str">
        <f t="shared" si="257"/>
        <v>8I</v>
      </c>
    </row>
    <row r="7577" spans="1:6" x14ac:dyDescent="0.2">
      <c r="A7577">
        <v>9</v>
      </c>
      <c r="E7577" t="str">
        <f t="shared" si="256"/>
        <v>J</v>
      </c>
      <c r="F7577" t="str">
        <f t="shared" si="257"/>
        <v>9J</v>
      </c>
    </row>
    <row r="7578" spans="1:6" x14ac:dyDescent="0.2">
      <c r="A7578">
        <v>10</v>
      </c>
      <c r="E7578" t="str">
        <f t="shared" si="256"/>
        <v>K</v>
      </c>
      <c r="F7578" t="str">
        <f t="shared" si="257"/>
        <v>10K</v>
      </c>
    </row>
    <row r="7579" spans="1:6" x14ac:dyDescent="0.2">
      <c r="A7579">
        <v>11</v>
      </c>
      <c r="E7579" t="str">
        <f t="shared" si="256"/>
        <v>L</v>
      </c>
      <c r="F7579" t="str">
        <f t="shared" si="257"/>
        <v>11L</v>
      </c>
    </row>
    <row r="7580" spans="1:6" x14ac:dyDescent="0.2">
      <c r="A7580">
        <v>12</v>
      </c>
      <c r="E7580" t="str">
        <f t="shared" si="256"/>
        <v>M</v>
      </c>
      <c r="F7580" t="str">
        <f t="shared" si="257"/>
        <v>12M</v>
      </c>
    </row>
    <row r="7581" spans="1:6" x14ac:dyDescent="0.2">
      <c r="A7581">
        <v>13</v>
      </c>
      <c r="E7581" t="str">
        <f t="shared" si="256"/>
        <v>N</v>
      </c>
      <c r="F7581" t="str">
        <f t="shared" si="257"/>
        <v>13N</v>
      </c>
    </row>
    <row r="7582" spans="1:6" x14ac:dyDescent="0.2">
      <c r="A7582">
        <v>14</v>
      </c>
      <c r="E7582" t="str">
        <f t="shared" si="256"/>
        <v>O</v>
      </c>
      <c r="F7582" t="str">
        <f t="shared" si="257"/>
        <v>14O</v>
      </c>
    </row>
    <row r="7583" spans="1:6" x14ac:dyDescent="0.2">
      <c r="A7583">
        <v>15</v>
      </c>
      <c r="E7583" t="str">
        <f t="shared" si="256"/>
        <v>P</v>
      </c>
      <c r="F7583" t="str">
        <f t="shared" si="257"/>
        <v>15P</v>
      </c>
    </row>
    <row r="7584" spans="1:6" x14ac:dyDescent="0.2">
      <c r="A7584">
        <v>16</v>
      </c>
      <c r="E7584" t="str">
        <f t="shared" si="256"/>
        <v>Q</v>
      </c>
      <c r="F7584" t="str">
        <f t="shared" si="257"/>
        <v>16Q</v>
      </c>
    </row>
    <row r="7585" spans="1:6" x14ac:dyDescent="0.2">
      <c r="A7585">
        <v>17</v>
      </c>
      <c r="E7585" t="str">
        <f t="shared" si="256"/>
        <v>R</v>
      </c>
      <c r="F7585" t="str">
        <f t="shared" si="257"/>
        <v>17R</v>
      </c>
    </row>
    <row r="7586" spans="1:6" x14ac:dyDescent="0.2">
      <c r="A7586">
        <v>18</v>
      </c>
      <c r="E7586" t="str">
        <f t="shared" si="256"/>
        <v>S</v>
      </c>
      <c r="F7586" t="str">
        <f t="shared" si="257"/>
        <v>18S</v>
      </c>
    </row>
    <row r="7587" spans="1:6" x14ac:dyDescent="0.2">
      <c r="A7587">
        <v>19</v>
      </c>
      <c r="E7587" t="str">
        <f t="shared" si="256"/>
        <v>T</v>
      </c>
      <c r="F7587" t="str">
        <f t="shared" si="257"/>
        <v>19T</v>
      </c>
    </row>
    <row r="7588" spans="1:6" x14ac:dyDescent="0.2">
      <c r="A7588">
        <v>20</v>
      </c>
      <c r="E7588" t="str">
        <f t="shared" si="256"/>
        <v>U</v>
      </c>
      <c r="F7588" t="str">
        <f t="shared" si="257"/>
        <v>20U</v>
      </c>
    </row>
    <row r="7589" spans="1:6" x14ac:dyDescent="0.2">
      <c r="A7589">
        <v>21</v>
      </c>
      <c r="E7589" t="str">
        <f t="shared" si="256"/>
        <v>V</v>
      </c>
      <c r="F7589" t="str">
        <f t="shared" si="257"/>
        <v>21V</v>
      </c>
    </row>
    <row r="7590" spans="1:6" x14ac:dyDescent="0.2">
      <c r="A7590">
        <v>22</v>
      </c>
      <c r="E7590" t="str">
        <f t="shared" si="256"/>
        <v>W</v>
      </c>
      <c r="F7590" t="str">
        <f t="shared" si="257"/>
        <v>22W</v>
      </c>
    </row>
    <row r="7591" spans="1:6" x14ac:dyDescent="0.2">
      <c r="A7591">
        <v>23</v>
      </c>
      <c r="E7591" t="str">
        <f t="shared" si="256"/>
        <v>X</v>
      </c>
      <c r="F7591" t="str">
        <f t="shared" si="257"/>
        <v>23X</v>
      </c>
    </row>
    <row r="7592" spans="1:6" x14ac:dyDescent="0.2">
      <c r="A7592">
        <v>24</v>
      </c>
      <c r="E7592" t="str">
        <f t="shared" si="256"/>
        <v>Y</v>
      </c>
      <c r="F7592" t="str">
        <f t="shared" si="257"/>
        <v>24Y</v>
      </c>
    </row>
    <row r="7593" spans="1:6" x14ac:dyDescent="0.2">
      <c r="A7593">
        <v>25</v>
      </c>
      <c r="E7593" t="str">
        <f t="shared" si="256"/>
        <v>Z</v>
      </c>
      <c r="F7593" t="str">
        <f t="shared" si="257"/>
        <v>25Z</v>
      </c>
    </row>
    <row r="7594" spans="1:6" x14ac:dyDescent="0.2">
      <c r="A7594">
        <v>0</v>
      </c>
      <c r="E7594" t="str">
        <f t="shared" si="256"/>
        <v>A</v>
      </c>
      <c r="F7594" t="str">
        <f t="shared" si="257"/>
        <v>0A</v>
      </c>
    </row>
    <row r="7595" spans="1:6" x14ac:dyDescent="0.2">
      <c r="A7595">
        <v>1</v>
      </c>
      <c r="E7595" t="str">
        <f t="shared" si="256"/>
        <v>B</v>
      </c>
      <c r="F7595" t="str">
        <f t="shared" si="257"/>
        <v>1B</v>
      </c>
    </row>
    <row r="7596" spans="1:6" x14ac:dyDescent="0.2">
      <c r="A7596">
        <v>2</v>
      </c>
      <c r="E7596" t="str">
        <f t="shared" si="256"/>
        <v>C</v>
      </c>
      <c r="F7596" t="str">
        <f t="shared" si="257"/>
        <v>2C</v>
      </c>
    </row>
    <row r="7597" spans="1:6" x14ac:dyDescent="0.2">
      <c r="A7597">
        <v>3</v>
      </c>
      <c r="E7597" t="str">
        <f t="shared" si="256"/>
        <v>D</v>
      </c>
      <c r="F7597" t="str">
        <f t="shared" si="257"/>
        <v>3D</v>
      </c>
    </row>
    <row r="7598" spans="1:6" x14ac:dyDescent="0.2">
      <c r="A7598">
        <v>4</v>
      </c>
      <c r="E7598" t="str">
        <f t="shared" si="256"/>
        <v>E</v>
      </c>
      <c r="F7598" t="str">
        <f t="shared" si="257"/>
        <v>4E</v>
      </c>
    </row>
    <row r="7599" spans="1:6" x14ac:dyDescent="0.2">
      <c r="A7599">
        <v>5</v>
      </c>
      <c r="E7599" t="str">
        <f t="shared" si="256"/>
        <v>F</v>
      </c>
      <c r="F7599" t="str">
        <f t="shared" si="257"/>
        <v>5F</v>
      </c>
    </row>
    <row r="7600" spans="1:6" x14ac:dyDescent="0.2">
      <c r="A7600">
        <v>6</v>
      </c>
      <c r="E7600" t="str">
        <f t="shared" ref="E7600:E7663" si="258">E7574</f>
        <v>G</v>
      </c>
      <c r="F7600" t="str">
        <f t="shared" si="257"/>
        <v>6G</v>
      </c>
    </row>
    <row r="7601" spans="1:6" x14ac:dyDescent="0.2">
      <c r="A7601">
        <v>7</v>
      </c>
      <c r="E7601" t="str">
        <f t="shared" si="258"/>
        <v>H</v>
      </c>
      <c r="F7601" t="str">
        <f t="shared" si="257"/>
        <v>7H</v>
      </c>
    </row>
    <row r="7602" spans="1:6" x14ac:dyDescent="0.2">
      <c r="A7602">
        <v>8</v>
      </c>
      <c r="E7602" t="str">
        <f t="shared" si="258"/>
        <v>I</v>
      </c>
      <c r="F7602" t="str">
        <f t="shared" si="257"/>
        <v>8I</v>
      </c>
    </row>
    <row r="7603" spans="1:6" x14ac:dyDescent="0.2">
      <c r="A7603">
        <v>9</v>
      </c>
      <c r="E7603" t="str">
        <f t="shared" si="258"/>
        <v>J</v>
      </c>
      <c r="F7603" t="str">
        <f t="shared" si="257"/>
        <v>9J</v>
      </c>
    </row>
    <row r="7604" spans="1:6" x14ac:dyDescent="0.2">
      <c r="A7604">
        <v>10</v>
      </c>
      <c r="E7604" t="str">
        <f t="shared" si="258"/>
        <v>K</v>
      </c>
      <c r="F7604" t="str">
        <f t="shared" si="257"/>
        <v>10K</v>
      </c>
    </row>
    <row r="7605" spans="1:6" x14ac:dyDescent="0.2">
      <c r="A7605">
        <v>11</v>
      </c>
      <c r="E7605" t="str">
        <f t="shared" si="258"/>
        <v>L</v>
      </c>
      <c r="F7605" t="str">
        <f t="shared" si="257"/>
        <v>11L</v>
      </c>
    </row>
    <row r="7606" spans="1:6" x14ac:dyDescent="0.2">
      <c r="A7606">
        <v>12</v>
      </c>
      <c r="E7606" t="str">
        <f t="shared" si="258"/>
        <v>M</v>
      </c>
      <c r="F7606" t="str">
        <f t="shared" si="257"/>
        <v>12M</v>
      </c>
    </row>
    <row r="7607" spans="1:6" x14ac:dyDescent="0.2">
      <c r="A7607">
        <v>13</v>
      </c>
      <c r="E7607" t="str">
        <f t="shared" si="258"/>
        <v>N</v>
      </c>
      <c r="F7607" t="str">
        <f t="shared" si="257"/>
        <v>13N</v>
      </c>
    </row>
    <row r="7608" spans="1:6" x14ac:dyDescent="0.2">
      <c r="A7608">
        <v>14</v>
      </c>
      <c r="E7608" t="str">
        <f t="shared" si="258"/>
        <v>O</v>
      </c>
      <c r="F7608" t="str">
        <f t="shared" si="257"/>
        <v>14O</v>
      </c>
    </row>
    <row r="7609" spans="1:6" x14ac:dyDescent="0.2">
      <c r="A7609">
        <v>15</v>
      </c>
      <c r="E7609" t="str">
        <f t="shared" si="258"/>
        <v>P</v>
      </c>
      <c r="F7609" t="str">
        <f t="shared" si="257"/>
        <v>15P</v>
      </c>
    </row>
    <row r="7610" spans="1:6" x14ac:dyDescent="0.2">
      <c r="A7610">
        <v>16</v>
      </c>
      <c r="E7610" t="str">
        <f t="shared" si="258"/>
        <v>Q</v>
      </c>
      <c r="F7610" t="str">
        <f t="shared" si="257"/>
        <v>16Q</v>
      </c>
    </row>
    <row r="7611" spans="1:6" x14ac:dyDescent="0.2">
      <c r="A7611">
        <v>17</v>
      </c>
      <c r="E7611" t="str">
        <f t="shared" si="258"/>
        <v>R</v>
      </c>
      <c r="F7611" t="str">
        <f t="shared" si="257"/>
        <v>17R</v>
      </c>
    </row>
    <row r="7612" spans="1:6" x14ac:dyDescent="0.2">
      <c r="A7612">
        <v>18</v>
      </c>
      <c r="E7612" t="str">
        <f t="shared" si="258"/>
        <v>S</v>
      </c>
      <c r="F7612" t="str">
        <f t="shared" si="257"/>
        <v>18S</v>
      </c>
    </row>
    <row r="7613" spans="1:6" x14ac:dyDescent="0.2">
      <c r="A7613">
        <v>19</v>
      </c>
      <c r="E7613" t="str">
        <f t="shared" si="258"/>
        <v>T</v>
      </c>
      <c r="F7613" t="str">
        <f t="shared" si="257"/>
        <v>19T</v>
      </c>
    </row>
    <row r="7614" spans="1:6" x14ac:dyDescent="0.2">
      <c r="A7614">
        <v>20</v>
      </c>
      <c r="E7614" t="str">
        <f t="shared" si="258"/>
        <v>U</v>
      </c>
      <c r="F7614" t="str">
        <f t="shared" si="257"/>
        <v>20U</v>
      </c>
    </row>
    <row r="7615" spans="1:6" x14ac:dyDescent="0.2">
      <c r="A7615">
        <v>21</v>
      </c>
      <c r="E7615" t="str">
        <f t="shared" si="258"/>
        <v>V</v>
      </c>
      <c r="F7615" t="str">
        <f t="shared" si="257"/>
        <v>21V</v>
      </c>
    </row>
    <row r="7616" spans="1:6" x14ac:dyDescent="0.2">
      <c r="A7616">
        <v>22</v>
      </c>
      <c r="E7616" t="str">
        <f t="shared" si="258"/>
        <v>W</v>
      </c>
      <c r="F7616" t="str">
        <f t="shared" si="257"/>
        <v>22W</v>
      </c>
    </row>
    <row r="7617" spans="1:6" x14ac:dyDescent="0.2">
      <c r="A7617">
        <v>23</v>
      </c>
      <c r="E7617" t="str">
        <f t="shared" si="258"/>
        <v>X</v>
      </c>
      <c r="F7617" t="str">
        <f t="shared" si="257"/>
        <v>23X</v>
      </c>
    </row>
    <row r="7618" spans="1:6" x14ac:dyDescent="0.2">
      <c r="A7618">
        <v>24</v>
      </c>
      <c r="E7618" t="str">
        <f t="shared" si="258"/>
        <v>Y</v>
      </c>
      <c r="F7618" t="str">
        <f t="shared" si="257"/>
        <v>24Y</v>
      </c>
    </row>
    <row r="7619" spans="1:6" x14ac:dyDescent="0.2">
      <c r="A7619">
        <v>25</v>
      </c>
      <c r="E7619" t="str">
        <f t="shared" si="258"/>
        <v>Z</v>
      </c>
      <c r="F7619" t="str">
        <f t="shared" si="257"/>
        <v>25Z</v>
      </c>
    </row>
    <row r="7620" spans="1:6" x14ac:dyDescent="0.2">
      <c r="A7620">
        <v>0</v>
      </c>
      <c r="E7620" t="str">
        <f t="shared" si="258"/>
        <v>A</v>
      </c>
      <c r="F7620" t="str">
        <f t="shared" si="257"/>
        <v>0A</v>
      </c>
    </row>
    <row r="7621" spans="1:6" x14ac:dyDescent="0.2">
      <c r="A7621">
        <v>1</v>
      </c>
      <c r="E7621" t="str">
        <f t="shared" si="258"/>
        <v>B</v>
      </c>
      <c r="F7621" t="str">
        <f t="shared" si="257"/>
        <v>1B</v>
      </c>
    </row>
    <row r="7622" spans="1:6" x14ac:dyDescent="0.2">
      <c r="A7622">
        <v>2</v>
      </c>
      <c r="E7622" t="str">
        <f t="shared" si="258"/>
        <v>C</v>
      </c>
      <c r="F7622" t="str">
        <f t="shared" si="257"/>
        <v>2C</v>
      </c>
    </row>
    <row r="7623" spans="1:6" x14ac:dyDescent="0.2">
      <c r="A7623">
        <v>3</v>
      </c>
      <c r="E7623" t="str">
        <f t="shared" si="258"/>
        <v>D</v>
      </c>
      <c r="F7623" t="str">
        <f t="shared" si="257"/>
        <v>3D</v>
      </c>
    </row>
    <row r="7624" spans="1:6" x14ac:dyDescent="0.2">
      <c r="A7624">
        <v>4</v>
      </c>
      <c r="E7624" t="str">
        <f t="shared" si="258"/>
        <v>E</v>
      </c>
      <c r="F7624" t="str">
        <f t="shared" si="257"/>
        <v>4E</v>
      </c>
    </row>
    <row r="7625" spans="1:6" x14ac:dyDescent="0.2">
      <c r="A7625">
        <v>5</v>
      </c>
      <c r="E7625" t="str">
        <f t="shared" si="258"/>
        <v>F</v>
      </c>
      <c r="F7625" t="str">
        <f t="shared" si="257"/>
        <v>5F</v>
      </c>
    </row>
    <row r="7626" spans="1:6" x14ac:dyDescent="0.2">
      <c r="A7626">
        <v>6</v>
      </c>
      <c r="E7626" t="str">
        <f t="shared" si="258"/>
        <v>G</v>
      </c>
      <c r="F7626" t="str">
        <f t="shared" si="257"/>
        <v>6G</v>
      </c>
    </row>
    <row r="7627" spans="1:6" x14ac:dyDescent="0.2">
      <c r="A7627">
        <v>7</v>
      </c>
      <c r="E7627" t="str">
        <f t="shared" si="258"/>
        <v>H</v>
      </c>
      <c r="F7627" t="str">
        <f t="shared" si="257"/>
        <v>7H</v>
      </c>
    </row>
    <row r="7628" spans="1:6" x14ac:dyDescent="0.2">
      <c r="A7628">
        <v>8</v>
      </c>
      <c r="E7628" t="str">
        <f t="shared" si="258"/>
        <v>I</v>
      </c>
      <c r="F7628" t="str">
        <f t="shared" si="257"/>
        <v>8I</v>
      </c>
    </row>
    <row r="7629" spans="1:6" x14ac:dyDescent="0.2">
      <c r="A7629">
        <v>9</v>
      </c>
      <c r="E7629" t="str">
        <f t="shared" si="258"/>
        <v>J</v>
      </c>
      <c r="F7629" t="str">
        <f t="shared" si="257"/>
        <v>9J</v>
      </c>
    </row>
    <row r="7630" spans="1:6" x14ac:dyDescent="0.2">
      <c r="A7630">
        <v>10</v>
      </c>
      <c r="E7630" t="str">
        <f t="shared" si="258"/>
        <v>K</v>
      </c>
      <c r="F7630" t="str">
        <f t="shared" si="257"/>
        <v>10K</v>
      </c>
    </row>
    <row r="7631" spans="1:6" x14ac:dyDescent="0.2">
      <c r="A7631">
        <v>11</v>
      </c>
      <c r="E7631" t="str">
        <f t="shared" si="258"/>
        <v>L</v>
      </c>
      <c r="F7631" t="str">
        <f t="shared" si="257"/>
        <v>11L</v>
      </c>
    </row>
    <row r="7632" spans="1:6" x14ac:dyDescent="0.2">
      <c r="A7632">
        <v>12</v>
      </c>
      <c r="E7632" t="str">
        <f t="shared" si="258"/>
        <v>M</v>
      </c>
      <c r="F7632" t="str">
        <f t="shared" si="257"/>
        <v>12M</v>
      </c>
    </row>
    <row r="7633" spans="1:6" x14ac:dyDescent="0.2">
      <c r="A7633">
        <v>13</v>
      </c>
      <c r="E7633" t="str">
        <f t="shared" si="258"/>
        <v>N</v>
      </c>
      <c r="F7633" t="str">
        <f t="shared" si="257"/>
        <v>13N</v>
      </c>
    </row>
    <row r="7634" spans="1:6" x14ac:dyDescent="0.2">
      <c r="A7634">
        <v>14</v>
      </c>
      <c r="E7634" t="str">
        <f t="shared" si="258"/>
        <v>O</v>
      </c>
      <c r="F7634" t="str">
        <f t="shared" si="257"/>
        <v>14O</v>
      </c>
    </row>
    <row r="7635" spans="1:6" x14ac:dyDescent="0.2">
      <c r="A7635">
        <v>15</v>
      </c>
      <c r="E7635" t="str">
        <f t="shared" si="258"/>
        <v>P</v>
      </c>
      <c r="F7635" t="str">
        <f t="shared" si="257"/>
        <v>15P</v>
      </c>
    </row>
    <row r="7636" spans="1:6" x14ac:dyDescent="0.2">
      <c r="A7636">
        <v>16</v>
      </c>
      <c r="E7636" t="str">
        <f t="shared" si="258"/>
        <v>Q</v>
      </c>
      <c r="F7636" t="str">
        <f t="shared" si="257"/>
        <v>16Q</v>
      </c>
    </row>
    <row r="7637" spans="1:6" x14ac:dyDescent="0.2">
      <c r="A7637">
        <v>17</v>
      </c>
      <c r="E7637" t="str">
        <f t="shared" si="258"/>
        <v>R</v>
      </c>
      <c r="F7637" t="str">
        <f t="shared" si="257"/>
        <v>17R</v>
      </c>
    </row>
    <row r="7638" spans="1:6" x14ac:dyDescent="0.2">
      <c r="A7638">
        <v>18</v>
      </c>
      <c r="E7638" t="str">
        <f t="shared" si="258"/>
        <v>S</v>
      </c>
      <c r="F7638" t="str">
        <f t="shared" ref="F7638:F7701" si="259">A7638&amp;C7638&amp;E7638</f>
        <v>18S</v>
      </c>
    </row>
    <row r="7639" spans="1:6" x14ac:dyDescent="0.2">
      <c r="A7639">
        <v>19</v>
      </c>
      <c r="E7639" t="str">
        <f t="shared" si="258"/>
        <v>T</v>
      </c>
      <c r="F7639" t="str">
        <f t="shared" si="259"/>
        <v>19T</v>
      </c>
    </row>
    <row r="7640" spans="1:6" x14ac:dyDescent="0.2">
      <c r="A7640">
        <v>20</v>
      </c>
      <c r="E7640" t="str">
        <f t="shared" si="258"/>
        <v>U</v>
      </c>
      <c r="F7640" t="str">
        <f t="shared" si="259"/>
        <v>20U</v>
      </c>
    </row>
    <row r="7641" spans="1:6" x14ac:dyDescent="0.2">
      <c r="A7641">
        <v>21</v>
      </c>
      <c r="E7641" t="str">
        <f t="shared" si="258"/>
        <v>V</v>
      </c>
      <c r="F7641" t="str">
        <f t="shared" si="259"/>
        <v>21V</v>
      </c>
    </row>
    <row r="7642" spans="1:6" x14ac:dyDescent="0.2">
      <c r="A7642">
        <v>22</v>
      </c>
      <c r="E7642" t="str">
        <f t="shared" si="258"/>
        <v>W</v>
      </c>
      <c r="F7642" t="str">
        <f t="shared" si="259"/>
        <v>22W</v>
      </c>
    </row>
    <row r="7643" spans="1:6" x14ac:dyDescent="0.2">
      <c r="A7643">
        <v>23</v>
      </c>
      <c r="E7643" t="str">
        <f t="shared" si="258"/>
        <v>X</v>
      </c>
      <c r="F7643" t="str">
        <f t="shared" si="259"/>
        <v>23X</v>
      </c>
    </row>
    <row r="7644" spans="1:6" x14ac:dyDescent="0.2">
      <c r="A7644">
        <v>24</v>
      </c>
      <c r="E7644" t="str">
        <f t="shared" si="258"/>
        <v>Y</v>
      </c>
      <c r="F7644" t="str">
        <f t="shared" si="259"/>
        <v>24Y</v>
      </c>
    </row>
    <row r="7645" spans="1:6" x14ac:dyDescent="0.2">
      <c r="A7645">
        <v>25</v>
      </c>
      <c r="E7645" t="str">
        <f t="shared" si="258"/>
        <v>Z</v>
      </c>
      <c r="F7645" t="str">
        <f t="shared" si="259"/>
        <v>25Z</v>
      </c>
    </row>
    <row r="7646" spans="1:6" x14ac:dyDescent="0.2">
      <c r="A7646">
        <v>0</v>
      </c>
      <c r="E7646" t="str">
        <f t="shared" si="258"/>
        <v>A</v>
      </c>
      <c r="F7646" t="str">
        <f t="shared" si="259"/>
        <v>0A</v>
      </c>
    </row>
    <row r="7647" spans="1:6" x14ac:dyDescent="0.2">
      <c r="A7647">
        <v>1</v>
      </c>
      <c r="E7647" t="str">
        <f t="shared" si="258"/>
        <v>B</v>
      </c>
      <c r="F7647" t="str">
        <f t="shared" si="259"/>
        <v>1B</v>
      </c>
    </row>
    <row r="7648" spans="1:6" x14ac:dyDescent="0.2">
      <c r="A7648">
        <v>2</v>
      </c>
      <c r="E7648" t="str">
        <f t="shared" si="258"/>
        <v>C</v>
      </c>
      <c r="F7648" t="str">
        <f t="shared" si="259"/>
        <v>2C</v>
      </c>
    </row>
    <row r="7649" spans="1:6" x14ac:dyDescent="0.2">
      <c r="A7649">
        <v>3</v>
      </c>
      <c r="E7649" t="str">
        <f t="shared" si="258"/>
        <v>D</v>
      </c>
      <c r="F7649" t="str">
        <f t="shared" si="259"/>
        <v>3D</v>
      </c>
    </row>
    <row r="7650" spans="1:6" x14ac:dyDescent="0.2">
      <c r="A7650">
        <v>4</v>
      </c>
      <c r="E7650" t="str">
        <f t="shared" si="258"/>
        <v>E</v>
      </c>
      <c r="F7650" t="str">
        <f t="shared" si="259"/>
        <v>4E</v>
      </c>
    </row>
    <row r="7651" spans="1:6" x14ac:dyDescent="0.2">
      <c r="A7651">
        <v>5</v>
      </c>
      <c r="E7651" t="str">
        <f t="shared" si="258"/>
        <v>F</v>
      </c>
      <c r="F7651" t="str">
        <f t="shared" si="259"/>
        <v>5F</v>
      </c>
    </row>
    <row r="7652" spans="1:6" x14ac:dyDescent="0.2">
      <c r="A7652">
        <v>6</v>
      </c>
      <c r="E7652" t="str">
        <f t="shared" si="258"/>
        <v>G</v>
      </c>
      <c r="F7652" t="str">
        <f t="shared" si="259"/>
        <v>6G</v>
      </c>
    </row>
    <row r="7653" spans="1:6" x14ac:dyDescent="0.2">
      <c r="A7653">
        <v>7</v>
      </c>
      <c r="E7653" t="str">
        <f t="shared" si="258"/>
        <v>H</v>
      </c>
      <c r="F7653" t="str">
        <f t="shared" si="259"/>
        <v>7H</v>
      </c>
    </row>
    <row r="7654" spans="1:6" x14ac:dyDescent="0.2">
      <c r="A7654">
        <v>8</v>
      </c>
      <c r="E7654" t="str">
        <f t="shared" si="258"/>
        <v>I</v>
      </c>
      <c r="F7654" t="str">
        <f t="shared" si="259"/>
        <v>8I</v>
      </c>
    </row>
    <row r="7655" spans="1:6" x14ac:dyDescent="0.2">
      <c r="A7655">
        <v>9</v>
      </c>
      <c r="E7655" t="str">
        <f t="shared" si="258"/>
        <v>J</v>
      </c>
      <c r="F7655" t="str">
        <f t="shared" si="259"/>
        <v>9J</v>
      </c>
    </row>
    <row r="7656" spans="1:6" x14ac:dyDescent="0.2">
      <c r="A7656">
        <v>10</v>
      </c>
      <c r="E7656" t="str">
        <f t="shared" si="258"/>
        <v>K</v>
      </c>
      <c r="F7656" t="str">
        <f t="shared" si="259"/>
        <v>10K</v>
      </c>
    </row>
    <row r="7657" spans="1:6" x14ac:dyDescent="0.2">
      <c r="A7657">
        <v>11</v>
      </c>
      <c r="E7657" t="str">
        <f t="shared" si="258"/>
        <v>L</v>
      </c>
      <c r="F7657" t="str">
        <f t="shared" si="259"/>
        <v>11L</v>
      </c>
    </row>
    <row r="7658" spans="1:6" x14ac:dyDescent="0.2">
      <c r="A7658">
        <v>12</v>
      </c>
      <c r="E7658" t="str">
        <f t="shared" si="258"/>
        <v>M</v>
      </c>
      <c r="F7658" t="str">
        <f t="shared" si="259"/>
        <v>12M</v>
      </c>
    </row>
    <row r="7659" spans="1:6" x14ac:dyDescent="0.2">
      <c r="A7659">
        <v>13</v>
      </c>
      <c r="E7659" t="str">
        <f t="shared" si="258"/>
        <v>N</v>
      </c>
      <c r="F7659" t="str">
        <f t="shared" si="259"/>
        <v>13N</v>
      </c>
    </row>
    <row r="7660" spans="1:6" x14ac:dyDescent="0.2">
      <c r="A7660">
        <v>14</v>
      </c>
      <c r="E7660" t="str">
        <f t="shared" si="258"/>
        <v>O</v>
      </c>
      <c r="F7660" t="str">
        <f t="shared" si="259"/>
        <v>14O</v>
      </c>
    </row>
    <row r="7661" spans="1:6" x14ac:dyDescent="0.2">
      <c r="A7661">
        <v>15</v>
      </c>
      <c r="E7661" t="str">
        <f t="shared" si="258"/>
        <v>P</v>
      </c>
      <c r="F7661" t="str">
        <f t="shared" si="259"/>
        <v>15P</v>
      </c>
    </row>
    <row r="7662" spans="1:6" x14ac:dyDescent="0.2">
      <c r="A7662">
        <v>16</v>
      </c>
      <c r="E7662" t="str">
        <f t="shared" si="258"/>
        <v>Q</v>
      </c>
      <c r="F7662" t="str">
        <f t="shared" si="259"/>
        <v>16Q</v>
      </c>
    </row>
    <row r="7663" spans="1:6" x14ac:dyDescent="0.2">
      <c r="A7663">
        <v>17</v>
      </c>
      <c r="E7663" t="str">
        <f t="shared" si="258"/>
        <v>R</v>
      </c>
      <c r="F7663" t="str">
        <f t="shared" si="259"/>
        <v>17R</v>
      </c>
    </row>
    <row r="7664" spans="1:6" x14ac:dyDescent="0.2">
      <c r="A7664">
        <v>18</v>
      </c>
      <c r="E7664" t="str">
        <f t="shared" ref="E7664:E7727" si="260">E7638</f>
        <v>S</v>
      </c>
      <c r="F7664" t="str">
        <f t="shared" si="259"/>
        <v>18S</v>
      </c>
    </row>
    <row r="7665" spans="1:6" x14ac:dyDescent="0.2">
      <c r="A7665">
        <v>19</v>
      </c>
      <c r="E7665" t="str">
        <f t="shared" si="260"/>
        <v>T</v>
      </c>
      <c r="F7665" t="str">
        <f t="shared" si="259"/>
        <v>19T</v>
      </c>
    </row>
    <row r="7666" spans="1:6" x14ac:dyDescent="0.2">
      <c r="A7666">
        <v>20</v>
      </c>
      <c r="E7666" t="str">
        <f t="shared" si="260"/>
        <v>U</v>
      </c>
      <c r="F7666" t="str">
        <f t="shared" si="259"/>
        <v>20U</v>
      </c>
    </row>
    <row r="7667" spans="1:6" x14ac:dyDescent="0.2">
      <c r="A7667">
        <v>21</v>
      </c>
      <c r="E7667" t="str">
        <f t="shared" si="260"/>
        <v>V</v>
      </c>
      <c r="F7667" t="str">
        <f t="shared" si="259"/>
        <v>21V</v>
      </c>
    </row>
    <row r="7668" spans="1:6" x14ac:dyDescent="0.2">
      <c r="A7668">
        <v>22</v>
      </c>
      <c r="E7668" t="str">
        <f t="shared" si="260"/>
        <v>W</v>
      </c>
      <c r="F7668" t="str">
        <f t="shared" si="259"/>
        <v>22W</v>
      </c>
    </row>
    <row r="7669" spans="1:6" x14ac:dyDescent="0.2">
      <c r="A7669">
        <v>23</v>
      </c>
      <c r="E7669" t="str">
        <f t="shared" si="260"/>
        <v>X</v>
      </c>
      <c r="F7669" t="str">
        <f t="shared" si="259"/>
        <v>23X</v>
      </c>
    </row>
    <row r="7670" spans="1:6" x14ac:dyDescent="0.2">
      <c r="A7670">
        <v>24</v>
      </c>
      <c r="E7670" t="str">
        <f t="shared" si="260"/>
        <v>Y</v>
      </c>
      <c r="F7670" t="str">
        <f t="shared" si="259"/>
        <v>24Y</v>
      </c>
    </row>
    <row r="7671" spans="1:6" x14ac:dyDescent="0.2">
      <c r="A7671">
        <v>25</v>
      </c>
      <c r="E7671" t="str">
        <f t="shared" si="260"/>
        <v>Z</v>
      </c>
      <c r="F7671" t="str">
        <f t="shared" si="259"/>
        <v>25Z</v>
      </c>
    </row>
    <row r="7672" spans="1:6" x14ac:dyDescent="0.2">
      <c r="A7672">
        <v>0</v>
      </c>
      <c r="E7672" t="str">
        <f t="shared" si="260"/>
        <v>A</v>
      </c>
      <c r="F7672" t="str">
        <f t="shared" si="259"/>
        <v>0A</v>
      </c>
    </row>
    <row r="7673" spans="1:6" x14ac:dyDescent="0.2">
      <c r="A7673">
        <v>1</v>
      </c>
      <c r="E7673" t="str">
        <f t="shared" si="260"/>
        <v>B</v>
      </c>
      <c r="F7673" t="str">
        <f t="shared" si="259"/>
        <v>1B</v>
      </c>
    </row>
    <row r="7674" spans="1:6" x14ac:dyDescent="0.2">
      <c r="A7674">
        <v>2</v>
      </c>
      <c r="E7674" t="str">
        <f t="shared" si="260"/>
        <v>C</v>
      </c>
      <c r="F7674" t="str">
        <f t="shared" si="259"/>
        <v>2C</v>
      </c>
    </row>
    <row r="7675" spans="1:6" x14ac:dyDescent="0.2">
      <c r="A7675">
        <v>3</v>
      </c>
      <c r="E7675" t="str">
        <f t="shared" si="260"/>
        <v>D</v>
      </c>
      <c r="F7675" t="str">
        <f t="shared" si="259"/>
        <v>3D</v>
      </c>
    </row>
    <row r="7676" spans="1:6" x14ac:dyDescent="0.2">
      <c r="A7676">
        <v>4</v>
      </c>
      <c r="E7676" t="str">
        <f t="shared" si="260"/>
        <v>E</v>
      </c>
      <c r="F7676" t="str">
        <f t="shared" si="259"/>
        <v>4E</v>
      </c>
    </row>
    <row r="7677" spans="1:6" x14ac:dyDescent="0.2">
      <c r="A7677">
        <v>5</v>
      </c>
      <c r="E7677" t="str">
        <f t="shared" si="260"/>
        <v>F</v>
      </c>
      <c r="F7677" t="str">
        <f t="shared" si="259"/>
        <v>5F</v>
      </c>
    </row>
    <row r="7678" spans="1:6" x14ac:dyDescent="0.2">
      <c r="A7678">
        <v>6</v>
      </c>
      <c r="E7678" t="str">
        <f t="shared" si="260"/>
        <v>G</v>
      </c>
      <c r="F7678" t="str">
        <f t="shared" si="259"/>
        <v>6G</v>
      </c>
    </row>
    <row r="7679" spans="1:6" x14ac:dyDescent="0.2">
      <c r="A7679">
        <v>7</v>
      </c>
      <c r="E7679" t="str">
        <f t="shared" si="260"/>
        <v>H</v>
      </c>
      <c r="F7679" t="str">
        <f t="shared" si="259"/>
        <v>7H</v>
      </c>
    </row>
    <row r="7680" spans="1:6" x14ac:dyDescent="0.2">
      <c r="A7680">
        <v>8</v>
      </c>
      <c r="E7680" t="str">
        <f t="shared" si="260"/>
        <v>I</v>
      </c>
      <c r="F7680" t="str">
        <f t="shared" si="259"/>
        <v>8I</v>
      </c>
    </row>
    <row r="7681" spans="1:6" x14ac:dyDescent="0.2">
      <c r="A7681">
        <v>9</v>
      </c>
      <c r="E7681" t="str">
        <f t="shared" si="260"/>
        <v>J</v>
      </c>
      <c r="F7681" t="str">
        <f t="shared" si="259"/>
        <v>9J</v>
      </c>
    </row>
    <row r="7682" spans="1:6" x14ac:dyDescent="0.2">
      <c r="A7682">
        <v>10</v>
      </c>
      <c r="E7682" t="str">
        <f t="shared" si="260"/>
        <v>K</v>
      </c>
      <c r="F7682" t="str">
        <f t="shared" si="259"/>
        <v>10K</v>
      </c>
    </row>
    <row r="7683" spans="1:6" x14ac:dyDescent="0.2">
      <c r="A7683">
        <v>11</v>
      </c>
      <c r="E7683" t="str">
        <f t="shared" si="260"/>
        <v>L</v>
      </c>
      <c r="F7683" t="str">
        <f t="shared" si="259"/>
        <v>11L</v>
      </c>
    </row>
    <row r="7684" spans="1:6" x14ac:dyDescent="0.2">
      <c r="A7684">
        <v>12</v>
      </c>
      <c r="E7684" t="str">
        <f t="shared" si="260"/>
        <v>M</v>
      </c>
      <c r="F7684" t="str">
        <f t="shared" si="259"/>
        <v>12M</v>
      </c>
    </row>
    <row r="7685" spans="1:6" x14ac:dyDescent="0.2">
      <c r="A7685">
        <v>13</v>
      </c>
      <c r="E7685" t="str">
        <f t="shared" si="260"/>
        <v>N</v>
      </c>
      <c r="F7685" t="str">
        <f t="shared" si="259"/>
        <v>13N</v>
      </c>
    </row>
    <row r="7686" spans="1:6" x14ac:dyDescent="0.2">
      <c r="A7686">
        <v>14</v>
      </c>
      <c r="E7686" t="str">
        <f t="shared" si="260"/>
        <v>O</v>
      </c>
      <c r="F7686" t="str">
        <f t="shared" si="259"/>
        <v>14O</v>
      </c>
    </row>
    <row r="7687" spans="1:6" x14ac:dyDescent="0.2">
      <c r="A7687">
        <v>15</v>
      </c>
      <c r="E7687" t="str">
        <f t="shared" si="260"/>
        <v>P</v>
      </c>
      <c r="F7687" t="str">
        <f t="shared" si="259"/>
        <v>15P</v>
      </c>
    </row>
    <row r="7688" spans="1:6" x14ac:dyDescent="0.2">
      <c r="A7688">
        <v>16</v>
      </c>
      <c r="E7688" t="str">
        <f t="shared" si="260"/>
        <v>Q</v>
      </c>
      <c r="F7688" t="str">
        <f t="shared" si="259"/>
        <v>16Q</v>
      </c>
    </row>
    <row r="7689" spans="1:6" x14ac:dyDescent="0.2">
      <c r="A7689">
        <v>17</v>
      </c>
      <c r="E7689" t="str">
        <f t="shared" si="260"/>
        <v>R</v>
      </c>
      <c r="F7689" t="str">
        <f t="shared" si="259"/>
        <v>17R</v>
      </c>
    </row>
    <row r="7690" spans="1:6" x14ac:dyDescent="0.2">
      <c r="A7690">
        <v>18</v>
      </c>
      <c r="E7690" t="str">
        <f t="shared" si="260"/>
        <v>S</v>
      </c>
      <c r="F7690" t="str">
        <f t="shared" si="259"/>
        <v>18S</v>
      </c>
    </row>
    <row r="7691" spans="1:6" x14ac:dyDescent="0.2">
      <c r="A7691">
        <v>19</v>
      </c>
      <c r="E7691" t="str">
        <f t="shared" si="260"/>
        <v>T</v>
      </c>
      <c r="F7691" t="str">
        <f t="shared" si="259"/>
        <v>19T</v>
      </c>
    </row>
    <row r="7692" spans="1:6" x14ac:dyDescent="0.2">
      <c r="A7692">
        <v>20</v>
      </c>
      <c r="E7692" t="str">
        <f t="shared" si="260"/>
        <v>U</v>
      </c>
      <c r="F7692" t="str">
        <f t="shared" si="259"/>
        <v>20U</v>
      </c>
    </row>
    <row r="7693" spans="1:6" x14ac:dyDescent="0.2">
      <c r="A7693">
        <v>21</v>
      </c>
      <c r="E7693" t="str">
        <f t="shared" si="260"/>
        <v>V</v>
      </c>
      <c r="F7693" t="str">
        <f t="shared" si="259"/>
        <v>21V</v>
      </c>
    </row>
    <row r="7694" spans="1:6" x14ac:dyDescent="0.2">
      <c r="A7694">
        <v>22</v>
      </c>
      <c r="E7694" t="str">
        <f t="shared" si="260"/>
        <v>W</v>
      </c>
      <c r="F7694" t="str">
        <f t="shared" si="259"/>
        <v>22W</v>
      </c>
    </row>
    <row r="7695" spans="1:6" x14ac:dyDescent="0.2">
      <c r="A7695">
        <v>23</v>
      </c>
      <c r="E7695" t="str">
        <f t="shared" si="260"/>
        <v>X</v>
      </c>
      <c r="F7695" t="str">
        <f t="shared" si="259"/>
        <v>23X</v>
      </c>
    </row>
    <row r="7696" spans="1:6" x14ac:dyDescent="0.2">
      <c r="A7696">
        <v>24</v>
      </c>
      <c r="E7696" t="str">
        <f t="shared" si="260"/>
        <v>Y</v>
      </c>
      <c r="F7696" t="str">
        <f t="shared" si="259"/>
        <v>24Y</v>
      </c>
    </row>
    <row r="7697" spans="1:6" x14ac:dyDescent="0.2">
      <c r="A7697">
        <v>25</v>
      </c>
      <c r="E7697" t="str">
        <f t="shared" si="260"/>
        <v>Z</v>
      </c>
      <c r="F7697" t="str">
        <f t="shared" si="259"/>
        <v>25Z</v>
      </c>
    </row>
    <row r="7698" spans="1:6" x14ac:dyDescent="0.2">
      <c r="A7698">
        <v>0</v>
      </c>
      <c r="E7698" t="str">
        <f t="shared" si="260"/>
        <v>A</v>
      </c>
      <c r="F7698" t="str">
        <f t="shared" si="259"/>
        <v>0A</v>
      </c>
    </row>
    <row r="7699" spans="1:6" x14ac:dyDescent="0.2">
      <c r="A7699">
        <v>1</v>
      </c>
      <c r="E7699" t="str">
        <f t="shared" si="260"/>
        <v>B</v>
      </c>
      <c r="F7699" t="str">
        <f t="shared" si="259"/>
        <v>1B</v>
      </c>
    </row>
    <row r="7700" spans="1:6" x14ac:dyDescent="0.2">
      <c r="A7700">
        <v>2</v>
      </c>
      <c r="E7700" t="str">
        <f t="shared" si="260"/>
        <v>C</v>
      </c>
      <c r="F7700" t="str">
        <f t="shared" si="259"/>
        <v>2C</v>
      </c>
    </row>
    <row r="7701" spans="1:6" x14ac:dyDescent="0.2">
      <c r="A7701">
        <v>3</v>
      </c>
      <c r="E7701" t="str">
        <f t="shared" si="260"/>
        <v>D</v>
      </c>
      <c r="F7701" t="str">
        <f t="shared" si="259"/>
        <v>3D</v>
      </c>
    </row>
    <row r="7702" spans="1:6" x14ac:dyDescent="0.2">
      <c r="A7702">
        <v>4</v>
      </c>
      <c r="E7702" t="str">
        <f t="shared" si="260"/>
        <v>E</v>
      </c>
      <c r="F7702" t="str">
        <f t="shared" ref="F7702:F7765" si="261">A7702&amp;C7702&amp;E7702</f>
        <v>4E</v>
      </c>
    </row>
    <row r="7703" spans="1:6" x14ac:dyDescent="0.2">
      <c r="A7703">
        <v>5</v>
      </c>
      <c r="E7703" t="str">
        <f t="shared" si="260"/>
        <v>F</v>
      </c>
      <c r="F7703" t="str">
        <f t="shared" si="261"/>
        <v>5F</v>
      </c>
    </row>
    <row r="7704" spans="1:6" x14ac:dyDescent="0.2">
      <c r="A7704">
        <v>6</v>
      </c>
      <c r="E7704" t="str">
        <f t="shared" si="260"/>
        <v>G</v>
      </c>
      <c r="F7704" t="str">
        <f t="shared" si="261"/>
        <v>6G</v>
      </c>
    </row>
    <row r="7705" spans="1:6" x14ac:dyDescent="0.2">
      <c r="A7705">
        <v>7</v>
      </c>
      <c r="E7705" t="str">
        <f t="shared" si="260"/>
        <v>H</v>
      </c>
      <c r="F7705" t="str">
        <f t="shared" si="261"/>
        <v>7H</v>
      </c>
    </row>
    <row r="7706" spans="1:6" x14ac:dyDescent="0.2">
      <c r="A7706">
        <v>8</v>
      </c>
      <c r="E7706" t="str">
        <f t="shared" si="260"/>
        <v>I</v>
      </c>
      <c r="F7706" t="str">
        <f t="shared" si="261"/>
        <v>8I</v>
      </c>
    </row>
    <row r="7707" spans="1:6" x14ac:dyDescent="0.2">
      <c r="A7707">
        <v>9</v>
      </c>
      <c r="E7707" t="str">
        <f t="shared" si="260"/>
        <v>J</v>
      </c>
      <c r="F7707" t="str">
        <f t="shared" si="261"/>
        <v>9J</v>
      </c>
    </row>
    <row r="7708" spans="1:6" x14ac:dyDescent="0.2">
      <c r="A7708">
        <v>10</v>
      </c>
      <c r="E7708" t="str">
        <f t="shared" si="260"/>
        <v>K</v>
      </c>
      <c r="F7708" t="str">
        <f t="shared" si="261"/>
        <v>10K</v>
      </c>
    </row>
    <row r="7709" spans="1:6" x14ac:dyDescent="0.2">
      <c r="A7709">
        <v>11</v>
      </c>
      <c r="E7709" t="str">
        <f t="shared" si="260"/>
        <v>L</v>
      </c>
      <c r="F7709" t="str">
        <f t="shared" si="261"/>
        <v>11L</v>
      </c>
    </row>
    <row r="7710" spans="1:6" x14ac:dyDescent="0.2">
      <c r="A7710">
        <v>12</v>
      </c>
      <c r="E7710" t="str">
        <f t="shared" si="260"/>
        <v>M</v>
      </c>
      <c r="F7710" t="str">
        <f t="shared" si="261"/>
        <v>12M</v>
      </c>
    </row>
    <row r="7711" spans="1:6" x14ac:dyDescent="0.2">
      <c r="A7711">
        <v>13</v>
      </c>
      <c r="E7711" t="str">
        <f t="shared" si="260"/>
        <v>N</v>
      </c>
      <c r="F7711" t="str">
        <f t="shared" si="261"/>
        <v>13N</v>
      </c>
    </row>
    <row r="7712" spans="1:6" x14ac:dyDescent="0.2">
      <c r="A7712">
        <v>14</v>
      </c>
      <c r="E7712" t="str">
        <f t="shared" si="260"/>
        <v>O</v>
      </c>
      <c r="F7712" t="str">
        <f t="shared" si="261"/>
        <v>14O</v>
      </c>
    </row>
    <row r="7713" spans="1:6" x14ac:dyDescent="0.2">
      <c r="A7713">
        <v>15</v>
      </c>
      <c r="E7713" t="str">
        <f t="shared" si="260"/>
        <v>P</v>
      </c>
      <c r="F7713" t="str">
        <f t="shared" si="261"/>
        <v>15P</v>
      </c>
    </row>
    <row r="7714" spans="1:6" x14ac:dyDescent="0.2">
      <c r="A7714">
        <v>16</v>
      </c>
      <c r="E7714" t="str">
        <f t="shared" si="260"/>
        <v>Q</v>
      </c>
      <c r="F7714" t="str">
        <f t="shared" si="261"/>
        <v>16Q</v>
      </c>
    </row>
    <row r="7715" spans="1:6" x14ac:dyDescent="0.2">
      <c r="A7715">
        <v>17</v>
      </c>
      <c r="E7715" t="str">
        <f t="shared" si="260"/>
        <v>R</v>
      </c>
      <c r="F7715" t="str">
        <f t="shared" si="261"/>
        <v>17R</v>
      </c>
    </row>
    <row r="7716" spans="1:6" x14ac:dyDescent="0.2">
      <c r="A7716">
        <v>18</v>
      </c>
      <c r="E7716" t="str">
        <f t="shared" si="260"/>
        <v>S</v>
      </c>
      <c r="F7716" t="str">
        <f t="shared" si="261"/>
        <v>18S</v>
      </c>
    </row>
    <row r="7717" spans="1:6" x14ac:dyDescent="0.2">
      <c r="A7717">
        <v>19</v>
      </c>
      <c r="E7717" t="str">
        <f t="shared" si="260"/>
        <v>T</v>
      </c>
      <c r="F7717" t="str">
        <f t="shared" si="261"/>
        <v>19T</v>
      </c>
    </row>
    <row r="7718" spans="1:6" x14ac:dyDescent="0.2">
      <c r="A7718">
        <v>20</v>
      </c>
      <c r="E7718" t="str">
        <f t="shared" si="260"/>
        <v>U</v>
      </c>
      <c r="F7718" t="str">
        <f t="shared" si="261"/>
        <v>20U</v>
      </c>
    </row>
    <row r="7719" spans="1:6" x14ac:dyDescent="0.2">
      <c r="A7719">
        <v>21</v>
      </c>
      <c r="E7719" t="str">
        <f t="shared" si="260"/>
        <v>V</v>
      </c>
      <c r="F7719" t="str">
        <f t="shared" si="261"/>
        <v>21V</v>
      </c>
    </row>
    <row r="7720" spans="1:6" x14ac:dyDescent="0.2">
      <c r="A7720">
        <v>22</v>
      </c>
      <c r="E7720" t="str">
        <f t="shared" si="260"/>
        <v>W</v>
      </c>
      <c r="F7720" t="str">
        <f t="shared" si="261"/>
        <v>22W</v>
      </c>
    </row>
    <row r="7721" spans="1:6" x14ac:dyDescent="0.2">
      <c r="A7721">
        <v>23</v>
      </c>
      <c r="E7721" t="str">
        <f t="shared" si="260"/>
        <v>X</v>
      </c>
      <c r="F7721" t="str">
        <f t="shared" si="261"/>
        <v>23X</v>
      </c>
    </row>
    <row r="7722" spans="1:6" x14ac:dyDescent="0.2">
      <c r="A7722">
        <v>24</v>
      </c>
      <c r="E7722" t="str">
        <f t="shared" si="260"/>
        <v>Y</v>
      </c>
      <c r="F7722" t="str">
        <f t="shared" si="261"/>
        <v>24Y</v>
      </c>
    </row>
    <row r="7723" spans="1:6" x14ac:dyDescent="0.2">
      <c r="A7723">
        <v>25</v>
      </c>
      <c r="E7723" t="str">
        <f t="shared" si="260"/>
        <v>Z</v>
      </c>
      <c r="F7723" t="str">
        <f t="shared" si="261"/>
        <v>25Z</v>
      </c>
    </row>
    <row r="7724" spans="1:6" x14ac:dyDescent="0.2">
      <c r="A7724">
        <v>0</v>
      </c>
      <c r="E7724" t="str">
        <f t="shared" si="260"/>
        <v>A</v>
      </c>
      <c r="F7724" t="str">
        <f t="shared" si="261"/>
        <v>0A</v>
      </c>
    </row>
    <row r="7725" spans="1:6" x14ac:dyDescent="0.2">
      <c r="A7725">
        <v>1</v>
      </c>
      <c r="E7725" t="str">
        <f t="shared" si="260"/>
        <v>B</v>
      </c>
      <c r="F7725" t="str">
        <f t="shared" si="261"/>
        <v>1B</v>
      </c>
    </row>
    <row r="7726" spans="1:6" x14ac:dyDescent="0.2">
      <c r="A7726">
        <v>2</v>
      </c>
      <c r="E7726" t="str">
        <f t="shared" si="260"/>
        <v>C</v>
      </c>
      <c r="F7726" t="str">
        <f t="shared" si="261"/>
        <v>2C</v>
      </c>
    </row>
    <row r="7727" spans="1:6" x14ac:dyDescent="0.2">
      <c r="A7727">
        <v>3</v>
      </c>
      <c r="E7727" t="str">
        <f t="shared" si="260"/>
        <v>D</v>
      </c>
      <c r="F7727" t="str">
        <f t="shared" si="261"/>
        <v>3D</v>
      </c>
    </row>
    <row r="7728" spans="1:6" x14ac:dyDescent="0.2">
      <c r="A7728">
        <v>4</v>
      </c>
      <c r="E7728" t="str">
        <f t="shared" ref="E7728:E7791" si="262">E7702</f>
        <v>E</v>
      </c>
      <c r="F7728" t="str">
        <f t="shared" si="261"/>
        <v>4E</v>
      </c>
    </row>
    <row r="7729" spans="1:6" x14ac:dyDescent="0.2">
      <c r="A7729">
        <v>5</v>
      </c>
      <c r="E7729" t="str">
        <f t="shared" si="262"/>
        <v>F</v>
      </c>
      <c r="F7729" t="str">
        <f t="shared" si="261"/>
        <v>5F</v>
      </c>
    </row>
    <row r="7730" spans="1:6" x14ac:dyDescent="0.2">
      <c r="A7730">
        <v>6</v>
      </c>
      <c r="E7730" t="str">
        <f t="shared" si="262"/>
        <v>G</v>
      </c>
      <c r="F7730" t="str">
        <f t="shared" si="261"/>
        <v>6G</v>
      </c>
    </row>
    <row r="7731" spans="1:6" x14ac:dyDescent="0.2">
      <c r="A7731">
        <v>7</v>
      </c>
      <c r="E7731" t="str">
        <f t="shared" si="262"/>
        <v>H</v>
      </c>
      <c r="F7731" t="str">
        <f t="shared" si="261"/>
        <v>7H</v>
      </c>
    </row>
    <row r="7732" spans="1:6" x14ac:dyDescent="0.2">
      <c r="A7732">
        <v>8</v>
      </c>
      <c r="E7732" t="str">
        <f t="shared" si="262"/>
        <v>I</v>
      </c>
      <c r="F7732" t="str">
        <f t="shared" si="261"/>
        <v>8I</v>
      </c>
    </row>
    <row r="7733" spans="1:6" x14ac:dyDescent="0.2">
      <c r="A7733">
        <v>9</v>
      </c>
      <c r="E7733" t="str">
        <f t="shared" si="262"/>
        <v>J</v>
      </c>
      <c r="F7733" t="str">
        <f t="shared" si="261"/>
        <v>9J</v>
      </c>
    </row>
    <row r="7734" spans="1:6" x14ac:dyDescent="0.2">
      <c r="A7734">
        <v>10</v>
      </c>
      <c r="E7734" t="str">
        <f t="shared" si="262"/>
        <v>K</v>
      </c>
      <c r="F7734" t="str">
        <f t="shared" si="261"/>
        <v>10K</v>
      </c>
    </row>
    <row r="7735" spans="1:6" x14ac:dyDescent="0.2">
      <c r="A7735">
        <v>11</v>
      </c>
      <c r="E7735" t="str">
        <f t="shared" si="262"/>
        <v>L</v>
      </c>
      <c r="F7735" t="str">
        <f t="shared" si="261"/>
        <v>11L</v>
      </c>
    </row>
    <row r="7736" spans="1:6" x14ac:dyDescent="0.2">
      <c r="A7736">
        <v>12</v>
      </c>
      <c r="E7736" t="str">
        <f t="shared" si="262"/>
        <v>M</v>
      </c>
      <c r="F7736" t="str">
        <f t="shared" si="261"/>
        <v>12M</v>
      </c>
    </row>
    <row r="7737" spans="1:6" x14ac:dyDescent="0.2">
      <c r="A7737">
        <v>13</v>
      </c>
      <c r="E7737" t="str">
        <f t="shared" si="262"/>
        <v>N</v>
      </c>
      <c r="F7737" t="str">
        <f t="shared" si="261"/>
        <v>13N</v>
      </c>
    </row>
    <row r="7738" spans="1:6" x14ac:dyDescent="0.2">
      <c r="A7738">
        <v>14</v>
      </c>
      <c r="E7738" t="str">
        <f t="shared" si="262"/>
        <v>O</v>
      </c>
      <c r="F7738" t="str">
        <f t="shared" si="261"/>
        <v>14O</v>
      </c>
    </row>
    <row r="7739" spans="1:6" x14ac:dyDescent="0.2">
      <c r="A7739">
        <v>15</v>
      </c>
      <c r="E7739" t="str">
        <f t="shared" si="262"/>
        <v>P</v>
      </c>
      <c r="F7739" t="str">
        <f t="shared" si="261"/>
        <v>15P</v>
      </c>
    </row>
    <row r="7740" spans="1:6" x14ac:dyDescent="0.2">
      <c r="A7740">
        <v>16</v>
      </c>
      <c r="E7740" t="str">
        <f t="shared" si="262"/>
        <v>Q</v>
      </c>
      <c r="F7740" t="str">
        <f t="shared" si="261"/>
        <v>16Q</v>
      </c>
    </row>
    <row r="7741" spans="1:6" x14ac:dyDescent="0.2">
      <c r="A7741">
        <v>17</v>
      </c>
      <c r="E7741" t="str">
        <f t="shared" si="262"/>
        <v>R</v>
      </c>
      <c r="F7741" t="str">
        <f t="shared" si="261"/>
        <v>17R</v>
      </c>
    </row>
    <row r="7742" spans="1:6" x14ac:dyDescent="0.2">
      <c r="A7742">
        <v>18</v>
      </c>
      <c r="E7742" t="str">
        <f t="shared" si="262"/>
        <v>S</v>
      </c>
      <c r="F7742" t="str">
        <f t="shared" si="261"/>
        <v>18S</v>
      </c>
    </row>
    <row r="7743" spans="1:6" x14ac:dyDescent="0.2">
      <c r="A7743">
        <v>19</v>
      </c>
      <c r="E7743" t="str">
        <f t="shared" si="262"/>
        <v>T</v>
      </c>
      <c r="F7743" t="str">
        <f t="shared" si="261"/>
        <v>19T</v>
      </c>
    </row>
    <row r="7744" spans="1:6" x14ac:dyDescent="0.2">
      <c r="A7744">
        <v>20</v>
      </c>
      <c r="E7744" t="str">
        <f t="shared" si="262"/>
        <v>U</v>
      </c>
      <c r="F7744" t="str">
        <f t="shared" si="261"/>
        <v>20U</v>
      </c>
    </row>
    <row r="7745" spans="1:6" x14ac:dyDescent="0.2">
      <c r="A7745">
        <v>21</v>
      </c>
      <c r="E7745" t="str">
        <f t="shared" si="262"/>
        <v>V</v>
      </c>
      <c r="F7745" t="str">
        <f t="shared" si="261"/>
        <v>21V</v>
      </c>
    </row>
    <row r="7746" spans="1:6" x14ac:dyDescent="0.2">
      <c r="A7746">
        <v>22</v>
      </c>
      <c r="E7746" t="str">
        <f t="shared" si="262"/>
        <v>W</v>
      </c>
      <c r="F7746" t="str">
        <f t="shared" si="261"/>
        <v>22W</v>
      </c>
    </row>
    <row r="7747" spans="1:6" x14ac:dyDescent="0.2">
      <c r="A7747">
        <v>23</v>
      </c>
      <c r="E7747" t="str">
        <f t="shared" si="262"/>
        <v>X</v>
      </c>
      <c r="F7747" t="str">
        <f t="shared" si="261"/>
        <v>23X</v>
      </c>
    </row>
    <row r="7748" spans="1:6" x14ac:dyDescent="0.2">
      <c r="A7748">
        <v>24</v>
      </c>
      <c r="E7748" t="str">
        <f t="shared" si="262"/>
        <v>Y</v>
      </c>
      <c r="F7748" t="str">
        <f t="shared" si="261"/>
        <v>24Y</v>
      </c>
    </row>
    <row r="7749" spans="1:6" x14ac:dyDescent="0.2">
      <c r="A7749">
        <v>25</v>
      </c>
      <c r="E7749" t="str">
        <f t="shared" si="262"/>
        <v>Z</v>
      </c>
      <c r="F7749" t="str">
        <f t="shared" si="261"/>
        <v>25Z</v>
      </c>
    </row>
    <row r="7750" spans="1:6" x14ac:dyDescent="0.2">
      <c r="A7750">
        <v>0</v>
      </c>
      <c r="E7750" t="str">
        <f t="shared" si="262"/>
        <v>A</v>
      </c>
      <c r="F7750" t="str">
        <f t="shared" si="261"/>
        <v>0A</v>
      </c>
    </row>
    <row r="7751" spans="1:6" x14ac:dyDescent="0.2">
      <c r="A7751">
        <v>1</v>
      </c>
      <c r="E7751" t="str">
        <f t="shared" si="262"/>
        <v>B</v>
      </c>
      <c r="F7751" t="str">
        <f t="shared" si="261"/>
        <v>1B</v>
      </c>
    </row>
    <row r="7752" spans="1:6" x14ac:dyDescent="0.2">
      <c r="A7752">
        <v>2</v>
      </c>
      <c r="E7752" t="str">
        <f t="shared" si="262"/>
        <v>C</v>
      </c>
      <c r="F7752" t="str">
        <f t="shared" si="261"/>
        <v>2C</v>
      </c>
    </row>
    <row r="7753" spans="1:6" x14ac:dyDescent="0.2">
      <c r="A7753">
        <v>3</v>
      </c>
      <c r="E7753" t="str">
        <f t="shared" si="262"/>
        <v>D</v>
      </c>
      <c r="F7753" t="str">
        <f t="shared" si="261"/>
        <v>3D</v>
      </c>
    </row>
    <row r="7754" spans="1:6" x14ac:dyDescent="0.2">
      <c r="A7754">
        <v>4</v>
      </c>
      <c r="E7754" t="str">
        <f t="shared" si="262"/>
        <v>E</v>
      </c>
      <c r="F7754" t="str">
        <f t="shared" si="261"/>
        <v>4E</v>
      </c>
    </row>
    <row r="7755" spans="1:6" x14ac:dyDescent="0.2">
      <c r="A7755">
        <v>5</v>
      </c>
      <c r="E7755" t="str">
        <f t="shared" si="262"/>
        <v>F</v>
      </c>
      <c r="F7755" t="str">
        <f t="shared" si="261"/>
        <v>5F</v>
      </c>
    </row>
    <row r="7756" spans="1:6" x14ac:dyDescent="0.2">
      <c r="A7756">
        <v>6</v>
      </c>
      <c r="E7756" t="str">
        <f t="shared" si="262"/>
        <v>G</v>
      </c>
      <c r="F7756" t="str">
        <f t="shared" si="261"/>
        <v>6G</v>
      </c>
    </row>
    <row r="7757" spans="1:6" x14ac:dyDescent="0.2">
      <c r="A7757">
        <v>7</v>
      </c>
      <c r="E7757" t="str">
        <f t="shared" si="262"/>
        <v>H</v>
      </c>
      <c r="F7757" t="str">
        <f t="shared" si="261"/>
        <v>7H</v>
      </c>
    </row>
    <row r="7758" spans="1:6" x14ac:dyDescent="0.2">
      <c r="A7758">
        <v>8</v>
      </c>
      <c r="E7758" t="str">
        <f t="shared" si="262"/>
        <v>I</v>
      </c>
      <c r="F7758" t="str">
        <f t="shared" si="261"/>
        <v>8I</v>
      </c>
    </row>
    <row r="7759" spans="1:6" x14ac:dyDescent="0.2">
      <c r="A7759">
        <v>9</v>
      </c>
      <c r="E7759" t="str">
        <f t="shared" si="262"/>
        <v>J</v>
      </c>
      <c r="F7759" t="str">
        <f t="shared" si="261"/>
        <v>9J</v>
      </c>
    </row>
    <row r="7760" spans="1:6" x14ac:dyDescent="0.2">
      <c r="A7760">
        <v>10</v>
      </c>
      <c r="E7760" t="str">
        <f t="shared" si="262"/>
        <v>K</v>
      </c>
      <c r="F7760" t="str">
        <f t="shared" si="261"/>
        <v>10K</v>
      </c>
    </row>
    <row r="7761" spans="1:6" x14ac:dyDescent="0.2">
      <c r="A7761">
        <v>11</v>
      </c>
      <c r="E7761" t="str">
        <f t="shared" si="262"/>
        <v>L</v>
      </c>
      <c r="F7761" t="str">
        <f t="shared" si="261"/>
        <v>11L</v>
      </c>
    </row>
    <row r="7762" spans="1:6" x14ac:dyDescent="0.2">
      <c r="A7762">
        <v>12</v>
      </c>
      <c r="E7762" t="str">
        <f t="shared" si="262"/>
        <v>M</v>
      </c>
      <c r="F7762" t="str">
        <f t="shared" si="261"/>
        <v>12M</v>
      </c>
    </row>
    <row r="7763" spans="1:6" x14ac:dyDescent="0.2">
      <c r="A7763">
        <v>13</v>
      </c>
      <c r="E7763" t="str">
        <f t="shared" si="262"/>
        <v>N</v>
      </c>
      <c r="F7763" t="str">
        <f t="shared" si="261"/>
        <v>13N</v>
      </c>
    </row>
    <row r="7764" spans="1:6" x14ac:dyDescent="0.2">
      <c r="A7764">
        <v>14</v>
      </c>
      <c r="E7764" t="str">
        <f t="shared" si="262"/>
        <v>O</v>
      </c>
      <c r="F7764" t="str">
        <f t="shared" si="261"/>
        <v>14O</v>
      </c>
    </row>
    <row r="7765" spans="1:6" x14ac:dyDescent="0.2">
      <c r="A7765">
        <v>15</v>
      </c>
      <c r="E7765" t="str">
        <f t="shared" si="262"/>
        <v>P</v>
      </c>
      <c r="F7765" t="str">
        <f t="shared" si="261"/>
        <v>15P</v>
      </c>
    </row>
    <row r="7766" spans="1:6" x14ac:dyDescent="0.2">
      <c r="A7766">
        <v>16</v>
      </c>
      <c r="E7766" t="str">
        <f t="shared" si="262"/>
        <v>Q</v>
      </c>
      <c r="F7766" t="str">
        <f t="shared" ref="F7766:F7829" si="263">A7766&amp;C7766&amp;E7766</f>
        <v>16Q</v>
      </c>
    </row>
    <row r="7767" spans="1:6" x14ac:dyDescent="0.2">
      <c r="A7767">
        <v>17</v>
      </c>
      <c r="E7767" t="str">
        <f t="shared" si="262"/>
        <v>R</v>
      </c>
      <c r="F7767" t="str">
        <f t="shared" si="263"/>
        <v>17R</v>
      </c>
    </row>
    <row r="7768" spans="1:6" x14ac:dyDescent="0.2">
      <c r="A7768">
        <v>18</v>
      </c>
      <c r="E7768" t="str">
        <f t="shared" si="262"/>
        <v>S</v>
      </c>
      <c r="F7768" t="str">
        <f t="shared" si="263"/>
        <v>18S</v>
      </c>
    </row>
    <row r="7769" spans="1:6" x14ac:dyDescent="0.2">
      <c r="A7769">
        <v>19</v>
      </c>
      <c r="E7769" t="str">
        <f t="shared" si="262"/>
        <v>T</v>
      </c>
      <c r="F7769" t="str">
        <f t="shared" si="263"/>
        <v>19T</v>
      </c>
    </row>
    <row r="7770" spans="1:6" x14ac:dyDescent="0.2">
      <c r="A7770">
        <v>20</v>
      </c>
      <c r="E7770" t="str">
        <f t="shared" si="262"/>
        <v>U</v>
      </c>
      <c r="F7770" t="str">
        <f t="shared" si="263"/>
        <v>20U</v>
      </c>
    </row>
    <row r="7771" spans="1:6" x14ac:dyDescent="0.2">
      <c r="A7771">
        <v>21</v>
      </c>
      <c r="E7771" t="str">
        <f t="shared" si="262"/>
        <v>V</v>
      </c>
      <c r="F7771" t="str">
        <f t="shared" si="263"/>
        <v>21V</v>
      </c>
    </row>
    <row r="7772" spans="1:6" x14ac:dyDescent="0.2">
      <c r="A7772">
        <v>22</v>
      </c>
      <c r="E7772" t="str">
        <f t="shared" si="262"/>
        <v>W</v>
      </c>
      <c r="F7772" t="str">
        <f t="shared" si="263"/>
        <v>22W</v>
      </c>
    </row>
    <row r="7773" spans="1:6" x14ac:dyDescent="0.2">
      <c r="A7773">
        <v>23</v>
      </c>
      <c r="E7773" t="str">
        <f t="shared" si="262"/>
        <v>X</v>
      </c>
      <c r="F7773" t="str">
        <f t="shared" si="263"/>
        <v>23X</v>
      </c>
    </row>
    <row r="7774" spans="1:6" x14ac:dyDescent="0.2">
      <c r="A7774">
        <v>24</v>
      </c>
      <c r="E7774" t="str">
        <f t="shared" si="262"/>
        <v>Y</v>
      </c>
      <c r="F7774" t="str">
        <f t="shared" si="263"/>
        <v>24Y</v>
      </c>
    </row>
    <row r="7775" spans="1:6" x14ac:dyDescent="0.2">
      <c r="A7775">
        <v>25</v>
      </c>
      <c r="E7775" t="str">
        <f t="shared" si="262"/>
        <v>Z</v>
      </c>
      <c r="F7775" t="str">
        <f t="shared" si="263"/>
        <v>25Z</v>
      </c>
    </row>
    <row r="7776" spans="1:6" x14ac:dyDescent="0.2">
      <c r="A7776">
        <v>0</v>
      </c>
      <c r="E7776" t="str">
        <f t="shared" si="262"/>
        <v>A</v>
      </c>
      <c r="F7776" t="str">
        <f t="shared" si="263"/>
        <v>0A</v>
      </c>
    </row>
    <row r="7777" spans="1:6" x14ac:dyDescent="0.2">
      <c r="A7777">
        <v>1</v>
      </c>
      <c r="E7777" t="str">
        <f t="shared" si="262"/>
        <v>B</v>
      </c>
      <c r="F7777" t="str">
        <f t="shared" si="263"/>
        <v>1B</v>
      </c>
    </row>
    <row r="7778" spans="1:6" x14ac:dyDescent="0.2">
      <c r="A7778">
        <v>2</v>
      </c>
      <c r="E7778" t="str">
        <f t="shared" si="262"/>
        <v>C</v>
      </c>
      <c r="F7778" t="str">
        <f t="shared" si="263"/>
        <v>2C</v>
      </c>
    </row>
    <row r="7779" spans="1:6" x14ac:dyDescent="0.2">
      <c r="A7779">
        <v>3</v>
      </c>
      <c r="E7779" t="str">
        <f t="shared" si="262"/>
        <v>D</v>
      </c>
      <c r="F7779" t="str">
        <f t="shared" si="263"/>
        <v>3D</v>
      </c>
    </row>
    <row r="7780" spans="1:6" x14ac:dyDescent="0.2">
      <c r="A7780">
        <v>4</v>
      </c>
      <c r="E7780" t="str">
        <f t="shared" si="262"/>
        <v>E</v>
      </c>
      <c r="F7780" t="str">
        <f t="shared" si="263"/>
        <v>4E</v>
      </c>
    </row>
    <row r="7781" spans="1:6" x14ac:dyDescent="0.2">
      <c r="A7781">
        <v>5</v>
      </c>
      <c r="E7781" t="str">
        <f t="shared" si="262"/>
        <v>F</v>
      </c>
      <c r="F7781" t="str">
        <f t="shared" si="263"/>
        <v>5F</v>
      </c>
    </row>
    <row r="7782" spans="1:6" x14ac:dyDescent="0.2">
      <c r="A7782">
        <v>6</v>
      </c>
      <c r="E7782" t="str">
        <f t="shared" si="262"/>
        <v>G</v>
      </c>
      <c r="F7782" t="str">
        <f t="shared" si="263"/>
        <v>6G</v>
      </c>
    </row>
    <row r="7783" spans="1:6" x14ac:dyDescent="0.2">
      <c r="A7783">
        <v>7</v>
      </c>
      <c r="E7783" t="str">
        <f t="shared" si="262"/>
        <v>H</v>
      </c>
      <c r="F7783" t="str">
        <f t="shared" si="263"/>
        <v>7H</v>
      </c>
    </row>
    <row r="7784" spans="1:6" x14ac:dyDescent="0.2">
      <c r="A7784">
        <v>8</v>
      </c>
      <c r="E7784" t="str">
        <f t="shared" si="262"/>
        <v>I</v>
      </c>
      <c r="F7784" t="str">
        <f t="shared" si="263"/>
        <v>8I</v>
      </c>
    </row>
    <row r="7785" spans="1:6" x14ac:dyDescent="0.2">
      <c r="A7785">
        <v>9</v>
      </c>
      <c r="E7785" t="str">
        <f t="shared" si="262"/>
        <v>J</v>
      </c>
      <c r="F7785" t="str">
        <f t="shared" si="263"/>
        <v>9J</v>
      </c>
    </row>
    <row r="7786" spans="1:6" x14ac:dyDescent="0.2">
      <c r="A7786">
        <v>10</v>
      </c>
      <c r="E7786" t="str">
        <f t="shared" si="262"/>
        <v>K</v>
      </c>
      <c r="F7786" t="str">
        <f t="shared" si="263"/>
        <v>10K</v>
      </c>
    </row>
    <row r="7787" spans="1:6" x14ac:dyDescent="0.2">
      <c r="A7787">
        <v>11</v>
      </c>
      <c r="E7787" t="str">
        <f t="shared" si="262"/>
        <v>L</v>
      </c>
      <c r="F7787" t="str">
        <f t="shared" si="263"/>
        <v>11L</v>
      </c>
    </row>
    <row r="7788" spans="1:6" x14ac:dyDescent="0.2">
      <c r="A7788">
        <v>12</v>
      </c>
      <c r="E7788" t="str">
        <f t="shared" si="262"/>
        <v>M</v>
      </c>
      <c r="F7788" t="str">
        <f t="shared" si="263"/>
        <v>12M</v>
      </c>
    </row>
    <row r="7789" spans="1:6" x14ac:dyDescent="0.2">
      <c r="A7789">
        <v>13</v>
      </c>
      <c r="E7789" t="str">
        <f t="shared" si="262"/>
        <v>N</v>
      </c>
      <c r="F7789" t="str">
        <f t="shared" si="263"/>
        <v>13N</v>
      </c>
    </row>
    <row r="7790" spans="1:6" x14ac:dyDescent="0.2">
      <c r="A7790">
        <v>14</v>
      </c>
      <c r="E7790" t="str">
        <f t="shared" si="262"/>
        <v>O</v>
      </c>
      <c r="F7790" t="str">
        <f t="shared" si="263"/>
        <v>14O</v>
      </c>
    </row>
    <row r="7791" spans="1:6" x14ac:dyDescent="0.2">
      <c r="A7791">
        <v>15</v>
      </c>
      <c r="E7791" t="str">
        <f t="shared" si="262"/>
        <v>P</v>
      </c>
      <c r="F7791" t="str">
        <f t="shared" si="263"/>
        <v>15P</v>
      </c>
    </row>
    <row r="7792" spans="1:6" x14ac:dyDescent="0.2">
      <c r="A7792">
        <v>16</v>
      </c>
      <c r="E7792" t="str">
        <f t="shared" ref="E7792:E7855" si="264">E7766</f>
        <v>Q</v>
      </c>
      <c r="F7792" t="str">
        <f t="shared" si="263"/>
        <v>16Q</v>
      </c>
    </row>
    <row r="7793" spans="1:6" x14ac:dyDescent="0.2">
      <c r="A7793">
        <v>17</v>
      </c>
      <c r="E7793" t="str">
        <f t="shared" si="264"/>
        <v>R</v>
      </c>
      <c r="F7793" t="str">
        <f t="shared" si="263"/>
        <v>17R</v>
      </c>
    </row>
    <row r="7794" spans="1:6" x14ac:dyDescent="0.2">
      <c r="A7794">
        <v>18</v>
      </c>
      <c r="E7794" t="str">
        <f t="shared" si="264"/>
        <v>S</v>
      </c>
      <c r="F7794" t="str">
        <f t="shared" si="263"/>
        <v>18S</v>
      </c>
    </row>
    <row r="7795" spans="1:6" x14ac:dyDescent="0.2">
      <c r="A7795">
        <v>19</v>
      </c>
      <c r="E7795" t="str">
        <f t="shared" si="264"/>
        <v>T</v>
      </c>
      <c r="F7795" t="str">
        <f t="shared" si="263"/>
        <v>19T</v>
      </c>
    </row>
    <row r="7796" spans="1:6" x14ac:dyDescent="0.2">
      <c r="A7796">
        <v>20</v>
      </c>
      <c r="E7796" t="str">
        <f t="shared" si="264"/>
        <v>U</v>
      </c>
      <c r="F7796" t="str">
        <f t="shared" si="263"/>
        <v>20U</v>
      </c>
    </row>
    <row r="7797" spans="1:6" x14ac:dyDescent="0.2">
      <c r="A7797">
        <v>21</v>
      </c>
      <c r="E7797" t="str">
        <f t="shared" si="264"/>
        <v>V</v>
      </c>
      <c r="F7797" t="str">
        <f t="shared" si="263"/>
        <v>21V</v>
      </c>
    </row>
    <row r="7798" spans="1:6" x14ac:dyDescent="0.2">
      <c r="A7798">
        <v>22</v>
      </c>
      <c r="E7798" t="str">
        <f t="shared" si="264"/>
        <v>W</v>
      </c>
      <c r="F7798" t="str">
        <f t="shared" si="263"/>
        <v>22W</v>
      </c>
    </row>
    <row r="7799" spans="1:6" x14ac:dyDescent="0.2">
      <c r="A7799">
        <v>23</v>
      </c>
      <c r="E7799" t="str">
        <f t="shared" si="264"/>
        <v>X</v>
      </c>
      <c r="F7799" t="str">
        <f t="shared" si="263"/>
        <v>23X</v>
      </c>
    </row>
    <row r="7800" spans="1:6" x14ac:dyDescent="0.2">
      <c r="A7800">
        <v>24</v>
      </c>
      <c r="E7800" t="str">
        <f t="shared" si="264"/>
        <v>Y</v>
      </c>
      <c r="F7800" t="str">
        <f t="shared" si="263"/>
        <v>24Y</v>
      </c>
    </row>
    <row r="7801" spans="1:6" x14ac:dyDescent="0.2">
      <c r="A7801">
        <v>25</v>
      </c>
      <c r="E7801" t="str">
        <f t="shared" si="264"/>
        <v>Z</v>
      </c>
      <c r="F7801" t="str">
        <f t="shared" si="263"/>
        <v>25Z</v>
      </c>
    </row>
    <row r="7802" spans="1:6" x14ac:dyDescent="0.2">
      <c r="A7802">
        <v>0</v>
      </c>
      <c r="E7802" t="str">
        <f t="shared" si="264"/>
        <v>A</v>
      </c>
      <c r="F7802" t="str">
        <f t="shared" si="263"/>
        <v>0A</v>
      </c>
    </row>
    <row r="7803" spans="1:6" x14ac:dyDescent="0.2">
      <c r="A7803">
        <v>1</v>
      </c>
      <c r="E7803" t="str">
        <f t="shared" si="264"/>
        <v>B</v>
      </c>
      <c r="F7803" t="str">
        <f t="shared" si="263"/>
        <v>1B</v>
      </c>
    </row>
    <row r="7804" spans="1:6" x14ac:dyDescent="0.2">
      <c r="A7804">
        <v>2</v>
      </c>
      <c r="E7804" t="str">
        <f t="shared" si="264"/>
        <v>C</v>
      </c>
      <c r="F7804" t="str">
        <f t="shared" si="263"/>
        <v>2C</v>
      </c>
    </row>
    <row r="7805" spans="1:6" x14ac:dyDescent="0.2">
      <c r="A7805">
        <v>3</v>
      </c>
      <c r="E7805" t="str">
        <f t="shared" si="264"/>
        <v>D</v>
      </c>
      <c r="F7805" t="str">
        <f t="shared" si="263"/>
        <v>3D</v>
      </c>
    </row>
    <row r="7806" spans="1:6" x14ac:dyDescent="0.2">
      <c r="A7806">
        <v>4</v>
      </c>
      <c r="E7806" t="str">
        <f t="shared" si="264"/>
        <v>E</v>
      </c>
      <c r="F7806" t="str">
        <f t="shared" si="263"/>
        <v>4E</v>
      </c>
    </row>
    <row r="7807" spans="1:6" x14ac:dyDescent="0.2">
      <c r="A7807">
        <v>5</v>
      </c>
      <c r="E7807" t="str">
        <f t="shared" si="264"/>
        <v>F</v>
      </c>
      <c r="F7807" t="str">
        <f t="shared" si="263"/>
        <v>5F</v>
      </c>
    </row>
    <row r="7808" spans="1:6" x14ac:dyDescent="0.2">
      <c r="A7808">
        <v>6</v>
      </c>
      <c r="E7808" t="str">
        <f t="shared" si="264"/>
        <v>G</v>
      </c>
      <c r="F7808" t="str">
        <f t="shared" si="263"/>
        <v>6G</v>
      </c>
    </row>
    <row r="7809" spans="1:6" x14ac:dyDescent="0.2">
      <c r="A7809">
        <v>7</v>
      </c>
      <c r="E7809" t="str">
        <f t="shared" si="264"/>
        <v>H</v>
      </c>
      <c r="F7809" t="str">
        <f t="shared" si="263"/>
        <v>7H</v>
      </c>
    </row>
    <row r="7810" spans="1:6" x14ac:dyDescent="0.2">
      <c r="A7810">
        <v>8</v>
      </c>
      <c r="E7810" t="str">
        <f t="shared" si="264"/>
        <v>I</v>
      </c>
      <c r="F7810" t="str">
        <f t="shared" si="263"/>
        <v>8I</v>
      </c>
    </row>
    <row r="7811" spans="1:6" x14ac:dyDescent="0.2">
      <c r="A7811">
        <v>9</v>
      </c>
      <c r="E7811" t="str">
        <f t="shared" si="264"/>
        <v>J</v>
      </c>
      <c r="F7811" t="str">
        <f t="shared" si="263"/>
        <v>9J</v>
      </c>
    </row>
    <row r="7812" spans="1:6" x14ac:dyDescent="0.2">
      <c r="A7812">
        <v>10</v>
      </c>
      <c r="E7812" t="str">
        <f t="shared" si="264"/>
        <v>K</v>
      </c>
      <c r="F7812" t="str">
        <f t="shared" si="263"/>
        <v>10K</v>
      </c>
    </row>
    <row r="7813" spans="1:6" x14ac:dyDescent="0.2">
      <c r="A7813">
        <v>11</v>
      </c>
      <c r="E7813" t="str">
        <f t="shared" si="264"/>
        <v>L</v>
      </c>
      <c r="F7813" t="str">
        <f t="shared" si="263"/>
        <v>11L</v>
      </c>
    </row>
    <row r="7814" spans="1:6" x14ac:dyDescent="0.2">
      <c r="A7814">
        <v>12</v>
      </c>
      <c r="E7814" t="str">
        <f t="shared" si="264"/>
        <v>M</v>
      </c>
      <c r="F7814" t="str">
        <f t="shared" si="263"/>
        <v>12M</v>
      </c>
    </row>
    <row r="7815" spans="1:6" x14ac:dyDescent="0.2">
      <c r="A7815">
        <v>13</v>
      </c>
      <c r="E7815" t="str">
        <f t="shared" si="264"/>
        <v>N</v>
      </c>
      <c r="F7815" t="str">
        <f t="shared" si="263"/>
        <v>13N</v>
      </c>
    </row>
    <row r="7816" spans="1:6" x14ac:dyDescent="0.2">
      <c r="A7816">
        <v>14</v>
      </c>
      <c r="E7816" t="str">
        <f t="shared" si="264"/>
        <v>O</v>
      </c>
      <c r="F7816" t="str">
        <f t="shared" si="263"/>
        <v>14O</v>
      </c>
    </row>
    <row r="7817" spans="1:6" x14ac:dyDescent="0.2">
      <c r="A7817">
        <v>15</v>
      </c>
      <c r="E7817" t="str">
        <f t="shared" si="264"/>
        <v>P</v>
      </c>
      <c r="F7817" t="str">
        <f t="shared" si="263"/>
        <v>15P</v>
      </c>
    </row>
    <row r="7818" spans="1:6" x14ac:dyDescent="0.2">
      <c r="A7818">
        <v>16</v>
      </c>
      <c r="E7818" t="str">
        <f t="shared" si="264"/>
        <v>Q</v>
      </c>
      <c r="F7818" t="str">
        <f t="shared" si="263"/>
        <v>16Q</v>
      </c>
    </row>
    <row r="7819" spans="1:6" x14ac:dyDescent="0.2">
      <c r="A7819">
        <v>17</v>
      </c>
      <c r="E7819" t="str">
        <f t="shared" si="264"/>
        <v>R</v>
      </c>
      <c r="F7819" t="str">
        <f t="shared" si="263"/>
        <v>17R</v>
      </c>
    </row>
    <row r="7820" spans="1:6" x14ac:dyDescent="0.2">
      <c r="A7820">
        <v>18</v>
      </c>
      <c r="E7820" t="str">
        <f t="shared" si="264"/>
        <v>S</v>
      </c>
      <c r="F7820" t="str">
        <f t="shared" si="263"/>
        <v>18S</v>
      </c>
    </row>
    <row r="7821" spans="1:6" x14ac:dyDescent="0.2">
      <c r="A7821">
        <v>19</v>
      </c>
      <c r="E7821" t="str">
        <f t="shared" si="264"/>
        <v>T</v>
      </c>
      <c r="F7821" t="str">
        <f t="shared" si="263"/>
        <v>19T</v>
      </c>
    </row>
    <row r="7822" spans="1:6" x14ac:dyDescent="0.2">
      <c r="A7822">
        <v>20</v>
      </c>
      <c r="E7822" t="str">
        <f t="shared" si="264"/>
        <v>U</v>
      </c>
      <c r="F7822" t="str">
        <f t="shared" si="263"/>
        <v>20U</v>
      </c>
    </row>
    <row r="7823" spans="1:6" x14ac:dyDescent="0.2">
      <c r="A7823">
        <v>21</v>
      </c>
      <c r="E7823" t="str">
        <f t="shared" si="264"/>
        <v>V</v>
      </c>
      <c r="F7823" t="str">
        <f t="shared" si="263"/>
        <v>21V</v>
      </c>
    </row>
    <row r="7824" spans="1:6" x14ac:dyDescent="0.2">
      <c r="A7824">
        <v>22</v>
      </c>
      <c r="E7824" t="str">
        <f t="shared" si="264"/>
        <v>W</v>
      </c>
      <c r="F7824" t="str">
        <f t="shared" si="263"/>
        <v>22W</v>
      </c>
    </row>
    <row r="7825" spans="1:6" x14ac:dyDescent="0.2">
      <c r="A7825">
        <v>23</v>
      </c>
      <c r="E7825" t="str">
        <f t="shared" si="264"/>
        <v>X</v>
      </c>
      <c r="F7825" t="str">
        <f t="shared" si="263"/>
        <v>23X</v>
      </c>
    </row>
    <row r="7826" spans="1:6" x14ac:dyDescent="0.2">
      <c r="A7826">
        <v>24</v>
      </c>
      <c r="E7826" t="str">
        <f t="shared" si="264"/>
        <v>Y</v>
      </c>
      <c r="F7826" t="str">
        <f t="shared" si="263"/>
        <v>24Y</v>
      </c>
    </row>
    <row r="7827" spans="1:6" x14ac:dyDescent="0.2">
      <c r="A7827">
        <v>25</v>
      </c>
      <c r="E7827" t="str">
        <f t="shared" si="264"/>
        <v>Z</v>
      </c>
      <c r="F7827" t="str">
        <f t="shared" si="263"/>
        <v>25Z</v>
      </c>
    </row>
    <row r="7828" spans="1:6" x14ac:dyDescent="0.2">
      <c r="A7828">
        <v>0</v>
      </c>
      <c r="E7828" t="str">
        <f t="shared" si="264"/>
        <v>A</v>
      </c>
      <c r="F7828" t="str">
        <f t="shared" si="263"/>
        <v>0A</v>
      </c>
    </row>
    <row r="7829" spans="1:6" x14ac:dyDescent="0.2">
      <c r="A7829">
        <v>1</v>
      </c>
      <c r="E7829" t="str">
        <f t="shared" si="264"/>
        <v>B</v>
      </c>
      <c r="F7829" t="str">
        <f t="shared" si="263"/>
        <v>1B</v>
      </c>
    </row>
    <row r="7830" spans="1:6" x14ac:dyDescent="0.2">
      <c r="A7830">
        <v>2</v>
      </c>
      <c r="E7830" t="str">
        <f t="shared" si="264"/>
        <v>C</v>
      </c>
      <c r="F7830" t="str">
        <f t="shared" ref="F7830:F7893" si="265">A7830&amp;C7830&amp;E7830</f>
        <v>2C</v>
      </c>
    </row>
    <row r="7831" spans="1:6" x14ac:dyDescent="0.2">
      <c r="A7831">
        <v>3</v>
      </c>
      <c r="E7831" t="str">
        <f t="shared" si="264"/>
        <v>D</v>
      </c>
      <c r="F7831" t="str">
        <f t="shared" si="265"/>
        <v>3D</v>
      </c>
    </row>
    <row r="7832" spans="1:6" x14ac:dyDescent="0.2">
      <c r="A7832">
        <v>4</v>
      </c>
      <c r="E7832" t="str">
        <f t="shared" si="264"/>
        <v>E</v>
      </c>
      <c r="F7832" t="str">
        <f t="shared" si="265"/>
        <v>4E</v>
      </c>
    </row>
    <row r="7833" spans="1:6" x14ac:dyDescent="0.2">
      <c r="A7833">
        <v>5</v>
      </c>
      <c r="E7833" t="str">
        <f t="shared" si="264"/>
        <v>F</v>
      </c>
      <c r="F7833" t="str">
        <f t="shared" si="265"/>
        <v>5F</v>
      </c>
    </row>
    <row r="7834" spans="1:6" x14ac:dyDescent="0.2">
      <c r="A7834">
        <v>6</v>
      </c>
      <c r="E7834" t="str">
        <f t="shared" si="264"/>
        <v>G</v>
      </c>
      <c r="F7834" t="str">
        <f t="shared" si="265"/>
        <v>6G</v>
      </c>
    </row>
    <row r="7835" spans="1:6" x14ac:dyDescent="0.2">
      <c r="A7835">
        <v>7</v>
      </c>
      <c r="E7835" t="str">
        <f t="shared" si="264"/>
        <v>H</v>
      </c>
      <c r="F7835" t="str">
        <f t="shared" si="265"/>
        <v>7H</v>
      </c>
    </row>
    <row r="7836" spans="1:6" x14ac:dyDescent="0.2">
      <c r="A7836">
        <v>8</v>
      </c>
      <c r="E7836" t="str">
        <f t="shared" si="264"/>
        <v>I</v>
      </c>
      <c r="F7836" t="str">
        <f t="shared" si="265"/>
        <v>8I</v>
      </c>
    </row>
    <row r="7837" spans="1:6" x14ac:dyDescent="0.2">
      <c r="A7837">
        <v>9</v>
      </c>
      <c r="E7837" t="str">
        <f t="shared" si="264"/>
        <v>J</v>
      </c>
      <c r="F7837" t="str">
        <f t="shared" si="265"/>
        <v>9J</v>
      </c>
    </row>
    <row r="7838" spans="1:6" x14ac:dyDescent="0.2">
      <c r="A7838">
        <v>10</v>
      </c>
      <c r="E7838" t="str">
        <f t="shared" si="264"/>
        <v>K</v>
      </c>
      <c r="F7838" t="str">
        <f t="shared" si="265"/>
        <v>10K</v>
      </c>
    </row>
    <row r="7839" spans="1:6" x14ac:dyDescent="0.2">
      <c r="A7839">
        <v>11</v>
      </c>
      <c r="E7839" t="str">
        <f t="shared" si="264"/>
        <v>L</v>
      </c>
      <c r="F7839" t="str">
        <f t="shared" si="265"/>
        <v>11L</v>
      </c>
    </row>
    <row r="7840" spans="1:6" x14ac:dyDescent="0.2">
      <c r="A7840">
        <v>12</v>
      </c>
      <c r="E7840" t="str">
        <f t="shared" si="264"/>
        <v>M</v>
      </c>
      <c r="F7840" t="str">
        <f t="shared" si="265"/>
        <v>12M</v>
      </c>
    </row>
    <row r="7841" spans="1:6" x14ac:dyDescent="0.2">
      <c r="A7841">
        <v>13</v>
      </c>
      <c r="E7841" t="str">
        <f t="shared" si="264"/>
        <v>N</v>
      </c>
      <c r="F7841" t="str">
        <f t="shared" si="265"/>
        <v>13N</v>
      </c>
    </row>
    <row r="7842" spans="1:6" x14ac:dyDescent="0.2">
      <c r="A7842">
        <v>14</v>
      </c>
      <c r="E7842" t="str">
        <f t="shared" si="264"/>
        <v>O</v>
      </c>
      <c r="F7842" t="str">
        <f t="shared" si="265"/>
        <v>14O</v>
      </c>
    </row>
    <row r="7843" spans="1:6" x14ac:dyDescent="0.2">
      <c r="A7843">
        <v>15</v>
      </c>
      <c r="E7843" t="str">
        <f t="shared" si="264"/>
        <v>P</v>
      </c>
      <c r="F7843" t="str">
        <f t="shared" si="265"/>
        <v>15P</v>
      </c>
    </row>
    <row r="7844" spans="1:6" x14ac:dyDescent="0.2">
      <c r="A7844">
        <v>16</v>
      </c>
      <c r="E7844" t="str">
        <f t="shared" si="264"/>
        <v>Q</v>
      </c>
      <c r="F7844" t="str">
        <f t="shared" si="265"/>
        <v>16Q</v>
      </c>
    </row>
    <row r="7845" spans="1:6" x14ac:dyDescent="0.2">
      <c r="A7845">
        <v>17</v>
      </c>
      <c r="E7845" t="str">
        <f t="shared" si="264"/>
        <v>R</v>
      </c>
      <c r="F7845" t="str">
        <f t="shared" si="265"/>
        <v>17R</v>
      </c>
    </row>
    <row r="7846" spans="1:6" x14ac:dyDescent="0.2">
      <c r="A7846">
        <v>18</v>
      </c>
      <c r="E7846" t="str">
        <f t="shared" si="264"/>
        <v>S</v>
      </c>
      <c r="F7846" t="str">
        <f t="shared" si="265"/>
        <v>18S</v>
      </c>
    </row>
    <row r="7847" spans="1:6" x14ac:dyDescent="0.2">
      <c r="A7847">
        <v>19</v>
      </c>
      <c r="E7847" t="str">
        <f t="shared" si="264"/>
        <v>T</v>
      </c>
      <c r="F7847" t="str">
        <f t="shared" si="265"/>
        <v>19T</v>
      </c>
    </row>
    <row r="7848" spans="1:6" x14ac:dyDescent="0.2">
      <c r="A7848">
        <v>20</v>
      </c>
      <c r="E7848" t="str">
        <f t="shared" si="264"/>
        <v>U</v>
      </c>
      <c r="F7848" t="str">
        <f t="shared" si="265"/>
        <v>20U</v>
      </c>
    </row>
    <row r="7849" spans="1:6" x14ac:dyDescent="0.2">
      <c r="A7849">
        <v>21</v>
      </c>
      <c r="E7849" t="str">
        <f t="shared" si="264"/>
        <v>V</v>
      </c>
      <c r="F7849" t="str">
        <f t="shared" si="265"/>
        <v>21V</v>
      </c>
    </row>
    <row r="7850" spans="1:6" x14ac:dyDescent="0.2">
      <c r="A7850">
        <v>22</v>
      </c>
      <c r="E7850" t="str">
        <f t="shared" si="264"/>
        <v>W</v>
      </c>
      <c r="F7850" t="str">
        <f t="shared" si="265"/>
        <v>22W</v>
      </c>
    </row>
    <row r="7851" spans="1:6" x14ac:dyDescent="0.2">
      <c r="A7851">
        <v>23</v>
      </c>
      <c r="E7851" t="str">
        <f t="shared" si="264"/>
        <v>X</v>
      </c>
      <c r="F7851" t="str">
        <f t="shared" si="265"/>
        <v>23X</v>
      </c>
    </row>
    <row r="7852" spans="1:6" x14ac:dyDescent="0.2">
      <c r="A7852">
        <v>24</v>
      </c>
      <c r="E7852" t="str">
        <f t="shared" si="264"/>
        <v>Y</v>
      </c>
      <c r="F7852" t="str">
        <f t="shared" si="265"/>
        <v>24Y</v>
      </c>
    </row>
    <row r="7853" spans="1:6" x14ac:dyDescent="0.2">
      <c r="A7853">
        <v>25</v>
      </c>
      <c r="E7853" t="str">
        <f t="shared" si="264"/>
        <v>Z</v>
      </c>
      <c r="F7853" t="str">
        <f t="shared" si="265"/>
        <v>25Z</v>
      </c>
    </row>
    <row r="7854" spans="1:6" x14ac:dyDescent="0.2">
      <c r="A7854">
        <v>0</v>
      </c>
      <c r="E7854" t="str">
        <f t="shared" si="264"/>
        <v>A</v>
      </c>
      <c r="F7854" t="str">
        <f t="shared" si="265"/>
        <v>0A</v>
      </c>
    </row>
    <row r="7855" spans="1:6" x14ac:dyDescent="0.2">
      <c r="A7855">
        <v>1</v>
      </c>
      <c r="E7855" t="str">
        <f t="shared" si="264"/>
        <v>B</v>
      </c>
      <c r="F7855" t="str">
        <f t="shared" si="265"/>
        <v>1B</v>
      </c>
    </row>
    <row r="7856" spans="1:6" x14ac:dyDescent="0.2">
      <c r="A7856">
        <v>2</v>
      </c>
      <c r="E7856" t="str">
        <f t="shared" ref="E7856:E7919" si="266">E7830</f>
        <v>C</v>
      </c>
      <c r="F7856" t="str">
        <f t="shared" si="265"/>
        <v>2C</v>
      </c>
    </row>
    <row r="7857" spans="1:6" x14ac:dyDescent="0.2">
      <c r="A7857">
        <v>3</v>
      </c>
      <c r="E7857" t="str">
        <f t="shared" si="266"/>
        <v>D</v>
      </c>
      <c r="F7857" t="str">
        <f t="shared" si="265"/>
        <v>3D</v>
      </c>
    </row>
    <row r="7858" spans="1:6" x14ac:dyDescent="0.2">
      <c r="A7858">
        <v>4</v>
      </c>
      <c r="E7858" t="str">
        <f t="shared" si="266"/>
        <v>E</v>
      </c>
      <c r="F7858" t="str">
        <f t="shared" si="265"/>
        <v>4E</v>
      </c>
    </row>
    <row r="7859" spans="1:6" x14ac:dyDescent="0.2">
      <c r="A7859">
        <v>5</v>
      </c>
      <c r="E7859" t="str">
        <f t="shared" si="266"/>
        <v>F</v>
      </c>
      <c r="F7859" t="str">
        <f t="shared" si="265"/>
        <v>5F</v>
      </c>
    </row>
    <row r="7860" spans="1:6" x14ac:dyDescent="0.2">
      <c r="A7860">
        <v>6</v>
      </c>
      <c r="E7860" t="str">
        <f t="shared" si="266"/>
        <v>G</v>
      </c>
      <c r="F7860" t="str">
        <f t="shared" si="265"/>
        <v>6G</v>
      </c>
    </row>
    <row r="7861" spans="1:6" x14ac:dyDescent="0.2">
      <c r="A7861">
        <v>7</v>
      </c>
      <c r="E7861" t="str">
        <f t="shared" si="266"/>
        <v>H</v>
      </c>
      <c r="F7861" t="str">
        <f t="shared" si="265"/>
        <v>7H</v>
      </c>
    </row>
    <row r="7862" spans="1:6" x14ac:dyDescent="0.2">
      <c r="A7862">
        <v>8</v>
      </c>
      <c r="E7862" t="str">
        <f t="shared" si="266"/>
        <v>I</v>
      </c>
      <c r="F7862" t="str">
        <f t="shared" si="265"/>
        <v>8I</v>
      </c>
    </row>
    <row r="7863" spans="1:6" x14ac:dyDescent="0.2">
      <c r="A7863">
        <v>9</v>
      </c>
      <c r="E7863" t="str">
        <f t="shared" si="266"/>
        <v>J</v>
      </c>
      <c r="F7863" t="str">
        <f t="shared" si="265"/>
        <v>9J</v>
      </c>
    </row>
    <row r="7864" spans="1:6" x14ac:dyDescent="0.2">
      <c r="A7864">
        <v>10</v>
      </c>
      <c r="E7864" t="str">
        <f t="shared" si="266"/>
        <v>K</v>
      </c>
      <c r="F7864" t="str">
        <f t="shared" si="265"/>
        <v>10K</v>
      </c>
    </row>
    <row r="7865" spans="1:6" x14ac:dyDescent="0.2">
      <c r="A7865">
        <v>11</v>
      </c>
      <c r="E7865" t="str">
        <f t="shared" si="266"/>
        <v>L</v>
      </c>
      <c r="F7865" t="str">
        <f t="shared" si="265"/>
        <v>11L</v>
      </c>
    </row>
    <row r="7866" spans="1:6" x14ac:dyDescent="0.2">
      <c r="A7866">
        <v>12</v>
      </c>
      <c r="E7866" t="str">
        <f t="shared" si="266"/>
        <v>M</v>
      </c>
      <c r="F7866" t="str">
        <f t="shared" si="265"/>
        <v>12M</v>
      </c>
    </row>
    <row r="7867" spans="1:6" x14ac:dyDescent="0.2">
      <c r="A7867">
        <v>13</v>
      </c>
      <c r="E7867" t="str">
        <f t="shared" si="266"/>
        <v>N</v>
      </c>
      <c r="F7867" t="str">
        <f t="shared" si="265"/>
        <v>13N</v>
      </c>
    </row>
    <row r="7868" spans="1:6" x14ac:dyDescent="0.2">
      <c r="A7868">
        <v>14</v>
      </c>
      <c r="E7868" t="str">
        <f t="shared" si="266"/>
        <v>O</v>
      </c>
      <c r="F7868" t="str">
        <f t="shared" si="265"/>
        <v>14O</v>
      </c>
    </row>
    <row r="7869" spans="1:6" x14ac:dyDescent="0.2">
      <c r="A7869">
        <v>15</v>
      </c>
      <c r="E7869" t="str">
        <f t="shared" si="266"/>
        <v>P</v>
      </c>
      <c r="F7869" t="str">
        <f t="shared" si="265"/>
        <v>15P</v>
      </c>
    </row>
    <row r="7870" spans="1:6" x14ac:dyDescent="0.2">
      <c r="A7870">
        <v>16</v>
      </c>
      <c r="E7870" t="str">
        <f t="shared" si="266"/>
        <v>Q</v>
      </c>
      <c r="F7870" t="str">
        <f t="shared" si="265"/>
        <v>16Q</v>
      </c>
    </row>
    <row r="7871" spans="1:6" x14ac:dyDescent="0.2">
      <c r="A7871">
        <v>17</v>
      </c>
      <c r="E7871" t="str">
        <f t="shared" si="266"/>
        <v>R</v>
      </c>
      <c r="F7871" t="str">
        <f t="shared" si="265"/>
        <v>17R</v>
      </c>
    </row>
    <row r="7872" spans="1:6" x14ac:dyDescent="0.2">
      <c r="A7872">
        <v>18</v>
      </c>
      <c r="E7872" t="str">
        <f t="shared" si="266"/>
        <v>S</v>
      </c>
      <c r="F7872" t="str">
        <f t="shared" si="265"/>
        <v>18S</v>
      </c>
    </row>
    <row r="7873" spans="1:6" x14ac:dyDescent="0.2">
      <c r="A7873">
        <v>19</v>
      </c>
      <c r="E7873" t="str">
        <f t="shared" si="266"/>
        <v>T</v>
      </c>
      <c r="F7873" t="str">
        <f t="shared" si="265"/>
        <v>19T</v>
      </c>
    </row>
    <row r="7874" spans="1:6" x14ac:dyDescent="0.2">
      <c r="A7874">
        <v>20</v>
      </c>
      <c r="E7874" t="str">
        <f t="shared" si="266"/>
        <v>U</v>
      </c>
      <c r="F7874" t="str">
        <f t="shared" si="265"/>
        <v>20U</v>
      </c>
    </row>
    <row r="7875" spans="1:6" x14ac:dyDescent="0.2">
      <c r="A7875">
        <v>21</v>
      </c>
      <c r="E7875" t="str">
        <f t="shared" si="266"/>
        <v>V</v>
      </c>
      <c r="F7875" t="str">
        <f t="shared" si="265"/>
        <v>21V</v>
      </c>
    </row>
    <row r="7876" spans="1:6" x14ac:dyDescent="0.2">
      <c r="A7876">
        <v>22</v>
      </c>
      <c r="E7876" t="str">
        <f t="shared" si="266"/>
        <v>W</v>
      </c>
      <c r="F7876" t="str">
        <f t="shared" si="265"/>
        <v>22W</v>
      </c>
    </row>
    <row r="7877" spans="1:6" x14ac:dyDescent="0.2">
      <c r="A7877">
        <v>23</v>
      </c>
      <c r="E7877" t="str">
        <f t="shared" si="266"/>
        <v>X</v>
      </c>
      <c r="F7877" t="str">
        <f t="shared" si="265"/>
        <v>23X</v>
      </c>
    </row>
    <row r="7878" spans="1:6" x14ac:dyDescent="0.2">
      <c r="A7878">
        <v>24</v>
      </c>
      <c r="E7878" t="str">
        <f t="shared" si="266"/>
        <v>Y</v>
      </c>
      <c r="F7878" t="str">
        <f t="shared" si="265"/>
        <v>24Y</v>
      </c>
    </row>
    <row r="7879" spans="1:6" x14ac:dyDescent="0.2">
      <c r="A7879">
        <v>25</v>
      </c>
      <c r="E7879" t="str">
        <f t="shared" si="266"/>
        <v>Z</v>
      </c>
      <c r="F7879" t="str">
        <f t="shared" si="265"/>
        <v>25Z</v>
      </c>
    </row>
    <row r="7880" spans="1:6" x14ac:dyDescent="0.2">
      <c r="A7880">
        <v>0</v>
      </c>
      <c r="E7880" t="str">
        <f t="shared" si="266"/>
        <v>A</v>
      </c>
      <c r="F7880" t="str">
        <f t="shared" si="265"/>
        <v>0A</v>
      </c>
    </row>
    <row r="7881" spans="1:6" x14ac:dyDescent="0.2">
      <c r="A7881">
        <v>1</v>
      </c>
      <c r="E7881" t="str">
        <f t="shared" si="266"/>
        <v>B</v>
      </c>
      <c r="F7881" t="str">
        <f t="shared" si="265"/>
        <v>1B</v>
      </c>
    </row>
    <row r="7882" spans="1:6" x14ac:dyDescent="0.2">
      <c r="A7882">
        <v>2</v>
      </c>
      <c r="E7882" t="str">
        <f t="shared" si="266"/>
        <v>C</v>
      </c>
      <c r="F7882" t="str">
        <f t="shared" si="265"/>
        <v>2C</v>
      </c>
    </row>
    <row r="7883" spans="1:6" x14ac:dyDescent="0.2">
      <c r="A7883">
        <v>3</v>
      </c>
      <c r="E7883" t="str">
        <f t="shared" si="266"/>
        <v>D</v>
      </c>
      <c r="F7883" t="str">
        <f t="shared" si="265"/>
        <v>3D</v>
      </c>
    </row>
    <row r="7884" spans="1:6" x14ac:dyDescent="0.2">
      <c r="A7884">
        <v>4</v>
      </c>
      <c r="E7884" t="str">
        <f t="shared" si="266"/>
        <v>E</v>
      </c>
      <c r="F7884" t="str">
        <f t="shared" si="265"/>
        <v>4E</v>
      </c>
    </row>
    <row r="7885" spans="1:6" x14ac:dyDescent="0.2">
      <c r="A7885">
        <v>5</v>
      </c>
      <c r="E7885" t="str">
        <f t="shared" si="266"/>
        <v>F</v>
      </c>
      <c r="F7885" t="str">
        <f t="shared" si="265"/>
        <v>5F</v>
      </c>
    </row>
    <row r="7886" spans="1:6" x14ac:dyDescent="0.2">
      <c r="A7886">
        <v>6</v>
      </c>
      <c r="E7886" t="str">
        <f t="shared" si="266"/>
        <v>G</v>
      </c>
      <c r="F7886" t="str">
        <f t="shared" si="265"/>
        <v>6G</v>
      </c>
    </row>
    <row r="7887" spans="1:6" x14ac:dyDescent="0.2">
      <c r="A7887">
        <v>7</v>
      </c>
      <c r="E7887" t="str">
        <f t="shared" si="266"/>
        <v>H</v>
      </c>
      <c r="F7887" t="str">
        <f t="shared" si="265"/>
        <v>7H</v>
      </c>
    </row>
    <row r="7888" spans="1:6" x14ac:dyDescent="0.2">
      <c r="A7888">
        <v>8</v>
      </c>
      <c r="E7888" t="str">
        <f t="shared" si="266"/>
        <v>I</v>
      </c>
      <c r="F7888" t="str">
        <f t="shared" si="265"/>
        <v>8I</v>
      </c>
    </row>
    <row r="7889" spans="1:6" x14ac:dyDescent="0.2">
      <c r="A7889">
        <v>9</v>
      </c>
      <c r="E7889" t="str">
        <f t="shared" si="266"/>
        <v>J</v>
      </c>
      <c r="F7889" t="str">
        <f t="shared" si="265"/>
        <v>9J</v>
      </c>
    </row>
    <row r="7890" spans="1:6" x14ac:dyDescent="0.2">
      <c r="A7890">
        <v>10</v>
      </c>
      <c r="E7890" t="str">
        <f t="shared" si="266"/>
        <v>K</v>
      </c>
      <c r="F7890" t="str">
        <f t="shared" si="265"/>
        <v>10K</v>
      </c>
    </row>
    <row r="7891" spans="1:6" x14ac:dyDescent="0.2">
      <c r="A7891">
        <v>11</v>
      </c>
      <c r="E7891" t="str">
        <f t="shared" si="266"/>
        <v>L</v>
      </c>
      <c r="F7891" t="str">
        <f t="shared" si="265"/>
        <v>11L</v>
      </c>
    </row>
    <row r="7892" spans="1:6" x14ac:dyDescent="0.2">
      <c r="A7892">
        <v>12</v>
      </c>
      <c r="E7892" t="str">
        <f t="shared" si="266"/>
        <v>M</v>
      </c>
      <c r="F7892" t="str">
        <f t="shared" si="265"/>
        <v>12M</v>
      </c>
    </row>
    <row r="7893" spans="1:6" x14ac:dyDescent="0.2">
      <c r="A7893">
        <v>13</v>
      </c>
      <c r="E7893" t="str">
        <f t="shared" si="266"/>
        <v>N</v>
      </c>
      <c r="F7893" t="str">
        <f t="shared" si="265"/>
        <v>13N</v>
      </c>
    </row>
    <row r="7894" spans="1:6" x14ac:dyDescent="0.2">
      <c r="A7894">
        <v>14</v>
      </c>
      <c r="E7894" t="str">
        <f t="shared" si="266"/>
        <v>O</v>
      </c>
      <c r="F7894" t="str">
        <f t="shared" ref="F7894:F7957" si="267">A7894&amp;C7894&amp;E7894</f>
        <v>14O</v>
      </c>
    </row>
    <row r="7895" spans="1:6" x14ac:dyDescent="0.2">
      <c r="A7895">
        <v>15</v>
      </c>
      <c r="E7895" t="str">
        <f t="shared" si="266"/>
        <v>P</v>
      </c>
      <c r="F7895" t="str">
        <f t="shared" si="267"/>
        <v>15P</v>
      </c>
    </row>
    <row r="7896" spans="1:6" x14ac:dyDescent="0.2">
      <c r="A7896">
        <v>16</v>
      </c>
      <c r="E7896" t="str">
        <f t="shared" si="266"/>
        <v>Q</v>
      </c>
      <c r="F7896" t="str">
        <f t="shared" si="267"/>
        <v>16Q</v>
      </c>
    </row>
    <row r="7897" spans="1:6" x14ac:dyDescent="0.2">
      <c r="A7897">
        <v>17</v>
      </c>
      <c r="E7897" t="str">
        <f t="shared" si="266"/>
        <v>R</v>
      </c>
      <c r="F7897" t="str">
        <f t="shared" si="267"/>
        <v>17R</v>
      </c>
    </row>
    <row r="7898" spans="1:6" x14ac:dyDescent="0.2">
      <c r="A7898">
        <v>18</v>
      </c>
      <c r="E7898" t="str">
        <f t="shared" si="266"/>
        <v>S</v>
      </c>
      <c r="F7898" t="str">
        <f t="shared" si="267"/>
        <v>18S</v>
      </c>
    </row>
    <row r="7899" spans="1:6" x14ac:dyDescent="0.2">
      <c r="A7899">
        <v>19</v>
      </c>
      <c r="E7899" t="str">
        <f t="shared" si="266"/>
        <v>T</v>
      </c>
      <c r="F7899" t="str">
        <f t="shared" si="267"/>
        <v>19T</v>
      </c>
    </row>
    <row r="7900" spans="1:6" x14ac:dyDescent="0.2">
      <c r="A7900">
        <v>20</v>
      </c>
      <c r="E7900" t="str">
        <f t="shared" si="266"/>
        <v>U</v>
      </c>
      <c r="F7900" t="str">
        <f t="shared" si="267"/>
        <v>20U</v>
      </c>
    </row>
    <row r="7901" spans="1:6" x14ac:dyDescent="0.2">
      <c r="A7901">
        <v>21</v>
      </c>
      <c r="E7901" t="str">
        <f t="shared" si="266"/>
        <v>V</v>
      </c>
      <c r="F7901" t="str">
        <f t="shared" si="267"/>
        <v>21V</v>
      </c>
    </row>
    <row r="7902" spans="1:6" x14ac:dyDescent="0.2">
      <c r="A7902">
        <v>22</v>
      </c>
      <c r="E7902" t="str">
        <f t="shared" si="266"/>
        <v>W</v>
      </c>
      <c r="F7902" t="str">
        <f t="shared" si="267"/>
        <v>22W</v>
      </c>
    </row>
    <row r="7903" spans="1:6" x14ac:dyDescent="0.2">
      <c r="A7903">
        <v>23</v>
      </c>
      <c r="E7903" t="str">
        <f t="shared" si="266"/>
        <v>X</v>
      </c>
      <c r="F7903" t="str">
        <f t="shared" si="267"/>
        <v>23X</v>
      </c>
    </row>
    <row r="7904" spans="1:6" x14ac:dyDescent="0.2">
      <c r="A7904">
        <v>24</v>
      </c>
      <c r="E7904" t="str">
        <f t="shared" si="266"/>
        <v>Y</v>
      </c>
      <c r="F7904" t="str">
        <f t="shared" si="267"/>
        <v>24Y</v>
      </c>
    </row>
    <row r="7905" spans="1:6" x14ac:dyDescent="0.2">
      <c r="A7905">
        <v>25</v>
      </c>
      <c r="E7905" t="str">
        <f t="shared" si="266"/>
        <v>Z</v>
      </c>
      <c r="F7905" t="str">
        <f t="shared" si="267"/>
        <v>25Z</v>
      </c>
    </row>
    <row r="7906" spans="1:6" x14ac:dyDescent="0.2">
      <c r="A7906">
        <v>0</v>
      </c>
      <c r="E7906" t="str">
        <f t="shared" si="266"/>
        <v>A</v>
      </c>
      <c r="F7906" t="str">
        <f t="shared" si="267"/>
        <v>0A</v>
      </c>
    </row>
    <row r="7907" spans="1:6" x14ac:dyDescent="0.2">
      <c r="A7907">
        <v>1</v>
      </c>
      <c r="E7907" t="str">
        <f t="shared" si="266"/>
        <v>B</v>
      </c>
      <c r="F7907" t="str">
        <f t="shared" si="267"/>
        <v>1B</v>
      </c>
    </row>
    <row r="7908" spans="1:6" x14ac:dyDescent="0.2">
      <c r="A7908">
        <v>2</v>
      </c>
      <c r="E7908" t="str">
        <f t="shared" si="266"/>
        <v>C</v>
      </c>
      <c r="F7908" t="str">
        <f t="shared" si="267"/>
        <v>2C</v>
      </c>
    </row>
    <row r="7909" spans="1:6" x14ac:dyDescent="0.2">
      <c r="A7909">
        <v>3</v>
      </c>
      <c r="E7909" t="str">
        <f t="shared" si="266"/>
        <v>D</v>
      </c>
      <c r="F7909" t="str">
        <f t="shared" si="267"/>
        <v>3D</v>
      </c>
    </row>
    <row r="7910" spans="1:6" x14ac:dyDescent="0.2">
      <c r="A7910">
        <v>4</v>
      </c>
      <c r="E7910" t="str">
        <f t="shared" si="266"/>
        <v>E</v>
      </c>
      <c r="F7910" t="str">
        <f t="shared" si="267"/>
        <v>4E</v>
      </c>
    </row>
    <row r="7911" spans="1:6" x14ac:dyDescent="0.2">
      <c r="A7911">
        <v>5</v>
      </c>
      <c r="E7911" t="str">
        <f t="shared" si="266"/>
        <v>F</v>
      </c>
      <c r="F7911" t="str">
        <f t="shared" si="267"/>
        <v>5F</v>
      </c>
    </row>
    <row r="7912" spans="1:6" x14ac:dyDescent="0.2">
      <c r="A7912">
        <v>6</v>
      </c>
      <c r="E7912" t="str">
        <f t="shared" si="266"/>
        <v>G</v>
      </c>
      <c r="F7912" t="str">
        <f t="shared" si="267"/>
        <v>6G</v>
      </c>
    </row>
    <row r="7913" spans="1:6" x14ac:dyDescent="0.2">
      <c r="A7913">
        <v>7</v>
      </c>
      <c r="E7913" t="str">
        <f t="shared" si="266"/>
        <v>H</v>
      </c>
      <c r="F7913" t="str">
        <f t="shared" si="267"/>
        <v>7H</v>
      </c>
    </row>
    <row r="7914" spans="1:6" x14ac:dyDescent="0.2">
      <c r="A7914">
        <v>8</v>
      </c>
      <c r="E7914" t="str">
        <f t="shared" si="266"/>
        <v>I</v>
      </c>
      <c r="F7914" t="str">
        <f t="shared" si="267"/>
        <v>8I</v>
      </c>
    </row>
    <row r="7915" spans="1:6" x14ac:dyDescent="0.2">
      <c r="A7915">
        <v>9</v>
      </c>
      <c r="E7915" t="str">
        <f t="shared" si="266"/>
        <v>J</v>
      </c>
      <c r="F7915" t="str">
        <f t="shared" si="267"/>
        <v>9J</v>
      </c>
    </row>
    <row r="7916" spans="1:6" x14ac:dyDescent="0.2">
      <c r="A7916">
        <v>10</v>
      </c>
      <c r="E7916" t="str">
        <f t="shared" si="266"/>
        <v>K</v>
      </c>
      <c r="F7916" t="str">
        <f t="shared" si="267"/>
        <v>10K</v>
      </c>
    </row>
    <row r="7917" spans="1:6" x14ac:dyDescent="0.2">
      <c r="A7917">
        <v>11</v>
      </c>
      <c r="E7917" t="str">
        <f t="shared" si="266"/>
        <v>L</v>
      </c>
      <c r="F7917" t="str">
        <f t="shared" si="267"/>
        <v>11L</v>
      </c>
    </row>
    <row r="7918" spans="1:6" x14ac:dyDescent="0.2">
      <c r="A7918">
        <v>12</v>
      </c>
      <c r="E7918" t="str">
        <f t="shared" si="266"/>
        <v>M</v>
      </c>
      <c r="F7918" t="str">
        <f t="shared" si="267"/>
        <v>12M</v>
      </c>
    </row>
    <row r="7919" spans="1:6" x14ac:dyDescent="0.2">
      <c r="A7919">
        <v>13</v>
      </c>
      <c r="E7919" t="str">
        <f t="shared" si="266"/>
        <v>N</v>
      </c>
      <c r="F7919" t="str">
        <f t="shared" si="267"/>
        <v>13N</v>
      </c>
    </row>
    <row r="7920" spans="1:6" x14ac:dyDescent="0.2">
      <c r="A7920">
        <v>14</v>
      </c>
      <c r="E7920" t="str">
        <f t="shared" ref="E7920:E7983" si="268">E7894</f>
        <v>O</v>
      </c>
      <c r="F7920" t="str">
        <f t="shared" si="267"/>
        <v>14O</v>
      </c>
    </row>
    <row r="7921" spans="1:6" x14ac:dyDescent="0.2">
      <c r="A7921">
        <v>15</v>
      </c>
      <c r="E7921" t="str">
        <f t="shared" si="268"/>
        <v>P</v>
      </c>
      <c r="F7921" t="str">
        <f t="shared" si="267"/>
        <v>15P</v>
      </c>
    </row>
    <row r="7922" spans="1:6" x14ac:dyDescent="0.2">
      <c r="A7922">
        <v>16</v>
      </c>
      <c r="E7922" t="str">
        <f t="shared" si="268"/>
        <v>Q</v>
      </c>
      <c r="F7922" t="str">
        <f t="shared" si="267"/>
        <v>16Q</v>
      </c>
    </row>
    <row r="7923" spans="1:6" x14ac:dyDescent="0.2">
      <c r="A7923">
        <v>17</v>
      </c>
      <c r="E7923" t="str">
        <f t="shared" si="268"/>
        <v>R</v>
      </c>
      <c r="F7923" t="str">
        <f t="shared" si="267"/>
        <v>17R</v>
      </c>
    </row>
    <row r="7924" spans="1:6" x14ac:dyDescent="0.2">
      <c r="A7924">
        <v>18</v>
      </c>
      <c r="E7924" t="str">
        <f t="shared" si="268"/>
        <v>S</v>
      </c>
      <c r="F7924" t="str">
        <f t="shared" si="267"/>
        <v>18S</v>
      </c>
    </row>
    <row r="7925" spans="1:6" x14ac:dyDescent="0.2">
      <c r="A7925">
        <v>19</v>
      </c>
      <c r="E7925" t="str">
        <f t="shared" si="268"/>
        <v>T</v>
      </c>
      <c r="F7925" t="str">
        <f t="shared" si="267"/>
        <v>19T</v>
      </c>
    </row>
    <row r="7926" spans="1:6" x14ac:dyDescent="0.2">
      <c r="A7926">
        <v>20</v>
      </c>
      <c r="E7926" t="str">
        <f t="shared" si="268"/>
        <v>U</v>
      </c>
      <c r="F7926" t="str">
        <f t="shared" si="267"/>
        <v>20U</v>
      </c>
    </row>
    <row r="7927" spans="1:6" x14ac:dyDescent="0.2">
      <c r="A7927">
        <v>21</v>
      </c>
      <c r="E7927" t="str">
        <f t="shared" si="268"/>
        <v>V</v>
      </c>
      <c r="F7927" t="str">
        <f t="shared" si="267"/>
        <v>21V</v>
      </c>
    </row>
    <row r="7928" spans="1:6" x14ac:dyDescent="0.2">
      <c r="A7928">
        <v>22</v>
      </c>
      <c r="E7928" t="str">
        <f t="shared" si="268"/>
        <v>W</v>
      </c>
      <c r="F7928" t="str">
        <f t="shared" si="267"/>
        <v>22W</v>
      </c>
    </row>
    <row r="7929" spans="1:6" x14ac:dyDescent="0.2">
      <c r="A7929">
        <v>23</v>
      </c>
      <c r="E7929" t="str">
        <f t="shared" si="268"/>
        <v>X</v>
      </c>
      <c r="F7929" t="str">
        <f t="shared" si="267"/>
        <v>23X</v>
      </c>
    </row>
    <row r="7930" spans="1:6" x14ac:dyDescent="0.2">
      <c r="A7930">
        <v>24</v>
      </c>
      <c r="E7930" t="str">
        <f t="shared" si="268"/>
        <v>Y</v>
      </c>
      <c r="F7930" t="str">
        <f t="shared" si="267"/>
        <v>24Y</v>
      </c>
    </row>
    <row r="7931" spans="1:6" x14ac:dyDescent="0.2">
      <c r="A7931">
        <v>25</v>
      </c>
      <c r="E7931" t="str">
        <f t="shared" si="268"/>
        <v>Z</v>
      </c>
      <c r="F7931" t="str">
        <f t="shared" si="267"/>
        <v>25Z</v>
      </c>
    </row>
    <row r="7932" spans="1:6" x14ac:dyDescent="0.2">
      <c r="A7932">
        <v>0</v>
      </c>
      <c r="E7932" t="str">
        <f t="shared" si="268"/>
        <v>A</v>
      </c>
      <c r="F7932" t="str">
        <f t="shared" si="267"/>
        <v>0A</v>
      </c>
    </row>
    <row r="7933" spans="1:6" x14ac:dyDescent="0.2">
      <c r="A7933">
        <v>1</v>
      </c>
      <c r="E7933" t="str">
        <f t="shared" si="268"/>
        <v>B</v>
      </c>
      <c r="F7933" t="str">
        <f t="shared" si="267"/>
        <v>1B</v>
      </c>
    </row>
    <row r="7934" spans="1:6" x14ac:dyDescent="0.2">
      <c r="A7934">
        <v>2</v>
      </c>
      <c r="E7934" t="str">
        <f t="shared" si="268"/>
        <v>C</v>
      </c>
      <c r="F7934" t="str">
        <f t="shared" si="267"/>
        <v>2C</v>
      </c>
    </row>
    <row r="7935" spans="1:6" x14ac:dyDescent="0.2">
      <c r="A7935">
        <v>3</v>
      </c>
      <c r="E7935" t="str">
        <f t="shared" si="268"/>
        <v>D</v>
      </c>
      <c r="F7935" t="str">
        <f t="shared" si="267"/>
        <v>3D</v>
      </c>
    </row>
    <row r="7936" spans="1:6" x14ac:dyDescent="0.2">
      <c r="A7936">
        <v>4</v>
      </c>
      <c r="E7936" t="str">
        <f t="shared" si="268"/>
        <v>E</v>
      </c>
      <c r="F7936" t="str">
        <f t="shared" si="267"/>
        <v>4E</v>
      </c>
    </row>
    <row r="7937" spans="1:6" x14ac:dyDescent="0.2">
      <c r="A7937">
        <v>5</v>
      </c>
      <c r="E7937" t="str">
        <f t="shared" si="268"/>
        <v>F</v>
      </c>
      <c r="F7937" t="str">
        <f t="shared" si="267"/>
        <v>5F</v>
      </c>
    </row>
    <row r="7938" spans="1:6" x14ac:dyDescent="0.2">
      <c r="A7938">
        <v>6</v>
      </c>
      <c r="E7938" t="str">
        <f t="shared" si="268"/>
        <v>G</v>
      </c>
      <c r="F7938" t="str">
        <f t="shared" si="267"/>
        <v>6G</v>
      </c>
    </row>
    <row r="7939" spans="1:6" x14ac:dyDescent="0.2">
      <c r="A7939">
        <v>7</v>
      </c>
      <c r="E7939" t="str">
        <f t="shared" si="268"/>
        <v>H</v>
      </c>
      <c r="F7939" t="str">
        <f t="shared" si="267"/>
        <v>7H</v>
      </c>
    </row>
    <row r="7940" spans="1:6" x14ac:dyDescent="0.2">
      <c r="A7940">
        <v>8</v>
      </c>
      <c r="E7940" t="str">
        <f t="shared" si="268"/>
        <v>I</v>
      </c>
      <c r="F7940" t="str">
        <f t="shared" si="267"/>
        <v>8I</v>
      </c>
    </row>
    <row r="7941" spans="1:6" x14ac:dyDescent="0.2">
      <c r="A7941">
        <v>9</v>
      </c>
      <c r="E7941" t="str">
        <f t="shared" si="268"/>
        <v>J</v>
      </c>
      <c r="F7941" t="str">
        <f t="shared" si="267"/>
        <v>9J</v>
      </c>
    </row>
    <row r="7942" spans="1:6" x14ac:dyDescent="0.2">
      <c r="A7942">
        <v>10</v>
      </c>
      <c r="E7942" t="str">
        <f t="shared" si="268"/>
        <v>K</v>
      </c>
      <c r="F7942" t="str">
        <f t="shared" si="267"/>
        <v>10K</v>
      </c>
    </row>
    <row r="7943" spans="1:6" x14ac:dyDescent="0.2">
      <c r="A7943">
        <v>11</v>
      </c>
      <c r="E7943" t="str">
        <f t="shared" si="268"/>
        <v>L</v>
      </c>
      <c r="F7943" t="str">
        <f t="shared" si="267"/>
        <v>11L</v>
      </c>
    </row>
    <row r="7944" spans="1:6" x14ac:dyDescent="0.2">
      <c r="A7944">
        <v>12</v>
      </c>
      <c r="E7944" t="str">
        <f t="shared" si="268"/>
        <v>M</v>
      </c>
      <c r="F7944" t="str">
        <f t="shared" si="267"/>
        <v>12M</v>
      </c>
    </row>
    <row r="7945" spans="1:6" x14ac:dyDescent="0.2">
      <c r="A7945">
        <v>13</v>
      </c>
      <c r="E7945" t="str">
        <f t="shared" si="268"/>
        <v>N</v>
      </c>
      <c r="F7945" t="str">
        <f t="shared" si="267"/>
        <v>13N</v>
      </c>
    </row>
    <row r="7946" spans="1:6" x14ac:dyDescent="0.2">
      <c r="A7946">
        <v>14</v>
      </c>
      <c r="E7946" t="str">
        <f t="shared" si="268"/>
        <v>O</v>
      </c>
      <c r="F7946" t="str">
        <f t="shared" si="267"/>
        <v>14O</v>
      </c>
    </row>
    <row r="7947" spans="1:6" x14ac:dyDescent="0.2">
      <c r="A7947">
        <v>15</v>
      </c>
      <c r="E7947" t="str">
        <f t="shared" si="268"/>
        <v>P</v>
      </c>
      <c r="F7947" t="str">
        <f t="shared" si="267"/>
        <v>15P</v>
      </c>
    </row>
    <row r="7948" spans="1:6" x14ac:dyDescent="0.2">
      <c r="A7948">
        <v>16</v>
      </c>
      <c r="E7948" t="str">
        <f t="shared" si="268"/>
        <v>Q</v>
      </c>
      <c r="F7948" t="str">
        <f t="shared" si="267"/>
        <v>16Q</v>
      </c>
    </row>
    <row r="7949" spans="1:6" x14ac:dyDescent="0.2">
      <c r="A7949">
        <v>17</v>
      </c>
      <c r="E7949" t="str">
        <f t="shared" si="268"/>
        <v>R</v>
      </c>
      <c r="F7949" t="str">
        <f t="shared" si="267"/>
        <v>17R</v>
      </c>
    </row>
    <row r="7950" spans="1:6" x14ac:dyDescent="0.2">
      <c r="A7950">
        <v>18</v>
      </c>
      <c r="E7950" t="str">
        <f t="shared" si="268"/>
        <v>S</v>
      </c>
      <c r="F7950" t="str">
        <f t="shared" si="267"/>
        <v>18S</v>
      </c>
    </row>
    <row r="7951" spans="1:6" x14ac:dyDescent="0.2">
      <c r="A7951">
        <v>19</v>
      </c>
      <c r="E7951" t="str">
        <f t="shared" si="268"/>
        <v>T</v>
      </c>
      <c r="F7951" t="str">
        <f t="shared" si="267"/>
        <v>19T</v>
      </c>
    </row>
    <row r="7952" spans="1:6" x14ac:dyDescent="0.2">
      <c r="A7952">
        <v>20</v>
      </c>
      <c r="E7952" t="str">
        <f t="shared" si="268"/>
        <v>U</v>
      </c>
      <c r="F7952" t="str">
        <f t="shared" si="267"/>
        <v>20U</v>
      </c>
    </row>
    <row r="7953" spans="1:6" x14ac:dyDescent="0.2">
      <c r="A7953">
        <v>21</v>
      </c>
      <c r="E7953" t="str">
        <f t="shared" si="268"/>
        <v>V</v>
      </c>
      <c r="F7953" t="str">
        <f t="shared" si="267"/>
        <v>21V</v>
      </c>
    </row>
    <row r="7954" spans="1:6" x14ac:dyDescent="0.2">
      <c r="A7954">
        <v>22</v>
      </c>
      <c r="E7954" t="str">
        <f t="shared" si="268"/>
        <v>W</v>
      </c>
      <c r="F7954" t="str">
        <f t="shared" si="267"/>
        <v>22W</v>
      </c>
    </row>
    <row r="7955" spans="1:6" x14ac:dyDescent="0.2">
      <c r="A7955">
        <v>23</v>
      </c>
      <c r="E7955" t="str">
        <f t="shared" si="268"/>
        <v>X</v>
      </c>
      <c r="F7955" t="str">
        <f t="shared" si="267"/>
        <v>23X</v>
      </c>
    </row>
    <row r="7956" spans="1:6" x14ac:dyDescent="0.2">
      <c r="A7956">
        <v>24</v>
      </c>
      <c r="E7956" t="str">
        <f t="shared" si="268"/>
        <v>Y</v>
      </c>
      <c r="F7956" t="str">
        <f t="shared" si="267"/>
        <v>24Y</v>
      </c>
    </row>
    <row r="7957" spans="1:6" x14ac:dyDescent="0.2">
      <c r="A7957">
        <v>25</v>
      </c>
      <c r="E7957" t="str">
        <f t="shared" si="268"/>
        <v>Z</v>
      </c>
      <c r="F7957" t="str">
        <f t="shared" si="267"/>
        <v>25Z</v>
      </c>
    </row>
    <row r="7958" spans="1:6" x14ac:dyDescent="0.2">
      <c r="A7958">
        <v>0</v>
      </c>
      <c r="E7958" t="str">
        <f t="shared" si="268"/>
        <v>A</v>
      </c>
      <c r="F7958" t="str">
        <f t="shared" ref="F7958:F8021" si="269">A7958&amp;C7958&amp;E7958</f>
        <v>0A</v>
      </c>
    </row>
    <row r="7959" spans="1:6" x14ac:dyDescent="0.2">
      <c r="A7959">
        <v>1</v>
      </c>
      <c r="E7959" t="str">
        <f t="shared" si="268"/>
        <v>B</v>
      </c>
      <c r="F7959" t="str">
        <f t="shared" si="269"/>
        <v>1B</v>
      </c>
    </row>
    <row r="7960" spans="1:6" x14ac:dyDescent="0.2">
      <c r="A7960">
        <v>2</v>
      </c>
      <c r="E7960" t="str">
        <f t="shared" si="268"/>
        <v>C</v>
      </c>
      <c r="F7960" t="str">
        <f t="shared" si="269"/>
        <v>2C</v>
      </c>
    </row>
    <row r="7961" spans="1:6" x14ac:dyDescent="0.2">
      <c r="A7961">
        <v>3</v>
      </c>
      <c r="E7961" t="str">
        <f t="shared" si="268"/>
        <v>D</v>
      </c>
      <c r="F7961" t="str">
        <f t="shared" si="269"/>
        <v>3D</v>
      </c>
    </row>
    <row r="7962" spans="1:6" x14ac:dyDescent="0.2">
      <c r="A7962">
        <v>4</v>
      </c>
      <c r="E7962" t="str">
        <f t="shared" si="268"/>
        <v>E</v>
      </c>
      <c r="F7962" t="str">
        <f t="shared" si="269"/>
        <v>4E</v>
      </c>
    </row>
    <row r="7963" spans="1:6" x14ac:dyDescent="0.2">
      <c r="A7963">
        <v>5</v>
      </c>
      <c r="E7963" t="str">
        <f t="shared" si="268"/>
        <v>F</v>
      </c>
      <c r="F7963" t="str">
        <f t="shared" si="269"/>
        <v>5F</v>
      </c>
    </row>
    <row r="7964" spans="1:6" x14ac:dyDescent="0.2">
      <c r="A7964">
        <v>6</v>
      </c>
      <c r="E7964" t="str">
        <f t="shared" si="268"/>
        <v>G</v>
      </c>
      <c r="F7964" t="str">
        <f t="shared" si="269"/>
        <v>6G</v>
      </c>
    </row>
    <row r="7965" spans="1:6" x14ac:dyDescent="0.2">
      <c r="A7965">
        <v>7</v>
      </c>
      <c r="E7965" t="str">
        <f t="shared" si="268"/>
        <v>H</v>
      </c>
      <c r="F7965" t="str">
        <f t="shared" si="269"/>
        <v>7H</v>
      </c>
    </row>
    <row r="7966" spans="1:6" x14ac:dyDescent="0.2">
      <c r="A7966">
        <v>8</v>
      </c>
      <c r="E7966" t="str">
        <f t="shared" si="268"/>
        <v>I</v>
      </c>
      <c r="F7966" t="str">
        <f t="shared" si="269"/>
        <v>8I</v>
      </c>
    </row>
    <row r="7967" spans="1:6" x14ac:dyDescent="0.2">
      <c r="A7967">
        <v>9</v>
      </c>
      <c r="E7967" t="str">
        <f t="shared" si="268"/>
        <v>J</v>
      </c>
      <c r="F7967" t="str">
        <f t="shared" si="269"/>
        <v>9J</v>
      </c>
    </row>
    <row r="7968" spans="1:6" x14ac:dyDescent="0.2">
      <c r="A7968">
        <v>10</v>
      </c>
      <c r="E7968" t="str">
        <f t="shared" si="268"/>
        <v>K</v>
      </c>
      <c r="F7968" t="str">
        <f t="shared" si="269"/>
        <v>10K</v>
      </c>
    </row>
    <row r="7969" spans="1:6" x14ac:dyDescent="0.2">
      <c r="A7969">
        <v>11</v>
      </c>
      <c r="E7969" t="str">
        <f t="shared" si="268"/>
        <v>L</v>
      </c>
      <c r="F7969" t="str">
        <f t="shared" si="269"/>
        <v>11L</v>
      </c>
    </row>
    <row r="7970" spans="1:6" x14ac:dyDescent="0.2">
      <c r="A7970">
        <v>12</v>
      </c>
      <c r="E7970" t="str">
        <f t="shared" si="268"/>
        <v>M</v>
      </c>
      <c r="F7970" t="str">
        <f t="shared" si="269"/>
        <v>12M</v>
      </c>
    </row>
    <row r="7971" spans="1:6" x14ac:dyDescent="0.2">
      <c r="A7971">
        <v>13</v>
      </c>
      <c r="E7971" t="str">
        <f t="shared" si="268"/>
        <v>N</v>
      </c>
      <c r="F7971" t="str">
        <f t="shared" si="269"/>
        <v>13N</v>
      </c>
    </row>
    <row r="7972" spans="1:6" x14ac:dyDescent="0.2">
      <c r="A7972">
        <v>14</v>
      </c>
      <c r="E7972" t="str">
        <f t="shared" si="268"/>
        <v>O</v>
      </c>
      <c r="F7972" t="str">
        <f t="shared" si="269"/>
        <v>14O</v>
      </c>
    </row>
    <row r="7973" spans="1:6" x14ac:dyDescent="0.2">
      <c r="A7973">
        <v>15</v>
      </c>
      <c r="E7973" t="str">
        <f t="shared" si="268"/>
        <v>P</v>
      </c>
      <c r="F7973" t="str">
        <f t="shared" si="269"/>
        <v>15P</v>
      </c>
    </row>
    <row r="7974" spans="1:6" x14ac:dyDescent="0.2">
      <c r="A7974">
        <v>16</v>
      </c>
      <c r="E7974" t="str">
        <f t="shared" si="268"/>
        <v>Q</v>
      </c>
      <c r="F7974" t="str">
        <f t="shared" si="269"/>
        <v>16Q</v>
      </c>
    </row>
    <row r="7975" spans="1:6" x14ac:dyDescent="0.2">
      <c r="A7975">
        <v>17</v>
      </c>
      <c r="E7975" t="str">
        <f t="shared" si="268"/>
        <v>R</v>
      </c>
      <c r="F7975" t="str">
        <f t="shared" si="269"/>
        <v>17R</v>
      </c>
    </row>
    <row r="7976" spans="1:6" x14ac:dyDescent="0.2">
      <c r="A7976">
        <v>18</v>
      </c>
      <c r="E7976" t="str">
        <f t="shared" si="268"/>
        <v>S</v>
      </c>
      <c r="F7976" t="str">
        <f t="shared" si="269"/>
        <v>18S</v>
      </c>
    </row>
    <row r="7977" spans="1:6" x14ac:dyDescent="0.2">
      <c r="A7977">
        <v>19</v>
      </c>
      <c r="E7977" t="str">
        <f t="shared" si="268"/>
        <v>T</v>
      </c>
      <c r="F7977" t="str">
        <f t="shared" si="269"/>
        <v>19T</v>
      </c>
    </row>
    <row r="7978" spans="1:6" x14ac:dyDescent="0.2">
      <c r="A7978">
        <v>20</v>
      </c>
      <c r="E7978" t="str">
        <f t="shared" si="268"/>
        <v>U</v>
      </c>
      <c r="F7978" t="str">
        <f t="shared" si="269"/>
        <v>20U</v>
      </c>
    </row>
    <row r="7979" spans="1:6" x14ac:dyDescent="0.2">
      <c r="A7979">
        <v>21</v>
      </c>
      <c r="E7979" t="str">
        <f t="shared" si="268"/>
        <v>V</v>
      </c>
      <c r="F7979" t="str">
        <f t="shared" si="269"/>
        <v>21V</v>
      </c>
    </row>
    <row r="7980" spans="1:6" x14ac:dyDescent="0.2">
      <c r="A7980">
        <v>22</v>
      </c>
      <c r="E7980" t="str">
        <f t="shared" si="268"/>
        <v>W</v>
      </c>
      <c r="F7980" t="str">
        <f t="shared" si="269"/>
        <v>22W</v>
      </c>
    </row>
    <row r="7981" spans="1:6" x14ac:dyDescent="0.2">
      <c r="A7981">
        <v>23</v>
      </c>
      <c r="E7981" t="str">
        <f t="shared" si="268"/>
        <v>X</v>
      </c>
      <c r="F7981" t="str">
        <f t="shared" si="269"/>
        <v>23X</v>
      </c>
    </row>
    <row r="7982" spans="1:6" x14ac:dyDescent="0.2">
      <c r="A7982">
        <v>24</v>
      </c>
      <c r="E7982" t="str">
        <f t="shared" si="268"/>
        <v>Y</v>
      </c>
      <c r="F7982" t="str">
        <f t="shared" si="269"/>
        <v>24Y</v>
      </c>
    </row>
    <row r="7983" spans="1:6" x14ac:dyDescent="0.2">
      <c r="A7983">
        <v>25</v>
      </c>
      <c r="E7983" t="str">
        <f t="shared" si="268"/>
        <v>Z</v>
      </c>
      <c r="F7983" t="str">
        <f t="shared" si="269"/>
        <v>25Z</v>
      </c>
    </row>
    <row r="7984" spans="1:6" x14ac:dyDescent="0.2">
      <c r="A7984">
        <v>0</v>
      </c>
      <c r="E7984" t="str">
        <f t="shared" ref="E7984:E8047" si="270">E7958</f>
        <v>A</v>
      </c>
      <c r="F7984" t="str">
        <f t="shared" si="269"/>
        <v>0A</v>
      </c>
    </row>
    <row r="7985" spans="1:6" x14ac:dyDescent="0.2">
      <c r="A7985">
        <v>1</v>
      </c>
      <c r="E7985" t="str">
        <f t="shared" si="270"/>
        <v>B</v>
      </c>
      <c r="F7985" t="str">
        <f t="shared" si="269"/>
        <v>1B</v>
      </c>
    </row>
    <row r="7986" spans="1:6" x14ac:dyDescent="0.2">
      <c r="A7986">
        <v>2</v>
      </c>
      <c r="E7986" t="str">
        <f t="shared" si="270"/>
        <v>C</v>
      </c>
      <c r="F7986" t="str">
        <f t="shared" si="269"/>
        <v>2C</v>
      </c>
    </row>
    <row r="7987" spans="1:6" x14ac:dyDescent="0.2">
      <c r="A7987">
        <v>3</v>
      </c>
      <c r="E7987" t="str">
        <f t="shared" si="270"/>
        <v>D</v>
      </c>
      <c r="F7987" t="str">
        <f t="shared" si="269"/>
        <v>3D</v>
      </c>
    </row>
    <row r="7988" spans="1:6" x14ac:dyDescent="0.2">
      <c r="A7988">
        <v>4</v>
      </c>
      <c r="E7988" t="str">
        <f t="shared" si="270"/>
        <v>E</v>
      </c>
      <c r="F7988" t="str">
        <f t="shared" si="269"/>
        <v>4E</v>
      </c>
    </row>
    <row r="7989" spans="1:6" x14ac:dyDescent="0.2">
      <c r="A7989">
        <v>5</v>
      </c>
      <c r="E7989" t="str">
        <f t="shared" si="270"/>
        <v>F</v>
      </c>
      <c r="F7989" t="str">
        <f t="shared" si="269"/>
        <v>5F</v>
      </c>
    </row>
    <row r="7990" spans="1:6" x14ac:dyDescent="0.2">
      <c r="A7990">
        <v>6</v>
      </c>
      <c r="E7990" t="str">
        <f t="shared" si="270"/>
        <v>G</v>
      </c>
      <c r="F7990" t="str">
        <f t="shared" si="269"/>
        <v>6G</v>
      </c>
    </row>
    <row r="7991" spans="1:6" x14ac:dyDescent="0.2">
      <c r="A7991">
        <v>7</v>
      </c>
      <c r="E7991" t="str">
        <f t="shared" si="270"/>
        <v>H</v>
      </c>
      <c r="F7991" t="str">
        <f t="shared" si="269"/>
        <v>7H</v>
      </c>
    </row>
    <row r="7992" spans="1:6" x14ac:dyDescent="0.2">
      <c r="A7992">
        <v>8</v>
      </c>
      <c r="E7992" t="str">
        <f t="shared" si="270"/>
        <v>I</v>
      </c>
      <c r="F7992" t="str">
        <f t="shared" si="269"/>
        <v>8I</v>
      </c>
    </row>
    <row r="7993" spans="1:6" x14ac:dyDescent="0.2">
      <c r="A7993">
        <v>9</v>
      </c>
      <c r="E7993" t="str">
        <f t="shared" si="270"/>
        <v>J</v>
      </c>
      <c r="F7993" t="str">
        <f t="shared" si="269"/>
        <v>9J</v>
      </c>
    </row>
    <row r="7994" spans="1:6" x14ac:dyDescent="0.2">
      <c r="A7994">
        <v>10</v>
      </c>
      <c r="E7994" t="str">
        <f t="shared" si="270"/>
        <v>K</v>
      </c>
      <c r="F7994" t="str">
        <f t="shared" si="269"/>
        <v>10K</v>
      </c>
    </row>
    <row r="7995" spans="1:6" x14ac:dyDescent="0.2">
      <c r="A7995">
        <v>11</v>
      </c>
      <c r="E7995" t="str">
        <f t="shared" si="270"/>
        <v>L</v>
      </c>
      <c r="F7995" t="str">
        <f t="shared" si="269"/>
        <v>11L</v>
      </c>
    </row>
    <row r="7996" spans="1:6" x14ac:dyDescent="0.2">
      <c r="A7996">
        <v>12</v>
      </c>
      <c r="E7996" t="str">
        <f t="shared" si="270"/>
        <v>M</v>
      </c>
      <c r="F7996" t="str">
        <f t="shared" si="269"/>
        <v>12M</v>
      </c>
    </row>
    <row r="7997" spans="1:6" x14ac:dyDescent="0.2">
      <c r="A7997">
        <v>13</v>
      </c>
      <c r="E7997" t="str">
        <f t="shared" si="270"/>
        <v>N</v>
      </c>
      <c r="F7997" t="str">
        <f t="shared" si="269"/>
        <v>13N</v>
      </c>
    </row>
    <row r="7998" spans="1:6" x14ac:dyDescent="0.2">
      <c r="A7998">
        <v>14</v>
      </c>
      <c r="E7998" t="str">
        <f t="shared" si="270"/>
        <v>O</v>
      </c>
      <c r="F7998" t="str">
        <f t="shared" si="269"/>
        <v>14O</v>
      </c>
    </row>
    <row r="7999" spans="1:6" x14ac:dyDescent="0.2">
      <c r="A7999">
        <v>15</v>
      </c>
      <c r="E7999" t="str">
        <f t="shared" si="270"/>
        <v>P</v>
      </c>
      <c r="F7999" t="str">
        <f t="shared" si="269"/>
        <v>15P</v>
      </c>
    </row>
    <row r="8000" spans="1:6" x14ac:dyDescent="0.2">
      <c r="A8000">
        <v>16</v>
      </c>
      <c r="E8000" t="str">
        <f t="shared" si="270"/>
        <v>Q</v>
      </c>
      <c r="F8000" t="str">
        <f t="shared" si="269"/>
        <v>16Q</v>
      </c>
    </row>
    <row r="8001" spans="1:6" x14ac:dyDescent="0.2">
      <c r="A8001">
        <v>17</v>
      </c>
      <c r="E8001" t="str">
        <f t="shared" si="270"/>
        <v>R</v>
      </c>
      <c r="F8001" t="str">
        <f t="shared" si="269"/>
        <v>17R</v>
      </c>
    </row>
    <row r="8002" spans="1:6" x14ac:dyDescent="0.2">
      <c r="A8002">
        <v>18</v>
      </c>
      <c r="E8002" t="str">
        <f t="shared" si="270"/>
        <v>S</v>
      </c>
      <c r="F8002" t="str">
        <f t="shared" si="269"/>
        <v>18S</v>
      </c>
    </row>
    <row r="8003" spans="1:6" x14ac:dyDescent="0.2">
      <c r="A8003">
        <v>19</v>
      </c>
      <c r="E8003" t="str">
        <f t="shared" si="270"/>
        <v>T</v>
      </c>
      <c r="F8003" t="str">
        <f t="shared" si="269"/>
        <v>19T</v>
      </c>
    </row>
    <row r="8004" spans="1:6" x14ac:dyDescent="0.2">
      <c r="A8004">
        <v>20</v>
      </c>
      <c r="E8004" t="str">
        <f t="shared" si="270"/>
        <v>U</v>
      </c>
      <c r="F8004" t="str">
        <f t="shared" si="269"/>
        <v>20U</v>
      </c>
    </row>
    <row r="8005" spans="1:6" x14ac:dyDescent="0.2">
      <c r="A8005">
        <v>21</v>
      </c>
      <c r="E8005" t="str">
        <f t="shared" si="270"/>
        <v>V</v>
      </c>
      <c r="F8005" t="str">
        <f t="shared" si="269"/>
        <v>21V</v>
      </c>
    </row>
    <row r="8006" spans="1:6" x14ac:dyDescent="0.2">
      <c r="A8006">
        <v>22</v>
      </c>
      <c r="E8006" t="str">
        <f t="shared" si="270"/>
        <v>W</v>
      </c>
      <c r="F8006" t="str">
        <f t="shared" si="269"/>
        <v>22W</v>
      </c>
    </row>
    <row r="8007" spans="1:6" x14ac:dyDescent="0.2">
      <c r="A8007">
        <v>23</v>
      </c>
      <c r="E8007" t="str">
        <f t="shared" si="270"/>
        <v>X</v>
      </c>
      <c r="F8007" t="str">
        <f t="shared" si="269"/>
        <v>23X</v>
      </c>
    </row>
    <row r="8008" spans="1:6" x14ac:dyDescent="0.2">
      <c r="A8008">
        <v>24</v>
      </c>
      <c r="E8008" t="str">
        <f t="shared" si="270"/>
        <v>Y</v>
      </c>
      <c r="F8008" t="str">
        <f t="shared" si="269"/>
        <v>24Y</v>
      </c>
    </row>
    <row r="8009" spans="1:6" x14ac:dyDescent="0.2">
      <c r="A8009">
        <v>25</v>
      </c>
      <c r="E8009" t="str">
        <f t="shared" si="270"/>
        <v>Z</v>
      </c>
      <c r="F8009" t="str">
        <f t="shared" si="269"/>
        <v>25Z</v>
      </c>
    </row>
    <row r="8010" spans="1:6" x14ac:dyDescent="0.2">
      <c r="A8010">
        <v>0</v>
      </c>
      <c r="E8010" t="str">
        <f t="shared" si="270"/>
        <v>A</v>
      </c>
      <c r="F8010" t="str">
        <f t="shared" si="269"/>
        <v>0A</v>
      </c>
    </row>
    <row r="8011" spans="1:6" x14ac:dyDescent="0.2">
      <c r="A8011">
        <v>1</v>
      </c>
      <c r="E8011" t="str">
        <f t="shared" si="270"/>
        <v>B</v>
      </c>
      <c r="F8011" t="str">
        <f t="shared" si="269"/>
        <v>1B</v>
      </c>
    </row>
    <row r="8012" spans="1:6" x14ac:dyDescent="0.2">
      <c r="A8012">
        <v>2</v>
      </c>
      <c r="E8012" t="str">
        <f t="shared" si="270"/>
        <v>C</v>
      </c>
      <c r="F8012" t="str">
        <f t="shared" si="269"/>
        <v>2C</v>
      </c>
    </row>
    <row r="8013" spans="1:6" x14ac:dyDescent="0.2">
      <c r="A8013">
        <v>3</v>
      </c>
      <c r="E8013" t="str">
        <f t="shared" si="270"/>
        <v>D</v>
      </c>
      <c r="F8013" t="str">
        <f t="shared" si="269"/>
        <v>3D</v>
      </c>
    </row>
    <row r="8014" spans="1:6" x14ac:dyDescent="0.2">
      <c r="A8014">
        <v>4</v>
      </c>
      <c r="E8014" t="str">
        <f t="shared" si="270"/>
        <v>E</v>
      </c>
      <c r="F8014" t="str">
        <f t="shared" si="269"/>
        <v>4E</v>
      </c>
    </row>
    <row r="8015" spans="1:6" x14ac:dyDescent="0.2">
      <c r="A8015">
        <v>5</v>
      </c>
      <c r="E8015" t="str">
        <f t="shared" si="270"/>
        <v>F</v>
      </c>
      <c r="F8015" t="str">
        <f t="shared" si="269"/>
        <v>5F</v>
      </c>
    </row>
    <row r="8016" spans="1:6" x14ac:dyDescent="0.2">
      <c r="A8016">
        <v>6</v>
      </c>
      <c r="E8016" t="str">
        <f t="shared" si="270"/>
        <v>G</v>
      </c>
      <c r="F8016" t="str">
        <f t="shared" si="269"/>
        <v>6G</v>
      </c>
    </row>
    <row r="8017" spans="1:6" x14ac:dyDescent="0.2">
      <c r="A8017">
        <v>7</v>
      </c>
      <c r="E8017" t="str">
        <f t="shared" si="270"/>
        <v>H</v>
      </c>
      <c r="F8017" t="str">
        <f t="shared" si="269"/>
        <v>7H</v>
      </c>
    </row>
    <row r="8018" spans="1:6" x14ac:dyDescent="0.2">
      <c r="A8018">
        <v>8</v>
      </c>
      <c r="E8018" t="str">
        <f t="shared" si="270"/>
        <v>I</v>
      </c>
      <c r="F8018" t="str">
        <f t="shared" si="269"/>
        <v>8I</v>
      </c>
    </row>
    <row r="8019" spans="1:6" x14ac:dyDescent="0.2">
      <c r="A8019">
        <v>9</v>
      </c>
      <c r="E8019" t="str">
        <f t="shared" si="270"/>
        <v>J</v>
      </c>
      <c r="F8019" t="str">
        <f t="shared" si="269"/>
        <v>9J</v>
      </c>
    </row>
    <row r="8020" spans="1:6" x14ac:dyDescent="0.2">
      <c r="A8020">
        <v>10</v>
      </c>
      <c r="E8020" t="str">
        <f t="shared" si="270"/>
        <v>K</v>
      </c>
      <c r="F8020" t="str">
        <f t="shared" si="269"/>
        <v>10K</v>
      </c>
    </row>
    <row r="8021" spans="1:6" x14ac:dyDescent="0.2">
      <c r="A8021">
        <v>11</v>
      </c>
      <c r="E8021" t="str">
        <f t="shared" si="270"/>
        <v>L</v>
      </c>
      <c r="F8021" t="str">
        <f t="shared" si="269"/>
        <v>11L</v>
      </c>
    </row>
    <row r="8022" spans="1:6" x14ac:dyDescent="0.2">
      <c r="A8022">
        <v>12</v>
      </c>
      <c r="E8022" t="str">
        <f t="shared" si="270"/>
        <v>M</v>
      </c>
      <c r="F8022" t="str">
        <f t="shared" ref="F8022:F8085" si="271">A8022&amp;C8022&amp;E8022</f>
        <v>12M</v>
      </c>
    </row>
    <row r="8023" spans="1:6" x14ac:dyDescent="0.2">
      <c r="A8023">
        <v>13</v>
      </c>
      <c r="E8023" t="str">
        <f t="shared" si="270"/>
        <v>N</v>
      </c>
      <c r="F8023" t="str">
        <f t="shared" si="271"/>
        <v>13N</v>
      </c>
    </row>
    <row r="8024" spans="1:6" x14ac:dyDescent="0.2">
      <c r="A8024">
        <v>14</v>
      </c>
      <c r="E8024" t="str">
        <f t="shared" si="270"/>
        <v>O</v>
      </c>
      <c r="F8024" t="str">
        <f t="shared" si="271"/>
        <v>14O</v>
      </c>
    </row>
    <row r="8025" spans="1:6" x14ac:dyDescent="0.2">
      <c r="A8025">
        <v>15</v>
      </c>
      <c r="E8025" t="str">
        <f t="shared" si="270"/>
        <v>P</v>
      </c>
      <c r="F8025" t="str">
        <f t="shared" si="271"/>
        <v>15P</v>
      </c>
    </row>
    <row r="8026" spans="1:6" x14ac:dyDescent="0.2">
      <c r="A8026">
        <v>16</v>
      </c>
      <c r="E8026" t="str">
        <f t="shared" si="270"/>
        <v>Q</v>
      </c>
      <c r="F8026" t="str">
        <f t="shared" si="271"/>
        <v>16Q</v>
      </c>
    </row>
    <row r="8027" spans="1:6" x14ac:dyDescent="0.2">
      <c r="A8027">
        <v>17</v>
      </c>
      <c r="E8027" t="str">
        <f t="shared" si="270"/>
        <v>R</v>
      </c>
      <c r="F8027" t="str">
        <f t="shared" si="271"/>
        <v>17R</v>
      </c>
    </row>
    <row r="8028" spans="1:6" x14ac:dyDescent="0.2">
      <c r="A8028">
        <v>18</v>
      </c>
      <c r="E8028" t="str">
        <f t="shared" si="270"/>
        <v>S</v>
      </c>
      <c r="F8028" t="str">
        <f t="shared" si="271"/>
        <v>18S</v>
      </c>
    </row>
    <row r="8029" spans="1:6" x14ac:dyDescent="0.2">
      <c r="A8029">
        <v>19</v>
      </c>
      <c r="E8029" t="str">
        <f t="shared" si="270"/>
        <v>T</v>
      </c>
      <c r="F8029" t="str">
        <f t="shared" si="271"/>
        <v>19T</v>
      </c>
    </row>
    <row r="8030" spans="1:6" x14ac:dyDescent="0.2">
      <c r="A8030">
        <v>20</v>
      </c>
      <c r="E8030" t="str">
        <f t="shared" si="270"/>
        <v>U</v>
      </c>
      <c r="F8030" t="str">
        <f t="shared" si="271"/>
        <v>20U</v>
      </c>
    </row>
    <row r="8031" spans="1:6" x14ac:dyDescent="0.2">
      <c r="A8031">
        <v>21</v>
      </c>
      <c r="E8031" t="str">
        <f t="shared" si="270"/>
        <v>V</v>
      </c>
      <c r="F8031" t="str">
        <f t="shared" si="271"/>
        <v>21V</v>
      </c>
    </row>
    <row r="8032" spans="1:6" x14ac:dyDescent="0.2">
      <c r="A8032">
        <v>22</v>
      </c>
      <c r="E8032" t="str">
        <f t="shared" si="270"/>
        <v>W</v>
      </c>
      <c r="F8032" t="str">
        <f t="shared" si="271"/>
        <v>22W</v>
      </c>
    </row>
    <row r="8033" spans="1:6" x14ac:dyDescent="0.2">
      <c r="A8033">
        <v>23</v>
      </c>
      <c r="E8033" t="str">
        <f t="shared" si="270"/>
        <v>X</v>
      </c>
      <c r="F8033" t="str">
        <f t="shared" si="271"/>
        <v>23X</v>
      </c>
    </row>
    <row r="8034" spans="1:6" x14ac:dyDescent="0.2">
      <c r="A8034">
        <v>24</v>
      </c>
      <c r="E8034" t="str">
        <f t="shared" si="270"/>
        <v>Y</v>
      </c>
      <c r="F8034" t="str">
        <f t="shared" si="271"/>
        <v>24Y</v>
      </c>
    </row>
    <row r="8035" spans="1:6" x14ac:dyDescent="0.2">
      <c r="A8035">
        <v>25</v>
      </c>
      <c r="E8035" t="str">
        <f t="shared" si="270"/>
        <v>Z</v>
      </c>
      <c r="F8035" t="str">
        <f t="shared" si="271"/>
        <v>25Z</v>
      </c>
    </row>
    <row r="8036" spans="1:6" x14ac:dyDescent="0.2">
      <c r="A8036">
        <v>0</v>
      </c>
      <c r="E8036" t="str">
        <f t="shared" si="270"/>
        <v>A</v>
      </c>
      <c r="F8036" t="str">
        <f t="shared" si="271"/>
        <v>0A</v>
      </c>
    </row>
    <row r="8037" spans="1:6" x14ac:dyDescent="0.2">
      <c r="A8037">
        <v>1</v>
      </c>
      <c r="E8037" t="str">
        <f t="shared" si="270"/>
        <v>B</v>
      </c>
      <c r="F8037" t="str">
        <f t="shared" si="271"/>
        <v>1B</v>
      </c>
    </row>
    <row r="8038" spans="1:6" x14ac:dyDescent="0.2">
      <c r="A8038">
        <v>2</v>
      </c>
      <c r="E8038" t="str">
        <f t="shared" si="270"/>
        <v>C</v>
      </c>
      <c r="F8038" t="str">
        <f t="shared" si="271"/>
        <v>2C</v>
      </c>
    </row>
    <row r="8039" spans="1:6" x14ac:dyDescent="0.2">
      <c r="A8039">
        <v>3</v>
      </c>
      <c r="E8039" t="str">
        <f t="shared" si="270"/>
        <v>D</v>
      </c>
      <c r="F8039" t="str">
        <f t="shared" si="271"/>
        <v>3D</v>
      </c>
    </row>
    <row r="8040" spans="1:6" x14ac:dyDescent="0.2">
      <c r="A8040">
        <v>4</v>
      </c>
      <c r="E8040" t="str">
        <f t="shared" si="270"/>
        <v>E</v>
      </c>
      <c r="F8040" t="str">
        <f t="shared" si="271"/>
        <v>4E</v>
      </c>
    </row>
    <row r="8041" spans="1:6" x14ac:dyDescent="0.2">
      <c r="A8041">
        <v>5</v>
      </c>
      <c r="E8041" t="str">
        <f t="shared" si="270"/>
        <v>F</v>
      </c>
      <c r="F8041" t="str">
        <f t="shared" si="271"/>
        <v>5F</v>
      </c>
    </row>
    <row r="8042" spans="1:6" x14ac:dyDescent="0.2">
      <c r="A8042">
        <v>6</v>
      </c>
      <c r="E8042" t="str">
        <f t="shared" si="270"/>
        <v>G</v>
      </c>
      <c r="F8042" t="str">
        <f t="shared" si="271"/>
        <v>6G</v>
      </c>
    </row>
    <row r="8043" spans="1:6" x14ac:dyDescent="0.2">
      <c r="A8043">
        <v>7</v>
      </c>
      <c r="E8043" t="str">
        <f t="shared" si="270"/>
        <v>H</v>
      </c>
      <c r="F8043" t="str">
        <f t="shared" si="271"/>
        <v>7H</v>
      </c>
    </row>
    <row r="8044" spans="1:6" x14ac:dyDescent="0.2">
      <c r="A8044">
        <v>8</v>
      </c>
      <c r="E8044" t="str">
        <f t="shared" si="270"/>
        <v>I</v>
      </c>
      <c r="F8044" t="str">
        <f t="shared" si="271"/>
        <v>8I</v>
      </c>
    </row>
    <row r="8045" spans="1:6" x14ac:dyDescent="0.2">
      <c r="A8045">
        <v>9</v>
      </c>
      <c r="E8045" t="str">
        <f t="shared" si="270"/>
        <v>J</v>
      </c>
      <c r="F8045" t="str">
        <f t="shared" si="271"/>
        <v>9J</v>
      </c>
    </row>
    <row r="8046" spans="1:6" x14ac:dyDescent="0.2">
      <c r="A8046">
        <v>10</v>
      </c>
      <c r="E8046" t="str">
        <f t="shared" si="270"/>
        <v>K</v>
      </c>
      <c r="F8046" t="str">
        <f t="shared" si="271"/>
        <v>10K</v>
      </c>
    </row>
    <row r="8047" spans="1:6" x14ac:dyDescent="0.2">
      <c r="A8047">
        <v>11</v>
      </c>
      <c r="E8047" t="str">
        <f t="shared" si="270"/>
        <v>L</v>
      </c>
      <c r="F8047" t="str">
        <f t="shared" si="271"/>
        <v>11L</v>
      </c>
    </row>
    <row r="8048" spans="1:6" x14ac:dyDescent="0.2">
      <c r="A8048">
        <v>12</v>
      </c>
      <c r="E8048" t="str">
        <f t="shared" ref="E8048:E8111" si="272">E8022</f>
        <v>M</v>
      </c>
      <c r="F8048" t="str">
        <f t="shared" si="271"/>
        <v>12M</v>
      </c>
    </row>
    <row r="8049" spans="1:6" x14ac:dyDescent="0.2">
      <c r="A8049">
        <v>13</v>
      </c>
      <c r="E8049" t="str">
        <f t="shared" si="272"/>
        <v>N</v>
      </c>
      <c r="F8049" t="str">
        <f t="shared" si="271"/>
        <v>13N</v>
      </c>
    </row>
    <row r="8050" spans="1:6" x14ac:dyDescent="0.2">
      <c r="A8050">
        <v>14</v>
      </c>
      <c r="E8050" t="str">
        <f t="shared" si="272"/>
        <v>O</v>
      </c>
      <c r="F8050" t="str">
        <f t="shared" si="271"/>
        <v>14O</v>
      </c>
    </row>
    <row r="8051" spans="1:6" x14ac:dyDescent="0.2">
      <c r="A8051">
        <v>15</v>
      </c>
      <c r="E8051" t="str">
        <f t="shared" si="272"/>
        <v>P</v>
      </c>
      <c r="F8051" t="str">
        <f t="shared" si="271"/>
        <v>15P</v>
      </c>
    </row>
    <row r="8052" spans="1:6" x14ac:dyDescent="0.2">
      <c r="A8052">
        <v>16</v>
      </c>
      <c r="E8052" t="str">
        <f t="shared" si="272"/>
        <v>Q</v>
      </c>
      <c r="F8052" t="str">
        <f t="shared" si="271"/>
        <v>16Q</v>
      </c>
    </row>
    <row r="8053" spans="1:6" x14ac:dyDescent="0.2">
      <c r="A8053">
        <v>17</v>
      </c>
      <c r="E8053" t="str">
        <f t="shared" si="272"/>
        <v>R</v>
      </c>
      <c r="F8053" t="str">
        <f t="shared" si="271"/>
        <v>17R</v>
      </c>
    </row>
    <row r="8054" spans="1:6" x14ac:dyDescent="0.2">
      <c r="A8054">
        <v>18</v>
      </c>
      <c r="E8054" t="str">
        <f t="shared" si="272"/>
        <v>S</v>
      </c>
      <c r="F8054" t="str">
        <f t="shared" si="271"/>
        <v>18S</v>
      </c>
    </row>
    <row r="8055" spans="1:6" x14ac:dyDescent="0.2">
      <c r="A8055">
        <v>19</v>
      </c>
      <c r="E8055" t="str">
        <f t="shared" si="272"/>
        <v>T</v>
      </c>
      <c r="F8055" t="str">
        <f t="shared" si="271"/>
        <v>19T</v>
      </c>
    </row>
    <row r="8056" spans="1:6" x14ac:dyDescent="0.2">
      <c r="A8056">
        <v>20</v>
      </c>
      <c r="E8056" t="str">
        <f t="shared" si="272"/>
        <v>U</v>
      </c>
      <c r="F8056" t="str">
        <f t="shared" si="271"/>
        <v>20U</v>
      </c>
    </row>
    <row r="8057" spans="1:6" x14ac:dyDescent="0.2">
      <c r="A8057">
        <v>21</v>
      </c>
      <c r="E8057" t="str">
        <f t="shared" si="272"/>
        <v>V</v>
      </c>
      <c r="F8057" t="str">
        <f t="shared" si="271"/>
        <v>21V</v>
      </c>
    </row>
    <row r="8058" spans="1:6" x14ac:dyDescent="0.2">
      <c r="A8058">
        <v>22</v>
      </c>
      <c r="E8058" t="str">
        <f t="shared" si="272"/>
        <v>W</v>
      </c>
      <c r="F8058" t="str">
        <f t="shared" si="271"/>
        <v>22W</v>
      </c>
    </row>
    <row r="8059" spans="1:6" x14ac:dyDescent="0.2">
      <c r="A8059">
        <v>23</v>
      </c>
      <c r="E8059" t="str">
        <f t="shared" si="272"/>
        <v>X</v>
      </c>
      <c r="F8059" t="str">
        <f t="shared" si="271"/>
        <v>23X</v>
      </c>
    </row>
    <row r="8060" spans="1:6" x14ac:dyDescent="0.2">
      <c r="A8060">
        <v>24</v>
      </c>
      <c r="E8060" t="str">
        <f t="shared" si="272"/>
        <v>Y</v>
      </c>
      <c r="F8060" t="str">
        <f t="shared" si="271"/>
        <v>24Y</v>
      </c>
    </row>
    <row r="8061" spans="1:6" x14ac:dyDescent="0.2">
      <c r="A8061">
        <v>25</v>
      </c>
      <c r="E8061" t="str">
        <f t="shared" si="272"/>
        <v>Z</v>
      </c>
      <c r="F8061" t="str">
        <f t="shared" si="271"/>
        <v>25Z</v>
      </c>
    </row>
    <row r="8062" spans="1:6" x14ac:dyDescent="0.2">
      <c r="A8062">
        <v>0</v>
      </c>
      <c r="E8062" t="str">
        <f t="shared" si="272"/>
        <v>A</v>
      </c>
      <c r="F8062" t="str">
        <f t="shared" si="271"/>
        <v>0A</v>
      </c>
    </row>
    <row r="8063" spans="1:6" x14ac:dyDescent="0.2">
      <c r="A8063">
        <v>1</v>
      </c>
      <c r="E8063" t="str">
        <f t="shared" si="272"/>
        <v>B</v>
      </c>
      <c r="F8063" t="str">
        <f t="shared" si="271"/>
        <v>1B</v>
      </c>
    </row>
    <row r="8064" spans="1:6" x14ac:dyDescent="0.2">
      <c r="A8064">
        <v>2</v>
      </c>
      <c r="E8064" t="str">
        <f t="shared" si="272"/>
        <v>C</v>
      </c>
      <c r="F8064" t="str">
        <f t="shared" si="271"/>
        <v>2C</v>
      </c>
    </row>
    <row r="8065" spans="1:6" x14ac:dyDescent="0.2">
      <c r="A8065">
        <v>3</v>
      </c>
      <c r="E8065" t="str">
        <f t="shared" si="272"/>
        <v>D</v>
      </c>
      <c r="F8065" t="str">
        <f t="shared" si="271"/>
        <v>3D</v>
      </c>
    </row>
    <row r="8066" spans="1:6" x14ac:dyDescent="0.2">
      <c r="A8066">
        <v>4</v>
      </c>
      <c r="E8066" t="str">
        <f t="shared" si="272"/>
        <v>E</v>
      </c>
      <c r="F8066" t="str">
        <f t="shared" si="271"/>
        <v>4E</v>
      </c>
    </row>
    <row r="8067" spans="1:6" x14ac:dyDescent="0.2">
      <c r="A8067">
        <v>5</v>
      </c>
      <c r="E8067" t="str">
        <f t="shared" si="272"/>
        <v>F</v>
      </c>
      <c r="F8067" t="str">
        <f t="shared" si="271"/>
        <v>5F</v>
      </c>
    </row>
    <row r="8068" spans="1:6" x14ac:dyDescent="0.2">
      <c r="A8068">
        <v>6</v>
      </c>
      <c r="E8068" t="str">
        <f t="shared" si="272"/>
        <v>G</v>
      </c>
      <c r="F8068" t="str">
        <f t="shared" si="271"/>
        <v>6G</v>
      </c>
    </row>
    <row r="8069" spans="1:6" x14ac:dyDescent="0.2">
      <c r="A8069">
        <v>7</v>
      </c>
      <c r="E8069" t="str">
        <f t="shared" si="272"/>
        <v>H</v>
      </c>
      <c r="F8069" t="str">
        <f t="shared" si="271"/>
        <v>7H</v>
      </c>
    </row>
    <row r="8070" spans="1:6" x14ac:dyDescent="0.2">
      <c r="A8070">
        <v>8</v>
      </c>
      <c r="E8070" t="str">
        <f t="shared" si="272"/>
        <v>I</v>
      </c>
      <c r="F8070" t="str">
        <f t="shared" si="271"/>
        <v>8I</v>
      </c>
    </row>
    <row r="8071" spans="1:6" x14ac:dyDescent="0.2">
      <c r="A8071">
        <v>9</v>
      </c>
      <c r="E8071" t="str">
        <f t="shared" si="272"/>
        <v>J</v>
      </c>
      <c r="F8071" t="str">
        <f t="shared" si="271"/>
        <v>9J</v>
      </c>
    </row>
    <row r="8072" spans="1:6" x14ac:dyDescent="0.2">
      <c r="A8072">
        <v>10</v>
      </c>
      <c r="E8072" t="str">
        <f t="shared" si="272"/>
        <v>K</v>
      </c>
      <c r="F8072" t="str">
        <f t="shared" si="271"/>
        <v>10K</v>
      </c>
    </row>
    <row r="8073" spans="1:6" x14ac:dyDescent="0.2">
      <c r="A8073">
        <v>11</v>
      </c>
      <c r="E8073" t="str">
        <f t="shared" si="272"/>
        <v>L</v>
      </c>
      <c r="F8073" t="str">
        <f t="shared" si="271"/>
        <v>11L</v>
      </c>
    </row>
    <row r="8074" spans="1:6" x14ac:dyDescent="0.2">
      <c r="A8074">
        <v>12</v>
      </c>
      <c r="E8074" t="str">
        <f t="shared" si="272"/>
        <v>M</v>
      </c>
      <c r="F8074" t="str">
        <f t="shared" si="271"/>
        <v>12M</v>
      </c>
    </row>
    <row r="8075" spans="1:6" x14ac:dyDescent="0.2">
      <c r="A8075">
        <v>13</v>
      </c>
      <c r="E8075" t="str">
        <f t="shared" si="272"/>
        <v>N</v>
      </c>
      <c r="F8075" t="str">
        <f t="shared" si="271"/>
        <v>13N</v>
      </c>
    </row>
    <row r="8076" spans="1:6" x14ac:dyDescent="0.2">
      <c r="A8076">
        <v>14</v>
      </c>
      <c r="E8076" t="str">
        <f t="shared" si="272"/>
        <v>O</v>
      </c>
      <c r="F8076" t="str">
        <f t="shared" si="271"/>
        <v>14O</v>
      </c>
    </row>
    <row r="8077" spans="1:6" x14ac:dyDescent="0.2">
      <c r="A8077">
        <v>15</v>
      </c>
      <c r="E8077" t="str">
        <f t="shared" si="272"/>
        <v>P</v>
      </c>
      <c r="F8077" t="str">
        <f t="shared" si="271"/>
        <v>15P</v>
      </c>
    </row>
    <row r="8078" spans="1:6" x14ac:dyDescent="0.2">
      <c r="A8078">
        <v>16</v>
      </c>
      <c r="E8078" t="str">
        <f t="shared" si="272"/>
        <v>Q</v>
      </c>
      <c r="F8078" t="str">
        <f t="shared" si="271"/>
        <v>16Q</v>
      </c>
    </row>
    <row r="8079" spans="1:6" x14ac:dyDescent="0.2">
      <c r="A8079">
        <v>17</v>
      </c>
      <c r="E8079" t="str">
        <f t="shared" si="272"/>
        <v>R</v>
      </c>
      <c r="F8079" t="str">
        <f t="shared" si="271"/>
        <v>17R</v>
      </c>
    </row>
    <row r="8080" spans="1:6" x14ac:dyDescent="0.2">
      <c r="A8080">
        <v>18</v>
      </c>
      <c r="E8080" t="str">
        <f t="shared" si="272"/>
        <v>S</v>
      </c>
      <c r="F8080" t="str">
        <f t="shared" si="271"/>
        <v>18S</v>
      </c>
    </row>
    <row r="8081" spans="1:6" x14ac:dyDescent="0.2">
      <c r="A8081">
        <v>19</v>
      </c>
      <c r="E8081" t="str">
        <f t="shared" si="272"/>
        <v>T</v>
      </c>
      <c r="F8081" t="str">
        <f t="shared" si="271"/>
        <v>19T</v>
      </c>
    </row>
    <row r="8082" spans="1:6" x14ac:dyDescent="0.2">
      <c r="A8082">
        <v>20</v>
      </c>
      <c r="E8082" t="str">
        <f t="shared" si="272"/>
        <v>U</v>
      </c>
      <c r="F8082" t="str">
        <f t="shared" si="271"/>
        <v>20U</v>
      </c>
    </row>
    <row r="8083" spans="1:6" x14ac:dyDescent="0.2">
      <c r="A8083">
        <v>21</v>
      </c>
      <c r="E8083" t="str">
        <f t="shared" si="272"/>
        <v>V</v>
      </c>
      <c r="F8083" t="str">
        <f t="shared" si="271"/>
        <v>21V</v>
      </c>
    </row>
    <row r="8084" spans="1:6" x14ac:dyDescent="0.2">
      <c r="A8084">
        <v>22</v>
      </c>
      <c r="E8084" t="str">
        <f t="shared" si="272"/>
        <v>W</v>
      </c>
      <c r="F8084" t="str">
        <f t="shared" si="271"/>
        <v>22W</v>
      </c>
    </row>
    <row r="8085" spans="1:6" x14ac:dyDescent="0.2">
      <c r="A8085">
        <v>23</v>
      </c>
      <c r="E8085" t="str">
        <f t="shared" si="272"/>
        <v>X</v>
      </c>
      <c r="F8085" t="str">
        <f t="shared" si="271"/>
        <v>23X</v>
      </c>
    </row>
    <row r="8086" spans="1:6" x14ac:dyDescent="0.2">
      <c r="A8086">
        <v>24</v>
      </c>
      <c r="E8086" t="str">
        <f t="shared" si="272"/>
        <v>Y</v>
      </c>
      <c r="F8086" t="str">
        <f t="shared" ref="F8086:F8149" si="273">A8086&amp;C8086&amp;E8086</f>
        <v>24Y</v>
      </c>
    </row>
    <row r="8087" spans="1:6" x14ac:dyDescent="0.2">
      <c r="A8087">
        <v>25</v>
      </c>
      <c r="E8087" t="str">
        <f t="shared" si="272"/>
        <v>Z</v>
      </c>
      <c r="F8087" t="str">
        <f t="shared" si="273"/>
        <v>25Z</v>
      </c>
    </row>
    <row r="8088" spans="1:6" x14ac:dyDescent="0.2">
      <c r="A8088">
        <v>0</v>
      </c>
      <c r="E8088" t="str">
        <f t="shared" si="272"/>
        <v>A</v>
      </c>
      <c r="F8088" t="str">
        <f t="shared" si="273"/>
        <v>0A</v>
      </c>
    </row>
    <row r="8089" spans="1:6" x14ac:dyDescent="0.2">
      <c r="A8089">
        <v>1</v>
      </c>
      <c r="E8089" t="str">
        <f t="shared" si="272"/>
        <v>B</v>
      </c>
      <c r="F8089" t="str">
        <f t="shared" si="273"/>
        <v>1B</v>
      </c>
    </row>
    <row r="8090" spans="1:6" x14ac:dyDescent="0.2">
      <c r="A8090">
        <v>2</v>
      </c>
      <c r="E8090" t="str">
        <f t="shared" si="272"/>
        <v>C</v>
      </c>
      <c r="F8090" t="str">
        <f t="shared" si="273"/>
        <v>2C</v>
      </c>
    </row>
    <row r="8091" spans="1:6" x14ac:dyDescent="0.2">
      <c r="A8091">
        <v>3</v>
      </c>
      <c r="E8091" t="str">
        <f t="shared" si="272"/>
        <v>D</v>
      </c>
      <c r="F8091" t="str">
        <f t="shared" si="273"/>
        <v>3D</v>
      </c>
    </row>
    <row r="8092" spans="1:6" x14ac:dyDescent="0.2">
      <c r="A8092">
        <v>4</v>
      </c>
      <c r="E8092" t="str">
        <f t="shared" si="272"/>
        <v>E</v>
      </c>
      <c r="F8092" t="str">
        <f t="shared" si="273"/>
        <v>4E</v>
      </c>
    </row>
    <row r="8093" spans="1:6" x14ac:dyDescent="0.2">
      <c r="A8093">
        <v>5</v>
      </c>
      <c r="E8093" t="str">
        <f t="shared" si="272"/>
        <v>F</v>
      </c>
      <c r="F8093" t="str">
        <f t="shared" si="273"/>
        <v>5F</v>
      </c>
    </row>
    <row r="8094" spans="1:6" x14ac:dyDescent="0.2">
      <c r="A8094">
        <v>6</v>
      </c>
      <c r="E8094" t="str">
        <f t="shared" si="272"/>
        <v>G</v>
      </c>
      <c r="F8094" t="str">
        <f t="shared" si="273"/>
        <v>6G</v>
      </c>
    </row>
    <row r="8095" spans="1:6" x14ac:dyDescent="0.2">
      <c r="A8095">
        <v>7</v>
      </c>
      <c r="E8095" t="str">
        <f t="shared" si="272"/>
        <v>H</v>
      </c>
      <c r="F8095" t="str">
        <f t="shared" si="273"/>
        <v>7H</v>
      </c>
    </row>
    <row r="8096" spans="1:6" x14ac:dyDescent="0.2">
      <c r="A8096">
        <v>8</v>
      </c>
      <c r="E8096" t="str">
        <f t="shared" si="272"/>
        <v>I</v>
      </c>
      <c r="F8096" t="str">
        <f t="shared" si="273"/>
        <v>8I</v>
      </c>
    </row>
    <row r="8097" spans="1:6" x14ac:dyDescent="0.2">
      <c r="A8097">
        <v>9</v>
      </c>
      <c r="E8097" t="str">
        <f t="shared" si="272"/>
        <v>J</v>
      </c>
      <c r="F8097" t="str">
        <f t="shared" si="273"/>
        <v>9J</v>
      </c>
    </row>
    <row r="8098" spans="1:6" x14ac:dyDescent="0.2">
      <c r="A8098">
        <v>10</v>
      </c>
      <c r="E8098" t="str">
        <f t="shared" si="272"/>
        <v>K</v>
      </c>
      <c r="F8098" t="str">
        <f t="shared" si="273"/>
        <v>10K</v>
      </c>
    </row>
    <row r="8099" spans="1:6" x14ac:dyDescent="0.2">
      <c r="A8099">
        <v>11</v>
      </c>
      <c r="E8099" t="str">
        <f t="shared" si="272"/>
        <v>L</v>
      </c>
      <c r="F8099" t="str">
        <f t="shared" si="273"/>
        <v>11L</v>
      </c>
    </row>
    <row r="8100" spans="1:6" x14ac:dyDescent="0.2">
      <c r="A8100">
        <v>12</v>
      </c>
      <c r="E8100" t="str">
        <f t="shared" si="272"/>
        <v>M</v>
      </c>
      <c r="F8100" t="str">
        <f t="shared" si="273"/>
        <v>12M</v>
      </c>
    </row>
    <row r="8101" spans="1:6" x14ac:dyDescent="0.2">
      <c r="A8101">
        <v>13</v>
      </c>
      <c r="E8101" t="str">
        <f t="shared" si="272"/>
        <v>N</v>
      </c>
      <c r="F8101" t="str">
        <f t="shared" si="273"/>
        <v>13N</v>
      </c>
    </row>
    <row r="8102" spans="1:6" x14ac:dyDescent="0.2">
      <c r="A8102">
        <v>14</v>
      </c>
      <c r="E8102" t="str">
        <f t="shared" si="272"/>
        <v>O</v>
      </c>
      <c r="F8102" t="str">
        <f t="shared" si="273"/>
        <v>14O</v>
      </c>
    </row>
    <row r="8103" spans="1:6" x14ac:dyDescent="0.2">
      <c r="A8103">
        <v>15</v>
      </c>
      <c r="E8103" t="str">
        <f t="shared" si="272"/>
        <v>P</v>
      </c>
      <c r="F8103" t="str">
        <f t="shared" si="273"/>
        <v>15P</v>
      </c>
    </row>
    <row r="8104" spans="1:6" x14ac:dyDescent="0.2">
      <c r="A8104">
        <v>16</v>
      </c>
      <c r="E8104" t="str">
        <f t="shared" si="272"/>
        <v>Q</v>
      </c>
      <c r="F8104" t="str">
        <f t="shared" si="273"/>
        <v>16Q</v>
      </c>
    </row>
    <row r="8105" spans="1:6" x14ac:dyDescent="0.2">
      <c r="A8105">
        <v>17</v>
      </c>
      <c r="E8105" t="str">
        <f t="shared" si="272"/>
        <v>R</v>
      </c>
      <c r="F8105" t="str">
        <f t="shared" si="273"/>
        <v>17R</v>
      </c>
    </row>
    <row r="8106" spans="1:6" x14ac:dyDescent="0.2">
      <c r="A8106">
        <v>18</v>
      </c>
      <c r="E8106" t="str">
        <f t="shared" si="272"/>
        <v>S</v>
      </c>
      <c r="F8106" t="str">
        <f t="shared" si="273"/>
        <v>18S</v>
      </c>
    </row>
    <row r="8107" spans="1:6" x14ac:dyDescent="0.2">
      <c r="A8107">
        <v>19</v>
      </c>
      <c r="E8107" t="str">
        <f t="shared" si="272"/>
        <v>T</v>
      </c>
      <c r="F8107" t="str">
        <f t="shared" si="273"/>
        <v>19T</v>
      </c>
    </row>
    <row r="8108" spans="1:6" x14ac:dyDescent="0.2">
      <c r="A8108">
        <v>20</v>
      </c>
      <c r="E8108" t="str">
        <f t="shared" si="272"/>
        <v>U</v>
      </c>
      <c r="F8108" t="str">
        <f t="shared" si="273"/>
        <v>20U</v>
      </c>
    </row>
    <row r="8109" spans="1:6" x14ac:dyDescent="0.2">
      <c r="A8109">
        <v>21</v>
      </c>
      <c r="E8109" t="str">
        <f t="shared" si="272"/>
        <v>V</v>
      </c>
      <c r="F8109" t="str">
        <f t="shared" si="273"/>
        <v>21V</v>
      </c>
    </row>
    <row r="8110" spans="1:6" x14ac:dyDescent="0.2">
      <c r="A8110">
        <v>22</v>
      </c>
      <c r="E8110" t="str">
        <f t="shared" si="272"/>
        <v>W</v>
      </c>
      <c r="F8110" t="str">
        <f t="shared" si="273"/>
        <v>22W</v>
      </c>
    </row>
    <row r="8111" spans="1:6" x14ac:dyDescent="0.2">
      <c r="A8111">
        <v>23</v>
      </c>
      <c r="E8111" t="str">
        <f t="shared" si="272"/>
        <v>X</v>
      </c>
      <c r="F8111" t="str">
        <f t="shared" si="273"/>
        <v>23X</v>
      </c>
    </row>
    <row r="8112" spans="1:6" x14ac:dyDescent="0.2">
      <c r="A8112">
        <v>24</v>
      </c>
      <c r="E8112" t="str">
        <f t="shared" ref="E8112:E8175" si="274">E8086</f>
        <v>Y</v>
      </c>
      <c r="F8112" t="str">
        <f t="shared" si="273"/>
        <v>24Y</v>
      </c>
    </row>
    <row r="8113" spans="1:6" x14ac:dyDescent="0.2">
      <c r="A8113">
        <v>25</v>
      </c>
      <c r="E8113" t="str">
        <f t="shared" si="274"/>
        <v>Z</v>
      </c>
      <c r="F8113" t="str">
        <f t="shared" si="273"/>
        <v>25Z</v>
      </c>
    </row>
    <row r="8114" spans="1:6" x14ac:dyDescent="0.2">
      <c r="A8114">
        <v>0</v>
      </c>
      <c r="E8114" t="str">
        <f t="shared" si="274"/>
        <v>A</v>
      </c>
      <c r="F8114" t="str">
        <f t="shared" si="273"/>
        <v>0A</v>
      </c>
    </row>
    <row r="8115" spans="1:6" x14ac:dyDescent="0.2">
      <c r="A8115">
        <v>1</v>
      </c>
      <c r="E8115" t="str">
        <f t="shared" si="274"/>
        <v>B</v>
      </c>
      <c r="F8115" t="str">
        <f t="shared" si="273"/>
        <v>1B</v>
      </c>
    </row>
    <row r="8116" spans="1:6" x14ac:dyDescent="0.2">
      <c r="A8116">
        <v>2</v>
      </c>
      <c r="E8116" t="str">
        <f t="shared" si="274"/>
        <v>C</v>
      </c>
      <c r="F8116" t="str">
        <f t="shared" si="273"/>
        <v>2C</v>
      </c>
    </row>
    <row r="8117" spans="1:6" x14ac:dyDescent="0.2">
      <c r="A8117">
        <v>3</v>
      </c>
      <c r="E8117" t="str">
        <f t="shared" si="274"/>
        <v>D</v>
      </c>
      <c r="F8117" t="str">
        <f t="shared" si="273"/>
        <v>3D</v>
      </c>
    </row>
    <row r="8118" spans="1:6" x14ac:dyDescent="0.2">
      <c r="A8118">
        <v>4</v>
      </c>
      <c r="E8118" t="str">
        <f t="shared" si="274"/>
        <v>E</v>
      </c>
      <c r="F8118" t="str">
        <f t="shared" si="273"/>
        <v>4E</v>
      </c>
    </row>
    <row r="8119" spans="1:6" x14ac:dyDescent="0.2">
      <c r="A8119">
        <v>5</v>
      </c>
      <c r="E8119" t="str">
        <f t="shared" si="274"/>
        <v>F</v>
      </c>
      <c r="F8119" t="str">
        <f t="shared" si="273"/>
        <v>5F</v>
      </c>
    </row>
    <row r="8120" spans="1:6" x14ac:dyDescent="0.2">
      <c r="A8120">
        <v>6</v>
      </c>
      <c r="E8120" t="str">
        <f t="shared" si="274"/>
        <v>G</v>
      </c>
      <c r="F8120" t="str">
        <f t="shared" si="273"/>
        <v>6G</v>
      </c>
    </row>
    <row r="8121" spans="1:6" x14ac:dyDescent="0.2">
      <c r="A8121">
        <v>7</v>
      </c>
      <c r="E8121" t="str">
        <f t="shared" si="274"/>
        <v>H</v>
      </c>
      <c r="F8121" t="str">
        <f t="shared" si="273"/>
        <v>7H</v>
      </c>
    </row>
    <row r="8122" spans="1:6" x14ac:dyDescent="0.2">
      <c r="A8122">
        <v>8</v>
      </c>
      <c r="E8122" t="str">
        <f t="shared" si="274"/>
        <v>I</v>
      </c>
      <c r="F8122" t="str">
        <f t="shared" si="273"/>
        <v>8I</v>
      </c>
    </row>
    <row r="8123" spans="1:6" x14ac:dyDescent="0.2">
      <c r="A8123">
        <v>9</v>
      </c>
      <c r="E8123" t="str">
        <f t="shared" si="274"/>
        <v>J</v>
      </c>
      <c r="F8123" t="str">
        <f t="shared" si="273"/>
        <v>9J</v>
      </c>
    </row>
    <row r="8124" spans="1:6" x14ac:dyDescent="0.2">
      <c r="A8124">
        <v>10</v>
      </c>
      <c r="E8124" t="str">
        <f t="shared" si="274"/>
        <v>K</v>
      </c>
      <c r="F8124" t="str">
        <f t="shared" si="273"/>
        <v>10K</v>
      </c>
    </row>
    <row r="8125" spans="1:6" x14ac:dyDescent="0.2">
      <c r="A8125">
        <v>11</v>
      </c>
      <c r="E8125" t="str">
        <f t="shared" si="274"/>
        <v>L</v>
      </c>
      <c r="F8125" t="str">
        <f t="shared" si="273"/>
        <v>11L</v>
      </c>
    </row>
    <row r="8126" spans="1:6" x14ac:dyDescent="0.2">
      <c r="A8126">
        <v>12</v>
      </c>
      <c r="E8126" t="str">
        <f t="shared" si="274"/>
        <v>M</v>
      </c>
      <c r="F8126" t="str">
        <f t="shared" si="273"/>
        <v>12M</v>
      </c>
    </row>
    <row r="8127" spans="1:6" x14ac:dyDescent="0.2">
      <c r="A8127">
        <v>13</v>
      </c>
      <c r="E8127" t="str">
        <f t="shared" si="274"/>
        <v>N</v>
      </c>
      <c r="F8127" t="str">
        <f t="shared" si="273"/>
        <v>13N</v>
      </c>
    </row>
    <row r="8128" spans="1:6" x14ac:dyDescent="0.2">
      <c r="A8128">
        <v>14</v>
      </c>
      <c r="E8128" t="str">
        <f t="shared" si="274"/>
        <v>O</v>
      </c>
      <c r="F8128" t="str">
        <f t="shared" si="273"/>
        <v>14O</v>
      </c>
    </row>
    <row r="8129" spans="1:6" x14ac:dyDescent="0.2">
      <c r="A8129">
        <v>15</v>
      </c>
      <c r="E8129" t="str">
        <f t="shared" si="274"/>
        <v>P</v>
      </c>
      <c r="F8129" t="str">
        <f t="shared" si="273"/>
        <v>15P</v>
      </c>
    </row>
    <row r="8130" spans="1:6" x14ac:dyDescent="0.2">
      <c r="A8130">
        <v>16</v>
      </c>
      <c r="E8130" t="str">
        <f t="shared" si="274"/>
        <v>Q</v>
      </c>
      <c r="F8130" t="str">
        <f t="shared" si="273"/>
        <v>16Q</v>
      </c>
    </row>
    <row r="8131" spans="1:6" x14ac:dyDescent="0.2">
      <c r="A8131">
        <v>17</v>
      </c>
      <c r="E8131" t="str">
        <f t="shared" si="274"/>
        <v>R</v>
      </c>
      <c r="F8131" t="str">
        <f t="shared" si="273"/>
        <v>17R</v>
      </c>
    </row>
    <row r="8132" spans="1:6" x14ac:dyDescent="0.2">
      <c r="A8132">
        <v>18</v>
      </c>
      <c r="E8132" t="str">
        <f t="shared" si="274"/>
        <v>S</v>
      </c>
      <c r="F8132" t="str">
        <f t="shared" si="273"/>
        <v>18S</v>
      </c>
    </row>
    <row r="8133" spans="1:6" x14ac:dyDescent="0.2">
      <c r="A8133">
        <v>19</v>
      </c>
      <c r="E8133" t="str">
        <f t="shared" si="274"/>
        <v>T</v>
      </c>
      <c r="F8133" t="str">
        <f t="shared" si="273"/>
        <v>19T</v>
      </c>
    </row>
    <row r="8134" spans="1:6" x14ac:dyDescent="0.2">
      <c r="A8134">
        <v>20</v>
      </c>
      <c r="E8134" t="str">
        <f t="shared" si="274"/>
        <v>U</v>
      </c>
      <c r="F8134" t="str">
        <f t="shared" si="273"/>
        <v>20U</v>
      </c>
    </row>
    <row r="8135" spans="1:6" x14ac:dyDescent="0.2">
      <c r="A8135">
        <v>21</v>
      </c>
      <c r="E8135" t="str">
        <f t="shared" si="274"/>
        <v>V</v>
      </c>
      <c r="F8135" t="str">
        <f t="shared" si="273"/>
        <v>21V</v>
      </c>
    </row>
    <row r="8136" spans="1:6" x14ac:dyDescent="0.2">
      <c r="A8136">
        <v>22</v>
      </c>
      <c r="E8136" t="str">
        <f t="shared" si="274"/>
        <v>W</v>
      </c>
      <c r="F8136" t="str">
        <f t="shared" si="273"/>
        <v>22W</v>
      </c>
    </row>
    <row r="8137" spans="1:6" x14ac:dyDescent="0.2">
      <c r="A8137">
        <v>23</v>
      </c>
      <c r="E8137" t="str">
        <f t="shared" si="274"/>
        <v>X</v>
      </c>
      <c r="F8137" t="str">
        <f t="shared" si="273"/>
        <v>23X</v>
      </c>
    </row>
    <row r="8138" spans="1:6" x14ac:dyDescent="0.2">
      <c r="A8138">
        <v>24</v>
      </c>
      <c r="E8138" t="str">
        <f t="shared" si="274"/>
        <v>Y</v>
      </c>
      <c r="F8138" t="str">
        <f t="shared" si="273"/>
        <v>24Y</v>
      </c>
    </row>
    <row r="8139" spans="1:6" x14ac:dyDescent="0.2">
      <c r="A8139">
        <v>25</v>
      </c>
      <c r="E8139" t="str">
        <f t="shared" si="274"/>
        <v>Z</v>
      </c>
      <c r="F8139" t="str">
        <f t="shared" si="273"/>
        <v>25Z</v>
      </c>
    </row>
    <row r="8140" spans="1:6" x14ac:dyDescent="0.2">
      <c r="A8140">
        <v>0</v>
      </c>
      <c r="E8140" t="str">
        <f t="shared" si="274"/>
        <v>A</v>
      </c>
      <c r="F8140" t="str">
        <f t="shared" si="273"/>
        <v>0A</v>
      </c>
    </row>
    <row r="8141" spans="1:6" x14ac:dyDescent="0.2">
      <c r="A8141">
        <v>1</v>
      </c>
      <c r="E8141" t="str">
        <f t="shared" si="274"/>
        <v>B</v>
      </c>
      <c r="F8141" t="str">
        <f t="shared" si="273"/>
        <v>1B</v>
      </c>
    </row>
    <row r="8142" spans="1:6" x14ac:dyDescent="0.2">
      <c r="A8142">
        <v>2</v>
      </c>
      <c r="E8142" t="str">
        <f t="shared" si="274"/>
        <v>C</v>
      </c>
      <c r="F8142" t="str">
        <f t="shared" si="273"/>
        <v>2C</v>
      </c>
    </row>
    <row r="8143" spans="1:6" x14ac:dyDescent="0.2">
      <c r="A8143">
        <v>3</v>
      </c>
      <c r="E8143" t="str">
        <f t="shared" si="274"/>
        <v>D</v>
      </c>
      <c r="F8143" t="str">
        <f t="shared" si="273"/>
        <v>3D</v>
      </c>
    </row>
    <row r="8144" spans="1:6" x14ac:dyDescent="0.2">
      <c r="A8144">
        <v>4</v>
      </c>
      <c r="E8144" t="str">
        <f t="shared" si="274"/>
        <v>E</v>
      </c>
      <c r="F8144" t="str">
        <f t="shared" si="273"/>
        <v>4E</v>
      </c>
    </row>
    <row r="8145" spans="1:6" x14ac:dyDescent="0.2">
      <c r="A8145">
        <v>5</v>
      </c>
      <c r="E8145" t="str">
        <f t="shared" si="274"/>
        <v>F</v>
      </c>
      <c r="F8145" t="str">
        <f t="shared" si="273"/>
        <v>5F</v>
      </c>
    </row>
    <row r="8146" spans="1:6" x14ac:dyDescent="0.2">
      <c r="A8146">
        <v>6</v>
      </c>
      <c r="E8146" t="str">
        <f t="shared" si="274"/>
        <v>G</v>
      </c>
      <c r="F8146" t="str">
        <f t="shared" si="273"/>
        <v>6G</v>
      </c>
    </row>
    <row r="8147" spans="1:6" x14ac:dyDescent="0.2">
      <c r="A8147">
        <v>7</v>
      </c>
      <c r="E8147" t="str">
        <f t="shared" si="274"/>
        <v>H</v>
      </c>
      <c r="F8147" t="str">
        <f t="shared" si="273"/>
        <v>7H</v>
      </c>
    </row>
    <row r="8148" spans="1:6" x14ac:dyDescent="0.2">
      <c r="A8148">
        <v>8</v>
      </c>
      <c r="E8148" t="str">
        <f t="shared" si="274"/>
        <v>I</v>
      </c>
      <c r="F8148" t="str">
        <f t="shared" si="273"/>
        <v>8I</v>
      </c>
    </row>
    <row r="8149" spans="1:6" x14ac:dyDescent="0.2">
      <c r="A8149">
        <v>9</v>
      </c>
      <c r="E8149" t="str">
        <f t="shared" si="274"/>
        <v>J</v>
      </c>
      <c r="F8149" t="str">
        <f t="shared" si="273"/>
        <v>9J</v>
      </c>
    </row>
    <row r="8150" spans="1:6" x14ac:dyDescent="0.2">
      <c r="A8150">
        <v>10</v>
      </c>
      <c r="E8150" t="str">
        <f t="shared" si="274"/>
        <v>K</v>
      </c>
      <c r="F8150" t="str">
        <f t="shared" ref="F8150:F8213" si="275">A8150&amp;C8150&amp;E8150</f>
        <v>10K</v>
      </c>
    </row>
    <row r="8151" spans="1:6" x14ac:dyDescent="0.2">
      <c r="A8151">
        <v>11</v>
      </c>
      <c r="E8151" t="str">
        <f t="shared" si="274"/>
        <v>L</v>
      </c>
      <c r="F8151" t="str">
        <f t="shared" si="275"/>
        <v>11L</v>
      </c>
    </row>
    <row r="8152" spans="1:6" x14ac:dyDescent="0.2">
      <c r="A8152">
        <v>12</v>
      </c>
      <c r="E8152" t="str">
        <f t="shared" si="274"/>
        <v>M</v>
      </c>
      <c r="F8152" t="str">
        <f t="shared" si="275"/>
        <v>12M</v>
      </c>
    </row>
    <row r="8153" spans="1:6" x14ac:dyDescent="0.2">
      <c r="A8153">
        <v>13</v>
      </c>
      <c r="E8153" t="str">
        <f t="shared" si="274"/>
        <v>N</v>
      </c>
      <c r="F8153" t="str">
        <f t="shared" si="275"/>
        <v>13N</v>
      </c>
    </row>
    <row r="8154" spans="1:6" x14ac:dyDescent="0.2">
      <c r="A8154">
        <v>14</v>
      </c>
      <c r="E8154" t="str">
        <f t="shared" si="274"/>
        <v>O</v>
      </c>
      <c r="F8154" t="str">
        <f t="shared" si="275"/>
        <v>14O</v>
      </c>
    </row>
    <row r="8155" spans="1:6" x14ac:dyDescent="0.2">
      <c r="A8155">
        <v>15</v>
      </c>
      <c r="E8155" t="str">
        <f t="shared" si="274"/>
        <v>P</v>
      </c>
      <c r="F8155" t="str">
        <f t="shared" si="275"/>
        <v>15P</v>
      </c>
    </row>
    <row r="8156" spans="1:6" x14ac:dyDescent="0.2">
      <c r="A8156">
        <v>16</v>
      </c>
      <c r="E8156" t="str">
        <f t="shared" si="274"/>
        <v>Q</v>
      </c>
      <c r="F8156" t="str">
        <f t="shared" si="275"/>
        <v>16Q</v>
      </c>
    </row>
    <row r="8157" spans="1:6" x14ac:dyDescent="0.2">
      <c r="A8157">
        <v>17</v>
      </c>
      <c r="E8157" t="str">
        <f t="shared" si="274"/>
        <v>R</v>
      </c>
      <c r="F8157" t="str">
        <f t="shared" si="275"/>
        <v>17R</v>
      </c>
    </row>
    <row r="8158" spans="1:6" x14ac:dyDescent="0.2">
      <c r="A8158">
        <v>18</v>
      </c>
      <c r="E8158" t="str">
        <f t="shared" si="274"/>
        <v>S</v>
      </c>
      <c r="F8158" t="str">
        <f t="shared" si="275"/>
        <v>18S</v>
      </c>
    </row>
    <row r="8159" spans="1:6" x14ac:dyDescent="0.2">
      <c r="A8159">
        <v>19</v>
      </c>
      <c r="E8159" t="str">
        <f t="shared" si="274"/>
        <v>T</v>
      </c>
      <c r="F8159" t="str">
        <f t="shared" si="275"/>
        <v>19T</v>
      </c>
    </row>
    <row r="8160" spans="1:6" x14ac:dyDescent="0.2">
      <c r="A8160">
        <v>20</v>
      </c>
      <c r="E8160" t="str">
        <f t="shared" si="274"/>
        <v>U</v>
      </c>
      <c r="F8160" t="str">
        <f t="shared" si="275"/>
        <v>20U</v>
      </c>
    </row>
    <row r="8161" spans="1:6" x14ac:dyDescent="0.2">
      <c r="A8161">
        <v>21</v>
      </c>
      <c r="E8161" t="str">
        <f t="shared" si="274"/>
        <v>V</v>
      </c>
      <c r="F8161" t="str">
        <f t="shared" si="275"/>
        <v>21V</v>
      </c>
    </row>
    <row r="8162" spans="1:6" x14ac:dyDescent="0.2">
      <c r="A8162">
        <v>22</v>
      </c>
      <c r="E8162" t="str">
        <f t="shared" si="274"/>
        <v>W</v>
      </c>
      <c r="F8162" t="str">
        <f t="shared" si="275"/>
        <v>22W</v>
      </c>
    </row>
    <row r="8163" spans="1:6" x14ac:dyDescent="0.2">
      <c r="A8163">
        <v>23</v>
      </c>
      <c r="E8163" t="str">
        <f t="shared" si="274"/>
        <v>X</v>
      </c>
      <c r="F8163" t="str">
        <f t="shared" si="275"/>
        <v>23X</v>
      </c>
    </row>
    <row r="8164" spans="1:6" x14ac:dyDescent="0.2">
      <c r="A8164">
        <v>24</v>
      </c>
      <c r="E8164" t="str">
        <f t="shared" si="274"/>
        <v>Y</v>
      </c>
      <c r="F8164" t="str">
        <f t="shared" si="275"/>
        <v>24Y</v>
      </c>
    </row>
    <row r="8165" spans="1:6" x14ac:dyDescent="0.2">
      <c r="A8165">
        <v>25</v>
      </c>
      <c r="E8165" t="str">
        <f t="shared" si="274"/>
        <v>Z</v>
      </c>
      <c r="F8165" t="str">
        <f t="shared" si="275"/>
        <v>25Z</v>
      </c>
    </row>
    <row r="8166" spans="1:6" x14ac:dyDescent="0.2">
      <c r="A8166">
        <v>0</v>
      </c>
      <c r="E8166" t="str">
        <f t="shared" si="274"/>
        <v>A</v>
      </c>
      <c r="F8166" t="str">
        <f t="shared" si="275"/>
        <v>0A</v>
      </c>
    </row>
    <row r="8167" spans="1:6" x14ac:dyDescent="0.2">
      <c r="A8167">
        <v>1</v>
      </c>
      <c r="E8167" t="str">
        <f t="shared" si="274"/>
        <v>B</v>
      </c>
      <c r="F8167" t="str">
        <f t="shared" si="275"/>
        <v>1B</v>
      </c>
    </row>
    <row r="8168" spans="1:6" x14ac:dyDescent="0.2">
      <c r="A8168">
        <v>2</v>
      </c>
      <c r="E8168" t="str">
        <f t="shared" si="274"/>
        <v>C</v>
      </c>
      <c r="F8168" t="str">
        <f t="shared" si="275"/>
        <v>2C</v>
      </c>
    </row>
    <row r="8169" spans="1:6" x14ac:dyDescent="0.2">
      <c r="A8169">
        <v>3</v>
      </c>
      <c r="E8169" t="str">
        <f t="shared" si="274"/>
        <v>D</v>
      </c>
      <c r="F8169" t="str">
        <f t="shared" si="275"/>
        <v>3D</v>
      </c>
    </row>
    <row r="8170" spans="1:6" x14ac:dyDescent="0.2">
      <c r="A8170">
        <v>4</v>
      </c>
      <c r="E8170" t="str">
        <f t="shared" si="274"/>
        <v>E</v>
      </c>
      <c r="F8170" t="str">
        <f t="shared" si="275"/>
        <v>4E</v>
      </c>
    </row>
    <row r="8171" spans="1:6" x14ac:dyDescent="0.2">
      <c r="A8171">
        <v>5</v>
      </c>
      <c r="E8171" t="str">
        <f t="shared" si="274"/>
        <v>F</v>
      </c>
      <c r="F8171" t="str">
        <f t="shared" si="275"/>
        <v>5F</v>
      </c>
    </row>
    <row r="8172" spans="1:6" x14ac:dyDescent="0.2">
      <c r="A8172">
        <v>6</v>
      </c>
      <c r="E8172" t="str">
        <f t="shared" si="274"/>
        <v>G</v>
      </c>
      <c r="F8172" t="str">
        <f t="shared" si="275"/>
        <v>6G</v>
      </c>
    </row>
    <row r="8173" spans="1:6" x14ac:dyDescent="0.2">
      <c r="A8173">
        <v>7</v>
      </c>
      <c r="E8173" t="str">
        <f t="shared" si="274"/>
        <v>H</v>
      </c>
      <c r="F8173" t="str">
        <f t="shared" si="275"/>
        <v>7H</v>
      </c>
    </row>
    <row r="8174" spans="1:6" x14ac:dyDescent="0.2">
      <c r="A8174">
        <v>8</v>
      </c>
      <c r="E8174" t="str">
        <f t="shared" si="274"/>
        <v>I</v>
      </c>
      <c r="F8174" t="str">
        <f t="shared" si="275"/>
        <v>8I</v>
      </c>
    </row>
    <row r="8175" spans="1:6" x14ac:dyDescent="0.2">
      <c r="A8175">
        <v>9</v>
      </c>
      <c r="E8175" t="str">
        <f t="shared" si="274"/>
        <v>J</v>
      </c>
      <c r="F8175" t="str">
        <f t="shared" si="275"/>
        <v>9J</v>
      </c>
    </row>
    <row r="8176" spans="1:6" x14ac:dyDescent="0.2">
      <c r="A8176">
        <v>10</v>
      </c>
      <c r="E8176" t="str">
        <f t="shared" ref="E8176:E8239" si="276">E8150</f>
        <v>K</v>
      </c>
      <c r="F8176" t="str">
        <f t="shared" si="275"/>
        <v>10K</v>
      </c>
    </row>
    <row r="8177" spans="1:6" x14ac:dyDescent="0.2">
      <c r="A8177">
        <v>11</v>
      </c>
      <c r="E8177" t="str">
        <f t="shared" si="276"/>
        <v>L</v>
      </c>
      <c r="F8177" t="str">
        <f t="shared" si="275"/>
        <v>11L</v>
      </c>
    </row>
    <row r="8178" spans="1:6" x14ac:dyDescent="0.2">
      <c r="A8178">
        <v>12</v>
      </c>
      <c r="E8178" t="str">
        <f t="shared" si="276"/>
        <v>M</v>
      </c>
      <c r="F8178" t="str">
        <f t="shared" si="275"/>
        <v>12M</v>
      </c>
    </row>
    <row r="8179" spans="1:6" x14ac:dyDescent="0.2">
      <c r="A8179">
        <v>13</v>
      </c>
      <c r="E8179" t="str">
        <f t="shared" si="276"/>
        <v>N</v>
      </c>
      <c r="F8179" t="str">
        <f t="shared" si="275"/>
        <v>13N</v>
      </c>
    </row>
    <row r="8180" spans="1:6" x14ac:dyDescent="0.2">
      <c r="A8180">
        <v>14</v>
      </c>
      <c r="E8180" t="str">
        <f t="shared" si="276"/>
        <v>O</v>
      </c>
      <c r="F8180" t="str">
        <f t="shared" si="275"/>
        <v>14O</v>
      </c>
    </row>
    <row r="8181" spans="1:6" x14ac:dyDescent="0.2">
      <c r="A8181">
        <v>15</v>
      </c>
      <c r="E8181" t="str">
        <f t="shared" si="276"/>
        <v>P</v>
      </c>
      <c r="F8181" t="str">
        <f t="shared" si="275"/>
        <v>15P</v>
      </c>
    </row>
    <row r="8182" spans="1:6" x14ac:dyDescent="0.2">
      <c r="A8182">
        <v>16</v>
      </c>
      <c r="E8182" t="str">
        <f t="shared" si="276"/>
        <v>Q</v>
      </c>
      <c r="F8182" t="str">
        <f t="shared" si="275"/>
        <v>16Q</v>
      </c>
    </row>
    <row r="8183" spans="1:6" x14ac:dyDescent="0.2">
      <c r="A8183">
        <v>17</v>
      </c>
      <c r="E8183" t="str">
        <f t="shared" si="276"/>
        <v>R</v>
      </c>
      <c r="F8183" t="str">
        <f t="shared" si="275"/>
        <v>17R</v>
      </c>
    </row>
    <row r="8184" spans="1:6" x14ac:dyDescent="0.2">
      <c r="A8184">
        <v>18</v>
      </c>
      <c r="E8184" t="str">
        <f t="shared" si="276"/>
        <v>S</v>
      </c>
      <c r="F8184" t="str">
        <f t="shared" si="275"/>
        <v>18S</v>
      </c>
    </row>
    <row r="8185" spans="1:6" x14ac:dyDescent="0.2">
      <c r="A8185">
        <v>19</v>
      </c>
      <c r="E8185" t="str">
        <f t="shared" si="276"/>
        <v>T</v>
      </c>
      <c r="F8185" t="str">
        <f t="shared" si="275"/>
        <v>19T</v>
      </c>
    </row>
    <row r="8186" spans="1:6" x14ac:dyDescent="0.2">
      <c r="A8186">
        <v>20</v>
      </c>
      <c r="E8186" t="str">
        <f t="shared" si="276"/>
        <v>U</v>
      </c>
      <c r="F8186" t="str">
        <f t="shared" si="275"/>
        <v>20U</v>
      </c>
    </row>
    <row r="8187" spans="1:6" x14ac:dyDescent="0.2">
      <c r="A8187">
        <v>21</v>
      </c>
      <c r="E8187" t="str">
        <f t="shared" si="276"/>
        <v>V</v>
      </c>
      <c r="F8187" t="str">
        <f t="shared" si="275"/>
        <v>21V</v>
      </c>
    </row>
    <row r="8188" spans="1:6" x14ac:dyDescent="0.2">
      <c r="A8188">
        <v>22</v>
      </c>
      <c r="E8188" t="str">
        <f t="shared" si="276"/>
        <v>W</v>
      </c>
      <c r="F8188" t="str">
        <f t="shared" si="275"/>
        <v>22W</v>
      </c>
    </row>
    <row r="8189" spans="1:6" x14ac:dyDescent="0.2">
      <c r="A8189">
        <v>23</v>
      </c>
      <c r="E8189" t="str">
        <f t="shared" si="276"/>
        <v>X</v>
      </c>
      <c r="F8189" t="str">
        <f t="shared" si="275"/>
        <v>23X</v>
      </c>
    </row>
    <row r="8190" spans="1:6" x14ac:dyDescent="0.2">
      <c r="A8190">
        <v>24</v>
      </c>
      <c r="E8190" t="str">
        <f t="shared" si="276"/>
        <v>Y</v>
      </c>
      <c r="F8190" t="str">
        <f t="shared" si="275"/>
        <v>24Y</v>
      </c>
    </row>
    <row r="8191" spans="1:6" x14ac:dyDescent="0.2">
      <c r="A8191">
        <v>25</v>
      </c>
      <c r="E8191" t="str">
        <f t="shared" si="276"/>
        <v>Z</v>
      </c>
      <c r="F8191" t="str">
        <f t="shared" si="275"/>
        <v>25Z</v>
      </c>
    </row>
    <row r="8192" spans="1:6" x14ac:dyDescent="0.2">
      <c r="A8192">
        <v>0</v>
      </c>
      <c r="E8192" t="str">
        <f t="shared" si="276"/>
        <v>A</v>
      </c>
      <c r="F8192" t="str">
        <f t="shared" si="275"/>
        <v>0A</v>
      </c>
    </row>
    <row r="8193" spans="1:6" x14ac:dyDescent="0.2">
      <c r="A8193">
        <v>1</v>
      </c>
      <c r="E8193" t="str">
        <f t="shared" si="276"/>
        <v>B</v>
      </c>
      <c r="F8193" t="str">
        <f t="shared" si="275"/>
        <v>1B</v>
      </c>
    </row>
    <row r="8194" spans="1:6" x14ac:dyDescent="0.2">
      <c r="A8194">
        <v>2</v>
      </c>
      <c r="E8194" t="str">
        <f t="shared" si="276"/>
        <v>C</v>
      </c>
      <c r="F8194" t="str">
        <f t="shared" si="275"/>
        <v>2C</v>
      </c>
    </row>
    <row r="8195" spans="1:6" x14ac:dyDescent="0.2">
      <c r="A8195">
        <v>3</v>
      </c>
      <c r="E8195" t="str">
        <f t="shared" si="276"/>
        <v>D</v>
      </c>
      <c r="F8195" t="str">
        <f t="shared" si="275"/>
        <v>3D</v>
      </c>
    </row>
    <row r="8196" spans="1:6" x14ac:dyDescent="0.2">
      <c r="A8196">
        <v>4</v>
      </c>
      <c r="E8196" t="str">
        <f t="shared" si="276"/>
        <v>E</v>
      </c>
      <c r="F8196" t="str">
        <f t="shared" si="275"/>
        <v>4E</v>
      </c>
    </row>
    <row r="8197" spans="1:6" x14ac:dyDescent="0.2">
      <c r="A8197">
        <v>5</v>
      </c>
      <c r="E8197" t="str">
        <f t="shared" si="276"/>
        <v>F</v>
      </c>
      <c r="F8197" t="str">
        <f t="shared" si="275"/>
        <v>5F</v>
      </c>
    </row>
    <row r="8198" spans="1:6" x14ac:dyDescent="0.2">
      <c r="A8198">
        <v>6</v>
      </c>
      <c r="E8198" t="str">
        <f t="shared" si="276"/>
        <v>G</v>
      </c>
      <c r="F8198" t="str">
        <f t="shared" si="275"/>
        <v>6G</v>
      </c>
    </row>
    <row r="8199" spans="1:6" x14ac:dyDescent="0.2">
      <c r="A8199">
        <v>7</v>
      </c>
      <c r="E8199" t="str">
        <f t="shared" si="276"/>
        <v>H</v>
      </c>
      <c r="F8199" t="str">
        <f t="shared" si="275"/>
        <v>7H</v>
      </c>
    </row>
    <row r="8200" spans="1:6" x14ac:dyDescent="0.2">
      <c r="A8200">
        <v>8</v>
      </c>
      <c r="E8200" t="str">
        <f t="shared" si="276"/>
        <v>I</v>
      </c>
      <c r="F8200" t="str">
        <f t="shared" si="275"/>
        <v>8I</v>
      </c>
    </row>
    <row r="8201" spans="1:6" x14ac:dyDescent="0.2">
      <c r="A8201">
        <v>9</v>
      </c>
      <c r="E8201" t="str">
        <f t="shared" si="276"/>
        <v>J</v>
      </c>
      <c r="F8201" t="str">
        <f t="shared" si="275"/>
        <v>9J</v>
      </c>
    </row>
    <row r="8202" spans="1:6" x14ac:dyDescent="0.2">
      <c r="A8202">
        <v>10</v>
      </c>
      <c r="E8202" t="str">
        <f t="shared" si="276"/>
        <v>K</v>
      </c>
      <c r="F8202" t="str">
        <f t="shared" si="275"/>
        <v>10K</v>
      </c>
    </row>
    <row r="8203" spans="1:6" x14ac:dyDescent="0.2">
      <c r="A8203">
        <v>11</v>
      </c>
      <c r="E8203" t="str">
        <f t="shared" si="276"/>
        <v>L</v>
      </c>
      <c r="F8203" t="str">
        <f t="shared" si="275"/>
        <v>11L</v>
      </c>
    </row>
    <row r="8204" spans="1:6" x14ac:dyDescent="0.2">
      <c r="A8204">
        <v>12</v>
      </c>
      <c r="E8204" t="str">
        <f t="shared" si="276"/>
        <v>M</v>
      </c>
      <c r="F8204" t="str">
        <f t="shared" si="275"/>
        <v>12M</v>
      </c>
    </row>
    <row r="8205" spans="1:6" x14ac:dyDescent="0.2">
      <c r="A8205">
        <v>13</v>
      </c>
      <c r="E8205" t="str">
        <f t="shared" si="276"/>
        <v>N</v>
      </c>
      <c r="F8205" t="str">
        <f t="shared" si="275"/>
        <v>13N</v>
      </c>
    </row>
    <row r="8206" spans="1:6" x14ac:dyDescent="0.2">
      <c r="A8206">
        <v>14</v>
      </c>
      <c r="E8206" t="str">
        <f t="shared" si="276"/>
        <v>O</v>
      </c>
      <c r="F8206" t="str">
        <f t="shared" si="275"/>
        <v>14O</v>
      </c>
    </row>
    <row r="8207" spans="1:6" x14ac:dyDescent="0.2">
      <c r="A8207">
        <v>15</v>
      </c>
      <c r="E8207" t="str">
        <f t="shared" si="276"/>
        <v>P</v>
      </c>
      <c r="F8207" t="str">
        <f t="shared" si="275"/>
        <v>15P</v>
      </c>
    </row>
    <row r="8208" spans="1:6" x14ac:dyDescent="0.2">
      <c r="A8208">
        <v>16</v>
      </c>
      <c r="E8208" t="str">
        <f t="shared" si="276"/>
        <v>Q</v>
      </c>
      <c r="F8208" t="str">
        <f t="shared" si="275"/>
        <v>16Q</v>
      </c>
    </row>
    <row r="8209" spans="1:6" x14ac:dyDescent="0.2">
      <c r="A8209">
        <v>17</v>
      </c>
      <c r="E8209" t="str">
        <f t="shared" si="276"/>
        <v>R</v>
      </c>
      <c r="F8209" t="str">
        <f t="shared" si="275"/>
        <v>17R</v>
      </c>
    </row>
    <row r="8210" spans="1:6" x14ac:dyDescent="0.2">
      <c r="A8210">
        <v>18</v>
      </c>
      <c r="E8210" t="str">
        <f t="shared" si="276"/>
        <v>S</v>
      </c>
      <c r="F8210" t="str">
        <f t="shared" si="275"/>
        <v>18S</v>
      </c>
    </row>
    <row r="8211" spans="1:6" x14ac:dyDescent="0.2">
      <c r="A8211">
        <v>19</v>
      </c>
      <c r="E8211" t="str">
        <f t="shared" si="276"/>
        <v>T</v>
      </c>
      <c r="F8211" t="str">
        <f t="shared" si="275"/>
        <v>19T</v>
      </c>
    </row>
    <row r="8212" spans="1:6" x14ac:dyDescent="0.2">
      <c r="A8212">
        <v>20</v>
      </c>
      <c r="E8212" t="str">
        <f t="shared" si="276"/>
        <v>U</v>
      </c>
      <c r="F8212" t="str">
        <f t="shared" si="275"/>
        <v>20U</v>
      </c>
    </row>
    <row r="8213" spans="1:6" x14ac:dyDescent="0.2">
      <c r="A8213">
        <v>21</v>
      </c>
      <c r="E8213" t="str">
        <f t="shared" si="276"/>
        <v>V</v>
      </c>
      <c r="F8213" t="str">
        <f t="shared" si="275"/>
        <v>21V</v>
      </c>
    </row>
    <row r="8214" spans="1:6" x14ac:dyDescent="0.2">
      <c r="A8214">
        <v>22</v>
      </c>
      <c r="E8214" t="str">
        <f t="shared" si="276"/>
        <v>W</v>
      </c>
      <c r="F8214" t="str">
        <f t="shared" ref="F8214:F8277" si="277">A8214&amp;C8214&amp;E8214</f>
        <v>22W</v>
      </c>
    </row>
    <row r="8215" spans="1:6" x14ac:dyDescent="0.2">
      <c r="A8215">
        <v>23</v>
      </c>
      <c r="E8215" t="str">
        <f t="shared" si="276"/>
        <v>X</v>
      </c>
      <c r="F8215" t="str">
        <f t="shared" si="277"/>
        <v>23X</v>
      </c>
    </row>
    <row r="8216" spans="1:6" x14ac:dyDescent="0.2">
      <c r="A8216">
        <v>24</v>
      </c>
      <c r="E8216" t="str">
        <f t="shared" si="276"/>
        <v>Y</v>
      </c>
      <c r="F8216" t="str">
        <f t="shared" si="277"/>
        <v>24Y</v>
      </c>
    </row>
    <row r="8217" spans="1:6" x14ac:dyDescent="0.2">
      <c r="A8217">
        <v>25</v>
      </c>
      <c r="E8217" t="str">
        <f t="shared" si="276"/>
        <v>Z</v>
      </c>
      <c r="F8217" t="str">
        <f t="shared" si="277"/>
        <v>25Z</v>
      </c>
    </row>
    <row r="8218" spans="1:6" x14ac:dyDescent="0.2">
      <c r="A8218">
        <v>0</v>
      </c>
      <c r="E8218" t="str">
        <f t="shared" si="276"/>
        <v>A</v>
      </c>
      <c r="F8218" t="str">
        <f t="shared" si="277"/>
        <v>0A</v>
      </c>
    </row>
    <row r="8219" spans="1:6" x14ac:dyDescent="0.2">
      <c r="A8219">
        <v>1</v>
      </c>
      <c r="E8219" t="str">
        <f t="shared" si="276"/>
        <v>B</v>
      </c>
      <c r="F8219" t="str">
        <f t="shared" si="277"/>
        <v>1B</v>
      </c>
    </row>
    <row r="8220" spans="1:6" x14ac:dyDescent="0.2">
      <c r="A8220">
        <v>2</v>
      </c>
      <c r="E8220" t="str">
        <f t="shared" si="276"/>
        <v>C</v>
      </c>
      <c r="F8220" t="str">
        <f t="shared" si="277"/>
        <v>2C</v>
      </c>
    </row>
    <row r="8221" spans="1:6" x14ac:dyDescent="0.2">
      <c r="A8221">
        <v>3</v>
      </c>
      <c r="E8221" t="str">
        <f t="shared" si="276"/>
        <v>D</v>
      </c>
      <c r="F8221" t="str">
        <f t="shared" si="277"/>
        <v>3D</v>
      </c>
    </row>
    <row r="8222" spans="1:6" x14ac:dyDescent="0.2">
      <c r="A8222">
        <v>4</v>
      </c>
      <c r="E8222" t="str">
        <f t="shared" si="276"/>
        <v>E</v>
      </c>
      <c r="F8222" t="str">
        <f t="shared" si="277"/>
        <v>4E</v>
      </c>
    </row>
    <row r="8223" spans="1:6" x14ac:dyDescent="0.2">
      <c r="A8223">
        <v>5</v>
      </c>
      <c r="E8223" t="str">
        <f t="shared" si="276"/>
        <v>F</v>
      </c>
      <c r="F8223" t="str">
        <f t="shared" si="277"/>
        <v>5F</v>
      </c>
    </row>
    <row r="8224" spans="1:6" x14ac:dyDescent="0.2">
      <c r="A8224">
        <v>6</v>
      </c>
      <c r="E8224" t="str">
        <f t="shared" si="276"/>
        <v>G</v>
      </c>
      <c r="F8224" t="str">
        <f t="shared" si="277"/>
        <v>6G</v>
      </c>
    </row>
    <row r="8225" spans="1:6" x14ac:dyDescent="0.2">
      <c r="A8225">
        <v>7</v>
      </c>
      <c r="E8225" t="str">
        <f t="shared" si="276"/>
        <v>H</v>
      </c>
      <c r="F8225" t="str">
        <f t="shared" si="277"/>
        <v>7H</v>
      </c>
    </row>
    <row r="8226" spans="1:6" x14ac:dyDescent="0.2">
      <c r="A8226">
        <v>8</v>
      </c>
      <c r="E8226" t="str">
        <f t="shared" si="276"/>
        <v>I</v>
      </c>
      <c r="F8226" t="str">
        <f t="shared" si="277"/>
        <v>8I</v>
      </c>
    </row>
    <row r="8227" spans="1:6" x14ac:dyDescent="0.2">
      <c r="A8227">
        <v>9</v>
      </c>
      <c r="E8227" t="str">
        <f t="shared" si="276"/>
        <v>J</v>
      </c>
      <c r="F8227" t="str">
        <f t="shared" si="277"/>
        <v>9J</v>
      </c>
    </row>
    <row r="8228" spans="1:6" x14ac:dyDescent="0.2">
      <c r="A8228">
        <v>10</v>
      </c>
      <c r="E8228" t="str">
        <f t="shared" si="276"/>
        <v>K</v>
      </c>
      <c r="F8228" t="str">
        <f t="shared" si="277"/>
        <v>10K</v>
      </c>
    </row>
    <row r="8229" spans="1:6" x14ac:dyDescent="0.2">
      <c r="A8229">
        <v>11</v>
      </c>
      <c r="E8229" t="str">
        <f t="shared" si="276"/>
        <v>L</v>
      </c>
      <c r="F8229" t="str">
        <f t="shared" si="277"/>
        <v>11L</v>
      </c>
    </row>
    <row r="8230" spans="1:6" x14ac:dyDescent="0.2">
      <c r="A8230">
        <v>12</v>
      </c>
      <c r="E8230" t="str">
        <f t="shared" si="276"/>
        <v>M</v>
      </c>
      <c r="F8230" t="str">
        <f t="shared" si="277"/>
        <v>12M</v>
      </c>
    </row>
    <row r="8231" spans="1:6" x14ac:dyDescent="0.2">
      <c r="A8231">
        <v>13</v>
      </c>
      <c r="E8231" t="str">
        <f t="shared" si="276"/>
        <v>N</v>
      </c>
      <c r="F8231" t="str">
        <f t="shared" si="277"/>
        <v>13N</v>
      </c>
    </row>
    <row r="8232" spans="1:6" x14ac:dyDescent="0.2">
      <c r="A8232">
        <v>14</v>
      </c>
      <c r="E8232" t="str">
        <f t="shared" si="276"/>
        <v>O</v>
      </c>
      <c r="F8232" t="str">
        <f t="shared" si="277"/>
        <v>14O</v>
      </c>
    </row>
    <row r="8233" spans="1:6" x14ac:dyDescent="0.2">
      <c r="A8233">
        <v>15</v>
      </c>
      <c r="E8233" t="str">
        <f t="shared" si="276"/>
        <v>P</v>
      </c>
      <c r="F8233" t="str">
        <f t="shared" si="277"/>
        <v>15P</v>
      </c>
    </row>
    <row r="8234" spans="1:6" x14ac:dyDescent="0.2">
      <c r="A8234">
        <v>16</v>
      </c>
      <c r="E8234" t="str">
        <f t="shared" si="276"/>
        <v>Q</v>
      </c>
      <c r="F8234" t="str">
        <f t="shared" si="277"/>
        <v>16Q</v>
      </c>
    </row>
    <row r="8235" spans="1:6" x14ac:dyDescent="0.2">
      <c r="A8235">
        <v>17</v>
      </c>
      <c r="E8235" t="str">
        <f t="shared" si="276"/>
        <v>R</v>
      </c>
      <c r="F8235" t="str">
        <f t="shared" si="277"/>
        <v>17R</v>
      </c>
    </row>
    <row r="8236" spans="1:6" x14ac:dyDescent="0.2">
      <c r="A8236">
        <v>18</v>
      </c>
      <c r="E8236" t="str">
        <f t="shared" si="276"/>
        <v>S</v>
      </c>
      <c r="F8236" t="str">
        <f t="shared" si="277"/>
        <v>18S</v>
      </c>
    </row>
    <row r="8237" spans="1:6" x14ac:dyDescent="0.2">
      <c r="A8237">
        <v>19</v>
      </c>
      <c r="E8237" t="str">
        <f t="shared" si="276"/>
        <v>T</v>
      </c>
      <c r="F8237" t="str">
        <f t="shared" si="277"/>
        <v>19T</v>
      </c>
    </row>
    <row r="8238" spans="1:6" x14ac:dyDescent="0.2">
      <c r="A8238">
        <v>20</v>
      </c>
      <c r="E8238" t="str">
        <f t="shared" si="276"/>
        <v>U</v>
      </c>
      <c r="F8238" t="str">
        <f t="shared" si="277"/>
        <v>20U</v>
      </c>
    </row>
    <row r="8239" spans="1:6" x14ac:dyDescent="0.2">
      <c r="A8239">
        <v>21</v>
      </c>
      <c r="E8239" t="str">
        <f t="shared" si="276"/>
        <v>V</v>
      </c>
      <c r="F8239" t="str">
        <f t="shared" si="277"/>
        <v>21V</v>
      </c>
    </row>
    <row r="8240" spans="1:6" x14ac:dyDescent="0.2">
      <c r="A8240">
        <v>22</v>
      </c>
      <c r="E8240" t="str">
        <f t="shared" ref="E8240:E8303" si="278">E8214</f>
        <v>W</v>
      </c>
      <c r="F8240" t="str">
        <f t="shared" si="277"/>
        <v>22W</v>
      </c>
    </row>
    <row r="8241" spans="1:6" x14ac:dyDescent="0.2">
      <c r="A8241">
        <v>23</v>
      </c>
      <c r="E8241" t="str">
        <f t="shared" si="278"/>
        <v>X</v>
      </c>
      <c r="F8241" t="str">
        <f t="shared" si="277"/>
        <v>23X</v>
      </c>
    </row>
    <row r="8242" spans="1:6" x14ac:dyDescent="0.2">
      <c r="A8242">
        <v>24</v>
      </c>
      <c r="E8242" t="str">
        <f t="shared" si="278"/>
        <v>Y</v>
      </c>
      <c r="F8242" t="str">
        <f t="shared" si="277"/>
        <v>24Y</v>
      </c>
    </row>
    <row r="8243" spans="1:6" x14ac:dyDescent="0.2">
      <c r="A8243">
        <v>25</v>
      </c>
      <c r="E8243" t="str">
        <f t="shared" si="278"/>
        <v>Z</v>
      </c>
      <c r="F8243" t="str">
        <f t="shared" si="277"/>
        <v>25Z</v>
      </c>
    </row>
    <row r="8244" spans="1:6" x14ac:dyDescent="0.2">
      <c r="A8244">
        <v>0</v>
      </c>
      <c r="E8244" t="str">
        <f t="shared" si="278"/>
        <v>A</v>
      </c>
      <c r="F8244" t="str">
        <f t="shared" si="277"/>
        <v>0A</v>
      </c>
    </row>
    <row r="8245" spans="1:6" x14ac:dyDescent="0.2">
      <c r="A8245">
        <v>1</v>
      </c>
      <c r="E8245" t="str">
        <f t="shared" si="278"/>
        <v>B</v>
      </c>
      <c r="F8245" t="str">
        <f t="shared" si="277"/>
        <v>1B</v>
      </c>
    </row>
    <row r="8246" spans="1:6" x14ac:dyDescent="0.2">
      <c r="A8246">
        <v>2</v>
      </c>
      <c r="E8246" t="str">
        <f t="shared" si="278"/>
        <v>C</v>
      </c>
      <c r="F8246" t="str">
        <f t="shared" si="277"/>
        <v>2C</v>
      </c>
    </row>
    <row r="8247" spans="1:6" x14ac:dyDescent="0.2">
      <c r="A8247">
        <v>3</v>
      </c>
      <c r="E8247" t="str">
        <f t="shared" si="278"/>
        <v>D</v>
      </c>
      <c r="F8247" t="str">
        <f t="shared" si="277"/>
        <v>3D</v>
      </c>
    </row>
    <row r="8248" spans="1:6" x14ac:dyDescent="0.2">
      <c r="A8248">
        <v>4</v>
      </c>
      <c r="E8248" t="str">
        <f t="shared" si="278"/>
        <v>E</v>
      </c>
      <c r="F8248" t="str">
        <f t="shared" si="277"/>
        <v>4E</v>
      </c>
    </row>
    <row r="8249" spans="1:6" x14ac:dyDescent="0.2">
      <c r="A8249">
        <v>5</v>
      </c>
      <c r="E8249" t="str">
        <f t="shared" si="278"/>
        <v>F</v>
      </c>
      <c r="F8249" t="str">
        <f t="shared" si="277"/>
        <v>5F</v>
      </c>
    </row>
    <row r="8250" spans="1:6" x14ac:dyDescent="0.2">
      <c r="A8250">
        <v>6</v>
      </c>
      <c r="E8250" t="str">
        <f t="shared" si="278"/>
        <v>G</v>
      </c>
      <c r="F8250" t="str">
        <f t="shared" si="277"/>
        <v>6G</v>
      </c>
    </row>
    <row r="8251" spans="1:6" x14ac:dyDescent="0.2">
      <c r="A8251">
        <v>7</v>
      </c>
      <c r="E8251" t="str">
        <f t="shared" si="278"/>
        <v>H</v>
      </c>
      <c r="F8251" t="str">
        <f t="shared" si="277"/>
        <v>7H</v>
      </c>
    </row>
    <row r="8252" spans="1:6" x14ac:dyDescent="0.2">
      <c r="A8252">
        <v>8</v>
      </c>
      <c r="E8252" t="str">
        <f t="shared" si="278"/>
        <v>I</v>
      </c>
      <c r="F8252" t="str">
        <f t="shared" si="277"/>
        <v>8I</v>
      </c>
    </row>
    <row r="8253" spans="1:6" x14ac:dyDescent="0.2">
      <c r="A8253">
        <v>9</v>
      </c>
      <c r="E8253" t="str">
        <f t="shared" si="278"/>
        <v>J</v>
      </c>
      <c r="F8253" t="str">
        <f t="shared" si="277"/>
        <v>9J</v>
      </c>
    </row>
    <row r="8254" spans="1:6" x14ac:dyDescent="0.2">
      <c r="A8254">
        <v>10</v>
      </c>
      <c r="E8254" t="str">
        <f t="shared" si="278"/>
        <v>K</v>
      </c>
      <c r="F8254" t="str">
        <f t="shared" si="277"/>
        <v>10K</v>
      </c>
    </row>
    <row r="8255" spans="1:6" x14ac:dyDescent="0.2">
      <c r="A8255">
        <v>11</v>
      </c>
      <c r="E8255" t="str">
        <f t="shared" si="278"/>
        <v>L</v>
      </c>
      <c r="F8255" t="str">
        <f t="shared" si="277"/>
        <v>11L</v>
      </c>
    </row>
    <row r="8256" spans="1:6" x14ac:dyDescent="0.2">
      <c r="A8256">
        <v>12</v>
      </c>
      <c r="E8256" t="str">
        <f t="shared" si="278"/>
        <v>M</v>
      </c>
      <c r="F8256" t="str">
        <f t="shared" si="277"/>
        <v>12M</v>
      </c>
    </row>
    <row r="8257" spans="1:6" x14ac:dyDescent="0.2">
      <c r="A8257">
        <v>13</v>
      </c>
      <c r="E8257" t="str">
        <f t="shared" si="278"/>
        <v>N</v>
      </c>
      <c r="F8257" t="str">
        <f t="shared" si="277"/>
        <v>13N</v>
      </c>
    </row>
    <row r="8258" spans="1:6" x14ac:dyDescent="0.2">
      <c r="A8258">
        <v>14</v>
      </c>
      <c r="E8258" t="str">
        <f t="shared" si="278"/>
        <v>O</v>
      </c>
      <c r="F8258" t="str">
        <f t="shared" si="277"/>
        <v>14O</v>
      </c>
    </row>
    <row r="8259" spans="1:6" x14ac:dyDescent="0.2">
      <c r="A8259">
        <v>15</v>
      </c>
      <c r="E8259" t="str">
        <f t="shared" si="278"/>
        <v>P</v>
      </c>
      <c r="F8259" t="str">
        <f t="shared" si="277"/>
        <v>15P</v>
      </c>
    </row>
    <row r="8260" spans="1:6" x14ac:dyDescent="0.2">
      <c r="A8260">
        <v>16</v>
      </c>
      <c r="E8260" t="str">
        <f t="shared" si="278"/>
        <v>Q</v>
      </c>
      <c r="F8260" t="str">
        <f t="shared" si="277"/>
        <v>16Q</v>
      </c>
    </row>
    <row r="8261" spans="1:6" x14ac:dyDescent="0.2">
      <c r="A8261">
        <v>17</v>
      </c>
      <c r="E8261" t="str">
        <f t="shared" si="278"/>
        <v>R</v>
      </c>
      <c r="F8261" t="str">
        <f t="shared" si="277"/>
        <v>17R</v>
      </c>
    </row>
    <row r="8262" spans="1:6" x14ac:dyDescent="0.2">
      <c r="A8262">
        <v>18</v>
      </c>
      <c r="E8262" t="str">
        <f t="shared" si="278"/>
        <v>S</v>
      </c>
      <c r="F8262" t="str">
        <f t="shared" si="277"/>
        <v>18S</v>
      </c>
    </row>
    <row r="8263" spans="1:6" x14ac:dyDescent="0.2">
      <c r="A8263">
        <v>19</v>
      </c>
      <c r="E8263" t="str">
        <f t="shared" si="278"/>
        <v>T</v>
      </c>
      <c r="F8263" t="str">
        <f t="shared" si="277"/>
        <v>19T</v>
      </c>
    </row>
    <row r="8264" spans="1:6" x14ac:dyDescent="0.2">
      <c r="A8264">
        <v>20</v>
      </c>
      <c r="E8264" t="str">
        <f t="shared" si="278"/>
        <v>U</v>
      </c>
      <c r="F8264" t="str">
        <f t="shared" si="277"/>
        <v>20U</v>
      </c>
    </row>
    <row r="8265" spans="1:6" x14ac:dyDescent="0.2">
      <c r="A8265">
        <v>21</v>
      </c>
      <c r="E8265" t="str">
        <f t="shared" si="278"/>
        <v>V</v>
      </c>
      <c r="F8265" t="str">
        <f t="shared" si="277"/>
        <v>21V</v>
      </c>
    </row>
    <row r="8266" spans="1:6" x14ac:dyDescent="0.2">
      <c r="A8266">
        <v>22</v>
      </c>
      <c r="E8266" t="str">
        <f t="shared" si="278"/>
        <v>W</v>
      </c>
      <c r="F8266" t="str">
        <f t="shared" si="277"/>
        <v>22W</v>
      </c>
    </row>
    <row r="8267" spans="1:6" x14ac:dyDescent="0.2">
      <c r="A8267">
        <v>23</v>
      </c>
      <c r="E8267" t="str">
        <f t="shared" si="278"/>
        <v>X</v>
      </c>
      <c r="F8267" t="str">
        <f t="shared" si="277"/>
        <v>23X</v>
      </c>
    </row>
    <row r="8268" spans="1:6" x14ac:dyDescent="0.2">
      <c r="A8268">
        <v>24</v>
      </c>
      <c r="E8268" t="str">
        <f t="shared" si="278"/>
        <v>Y</v>
      </c>
      <c r="F8268" t="str">
        <f t="shared" si="277"/>
        <v>24Y</v>
      </c>
    </row>
    <row r="8269" spans="1:6" x14ac:dyDescent="0.2">
      <c r="A8269">
        <v>25</v>
      </c>
      <c r="E8269" t="str">
        <f t="shared" si="278"/>
        <v>Z</v>
      </c>
      <c r="F8269" t="str">
        <f t="shared" si="277"/>
        <v>25Z</v>
      </c>
    </row>
    <row r="8270" spans="1:6" x14ac:dyDescent="0.2">
      <c r="A8270">
        <v>0</v>
      </c>
      <c r="E8270" t="str">
        <f t="shared" si="278"/>
        <v>A</v>
      </c>
      <c r="F8270" t="str">
        <f t="shared" si="277"/>
        <v>0A</v>
      </c>
    </row>
    <row r="8271" spans="1:6" x14ac:dyDescent="0.2">
      <c r="A8271">
        <v>1</v>
      </c>
      <c r="E8271" t="str">
        <f t="shared" si="278"/>
        <v>B</v>
      </c>
      <c r="F8271" t="str">
        <f t="shared" si="277"/>
        <v>1B</v>
      </c>
    </row>
    <row r="8272" spans="1:6" x14ac:dyDescent="0.2">
      <c r="A8272">
        <v>2</v>
      </c>
      <c r="E8272" t="str">
        <f t="shared" si="278"/>
        <v>C</v>
      </c>
      <c r="F8272" t="str">
        <f t="shared" si="277"/>
        <v>2C</v>
      </c>
    </row>
    <row r="8273" spans="1:6" x14ac:dyDescent="0.2">
      <c r="A8273">
        <v>3</v>
      </c>
      <c r="E8273" t="str">
        <f t="shared" si="278"/>
        <v>D</v>
      </c>
      <c r="F8273" t="str">
        <f t="shared" si="277"/>
        <v>3D</v>
      </c>
    </row>
    <row r="8274" spans="1:6" x14ac:dyDescent="0.2">
      <c r="A8274">
        <v>4</v>
      </c>
      <c r="E8274" t="str">
        <f t="shared" si="278"/>
        <v>E</v>
      </c>
      <c r="F8274" t="str">
        <f t="shared" si="277"/>
        <v>4E</v>
      </c>
    </row>
    <row r="8275" spans="1:6" x14ac:dyDescent="0.2">
      <c r="A8275">
        <v>5</v>
      </c>
      <c r="E8275" t="str">
        <f t="shared" si="278"/>
        <v>F</v>
      </c>
      <c r="F8275" t="str">
        <f t="shared" si="277"/>
        <v>5F</v>
      </c>
    </row>
    <row r="8276" spans="1:6" x14ac:dyDescent="0.2">
      <c r="A8276">
        <v>6</v>
      </c>
      <c r="E8276" t="str">
        <f t="shared" si="278"/>
        <v>G</v>
      </c>
      <c r="F8276" t="str">
        <f t="shared" si="277"/>
        <v>6G</v>
      </c>
    </row>
    <row r="8277" spans="1:6" x14ac:dyDescent="0.2">
      <c r="A8277">
        <v>7</v>
      </c>
      <c r="E8277" t="str">
        <f t="shared" si="278"/>
        <v>H</v>
      </c>
      <c r="F8277" t="str">
        <f t="shared" si="277"/>
        <v>7H</v>
      </c>
    </row>
    <row r="8278" spans="1:6" x14ac:dyDescent="0.2">
      <c r="A8278">
        <v>8</v>
      </c>
      <c r="E8278" t="str">
        <f t="shared" si="278"/>
        <v>I</v>
      </c>
      <c r="F8278" t="str">
        <f t="shared" ref="F8278:F8341" si="279">A8278&amp;C8278&amp;E8278</f>
        <v>8I</v>
      </c>
    </row>
    <row r="8279" spans="1:6" x14ac:dyDescent="0.2">
      <c r="A8279">
        <v>9</v>
      </c>
      <c r="E8279" t="str">
        <f t="shared" si="278"/>
        <v>J</v>
      </c>
      <c r="F8279" t="str">
        <f t="shared" si="279"/>
        <v>9J</v>
      </c>
    </row>
    <row r="8280" spans="1:6" x14ac:dyDescent="0.2">
      <c r="A8280">
        <v>10</v>
      </c>
      <c r="E8280" t="str">
        <f t="shared" si="278"/>
        <v>K</v>
      </c>
      <c r="F8280" t="str">
        <f t="shared" si="279"/>
        <v>10K</v>
      </c>
    </row>
    <row r="8281" spans="1:6" x14ac:dyDescent="0.2">
      <c r="A8281">
        <v>11</v>
      </c>
      <c r="E8281" t="str">
        <f t="shared" si="278"/>
        <v>L</v>
      </c>
      <c r="F8281" t="str">
        <f t="shared" si="279"/>
        <v>11L</v>
      </c>
    </row>
    <row r="8282" spans="1:6" x14ac:dyDescent="0.2">
      <c r="A8282">
        <v>12</v>
      </c>
      <c r="E8282" t="str">
        <f t="shared" si="278"/>
        <v>M</v>
      </c>
      <c r="F8282" t="str">
        <f t="shared" si="279"/>
        <v>12M</v>
      </c>
    </row>
    <row r="8283" spans="1:6" x14ac:dyDescent="0.2">
      <c r="A8283">
        <v>13</v>
      </c>
      <c r="E8283" t="str">
        <f t="shared" si="278"/>
        <v>N</v>
      </c>
      <c r="F8283" t="str">
        <f t="shared" si="279"/>
        <v>13N</v>
      </c>
    </row>
    <row r="8284" spans="1:6" x14ac:dyDescent="0.2">
      <c r="A8284">
        <v>14</v>
      </c>
      <c r="E8284" t="str">
        <f t="shared" si="278"/>
        <v>O</v>
      </c>
      <c r="F8284" t="str">
        <f t="shared" si="279"/>
        <v>14O</v>
      </c>
    </row>
    <row r="8285" spans="1:6" x14ac:dyDescent="0.2">
      <c r="A8285">
        <v>15</v>
      </c>
      <c r="E8285" t="str">
        <f t="shared" si="278"/>
        <v>P</v>
      </c>
      <c r="F8285" t="str">
        <f t="shared" si="279"/>
        <v>15P</v>
      </c>
    </row>
    <row r="8286" spans="1:6" x14ac:dyDescent="0.2">
      <c r="A8286">
        <v>16</v>
      </c>
      <c r="E8286" t="str">
        <f t="shared" si="278"/>
        <v>Q</v>
      </c>
      <c r="F8286" t="str">
        <f t="shared" si="279"/>
        <v>16Q</v>
      </c>
    </row>
    <row r="8287" spans="1:6" x14ac:dyDescent="0.2">
      <c r="A8287">
        <v>17</v>
      </c>
      <c r="E8287" t="str">
        <f t="shared" si="278"/>
        <v>R</v>
      </c>
      <c r="F8287" t="str">
        <f t="shared" si="279"/>
        <v>17R</v>
      </c>
    </row>
    <row r="8288" spans="1:6" x14ac:dyDescent="0.2">
      <c r="A8288">
        <v>18</v>
      </c>
      <c r="E8288" t="str">
        <f t="shared" si="278"/>
        <v>S</v>
      </c>
      <c r="F8288" t="str">
        <f t="shared" si="279"/>
        <v>18S</v>
      </c>
    </row>
    <row r="8289" spans="1:6" x14ac:dyDescent="0.2">
      <c r="A8289">
        <v>19</v>
      </c>
      <c r="E8289" t="str">
        <f t="shared" si="278"/>
        <v>T</v>
      </c>
      <c r="F8289" t="str">
        <f t="shared" si="279"/>
        <v>19T</v>
      </c>
    </row>
    <row r="8290" spans="1:6" x14ac:dyDescent="0.2">
      <c r="A8290">
        <v>20</v>
      </c>
      <c r="E8290" t="str">
        <f t="shared" si="278"/>
        <v>U</v>
      </c>
      <c r="F8290" t="str">
        <f t="shared" si="279"/>
        <v>20U</v>
      </c>
    </row>
    <row r="8291" spans="1:6" x14ac:dyDescent="0.2">
      <c r="A8291">
        <v>21</v>
      </c>
      <c r="E8291" t="str">
        <f t="shared" si="278"/>
        <v>V</v>
      </c>
      <c r="F8291" t="str">
        <f t="shared" si="279"/>
        <v>21V</v>
      </c>
    </row>
    <row r="8292" spans="1:6" x14ac:dyDescent="0.2">
      <c r="A8292">
        <v>22</v>
      </c>
      <c r="E8292" t="str">
        <f t="shared" si="278"/>
        <v>W</v>
      </c>
      <c r="F8292" t="str">
        <f t="shared" si="279"/>
        <v>22W</v>
      </c>
    </row>
    <row r="8293" spans="1:6" x14ac:dyDescent="0.2">
      <c r="A8293">
        <v>23</v>
      </c>
      <c r="E8293" t="str">
        <f t="shared" si="278"/>
        <v>X</v>
      </c>
      <c r="F8293" t="str">
        <f t="shared" si="279"/>
        <v>23X</v>
      </c>
    </row>
    <row r="8294" spans="1:6" x14ac:dyDescent="0.2">
      <c r="A8294">
        <v>24</v>
      </c>
      <c r="E8294" t="str">
        <f t="shared" si="278"/>
        <v>Y</v>
      </c>
      <c r="F8294" t="str">
        <f t="shared" si="279"/>
        <v>24Y</v>
      </c>
    </row>
    <row r="8295" spans="1:6" x14ac:dyDescent="0.2">
      <c r="A8295">
        <v>25</v>
      </c>
      <c r="E8295" t="str">
        <f t="shared" si="278"/>
        <v>Z</v>
      </c>
      <c r="F8295" t="str">
        <f t="shared" si="279"/>
        <v>25Z</v>
      </c>
    </row>
    <row r="8296" spans="1:6" x14ac:dyDescent="0.2">
      <c r="A8296">
        <v>0</v>
      </c>
      <c r="E8296" t="str">
        <f t="shared" si="278"/>
        <v>A</v>
      </c>
      <c r="F8296" t="str">
        <f t="shared" si="279"/>
        <v>0A</v>
      </c>
    </row>
    <row r="8297" spans="1:6" x14ac:dyDescent="0.2">
      <c r="A8297">
        <v>1</v>
      </c>
      <c r="E8297" t="str">
        <f t="shared" si="278"/>
        <v>B</v>
      </c>
      <c r="F8297" t="str">
        <f t="shared" si="279"/>
        <v>1B</v>
      </c>
    </row>
    <row r="8298" spans="1:6" x14ac:dyDescent="0.2">
      <c r="A8298">
        <v>2</v>
      </c>
      <c r="E8298" t="str">
        <f t="shared" si="278"/>
        <v>C</v>
      </c>
      <c r="F8298" t="str">
        <f t="shared" si="279"/>
        <v>2C</v>
      </c>
    </row>
    <row r="8299" spans="1:6" x14ac:dyDescent="0.2">
      <c r="A8299">
        <v>3</v>
      </c>
      <c r="E8299" t="str">
        <f t="shared" si="278"/>
        <v>D</v>
      </c>
      <c r="F8299" t="str">
        <f t="shared" si="279"/>
        <v>3D</v>
      </c>
    </row>
    <row r="8300" spans="1:6" x14ac:dyDescent="0.2">
      <c r="A8300">
        <v>4</v>
      </c>
      <c r="E8300" t="str">
        <f t="shared" si="278"/>
        <v>E</v>
      </c>
      <c r="F8300" t="str">
        <f t="shared" si="279"/>
        <v>4E</v>
      </c>
    </row>
    <row r="8301" spans="1:6" x14ac:dyDescent="0.2">
      <c r="A8301">
        <v>5</v>
      </c>
      <c r="E8301" t="str">
        <f t="shared" si="278"/>
        <v>F</v>
      </c>
      <c r="F8301" t="str">
        <f t="shared" si="279"/>
        <v>5F</v>
      </c>
    </row>
    <row r="8302" spans="1:6" x14ac:dyDescent="0.2">
      <c r="A8302">
        <v>6</v>
      </c>
      <c r="E8302" t="str">
        <f t="shared" si="278"/>
        <v>G</v>
      </c>
      <c r="F8302" t="str">
        <f t="shared" si="279"/>
        <v>6G</v>
      </c>
    </row>
    <row r="8303" spans="1:6" x14ac:dyDescent="0.2">
      <c r="A8303">
        <v>7</v>
      </c>
      <c r="E8303" t="str">
        <f t="shared" si="278"/>
        <v>H</v>
      </c>
      <c r="F8303" t="str">
        <f t="shared" si="279"/>
        <v>7H</v>
      </c>
    </row>
    <row r="8304" spans="1:6" x14ac:dyDescent="0.2">
      <c r="A8304">
        <v>8</v>
      </c>
      <c r="E8304" t="str">
        <f t="shared" ref="E8304:E8367" si="280">E8278</f>
        <v>I</v>
      </c>
      <c r="F8304" t="str">
        <f t="shared" si="279"/>
        <v>8I</v>
      </c>
    </row>
    <row r="8305" spans="1:6" x14ac:dyDescent="0.2">
      <c r="A8305">
        <v>9</v>
      </c>
      <c r="E8305" t="str">
        <f t="shared" si="280"/>
        <v>J</v>
      </c>
      <c r="F8305" t="str">
        <f t="shared" si="279"/>
        <v>9J</v>
      </c>
    </row>
    <row r="8306" spans="1:6" x14ac:dyDescent="0.2">
      <c r="A8306">
        <v>10</v>
      </c>
      <c r="E8306" t="str">
        <f t="shared" si="280"/>
        <v>K</v>
      </c>
      <c r="F8306" t="str">
        <f t="shared" si="279"/>
        <v>10K</v>
      </c>
    </row>
    <row r="8307" spans="1:6" x14ac:dyDescent="0.2">
      <c r="A8307">
        <v>11</v>
      </c>
      <c r="E8307" t="str">
        <f t="shared" si="280"/>
        <v>L</v>
      </c>
      <c r="F8307" t="str">
        <f t="shared" si="279"/>
        <v>11L</v>
      </c>
    </row>
    <row r="8308" spans="1:6" x14ac:dyDescent="0.2">
      <c r="A8308">
        <v>12</v>
      </c>
      <c r="E8308" t="str">
        <f t="shared" si="280"/>
        <v>M</v>
      </c>
      <c r="F8308" t="str">
        <f t="shared" si="279"/>
        <v>12M</v>
      </c>
    </row>
    <row r="8309" spans="1:6" x14ac:dyDescent="0.2">
      <c r="A8309">
        <v>13</v>
      </c>
      <c r="E8309" t="str">
        <f t="shared" si="280"/>
        <v>N</v>
      </c>
      <c r="F8309" t="str">
        <f t="shared" si="279"/>
        <v>13N</v>
      </c>
    </row>
    <row r="8310" spans="1:6" x14ac:dyDescent="0.2">
      <c r="A8310">
        <v>14</v>
      </c>
      <c r="E8310" t="str">
        <f t="shared" si="280"/>
        <v>O</v>
      </c>
      <c r="F8310" t="str">
        <f t="shared" si="279"/>
        <v>14O</v>
      </c>
    </row>
    <row r="8311" spans="1:6" x14ac:dyDescent="0.2">
      <c r="A8311">
        <v>15</v>
      </c>
      <c r="E8311" t="str">
        <f t="shared" si="280"/>
        <v>P</v>
      </c>
      <c r="F8311" t="str">
        <f t="shared" si="279"/>
        <v>15P</v>
      </c>
    </row>
    <row r="8312" spans="1:6" x14ac:dyDescent="0.2">
      <c r="A8312">
        <v>16</v>
      </c>
      <c r="E8312" t="str">
        <f t="shared" si="280"/>
        <v>Q</v>
      </c>
      <c r="F8312" t="str">
        <f t="shared" si="279"/>
        <v>16Q</v>
      </c>
    </row>
    <row r="8313" spans="1:6" x14ac:dyDescent="0.2">
      <c r="A8313">
        <v>17</v>
      </c>
      <c r="E8313" t="str">
        <f t="shared" si="280"/>
        <v>R</v>
      </c>
      <c r="F8313" t="str">
        <f t="shared" si="279"/>
        <v>17R</v>
      </c>
    </row>
    <row r="8314" spans="1:6" x14ac:dyDescent="0.2">
      <c r="A8314">
        <v>18</v>
      </c>
      <c r="E8314" t="str">
        <f t="shared" si="280"/>
        <v>S</v>
      </c>
      <c r="F8314" t="str">
        <f t="shared" si="279"/>
        <v>18S</v>
      </c>
    </row>
    <row r="8315" spans="1:6" x14ac:dyDescent="0.2">
      <c r="A8315">
        <v>19</v>
      </c>
      <c r="E8315" t="str">
        <f t="shared" si="280"/>
        <v>T</v>
      </c>
      <c r="F8315" t="str">
        <f t="shared" si="279"/>
        <v>19T</v>
      </c>
    </row>
    <row r="8316" spans="1:6" x14ac:dyDescent="0.2">
      <c r="A8316">
        <v>20</v>
      </c>
      <c r="E8316" t="str">
        <f t="shared" si="280"/>
        <v>U</v>
      </c>
      <c r="F8316" t="str">
        <f t="shared" si="279"/>
        <v>20U</v>
      </c>
    </row>
    <row r="8317" spans="1:6" x14ac:dyDescent="0.2">
      <c r="A8317">
        <v>21</v>
      </c>
      <c r="E8317" t="str">
        <f t="shared" si="280"/>
        <v>V</v>
      </c>
      <c r="F8317" t="str">
        <f t="shared" si="279"/>
        <v>21V</v>
      </c>
    </row>
    <row r="8318" spans="1:6" x14ac:dyDescent="0.2">
      <c r="A8318">
        <v>22</v>
      </c>
      <c r="E8318" t="str">
        <f t="shared" si="280"/>
        <v>W</v>
      </c>
      <c r="F8318" t="str">
        <f t="shared" si="279"/>
        <v>22W</v>
      </c>
    </row>
    <row r="8319" spans="1:6" x14ac:dyDescent="0.2">
      <c r="A8319">
        <v>23</v>
      </c>
      <c r="E8319" t="str">
        <f t="shared" si="280"/>
        <v>X</v>
      </c>
      <c r="F8319" t="str">
        <f t="shared" si="279"/>
        <v>23X</v>
      </c>
    </row>
    <row r="8320" spans="1:6" x14ac:dyDescent="0.2">
      <c r="A8320">
        <v>24</v>
      </c>
      <c r="E8320" t="str">
        <f t="shared" si="280"/>
        <v>Y</v>
      </c>
      <c r="F8320" t="str">
        <f t="shared" si="279"/>
        <v>24Y</v>
      </c>
    </row>
    <row r="8321" spans="1:6" x14ac:dyDescent="0.2">
      <c r="A8321">
        <v>25</v>
      </c>
      <c r="E8321" t="str">
        <f t="shared" si="280"/>
        <v>Z</v>
      </c>
      <c r="F8321" t="str">
        <f t="shared" si="279"/>
        <v>25Z</v>
      </c>
    </row>
    <row r="8322" spans="1:6" x14ac:dyDescent="0.2">
      <c r="A8322">
        <v>0</v>
      </c>
      <c r="E8322" t="str">
        <f t="shared" si="280"/>
        <v>A</v>
      </c>
      <c r="F8322" t="str">
        <f t="shared" si="279"/>
        <v>0A</v>
      </c>
    </row>
    <row r="8323" spans="1:6" x14ac:dyDescent="0.2">
      <c r="A8323">
        <v>1</v>
      </c>
      <c r="E8323" t="str">
        <f t="shared" si="280"/>
        <v>B</v>
      </c>
      <c r="F8323" t="str">
        <f t="shared" si="279"/>
        <v>1B</v>
      </c>
    </row>
    <row r="8324" spans="1:6" x14ac:dyDescent="0.2">
      <c r="A8324">
        <v>2</v>
      </c>
      <c r="E8324" t="str">
        <f t="shared" si="280"/>
        <v>C</v>
      </c>
      <c r="F8324" t="str">
        <f t="shared" si="279"/>
        <v>2C</v>
      </c>
    </row>
    <row r="8325" spans="1:6" x14ac:dyDescent="0.2">
      <c r="A8325">
        <v>3</v>
      </c>
      <c r="E8325" t="str">
        <f t="shared" si="280"/>
        <v>D</v>
      </c>
      <c r="F8325" t="str">
        <f t="shared" si="279"/>
        <v>3D</v>
      </c>
    </row>
    <row r="8326" spans="1:6" x14ac:dyDescent="0.2">
      <c r="A8326">
        <v>4</v>
      </c>
      <c r="E8326" t="str">
        <f t="shared" si="280"/>
        <v>E</v>
      </c>
      <c r="F8326" t="str">
        <f t="shared" si="279"/>
        <v>4E</v>
      </c>
    </row>
    <row r="8327" spans="1:6" x14ac:dyDescent="0.2">
      <c r="A8327">
        <v>5</v>
      </c>
      <c r="E8327" t="str">
        <f t="shared" si="280"/>
        <v>F</v>
      </c>
      <c r="F8327" t="str">
        <f t="shared" si="279"/>
        <v>5F</v>
      </c>
    </row>
    <row r="8328" spans="1:6" x14ac:dyDescent="0.2">
      <c r="A8328">
        <v>6</v>
      </c>
      <c r="E8328" t="str">
        <f t="shared" si="280"/>
        <v>G</v>
      </c>
      <c r="F8328" t="str">
        <f t="shared" si="279"/>
        <v>6G</v>
      </c>
    </row>
    <row r="8329" spans="1:6" x14ac:dyDescent="0.2">
      <c r="A8329">
        <v>7</v>
      </c>
      <c r="E8329" t="str">
        <f t="shared" si="280"/>
        <v>H</v>
      </c>
      <c r="F8329" t="str">
        <f t="shared" si="279"/>
        <v>7H</v>
      </c>
    </row>
    <row r="8330" spans="1:6" x14ac:dyDescent="0.2">
      <c r="A8330">
        <v>8</v>
      </c>
      <c r="E8330" t="str">
        <f t="shared" si="280"/>
        <v>I</v>
      </c>
      <c r="F8330" t="str">
        <f t="shared" si="279"/>
        <v>8I</v>
      </c>
    </row>
    <row r="8331" spans="1:6" x14ac:dyDescent="0.2">
      <c r="A8331">
        <v>9</v>
      </c>
      <c r="E8331" t="str">
        <f t="shared" si="280"/>
        <v>J</v>
      </c>
      <c r="F8331" t="str">
        <f t="shared" si="279"/>
        <v>9J</v>
      </c>
    </row>
    <row r="8332" spans="1:6" x14ac:dyDescent="0.2">
      <c r="A8332">
        <v>10</v>
      </c>
      <c r="E8332" t="str">
        <f t="shared" si="280"/>
        <v>K</v>
      </c>
      <c r="F8332" t="str">
        <f t="shared" si="279"/>
        <v>10K</v>
      </c>
    </row>
    <row r="8333" spans="1:6" x14ac:dyDescent="0.2">
      <c r="A8333">
        <v>11</v>
      </c>
      <c r="E8333" t="str">
        <f t="shared" si="280"/>
        <v>L</v>
      </c>
      <c r="F8333" t="str">
        <f t="shared" si="279"/>
        <v>11L</v>
      </c>
    </row>
    <row r="8334" spans="1:6" x14ac:dyDescent="0.2">
      <c r="A8334">
        <v>12</v>
      </c>
      <c r="E8334" t="str">
        <f t="shared" si="280"/>
        <v>M</v>
      </c>
      <c r="F8334" t="str">
        <f t="shared" si="279"/>
        <v>12M</v>
      </c>
    </row>
    <row r="8335" spans="1:6" x14ac:dyDescent="0.2">
      <c r="A8335">
        <v>13</v>
      </c>
      <c r="E8335" t="str">
        <f t="shared" si="280"/>
        <v>N</v>
      </c>
      <c r="F8335" t="str">
        <f t="shared" si="279"/>
        <v>13N</v>
      </c>
    </row>
    <row r="8336" spans="1:6" x14ac:dyDescent="0.2">
      <c r="A8336">
        <v>14</v>
      </c>
      <c r="E8336" t="str">
        <f t="shared" si="280"/>
        <v>O</v>
      </c>
      <c r="F8336" t="str">
        <f t="shared" si="279"/>
        <v>14O</v>
      </c>
    </row>
    <row r="8337" spans="1:6" x14ac:dyDescent="0.2">
      <c r="A8337">
        <v>15</v>
      </c>
      <c r="E8337" t="str">
        <f t="shared" si="280"/>
        <v>P</v>
      </c>
      <c r="F8337" t="str">
        <f t="shared" si="279"/>
        <v>15P</v>
      </c>
    </row>
    <row r="8338" spans="1:6" x14ac:dyDescent="0.2">
      <c r="A8338">
        <v>16</v>
      </c>
      <c r="E8338" t="str">
        <f t="shared" si="280"/>
        <v>Q</v>
      </c>
      <c r="F8338" t="str">
        <f t="shared" si="279"/>
        <v>16Q</v>
      </c>
    </row>
    <row r="8339" spans="1:6" x14ac:dyDescent="0.2">
      <c r="A8339">
        <v>17</v>
      </c>
      <c r="E8339" t="str">
        <f t="shared" si="280"/>
        <v>R</v>
      </c>
      <c r="F8339" t="str">
        <f t="shared" si="279"/>
        <v>17R</v>
      </c>
    </row>
    <row r="8340" spans="1:6" x14ac:dyDescent="0.2">
      <c r="A8340">
        <v>18</v>
      </c>
      <c r="E8340" t="str">
        <f t="shared" si="280"/>
        <v>S</v>
      </c>
      <c r="F8340" t="str">
        <f t="shared" si="279"/>
        <v>18S</v>
      </c>
    </row>
    <row r="8341" spans="1:6" x14ac:dyDescent="0.2">
      <c r="A8341">
        <v>19</v>
      </c>
      <c r="E8341" t="str">
        <f t="shared" si="280"/>
        <v>T</v>
      </c>
      <c r="F8341" t="str">
        <f t="shared" si="279"/>
        <v>19T</v>
      </c>
    </row>
    <row r="8342" spans="1:6" x14ac:dyDescent="0.2">
      <c r="A8342">
        <v>20</v>
      </c>
      <c r="E8342" t="str">
        <f t="shared" si="280"/>
        <v>U</v>
      </c>
      <c r="F8342" t="str">
        <f t="shared" ref="F8342:F8405" si="281">A8342&amp;C8342&amp;E8342</f>
        <v>20U</v>
      </c>
    </row>
    <row r="8343" spans="1:6" x14ac:dyDescent="0.2">
      <c r="A8343">
        <v>21</v>
      </c>
      <c r="E8343" t="str">
        <f t="shared" si="280"/>
        <v>V</v>
      </c>
      <c r="F8343" t="str">
        <f t="shared" si="281"/>
        <v>21V</v>
      </c>
    </row>
    <row r="8344" spans="1:6" x14ac:dyDescent="0.2">
      <c r="A8344">
        <v>22</v>
      </c>
      <c r="E8344" t="str">
        <f t="shared" si="280"/>
        <v>W</v>
      </c>
      <c r="F8344" t="str">
        <f t="shared" si="281"/>
        <v>22W</v>
      </c>
    </row>
    <row r="8345" spans="1:6" x14ac:dyDescent="0.2">
      <c r="A8345">
        <v>23</v>
      </c>
      <c r="E8345" t="str">
        <f t="shared" si="280"/>
        <v>X</v>
      </c>
      <c r="F8345" t="str">
        <f t="shared" si="281"/>
        <v>23X</v>
      </c>
    </row>
    <row r="8346" spans="1:6" x14ac:dyDescent="0.2">
      <c r="A8346">
        <v>24</v>
      </c>
      <c r="E8346" t="str">
        <f t="shared" si="280"/>
        <v>Y</v>
      </c>
      <c r="F8346" t="str">
        <f t="shared" si="281"/>
        <v>24Y</v>
      </c>
    </row>
    <row r="8347" spans="1:6" x14ac:dyDescent="0.2">
      <c r="A8347">
        <v>25</v>
      </c>
      <c r="E8347" t="str">
        <f t="shared" si="280"/>
        <v>Z</v>
      </c>
      <c r="F8347" t="str">
        <f t="shared" si="281"/>
        <v>25Z</v>
      </c>
    </row>
    <row r="8348" spans="1:6" x14ac:dyDescent="0.2">
      <c r="A8348">
        <v>0</v>
      </c>
      <c r="E8348" t="str">
        <f t="shared" si="280"/>
        <v>A</v>
      </c>
      <c r="F8348" t="str">
        <f t="shared" si="281"/>
        <v>0A</v>
      </c>
    </row>
    <row r="8349" spans="1:6" x14ac:dyDescent="0.2">
      <c r="A8349">
        <v>1</v>
      </c>
      <c r="E8349" t="str">
        <f t="shared" si="280"/>
        <v>B</v>
      </c>
      <c r="F8349" t="str">
        <f t="shared" si="281"/>
        <v>1B</v>
      </c>
    </row>
    <row r="8350" spans="1:6" x14ac:dyDescent="0.2">
      <c r="A8350">
        <v>2</v>
      </c>
      <c r="E8350" t="str">
        <f t="shared" si="280"/>
        <v>C</v>
      </c>
      <c r="F8350" t="str">
        <f t="shared" si="281"/>
        <v>2C</v>
      </c>
    </row>
    <row r="8351" spans="1:6" x14ac:dyDescent="0.2">
      <c r="A8351">
        <v>3</v>
      </c>
      <c r="E8351" t="str">
        <f t="shared" si="280"/>
        <v>D</v>
      </c>
      <c r="F8351" t="str">
        <f t="shared" si="281"/>
        <v>3D</v>
      </c>
    </row>
    <row r="8352" spans="1:6" x14ac:dyDescent="0.2">
      <c r="A8352">
        <v>4</v>
      </c>
      <c r="E8352" t="str">
        <f t="shared" si="280"/>
        <v>E</v>
      </c>
      <c r="F8352" t="str">
        <f t="shared" si="281"/>
        <v>4E</v>
      </c>
    </row>
    <row r="8353" spans="1:6" x14ac:dyDescent="0.2">
      <c r="A8353">
        <v>5</v>
      </c>
      <c r="E8353" t="str">
        <f t="shared" si="280"/>
        <v>F</v>
      </c>
      <c r="F8353" t="str">
        <f t="shared" si="281"/>
        <v>5F</v>
      </c>
    </row>
    <row r="8354" spans="1:6" x14ac:dyDescent="0.2">
      <c r="A8354">
        <v>6</v>
      </c>
      <c r="E8354" t="str">
        <f t="shared" si="280"/>
        <v>G</v>
      </c>
      <c r="F8354" t="str">
        <f t="shared" si="281"/>
        <v>6G</v>
      </c>
    </row>
    <row r="8355" spans="1:6" x14ac:dyDescent="0.2">
      <c r="A8355">
        <v>7</v>
      </c>
      <c r="E8355" t="str">
        <f t="shared" si="280"/>
        <v>H</v>
      </c>
      <c r="F8355" t="str">
        <f t="shared" si="281"/>
        <v>7H</v>
      </c>
    </row>
    <row r="8356" spans="1:6" x14ac:dyDescent="0.2">
      <c r="A8356">
        <v>8</v>
      </c>
      <c r="E8356" t="str">
        <f t="shared" si="280"/>
        <v>I</v>
      </c>
      <c r="F8356" t="str">
        <f t="shared" si="281"/>
        <v>8I</v>
      </c>
    </row>
    <row r="8357" spans="1:6" x14ac:dyDescent="0.2">
      <c r="A8357">
        <v>9</v>
      </c>
      <c r="E8357" t="str">
        <f t="shared" si="280"/>
        <v>J</v>
      </c>
      <c r="F8357" t="str">
        <f t="shared" si="281"/>
        <v>9J</v>
      </c>
    </row>
    <row r="8358" spans="1:6" x14ac:dyDescent="0.2">
      <c r="A8358">
        <v>10</v>
      </c>
      <c r="E8358" t="str">
        <f t="shared" si="280"/>
        <v>K</v>
      </c>
      <c r="F8358" t="str">
        <f t="shared" si="281"/>
        <v>10K</v>
      </c>
    </row>
    <row r="8359" spans="1:6" x14ac:dyDescent="0.2">
      <c r="A8359">
        <v>11</v>
      </c>
      <c r="E8359" t="str">
        <f t="shared" si="280"/>
        <v>L</v>
      </c>
      <c r="F8359" t="str">
        <f t="shared" si="281"/>
        <v>11L</v>
      </c>
    </row>
    <row r="8360" spans="1:6" x14ac:dyDescent="0.2">
      <c r="A8360">
        <v>12</v>
      </c>
      <c r="E8360" t="str">
        <f t="shared" si="280"/>
        <v>M</v>
      </c>
      <c r="F8360" t="str">
        <f t="shared" si="281"/>
        <v>12M</v>
      </c>
    </row>
    <row r="8361" spans="1:6" x14ac:dyDescent="0.2">
      <c r="A8361">
        <v>13</v>
      </c>
      <c r="E8361" t="str">
        <f t="shared" si="280"/>
        <v>N</v>
      </c>
      <c r="F8361" t="str">
        <f t="shared" si="281"/>
        <v>13N</v>
      </c>
    </row>
    <row r="8362" spans="1:6" x14ac:dyDescent="0.2">
      <c r="A8362">
        <v>14</v>
      </c>
      <c r="E8362" t="str">
        <f t="shared" si="280"/>
        <v>O</v>
      </c>
      <c r="F8362" t="str">
        <f t="shared" si="281"/>
        <v>14O</v>
      </c>
    </row>
    <row r="8363" spans="1:6" x14ac:dyDescent="0.2">
      <c r="A8363">
        <v>15</v>
      </c>
      <c r="E8363" t="str">
        <f t="shared" si="280"/>
        <v>P</v>
      </c>
      <c r="F8363" t="str">
        <f t="shared" si="281"/>
        <v>15P</v>
      </c>
    </row>
    <row r="8364" spans="1:6" x14ac:dyDescent="0.2">
      <c r="A8364">
        <v>16</v>
      </c>
      <c r="E8364" t="str">
        <f t="shared" si="280"/>
        <v>Q</v>
      </c>
      <c r="F8364" t="str">
        <f t="shared" si="281"/>
        <v>16Q</v>
      </c>
    </row>
    <row r="8365" spans="1:6" x14ac:dyDescent="0.2">
      <c r="A8365">
        <v>17</v>
      </c>
      <c r="E8365" t="str">
        <f t="shared" si="280"/>
        <v>R</v>
      </c>
      <c r="F8365" t="str">
        <f t="shared" si="281"/>
        <v>17R</v>
      </c>
    </row>
    <row r="8366" spans="1:6" x14ac:dyDescent="0.2">
      <c r="A8366">
        <v>18</v>
      </c>
      <c r="E8366" t="str">
        <f t="shared" si="280"/>
        <v>S</v>
      </c>
      <c r="F8366" t="str">
        <f t="shared" si="281"/>
        <v>18S</v>
      </c>
    </row>
    <row r="8367" spans="1:6" x14ac:dyDescent="0.2">
      <c r="A8367">
        <v>19</v>
      </c>
      <c r="E8367" t="str">
        <f t="shared" si="280"/>
        <v>T</v>
      </c>
      <c r="F8367" t="str">
        <f t="shared" si="281"/>
        <v>19T</v>
      </c>
    </row>
    <row r="8368" spans="1:6" x14ac:dyDescent="0.2">
      <c r="A8368">
        <v>20</v>
      </c>
      <c r="E8368" t="str">
        <f t="shared" ref="E8368:E8431" si="282">E8342</f>
        <v>U</v>
      </c>
      <c r="F8368" t="str">
        <f t="shared" si="281"/>
        <v>20U</v>
      </c>
    </row>
    <row r="8369" spans="1:6" x14ac:dyDescent="0.2">
      <c r="A8369">
        <v>21</v>
      </c>
      <c r="E8369" t="str">
        <f t="shared" si="282"/>
        <v>V</v>
      </c>
      <c r="F8369" t="str">
        <f t="shared" si="281"/>
        <v>21V</v>
      </c>
    </row>
    <row r="8370" spans="1:6" x14ac:dyDescent="0.2">
      <c r="A8370">
        <v>22</v>
      </c>
      <c r="E8370" t="str">
        <f t="shared" si="282"/>
        <v>W</v>
      </c>
      <c r="F8370" t="str">
        <f t="shared" si="281"/>
        <v>22W</v>
      </c>
    </row>
    <row r="8371" spans="1:6" x14ac:dyDescent="0.2">
      <c r="A8371">
        <v>23</v>
      </c>
      <c r="E8371" t="str">
        <f t="shared" si="282"/>
        <v>X</v>
      </c>
      <c r="F8371" t="str">
        <f t="shared" si="281"/>
        <v>23X</v>
      </c>
    </row>
    <row r="8372" spans="1:6" x14ac:dyDescent="0.2">
      <c r="A8372">
        <v>24</v>
      </c>
      <c r="E8372" t="str">
        <f t="shared" si="282"/>
        <v>Y</v>
      </c>
      <c r="F8372" t="str">
        <f t="shared" si="281"/>
        <v>24Y</v>
      </c>
    </row>
    <row r="8373" spans="1:6" x14ac:dyDescent="0.2">
      <c r="A8373">
        <v>25</v>
      </c>
      <c r="E8373" t="str">
        <f t="shared" si="282"/>
        <v>Z</v>
      </c>
      <c r="F8373" t="str">
        <f t="shared" si="281"/>
        <v>25Z</v>
      </c>
    </row>
    <row r="8374" spans="1:6" x14ac:dyDescent="0.2">
      <c r="A8374">
        <v>0</v>
      </c>
      <c r="E8374" t="str">
        <f t="shared" si="282"/>
        <v>A</v>
      </c>
      <c r="F8374" t="str">
        <f t="shared" si="281"/>
        <v>0A</v>
      </c>
    </row>
    <row r="8375" spans="1:6" x14ac:dyDescent="0.2">
      <c r="A8375">
        <v>1</v>
      </c>
      <c r="E8375" t="str">
        <f t="shared" si="282"/>
        <v>B</v>
      </c>
      <c r="F8375" t="str">
        <f t="shared" si="281"/>
        <v>1B</v>
      </c>
    </row>
    <row r="8376" spans="1:6" x14ac:dyDescent="0.2">
      <c r="A8376">
        <v>2</v>
      </c>
      <c r="E8376" t="str">
        <f t="shared" si="282"/>
        <v>C</v>
      </c>
      <c r="F8376" t="str">
        <f t="shared" si="281"/>
        <v>2C</v>
      </c>
    </row>
    <row r="8377" spans="1:6" x14ac:dyDescent="0.2">
      <c r="A8377">
        <v>3</v>
      </c>
      <c r="E8377" t="str">
        <f t="shared" si="282"/>
        <v>D</v>
      </c>
      <c r="F8377" t="str">
        <f t="shared" si="281"/>
        <v>3D</v>
      </c>
    </row>
    <row r="8378" spans="1:6" x14ac:dyDescent="0.2">
      <c r="A8378">
        <v>4</v>
      </c>
      <c r="E8378" t="str">
        <f t="shared" si="282"/>
        <v>E</v>
      </c>
      <c r="F8378" t="str">
        <f t="shared" si="281"/>
        <v>4E</v>
      </c>
    </row>
    <row r="8379" spans="1:6" x14ac:dyDescent="0.2">
      <c r="A8379">
        <v>5</v>
      </c>
      <c r="E8379" t="str">
        <f t="shared" si="282"/>
        <v>F</v>
      </c>
      <c r="F8379" t="str">
        <f t="shared" si="281"/>
        <v>5F</v>
      </c>
    </row>
    <row r="8380" spans="1:6" x14ac:dyDescent="0.2">
      <c r="A8380">
        <v>6</v>
      </c>
      <c r="E8380" t="str">
        <f t="shared" si="282"/>
        <v>G</v>
      </c>
      <c r="F8380" t="str">
        <f t="shared" si="281"/>
        <v>6G</v>
      </c>
    </row>
    <row r="8381" spans="1:6" x14ac:dyDescent="0.2">
      <c r="A8381">
        <v>7</v>
      </c>
      <c r="E8381" t="str">
        <f t="shared" si="282"/>
        <v>H</v>
      </c>
      <c r="F8381" t="str">
        <f t="shared" si="281"/>
        <v>7H</v>
      </c>
    </row>
    <row r="8382" spans="1:6" x14ac:dyDescent="0.2">
      <c r="A8382">
        <v>8</v>
      </c>
      <c r="E8382" t="str">
        <f t="shared" si="282"/>
        <v>I</v>
      </c>
      <c r="F8382" t="str">
        <f t="shared" si="281"/>
        <v>8I</v>
      </c>
    </row>
    <row r="8383" spans="1:6" x14ac:dyDescent="0.2">
      <c r="A8383">
        <v>9</v>
      </c>
      <c r="E8383" t="str">
        <f t="shared" si="282"/>
        <v>J</v>
      </c>
      <c r="F8383" t="str">
        <f t="shared" si="281"/>
        <v>9J</v>
      </c>
    </row>
    <row r="8384" spans="1:6" x14ac:dyDescent="0.2">
      <c r="A8384">
        <v>10</v>
      </c>
      <c r="E8384" t="str">
        <f t="shared" si="282"/>
        <v>K</v>
      </c>
      <c r="F8384" t="str">
        <f t="shared" si="281"/>
        <v>10K</v>
      </c>
    </row>
    <row r="8385" spans="1:6" x14ac:dyDescent="0.2">
      <c r="A8385">
        <v>11</v>
      </c>
      <c r="E8385" t="str">
        <f t="shared" si="282"/>
        <v>L</v>
      </c>
      <c r="F8385" t="str">
        <f t="shared" si="281"/>
        <v>11L</v>
      </c>
    </row>
    <row r="8386" spans="1:6" x14ac:dyDescent="0.2">
      <c r="A8386">
        <v>12</v>
      </c>
      <c r="E8386" t="str">
        <f t="shared" si="282"/>
        <v>M</v>
      </c>
      <c r="F8386" t="str">
        <f t="shared" si="281"/>
        <v>12M</v>
      </c>
    </row>
    <row r="8387" spans="1:6" x14ac:dyDescent="0.2">
      <c r="A8387">
        <v>13</v>
      </c>
      <c r="E8387" t="str">
        <f t="shared" si="282"/>
        <v>N</v>
      </c>
      <c r="F8387" t="str">
        <f t="shared" si="281"/>
        <v>13N</v>
      </c>
    </row>
    <row r="8388" spans="1:6" x14ac:dyDescent="0.2">
      <c r="A8388">
        <v>14</v>
      </c>
      <c r="E8388" t="str">
        <f t="shared" si="282"/>
        <v>O</v>
      </c>
      <c r="F8388" t="str">
        <f t="shared" si="281"/>
        <v>14O</v>
      </c>
    </row>
    <row r="8389" spans="1:6" x14ac:dyDescent="0.2">
      <c r="A8389">
        <v>15</v>
      </c>
      <c r="E8389" t="str">
        <f t="shared" si="282"/>
        <v>P</v>
      </c>
      <c r="F8389" t="str">
        <f t="shared" si="281"/>
        <v>15P</v>
      </c>
    </row>
    <row r="8390" spans="1:6" x14ac:dyDescent="0.2">
      <c r="A8390">
        <v>16</v>
      </c>
      <c r="E8390" t="str">
        <f t="shared" si="282"/>
        <v>Q</v>
      </c>
      <c r="F8390" t="str">
        <f t="shared" si="281"/>
        <v>16Q</v>
      </c>
    </row>
    <row r="8391" spans="1:6" x14ac:dyDescent="0.2">
      <c r="A8391">
        <v>17</v>
      </c>
      <c r="E8391" t="str">
        <f t="shared" si="282"/>
        <v>R</v>
      </c>
      <c r="F8391" t="str">
        <f t="shared" si="281"/>
        <v>17R</v>
      </c>
    </row>
    <row r="8392" spans="1:6" x14ac:dyDescent="0.2">
      <c r="A8392">
        <v>18</v>
      </c>
      <c r="E8392" t="str">
        <f t="shared" si="282"/>
        <v>S</v>
      </c>
      <c r="F8392" t="str">
        <f t="shared" si="281"/>
        <v>18S</v>
      </c>
    </row>
    <row r="8393" spans="1:6" x14ac:dyDescent="0.2">
      <c r="A8393">
        <v>19</v>
      </c>
      <c r="E8393" t="str">
        <f t="shared" si="282"/>
        <v>T</v>
      </c>
      <c r="F8393" t="str">
        <f t="shared" si="281"/>
        <v>19T</v>
      </c>
    </row>
    <row r="8394" spans="1:6" x14ac:dyDescent="0.2">
      <c r="A8394">
        <v>20</v>
      </c>
      <c r="E8394" t="str">
        <f t="shared" si="282"/>
        <v>U</v>
      </c>
      <c r="F8394" t="str">
        <f t="shared" si="281"/>
        <v>20U</v>
      </c>
    </row>
    <row r="8395" spans="1:6" x14ac:dyDescent="0.2">
      <c r="A8395">
        <v>21</v>
      </c>
      <c r="E8395" t="str">
        <f t="shared" si="282"/>
        <v>V</v>
      </c>
      <c r="F8395" t="str">
        <f t="shared" si="281"/>
        <v>21V</v>
      </c>
    </row>
    <row r="8396" spans="1:6" x14ac:dyDescent="0.2">
      <c r="A8396">
        <v>22</v>
      </c>
      <c r="E8396" t="str">
        <f t="shared" si="282"/>
        <v>W</v>
      </c>
      <c r="F8396" t="str">
        <f t="shared" si="281"/>
        <v>22W</v>
      </c>
    </row>
    <row r="8397" spans="1:6" x14ac:dyDescent="0.2">
      <c r="A8397">
        <v>23</v>
      </c>
      <c r="E8397" t="str">
        <f t="shared" si="282"/>
        <v>X</v>
      </c>
      <c r="F8397" t="str">
        <f t="shared" si="281"/>
        <v>23X</v>
      </c>
    </row>
    <row r="8398" spans="1:6" x14ac:dyDescent="0.2">
      <c r="A8398">
        <v>24</v>
      </c>
      <c r="E8398" t="str">
        <f t="shared" si="282"/>
        <v>Y</v>
      </c>
      <c r="F8398" t="str">
        <f t="shared" si="281"/>
        <v>24Y</v>
      </c>
    </row>
    <row r="8399" spans="1:6" x14ac:dyDescent="0.2">
      <c r="A8399">
        <v>25</v>
      </c>
      <c r="E8399" t="str">
        <f t="shared" si="282"/>
        <v>Z</v>
      </c>
      <c r="F8399" t="str">
        <f t="shared" si="281"/>
        <v>25Z</v>
      </c>
    </row>
    <row r="8400" spans="1:6" x14ac:dyDescent="0.2">
      <c r="A8400">
        <v>0</v>
      </c>
      <c r="E8400" t="str">
        <f t="shared" si="282"/>
        <v>A</v>
      </c>
      <c r="F8400" t="str">
        <f t="shared" si="281"/>
        <v>0A</v>
      </c>
    </row>
    <row r="8401" spans="1:6" x14ac:dyDescent="0.2">
      <c r="A8401">
        <v>1</v>
      </c>
      <c r="E8401" t="str">
        <f t="shared" si="282"/>
        <v>B</v>
      </c>
      <c r="F8401" t="str">
        <f t="shared" si="281"/>
        <v>1B</v>
      </c>
    </row>
    <row r="8402" spans="1:6" x14ac:dyDescent="0.2">
      <c r="A8402">
        <v>2</v>
      </c>
      <c r="E8402" t="str">
        <f t="shared" si="282"/>
        <v>C</v>
      </c>
      <c r="F8402" t="str">
        <f t="shared" si="281"/>
        <v>2C</v>
      </c>
    </row>
    <row r="8403" spans="1:6" x14ac:dyDescent="0.2">
      <c r="A8403">
        <v>3</v>
      </c>
      <c r="E8403" t="str">
        <f t="shared" si="282"/>
        <v>D</v>
      </c>
      <c r="F8403" t="str">
        <f t="shared" si="281"/>
        <v>3D</v>
      </c>
    </row>
    <row r="8404" spans="1:6" x14ac:dyDescent="0.2">
      <c r="A8404">
        <v>4</v>
      </c>
      <c r="E8404" t="str">
        <f t="shared" si="282"/>
        <v>E</v>
      </c>
      <c r="F8404" t="str">
        <f t="shared" si="281"/>
        <v>4E</v>
      </c>
    </row>
    <row r="8405" spans="1:6" x14ac:dyDescent="0.2">
      <c r="A8405">
        <v>5</v>
      </c>
      <c r="E8405" t="str">
        <f t="shared" si="282"/>
        <v>F</v>
      </c>
      <c r="F8405" t="str">
        <f t="shared" si="281"/>
        <v>5F</v>
      </c>
    </row>
    <row r="8406" spans="1:6" x14ac:dyDescent="0.2">
      <c r="A8406">
        <v>6</v>
      </c>
      <c r="E8406" t="str">
        <f t="shared" si="282"/>
        <v>G</v>
      </c>
      <c r="F8406" t="str">
        <f t="shared" ref="F8406:F8469" si="283">A8406&amp;C8406&amp;E8406</f>
        <v>6G</v>
      </c>
    </row>
    <row r="8407" spans="1:6" x14ac:dyDescent="0.2">
      <c r="A8407">
        <v>7</v>
      </c>
      <c r="E8407" t="str">
        <f t="shared" si="282"/>
        <v>H</v>
      </c>
      <c r="F8407" t="str">
        <f t="shared" si="283"/>
        <v>7H</v>
      </c>
    </row>
    <row r="8408" spans="1:6" x14ac:dyDescent="0.2">
      <c r="A8408">
        <v>8</v>
      </c>
      <c r="E8408" t="str">
        <f t="shared" si="282"/>
        <v>I</v>
      </c>
      <c r="F8408" t="str">
        <f t="shared" si="283"/>
        <v>8I</v>
      </c>
    </row>
    <row r="8409" spans="1:6" x14ac:dyDescent="0.2">
      <c r="A8409">
        <v>9</v>
      </c>
      <c r="E8409" t="str">
        <f t="shared" si="282"/>
        <v>J</v>
      </c>
      <c r="F8409" t="str">
        <f t="shared" si="283"/>
        <v>9J</v>
      </c>
    </row>
    <row r="8410" spans="1:6" x14ac:dyDescent="0.2">
      <c r="A8410">
        <v>10</v>
      </c>
      <c r="E8410" t="str">
        <f t="shared" si="282"/>
        <v>K</v>
      </c>
      <c r="F8410" t="str">
        <f t="shared" si="283"/>
        <v>10K</v>
      </c>
    </row>
    <row r="8411" spans="1:6" x14ac:dyDescent="0.2">
      <c r="A8411">
        <v>11</v>
      </c>
      <c r="E8411" t="str">
        <f t="shared" si="282"/>
        <v>L</v>
      </c>
      <c r="F8411" t="str">
        <f t="shared" si="283"/>
        <v>11L</v>
      </c>
    </row>
    <row r="8412" spans="1:6" x14ac:dyDescent="0.2">
      <c r="A8412">
        <v>12</v>
      </c>
      <c r="E8412" t="str">
        <f t="shared" si="282"/>
        <v>M</v>
      </c>
      <c r="F8412" t="str">
        <f t="shared" si="283"/>
        <v>12M</v>
      </c>
    </row>
    <row r="8413" spans="1:6" x14ac:dyDescent="0.2">
      <c r="A8413">
        <v>13</v>
      </c>
      <c r="E8413" t="str">
        <f t="shared" si="282"/>
        <v>N</v>
      </c>
      <c r="F8413" t="str">
        <f t="shared" si="283"/>
        <v>13N</v>
      </c>
    </row>
    <row r="8414" spans="1:6" x14ac:dyDescent="0.2">
      <c r="A8414">
        <v>14</v>
      </c>
      <c r="E8414" t="str">
        <f t="shared" si="282"/>
        <v>O</v>
      </c>
      <c r="F8414" t="str">
        <f t="shared" si="283"/>
        <v>14O</v>
      </c>
    </row>
    <row r="8415" spans="1:6" x14ac:dyDescent="0.2">
      <c r="A8415">
        <v>15</v>
      </c>
      <c r="E8415" t="str">
        <f t="shared" si="282"/>
        <v>P</v>
      </c>
      <c r="F8415" t="str">
        <f t="shared" si="283"/>
        <v>15P</v>
      </c>
    </row>
    <row r="8416" spans="1:6" x14ac:dyDescent="0.2">
      <c r="A8416">
        <v>16</v>
      </c>
      <c r="E8416" t="str">
        <f t="shared" si="282"/>
        <v>Q</v>
      </c>
      <c r="F8416" t="str">
        <f t="shared" si="283"/>
        <v>16Q</v>
      </c>
    </row>
    <row r="8417" spans="1:6" x14ac:dyDescent="0.2">
      <c r="A8417">
        <v>17</v>
      </c>
      <c r="E8417" t="str">
        <f t="shared" si="282"/>
        <v>R</v>
      </c>
      <c r="F8417" t="str">
        <f t="shared" si="283"/>
        <v>17R</v>
      </c>
    </row>
    <row r="8418" spans="1:6" x14ac:dyDescent="0.2">
      <c r="A8418">
        <v>18</v>
      </c>
      <c r="E8418" t="str">
        <f t="shared" si="282"/>
        <v>S</v>
      </c>
      <c r="F8418" t="str">
        <f t="shared" si="283"/>
        <v>18S</v>
      </c>
    </row>
    <row r="8419" spans="1:6" x14ac:dyDescent="0.2">
      <c r="A8419">
        <v>19</v>
      </c>
      <c r="E8419" t="str">
        <f t="shared" si="282"/>
        <v>T</v>
      </c>
      <c r="F8419" t="str">
        <f t="shared" si="283"/>
        <v>19T</v>
      </c>
    </row>
    <row r="8420" spans="1:6" x14ac:dyDescent="0.2">
      <c r="A8420">
        <v>20</v>
      </c>
      <c r="E8420" t="str">
        <f t="shared" si="282"/>
        <v>U</v>
      </c>
      <c r="F8420" t="str">
        <f t="shared" si="283"/>
        <v>20U</v>
      </c>
    </row>
    <row r="8421" spans="1:6" x14ac:dyDescent="0.2">
      <c r="A8421">
        <v>21</v>
      </c>
      <c r="E8421" t="str">
        <f t="shared" si="282"/>
        <v>V</v>
      </c>
      <c r="F8421" t="str">
        <f t="shared" si="283"/>
        <v>21V</v>
      </c>
    </row>
    <row r="8422" spans="1:6" x14ac:dyDescent="0.2">
      <c r="A8422">
        <v>22</v>
      </c>
      <c r="E8422" t="str">
        <f t="shared" si="282"/>
        <v>W</v>
      </c>
      <c r="F8422" t="str">
        <f t="shared" si="283"/>
        <v>22W</v>
      </c>
    </row>
    <row r="8423" spans="1:6" x14ac:dyDescent="0.2">
      <c r="A8423">
        <v>23</v>
      </c>
      <c r="E8423" t="str">
        <f t="shared" si="282"/>
        <v>X</v>
      </c>
      <c r="F8423" t="str">
        <f t="shared" si="283"/>
        <v>23X</v>
      </c>
    </row>
    <row r="8424" spans="1:6" x14ac:dyDescent="0.2">
      <c r="A8424">
        <v>24</v>
      </c>
      <c r="E8424" t="str">
        <f t="shared" si="282"/>
        <v>Y</v>
      </c>
      <c r="F8424" t="str">
        <f t="shared" si="283"/>
        <v>24Y</v>
      </c>
    </row>
    <row r="8425" spans="1:6" x14ac:dyDescent="0.2">
      <c r="A8425">
        <v>25</v>
      </c>
      <c r="E8425" t="str">
        <f t="shared" si="282"/>
        <v>Z</v>
      </c>
      <c r="F8425" t="str">
        <f t="shared" si="283"/>
        <v>25Z</v>
      </c>
    </row>
    <row r="8426" spans="1:6" x14ac:dyDescent="0.2">
      <c r="A8426">
        <v>0</v>
      </c>
      <c r="E8426" t="str">
        <f t="shared" si="282"/>
        <v>A</v>
      </c>
      <c r="F8426" t="str">
        <f t="shared" si="283"/>
        <v>0A</v>
      </c>
    </row>
    <row r="8427" spans="1:6" x14ac:dyDescent="0.2">
      <c r="A8427">
        <v>1</v>
      </c>
      <c r="E8427" t="str">
        <f t="shared" si="282"/>
        <v>B</v>
      </c>
      <c r="F8427" t="str">
        <f t="shared" si="283"/>
        <v>1B</v>
      </c>
    </row>
    <row r="8428" spans="1:6" x14ac:dyDescent="0.2">
      <c r="A8428">
        <v>2</v>
      </c>
      <c r="E8428" t="str">
        <f t="shared" si="282"/>
        <v>C</v>
      </c>
      <c r="F8428" t="str">
        <f t="shared" si="283"/>
        <v>2C</v>
      </c>
    </row>
    <row r="8429" spans="1:6" x14ac:dyDescent="0.2">
      <c r="A8429">
        <v>3</v>
      </c>
      <c r="E8429" t="str">
        <f t="shared" si="282"/>
        <v>D</v>
      </c>
      <c r="F8429" t="str">
        <f t="shared" si="283"/>
        <v>3D</v>
      </c>
    </row>
    <row r="8430" spans="1:6" x14ac:dyDescent="0.2">
      <c r="A8430">
        <v>4</v>
      </c>
      <c r="E8430" t="str">
        <f t="shared" si="282"/>
        <v>E</v>
      </c>
      <c r="F8430" t="str">
        <f t="shared" si="283"/>
        <v>4E</v>
      </c>
    </row>
    <row r="8431" spans="1:6" x14ac:dyDescent="0.2">
      <c r="A8431">
        <v>5</v>
      </c>
      <c r="E8431" t="str">
        <f t="shared" si="282"/>
        <v>F</v>
      </c>
      <c r="F8431" t="str">
        <f t="shared" si="283"/>
        <v>5F</v>
      </c>
    </row>
    <row r="8432" spans="1:6" x14ac:dyDescent="0.2">
      <c r="A8432">
        <v>6</v>
      </c>
      <c r="E8432" t="str">
        <f t="shared" ref="E8432:E8495" si="284">E8406</f>
        <v>G</v>
      </c>
      <c r="F8432" t="str">
        <f t="shared" si="283"/>
        <v>6G</v>
      </c>
    </row>
    <row r="8433" spans="1:6" x14ac:dyDescent="0.2">
      <c r="A8433">
        <v>7</v>
      </c>
      <c r="E8433" t="str">
        <f t="shared" si="284"/>
        <v>H</v>
      </c>
      <c r="F8433" t="str">
        <f t="shared" si="283"/>
        <v>7H</v>
      </c>
    </row>
    <row r="8434" spans="1:6" x14ac:dyDescent="0.2">
      <c r="A8434">
        <v>8</v>
      </c>
      <c r="E8434" t="str">
        <f t="shared" si="284"/>
        <v>I</v>
      </c>
      <c r="F8434" t="str">
        <f t="shared" si="283"/>
        <v>8I</v>
      </c>
    </row>
    <row r="8435" spans="1:6" x14ac:dyDescent="0.2">
      <c r="A8435">
        <v>9</v>
      </c>
      <c r="E8435" t="str">
        <f t="shared" si="284"/>
        <v>J</v>
      </c>
      <c r="F8435" t="str">
        <f t="shared" si="283"/>
        <v>9J</v>
      </c>
    </row>
    <row r="8436" spans="1:6" x14ac:dyDescent="0.2">
      <c r="A8436">
        <v>10</v>
      </c>
      <c r="E8436" t="str">
        <f t="shared" si="284"/>
        <v>K</v>
      </c>
      <c r="F8436" t="str">
        <f t="shared" si="283"/>
        <v>10K</v>
      </c>
    </row>
    <row r="8437" spans="1:6" x14ac:dyDescent="0.2">
      <c r="A8437">
        <v>11</v>
      </c>
      <c r="E8437" t="str">
        <f t="shared" si="284"/>
        <v>L</v>
      </c>
      <c r="F8437" t="str">
        <f t="shared" si="283"/>
        <v>11L</v>
      </c>
    </row>
    <row r="8438" spans="1:6" x14ac:dyDescent="0.2">
      <c r="A8438">
        <v>12</v>
      </c>
      <c r="E8438" t="str">
        <f t="shared" si="284"/>
        <v>M</v>
      </c>
      <c r="F8438" t="str">
        <f t="shared" si="283"/>
        <v>12M</v>
      </c>
    </row>
    <row r="8439" spans="1:6" x14ac:dyDescent="0.2">
      <c r="A8439">
        <v>13</v>
      </c>
      <c r="E8439" t="str">
        <f t="shared" si="284"/>
        <v>N</v>
      </c>
      <c r="F8439" t="str">
        <f t="shared" si="283"/>
        <v>13N</v>
      </c>
    </row>
    <row r="8440" spans="1:6" x14ac:dyDescent="0.2">
      <c r="A8440">
        <v>14</v>
      </c>
      <c r="E8440" t="str">
        <f t="shared" si="284"/>
        <v>O</v>
      </c>
      <c r="F8440" t="str">
        <f t="shared" si="283"/>
        <v>14O</v>
      </c>
    </row>
    <row r="8441" spans="1:6" x14ac:dyDescent="0.2">
      <c r="A8441">
        <v>15</v>
      </c>
      <c r="E8441" t="str">
        <f t="shared" si="284"/>
        <v>P</v>
      </c>
      <c r="F8441" t="str">
        <f t="shared" si="283"/>
        <v>15P</v>
      </c>
    </row>
    <row r="8442" spans="1:6" x14ac:dyDescent="0.2">
      <c r="A8442">
        <v>16</v>
      </c>
      <c r="E8442" t="str">
        <f t="shared" si="284"/>
        <v>Q</v>
      </c>
      <c r="F8442" t="str">
        <f t="shared" si="283"/>
        <v>16Q</v>
      </c>
    </row>
    <row r="8443" spans="1:6" x14ac:dyDescent="0.2">
      <c r="A8443">
        <v>17</v>
      </c>
      <c r="E8443" t="str">
        <f t="shared" si="284"/>
        <v>R</v>
      </c>
      <c r="F8443" t="str">
        <f t="shared" si="283"/>
        <v>17R</v>
      </c>
    </row>
    <row r="8444" spans="1:6" x14ac:dyDescent="0.2">
      <c r="A8444">
        <v>18</v>
      </c>
      <c r="E8444" t="str">
        <f t="shared" si="284"/>
        <v>S</v>
      </c>
      <c r="F8444" t="str">
        <f t="shared" si="283"/>
        <v>18S</v>
      </c>
    </row>
    <row r="8445" spans="1:6" x14ac:dyDescent="0.2">
      <c r="A8445">
        <v>19</v>
      </c>
      <c r="E8445" t="str">
        <f t="shared" si="284"/>
        <v>T</v>
      </c>
      <c r="F8445" t="str">
        <f t="shared" si="283"/>
        <v>19T</v>
      </c>
    </row>
    <row r="8446" spans="1:6" x14ac:dyDescent="0.2">
      <c r="A8446">
        <v>20</v>
      </c>
      <c r="E8446" t="str">
        <f t="shared" si="284"/>
        <v>U</v>
      </c>
      <c r="F8446" t="str">
        <f t="shared" si="283"/>
        <v>20U</v>
      </c>
    </row>
    <row r="8447" spans="1:6" x14ac:dyDescent="0.2">
      <c r="A8447">
        <v>21</v>
      </c>
      <c r="E8447" t="str">
        <f t="shared" si="284"/>
        <v>V</v>
      </c>
      <c r="F8447" t="str">
        <f t="shared" si="283"/>
        <v>21V</v>
      </c>
    </row>
    <row r="8448" spans="1:6" x14ac:dyDescent="0.2">
      <c r="A8448">
        <v>22</v>
      </c>
      <c r="E8448" t="str">
        <f t="shared" si="284"/>
        <v>W</v>
      </c>
      <c r="F8448" t="str">
        <f t="shared" si="283"/>
        <v>22W</v>
      </c>
    </row>
    <row r="8449" spans="1:6" x14ac:dyDescent="0.2">
      <c r="A8449">
        <v>23</v>
      </c>
      <c r="E8449" t="str">
        <f t="shared" si="284"/>
        <v>X</v>
      </c>
      <c r="F8449" t="str">
        <f t="shared" si="283"/>
        <v>23X</v>
      </c>
    </row>
    <row r="8450" spans="1:6" x14ac:dyDescent="0.2">
      <c r="A8450">
        <v>24</v>
      </c>
      <c r="E8450" t="str">
        <f t="shared" si="284"/>
        <v>Y</v>
      </c>
      <c r="F8450" t="str">
        <f t="shared" si="283"/>
        <v>24Y</v>
      </c>
    </row>
    <row r="8451" spans="1:6" x14ac:dyDescent="0.2">
      <c r="A8451">
        <v>25</v>
      </c>
      <c r="E8451" t="str">
        <f t="shared" si="284"/>
        <v>Z</v>
      </c>
      <c r="F8451" t="str">
        <f t="shared" si="283"/>
        <v>25Z</v>
      </c>
    </row>
    <row r="8452" spans="1:6" x14ac:dyDescent="0.2">
      <c r="A8452">
        <v>0</v>
      </c>
      <c r="E8452" t="str">
        <f t="shared" si="284"/>
        <v>A</v>
      </c>
      <c r="F8452" t="str">
        <f t="shared" si="283"/>
        <v>0A</v>
      </c>
    </row>
    <row r="8453" spans="1:6" x14ac:dyDescent="0.2">
      <c r="A8453">
        <v>1</v>
      </c>
      <c r="E8453" t="str">
        <f t="shared" si="284"/>
        <v>B</v>
      </c>
      <c r="F8453" t="str">
        <f t="shared" si="283"/>
        <v>1B</v>
      </c>
    </row>
    <row r="8454" spans="1:6" x14ac:dyDescent="0.2">
      <c r="A8454">
        <v>2</v>
      </c>
      <c r="E8454" t="str">
        <f t="shared" si="284"/>
        <v>C</v>
      </c>
      <c r="F8454" t="str">
        <f t="shared" si="283"/>
        <v>2C</v>
      </c>
    </row>
    <row r="8455" spans="1:6" x14ac:dyDescent="0.2">
      <c r="A8455">
        <v>3</v>
      </c>
      <c r="E8455" t="str">
        <f t="shared" si="284"/>
        <v>D</v>
      </c>
      <c r="F8455" t="str">
        <f t="shared" si="283"/>
        <v>3D</v>
      </c>
    </row>
    <row r="8456" spans="1:6" x14ac:dyDescent="0.2">
      <c r="A8456">
        <v>4</v>
      </c>
      <c r="E8456" t="str">
        <f t="shared" si="284"/>
        <v>E</v>
      </c>
      <c r="F8456" t="str">
        <f t="shared" si="283"/>
        <v>4E</v>
      </c>
    </row>
    <row r="8457" spans="1:6" x14ac:dyDescent="0.2">
      <c r="A8457">
        <v>5</v>
      </c>
      <c r="E8457" t="str">
        <f t="shared" si="284"/>
        <v>F</v>
      </c>
      <c r="F8457" t="str">
        <f t="shared" si="283"/>
        <v>5F</v>
      </c>
    </row>
    <row r="8458" spans="1:6" x14ac:dyDescent="0.2">
      <c r="A8458">
        <v>6</v>
      </c>
      <c r="E8458" t="str">
        <f t="shared" si="284"/>
        <v>G</v>
      </c>
      <c r="F8458" t="str">
        <f t="shared" si="283"/>
        <v>6G</v>
      </c>
    </row>
    <row r="8459" spans="1:6" x14ac:dyDescent="0.2">
      <c r="A8459">
        <v>7</v>
      </c>
      <c r="E8459" t="str">
        <f t="shared" si="284"/>
        <v>H</v>
      </c>
      <c r="F8459" t="str">
        <f t="shared" si="283"/>
        <v>7H</v>
      </c>
    </row>
    <row r="8460" spans="1:6" x14ac:dyDescent="0.2">
      <c r="A8460">
        <v>8</v>
      </c>
      <c r="E8460" t="str">
        <f t="shared" si="284"/>
        <v>I</v>
      </c>
      <c r="F8460" t="str">
        <f t="shared" si="283"/>
        <v>8I</v>
      </c>
    </row>
    <row r="8461" spans="1:6" x14ac:dyDescent="0.2">
      <c r="A8461">
        <v>9</v>
      </c>
      <c r="E8461" t="str">
        <f t="shared" si="284"/>
        <v>J</v>
      </c>
      <c r="F8461" t="str">
        <f t="shared" si="283"/>
        <v>9J</v>
      </c>
    </row>
    <row r="8462" spans="1:6" x14ac:dyDescent="0.2">
      <c r="A8462">
        <v>10</v>
      </c>
      <c r="E8462" t="str">
        <f t="shared" si="284"/>
        <v>K</v>
      </c>
      <c r="F8462" t="str">
        <f t="shared" si="283"/>
        <v>10K</v>
      </c>
    </row>
    <row r="8463" spans="1:6" x14ac:dyDescent="0.2">
      <c r="A8463">
        <v>11</v>
      </c>
      <c r="E8463" t="str">
        <f t="shared" si="284"/>
        <v>L</v>
      </c>
      <c r="F8463" t="str">
        <f t="shared" si="283"/>
        <v>11L</v>
      </c>
    </row>
    <row r="8464" spans="1:6" x14ac:dyDescent="0.2">
      <c r="A8464">
        <v>12</v>
      </c>
      <c r="E8464" t="str">
        <f t="shared" si="284"/>
        <v>M</v>
      </c>
      <c r="F8464" t="str">
        <f t="shared" si="283"/>
        <v>12M</v>
      </c>
    </row>
    <row r="8465" spans="1:6" x14ac:dyDescent="0.2">
      <c r="A8465">
        <v>13</v>
      </c>
      <c r="E8465" t="str">
        <f t="shared" si="284"/>
        <v>N</v>
      </c>
      <c r="F8465" t="str">
        <f t="shared" si="283"/>
        <v>13N</v>
      </c>
    </row>
    <row r="8466" spans="1:6" x14ac:dyDescent="0.2">
      <c r="A8466">
        <v>14</v>
      </c>
      <c r="E8466" t="str">
        <f t="shared" si="284"/>
        <v>O</v>
      </c>
      <c r="F8466" t="str">
        <f t="shared" si="283"/>
        <v>14O</v>
      </c>
    </row>
    <row r="8467" spans="1:6" x14ac:dyDescent="0.2">
      <c r="A8467">
        <v>15</v>
      </c>
      <c r="E8467" t="str">
        <f t="shared" si="284"/>
        <v>P</v>
      </c>
      <c r="F8467" t="str">
        <f t="shared" si="283"/>
        <v>15P</v>
      </c>
    </row>
    <row r="8468" spans="1:6" x14ac:dyDescent="0.2">
      <c r="A8468">
        <v>16</v>
      </c>
      <c r="E8468" t="str">
        <f t="shared" si="284"/>
        <v>Q</v>
      </c>
      <c r="F8468" t="str">
        <f t="shared" si="283"/>
        <v>16Q</v>
      </c>
    </row>
    <row r="8469" spans="1:6" x14ac:dyDescent="0.2">
      <c r="A8469">
        <v>17</v>
      </c>
      <c r="E8469" t="str">
        <f t="shared" si="284"/>
        <v>R</v>
      </c>
      <c r="F8469" t="str">
        <f t="shared" si="283"/>
        <v>17R</v>
      </c>
    </row>
    <row r="8470" spans="1:6" x14ac:dyDescent="0.2">
      <c r="A8470">
        <v>18</v>
      </c>
      <c r="E8470" t="str">
        <f t="shared" si="284"/>
        <v>S</v>
      </c>
      <c r="F8470" t="str">
        <f t="shared" ref="F8470:F8533" si="285">A8470&amp;C8470&amp;E8470</f>
        <v>18S</v>
      </c>
    </row>
    <row r="8471" spans="1:6" x14ac:dyDescent="0.2">
      <c r="A8471">
        <v>19</v>
      </c>
      <c r="E8471" t="str">
        <f t="shared" si="284"/>
        <v>T</v>
      </c>
      <c r="F8471" t="str">
        <f t="shared" si="285"/>
        <v>19T</v>
      </c>
    </row>
    <row r="8472" spans="1:6" x14ac:dyDescent="0.2">
      <c r="A8472">
        <v>20</v>
      </c>
      <c r="E8472" t="str">
        <f t="shared" si="284"/>
        <v>U</v>
      </c>
      <c r="F8472" t="str">
        <f t="shared" si="285"/>
        <v>20U</v>
      </c>
    </row>
    <row r="8473" spans="1:6" x14ac:dyDescent="0.2">
      <c r="A8473">
        <v>21</v>
      </c>
      <c r="E8473" t="str">
        <f t="shared" si="284"/>
        <v>V</v>
      </c>
      <c r="F8473" t="str">
        <f t="shared" si="285"/>
        <v>21V</v>
      </c>
    </row>
    <row r="8474" spans="1:6" x14ac:dyDescent="0.2">
      <c r="A8474">
        <v>22</v>
      </c>
      <c r="E8474" t="str">
        <f t="shared" si="284"/>
        <v>W</v>
      </c>
      <c r="F8474" t="str">
        <f t="shared" si="285"/>
        <v>22W</v>
      </c>
    </row>
    <row r="8475" spans="1:6" x14ac:dyDescent="0.2">
      <c r="A8475">
        <v>23</v>
      </c>
      <c r="E8475" t="str">
        <f t="shared" si="284"/>
        <v>X</v>
      </c>
      <c r="F8475" t="str">
        <f t="shared" si="285"/>
        <v>23X</v>
      </c>
    </row>
    <row r="8476" spans="1:6" x14ac:dyDescent="0.2">
      <c r="A8476">
        <v>24</v>
      </c>
      <c r="E8476" t="str">
        <f t="shared" si="284"/>
        <v>Y</v>
      </c>
      <c r="F8476" t="str">
        <f t="shared" si="285"/>
        <v>24Y</v>
      </c>
    </row>
    <row r="8477" spans="1:6" x14ac:dyDescent="0.2">
      <c r="A8477">
        <v>25</v>
      </c>
      <c r="E8477" t="str">
        <f t="shared" si="284"/>
        <v>Z</v>
      </c>
      <c r="F8477" t="str">
        <f t="shared" si="285"/>
        <v>25Z</v>
      </c>
    </row>
    <row r="8478" spans="1:6" x14ac:dyDescent="0.2">
      <c r="A8478">
        <v>0</v>
      </c>
      <c r="E8478" t="str">
        <f t="shared" si="284"/>
        <v>A</v>
      </c>
      <c r="F8478" t="str">
        <f t="shared" si="285"/>
        <v>0A</v>
      </c>
    </row>
    <row r="8479" spans="1:6" x14ac:dyDescent="0.2">
      <c r="A8479">
        <v>1</v>
      </c>
      <c r="E8479" t="str">
        <f t="shared" si="284"/>
        <v>B</v>
      </c>
      <c r="F8479" t="str">
        <f t="shared" si="285"/>
        <v>1B</v>
      </c>
    </row>
    <row r="8480" spans="1:6" x14ac:dyDescent="0.2">
      <c r="A8480">
        <v>2</v>
      </c>
      <c r="E8480" t="str">
        <f t="shared" si="284"/>
        <v>C</v>
      </c>
      <c r="F8480" t="str">
        <f t="shared" si="285"/>
        <v>2C</v>
      </c>
    </row>
    <row r="8481" spans="1:6" x14ac:dyDescent="0.2">
      <c r="A8481">
        <v>3</v>
      </c>
      <c r="E8481" t="str">
        <f t="shared" si="284"/>
        <v>D</v>
      </c>
      <c r="F8481" t="str">
        <f t="shared" si="285"/>
        <v>3D</v>
      </c>
    </row>
    <row r="8482" spans="1:6" x14ac:dyDescent="0.2">
      <c r="A8482">
        <v>4</v>
      </c>
      <c r="E8482" t="str">
        <f t="shared" si="284"/>
        <v>E</v>
      </c>
      <c r="F8482" t="str">
        <f t="shared" si="285"/>
        <v>4E</v>
      </c>
    </row>
    <row r="8483" spans="1:6" x14ac:dyDescent="0.2">
      <c r="A8483">
        <v>5</v>
      </c>
      <c r="E8483" t="str">
        <f t="shared" si="284"/>
        <v>F</v>
      </c>
      <c r="F8483" t="str">
        <f t="shared" si="285"/>
        <v>5F</v>
      </c>
    </row>
    <row r="8484" spans="1:6" x14ac:dyDescent="0.2">
      <c r="A8484">
        <v>6</v>
      </c>
      <c r="E8484" t="str">
        <f t="shared" si="284"/>
        <v>G</v>
      </c>
      <c r="F8484" t="str">
        <f t="shared" si="285"/>
        <v>6G</v>
      </c>
    </row>
    <row r="8485" spans="1:6" x14ac:dyDescent="0.2">
      <c r="A8485">
        <v>7</v>
      </c>
      <c r="E8485" t="str">
        <f t="shared" si="284"/>
        <v>H</v>
      </c>
      <c r="F8485" t="str">
        <f t="shared" si="285"/>
        <v>7H</v>
      </c>
    </row>
    <row r="8486" spans="1:6" x14ac:dyDescent="0.2">
      <c r="A8486">
        <v>8</v>
      </c>
      <c r="E8486" t="str">
        <f t="shared" si="284"/>
        <v>I</v>
      </c>
      <c r="F8486" t="str">
        <f t="shared" si="285"/>
        <v>8I</v>
      </c>
    </row>
    <row r="8487" spans="1:6" x14ac:dyDescent="0.2">
      <c r="A8487">
        <v>9</v>
      </c>
      <c r="E8487" t="str">
        <f t="shared" si="284"/>
        <v>J</v>
      </c>
      <c r="F8487" t="str">
        <f t="shared" si="285"/>
        <v>9J</v>
      </c>
    </row>
    <row r="8488" spans="1:6" x14ac:dyDescent="0.2">
      <c r="A8488">
        <v>10</v>
      </c>
      <c r="E8488" t="str">
        <f t="shared" si="284"/>
        <v>K</v>
      </c>
      <c r="F8488" t="str">
        <f t="shared" si="285"/>
        <v>10K</v>
      </c>
    </row>
    <row r="8489" spans="1:6" x14ac:dyDescent="0.2">
      <c r="A8489">
        <v>11</v>
      </c>
      <c r="E8489" t="str">
        <f t="shared" si="284"/>
        <v>L</v>
      </c>
      <c r="F8489" t="str">
        <f t="shared" si="285"/>
        <v>11L</v>
      </c>
    </row>
    <row r="8490" spans="1:6" x14ac:dyDescent="0.2">
      <c r="A8490">
        <v>12</v>
      </c>
      <c r="E8490" t="str">
        <f t="shared" si="284"/>
        <v>M</v>
      </c>
      <c r="F8490" t="str">
        <f t="shared" si="285"/>
        <v>12M</v>
      </c>
    </row>
    <row r="8491" spans="1:6" x14ac:dyDescent="0.2">
      <c r="A8491">
        <v>13</v>
      </c>
      <c r="E8491" t="str">
        <f t="shared" si="284"/>
        <v>N</v>
      </c>
      <c r="F8491" t="str">
        <f t="shared" si="285"/>
        <v>13N</v>
      </c>
    </row>
    <row r="8492" spans="1:6" x14ac:dyDescent="0.2">
      <c r="A8492">
        <v>14</v>
      </c>
      <c r="E8492" t="str">
        <f t="shared" si="284"/>
        <v>O</v>
      </c>
      <c r="F8492" t="str">
        <f t="shared" si="285"/>
        <v>14O</v>
      </c>
    </row>
    <row r="8493" spans="1:6" x14ac:dyDescent="0.2">
      <c r="A8493">
        <v>15</v>
      </c>
      <c r="E8493" t="str">
        <f t="shared" si="284"/>
        <v>P</v>
      </c>
      <c r="F8493" t="str">
        <f t="shared" si="285"/>
        <v>15P</v>
      </c>
    </row>
    <row r="8494" spans="1:6" x14ac:dyDescent="0.2">
      <c r="A8494">
        <v>16</v>
      </c>
      <c r="E8494" t="str">
        <f t="shared" si="284"/>
        <v>Q</v>
      </c>
      <c r="F8494" t="str">
        <f t="shared" si="285"/>
        <v>16Q</v>
      </c>
    </row>
    <row r="8495" spans="1:6" x14ac:dyDescent="0.2">
      <c r="A8495">
        <v>17</v>
      </c>
      <c r="E8495" t="str">
        <f t="shared" si="284"/>
        <v>R</v>
      </c>
      <c r="F8495" t="str">
        <f t="shared" si="285"/>
        <v>17R</v>
      </c>
    </row>
    <row r="8496" spans="1:6" x14ac:dyDescent="0.2">
      <c r="A8496">
        <v>18</v>
      </c>
      <c r="E8496" t="str">
        <f t="shared" ref="E8496:E8559" si="286">E8470</f>
        <v>S</v>
      </c>
      <c r="F8496" t="str">
        <f t="shared" si="285"/>
        <v>18S</v>
      </c>
    </row>
    <row r="8497" spans="1:6" x14ac:dyDescent="0.2">
      <c r="A8497">
        <v>19</v>
      </c>
      <c r="E8497" t="str">
        <f t="shared" si="286"/>
        <v>T</v>
      </c>
      <c r="F8497" t="str">
        <f t="shared" si="285"/>
        <v>19T</v>
      </c>
    </row>
    <row r="8498" spans="1:6" x14ac:dyDescent="0.2">
      <c r="A8498">
        <v>20</v>
      </c>
      <c r="E8498" t="str">
        <f t="shared" si="286"/>
        <v>U</v>
      </c>
      <c r="F8498" t="str">
        <f t="shared" si="285"/>
        <v>20U</v>
      </c>
    </row>
    <row r="8499" spans="1:6" x14ac:dyDescent="0.2">
      <c r="A8499">
        <v>21</v>
      </c>
      <c r="E8499" t="str">
        <f t="shared" si="286"/>
        <v>V</v>
      </c>
      <c r="F8499" t="str">
        <f t="shared" si="285"/>
        <v>21V</v>
      </c>
    </row>
    <row r="8500" spans="1:6" x14ac:dyDescent="0.2">
      <c r="A8500">
        <v>22</v>
      </c>
      <c r="E8500" t="str">
        <f t="shared" si="286"/>
        <v>W</v>
      </c>
      <c r="F8500" t="str">
        <f t="shared" si="285"/>
        <v>22W</v>
      </c>
    </row>
    <row r="8501" spans="1:6" x14ac:dyDescent="0.2">
      <c r="A8501">
        <v>23</v>
      </c>
      <c r="E8501" t="str">
        <f t="shared" si="286"/>
        <v>X</v>
      </c>
      <c r="F8501" t="str">
        <f t="shared" si="285"/>
        <v>23X</v>
      </c>
    </row>
    <row r="8502" spans="1:6" x14ac:dyDescent="0.2">
      <c r="A8502">
        <v>24</v>
      </c>
      <c r="E8502" t="str">
        <f t="shared" si="286"/>
        <v>Y</v>
      </c>
      <c r="F8502" t="str">
        <f t="shared" si="285"/>
        <v>24Y</v>
      </c>
    </row>
    <row r="8503" spans="1:6" x14ac:dyDescent="0.2">
      <c r="A8503">
        <v>25</v>
      </c>
      <c r="E8503" t="str">
        <f t="shared" si="286"/>
        <v>Z</v>
      </c>
      <c r="F8503" t="str">
        <f t="shared" si="285"/>
        <v>25Z</v>
      </c>
    </row>
    <row r="8504" spans="1:6" x14ac:dyDescent="0.2">
      <c r="A8504">
        <v>0</v>
      </c>
      <c r="E8504" t="str">
        <f t="shared" si="286"/>
        <v>A</v>
      </c>
      <c r="F8504" t="str">
        <f t="shared" si="285"/>
        <v>0A</v>
      </c>
    </row>
    <row r="8505" spans="1:6" x14ac:dyDescent="0.2">
      <c r="A8505">
        <v>1</v>
      </c>
      <c r="E8505" t="str">
        <f t="shared" si="286"/>
        <v>B</v>
      </c>
      <c r="F8505" t="str">
        <f t="shared" si="285"/>
        <v>1B</v>
      </c>
    </row>
    <row r="8506" spans="1:6" x14ac:dyDescent="0.2">
      <c r="A8506">
        <v>2</v>
      </c>
      <c r="E8506" t="str">
        <f t="shared" si="286"/>
        <v>C</v>
      </c>
      <c r="F8506" t="str">
        <f t="shared" si="285"/>
        <v>2C</v>
      </c>
    </row>
    <row r="8507" spans="1:6" x14ac:dyDescent="0.2">
      <c r="A8507">
        <v>3</v>
      </c>
      <c r="E8507" t="str">
        <f t="shared" si="286"/>
        <v>D</v>
      </c>
      <c r="F8507" t="str">
        <f t="shared" si="285"/>
        <v>3D</v>
      </c>
    </row>
    <row r="8508" spans="1:6" x14ac:dyDescent="0.2">
      <c r="A8508">
        <v>4</v>
      </c>
      <c r="E8508" t="str">
        <f t="shared" si="286"/>
        <v>E</v>
      </c>
      <c r="F8508" t="str">
        <f t="shared" si="285"/>
        <v>4E</v>
      </c>
    </row>
    <row r="8509" spans="1:6" x14ac:dyDescent="0.2">
      <c r="A8509">
        <v>5</v>
      </c>
      <c r="E8509" t="str">
        <f t="shared" si="286"/>
        <v>F</v>
      </c>
      <c r="F8509" t="str">
        <f t="shared" si="285"/>
        <v>5F</v>
      </c>
    </row>
    <row r="8510" spans="1:6" x14ac:dyDescent="0.2">
      <c r="A8510">
        <v>6</v>
      </c>
      <c r="E8510" t="str">
        <f t="shared" si="286"/>
        <v>G</v>
      </c>
      <c r="F8510" t="str">
        <f t="shared" si="285"/>
        <v>6G</v>
      </c>
    </row>
    <row r="8511" spans="1:6" x14ac:dyDescent="0.2">
      <c r="A8511">
        <v>7</v>
      </c>
      <c r="E8511" t="str">
        <f t="shared" si="286"/>
        <v>H</v>
      </c>
      <c r="F8511" t="str">
        <f t="shared" si="285"/>
        <v>7H</v>
      </c>
    </row>
    <row r="8512" spans="1:6" x14ac:dyDescent="0.2">
      <c r="A8512">
        <v>8</v>
      </c>
      <c r="E8512" t="str">
        <f t="shared" si="286"/>
        <v>I</v>
      </c>
      <c r="F8512" t="str">
        <f t="shared" si="285"/>
        <v>8I</v>
      </c>
    </row>
    <row r="8513" spans="1:6" x14ac:dyDescent="0.2">
      <c r="A8513">
        <v>9</v>
      </c>
      <c r="E8513" t="str">
        <f t="shared" si="286"/>
        <v>J</v>
      </c>
      <c r="F8513" t="str">
        <f t="shared" si="285"/>
        <v>9J</v>
      </c>
    </row>
    <row r="8514" spans="1:6" x14ac:dyDescent="0.2">
      <c r="A8514">
        <v>10</v>
      </c>
      <c r="E8514" t="str">
        <f t="shared" si="286"/>
        <v>K</v>
      </c>
      <c r="F8514" t="str">
        <f t="shared" si="285"/>
        <v>10K</v>
      </c>
    </row>
    <row r="8515" spans="1:6" x14ac:dyDescent="0.2">
      <c r="A8515">
        <v>11</v>
      </c>
      <c r="E8515" t="str">
        <f t="shared" si="286"/>
        <v>L</v>
      </c>
      <c r="F8515" t="str">
        <f t="shared" si="285"/>
        <v>11L</v>
      </c>
    </row>
    <row r="8516" spans="1:6" x14ac:dyDescent="0.2">
      <c r="A8516">
        <v>12</v>
      </c>
      <c r="E8516" t="str">
        <f t="shared" si="286"/>
        <v>M</v>
      </c>
      <c r="F8516" t="str">
        <f t="shared" si="285"/>
        <v>12M</v>
      </c>
    </row>
    <row r="8517" spans="1:6" x14ac:dyDescent="0.2">
      <c r="A8517">
        <v>13</v>
      </c>
      <c r="E8517" t="str">
        <f t="shared" si="286"/>
        <v>N</v>
      </c>
      <c r="F8517" t="str">
        <f t="shared" si="285"/>
        <v>13N</v>
      </c>
    </row>
    <row r="8518" spans="1:6" x14ac:dyDescent="0.2">
      <c r="A8518">
        <v>14</v>
      </c>
      <c r="E8518" t="str">
        <f t="shared" si="286"/>
        <v>O</v>
      </c>
      <c r="F8518" t="str">
        <f t="shared" si="285"/>
        <v>14O</v>
      </c>
    </row>
    <row r="8519" spans="1:6" x14ac:dyDescent="0.2">
      <c r="A8519">
        <v>15</v>
      </c>
      <c r="E8519" t="str">
        <f t="shared" si="286"/>
        <v>P</v>
      </c>
      <c r="F8519" t="str">
        <f t="shared" si="285"/>
        <v>15P</v>
      </c>
    </row>
    <row r="8520" spans="1:6" x14ac:dyDescent="0.2">
      <c r="A8520">
        <v>16</v>
      </c>
      <c r="E8520" t="str">
        <f t="shared" si="286"/>
        <v>Q</v>
      </c>
      <c r="F8520" t="str">
        <f t="shared" si="285"/>
        <v>16Q</v>
      </c>
    </row>
    <row r="8521" spans="1:6" x14ac:dyDescent="0.2">
      <c r="A8521">
        <v>17</v>
      </c>
      <c r="E8521" t="str">
        <f t="shared" si="286"/>
        <v>R</v>
      </c>
      <c r="F8521" t="str">
        <f t="shared" si="285"/>
        <v>17R</v>
      </c>
    </row>
    <row r="8522" spans="1:6" x14ac:dyDescent="0.2">
      <c r="A8522">
        <v>18</v>
      </c>
      <c r="E8522" t="str">
        <f t="shared" si="286"/>
        <v>S</v>
      </c>
      <c r="F8522" t="str">
        <f t="shared" si="285"/>
        <v>18S</v>
      </c>
    </row>
    <row r="8523" spans="1:6" x14ac:dyDescent="0.2">
      <c r="A8523">
        <v>19</v>
      </c>
      <c r="E8523" t="str">
        <f t="shared" si="286"/>
        <v>T</v>
      </c>
      <c r="F8523" t="str">
        <f t="shared" si="285"/>
        <v>19T</v>
      </c>
    </row>
    <row r="8524" spans="1:6" x14ac:dyDescent="0.2">
      <c r="A8524">
        <v>20</v>
      </c>
      <c r="E8524" t="str">
        <f t="shared" si="286"/>
        <v>U</v>
      </c>
      <c r="F8524" t="str">
        <f t="shared" si="285"/>
        <v>20U</v>
      </c>
    </row>
    <row r="8525" spans="1:6" x14ac:dyDescent="0.2">
      <c r="A8525">
        <v>21</v>
      </c>
      <c r="E8525" t="str">
        <f t="shared" si="286"/>
        <v>V</v>
      </c>
      <c r="F8525" t="str">
        <f t="shared" si="285"/>
        <v>21V</v>
      </c>
    </row>
    <row r="8526" spans="1:6" x14ac:dyDescent="0.2">
      <c r="A8526">
        <v>22</v>
      </c>
      <c r="E8526" t="str">
        <f t="shared" si="286"/>
        <v>W</v>
      </c>
      <c r="F8526" t="str">
        <f t="shared" si="285"/>
        <v>22W</v>
      </c>
    </row>
    <row r="8527" spans="1:6" x14ac:dyDescent="0.2">
      <c r="A8527">
        <v>23</v>
      </c>
      <c r="E8527" t="str">
        <f t="shared" si="286"/>
        <v>X</v>
      </c>
      <c r="F8527" t="str">
        <f t="shared" si="285"/>
        <v>23X</v>
      </c>
    </row>
    <row r="8528" spans="1:6" x14ac:dyDescent="0.2">
      <c r="A8528">
        <v>24</v>
      </c>
      <c r="E8528" t="str">
        <f t="shared" si="286"/>
        <v>Y</v>
      </c>
      <c r="F8528" t="str">
        <f t="shared" si="285"/>
        <v>24Y</v>
      </c>
    </row>
    <row r="8529" spans="1:6" x14ac:dyDescent="0.2">
      <c r="A8529">
        <v>25</v>
      </c>
      <c r="E8529" t="str">
        <f t="shared" si="286"/>
        <v>Z</v>
      </c>
      <c r="F8529" t="str">
        <f t="shared" si="285"/>
        <v>25Z</v>
      </c>
    </row>
    <row r="8530" spans="1:6" x14ac:dyDescent="0.2">
      <c r="A8530">
        <v>0</v>
      </c>
      <c r="E8530" t="str">
        <f t="shared" si="286"/>
        <v>A</v>
      </c>
      <c r="F8530" t="str">
        <f t="shared" si="285"/>
        <v>0A</v>
      </c>
    </row>
    <row r="8531" spans="1:6" x14ac:dyDescent="0.2">
      <c r="A8531">
        <v>1</v>
      </c>
      <c r="E8531" t="str">
        <f t="shared" si="286"/>
        <v>B</v>
      </c>
      <c r="F8531" t="str">
        <f t="shared" si="285"/>
        <v>1B</v>
      </c>
    </row>
    <row r="8532" spans="1:6" x14ac:dyDescent="0.2">
      <c r="A8532">
        <v>2</v>
      </c>
      <c r="E8532" t="str">
        <f t="shared" si="286"/>
        <v>C</v>
      </c>
      <c r="F8532" t="str">
        <f t="shared" si="285"/>
        <v>2C</v>
      </c>
    </row>
    <row r="8533" spans="1:6" x14ac:dyDescent="0.2">
      <c r="A8533">
        <v>3</v>
      </c>
      <c r="E8533" t="str">
        <f t="shared" si="286"/>
        <v>D</v>
      </c>
      <c r="F8533" t="str">
        <f t="shared" si="285"/>
        <v>3D</v>
      </c>
    </row>
    <row r="8534" spans="1:6" x14ac:dyDescent="0.2">
      <c r="A8534">
        <v>4</v>
      </c>
      <c r="E8534" t="str">
        <f t="shared" si="286"/>
        <v>E</v>
      </c>
      <c r="F8534" t="str">
        <f t="shared" ref="F8534:F8597" si="287">A8534&amp;C8534&amp;E8534</f>
        <v>4E</v>
      </c>
    </row>
    <row r="8535" spans="1:6" x14ac:dyDescent="0.2">
      <c r="A8535">
        <v>5</v>
      </c>
      <c r="E8535" t="str">
        <f t="shared" si="286"/>
        <v>F</v>
      </c>
      <c r="F8535" t="str">
        <f t="shared" si="287"/>
        <v>5F</v>
      </c>
    </row>
    <row r="8536" spans="1:6" x14ac:dyDescent="0.2">
      <c r="A8536">
        <v>6</v>
      </c>
      <c r="E8536" t="str">
        <f t="shared" si="286"/>
        <v>G</v>
      </c>
      <c r="F8536" t="str">
        <f t="shared" si="287"/>
        <v>6G</v>
      </c>
    </row>
    <row r="8537" spans="1:6" x14ac:dyDescent="0.2">
      <c r="A8537">
        <v>7</v>
      </c>
      <c r="E8537" t="str">
        <f t="shared" si="286"/>
        <v>H</v>
      </c>
      <c r="F8537" t="str">
        <f t="shared" si="287"/>
        <v>7H</v>
      </c>
    </row>
    <row r="8538" spans="1:6" x14ac:dyDescent="0.2">
      <c r="A8538">
        <v>8</v>
      </c>
      <c r="E8538" t="str">
        <f t="shared" si="286"/>
        <v>I</v>
      </c>
      <c r="F8538" t="str">
        <f t="shared" si="287"/>
        <v>8I</v>
      </c>
    </row>
    <row r="8539" spans="1:6" x14ac:dyDescent="0.2">
      <c r="A8539">
        <v>9</v>
      </c>
      <c r="E8539" t="str">
        <f t="shared" si="286"/>
        <v>J</v>
      </c>
      <c r="F8539" t="str">
        <f t="shared" si="287"/>
        <v>9J</v>
      </c>
    </row>
    <row r="8540" spans="1:6" x14ac:dyDescent="0.2">
      <c r="A8540">
        <v>10</v>
      </c>
      <c r="E8540" t="str">
        <f t="shared" si="286"/>
        <v>K</v>
      </c>
      <c r="F8540" t="str">
        <f t="shared" si="287"/>
        <v>10K</v>
      </c>
    </row>
    <row r="8541" spans="1:6" x14ac:dyDescent="0.2">
      <c r="A8541">
        <v>11</v>
      </c>
      <c r="E8541" t="str">
        <f t="shared" si="286"/>
        <v>L</v>
      </c>
      <c r="F8541" t="str">
        <f t="shared" si="287"/>
        <v>11L</v>
      </c>
    </row>
    <row r="8542" spans="1:6" x14ac:dyDescent="0.2">
      <c r="A8542">
        <v>12</v>
      </c>
      <c r="E8542" t="str">
        <f t="shared" si="286"/>
        <v>M</v>
      </c>
      <c r="F8542" t="str">
        <f t="shared" si="287"/>
        <v>12M</v>
      </c>
    </row>
    <row r="8543" spans="1:6" x14ac:dyDescent="0.2">
      <c r="A8543">
        <v>13</v>
      </c>
      <c r="E8543" t="str">
        <f t="shared" si="286"/>
        <v>N</v>
      </c>
      <c r="F8543" t="str">
        <f t="shared" si="287"/>
        <v>13N</v>
      </c>
    </row>
    <row r="8544" spans="1:6" x14ac:dyDescent="0.2">
      <c r="A8544">
        <v>14</v>
      </c>
      <c r="E8544" t="str">
        <f t="shared" si="286"/>
        <v>O</v>
      </c>
      <c r="F8544" t="str">
        <f t="shared" si="287"/>
        <v>14O</v>
      </c>
    </row>
    <row r="8545" spans="1:6" x14ac:dyDescent="0.2">
      <c r="A8545">
        <v>15</v>
      </c>
      <c r="E8545" t="str">
        <f t="shared" si="286"/>
        <v>P</v>
      </c>
      <c r="F8545" t="str">
        <f t="shared" si="287"/>
        <v>15P</v>
      </c>
    </row>
    <row r="8546" spans="1:6" x14ac:dyDescent="0.2">
      <c r="A8546">
        <v>16</v>
      </c>
      <c r="E8546" t="str">
        <f t="shared" si="286"/>
        <v>Q</v>
      </c>
      <c r="F8546" t="str">
        <f t="shared" si="287"/>
        <v>16Q</v>
      </c>
    </row>
    <row r="8547" spans="1:6" x14ac:dyDescent="0.2">
      <c r="A8547">
        <v>17</v>
      </c>
      <c r="E8547" t="str">
        <f t="shared" si="286"/>
        <v>R</v>
      </c>
      <c r="F8547" t="str">
        <f t="shared" si="287"/>
        <v>17R</v>
      </c>
    </row>
    <row r="8548" spans="1:6" x14ac:dyDescent="0.2">
      <c r="A8548">
        <v>18</v>
      </c>
      <c r="E8548" t="str">
        <f t="shared" si="286"/>
        <v>S</v>
      </c>
      <c r="F8548" t="str">
        <f t="shared" si="287"/>
        <v>18S</v>
      </c>
    </row>
    <row r="8549" spans="1:6" x14ac:dyDescent="0.2">
      <c r="A8549">
        <v>19</v>
      </c>
      <c r="E8549" t="str">
        <f t="shared" si="286"/>
        <v>T</v>
      </c>
      <c r="F8549" t="str">
        <f t="shared" si="287"/>
        <v>19T</v>
      </c>
    </row>
    <row r="8550" spans="1:6" x14ac:dyDescent="0.2">
      <c r="A8550">
        <v>20</v>
      </c>
      <c r="E8550" t="str">
        <f t="shared" si="286"/>
        <v>U</v>
      </c>
      <c r="F8550" t="str">
        <f t="shared" si="287"/>
        <v>20U</v>
      </c>
    </row>
    <row r="8551" spans="1:6" x14ac:dyDescent="0.2">
      <c r="A8551">
        <v>21</v>
      </c>
      <c r="E8551" t="str">
        <f t="shared" si="286"/>
        <v>V</v>
      </c>
      <c r="F8551" t="str">
        <f t="shared" si="287"/>
        <v>21V</v>
      </c>
    </row>
    <row r="8552" spans="1:6" x14ac:dyDescent="0.2">
      <c r="A8552">
        <v>22</v>
      </c>
      <c r="E8552" t="str">
        <f t="shared" si="286"/>
        <v>W</v>
      </c>
      <c r="F8552" t="str">
        <f t="shared" si="287"/>
        <v>22W</v>
      </c>
    </row>
    <row r="8553" spans="1:6" x14ac:dyDescent="0.2">
      <c r="A8553">
        <v>23</v>
      </c>
      <c r="E8553" t="str">
        <f t="shared" si="286"/>
        <v>X</v>
      </c>
      <c r="F8553" t="str">
        <f t="shared" si="287"/>
        <v>23X</v>
      </c>
    </row>
    <row r="8554" spans="1:6" x14ac:dyDescent="0.2">
      <c r="A8554">
        <v>24</v>
      </c>
      <c r="E8554" t="str">
        <f t="shared" si="286"/>
        <v>Y</v>
      </c>
      <c r="F8554" t="str">
        <f t="shared" si="287"/>
        <v>24Y</v>
      </c>
    </row>
    <row r="8555" spans="1:6" x14ac:dyDescent="0.2">
      <c r="A8555">
        <v>25</v>
      </c>
      <c r="E8555" t="str">
        <f t="shared" si="286"/>
        <v>Z</v>
      </c>
      <c r="F8555" t="str">
        <f t="shared" si="287"/>
        <v>25Z</v>
      </c>
    </row>
    <row r="8556" spans="1:6" x14ac:dyDescent="0.2">
      <c r="A8556">
        <v>0</v>
      </c>
      <c r="E8556" t="str">
        <f t="shared" si="286"/>
        <v>A</v>
      </c>
      <c r="F8556" t="str">
        <f t="shared" si="287"/>
        <v>0A</v>
      </c>
    </row>
    <row r="8557" spans="1:6" x14ac:dyDescent="0.2">
      <c r="A8557">
        <v>1</v>
      </c>
      <c r="E8557" t="str">
        <f t="shared" si="286"/>
        <v>B</v>
      </c>
      <c r="F8557" t="str">
        <f t="shared" si="287"/>
        <v>1B</v>
      </c>
    </row>
    <row r="8558" spans="1:6" x14ac:dyDescent="0.2">
      <c r="A8558">
        <v>2</v>
      </c>
      <c r="E8558" t="str">
        <f t="shared" si="286"/>
        <v>C</v>
      </c>
      <c r="F8558" t="str">
        <f t="shared" si="287"/>
        <v>2C</v>
      </c>
    </row>
    <row r="8559" spans="1:6" x14ac:dyDescent="0.2">
      <c r="A8559">
        <v>3</v>
      </c>
      <c r="E8559" t="str">
        <f t="shared" si="286"/>
        <v>D</v>
      </c>
      <c r="F8559" t="str">
        <f t="shared" si="287"/>
        <v>3D</v>
      </c>
    </row>
    <row r="8560" spans="1:6" x14ac:dyDescent="0.2">
      <c r="A8560">
        <v>4</v>
      </c>
      <c r="E8560" t="str">
        <f t="shared" ref="E8560:E8623" si="288">E8534</f>
        <v>E</v>
      </c>
      <c r="F8560" t="str">
        <f t="shared" si="287"/>
        <v>4E</v>
      </c>
    </row>
    <row r="8561" spans="1:6" x14ac:dyDescent="0.2">
      <c r="A8561">
        <v>5</v>
      </c>
      <c r="E8561" t="str">
        <f t="shared" si="288"/>
        <v>F</v>
      </c>
      <c r="F8561" t="str">
        <f t="shared" si="287"/>
        <v>5F</v>
      </c>
    </row>
    <row r="8562" spans="1:6" x14ac:dyDescent="0.2">
      <c r="A8562">
        <v>6</v>
      </c>
      <c r="E8562" t="str">
        <f t="shared" si="288"/>
        <v>G</v>
      </c>
      <c r="F8562" t="str">
        <f t="shared" si="287"/>
        <v>6G</v>
      </c>
    </row>
    <row r="8563" spans="1:6" x14ac:dyDescent="0.2">
      <c r="A8563">
        <v>7</v>
      </c>
      <c r="E8563" t="str">
        <f t="shared" si="288"/>
        <v>H</v>
      </c>
      <c r="F8563" t="str">
        <f t="shared" si="287"/>
        <v>7H</v>
      </c>
    </row>
    <row r="8564" spans="1:6" x14ac:dyDescent="0.2">
      <c r="A8564">
        <v>8</v>
      </c>
      <c r="E8564" t="str">
        <f t="shared" si="288"/>
        <v>I</v>
      </c>
      <c r="F8564" t="str">
        <f t="shared" si="287"/>
        <v>8I</v>
      </c>
    </row>
    <row r="8565" spans="1:6" x14ac:dyDescent="0.2">
      <c r="A8565">
        <v>9</v>
      </c>
      <c r="E8565" t="str">
        <f t="shared" si="288"/>
        <v>J</v>
      </c>
      <c r="F8565" t="str">
        <f t="shared" si="287"/>
        <v>9J</v>
      </c>
    </row>
    <row r="8566" spans="1:6" x14ac:dyDescent="0.2">
      <c r="A8566">
        <v>10</v>
      </c>
      <c r="E8566" t="str">
        <f t="shared" si="288"/>
        <v>K</v>
      </c>
      <c r="F8566" t="str">
        <f t="shared" si="287"/>
        <v>10K</v>
      </c>
    </row>
    <row r="8567" spans="1:6" x14ac:dyDescent="0.2">
      <c r="A8567">
        <v>11</v>
      </c>
      <c r="E8567" t="str">
        <f t="shared" si="288"/>
        <v>L</v>
      </c>
      <c r="F8567" t="str">
        <f t="shared" si="287"/>
        <v>11L</v>
      </c>
    </row>
    <row r="8568" spans="1:6" x14ac:dyDescent="0.2">
      <c r="A8568">
        <v>12</v>
      </c>
      <c r="E8568" t="str">
        <f t="shared" si="288"/>
        <v>M</v>
      </c>
      <c r="F8568" t="str">
        <f t="shared" si="287"/>
        <v>12M</v>
      </c>
    </row>
    <row r="8569" spans="1:6" x14ac:dyDescent="0.2">
      <c r="A8569">
        <v>13</v>
      </c>
      <c r="E8569" t="str">
        <f t="shared" si="288"/>
        <v>N</v>
      </c>
      <c r="F8569" t="str">
        <f t="shared" si="287"/>
        <v>13N</v>
      </c>
    </row>
    <row r="8570" spans="1:6" x14ac:dyDescent="0.2">
      <c r="A8570">
        <v>14</v>
      </c>
      <c r="E8570" t="str">
        <f t="shared" si="288"/>
        <v>O</v>
      </c>
      <c r="F8570" t="str">
        <f t="shared" si="287"/>
        <v>14O</v>
      </c>
    </row>
    <row r="8571" spans="1:6" x14ac:dyDescent="0.2">
      <c r="A8571">
        <v>15</v>
      </c>
      <c r="E8571" t="str">
        <f t="shared" si="288"/>
        <v>P</v>
      </c>
      <c r="F8571" t="str">
        <f t="shared" si="287"/>
        <v>15P</v>
      </c>
    </row>
    <row r="8572" spans="1:6" x14ac:dyDescent="0.2">
      <c r="A8572">
        <v>16</v>
      </c>
      <c r="E8572" t="str">
        <f t="shared" si="288"/>
        <v>Q</v>
      </c>
      <c r="F8572" t="str">
        <f t="shared" si="287"/>
        <v>16Q</v>
      </c>
    </row>
    <row r="8573" spans="1:6" x14ac:dyDescent="0.2">
      <c r="A8573">
        <v>17</v>
      </c>
      <c r="E8573" t="str">
        <f t="shared" si="288"/>
        <v>R</v>
      </c>
      <c r="F8573" t="str">
        <f t="shared" si="287"/>
        <v>17R</v>
      </c>
    </row>
    <row r="8574" spans="1:6" x14ac:dyDescent="0.2">
      <c r="A8574">
        <v>18</v>
      </c>
      <c r="E8574" t="str">
        <f t="shared" si="288"/>
        <v>S</v>
      </c>
      <c r="F8574" t="str">
        <f t="shared" si="287"/>
        <v>18S</v>
      </c>
    </row>
    <row r="8575" spans="1:6" x14ac:dyDescent="0.2">
      <c r="A8575">
        <v>19</v>
      </c>
      <c r="E8575" t="str">
        <f t="shared" si="288"/>
        <v>T</v>
      </c>
      <c r="F8575" t="str">
        <f t="shared" si="287"/>
        <v>19T</v>
      </c>
    </row>
    <row r="8576" spans="1:6" x14ac:dyDescent="0.2">
      <c r="A8576">
        <v>20</v>
      </c>
      <c r="E8576" t="str">
        <f t="shared" si="288"/>
        <v>U</v>
      </c>
      <c r="F8576" t="str">
        <f t="shared" si="287"/>
        <v>20U</v>
      </c>
    </row>
    <row r="8577" spans="1:6" x14ac:dyDescent="0.2">
      <c r="A8577">
        <v>21</v>
      </c>
      <c r="E8577" t="str">
        <f t="shared" si="288"/>
        <v>V</v>
      </c>
      <c r="F8577" t="str">
        <f t="shared" si="287"/>
        <v>21V</v>
      </c>
    </row>
    <row r="8578" spans="1:6" x14ac:dyDescent="0.2">
      <c r="A8578">
        <v>22</v>
      </c>
      <c r="E8578" t="str">
        <f t="shared" si="288"/>
        <v>W</v>
      </c>
      <c r="F8578" t="str">
        <f t="shared" si="287"/>
        <v>22W</v>
      </c>
    </row>
    <row r="8579" spans="1:6" x14ac:dyDescent="0.2">
      <c r="A8579">
        <v>23</v>
      </c>
      <c r="E8579" t="str">
        <f t="shared" si="288"/>
        <v>X</v>
      </c>
      <c r="F8579" t="str">
        <f t="shared" si="287"/>
        <v>23X</v>
      </c>
    </row>
    <row r="8580" spans="1:6" x14ac:dyDescent="0.2">
      <c r="A8580">
        <v>24</v>
      </c>
      <c r="E8580" t="str">
        <f t="shared" si="288"/>
        <v>Y</v>
      </c>
      <c r="F8580" t="str">
        <f t="shared" si="287"/>
        <v>24Y</v>
      </c>
    </row>
    <row r="8581" spans="1:6" x14ac:dyDescent="0.2">
      <c r="A8581">
        <v>25</v>
      </c>
      <c r="E8581" t="str">
        <f t="shared" si="288"/>
        <v>Z</v>
      </c>
      <c r="F8581" t="str">
        <f t="shared" si="287"/>
        <v>25Z</v>
      </c>
    </row>
    <row r="8582" spans="1:6" x14ac:dyDescent="0.2">
      <c r="A8582">
        <v>0</v>
      </c>
      <c r="E8582" t="str">
        <f t="shared" si="288"/>
        <v>A</v>
      </c>
      <c r="F8582" t="str">
        <f t="shared" si="287"/>
        <v>0A</v>
      </c>
    </row>
    <row r="8583" spans="1:6" x14ac:dyDescent="0.2">
      <c r="A8583">
        <v>1</v>
      </c>
      <c r="E8583" t="str">
        <f t="shared" si="288"/>
        <v>B</v>
      </c>
      <c r="F8583" t="str">
        <f t="shared" si="287"/>
        <v>1B</v>
      </c>
    </row>
    <row r="8584" spans="1:6" x14ac:dyDescent="0.2">
      <c r="A8584">
        <v>2</v>
      </c>
      <c r="E8584" t="str">
        <f t="shared" si="288"/>
        <v>C</v>
      </c>
      <c r="F8584" t="str">
        <f t="shared" si="287"/>
        <v>2C</v>
      </c>
    </row>
    <row r="8585" spans="1:6" x14ac:dyDescent="0.2">
      <c r="A8585">
        <v>3</v>
      </c>
      <c r="E8585" t="str">
        <f t="shared" si="288"/>
        <v>D</v>
      </c>
      <c r="F8585" t="str">
        <f t="shared" si="287"/>
        <v>3D</v>
      </c>
    </row>
    <row r="8586" spans="1:6" x14ac:dyDescent="0.2">
      <c r="A8586">
        <v>4</v>
      </c>
      <c r="E8586" t="str">
        <f t="shared" si="288"/>
        <v>E</v>
      </c>
      <c r="F8586" t="str">
        <f t="shared" si="287"/>
        <v>4E</v>
      </c>
    </row>
    <row r="8587" spans="1:6" x14ac:dyDescent="0.2">
      <c r="A8587">
        <v>5</v>
      </c>
      <c r="E8587" t="str">
        <f t="shared" si="288"/>
        <v>F</v>
      </c>
      <c r="F8587" t="str">
        <f t="shared" si="287"/>
        <v>5F</v>
      </c>
    </row>
    <row r="8588" spans="1:6" x14ac:dyDescent="0.2">
      <c r="A8588">
        <v>6</v>
      </c>
      <c r="E8588" t="str">
        <f t="shared" si="288"/>
        <v>G</v>
      </c>
      <c r="F8588" t="str">
        <f t="shared" si="287"/>
        <v>6G</v>
      </c>
    </row>
    <row r="8589" spans="1:6" x14ac:dyDescent="0.2">
      <c r="A8589">
        <v>7</v>
      </c>
      <c r="E8589" t="str">
        <f t="shared" si="288"/>
        <v>H</v>
      </c>
      <c r="F8589" t="str">
        <f t="shared" si="287"/>
        <v>7H</v>
      </c>
    </row>
    <row r="8590" spans="1:6" x14ac:dyDescent="0.2">
      <c r="A8590">
        <v>8</v>
      </c>
      <c r="E8590" t="str">
        <f t="shared" si="288"/>
        <v>I</v>
      </c>
      <c r="F8590" t="str">
        <f t="shared" si="287"/>
        <v>8I</v>
      </c>
    </row>
    <row r="8591" spans="1:6" x14ac:dyDescent="0.2">
      <c r="A8591">
        <v>9</v>
      </c>
      <c r="E8591" t="str">
        <f t="shared" si="288"/>
        <v>J</v>
      </c>
      <c r="F8591" t="str">
        <f t="shared" si="287"/>
        <v>9J</v>
      </c>
    </row>
    <row r="8592" spans="1:6" x14ac:dyDescent="0.2">
      <c r="A8592">
        <v>10</v>
      </c>
      <c r="E8592" t="str">
        <f t="shared" si="288"/>
        <v>K</v>
      </c>
      <c r="F8592" t="str">
        <f t="shared" si="287"/>
        <v>10K</v>
      </c>
    </row>
    <row r="8593" spans="1:6" x14ac:dyDescent="0.2">
      <c r="A8593">
        <v>11</v>
      </c>
      <c r="E8593" t="str">
        <f t="shared" si="288"/>
        <v>L</v>
      </c>
      <c r="F8593" t="str">
        <f t="shared" si="287"/>
        <v>11L</v>
      </c>
    </row>
    <row r="8594" spans="1:6" x14ac:dyDescent="0.2">
      <c r="A8594">
        <v>12</v>
      </c>
      <c r="E8594" t="str">
        <f t="shared" si="288"/>
        <v>M</v>
      </c>
      <c r="F8594" t="str">
        <f t="shared" si="287"/>
        <v>12M</v>
      </c>
    </row>
    <row r="8595" spans="1:6" x14ac:dyDescent="0.2">
      <c r="A8595">
        <v>13</v>
      </c>
      <c r="E8595" t="str">
        <f t="shared" si="288"/>
        <v>N</v>
      </c>
      <c r="F8595" t="str">
        <f t="shared" si="287"/>
        <v>13N</v>
      </c>
    </row>
    <row r="8596" spans="1:6" x14ac:dyDescent="0.2">
      <c r="A8596">
        <v>14</v>
      </c>
      <c r="E8596" t="str">
        <f t="shared" si="288"/>
        <v>O</v>
      </c>
      <c r="F8596" t="str">
        <f t="shared" si="287"/>
        <v>14O</v>
      </c>
    </row>
    <row r="8597" spans="1:6" x14ac:dyDescent="0.2">
      <c r="A8597">
        <v>15</v>
      </c>
      <c r="E8597" t="str">
        <f t="shared" si="288"/>
        <v>P</v>
      </c>
      <c r="F8597" t="str">
        <f t="shared" si="287"/>
        <v>15P</v>
      </c>
    </row>
    <row r="8598" spans="1:6" x14ac:dyDescent="0.2">
      <c r="A8598">
        <v>16</v>
      </c>
      <c r="E8598" t="str">
        <f t="shared" si="288"/>
        <v>Q</v>
      </c>
      <c r="F8598" t="str">
        <f t="shared" ref="F8598:F8661" si="289">A8598&amp;C8598&amp;E8598</f>
        <v>16Q</v>
      </c>
    </row>
    <row r="8599" spans="1:6" x14ac:dyDescent="0.2">
      <c r="A8599">
        <v>17</v>
      </c>
      <c r="E8599" t="str">
        <f t="shared" si="288"/>
        <v>R</v>
      </c>
      <c r="F8599" t="str">
        <f t="shared" si="289"/>
        <v>17R</v>
      </c>
    </row>
    <row r="8600" spans="1:6" x14ac:dyDescent="0.2">
      <c r="A8600">
        <v>18</v>
      </c>
      <c r="E8600" t="str">
        <f t="shared" si="288"/>
        <v>S</v>
      </c>
      <c r="F8600" t="str">
        <f t="shared" si="289"/>
        <v>18S</v>
      </c>
    </row>
    <row r="8601" spans="1:6" x14ac:dyDescent="0.2">
      <c r="A8601">
        <v>19</v>
      </c>
      <c r="E8601" t="str">
        <f t="shared" si="288"/>
        <v>T</v>
      </c>
      <c r="F8601" t="str">
        <f t="shared" si="289"/>
        <v>19T</v>
      </c>
    </row>
    <row r="8602" spans="1:6" x14ac:dyDescent="0.2">
      <c r="A8602">
        <v>20</v>
      </c>
      <c r="E8602" t="str">
        <f t="shared" si="288"/>
        <v>U</v>
      </c>
      <c r="F8602" t="str">
        <f t="shared" si="289"/>
        <v>20U</v>
      </c>
    </row>
    <row r="8603" spans="1:6" x14ac:dyDescent="0.2">
      <c r="A8603">
        <v>21</v>
      </c>
      <c r="E8603" t="str">
        <f t="shared" si="288"/>
        <v>V</v>
      </c>
      <c r="F8603" t="str">
        <f t="shared" si="289"/>
        <v>21V</v>
      </c>
    </row>
    <row r="8604" spans="1:6" x14ac:dyDescent="0.2">
      <c r="A8604">
        <v>22</v>
      </c>
      <c r="E8604" t="str">
        <f t="shared" si="288"/>
        <v>W</v>
      </c>
      <c r="F8604" t="str">
        <f t="shared" si="289"/>
        <v>22W</v>
      </c>
    </row>
    <row r="8605" spans="1:6" x14ac:dyDescent="0.2">
      <c r="A8605">
        <v>23</v>
      </c>
      <c r="E8605" t="str">
        <f t="shared" si="288"/>
        <v>X</v>
      </c>
      <c r="F8605" t="str">
        <f t="shared" si="289"/>
        <v>23X</v>
      </c>
    </row>
    <row r="8606" spans="1:6" x14ac:dyDescent="0.2">
      <c r="A8606">
        <v>24</v>
      </c>
      <c r="E8606" t="str">
        <f t="shared" si="288"/>
        <v>Y</v>
      </c>
      <c r="F8606" t="str">
        <f t="shared" si="289"/>
        <v>24Y</v>
      </c>
    </row>
    <row r="8607" spans="1:6" x14ac:dyDescent="0.2">
      <c r="A8607">
        <v>25</v>
      </c>
      <c r="E8607" t="str">
        <f t="shared" si="288"/>
        <v>Z</v>
      </c>
      <c r="F8607" t="str">
        <f t="shared" si="289"/>
        <v>25Z</v>
      </c>
    </row>
    <row r="8608" spans="1:6" x14ac:dyDescent="0.2">
      <c r="A8608">
        <v>0</v>
      </c>
      <c r="E8608" t="str">
        <f t="shared" si="288"/>
        <v>A</v>
      </c>
      <c r="F8608" t="str">
        <f t="shared" si="289"/>
        <v>0A</v>
      </c>
    </row>
    <row r="8609" spans="1:6" x14ac:dyDescent="0.2">
      <c r="A8609">
        <v>1</v>
      </c>
      <c r="E8609" t="str">
        <f t="shared" si="288"/>
        <v>B</v>
      </c>
      <c r="F8609" t="str">
        <f t="shared" si="289"/>
        <v>1B</v>
      </c>
    </row>
    <row r="8610" spans="1:6" x14ac:dyDescent="0.2">
      <c r="A8610">
        <v>2</v>
      </c>
      <c r="E8610" t="str">
        <f t="shared" si="288"/>
        <v>C</v>
      </c>
      <c r="F8610" t="str">
        <f t="shared" si="289"/>
        <v>2C</v>
      </c>
    </row>
    <row r="8611" spans="1:6" x14ac:dyDescent="0.2">
      <c r="A8611">
        <v>3</v>
      </c>
      <c r="E8611" t="str">
        <f t="shared" si="288"/>
        <v>D</v>
      </c>
      <c r="F8611" t="str">
        <f t="shared" si="289"/>
        <v>3D</v>
      </c>
    </row>
    <row r="8612" spans="1:6" x14ac:dyDescent="0.2">
      <c r="A8612">
        <v>4</v>
      </c>
      <c r="E8612" t="str">
        <f t="shared" si="288"/>
        <v>E</v>
      </c>
      <c r="F8612" t="str">
        <f t="shared" si="289"/>
        <v>4E</v>
      </c>
    </row>
    <row r="8613" spans="1:6" x14ac:dyDescent="0.2">
      <c r="A8613">
        <v>5</v>
      </c>
      <c r="E8613" t="str">
        <f t="shared" si="288"/>
        <v>F</v>
      </c>
      <c r="F8613" t="str">
        <f t="shared" si="289"/>
        <v>5F</v>
      </c>
    </row>
    <row r="8614" spans="1:6" x14ac:dyDescent="0.2">
      <c r="A8614">
        <v>6</v>
      </c>
      <c r="E8614" t="str">
        <f t="shared" si="288"/>
        <v>G</v>
      </c>
      <c r="F8614" t="str">
        <f t="shared" si="289"/>
        <v>6G</v>
      </c>
    </row>
    <row r="8615" spans="1:6" x14ac:dyDescent="0.2">
      <c r="A8615">
        <v>7</v>
      </c>
      <c r="E8615" t="str">
        <f t="shared" si="288"/>
        <v>H</v>
      </c>
      <c r="F8615" t="str">
        <f t="shared" si="289"/>
        <v>7H</v>
      </c>
    </row>
    <row r="8616" spans="1:6" x14ac:dyDescent="0.2">
      <c r="A8616">
        <v>8</v>
      </c>
      <c r="E8616" t="str">
        <f t="shared" si="288"/>
        <v>I</v>
      </c>
      <c r="F8616" t="str">
        <f t="shared" si="289"/>
        <v>8I</v>
      </c>
    </row>
    <row r="8617" spans="1:6" x14ac:dyDescent="0.2">
      <c r="A8617">
        <v>9</v>
      </c>
      <c r="E8617" t="str">
        <f t="shared" si="288"/>
        <v>J</v>
      </c>
      <c r="F8617" t="str">
        <f t="shared" si="289"/>
        <v>9J</v>
      </c>
    </row>
    <row r="8618" spans="1:6" x14ac:dyDescent="0.2">
      <c r="A8618">
        <v>10</v>
      </c>
      <c r="E8618" t="str">
        <f t="shared" si="288"/>
        <v>K</v>
      </c>
      <c r="F8618" t="str">
        <f t="shared" si="289"/>
        <v>10K</v>
      </c>
    </row>
    <row r="8619" spans="1:6" x14ac:dyDescent="0.2">
      <c r="A8619">
        <v>11</v>
      </c>
      <c r="E8619" t="str">
        <f t="shared" si="288"/>
        <v>L</v>
      </c>
      <c r="F8619" t="str">
        <f t="shared" si="289"/>
        <v>11L</v>
      </c>
    </row>
    <row r="8620" spans="1:6" x14ac:dyDescent="0.2">
      <c r="A8620">
        <v>12</v>
      </c>
      <c r="E8620" t="str">
        <f t="shared" si="288"/>
        <v>M</v>
      </c>
      <c r="F8620" t="str">
        <f t="shared" si="289"/>
        <v>12M</v>
      </c>
    </row>
    <row r="8621" spans="1:6" x14ac:dyDescent="0.2">
      <c r="A8621">
        <v>13</v>
      </c>
      <c r="E8621" t="str">
        <f t="shared" si="288"/>
        <v>N</v>
      </c>
      <c r="F8621" t="str">
        <f t="shared" si="289"/>
        <v>13N</v>
      </c>
    </row>
    <row r="8622" spans="1:6" x14ac:dyDescent="0.2">
      <c r="A8622">
        <v>14</v>
      </c>
      <c r="E8622" t="str">
        <f t="shared" si="288"/>
        <v>O</v>
      </c>
      <c r="F8622" t="str">
        <f t="shared" si="289"/>
        <v>14O</v>
      </c>
    </row>
    <row r="8623" spans="1:6" x14ac:dyDescent="0.2">
      <c r="A8623">
        <v>15</v>
      </c>
      <c r="E8623" t="str">
        <f t="shared" si="288"/>
        <v>P</v>
      </c>
      <c r="F8623" t="str">
        <f t="shared" si="289"/>
        <v>15P</v>
      </c>
    </row>
    <row r="8624" spans="1:6" x14ac:dyDescent="0.2">
      <c r="A8624">
        <v>16</v>
      </c>
      <c r="E8624" t="str">
        <f t="shared" ref="E8624:E8687" si="290">E8598</f>
        <v>Q</v>
      </c>
      <c r="F8624" t="str">
        <f t="shared" si="289"/>
        <v>16Q</v>
      </c>
    </row>
    <row r="8625" spans="1:6" x14ac:dyDescent="0.2">
      <c r="A8625">
        <v>17</v>
      </c>
      <c r="E8625" t="str">
        <f t="shared" si="290"/>
        <v>R</v>
      </c>
      <c r="F8625" t="str">
        <f t="shared" si="289"/>
        <v>17R</v>
      </c>
    </row>
    <row r="8626" spans="1:6" x14ac:dyDescent="0.2">
      <c r="A8626">
        <v>18</v>
      </c>
      <c r="E8626" t="str">
        <f t="shared" si="290"/>
        <v>S</v>
      </c>
      <c r="F8626" t="str">
        <f t="shared" si="289"/>
        <v>18S</v>
      </c>
    </row>
    <row r="8627" spans="1:6" x14ac:dyDescent="0.2">
      <c r="A8627">
        <v>19</v>
      </c>
      <c r="E8627" t="str">
        <f t="shared" si="290"/>
        <v>T</v>
      </c>
      <c r="F8627" t="str">
        <f t="shared" si="289"/>
        <v>19T</v>
      </c>
    </row>
    <row r="8628" spans="1:6" x14ac:dyDescent="0.2">
      <c r="A8628">
        <v>20</v>
      </c>
      <c r="E8628" t="str">
        <f t="shared" si="290"/>
        <v>U</v>
      </c>
      <c r="F8628" t="str">
        <f t="shared" si="289"/>
        <v>20U</v>
      </c>
    </row>
    <row r="8629" spans="1:6" x14ac:dyDescent="0.2">
      <c r="A8629">
        <v>21</v>
      </c>
      <c r="E8629" t="str">
        <f t="shared" si="290"/>
        <v>V</v>
      </c>
      <c r="F8629" t="str">
        <f t="shared" si="289"/>
        <v>21V</v>
      </c>
    </row>
    <row r="8630" spans="1:6" x14ac:dyDescent="0.2">
      <c r="A8630">
        <v>22</v>
      </c>
      <c r="E8630" t="str">
        <f t="shared" si="290"/>
        <v>W</v>
      </c>
      <c r="F8630" t="str">
        <f t="shared" si="289"/>
        <v>22W</v>
      </c>
    </row>
    <row r="8631" spans="1:6" x14ac:dyDescent="0.2">
      <c r="A8631">
        <v>23</v>
      </c>
      <c r="E8631" t="str">
        <f t="shared" si="290"/>
        <v>X</v>
      </c>
      <c r="F8631" t="str">
        <f t="shared" si="289"/>
        <v>23X</v>
      </c>
    </row>
    <row r="8632" spans="1:6" x14ac:dyDescent="0.2">
      <c r="A8632">
        <v>24</v>
      </c>
      <c r="E8632" t="str">
        <f t="shared" si="290"/>
        <v>Y</v>
      </c>
      <c r="F8632" t="str">
        <f t="shared" si="289"/>
        <v>24Y</v>
      </c>
    </row>
    <row r="8633" spans="1:6" x14ac:dyDescent="0.2">
      <c r="A8633">
        <v>25</v>
      </c>
      <c r="E8633" t="str">
        <f t="shared" si="290"/>
        <v>Z</v>
      </c>
      <c r="F8633" t="str">
        <f t="shared" si="289"/>
        <v>25Z</v>
      </c>
    </row>
    <row r="8634" spans="1:6" x14ac:dyDescent="0.2">
      <c r="A8634">
        <v>0</v>
      </c>
      <c r="E8634" t="str">
        <f t="shared" si="290"/>
        <v>A</v>
      </c>
      <c r="F8634" t="str">
        <f t="shared" si="289"/>
        <v>0A</v>
      </c>
    </row>
    <row r="8635" spans="1:6" x14ac:dyDescent="0.2">
      <c r="A8635">
        <v>1</v>
      </c>
      <c r="E8635" t="str">
        <f t="shared" si="290"/>
        <v>B</v>
      </c>
      <c r="F8635" t="str">
        <f t="shared" si="289"/>
        <v>1B</v>
      </c>
    </row>
    <row r="8636" spans="1:6" x14ac:dyDescent="0.2">
      <c r="A8636">
        <v>2</v>
      </c>
      <c r="E8636" t="str">
        <f t="shared" si="290"/>
        <v>C</v>
      </c>
      <c r="F8636" t="str">
        <f t="shared" si="289"/>
        <v>2C</v>
      </c>
    </row>
    <row r="8637" spans="1:6" x14ac:dyDescent="0.2">
      <c r="A8637">
        <v>3</v>
      </c>
      <c r="E8637" t="str">
        <f t="shared" si="290"/>
        <v>D</v>
      </c>
      <c r="F8637" t="str">
        <f t="shared" si="289"/>
        <v>3D</v>
      </c>
    </row>
    <row r="8638" spans="1:6" x14ac:dyDescent="0.2">
      <c r="A8638">
        <v>4</v>
      </c>
      <c r="E8638" t="str">
        <f t="shared" si="290"/>
        <v>E</v>
      </c>
      <c r="F8638" t="str">
        <f t="shared" si="289"/>
        <v>4E</v>
      </c>
    </row>
    <row r="8639" spans="1:6" x14ac:dyDescent="0.2">
      <c r="A8639">
        <v>5</v>
      </c>
      <c r="E8639" t="str">
        <f t="shared" si="290"/>
        <v>F</v>
      </c>
      <c r="F8639" t="str">
        <f t="shared" si="289"/>
        <v>5F</v>
      </c>
    </row>
    <row r="8640" spans="1:6" x14ac:dyDescent="0.2">
      <c r="A8640">
        <v>6</v>
      </c>
      <c r="E8640" t="str">
        <f t="shared" si="290"/>
        <v>G</v>
      </c>
      <c r="F8640" t="str">
        <f t="shared" si="289"/>
        <v>6G</v>
      </c>
    </row>
    <row r="8641" spans="1:6" x14ac:dyDescent="0.2">
      <c r="A8641">
        <v>7</v>
      </c>
      <c r="E8641" t="str">
        <f t="shared" si="290"/>
        <v>H</v>
      </c>
      <c r="F8641" t="str">
        <f t="shared" si="289"/>
        <v>7H</v>
      </c>
    </row>
    <row r="8642" spans="1:6" x14ac:dyDescent="0.2">
      <c r="A8642">
        <v>8</v>
      </c>
      <c r="E8642" t="str">
        <f t="shared" si="290"/>
        <v>I</v>
      </c>
      <c r="F8642" t="str">
        <f t="shared" si="289"/>
        <v>8I</v>
      </c>
    </row>
    <row r="8643" spans="1:6" x14ac:dyDescent="0.2">
      <c r="A8643">
        <v>9</v>
      </c>
      <c r="E8643" t="str">
        <f t="shared" si="290"/>
        <v>J</v>
      </c>
      <c r="F8643" t="str">
        <f t="shared" si="289"/>
        <v>9J</v>
      </c>
    </row>
    <row r="8644" spans="1:6" x14ac:dyDescent="0.2">
      <c r="A8644">
        <v>10</v>
      </c>
      <c r="E8644" t="str">
        <f t="shared" si="290"/>
        <v>K</v>
      </c>
      <c r="F8644" t="str">
        <f t="shared" si="289"/>
        <v>10K</v>
      </c>
    </row>
    <row r="8645" spans="1:6" x14ac:dyDescent="0.2">
      <c r="A8645">
        <v>11</v>
      </c>
      <c r="E8645" t="str">
        <f t="shared" si="290"/>
        <v>L</v>
      </c>
      <c r="F8645" t="str">
        <f t="shared" si="289"/>
        <v>11L</v>
      </c>
    </row>
    <row r="8646" spans="1:6" x14ac:dyDescent="0.2">
      <c r="A8646">
        <v>12</v>
      </c>
      <c r="E8646" t="str">
        <f t="shared" si="290"/>
        <v>M</v>
      </c>
      <c r="F8646" t="str">
        <f t="shared" si="289"/>
        <v>12M</v>
      </c>
    </row>
    <row r="8647" spans="1:6" x14ac:dyDescent="0.2">
      <c r="A8647">
        <v>13</v>
      </c>
      <c r="E8647" t="str">
        <f t="shared" si="290"/>
        <v>N</v>
      </c>
      <c r="F8647" t="str">
        <f t="shared" si="289"/>
        <v>13N</v>
      </c>
    </row>
    <row r="8648" spans="1:6" x14ac:dyDescent="0.2">
      <c r="A8648">
        <v>14</v>
      </c>
      <c r="E8648" t="str">
        <f t="shared" si="290"/>
        <v>O</v>
      </c>
      <c r="F8648" t="str">
        <f t="shared" si="289"/>
        <v>14O</v>
      </c>
    </row>
    <row r="8649" spans="1:6" x14ac:dyDescent="0.2">
      <c r="A8649">
        <v>15</v>
      </c>
      <c r="E8649" t="str">
        <f t="shared" si="290"/>
        <v>P</v>
      </c>
      <c r="F8649" t="str">
        <f t="shared" si="289"/>
        <v>15P</v>
      </c>
    </row>
    <row r="8650" spans="1:6" x14ac:dyDescent="0.2">
      <c r="A8650">
        <v>16</v>
      </c>
      <c r="E8650" t="str">
        <f t="shared" si="290"/>
        <v>Q</v>
      </c>
      <c r="F8650" t="str">
        <f t="shared" si="289"/>
        <v>16Q</v>
      </c>
    </row>
    <row r="8651" spans="1:6" x14ac:dyDescent="0.2">
      <c r="A8651">
        <v>17</v>
      </c>
      <c r="E8651" t="str">
        <f t="shared" si="290"/>
        <v>R</v>
      </c>
      <c r="F8651" t="str">
        <f t="shared" si="289"/>
        <v>17R</v>
      </c>
    </row>
    <row r="8652" spans="1:6" x14ac:dyDescent="0.2">
      <c r="A8652">
        <v>18</v>
      </c>
      <c r="E8652" t="str">
        <f t="shared" si="290"/>
        <v>S</v>
      </c>
      <c r="F8652" t="str">
        <f t="shared" si="289"/>
        <v>18S</v>
      </c>
    </row>
    <row r="8653" spans="1:6" x14ac:dyDescent="0.2">
      <c r="A8653">
        <v>19</v>
      </c>
      <c r="E8653" t="str">
        <f t="shared" si="290"/>
        <v>T</v>
      </c>
      <c r="F8653" t="str">
        <f t="shared" si="289"/>
        <v>19T</v>
      </c>
    </row>
    <row r="8654" spans="1:6" x14ac:dyDescent="0.2">
      <c r="A8654">
        <v>20</v>
      </c>
      <c r="E8654" t="str">
        <f t="shared" si="290"/>
        <v>U</v>
      </c>
      <c r="F8654" t="str">
        <f t="shared" si="289"/>
        <v>20U</v>
      </c>
    </row>
    <row r="8655" spans="1:6" x14ac:dyDescent="0.2">
      <c r="A8655">
        <v>21</v>
      </c>
      <c r="E8655" t="str">
        <f t="shared" si="290"/>
        <v>V</v>
      </c>
      <c r="F8655" t="str">
        <f t="shared" si="289"/>
        <v>21V</v>
      </c>
    </row>
    <row r="8656" spans="1:6" x14ac:dyDescent="0.2">
      <c r="A8656">
        <v>22</v>
      </c>
      <c r="E8656" t="str">
        <f t="shared" si="290"/>
        <v>W</v>
      </c>
      <c r="F8656" t="str">
        <f t="shared" si="289"/>
        <v>22W</v>
      </c>
    </row>
    <row r="8657" spans="1:6" x14ac:dyDescent="0.2">
      <c r="A8657">
        <v>23</v>
      </c>
      <c r="E8657" t="str">
        <f t="shared" si="290"/>
        <v>X</v>
      </c>
      <c r="F8657" t="str">
        <f t="shared" si="289"/>
        <v>23X</v>
      </c>
    </row>
    <row r="8658" spans="1:6" x14ac:dyDescent="0.2">
      <c r="A8658">
        <v>24</v>
      </c>
      <c r="E8658" t="str">
        <f t="shared" si="290"/>
        <v>Y</v>
      </c>
      <c r="F8658" t="str">
        <f t="shared" si="289"/>
        <v>24Y</v>
      </c>
    </row>
    <row r="8659" spans="1:6" x14ac:dyDescent="0.2">
      <c r="A8659">
        <v>25</v>
      </c>
      <c r="E8659" t="str">
        <f t="shared" si="290"/>
        <v>Z</v>
      </c>
      <c r="F8659" t="str">
        <f t="shared" si="289"/>
        <v>25Z</v>
      </c>
    </row>
    <row r="8660" spans="1:6" x14ac:dyDescent="0.2">
      <c r="A8660">
        <v>0</v>
      </c>
      <c r="E8660" t="str">
        <f t="shared" si="290"/>
        <v>A</v>
      </c>
      <c r="F8660" t="str">
        <f t="shared" si="289"/>
        <v>0A</v>
      </c>
    </row>
    <row r="8661" spans="1:6" x14ac:dyDescent="0.2">
      <c r="A8661">
        <v>1</v>
      </c>
      <c r="E8661" t="str">
        <f t="shared" si="290"/>
        <v>B</v>
      </c>
      <c r="F8661" t="str">
        <f t="shared" si="289"/>
        <v>1B</v>
      </c>
    </row>
    <row r="8662" spans="1:6" x14ac:dyDescent="0.2">
      <c r="A8662">
        <v>2</v>
      </c>
      <c r="E8662" t="str">
        <f t="shared" si="290"/>
        <v>C</v>
      </c>
      <c r="F8662" t="str">
        <f t="shared" ref="F8662:F8725" si="291">A8662&amp;C8662&amp;E8662</f>
        <v>2C</v>
      </c>
    </row>
    <row r="8663" spans="1:6" x14ac:dyDescent="0.2">
      <c r="A8663">
        <v>3</v>
      </c>
      <c r="E8663" t="str">
        <f t="shared" si="290"/>
        <v>D</v>
      </c>
      <c r="F8663" t="str">
        <f t="shared" si="291"/>
        <v>3D</v>
      </c>
    </row>
    <row r="8664" spans="1:6" x14ac:dyDescent="0.2">
      <c r="A8664">
        <v>4</v>
      </c>
      <c r="E8664" t="str">
        <f t="shared" si="290"/>
        <v>E</v>
      </c>
      <c r="F8664" t="str">
        <f t="shared" si="291"/>
        <v>4E</v>
      </c>
    </row>
    <row r="8665" spans="1:6" x14ac:dyDescent="0.2">
      <c r="A8665">
        <v>5</v>
      </c>
      <c r="E8665" t="str">
        <f t="shared" si="290"/>
        <v>F</v>
      </c>
      <c r="F8665" t="str">
        <f t="shared" si="291"/>
        <v>5F</v>
      </c>
    </row>
    <row r="8666" spans="1:6" x14ac:dyDescent="0.2">
      <c r="A8666">
        <v>6</v>
      </c>
      <c r="E8666" t="str">
        <f t="shared" si="290"/>
        <v>G</v>
      </c>
      <c r="F8666" t="str">
        <f t="shared" si="291"/>
        <v>6G</v>
      </c>
    </row>
    <row r="8667" spans="1:6" x14ac:dyDescent="0.2">
      <c r="A8667">
        <v>7</v>
      </c>
      <c r="E8667" t="str">
        <f t="shared" si="290"/>
        <v>H</v>
      </c>
      <c r="F8667" t="str">
        <f t="shared" si="291"/>
        <v>7H</v>
      </c>
    </row>
    <row r="8668" spans="1:6" x14ac:dyDescent="0.2">
      <c r="A8668">
        <v>8</v>
      </c>
      <c r="E8668" t="str">
        <f t="shared" si="290"/>
        <v>I</v>
      </c>
      <c r="F8668" t="str">
        <f t="shared" si="291"/>
        <v>8I</v>
      </c>
    </row>
    <row r="8669" spans="1:6" x14ac:dyDescent="0.2">
      <c r="A8669">
        <v>9</v>
      </c>
      <c r="E8669" t="str">
        <f t="shared" si="290"/>
        <v>J</v>
      </c>
      <c r="F8669" t="str">
        <f t="shared" si="291"/>
        <v>9J</v>
      </c>
    </row>
    <row r="8670" spans="1:6" x14ac:dyDescent="0.2">
      <c r="A8670">
        <v>10</v>
      </c>
      <c r="E8670" t="str">
        <f t="shared" si="290"/>
        <v>K</v>
      </c>
      <c r="F8670" t="str">
        <f t="shared" si="291"/>
        <v>10K</v>
      </c>
    </row>
    <row r="8671" spans="1:6" x14ac:dyDescent="0.2">
      <c r="A8671">
        <v>11</v>
      </c>
      <c r="E8671" t="str">
        <f t="shared" si="290"/>
        <v>L</v>
      </c>
      <c r="F8671" t="str">
        <f t="shared" si="291"/>
        <v>11L</v>
      </c>
    </row>
    <row r="8672" spans="1:6" x14ac:dyDescent="0.2">
      <c r="A8672">
        <v>12</v>
      </c>
      <c r="E8672" t="str">
        <f t="shared" si="290"/>
        <v>M</v>
      </c>
      <c r="F8672" t="str">
        <f t="shared" si="291"/>
        <v>12M</v>
      </c>
    </row>
    <row r="8673" spans="1:6" x14ac:dyDescent="0.2">
      <c r="A8673">
        <v>13</v>
      </c>
      <c r="E8673" t="str">
        <f t="shared" si="290"/>
        <v>N</v>
      </c>
      <c r="F8673" t="str">
        <f t="shared" si="291"/>
        <v>13N</v>
      </c>
    </row>
    <row r="8674" spans="1:6" x14ac:dyDescent="0.2">
      <c r="A8674">
        <v>14</v>
      </c>
      <c r="E8674" t="str">
        <f t="shared" si="290"/>
        <v>O</v>
      </c>
      <c r="F8674" t="str">
        <f t="shared" si="291"/>
        <v>14O</v>
      </c>
    </row>
    <row r="8675" spans="1:6" x14ac:dyDescent="0.2">
      <c r="A8675">
        <v>15</v>
      </c>
      <c r="E8675" t="str">
        <f t="shared" si="290"/>
        <v>P</v>
      </c>
      <c r="F8675" t="str">
        <f t="shared" si="291"/>
        <v>15P</v>
      </c>
    </row>
    <row r="8676" spans="1:6" x14ac:dyDescent="0.2">
      <c r="A8676">
        <v>16</v>
      </c>
      <c r="E8676" t="str">
        <f t="shared" si="290"/>
        <v>Q</v>
      </c>
      <c r="F8676" t="str">
        <f t="shared" si="291"/>
        <v>16Q</v>
      </c>
    </row>
    <row r="8677" spans="1:6" x14ac:dyDescent="0.2">
      <c r="A8677">
        <v>17</v>
      </c>
      <c r="E8677" t="str">
        <f t="shared" si="290"/>
        <v>R</v>
      </c>
      <c r="F8677" t="str">
        <f t="shared" si="291"/>
        <v>17R</v>
      </c>
    </row>
    <row r="8678" spans="1:6" x14ac:dyDescent="0.2">
      <c r="A8678">
        <v>18</v>
      </c>
      <c r="E8678" t="str">
        <f t="shared" si="290"/>
        <v>S</v>
      </c>
      <c r="F8678" t="str">
        <f t="shared" si="291"/>
        <v>18S</v>
      </c>
    </row>
    <row r="8679" spans="1:6" x14ac:dyDescent="0.2">
      <c r="A8679">
        <v>19</v>
      </c>
      <c r="E8679" t="str">
        <f t="shared" si="290"/>
        <v>T</v>
      </c>
      <c r="F8679" t="str">
        <f t="shared" si="291"/>
        <v>19T</v>
      </c>
    </row>
    <row r="8680" spans="1:6" x14ac:dyDescent="0.2">
      <c r="A8680">
        <v>20</v>
      </c>
      <c r="E8680" t="str">
        <f t="shared" si="290"/>
        <v>U</v>
      </c>
      <c r="F8680" t="str">
        <f t="shared" si="291"/>
        <v>20U</v>
      </c>
    </row>
    <row r="8681" spans="1:6" x14ac:dyDescent="0.2">
      <c r="A8681">
        <v>21</v>
      </c>
      <c r="E8681" t="str">
        <f t="shared" si="290"/>
        <v>V</v>
      </c>
      <c r="F8681" t="str">
        <f t="shared" si="291"/>
        <v>21V</v>
      </c>
    </row>
    <row r="8682" spans="1:6" x14ac:dyDescent="0.2">
      <c r="A8682">
        <v>22</v>
      </c>
      <c r="E8682" t="str">
        <f t="shared" si="290"/>
        <v>W</v>
      </c>
      <c r="F8682" t="str">
        <f t="shared" si="291"/>
        <v>22W</v>
      </c>
    </row>
    <row r="8683" spans="1:6" x14ac:dyDescent="0.2">
      <c r="A8683">
        <v>23</v>
      </c>
      <c r="E8683" t="str">
        <f t="shared" si="290"/>
        <v>X</v>
      </c>
      <c r="F8683" t="str">
        <f t="shared" si="291"/>
        <v>23X</v>
      </c>
    </row>
    <row r="8684" spans="1:6" x14ac:dyDescent="0.2">
      <c r="A8684">
        <v>24</v>
      </c>
      <c r="E8684" t="str">
        <f t="shared" si="290"/>
        <v>Y</v>
      </c>
      <c r="F8684" t="str">
        <f t="shared" si="291"/>
        <v>24Y</v>
      </c>
    </row>
    <row r="8685" spans="1:6" x14ac:dyDescent="0.2">
      <c r="A8685">
        <v>25</v>
      </c>
      <c r="E8685" t="str">
        <f t="shared" si="290"/>
        <v>Z</v>
      </c>
      <c r="F8685" t="str">
        <f t="shared" si="291"/>
        <v>25Z</v>
      </c>
    </row>
    <row r="8686" spans="1:6" x14ac:dyDescent="0.2">
      <c r="A8686">
        <v>0</v>
      </c>
      <c r="E8686" t="str">
        <f t="shared" si="290"/>
        <v>A</v>
      </c>
      <c r="F8686" t="str">
        <f t="shared" si="291"/>
        <v>0A</v>
      </c>
    </row>
    <row r="8687" spans="1:6" x14ac:dyDescent="0.2">
      <c r="A8687">
        <v>1</v>
      </c>
      <c r="E8687" t="str">
        <f t="shared" si="290"/>
        <v>B</v>
      </c>
      <c r="F8687" t="str">
        <f t="shared" si="291"/>
        <v>1B</v>
      </c>
    </row>
    <row r="8688" spans="1:6" x14ac:dyDescent="0.2">
      <c r="A8688">
        <v>2</v>
      </c>
      <c r="E8688" t="str">
        <f t="shared" ref="E8688:E8751" si="292">E8662</f>
        <v>C</v>
      </c>
      <c r="F8688" t="str">
        <f t="shared" si="291"/>
        <v>2C</v>
      </c>
    </row>
    <row r="8689" spans="1:6" x14ac:dyDescent="0.2">
      <c r="A8689">
        <v>3</v>
      </c>
      <c r="E8689" t="str">
        <f t="shared" si="292"/>
        <v>D</v>
      </c>
      <c r="F8689" t="str">
        <f t="shared" si="291"/>
        <v>3D</v>
      </c>
    </row>
    <row r="8690" spans="1:6" x14ac:dyDescent="0.2">
      <c r="A8690">
        <v>4</v>
      </c>
      <c r="E8690" t="str">
        <f t="shared" si="292"/>
        <v>E</v>
      </c>
      <c r="F8690" t="str">
        <f t="shared" si="291"/>
        <v>4E</v>
      </c>
    </row>
    <row r="8691" spans="1:6" x14ac:dyDescent="0.2">
      <c r="A8691">
        <v>5</v>
      </c>
      <c r="E8691" t="str">
        <f t="shared" si="292"/>
        <v>F</v>
      </c>
      <c r="F8691" t="str">
        <f t="shared" si="291"/>
        <v>5F</v>
      </c>
    </row>
    <row r="8692" spans="1:6" x14ac:dyDescent="0.2">
      <c r="A8692">
        <v>6</v>
      </c>
      <c r="E8692" t="str">
        <f t="shared" si="292"/>
        <v>G</v>
      </c>
      <c r="F8692" t="str">
        <f t="shared" si="291"/>
        <v>6G</v>
      </c>
    </row>
    <row r="8693" spans="1:6" x14ac:dyDescent="0.2">
      <c r="A8693">
        <v>7</v>
      </c>
      <c r="E8693" t="str">
        <f t="shared" si="292"/>
        <v>H</v>
      </c>
      <c r="F8693" t="str">
        <f t="shared" si="291"/>
        <v>7H</v>
      </c>
    </row>
    <row r="8694" spans="1:6" x14ac:dyDescent="0.2">
      <c r="A8694">
        <v>8</v>
      </c>
      <c r="E8694" t="str">
        <f t="shared" si="292"/>
        <v>I</v>
      </c>
      <c r="F8694" t="str">
        <f t="shared" si="291"/>
        <v>8I</v>
      </c>
    </row>
    <row r="8695" spans="1:6" x14ac:dyDescent="0.2">
      <c r="A8695">
        <v>9</v>
      </c>
      <c r="E8695" t="str">
        <f t="shared" si="292"/>
        <v>J</v>
      </c>
      <c r="F8695" t="str">
        <f t="shared" si="291"/>
        <v>9J</v>
      </c>
    </row>
    <row r="8696" spans="1:6" x14ac:dyDescent="0.2">
      <c r="A8696">
        <v>10</v>
      </c>
      <c r="E8696" t="str">
        <f t="shared" si="292"/>
        <v>K</v>
      </c>
      <c r="F8696" t="str">
        <f t="shared" si="291"/>
        <v>10K</v>
      </c>
    </row>
    <row r="8697" spans="1:6" x14ac:dyDescent="0.2">
      <c r="A8697">
        <v>11</v>
      </c>
      <c r="E8697" t="str">
        <f t="shared" si="292"/>
        <v>L</v>
      </c>
      <c r="F8697" t="str">
        <f t="shared" si="291"/>
        <v>11L</v>
      </c>
    </row>
    <row r="8698" spans="1:6" x14ac:dyDescent="0.2">
      <c r="A8698">
        <v>12</v>
      </c>
      <c r="E8698" t="str">
        <f t="shared" si="292"/>
        <v>M</v>
      </c>
      <c r="F8698" t="str">
        <f t="shared" si="291"/>
        <v>12M</v>
      </c>
    </row>
    <row r="8699" spans="1:6" x14ac:dyDescent="0.2">
      <c r="A8699">
        <v>13</v>
      </c>
      <c r="E8699" t="str">
        <f t="shared" si="292"/>
        <v>N</v>
      </c>
      <c r="F8699" t="str">
        <f t="shared" si="291"/>
        <v>13N</v>
      </c>
    </row>
    <row r="8700" spans="1:6" x14ac:dyDescent="0.2">
      <c r="A8700">
        <v>14</v>
      </c>
      <c r="E8700" t="str">
        <f t="shared" si="292"/>
        <v>O</v>
      </c>
      <c r="F8700" t="str">
        <f t="shared" si="291"/>
        <v>14O</v>
      </c>
    </row>
    <row r="8701" spans="1:6" x14ac:dyDescent="0.2">
      <c r="A8701">
        <v>15</v>
      </c>
      <c r="E8701" t="str">
        <f t="shared" si="292"/>
        <v>P</v>
      </c>
      <c r="F8701" t="str">
        <f t="shared" si="291"/>
        <v>15P</v>
      </c>
    </row>
    <row r="8702" spans="1:6" x14ac:dyDescent="0.2">
      <c r="A8702">
        <v>16</v>
      </c>
      <c r="E8702" t="str">
        <f t="shared" si="292"/>
        <v>Q</v>
      </c>
      <c r="F8702" t="str">
        <f t="shared" si="291"/>
        <v>16Q</v>
      </c>
    </row>
    <row r="8703" spans="1:6" x14ac:dyDescent="0.2">
      <c r="A8703">
        <v>17</v>
      </c>
      <c r="E8703" t="str">
        <f t="shared" si="292"/>
        <v>R</v>
      </c>
      <c r="F8703" t="str">
        <f t="shared" si="291"/>
        <v>17R</v>
      </c>
    </row>
    <row r="8704" spans="1:6" x14ac:dyDescent="0.2">
      <c r="A8704">
        <v>18</v>
      </c>
      <c r="E8704" t="str">
        <f t="shared" si="292"/>
        <v>S</v>
      </c>
      <c r="F8704" t="str">
        <f t="shared" si="291"/>
        <v>18S</v>
      </c>
    </row>
    <row r="8705" spans="1:6" x14ac:dyDescent="0.2">
      <c r="A8705">
        <v>19</v>
      </c>
      <c r="E8705" t="str">
        <f t="shared" si="292"/>
        <v>T</v>
      </c>
      <c r="F8705" t="str">
        <f t="shared" si="291"/>
        <v>19T</v>
      </c>
    </row>
    <row r="8706" spans="1:6" x14ac:dyDescent="0.2">
      <c r="A8706">
        <v>20</v>
      </c>
      <c r="E8706" t="str">
        <f t="shared" si="292"/>
        <v>U</v>
      </c>
      <c r="F8706" t="str">
        <f t="shared" si="291"/>
        <v>20U</v>
      </c>
    </row>
    <row r="8707" spans="1:6" x14ac:dyDescent="0.2">
      <c r="A8707">
        <v>21</v>
      </c>
      <c r="E8707" t="str">
        <f t="shared" si="292"/>
        <v>V</v>
      </c>
      <c r="F8707" t="str">
        <f t="shared" si="291"/>
        <v>21V</v>
      </c>
    </row>
    <row r="8708" spans="1:6" x14ac:dyDescent="0.2">
      <c r="A8708">
        <v>22</v>
      </c>
      <c r="E8708" t="str">
        <f t="shared" si="292"/>
        <v>W</v>
      </c>
      <c r="F8708" t="str">
        <f t="shared" si="291"/>
        <v>22W</v>
      </c>
    </row>
    <row r="8709" spans="1:6" x14ac:dyDescent="0.2">
      <c r="A8709">
        <v>23</v>
      </c>
      <c r="E8709" t="str">
        <f t="shared" si="292"/>
        <v>X</v>
      </c>
      <c r="F8709" t="str">
        <f t="shared" si="291"/>
        <v>23X</v>
      </c>
    </row>
    <row r="8710" spans="1:6" x14ac:dyDescent="0.2">
      <c r="A8710">
        <v>24</v>
      </c>
      <c r="E8710" t="str">
        <f t="shared" si="292"/>
        <v>Y</v>
      </c>
      <c r="F8710" t="str">
        <f t="shared" si="291"/>
        <v>24Y</v>
      </c>
    </row>
    <row r="8711" spans="1:6" x14ac:dyDescent="0.2">
      <c r="A8711">
        <v>25</v>
      </c>
      <c r="E8711" t="str">
        <f t="shared" si="292"/>
        <v>Z</v>
      </c>
      <c r="F8711" t="str">
        <f t="shared" si="291"/>
        <v>25Z</v>
      </c>
    </row>
    <row r="8712" spans="1:6" x14ac:dyDescent="0.2">
      <c r="A8712">
        <v>0</v>
      </c>
      <c r="E8712" t="str">
        <f t="shared" si="292"/>
        <v>A</v>
      </c>
      <c r="F8712" t="str">
        <f t="shared" si="291"/>
        <v>0A</v>
      </c>
    </row>
    <row r="8713" spans="1:6" x14ac:dyDescent="0.2">
      <c r="A8713">
        <v>1</v>
      </c>
      <c r="E8713" t="str">
        <f t="shared" si="292"/>
        <v>B</v>
      </c>
      <c r="F8713" t="str">
        <f t="shared" si="291"/>
        <v>1B</v>
      </c>
    </row>
    <row r="8714" spans="1:6" x14ac:dyDescent="0.2">
      <c r="A8714">
        <v>2</v>
      </c>
      <c r="E8714" t="str">
        <f t="shared" si="292"/>
        <v>C</v>
      </c>
      <c r="F8714" t="str">
        <f t="shared" si="291"/>
        <v>2C</v>
      </c>
    </row>
    <row r="8715" spans="1:6" x14ac:dyDescent="0.2">
      <c r="A8715">
        <v>3</v>
      </c>
      <c r="E8715" t="str">
        <f t="shared" si="292"/>
        <v>D</v>
      </c>
      <c r="F8715" t="str">
        <f t="shared" si="291"/>
        <v>3D</v>
      </c>
    </row>
    <row r="8716" spans="1:6" x14ac:dyDescent="0.2">
      <c r="A8716">
        <v>4</v>
      </c>
      <c r="E8716" t="str">
        <f t="shared" si="292"/>
        <v>E</v>
      </c>
      <c r="F8716" t="str">
        <f t="shared" si="291"/>
        <v>4E</v>
      </c>
    </row>
    <row r="8717" spans="1:6" x14ac:dyDescent="0.2">
      <c r="A8717">
        <v>5</v>
      </c>
      <c r="E8717" t="str">
        <f t="shared" si="292"/>
        <v>F</v>
      </c>
      <c r="F8717" t="str">
        <f t="shared" si="291"/>
        <v>5F</v>
      </c>
    </row>
    <row r="8718" spans="1:6" x14ac:dyDescent="0.2">
      <c r="A8718">
        <v>6</v>
      </c>
      <c r="E8718" t="str">
        <f t="shared" si="292"/>
        <v>G</v>
      </c>
      <c r="F8718" t="str">
        <f t="shared" si="291"/>
        <v>6G</v>
      </c>
    </row>
    <row r="8719" spans="1:6" x14ac:dyDescent="0.2">
      <c r="A8719">
        <v>7</v>
      </c>
      <c r="E8719" t="str">
        <f t="shared" si="292"/>
        <v>H</v>
      </c>
      <c r="F8719" t="str">
        <f t="shared" si="291"/>
        <v>7H</v>
      </c>
    </row>
    <row r="8720" spans="1:6" x14ac:dyDescent="0.2">
      <c r="A8720">
        <v>8</v>
      </c>
      <c r="E8720" t="str">
        <f t="shared" si="292"/>
        <v>I</v>
      </c>
      <c r="F8720" t="str">
        <f t="shared" si="291"/>
        <v>8I</v>
      </c>
    </row>
    <row r="8721" spans="1:6" x14ac:dyDescent="0.2">
      <c r="A8721">
        <v>9</v>
      </c>
      <c r="E8721" t="str">
        <f t="shared" si="292"/>
        <v>J</v>
      </c>
      <c r="F8721" t="str">
        <f t="shared" si="291"/>
        <v>9J</v>
      </c>
    </row>
    <row r="8722" spans="1:6" x14ac:dyDescent="0.2">
      <c r="A8722">
        <v>10</v>
      </c>
      <c r="E8722" t="str">
        <f t="shared" si="292"/>
        <v>K</v>
      </c>
      <c r="F8722" t="str">
        <f t="shared" si="291"/>
        <v>10K</v>
      </c>
    </row>
    <row r="8723" spans="1:6" x14ac:dyDescent="0.2">
      <c r="A8723">
        <v>11</v>
      </c>
      <c r="E8723" t="str">
        <f t="shared" si="292"/>
        <v>L</v>
      </c>
      <c r="F8723" t="str">
        <f t="shared" si="291"/>
        <v>11L</v>
      </c>
    </row>
    <row r="8724" spans="1:6" x14ac:dyDescent="0.2">
      <c r="A8724">
        <v>12</v>
      </c>
      <c r="E8724" t="str">
        <f t="shared" si="292"/>
        <v>M</v>
      </c>
      <c r="F8724" t="str">
        <f t="shared" si="291"/>
        <v>12M</v>
      </c>
    </row>
    <row r="8725" spans="1:6" x14ac:dyDescent="0.2">
      <c r="A8725">
        <v>13</v>
      </c>
      <c r="E8725" t="str">
        <f t="shared" si="292"/>
        <v>N</v>
      </c>
      <c r="F8725" t="str">
        <f t="shared" si="291"/>
        <v>13N</v>
      </c>
    </row>
    <row r="8726" spans="1:6" x14ac:dyDescent="0.2">
      <c r="A8726">
        <v>14</v>
      </c>
      <c r="E8726" t="str">
        <f t="shared" si="292"/>
        <v>O</v>
      </c>
      <c r="F8726" t="str">
        <f t="shared" ref="F8726:F8789" si="293">A8726&amp;C8726&amp;E8726</f>
        <v>14O</v>
      </c>
    </row>
    <row r="8727" spans="1:6" x14ac:dyDescent="0.2">
      <c r="A8727">
        <v>15</v>
      </c>
      <c r="E8727" t="str">
        <f t="shared" si="292"/>
        <v>P</v>
      </c>
      <c r="F8727" t="str">
        <f t="shared" si="293"/>
        <v>15P</v>
      </c>
    </row>
    <row r="8728" spans="1:6" x14ac:dyDescent="0.2">
      <c r="A8728">
        <v>16</v>
      </c>
      <c r="E8728" t="str">
        <f t="shared" si="292"/>
        <v>Q</v>
      </c>
      <c r="F8728" t="str">
        <f t="shared" si="293"/>
        <v>16Q</v>
      </c>
    </row>
    <row r="8729" spans="1:6" x14ac:dyDescent="0.2">
      <c r="A8729">
        <v>17</v>
      </c>
      <c r="E8729" t="str">
        <f t="shared" si="292"/>
        <v>R</v>
      </c>
      <c r="F8729" t="str">
        <f t="shared" si="293"/>
        <v>17R</v>
      </c>
    </row>
    <row r="8730" spans="1:6" x14ac:dyDescent="0.2">
      <c r="A8730">
        <v>18</v>
      </c>
      <c r="E8730" t="str">
        <f t="shared" si="292"/>
        <v>S</v>
      </c>
      <c r="F8730" t="str">
        <f t="shared" si="293"/>
        <v>18S</v>
      </c>
    </row>
    <row r="8731" spans="1:6" x14ac:dyDescent="0.2">
      <c r="A8731">
        <v>19</v>
      </c>
      <c r="E8731" t="str">
        <f t="shared" si="292"/>
        <v>T</v>
      </c>
      <c r="F8731" t="str">
        <f t="shared" si="293"/>
        <v>19T</v>
      </c>
    </row>
    <row r="8732" spans="1:6" x14ac:dyDescent="0.2">
      <c r="A8732">
        <v>20</v>
      </c>
      <c r="E8732" t="str">
        <f t="shared" si="292"/>
        <v>U</v>
      </c>
      <c r="F8732" t="str">
        <f t="shared" si="293"/>
        <v>20U</v>
      </c>
    </row>
    <row r="8733" spans="1:6" x14ac:dyDescent="0.2">
      <c r="A8733">
        <v>21</v>
      </c>
      <c r="E8733" t="str">
        <f t="shared" si="292"/>
        <v>V</v>
      </c>
      <c r="F8733" t="str">
        <f t="shared" si="293"/>
        <v>21V</v>
      </c>
    </row>
    <row r="8734" spans="1:6" x14ac:dyDescent="0.2">
      <c r="A8734">
        <v>22</v>
      </c>
      <c r="E8734" t="str">
        <f t="shared" si="292"/>
        <v>W</v>
      </c>
      <c r="F8734" t="str">
        <f t="shared" si="293"/>
        <v>22W</v>
      </c>
    </row>
    <row r="8735" spans="1:6" x14ac:dyDescent="0.2">
      <c r="A8735">
        <v>23</v>
      </c>
      <c r="E8735" t="str">
        <f t="shared" si="292"/>
        <v>X</v>
      </c>
      <c r="F8735" t="str">
        <f t="shared" si="293"/>
        <v>23X</v>
      </c>
    </row>
    <row r="8736" spans="1:6" x14ac:dyDescent="0.2">
      <c r="A8736">
        <v>24</v>
      </c>
      <c r="E8736" t="str">
        <f t="shared" si="292"/>
        <v>Y</v>
      </c>
      <c r="F8736" t="str">
        <f t="shared" si="293"/>
        <v>24Y</v>
      </c>
    </row>
    <row r="8737" spans="1:6" x14ac:dyDescent="0.2">
      <c r="A8737">
        <v>25</v>
      </c>
      <c r="E8737" t="str">
        <f t="shared" si="292"/>
        <v>Z</v>
      </c>
      <c r="F8737" t="str">
        <f t="shared" si="293"/>
        <v>25Z</v>
      </c>
    </row>
    <row r="8738" spans="1:6" x14ac:dyDescent="0.2">
      <c r="A8738">
        <v>0</v>
      </c>
      <c r="E8738" t="str">
        <f t="shared" si="292"/>
        <v>A</v>
      </c>
      <c r="F8738" t="str">
        <f t="shared" si="293"/>
        <v>0A</v>
      </c>
    </row>
    <row r="8739" spans="1:6" x14ac:dyDescent="0.2">
      <c r="A8739">
        <v>1</v>
      </c>
      <c r="E8739" t="str">
        <f t="shared" si="292"/>
        <v>B</v>
      </c>
      <c r="F8739" t="str">
        <f t="shared" si="293"/>
        <v>1B</v>
      </c>
    </row>
    <row r="8740" spans="1:6" x14ac:dyDescent="0.2">
      <c r="A8740">
        <v>2</v>
      </c>
      <c r="E8740" t="str">
        <f t="shared" si="292"/>
        <v>C</v>
      </c>
      <c r="F8740" t="str">
        <f t="shared" si="293"/>
        <v>2C</v>
      </c>
    </row>
    <row r="8741" spans="1:6" x14ac:dyDescent="0.2">
      <c r="A8741">
        <v>3</v>
      </c>
      <c r="E8741" t="str">
        <f t="shared" si="292"/>
        <v>D</v>
      </c>
      <c r="F8741" t="str">
        <f t="shared" si="293"/>
        <v>3D</v>
      </c>
    </row>
    <row r="8742" spans="1:6" x14ac:dyDescent="0.2">
      <c r="A8742">
        <v>4</v>
      </c>
      <c r="E8742" t="str">
        <f t="shared" si="292"/>
        <v>E</v>
      </c>
      <c r="F8742" t="str">
        <f t="shared" si="293"/>
        <v>4E</v>
      </c>
    </row>
    <row r="8743" spans="1:6" x14ac:dyDescent="0.2">
      <c r="A8743">
        <v>5</v>
      </c>
      <c r="E8743" t="str">
        <f t="shared" si="292"/>
        <v>F</v>
      </c>
      <c r="F8743" t="str">
        <f t="shared" si="293"/>
        <v>5F</v>
      </c>
    </row>
    <row r="8744" spans="1:6" x14ac:dyDescent="0.2">
      <c r="A8744">
        <v>6</v>
      </c>
      <c r="E8744" t="str">
        <f t="shared" si="292"/>
        <v>G</v>
      </c>
      <c r="F8744" t="str">
        <f t="shared" si="293"/>
        <v>6G</v>
      </c>
    </row>
    <row r="8745" spans="1:6" x14ac:dyDescent="0.2">
      <c r="A8745">
        <v>7</v>
      </c>
      <c r="E8745" t="str">
        <f t="shared" si="292"/>
        <v>H</v>
      </c>
      <c r="F8745" t="str">
        <f t="shared" si="293"/>
        <v>7H</v>
      </c>
    </row>
    <row r="8746" spans="1:6" x14ac:dyDescent="0.2">
      <c r="A8746">
        <v>8</v>
      </c>
      <c r="E8746" t="str">
        <f t="shared" si="292"/>
        <v>I</v>
      </c>
      <c r="F8746" t="str">
        <f t="shared" si="293"/>
        <v>8I</v>
      </c>
    </row>
    <row r="8747" spans="1:6" x14ac:dyDescent="0.2">
      <c r="A8747">
        <v>9</v>
      </c>
      <c r="E8747" t="str">
        <f t="shared" si="292"/>
        <v>J</v>
      </c>
      <c r="F8747" t="str">
        <f t="shared" si="293"/>
        <v>9J</v>
      </c>
    </row>
    <row r="8748" spans="1:6" x14ac:dyDescent="0.2">
      <c r="A8748">
        <v>10</v>
      </c>
      <c r="E8748" t="str">
        <f t="shared" si="292"/>
        <v>K</v>
      </c>
      <c r="F8748" t="str">
        <f t="shared" si="293"/>
        <v>10K</v>
      </c>
    </row>
    <row r="8749" spans="1:6" x14ac:dyDescent="0.2">
      <c r="A8749">
        <v>11</v>
      </c>
      <c r="E8749" t="str">
        <f t="shared" si="292"/>
        <v>L</v>
      </c>
      <c r="F8749" t="str">
        <f t="shared" si="293"/>
        <v>11L</v>
      </c>
    </row>
    <row r="8750" spans="1:6" x14ac:dyDescent="0.2">
      <c r="A8750">
        <v>12</v>
      </c>
      <c r="E8750" t="str">
        <f t="shared" si="292"/>
        <v>M</v>
      </c>
      <c r="F8750" t="str">
        <f t="shared" si="293"/>
        <v>12M</v>
      </c>
    </row>
    <row r="8751" spans="1:6" x14ac:dyDescent="0.2">
      <c r="A8751">
        <v>13</v>
      </c>
      <c r="E8751" t="str">
        <f t="shared" si="292"/>
        <v>N</v>
      </c>
      <c r="F8751" t="str">
        <f t="shared" si="293"/>
        <v>13N</v>
      </c>
    </row>
    <row r="8752" spans="1:6" x14ac:dyDescent="0.2">
      <c r="A8752">
        <v>14</v>
      </c>
      <c r="E8752" t="str">
        <f t="shared" ref="E8752:E8815" si="294">E8726</f>
        <v>O</v>
      </c>
      <c r="F8752" t="str">
        <f t="shared" si="293"/>
        <v>14O</v>
      </c>
    </row>
    <row r="8753" spans="1:6" x14ac:dyDescent="0.2">
      <c r="A8753">
        <v>15</v>
      </c>
      <c r="E8753" t="str">
        <f t="shared" si="294"/>
        <v>P</v>
      </c>
      <c r="F8753" t="str">
        <f t="shared" si="293"/>
        <v>15P</v>
      </c>
    </row>
    <row r="8754" spans="1:6" x14ac:dyDescent="0.2">
      <c r="A8754">
        <v>16</v>
      </c>
      <c r="E8754" t="str">
        <f t="shared" si="294"/>
        <v>Q</v>
      </c>
      <c r="F8754" t="str">
        <f t="shared" si="293"/>
        <v>16Q</v>
      </c>
    </row>
    <row r="8755" spans="1:6" x14ac:dyDescent="0.2">
      <c r="A8755">
        <v>17</v>
      </c>
      <c r="E8755" t="str">
        <f t="shared" si="294"/>
        <v>R</v>
      </c>
      <c r="F8755" t="str">
        <f t="shared" si="293"/>
        <v>17R</v>
      </c>
    </row>
    <row r="8756" spans="1:6" x14ac:dyDescent="0.2">
      <c r="A8756">
        <v>18</v>
      </c>
      <c r="E8756" t="str">
        <f t="shared" si="294"/>
        <v>S</v>
      </c>
      <c r="F8756" t="str">
        <f t="shared" si="293"/>
        <v>18S</v>
      </c>
    </row>
    <row r="8757" spans="1:6" x14ac:dyDescent="0.2">
      <c r="A8757">
        <v>19</v>
      </c>
      <c r="E8757" t="str">
        <f t="shared" si="294"/>
        <v>T</v>
      </c>
      <c r="F8757" t="str">
        <f t="shared" si="293"/>
        <v>19T</v>
      </c>
    </row>
    <row r="8758" spans="1:6" x14ac:dyDescent="0.2">
      <c r="A8758">
        <v>20</v>
      </c>
      <c r="E8758" t="str">
        <f t="shared" si="294"/>
        <v>U</v>
      </c>
      <c r="F8758" t="str">
        <f t="shared" si="293"/>
        <v>20U</v>
      </c>
    </row>
    <row r="8759" spans="1:6" x14ac:dyDescent="0.2">
      <c r="A8759">
        <v>21</v>
      </c>
      <c r="E8759" t="str">
        <f t="shared" si="294"/>
        <v>V</v>
      </c>
      <c r="F8759" t="str">
        <f t="shared" si="293"/>
        <v>21V</v>
      </c>
    </row>
    <row r="8760" spans="1:6" x14ac:dyDescent="0.2">
      <c r="A8760">
        <v>22</v>
      </c>
      <c r="E8760" t="str">
        <f t="shared" si="294"/>
        <v>W</v>
      </c>
      <c r="F8760" t="str">
        <f t="shared" si="293"/>
        <v>22W</v>
      </c>
    </row>
    <row r="8761" spans="1:6" x14ac:dyDescent="0.2">
      <c r="A8761">
        <v>23</v>
      </c>
      <c r="E8761" t="str">
        <f t="shared" si="294"/>
        <v>X</v>
      </c>
      <c r="F8761" t="str">
        <f t="shared" si="293"/>
        <v>23X</v>
      </c>
    </row>
    <row r="8762" spans="1:6" x14ac:dyDescent="0.2">
      <c r="A8762">
        <v>24</v>
      </c>
      <c r="E8762" t="str">
        <f t="shared" si="294"/>
        <v>Y</v>
      </c>
      <c r="F8762" t="str">
        <f t="shared" si="293"/>
        <v>24Y</v>
      </c>
    </row>
    <row r="8763" spans="1:6" x14ac:dyDescent="0.2">
      <c r="A8763">
        <v>25</v>
      </c>
      <c r="E8763" t="str">
        <f t="shared" si="294"/>
        <v>Z</v>
      </c>
      <c r="F8763" t="str">
        <f t="shared" si="293"/>
        <v>25Z</v>
      </c>
    </row>
    <row r="8764" spans="1:6" x14ac:dyDescent="0.2">
      <c r="A8764">
        <v>0</v>
      </c>
      <c r="E8764" t="str">
        <f t="shared" si="294"/>
        <v>A</v>
      </c>
      <c r="F8764" t="str">
        <f t="shared" si="293"/>
        <v>0A</v>
      </c>
    </row>
    <row r="8765" spans="1:6" x14ac:dyDescent="0.2">
      <c r="A8765">
        <v>1</v>
      </c>
      <c r="E8765" t="str">
        <f t="shared" si="294"/>
        <v>B</v>
      </c>
      <c r="F8765" t="str">
        <f t="shared" si="293"/>
        <v>1B</v>
      </c>
    </row>
    <row r="8766" spans="1:6" x14ac:dyDescent="0.2">
      <c r="A8766">
        <v>2</v>
      </c>
      <c r="E8766" t="str">
        <f t="shared" si="294"/>
        <v>C</v>
      </c>
      <c r="F8766" t="str">
        <f t="shared" si="293"/>
        <v>2C</v>
      </c>
    </row>
    <row r="8767" spans="1:6" x14ac:dyDescent="0.2">
      <c r="A8767">
        <v>3</v>
      </c>
      <c r="E8767" t="str">
        <f t="shared" si="294"/>
        <v>D</v>
      </c>
      <c r="F8767" t="str">
        <f t="shared" si="293"/>
        <v>3D</v>
      </c>
    </row>
    <row r="8768" spans="1:6" x14ac:dyDescent="0.2">
      <c r="A8768">
        <v>4</v>
      </c>
      <c r="E8768" t="str">
        <f t="shared" si="294"/>
        <v>E</v>
      </c>
      <c r="F8768" t="str">
        <f t="shared" si="293"/>
        <v>4E</v>
      </c>
    </row>
    <row r="8769" spans="1:6" x14ac:dyDescent="0.2">
      <c r="A8769">
        <v>5</v>
      </c>
      <c r="E8769" t="str">
        <f t="shared" si="294"/>
        <v>F</v>
      </c>
      <c r="F8769" t="str">
        <f t="shared" si="293"/>
        <v>5F</v>
      </c>
    </row>
    <row r="8770" spans="1:6" x14ac:dyDescent="0.2">
      <c r="A8770">
        <v>6</v>
      </c>
      <c r="E8770" t="str">
        <f t="shared" si="294"/>
        <v>G</v>
      </c>
      <c r="F8770" t="str">
        <f t="shared" si="293"/>
        <v>6G</v>
      </c>
    </row>
    <row r="8771" spans="1:6" x14ac:dyDescent="0.2">
      <c r="A8771">
        <v>7</v>
      </c>
      <c r="E8771" t="str">
        <f t="shared" si="294"/>
        <v>H</v>
      </c>
      <c r="F8771" t="str">
        <f t="shared" si="293"/>
        <v>7H</v>
      </c>
    </row>
    <row r="8772" spans="1:6" x14ac:dyDescent="0.2">
      <c r="A8772">
        <v>8</v>
      </c>
      <c r="E8772" t="str">
        <f t="shared" si="294"/>
        <v>I</v>
      </c>
      <c r="F8772" t="str">
        <f t="shared" si="293"/>
        <v>8I</v>
      </c>
    </row>
    <row r="8773" spans="1:6" x14ac:dyDescent="0.2">
      <c r="A8773">
        <v>9</v>
      </c>
      <c r="E8773" t="str">
        <f t="shared" si="294"/>
        <v>J</v>
      </c>
      <c r="F8773" t="str">
        <f t="shared" si="293"/>
        <v>9J</v>
      </c>
    </row>
    <row r="8774" spans="1:6" x14ac:dyDescent="0.2">
      <c r="A8774">
        <v>10</v>
      </c>
      <c r="E8774" t="str">
        <f t="shared" si="294"/>
        <v>K</v>
      </c>
      <c r="F8774" t="str">
        <f t="shared" si="293"/>
        <v>10K</v>
      </c>
    </row>
    <row r="8775" spans="1:6" x14ac:dyDescent="0.2">
      <c r="A8775">
        <v>11</v>
      </c>
      <c r="E8775" t="str">
        <f t="shared" si="294"/>
        <v>L</v>
      </c>
      <c r="F8775" t="str">
        <f t="shared" si="293"/>
        <v>11L</v>
      </c>
    </row>
    <row r="8776" spans="1:6" x14ac:dyDescent="0.2">
      <c r="A8776">
        <v>12</v>
      </c>
      <c r="E8776" t="str">
        <f t="shared" si="294"/>
        <v>M</v>
      </c>
      <c r="F8776" t="str">
        <f t="shared" si="293"/>
        <v>12M</v>
      </c>
    </row>
    <row r="8777" spans="1:6" x14ac:dyDescent="0.2">
      <c r="A8777">
        <v>13</v>
      </c>
      <c r="E8777" t="str">
        <f t="shared" si="294"/>
        <v>N</v>
      </c>
      <c r="F8777" t="str">
        <f t="shared" si="293"/>
        <v>13N</v>
      </c>
    </row>
    <row r="8778" spans="1:6" x14ac:dyDescent="0.2">
      <c r="A8778">
        <v>14</v>
      </c>
      <c r="E8778" t="str">
        <f t="shared" si="294"/>
        <v>O</v>
      </c>
      <c r="F8778" t="str">
        <f t="shared" si="293"/>
        <v>14O</v>
      </c>
    </row>
    <row r="8779" spans="1:6" x14ac:dyDescent="0.2">
      <c r="A8779">
        <v>15</v>
      </c>
      <c r="E8779" t="str">
        <f t="shared" si="294"/>
        <v>P</v>
      </c>
      <c r="F8779" t="str">
        <f t="shared" si="293"/>
        <v>15P</v>
      </c>
    </row>
    <row r="8780" spans="1:6" x14ac:dyDescent="0.2">
      <c r="A8780">
        <v>16</v>
      </c>
      <c r="E8780" t="str">
        <f t="shared" si="294"/>
        <v>Q</v>
      </c>
      <c r="F8780" t="str">
        <f t="shared" si="293"/>
        <v>16Q</v>
      </c>
    </row>
    <row r="8781" spans="1:6" x14ac:dyDescent="0.2">
      <c r="A8781">
        <v>17</v>
      </c>
      <c r="E8781" t="str">
        <f t="shared" si="294"/>
        <v>R</v>
      </c>
      <c r="F8781" t="str">
        <f t="shared" si="293"/>
        <v>17R</v>
      </c>
    </row>
    <row r="8782" spans="1:6" x14ac:dyDescent="0.2">
      <c r="A8782">
        <v>18</v>
      </c>
      <c r="E8782" t="str">
        <f t="shared" si="294"/>
        <v>S</v>
      </c>
      <c r="F8782" t="str">
        <f t="shared" si="293"/>
        <v>18S</v>
      </c>
    </row>
    <row r="8783" spans="1:6" x14ac:dyDescent="0.2">
      <c r="A8783">
        <v>19</v>
      </c>
      <c r="E8783" t="str">
        <f t="shared" si="294"/>
        <v>T</v>
      </c>
      <c r="F8783" t="str">
        <f t="shared" si="293"/>
        <v>19T</v>
      </c>
    </row>
    <row r="8784" spans="1:6" x14ac:dyDescent="0.2">
      <c r="A8784">
        <v>20</v>
      </c>
      <c r="E8784" t="str">
        <f t="shared" si="294"/>
        <v>U</v>
      </c>
      <c r="F8784" t="str">
        <f t="shared" si="293"/>
        <v>20U</v>
      </c>
    </row>
    <row r="8785" spans="1:6" x14ac:dyDescent="0.2">
      <c r="A8785">
        <v>21</v>
      </c>
      <c r="E8785" t="str">
        <f t="shared" si="294"/>
        <v>V</v>
      </c>
      <c r="F8785" t="str">
        <f t="shared" si="293"/>
        <v>21V</v>
      </c>
    </row>
    <row r="8786" spans="1:6" x14ac:dyDescent="0.2">
      <c r="A8786">
        <v>22</v>
      </c>
      <c r="E8786" t="str">
        <f t="shared" si="294"/>
        <v>W</v>
      </c>
      <c r="F8786" t="str">
        <f t="shared" si="293"/>
        <v>22W</v>
      </c>
    </row>
    <row r="8787" spans="1:6" x14ac:dyDescent="0.2">
      <c r="A8787">
        <v>23</v>
      </c>
      <c r="E8787" t="str">
        <f t="shared" si="294"/>
        <v>X</v>
      </c>
      <c r="F8787" t="str">
        <f t="shared" si="293"/>
        <v>23X</v>
      </c>
    </row>
    <row r="8788" spans="1:6" x14ac:dyDescent="0.2">
      <c r="A8788">
        <v>24</v>
      </c>
      <c r="E8788" t="str">
        <f t="shared" si="294"/>
        <v>Y</v>
      </c>
      <c r="F8788" t="str">
        <f t="shared" si="293"/>
        <v>24Y</v>
      </c>
    </row>
    <row r="8789" spans="1:6" x14ac:dyDescent="0.2">
      <c r="A8789">
        <v>25</v>
      </c>
      <c r="E8789" t="str">
        <f t="shared" si="294"/>
        <v>Z</v>
      </c>
      <c r="F8789" t="str">
        <f t="shared" si="293"/>
        <v>25Z</v>
      </c>
    </row>
    <row r="8790" spans="1:6" x14ac:dyDescent="0.2">
      <c r="A8790">
        <v>0</v>
      </c>
      <c r="E8790" t="str">
        <f t="shared" si="294"/>
        <v>A</v>
      </c>
      <c r="F8790" t="str">
        <f>A8790&amp;C8790&amp;E8790</f>
        <v>0A</v>
      </c>
    </row>
    <row r="8791" spans="1:6" x14ac:dyDescent="0.2">
      <c r="A8791">
        <v>1</v>
      </c>
      <c r="E8791" t="str">
        <f t="shared" si="294"/>
        <v>B</v>
      </c>
      <c r="F8791" t="str">
        <f t="shared" ref="F8791:F8852" si="295">A8791&amp;C8791&amp;E8791</f>
        <v>1B</v>
      </c>
    </row>
    <row r="8792" spans="1:6" x14ac:dyDescent="0.2">
      <c r="A8792">
        <v>2</v>
      </c>
      <c r="E8792" t="str">
        <f t="shared" si="294"/>
        <v>C</v>
      </c>
      <c r="F8792" t="str">
        <f t="shared" si="295"/>
        <v>2C</v>
      </c>
    </row>
    <row r="8793" spans="1:6" x14ac:dyDescent="0.2">
      <c r="A8793">
        <v>3</v>
      </c>
      <c r="E8793" t="str">
        <f t="shared" si="294"/>
        <v>D</v>
      </c>
      <c r="F8793" t="str">
        <f t="shared" si="295"/>
        <v>3D</v>
      </c>
    </row>
    <row r="8794" spans="1:6" x14ac:dyDescent="0.2">
      <c r="A8794">
        <v>4</v>
      </c>
      <c r="E8794" t="str">
        <f t="shared" si="294"/>
        <v>E</v>
      </c>
      <c r="F8794" t="str">
        <f t="shared" si="295"/>
        <v>4E</v>
      </c>
    </row>
    <row r="8795" spans="1:6" x14ac:dyDescent="0.2">
      <c r="A8795">
        <v>5</v>
      </c>
      <c r="E8795" t="str">
        <f t="shared" si="294"/>
        <v>F</v>
      </c>
      <c r="F8795" t="str">
        <f t="shared" si="295"/>
        <v>5F</v>
      </c>
    </row>
    <row r="8796" spans="1:6" x14ac:dyDescent="0.2">
      <c r="A8796">
        <v>6</v>
      </c>
      <c r="E8796" t="str">
        <f t="shared" si="294"/>
        <v>G</v>
      </c>
      <c r="F8796" t="str">
        <f t="shared" si="295"/>
        <v>6G</v>
      </c>
    </row>
    <row r="8797" spans="1:6" x14ac:dyDescent="0.2">
      <c r="A8797">
        <v>7</v>
      </c>
      <c r="E8797" t="str">
        <f t="shared" si="294"/>
        <v>H</v>
      </c>
      <c r="F8797" t="str">
        <f t="shared" si="295"/>
        <v>7H</v>
      </c>
    </row>
    <row r="8798" spans="1:6" x14ac:dyDescent="0.2">
      <c r="A8798">
        <v>8</v>
      </c>
      <c r="E8798" t="str">
        <f t="shared" si="294"/>
        <v>I</v>
      </c>
      <c r="F8798" t="str">
        <f t="shared" si="295"/>
        <v>8I</v>
      </c>
    </row>
    <row r="8799" spans="1:6" x14ac:dyDescent="0.2">
      <c r="A8799">
        <v>9</v>
      </c>
      <c r="E8799" t="str">
        <f t="shared" si="294"/>
        <v>J</v>
      </c>
      <c r="F8799" t="str">
        <f t="shared" si="295"/>
        <v>9J</v>
      </c>
    </row>
    <row r="8800" spans="1:6" x14ac:dyDescent="0.2">
      <c r="A8800">
        <v>10</v>
      </c>
      <c r="E8800" t="str">
        <f t="shared" si="294"/>
        <v>K</v>
      </c>
      <c r="F8800" t="str">
        <f t="shared" si="295"/>
        <v>10K</v>
      </c>
    </row>
    <row r="8801" spans="1:6" x14ac:dyDescent="0.2">
      <c r="A8801">
        <v>11</v>
      </c>
      <c r="E8801" t="str">
        <f t="shared" si="294"/>
        <v>L</v>
      </c>
      <c r="F8801" t="str">
        <f t="shared" si="295"/>
        <v>11L</v>
      </c>
    </row>
    <row r="8802" spans="1:6" x14ac:dyDescent="0.2">
      <c r="A8802">
        <v>12</v>
      </c>
      <c r="E8802" t="str">
        <f t="shared" si="294"/>
        <v>M</v>
      </c>
      <c r="F8802" t="str">
        <f t="shared" si="295"/>
        <v>12M</v>
      </c>
    </row>
    <row r="8803" spans="1:6" x14ac:dyDescent="0.2">
      <c r="A8803">
        <v>13</v>
      </c>
      <c r="E8803" t="str">
        <f t="shared" si="294"/>
        <v>N</v>
      </c>
      <c r="F8803" t="str">
        <f t="shared" si="295"/>
        <v>13N</v>
      </c>
    </row>
    <row r="8804" spans="1:6" x14ac:dyDescent="0.2">
      <c r="A8804">
        <v>14</v>
      </c>
      <c r="E8804" t="str">
        <f t="shared" si="294"/>
        <v>O</v>
      </c>
      <c r="F8804" t="str">
        <f t="shared" si="295"/>
        <v>14O</v>
      </c>
    </row>
    <row r="8805" spans="1:6" x14ac:dyDescent="0.2">
      <c r="A8805">
        <v>15</v>
      </c>
      <c r="E8805" t="str">
        <f t="shared" si="294"/>
        <v>P</v>
      </c>
      <c r="F8805" t="str">
        <f t="shared" si="295"/>
        <v>15P</v>
      </c>
    </row>
    <row r="8806" spans="1:6" x14ac:dyDescent="0.2">
      <c r="A8806">
        <v>16</v>
      </c>
      <c r="E8806" t="str">
        <f t="shared" si="294"/>
        <v>Q</v>
      </c>
      <c r="F8806" t="str">
        <f t="shared" si="295"/>
        <v>16Q</v>
      </c>
    </row>
    <row r="8807" spans="1:6" x14ac:dyDescent="0.2">
      <c r="A8807">
        <v>17</v>
      </c>
      <c r="E8807" t="str">
        <f t="shared" si="294"/>
        <v>R</v>
      </c>
      <c r="F8807" t="str">
        <f t="shared" si="295"/>
        <v>17R</v>
      </c>
    </row>
    <row r="8808" spans="1:6" x14ac:dyDescent="0.2">
      <c r="A8808">
        <v>18</v>
      </c>
      <c r="E8808" t="str">
        <f t="shared" si="294"/>
        <v>S</v>
      </c>
      <c r="F8808" t="str">
        <f t="shared" si="295"/>
        <v>18S</v>
      </c>
    </row>
    <row r="8809" spans="1:6" x14ac:dyDescent="0.2">
      <c r="A8809">
        <v>19</v>
      </c>
      <c r="E8809" t="str">
        <f t="shared" si="294"/>
        <v>T</v>
      </c>
      <c r="F8809" t="str">
        <f t="shared" si="295"/>
        <v>19T</v>
      </c>
    </row>
    <row r="8810" spans="1:6" x14ac:dyDescent="0.2">
      <c r="A8810">
        <v>20</v>
      </c>
      <c r="E8810" t="str">
        <f t="shared" si="294"/>
        <v>U</v>
      </c>
      <c r="F8810" t="str">
        <f t="shared" si="295"/>
        <v>20U</v>
      </c>
    </row>
    <row r="8811" spans="1:6" x14ac:dyDescent="0.2">
      <c r="A8811">
        <v>21</v>
      </c>
      <c r="E8811" t="str">
        <f t="shared" si="294"/>
        <v>V</v>
      </c>
      <c r="F8811" t="str">
        <f t="shared" si="295"/>
        <v>21V</v>
      </c>
    </row>
    <row r="8812" spans="1:6" x14ac:dyDescent="0.2">
      <c r="A8812">
        <v>22</v>
      </c>
      <c r="E8812" t="str">
        <f t="shared" si="294"/>
        <v>W</v>
      </c>
      <c r="F8812" t="str">
        <f t="shared" si="295"/>
        <v>22W</v>
      </c>
    </row>
    <row r="8813" spans="1:6" x14ac:dyDescent="0.2">
      <c r="A8813">
        <v>23</v>
      </c>
      <c r="E8813" t="str">
        <f t="shared" si="294"/>
        <v>X</v>
      </c>
      <c r="F8813" t="str">
        <f t="shared" si="295"/>
        <v>23X</v>
      </c>
    </row>
    <row r="8814" spans="1:6" x14ac:dyDescent="0.2">
      <c r="A8814">
        <v>24</v>
      </c>
      <c r="E8814" t="str">
        <f t="shared" si="294"/>
        <v>Y</v>
      </c>
      <c r="F8814" t="str">
        <f t="shared" si="295"/>
        <v>24Y</v>
      </c>
    </row>
    <row r="8815" spans="1:6" x14ac:dyDescent="0.2">
      <c r="A8815">
        <v>25</v>
      </c>
      <c r="E8815" t="str">
        <f t="shared" si="294"/>
        <v>Z</v>
      </c>
      <c r="F8815" t="str">
        <f t="shared" si="295"/>
        <v>25Z</v>
      </c>
    </row>
    <row r="8816" spans="1:6" x14ac:dyDescent="0.2">
      <c r="A8816">
        <v>0</v>
      </c>
      <c r="E8816" t="str">
        <f>E8790</f>
        <v>A</v>
      </c>
      <c r="F8816" t="str">
        <f t="shared" si="295"/>
        <v>0A</v>
      </c>
    </row>
    <row r="8817" spans="1:6" x14ac:dyDescent="0.2">
      <c r="A8817">
        <v>1</v>
      </c>
      <c r="E8817" t="str">
        <f t="shared" ref="E8817:E8852" si="296">E8791</f>
        <v>B</v>
      </c>
      <c r="F8817" t="str">
        <f t="shared" si="295"/>
        <v>1B</v>
      </c>
    </row>
    <row r="8818" spans="1:6" x14ac:dyDescent="0.2">
      <c r="A8818">
        <v>2</v>
      </c>
      <c r="E8818" t="str">
        <f t="shared" si="296"/>
        <v>C</v>
      </c>
      <c r="F8818" t="str">
        <f t="shared" si="295"/>
        <v>2C</v>
      </c>
    </row>
    <row r="8819" spans="1:6" x14ac:dyDescent="0.2">
      <c r="A8819">
        <v>3</v>
      </c>
      <c r="E8819" t="str">
        <f t="shared" si="296"/>
        <v>D</v>
      </c>
      <c r="F8819" t="str">
        <f t="shared" si="295"/>
        <v>3D</v>
      </c>
    </row>
    <row r="8820" spans="1:6" x14ac:dyDescent="0.2">
      <c r="A8820">
        <v>4</v>
      </c>
      <c r="E8820" t="str">
        <f t="shared" si="296"/>
        <v>E</v>
      </c>
      <c r="F8820" t="str">
        <f t="shared" si="295"/>
        <v>4E</v>
      </c>
    </row>
    <row r="8821" spans="1:6" x14ac:dyDescent="0.2">
      <c r="A8821">
        <v>5</v>
      </c>
      <c r="E8821" t="str">
        <f t="shared" si="296"/>
        <v>F</v>
      </c>
      <c r="F8821" t="str">
        <f t="shared" si="295"/>
        <v>5F</v>
      </c>
    </row>
    <row r="8822" spans="1:6" x14ac:dyDescent="0.2">
      <c r="A8822">
        <v>6</v>
      </c>
      <c r="E8822" t="str">
        <f t="shared" si="296"/>
        <v>G</v>
      </c>
      <c r="F8822" t="str">
        <f t="shared" si="295"/>
        <v>6G</v>
      </c>
    </row>
    <row r="8823" spans="1:6" x14ac:dyDescent="0.2">
      <c r="A8823">
        <v>7</v>
      </c>
      <c r="E8823" t="str">
        <f t="shared" si="296"/>
        <v>H</v>
      </c>
      <c r="F8823" t="str">
        <f t="shared" si="295"/>
        <v>7H</v>
      </c>
    </row>
    <row r="8824" spans="1:6" x14ac:dyDescent="0.2">
      <c r="A8824">
        <v>8</v>
      </c>
      <c r="E8824" t="str">
        <f t="shared" si="296"/>
        <v>I</v>
      </c>
      <c r="F8824" t="str">
        <f t="shared" si="295"/>
        <v>8I</v>
      </c>
    </row>
    <row r="8825" spans="1:6" x14ac:dyDescent="0.2">
      <c r="A8825">
        <v>9</v>
      </c>
      <c r="E8825" t="str">
        <f t="shared" si="296"/>
        <v>J</v>
      </c>
      <c r="F8825" t="str">
        <f t="shared" si="295"/>
        <v>9J</v>
      </c>
    </row>
    <row r="8826" spans="1:6" x14ac:dyDescent="0.2">
      <c r="A8826">
        <v>10</v>
      </c>
      <c r="E8826" t="str">
        <f t="shared" si="296"/>
        <v>K</v>
      </c>
      <c r="F8826" t="str">
        <f t="shared" si="295"/>
        <v>10K</v>
      </c>
    </row>
    <row r="8827" spans="1:6" x14ac:dyDescent="0.2">
      <c r="A8827">
        <v>11</v>
      </c>
      <c r="E8827" t="str">
        <f t="shared" si="296"/>
        <v>L</v>
      </c>
      <c r="F8827" t="str">
        <f t="shared" si="295"/>
        <v>11L</v>
      </c>
    </row>
    <row r="8828" spans="1:6" x14ac:dyDescent="0.2">
      <c r="A8828">
        <v>12</v>
      </c>
      <c r="E8828" t="str">
        <f t="shared" si="296"/>
        <v>M</v>
      </c>
      <c r="F8828" t="str">
        <f t="shared" si="295"/>
        <v>12M</v>
      </c>
    </row>
    <row r="8829" spans="1:6" x14ac:dyDescent="0.2">
      <c r="A8829">
        <v>13</v>
      </c>
      <c r="E8829" t="str">
        <f t="shared" si="296"/>
        <v>N</v>
      </c>
      <c r="F8829" t="str">
        <f t="shared" si="295"/>
        <v>13N</v>
      </c>
    </row>
    <row r="8830" spans="1:6" x14ac:dyDescent="0.2">
      <c r="A8830">
        <v>14</v>
      </c>
      <c r="E8830" t="str">
        <f t="shared" si="296"/>
        <v>O</v>
      </c>
      <c r="F8830" t="str">
        <f t="shared" si="295"/>
        <v>14O</v>
      </c>
    </row>
    <row r="8831" spans="1:6" x14ac:dyDescent="0.2">
      <c r="A8831">
        <v>15</v>
      </c>
      <c r="E8831" t="str">
        <f t="shared" si="296"/>
        <v>P</v>
      </c>
      <c r="F8831" t="str">
        <f t="shared" si="295"/>
        <v>15P</v>
      </c>
    </row>
    <row r="8832" spans="1:6" x14ac:dyDescent="0.2">
      <c r="A8832">
        <v>16</v>
      </c>
      <c r="E8832" t="str">
        <f t="shared" si="296"/>
        <v>Q</v>
      </c>
      <c r="F8832" t="str">
        <f t="shared" si="295"/>
        <v>16Q</v>
      </c>
    </row>
    <row r="8833" spans="1:6" x14ac:dyDescent="0.2">
      <c r="A8833">
        <v>17</v>
      </c>
      <c r="E8833" t="str">
        <f t="shared" si="296"/>
        <v>R</v>
      </c>
      <c r="F8833" t="str">
        <f t="shared" si="295"/>
        <v>17R</v>
      </c>
    </row>
    <row r="8834" spans="1:6" x14ac:dyDescent="0.2">
      <c r="A8834">
        <v>18</v>
      </c>
      <c r="E8834" t="str">
        <f t="shared" si="296"/>
        <v>S</v>
      </c>
      <c r="F8834" t="str">
        <f t="shared" si="295"/>
        <v>18S</v>
      </c>
    </row>
    <row r="8835" spans="1:6" x14ac:dyDescent="0.2">
      <c r="A8835">
        <v>19</v>
      </c>
      <c r="E8835" t="str">
        <f t="shared" si="296"/>
        <v>T</v>
      </c>
      <c r="F8835" t="str">
        <f t="shared" si="295"/>
        <v>19T</v>
      </c>
    </row>
    <row r="8836" spans="1:6" x14ac:dyDescent="0.2">
      <c r="A8836">
        <v>20</v>
      </c>
      <c r="E8836" t="str">
        <f t="shared" si="296"/>
        <v>U</v>
      </c>
      <c r="F8836" t="str">
        <f t="shared" si="295"/>
        <v>20U</v>
      </c>
    </row>
    <row r="8837" spans="1:6" x14ac:dyDescent="0.2">
      <c r="A8837">
        <v>21</v>
      </c>
      <c r="E8837" t="str">
        <f t="shared" si="296"/>
        <v>V</v>
      </c>
      <c r="F8837" t="str">
        <f t="shared" si="295"/>
        <v>21V</v>
      </c>
    </row>
    <row r="8838" spans="1:6" x14ac:dyDescent="0.2">
      <c r="A8838">
        <v>22</v>
      </c>
      <c r="E8838" t="str">
        <f t="shared" si="296"/>
        <v>W</v>
      </c>
      <c r="F8838" t="str">
        <f t="shared" si="295"/>
        <v>22W</v>
      </c>
    </row>
    <row r="8839" spans="1:6" x14ac:dyDescent="0.2">
      <c r="A8839">
        <v>23</v>
      </c>
      <c r="E8839" t="str">
        <f t="shared" si="296"/>
        <v>X</v>
      </c>
      <c r="F8839" t="str">
        <f t="shared" si="295"/>
        <v>23X</v>
      </c>
    </row>
    <row r="8840" spans="1:6" x14ac:dyDescent="0.2">
      <c r="A8840">
        <v>24</v>
      </c>
      <c r="E8840" t="str">
        <f t="shared" si="296"/>
        <v>Y</v>
      </c>
      <c r="F8840" t="str">
        <f t="shared" si="295"/>
        <v>24Y</v>
      </c>
    </row>
    <row r="8841" spans="1:6" x14ac:dyDescent="0.2">
      <c r="A8841">
        <v>25</v>
      </c>
      <c r="E8841" t="str">
        <f t="shared" si="296"/>
        <v>Z</v>
      </c>
      <c r="F8841" t="str">
        <f t="shared" si="295"/>
        <v>25Z</v>
      </c>
    </row>
    <row r="8842" spans="1:6" x14ac:dyDescent="0.2">
      <c r="A8842">
        <v>0</v>
      </c>
      <c r="E8842" t="str">
        <f t="shared" si="296"/>
        <v>A</v>
      </c>
      <c r="F8842" t="str">
        <f t="shared" si="295"/>
        <v>0A</v>
      </c>
    </row>
    <row r="8843" spans="1:6" x14ac:dyDescent="0.2">
      <c r="A8843">
        <v>1</v>
      </c>
      <c r="E8843" t="str">
        <f t="shared" si="296"/>
        <v>B</v>
      </c>
      <c r="F8843" t="str">
        <f t="shared" si="295"/>
        <v>1B</v>
      </c>
    </row>
    <row r="8844" spans="1:6" x14ac:dyDescent="0.2">
      <c r="A8844">
        <v>2</v>
      </c>
      <c r="E8844" t="str">
        <f t="shared" si="296"/>
        <v>C</v>
      </c>
      <c r="F8844" t="str">
        <f t="shared" si="295"/>
        <v>2C</v>
      </c>
    </row>
    <row r="8845" spans="1:6" x14ac:dyDescent="0.2">
      <c r="A8845">
        <v>3</v>
      </c>
      <c r="E8845" t="str">
        <f t="shared" si="296"/>
        <v>D</v>
      </c>
      <c r="F8845" t="str">
        <f t="shared" si="295"/>
        <v>3D</v>
      </c>
    </row>
    <row r="8846" spans="1:6" x14ac:dyDescent="0.2">
      <c r="A8846">
        <v>4</v>
      </c>
      <c r="E8846" t="str">
        <f t="shared" si="296"/>
        <v>E</v>
      </c>
      <c r="F8846" t="str">
        <f t="shared" si="295"/>
        <v>4E</v>
      </c>
    </row>
    <row r="8847" spans="1:6" x14ac:dyDescent="0.2">
      <c r="A8847">
        <v>5</v>
      </c>
      <c r="E8847" t="str">
        <f t="shared" si="296"/>
        <v>F</v>
      </c>
      <c r="F8847" t="str">
        <f t="shared" si="295"/>
        <v>5F</v>
      </c>
    </row>
    <row r="8848" spans="1:6" x14ac:dyDescent="0.2">
      <c r="A8848">
        <v>6</v>
      </c>
      <c r="E8848" t="str">
        <f t="shared" si="296"/>
        <v>G</v>
      </c>
      <c r="F8848" t="str">
        <f t="shared" si="295"/>
        <v>6G</v>
      </c>
    </row>
    <row r="8849" spans="1:6" x14ac:dyDescent="0.2">
      <c r="A8849">
        <v>7</v>
      </c>
      <c r="E8849" t="str">
        <f t="shared" si="296"/>
        <v>H</v>
      </c>
      <c r="F8849" t="str">
        <f t="shared" si="295"/>
        <v>7H</v>
      </c>
    </row>
    <row r="8850" spans="1:6" x14ac:dyDescent="0.2">
      <c r="A8850">
        <v>8</v>
      </c>
      <c r="E8850" t="str">
        <f t="shared" si="296"/>
        <v>I</v>
      </c>
      <c r="F8850" t="str">
        <f t="shared" si="295"/>
        <v>8I</v>
      </c>
    </row>
    <row r="8851" spans="1:6" x14ac:dyDescent="0.2">
      <c r="A8851">
        <v>9</v>
      </c>
      <c r="E8851" t="str">
        <f t="shared" si="296"/>
        <v>J</v>
      </c>
      <c r="F8851" t="str">
        <f t="shared" si="295"/>
        <v>9J</v>
      </c>
    </row>
    <row r="8852" spans="1:6" x14ac:dyDescent="0.2">
      <c r="A8852">
        <v>10</v>
      </c>
      <c r="E8852" t="str">
        <f t="shared" si="296"/>
        <v>K</v>
      </c>
      <c r="F8852" t="str">
        <f t="shared" si="295"/>
        <v>10K</v>
      </c>
    </row>
    <row r="8853" spans="1:6" x14ac:dyDescent="0.2">
      <c r="A8853">
        <v>11</v>
      </c>
      <c r="E8853" t="str">
        <f t="shared" ref="E8853:E8916" si="297">E8827</f>
        <v>L</v>
      </c>
      <c r="F8853" t="str">
        <f t="shared" ref="F8853:F8916" si="298">A8853&amp;C8853&amp;E8853</f>
        <v>11L</v>
      </c>
    </row>
    <row r="8854" spans="1:6" x14ac:dyDescent="0.2">
      <c r="A8854">
        <v>12</v>
      </c>
      <c r="E8854" t="str">
        <f t="shared" si="297"/>
        <v>M</v>
      </c>
      <c r="F8854" t="str">
        <f t="shared" si="298"/>
        <v>12M</v>
      </c>
    </row>
    <row r="8855" spans="1:6" x14ac:dyDescent="0.2">
      <c r="A8855">
        <v>13</v>
      </c>
      <c r="E8855" t="str">
        <f t="shared" si="297"/>
        <v>N</v>
      </c>
      <c r="F8855" t="str">
        <f t="shared" si="298"/>
        <v>13N</v>
      </c>
    </row>
    <row r="8856" spans="1:6" x14ac:dyDescent="0.2">
      <c r="A8856">
        <v>14</v>
      </c>
      <c r="E8856" t="str">
        <f t="shared" si="297"/>
        <v>O</v>
      </c>
      <c r="F8856" t="str">
        <f t="shared" si="298"/>
        <v>14O</v>
      </c>
    </row>
    <row r="8857" spans="1:6" x14ac:dyDescent="0.2">
      <c r="A8857">
        <v>15</v>
      </c>
      <c r="E8857" t="str">
        <f t="shared" si="297"/>
        <v>P</v>
      </c>
      <c r="F8857" t="str">
        <f t="shared" si="298"/>
        <v>15P</v>
      </c>
    </row>
    <row r="8858" spans="1:6" x14ac:dyDescent="0.2">
      <c r="A8858">
        <v>16</v>
      </c>
      <c r="E8858" t="str">
        <f t="shared" si="297"/>
        <v>Q</v>
      </c>
      <c r="F8858" t="str">
        <f t="shared" si="298"/>
        <v>16Q</v>
      </c>
    </row>
    <row r="8859" spans="1:6" x14ac:dyDescent="0.2">
      <c r="A8859">
        <v>17</v>
      </c>
      <c r="E8859" t="str">
        <f t="shared" si="297"/>
        <v>R</v>
      </c>
      <c r="F8859" t="str">
        <f t="shared" si="298"/>
        <v>17R</v>
      </c>
    </row>
    <row r="8860" spans="1:6" x14ac:dyDescent="0.2">
      <c r="A8860">
        <v>18</v>
      </c>
      <c r="E8860" t="str">
        <f t="shared" si="297"/>
        <v>S</v>
      </c>
      <c r="F8860" t="str">
        <f t="shared" si="298"/>
        <v>18S</v>
      </c>
    </row>
    <row r="8861" spans="1:6" x14ac:dyDescent="0.2">
      <c r="A8861">
        <v>19</v>
      </c>
      <c r="E8861" t="str">
        <f t="shared" si="297"/>
        <v>T</v>
      </c>
      <c r="F8861" t="str">
        <f t="shared" si="298"/>
        <v>19T</v>
      </c>
    </row>
    <row r="8862" spans="1:6" x14ac:dyDescent="0.2">
      <c r="A8862">
        <v>20</v>
      </c>
      <c r="E8862" t="str">
        <f t="shared" si="297"/>
        <v>U</v>
      </c>
      <c r="F8862" t="str">
        <f t="shared" si="298"/>
        <v>20U</v>
      </c>
    </row>
    <row r="8863" spans="1:6" x14ac:dyDescent="0.2">
      <c r="A8863">
        <v>21</v>
      </c>
      <c r="E8863" t="str">
        <f t="shared" si="297"/>
        <v>V</v>
      </c>
      <c r="F8863" t="str">
        <f t="shared" si="298"/>
        <v>21V</v>
      </c>
    </row>
    <row r="8864" spans="1:6" x14ac:dyDescent="0.2">
      <c r="A8864">
        <v>22</v>
      </c>
      <c r="E8864" t="str">
        <f t="shared" si="297"/>
        <v>W</v>
      </c>
      <c r="F8864" t="str">
        <f t="shared" si="298"/>
        <v>22W</v>
      </c>
    </row>
    <row r="8865" spans="1:6" x14ac:dyDescent="0.2">
      <c r="A8865">
        <v>23</v>
      </c>
      <c r="E8865" t="str">
        <f t="shared" si="297"/>
        <v>X</v>
      </c>
      <c r="F8865" t="str">
        <f t="shared" si="298"/>
        <v>23X</v>
      </c>
    </row>
    <row r="8866" spans="1:6" x14ac:dyDescent="0.2">
      <c r="A8866">
        <v>24</v>
      </c>
      <c r="E8866" t="str">
        <f t="shared" si="297"/>
        <v>Y</v>
      </c>
      <c r="F8866" t="str">
        <f t="shared" si="298"/>
        <v>24Y</v>
      </c>
    </row>
    <row r="8867" spans="1:6" x14ac:dyDescent="0.2">
      <c r="A8867">
        <v>25</v>
      </c>
      <c r="E8867" t="str">
        <f t="shared" si="297"/>
        <v>Z</v>
      </c>
      <c r="F8867" t="str">
        <f t="shared" si="298"/>
        <v>25Z</v>
      </c>
    </row>
    <row r="8868" spans="1:6" x14ac:dyDescent="0.2">
      <c r="A8868">
        <v>0</v>
      </c>
      <c r="E8868" t="str">
        <f t="shared" si="297"/>
        <v>A</v>
      </c>
      <c r="F8868" t="str">
        <f t="shared" si="298"/>
        <v>0A</v>
      </c>
    </row>
    <row r="8869" spans="1:6" x14ac:dyDescent="0.2">
      <c r="A8869">
        <v>1</v>
      </c>
      <c r="E8869" t="str">
        <f t="shared" si="297"/>
        <v>B</v>
      </c>
      <c r="F8869" t="str">
        <f t="shared" si="298"/>
        <v>1B</v>
      </c>
    </row>
    <row r="8870" spans="1:6" x14ac:dyDescent="0.2">
      <c r="A8870">
        <v>2</v>
      </c>
      <c r="E8870" t="str">
        <f t="shared" si="297"/>
        <v>C</v>
      </c>
      <c r="F8870" t="str">
        <f t="shared" si="298"/>
        <v>2C</v>
      </c>
    </row>
    <row r="8871" spans="1:6" x14ac:dyDescent="0.2">
      <c r="A8871">
        <v>3</v>
      </c>
      <c r="E8871" t="str">
        <f t="shared" si="297"/>
        <v>D</v>
      </c>
      <c r="F8871" t="str">
        <f t="shared" si="298"/>
        <v>3D</v>
      </c>
    </row>
    <row r="8872" spans="1:6" x14ac:dyDescent="0.2">
      <c r="A8872">
        <v>4</v>
      </c>
      <c r="E8872" t="str">
        <f t="shared" si="297"/>
        <v>E</v>
      </c>
      <c r="F8872" t="str">
        <f t="shared" si="298"/>
        <v>4E</v>
      </c>
    </row>
    <row r="8873" spans="1:6" x14ac:dyDescent="0.2">
      <c r="A8873">
        <v>5</v>
      </c>
      <c r="E8873" t="str">
        <f t="shared" si="297"/>
        <v>F</v>
      </c>
      <c r="F8873" t="str">
        <f t="shared" si="298"/>
        <v>5F</v>
      </c>
    </row>
    <row r="8874" spans="1:6" x14ac:dyDescent="0.2">
      <c r="A8874">
        <v>6</v>
      </c>
      <c r="E8874" t="str">
        <f t="shared" si="297"/>
        <v>G</v>
      </c>
      <c r="F8874" t="str">
        <f t="shared" si="298"/>
        <v>6G</v>
      </c>
    </row>
    <row r="8875" spans="1:6" x14ac:dyDescent="0.2">
      <c r="A8875">
        <v>7</v>
      </c>
      <c r="E8875" t="str">
        <f t="shared" si="297"/>
        <v>H</v>
      </c>
      <c r="F8875" t="str">
        <f t="shared" si="298"/>
        <v>7H</v>
      </c>
    </row>
    <row r="8876" spans="1:6" x14ac:dyDescent="0.2">
      <c r="A8876">
        <v>8</v>
      </c>
      <c r="E8876" t="str">
        <f t="shared" si="297"/>
        <v>I</v>
      </c>
      <c r="F8876" t="str">
        <f t="shared" si="298"/>
        <v>8I</v>
      </c>
    </row>
    <row r="8877" spans="1:6" x14ac:dyDescent="0.2">
      <c r="A8877">
        <v>9</v>
      </c>
      <c r="E8877" t="str">
        <f t="shared" si="297"/>
        <v>J</v>
      </c>
      <c r="F8877" t="str">
        <f t="shared" si="298"/>
        <v>9J</v>
      </c>
    </row>
    <row r="8878" spans="1:6" x14ac:dyDescent="0.2">
      <c r="A8878">
        <v>10</v>
      </c>
      <c r="E8878" t="str">
        <f t="shared" si="297"/>
        <v>K</v>
      </c>
      <c r="F8878" t="str">
        <f t="shared" si="298"/>
        <v>10K</v>
      </c>
    </row>
    <row r="8879" spans="1:6" x14ac:dyDescent="0.2">
      <c r="A8879">
        <v>11</v>
      </c>
      <c r="E8879" t="str">
        <f t="shared" si="297"/>
        <v>L</v>
      </c>
      <c r="F8879" t="str">
        <f t="shared" si="298"/>
        <v>11L</v>
      </c>
    </row>
    <row r="8880" spans="1:6" x14ac:dyDescent="0.2">
      <c r="A8880">
        <v>12</v>
      </c>
      <c r="E8880" t="str">
        <f t="shared" si="297"/>
        <v>M</v>
      </c>
      <c r="F8880" t="str">
        <f t="shared" si="298"/>
        <v>12M</v>
      </c>
    </row>
    <row r="8881" spans="1:6" x14ac:dyDescent="0.2">
      <c r="A8881">
        <v>13</v>
      </c>
      <c r="E8881" t="str">
        <f t="shared" si="297"/>
        <v>N</v>
      </c>
      <c r="F8881" t="str">
        <f t="shared" si="298"/>
        <v>13N</v>
      </c>
    </row>
    <row r="8882" spans="1:6" x14ac:dyDescent="0.2">
      <c r="A8882">
        <v>14</v>
      </c>
      <c r="E8882" t="str">
        <f t="shared" si="297"/>
        <v>O</v>
      </c>
      <c r="F8882" t="str">
        <f t="shared" si="298"/>
        <v>14O</v>
      </c>
    </row>
    <row r="8883" spans="1:6" x14ac:dyDescent="0.2">
      <c r="A8883">
        <v>15</v>
      </c>
      <c r="E8883" t="str">
        <f t="shared" si="297"/>
        <v>P</v>
      </c>
      <c r="F8883" t="str">
        <f t="shared" si="298"/>
        <v>15P</v>
      </c>
    </row>
    <row r="8884" spans="1:6" x14ac:dyDescent="0.2">
      <c r="A8884">
        <v>16</v>
      </c>
      <c r="E8884" t="str">
        <f t="shared" si="297"/>
        <v>Q</v>
      </c>
      <c r="F8884" t="str">
        <f t="shared" si="298"/>
        <v>16Q</v>
      </c>
    </row>
    <row r="8885" spans="1:6" x14ac:dyDescent="0.2">
      <c r="A8885">
        <v>17</v>
      </c>
      <c r="E8885" t="str">
        <f t="shared" si="297"/>
        <v>R</v>
      </c>
      <c r="F8885" t="str">
        <f t="shared" si="298"/>
        <v>17R</v>
      </c>
    </row>
    <row r="8886" spans="1:6" x14ac:dyDescent="0.2">
      <c r="A8886">
        <v>18</v>
      </c>
      <c r="E8886" t="str">
        <f t="shared" si="297"/>
        <v>S</v>
      </c>
      <c r="F8886" t="str">
        <f t="shared" si="298"/>
        <v>18S</v>
      </c>
    </row>
    <row r="8887" spans="1:6" x14ac:dyDescent="0.2">
      <c r="A8887">
        <v>19</v>
      </c>
      <c r="E8887" t="str">
        <f t="shared" si="297"/>
        <v>T</v>
      </c>
      <c r="F8887" t="str">
        <f t="shared" si="298"/>
        <v>19T</v>
      </c>
    </row>
    <row r="8888" spans="1:6" x14ac:dyDescent="0.2">
      <c r="A8888">
        <v>20</v>
      </c>
      <c r="E8888" t="str">
        <f t="shared" si="297"/>
        <v>U</v>
      </c>
      <c r="F8888" t="str">
        <f t="shared" si="298"/>
        <v>20U</v>
      </c>
    </row>
    <row r="8889" spans="1:6" x14ac:dyDescent="0.2">
      <c r="A8889">
        <v>21</v>
      </c>
      <c r="E8889" t="str">
        <f t="shared" si="297"/>
        <v>V</v>
      </c>
      <c r="F8889" t="str">
        <f t="shared" si="298"/>
        <v>21V</v>
      </c>
    </row>
    <row r="8890" spans="1:6" x14ac:dyDescent="0.2">
      <c r="A8890">
        <v>22</v>
      </c>
      <c r="E8890" t="str">
        <f t="shared" si="297"/>
        <v>W</v>
      </c>
      <c r="F8890" t="str">
        <f t="shared" si="298"/>
        <v>22W</v>
      </c>
    </row>
    <row r="8891" spans="1:6" x14ac:dyDescent="0.2">
      <c r="A8891">
        <v>23</v>
      </c>
      <c r="E8891" t="str">
        <f t="shared" si="297"/>
        <v>X</v>
      </c>
      <c r="F8891" t="str">
        <f t="shared" si="298"/>
        <v>23X</v>
      </c>
    </row>
    <row r="8892" spans="1:6" x14ac:dyDescent="0.2">
      <c r="A8892">
        <v>24</v>
      </c>
      <c r="E8892" t="str">
        <f t="shared" si="297"/>
        <v>Y</v>
      </c>
      <c r="F8892" t="str">
        <f t="shared" si="298"/>
        <v>24Y</v>
      </c>
    </row>
    <row r="8893" spans="1:6" x14ac:dyDescent="0.2">
      <c r="A8893">
        <v>25</v>
      </c>
      <c r="E8893" t="str">
        <f t="shared" si="297"/>
        <v>Z</v>
      </c>
      <c r="F8893" t="str">
        <f t="shared" si="298"/>
        <v>25Z</v>
      </c>
    </row>
    <row r="8894" spans="1:6" x14ac:dyDescent="0.2">
      <c r="A8894">
        <v>0</v>
      </c>
      <c r="E8894" t="str">
        <f t="shared" si="297"/>
        <v>A</v>
      </c>
      <c r="F8894" t="str">
        <f t="shared" si="298"/>
        <v>0A</v>
      </c>
    </row>
    <row r="8895" spans="1:6" x14ac:dyDescent="0.2">
      <c r="A8895">
        <v>1</v>
      </c>
      <c r="E8895" t="str">
        <f t="shared" si="297"/>
        <v>B</v>
      </c>
      <c r="F8895" t="str">
        <f t="shared" si="298"/>
        <v>1B</v>
      </c>
    </row>
    <row r="8896" spans="1:6" x14ac:dyDescent="0.2">
      <c r="A8896">
        <v>2</v>
      </c>
      <c r="E8896" t="str">
        <f t="shared" si="297"/>
        <v>C</v>
      </c>
      <c r="F8896" t="str">
        <f t="shared" si="298"/>
        <v>2C</v>
      </c>
    </row>
    <row r="8897" spans="1:6" x14ac:dyDescent="0.2">
      <c r="A8897">
        <v>3</v>
      </c>
      <c r="E8897" t="str">
        <f t="shared" si="297"/>
        <v>D</v>
      </c>
      <c r="F8897" t="str">
        <f t="shared" si="298"/>
        <v>3D</v>
      </c>
    </row>
    <row r="8898" spans="1:6" x14ac:dyDescent="0.2">
      <c r="A8898">
        <v>4</v>
      </c>
      <c r="E8898" t="str">
        <f t="shared" si="297"/>
        <v>E</v>
      </c>
      <c r="F8898" t="str">
        <f t="shared" si="298"/>
        <v>4E</v>
      </c>
    </row>
    <row r="8899" spans="1:6" x14ac:dyDescent="0.2">
      <c r="A8899">
        <v>5</v>
      </c>
      <c r="E8899" t="str">
        <f t="shared" si="297"/>
        <v>F</v>
      </c>
      <c r="F8899" t="str">
        <f t="shared" si="298"/>
        <v>5F</v>
      </c>
    </row>
    <row r="8900" spans="1:6" x14ac:dyDescent="0.2">
      <c r="A8900">
        <v>6</v>
      </c>
      <c r="E8900" t="str">
        <f t="shared" si="297"/>
        <v>G</v>
      </c>
      <c r="F8900" t="str">
        <f t="shared" si="298"/>
        <v>6G</v>
      </c>
    </row>
    <row r="8901" spans="1:6" x14ac:dyDescent="0.2">
      <c r="A8901">
        <v>7</v>
      </c>
      <c r="E8901" t="str">
        <f t="shared" si="297"/>
        <v>H</v>
      </c>
      <c r="F8901" t="str">
        <f t="shared" si="298"/>
        <v>7H</v>
      </c>
    </row>
    <row r="8902" spans="1:6" x14ac:dyDescent="0.2">
      <c r="A8902">
        <v>8</v>
      </c>
      <c r="E8902" t="str">
        <f t="shared" si="297"/>
        <v>I</v>
      </c>
      <c r="F8902" t="str">
        <f t="shared" si="298"/>
        <v>8I</v>
      </c>
    </row>
    <row r="8903" spans="1:6" x14ac:dyDescent="0.2">
      <c r="A8903">
        <v>9</v>
      </c>
      <c r="E8903" t="str">
        <f t="shared" si="297"/>
        <v>J</v>
      </c>
      <c r="F8903" t="str">
        <f t="shared" si="298"/>
        <v>9J</v>
      </c>
    </row>
    <row r="8904" spans="1:6" x14ac:dyDescent="0.2">
      <c r="A8904">
        <v>10</v>
      </c>
      <c r="E8904" t="str">
        <f t="shared" si="297"/>
        <v>K</v>
      </c>
      <c r="F8904" t="str">
        <f t="shared" si="298"/>
        <v>10K</v>
      </c>
    </row>
    <row r="8905" spans="1:6" x14ac:dyDescent="0.2">
      <c r="A8905">
        <v>11</v>
      </c>
      <c r="E8905" t="str">
        <f t="shared" si="297"/>
        <v>L</v>
      </c>
      <c r="F8905" t="str">
        <f t="shared" si="298"/>
        <v>11L</v>
      </c>
    </row>
    <row r="8906" spans="1:6" x14ac:dyDescent="0.2">
      <c r="A8906">
        <v>12</v>
      </c>
      <c r="E8906" t="str">
        <f t="shared" si="297"/>
        <v>M</v>
      </c>
      <c r="F8906" t="str">
        <f t="shared" si="298"/>
        <v>12M</v>
      </c>
    </row>
    <row r="8907" spans="1:6" x14ac:dyDescent="0.2">
      <c r="A8907">
        <v>13</v>
      </c>
      <c r="E8907" t="str">
        <f t="shared" si="297"/>
        <v>N</v>
      </c>
      <c r="F8907" t="str">
        <f t="shared" si="298"/>
        <v>13N</v>
      </c>
    </row>
    <row r="8908" spans="1:6" x14ac:dyDescent="0.2">
      <c r="A8908">
        <v>14</v>
      </c>
      <c r="E8908" t="str">
        <f t="shared" si="297"/>
        <v>O</v>
      </c>
      <c r="F8908" t="str">
        <f t="shared" si="298"/>
        <v>14O</v>
      </c>
    </row>
    <row r="8909" spans="1:6" x14ac:dyDescent="0.2">
      <c r="A8909">
        <v>15</v>
      </c>
      <c r="E8909" t="str">
        <f t="shared" si="297"/>
        <v>P</v>
      </c>
      <c r="F8909" t="str">
        <f t="shared" si="298"/>
        <v>15P</v>
      </c>
    </row>
    <row r="8910" spans="1:6" x14ac:dyDescent="0.2">
      <c r="A8910">
        <v>16</v>
      </c>
      <c r="E8910" t="str">
        <f t="shared" si="297"/>
        <v>Q</v>
      </c>
      <c r="F8910" t="str">
        <f t="shared" si="298"/>
        <v>16Q</v>
      </c>
    </row>
    <row r="8911" spans="1:6" x14ac:dyDescent="0.2">
      <c r="A8911">
        <v>17</v>
      </c>
      <c r="E8911" t="str">
        <f t="shared" si="297"/>
        <v>R</v>
      </c>
      <c r="F8911" t="str">
        <f t="shared" si="298"/>
        <v>17R</v>
      </c>
    </row>
    <row r="8912" spans="1:6" x14ac:dyDescent="0.2">
      <c r="A8912">
        <v>18</v>
      </c>
      <c r="E8912" t="str">
        <f t="shared" si="297"/>
        <v>S</v>
      </c>
      <c r="F8912" t="str">
        <f t="shared" si="298"/>
        <v>18S</v>
      </c>
    </row>
    <row r="8913" spans="1:6" x14ac:dyDescent="0.2">
      <c r="A8913">
        <v>19</v>
      </c>
      <c r="E8913" t="str">
        <f t="shared" si="297"/>
        <v>T</v>
      </c>
      <c r="F8913" t="str">
        <f t="shared" si="298"/>
        <v>19T</v>
      </c>
    </row>
    <row r="8914" spans="1:6" x14ac:dyDescent="0.2">
      <c r="A8914">
        <v>20</v>
      </c>
      <c r="E8914" t="str">
        <f t="shared" si="297"/>
        <v>U</v>
      </c>
      <c r="F8914" t="str">
        <f t="shared" si="298"/>
        <v>20U</v>
      </c>
    </row>
    <row r="8915" spans="1:6" x14ac:dyDescent="0.2">
      <c r="A8915">
        <v>21</v>
      </c>
      <c r="E8915" t="str">
        <f t="shared" si="297"/>
        <v>V</v>
      </c>
      <c r="F8915" t="str">
        <f t="shared" si="298"/>
        <v>21V</v>
      </c>
    </row>
    <row r="8916" spans="1:6" x14ac:dyDescent="0.2">
      <c r="A8916">
        <v>22</v>
      </c>
      <c r="E8916" t="str">
        <f t="shared" si="297"/>
        <v>W</v>
      </c>
      <c r="F8916" t="str">
        <f t="shared" si="298"/>
        <v>22W</v>
      </c>
    </row>
    <row r="8917" spans="1:6" x14ac:dyDescent="0.2">
      <c r="A8917">
        <v>23</v>
      </c>
      <c r="E8917" t="str">
        <f t="shared" ref="E8917:E8980" si="299">E8891</f>
        <v>X</v>
      </c>
      <c r="F8917" t="str">
        <f t="shared" ref="F8917:F8980" si="300">A8917&amp;C8917&amp;E8917</f>
        <v>23X</v>
      </c>
    </row>
    <row r="8918" spans="1:6" x14ac:dyDescent="0.2">
      <c r="A8918">
        <v>24</v>
      </c>
      <c r="E8918" t="str">
        <f t="shared" si="299"/>
        <v>Y</v>
      </c>
      <c r="F8918" t="str">
        <f t="shared" si="300"/>
        <v>24Y</v>
      </c>
    </row>
    <row r="8919" spans="1:6" x14ac:dyDescent="0.2">
      <c r="A8919">
        <v>25</v>
      </c>
      <c r="E8919" t="str">
        <f t="shared" si="299"/>
        <v>Z</v>
      </c>
      <c r="F8919" t="str">
        <f t="shared" si="300"/>
        <v>25Z</v>
      </c>
    </row>
    <row r="8920" spans="1:6" x14ac:dyDescent="0.2">
      <c r="A8920">
        <v>0</v>
      </c>
      <c r="E8920" t="str">
        <f t="shared" si="299"/>
        <v>A</v>
      </c>
      <c r="F8920" t="str">
        <f t="shared" si="300"/>
        <v>0A</v>
      </c>
    </row>
    <row r="8921" spans="1:6" x14ac:dyDescent="0.2">
      <c r="A8921">
        <v>1</v>
      </c>
      <c r="E8921" t="str">
        <f t="shared" si="299"/>
        <v>B</v>
      </c>
      <c r="F8921" t="str">
        <f t="shared" si="300"/>
        <v>1B</v>
      </c>
    </row>
    <row r="8922" spans="1:6" x14ac:dyDescent="0.2">
      <c r="A8922">
        <v>2</v>
      </c>
      <c r="E8922" t="str">
        <f t="shared" si="299"/>
        <v>C</v>
      </c>
      <c r="F8922" t="str">
        <f t="shared" si="300"/>
        <v>2C</v>
      </c>
    </row>
    <row r="8923" spans="1:6" x14ac:dyDescent="0.2">
      <c r="A8923">
        <v>3</v>
      </c>
      <c r="E8923" t="str">
        <f t="shared" si="299"/>
        <v>D</v>
      </c>
      <c r="F8923" t="str">
        <f t="shared" si="300"/>
        <v>3D</v>
      </c>
    </row>
    <row r="8924" spans="1:6" x14ac:dyDescent="0.2">
      <c r="A8924">
        <v>4</v>
      </c>
      <c r="E8924" t="str">
        <f t="shared" si="299"/>
        <v>E</v>
      </c>
      <c r="F8924" t="str">
        <f t="shared" si="300"/>
        <v>4E</v>
      </c>
    </row>
    <row r="8925" spans="1:6" x14ac:dyDescent="0.2">
      <c r="A8925">
        <v>5</v>
      </c>
      <c r="E8925" t="str">
        <f t="shared" si="299"/>
        <v>F</v>
      </c>
      <c r="F8925" t="str">
        <f t="shared" si="300"/>
        <v>5F</v>
      </c>
    </row>
    <row r="8926" spans="1:6" x14ac:dyDescent="0.2">
      <c r="A8926">
        <v>6</v>
      </c>
      <c r="E8926" t="str">
        <f t="shared" si="299"/>
        <v>G</v>
      </c>
      <c r="F8926" t="str">
        <f t="shared" si="300"/>
        <v>6G</v>
      </c>
    </row>
    <row r="8927" spans="1:6" x14ac:dyDescent="0.2">
      <c r="A8927">
        <v>7</v>
      </c>
      <c r="E8927" t="str">
        <f t="shared" si="299"/>
        <v>H</v>
      </c>
      <c r="F8927" t="str">
        <f t="shared" si="300"/>
        <v>7H</v>
      </c>
    </row>
    <row r="8928" spans="1:6" x14ac:dyDescent="0.2">
      <c r="A8928">
        <v>8</v>
      </c>
      <c r="E8928" t="str">
        <f t="shared" si="299"/>
        <v>I</v>
      </c>
      <c r="F8928" t="str">
        <f t="shared" si="300"/>
        <v>8I</v>
      </c>
    </row>
    <row r="8929" spans="1:6" x14ac:dyDescent="0.2">
      <c r="A8929">
        <v>9</v>
      </c>
      <c r="E8929" t="str">
        <f t="shared" si="299"/>
        <v>J</v>
      </c>
      <c r="F8929" t="str">
        <f t="shared" si="300"/>
        <v>9J</v>
      </c>
    </row>
    <row r="8930" spans="1:6" x14ac:dyDescent="0.2">
      <c r="A8930">
        <v>10</v>
      </c>
      <c r="E8930" t="str">
        <f t="shared" si="299"/>
        <v>K</v>
      </c>
      <c r="F8930" t="str">
        <f t="shared" si="300"/>
        <v>10K</v>
      </c>
    </row>
    <row r="8931" spans="1:6" x14ac:dyDescent="0.2">
      <c r="A8931">
        <v>11</v>
      </c>
      <c r="E8931" t="str">
        <f t="shared" si="299"/>
        <v>L</v>
      </c>
      <c r="F8931" t="str">
        <f t="shared" si="300"/>
        <v>11L</v>
      </c>
    </row>
    <row r="8932" spans="1:6" x14ac:dyDescent="0.2">
      <c r="A8932">
        <v>12</v>
      </c>
      <c r="E8932" t="str">
        <f t="shared" si="299"/>
        <v>M</v>
      </c>
      <c r="F8932" t="str">
        <f t="shared" si="300"/>
        <v>12M</v>
      </c>
    </row>
    <row r="8933" spans="1:6" x14ac:dyDescent="0.2">
      <c r="A8933">
        <v>13</v>
      </c>
      <c r="E8933" t="str">
        <f t="shared" si="299"/>
        <v>N</v>
      </c>
      <c r="F8933" t="str">
        <f t="shared" si="300"/>
        <v>13N</v>
      </c>
    </row>
    <row r="8934" spans="1:6" x14ac:dyDescent="0.2">
      <c r="A8934">
        <v>14</v>
      </c>
      <c r="E8934" t="str">
        <f t="shared" si="299"/>
        <v>O</v>
      </c>
      <c r="F8934" t="str">
        <f t="shared" si="300"/>
        <v>14O</v>
      </c>
    </row>
    <row r="8935" spans="1:6" x14ac:dyDescent="0.2">
      <c r="A8935">
        <v>15</v>
      </c>
      <c r="E8935" t="str">
        <f t="shared" si="299"/>
        <v>P</v>
      </c>
      <c r="F8935" t="str">
        <f t="shared" si="300"/>
        <v>15P</v>
      </c>
    </row>
    <row r="8936" spans="1:6" x14ac:dyDescent="0.2">
      <c r="A8936">
        <v>16</v>
      </c>
      <c r="E8936" t="str">
        <f t="shared" si="299"/>
        <v>Q</v>
      </c>
      <c r="F8936" t="str">
        <f t="shared" si="300"/>
        <v>16Q</v>
      </c>
    </row>
    <row r="8937" spans="1:6" x14ac:dyDescent="0.2">
      <c r="A8937">
        <v>17</v>
      </c>
      <c r="E8937" t="str">
        <f t="shared" si="299"/>
        <v>R</v>
      </c>
      <c r="F8937" t="str">
        <f t="shared" si="300"/>
        <v>17R</v>
      </c>
    </row>
    <row r="8938" spans="1:6" x14ac:dyDescent="0.2">
      <c r="A8938">
        <v>18</v>
      </c>
      <c r="E8938" t="str">
        <f t="shared" si="299"/>
        <v>S</v>
      </c>
      <c r="F8938" t="str">
        <f t="shared" si="300"/>
        <v>18S</v>
      </c>
    </row>
    <row r="8939" spans="1:6" x14ac:dyDescent="0.2">
      <c r="A8939">
        <v>19</v>
      </c>
      <c r="E8939" t="str">
        <f t="shared" si="299"/>
        <v>T</v>
      </c>
      <c r="F8939" t="str">
        <f t="shared" si="300"/>
        <v>19T</v>
      </c>
    </row>
    <row r="8940" spans="1:6" x14ac:dyDescent="0.2">
      <c r="A8940">
        <v>20</v>
      </c>
      <c r="E8940" t="str">
        <f t="shared" si="299"/>
        <v>U</v>
      </c>
      <c r="F8940" t="str">
        <f t="shared" si="300"/>
        <v>20U</v>
      </c>
    </row>
    <row r="8941" spans="1:6" x14ac:dyDescent="0.2">
      <c r="A8941">
        <v>21</v>
      </c>
      <c r="E8941" t="str">
        <f t="shared" si="299"/>
        <v>V</v>
      </c>
      <c r="F8941" t="str">
        <f t="shared" si="300"/>
        <v>21V</v>
      </c>
    </row>
    <row r="8942" spans="1:6" x14ac:dyDescent="0.2">
      <c r="A8942">
        <v>22</v>
      </c>
      <c r="E8942" t="str">
        <f t="shared" si="299"/>
        <v>W</v>
      </c>
      <c r="F8942" t="str">
        <f t="shared" si="300"/>
        <v>22W</v>
      </c>
    </row>
    <row r="8943" spans="1:6" x14ac:dyDescent="0.2">
      <c r="A8943">
        <v>23</v>
      </c>
      <c r="E8943" t="str">
        <f t="shared" si="299"/>
        <v>X</v>
      </c>
      <c r="F8943" t="str">
        <f t="shared" si="300"/>
        <v>23X</v>
      </c>
    </row>
    <row r="8944" spans="1:6" x14ac:dyDescent="0.2">
      <c r="A8944">
        <v>24</v>
      </c>
      <c r="E8944" t="str">
        <f t="shared" si="299"/>
        <v>Y</v>
      </c>
      <c r="F8944" t="str">
        <f t="shared" si="300"/>
        <v>24Y</v>
      </c>
    </row>
    <row r="8945" spans="1:6" x14ac:dyDescent="0.2">
      <c r="A8945">
        <v>25</v>
      </c>
      <c r="E8945" t="str">
        <f t="shared" si="299"/>
        <v>Z</v>
      </c>
      <c r="F8945" t="str">
        <f t="shared" si="300"/>
        <v>25Z</v>
      </c>
    </row>
    <row r="8946" spans="1:6" x14ac:dyDescent="0.2">
      <c r="A8946">
        <v>0</v>
      </c>
      <c r="E8946" t="str">
        <f t="shared" si="299"/>
        <v>A</v>
      </c>
      <c r="F8946" t="str">
        <f t="shared" si="300"/>
        <v>0A</v>
      </c>
    </row>
    <row r="8947" spans="1:6" x14ac:dyDescent="0.2">
      <c r="A8947">
        <v>1</v>
      </c>
      <c r="E8947" t="str">
        <f t="shared" si="299"/>
        <v>B</v>
      </c>
      <c r="F8947" t="str">
        <f t="shared" si="300"/>
        <v>1B</v>
      </c>
    </row>
    <row r="8948" spans="1:6" x14ac:dyDescent="0.2">
      <c r="A8948">
        <v>2</v>
      </c>
      <c r="E8948" t="str">
        <f t="shared" si="299"/>
        <v>C</v>
      </c>
      <c r="F8948" t="str">
        <f t="shared" si="300"/>
        <v>2C</v>
      </c>
    </row>
    <row r="8949" spans="1:6" x14ac:dyDescent="0.2">
      <c r="A8949">
        <v>3</v>
      </c>
      <c r="E8949" t="str">
        <f t="shared" si="299"/>
        <v>D</v>
      </c>
      <c r="F8949" t="str">
        <f t="shared" si="300"/>
        <v>3D</v>
      </c>
    </row>
    <row r="8950" spans="1:6" x14ac:dyDescent="0.2">
      <c r="A8950">
        <v>4</v>
      </c>
      <c r="E8950" t="str">
        <f t="shared" si="299"/>
        <v>E</v>
      </c>
      <c r="F8950" t="str">
        <f t="shared" si="300"/>
        <v>4E</v>
      </c>
    </row>
    <row r="8951" spans="1:6" x14ac:dyDescent="0.2">
      <c r="A8951">
        <v>5</v>
      </c>
      <c r="E8951" t="str">
        <f t="shared" si="299"/>
        <v>F</v>
      </c>
      <c r="F8951" t="str">
        <f t="shared" si="300"/>
        <v>5F</v>
      </c>
    </row>
    <row r="8952" spans="1:6" x14ac:dyDescent="0.2">
      <c r="A8952">
        <v>6</v>
      </c>
      <c r="E8952" t="str">
        <f t="shared" si="299"/>
        <v>G</v>
      </c>
      <c r="F8952" t="str">
        <f t="shared" si="300"/>
        <v>6G</v>
      </c>
    </row>
    <row r="8953" spans="1:6" x14ac:dyDescent="0.2">
      <c r="A8953">
        <v>7</v>
      </c>
      <c r="E8953" t="str">
        <f t="shared" si="299"/>
        <v>H</v>
      </c>
      <c r="F8953" t="str">
        <f t="shared" si="300"/>
        <v>7H</v>
      </c>
    </row>
    <row r="8954" spans="1:6" x14ac:dyDescent="0.2">
      <c r="A8954">
        <v>8</v>
      </c>
      <c r="E8954" t="str">
        <f t="shared" si="299"/>
        <v>I</v>
      </c>
      <c r="F8954" t="str">
        <f t="shared" si="300"/>
        <v>8I</v>
      </c>
    </row>
    <row r="8955" spans="1:6" x14ac:dyDescent="0.2">
      <c r="A8955">
        <v>9</v>
      </c>
      <c r="E8955" t="str">
        <f t="shared" si="299"/>
        <v>J</v>
      </c>
      <c r="F8955" t="str">
        <f t="shared" si="300"/>
        <v>9J</v>
      </c>
    </row>
    <row r="8956" spans="1:6" x14ac:dyDescent="0.2">
      <c r="A8956">
        <v>10</v>
      </c>
      <c r="E8956" t="str">
        <f t="shared" si="299"/>
        <v>K</v>
      </c>
      <c r="F8956" t="str">
        <f t="shared" si="300"/>
        <v>10K</v>
      </c>
    </row>
    <row r="8957" spans="1:6" x14ac:dyDescent="0.2">
      <c r="A8957">
        <v>11</v>
      </c>
      <c r="E8957" t="str">
        <f t="shared" si="299"/>
        <v>L</v>
      </c>
      <c r="F8957" t="str">
        <f t="shared" si="300"/>
        <v>11L</v>
      </c>
    </row>
    <row r="8958" spans="1:6" x14ac:dyDescent="0.2">
      <c r="A8958">
        <v>12</v>
      </c>
      <c r="E8958" t="str">
        <f t="shared" si="299"/>
        <v>M</v>
      </c>
      <c r="F8958" t="str">
        <f t="shared" si="300"/>
        <v>12M</v>
      </c>
    </row>
    <row r="8959" spans="1:6" x14ac:dyDescent="0.2">
      <c r="A8959">
        <v>13</v>
      </c>
      <c r="E8959" t="str">
        <f t="shared" si="299"/>
        <v>N</v>
      </c>
      <c r="F8959" t="str">
        <f t="shared" si="300"/>
        <v>13N</v>
      </c>
    </row>
    <row r="8960" spans="1:6" x14ac:dyDescent="0.2">
      <c r="A8960">
        <v>14</v>
      </c>
      <c r="E8960" t="str">
        <f t="shared" si="299"/>
        <v>O</v>
      </c>
      <c r="F8960" t="str">
        <f t="shared" si="300"/>
        <v>14O</v>
      </c>
    </row>
    <row r="8961" spans="1:6" x14ac:dyDescent="0.2">
      <c r="A8961">
        <v>15</v>
      </c>
      <c r="E8961" t="str">
        <f t="shared" si="299"/>
        <v>P</v>
      </c>
      <c r="F8961" t="str">
        <f t="shared" si="300"/>
        <v>15P</v>
      </c>
    </row>
    <row r="8962" spans="1:6" x14ac:dyDescent="0.2">
      <c r="A8962">
        <v>16</v>
      </c>
      <c r="E8962" t="str">
        <f t="shared" si="299"/>
        <v>Q</v>
      </c>
      <c r="F8962" t="str">
        <f t="shared" si="300"/>
        <v>16Q</v>
      </c>
    </row>
    <row r="8963" spans="1:6" x14ac:dyDescent="0.2">
      <c r="A8963">
        <v>17</v>
      </c>
      <c r="E8963" t="str">
        <f t="shared" si="299"/>
        <v>R</v>
      </c>
      <c r="F8963" t="str">
        <f t="shared" si="300"/>
        <v>17R</v>
      </c>
    </row>
    <row r="8964" spans="1:6" x14ac:dyDescent="0.2">
      <c r="A8964">
        <v>18</v>
      </c>
      <c r="E8964" t="str">
        <f t="shared" si="299"/>
        <v>S</v>
      </c>
      <c r="F8964" t="str">
        <f t="shared" si="300"/>
        <v>18S</v>
      </c>
    </row>
    <row r="8965" spans="1:6" x14ac:dyDescent="0.2">
      <c r="A8965">
        <v>19</v>
      </c>
      <c r="E8965" t="str">
        <f t="shared" si="299"/>
        <v>T</v>
      </c>
      <c r="F8965" t="str">
        <f t="shared" si="300"/>
        <v>19T</v>
      </c>
    </row>
    <row r="8966" spans="1:6" x14ac:dyDescent="0.2">
      <c r="A8966">
        <v>20</v>
      </c>
      <c r="E8966" t="str">
        <f t="shared" si="299"/>
        <v>U</v>
      </c>
      <c r="F8966" t="str">
        <f t="shared" si="300"/>
        <v>20U</v>
      </c>
    </row>
    <row r="8967" spans="1:6" x14ac:dyDescent="0.2">
      <c r="A8967">
        <v>21</v>
      </c>
      <c r="E8967" t="str">
        <f t="shared" si="299"/>
        <v>V</v>
      </c>
      <c r="F8967" t="str">
        <f t="shared" si="300"/>
        <v>21V</v>
      </c>
    </row>
    <row r="8968" spans="1:6" x14ac:dyDescent="0.2">
      <c r="A8968">
        <v>22</v>
      </c>
      <c r="E8968" t="str">
        <f t="shared" si="299"/>
        <v>W</v>
      </c>
      <c r="F8968" t="str">
        <f t="shared" si="300"/>
        <v>22W</v>
      </c>
    </row>
    <row r="8969" spans="1:6" x14ac:dyDescent="0.2">
      <c r="A8969">
        <v>23</v>
      </c>
      <c r="E8969" t="str">
        <f t="shared" si="299"/>
        <v>X</v>
      </c>
      <c r="F8969" t="str">
        <f t="shared" si="300"/>
        <v>23X</v>
      </c>
    </row>
    <row r="8970" spans="1:6" x14ac:dyDescent="0.2">
      <c r="A8970">
        <v>24</v>
      </c>
      <c r="E8970" t="str">
        <f t="shared" si="299"/>
        <v>Y</v>
      </c>
      <c r="F8970" t="str">
        <f t="shared" si="300"/>
        <v>24Y</v>
      </c>
    </row>
    <row r="8971" spans="1:6" x14ac:dyDescent="0.2">
      <c r="A8971">
        <v>25</v>
      </c>
      <c r="E8971" t="str">
        <f t="shared" si="299"/>
        <v>Z</v>
      </c>
      <c r="F8971" t="str">
        <f t="shared" si="300"/>
        <v>25Z</v>
      </c>
    </row>
    <row r="8972" spans="1:6" x14ac:dyDescent="0.2">
      <c r="A8972">
        <v>0</v>
      </c>
      <c r="E8972" t="str">
        <f t="shared" si="299"/>
        <v>A</v>
      </c>
      <c r="F8972" t="str">
        <f t="shared" si="300"/>
        <v>0A</v>
      </c>
    </row>
    <row r="8973" spans="1:6" x14ac:dyDescent="0.2">
      <c r="A8973">
        <v>1</v>
      </c>
      <c r="E8973" t="str">
        <f t="shared" si="299"/>
        <v>B</v>
      </c>
      <c r="F8973" t="str">
        <f t="shared" si="300"/>
        <v>1B</v>
      </c>
    </row>
    <row r="8974" spans="1:6" x14ac:dyDescent="0.2">
      <c r="A8974">
        <v>2</v>
      </c>
      <c r="E8974" t="str">
        <f t="shared" si="299"/>
        <v>C</v>
      </c>
      <c r="F8974" t="str">
        <f t="shared" si="300"/>
        <v>2C</v>
      </c>
    </row>
    <row r="8975" spans="1:6" x14ac:dyDescent="0.2">
      <c r="A8975">
        <v>3</v>
      </c>
      <c r="E8975" t="str">
        <f t="shared" si="299"/>
        <v>D</v>
      </c>
      <c r="F8975" t="str">
        <f t="shared" si="300"/>
        <v>3D</v>
      </c>
    </row>
    <row r="8976" spans="1:6" x14ac:dyDescent="0.2">
      <c r="A8976">
        <v>4</v>
      </c>
      <c r="E8976" t="str">
        <f t="shared" si="299"/>
        <v>E</v>
      </c>
      <c r="F8976" t="str">
        <f t="shared" si="300"/>
        <v>4E</v>
      </c>
    </row>
    <row r="8977" spans="1:6" x14ac:dyDescent="0.2">
      <c r="A8977">
        <v>5</v>
      </c>
      <c r="E8977" t="str">
        <f t="shared" si="299"/>
        <v>F</v>
      </c>
      <c r="F8977" t="str">
        <f t="shared" si="300"/>
        <v>5F</v>
      </c>
    </row>
    <row r="8978" spans="1:6" x14ac:dyDescent="0.2">
      <c r="A8978">
        <v>6</v>
      </c>
      <c r="E8978" t="str">
        <f t="shared" si="299"/>
        <v>G</v>
      </c>
      <c r="F8978" t="str">
        <f t="shared" si="300"/>
        <v>6G</v>
      </c>
    </row>
    <row r="8979" spans="1:6" x14ac:dyDescent="0.2">
      <c r="A8979">
        <v>7</v>
      </c>
      <c r="E8979" t="str">
        <f t="shared" si="299"/>
        <v>H</v>
      </c>
      <c r="F8979" t="str">
        <f t="shared" si="300"/>
        <v>7H</v>
      </c>
    </row>
    <row r="8980" spans="1:6" x14ac:dyDescent="0.2">
      <c r="A8980">
        <v>8</v>
      </c>
      <c r="E8980" t="str">
        <f t="shared" si="299"/>
        <v>I</v>
      </c>
      <c r="F8980" t="str">
        <f t="shared" si="300"/>
        <v>8I</v>
      </c>
    </row>
    <row r="8981" spans="1:6" x14ac:dyDescent="0.2">
      <c r="A8981">
        <v>9</v>
      </c>
      <c r="E8981" t="str">
        <f t="shared" ref="E8981:E9044" si="301">E8955</f>
        <v>J</v>
      </c>
      <c r="F8981" t="str">
        <f t="shared" ref="F8981:F9044" si="302">A8981&amp;C8981&amp;E8981</f>
        <v>9J</v>
      </c>
    </row>
    <row r="8982" spans="1:6" x14ac:dyDescent="0.2">
      <c r="A8982">
        <v>10</v>
      </c>
      <c r="E8982" t="str">
        <f t="shared" si="301"/>
        <v>K</v>
      </c>
      <c r="F8982" t="str">
        <f t="shared" si="302"/>
        <v>10K</v>
      </c>
    </row>
    <row r="8983" spans="1:6" x14ac:dyDescent="0.2">
      <c r="A8983">
        <v>11</v>
      </c>
      <c r="E8983" t="str">
        <f t="shared" si="301"/>
        <v>L</v>
      </c>
      <c r="F8983" t="str">
        <f t="shared" si="302"/>
        <v>11L</v>
      </c>
    </row>
    <row r="8984" spans="1:6" x14ac:dyDescent="0.2">
      <c r="A8984">
        <v>12</v>
      </c>
      <c r="E8984" t="str">
        <f t="shared" si="301"/>
        <v>M</v>
      </c>
      <c r="F8984" t="str">
        <f t="shared" si="302"/>
        <v>12M</v>
      </c>
    </row>
    <row r="8985" spans="1:6" x14ac:dyDescent="0.2">
      <c r="A8985">
        <v>13</v>
      </c>
      <c r="E8985" t="str">
        <f t="shared" si="301"/>
        <v>N</v>
      </c>
      <c r="F8985" t="str">
        <f t="shared" si="302"/>
        <v>13N</v>
      </c>
    </row>
    <row r="8986" spans="1:6" x14ac:dyDescent="0.2">
      <c r="A8986">
        <v>14</v>
      </c>
      <c r="E8986" t="str">
        <f t="shared" si="301"/>
        <v>O</v>
      </c>
      <c r="F8986" t="str">
        <f t="shared" si="302"/>
        <v>14O</v>
      </c>
    </row>
    <row r="8987" spans="1:6" x14ac:dyDescent="0.2">
      <c r="A8987">
        <v>15</v>
      </c>
      <c r="E8987" t="str">
        <f t="shared" si="301"/>
        <v>P</v>
      </c>
      <c r="F8987" t="str">
        <f t="shared" si="302"/>
        <v>15P</v>
      </c>
    </row>
    <row r="8988" spans="1:6" x14ac:dyDescent="0.2">
      <c r="A8988">
        <v>16</v>
      </c>
      <c r="E8988" t="str">
        <f t="shared" si="301"/>
        <v>Q</v>
      </c>
      <c r="F8988" t="str">
        <f t="shared" si="302"/>
        <v>16Q</v>
      </c>
    </row>
    <row r="8989" spans="1:6" x14ac:dyDescent="0.2">
      <c r="A8989">
        <v>17</v>
      </c>
      <c r="E8989" t="str">
        <f t="shared" si="301"/>
        <v>R</v>
      </c>
      <c r="F8989" t="str">
        <f t="shared" si="302"/>
        <v>17R</v>
      </c>
    </row>
    <row r="8990" spans="1:6" x14ac:dyDescent="0.2">
      <c r="A8990">
        <v>18</v>
      </c>
      <c r="E8990" t="str">
        <f t="shared" si="301"/>
        <v>S</v>
      </c>
      <c r="F8990" t="str">
        <f t="shared" si="302"/>
        <v>18S</v>
      </c>
    </row>
    <row r="8991" spans="1:6" x14ac:dyDescent="0.2">
      <c r="A8991">
        <v>19</v>
      </c>
      <c r="E8991" t="str">
        <f t="shared" si="301"/>
        <v>T</v>
      </c>
      <c r="F8991" t="str">
        <f t="shared" si="302"/>
        <v>19T</v>
      </c>
    </row>
    <row r="8992" spans="1:6" x14ac:dyDescent="0.2">
      <c r="A8992">
        <v>20</v>
      </c>
      <c r="E8992" t="str">
        <f t="shared" si="301"/>
        <v>U</v>
      </c>
      <c r="F8992" t="str">
        <f t="shared" si="302"/>
        <v>20U</v>
      </c>
    </row>
    <row r="8993" spans="1:6" x14ac:dyDescent="0.2">
      <c r="A8993">
        <v>21</v>
      </c>
      <c r="E8993" t="str">
        <f t="shared" si="301"/>
        <v>V</v>
      </c>
      <c r="F8993" t="str">
        <f t="shared" si="302"/>
        <v>21V</v>
      </c>
    </row>
    <row r="8994" spans="1:6" x14ac:dyDescent="0.2">
      <c r="A8994">
        <v>22</v>
      </c>
      <c r="E8994" t="str">
        <f t="shared" si="301"/>
        <v>W</v>
      </c>
      <c r="F8994" t="str">
        <f t="shared" si="302"/>
        <v>22W</v>
      </c>
    </row>
    <row r="8995" spans="1:6" x14ac:dyDescent="0.2">
      <c r="A8995">
        <v>23</v>
      </c>
      <c r="E8995" t="str">
        <f t="shared" si="301"/>
        <v>X</v>
      </c>
      <c r="F8995" t="str">
        <f t="shared" si="302"/>
        <v>23X</v>
      </c>
    </row>
    <row r="8996" spans="1:6" x14ac:dyDescent="0.2">
      <c r="A8996">
        <v>24</v>
      </c>
      <c r="E8996" t="str">
        <f t="shared" si="301"/>
        <v>Y</v>
      </c>
      <c r="F8996" t="str">
        <f t="shared" si="302"/>
        <v>24Y</v>
      </c>
    </row>
    <row r="8997" spans="1:6" x14ac:dyDescent="0.2">
      <c r="A8997">
        <v>25</v>
      </c>
      <c r="E8997" t="str">
        <f t="shared" si="301"/>
        <v>Z</v>
      </c>
      <c r="F8997" t="str">
        <f t="shared" si="302"/>
        <v>25Z</v>
      </c>
    </row>
    <row r="8998" spans="1:6" x14ac:dyDescent="0.2">
      <c r="A8998">
        <v>0</v>
      </c>
      <c r="E8998" t="str">
        <f t="shared" si="301"/>
        <v>A</v>
      </c>
      <c r="F8998" t="str">
        <f t="shared" si="302"/>
        <v>0A</v>
      </c>
    </row>
    <row r="8999" spans="1:6" x14ac:dyDescent="0.2">
      <c r="A8999">
        <v>1</v>
      </c>
      <c r="E8999" t="str">
        <f t="shared" si="301"/>
        <v>B</v>
      </c>
      <c r="F8999" t="str">
        <f t="shared" si="302"/>
        <v>1B</v>
      </c>
    </row>
    <row r="9000" spans="1:6" x14ac:dyDescent="0.2">
      <c r="A9000">
        <v>2</v>
      </c>
      <c r="E9000" t="str">
        <f t="shared" si="301"/>
        <v>C</v>
      </c>
      <c r="F9000" t="str">
        <f t="shared" si="302"/>
        <v>2C</v>
      </c>
    </row>
    <row r="9001" spans="1:6" x14ac:dyDescent="0.2">
      <c r="A9001">
        <v>3</v>
      </c>
      <c r="E9001" t="str">
        <f t="shared" si="301"/>
        <v>D</v>
      </c>
      <c r="F9001" t="str">
        <f t="shared" si="302"/>
        <v>3D</v>
      </c>
    </row>
    <row r="9002" spans="1:6" x14ac:dyDescent="0.2">
      <c r="A9002">
        <v>4</v>
      </c>
      <c r="E9002" t="str">
        <f t="shared" si="301"/>
        <v>E</v>
      </c>
      <c r="F9002" t="str">
        <f t="shared" si="302"/>
        <v>4E</v>
      </c>
    </row>
    <row r="9003" spans="1:6" x14ac:dyDescent="0.2">
      <c r="A9003">
        <v>5</v>
      </c>
      <c r="E9003" t="str">
        <f t="shared" si="301"/>
        <v>F</v>
      </c>
      <c r="F9003" t="str">
        <f t="shared" si="302"/>
        <v>5F</v>
      </c>
    </row>
    <row r="9004" spans="1:6" x14ac:dyDescent="0.2">
      <c r="A9004">
        <v>6</v>
      </c>
      <c r="E9004" t="str">
        <f t="shared" si="301"/>
        <v>G</v>
      </c>
      <c r="F9004" t="str">
        <f t="shared" si="302"/>
        <v>6G</v>
      </c>
    </row>
    <row r="9005" spans="1:6" x14ac:dyDescent="0.2">
      <c r="A9005">
        <v>7</v>
      </c>
      <c r="E9005" t="str">
        <f t="shared" si="301"/>
        <v>H</v>
      </c>
      <c r="F9005" t="str">
        <f t="shared" si="302"/>
        <v>7H</v>
      </c>
    </row>
    <row r="9006" spans="1:6" x14ac:dyDescent="0.2">
      <c r="A9006">
        <v>8</v>
      </c>
      <c r="E9006" t="str">
        <f t="shared" si="301"/>
        <v>I</v>
      </c>
      <c r="F9006" t="str">
        <f t="shared" si="302"/>
        <v>8I</v>
      </c>
    </row>
    <row r="9007" spans="1:6" x14ac:dyDescent="0.2">
      <c r="A9007">
        <v>9</v>
      </c>
      <c r="E9007" t="str">
        <f t="shared" si="301"/>
        <v>J</v>
      </c>
      <c r="F9007" t="str">
        <f t="shared" si="302"/>
        <v>9J</v>
      </c>
    </row>
    <row r="9008" spans="1:6" x14ac:dyDescent="0.2">
      <c r="A9008">
        <v>10</v>
      </c>
      <c r="E9008" t="str">
        <f t="shared" si="301"/>
        <v>K</v>
      </c>
      <c r="F9008" t="str">
        <f t="shared" si="302"/>
        <v>10K</v>
      </c>
    </row>
    <row r="9009" spans="1:6" x14ac:dyDescent="0.2">
      <c r="A9009">
        <v>11</v>
      </c>
      <c r="E9009" t="str">
        <f t="shared" si="301"/>
        <v>L</v>
      </c>
      <c r="F9009" t="str">
        <f t="shared" si="302"/>
        <v>11L</v>
      </c>
    </row>
    <row r="9010" spans="1:6" x14ac:dyDescent="0.2">
      <c r="A9010">
        <v>12</v>
      </c>
      <c r="E9010" t="str">
        <f t="shared" si="301"/>
        <v>M</v>
      </c>
      <c r="F9010" t="str">
        <f t="shared" si="302"/>
        <v>12M</v>
      </c>
    </row>
    <row r="9011" spans="1:6" x14ac:dyDescent="0.2">
      <c r="A9011">
        <v>13</v>
      </c>
      <c r="E9011" t="str">
        <f t="shared" si="301"/>
        <v>N</v>
      </c>
      <c r="F9011" t="str">
        <f t="shared" si="302"/>
        <v>13N</v>
      </c>
    </row>
    <row r="9012" spans="1:6" x14ac:dyDescent="0.2">
      <c r="A9012">
        <v>14</v>
      </c>
      <c r="E9012" t="str">
        <f t="shared" si="301"/>
        <v>O</v>
      </c>
      <c r="F9012" t="str">
        <f t="shared" si="302"/>
        <v>14O</v>
      </c>
    </row>
    <row r="9013" spans="1:6" x14ac:dyDescent="0.2">
      <c r="A9013">
        <v>15</v>
      </c>
      <c r="E9013" t="str">
        <f t="shared" si="301"/>
        <v>P</v>
      </c>
      <c r="F9013" t="str">
        <f t="shared" si="302"/>
        <v>15P</v>
      </c>
    </row>
    <row r="9014" spans="1:6" x14ac:dyDescent="0.2">
      <c r="A9014">
        <v>16</v>
      </c>
      <c r="E9014" t="str">
        <f t="shared" si="301"/>
        <v>Q</v>
      </c>
      <c r="F9014" t="str">
        <f t="shared" si="302"/>
        <v>16Q</v>
      </c>
    </row>
    <row r="9015" spans="1:6" x14ac:dyDescent="0.2">
      <c r="A9015">
        <v>17</v>
      </c>
      <c r="E9015" t="str">
        <f t="shared" si="301"/>
        <v>R</v>
      </c>
      <c r="F9015" t="str">
        <f t="shared" si="302"/>
        <v>17R</v>
      </c>
    </row>
    <row r="9016" spans="1:6" x14ac:dyDescent="0.2">
      <c r="A9016">
        <v>18</v>
      </c>
      <c r="E9016" t="str">
        <f t="shared" si="301"/>
        <v>S</v>
      </c>
      <c r="F9016" t="str">
        <f t="shared" si="302"/>
        <v>18S</v>
      </c>
    </row>
    <row r="9017" spans="1:6" x14ac:dyDescent="0.2">
      <c r="A9017">
        <v>19</v>
      </c>
      <c r="E9017" t="str">
        <f t="shared" si="301"/>
        <v>T</v>
      </c>
      <c r="F9017" t="str">
        <f t="shared" si="302"/>
        <v>19T</v>
      </c>
    </row>
    <row r="9018" spans="1:6" x14ac:dyDescent="0.2">
      <c r="A9018">
        <v>20</v>
      </c>
      <c r="E9018" t="str">
        <f t="shared" si="301"/>
        <v>U</v>
      </c>
      <c r="F9018" t="str">
        <f t="shared" si="302"/>
        <v>20U</v>
      </c>
    </row>
    <row r="9019" spans="1:6" x14ac:dyDescent="0.2">
      <c r="A9019">
        <v>21</v>
      </c>
      <c r="E9019" t="str">
        <f t="shared" si="301"/>
        <v>V</v>
      </c>
      <c r="F9019" t="str">
        <f t="shared" si="302"/>
        <v>21V</v>
      </c>
    </row>
    <row r="9020" spans="1:6" x14ac:dyDescent="0.2">
      <c r="A9020">
        <v>22</v>
      </c>
      <c r="E9020" t="str">
        <f t="shared" si="301"/>
        <v>W</v>
      </c>
      <c r="F9020" t="str">
        <f t="shared" si="302"/>
        <v>22W</v>
      </c>
    </row>
    <row r="9021" spans="1:6" x14ac:dyDescent="0.2">
      <c r="A9021">
        <v>23</v>
      </c>
      <c r="E9021" t="str">
        <f t="shared" si="301"/>
        <v>X</v>
      </c>
      <c r="F9021" t="str">
        <f t="shared" si="302"/>
        <v>23X</v>
      </c>
    </row>
    <row r="9022" spans="1:6" x14ac:dyDescent="0.2">
      <c r="A9022">
        <v>24</v>
      </c>
      <c r="E9022" t="str">
        <f t="shared" si="301"/>
        <v>Y</v>
      </c>
      <c r="F9022" t="str">
        <f t="shared" si="302"/>
        <v>24Y</v>
      </c>
    </row>
    <row r="9023" spans="1:6" x14ac:dyDescent="0.2">
      <c r="A9023">
        <v>25</v>
      </c>
      <c r="E9023" t="str">
        <f t="shared" si="301"/>
        <v>Z</v>
      </c>
      <c r="F9023" t="str">
        <f t="shared" si="302"/>
        <v>25Z</v>
      </c>
    </row>
    <row r="9024" spans="1:6" x14ac:dyDescent="0.2">
      <c r="A9024">
        <v>0</v>
      </c>
      <c r="E9024" t="str">
        <f t="shared" si="301"/>
        <v>A</v>
      </c>
      <c r="F9024" t="str">
        <f t="shared" si="302"/>
        <v>0A</v>
      </c>
    </row>
    <row r="9025" spans="1:6" x14ac:dyDescent="0.2">
      <c r="A9025">
        <v>1</v>
      </c>
      <c r="E9025" t="str">
        <f t="shared" si="301"/>
        <v>B</v>
      </c>
      <c r="F9025" t="str">
        <f t="shared" si="302"/>
        <v>1B</v>
      </c>
    </row>
    <row r="9026" spans="1:6" x14ac:dyDescent="0.2">
      <c r="A9026">
        <v>2</v>
      </c>
      <c r="E9026" t="str">
        <f t="shared" si="301"/>
        <v>C</v>
      </c>
      <c r="F9026" t="str">
        <f t="shared" si="302"/>
        <v>2C</v>
      </c>
    </row>
    <row r="9027" spans="1:6" x14ac:dyDescent="0.2">
      <c r="A9027">
        <v>3</v>
      </c>
      <c r="E9027" t="str">
        <f t="shared" si="301"/>
        <v>D</v>
      </c>
      <c r="F9027" t="str">
        <f t="shared" si="302"/>
        <v>3D</v>
      </c>
    </row>
    <row r="9028" spans="1:6" x14ac:dyDescent="0.2">
      <c r="A9028">
        <v>4</v>
      </c>
      <c r="E9028" t="str">
        <f t="shared" si="301"/>
        <v>E</v>
      </c>
      <c r="F9028" t="str">
        <f t="shared" si="302"/>
        <v>4E</v>
      </c>
    </row>
    <row r="9029" spans="1:6" x14ac:dyDescent="0.2">
      <c r="A9029">
        <v>5</v>
      </c>
      <c r="E9029" t="str">
        <f t="shared" si="301"/>
        <v>F</v>
      </c>
      <c r="F9029" t="str">
        <f t="shared" si="302"/>
        <v>5F</v>
      </c>
    </row>
    <row r="9030" spans="1:6" x14ac:dyDescent="0.2">
      <c r="A9030">
        <v>6</v>
      </c>
      <c r="E9030" t="str">
        <f t="shared" si="301"/>
        <v>G</v>
      </c>
      <c r="F9030" t="str">
        <f t="shared" si="302"/>
        <v>6G</v>
      </c>
    </row>
    <row r="9031" spans="1:6" x14ac:dyDescent="0.2">
      <c r="A9031">
        <v>7</v>
      </c>
      <c r="E9031" t="str">
        <f t="shared" si="301"/>
        <v>H</v>
      </c>
      <c r="F9031" t="str">
        <f t="shared" si="302"/>
        <v>7H</v>
      </c>
    </row>
    <row r="9032" spans="1:6" x14ac:dyDescent="0.2">
      <c r="A9032">
        <v>8</v>
      </c>
      <c r="E9032" t="str">
        <f t="shared" si="301"/>
        <v>I</v>
      </c>
      <c r="F9032" t="str">
        <f t="shared" si="302"/>
        <v>8I</v>
      </c>
    </row>
    <row r="9033" spans="1:6" x14ac:dyDescent="0.2">
      <c r="A9033">
        <v>9</v>
      </c>
      <c r="E9033" t="str">
        <f t="shared" si="301"/>
        <v>J</v>
      </c>
      <c r="F9033" t="str">
        <f t="shared" si="302"/>
        <v>9J</v>
      </c>
    </row>
    <row r="9034" spans="1:6" x14ac:dyDescent="0.2">
      <c r="A9034">
        <v>10</v>
      </c>
      <c r="E9034" t="str">
        <f t="shared" si="301"/>
        <v>K</v>
      </c>
      <c r="F9034" t="str">
        <f t="shared" si="302"/>
        <v>10K</v>
      </c>
    </row>
    <row r="9035" spans="1:6" x14ac:dyDescent="0.2">
      <c r="A9035">
        <v>11</v>
      </c>
      <c r="E9035" t="str">
        <f t="shared" si="301"/>
        <v>L</v>
      </c>
      <c r="F9035" t="str">
        <f t="shared" si="302"/>
        <v>11L</v>
      </c>
    </row>
    <row r="9036" spans="1:6" x14ac:dyDescent="0.2">
      <c r="A9036">
        <v>12</v>
      </c>
      <c r="E9036" t="str">
        <f t="shared" si="301"/>
        <v>M</v>
      </c>
      <c r="F9036" t="str">
        <f t="shared" si="302"/>
        <v>12M</v>
      </c>
    </row>
    <row r="9037" spans="1:6" x14ac:dyDescent="0.2">
      <c r="A9037">
        <v>13</v>
      </c>
      <c r="E9037" t="str">
        <f t="shared" si="301"/>
        <v>N</v>
      </c>
      <c r="F9037" t="str">
        <f t="shared" si="302"/>
        <v>13N</v>
      </c>
    </row>
    <row r="9038" spans="1:6" x14ac:dyDescent="0.2">
      <c r="A9038">
        <v>14</v>
      </c>
      <c r="E9038" t="str">
        <f t="shared" si="301"/>
        <v>O</v>
      </c>
      <c r="F9038" t="str">
        <f t="shared" si="302"/>
        <v>14O</v>
      </c>
    </row>
    <row r="9039" spans="1:6" x14ac:dyDescent="0.2">
      <c r="A9039">
        <v>15</v>
      </c>
      <c r="E9039" t="str">
        <f t="shared" si="301"/>
        <v>P</v>
      </c>
      <c r="F9039" t="str">
        <f t="shared" si="302"/>
        <v>15P</v>
      </c>
    </row>
    <row r="9040" spans="1:6" x14ac:dyDescent="0.2">
      <c r="A9040">
        <v>16</v>
      </c>
      <c r="E9040" t="str">
        <f t="shared" si="301"/>
        <v>Q</v>
      </c>
      <c r="F9040" t="str">
        <f t="shared" si="302"/>
        <v>16Q</v>
      </c>
    </row>
    <row r="9041" spans="1:6" x14ac:dyDescent="0.2">
      <c r="A9041">
        <v>17</v>
      </c>
      <c r="E9041" t="str">
        <f t="shared" si="301"/>
        <v>R</v>
      </c>
      <c r="F9041" t="str">
        <f t="shared" si="302"/>
        <v>17R</v>
      </c>
    </row>
    <row r="9042" spans="1:6" x14ac:dyDescent="0.2">
      <c r="A9042">
        <v>18</v>
      </c>
      <c r="E9042" t="str">
        <f t="shared" si="301"/>
        <v>S</v>
      </c>
      <c r="F9042" t="str">
        <f t="shared" si="302"/>
        <v>18S</v>
      </c>
    </row>
    <row r="9043" spans="1:6" x14ac:dyDescent="0.2">
      <c r="A9043">
        <v>19</v>
      </c>
      <c r="E9043" t="str">
        <f t="shared" si="301"/>
        <v>T</v>
      </c>
      <c r="F9043" t="str">
        <f t="shared" si="302"/>
        <v>19T</v>
      </c>
    </row>
    <row r="9044" spans="1:6" x14ac:dyDescent="0.2">
      <c r="A9044">
        <v>20</v>
      </c>
      <c r="E9044" t="str">
        <f t="shared" si="301"/>
        <v>U</v>
      </c>
      <c r="F9044" t="str">
        <f t="shared" si="302"/>
        <v>20U</v>
      </c>
    </row>
    <row r="9045" spans="1:6" x14ac:dyDescent="0.2">
      <c r="A9045">
        <v>21</v>
      </c>
      <c r="E9045" t="str">
        <f t="shared" ref="E9045:E9108" si="303">E9019</f>
        <v>V</v>
      </c>
      <c r="F9045" t="str">
        <f t="shared" ref="F9045:F9108" si="304">A9045&amp;C9045&amp;E9045</f>
        <v>21V</v>
      </c>
    </row>
    <row r="9046" spans="1:6" x14ac:dyDescent="0.2">
      <c r="A9046">
        <v>22</v>
      </c>
      <c r="E9046" t="str">
        <f t="shared" si="303"/>
        <v>W</v>
      </c>
      <c r="F9046" t="str">
        <f t="shared" si="304"/>
        <v>22W</v>
      </c>
    </row>
    <row r="9047" spans="1:6" x14ac:dyDescent="0.2">
      <c r="A9047">
        <v>23</v>
      </c>
      <c r="E9047" t="str">
        <f t="shared" si="303"/>
        <v>X</v>
      </c>
      <c r="F9047" t="str">
        <f t="shared" si="304"/>
        <v>23X</v>
      </c>
    </row>
    <row r="9048" spans="1:6" x14ac:dyDescent="0.2">
      <c r="A9048">
        <v>24</v>
      </c>
      <c r="E9048" t="str">
        <f t="shared" si="303"/>
        <v>Y</v>
      </c>
      <c r="F9048" t="str">
        <f t="shared" si="304"/>
        <v>24Y</v>
      </c>
    </row>
    <row r="9049" spans="1:6" x14ac:dyDescent="0.2">
      <c r="A9049">
        <v>25</v>
      </c>
      <c r="E9049" t="str">
        <f t="shared" si="303"/>
        <v>Z</v>
      </c>
      <c r="F9049" t="str">
        <f t="shared" si="304"/>
        <v>25Z</v>
      </c>
    </row>
    <row r="9050" spans="1:6" x14ac:dyDescent="0.2">
      <c r="A9050">
        <v>0</v>
      </c>
      <c r="E9050" t="str">
        <f t="shared" si="303"/>
        <v>A</v>
      </c>
      <c r="F9050" t="str">
        <f t="shared" si="304"/>
        <v>0A</v>
      </c>
    </row>
    <row r="9051" spans="1:6" x14ac:dyDescent="0.2">
      <c r="A9051">
        <v>1</v>
      </c>
      <c r="E9051" t="str">
        <f t="shared" si="303"/>
        <v>B</v>
      </c>
      <c r="F9051" t="str">
        <f t="shared" si="304"/>
        <v>1B</v>
      </c>
    </row>
    <row r="9052" spans="1:6" x14ac:dyDescent="0.2">
      <c r="A9052">
        <v>2</v>
      </c>
      <c r="E9052" t="str">
        <f t="shared" si="303"/>
        <v>C</v>
      </c>
      <c r="F9052" t="str">
        <f t="shared" si="304"/>
        <v>2C</v>
      </c>
    </row>
    <row r="9053" spans="1:6" x14ac:dyDescent="0.2">
      <c r="A9053">
        <v>3</v>
      </c>
      <c r="E9053" t="str">
        <f t="shared" si="303"/>
        <v>D</v>
      </c>
      <c r="F9053" t="str">
        <f t="shared" si="304"/>
        <v>3D</v>
      </c>
    </row>
    <row r="9054" spans="1:6" x14ac:dyDescent="0.2">
      <c r="A9054">
        <v>4</v>
      </c>
      <c r="E9054" t="str">
        <f t="shared" si="303"/>
        <v>E</v>
      </c>
      <c r="F9054" t="str">
        <f t="shared" si="304"/>
        <v>4E</v>
      </c>
    </row>
    <row r="9055" spans="1:6" x14ac:dyDescent="0.2">
      <c r="A9055">
        <v>5</v>
      </c>
      <c r="E9055" t="str">
        <f t="shared" si="303"/>
        <v>F</v>
      </c>
      <c r="F9055" t="str">
        <f t="shared" si="304"/>
        <v>5F</v>
      </c>
    </row>
    <row r="9056" spans="1:6" x14ac:dyDescent="0.2">
      <c r="A9056">
        <v>6</v>
      </c>
      <c r="E9056" t="str">
        <f t="shared" si="303"/>
        <v>G</v>
      </c>
      <c r="F9056" t="str">
        <f t="shared" si="304"/>
        <v>6G</v>
      </c>
    </row>
    <row r="9057" spans="1:6" x14ac:dyDescent="0.2">
      <c r="A9057">
        <v>7</v>
      </c>
      <c r="E9057" t="str">
        <f t="shared" si="303"/>
        <v>H</v>
      </c>
      <c r="F9057" t="str">
        <f t="shared" si="304"/>
        <v>7H</v>
      </c>
    </row>
    <row r="9058" spans="1:6" x14ac:dyDescent="0.2">
      <c r="A9058">
        <v>8</v>
      </c>
      <c r="E9058" t="str">
        <f t="shared" si="303"/>
        <v>I</v>
      </c>
      <c r="F9058" t="str">
        <f t="shared" si="304"/>
        <v>8I</v>
      </c>
    </row>
    <row r="9059" spans="1:6" x14ac:dyDescent="0.2">
      <c r="A9059">
        <v>9</v>
      </c>
      <c r="E9059" t="str">
        <f t="shared" si="303"/>
        <v>J</v>
      </c>
      <c r="F9059" t="str">
        <f t="shared" si="304"/>
        <v>9J</v>
      </c>
    </row>
    <row r="9060" spans="1:6" x14ac:dyDescent="0.2">
      <c r="A9060">
        <v>10</v>
      </c>
      <c r="E9060" t="str">
        <f t="shared" si="303"/>
        <v>K</v>
      </c>
      <c r="F9060" t="str">
        <f t="shared" si="304"/>
        <v>10K</v>
      </c>
    </row>
    <row r="9061" spans="1:6" x14ac:dyDescent="0.2">
      <c r="A9061">
        <v>11</v>
      </c>
      <c r="E9061" t="str">
        <f t="shared" si="303"/>
        <v>L</v>
      </c>
      <c r="F9061" t="str">
        <f t="shared" si="304"/>
        <v>11L</v>
      </c>
    </row>
    <row r="9062" spans="1:6" x14ac:dyDescent="0.2">
      <c r="A9062">
        <v>12</v>
      </c>
      <c r="E9062" t="str">
        <f t="shared" si="303"/>
        <v>M</v>
      </c>
      <c r="F9062" t="str">
        <f t="shared" si="304"/>
        <v>12M</v>
      </c>
    </row>
    <row r="9063" spans="1:6" x14ac:dyDescent="0.2">
      <c r="A9063">
        <v>13</v>
      </c>
      <c r="E9063" t="str">
        <f t="shared" si="303"/>
        <v>N</v>
      </c>
      <c r="F9063" t="str">
        <f t="shared" si="304"/>
        <v>13N</v>
      </c>
    </row>
    <row r="9064" spans="1:6" x14ac:dyDescent="0.2">
      <c r="A9064">
        <v>14</v>
      </c>
      <c r="E9064" t="str">
        <f t="shared" si="303"/>
        <v>O</v>
      </c>
      <c r="F9064" t="str">
        <f t="shared" si="304"/>
        <v>14O</v>
      </c>
    </row>
    <row r="9065" spans="1:6" x14ac:dyDescent="0.2">
      <c r="A9065">
        <v>15</v>
      </c>
      <c r="E9065" t="str">
        <f t="shared" si="303"/>
        <v>P</v>
      </c>
      <c r="F9065" t="str">
        <f t="shared" si="304"/>
        <v>15P</v>
      </c>
    </row>
    <row r="9066" spans="1:6" x14ac:dyDescent="0.2">
      <c r="A9066">
        <v>16</v>
      </c>
      <c r="E9066" t="str">
        <f t="shared" si="303"/>
        <v>Q</v>
      </c>
      <c r="F9066" t="str">
        <f t="shared" si="304"/>
        <v>16Q</v>
      </c>
    </row>
    <row r="9067" spans="1:6" x14ac:dyDescent="0.2">
      <c r="A9067">
        <v>17</v>
      </c>
      <c r="E9067" t="str">
        <f t="shared" si="303"/>
        <v>R</v>
      </c>
      <c r="F9067" t="str">
        <f t="shared" si="304"/>
        <v>17R</v>
      </c>
    </row>
    <row r="9068" spans="1:6" x14ac:dyDescent="0.2">
      <c r="A9068">
        <v>18</v>
      </c>
      <c r="E9068" t="str">
        <f t="shared" si="303"/>
        <v>S</v>
      </c>
      <c r="F9068" t="str">
        <f t="shared" si="304"/>
        <v>18S</v>
      </c>
    </row>
    <row r="9069" spans="1:6" x14ac:dyDescent="0.2">
      <c r="A9069">
        <v>19</v>
      </c>
      <c r="E9069" t="str">
        <f t="shared" si="303"/>
        <v>T</v>
      </c>
      <c r="F9069" t="str">
        <f t="shared" si="304"/>
        <v>19T</v>
      </c>
    </row>
    <row r="9070" spans="1:6" x14ac:dyDescent="0.2">
      <c r="A9070">
        <v>20</v>
      </c>
      <c r="E9070" t="str">
        <f t="shared" si="303"/>
        <v>U</v>
      </c>
      <c r="F9070" t="str">
        <f t="shared" si="304"/>
        <v>20U</v>
      </c>
    </row>
    <row r="9071" spans="1:6" x14ac:dyDescent="0.2">
      <c r="A9071">
        <v>21</v>
      </c>
      <c r="E9071" t="str">
        <f t="shared" si="303"/>
        <v>V</v>
      </c>
      <c r="F9071" t="str">
        <f t="shared" si="304"/>
        <v>21V</v>
      </c>
    </row>
    <row r="9072" spans="1:6" x14ac:dyDescent="0.2">
      <c r="A9072">
        <v>22</v>
      </c>
      <c r="E9072" t="str">
        <f t="shared" si="303"/>
        <v>W</v>
      </c>
      <c r="F9072" t="str">
        <f t="shared" si="304"/>
        <v>22W</v>
      </c>
    </row>
    <row r="9073" spans="1:6" x14ac:dyDescent="0.2">
      <c r="A9073">
        <v>23</v>
      </c>
      <c r="E9073" t="str">
        <f t="shared" si="303"/>
        <v>X</v>
      </c>
      <c r="F9073" t="str">
        <f t="shared" si="304"/>
        <v>23X</v>
      </c>
    </row>
    <row r="9074" spans="1:6" x14ac:dyDescent="0.2">
      <c r="A9074">
        <v>24</v>
      </c>
      <c r="E9074" t="str">
        <f t="shared" si="303"/>
        <v>Y</v>
      </c>
      <c r="F9074" t="str">
        <f t="shared" si="304"/>
        <v>24Y</v>
      </c>
    </row>
    <row r="9075" spans="1:6" x14ac:dyDescent="0.2">
      <c r="A9075">
        <v>25</v>
      </c>
      <c r="E9075" t="str">
        <f t="shared" si="303"/>
        <v>Z</v>
      </c>
      <c r="F9075" t="str">
        <f t="shared" si="304"/>
        <v>25Z</v>
      </c>
    </row>
    <row r="9076" spans="1:6" x14ac:dyDescent="0.2">
      <c r="A9076">
        <v>0</v>
      </c>
      <c r="E9076" t="str">
        <f t="shared" si="303"/>
        <v>A</v>
      </c>
      <c r="F9076" t="str">
        <f t="shared" si="304"/>
        <v>0A</v>
      </c>
    </row>
    <row r="9077" spans="1:6" x14ac:dyDescent="0.2">
      <c r="A9077">
        <v>1</v>
      </c>
      <c r="E9077" t="str">
        <f t="shared" si="303"/>
        <v>B</v>
      </c>
      <c r="F9077" t="str">
        <f t="shared" si="304"/>
        <v>1B</v>
      </c>
    </row>
    <row r="9078" spans="1:6" x14ac:dyDescent="0.2">
      <c r="A9078">
        <v>2</v>
      </c>
      <c r="E9078" t="str">
        <f t="shared" si="303"/>
        <v>C</v>
      </c>
      <c r="F9078" t="str">
        <f t="shared" si="304"/>
        <v>2C</v>
      </c>
    </row>
    <row r="9079" spans="1:6" x14ac:dyDescent="0.2">
      <c r="A9079">
        <v>3</v>
      </c>
      <c r="E9079" t="str">
        <f t="shared" si="303"/>
        <v>D</v>
      </c>
      <c r="F9079" t="str">
        <f t="shared" si="304"/>
        <v>3D</v>
      </c>
    </row>
    <row r="9080" spans="1:6" x14ac:dyDescent="0.2">
      <c r="A9080">
        <v>4</v>
      </c>
      <c r="E9080" t="str">
        <f t="shared" si="303"/>
        <v>E</v>
      </c>
      <c r="F9080" t="str">
        <f t="shared" si="304"/>
        <v>4E</v>
      </c>
    </row>
    <row r="9081" spans="1:6" x14ac:dyDescent="0.2">
      <c r="A9081">
        <v>5</v>
      </c>
      <c r="E9081" t="str">
        <f t="shared" si="303"/>
        <v>F</v>
      </c>
      <c r="F9081" t="str">
        <f t="shared" si="304"/>
        <v>5F</v>
      </c>
    </row>
    <row r="9082" spans="1:6" x14ac:dyDescent="0.2">
      <c r="A9082">
        <v>6</v>
      </c>
      <c r="E9082" t="str">
        <f t="shared" si="303"/>
        <v>G</v>
      </c>
      <c r="F9082" t="str">
        <f t="shared" si="304"/>
        <v>6G</v>
      </c>
    </row>
    <row r="9083" spans="1:6" x14ac:dyDescent="0.2">
      <c r="A9083">
        <v>7</v>
      </c>
      <c r="E9083" t="str">
        <f t="shared" si="303"/>
        <v>H</v>
      </c>
      <c r="F9083" t="str">
        <f t="shared" si="304"/>
        <v>7H</v>
      </c>
    </row>
    <row r="9084" spans="1:6" x14ac:dyDescent="0.2">
      <c r="A9084">
        <v>8</v>
      </c>
      <c r="E9084" t="str">
        <f t="shared" si="303"/>
        <v>I</v>
      </c>
      <c r="F9084" t="str">
        <f t="shared" si="304"/>
        <v>8I</v>
      </c>
    </row>
    <row r="9085" spans="1:6" x14ac:dyDescent="0.2">
      <c r="A9085">
        <v>9</v>
      </c>
      <c r="E9085" t="str">
        <f t="shared" si="303"/>
        <v>J</v>
      </c>
      <c r="F9085" t="str">
        <f t="shared" si="304"/>
        <v>9J</v>
      </c>
    </row>
    <row r="9086" spans="1:6" x14ac:dyDescent="0.2">
      <c r="A9086">
        <v>10</v>
      </c>
      <c r="E9086" t="str">
        <f t="shared" si="303"/>
        <v>K</v>
      </c>
      <c r="F9086" t="str">
        <f t="shared" si="304"/>
        <v>10K</v>
      </c>
    </row>
    <row r="9087" spans="1:6" x14ac:dyDescent="0.2">
      <c r="A9087">
        <v>11</v>
      </c>
      <c r="E9087" t="str">
        <f t="shared" si="303"/>
        <v>L</v>
      </c>
      <c r="F9087" t="str">
        <f t="shared" si="304"/>
        <v>11L</v>
      </c>
    </row>
    <row r="9088" spans="1:6" x14ac:dyDescent="0.2">
      <c r="A9088">
        <v>12</v>
      </c>
      <c r="E9088" t="str">
        <f t="shared" si="303"/>
        <v>M</v>
      </c>
      <c r="F9088" t="str">
        <f t="shared" si="304"/>
        <v>12M</v>
      </c>
    </row>
    <row r="9089" spans="1:6" x14ac:dyDescent="0.2">
      <c r="A9089">
        <v>13</v>
      </c>
      <c r="E9089" t="str">
        <f t="shared" si="303"/>
        <v>N</v>
      </c>
      <c r="F9089" t="str">
        <f t="shared" si="304"/>
        <v>13N</v>
      </c>
    </row>
    <row r="9090" spans="1:6" x14ac:dyDescent="0.2">
      <c r="A9090">
        <v>14</v>
      </c>
      <c r="E9090" t="str">
        <f t="shared" si="303"/>
        <v>O</v>
      </c>
      <c r="F9090" t="str">
        <f t="shared" si="304"/>
        <v>14O</v>
      </c>
    </row>
    <row r="9091" spans="1:6" x14ac:dyDescent="0.2">
      <c r="A9091">
        <v>15</v>
      </c>
      <c r="E9091" t="str">
        <f t="shared" si="303"/>
        <v>P</v>
      </c>
      <c r="F9091" t="str">
        <f t="shared" si="304"/>
        <v>15P</v>
      </c>
    </row>
    <row r="9092" spans="1:6" x14ac:dyDescent="0.2">
      <c r="A9092">
        <v>16</v>
      </c>
      <c r="E9092" t="str">
        <f t="shared" si="303"/>
        <v>Q</v>
      </c>
      <c r="F9092" t="str">
        <f t="shared" si="304"/>
        <v>16Q</v>
      </c>
    </row>
    <row r="9093" spans="1:6" x14ac:dyDescent="0.2">
      <c r="A9093">
        <v>17</v>
      </c>
      <c r="E9093" t="str">
        <f t="shared" si="303"/>
        <v>R</v>
      </c>
      <c r="F9093" t="str">
        <f t="shared" si="304"/>
        <v>17R</v>
      </c>
    </row>
    <row r="9094" spans="1:6" x14ac:dyDescent="0.2">
      <c r="A9094">
        <v>18</v>
      </c>
      <c r="E9094" t="str">
        <f t="shared" si="303"/>
        <v>S</v>
      </c>
      <c r="F9094" t="str">
        <f t="shared" si="304"/>
        <v>18S</v>
      </c>
    </row>
    <row r="9095" spans="1:6" x14ac:dyDescent="0.2">
      <c r="A9095">
        <v>19</v>
      </c>
      <c r="E9095" t="str">
        <f t="shared" si="303"/>
        <v>T</v>
      </c>
      <c r="F9095" t="str">
        <f t="shared" si="304"/>
        <v>19T</v>
      </c>
    </row>
    <row r="9096" spans="1:6" x14ac:dyDescent="0.2">
      <c r="A9096">
        <v>20</v>
      </c>
      <c r="E9096" t="str">
        <f t="shared" si="303"/>
        <v>U</v>
      </c>
      <c r="F9096" t="str">
        <f t="shared" si="304"/>
        <v>20U</v>
      </c>
    </row>
    <row r="9097" spans="1:6" x14ac:dyDescent="0.2">
      <c r="A9097">
        <v>21</v>
      </c>
      <c r="E9097" t="str">
        <f t="shared" si="303"/>
        <v>V</v>
      </c>
      <c r="F9097" t="str">
        <f t="shared" si="304"/>
        <v>21V</v>
      </c>
    </row>
    <row r="9098" spans="1:6" x14ac:dyDescent="0.2">
      <c r="A9098">
        <v>22</v>
      </c>
      <c r="E9098" t="str">
        <f t="shared" si="303"/>
        <v>W</v>
      </c>
      <c r="F9098" t="str">
        <f t="shared" si="304"/>
        <v>22W</v>
      </c>
    </row>
    <row r="9099" spans="1:6" x14ac:dyDescent="0.2">
      <c r="A9099">
        <v>23</v>
      </c>
      <c r="E9099" t="str">
        <f t="shared" si="303"/>
        <v>X</v>
      </c>
      <c r="F9099" t="str">
        <f t="shared" si="304"/>
        <v>23X</v>
      </c>
    </row>
    <row r="9100" spans="1:6" x14ac:dyDescent="0.2">
      <c r="A9100">
        <v>24</v>
      </c>
      <c r="E9100" t="str">
        <f t="shared" si="303"/>
        <v>Y</v>
      </c>
      <c r="F9100" t="str">
        <f t="shared" si="304"/>
        <v>24Y</v>
      </c>
    </row>
    <row r="9101" spans="1:6" x14ac:dyDescent="0.2">
      <c r="A9101">
        <v>25</v>
      </c>
      <c r="E9101" t="str">
        <f t="shared" si="303"/>
        <v>Z</v>
      </c>
      <c r="F9101" t="str">
        <f t="shared" si="304"/>
        <v>25Z</v>
      </c>
    </row>
    <row r="9102" spans="1:6" x14ac:dyDescent="0.2">
      <c r="A9102">
        <v>0</v>
      </c>
      <c r="E9102" t="str">
        <f t="shared" si="303"/>
        <v>A</v>
      </c>
      <c r="F9102" t="str">
        <f t="shared" si="304"/>
        <v>0A</v>
      </c>
    </row>
    <row r="9103" spans="1:6" x14ac:dyDescent="0.2">
      <c r="A9103">
        <v>1</v>
      </c>
      <c r="E9103" t="str">
        <f t="shared" si="303"/>
        <v>B</v>
      </c>
      <c r="F9103" t="str">
        <f t="shared" si="304"/>
        <v>1B</v>
      </c>
    </row>
    <row r="9104" spans="1:6" x14ac:dyDescent="0.2">
      <c r="A9104">
        <v>2</v>
      </c>
      <c r="E9104" t="str">
        <f t="shared" si="303"/>
        <v>C</v>
      </c>
      <c r="F9104" t="str">
        <f t="shared" si="304"/>
        <v>2C</v>
      </c>
    </row>
    <row r="9105" spans="1:6" x14ac:dyDescent="0.2">
      <c r="A9105">
        <v>3</v>
      </c>
      <c r="E9105" t="str">
        <f t="shared" si="303"/>
        <v>D</v>
      </c>
      <c r="F9105" t="str">
        <f t="shared" si="304"/>
        <v>3D</v>
      </c>
    </row>
    <row r="9106" spans="1:6" x14ac:dyDescent="0.2">
      <c r="A9106">
        <v>4</v>
      </c>
      <c r="E9106" t="str">
        <f t="shared" si="303"/>
        <v>E</v>
      </c>
      <c r="F9106" t="str">
        <f t="shared" si="304"/>
        <v>4E</v>
      </c>
    </row>
    <row r="9107" spans="1:6" x14ac:dyDescent="0.2">
      <c r="A9107">
        <v>5</v>
      </c>
      <c r="E9107" t="str">
        <f t="shared" si="303"/>
        <v>F</v>
      </c>
      <c r="F9107" t="str">
        <f t="shared" si="304"/>
        <v>5F</v>
      </c>
    </row>
    <row r="9108" spans="1:6" x14ac:dyDescent="0.2">
      <c r="A9108">
        <v>6</v>
      </c>
      <c r="E9108" t="str">
        <f t="shared" si="303"/>
        <v>G</v>
      </c>
      <c r="F9108" t="str">
        <f t="shared" si="304"/>
        <v>6G</v>
      </c>
    </row>
    <row r="9109" spans="1:6" x14ac:dyDescent="0.2">
      <c r="A9109">
        <v>7</v>
      </c>
      <c r="E9109" t="str">
        <f t="shared" ref="E9109:E9172" si="305">E9083</f>
        <v>H</v>
      </c>
      <c r="F9109" t="str">
        <f t="shared" ref="F9109:F9172" si="306">A9109&amp;C9109&amp;E9109</f>
        <v>7H</v>
      </c>
    </row>
    <row r="9110" spans="1:6" x14ac:dyDescent="0.2">
      <c r="A9110">
        <v>8</v>
      </c>
      <c r="E9110" t="str">
        <f t="shared" si="305"/>
        <v>I</v>
      </c>
      <c r="F9110" t="str">
        <f t="shared" si="306"/>
        <v>8I</v>
      </c>
    </row>
    <row r="9111" spans="1:6" x14ac:dyDescent="0.2">
      <c r="A9111">
        <v>9</v>
      </c>
      <c r="E9111" t="str">
        <f t="shared" si="305"/>
        <v>J</v>
      </c>
      <c r="F9111" t="str">
        <f t="shared" si="306"/>
        <v>9J</v>
      </c>
    </row>
    <row r="9112" spans="1:6" x14ac:dyDescent="0.2">
      <c r="A9112">
        <v>10</v>
      </c>
      <c r="E9112" t="str">
        <f t="shared" si="305"/>
        <v>K</v>
      </c>
      <c r="F9112" t="str">
        <f t="shared" si="306"/>
        <v>10K</v>
      </c>
    </row>
    <row r="9113" spans="1:6" x14ac:dyDescent="0.2">
      <c r="A9113">
        <v>11</v>
      </c>
      <c r="E9113" t="str">
        <f t="shared" si="305"/>
        <v>L</v>
      </c>
      <c r="F9113" t="str">
        <f t="shared" si="306"/>
        <v>11L</v>
      </c>
    </row>
    <row r="9114" spans="1:6" x14ac:dyDescent="0.2">
      <c r="A9114">
        <v>12</v>
      </c>
      <c r="E9114" t="str">
        <f t="shared" si="305"/>
        <v>M</v>
      </c>
      <c r="F9114" t="str">
        <f t="shared" si="306"/>
        <v>12M</v>
      </c>
    </row>
    <row r="9115" spans="1:6" x14ac:dyDescent="0.2">
      <c r="A9115">
        <v>13</v>
      </c>
      <c r="E9115" t="str">
        <f t="shared" si="305"/>
        <v>N</v>
      </c>
      <c r="F9115" t="str">
        <f t="shared" si="306"/>
        <v>13N</v>
      </c>
    </row>
    <row r="9116" spans="1:6" x14ac:dyDescent="0.2">
      <c r="A9116">
        <v>14</v>
      </c>
      <c r="E9116" t="str">
        <f t="shared" si="305"/>
        <v>O</v>
      </c>
      <c r="F9116" t="str">
        <f t="shared" si="306"/>
        <v>14O</v>
      </c>
    </row>
    <row r="9117" spans="1:6" x14ac:dyDescent="0.2">
      <c r="A9117">
        <v>15</v>
      </c>
      <c r="E9117" t="str">
        <f t="shared" si="305"/>
        <v>P</v>
      </c>
      <c r="F9117" t="str">
        <f t="shared" si="306"/>
        <v>15P</v>
      </c>
    </row>
    <row r="9118" spans="1:6" x14ac:dyDescent="0.2">
      <c r="A9118">
        <v>16</v>
      </c>
      <c r="E9118" t="str">
        <f t="shared" si="305"/>
        <v>Q</v>
      </c>
      <c r="F9118" t="str">
        <f t="shared" si="306"/>
        <v>16Q</v>
      </c>
    </row>
    <row r="9119" spans="1:6" x14ac:dyDescent="0.2">
      <c r="A9119">
        <v>17</v>
      </c>
      <c r="E9119" t="str">
        <f t="shared" si="305"/>
        <v>R</v>
      </c>
      <c r="F9119" t="str">
        <f t="shared" si="306"/>
        <v>17R</v>
      </c>
    </row>
    <row r="9120" spans="1:6" x14ac:dyDescent="0.2">
      <c r="A9120">
        <v>18</v>
      </c>
      <c r="E9120" t="str">
        <f t="shared" si="305"/>
        <v>S</v>
      </c>
      <c r="F9120" t="str">
        <f t="shared" si="306"/>
        <v>18S</v>
      </c>
    </row>
    <row r="9121" spans="1:6" x14ac:dyDescent="0.2">
      <c r="A9121">
        <v>19</v>
      </c>
      <c r="E9121" t="str">
        <f t="shared" si="305"/>
        <v>T</v>
      </c>
      <c r="F9121" t="str">
        <f t="shared" si="306"/>
        <v>19T</v>
      </c>
    </row>
    <row r="9122" spans="1:6" x14ac:dyDescent="0.2">
      <c r="A9122">
        <v>20</v>
      </c>
      <c r="E9122" t="str">
        <f t="shared" si="305"/>
        <v>U</v>
      </c>
      <c r="F9122" t="str">
        <f t="shared" si="306"/>
        <v>20U</v>
      </c>
    </row>
    <row r="9123" spans="1:6" x14ac:dyDescent="0.2">
      <c r="A9123">
        <v>21</v>
      </c>
      <c r="E9123" t="str">
        <f t="shared" si="305"/>
        <v>V</v>
      </c>
      <c r="F9123" t="str">
        <f t="shared" si="306"/>
        <v>21V</v>
      </c>
    </row>
    <row r="9124" spans="1:6" x14ac:dyDescent="0.2">
      <c r="A9124">
        <v>22</v>
      </c>
      <c r="E9124" t="str">
        <f t="shared" si="305"/>
        <v>W</v>
      </c>
      <c r="F9124" t="str">
        <f t="shared" si="306"/>
        <v>22W</v>
      </c>
    </row>
    <row r="9125" spans="1:6" x14ac:dyDescent="0.2">
      <c r="A9125">
        <v>23</v>
      </c>
      <c r="E9125" t="str">
        <f t="shared" si="305"/>
        <v>X</v>
      </c>
      <c r="F9125" t="str">
        <f t="shared" si="306"/>
        <v>23X</v>
      </c>
    </row>
    <row r="9126" spans="1:6" x14ac:dyDescent="0.2">
      <c r="A9126">
        <v>24</v>
      </c>
      <c r="E9126" t="str">
        <f t="shared" si="305"/>
        <v>Y</v>
      </c>
      <c r="F9126" t="str">
        <f t="shared" si="306"/>
        <v>24Y</v>
      </c>
    </row>
    <row r="9127" spans="1:6" x14ac:dyDescent="0.2">
      <c r="A9127">
        <v>25</v>
      </c>
      <c r="E9127" t="str">
        <f t="shared" si="305"/>
        <v>Z</v>
      </c>
      <c r="F9127" t="str">
        <f t="shared" si="306"/>
        <v>25Z</v>
      </c>
    </row>
    <row r="9128" spans="1:6" x14ac:dyDescent="0.2">
      <c r="A9128">
        <v>0</v>
      </c>
      <c r="E9128" t="str">
        <f t="shared" si="305"/>
        <v>A</v>
      </c>
      <c r="F9128" t="str">
        <f t="shared" si="306"/>
        <v>0A</v>
      </c>
    </row>
    <row r="9129" spans="1:6" x14ac:dyDescent="0.2">
      <c r="A9129">
        <v>1</v>
      </c>
      <c r="E9129" t="str">
        <f t="shared" si="305"/>
        <v>B</v>
      </c>
      <c r="F9129" t="str">
        <f t="shared" si="306"/>
        <v>1B</v>
      </c>
    </row>
    <row r="9130" spans="1:6" x14ac:dyDescent="0.2">
      <c r="A9130">
        <v>2</v>
      </c>
      <c r="E9130" t="str">
        <f t="shared" si="305"/>
        <v>C</v>
      </c>
      <c r="F9130" t="str">
        <f t="shared" si="306"/>
        <v>2C</v>
      </c>
    </row>
    <row r="9131" spans="1:6" x14ac:dyDescent="0.2">
      <c r="A9131">
        <v>3</v>
      </c>
      <c r="E9131" t="str">
        <f t="shared" si="305"/>
        <v>D</v>
      </c>
      <c r="F9131" t="str">
        <f t="shared" si="306"/>
        <v>3D</v>
      </c>
    </row>
    <row r="9132" spans="1:6" x14ac:dyDescent="0.2">
      <c r="A9132">
        <v>4</v>
      </c>
      <c r="E9132" t="str">
        <f t="shared" si="305"/>
        <v>E</v>
      </c>
      <c r="F9132" t="str">
        <f t="shared" si="306"/>
        <v>4E</v>
      </c>
    </row>
    <row r="9133" spans="1:6" x14ac:dyDescent="0.2">
      <c r="A9133">
        <v>5</v>
      </c>
      <c r="E9133" t="str">
        <f t="shared" si="305"/>
        <v>F</v>
      </c>
      <c r="F9133" t="str">
        <f t="shared" si="306"/>
        <v>5F</v>
      </c>
    </row>
    <row r="9134" spans="1:6" x14ac:dyDescent="0.2">
      <c r="A9134">
        <v>6</v>
      </c>
      <c r="E9134" t="str">
        <f t="shared" si="305"/>
        <v>G</v>
      </c>
      <c r="F9134" t="str">
        <f t="shared" si="306"/>
        <v>6G</v>
      </c>
    </row>
    <row r="9135" spans="1:6" x14ac:dyDescent="0.2">
      <c r="A9135">
        <v>7</v>
      </c>
      <c r="E9135" t="str">
        <f t="shared" si="305"/>
        <v>H</v>
      </c>
      <c r="F9135" t="str">
        <f t="shared" si="306"/>
        <v>7H</v>
      </c>
    </row>
    <row r="9136" spans="1:6" x14ac:dyDescent="0.2">
      <c r="A9136">
        <v>8</v>
      </c>
      <c r="E9136" t="str">
        <f t="shared" si="305"/>
        <v>I</v>
      </c>
      <c r="F9136" t="str">
        <f t="shared" si="306"/>
        <v>8I</v>
      </c>
    </row>
    <row r="9137" spans="1:6" x14ac:dyDescent="0.2">
      <c r="A9137">
        <v>9</v>
      </c>
      <c r="E9137" t="str">
        <f t="shared" si="305"/>
        <v>J</v>
      </c>
      <c r="F9137" t="str">
        <f t="shared" si="306"/>
        <v>9J</v>
      </c>
    </row>
    <row r="9138" spans="1:6" x14ac:dyDescent="0.2">
      <c r="A9138">
        <v>10</v>
      </c>
      <c r="E9138" t="str">
        <f t="shared" si="305"/>
        <v>K</v>
      </c>
      <c r="F9138" t="str">
        <f t="shared" si="306"/>
        <v>10K</v>
      </c>
    </row>
    <row r="9139" spans="1:6" x14ac:dyDescent="0.2">
      <c r="A9139">
        <v>11</v>
      </c>
      <c r="E9139" t="str">
        <f t="shared" si="305"/>
        <v>L</v>
      </c>
      <c r="F9139" t="str">
        <f t="shared" si="306"/>
        <v>11L</v>
      </c>
    </row>
    <row r="9140" spans="1:6" x14ac:dyDescent="0.2">
      <c r="A9140">
        <v>12</v>
      </c>
      <c r="E9140" t="str">
        <f t="shared" si="305"/>
        <v>M</v>
      </c>
      <c r="F9140" t="str">
        <f t="shared" si="306"/>
        <v>12M</v>
      </c>
    </row>
    <row r="9141" spans="1:6" x14ac:dyDescent="0.2">
      <c r="A9141">
        <v>13</v>
      </c>
      <c r="E9141" t="str">
        <f t="shared" si="305"/>
        <v>N</v>
      </c>
      <c r="F9141" t="str">
        <f t="shared" si="306"/>
        <v>13N</v>
      </c>
    </row>
    <row r="9142" spans="1:6" x14ac:dyDescent="0.2">
      <c r="A9142">
        <v>14</v>
      </c>
      <c r="E9142" t="str">
        <f t="shared" si="305"/>
        <v>O</v>
      </c>
      <c r="F9142" t="str">
        <f t="shared" si="306"/>
        <v>14O</v>
      </c>
    </row>
    <row r="9143" spans="1:6" x14ac:dyDescent="0.2">
      <c r="A9143">
        <v>15</v>
      </c>
      <c r="E9143" t="str">
        <f t="shared" si="305"/>
        <v>P</v>
      </c>
      <c r="F9143" t="str">
        <f t="shared" si="306"/>
        <v>15P</v>
      </c>
    </row>
    <row r="9144" spans="1:6" x14ac:dyDescent="0.2">
      <c r="A9144">
        <v>16</v>
      </c>
      <c r="E9144" t="str">
        <f t="shared" si="305"/>
        <v>Q</v>
      </c>
      <c r="F9144" t="str">
        <f t="shared" si="306"/>
        <v>16Q</v>
      </c>
    </row>
    <row r="9145" spans="1:6" x14ac:dyDescent="0.2">
      <c r="A9145">
        <v>17</v>
      </c>
      <c r="E9145" t="str">
        <f t="shared" si="305"/>
        <v>R</v>
      </c>
      <c r="F9145" t="str">
        <f t="shared" si="306"/>
        <v>17R</v>
      </c>
    </row>
    <row r="9146" spans="1:6" x14ac:dyDescent="0.2">
      <c r="A9146">
        <v>18</v>
      </c>
      <c r="E9146" t="str">
        <f t="shared" si="305"/>
        <v>S</v>
      </c>
      <c r="F9146" t="str">
        <f t="shared" si="306"/>
        <v>18S</v>
      </c>
    </row>
    <row r="9147" spans="1:6" x14ac:dyDescent="0.2">
      <c r="A9147">
        <v>19</v>
      </c>
      <c r="E9147" t="str">
        <f t="shared" si="305"/>
        <v>T</v>
      </c>
      <c r="F9147" t="str">
        <f t="shared" si="306"/>
        <v>19T</v>
      </c>
    </row>
    <row r="9148" spans="1:6" x14ac:dyDescent="0.2">
      <c r="A9148">
        <v>20</v>
      </c>
      <c r="E9148" t="str">
        <f t="shared" si="305"/>
        <v>U</v>
      </c>
      <c r="F9148" t="str">
        <f t="shared" si="306"/>
        <v>20U</v>
      </c>
    </row>
    <row r="9149" spans="1:6" x14ac:dyDescent="0.2">
      <c r="A9149">
        <v>21</v>
      </c>
      <c r="E9149" t="str">
        <f t="shared" si="305"/>
        <v>V</v>
      </c>
      <c r="F9149" t="str">
        <f t="shared" si="306"/>
        <v>21V</v>
      </c>
    </row>
    <row r="9150" spans="1:6" x14ac:dyDescent="0.2">
      <c r="A9150">
        <v>22</v>
      </c>
      <c r="E9150" t="str">
        <f t="shared" si="305"/>
        <v>W</v>
      </c>
      <c r="F9150" t="str">
        <f t="shared" si="306"/>
        <v>22W</v>
      </c>
    </row>
    <row r="9151" spans="1:6" x14ac:dyDescent="0.2">
      <c r="A9151">
        <v>23</v>
      </c>
      <c r="E9151" t="str">
        <f t="shared" si="305"/>
        <v>X</v>
      </c>
      <c r="F9151" t="str">
        <f t="shared" si="306"/>
        <v>23X</v>
      </c>
    </row>
    <row r="9152" spans="1:6" x14ac:dyDescent="0.2">
      <c r="A9152">
        <v>24</v>
      </c>
      <c r="E9152" t="str">
        <f t="shared" si="305"/>
        <v>Y</v>
      </c>
      <c r="F9152" t="str">
        <f t="shared" si="306"/>
        <v>24Y</v>
      </c>
    </row>
    <row r="9153" spans="1:6" x14ac:dyDescent="0.2">
      <c r="A9153">
        <v>25</v>
      </c>
      <c r="E9153" t="str">
        <f t="shared" si="305"/>
        <v>Z</v>
      </c>
      <c r="F9153" t="str">
        <f t="shared" si="306"/>
        <v>25Z</v>
      </c>
    </row>
    <row r="9154" spans="1:6" x14ac:dyDescent="0.2">
      <c r="A9154">
        <v>0</v>
      </c>
      <c r="E9154" t="str">
        <f t="shared" si="305"/>
        <v>A</v>
      </c>
      <c r="F9154" t="str">
        <f t="shared" si="306"/>
        <v>0A</v>
      </c>
    </row>
    <row r="9155" spans="1:6" x14ac:dyDescent="0.2">
      <c r="A9155">
        <v>1</v>
      </c>
      <c r="E9155" t="str">
        <f t="shared" si="305"/>
        <v>B</v>
      </c>
      <c r="F9155" t="str">
        <f t="shared" si="306"/>
        <v>1B</v>
      </c>
    </row>
    <row r="9156" spans="1:6" x14ac:dyDescent="0.2">
      <c r="A9156">
        <v>2</v>
      </c>
      <c r="E9156" t="str">
        <f t="shared" si="305"/>
        <v>C</v>
      </c>
      <c r="F9156" t="str">
        <f t="shared" si="306"/>
        <v>2C</v>
      </c>
    </row>
    <row r="9157" spans="1:6" x14ac:dyDescent="0.2">
      <c r="A9157">
        <v>3</v>
      </c>
      <c r="E9157" t="str">
        <f t="shared" si="305"/>
        <v>D</v>
      </c>
      <c r="F9157" t="str">
        <f t="shared" si="306"/>
        <v>3D</v>
      </c>
    </row>
    <row r="9158" spans="1:6" x14ac:dyDescent="0.2">
      <c r="A9158">
        <v>4</v>
      </c>
      <c r="E9158" t="str">
        <f t="shared" si="305"/>
        <v>E</v>
      </c>
      <c r="F9158" t="str">
        <f t="shared" si="306"/>
        <v>4E</v>
      </c>
    </row>
    <row r="9159" spans="1:6" x14ac:dyDescent="0.2">
      <c r="A9159">
        <v>5</v>
      </c>
      <c r="E9159" t="str">
        <f t="shared" si="305"/>
        <v>F</v>
      </c>
      <c r="F9159" t="str">
        <f t="shared" si="306"/>
        <v>5F</v>
      </c>
    </row>
    <row r="9160" spans="1:6" x14ac:dyDescent="0.2">
      <c r="A9160">
        <v>6</v>
      </c>
      <c r="E9160" t="str">
        <f t="shared" si="305"/>
        <v>G</v>
      </c>
      <c r="F9160" t="str">
        <f t="shared" si="306"/>
        <v>6G</v>
      </c>
    </row>
    <row r="9161" spans="1:6" x14ac:dyDescent="0.2">
      <c r="A9161">
        <v>7</v>
      </c>
      <c r="E9161" t="str">
        <f t="shared" si="305"/>
        <v>H</v>
      </c>
      <c r="F9161" t="str">
        <f t="shared" si="306"/>
        <v>7H</v>
      </c>
    </row>
    <row r="9162" spans="1:6" x14ac:dyDescent="0.2">
      <c r="A9162">
        <v>8</v>
      </c>
      <c r="E9162" t="str">
        <f t="shared" si="305"/>
        <v>I</v>
      </c>
      <c r="F9162" t="str">
        <f t="shared" si="306"/>
        <v>8I</v>
      </c>
    </row>
    <row r="9163" spans="1:6" x14ac:dyDescent="0.2">
      <c r="A9163">
        <v>9</v>
      </c>
      <c r="E9163" t="str">
        <f t="shared" si="305"/>
        <v>J</v>
      </c>
      <c r="F9163" t="str">
        <f t="shared" si="306"/>
        <v>9J</v>
      </c>
    </row>
    <row r="9164" spans="1:6" x14ac:dyDescent="0.2">
      <c r="A9164">
        <v>10</v>
      </c>
      <c r="E9164" t="str">
        <f t="shared" si="305"/>
        <v>K</v>
      </c>
      <c r="F9164" t="str">
        <f t="shared" si="306"/>
        <v>10K</v>
      </c>
    </row>
    <row r="9165" spans="1:6" x14ac:dyDescent="0.2">
      <c r="A9165">
        <v>11</v>
      </c>
      <c r="E9165" t="str">
        <f t="shared" si="305"/>
        <v>L</v>
      </c>
      <c r="F9165" t="str">
        <f t="shared" si="306"/>
        <v>11L</v>
      </c>
    </row>
    <row r="9166" spans="1:6" x14ac:dyDescent="0.2">
      <c r="A9166">
        <v>12</v>
      </c>
      <c r="E9166" t="str">
        <f t="shared" si="305"/>
        <v>M</v>
      </c>
      <c r="F9166" t="str">
        <f t="shared" si="306"/>
        <v>12M</v>
      </c>
    </row>
    <row r="9167" spans="1:6" x14ac:dyDescent="0.2">
      <c r="A9167">
        <v>13</v>
      </c>
      <c r="E9167" t="str">
        <f t="shared" si="305"/>
        <v>N</v>
      </c>
      <c r="F9167" t="str">
        <f t="shared" si="306"/>
        <v>13N</v>
      </c>
    </row>
    <row r="9168" spans="1:6" x14ac:dyDescent="0.2">
      <c r="A9168">
        <v>14</v>
      </c>
      <c r="E9168" t="str">
        <f t="shared" si="305"/>
        <v>O</v>
      </c>
      <c r="F9168" t="str">
        <f t="shared" si="306"/>
        <v>14O</v>
      </c>
    </row>
    <row r="9169" spans="1:6" x14ac:dyDescent="0.2">
      <c r="A9169">
        <v>15</v>
      </c>
      <c r="E9169" t="str">
        <f t="shared" si="305"/>
        <v>P</v>
      </c>
      <c r="F9169" t="str">
        <f t="shared" si="306"/>
        <v>15P</v>
      </c>
    </row>
    <row r="9170" spans="1:6" x14ac:dyDescent="0.2">
      <c r="A9170">
        <v>16</v>
      </c>
      <c r="E9170" t="str">
        <f t="shared" si="305"/>
        <v>Q</v>
      </c>
      <c r="F9170" t="str">
        <f t="shared" si="306"/>
        <v>16Q</v>
      </c>
    </row>
    <row r="9171" spans="1:6" x14ac:dyDescent="0.2">
      <c r="A9171">
        <v>17</v>
      </c>
      <c r="E9171" t="str">
        <f t="shared" si="305"/>
        <v>R</v>
      </c>
      <c r="F9171" t="str">
        <f t="shared" si="306"/>
        <v>17R</v>
      </c>
    </row>
    <row r="9172" spans="1:6" x14ac:dyDescent="0.2">
      <c r="A9172">
        <v>18</v>
      </c>
      <c r="E9172" t="str">
        <f t="shared" si="305"/>
        <v>S</v>
      </c>
      <c r="F9172" t="str">
        <f t="shared" si="306"/>
        <v>18S</v>
      </c>
    </row>
    <row r="9173" spans="1:6" x14ac:dyDescent="0.2">
      <c r="A9173">
        <v>19</v>
      </c>
      <c r="E9173" t="str">
        <f t="shared" ref="E9173:E9236" si="307">E9147</f>
        <v>T</v>
      </c>
      <c r="F9173" t="str">
        <f t="shared" ref="F9173:F9236" si="308">A9173&amp;C9173&amp;E9173</f>
        <v>19T</v>
      </c>
    </row>
    <row r="9174" spans="1:6" x14ac:dyDescent="0.2">
      <c r="A9174">
        <v>20</v>
      </c>
      <c r="E9174" t="str">
        <f t="shared" si="307"/>
        <v>U</v>
      </c>
      <c r="F9174" t="str">
        <f t="shared" si="308"/>
        <v>20U</v>
      </c>
    </row>
    <row r="9175" spans="1:6" x14ac:dyDescent="0.2">
      <c r="A9175">
        <v>21</v>
      </c>
      <c r="E9175" t="str">
        <f t="shared" si="307"/>
        <v>V</v>
      </c>
      <c r="F9175" t="str">
        <f t="shared" si="308"/>
        <v>21V</v>
      </c>
    </row>
    <row r="9176" spans="1:6" x14ac:dyDescent="0.2">
      <c r="A9176">
        <v>22</v>
      </c>
      <c r="E9176" t="str">
        <f t="shared" si="307"/>
        <v>W</v>
      </c>
      <c r="F9176" t="str">
        <f t="shared" si="308"/>
        <v>22W</v>
      </c>
    </row>
    <row r="9177" spans="1:6" x14ac:dyDescent="0.2">
      <c r="A9177">
        <v>23</v>
      </c>
      <c r="E9177" t="str">
        <f t="shared" si="307"/>
        <v>X</v>
      </c>
      <c r="F9177" t="str">
        <f t="shared" si="308"/>
        <v>23X</v>
      </c>
    </row>
    <row r="9178" spans="1:6" x14ac:dyDescent="0.2">
      <c r="A9178">
        <v>24</v>
      </c>
      <c r="E9178" t="str">
        <f t="shared" si="307"/>
        <v>Y</v>
      </c>
      <c r="F9178" t="str">
        <f t="shared" si="308"/>
        <v>24Y</v>
      </c>
    </row>
    <row r="9179" spans="1:6" x14ac:dyDescent="0.2">
      <c r="A9179">
        <v>25</v>
      </c>
      <c r="E9179" t="str">
        <f t="shared" si="307"/>
        <v>Z</v>
      </c>
      <c r="F9179" t="str">
        <f t="shared" si="308"/>
        <v>25Z</v>
      </c>
    </row>
    <row r="9180" spans="1:6" x14ac:dyDescent="0.2">
      <c r="A9180">
        <v>0</v>
      </c>
      <c r="E9180" t="str">
        <f t="shared" si="307"/>
        <v>A</v>
      </c>
      <c r="F9180" t="str">
        <f t="shared" si="308"/>
        <v>0A</v>
      </c>
    </row>
    <row r="9181" spans="1:6" x14ac:dyDescent="0.2">
      <c r="A9181">
        <v>1</v>
      </c>
      <c r="E9181" t="str">
        <f t="shared" si="307"/>
        <v>B</v>
      </c>
      <c r="F9181" t="str">
        <f t="shared" si="308"/>
        <v>1B</v>
      </c>
    </row>
    <row r="9182" spans="1:6" x14ac:dyDescent="0.2">
      <c r="A9182">
        <v>2</v>
      </c>
      <c r="E9182" t="str">
        <f t="shared" si="307"/>
        <v>C</v>
      </c>
      <c r="F9182" t="str">
        <f t="shared" si="308"/>
        <v>2C</v>
      </c>
    </row>
    <row r="9183" spans="1:6" x14ac:dyDescent="0.2">
      <c r="A9183">
        <v>3</v>
      </c>
      <c r="E9183" t="str">
        <f t="shared" si="307"/>
        <v>D</v>
      </c>
      <c r="F9183" t="str">
        <f t="shared" si="308"/>
        <v>3D</v>
      </c>
    </row>
    <row r="9184" spans="1:6" x14ac:dyDescent="0.2">
      <c r="A9184">
        <v>4</v>
      </c>
      <c r="E9184" t="str">
        <f t="shared" si="307"/>
        <v>E</v>
      </c>
      <c r="F9184" t="str">
        <f t="shared" si="308"/>
        <v>4E</v>
      </c>
    </row>
    <row r="9185" spans="1:6" x14ac:dyDescent="0.2">
      <c r="A9185">
        <v>5</v>
      </c>
      <c r="E9185" t="str">
        <f t="shared" si="307"/>
        <v>F</v>
      </c>
      <c r="F9185" t="str">
        <f t="shared" si="308"/>
        <v>5F</v>
      </c>
    </row>
    <row r="9186" spans="1:6" x14ac:dyDescent="0.2">
      <c r="A9186">
        <v>6</v>
      </c>
      <c r="E9186" t="str">
        <f t="shared" si="307"/>
        <v>G</v>
      </c>
      <c r="F9186" t="str">
        <f t="shared" si="308"/>
        <v>6G</v>
      </c>
    </row>
    <row r="9187" spans="1:6" x14ac:dyDescent="0.2">
      <c r="A9187">
        <v>7</v>
      </c>
      <c r="E9187" t="str">
        <f t="shared" si="307"/>
        <v>H</v>
      </c>
      <c r="F9187" t="str">
        <f t="shared" si="308"/>
        <v>7H</v>
      </c>
    </row>
    <row r="9188" spans="1:6" x14ac:dyDescent="0.2">
      <c r="A9188">
        <v>8</v>
      </c>
      <c r="E9188" t="str">
        <f t="shared" si="307"/>
        <v>I</v>
      </c>
      <c r="F9188" t="str">
        <f t="shared" si="308"/>
        <v>8I</v>
      </c>
    </row>
    <row r="9189" spans="1:6" x14ac:dyDescent="0.2">
      <c r="A9189">
        <v>9</v>
      </c>
      <c r="E9189" t="str">
        <f t="shared" si="307"/>
        <v>J</v>
      </c>
      <c r="F9189" t="str">
        <f t="shared" si="308"/>
        <v>9J</v>
      </c>
    </row>
    <row r="9190" spans="1:6" x14ac:dyDescent="0.2">
      <c r="A9190">
        <v>10</v>
      </c>
      <c r="E9190" t="str">
        <f t="shared" si="307"/>
        <v>K</v>
      </c>
      <c r="F9190" t="str">
        <f t="shared" si="308"/>
        <v>10K</v>
      </c>
    </row>
    <row r="9191" spans="1:6" x14ac:dyDescent="0.2">
      <c r="A9191">
        <v>11</v>
      </c>
      <c r="E9191" t="str">
        <f t="shared" si="307"/>
        <v>L</v>
      </c>
      <c r="F9191" t="str">
        <f t="shared" si="308"/>
        <v>11L</v>
      </c>
    </row>
    <row r="9192" spans="1:6" x14ac:dyDescent="0.2">
      <c r="A9192">
        <v>12</v>
      </c>
      <c r="E9192" t="str">
        <f t="shared" si="307"/>
        <v>M</v>
      </c>
      <c r="F9192" t="str">
        <f t="shared" si="308"/>
        <v>12M</v>
      </c>
    </row>
    <row r="9193" spans="1:6" x14ac:dyDescent="0.2">
      <c r="A9193">
        <v>13</v>
      </c>
      <c r="E9193" t="str">
        <f t="shared" si="307"/>
        <v>N</v>
      </c>
      <c r="F9193" t="str">
        <f t="shared" si="308"/>
        <v>13N</v>
      </c>
    </row>
    <row r="9194" spans="1:6" x14ac:dyDescent="0.2">
      <c r="A9194">
        <v>14</v>
      </c>
      <c r="E9194" t="str">
        <f t="shared" si="307"/>
        <v>O</v>
      </c>
      <c r="F9194" t="str">
        <f t="shared" si="308"/>
        <v>14O</v>
      </c>
    </row>
    <row r="9195" spans="1:6" x14ac:dyDescent="0.2">
      <c r="A9195">
        <v>15</v>
      </c>
      <c r="E9195" t="str">
        <f t="shared" si="307"/>
        <v>P</v>
      </c>
      <c r="F9195" t="str">
        <f t="shared" si="308"/>
        <v>15P</v>
      </c>
    </row>
    <row r="9196" spans="1:6" x14ac:dyDescent="0.2">
      <c r="A9196">
        <v>16</v>
      </c>
      <c r="E9196" t="str">
        <f t="shared" si="307"/>
        <v>Q</v>
      </c>
      <c r="F9196" t="str">
        <f t="shared" si="308"/>
        <v>16Q</v>
      </c>
    </row>
    <row r="9197" spans="1:6" x14ac:dyDescent="0.2">
      <c r="A9197">
        <v>17</v>
      </c>
      <c r="E9197" t="str">
        <f t="shared" si="307"/>
        <v>R</v>
      </c>
      <c r="F9197" t="str">
        <f t="shared" si="308"/>
        <v>17R</v>
      </c>
    </row>
    <row r="9198" spans="1:6" x14ac:dyDescent="0.2">
      <c r="A9198">
        <v>18</v>
      </c>
      <c r="E9198" t="str">
        <f t="shared" si="307"/>
        <v>S</v>
      </c>
      <c r="F9198" t="str">
        <f t="shared" si="308"/>
        <v>18S</v>
      </c>
    </row>
    <row r="9199" spans="1:6" x14ac:dyDescent="0.2">
      <c r="A9199">
        <v>19</v>
      </c>
      <c r="E9199" t="str">
        <f t="shared" si="307"/>
        <v>T</v>
      </c>
      <c r="F9199" t="str">
        <f t="shared" si="308"/>
        <v>19T</v>
      </c>
    </row>
    <row r="9200" spans="1:6" x14ac:dyDescent="0.2">
      <c r="A9200">
        <v>20</v>
      </c>
      <c r="E9200" t="str">
        <f t="shared" si="307"/>
        <v>U</v>
      </c>
      <c r="F9200" t="str">
        <f t="shared" si="308"/>
        <v>20U</v>
      </c>
    </row>
    <row r="9201" spans="1:6" x14ac:dyDescent="0.2">
      <c r="A9201">
        <v>21</v>
      </c>
      <c r="E9201" t="str">
        <f t="shared" si="307"/>
        <v>V</v>
      </c>
      <c r="F9201" t="str">
        <f t="shared" si="308"/>
        <v>21V</v>
      </c>
    </row>
    <row r="9202" spans="1:6" x14ac:dyDescent="0.2">
      <c r="A9202">
        <v>22</v>
      </c>
      <c r="E9202" t="str">
        <f t="shared" si="307"/>
        <v>W</v>
      </c>
      <c r="F9202" t="str">
        <f t="shared" si="308"/>
        <v>22W</v>
      </c>
    </row>
    <row r="9203" spans="1:6" x14ac:dyDescent="0.2">
      <c r="A9203">
        <v>23</v>
      </c>
      <c r="E9203" t="str">
        <f t="shared" si="307"/>
        <v>X</v>
      </c>
      <c r="F9203" t="str">
        <f t="shared" si="308"/>
        <v>23X</v>
      </c>
    </row>
    <row r="9204" spans="1:6" x14ac:dyDescent="0.2">
      <c r="A9204">
        <v>24</v>
      </c>
      <c r="E9204" t="str">
        <f t="shared" si="307"/>
        <v>Y</v>
      </c>
      <c r="F9204" t="str">
        <f t="shared" si="308"/>
        <v>24Y</v>
      </c>
    </row>
    <row r="9205" spans="1:6" x14ac:dyDescent="0.2">
      <c r="A9205">
        <v>25</v>
      </c>
      <c r="E9205" t="str">
        <f t="shared" si="307"/>
        <v>Z</v>
      </c>
      <c r="F9205" t="str">
        <f t="shared" si="308"/>
        <v>25Z</v>
      </c>
    </row>
    <row r="9206" spans="1:6" x14ac:dyDescent="0.2">
      <c r="A9206">
        <v>0</v>
      </c>
      <c r="E9206" t="str">
        <f t="shared" si="307"/>
        <v>A</v>
      </c>
      <c r="F9206" t="str">
        <f t="shared" si="308"/>
        <v>0A</v>
      </c>
    </row>
    <row r="9207" spans="1:6" x14ac:dyDescent="0.2">
      <c r="A9207">
        <v>1</v>
      </c>
      <c r="E9207" t="str">
        <f t="shared" si="307"/>
        <v>B</v>
      </c>
      <c r="F9207" t="str">
        <f t="shared" si="308"/>
        <v>1B</v>
      </c>
    </row>
    <row r="9208" spans="1:6" x14ac:dyDescent="0.2">
      <c r="A9208">
        <v>2</v>
      </c>
      <c r="E9208" t="str">
        <f t="shared" si="307"/>
        <v>C</v>
      </c>
      <c r="F9208" t="str">
        <f t="shared" si="308"/>
        <v>2C</v>
      </c>
    </row>
    <row r="9209" spans="1:6" x14ac:dyDescent="0.2">
      <c r="A9209">
        <v>3</v>
      </c>
      <c r="E9209" t="str">
        <f t="shared" si="307"/>
        <v>D</v>
      </c>
      <c r="F9209" t="str">
        <f t="shared" si="308"/>
        <v>3D</v>
      </c>
    </row>
    <row r="9210" spans="1:6" x14ac:dyDescent="0.2">
      <c r="A9210">
        <v>4</v>
      </c>
      <c r="E9210" t="str">
        <f t="shared" si="307"/>
        <v>E</v>
      </c>
      <c r="F9210" t="str">
        <f t="shared" si="308"/>
        <v>4E</v>
      </c>
    </row>
    <row r="9211" spans="1:6" x14ac:dyDescent="0.2">
      <c r="A9211">
        <v>5</v>
      </c>
      <c r="E9211" t="str">
        <f t="shared" si="307"/>
        <v>F</v>
      </c>
      <c r="F9211" t="str">
        <f t="shared" si="308"/>
        <v>5F</v>
      </c>
    </row>
    <row r="9212" spans="1:6" x14ac:dyDescent="0.2">
      <c r="A9212">
        <v>6</v>
      </c>
      <c r="E9212" t="str">
        <f t="shared" si="307"/>
        <v>G</v>
      </c>
      <c r="F9212" t="str">
        <f t="shared" si="308"/>
        <v>6G</v>
      </c>
    </row>
    <row r="9213" spans="1:6" x14ac:dyDescent="0.2">
      <c r="A9213">
        <v>7</v>
      </c>
      <c r="E9213" t="str">
        <f t="shared" si="307"/>
        <v>H</v>
      </c>
      <c r="F9213" t="str">
        <f t="shared" si="308"/>
        <v>7H</v>
      </c>
    </row>
    <row r="9214" spans="1:6" x14ac:dyDescent="0.2">
      <c r="A9214">
        <v>8</v>
      </c>
      <c r="E9214" t="str">
        <f t="shared" si="307"/>
        <v>I</v>
      </c>
      <c r="F9214" t="str">
        <f t="shared" si="308"/>
        <v>8I</v>
      </c>
    </row>
    <row r="9215" spans="1:6" x14ac:dyDescent="0.2">
      <c r="A9215">
        <v>9</v>
      </c>
      <c r="E9215" t="str">
        <f t="shared" si="307"/>
        <v>J</v>
      </c>
      <c r="F9215" t="str">
        <f t="shared" si="308"/>
        <v>9J</v>
      </c>
    </row>
    <row r="9216" spans="1:6" x14ac:dyDescent="0.2">
      <c r="A9216">
        <v>10</v>
      </c>
      <c r="E9216" t="str">
        <f t="shared" si="307"/>
        <v>K</v>
      </c>
      <c r="F9216" t="str">
        <f t="shared" si="308"/>
        <v>10K</v>
      </c>
    </row>
    <row r="9217" spans="1:6" x14ac:dyDescent="0.2">
      <c r="A9217">
        <v>11</v>
      </c>
      <c r="E9217" t="str">
        <f t="shared" si="307"/>
        <v>L</v>
      </c>
      <c r="F9217" t="str">
        <f t="shared" si="308"/>
        <v>11L</v>
      </c>
    </row>
    <row r="9218" spans="1:6" x14ac:dyDescent="0.2">
      <c r="A9218">
        <v>12</v>
      </c>
      <c r="E9218" t="str">
        <f t="shared" si="307"/>
        <v>M</v>
      </c>
      <c r="F9218" t="str">
        <f t="shared" si="308"/>
        <v>12M</v>
      </c>
    </row>
    <row r="9219" spans="1:6" x14ac:dyDescent="0.2">
      <c r="A9219">
        <v>13</v>
      </c>
      <c r="E9219" t="str">
        <f t="shared" si="307"/>
        <v>N</v>
      </c>
      <c r="F9219" t="str">
        <f t="shared" si="308"/>
        <v>13N</v>
      </c>
    </row>
    <row r="9220" spans="1:6" x14ac:dyDescent="0.2">
      <c r="A9220">
        <v>14</v>
      </c>
      <c r="E9220" t="str">
        <f t="shared" si="307"/>
        <v>O</v>
      </c>
      <c r="F9220" t="str">
        <f t="shared" si="308"/>
        <v>14O</v>
      </c>
    </row>
    <row r="9221" spans="1:6" x14ac:dyDescent="0.2">
      <c r="A9221">
        <v>15</v>
      </c>
      <c r="E9221" t="str">
        <f t="shared" si="307"/>
        <v>P</v>
      </c>
      <c r="F9221" t="str">
        <f t="shared" si="308"/>
        <v>15P</v>
      </c>
    </row>
    <row r="9222" spans="1:6" x14ac:dyDescent="0.2">
      <c r="A9222">
        <v>16</v>
      </c>
      <c r="E9222" t="str">
        <f t="shared" si="307"/>
        <v>Q</v>
      </c>
      <c r="F9222" t="str">
        <f t="shared" si="308"/>
        <v>16Q</v>
      </c>
    </row>
    <row r="9223" spans="1:6" x14ac:dyDescent="0.2">
      <c r="A9223">
        <v>17</v>
      </c>
      <c r="E9223" t="str">
        <f t="shared" si="307"/>
        <v>R</v>
      </c>
      <c r="F9223" t="str">
        <f t="shared" si="308"/>
        <v>17R</v>
      </c>
    </row>
    <row r="9224" spans="1:6" x14ac:dyDescent="0.2">
      <c r="A9224">
        <v>18</v>
      </c>
      <c r="E9224" t="str">
        <f t="shared" si="307"/>
        <v>S</v>
      </c>
      <c r="F9224" t="str">
        <f t="shared" si="308"/>
        <v>18S</v>
      </c>
    </row>
    <row r="9225" spans="1:6" x14ac:dyDescent="0.2">
      <c r="A9225">
        <v>19</v>
      </c>
      <c r="E9225" t="str">
        <f t="shared" si="307"/>
        <v>T</v>
      </c>
      <c r="F9225" t="str">
        <f t="shared" si="308"/>
        <v>19T</v>
      </c>
    </row>
    <row r="9226" spans="1:6" x14ac:dyDescent="0.2">
      <c r="A9226">
        <v>20</v>
      </c>
      <c r="E9226" t="str">
        <f t="shared" si="307"/>
        <v>U</v>
      </c>
      <c r="F9226" t="str">
        <f t="shared" si="308"/>
        <v>20U</v>
      </c>
    </row>
    <row r="9227" spans="1:6" x14ac:dyDescent="0.2">
      <c r="A9227">
        <v>21</v>
      </c>
      <c r="E9227" t="str">
        <f t="shared" si="307"/>
        <v>V</v>
      </c>
      <c r="F9227" t="str">
        <f t="shared" si="308"/>
        <v>21V</v>
      </c>
    </row>
    <row r="9228" spans="1:6" x14ac:dyDescent="0.2">
      <c r="A9228">
        <v>22</v>
      </c>
      <c r="E9228" t="str">
        <f t="shared" si="307"/>
        <v>W</v>
      </c>
      <c r="F9228" t="str">
        <f t="shared" si="308"/>
        <v>22W</v>
      </c>
    </row>
    <row r="9229" spans="1:6" x14ac:dyDescent="0.2">
      <c r="A9229">
        <v>23</v>
      </c>
      <c r="E9229" t="str">
        <f t="shared" si="307"/>
        <v>X</v>
      </c>
      <c r="F9229" t="str">
        <f t="shared" si="308"/>
        <v>23X</v>
      </c>
    </row>
    <row r="9230" spans="1:6" x14ac:dyDescent="0.2">
      <c r="A9230">
        <v>24</v>
      </c>
      <c r="E9230" t="str">
        <f t="shared" si="307"/>
        <v>Y</v>
      </c>
      <c r="F9230" t="str">
        <f t="shared" si="308"/>
        <v>24Y</v>
      </c>
    </row>
    <row r="9231" spans="1:6" x14ac:dyDescent="0.2">
      <c r="A9231">
        <v>25</v>
      </c>
      <c r="E9231" t="str">
        <f t="shared" si="307"/>
        <v>Z</v>
      </c>
      <c r="F9231" t="str">
        <f t="shared" si="308"/>
        <v>25Z</v>
      </c>
    </row>
    <row r="9232" spans="1:6" x14ac:dyDescent="0.2">
      <c r="A9232">
        <v>0</v>
      </c>
      <c r="E9232" t="str">
        <f t="shared" si="307"/>
        <v>A</v>
      </c>
      <c r="F9232" t="str">
        <f t="shared" si="308"/>
        <v>0A</v>
      </c>
    </row>
    <row r="9233" spans="1:6" x14ac:dyDescent="0.2">
      <c r="A9233">
        <v>1</v>
      </c>
      <c r="E9233" t="str">
        <f t="shared" si="307"/>
        <v>B</v>
      </c>
      <c r="F9233" t="str">
        <f t="shared" si="308"/>
        <v>1B</v>
      </c>
    </row>
    <row r="9234" spans="1:6" x14ac:dyDescent="0.2">
      <c r="A9234">
        <v>2</v>
      </c>
      <c r="E9234" t="str">
        <f t="shared" si="307"/>
        <v>C</v>
      </c>
      <c r="F9234" t="str">
        <f t="shared" si="308"/>
        <v>2C</v>
      </c>
    </row>
    <row r="9235" spans="1:6" x14ac:dyDescent="0.2">
      <c r="A9235">
        <v>3</v>
      </c>
      <c r="E9235" t="str">
        <f t="shared" si="307"/>
        <v>D</v>
      </c>
      <c r="F9235" t="str">
        <f t="shared" si="308"/>
        <v>3D</v>
      </c>
    </row>
    <row r="9236" spans="1:6" x14ac:dyDescent="0.2">
      <c r="A9236">
        <v>4</v>
      </c>
      <c r="E9236" t="str">
        <f t="shared" si="307"/>
        <v>E</v>
      </c>
      <c r="F9236" t="str">
        <f t="shared" si="308"/>
        <v>4E</v>
      </c>
    </row>
    <row r="9237" spans="1:6" x14ac:dyDescent="0.2">
      <c r="A9237">
        <v>5</v>
      </c>
      <c r="E9237" t="str">
        <f t="shared" ref="E9237:E9300" si="309">E9211</f>
        <v>F</v>
      </c>
      <c r="F9237" t="str">
        <f t="shared" ref="F9237:F9300" si="310">A9237&amp;C9237&amp;E9237</f>
        <v>5F</v>
      </c>
    </row>
    <row r="9238" spans="1:6" x14ac:dyDescent="0.2">
      <c r="A9238">
        <v>6</v>
      </c>
      <c r="E9238" t="str">
        <f t="shared" si="309"/>
        <v>G</v>
      </c>
      <c r="F9238" t="str">
        <f t="shared" si="310"/>
        <v>6G</v>
      </c>
    </row>
    <row r="9239" spans="1:6" x14ac:dyDescent="0.2">
      <c r="A9239">
        <v>7</v>
      </c>
      <c r="E9239" t="str">
        <f t="shared" si="309"/>
        <v>H</v>
      </c>
      <c r="F9239" t="str">
        <f t="shared" si="310"/>
        <v>7H</v>
      </c>
    </row>
    <row r="9240" spans="1:6" x14ac:dyDescent="0.2">
      <c r="A9240">
        <v>8</v>
      </c>
      <c r="E9240" t="str">
        <f t="shared" si="309"/>
        <v>I</v>
      </c>
      <c r="F9240" t="str">
        <f t="shared" si="310"/>
        <v>8I</v>
      </c>
    </row>
    <row r="9241" spans="1:6" x14ac:dyDescent="0.2">
      <c r="A9241">
        <v>9</v>
      </c>
      <c r="E9241" t="str">
        <f t="shared" si="309"/>
        <v>J</v>
      </c>
      <c r="F9241" t="str">
        <f t="shared" si="310"/>
        <v>9J</v>
      </c>
    </row>
    <row r="9242" spans="1:6" x14ac:dyDescent="0.2">
      <c r="A9242">
        <v>10</v>
      </c>
      <c r="E9242" t="str">
        <f t="shared" si="309"/>
        <v>K</v>
      </c>
      <c r="F9242" t="str">
        <f t="shared" si="310"/>
        <v>10K</v>
      </c>
    </row>
    <row r="9243" spans="1:6" x14ac:dyDescent="0.2">
      <c r="A9243">
        <v>11</v>
      </c>
      <c r="E9243" t="str">
        <f t="shared" si="309"/>
        <v>L</v>
      </c>
      <c r="F9243" t="str">
        <f t="shared" si="310"/>
        <v>11L</v>
      </c>
    </row>
    <row r="9244" spans="1:6" x14ac:dyDescent="0.2">
      <c r="A9244">
        <v>12</v>
      </c>
      <c r="E9244" t="str">
        <f t="shared" si="309"/>
        <v>M</v>
      </c>
      <c r="F9244" t="str">
        <f t="shared" si="310"/>
        <v>12M</v>
      </c>
    </row>
    <row r="9245" spans="1:6" x14ac:dyDescent="0.2">
      <c r="A9245">
        <v>13</v>
      </c>
      <c r="E9245" t="str">
        <f t="shared" si="309"/>
        <v>N</v>
      </c>
      <c r="F9245" t="str">
        <f t="shared" si="310"/>
        <v>13N</v>
      </c>
    </row>
    <row r="9246" spans="1:6" x14ac:dyDescent="0.2">
      <c r="A9246">
        <v>14</v>
      </c>
      <c r="E9246" t="str">
        <f t="shared" si="309"/>
        <v>O</v>
      </c>
      <c r="F9246" t="str">
        <f t="shared" si="310"/>
        <v>14O</v>
      </c>
    </row>
    <row r="9247" spans="1:6" x14ac:dyDescent="0.2">
      <c r="A9247">
        <v>15</v>
      </c>
      <c r="E9247" t="str">
        <f t="shared" si="309"/>
        <v>P</v>
      </c>
      <c r="F9247" t="str">
        <f t="shared" si="310"/>
        <v>15P</v>
      </c>
    </row>
    <row r="9248" spans="1:6" x14ac:dyDescent="0.2">
      <c r="A9248">
        <v>16</v>
      </c>
      <c r="E9248" t="str">
        <f t="shared" si="309"/>
        <v>Q</v>
      </c>
      <c r="F9248" t="str">
        <f t="shared" si="310"/>
        <v>16Q</v>
      </c>
    </row>
    <row r="9249" spans="1:6" x14ac:dyDescent="0.2">
      <c r="A9249">
        <v>17</v>
      </c>
      <c r="E9249" t="str">
        <f t="shared" si="309"/>
        <v>R</v>
      </c>
      <c r="F9249" t="str">
        <f t="shared" si="310"/>
        <v>17R</v>
      </c>
    </row>
    <row r="9250" spans="1:6" x14ac:dyDescent="0.2">
      <c r="A9250">
        <v>18</v>
      </c>
      <c r="E9250" t="str">
        <f t="shared" si="309"/>
        <v>S</v>
      </c>
      <c r="F9250" t="str">
        <f t="shared" si="310"/>
        <v>18S</v>
      </c>
    </row>
    <row r="9251" spans="1:6" x14ac:dyDescent="0.2">
      <c r="A9251">
        <v>19</v>
      </c>
      <c r="E9251" t="str">
        <f t="shared" si="309"/>
        <v>T</v>
      </c>
      <c r="F9251" t="str">
        <f t="shared" si="310"/>
        <v>19T</v>
      </c>
    </row>
    <row r="9252" spans="1:6" x14ac:dyDescent="0.2">
      <c r="A9252">
        <v>20</v>
      </c>
      <c r="E9252" t="str">
        <f t="shared" si="309"/>
        <v>U</v>
      </c>
      <c r="F9252" t="str">
        <f t="shared" si="310"/>
        <v>20U</v>
      </c>
    </row>
    <row r="9253" spans="1:6" x14ac:dyDescent="0.2">
      <c r="A9253">
        <v>21</v>
      </c>
      <c r="E9253" t="str">
        <f t="shared" si="309"/>
        <v>V</v>
      </c>
      <c r="F9253" t="str">
        <f t="shared" si="310"/>
        <v>21V</v>
      </c>
    </row>
    <row r="9254" spans="1:6" x14ac:dyDescent="0.2">
      <c r="A9254">
        <v>22</v>
      </c>
      <c r="E9254" t="str">
        <f t="shared" si="309"/>
        <v>W</v>
      </c>
      <c r="F9254" t="str">
        <f t="shared" si="310"/>
        <v>22W</v>
      </c>
    </row>
    <row r="9255" spans="1:6" x14ac:dyDescent="0.2">
      <c r="A9255">
        <v>23</v>
      </c>
      <c r="E9255" t="str">
        <f t="shared" si="309"/>
        <v>X</v>
      </c>
      <c r="F9255" t="str">
        <f t="shared" si="310"/>
        <v>23X</v>
      </c>
    </row>
    <row r="9256" spans="1:6" x14ac:dyDescent="0.2">
      <c r="A9256">
        <v>24</v>
      </c>
      <c r="E9256" t="str">
        <f t="shared" si="309"/>
        <v>Y</v>
      </c>
      <c r="F9256" t="str">
        <f t="shared" si="310"/>
        <v>24Y</v>
      </c>
    </row>
    <row r="9257" spans="1:6" x14ac:dyDescent="0.2">
      <c r="A9257">
        <v>25</v>
      </c>
      <c r="E9257" t="str">
        <f t="shared" si="309"/>
        <v>Z</v>
      </c>
      <c r="F9257" t="str">
        <f t="shared" si="310"/>
        <v>25Z</v>
      </c>
    </row>
    <row r="9258" spans="1:6" x14ac:dyDescent="0.2">
      <c r="A9258">
        <v>0</v>
      </c>
      <c r="E9258" t="str">
        <f t="shared" si="309"/>
        <v>A</v>
      </c>
      <c r="F9258" t="str">
        <f t="shared" si="310"/>
        <v>0A</v>
      </c>
    </row>
    <row r="9259" spans="1:6" x14ac:dyDescent="0.2">
      <c r="A9259">
        <v>1</v>
      </c>
      <c r="E9259" t="str">
        <f t="shared" si="309"/>
        <v>B</v>
      </c>
      <c r="F9259" t="str">
        <f t="shared" si="310"/>
        <v>1B</v>
      </c>
    </row>
    <row r="9260" spans="1:6" x14ac:dyDescent="0.2">
      <c r="A9260">
        <v>2</v>
      </c>
      <c r="E9260" t="str">
        <f t="shared" si="309"/>
        <v>C</v>
      </c>
      <c r="F9260" t="str">
        <f t="shared" si="310"/>
        <v>2C</v>
      </c>
    </row>
    <row r="9261" spans="1:6" x14ac:dyDescent="0.2">
      <c r="A9261">
        <v>3</v>
      </c>
      <c r="E9261" t="str">
        <f t="shared" si="309"/>
        <v>D</v>
      </c>
      <c r="F9261" t="str">
        <f t="shared" si="310"/>
        <v>3D</v>
      </c>
    </row>
    <row r="9262" spans="1:6" x14ac:dyDescent="0.2">
      <c r="A9262">
        <v>4</v>
      </c>
      <c r="E9262" t="str">
        <f t="shared" si="309"/>
        <v>E</v>
      </c>
      <c r="F9262" t="str">
        <f t="shared" si="310"/>
        <v>4E</v>
      </c>
    </row>
    <row r="9263" spans="1:6" x14ac:dyDescent="0.2">
      <c r="A9263">
        <v>5</v>
      </c>
      <c r="E9263" t="str">
        <f t="shared" si="309"/>
        <v>F</v>
      </c>
      <c r="F9263" t="str">
        <f t="shared" si="310"/>
        <v>5F</v>
      </c>
    </row>
    <row r="9264" spans="1:6" x14ac:dyDescent="0.2">
      <c r="A9264">
        <v>6</v>
      </c>
      <c r="E9264" t="str">
        <f t="shared" si="309"/>
        <v>G</v>
      </c>
      <c r="F9264" t="str">
        <f t="shared" si="310"/>
        <v>6G</v>
      </c>
    </row>
    <row r="9265" spans="1:6" x14ac:dyDescent="0.2">
      <c r="A9265">
        <v>7</v>
      </c>
      <c r="E9265" t="str">
        <f t="shared" si="309"/>
        <v>H</v>
      </c>
      <c r="F9265" t="str">
        <f t="shared" si="310"/>
        <v>7H</v>
      </c>
    </row>
    <row r="9266" spans="1:6" x14ac:dyDescent="0.2">
      <c r="A9266">
        <v>8</v>
      </c>
      <c r="E9266" t="str">
        <f t="shared" si="309"/>
        <v>I</v>
      </c>
      <c r="F9266" t="str">
        <f t="shared" si="310"/>
        <v>8I</v>
      </c>
    </row>
    <row r="9267" spans="1:6" x14ac:dyDescent="0.2">
      <c r="A9267">
        <v>9</v>
      </c>
      <c r="E9267" t="str">
        <f t="shared" si="309"/>
        <v>J</v>
      </c>
      <c r="F9267" t="str">
        <f t="shared" si="310"/>
        <v>9J</v>
      </c>
    </row>
    <row r="9268" spans="1:6" x14ac:dyDescent="0.2">
      <c r="A9268">
        <v>10</v>
      </c>
      <c r="E9268" t="str">
        <f t="shared" si="309"/>
        <v>K</v>
      </c>
      <c r="F9268" t="str">
        <f t="shared" si="310"/>
        <v>10K</v>
      </c>
    </row>
    <row r="9269" spans="1:6" x14ac:dyDescent="0.2">
      <c r="A9269">
        <v>11</v>
      </c>
      <c r="E9269" t="str">
        <f t="shared" si="309"/>
        <v>L</v>
      </c>
      <c r="F9269" t="str">
        <f t="shared" si="310"/>
        <v>11L</v>
      </c>
    </row>
    <row r="9270" spans="1:6" x14ac:dyDescent="0.2">
      <c r="A9270">
        <v>12</v>
      </c>
      <c r="E9270" t="str">
        <f t="shared" si="309"/>
        <v>M</v>
      </c>
      <c r="F9270" t="str">
        <f t="shared" si="310"/>
        <v>12M</v>
      </c>
    </row>
    <row r="9271" spans="1:6" x14ac:dyDescent="0.2">
      <c r="A9271">
        <v>13</v>
      </c>
      <c r="E9271" t="str">
        <f t="shared" si="309"/>
        <v>N</v>
      </c>
      <c r="F9271" t="str">
        <f t="shared" si="310"/>
        <v>13N</v>
      </c>
    </row>
    <row r="9272" spans="1:6" x14ac:dyDescent="0.2">
      <c r="A9272">
        <v>14</v>
      </c>
      <c r="E9272" t="str">
        <f t="shared" si="309"/>
        <v>O</v>
      </c>
      <c r="F9272" t="str">
        <f t="shared" si="310"/>
        <v>14O</v>
      </c>
    </row>
    <row r="9273" spans="1:6" x14ac:dyDescent="0.2">
      <c r="A9273">
        <v>15</v>
      </c>
      <c r="E9273" t="str">
        <f t="shared" si="309"/>
        <v>P</v>
      </c>
      <c r="F9273" t="str">
        <f t="shared" si="310"/>
        <v>15P</v>
      </c>
    </row>
    <row r="9274" spans="1:6" x14ac:dyDescent="0.2">
      <c r="A9274">
        <v>16</v>
      </c>
      <c r="E9274" t="str">
        <f t="shared" si="309"/>
        <v>Q</v>
      </c>
      <c r="F9274" t="str">
        <f t="shared" si="310"/>
        <v>16Q</v>
      </c>
    </row>
    <row r="9275" spans="1:6" x14ac:dyDescent="0.2">
      <c r="A9275">
        <v>17</v>
      </c>
      <c r="E9275" t="str">
        <f t="shared" si="309"/>
        <v>R</v>
      </c>
      <c r="F9275" t="str">
        <f t="shared" si="310"/>
        <v>17R</v>
      </c>
    </row>
    <row r="9276" spans="1:6" x14ac:dyDescent="0.2">
      <c r="A9276">
        <v>18</v>
      </c>
      <c r="E9276" t="str">
        <f t="shared" si="309"/>
        <v>S</v>
      </c>
      <c r="F9276" t="str">
        <f t="shared" si="310"/>
        <v>18S</v>
      </c>
    </row>
    <row r="9277" spans="1:6" x14ac:dyDescent="0.2">
      <c r="A9277">
        <v>19</v>
      </c>
      <c r="E9277" t="str">
        <f t="shared" si="309"/>
        <v>T</v>
      </c>
      <c r="F9277" t="str">
        <f t="shared" si="310"/>
        <v>19T</v>
      </c>
    </row>
    <row r="9278" spans="1:6" x14ac:dyDescent="0.2">
      <c r="A9278">
        <v>20</v>
      </c>
      <c r="E9278" t="str">
        <f t="shared" si="309"/>
        <v>U</v>
      </c>
      <c r="F9278" t="str">
        <f t="shared" si="310"/>
        <v>20U</v>
      </c>
    </row>
    <row r="9279" spans="1:6" x14ac:dyDescent="0.2">
      <c r="A9279">
        <v>21</v>
      </c>
      <c r="E9279" t="str">
        <f t="shared" si="309"/>
        <v>V</v>
      </c>
      <c r="F9279" t="str">
        <f t="shared" si="310"/>
        <v>21V</v>
      </c>
    </row>
    <row r="9280" spans="1:6" x14ac:dyDescent="0.2">
      <c r="A9280">
        <v>22</v>
      </c>
      <c r="E9280" t="str">
        <f t="shared" si="309"/>
        <v>W</v>
      </c>
      <c r="F9280" t="str">
        <f t="shared" si="310"/>
        <v>22W</v>
      </c>
    </row>
    <row r="9281" spans="1:6" x14ac:dyDescent="0.2">
      <c r="A9281">
        <v>23</v>
      </c>
      <c r="E9281" t="str">
        <f t="shared" si="309"/>
        <v>X</v>
      </c>
      <c r="F9281" t="str">
        <f t="shared" si="310"/>
        <v>23X</v>
      </c>
    </row>
    <row r="9282" spans="1:6" x14ac:dyDescent="0.2">
      <c r="A9282">
        <v>24</v>
      </c>
      <c r="E9282" t="str">
        <f t="shared" si="309"/>
        <v>Y</v>
      </c>
      <c r="F9282" t="str">
        <f t="shared" si="310"/>
        <v>24Y</v>
      </c>
    </row>
    <row r="9283" spans="1:6" x14ac:dyDescent="0.2">
      <c r="A9283">
        <v>25</v>
      </c>
      <c r="E9283" t="str">
        <f t="shared" si="309"/>
        <v>Z</v>
      </c>
      <c r="F9283" t="str">
        <f t="shared" si="310"/>
        <v>25Z</v>
      </c>
    </row>
    <row r="9284" spans="1:6" x14ac:dyDescent="0.2">
      <c r="A9284">
        <v>0</v>
      </c>
      <c r="E9284" t="str">
        <f t="shared" si="309"/>
        <v>A</v>
      </c>
      <c r="F9284" t="str">
        <f t="shared" si="310"/>
        <v>0A</v>
      </c>
    </row>
    <row r="9285" spans="1:6" x14ac:dyDescent="0.2">
      <c r="A9285">
        <v>1</v>
      </c>
      <c r="E9285" t="str">
        <f t="shared" si="309"/>
        <v>B</v>
      </c>
      <c r="F9285" t="str">
        <f t="shared" si="310"/>
        <v>1B</v>
      </c>
    </row>
    <row r="9286" spans="1:6" x14ac:dyDescent="0.2">
      <c r="A9286">
        <v>2</v>
      </c>
      <c r="E9286" t="str">
        <f t="shared" si="309"/>
        <v>C</v>
      </c>
      <c r="F9286" t="str">
        <f t="shared" si="310"/>
        <v>2C</v>
      </c>
    </row>
    <row r="9287" spans="1:6" x14ac:dyDescent="0.2">
      <c r="A9287">
        <v>3</v>
      </c>
      <c r="E9287" t="str">
        <f t="shared" si="309"/>
        <v>D</v>
      </c>
      <c r="F9287" t="str">
        <f t="shared" si="310"/>
        <v>3D</v>
      </c>
    </row>
    <row r="9288" spans="1:6" x14ac:dyDescent="0.2">
      <c r="A9288">
        <v>4</v>
      </c>
      <c r="E9288" t="str">
        <f t="shared" si="309"/>
        <v>E</v>
      </c>
      <c r="F9288" t="str">
        <f t="shared" si="310"/>
        <v>4E</v>
      </c>
    </row>
    <row r="9289" spans="1:6" x14ac:dyDescent="0.2">
      <c r="A9289">
        <v>5</v>
      </c>
      <c r="E9289" t="str">
        <f t="shared" si="309"/>
        <v>F</v>
      </c>
      <c r="F9289" t="str">
        <f t="shared" si="310"/>
        <v>5F</v>
      </c>
    </row>
    <row r="9290" spans="1:6" x14ac:dyDescent="0.2">
      <c r="A9290">
        <v>6</v>
      </c>
      <c r="E9290" t="str">
        <f t="shared" si="309"/>
        <v>G</v>
      </c>
      <c r="F9290" t="str">
        <f t="shared" si="310"/>
        <v>6G</v>
      </c>
    </row>
    <row r="9291" spans="1:6" x14ac:dyDescent="0.2">
      <c r="A9291">
        <v>7</v>
      </c>
      <c r="E9291" t="str">
        <f t="shared" si="309"/>
        <v>H</v>
      </c>
      <c r="F9291" t="str">
        <f t="shared" si="310"/>
        <v>7H</v>
      </c>
    </row>
    <row r="9292" spans="1:6" x14ac:dyDescent="0.2">
      <c r="A9292">
        <v>8</v>
      </c>
      <c r="E9292" t="str">
        <f t="shared" si="309"/>
        <v>I</v>
      </c>
      <c r="F9292" t="str">
        <f t="shared" si="310"/>
        <v>8I</v>
      </c>
    </row>
    <row r="9293" spans="1:6" x14ac:dyDescent="0.2">
      <c r="A9293">
        <v>9</v>
      </c>
      <c r="E9293" t="str">
        <f t="shared" si="309"/>
        <v>J</v>
      </c>
      <c r="F9293" t="str">
        <f t="shared" si="310"/>
        <v>9J</v>
      </c>
    </row>
    <row r="9294" spans="1:6" x14ac:dyDescent="0.2">
      <c r="A9294">
        <v>10</v>
      </c>
      <c r="E9294" t="str">
        <f t="shared" si="309"/>
        <v>K</v>
      </c>
      <c r="F9294" t="str">
        <f t="shared" si="310"/>
        <v>10K</v>
      </c>
    </row>
    <row r="9295" spans="1:6" x14ac:dyDescent="0.2">
      <c r="A9295">
        <v>11</v>
      </c>
      <c r="E9295" t="str">
        <f t="shared" si="309"/>
        <v>L</v>
      </c>
      <c r="F9295" t="str">
        <f t="shared" si="310"/>
        <v>11L</v>
      </c>
    </row>
    <row r="9296" spans="1:6" x14ac:dyDescent="0.2">
      <c r="A9296">
        <v>12</v>
      </c>
      <c r="E9296" t="str">
        <f t="shared" si="309"/>
        <v>M</v>
      </c>
      <c r="F9296" t="str">
        <f t="shared" si="310"/>
        <v>12M</v>
      </c>
    </row>
    <row r="9297" spans="1:6" x14ac:dyDescent="0.2">
      <c r="A9297">
        <v>13</v>
      </c>
      <c r="E9297" t="str">
        <f t="shared" si="309"/>
        <v>N</v>
      </c>
      <c r="F9297" t="str">
        <f t="shared" si="310"/>
        <v>13N</v>
      </c>
    </row>
    <row r="9298" spans="1:6" x14ac:dyDescent="0.2">
      <c r="A9298">
        <v>14</v>
      </c>
      <c r="E9298" t="str">
        <f t="shared" si="309"/>
        <v>O</v>
      </c>
      <c r="F9298" t="str">
        <f t="shared" si="310"/>
        <v>14O</v>
      </c>
    </row>
    <row r="9299" spans="1:6" x14ac:dyDescent="0.2">
      <c r="A9299">
        <v>15</v>
      </c>
      <c r="E9299" t="str">
        <f t="shared" si="309"/>
        <v>P</v>
      </c>
      <c r="F9299" t="str">
        <f t="shared" si="310"/>
        <v>15P</v>
      </c>
    </row>
    <row r="9300" spans="1:6" x14ac:dyDescent="0.2">
      <c r="A9300">
        <v>16</v>
      </c>
      <c r="E9300" t="str">
        <f t="shared" si="309"/>
        <v>Q</v>
      </c>
      <c r="F9300" t="str">
        <f t="shared" si="310"/>
        <v>16Q</v>
      </c>
    </row>
    <row r="9301" spans="1:6" x14ac:dyDescent="0.2">
      <c r="A9301">
        <v>17</v>
      </c>
      <c r="E9301" t="str">
        <f t="shared" ref="E9301:E9364" si="311">E9275</f>
        <v>R</v>
      </c>
      <c r="F9301" t="str">
        <f t="shared" ref="F9301:F9364" si="312">A9301&amp;C9301&amp;E9301</f>
        <v>17R</v>
      </c>
    </row>
    <row r="9302" spans="1:6" x14ac:dyDescent="0.2">
      <c r="A9302">
        <v>18</v>
      </c>
      <c r="E9302" t="str">
        <f t="shared" si="311"/>
        <v>S</v>
      </c>
      <c r="F9302" t="str">
        <f t="shared" si="312"/>
        <v>18S</v>
      </c>
    </row>
    <row r="9303" spans="1:6" x14ac:dyDescent="0.2">
      <c r="A9303">
        <v>19</v>
      </c>
      <c r="E9303" t="str">
        <f t="shared" si="311"/>
        <v>T</v>
      </c>
      <c r="F9303" t="str">
        <f t="shared" si="312"/>
        <v>19T</v>
      </c>
    </row>
    <row r="9304" spans="1:6" x14ac:dyDescent="0.2">
      <c r="A9304">
        <v>20</v>
      </c>
      <c r="E9304" t="str">
        <f t="shared" si="311"/>
        <v>U</v>
      </c>
      <c r="F9304" t="str">
        <f t="shared" si="312"/>
        <v>20U</v>
      </c>
    </row>
    <row r="9305" spans="1:6" x14ac:dyDescent="0.2">
      <c r="A9305">
        <v>21</v>
      </c>
      <c r="E9305" t="str">
        <f t="shared" si="311"/>
        <v>V</v>
      </c>
      <c r="F9305" t="str">
        <f t="shared" si="312"/>
        <v>21V</v>
      </c>
    </row>
    <row r="9306" spans="1:6" x14ac:dyDescent="0.2">
      <c r="A9306">
        <v>22</v>
      </c>
      <c r="E9306" t="str">
        <f t="shared" si="311"/>
        <v>W</v>
      </c>
      <c r="F9306" t="str">
        <f t="shared" si="312"/>
        <v>22W</v>
      </c>
    </row>
    <row r="9307" spans="1:6" x14ac:dyDescent="0.2">
      <c r="A9307">
        <v>23</v>
      </c>
      <c r="E9307" t="str">
        <f t="shared" si="311"/>
        <v>X</v>
      </c>
      <c r="F9307" t="str">
        <f t="shared" si="312"/>
        <v>23X</v>
      </c>
    </row>
    <row r="9308" spans="1:6" x14ac:dyDescent="0.2">
      <c r="A9308">
        <v>24</v>
      </c>
      <c r="E9308" t="str">
        <f t="shared" si="311"/>
        <v>Y</v>
      </c>
      <c r="F9308" t="str">
        <f t="shared" si="312"/>
        <v>24Y</v>
      </c>
    </row>
    <row r="9309" spans="1:6" x14ac:dyDescent="0.2">
      <c r="A9309">
        <v>25</v>
      </c>
      <c r="E9309" t="str">
        <f t="shared" si="311"/>
        <v>Z</v>
      </c>
      <c r="F9309" t="str">
        <f t="shared" si="312"/>
        <v>25Z</v>
      </c>
    </row>
    <row r="9310" spans="1:6" x14ac:dyDescent="0.2">
      <c r="A9310">
        <v>0</v>
      </c>
      <c r="E9310" t="str">
        <f t="shared" si="311"/>
        <v>A</v>
      </c>
      <c r="F9310" t="str">
        <f t="shared" si="312"/>
        <v>0A</v>
      </c>
    </row>
    <row r="9311" spans="1:6" x14ac:dyDescent="0.2">
      <c r="A9311">
        <v>1</v>
      </c>
      <c r="E9311" t="str">
        <f t="shared" si="311"/>
        <v>B</v>
      </c>
      <c r="F9311" t="str">
        <f t="shared" si="312"/>
        <v>1B</v>
      </c>
    </row>
    <row r="9312" spans="1:6" x14ac:dyDescent="0.2">
      <c r="A9312">
        <v>2</v>
      </c>
      <c r="E9312" t="str">
        <f t="shared" si="311"/>
        <v>C</v>
      </c>
      <c r="F9312" t="str">
        <f t="shared" si="312"/>
        <v>2C</v>
      </c>
    </row>
    <row r="9313" spans="1:6" x14ac:dyDescent="0.2">
      <c r="A9313">
        <v>3</v>
      </c>
      <c r="E9313" t="str">
        <f t="shared" si="311"/>
        <v>D</v>
      </c>
      <c r="F9313" t="str">
        <f t="shared" si="312"/>
        <v>3D</v>
      </c>
    </row>
    <row r="9314" spans="1:6" x14ac:dyDescent="0.2">
      <c r="A9314">
        <v>4</v>
      </c>
      <c r="E9314" t="str">
        <f t="shared" si="311"/>
        <v>E</v>
      </c>
      <c r="F9314" t="str">
        <f t="shared" si="312"/>
        <v>4E</v>
      </c>
    </row>
    <row r="9315" spans="1:6" x14ac:dyDescent="0.2">
      <c r="A9315">
        <v>5</v>
      </c>
      <c r="E9315" t="str">
        <f t="shared" si="311"/>
        <v>F</v>
      </c>
      <c r="F9315" t="str">
        <f t="shared" si="312"/>
        <v>5F</v>
      </c>
    </row>
    <row r="9316" spans="1:6" x14ac:dyDescent="0.2">
      <c r="A9316">
        <v>6</v>
      </c>
      <c r="E9316" t="str">
        <f t="shared" si="311"/>
        <v>G</v>
      </c>
      <c r="F9316" t="str">
        <f t="shared" si="312"/>
        <v>6G</v>
      </c>
    </row>
    <row r="9317" spans="1:6" x14ac:dyDescent="0.2">
      <c r="A9317">
        <v>7</v>
      </c>
      <c r="E9317" t="str">
        <f t="shared" si="311"/>
        <v>H</v>
      </c>
      <c r="F9317" t="str">
        <f t="shared" si="312"/>
        <v>7H</v>
      </c>
    </row>
    <row r="9318" spans="1:6" x14ac:dyDescent="0.2">
      <c r="A9318">
        <v>8</v>
      </c>
      <c r="E9318" t="str">
        <f t="shared" si="311"/>
        <v>I</v>
      </c>
      <c r="F9318" t="str">
        <f t="shared" si="312"/>
        <v>8I</v>
      </c>
    </row>
    <row r="9319" spans="1:6" x14ac:dyDescent="0.2">
      <c r="A9319">
        <v>9</v>
      </c>
      <c r="E9319" t="str">
        <f t="shared" si="311"/>
        <v>J</v>
      </c>
      <c r="F9319" t="str">
        <f t="shared" si="312"/>
        <v>9J</v>
      </c>
    </row>
    <row r="9320" spans="1:6" x14ac:dyDescent="0.2">
      <c r="A9320">
        <v>10</v>
      </c>
      <c r="E9320" t="str">
        <f t="shared" si="311"/>
        <v>K</v>
      </c>
      <c r="F9320" t="str">
        <f t="shared" si="312"/>
        <v>10K</v>
      </c>
    </row>
    <row r="9321" spans="1:6" x14ac:dyDescent="0.2">
      <c r="A9321">
        <v>11</v>
      </c>
      <c r="E9321" t="str">
        <f t="shared" si="311"/>
        <v>L</v>
      </c>
      <c r="F9321" t="str">
        <f t="shared" si="312"/>
        <v>11L</v>
      </c>
    </row>
    <row r="9322" spans="1:6" x14ac:dyDescent="0.2">
      <c r="A9322">
        <v>12</v>
      </c>
      <c r="E9322" t="str">
        <f t="shared" si="311"/>
        <v>M</v>
      </c>
      <c r="F9322" t="str">
        <f t="shared" si="312"/>
        <v>12M</v>
      </c>
    </row>
    <row r="9323" spans="1:6" x14ac:dyDescent="0.2">
      <c r="A9323">
        <v>13</v>
      </c>
      <c r="E9323" t="str">
        <f t="shared" si="311"/>
        <v>N</v>
      </c>
      <c r="F9323" t="str">
        <f t="shared" si="312"/>
        <v>13N</v>
      </c>
    </row>
    <row r="9324" spans="1:6" x14ac:dyDescent="0.2">
      <c r="A9324">
        <v>14</v>
      </c>
      <c r="E9324" t="str">
        <f t="shared" si="311"/>
        <v>O</v>
      </c>
      <c r="F9324" t="str">
        <f t="shared" si="312"/>
        <v>14O</v>
      </c>
    </row>
    <row r="9325" spans="1:6" x14ac:dyDescent="0.2">
      <c r="A9325">
        <v>15</v>
      </c>
      <c r="E9325" t="str">
        <f t="shared" si="311"/>
        <v>P</v>
      </c>
      <c r="F9325" t="str">
        <f t="shared" si="312"/>
        <v>15P</v>
      </c>
    </row>
    <row r="9326" spans="1:6" x14ac:dyDescent="0.2">
      <c r="A9326">
        <v>16</v>
      </c>
      <c r="E9326" t="str">
        <f t="shared" si="311"/>
        <v>Q</v>
      </c>
      <c r="F9326" t="str">
        <f t="shared" si="312"/>
        <v>16Q</v>
      </c>
    </row>
    <row r="9327" spans="1:6" x14ac:dyDescent="0.2">
      <c r="A9327">
        <v>17</v>
      </c>
      <c r="E9327" t="str">
        <f t="shared" si="311"/>
        <v>R</v>
      </c>
      <c r="F9327" t="str">
        <f t="shared" si="312"/>
        <v>17R</v>
      </c>
    </row>
    <row r="9328" spans="1:6" x14ac:dyDescent="0.2">
      <c r="A9328">
        <v>18</v>
      </c>
      <c r="E9328" t="str">
        <f t="shared" si="311"/>
        <v>S</v>
      </c>
      <c r="F9328" t="str">
        <f t="shared" si="312"/>
        <v>18S</v>
      </c>
    </row>
    <row r="9329" spans="1:6" x14ac:dyDescent="0.2">
      <c r="A9329">
        <v>19</v>
      </c>
      <c r="E9329" t="str">
        <f t="shared" si="311"/>
        <v>T</v>
      </c>
      <c r="F9329" t="str">
        <f t="shared" si="312"/>
        <v>19T</v>
      </c>
    </row>
    <row r="9330" spans="1:6" x14ac:dyDescent="0.2">
      <c r="A9330">
        <v>20</v>
      </c>
      <c r="E9330" t="str">
        <f t="shared" si="311"/>
        <v>U</v>
      </c>
      <c r="F9330" t="str">
        <f t="shared" si="312"/>
        <v>20U</v>
      </c>
    </row>
    <row r="9331" spans="1:6" x14ac:dyDescent="0.2">
      <c r="A9331">
        <v>21</v>
      </c>
      <c r="E9331" t="str">
        <f t="shared" si="311"/>
        <v>V</v>
      </c>
      <c r="F9331" t="str">
        <f t="shared" si="312"/>
        <v>21V</v>
      </c>
    </row>
    <row r="9332" spans="1:6" x14ac:dyDescent="0.2">
      <c r="A9332">
        <v>22</v>
      </c>
      <c r="E9332" t="str">
        <f t="shared" si="311"/>
        <v>W</v>
      </c>
      <c r="F9332" t="str">
        <f t="shared" si="312"/>
        <v>22W</v>
      </c>
    </row>
    <row r="9333" spans="1:6" x14ac:dyDescent="0.2">
      <c r="A9333">
        <v>23</v>
      </c>
      <c r="E9333" t="str">
        <f t="shared" si="311"/>
        <v>X</v>
      </c>
      <c r="F9333" t="str">
        <f t="shared" si="312"/>
        <v>23X</v>
      </c>
    </row>
    <row r="9334" spans="1:6" x14ac:dyDescent="0.2">
      <c r="A9334">
        <v>24</v>
      </c>
      <c r="E9334" t="str">
        <f t="shared" si="311"/>
        <v>Y</v>
      </c>
      <c r="F9334" t="str">
        <f t="shared" si="312"/>
        <v>24Y</v>
      </c>
    </row>
    <row r="9335" spans="1:6" x14ac:dyDescent="0.2">
      <c r="A9335">
        <v>25</v>
      </c>
      <c r="E9335" t="str">
        <f t="shared" si="311"/>
        <v>Z</v>
      </c>
      <c r="F9335" t="str">
        <f t="shared" si="312"/>
        <v>25Z</v>
      </c>
    </row>
    <row r="9336" spans="1:6" x14ac:dyDescent="0.2">
      <c r="A9336">
        <v>0</v>
      </c>
      <c r="E9336" t="str">
        <f t="shared" si="311"/>
        <v>A</v>
      </c>
      <c r="F9336" t="str">
        <f t="shared" si="312"/>
        <v>0A</v>
      </c>
    </row>
    <row r="9337" spans="1:6" x14ac:dyDescent="0.2">
      <c r="A9337">
        <v>1</v>
      </c>
      <c r="E9337" t="str">
        <f t="shared" si="311"/>
        <v>B</v>
      </c>
      <c r="F9337" t="str">
        <f t="shared" si="312"/>
        <v>1B</v>
      </c>
    </row>
    <row r="9338" spans="1:6" x14ac:dyDescent="0.2">
      <c r="A9338">
        <v>2</v>
      </c>
      <c r="E9338" t="str">
        <f t="shared" si="311"/>
        <v>C</v>
      </c>
      <c r="F9338" t="str">
        <f t="shared" si="312"/>
        <v>2C</v>
      </c>
    </row>
    <row r="9339" spans="1:6" x14ac:dyDescent="0.2">
      <c r="A9339">
        <v>3</v>
      </c>
      <c r="E9339" t="str">
        <f t="shared" si="311"/>
        <v>D</v>
      </c>
      <c r="F9339" t="str">
        <f t="shared" si="312"/>
        <v>3D</v>
      </c>
    </row>
    <row r="9340" spans="1:6" x14ac:dyDescent="0.2">
      <c r="A9340">
        <v>4</v>
      </c>
      <c r="E9340" t="str">
        <f t="shared" si="311"/>
        <v>E</v>
      </c>
      <c r="F9340" t="str">
        <f t="shared" si="312"/>
        <v>4E</v>
      </c>
    </row>
    <row r="9341" spans="1:6" x14ac:dyDescent="0.2">
      <c r="A9341">
        <v>5</v>
      </c>
      <c r="E9341" t="str">
        <f t="shared" si="311"/>
        <v>F</v>
      </c>
      <c r="F9341" t="str">
        <f t="shared" si="312"/>
        <v>5F</v>
      </c>
    </row>
    <row r="9342" spans="1:6" x14ac:dyDescent="0.2">
      <c r="A9342">
        <v>6</v>
      </c>
      <c r="E9342" t="str">
        <f t="shared" si="311"/>
        <v>G</v>
      </c>
      <c r="F9342" t="str">
        <f t="shared" si="312"/>
        <v>6G</v>
      </c>
    </row>
    <row r="9343" spans="1:6" x14ac:dyDescent="0.2">
      <c r="A9343">
        <v>7</v>
      </c>
      <c r="E9343" t="str">
        <f t="shared" si="311"/>
        <v>H</v>
      </c>
      <c r="F9343" t="str">
        <f t="shared" si="312"/>
        <v>7H</v>
      </c>
    </row>
    <row r="9344" spans="1:6" x14ac:dyDescent="0.2">
      <c r="A9344">
        <v>8</v>
      </c>
      <c r="E9344" t="str">
        <f t="shared" si="311"/>
        <v>I</v>
      </c>
      <c r="F9344" t="str">
        <f t="shared" si="312"/>
        <v>8I</v>
      </c>
    </row>
    <row r="9345" spans="1:6" x14ac:dyDescent="0.2">
      <c r="A9345">
        <v>9</v>
      </c>
      <c r="E9345" t="str">
        <f t="shared" si="311"/>
        <v>J</v>
      </c>
      <c r="F9345" t="str">
        <f t="shared" si="312"/>
        <v>9J</v>
      </c>
    </row>
    <row r="9346" spans="1:6" x14ac:dyDescent="0.2">
      <c r="A9346">
        <v>10</v>
      </c>
      <c r="E9346" t="str">
        <f t="shared" si="311"/>
        <v>K</v>
      </c>
      <c r="F9346" t="str">
        <f t="shared" si="312"/>
        <v>10K</v>
      </c>
    </row>
    <row r="9347" spans="1:6" x14ac:dyDescent="0.2">
      <c r="A9347">
        <v>11</v>
      </c>
      <c r="E9347" t="str">
        <f t="shared" si="311"/>
        <v>L</v>
      </c>
      <c r="F9347" t="str">
        <f t="shared" si="312"/>
        <v>11L</v>
      </c>
    </row>
    <row r="9348" spans="1:6" x14ac:dyDescent="0.2">
      <c r="A9348">
        <v>12</v>
      </c>
      <c r="E9348" t="str">
        <f t="shared" si="311"/>
        <v>M</v>
      </c>
      <c r="F9348" t="str">
        <f t="shared" si="312"/>
        <v>12M</v>
      </c>
    </row>
    <row r="9349" spans="1:6" x14ac:dyDescent="0.2">
      <c r="A9349">
        <v>13</v>
      </c>
      <c r="E9349" t="str">
        <f t="shared" si="311"/>
        <v>N</v>
      </c>
      <c r="F9349" t="str">
        <f t="shared" si="312"/>
        <v>13N</v>
      </c>
    </row>
    <row r="9350" spans="1:6" x14ac:dyDescent="0.2">
      <c r="A9350">
        <v>14</v>
      </c>
      <c r="E9350" t="str">
        <f t="shared" si="311"/>
        <v>O</v>
      </c>
      <c r="F9350" t="str">
        <f t="shared" si="312"/>
        <v>14O</v>
      </c>
    </row>
    <row r="9351" spans="1:6" x14ac:dyDescent="0.2">
      <c r="A9351">
        <v>15</v>
      </c>
      <c r="E9351" t="str">
        <f t="shared" si="311"/>
        <v>P</v>
      </c>
      <c r="F9351" t="str">
        <f t="shared" si="312"/>
        <v>15P</v>
      </c>
    </row>
    <row r="9352" spans="1:6" x14ac:dyDescent="0.2">
      <c r="A9352">
        <v>16</v>
      </c>
      <c r="E9352" t="str">
        <f t="shared" si="311"/>
        <v>Q</v>
      </c>
      <c r="F9352" t="str">
        <f t="shared" si="312"/>
        <v>16Q</v>
      </c>
    </row>
    <row r="9353" spans="1:6" x14ac:dyDescent="0.2">
      <c r="A9353">
        <v>17</v>
      </c>
      <c r="E9353" t="str">
        <f t="shared" si="311"/>
        <v>R</v>
      </c>
      <c r="F9353" t="str">
        <f t="shared" si="312"/>
        <v>17R</v>
      </c>
    </row>
    <row r="9354" spans="1:6" x14ac:dyDescent="0.2">
      <c r="A9354">
        <v>18</v>
      </c>
      <c r="E9354" t="str">
        <f t="shared" si="311"/>
        <v>S</v>
      </c>
      <c r="F9354" t="str">
        <f t="shared" si="312"/>
        <v>18S</v>
      </c>
    </row>
    <row r="9355" spans="1:6" x14ac:dyDescent="0.2">
      <c r="A9355">
        <v>19</v>
      </c>
      <c r="E9355" t="str">
        <f t="shared" si="311"/>
        <v>T</v>
      </c>
      <c r="F9355" t="str">
        <f t="shared" si="312"/>
        <v>19T</v>
      </c>
    </row>
    <row r="9356" spans="1:6" x14ac:dyDescent="0.2">
      <c r="A9356">
        <v>20</v>
      </c>
      <c r="E9356" t="str">
        <f t="shared" si="311"/>
        <v>U</v>
      </c>
      <c r="F9356" t="str">
        <f t="shared" si="312"/>
        <v>20U</v>
      </c>
    </row>
    <row r="9357" spans="1:6" x14ac:dyDescent="0.2">
      <c r="A9357">
        <v>21</v>
      </c>
      <c r="E9357" t="str">
        <f t="shared" si="311"/>
        <v>V</v>
      </c>
      <c r="F9357" t="str">
        <f t="shared" si="312"/>
        <v>21V</v>
      </c>
    </row>
    <row r="9358" spans="1:6" x14ac:dyDescent="0.2">
      <c r="A9358">
        <v>22</v>
      </c>
      <c r="E9358" t="str">
        <f t="shared" si="311"/>
        <v>W</v>
      </c>
      <c r="F9358" t="str">
        <f t="shared" si="312"/>
        <v>22W</v>
      </c>
    </row>
    <row r="9359" spans="1:6" x14ac:dyDescent="0.2">
      <c r="A9359">
        <v>23</v>
      </c>
      <c r="E9359" t="str">
        <f t="shared" si="311"/>
        <v>X</v>
      </c>
      <c r="F9359" t="str">
        <f t="shared" si="312"/>
        <v>23X</v>
      </c>
    </row>
    <row r="9360" spans="1:6" x14ac:dyDescent="0.2">
      <c r="A9360">
        <v>24</v>
      </c>
      <c r="E9360" t="str">
        <f t="shared" si="311"/>
        <v>Y</v>
      </c>
      <c r="F9360" t="str">
        <f t="shared" si="312"/>
        <v>24Y</v>
      </c>
    </row>
    <row r="9361" spans="1:6" x14ac:dyDescent="0.2">
      <c r="A9361">
        <v>25</v>
      </c>
      <c r="E9361" t="str">
        <f t="shared" si="311"/>
        <v>Z</v>
      </c>
      <c r="F9361" t="str">
        <f t="shared" si="312"/>
        <v>25Z</v>
      </c>
    </row>
    <row r="9362" spans="1:6" x14ac:dyDescent="0.2">
      <c r="A9362">
        <v>0</v>
      </c>
      <c r="E9362" t="str">
        <f t="shared" si="311"/>
        <v>A</v>
      </c>
      <c r="F9362" t="str">
        <f t="shared" si="312"/>
        <v>0A</v>
      </c>
    </row>
    <row r="9363" spans="1:6" x14ac:dyDescent="0.2">
      <c r="A9363">
        <v>1</v>
      </c>
      <c r="E9363" t="str">
        <f t="shared" si="311"/>
        <v>B</v>
      </c>
      <c r="F9363" t="str">
        <f t="shared" si="312"/>
        <v>1B</v>
      </c>
    </row>
    <row r="9364" spans="1:6" x14ac:dyDescent="0.2">
      <c r="A9364">
        <v>2</v>
      </c>
      <c r="E9364" t="str">
        <f t="shared" si="311"/>
        <v>C</v>
      </c>
      <c r="F9364" t="str">
        <f t="shared" si="312"/>
        <v>2C</v>
      </c>
    </row>
    <row r="9365" spans="1:6" x14ac:dyDescent="0.2">
      <c r="A9365">
        <v>3</v>
      </c>
      <c r="E9365" t="str">
        <f t="shared" ref="E9365:E9428" si="313">E9339</f>
        <v>D</v>
      </c>
      <c r="F9365" t="str">
        <f t="shared" ref="F9365:F9428" si="314">A9365&amp;C9365&amp;E9365</f>
        <v>3D</v>
      </c>
    </row>
    <row r="9366" spans="1:6" x14ac:dyDescent="0.2">
      <c r="A9366">
        <v>4</v>
      </c>
      <c r="E9366" t="str">
        <f t="shared" si="313"/>
        <v>E</v>
      </c>
      <c r="F9366" t="str">
        <f t="shared" si="314"/>
        <v>4E</v>
      </c>
    </row>
    <row r="9367" spans="1:6" x14ac:dyDescent="0.2">
      <c r="A9367">
        <v>5</v>
      </c>
      <c r="E9367" t="str">
        <f t="shared" si="313"/>
        <v>F</v>
      </c>
      <c r="F9367" t="str">
        <f t="shared" si="314"/>
        <v>5F</v>
      </c>
    </row>
    <row r="9368" spans="1:6" x14ac:dyDescent="0.2">
      <c r="A9368">
        <v>6</v>
      </c>
      <c r="E9368" t="str">
        <f t="shared" si="313"/>
        <v>G</v>
      </c>
      <c r="F9368" t="str">
        <f t="shared" si="314"/>
        <v>6G</v>
      </c>
    </row>
    <row r="9369" spans="1:6" x14ac:dyDescent="0.2">
      <c r="A9369">
        <v>7</v>
      </c>
      <c r="E9369" t="str">
        <f t="shared" si="313"/>
        <v>H</v>
      </c>
      <c r="F9369" t="str">
        <f t="shared" si="314"/>
        <v>7H</v>
      </c>
    </row>
    <row r="9370" spans="1:6" x14ac:dyDescent="0.2">
      <c r="A9370">
        <v>8</v>
      </c>
      <c r="E9370" t="str">
        <f t="shared" si="313"/>
        <v>I</v>
      </c>
      <c r="F9370" t="str">
        <f t="shared" si="314"/>
        <v>8I</v>
      </c>
    </row>
    <row r="9371" spans="1:6" x14ac:dyDescent="0.2">
      <c r="A9371">
        <v>9</v>
      </c>
      <c r="E9371" t="str">
        <f t="shared" si="313"/>
        <v>J</v>
      </c>
      <c r="F9371" t="str">
        <f t="shared" si="314"/>
        <v>9J</v>
      </c>
    </row>
    <row r="9372" spans="1:6" x14ac:dyDescent="0.2">
      <c r="A9372">
        <v>10</v>
      </c>
      <c r="E9372" t="str">
        <f t="shared" si="313"/>
        <v>K</v>
      </c>
      <c r="F9372" t="str">
        <f t="shared" si="314"/>
        <v>10K</v>
      </c>
    </row>
    <row r="9373" spans="1:6" x14ac:dyDescent="0.2">
      <c r="A9373">
        <v>11</v>
      </c>
      <c r="E9373" t="str">
        <f t="shared" si="313"/>
        <v>L</v>
      </c>
      <c r="F9373" t="str">
        <f t="shared" si="314"/>
        <v>11L</v>
      </c>
    </row>
    <row r="9374" spans="1:6" x14ac:dyDescent="0.2">
      <c r="A9374">
        <v>12</v>
      </c>
      <c r="E9374" t="str">
        <f t="shared" si="313"/>
        <v>M</v>
      </c>
      <c r="F9374" t="str">
        <f t="shared" si="314"/>
        <v>12M</v>
      </c>
    </row>
    <row r="9375" spans="1:6" x14ac:dyDescent="0.2">
      <c r="A9375">
        <v>13</v>
      </c>
      <c r="E9375" t="str">
        <f t="shared" si="313"/>
        <v>N</v>
      </c>
      <c r="F9375" t="str">
        <f t="shared" si="314"/>
        <v>13N</v>
      </c>
    </row>
    <row r="9376" spans="1:6" x14ac:dyDescent="0.2">
      <c r="A9376">
        <v>14</v>
      </c>
      <c r="E9376" t="str">
        <f t="shared" si="313"/>
        <v>O</v>
      </c>
      <c r="F9376" t="str">
        <f t="shared" si="314"/>
        <v>14O</v>
      </c>
    </row>
    <row r="9377" spans="1:6" x14ac:dyDescent="0.2">
      <c r="A9377">
        <v>15</v>
      </c>
      <c r="E9377" t="str">
        <f t="shared" si="313"/>
        <v>P</v>
      </c>
      <c r="F9377" t="str">
        <f t="shared" si="314"/>
        <v>15P</v>
      </c>
    </row>
    <row r="9378" spans="1:6" x14ac:dyDescent="0.2">
      <c r="A9378">
        <v>16</v>
      </c>
      <c r="E9378" t="str">
        <f t="shared" si="313"/>
        <v>Q</v>
      </c>
      <c r="F9378" t="str">
        <f t="shared" si="314"/>
        <v>16Q</v>
      </c>
    </row>
    <row r="9379" spans="1:6" x14ac:dyDescent="0.2">
      <c r="A9379">
        <v>17</v>
      </c>
      <c r="E9379" t="str">
        <f t="shared" si="313"/>
        <v>R</v>
      </c>
      <c r="F9379" t="str">
        <f t="shared" si="314"/>
        <v>17R</v>
      </c>
    </row>
    <row r="9380" spans="1:6" x14ac:dyDescent="0.2">
      <c r="A9380">
        <v>18</v>
      </c>
      <c r="E9380" t="str">
        <f t="shared" si="313"/>
        <v>S</v>
      </c>
      <c r="F9380" t="str">
        <f t="shared" si="314"/>
        <v>18S</v>
      </c>
    </row>
    <row r="9381" spans="1:6" x14ac:dyDescent="0.2">
      <c r="A9381">
        <v>19</v>
      </c>
      <c r="E9381" t="str">
        <f t="shared" si="313"/>
        <v>T</v>
      </c>
      <c r="F9381" t="str">
        <f t="shared" si="314"/>
        <v>19T</v>
      </c>
    </row>
    <row r="9382" spans="1:6" x14ac:dyDescent="0.2">
      <c r="A9382">
        <v>20</v>
      </c>
      <c r="E9382" t="str">
        <f t="shared" si="313"/>
        <v>U</v>
      </c>
      <c r="F9382" t="str">
        <f t="shared" si="314"/>
        <v>20U</v>
      </c>
    </row>
    <row r="9383" spans="1:6" x14ac:dyDescent="0.2">
      <c r="A9383">
        <v>21</v>
      </c>
      <c r="E9383" t="str">
        <f t="shared" si="313"/>
        <v>V</v>
      </c>
      <c r="F9383" t="str">
        <f t="shared" si="314"/>
        <v>21V</v>
      </c>
    </row>
    <row r="9384" spans="1:6" x14ac:dyDescent="0.2">
      <c r="A9384">
        <v>22</v>
      </c>
      <c r="E9384" t="str">
        <f t="shared" si="313"/>
        <v>W</v>
      </c>
      <c r="F9384" t="str">
        <f t="shared" si="314"/>
        <v>22W</v>
      </c>
    </row>
    <row r="9385" spans="1:6" x14ac:dyDescent="0.2">
      <c r="A9385">
        <v>23</v>
      </c>
      <c r="E9385" t="str">
        <f t="shared" si="313"/>
        <v>X</v>
      </c>
      <c r="F9385" t="str">
        <f t="shared" si="314"/>
        <v>23X</v>
      </c>
    </row>
    <row r="9386" spans="1:6" x14ac:dyDescent="0.2">
      <c r="A9386">
        <v>24</v>
      </c>
      <c r="E9386" t="str">
        <f t="shared" si="313"/>
        <v>Y</v>
      </c>
      <c r="F9386" t="str">
        <f t="shared" si="314"/>
        <v>24Y</v>
      </c>
    </row>
    <row r="9387" spans="1:6" x14ac:dyDescent="0.2">
      <c r="A9387">
        <v>25</v>
      </c>
      <c r="E9387" t="str">
        <f t="shared" si="313"/>
        <v>Z</v>
      </c>
      <c r="F9387" t="str">
        <f t="shared" si="314"/>
        <v>25Z</v>
      </c>
    </row>
    <row r="9388" spans="1:6" x14ac:dyDescent="0.2">
      <c r="A9388">
        <v>0</v>
      </c>
      <c r="E9388" t="str">
        <f t="shared" si="313"/>
        <v>A</v>
      </c>
      <c r="F9388" t="str">
        <f t="shared" si="314"/>
        <v>0A</v>
      </c>
    </row>
    <row r="9389" spans="1:6" x14ac:dyDescent="0.2">
      <c r="A9389">
        <v>1</v>
      </c>
      <c r="E9389" t="str">
        <f t="shared" si="313"/>
        <v>B</v>
      </c>
      <c r="F9389" t="str">
        <f t="shared" si="314"/>
        <v>1B</v>
      </c>
    </row>
    <row r="9390" spans="1:6" x14ac:dyDescent="0.2">
      <c r="A9390">
        <v>2</v>
      </c>
      <c r="E9390" t="str">
        <f t="shared" si="313"/>
        <v>C</v>
      </c>
      <c r="F9390" t="str">
        <f t="shared" si="314"/>
        <v>2C</v>
      </c>
    </row>
    <row r="9391" spans="1:6" x14ac:dyDescent="0.2">
      <c r="A9391">
        <v>3</v>
      </c>
      <c r="E9391" t="str">
        <f t="shared" si="313"/>
        <v>D</v>
      </c>
      <c r="F9391" t="str">
        <f t="shared" si="314"/>
        <v>3D</v>
      </c>
    </row>
    <row r="9392" spans="1:6" x14ac:dyDescent="0.2">
      <c r="A9392">
        <v>4</v>
      </c>
      <c r="E9392" t="str">
        <f t="shared" si="313"/>
        <v>E</v>
      </c>
      <c r="F9392" t="str">
        <f t="shared" si="314"/>
        <v>4E</v>
      </c>
    </row>
    <row r="9393" spans="1:6" x14ac:dyDescent="0.2">
      <c r="A9393">
        <v>5</v>
      </c>
      <c r="E9393" t="str">
        <f t="shared" si="313"/>
        <v>F</v>
      </c>
      <c r="F9393" t="str">
        <f t="shared" si="314"/>
        <v>5F</v>
      </c>
    </row>
    <row r="9394" spans="1:6" x14ac:dyDescent="0.2">
      <c r="A9394">
        <v>6</v>
      </c>
      <c r="E9394" t="str">
        <f t="shared" si="313"/>
        <v>G</v>
      </c>
      <c r="F9394" t="str">
        <f t="shared" si="314"/>
        <v>6G</v>
      </c>
    </row>
    <row r="9395" spans="1:6" x14ac:dyDescent="0.2">
      <c r="A9395">
        <v>7</v>
      </c>
      <c r="E9395" t="str">
        <f t="shared" si="313"/>
        <v>H</v>
      </c>
      <c r="F9395" t="str">
        <f t="shared" si="314"/>
        <v>7H</v>
      </c>
    </row>
    <row r="9396" spans="1:6" x14ac:dyDescent="0.2">
      <c r="A9396">
        <v>8</v>
      </c>
      <c r="E9396" t="str">
        <f t="shared" si="313"/>
        <v>I</v>
      </c>
      <c r="F9396" t="str">
        <f t="shared" si="314"/>
        <v>8I</v>
      </c>
    </row>
    <row r="9397" spans="1:6" x14ac:dyDescent="0.2">
      <c r="A9397">
        <v>9</v>
      </c>
      <c r="E9397" t="str">
        <f t="shared" si="313"/>
        <v>J</v>
      </c>
      <c r="F9397" t="str">
        <f t="shared" si="314"/>
        <v>9J</v>
      </c>
    </row>
    <row r="9398" spans="1:6" x14ac:dyDescent="0.2">
      <c r="A9398">
        <v>10</v>
      </c>
      <c r="E9398" t="str">
        <f t="shared" si="313"/>
        <v>K</v>
      </c>
      <c r="F9398" t="str">
        <f t="shared" si="314"/>
        <v>10K</v>
      </c>
    </row>
    <row r="9399" spans="1:6" x14ac:dyDescent="0.2">
      <c r="A9399">
        <v>11</v>
      </c>
      <c r="E9399" t="str">
        <f t="shared" si="313"/>
        <v>L</v>
      </c>
      <c r="F9399" t="str">
        <f t="shared" si="314"/>
        <v>11L</v>
      </c>
    </row>
    <row r="9400" spans="1:6" x14ac:dyDescent="0.2">
      <c r="A9400">
        <v>12</v>
      </c>
      <c r="E9400" t="str">
        <f t="shared" si="313"/>
        <v>M</v>
      </c>
      <c r="F9400" t="str">
        <f t="shared" si="314"/>
        <v>12M</v>
      </c>
    </row>
    <row r="9401" spans="1:6" x14ac:dyDescent="0.2">
      <c r="A9401">
        <v>13</v>
      </c>
      <c r="E9401" t="str">
        <f t="shared" si="313"/>
        <v>N</v>
      </c>
      <c r="F9401" t="str">
        <f t="shared" si="314"/>
        <v>13N</v>
      </c>
    </row>
    <row r="9402" spans="1:6" x14ac:dyDescent="0.2">
      <c r="A9402">
        <v>14</v>
      </c>
      <c r="E9402" t="str">
        <f t="shared" si="313"/>
        <v>O</v>
      </c>
      <c r="F9402" t="str">
        <f t="shared" si="314"/>
        <v>14O</v>
      </c>
    </row>
    <row r="9403" spans="1:6" x14ac:dyDescent="0.2">
      <c r="A9403">
        <v>15</v>
      </c>
      <c r="E9403" t="str">
        <f t="shared" si="313"/>
        <v>P</v>
      </c>
      <c r="F9403" t="str">
        <f t="shared" si="314"/>
        <v>15P</v>
      </c>
    </row>
    <row r="9404" spans="1:6" x14ac:dyDescent="0.2">
      <c r="A9404">
        <v>16</v>
      </c>
      <c r="E9404" t="str">
        <f t="shared" si="313"/>
        <v>Q</v>
      </c>
      <c r="F9404" t="str">
        <f t="shared" si="314"/>
        <v>16Q</v>
      </c>
    </row>
    <row r="9405" spans="1:6" x14ac:dyDescent="0.2">
      <c r="A9405">
        <v>17</v>
      </c>
      <c r="E9405" t="str">
        <f t="shared" si="313"/>
        <v>R</v>
      </c>
      <c r="F9405" t="str">
        <f t="shared" si="314"/>
        <v>17R</v>
      </c>
    </row>
    <row r="9406" spans="1:6" x14ac:dyDescent="0.2">
      <c r="A9406">
        <v>18</v>
      </c>
      <c r="E9406" t="str">
        <f t="shared" si="313"/>
        <v>S</v>
      </c>
      <c r="F9406" t="str">
        <f t="shared" si="314"/>
        <v>18S</v>
      </c>
    </row>
    <row r="9407" spans="1:6" x14ac:dyDescent="0.2">
      <c r="A9407">
        <v>19</v>
      </c>
      <c r="E9407" t="str">
        <f t="shared" si="313"/>
        <v>T</v>
      </c>
      <c r="F9407" t="str">
        <f t="shared" si="314"/>
        <v>19T</v>
      </c>
    </row>
    <row r="9408" spans="1:6" x14ac:dyDescent="0.2">
      <c r="A9408">
        <v>20</v>
      </c>
      <c r="E9408" t="str">
        <f t="shared" si="313"/>
        <v>U</v>
      </c>
      <c r="F9408" t="str">
        <f t="shared" si="314"/>
        <v>20U</v>
      </c>
    </row>
    <row r="9409" spans="1:6" x14ac:dyDescent="0.2">
      <c r="A9409">
        <v>21</v>
      </c>
      <c r="E9409" t="str">
        <f t="shared" si="313"/>
        <v>V</v>
      </c>
      <c r="F9409" t="str">
        <f t="shared" si="314"/>
        <v>21V</v>
      </c>
    </row>
    <row r="9410" spans="1:6" x14ac:dyDescent="0.2">
      <c r="A9410">
        <v>22</v>
      </c>
      <c r="E9410" t="str">
        <f t="shared" si="313"/>
        <v>W</v>
      </c>
      <c r="F9410" t="str">
        <f t="shared" si="314"/>
        <v>22W</v>
      </c>
    </row>
    <row r="9411" spans="1:6" x14ac:dyDescent="0.2">
      <c r="A9411">
        <v>23</v>
      </c>
      <c r="E9411" t="str">
        <f t="shared" si="313"/>
        <v>X</v>
      </c>
      <c r="F9411" t="str">
        <f t="shared" si="314"/>
        <v>23X</v>
      </c>
    </row>
    <row r="9412" spans="1:6" x14ac:dyDescent="0.2">
      <c r="A9412">
        <v>24</v>
      </c>
      <c r="E9412" t="str">
        <f t="shared" si="313"/>
        <v>Y</v>
      </c>
      <c r="F9412" t="str">
        <f t="shared" si="314"/>
        <v>24Y</v>
      </c>
    </row>
    <row r="9413" spans="1:6" x14ac:dyDescent="0.2">
      <c r="A9413">
        <v>25</v>
      </c>
      <c r="E9413" t="str">
        <f t="shared" si="313"/>
        <v>Z</v>
      </c>
      <c r="F9413" t="str">
        <f t="shared" si="314"/>
        <v>25Z</v>
      </c>
    </row>
    <row r="9414" spans="1:6" x14ac:dyDescent="0.2">
      <c r="A9414">
        <v>0</v>
      </c>
      <c r="E9414" t="str">
        <f t="shared" si="313"/>
        <v>A</v>
      </c>
      <c r="F9414" t="str">
        <f t="shared" si="314"/>
        <v>0A</v>
      </c>
    </row>
    <row r="9415" spans="1:6" x14ac:dyDescent="0.2">
      <c r="A9415">
        <v>1</v>
      </c>
      <c r="E9415" t="str">
        <f t="shared" si="313"/>
        <v>B</v>
      </c>
      <c r="F9415" t="str">
        <f t="shared" si="314"/>
        <v>1B</v>
      </c>
    </row>
    <row r="9416" spans="1:6" x14ac:dyDescent="0.2">
      <c r="A9416">
        <v>2</v>
      </c>
      <c r="E9416" t="str">
        <f t="shared" si="313"/>
        <v>C</v>
      </c>
      <c r="F9416" t="str">
        <f t="shared" si="314"/>
        <v>2C</v>
      </c>
    </row>
    <row r="9417" spans="1:6" x14ac:dyDescent="0.2">
      <c r="A9417">
        <v>3</v>
      </c>
      <c r="E9417" t="str">
        <f t="shared" si="313"/>
        <v>D</v>
      </c>
      <c r="F9417" t="str">
        <f t="shared" si="314"/>
        <v>3D</v>
      </c>
    </row>
    <row r="9418" spans="1:6" x14ac:dyDescent="0.2">
      <c r="A9418">
        <v>4</v>
      </c>
      <c r="E9418" t="str">
        <f t="shared" si="313"/>
        <v>E</v>
      </c>
      <c r="F9418" t="str">
        <f t="shared" si="314"/>
        <v>4E</v>
      </c>
    </row>
    <row r="9419" spans="1:6" x14ac:dyDescent="0.2">
      <c r="A9419">
        <v>5</v>
      </c>
      <c r="E9419" t="str">
        <f t="shared" si="313"/>
        <v>F</v>
      </c>
      <c r="F9419" t="str">
        <f t="shared" si="314"/>
        <v>5F</v>
      </c>
    </row>
    <row r="9420" spans="1:6" x14ac:dyDescent="0.2">
      <c r="A9420">
        <v>6</v>
      </c>
      <c r="E9420" t="str">
        <f t="shared" si="313"/>
        <v>G</v>
      </c>
      <c r="F9420" t="str">
        <f t="shared" si="314"/>
        <v>6G</v>
      </c>
    </row>
    <row r="9421" spans="1:6" x14ac:dyDescent="0.2">
      <c r="A9421">
        <v>7</v>
      </c>
      <c r="E9421" t="str">
        <f t="shared" si="313"/>
        <v>H</v>
      </c>
      <c r="F9421" t="str">
        <f t="shared" si="314"/>
        <v>7H</v>
      </c>
    </row>
    <row r="9422" spans="1:6" x14ac:dyDescent="0.2">
      <c r="A9422">
        <v>8</v>
      </c>
      <c r="E9422" t="str">
        <f t="shared" si="313"/>
        <v>I</v>
      </c>
      <c r="F9422" t="str">
        <f t="shared" si="314"/>
        <v>8I</v>
      </c>
    </row>
    <row r="9423" spans="1:6" x14ac:dyDescent="0.2">
      <c r="A9423">
        <v>9</v>
      </c>
      <c r="E9423" t="str">
        <f t="shared" si="313"/>
        <v>J</v>
      </c>
      <c r="F9423" t="str">
        <f t="shared" si="314"/>
        <v>9J</v>
      </c>
    </row>
    <row r="9424" spans="1:6" x14ac:dyDescent="0.2">
      <c r="A9424">
        <v>10</v>
      </c>
      <c r="E9424" t="str">
        <f t="shared" si="313"/>
        <v>K</v>
      </c>
      <c r="F9424" t="str">
        <f t="shared" si="314"/>
        <v>10K</v>
      </c>
    </row>
    <row r="9425" spans="1:6" x14ac:dyDescent="0.2">
      <c r="A9425">
        <v>11</v>
      </c>
      <c r="E9425" t="str">
        <f t="shared" si="313"/>
        <v>L</v>
      </c>
      <c r="F9425" t="str">
        <f t="shared" si="314"/>
        <v>11L</v>
      </c>
    </row>
    <row r="9426" spans="1:6" x14ac:dyDescent="0.2">
      <c r="A9426">
        <v>12</v>
      </c>
      <c r="E9426" t="str">
        <f t="shared" si="313"/>
        <v>M</v>
      </c>
      <c r="F9426" t="str">
        <f t="shared" si="314"/>
        <v>12M</v>
      </c>
    </row>
    <row r="9427" spans="1:6" x14ac:dyDescent="0.2">
      <c r="A9427">
        <v>13</v>
      </c>
      <c r="E9427" t="str">
        <f t="shared" si="313"/>
        <v>N</v>
      </c>
      <c r="F9427" t="str">
        <f t="shared" si="314"/>
        <v>13N</v>
      </c>
    </row>
    <row r="9428" spans="1:6" x14ac:dyDescent="0.2">
      <c r="A9428">
        <v>14</v>
      </c>
      <c r="E9428" t="str">
        <f t="shared" si="313"/>
        <v>O</v>
      </c>
      <c r="F9428" t="str">
        <f t="shared" si="314"/>
        <v>14O</v>
      </c>
    </row>
    <row r="9429" spans="1:6" x14ac:dyDescent="0.2">
      <c r="A9429">
        <v>15</v>
      </c>
      <c r="E9429" t="str">
        <f t="shared" ref="E9429:E9492" si="315">E9403</f>
        <v>P</v>
      </c>
      <c r="F9429" t="str">
        <f t="shared" ref="F9429:F9492" si="316">A9429&amp;C9429&amp;E9429</f>
        <v>15P</v>
      </c>
    </row>
    <row r="9430" spans="1:6" x14ac:dyDescent="0.2">
      <c r="A9430">
        <v>16</v>
      </c>
      <c r="E9430" t="str">
        <f t="shared" si="315"/>
        <v>Q</v>
      </c>
      <c r="F9430" t="str">
        <f t="shared" si="316"/>
        <v>16Q</v>
      </c>
    </row>
    <row r="9431" spans="1:6" x14ac:dyDescent="0.2">
      <c r="A9431">
        <v>17</v>
      </c>
      <c r="E9431" t="str">
        <f t="shared" si="315"/>
        <v>R</v>
      </c>
      <c r="F9431" t="str">
        <f t="shared" si="316"/>
        <v>17R</v>
      </c>
    </row>
    <row r="9432" spans="1:6" x14ac:dyDescent="0.2">
      <c r="A9432">
        <v>18</v>
      </c>
      <c r="E9432" t="str">
        <f t="shared" si="315"/>
        <v>S</v>
      </c>
      <c r="F9432" t="str">
        <f t="shared" si="316"/>
        <v>18S</v>
      </c>
    </row>
    <row r="9433" spans="1:6" x14ac:dyDescent="0.2">
      <c r="A9433">
        <v>19</v>
      </c>
      <c r="E9433" t="str">
        <f t="shared" si="315"/>
        <v>T</v>
      </c>
      <c r="F9433" t="str">
        <f t="shared" si="316"/>
        <v>19T</v>
      </c>
    </row>
    <row r="9434" spans="1:6" x14ac:dyDescent="0.2">
      <c r="A9434">
        <v>20</v>
      </c>
      <c r="E9434" t="str">
        <f t="shared" si="315"/>
        <v>U</v>
      </c>
      <c r="F9434" t="str">
        <f t="shared" si="316"/>
        <v>20U</v>
      </c>
    </row>
    <row r="9435" spans="1:6" x14ac:dyDescent="0.2">
      <c r="A9435">
        <v>21</v>
      </c>
      <c r="E9435" t="str">
        <f t="shared" si="315"/>
        <v>V</v>
      </c>
      <c r="F9435" t="str">
        <f t="shared" si="316"/>
        <v>21V</v>
      </c>
    </row>
    <row r="9436" spans="1:6" x14ac:dyDescent="0.2">
      <c r="A9436">
        <v>22</v>
      </c>
      <c r="E9436" t="str">
        <f t="shared" si="315"/>
        <v>W</v>
      </c>
      <c r="F9436" t="str">
        <f t="shared" si="316"/>
        <v>22W</v>
      </c>
    </row>
    <row r="9437" spans="1:6" x14ac:dyDescent="0.2">
      <c r="A9437">
        <v>23</v>
      </c>
      <c r="E9437" t="str">
        <f t="shared" si="315"/>
        <v>X</v>
      </c>
      <c r="F9437" t="str">
        <f t="shared" si="316"/>
        <v>23X</v>
      </c>
    </row>
    <row r="9438" spans="1:6" x14ac:dyDescent="0.2">
      <c r="A9438">
        <v>24</v>
      </c>
      <c r="E9438" t="str">
        <f t="shared" si="315"/>
        <v>Y</v>
      </c>
      <c r="F9438" t="str">
        <f t="shared" si="316"/>
        <v>24Y</v>
      </c>
    </row>
    <row r="9439" spans="1:6" x14ac:dyDescent="0.2">
      <c r="A9439">
        <v>25</v>
      </c>
      <c r="E9439" t="str">
        <f t="shared" si="315"/>
        <v>Z</v>
      </c>
      <c r="F9439" t="str">
        <f t="shared" si="316"/>
        <v>25Z</v>
      </c>
    </row>
    <row r="9440" spans="1:6" x14ac:dyDescent="0.2">
      <c r="A9440">
        <v>0</v>
      </c>
      <c r="E9440" t="str">
        <f t="shared" si="315"/>
        <v>A</v>
      </c>
      <c r="F9440" t="str">
        <f t="shared" si="316"/>
        <v>0A</v>
      </c>
    </row>
    <row r="9441" spans="1:6" x14ac:dyDescent="0.2">
      <c r="A9441">
        <v>1</v>
      </c>
      <c r="E9441" t="str">
        <f t="shared" si="315"/>
        <v>B</v>
      </c>
      <c r="F9441" t="str">
        <f t="shared" si="316"/>
        <v>1B</v>
      </c>
    </row>
    <row r="9442" spans="1:6" x14ac:dyDescent="0.2">
      <c r="A9442">
        <v>2</v>
      </c>
      <c r="E9442" t="str">
        <f t="shared" si="315"/>
        <v>C</v>
      </c>
      <c r="F9442" t="str">
        <f t="shared" si="316"/>
        <v>2C</v>
      </c>
    </row>
    <row r="9443" spans="1:6" x14ac:dyDescent="0.2">
      <c r="A9443">
        <v>3</v>
      </c>
      <c r="E9443" t="str">
        <f t="shared" si="315"/>
        <v>D</v>
      </c>
      <c r="F9443" t="str">
        <f t="shared" si="316"/>
        <v>3D</v>
      </c>
    </row>
    <row r="9444" spans="1:6" x14ac:dyDescent="0.2">
      <c r="A9444">
        <v>4</v>
      </c>
      <c r="E9444" t="str">
        <f t="shared" si="315"/>
        <v>E</v>
      </c>
      <c r="F9444" t="str">
        <f t="shared" si="316"/>
        <v>4E</v>
      </c>
    </row>
    <row r="9445" spans="1:6" x14ac:dyDescent="0.2">
      <c r="A9445">
        <v>5</v>
      </c>
      <c r="E9445" t="str">
        <f t="shared" si="315"/>
        <v>F</v>
      </c>
      <c r="F9445" t="str">
        <f t="shared" si="316"/>
        <v>5F</v>
      </c>
    </row>
    <row r="9446" spans="1:6" x14ac:dyDescent="0.2">
      <c r="A9446">
        <v>6</v>
      </c>
      <c r="E9446" t="str">
        <f t="shared" si="315"/>
        <v>G</v>
      </c>
      <c r="F9446" t="str">
        <f t="shared" si="316"/>
        <v>6G</v>
      </c>
    </row>
    <row r="9447" spans="1:6" x14ac:dyDescent="0.2">
      <c r="A9447">
        <v>7</v>
      </c>
      <c r="E9447" t="str">
        <f t="shared" si="315"/>
        <v>H</v>
      </c>
      <c r="F9447" t="str">
        <f t="shared" si="316"/>
        <v>7H</v>
      </c>
    </row>
    <row r="9448" spans="1:6" x14ac:dyDescent="0.2">
      <c r="A9448">
        <v>8</v>
      </c>
      <c r="E9448" t="str">
        <f t="shared" si="315"/>
        <v>I</v>
      </c>
      <c r="F9448" t="str">
        <f t="shared" si="316"/>
        <v>8I</v>
      </c>
    </row>
    <row r="9449" spans="1:6" x14ac:dyDescent="0.2">
      <c r="A9449">
        <v>9</v>
      </c>
      <c r="E9449" t="str">
        <f t="shared" si="315"/>
        <v>J</v>
      </c>
      <c r="F9449" t="str">
        <f t="shared" si="316"/>
        <v>9J</v>
      </c>
    </row>
    <row r="9450" spans="1:6" x14ac:dyDescent="0.2">
      <c r="A9450">
        <v>10</v>
      </c>
      <c r="E9450" t="str">
        <f t="shared" si="315"/>
        <v>K</v>
      </c>
      <c r="F9450" t="str">
        <f t="shared" si="316"/>
        <v>10K</v>
      </c>
    </row>
    <row r="9451" spans="1:6" x14ac:dyDescent="0.2">
      <c r="A9451">
        <v>11</v>
      </c>
      <c r="E9451" t="str">
        <f t="shared" si="315"/>
        <v>L</v>
      </c>
      <c r="F9451" t="str">
        <f t="shared" si="316"/>
        <v>11L</v>
      </c>
    </row>
    <row r="9452" spans="1:6" x14ac:dyDescent="0.2">
      <c r="A9452">
        <v>12</v>
      </c>
      <c r="E9452" t="str">
        <f t="shared" si="315"/>
        <v>M</v>
      </c>
      <c r="F9452" t="str">
        <f t="shared" si="316"/>
        <v>12M</v>
      </c>
    </row>
    <row r="9453" spans="1:6" x14ac:dyDescent="0.2">
      <c r="A9453">
        <v>13</v>
      </c>
      <c r="E9453" t="str">
        <f t="shared" si="315"/>
        <v>N</v>
      </c>
      <c r="F9453" t="str">
        <f t="shared" si="316"/>
        <v>13N</v>
      </c>
    </row>
    <row r="9454" spans="1:6" x14ac:dyDescent="0.2">
      <c r="A9454">
        <v>14</v>
      </c>
      <c r="E9454" t="str">
        <f t="shared" si="315"/>
        <v>O</v>
      </c>
      <c r="F9454" t="str">
        <f t="shared" si="316"/>
        <v>14O</v>
      </c>
    </row>
    <row r="9455" spans="1:6" x14ac:dyDescent="0.2">
      <c r="A9455">
        <v>15</v>
      </c>
      <c r="E9455" t="str">
        <f t="shared" si="315"/>
        <v>P</v>
      </c>
      <c r="F9455" t="str">
        <f t="shared" si="316"/>
        <v>15P</v>
      </c>
    </row>
    <row r="9456" spans="1:6" x14ac:dyDescent="0.2">
      <c r="A9456">
        <v>16</v>
      </c>
      <c r="E9456" t="str">
        <f t="shared" si="315"/>
        <v>Q</v>
      </c>
      <c r="F9456" t="str">
        <f t="shared" si="316"/>
        <v>16Q</v>
      </c>
    </row>
    <row r="9457" spans="1:6" x14ac:dyDescent="0.2">
      <c r="A9457">
        <v>17</v>
      </c>
      <c r="E9457" t="str">
        <f t="shared" si="315"/>
        <v>R</v>
      </c>
      <c r="F9457" t="str">
        <f t="shared" si="316"/>
        <v>17R</v>
      </c>
    </row>
    <row r="9458" spans="1:6" x14ac:dyDescent="0.2">
      <c r="A9458">
        <v>18</v>
      </c>
      <c r="E9458" t="str">
        <f t="shared" si="315"/>
        <v>S</v>
      </c>
      <c r="F9458" t="str">
        <f t="shared" si="316"/>
        <v>18S</v>
      </c>
    </row>
    <row r="9459" spans="1:6" x14ac:dyDescent="0.2">
      <c r="A9459">
        <v>19</v>
      </c>
      <c r="E9459" t="str">
        <f t="shared" si="315"/>
        <v>T</v>
      </c>
      <c r="F9459" t="str">
        <f t="shared" si="316"/>
        <v>19T</v>
      </c>
    </row>
    <row r="9460" spans="1:6" x14ac:dyDescent="0.2">
      <c r="A9460">
        <v>20</v>
      </c>
      <c r="E9460" t="str">
        <f t="shared" si="315"/>
        <v>U</v>
      </c>
      <c r="F9460" t="str">
        <f t="shared" si="316"/>
        <v>20U</v>
      </c>
    </row>
    <row r="9461" spans="1:6" x14ac:dyDescent="0.2">
      <c r="A9461">
        <v>21</v>
      </c>
      <c r="E9461" t="str">
        <f t="shared" si="315"/>
        <v>V</v>
      </c>
      <c r="F9461" t="str">
        <f t="shared" si="316"/>
        <v>21V</v>
      </c>
    </row>
    <row r="9462" spans="1:6" x14ac:dyDescent="0.2">
      <c r="A9462">
        <v>22</v>
      </c>
      <c r="E9462" t="str">
        <f t="shared" si="315"/>
        <v>W</v>
      </c>
      <c r="F9462" t="str">
        <f t="shared" si="316"/>
        <v>22W</v>
      </c>
    </row>
    <row r="9463" spans="1:6" x14ac:dyDescent="0.2">
      <c r="A9463">
        <v>23</v>
      </c>
      <c r="E9463" t="str">
        <f t="shared" si="315"/>
        <v>X</v>
      </c>
      <c r="F9463" t="str">
        <f t="shared" si="316"/>
        <v>23X</v>
      </c>
    </row>
    <row r="9464" spans="1:6" x14ac:dyDescent="0.2">
      <c r="A9464">
        <v>24</v>
      </c>
      <c r="E9464" t="str">
        <f t="shared" si="315"/>
        <v>Y</v>
      </c>
      <c r="F9464" t="str">
        <f t="shared" si="316"/>
        <v>24Y</v>
      </c>
    </row>
    <row r="9465" spans="1:6" x14ac:dyDescent="0.2">
      <c r="A9465">
        <v>25</v>
      </c>
      <c r="E9465" t="str">
        <f t="shared" si="315"/>
        <v>Z</v>
      </c>
      <c r="F9465" t="str">
        <f t="shared" si="316"/>
        <v>25Z</v>
      </c>
    </row>
    <row r="9466" spans="1:6" x14ac:dyDescent="0.2">
      <c r="A9466">
        <v>0</v>
      </c>
      <c r="E9466" t="str">
        <f t="shared" si="315"/>
        <v>A</v>
      </c>
      <c r="F9466" t="str">
        <f t="shared" si="316"/>
        <v>0A</v>
      </c>
    </row>
    <row r="9467" spans="1:6" x14ac:dyDescent="0.2">
      <c r="A9467">
        <v>1</v>
      </c>
      <c r="E9467" t="str">
        <f t="shared" si="315"/>
        <v>B</v>
      </c>
      <c r="F9467" t="str">
        <f t="shared" si="316"/>
        <v>1B</v>
      </c>
    </row>
    <row r="9468" spans="1:6" x14ac:dyDescent="0.2">
      <c r="A9468">
        <v>2</v>
      </c>
      <c r="E9468" t="str">
        <f t="shared" si="315"/>
        <v>C</v>
      </c>
      <c r="F9468" t="str">
        <f t="shared" si="316"/>
        <v>2C</v>
      </c>
    </row>
    <row r="9469" spans="1:6" x14ac:dyDescent="0.2">
      <c r="A9469">
        <v>3</v>
      </c>
      <c r="E9469" t="str">
        <f t="shared" si="315"/>
        <v>D</v>
      </c>
      <c r="F9469" t="str">
        <f t="shared" si="316"/>
        <v>3D</v>
      </c>
    </row>
    <row r="9470" spans="1:6" x14ac:dyDescent="0.2">
      <c r="A9470">
        <v>4</v>
      </c>
      <c r="E9470" t="str">
        <f t="shared" si="315"/>
        <v>E</v>
      </c>
      <c r="F9470" t="str">
        <f t="shared" si="316"/>
        <v>4E</v>
      </c>
    </row>
    <row r="9471" spans="1:6" x14ac:dyDescent="0.2">
      <c r="A9471">
        <v>5</v>
      </c>
      <c r="E9471" t="str">
        <f t="shared" si="315"/>
        <v>F</v>
      </c>
      <c r="F9471" t="str">
        <f t="shared" si="316"/>
        <v>5F</v>
      </c>
    </row>
    <row r="9472" spans="1:6" x14ac:dyDescent="0.2">
      <c r="A9472">
        <v>6</v>
      </c>
      <c r="E9472" t="str">
        <f t="shared" si="315"/>
        <v>G</v>
      </c>
      <c r="F9472" t="str">
        <f t="shared" si="316"/>
        <v>6G</v>
      </c>
    </row>
    <row r="9473" spans="1:6" x14ac:dyDescent="0.2">
      <c r="A9473">
        <v>7</v>
      </c>
      <c r="E9473" t="str">
        <f t="shared" si="315"/>
        <v>H</v>
      </c>
      <c r="F9473" t="str">
        <f t="shared" si="316"/>
        <v>7H</v>
      </c>
    </row>
    <row r="9474" spans="1:6" x14ac:dyDescent="0.2">
      <c r="A9474">
        <v>8</v>
      </c>
      <c r="E9474" t="str">
        <f t="shared" si="315"/>
        <v>I</v>
      </c>
      <c r="F9474" t="str">
        <f t="shared" si="316"/>
        <v>8I</v>
      </c>
    </row>
    <row r="9475" spans="1:6" x14ac:dyDescent="0.2">
      <c r="A9475">
        <v>9</v>
      </c>
      <c r="E9475" t="str">
        <f t="shared" si="315"/>
        <v>J</v>
      </c>
      <c r="F9475" t="str">
        <f t="shared" si="316"/>
        <v>9J</v>
      </c>
    </row>
    <row r="9476" spans="1:6" x14ac:dyDescent="0.2">
      <c r="A9476">
        <v>10</v>
      </c>
      <c r="E9476" t="str">
        <f t="shared" si="315"/>
        <v>K</v>
      </c>
      <c r="F9476" t="str">
        <f t="shared" si="316"/>
        <v>10K</v>
      </c>
    </row>
    <row r="9477" spans="1:6" x14ac:dyDescent="0.2">
      <c r="A9477">
        <v>11</v>
      </c>
      <c r="E9477" t="str">
        <f t="shared" si="315"/>
        <v>L</v>
      </c>
      <c r="F9477" t="str">
        <f t="shared" si="316"/>
        <v>11L</v>
      </c>
    </row>
    <row r="9478" spans="1:6" x14ac:dyDescent="0.2">
      <c r="A9478">
        <v>12</v>
      </c>
      <c r="E9478" t="str">
        <f t="shared" si="315"/>
        <v>M</v>
      </c>
      <c r="F9478" t="str">
        <f t="shared" si="316"/>
        <v>12M</v>
      </c>
    </row>
    <row r="9479" spans="1:6" x14ac:dyDescent="0.2">
      <c r="A9479">
        <v>13</v>
      </c>
      <c r="E9479" t="str">
        <f t="shared" si="315"/>
        <v>N</v>
      </c>
      <c r="F9479" t="str">
        <f t="shared" si="316"/>
        <v>13N</v>
      </c>
    </row>
    <row r="9480" spans="1:6" x14ac:dyDescent="0.2">
      <c r="A9480">
        <v>14</v>
      </c>
      <c r="E9480" t="str">
        <f t="shared" si="315"/>
        <v>O</v>
      </c>
      <c r="F9480" t="str">
        <f t="shared" si="316"/>
        <v>14O</v>
      </c>
    </row>
    <row r="9481" spans="1:6" x14ac:dyDescent="0.2">
      <c r="A9481">
        <v>15</v>
      </c>
      <c r="E9481" t="str">
        <f t="shared" si="315"/>
        <v>P</v>
      </c>
      <c r="F9481" t="str">
        <f t="shared" si="316"/>
        <v>15P</v>
      </c>
    </row>
    <row r="9482" spans="1:6" x14ac:dyDescent="0.2">
      <c r="A9482">
        <v>16</v>
      </c>
      <c r="E9482" t="str">
        <f t="shared" si="315"/>
        <v>Q</v>
      </c>
      <c r="F9482" t="str">
        <f t="shared" si="316"/>
        <v>16Q</v>
      </c>
    </row>
    <row r="9483" spans="1:6" x14ac:dyDescent="0.2">
      <c r="A9483">
        <v>17</v>
      </c>
      <c r="E9483" t="str">
        <f t="shared" si="315"/>
        <v>R</v>
      </c>
      <c r="F9483" t="str">
        <f t="shared" si="316"/>
        <v>17R</v>
      </c>
    </row>
    <row r="9484" spans="1:6" x14ac:dyDescent="0.2">
      <c r="A9484">
        <v>18</v>
      </c>
      <c r="E9484" t="str">
        <f t="shared" si="315"/>
        <v>S</v>
      </c>
      <c r="F9484" t="str">
        <f t="shared" si="316"/>
        <v>18S</v>
      </c>
    </row>
    <row r="9485" spans="1:6" x14ac:dyDescent="0.2">
      <c r="A9485">
        <v>19</v>
      </c>
      <c r="E9485" t="str">
        <f t="shared" si="315"/>
        <v>T</v>
      </c>
      <c r="F9485" t="str">
        <f t="shared" si="316"/>
        <v>19T</v>
      </c>
    </row>
    <row r="9486" spans="1:6" x14ac:dyDescent="0.2">
      <c r="A9486">
        <v>20</v>
      </c>
      <c r="E9486" t="str">
        <f t="shared" si="315"/>
        <v>U</v>
      </c>
      <c r="F9486" t="str">
        <f t="shared" si="316"/>
        <v>20U</v>
      </c>
    </row>
    <row r="9487" spans="1:6" x14ac:dyDescent="0.2">
      <c r="A9487">
        <v>21</v>
      </c>
      <c r="E9487" t="str">
        <f t="shared" si="315"/>
        <v>V</v>
      </c>
      <c r="F9487" t="str">
        <f t="shared" si="316"/>
        <v>21V</v>
      </c>
    </row>
    <row r="9488" spans="1:6" x14ac:dyDescent="0.2">
      <c r="A9488">
        <v>22</v>
      </c>
      <c r="E9488" t="str">
        <f t="shared" si="315"/>
        <v>W</v>
      </c>
      <c r="F9488" t="str">
        <f t="shared" si="316"/>
        <v>22W</v>
      </c>
    </row>
    <row r="9489" spans="1:6" x14ac:dyDescent="0.2">
      <c r="A9489">
        <v>23</v>
      </c>
      <c r="E9489" t="str">
        <f t="shared" si="315"/>
        <v>X</v>
      </c>
      <c r="F9489" t="str">
        <f t="shared" si="316"/>
        <v>23X</v>
      </c>
    </row>
    <row r="9490" spans="1:6" x14ac:dyDescent="0.2">
      <c r="A9490">
        <v>24</v>
      </c>
      <c r="E9490" t="str">
        <f t="shared" si="315"/>
        <v>Y</v>
      </c>
      <c r="F9490" t="str">
        <f t="shared" si="316"/>
        <v>24Y</v>
      </c>
    </row>
    <row r="9491" spans="1:6" x14ac:dyDescent="0.2">
      <c r="A9491">
        <v>25</v>
      </c>
      <c r="E9491" t="str">
        <f t="shared" si="315"/>
        <v>Z</v>
      </c>
      <c r="F9491" t="str">
        <f t="shared" si="316"/>
        <v>25Z</v>
      </c>
    </row>
    <row r="9492" spans="1:6" x14ac:dyDescent="0.2">
      <c r="A9492">
        <v>0</v>
      </c>
      <c r="E9492" t="str">
        <f t="shared" si="315"/>
        <v>A</v>
      </c>
      <c r="F9492" t="str">
        <f t="shared" si="316"/>
        <v>0A</v>
      </c>
    </row>
    <row r="9493" spans="1:6" x14ac:dyDescent="0.2">
      <c r="A9493">
        <v>1</v>
      </c>
      <c r="E9493" t="str">
        <f t="shared" ref="E9493:E9556" si="317">E9467</f>
        <v>B</v>
      </c>
      <c r="F9493" t="str">
        <f t="shared" ref="F9493:F9556" si="318">A9493&amp;C9493&amp;E9493</f>
        <v>1B</v>
      </c>
    </row>
    <row r="9494" spans="1:6" x14ac:dyDescent="0.2">
      <c r="A9494">
        <v>2</v>
      </c>
      <c r="E9494" t="str">
        <f t="shared" si="317"/>
        <v>C</v>
      </c>
      <c r="F9494" t="str">
        <f t="shared" si="318"/>
        <v>2C</v>
      </c>
    </row>
    <row r="9495" spans="1:6" x14ac:dyDescent="0.2">
      <c r="A9495">
        <v>3</v>
      </c>
      <c r="E9495" t="str">
        <f t="shared" si="317"/>
        <v>D</v>
      </c>
      <c r="F9495" t="str">
        <f t="shared" si="318"/>
        <v>3D</v>
      </c>
    </row>
    <row r="9496" spans="1:6" x14ac:dyDescent="0.2">
      <c r="A9496">
        <v>4</v>
      </c>
      <c r="E9496" t="str">
        <f t="shared" si="317"/>
        <v>E</v>
      </c>
      <c r="F9496" t="str">
        <f t="shared" si="318"/>
        <v>4E</v>
      </c>
    </row>
    <row r="9497" spans="1:6" x14ac:dyDescent="0.2">
      <c r="A9497">
        <v>5</v>
      </c>
      <c r="E9497" t="str">
        <f t="shared" si="317"/>
        <v>F</v>
      </c>
      <c r="F9497" t="str">
        <f t="shared" si="318"/>
        <v>5F</v>
      </c>
    </row>
    <row r="9498" spans="1:6" x14ac:dyDescent="0.2">
      <c r="A9498">
        <v>6</v>
      </c>
      <c r="E9498" t="str">
        <f t="shared" si="317"/>
        <v>G</v>
      </c>
      <c r="F9498" t="str">
        <f t="shared" si="318"/>
        <v>6G</v>
      </c>
    </row>
    <row r="9499" spans="1:6" x14ac:dyDescent="0.2">
      <c r="A9499">
        <v>7</v>
      </c>
      <c r="E9499" t="str">
        <f t="shared" si="317"/>
        <v>H</v>
      </c>
      <c r="F9499" t="str">
        <f t="shared" si="318"/>
        <v>7H</v>
      </c>
    </row>
    <row r="9500" spans="1:6" x14ac:dyDescent="0.2">
      <c r="A9500">
        <v>8</v>
      </c>
      <c r="E9500" t="str">
        <f t="shared" si="317"/>
        <v>I</v>
      </c>
      <c r="F9500" t="str">
        <f t="shared" si="318"/>
        <v>8I</v>
      </c>
    </row>
    <row r="9501" spans="1:6" x14ac:dyDescent="0.2">
      <c r="A9501">
        <v>9</v>
      </c>
      <c r="E9501" t="str">
        <f t="shared" si="317"/>
        <v>J</v>
      </c>
      <c r="F9501" t="str">
        <f t="shared" si="318"/>
        <v>9J</v>
      </c>
    </row>
    <row r="9502" spans="1:6" x14ac:dyDescent="0.2">
      <c r="A9502">
        <v>10</v>
      </c>
      <c r="E9502" t="str">
        <f t="shared" si="317"/>
        <v>K</v>
      </c>
      <c r="F9502" t="str">
        <f t="shared" si="318"/>
        <v>10K</v>
      </c>
    </row>
    <row r="9503" spans="1:6" x14ac:dyDescent="0.2">
      <c r="A9503">
        <v>11</v>
      </c>
      <c r="E9503" t="str">
        <f t="shared" si="317"/>
        <v>L</v>
      </c>
      <c r="F9503" t="str">
        <f t="shared" si="318"/>
        <v>11L</v>
      </c>
    </row>
    <row r="9504" spans="1:6" x14ac:dyDescent="0.2">
      <c r="A9504">
        <v>12</v>
      </c>
      <c r="E9504" t="str">
        <f t="shared" si="317"/>
        <v>M</v>
      </c>
      <c r="F9504" t="str">
        <f t="shared" si="318"/>
        <v>12M</v>
      </c>
    </row>
    <row r="9505" spans="1:6" x14ac:dyDescent="0.2">
      <c r="A9505">
        <v>13</v>
      </c>
      <c r="E9505" t="str">
        <f t="shared" si="317"/>
        <v>N</v>
      </c>
      <c r="F9505" t="str">
        <f t="shared" si="318"/>
        <v>13N</v>
      </c>
    </row>
    <row r="9506" spans="1:6" x14ac:dyDescent="0.2">
      <c r="A9506">
        <v>14</v>
      </c>
      <c r="E9506" t="str">
        <f t="shared" si="317"/>
        <v>O</v>
      </c>
      <c r="F9506" t="str">
        <f t="shared" si="318"/>
        <v>14O</v>
      </c>
    </row>
    <row r="9507" spans="1:6" x14ac:dyDescent="0.2">
      <c r="A9507">
        <v>15</v>
      </c>
      <c r="E9507" t="str">
        <f t="shared" si="317"/>
        <v>P</v>
      </c>
      <c r="F9507" t="str">
        <f t="shared" si="318"/>
        <v>15P</v>
      </c>
    </row>
    <row r="9508" spans="1:6" x14ac:dyDescent="0.2">
      <c r="A9508">
        <v>16</v>
      </c>
      <c r="E9508" t="str">
        <f t="shared" si="317"/>
        <v>Q</v>
      </c>
      <c r="F9508" t="str">
        <f t="shared" si="318"/>
        <v>16Q</v>
      </c>
    </row>
    <row r="9509" spans="1:6" x14ac:dyDescent="0.2">
      <c r="A9509">
        <v>17</v>
      </c>
      <c r="E9509" t="str">
        <f t="shared" si="317"/>
        <v>R</v>
      </c>
      <c r="F9509" t="str">
        <f t="shared" si="318"/>
        <v>17R</v>
      </c>
    </row>
    <row r="9510" spans="1:6" x14ac:dyDescent="0.2">
      <c r="A9510">
        <v>18</v>
      </c>
      <c r="E9510" t="str">
        <f t="shared" si="317"/>
        <v>S</v>
      </c>
      <c r="F9510" t="str">
        <f t="shared" si="318"/>
        <v>18S</v>
      </c>
    </row>
    <row r="9511" spans="1:6" x14ac:dyDescent="0.2">
      <c r="A9511">
        <v>19</v>
      </c>
      <c r="E9511" t="str">
        <f t="shared" si="317"/>
        <v>T</v>
      </c>
      <c r="F9511" t="str">
        <f t="shared" si="318"/>
        <v>19T</v>
      </c>
    </row>
    <row r="9512" spans="1:6" x14ac:dyDescent="0.2">
      <c r="A9512">
        <v>20</v>
      </c>
      <c r="E9512" t="str">
        <f t="shared" si="317"/>
        <v>U</v>
      </c>
      <c r="F9512" t="str">
        <f t="shared" si="318"/>
        <v>20U</v>
      </c>
    </row>
    <row r="9513" spans="1:6" x14ac:dyDescent="0.2">
      <c r="A9513">
        <v>21</v>
      </c>
      <c r="E9513" t="str">
        <f t="shared" si="317"/>
        <v>V</v>
      </c>
      <c r="F9513" t="str">
        <f t="shared" si="318"/>
        <v>21V</v>
      </c>
    </row>
    <row r="9514" spans="1:6" x14ac:dyDescent="0.2">
      <c r="A9514">
        <v>22</v>
      </c>
      <c r="E9514" t="str">
        <f t="shared" si="317"/>
        <v>W</v>
      </c>
      <c r="F9514" t="str">
        <f t="shared" si="318"/>
        <v>22W</v>
      </c>
    </row>
    <row r="9515" spans="1:6" x14ac:dyDescent="0.2">
      <c r="A9515">
        <v>23</v>
      </c>
      <c r="E9515" t="str">
        <f t="shared" si="317"/>
        <v>X</v>
      </c>
      <c r="F9515" t="str">
        <f t="shared" si="318"/>
        <v>23X</v>
      </c>
    </row>
    <row r="9516" spans="1:6" x14ac:dyDescent="0.2">
      <c r="A9516">
        <v>24</v>
      </c>
      <c r="E9516" t="str">
        <f t="shared" si="317"/>
        <v>Y</v>
      </c>
      <c r="F9516" t="str">
        <f t="shared" si="318"/>
        <v>24Y</v>
      </c>
    </row>
    <row r="9517" spans="1:6" x14ac:dyDescent="0.2">
      <c r="A9517">
        <v>25</v>
      </c>
      <c r="E9517" t="str">
        <f t="shared" si="317"/>
        <v>Z</v>
      </c>
      <c r="F9517" t="str">
        <f t="shared" si="318"/>
        <v>25Z</v>
      </c>
    </row>
    <row r="9518" spans="1:6" x14ac:dyDescent="0.2">
      <c r="A9518">
        <v>0</v>
      </c>
      <c r="E9518" t="str">
        <f t="shared" si="317"/>
        <v>A</v>
      </c>
      <c r="F9518" t="str">
        <f t="shared" si="318"/>
        <v>0A</v>
      </c>
    </row>
    <row r="9519" spans="1:6" x14ac:dyDescent="0.2">
      <c r="A9519">
        <v>1</v>
      </c>
      <c r="E9519" t="str">
        <f t="shared" si="317"/>
        <v>B</v>
      </c>
      <c r="F9519" t="str">
        <f t="shared" si="318"/>
        <v>1B</v>
      </c>
    </row>
    <row r="9520" spans="1:6" x14ac:dyDescent="0.2">
      <c r="A9520">
        <v>2</v>
      </c>
      <c r="E9520" t="str">
        <f t="shared" si="317"/>
        <v>C</v>
      </c>
      <c r="F9520" t="str">
        <f t="shared" si="318"/>
        <v>2C</v>
      </c>
    </row>
    <row r="9521" spans="1:6" x14ac:dyDescent="0.2">
      <c r="A9521">
        <v>3</v>
      </c>
      <c r="E9521" t="str">
        <f t="shared" si="317"/>
        <v>D</v>
      </c>
      <c r="F9521" t="str">
        <f t="shared" si="318"/>
        <v>3D</v>
      </c>
    </row>
    <row r="9522" spans="1:6" x14ac:dyDescent="0.2">
      <c r="A9522">
        <v>4</v>
      </c>
      <c r="E9522" t="str">
        <f t="shared" si="317"/>
        <v>E</v>
      </c>
      <c r="F9522" t="str">
        <f t="shared" si="318"/>
        <v>4E</v>
      </c>
    </row>
    <row r="9523" spans="1:6" x14ac:dyDescent="0.2">
      <c r="A9523">
        <v>5</v>
      </c>
      <c r="E9523" t="str">
        <f t="shared" si="317"/>
        <v>F</v>
      </c>
      <c r="F9523" t="str">
        <f t="shared" si="318"/>
        <v>5F</v>
      </c>
    </row>
    <row r="9524" spans="1:6" x14ac:dyDescent="0.2">
      <c r="A9524">
        <v>6</v>
      </c>
      <c r="E9524" t="str">
        <f t="shared" si="317"/>
        <v>G</v>
      </c>
      <c r="F9524" t="str">
        <f t="shared" si="318"/>
        <v>6G</v>
      </c>
    </row>
    <row r="9525" spans="1:6" x14ac:dyDescent="0.2">
      <c r="A9525">
        <v>7</v>
      </c>
      <c r="E9525" t="str">
        <f t="shared" si="317"/>
        <v>H</v>
      </c>
      <c r="F9525" t="str">
        <f t="shared" si="318"/>
        <v>7H</v>
      </c>
    </row>
    <row r="9526" spans="1:6" x14ac:dyDescent="0.2">
      <c r="A9526">
        <v>8</v>
      </c>
      <c r="E9526" t="str">
        <f t="shared" si="317"/>
        <v>I</v>
      </c>
      <c r="F9526" t="str">
        <f t="shared" si="318"/>
        <v>8I</v>
      </c>
    </row>
    <row r="9527" spans="1:6" x14ac:dyDescent="0.2">
      <c r="A9527">
        <v>9</v>
      </c>
      <c r="E9527" t="str">
        <f t="shared" si="317"/>
        <v>J</v>
      </c>
      <c r="F9527" t="str">
        <f t="shared" si="318"/>
        <v>9J</v>
      </c>
    </row>
    <row r="9528" spans="1:6" x14ac:dyDescent="0.2">
      <c r="A9528">
        <v>10</v>
      </c>
      <c r="E9528" t="str">
        <f t="shared" si="317"/>
        <v>K</v>
      </c>
      <c r="F9528" t="str">
        <f t="shared" si="318"/>
        <v>10K</v>
      </c>
    </row>
    <row r="9529" spans="1:6" x14ac:dyDescent="0.2">
      <c r="A9529">
        <v>11</v>
      </c>
      <c r="E9529" t="str">
        <f t="shared" si="317"/>
        <v>L</v>
      </c>
      <c r="F9529" t="str">
        <f t="shared" si="318"/>
        <v>11L</v>
      </c>
    </row>
    <row r="9530" spans="1:6" x14ac:dyDescent="0.2">
      <c r="A9530">
        <v>12</v>
      </c>
      <c r="E9530" t="str">
        <f t="shared" si="317"/>
        <v>M</v>
      </c>
      <c r="F9530" t="str">
        <f t="shared" si="318"/>
        <v>12M</v>
      </c>
    </row>
    <row r="9531" spans="1:6" x14ac:dyDescent="0.2">
      <c r="A9531">
        <v>13</v>
      </c>
      <c r="E9531" t="str">
        <f t="shared" si="317"/>
        <v>N</v>
      </c>
      <c r="F9531" t="str">
        <f t="shared" si="318"/>
        <v>13N</v>
      </c>
    </row>
    <row r="9532" spans="1:6" x14ac:dyDescent="0.2">
      <c r="A9532">
        <v>14</v>
      </c>
      <c r="E9532" t="str">
        <f t="shared" si="317"/>
        <v>O</v>
      </c>
      <c r="F9532" t="str">
        <f t="shared" si="318"/>
        <v>14O</v>
      </c>
    </row>
    <row r="9533" spans="1:6" x14ac:dyDescent="0.2">
      <c r="A9533">
        <v>15</v>
      </c>
      <c r="E9533" t="str">
        <f t="shared" si="317"/>
        <v>P</v>
      </c>
      <c r="F9533" t="str">
        <f t="shared" si="318"/>
        <v>15P</v>
      </c>
    </row>
    <row r="9534" spans="1:6" x14ac:dyDescent="0.2">
      <c r="A9534">
        <v>16</v>
      </c>
      <c r="E9534" t="str">
        <f t="shared" si="317"/>
        <v>Q</v>
      </c>
      <c r="F9534" t="str">
        <f t="shared" si="318"/>
        <v>16Q</v>
      </c>
    </row>
    <row r="9535" spans="1:6" x14ac:dyDescent="0.2">
      <c r="A9535">
        <v>17</v>
      </c>
      <c r="E9535" t="str">
        <f t="shared" si="317"/>
        <v>R</v>
      </c>
      <c r="F9535" t="str">
        <f t="shared" si="318"/>
        <v>17R</v>
      </c>
    </row>
    <row r="9536" spans="1:6" x14ac:dyDescent="0.2">
      <c r="A9536">
        <v>18</v>
      </c>
      <c r="E9536" t="str">
        <f t="shared" si="317"/>
        <v>S</v>
      </c>
      <c r="F9536" t="str">
        <f t="shared" si="318"/>
        <v>18S</v>
      </c>
    </row>
    <row r="9537" spans="1:6" x14ac:dyDescent="0.2">
      <c r="A9537">
        <v>19</v>
      </c>
      <c r="E9537" t="str">
        <f t="shared" si="317"/>
        <v>T</v>
      </c>
      <c r="F9537" t="str">
        <f t="shared" si="318"/>
        <v>19T</v>
      </c>
    </row>
    <row r="9538" spans="1:6" x14ac:dyDescent="0.2">
      <c r="A9538">
        <v>20</v>
      </c>
      <c r="E9538" t="str">
        <f t="shared" si="317"/>
        <v>U</v>
      </c>
      <c r="F9538" t="str">
        <f t="shared" si="318"/>
        <v>20U</v>
      </c>
    </row>
    <row r="9539" spans="1:6" x14ac:dyDescent="0.2">
      <c r="A9539">
        <v>21</v>
      </c>
      <c r="E9539" t="str">
        <f t="shared" si="317"/>
        <v>V</v>
      </c>
      <c r="F9539" t="str">
        <f t="shared" si="318"/>
        <v>21V</v>
      </c>
    </row>
    <row r="9540" spans="1:6" x14ac:dyDescent="0.2">
      <c r="A9540">
        <v>22</v>
      </c>
      <c r="E9540" t="str">
        <f t="shared" si="317"/>
        <v>W</v>
      </c>
      <c r="F9540" t="str">
        <f t="shared" si="318"/>
        <v>22W</v>
      </c>
    </row>
    <row r="9541" spans="1:6" x14ac:dyDescent="0.2">
      <c r="A9541">
        <v>23</v>
      </c>
      <c r="E9541" t="str">
        <f t="shared" si="317"/>
        <v>X</v>
      </c>
      <c r="F9541" t="str">
        <f t="shared" si="318"/>
        <v>23X</v>
      </c>
    </row>
    <row r="9542" spans="1:6" x14ac:dyDescent="0.2">
      <c r="A9542">
        <v>24</v>
      </c>
      <c r="E9542" t="str">
        <f t="shared" si="317"/>
        <v>Y</v>
      </c>
      <c r="F9542" t="str">
        <f t="shared" si="318"/>
        <v>24Y</v>
      </c>
    </row>
    <row r="9543" spans="1:6" x14ac:dyDescent="0.2">
      <c r="A9543">
        <v>25</v>
      </c>
      <c r="E9543" t="str">
        <f t="shared" si="317"/>
        <v>Z</v>
      </c>
      <c r="F9543" t="str">
        <f t="shared" si="318"/>
        <v>25Z</v>
      </c>
    </row>
    <row r="9544" spans="1:6" x14ac:dyDescent="0.2">
      <c r="A9544">
        <v>0</v>
      </c>
      <c r="E9544" t="str">
        <f t="shared" si="317"/>
        <v>A</v>
      </c>
      <c r="F9544" t="str">
        <f t="shared" si="318"/>
        <v>0A</v>
      </c>
    </row>
    <row r="9545" spans="1:6" x14ac:dyDescent="0.2">
      <c r="A9545">
        <v>1</v>
      </c>
      <c r="E9545" t="str">
        <f t="shared" si="317"/>
        <v>B</v>
      </c>
      <c r="F9545" t="str">
        <f t="shared" si="318"/>
        <v>1B</v>
      </c>
    </row>
    <row r="9546" spans="1:6" x14ac:dyDescent="0.2">
      <c r="A9546">
        <v>2</v>
      </c>
      <c r="E9546" t="str">
        <f t="shared" si="317"/>
        <v>C</v>
      </c>
      <c r="F9546" t="str">
        <f t="shared" si="318"/>
        <v>2C</v>
      </c>
    </row>
    <row r="9547" spans="1:6" x14ac:dyDescent="0.2">
      <c r="A9547">
        <v>3</v>
      </c>
      <c r="E9547" t="str">
        <f t="shared" si="317"/>
        <v>D</v>
      </c>
      <c r="F9547" t="str">
        <f t="shared" si="318"/>
        <v>3D</v>
      </c>
    </row>
    <row r="9548" spans="1:6" x14ac:dyDescent="0.2">
      <c r="A9548">
        <v>4</v>
      </c>
      <c r="E9548" t="str">
        <f t="shared" si="317"/>
        <v>E</v>
      </c>
      <c r="F9548" t="str">
        <f t="shared" si="318"/>
        <v>4E</v>
      </c>
    </row>
    <row r="9549" spans="1:6" x14ac:dyDescent="0.2">
      <c r="A9549">
        <v>5</v>
      </c>
      <c r="E9549" t="str">
        <f t="shared" si="317"/>
        <v>F</v>
      </c>
      <c r="F9549" t="str">
        <f t="shared" si="318"/>
        <v>5F</v>
      </c>
    </row>
    <row r="9550" spans="1:6" x14ac:dyDescent="0.2">
      <c r="A9550">
        <v>6</v>
      </c>
      <c r="E9550" t="str">
        <f t="shared" si="317"/>
        <v>G</v>
      </c>
      <c r="F9550" t="str">
        <f t="shared" si="318"/>
        <v>6G</v>
      </c>
    </row>
    <row r="9551" spans="1:6" x14ac:dyDescent="0.2">
      <c r="A9551">
        <v>7</v>
      </c>
      <c r="E9551" t="str">
        <f t="shared" si="317"/>
        <v>H</v>
      </c>
      <c r="F9551" t="str">
        <f t="shared" si="318"/>
        <v>7H</v>
      </c>
    </row>
    <row r="9552" spans="1:6" x14ac:dyDescent="0.2">
      <c r="A9552">
        <v>8</v>
      </c>
      <c r="E9552" t="str">
        <f t="shared" si="317"/>
        <v>I</v>
      </c>
      <c r="F9552" t="str">
        <f t="shared" si="318"/>
        <v>8I</v>
      </c>
    </row>
    <row r="9553" spans="1:6" x14ac:dyDescent="0.2">
      <c r="A9553">
        <v>9</v>
      </c>
      <c r="E9553" t="str">
        <f t="shared" si="317"/>
        <v>J</v>
      </c>
      <c r="F9553" t="str">
        <f t="shared" si="318"/>
        <v>9J</v>
      </c>
    </row>
    <row r="9554" spans="1:6" x14ac:dyDescent="0.2">
      <c r="A9554">
        <v>10</v>
      </c>
      <c r="E9554" t="str">
        <f t="shared" si="317"/>
        <v>K</v>
      </c>
      <c r="F9554" t="str">
        <f t="shared" si="318"/>
        <v>10K</v>
      </c>
    </row>
    <row r="9555" spans="1:6" x14ac:dyDescent="0.2">
      <c r="A9555">
        <v>11</v>
      </c>
      <c r="E9555" t="str">
        <f t="shared" si="317"/>
        <v>L</v>
      </c>
      <c r="F9555" t="str">
        <f t="shared" si="318"/>
        <v>11L</v>
      </c>
    </row>
    <row r="9556" spans="1:6" x14ac:dyDescent="0.2">
      <c r="A9556">
        <v>12</v>
      </c>
      <c r="E9556" t="str">
        <f t="shared" si="317"/>
        <v>M</v>
      </c>
      <c r="F9556" t="str">
        <f t="shared" si="318"/>
        <v>12M</v>
      </c>
    </row>
    <row r="9557" spans="1:6" x14ac:dyDescent="0.2">
      <c r="A9557">
        <v>13</v>
      </c>
      <c r="E9557" t="str">
        <f t="shared" ref="E9557:E9620" si="319">E9531</f>
        <v>N</v>
      </c>
      <c r="F9557" t="str">
        <f t="shared" ref="F9557:F9620" si="320">A9557&amp;C9557&amp;E9557</f>
        <v>13N</v>
      </c>
    </row>
    <row r="9558" spans="1:6" x14ac:dyDescent="0.2">
      <c r="A9558">
        <v>14</v>
      </c>
      <c r="E9558" t="str">
        <f t="shared" si="319"/>
        <v>O</v>
      </c>
      <c r="F9558" t="str">
        <f t="shared" si="320"/>
        <v>14O</v>
      </c>
    </row>
    <row r="9559" spans="1:6" x14ac:dyDescent="0.2">
      <c r="A9559">
        <v>15</v>
      </c>
      <c r="E9559" t="str">
        <f t="shared" si="319"/>
        <v>P</v>
      </c>
      <c r="F9559" t="str">
        <f t="shared" si="320"/>
        <v>15P</v>
      </c>
    </row>
    <row r="9560" spans="1:6" x14ac:dyDescent="0.2">
      <c r="A9560">
        <v>16</v>
      </c>
      <c r="E9560" t="str">
        <f t="shared" si="319"/>
        <v>Q</v>
      </c>
      <c r="F9560" t="str">
        <f t="shared" si="320"/>
        <v>16Q</v>
      </c>
    </row>
    <row r="9561" spans="1:6" x14ac:dyDescent="0.2">
      <c r="A9561">
        <v>17</v>
      </c>
      <c r="E9561" t="str">
        <f t="shared" si="319"/>
        <v>R</v>
      </c>
      <c r="F9561" t="str">
        <f t="shared" si="320"/>
        <v>17R</v>
      </c>
    </row>
    <row r="9562" spans="1:6" x14ac:dyDescent="0.2">
      <c r="A9562">
        <v>18</v>
      </c>
      <c r="E9562" t="str">
        <f t="shared" si="319"/>
        <v>S</v>
      </c>
      <c r="F9562" t="str">
        <f t="shared" si="320"/>
        <v>18S</v>
      </c>
    </row>
    <row r="9563" spans="1:6" x14ac:dyDescent="0.2">
      <c r="A9563">
        <v>19</v>
      </c>
      <c r="E9563" t="str">
        <f t="shared" si="319"/>
        <v>T</v>
      </c>
      <c r="F9563" t="str">
        <f t="shared" si="320"/>
        <v>19T</v>
      </c>
    </row>
    <row r="9564" spans="1:6" x14ac:dyDescent="0.2">
      <c r="A9564">
        <v>20</v>
      </c>
      <c r="E9564" t="str">
        <f t="shared" si="319"/>
        <v>U</v>
      </c>
      <c r="F9564" t="str">
        <f t="shared" si="320"/>
        <v>20U</v>
      </c>
    </row>
    <row r="9565" spans="1:6" x14ac:dyDescent="0.2">
      <c r="A9565">
        <v>21</v>
      </c>
      <c r="E9565" t="str">
        <f t="shared" si="319"/>
        <v>V</v>
      </c>
      <c r="F9565" t="str">
        <f t="shared" si="320"/>
        <v>21V</v>
      </c>
    </row>
    <row r="9566" spans="1:6" x14ac:dyDescent="0.2">
      <c r="A9566">
        <v>22</v>
      </c>
      <c r="E9566" t="str">
        <f t="shared" si="319"/>
        <v>W</v>
      </c>
      <c r="F9566" t="str">
        <f t="shared" si="320"/>
        <v>22W</v>
      </c>
    </row>
    <row r="9567" spans="1:6" x14ac:dyDescent="0.2">
      <c r="A9567">
        <v>23</v>
      </c>
      <c r="E9567" t="str">
        <f t="shared" si="319"/>
        <v>X</v>
      </c>
      <c r="F9567" t="str">
        <f t="shared" si="320"/>
        <v>23X</v>
      </c>
    </row>
    <row r="9568" spans="1:6" x14ac:dyDescent="0.2">
      <c r="A9568">
        <v>24</v>
      </c>
      <c r="E9568" t="str">
        <f t="shared" si="319"/>
        <v>Y</v>
      </c>
      <c r="F9568" t="str">
        <f t="shared" si="320"/>
        <v>24Y</v>
      </c>
    </row>
    <row r="9569" spans="1:6" x14ac:dyDescent="0.2">
      <c r="A9569">
        <v>25</v>
      </c>
      <c r="E9569" t="str">
        <f t="shared" si="319"/>
        <v>Z</v>
      </c>
      <c r="F9569" t="str">
        <f t="shared" si="320"/>
        <v>25Z</v>
      </c>
    </row>
    <row r="9570" spans="1:6" x14ac:dyDescent="0.2">
      <c r="A9570">
        <v>0</v>
      </c>
      <c r="E9570" t="str">
        <f t="shared" si="319"/>
        <v>A</v>
      </c>
      <c r="F9570" t="str">
        <f t="shared" si="320"/>
        <v>0A</v>
      </c>
    </row>
    <row r="9571" spans="1:6" x14ac:dyDescent="0.2">
      <c r="A9571">
        <v>1</v>
      </c>
      <c r="E9571" t="str">
        <f t="shared" si="319"/>
        <v>B</v>
      </c>
      <c r="F9571" t="str">
        <f t="shared" si="320"/>
        <v>1B</v>
      </c>
    </row>
    <row r="9572" spans="1:6" x14ac:dyDescent="0.2">
      <c r="A9572">
        <v>2</v>
      </c>
      <c r="E9572" t="str">
        <f t="shared" si="319"/>
        <v>C</v>
      </c>
      <c r="F9572" t="str">
        <f t="shared" si="320"/>
        <v>2C</v>
      </c>
    </row>
    <row r="9573" spans="1:6" x14ac:dyDescent="0.2">
      <c r="A9573">
        <v>3</v>
      </c>
      <c r="E9573" t="str">
        <f t="shared" si="319"/>
        <v>D</v>
      </c>
      <c r="F9573" t="str">
        <f t="shared" si="320"/>
        <v>3D</v>
      </c>
    </row>
    <row r="9574" spans="1:6" x14ac:dyDescent="0.2">
      <c r="A9574">
        <v>4</v>
      </c>
      <c r="E9574" t="str">
        <f t="shared" si="319"/>
        <v>E</v>
      </c>
      <c r="F9574" t="str">
        <f t="shared" si="320"/>
        <v>4E</v>
      </c>
    </row>
    <row r="9575" spans="1:6" x14ac:dyDescent="0.2">
      <c r="A9575">
        <v>5</v>
      </c>
      <c r="E9575" t="str">
        <f t="shared" si="319"/>
        <v>F</v>
      </c>
      <c r="F9575" t="str">
        <f t="shared" si="320"/>
        <v>5F</v>
      </c>
    </row>
    <row r="9576" spans="1:6" x14ac:dyDescent="0.2">
      <c r="A9576">
        <v>6</v>
      </c>
      <c r="E9576" t="str">
        <f t="shared" si="319"/>
        <v>G</v>
      </c>
      <c r="F9576" t="str">
        <f t="shared" si="320"/>
        <v>6G</v>
      </c>
    </row>
    <row r="9577" spans="1:6" x14ac:dyDescent="0.2">
      <c r="A9577">
        <v>7</v>
      </c>
      <c r="E9577" t="str">
        <f t="shared" si="319"/>
        <v>H</v>
      </c>
      <c r="F9577" t="str">
        <f t="shared" si="320"/>
        <v>7H</v>
      </c>
    </row>
    <row r="9578" spans="1:6" x14ac:dyDescent="0.2">
      <c r="A9578">
        <v>8</v>
      </c>
      <c r="E9578" t="str">
        <f t="shared" si="319"/>
        <v>I</v>
      </c>
      <c r="F9578" t="str">
        <f t="shared" si="320"/>
        <v>8I</v>
      </c>
    </row>
    <row r="9579" spans="1:6" x14ac:dyDescent="0.2">
      <c r="A9579">
        <v>9</v>
      </c>
      <c r="E9579" t="str">
        <f t="shared" si="319"/>
        <v>J</v>
      </c>
      <c r="F9579" t="str">
        <f t="shared" si="320"/>
        <v>9J</v>
      </c>
    </row>
    <row r="9580" spans="1:6" x14ac:dyDescent="0.2">
      <c r="A9580">
        <v>10</v>
      </c>
      <c r="E9580" t="str">
        <f t="shared" si="319"/>
        <v>K</v>
      </c>
      <c r="F9580" t="str">
        <f t="shared" si="320"/>
        <v>10K</v>
      </c>
    </row>
    <row r="9581" spans="1:6" x14ac:dyDescent="0.2">
      <c r="A9581">
        <v>11</v>
      </c>
      <c r="E9581" t="str">
        <f t="shared" si="319"/>
        <v>L</v>
      </c>
      <c r="F9581" t="str">
        <f t="shared" si="320"/>
        <v>11L</v>
      </c>
    </row>
    <row r="9582" spans="1:6" x14ac:dyDescent="0.2">
      <c r="A9582">
        <v>12</v>
      </c>
      <c r="E9582" t="str">
        <f t="shared" si="319"/>
        <v>M</v>
      </c>
      <c r="F9582" t="str">
        <f t="shared" si="320"/>
        <v>12M</v>
      </c>
    </row>
    <row r="9583" spans="1:6" x14ac:dyDescent="0.2">
      <c r="A9583">
        <v>13</v>
      </c>
      <c r="E9583" t="str">
        <f t="shared" si="319"/>
        <v>N</v>
      </c>
      <c r="F9583" t="str">
        <f t="shared" si="320"/>
        <v>13N</v>
      </c>
    </row>
    <row r="9584" spans="1:6" x14ac:dyDescent="0.2">
      <c r="A9584">
        <v>14</v>
      </c>
      <c r="E9584" t="str">
        <f t="shared" si="319"/>
        <v>O</v>
      </c>
      <c r="F9584" t="str">
        <f t="shared" si="320"/>
        <v>14O</v>
      </c>
    </row>
    <row r="9585" spans="1:6" x14ac:dyDescent="0.2">
      <c r="A9585">
        <v>15</v>
      </c>
      <c r="E9585" t="str">
        <f t="shared" si="319"/>
        <v>P</v>
      </c>
      <c r="F9585" t="str">
        <f t="shared" si="320"/>
        <v>15P</v>
      </c>
    </row>
    <row r="9586" spans="1:6" x14ac:dyDescent="0.2">
      <c r="A9586">
        <v>16</v>
      </c>
      <c r="E9586" t="str">
        <f t="shared" si="319"/>
        <v>Q</v>
      </c>
      <c r="F9586" t="str">
        <f t="shared" si="320"/>
        <v>16Q</v>
      </c>
    </row>
    <row r="9587" spans="1:6" x14ac:dyDescent="0.2">
      <c r="A9587">
        <v>17</v>
      </c>
      <c r="E9587" t="str">
        <f t="shared" si="319"/>
        <v>R</v>
      </c>
      <c r="F9587" t="str">
        <f t="shared" si="320"/>
        <v>17R</v>
      </c>
    </row>
    <row r="9588" spans="1:6" x14ac:dyDescent="0.2">
      <c r="A9588">
        <v>18</v>
      </c>
      <c r="E9588" t="str">
        <f t="shared" si="319"/>
        <v>S</v>
      </c>
      <c r="F9588" t="str">
        <f t="shared" si="320"/>
        <v>18S</v>
      </c>
    </row>
    <row r="9589" spans="1:6" x14ac:dyDescent="0.2">
      <c r="A9589">
        <v>19</v>
      </c>
      <c r="E9589" t="str">
        <f t="shared" si="319"/>
        <v>T</v>
      </c>
      <c r="F9589" t="str">
        <f t="shared" si="320"/>
        <v>19T</v>
      </c>
    </row>
    <row r="9590" spans="1:6" x14ac:dyDescent="0.2">
      <c r="A9590">
        <v>20</v>
      </c>
      <c r="E9590" t="str">
        <f t="shared" si="319"/>
        <v>U</v>
      </c>
      <c r="F9590" t="str">
        <f t="shared" si="320"/>
        <v>20U</v>
      </c>
    </row>
    <row r="9591" spans="1:6" x14ac:dyDescent="0.2">
      <c r="A9591">
        <v>21</v>
      </c>
      <c r="E9591" t="str">
        <f t="shared" si="319"/>
        <v>V</v>
      </c>
      <c r="F9591" t="str">
        <f t="shared" si="320"/>
        <v>21V</v>
      </c>
    </row>
    <row r="9592" spans="1:6" x14ac:dyDescent="0.2">
      <c r="A9592">
        <v>22</v>
      </c>
      <c r="E9592" t="str">
        <f t="shared" si="319"/>
        <v>W</v>
      </c>
      <c r="F9592" t="str">
        <f t="shared" si="320"/>
        <v>22W</v>
      </c>
    </row>
    <row r="9593" spans="1:6" x14ac:dyDescent="0.2">
      <c r="A9593">
        <v>23</v>
      </c>
      <c r="E9593" t="str">
        <f t="shared" si="319"/>
        <v>X</v>
      </c>
      <c r="F9593" t="str">
        <f t="shared" si="320"/>
        <v>23X</v>
      </c>
    </row>
    <row r="9594" spans="1:6" x14ac:dyDescent="0.2">
      <c r="A9594">
        <v>24</v>
      </c>
      <c r="E9594" t="str">
        <f t="shared" si="319"/>
        <v>Y</v>
      </c>
      <c r="F9594" t="str">
        <f t="shared" si="320"/>
        <v>24Y</v>
      </c>
    </row>
    <row r="9595" spans="1:6" x14ac:dyDescent="0.2">
      <c r="A9595">
        <v>25</v>
      </c>
      <c r="E9595" t="str">
        <f t="shared" si="319"/>
        <v>Z</v>
      </c>
      <c r="F9595" t="str">
        <f t="shared" si="320"/>
        <v>25Z</v>
      </c>
    </row>
    <row r="9596" spans="1:6" x14ac:dyDescent="0.2">
      <c r="A9596">
        <v>0</v>
      </c>
      <c r="E9596" t="str">
        <f t="shared" si="319"/>
        <v>A</v>
      </c>
      <c r="F9596" t="str">
        <f t="shared" si="320"/>
        <v>0A</v>
      </c>
    </row>
    <row r="9597" spans="1:6" x14ac:dyDescent="0.2">
      <c r="A9597">
        <v>1</v>
      </c>
      <c r="E9597" t="str">
        <f t="shared" si="319"/>
        <v>B</v>
      </c>
      <c r="F9597" t="str">
        <f t="shared" si="320"/>
        <v>1B</v>
      </c>
    </row>
    <row r="9598" spans="1:6" x14ac:dyDescent="0.2">
      <c r="A9598">
        <v>2</v>
      </c>
      <c r="E9598" t="str">
        <f t="shared" si="319"/>
        <v>C</v>
      </c>
      <c r="F9598" t="str">
        <f t="shared" si="320"/>
        <v>2C</v>
      </c>
    </row>
    <row r="9599" spans="1:6" x14ac:dyDescent="0.2">
      <c r="A9599">
        <v>3</v>
      </c>
      <c r="E9599" t="str">
        <f t="shared" si="319"/>
        <v>D</v>
      </c>
      <c r="F9599" t="str">
        <f t="shared" si="320"/>
        <v>3D</v>
      </c>
    </row>
    <row r="9600" spans="1:6" x14ac:dyDescent="0.2">
      <c r="A9600">
        <v>4</v>
      </c>
      <c r="E9600" t="str">
        <f t="shared" si="319"/>
        <v>E</v>
      </c>
      <c r="F9600" t="str">
        <f t="shared" si="320"/>
        <v>4E</v>
      </c>
    </row>
    <row r="9601" spans="1:6" x14ac:dyDescent="0.2">
      <c r="A9601">
        <v>5</v>
      </c>
      <c r="E9601" t="str">
        <f t="shared" si="319"/>
        <v>F</v>
      </c>
      <c r="F9601" t="str">
        <f t="shared" si="320"/>
        <v>5F</v>
      </c>
    </row>
    <row r="9602" spans="1:6" x14ac:dyDescent="0.2">
      <c r="A9602">
        <v>6</v>
      </c>
      <c r="E9602" t="str">
        <f t="shared" si="319"/>
        <v>G</v>
      </c>
      <c r="F9602" t="str">
        <f t="shared" si="320"/>
        <v>6G</v>
      </c>
    </row>
    <row r="9603" spans="1:6" x14ac:dyDescent="0.2">
      <c r="A9603">
        <v>7</v>
      </c>
      <c r="E9603" t="str">
        <f t="shared" si="319"/>
        <v>H</v>
      </c>
      <c r="F9603" t="str">
        <f t="shared" si="320"/>
        <v>7H</v>
      </c>
    </row>
    <row r="9604" spans="1:6" x14ac:dyDescent="0.2">
      <c r="A9604">
        <v>8</v>
      </c>
      <c r="E9604" t="str">
        <f t="shared" si="319"/>
        <v>I</v>
      </c>
      <c r="F9604" t="str">
        <f t="shared" si="320"/>
        <v>8I</v>
      </c>
    </row>
    <row r="9605" spans="1:6" x14ac:dyDescent="0.2">
      <c r="A9605">
        <v>9</v>
      </c>
      <c r="E9605" t="str">
        <f t="shared" si="319"/>
        <v>J</v>
      </c>
      <c r="F9605" t="str">
        <f t="shared" si="320"/>
        <v>9J</v>
      </c>
    </row>
    <row r="9606" spans="1:6" x14ac:dyDescent="0.2">
      <c r="A9606">
        <v>10</v>
      </c>
      <c r="E9606" t="str">
        <f t="shared" si="319"/>
        <v>K</v>
      </c>
      <c r="F9606" t="str">
        <f t="shared" si="320"/>
        <v>10K</v>
      </c>
    </row>
    <row r="9607" spans="1:6" x14ac:dyDescent="0.2">
      <c r="A9607">
        <v>11</v>
      </c>
      <c r="E9607" t="str">
        <f t="shared" si="319"/>
        <v>L</v>
      </c>
      <c r="F9607" t="str">
        <f t="shared" si="320"/>
        <v>11L</v>
      </c>
    </row>
    <row r="9608" spans="1:6" x14ac:dyDescent="0.2">
      <c r="A9608">
        <v>12</v>
      </c>
      <c r="E9608" t="str">
        <f t="shared" si="319"/>
        <v>M</v>
      </c>
      <c r="F9608" t="str">
        <f t="shared" si="320"/>
        <v>12M</v>
      </c>
    </row>
    <row r="9609" spans="1:6" x14ac:dyDescent="0.2">
      <c r="A9609">
        <v>13</v>
      </c>
      <c r="E9609" t="str">
        <f t="shared" si="319"/>
        <v>N</v>
      </c>
      <c r="F9609" t="str">
        <f t="shared" si="320"/>
        <v>13N</v>
      </c>
    </row>
    <row r="9610" spans="1:6" x14ac:dyDescent="0.2">
      <c r="A9610">
        <v>14</v>
      </c>
      <c r="E9610" t="str">
        <f t="shared" si="319"/>
        <v>O</v>
      </c>
      <c r="F9610" t="str">
        <f t="shared" si="320"/>
        <v>14O</v>
      </c>
    </row>
    <row r="9611" spans="1:6" x14ac:dyDescent="0.2">
      <c r="A9611">
        <v>15</v>
      </c>
      <c r="E9611" t="str">
        <f t="shared" si="319"/>
        <v>P</v>
      </c>
      <c r="F9611" t="str">
        <f t="shared" si="320"/>
        <v>15P</v>
      </c>
    </row>
    <row r="9612" spans="1:6" x14ac:dyDescent="0.2">
      <c r="A9612">
        <v>16</v>
      </c>
      <c r="E9612" t="str">
        <f t="shared" si="319"/>
        <v>Q</v>
      </c>
      <c r="F9612" t="str">
        <f t="shared" si="320"/>
        <v>16Q</v>
      </c>
    </row>
    <row r="9613" spans="1:6" x14ac:dyDescent="0.2">
      <c r="A9613">
        <v>17</v>
      </c>
      <c r="E9613" t="str">
        <f t="shared" si="319"/>
        <v>R</v>
      </c>
      <c r="F9613" t="str">
        <f t="shared" si="320"/>
        <v>17R</v>
      </c>
    </row>
    <row r="9614" spans="1:6" x14ac:dyDescent="0.2">
      <c r="A9614">
        <v>18</v>
      </c>
      <c r="E9614" t="str">
        <f t="shared" si="319"/>
        <v>S</v>
      </c>
      <c r="F9614" t="str">
        <f t="shared" si="320"/>
        <v>18S</v>
      </c>
    </row>
    <row r="9615" spans="1:6" x14ac:dyDescent="0.2">
      <c r="A9615">
        <v>19</v>
      </c>
      <c r="E9615" t="str">
        <f t="shared" si="319"/>
        <v>T</v>
      </c>
      <c r="F9615" t="str">
        <f t="shared" si="320"/>
        <v>19T</v>
      </c>
    </row>
    <row r="9616" spans="1:6" x14ac:dyDescent="0.2">
      <c r="A9616">
        <v>20</v>
      </c>
      <c r="E9616" t="str">
        <f t="shared" si="319"/>
        <v>U</v>
      </c>
      <c r="F9616" t="str">
        <f t="shared" si="320"/>
        <v>20U</v>
      </c>
    </row>
    <row r="9617" spans="1:6" x14ac:dyDescent="0.2">
      <c r="A9617">
        <v>21</v>
      </c>
      <c r="E9617" t="str">
        <f t="shared" si="319"/>
        <v>V</v>
      </c>
      <c r="F9617" t="str">
        <f t="shared" si="320"/>
        <v>21V</v>
      </c>
    </row>
    <row r="9618" spans="1:6" x14ac:dyDescent="0.2">
      <c r="A9618">
        <v>22</v>
      </c>
      <c r="E9618" t="str">
        <f t="shared" si="319"/>
        <v>W</v>
      </c>
      <c r="F9618" t="str">
        <f t="shared" si="320"/>
        <v>22W</v>
      </c>
    </row>
    <row r="9619" spans="1:6" x14ac:dyDescent="0.2">
      <c r="A9619">
        <v>23</v>
      </c>
      <c r="E9619" t="str">
        <f t="shared" si="319"/>
        <v>X</v>
      </c>
      <c r="F9619" t="str">
        <f t="shared" si="320"/>
        <v>23X</v>
      </c>
    </row>
    <row r="9620" spans="1:6" x14ac:dyDescent="0.2">
      <c r="A9620">
        <v>24</v>
      </c>
      <c r="E9620" t="str">
        <f t="shared" si="319"/>
        <v>Y</v>
      </c>
      <c r="F9620" t="str">
        <f t="shared" si="320"/>
        <v>24Y</v>
      </c>
    </row>
    <row r="9621" spans="1:6" x14ac:dyDescent="0.2">
      <c r="A9621">
        <v>25</v>
      </c>
      <c r="E9621" t="str">
        <f t="shared" ref="E9621:E9684" si="321">E9595</f>
        <v>Z</v>
      </c>
      <c r="F9621" t="str">
        <f t="shared" ref="F9621:F9684" si="322">A9621&amp;C9621&amp;E9621</f>
        <v>25Z</v>
      </c>
    </row>
    <row r="9622" spans="1:6" x14ac:dyDescent="0.2">
      <c r="A9622">
        <v>0</v>
      </c>
      <c r="E9622" t="str">
        <f t="shared" si="321"/>
        <v>A</v>
      </c>
      <c r="F9622" t="str">
        <f t="shared" si="322"/>
        <v>0A</v>
      </c>
    </row>
    <row r="9623" spans="1:6" x14ac:dyDescent="0.2">
      <c r="A9623">
        <v>1</v>
      </c>
      <c r="E9623" t="str">
        <f t="shared" si="321"/>
        <v>B</v>
      </c>
      <c r="F9623" t="str">
        <f t="shared" si="322"/>
        <v>1B</v>
      </c>
    </row>
    <row r="9624" spans="1:6" x14ac:dyDescent="0.2">
      <c r="A9624">
        <v>2</v>
      </c>
      <c r="E9624" t="str">
        <f t="shared" si="321"/>
        <v>C</v>
      </c>
      <c r="F9624" t="str">
        <f t="shared" si="322"/>
        <v>2C</v>
      </c>
    </row>
    <row r="9625" spans="1:6" x14ac:dyDescent="0.2">
      <c r="A9625">
        <v>3</v>
      </c>
      <c r="E9625" t="str">
        <f t="shared" si="321"/>
        <v>D</v>
      </c>
      <c r="F9625" t="str">
        <f t="shared" si="322"/>
        <v>3D</v>
      </c>
    </row>
    <row r="9626" spans="1:6" x14ac:dyDescent="0.2">
      <c r="A9626">
        <v>4</v>
      </c>
      <c r="E9626" t="str">
        <f t="shared" si="321"/>
        <v>E</v>
      </c>
      <c r="F9626" t="str">
        <f t="shared" si="322"/>
        <v>4E</v>
      </c>
    </row>
    <row r="9627" spans="1:6" x14ac:dyDescent="0.2">
      <c r="A9627">
        <v>5</v>
      </c>
      <c r="E9627" t="str">
        <f t="shared" si="321"/>
        <v>F</v>
      </c>
      <c r="F9627" t="str">
        <f t="shared" si="322"/>
        <v>5F</v>
      </c>
    </row>
    <row r="9628" spans="1:6" x14ac:dyDescent="0.2">
      <c r="A9628">
        <v>6</v>
      </c>
      <c r="E9628" t="str">
        <f t="shared" si="321"/>
        <v>G</v>
      </c>
      <c r="F9628" t="str">
        <f t="shared" si="322"/>
        <v>6G</v>
      </c>
    </row>
    <row r="9629" spans="1:6" x14ac:dyDescent="0.2">
      <c r="A9629">
        <v>7</v>
      </c>
      <c r="E9629" t="str">
        <f t="shared" si="321"/>
        <v>H</v>
      </c>
      <c r="F9629" t="str">
        <f t="shared" si="322"/>
        <v>7H</v>
      </c>
    </row>
    <row r="9630" spans="1:6" x14ac:dyDescent="0.2">
      <c r="A9630">
        <v>8</v>
      </c>
      <c r="E9630" t="str">
        <f t="shared" si="321"/>
        <v>I</v>
      </c>
      <c r="F9630" t="str">
        <f t="shared" si="322"/>
        <v>8I</v>
      </c>
    </row>
    <row r="9631" spans="1:6" x14ac:dyDescent="0.2">
      <c r="A9631">
        <v>9</v>
      </c>
      <c r="E9631" t="str">
        <f t="shared" si="321"/>
        <v>J</v>
      </c>
      <c r="F9631" t="str">
        <f t="shared" si="322"/>
        <v>9J</v>
      </c>
    </row>
    <row r="9632" spans="1:6" x14ac:dyDescent="0.2">
      <c r="A9632">
        <v>10</v>
      </c>
      <c r="E9632" t="str">
        <f t="shared" si="321"/>
        <v>K</v>
      </c>
      <c r="F9632" t="str">
        <f t="shared" si="322"/>
        <v>10K</v>
      </c>
    </row>
    <row r="9633" spans="1:6" x14ac:dyDescent="0.2">
      <c r="A9633">
        <v>11</v>
      </c>
      <c r="E9633" t="str">
        <f t="shared" si="321"/>
        <v>L</v>
      </c>
      <c r="F9633" t="str">
        <f t="shared" si="322"/>
        <v>11L</v>
      </c>
    </row>
    <row r="9634" spans="1:6" x14ac:dyDescent="0.2">
      <c r="A9634">
        <v>12</v>
      </c>
      <c r="E9634" t="str">
        <f t="shared" si="321"/>
        <v>M</v>
      </c>
      <c r="F9634" t="str">
        <f t="shared" si="322"/>
        <v>12M</v>
      </c>
    </row>
    <row r="9635" spans="1:6" x14ac:dyDescent="0.2">
      <c r="A9635">
        <v>13</v>
      </c>
      <c r="E9635" t="str">
        <f t="shared" si="321"/>
        <v>N</v>
      </c>
      <c r="F9635" t="str">
        <f t="shared" si="322"/>
        <v>13N</v>
      </c>
    </row>
    <row r="9636" spans="1:6" x14ac:dyDescent="0.2">
      <c r="A9636">
        <v>14</v>
      </c>
      <c r="E9636" t="str">
        <f t="shared" si="321"/>
        <v>O</v>
      </c>
      <c r="F9636" t="str">
        <f t="shared" si="322"/>
        <v>14O</v>
      </c>
    </row>
    <row r="9637" spans="1:6" x14ac:dyDescent="0.2">
      <c r="A9637">
        <v>15</v>
      </c>
      <c r="E9637" t="str">
        <f t="shared" si="321"/>
        <v>P</v>
      </c>
      <c r="F9637" t="str">
        <f t="shared" si="322"/>
        <v>15P</v>
      </c>
    </row>
    <row r="9638" spans="1:6" x14ac:dyDescent="0.2">
      <c r="A9638">
        <v>16</v>
      </c>
      <c r="E9638" t="str">
        <f t="shared" si="321"/>
        <v>Q</v>
      </c>
      <c r="F9638" t="str">
        <f t="shared" si="322"/>
        <v>16Q</v>
      </c>
    </row>
    <row r="9639" spans="1:6" x14ac:dyDescent="0.2">
      <c r="A9639">
        <v>17</v>
      </c>
      <c r="E9639" t="str">
        <f t="shared" si="321"/>
        <v>R</v>
      </c>
      <c r="F9639" t="str">
        <f t="shared" si="322"/>
        <v>17R</v>
      </c>
    </row>
    <row r="9640" spans="1:6" x14ac:dyDescent="0.2">
      <c r="A9640">
        <v>18</v>
      </c>
      <c r="E9640" t="str">
        <f t="shared" si="321"/>
        <v>S</v>
      </c>
      <c r="F9640" t="str">
        <f t="shared" si="322"/>
        <v>18S</v>
      </c>
    </row>
    <row r="9641" spans="1:6" x14ac:dyDescent="0.2">
      <c r="A9641">
        <v>19</v>
      </c>
      <c r="E9641" t="str">
        <f t="shared" si="321"/>
        <v>T</v>
      </c>
      <c r="F9641" t="str">
        <f t="shared" si="322"/>
        <v>19T</v>
      </c>
    </row>
    <row r="9642" spans="1:6" x14ac:dyDescent="0.2">
      <c r="A9642">
        <v>20</v>
      </c>
      <c r="E9642" t="str">
        <f t="shared" si="321"/>
        <v>U</v>
      </c>
      <c r="F9642" t="str">
        <f t="shared" si="322"/>
        <v>20U</v>
      </c>
    </row>
    <row r="9643" spans="1:6" x14ac:dyDescent="0.2">
      <c r="A9643">
        <v>21</v>
      </c>
      <c r="E9643" t="str">
        <f t="shared" si="321"/>
        <v>V</v>
      </c>
      <c r="F9643" t="str">
        <f t="shared" si="322"/>
        <v>21V</v>
      </c>
    </row>
    <row r="9644" spans="1:6" x14ac:dyDescent="0.2">
      <c r="A9644">
        <v>22</v>
      </c>
      <c r="E9644" t="str">
        <f t="shared" si="321"/>
        <v>W</v>
      </c>
      <c r="F9644" t="str">
        <f t="shared" si="322"/>
        <v>22W</v>
      </c>
    </row>
    <row r="9645" spans="1:6" x14ac:dyDescent="0.2">
      <c r="A9645">
        <v>23</v>
      </c>
      <c r="E9645" t="str">
        <f t="shared" si="321"/>
        <v>X</v>
      </c>
      <c r="F9645" t="str">
        <f t="shared" si="322"/>
        <v>23X</v>
      </c>
    </row>
    <row r="9646" spans="1:6" x14ac:dyDescent="0.2">
      <c r="A9646">
        <v>24</v>
      </c>
      <c r="E9646" t="str">
        <f t="shared" si="321"/>
        <v>Y</v>
      </c>
      <c r="F9646" t="str">
        <f t="shared" si="322"/>
        <v>24Y</v>
      </c>
    </row>
    <row r="9647" spans="1:6" x14ac:dyDescent="0.2">
      <c r="A9647">
        <v>25</v>
      </c>
      <c r="E9647" t="str">
        <f t="shared" si="321"/>
        <v>Z</v>
      </c>
      <c r="F9647" t="str">
        <f t="shared" si="322"/>
        <v>25Z</v>
      </c>
    </row>
    <row r="9648" spans="1:6" x14ac:dyDescent="0.2">
      <c r="A9648">
        <v>0</v>
      </c>
      <c r="E9648" t="str">
        <f t="shared" si="321"/>
        <v>A</v>
      </c>
      <c r="F9648" t="str">
        <f t="shared" si="322"/>
        <v>0A</v>
      </c>
    </row>
    <row r="9649" spans="1:6" x14ac:dyDescent="0.2">
      <c r="A9649">
        <v>1</v>
      </c>
      <c r="E9649" t="str">
        <f t="shared" si="321"/>
        <v>B</v>
      </c>
      <c r="F9649" t="str">
        <f t="shared" si="322"/>
        <v>1B</v>
      </c>
    </row>
    <row r="9650" spans="1:6" x14ac:dyDescent="0.2">
      <c r="A9650">
        <v>2</v>
      </c>
      <c r="E9650" t="str">
        <f t="shared" si="321"/>
        <v>C</v>
      </c>
      <c r="F9650" t="str">
        <f t="shared" si="322"/>
        <v>2C</v>
      </c>
    </row>
    <row r="9651" spans="1:6" x14ac:dyDescent="0.2">
      <c r="A9651">
        <v>3</v>
      </c>
      <c r="E9651" t="str">
        <f t="shared" si="321"/>
        <v>D</v>
      </c>
      <c r="F9651" t="str">
        <f t="shared" si="322"/>
        <v>3D</v>
      </c>
    </row>
    <row r="9652" spans="1:6" x14ac:dyDescent="0.2">
      <c r="A9652">
        <v>4</v>
      </c>
      <c r="E9652" t="str">
        <f t="shared" si="321"/>
        <v>E</v>
      </c>
      <c r="F9652" t="str">
        <f t="shared" si="322"/>
        <v>4E</v>
      </c>
    </row>
    <row r="9653" spans="1:6" x14ac:dyDescent="0.2">
      <c r="A9653">
        <v>5</v>
      </c>
      <c r="E9653" t="str">
        <f t="shared" si="321"/>
        <v>F</v>
      </c>
      <c r="F9653" t="str">
        <f t="shared" si="322"/>
        <v>5F</v>
      </c>
    </row>
    <row r="9654" spans="1:6" x14ac:dyDescent="0.2">
      <c r="A9654">
        <v>6</v>
      </c>
      <c r="E9654" t="str">
        <f t="shared" si="321"/>
        <v>G</v>
      </c>
      <c r="F9654" t="str">
        <f t="shared" si="322"/>
        <v>6G</v>
      </c>
    </row>
    <row r="9655" spans="1:6" x14ac:dyDescent="0.2">
      <c r="A9655">
        <v>7</v>
      </c>
      <c r="E9655" t="str">
        <f t="shared" si="321"/>
        <v>H</v>
      </c>
      <c r="F9655" t="str">
        <f t="shared" si="322"/>
        <v>7H</v>
      </c>
    </row>
    <row r="9656" spans="1:6" x14ac:dyDescent="0.2">
      <c r="A9656">
        <v>8</v>
      </c>
      <c r="E9656" t="str">
        <f t="shared" si="321"/>
        <v>I</v>
      </c>
      <c r="F9656" t="str">
        <f t="shared" si="322"/>
        <v>8I</v>
      </c>
    </row>
    <row r="9657" spans="1:6" x14ac:dyDescent="0.2">
      <c r="A9657">
        <v>9</v>
      </c>
      <c r="E9657" t="str">
        <f t="shared" si="321"/>
        <v>J</v>
      </c>
      <c r="F9657" t="str">
        <f t="shared" si="322"/>
        <v>9J</v>
      </c>
    </row>
    <row r="9658" spans="1:6" x14ac:dyDescent="0.2">
      <c r="A9658">
        <v>10</v>
      </c>
      <c r="E9658" t="str">
        <f t="shared" si="321"/>
        <v>K</v>
      </c>
      <c r="F9658" t="str">
        <f t="shared" si="322"/>
        <v>10K</v>
      </c>
    </row>
    <row r="9659" spans="1:6" x14ac:dyDescent="0.2">
      <c r="A9659">
        <v>11</v>
      </c>
      <c r="E9659" t="str">
        <f t="shared" si="321"/>
        <v>L</v>
      </c>
      <c r="F9659" t="str">
        <f t="shared" si="322"/>
        <v>11L</v>
      </c>
    </row>
    <row r="9660" spans="1:6" x14ac:dyDescent="0.2">
      <c r="A9660">
        <v>12</v>
      </c>
      <c r="E9660" t="str">
        <f t="shared" si="321"/>
        <v>M</v>
      </c>
      <c r="F9660" t="str">
        <f t="shared" si="322"/>
        <v>12M</v>
      </c>
    </row>
    <row r="9661" spans="1:6" x14ac:dyDescent="0.2">
      <c r="A9661">
        <v>13</v>
      </c>
      <c r="E9661" t="str">
        <f t="shared" si="321"/>
        <v>N</v>
      </c>
      <c r="F9661" t="str">
        <f t="shared" si="322"/>
        <v>13N</v>
      </c>
    </row>
    <row r="9662" spans="1:6" x14ac:dyDescent="0.2">
      <c r="A9662">
        <v>14</v>
      </c>
      <c r="E9662" t="str">
        <f t="shared" si="321"/>
        <v>O</v>
      </c>
      <c r="F9662" t="str">
        <f t="shared" si="322"/>
        <v>14O</v>
      </c>
    </row>
    <row r="9663" spans="1:6" x14ac:dyDescent="0.2">
      <c r="A9663">
        <v>15</v>
      </c>
      <c r="E9663" t="str">
        <f t="shared" si="321"/>
        <v>P</v>
      </c>
      <c r="F9663" t="str">
        <f t="shared" si="322"/>
        <v>15P</v>
      </c>
    </row>
    <row r="9664" spans="1:6" x14ac:dyDescent="0.2">
      <c r="A9664">
        <v>16</v>
      </c>
      <c r="E9664" t="str">
        <f t="shared" si="321"/>
        <v>Q</v>
      </c>
      <c r="F9664" t="str">
        <f t="shared" si="322"/>
        <v>16Q</v>
      </c>
    </row>
    <row r="9665" spans="1:6" x14ac:dyDescent="0.2">
      <c r="A9665">
        <v>17</v>
      </c>
      <c r="E9665" t="str">
        <f t="shared" si="321"/>
        <v>R</v>
      </c>
      <c r="F9665" t="str">
        <f t="shared" si="322"/>
        <v>17R</v>
      </c>
    </row>
    <row r="9666" spans="1:6" x14ac:dyDescent="0.2">
      <c r="A9666">
        <v>18</v>
      </c>
      <c r="E9666" t="str">
        <f t="shared" si="321"/>
        <v>S</v>
      </c>
      <c r="F9666" t="str">
        <f t="shared" si="322"/>
        <v>18S</v>
      </c>
    </row>
    <row r="9667" spans="1:6" x14ac:dyDescent="0.2">
      <c r="A9667">
        <v>19</v>
      </c>
      <c r="E9667" t="str">
        <f t="shared" si="321"/>
        <v>T</v>
      </c>
      <c r="F9667" t="str">
        <f t="shared" si="322"/>
        <v>19T</v>
      </c>
    </row>
    <row r="9668" spans="1:6" x14ac:dyDescent="0.2">
      <c r="A9668">
        <v>20</v>
      </c>
      <c r="E9668" t="str">
        <f t="shared" si="321"/>
        <v>U</v>
      </c>
      <c r="F9668" t="str">
        <f t="shared" si="322"/>
        <v>20U</v>
      </c>
    </row>
    <row r="9669" spans="1:6" x14ac:dyDescent="0.2">
      <c r="A9669">
        <v>21</v>
      </c>
      <c r="E9669" t="str">
        <f t="shared" si="321"/>
        <v>V</v>
      </c>
      <c r="F9669" t="str">
        <f t="shared" si="322"/>
        <v>21V</v>
      </c>
    </row>
    <row r="9670" spans="1:6" x14ac:dyDescent="0.2">
      <c r="A9670">
        <v>22</v>
      </c>
      <c r="E9670" t="str">
        <f t="shared" si="321"/>
        <v>W</v>
      </c>
      <c r="F9670" t="str">
        <f t="shared" si="322"/>
        <v>22W</v>
      </c>
    </row>
    <row r="9671" spans="1:6" x14ac:dyDescent="0.2">
      <c r="A9671">
        <v>23</v>
      </c>
      <c r="E9671" t="str">
        <f t="shared" si="321"/>
        <v>X</v>
      </c>
      <c r="F9671" t="str">
        <f t="shared" si="322"/>
        <v>23X</v>
      </c>
    </row>
    <row r="9672" spans="1:6" x14ac:dyDescent="0.2">
      <c r="A9672">
        <v>24</v>
      </c>
      <c r="E9672" t="str">
        <f t="shared" si="321"/>
        <v>Y</v>
      </c>
      <c r="F9672" t="str">
        <f t="shared" si="322"/>
        <v>24Y</v>
      </c>
    </row>
    <row r="9673" spans="1:6" x14ac:dyDescent="0.2">
      <c r="A9673">
        <v>25</v>
      </c>
      <c r="E9673" t="str">
        <f t="shared" si="321"/>
        <v>Z</v>
      </c>
      <c r="F9673" t="str">
        <f t="shared" si="322"/>
        <v>25Z</v>
      </c>
    </row>
    <row r="9674" spans="1:6" x14ac:dyDescent="0.2">
      <c r="A9674">
        <v>0</v>
      </c>
      <c r="E9674" t="str">
        <f t="shared" si="321"/>
        <v>A</v>
      </c>
      <c r="F9674" t="str">
        <f t="shared" si="322"/>
        <v>0A</v>
      </c>
    </row>
    <row r="9675" spans="1:6" x14ac:dyDescent="0.2">
      <c r="A9675">
        <v>1</v>
      </c>
      <c r="E9675" t="str">
        <f t="shared" si="321"/>
        <v>B</v>
      </c>
      <c r="F9675" t="str">
        <f t="shared" si="322"/>
        <v>1B</v>
      </c>
    </row>
    <row r="9676" spans="1:6" x14ac:dyDescent="0.2">
      <c r="A9676">
        <v>2</v>
      </c>
      <c r="E9676" t="str">
        <f t="shared" si="321"/>
        <v>C</v>
      </c>
      <c r="F9676" t="str">
        <f t="shared" si="322"/>
        <v>2C</v>
      </c>
    </row>
    <row r="9677" spans="1:6" x14ac:dyDescent="0.2">
      <c r="A9677">
        <v>3</v>
      </c>
      <c r="E9677" t="str">
        <f t="shared" si="321"/>
        <v>D</v>
      </c>
      <c r="F9677" t="str">
        <f t="shared" si="322"/>
        <v>3D</v>
      </c>
    </row>
    <row r="9678" spans="1:6" x14ac:dyDescent="0.2">
      <c r="A9678">
        <v>4</v>
      </c>
      <c r="E9678" t="str">
        <f t="shared" si="321"/>
        <v>E</v>
      </c>
      <c r="F9678" t="str">
        <f t="shared" si="322"/>
        <v>4E</v>
      </c>
    </row>
    <row r="9679" spans="1:6" x14ac:dyDescent="0.2">
      <c r="A9679">
        <v>5</v>
      </c>
      <c r="E9679" t="str">
        <f t="shared" si="321"/>
        <v>F</v>
      </c>
      <c r="F9679" t="str">
        <f t="shared" si="322"/>
        <v>5F</v>
      </c>
    </row>
    <row r="9680" spans="1:6" x14ac:dyDescent="0.2">
      <c r="A9680">
        <v>6</v>
      </c>
      <c r="E9680" t="str">
        <f t="shared" si="321"/>
        <v>G</v>
      </c>
      <c r="F9680" t="str">
        <f t="shared" si="322"/>
        <v>6G</v>
      </c>
    </row>
    <row r="9681" spans="1:6" x14ac:dyDescent="0.2">
      <c r="A9681">
        <v>7</v>
      </c>
      <c r="E9681" t="str">
        <f t="shared" si="321"/>
        <v>H</v>
      </c>
      <c r="F9681" t="str">
        <f t="shared" si="322"/>
        <v>7H</v>
      </c>
    </row>
    <row r="9682" spans="1:6" x14ac:dyDescent="0.2">
      <c r="A9682">
        <v>8</v>
      </c>
      <c r="E9682" t="str">
        <f t="shared" si="321"/>
        <v>I</v>
      </c>
      <c r="F9682" t="str">
        <f t="shared" si="322"/>
        <v>8I</v>
      </c>
    </row>
    <row r="9683" spans="1:6" x14ac:dyDescent="0.2">
      <c r="A9683">
        <v>9</v>
      </c>
      <c r="E9683" t="str">
        <f t="shared" si="321"/>
        <v>J</v>
      </c>
      <c r="F9683" t="str">
        <f t="shared" si="322"/>
        <v>9J</v>
      </c>
    </row>
    <row r="9684" spans="1:6" x14ac:dyDescent="0.2">
      <c r="A9684">
        <v>10</v>
      </c>
      <c r="E9684" t="str">
        <f t="shared" si="321"/>
        <v>K</v>
      </c>
      <c r="F9684" t="str">
        <f t="shared" si="322"/>
        <v>10K</v>
      </c>
    </row>
    <row r="9685" spans="1:6" x14ac:dyDescent="0.2">
      <c r="A9685">
        <v>11</v>
      </c>
      <c r="E9685" t="str">
        <f t="shared" ref="E9685:E9748" si="323">E9659</f>
        <v>L</v>
      </c>
      <c r="F9685" t="str">
        <f t="shared" ref="F9685:F9748" si="324">A9685&amp;C9685&amp;E9685</f>
        <v>11L</v>
      </c>
    </row>
    <row r="9686" spans="1:6" x14ac:dyDescent="0.2">
      <c r="A9686">
        <v>12</v>
      </c>
      <c r="E9686" t="str">
        <f t="shared" si="323"/>
        <v>M</v>
      </c>
      <c r="F9686" t="str">
        <f t="shared" si="324"/>
        <v>12M</v>
      </c>
    </row>
    <row r="9687" spans="1:6" x14ac:dyDescent="0.2">
      <c r="A9687">
        <v>13</v>
      </c>
      <c r="E9687" t="str">
        <f t="shared" si="323"/>
        <v>N</v>
      </c>
      <c r="F9687" t="str">
        <f t="shared" si="324"/>
        <v>13N</v>
      </c>
    </row>
    <row r="9688" spans="1:6" x14ac:dyDescent="0.2">
      <c r="A9688">
        <v>14</v>
      </c>
      <c r="E9688" t="str">
        <f t="shared" si="323"/>
        <v>O</v>
      </c>
      <c r="F9688" t="str">
        <f t="shared" si="324"/>
        <v>14O</v>
      </c>
    </row>
    <row r="9689" spans="1:6" x14ac:dyDescent="0.2">
      <c r="A9689">
        <v>15</v>
      </c>
      <c r="E9689" t="str">
        <f t="shared" si="323"/>
        <v>P</v>
      </c>
      <c r="F9689" t="str">
        <f t="shared" si="324"/>
        <v>15P</v>
      </c>
    </row>
    <row r="9690" spans="1:6" x14ac:dyDescent="0.2">
      <c r="A9690">
        <v>16</v>
      </c>
      <c r="E9690" t="str">
        <f t="shared" si="323"/>
        <v>Q</v>
      </c>
      <c r="F9690" t="str">
        <f t="shared" si="324"/>
        <v>16Q</v>
      </c>
    </row>
    <row r="9691" spans="1:6" x14ac:dyDescent="0.2">
      <c r="A9691">
        <v>17</v>
      </c>
      <c r="E9691" t="str">
        <f t="shared" si="323"/>
        <v>R</v>
      </c>
      <c r="F9691" t="str">
        <f t="shared" si="324"/>
        <v>17R</v>
      </c>
    </row>
    <row r="9692" spans="1:6" x14ac:dyDescent="0.2">
      <c r="A9692">
        <v>18</v>
      </c>
      <c r="E9692" t="str">
        <f t="shared" si="323"/>
        <v>S</v>
      </c>
      <c r="F9692" t="str">
        <f t="shared" si="324"/>
        <v>18S</v>
      </c>
    </row>
    <row r="9693" spans="1:6" x14ac:dyDescent="0.2">
      <c r="A9693">
        <v>19</v>
      </c>
      <c r="E9693" t="str">
        <f t="shared" si="323"/>
        <v>T</v>
      </c>
      <c r="F9693" t="str">
        <f t="shared" si="324"/>
        <v>19T</v>
      </c>
    </row>
    <row r="9694" spans="1:6" x14ac:dyDescent="0.2">
      <c r="A9694">
        <v>20</v>
      </c>
      <c r="E9694" t="str">
        <f t="shared" si="323"/>
        <v>U</v>
      </c>
      <c r="F9694" t="str">
        <f t="shared" si="324"/>
        <v>20U</v>
      </c>
    </row>
    <row r="9695" spans="1:6" x14ac:dyDescent="0.2">
      <c r="A9695">
        <v>21</v>
      </c>
      <c r="E9695" t="str">
        <f t="shared" si="323"/>
        <v>V</v>
      </c>
      <c r="F9695" t="str">
        <f t="shared" si="324"/>
        <v>21V</v>
      </c>
    </row>
    <row r="9696" spans="1:6" x14ac:dyDescent="0.2">
      <c r="A9696">
        <v>22</v>
      </c>
      <c r="E9696" t="str">
        <f t="shared" si="323"/>
        <v>W</v>
      </c>
      <c r="F9696" t="str">
        <f t="shared" si="324"/>
        <v>22W</v>
      </c>
    </row>
    <row r="9697" spans="1:6" x14ac:dyDescent="0.2">
      <c r="A9697">
        <v>23</v>
      </c>
      <c r="E9697" t="str">
        <f t="shared" si="323"/>
        <v>X</v>
      </c>
      <c r="F9697" t="str">
        <f t="shared" si="324"/>
        <v>23X</v>
      </c>
    </row>
    <row r="9698" spans="1:6" x14ac:dyDescent="0.2">
      <c r="A9698">
        <v>24</v>
      </c>
      <c r="E9698" t="str">
        <f t="shared" si="323"/>
        <v>Y</v>
      </c>
      <c r="F9698" t="str">
        <f t="shared" si="324"/>
        <v>24Y</v>
      </c>
    </row>
    <row r="9699" spans="1:6" x14ac:dyDescent="0.2">
      <c r="A9699">
        <v>25</v>
      </c>
      <c r="E9699" t="str">
        <f t="shared" si="323"/>
        <v>Z</v>
      </c>
      <c r="F9699" t="str">
        <f t="shared" si="324"/>
        <v>25Z</v>
      </c>
    </row>
    <row r="9700" spans="1:6" x14ac:dyDescent="0.2">
      <c r="A9700">
        <v>0</v>
      </c>
      <c r="E9700" t="str">
        <f t="shared" si="323"/>
        <v>A</v>
      </c>
      <c r="F9700" t="str">
        <f t="shared" si="324"/>
        <v>0A</v>
      </c>
    </row>
    <row r="9701" spans="1:6" x14ac:dyDescent="0.2">
      <c r="A9701">
        <v>1</v>
      </c>
      <c r="E9701" t="str">
        <f t="shared" si="323"/>
        <v>B</v>
      </c>
      <c r="F9701" t="str">
        <f t="shared" si="324"/>
        <v>1B</v>
      </c>
    </row>
    <row r="9702" spans="1:6" x14ac:dyDescent="0.2">
      <c r="A9702">
        <v>2</v>
      </c>
      <c r="E9702" t="str">
        <f t="shared" si="323"/>
        <v>C</v>
      </c>
      <c r="F9702" t="str">
        <f t="shared" si="324"/>
        <v>2C</v>
      </c>
    </row>
    <row r="9703" spans="1:6" x14ac:dyDescent="0.2">
      <c r="A9703">
        <v>3</v>
      </c>
      <c r="E9703" t="str">
        <f t="shared" si="323"/>
        <v>D</v>
      </c>
      <c r="F9703" t="str">
        <f t="shared" si="324"/>
        <v>3D</v>
      </c>
    </row>
    <row r="9704" spans="1:6" x14ac:dyDescent="0.2">
      <c r="A9704">
        <v>4</v>
      </c>
      <c r="E9704" t="str">
        <f t="shared" si="323"/>
        <v>E</v>
      </c>
      <c r="F9704" t="str">
        <f t="shared" si="324"/>
        <v>4E</v>
      </c>
    </row>
    <row r="9705" spans="1:6" x14ac:dyDescent="0.2">
      <c r="A9705">
        <v>5</v>
      </c>
      <c r="E9705" t="str">
        <f t="shared" si="323"/>
        <v>F</v>
      </c>
      <c r="F9705" t="str">
        <f t="shared" si="324"/>
        <v>5F</v>
      </c>
    </row>
    <row r="9706" spans="1:6" x14ac:dyDescent="0.2">
      <c r="A9706">
        <v>6</v>
      </c>
      <c r="E9706" t="str">
        <f t="shared" si="323"/>
        <v>G</v>
      </c>
      <c r="F9706" t="str">
        <f t="shared" si="324"/>
        <v>6G</v>
      </c>
    </row>
    <row r="9707" spans="1:6" x14ac:dyDescent="0.2">
      <c r="A9707">
        <v>7</v>
      </c>
      <c r="E9707" t="str">
        <f t="shared" si="323"/>
        <v>H</v>
      </c>
      <c r="F9707" t="str">
        <f t="shared" si="324"/>
        <v>7H</v>
      </c>
    </row>
    <row r="9708" spans="1:6" x14ac:dyDescent="0.2">
      <c r="A9708">
        <v>8</v>
      </c>
      <c r="E9708" t="str">
        <f t="shared" si="323"/>
        <v>I</v>
      </c>
      <c r="F9708" t="str">
        <f t="shared" si="324"/>
        <v>8I</v>
      </c>
    </row>
    <row r="9709" spans="1:6" x14ac:dyDescent="0.2">
      <c r="A9709">
        <v>9</v>
      </c>
      <c r="E9709" t="str">
        <f t="shared" si="323"/>
        <v>J</v>
      </c>
      <c r="F9709" t="str">
        <f t="shared" si="324"/>
        <v>9J</v>
      </c>
    </row>
    <row r="9710" spans="1:6" x14ac:dyDescent="0.2">
      <c r="A9710">
        <v>10</v>
      </c>
      <c r="E9710" t="str">
        <f t="shared" si="323"/>
        <v>K</v>
      </c>
      <c r="F9710" t="str">
        <f t="shared" si="324"/>
        <v>10K</v>
      </c>
    </row>
    <row r="9711" spans="1:6" x14ac:dyDescent="0.2">
      <c r="A9711">
        <v>11</v>
      </c>
      <c r="E9711" t="str">
        <f t="shared" si="323"/>
        <v>L</v>
      </c>
      <c r="F9711" t="str">
        <f t="shared" si="324"/>
        <v>11L</v>
      </c>
    </row>
    <row r="9712" spans="1:6" x14ac:dyDescent="0.2">
      <c r="A9712">
        <v>12</v>
      </c>
      <c r="E9712" t="str">
        <f t="shared" si="323"/>
        <v>M</v>
      </c>
      <c r="F9712" t="str">
        <f t="shared" si="324"/>
        <v>12M</v>
      </c>
    </row>
    <row r="9713" spans="1:6" x14ac:dyDescent="0.2">
      <c r="A9713">
        <v>13</v>
      </c>
      <c r="E9713" t="str">
        <f t="shared" si="323"/>
        <v>N</v>
      </c>
      <c r="F9713" t="str">
        <f t="shared" si="324"/>
        <v>13N</v>
      </c>
    </row>
    <row r="9714" spans="1:6" x14ac:dyDescent="0.2">
      <c r="A9714">
        <v>14</v>
      </c>
      <c r="E9714" t="str">
        <f t="shared" si="323"/>
        <v>O</v>
      </c>
      <c r="F9714" t="str">
        <f t="shared" si="324"/>
        <v>14O</v>
      </c>
    </row>
    <row r="9715" spans="1:6" x14ac:dyDescent="0.2">
      <c r="A9715">
        <v>15</v>
      </c>
      <c r="E9715" t="str">
        <f t="shared" si="323"/>
        <v>P</v>
      </c>
      <c r="F9715" t="str">
        <f t="shared" si="324"/>
        <v>15P</v>
      </c>
    </row>
    <row r="9716" spans="1:6" x14ac:dyDescent="0.2">
      <c r="A9716">
        <v>16</v>
      </c>
      <c r="E9716" t="str">
        <f t="shared" si="323"/>
        <v>Q</v>
      </c>
      <c r="F9716" t="str">
        <f t="shared" si="324"/>
        <v>16Q</v>
      </c>
    </row>
    <row r="9717" spans="1:6" x14ac:dyDescent="0.2">
      <c r="A9717">
        <v>17</v>
      </c>
      <c r="E9717" t="str">
        <f t="shared" si="323"/>
        <v>R</v>
      </c>
      <c r="F9717" t="str">
        <f t="shared" si="324"/>
        <v>17R</v>
      </c>
    </row>
    <row r="9718" spans="1:6" x14ac:dyDescent="0.2">
      <c r="A9718">
        <v>18</v>
      </c>
      <c r="E9718" t="str">
        <f t="shared" si="323"/>
        <v>S</v>
      </c>
      <c r="F9718" t="str">
        <f t="shared" si="324"/>
        <v>18S</v>
      </c>
    </row>
    <row r="9719" spans="1:6" x14ac:dyDescent="0.2">
      <c r="A9719">
        <v>19</v>
      </c>
      <c r="E9719" t="str">
        <f t="shared" si="323"/>
        <v>T</v>
      </c>
      <c r="F9719" t="str">
        <f t="shared" si="324"/>
        <v>19T</v>
      </c>
    </row>
    <row r="9720" spans="1:6" x14ac:dyDescent="0.2">
      <c r="A9720">
        <v>20</v>
      </c>
      <c r="E9720" t="str">
        <f t="shared" si="323"/>
        <v>U</v>
      </c>
      <c r="F9720" t="str">
        <f t="shared" si="324"/>
        <v>20U</v>
      </c>
    </row>
    <row r="9721" spans="1:6" x14ac:dyDescent="0.2">
      <c r="A9721">
        <v>21</v>
      </c>
      <c r="E9721" t="str">
        <f t="shared" si="323"/>
        <v>V</v>
      </c>
      <c r="F9721" t="str">
        <f t="shared" si="324"/>
        <v>21V</v>
      </c>
    </row>
    <row r="9722" spans="1:6" x14ac:dyDescent="0.2">
      <c r="A9722">
        <v>22</v>
      </c>
      <c r="E9722" t="str">
        <f t="shared" si="323"/>
        <v>W</v>
      </c>
      <c r="F9722" t="str">
        <f t="shared" si="324"/>
        <v>22W</v>
      </c>
    </row>
    <row r="9723" spans="1:6" x14ac:dyDescent="0.2">
      <c r="A9723">
        <v>23</v>
      </c>
      <c r="E9723" t="str">
        <f t="shared" si="323"/>
        <v>X</v>
      </c>
      <c r="F9723" t="str">
        <f t="shared" si="324"/>
        <v>23X</v>
      </c>
    </row>
    <row r="9724" spans="1:6" x14ac:dyDescent="0.2">
      <c r="A9724">
        <v>24</v>
      </c>
      <c r="E9724" t="str">
        <f t="shared" si="323"/>
        <v>Y</v>
      </c>
      <c r="F9724" t="str">
        <f t="shared" si="324"/>
        <v>24Y</v>
      </c>
    </row>
    <row r="9725" spans="1:6" x14ac:dyDescent="0.2">
      <c r="A9725">
        <v>25</v>
      </c>
      <c r="E9725" t="str">
        <f t="shared" si="323"/>
        <v>Z</v>
      </c>
      <c r="F9725" t="str">
        <f t="shared" si="324"/>
        <v>25Z</v>
      </c>
    </row>
    <row r="9726" spans="1:6" x14ac:dyDescent="0.2">
      <c r="A9726">
        <v>0</v>
      </c>
      <c r="E9726" t="str">
        <f t="shared" si="323"/>
        <v>A</v>
      </c>
      <c r="F9726" t="str">
        <f t="shared" si="324"/>
        <v>0A</v>
      </c>
    </row>
    <row r="9727" spans="1:6" x14ac:dyDescent="0.2">
      <c r="A9727">
        <v>1</v>
      </c>
      <c r="E9727" t="str">
        <f t="shared" si="323"/>
        <v>B</v>
      </c>
      <c r="F9727" t="str">
        <f t="shared" si="324"/>
        <v>1B</v>
      </c>
    </row>
    <row r="9728" spans="1:6" x14ac:dyDescent="0.2">
      <c r="A9728">
        <v>2</v>
      </c>
      <c r="E9728" t="str">
        <f t="shared" si="323"/>
        <v>C</v>
      </c>
      <c r="F9728" t="str">
        <f t="shared" si="324"/>
        <v>2C</v>
      </c>
    </row>
    <row r="9729" spans="1:6" x14ac:dyDescent="0.2">
      <c r="A9729">
        <v>3</v>
      </c>
      <c r="E9729" t="str">
        <f t="shared" si="323"/>
        <v>D</v>
      </c>
      <c r="F9729" t="str">
        <f t="shared" si="324"/>
        <v>3D</v>
      </c>
    </row>
    <row r="9730" spans="1:6" x14ac:dyDescent="0.2">
      <c r="A9730">
        <v>4</v>
      </c>
      <c r="E9730" t="str">
        <f t="shared" si="323"/>
        <v>E</v>
      </c>
      <c r="F9730" t="str">
        <f t="shared" si="324"/>
        <v>4E</v>
      </c>
    </row>
    <row r="9731" spans="1:6" x14ac:dyDescent="0.2">
      <c r="A9731">
        <v>5</v>
      </c>
      <c r="E9731" t="str">
        <f t="shared" si="323"/>
        <v>F</v>
      </c>
      <c r="F9731" t="str">
        <f t="shared" si="324"/>
        <v>5F</v>
      </c>
    </row>
    <row r="9732" spans="1:6" x14ac:dyDescent="0.2">
      <c r="A9732">
        <v>6</v>
      </c>
      <c r="E9732" t="str">
        <f t="shared" si="323"/>
        <v>G</v>
      </c>
      <c r="F9732" t="str">
        <f t="shared" si="324"/>
        <v>6G</v>
      </c>
    </row>
    <row r="9733" spans="1:6" x14ac:dyDescent="0.2">
      <c r="A9733">
        <v>7</v>
      </c>
      <c r="E9733" t="str">
        <f t="shared" si="323"/>
        <v>H</v>
      </c>
      <c r="F9733" t="str">
        <f t="shared" si="324"/>
        <v>7H</v>
      </c>
    </row>
    <row r="9734" spans="1:6" x14ac:dyDescent="0.2">
      <c r="A9734">
        <v>8</v>
      </c>
      <c r="E9734" t="str">
        <f t="shared" si="323"/>
        <v>I</v>
      </c>
      <c r="F9734" t="str">
        <f t="shared" si="324"/>
        <v>8I</v>
      </c>
    </row>
    <row r="9735" spans="1:6" x14ac:dyDescent="0.2">
      <c r="A9735">
        <v>9</v>
      </c>
      <c r="E9735" t="str">
        <f t="shared" si="323"/>
        <v>J</v>
      </c>
      <c r="F9735" t="str">
        <f t="shared" si="324"/>
        <v>9J</v>
      </c>
    </row>
    <row r="9736" spans="1:6" x14ac:dyDescent="0.2">
      <c r="A9736">
        <v>10</v>
      </c>
      <c r="E9736" t="str">
        <f t="shared" si="323"/>
        <v>K</v>
      </c>
      <c r="F9736" t="str">
        <f t="shared" si="324"/>
        <v>10K</v>
      </c>
    </row>
    <row r="9737" spans="1:6" x14ac:dyDescent="0.2">
      <c r="A9737">
        <v>11</v>
      </c>
      <c r="E9737" t="str">
        <f t="shared" si="323"/>
        <v>L</v>
      </c>
      <c r="F9737" t="str">
        <f t="shared" si="324"/>
        <v>11L</v>
      </c>
    </row>
    <row r="9738" spans="1:6" x14ac:dyDescent="0.2">
      <c r="A9738">
        <v>12</v>
      </c>
      <c r="E9738" t="str">
        <f t="shared" si="323"/>
        <v>M</v>
      </c>
      <c r="F9738" t="str">
        <f t="shared" si="324"/>
        <v>12M</v>
      </c>
    </row>
    <row r="9739" spans="1:6" x14ac:dyDescent="0.2">
      <c r="A9739">
        <v>13</v>
      </c>
      <c r="E9739" t="str">
        <f t="shared" si="323"/>
        <v>N</v>
      </c>
      <c r="F9739" t="str">
        <f t="shared" si="324"/>
        <v>13N</v>
      </c>
    </row>
    <row r="9740" spans="1:6" x14ac:dyDescent="0.2">
      <c r="A9740">
        <v>14</v>
      </c>
      <c r="E9740" t="str">
        <f t="shared" si="323"/>
        <v>O</v>
      </c>
      <c r="F9740" t="str">
        <f t="shared" si="324"/>
        <v>14O</v>
      </c>
    </row>
    <row r="9741" spans="1:6" x14ac:dyDescent="0.2">
      <c r="A9741">
        <v>15</v>
      </c>
      <c r="E9741" t="str">
        <f t="shared" si="323"/>
        <v>P</v>
      </c>
      <c r="F9741" t="str">
        <f t="shared" si="324"/>
        <v>15P</v>
      </c>
    </row>
    <row r="9742" spans="1:6" x14ac:dyDescent="0.2">
      <c r="A9742">
        <v>16</v>
      </c>
      <c r="E9742" t="str">
        <f t="shared" si="323"/>
        <v>Q</v>
      </c>
      <c r="F9742" t="str">
        <f t="shared" si="324"/>
        <v>16Q</v>
      </c>
    </row>
    <row r="9743" spans="1:6" x14ac:dyDescent="0.2">
      <c r="A9743">
        <v>17</v>
      </c>
      <c r="E9743" t="str">
        <f t="shared" si="323"/>
        <v>R</v>
      </c>
      <c r="F9743" t="str">
        <f t="shared" si="324"/>
        <v>17R</v>
      </c>
    </row>
    <row r="9744" spans="1:6" x14ac:dyDescent="0.2">
      <c r="A9744">
        <v>18</v>
      </c>
      <c r="E9744" t="str">
        <f t="shared" si="323"/>
        <v>S</v>
      </c>
      <c r="F9744" t="str">
        <f t="shared" si="324"/>
        <v>18S</v>
      </c>
    </row>
    <row r="9745" spans="1:6" x14ac:dyDescent="0.2">
      <c r="A9745">
        <v>19</v>
      </c>
      <c r="E9745" t="str">
        <f t="shared" si="323"/>
        <v>T</v>
      </c>
      <c r="F9745" t="str">
        <f t="shared" si="324"/>
        <v>19T</v>
      </c>
    </row>
    <row r="9746" spans="1:6" x14ac:dyDescent="0.2">
      <c r="A9746">
        <v>20</v>
      </c>
      <c r="E9746" t="str">
        <f t="shared" si="323"/>
        <v>U</v>
      </c>
      <c r="F9746" t="str">
        <f t="shared" si="324"/>
        <v>20U</v>
      </c>
    </row>
    <row r="9747" spans="1:6" x14ac:dyDescent="0.2">
      <c r="A9747">
        <v>21</v>
      </c>
      <c r="E9747" t="str">
        <f t="shared" si="323"/>
        <v>V</v>
      </c>
      <c r="F9747" t="str">
        <f t="shared" si="324"/>
        <v>21V</v>
      </c>
    </row>
    <row r="9748" spans="1:6" x14ac:dyDescent="0.2">
      <c r="A9748">
        <v>22</v>
      </c>
      <c r="E9748" t="str">
        <f t="shared" si="323"/>
        <v>W</v>
      </c>
      <c r="F9748" t="str">
        <f t="shared" si="324"/>
        <v>22W</v>
      </c>
    </row>
    <row r="9749" spans="1:6" x14ac:dyDescent="0.2">
      <c r="A9749">
        <v>23</v>
      </c>
      <c r="E9749" t="str">
        <f t="shared" ref="E9749:E9812" si="325">E9723</f>
        <v>X</v>
      </c>
      <c r="F9749" t="str">
        <f t="shared" ref="F9749:F9812" si="326">A9749&amp;C9749&amp;E9749</f>
        <v>23X</v>
      </c>
    </row>
    <row r="9750" spans="1:6" x14ac:dyDescent="0.2">
      <c r="A9750">
        <v>24</v>
      </c>
      <c r="E9750" t="str">
        <f t="shared" si="325"/>
        <v>Y</v>
      </c>
      <c r="F9750" t="str">
        <f t="shared" si="326"/>
        <v>24Y</v>
      </c>
    </row>
    <row r="9751" spans="1:6" x14ac:dyDescent="0.2">
      <c r="A9751">
        <v>25</v>
      </c>
      <c r="E9751" t="str">
        <f t="shared" si="325"/>
        <v>Z</v>
      </c>
      <c r="F9751" t="str">
        <f t="shared" si="326"/>
        <v>25Z</v>
      </c>
    </row>
    <row r="9752" spans="1:6" x14ac:dyDescent="0.2">
      <c r="A9752">
        <v>0</v>
      </c>
      <c r="E9752" t="str">
        <f t="shared" si="325"/>
        <v>A</v>
      </c>
      <c r="F9752" t="str">
        <f t="shared" si="326"/>
        <v>0A</v>
      </c>
    </row>
    <row r="9753" spans="1:6" x14ac:dyDescent="0.2">
      <c r="A9753">
        <v>1</v>
      </c>
      <c r="E9753" t="str">
        <f t="shared" si="325"/>
        <v>B</v>
      </c>
      <c r="F9753" t="str">
        <f t="shared" si="326"/>
        <v>1B</v>
      </c>
    </row>
    <row r="9754" spans="1:6" x14ac:dyDescent="0.2">
      <c r="A9754">
        <v>2</v>
      </c>
      <c r="E9754" t="str">
        <f t="shared" si="325"/>
        <v>C</v>
      </c>
      <c r="F9754" t="str">
        <f t="shared" si="326"/>
        <v>2C</v>
      </c>
    </row>
    <row r="9755" spans="1:6" x14ac:dyDescent="0.2">
      <c r="A9755">
        <v>3</v>
      </c>
      <c r="E9755" t="str">
        <f t="shared" si="325"/>
        <v>D</v>
      </c>
      <c r="F9755" t="str">
        <f t="shared" si="326"/>
        <v>3D</v>
      </c>
    </row>
    <row r="9756" spans="1:6" x14ac:dyDescent="0.2">
      <c r="A9756">
        <v>4</v>
      </c>
      <c r="E9756" t="str">
        <f t="shared" si="325"/>
        <v>E</v>
      </c>
      <c r="F9756" t="str">
        <f t="shared" si="326"/>
        <v>4E</v>
      </c>
    </row>
    <row r="9757" spans="1:6" x14ac:dyDescent="0.2">
      <c r="A9757">
        <v>5</v>
      </c>
      <c r="E9757" t="str">
        <f t="shared" si="325"/>
        <v>F</v>
      </c>
      <c r="F9757" t="str">
        <f t="shared" si="326"/>
        <v>5F</v>
      </c>
    </row>
    <row r="9758" spans="1:6" x14ac:dyDescent="0.2">
      <c r="A9758">
        <v>6</v>
      </c>
      <c r="E9758" t="str">
        <f t="shared" si="325"/>
        <v>G</v>
      </c>
      <c r="F9758" t="str">
        <f t="shared" si="326"/>
        <v>6G</v>
      </c>
    </row>
    <row r="9759" spans="1:6" x14ac:dyDescent="0.2">
      <c r="A9759">
        <v>7</v>
      </c>
      <c r="E9759" t="str">
        <f t="shared" si="325"/>
        <v>H</v>
      </c>
      <c r="F9759" t="str">
        <f t="shared" si="326"/>
        <v>7H</v>
      </c>
    </row>
    <row r="9760" spans="1:6" x14ac:dyDescent="0.2">
      <c r="A9760">
        <v>8</v>
      </c>
      <c r="E9760" t="str">
        <f t="shared" si="325"/>
        <v>I</v>
      </c>
      <c r="F9760" t="str">
        <f t="shared" si="326"/>
        <v>8I</v>
      </c>
    </row>
    <row r="9761" spans="1:6" x14ac:dyDescent="0.2">
      <c r="A9761">
        <v>9</v>
      </c>
      <c r="E9761" t="str">
        <f t="shared" si="325"/>
        <v>J</v>
      </c>
      <c r="F9761" t="str">
        <f t="shared" si="326"/>
        <v>9J</v>
      </c>
    </row>
    <row r="9762" spans="1:6" x14ac:dyDescent="0.2">
      <c r="A9762">
        <v>10</v>
      </c>
      <c r="E9762" t="str">
        <f t="shared" si="325"/>
        <v>K</v>
      </c>
      <c r="F9762" t="str">
        <f t="shared" si="326"/>
        <v>10K</v>
      </c>
    </row>
    <row r="9763" spans="1:6" x14ac:dyDescent="0.2">
      <c r="A9763">
        <v>11</v>
      </c>
      <c r="E9763" t="str">
        <f t="shared" si="325"/>
        <v>L</v>
      </c>
      <c r="F9763" t="str">
        <f t="shared" si="326"/>
        <v>11L</v>
      </c>
    </row>
    <row r="9764" spans="1:6" x14ac:dyDescent="0.2">
      <c r="A9764">
        <v>12</v>
      </c>
      <c r="E9764" t="str">
        <f t="shared" si="325"/>
        <v>M</v>
      </c>
      <c r="F9764" t="str">
        <f t="shared" si="326"/>
        <v>12M</v>
      </c>
    </row>
    <row r="9765" spans="1:6" x14ac:dyDescent="0.2">
      <c r="A9765">
        <v>13</v>
      </c>
      <c r="E9765" t="str">
        <f t="shared" si="325"/>
        <v>N</v>
      </c>
      <c r="F9765" t="str">
        <f t="shared" si="326"/>
        <v>13N</v>
      </c>
    </row>
    <row r="9766" spans="1:6" x14ac:dyDescent="0.2">
      <c r="A9766">
        <v>14</v>
      </c>
      <c r="E9766" t="str">
        <f t="shared" si="325"/>
        <v>O</v>
      </c>
      <c r="F9766" t="str">
        <f t="shared" si="326"/>
        <v>14O</v>
      </c>
    </row>
    <row r="9767" spans="1:6" x14ac:dyDescent="0.2">
      <c r="A9767">
        <v>15</v>
      </c>
      <c r="E9767" t="str">
        <f t="shared" si="325"/>
        <v>P</v>
      </c>
      <c r="F9767" t="str">
        <f t="shared" si="326"/>
        <v>15P</v>
      </c>
    </row>
    <row r="9768" spans="1:6" x14ac:dyDescent="0.2">
      <c r="A9768">
        <v>16</v>
      </c>
      <c r="E9768" t="str">
        <f t="shared" si="325"/>
        <v>Q</v>
      </c>
      <c r="F9768" t="str">
        <f t="shared" si="326"/>
        <v>16Q</v>
      </c>
    </row>
    <row r="9769" spans="1:6" x14ac:dyDescent="0.2">
      <c r="A9769">
        <v>17</v>
      </c>
      <c r="E9769" t="str">
        <f t="shared" si="325"/>
        <v>R</v>
      </c>
      <c r="F9769" t="str">
        <f t="shared" si="326"/>
        <v>17R</v>
      </c>
    </row>
    <row r="9770" spans="1:6" x14ac:dyDescent="0.2">
      <c r="A9770">
        <v>18</v>
      </c>
      <c r="E9770" t="str">
        <f t="shared" si="325"/>
        <v>S</v>
      </c>
      <c r="F9770" t="str">
        <f t="shared" si="326"/>
        <v>18S</v>
      </c>
    </row>
    <row r="9771" spans="1:6" x14ac:dyDescent="0.2">
      <c r="A9771">
        <v>19</v>
      </c>
      <c r="E9771" t="str">
        <f t="shared" si="325"/>
        <v>T</v>
      </c>
      <c r="F9771" t="str">
        <f t="shared" si="326"/>
        <v>19T</v>
      </c>
    </row>
    <row r="9772" spans="1:6" x14ac:dyDescent="0.2">
      <c r="A9772">
        <v>20</v>
      </c>
      <c r="E9772" t="str">
        <f t="shared" si="325"/>
        <v>U</v>
      </c>
      <c r="F9772" t="str">
        <f t="shared" si="326"/>
        <v>20U</v>
      </c>
    </row>
    <row r="9773" spans="1:6" x14ac:dyDescent="0.2">
      <c r="A9773">
        <v>21</v>
      </c>
      <c r="E9773" t="str">
        <f t="shared" si="325"/>
        <v>V</v>
      </c>
      <c r="F9773" t="str">
        <f t="shared" si="326"/>
        <v>21V</v>
      </c>
    </row>
    <row r="9774" spans="1:6" x14ac:dyDescent="0.2">
      <c r="A9774">
        <v>22</v>
      </c>
      <c r="E9774" t="str">
        <f t="shared" si="325"/>
        <v>W</v>
      </c>
      <c r="F9774" t="str">
        <f t="shared" si="326"/>
        <v>22W</v>
      </c>
    </row>
    <row r="9775" spans="1:6" x14ac:dyDescent="0.2">
      <c r="A9775">
        <v>23</v>
      </c>
      <c r="E9775" t="str">
        <f t="shared" si="325"/>
        <v>X</v>
      </c>
      <c r="F9775" t="str">
        <f t="shared" si="326"/>
        <v>23X</v>
      </c>
    </row>
    <row r="9776" spans="1:6" x14ac:dyDescent="0.2">
      <c r="A9776">
        <v>24</v>
      </c>
      <c r="E9776" t="str">
        <f t="shared" si="325"/>
        <v>Y</v>
      </c>
      <c r="F9776" t="str">
        <f t="shared" si="326"/>
        <v>24Y</v>
      </c>
    </row>
    <row r="9777" spans="1:6" x14ac:dyDescent="0.2">
      <c r="A9777">
        <v>25</v>
      </c>
      <c r="E9777" t="str">
        <f t="shared" si="325"/>
        <v>Z</v>
      </c>
      <c r="F9777" t="str">
        <f t="shared" si="326"/>
        <v>25Z</v>
      </c>
    </row>
    <row r="9778" spans="1:6" x14ac:dyDescent="0.2">
      <c r="A9778">
        <v>0</v>
      </c>
      <c r="E9778" t="str">
        <f t="shared" si="325"/>
        <v>A</v>
      </c>
      <c r="F9778" t="str">
        <f t="shared" si="326"/>
        <v>0A</v>
      </c>
    </row>
    <row r="9779" spans="1:6" x14ac:dyDescent="0.2">
      <c r="A9779">
        <v>1</v>
      </c>
      <c r="E9779" t="str">
        <f t="shared" si="325"/>
        <v>B</v>
      </c>
      <c r="F9779" t="str">
        <f t="shared" si="326"/>
        <v>1B</v>
      </c>
    </row>
    <row r="9780" spans="1:6" x14ac:dyDescent="0.2">
      <c r="A9780">
        <v>2</v>
      </c>
      <c r="E9780" t="str">
        <f t="shared" si="325"/>
        <v>C</v>
      </c>
      <c r="F9780" t="str">
        <f t="shared" si="326"/>
        <v>2C</v>
      </c>
    </row>
    <row r="9781" spans="1:6" x14ac:dyDescent="0.2">
      <c r="A9781">
        <v>3</v>
      </c>
      <c r="E9781" t="str">
        <f t="shared" si="325"/>
        <v>D</v>
      </c>
      <c r="F9781" t="str">
        <f t="shared" si="326"/>
        <v>3D</v>
      </c>
    </row>
    <row r="9782" spans="1:6" x14ac:dyDescent="0.2">
      <c r="A9782">
        <v>4</v>
      </c>
      <c r="E9782" t="str">
        <f t="shared" si="325"/>
        <v>E</v>
      </c>
      <c r="F9782" t="str">
        <f t="shared" si="326"/>
        <v>4E</v>
      </c>
    </row>
    <row r="9783" spans="1:6" x14ac:dyDescent="0.2">
      <c r="A9783">
        <v>5</v>
      </c>
      <c r="E9783" t="str">
        <f t="shared" si="325"/>
        <v>F</v>
      </c>
      <c r="F9783" t="str">
        <f t="shared" si="326"/>
        <v>5F</v>
      </c>
    </row>
    <row r="9784" spans="1:6" x14ac:dyDescent="0.2">
      <c r="A9784">
        <v>6</v>
      </c>
      <c r="E9784" t="str">
        <f t="shared" si="325"/>
        <v>G</v>
      </c>
      <c r="F9784" t="str">
        <f t="shared" si="326"/>
        <v>6G</v>
      </c>
    </row>
    <row r="9785" spans="1:6" x14ac:dyDescent="0.2">
      <c r="A9785">
        <v>7</v>
      </c>
      <c r="E9785" t="str">
        <f t="shared" si="325"/>
        <v>H</v>
      </c>
      <c r="F9785" t="str">
        <f t="shared" si="326"/>
        <v>7H</v>
      </c>
    </row>
    <row r="9786" spans="1:6" x14ac:dyDescent="0.2">
      <c r="A9786">
        <v>8</v>
      </c>
      <c r="E9786" t="str">
        <f t="shared" si="325"/>
        <v>I</v>
      </c>
      <c r="F9786" t="str">
        <f t="shared" si="326"/>
        <v>8I</v>
      </c>
    </row>
    <row r="9787" spans="1:6" x14ac:dyDescent="0.2">
      <c r="A9787">
        <v>9</v>
      </c>
      <c r="E9787" t="str">
        <f t="shared" si="325"/>
        <v>J</v>
      </c>
      <c r="F9787" t="str">
        <f t="shared" si="326"/>
        <v>9J</v>
      </c>
    </row>
    <row r="9788" spans="1:6" x14ac:dyDescent="0.2">
      <c r="A9788">
        <v>10</v>
      </c>
      <c r="E9788" t="str">
        <f t="shared" si="325"/>
        <v>K</v>
      </c>
      <c r="F9788" t="str">
        <f t="shared" si="326"/>
        <v>10K</v>
      </c>
    </row>
    <row r="9789" spans="1:6" x14ac:dyDescent="0.2">
      <c r="A9789">
        <v>11</v>
      </c>
      <c r="E9789" t="str">
        <f t="shared" si="325"/>
        <v>L</v>
      </c>
      <c r="F9789" t="str">
        <f t="shared" si="326"/>
        <v>11L</v>
      </c>
    </row>
    <row r="9790" spans="1:6" x14ac:dyDescent="0.2">
      <c r="A9790">
        <v>12</v>
      </c>
      <c r="E9790" t="str">
        <f t="shared" si="325"/>
        <v>M</v>
      </c>
      <c r="F9790" t="str">
        <f t="shared" si="326"/>
        <v>12M</v>
      </c>
    </row>
    <row r="9791" spans="1:6" x14ac:dyDescent="0.2">
      <c r="A9791">
        <v>13</v>
      </c>
      <c r="E9791" t="str">
        <f t="shared" si="325"/>
        <v>N</v>
      </c>
      <c r="F9791" t="str">
        <f t="shared" si="326"/>
        <v>13N</v>
      </c>
    </row>
    <row r="9792" spans="1:6" x14ac:dyDescent="0.2">
      <c r="A9792">
        <v>14</v>
      </c>
      <c r="E9792" t="str">
        <f t="shared" si="325"/>
        <v>O</v>
      </c>
      <c r="F9792" t="str">
        <f t="shared" si="326"/>
        <v>14O</v>
      </c>
    </row>
    <row r="9793" spans="1:6" x14ac:dyDescent="0.2">
      <c r="A9793">
        <v>15</v>
      </c>
      <c r="E9793" t="str">
        <f t="shared" si="325"/>
        <v>P</v>
      </c>
      <c r="F9793" t="str">
        <f t="shared" si="326"/>
        <v>15P</v>
      </c>
    </row>
    <row r="9794" spans="1:6" x14ac:dyDescent="0.2">
      <c r="A9794">
        <v>16</v>
      </c>
      <c r="E9794" t="str">
        <f t="shared" si="325"/>
        <v>Q</v>
      </c>
      <c r="F9794" t="str">
        <f t="shared" si="326"/>
        <v>16Q</v>
      </c>
    </row>
    <row r="9795" spans="1:6" x14ac:dyDescent="0.2">
      <c r="A9795">
        <v>17</v>
      </c>
      <c r="E9795" t="str">
        <f t="shared" si="325"/>
        <v>R</v>
      </c>
      <c r="F9795" t="str">
        <f t="shared" si="326"/>
        <v>17R</v>
      </c>
    </row>
    <row r="9796" spans="1:6" x14ac:dyDescent="0.2">
      <c r="A9796">
        <v>18</v>
      </c>
      <c r="E9796" t="str">
        <f t="shared" si="325"/>
        <v>S</v>
      </c>
      <c r="F9796" t="str">
        <f t="shared" si="326"/>
        <v>18S</v>
      </c>
    </row>
    <row r="9797" spans="1:6" x14ac:dyDescent="0.2">
      <c r="A9797">
        <v>19</v>
      </c>
      <c r="E9797" t="str">
        <f t="shared" si="325"/>
        <v>T</v>
      </c>
      <c r="F9797" t="str">
        <f t="shared" si="326"/>
        <v>19T</v>
      </c>
    </row>
    <row r="9798" spans="1:6" x14ac:dyDescent="0.2">
      <c r="A9798">
        <v>20</v>
      </c>
      <c r="E9798" t="str">
        <f t="shared" si="325"/>
        <v>U</v>
      </c>
      <c r="F9798" t="str">
        <f t="shared" si="326"/>
        <v>20U</v>
      </c>
    </row>
    <row r="9799" spans="1:6" x14ac:dyDescent="0.2">
      <c r="A9799">
        <v>21</v>
      </c>
      <c r="E9799" t="str">
        <f t="shared" si="325"/>
        <v>V</v>
      </c>
      <c r="F9799" t="str">
        <f t="shared" si="326"/>
        <v>21V</v>
      </c>
    </row>
    <row r="9800" spans="1:6" x14ac:dyDescent="0.2">
      <c r="A9800">
        <v>22</v>
      </c>
      <c r="E9800" t="str">
        <f t="shared" si="325"/>
        <v>W</v>
      </c>
      <c r="F9800" t="str">
        <f t="shared" si="326"/>
        <v>22W</v>
      </c>
    </row>
    <row r="9801" spans="1:6" x14ac:dyDescent="0.2">
      <c r="A9801">
        <v>23</v>
      </c>
      <c r="E9801" t="str">
        <f t="shared" si="325"/>
        <v>X</v>
      </c>
      <c r="F9801" t="str">
        <f t="shared" si="326"/>
        <v>23X</v>
      </c>
    </row>
    <row r="9802" spans="1:6" x14ac:dyDescent="0.2">
      <c r="A9802">
        <v>24</v>
      </c>
      <c r="E9802" t="str">
        <f t="shared" si="325"/>
        <v>Y</v>
      </c>
      <c r="F9802" t="str">
        <f t="shared" si="326"/>
        <v>24Y</v>
      </c>
    </row>
    <row r="9803" spans="1:6" x14ac:dyDescent="0.2">
      <c r="A9803">
        <v>25</v>
      </c>
      <c r="E9803" t="str">
        <f t="shared" si="325"/>
        <v>Z</v>
      </c>
      <c r="F9803" t="str">
        <f t="shared" si="326"/>
        <v>25Z</v>
      </c>
    </row>
    <row r="9804" spans="1:6" x14ac:dyDescent="0.2">
      <c r="A9804">
        <v>0</v>
      </c>
      <c r="E9804" t="str">
        <f t="shared" si="325"/>
        <v>A</v>
      </c>
      <c r="F9804" t="str">
        <f t="shared" si="326"/>
        <v>0A</v>
      </c>
    </row>
    <row r="9805" spans="1:6" x14ac:dyDescent="0.2">
      <c r="A9805">
        <v>1</v>
      </c>
      <c r="E9805" t="str">
        <f t="shared" si="325"/>
        <v>B</v>
      </c>
      <c r="F9805" t="str">
        <f t="shared" si="326"/>
        <v>1B</v>
      </c>
    </row>
    <row r="9806" spans="1:6" x14ac:dyDescent="0.2">
      <c r="A9806">
        <v>2</v>
      </c>
      <c r="E9806" t="str">
        <f t="shared" si="325"/>
        <v>C</v>
      </c>
      <c r="F9806" t="str">
        <f t="shared" si="326"/>
        <v>2C</v>
      </c>
    </row>
    <row r="9807" spans="1:6" x14ac:dyDescent="0.2">
      <c r="A9807">
        <v>3</v>
      </c>
      <c r="E9807" t="str">
        <f t="shared" si="325"/>
        <v>D</v>
      </c>
      <c r="F9807" t="str">
        <f t="shared" si="326"/>
        <v>3D</v>
      </c>
    </row>
    <row r="9808" spans="1:6" x14ac:dyDescent="0.2">
      <c r="A9808">
        <v>4</v>
      </c>
      <c r="E9808" t="str">
        <f t="shared" si="325"/>
        <v>E</v>
      </c>
      <c r="F9808" t="str">
        <f t="shared" si="326"/>
        <v>4E</v>
      </c>
    </row>
    <row r="9809" spans="1:6" x14ac:dyDescent="0.2">
      <c r="A9809">
        <v>5</v>
      </c>
      <c r="E9809" t="str">
        <f t="shared" si="325"/>
        <v>F</v>
      </c>
      <c r="F9809" t="str">
        <f t="shared" si="326"/>
        <v>5F</v>
      </c>
    </row>
    <row r="9810" spans="1:6" x14ac:dyDescent="0.2">
      <c r="A9810">
        <v>6</v>
      </c>
      <c r="E9810" t="str">
        <f t="shared" si="325"/>
        <v>G</v>
      </c>
      <c r="F9810" t="str">
        <f t="shared" si="326"/>
        <v>6G</v>
      </c>
    </row>
    <row r="9811" spans="1:6" x14ac:dyDescent="0.2">
      <c r="A9811">
        <v>7</v>
      </c>
      <c r="E9811" t="str">
        <f t="shared" si="325"/>
        <v>H</v>
      </c>
      <c r="F9811" t="str">
        <f t="shared" si="326"/>
        <v>7H</v>
      </c>
    </row>
    <row r="9812" spans="1:6" x14ac:dyDescent="0.2">
      <c r="A9812">
        <v>8</v>
      </c>
      <c r="E9812" t="str">
        <f t="shared" si="325"/>
        <v>I</v>
      </c>
      <c r="F9812" t="str">
        <f t="shared" si="326"/>
        <v>8I</v>
      </c>
    </row>
    <row r="9813" spans="1:6" x14ac:dyDescent="0.2">
      <c r="A9813">
        <v>9</v>
      </c>
      <c r="E9813" t="str">
        <f t="shared" ref="E9813:E9876" si="327">E9787</f>
        <v>J</v>
      </c>
      <c r="F9813" t="str">
        <f t="shared" ref="F9813:F9876" si="328">A9813&amp;C9813&amp;E9813</f>
        <v>9J</v>
      </c>
    </row>
    <row r="9814" spans="1:6" x14ac:dyDescent="0.2">
      <c r="A9814">
        <v>10</v>
      </c>
      <c r="E9814" t="str">
        <f t="shared" si="327"/>
        <v>K</v>
      </c>
      <c r="F9814" t="str">
        <f t="shared" si="328"/>
        <v>10K</v>
      </c>
    </row>
    <row r="9815" spans="1:6" x14ac:dyDescent="0.2">
      <c r="A9815">
        <v>11</v>
      </c>
      <c r="E9815" t="str">
        <f t="shared" si="327"/>
        <v>L</v>
      </c>
      <c r="F9815" t="str">
        <f t="shared" si="328"/>
        <v>11L</v>
      </c>
    </row>
    <row r="9816" spans="1:6" x14ac:dyDescent="0.2">
      <c r="A9816">
        <v>12</v>
      </c>
      <c r="E9816" t="str">
        <f t="shared" si="327"/>
        <v>M</v>
      </c>
      <c r="F9816" t="str">
        <f t="shared" si="328"/>
        <v>12M</v>
      </c>
    </row>
    <row r="9817" spans="1:6" x14ac:dyDescent="0.2">
      <c r="A9817">
        <v>13</v>
      </c>
      <c r="E9817" t="str">
        <f t="shared" si="327"/>
        <v>N</v>
      </c>
      <c r="F9817" t="str">
        <f t="shared" si="328"/>
        <v>13N</v>
      </c>
    </row>
    <row r="9818" spans="1:6" x14ac:dyDescent="0.2">
      <c r="A9818">
        <v>14</v>
      </c>
      <c r="E9818" t="str">
        <f t="shared" si="327"/>
        <v>O</v>
      </c>
      <c r="F9818" t="str">
        <f t="shared" si="328"/>
        <v>14O</v>
      </c>
    </row>
    <row r="9819" spans="1:6" x14ac:dyDescent="0.2">
      <c r="A9819">
        <v>15</v>
      </c>
      <c r="E9819" t="str">
        <f t="shared" si="327"/>
        <v>P</v>
      </c>
      <c r="F9819" t="str">
        <f t="shared" si="328"/>
        <v>15P</v>
      </c>
    </row>
    <row r="9820" spans="1:6" x14ac:dyDescent="0.2">
      <c r="A9820">
        <v>16</v>
      </c>
      <c r="E9820" t="str">
        <f t="shared" si="327"/>
        <v>Q</v>
      </c>
      <c r="F9820" t="str">
        <f t="shared" si="328"/>
        <v>16Q</v>
      </c>
    </row>
    <row r="9821" spans="1:6" x14ac:dyDescent="0.2">
      <c r="A9821">
        <v>17</v>
      </c>
      <c r="E9821" t="str">
        <f t="shared" si="327"/>
        <v>R</v>
      </c>
      <c r="F9821" t="str">
        <f t="shared" si="328"/>
        <v>17R</v>
      </c>
    </row>
    <row r="9822" spans="1:6" x14ac:dyDescent="0.2">
      <c r="A9822">
        <v>18</v>
      </c>
      <c r="E9822" t="str">
        <f t="shared" si="327"/>
        <v>S</v>
      </c>
      <c r="F9822" t="str">
        <f t="shared" si="328"/>
        <v>18S</v>
      </c>
    </row>
    <row r="9823" spans="1:6" x14ac:dyDescent="0.2">
      <c r="A9823">
        <v>19</v>
      </c>
      <c r="E9823" t="str">
        <f t="shared" si="327"/>
        <v>T</v>
      </c>
      <c r="F9823" t="str">
        <f t="shared" si="328"/>
        <v>19T</v>
      </c>
    </row>
    <row r="9824" spans="1:6" x14ac:dyDescent="0.2">
      <c r="A9824">
        <v>20</v>
      </c>
      <c r="E9824" t="str">
        <f t="shared" si="327"/>
        <v>U</v>
      </c>
      <c r="F9824" t="str">
        <f t="shared" si="328"/>
        <v>20U</v>
      </c>
    </row>
    <row r="9825" spans="1:6" x14ac:dyDescent="0.2">
      <c r="A9825">
        <v>21</v>
      </c>
      <c r="E9825" t="str">
        <f t="shared" si="327"/>
        <v>V</v>
      </c>
      <c r="F9825" t="str">
        <f t="shared" si="328"/>
        <v>21V</v>
      </c>
    </row>
    <row r="9826" spans="1:6" x14ac:dyDescent="0.2">
      <c r="A9826">
        <v>22</v>
      </c>
      <c r="E9826" t="str">
        <f t="shared" si="327"/>
        <v>W</v>
      </c>
      <c r="F9826" t="str">
        <f t="shared" si="328"/>
        <v>22W</v>
      </c>
    </row>
    <row r="9827" spans="1:6" x14ac:dyDescent="0.2">
      <c r="A9827">
        <v>23</v>
      </c>
      <c r="E9827" t="str">
        <f t="shared" si="327"/>
        <v>X</v>
      </c>
      <c r="F9827" t="str">
        <f t="shared" si="328"/>
        <v>23X</v>
      </c>
    </row>
    <row r="9828" spans="1:6" x14ac:dyDescent="0.2">
      <c r="A9828">
        <v>24</v>
      </c>
      <c r="E9828" t="str">
        <f t="shared" si="327"/>
        <v>Y</v>
      </c>
      <c r="F9828" t="str">
        <f t="shared" si="328"/>
        <v>24Y</v>
      </c>
    </row>
    <row r="9829" spans="1:6" x14ac:dyDescent="0.2">
      <c r="A9829">
        <v>25</v>
      </c>
      <c r="E9829" t="str">
        <f t="shared" si="327"/>
        <v>Z</v>
      </c>
      <c r="F9829" t="str">
        <f t="shared" si="328"/>
        <v>25Z</v>
      </c>
    </row>
    <row r="9830" spans="1:6" x14ac:dyDescent="0.2">
      <c r="A9830">
        <v>0</v>
      </c>
      <c r="E9830" t="str">
        <f t="shared" si="327"/>
        <v>A</v>
      </c>
      <c r="F9830" t="str">
        <f t="shared" si="328"/>
        <v>0A</v>
      </c>
    </row>
    <row r="9831" spans="1:6" x14ac:dyDescent="0.2">
      <c r="A9831">
        <v>1</v>
      </c>
      <c r="E9831" t="str">
        <f t="shared" si="327"/>
        <v>B</v>
      </c>
      <c r="F9831" t="str">
        <f t="shared" si="328"/>
        <v>1B</v>
      </c>
    </row>
    <row r="9832" spans="1:6" x14ac:dyDescent="0.2">
      <c r="A9832">
        <v>2</v>
      </c>
      <c r="E9832" t="str">
        <f t="shared" si="327"/>
        <v>C</v>
      </c>
      <c r="F9832" t="str">
        <f t="shared" si="328"/>
        <v>2C</v>
      </c>
    </row>
    <row r="9833" spans="1:6" x14ac:dyDescent="0.2">
      <c r="A9833">
        <v>3</v>
      </c>
      <c r="E9833" t="str">
        <f t="shared" si="327"/>
        <v>D</v>
      </c>
      <c r="F9833" t="str">
        <f t="shared" si="328"/>
        <v>3D</v>
      </c>
    </row>
    <row r="9834" spans="1:6" x14ac:dyDescent="0.2">
      <c r="A9834">
        <v>4</v>
      </c>
      <c r="E9834" t="str">
        <f t="shared" si="327"/>
        <v>E</v>
      </c>
      <c r="F9834" t="str">
        <f t="shared" si="328"/>
        <v>4E</v>
      </c>
    </row>
    <row r="9835" spans="1:6" x14ac:dyDescent="0.2">
      <c r="A9835">
        <v>5</v>
      </c>
      <c r="E9835" t="str">
        <f t="shared" si="327"/>
        <v>F</v>
      </c>
      <c r="F9835" t="str">
        <f t="shared" si="328"/>
        <v>5F</v>
      </c>
    </row>
    <row r="9836" spans="1:6" x14ac:dyDescent="0.2">
      <c r="A9836">
        <v>6</v>
      </c>
      <c r="E9836" t="str">
        <f t="shared" si="327"/>
        <v>G</v>
      </c>
      <c r="F9836" t="str">
        <f t="shared" si="328"/>
        <v>6G</v>
      </c>
    </row>
    <row r="9837" spans="1:6" x14ac:dyDescent="0.2">
      <c r="A9837">
        <v>7</v>
      </c>
      <c r="E9837" t="str">
        <f t="shared" si="327"/>
        <v>H</v>
      </c>
      <c r="F9837" t="str">
        <f t="shared" si="328"/>
        <v>7H</v>
      </c>
    </row>
    <row r="9838" spans="1:6" x14ac:dyDescent="0.2">
      <c r="A9838">
        <v>8</v>
      </c>
      <c r="E9838" t="str">
        <f t="shared" si="327"/>
        <v>I</v>
      </c>
      <c r="F9838" t="str">
        <f t="shared" si="328"/>
        <v>8I</v>
      </c>
    </row>
    <row r="9839" spans="1:6" x14ac:dyDescent="0.2">
      <c r="A9839">
        <v>9</v>
      </c>
      <c r="E9839" t="str">
        <f t="shared" si="327"/>
        <v>J</v>
      </c>
      <c r="F9839" t="str">
        <f t="shared" si="328"/>
        <v>9J</v>
      </c>
    </row>
    <row r="9840" spans="1:6" x14ac:dyDescent="0.2">
      <c r="A9840">
        <v>10</v>
      </c>
      <c r="E9840" t="str">
        <f t="shared" si="327"/>
        <v>K</v>
      </c>
      <c r="F9840" t="str">
        <f t="shared" si="328"/>
        <v>10K</v>
      </c>
    </row>
    <row r="9841" spans="1:6" x14ac:dyDescent="0.2">
      <c r="A9841">
        <v>11</v>
      </c>
      <c r="E9841" t="str">
        <f t="shared" si="327"/>
        <v>L</v>
      </c>
      <c r="F9841" t="str">
        <f t="shared" si="328"/>
        <v>11L</v>
      </c>
    </row>
    <row r="9842" spans="1:6" x14ac:dyDescent="0.2">
      <c r="A9842">
        <v>12</v>
      </c>
      <c r="E9842" t="str">
        <f t="shared" si="327"/>
        <v>M</v>
      </c>
      <c r="F9842" t="str">
        <f t="shared" si="328"/>
        <v>12M</v>
      </c>
    </row>
    <row r="9843" spans="1:6" x14ac:dyDescent="0.2">
      <c r="A9843">
        <v>13</v>
      </c>
      <c r="E9843" t="str">
        <f t="shared" si="327"/>
        <v>N</v>
      </c>
      <c r="F9843" t="str">
        <f t="shared" si="328"/>
        <v>13N</v>
      </c>
    </row>
    <row r="9844" spans="1:6" x14ac:dyDescent="0.2">
      <c r="A9844">
        <v>14</v>
      </c>
      <c r="E9844" t="str">
        <f t="shared" si="327"/>
        <v>O</v>
      </c>
      <c r="F9844" t="str">
        <f t="shared" si="328"/>
        <v>14O</v>
      </c>
    </row>
    <row r="9845" spans="1:6" x14ac:dyDescent="0.2">
      <c r="A9845">
        <v>15</v>
      </c>
      <c r="E9845" t="str">
        <f t="shared" si="327"/>
        <v>P</v>
      </c>
      <c r="F9845" t="str">
        <f t="shared" si="328"/>
        <v>15P</v>
      </c>
    </row>
    <row r="9846" spans="1:6" x14ac:dyDescent="0.2">
      <c r="A9846">
        <v>16</v>
      </c>
      <c r="E9846" t="str">
        <f t="shared" si="327"/>
        <v>Q</v>
      </c>
      <c r="F9846" t="str">
        <f t="shared" si="328"/>
        <v>16Q</v>
      </c>
    </row>
    <row r="9847" spans="1:6" x14ac:dyDescent="0.2">
      <c r="A9847">
        <v>17</v>
      </c>
      <c r="E9847" t="str">
        <f t="shared" si="327"/>
        <v>R</v>
      </c>
      <c r="F9847" t="str">
        <f t="shared" si="328"/>
        <v>17R</v>
      </c>
    </row>
    <row r="9848" spans="1:6" x14ac:dyDescent="0.2">
      <c r="A9848">
        <v>18</v>
      </c>
      <c r="E9848" t="str">
        <f t="shared" si="327"/>
        <v>S</v>
      </c>
      <c r="F9848" t="str">
        <f t="shared" si="328"/>
        <v>18S</v>
      </c>
    </row>
    <row r="9849" spans="1:6" x14ac:dyDescent="0.2">
      <c r="A9849">
        <v>19</v>
      </c>
      <c r="E9849" t="str">
        <f t="shared" si="327"/>
        <v>T</v>
      </c>
      <c r="F9849" t="str">
        <f t="shared" si="328"/>
        <v>19T</v>
      </c>
    </row>
    <row r="9850" spans="1:6" x14ac:dyDescent="0.2">
      <c r="A9850">
        <v>20</v>
      </c>
      <c r="E9850" t="str">
        <f t="shared" si="327"/>
        <v>U</v>
      </c>
      <c r="F9850" t="str">
        <f t="shared" si="328"/>
        <v>20U</v>
      </c>
    </row>
    <row r="9851" spans="1:6" x14ac:dyDescent="0.2">
      <c r="A9851">
        <v>21</v>
      </c>
      <c r="E9851" t="str">
        <f t="shared" si="327"/>
        <v>V</v>
      </c>
      <c r="F9851" t="str">
        <f t="shared" si="328"/>
        <v>21V</v>
      </c>
    </row>
    <row r="9852" spans="1:6" x14ac:dyDescent="0.2">
      <c r="A9852">
        <v>22</v>
      </c>
      <c r="E9852" t="str">
        <f t="shared" si="327"/>
        <v>W</v>
      </c>
      <c r="F9852" t="str">
        <f t="shared" si="328"/>
        <v>22W</v>
      </c>
    </row>
    <row r="9853" spans="1:6" x14ac:dyDescent="0.2">
      <c r="A9853">
        <v>23</v>
      </c>
      <c r="E9853" t="str">
        <f t="shared" si="327"/>
        <v>X</v>
      </c>
      <c r="F9853" t="str">
        <f t="shared" si="328"/>
        <v>23X</v>
      </c>
    </row>
    <row r="9854" spans="1:6" x14ac:dyDescent="0.2">
      <c r="A9854">
        <v>24</v>
      </c>
      <c r="E9854" t="str">
        <f t="shared" si="327"/>
        <v>Y</v>
      </c>
      <c r="F9854" t="str">
        <f t="shared" si="328"/>
        <v>24Y</v>
      </c>
    </row>
    <row r="9855" spans="1:6" x14ac:dyDescent="0.2">
      <c r="A9855">
        <v>25</v>
      </c>
      <c r="E9855" t="str">
        <f t="shared" si="327"/>
        <v>Z</v>
      </c>
      <c r="F9855" t="str">
        <f t="shared" si="328"/>
        <v>25Z</v>
      </c>
    </row>
    <row r="9856" spans="1:6" x14ac:dyDescent="0.2">
      <c r="A9856">
        <v>0</v>
      </c>
      <c r="E9856" t="str">
        <f t="shared" si="327"/>
        <v>A</v>
      </c>
      <c r="F9856" t="str">
        <f t="shared" si="328"/>
        <v>0A</v>
      </c>
    </row>
    <row r="9857" spans="1:6" x14ac:dyDescent="0.2">
      <c r="A9857">
        <v>1</v>
      </c>
      <c r="E9857" t="str">
        <f t="shared" si="327"/>
        <v>B</v>
      </c>
      <c r="F9857" t="str">
        <f t="shared" si="328"/>
        <v>1B</v>
      </c>
    </row>
    <row r="9858" spans="1:6" x14ac:dyDescent="0.2">
      <c r="A9858">
        <v>2</v>
      </c>
      <c r="E9858" t="str">
        <f t="shared" si="327"/>
        <v>C</v>
      </c>
      <c r="F9858" t="str">
        <f t="shared" si="328"/>
        <v>2C</v>
      </c>
    </row>
    <row r="9859" spans="1:6" x14ac:dyDescent="0.2">
      <c r="A9859">
        <v>3</v>
      </c>
      <c r="E9859" t="str">
        <f t="shared" si="327"/>
        <v>D</v>
      </c>
      <c r="F9859" t="str">
        <f t="shared" si="328"/>
        <v>3D</v>
      </c>
    </row>
    <row r="9860" spans="1:6" x14ac:dyDescent="0.2">
      <c r="A9860">
        <v>4</v>
      </c>
      <c r="E9860" t="str">
        <f t="shared" si="327"/>
        <v>E</v>
      </c>
      <c r="F9860" t="str">
        <f t="shared" si="328"/>
        <v>4E</v>
      </c>
    </row>
    <row r="9861" spans="1:6" x14ac:dyDescent="0.2">
      <c r="A9861">
        <v>5</v>
      </c>
      <c r="E9861" t="str">
        <f t="shared" si="327"/>
        <v>F</v>
      </c>
      <c r="F9861" t="str">
        <f t="shared" si="328"/>
        <v>5F</v>
      </c>
    </row>
    <row r="9862" spans="1:6" x14ac:dyDescent="0.2">
      <c r="A9862">
        <v>6</v>
      </c>
      <c r="E9862" t="str">
        <f t="shared" si="327"/>
        <v>G</v>
      </c>
      <c r="F9862" t="str">
        <f t="shared" si="328"/>
        <v>6G</v>
      </c>
    </row>
    <row r="9863" spans="1:6" x14ac:dyDescent="0.2">
      <c r="A9863">
        <v>7</v>
      </c>
      <c r="E9863" t="str">
        <f t="shared" si="327"/>
        <v>H</v>
      </c>
      <c r="F9863" t="str">
        <f t="shared" si="328"/>
        <v>7H</v>
      </c>
    </row>
    <row r="9864" spans="1:6" x14ac:dyDescent="0.2">
      <c r="A9864">
        <v>8</v>
      </c>
      <c r="E9864" t="str">
        <f t="shared" si="327"/>
        <v>I</v>
      </c>
      <c r="F9864" t="str">
        <f t="shared" si="328"/>
        <v>8I</v>
      </c>
    </row>
    <row r="9865" spans="1:6" x14ac:dyDescent="0.2">
      <c r="A9865">
        <v>9</v>
      </c>
      <c r="E9865" t="str">
        <f t="shared" si="327"/>
        <v>J</v>
      </c>
      <c r="F9865" t="str">
        <f t="shared" si="328"/>
        <v>9J</v>
      </c>
    </row>
    <row r="9866" spans="1:6" x14ac:dyDescent="0.2">
      <c r="A9866">
        <v>10</v>
      </c>
      <c r="E9866" t="str">
        <f t="shared" si="327"/>
        <v>K</v>
      </c>
      <c r="F9866" t="str">
        <f t="shared" si="328"/>
        <v>10K</v>
      </c>
    </row>
    <row r="9867" spans="1:6" x14ac:dyDescent="0.2">
      <c r="A9867">
        <v>11</v>
      </c>
      <c r="E9867" t="str">
        <f t="shared" si="327"/>
        <v>L</v>
      </c>
      <c r="F9867" t="str">
        <f t="shared" si="328"/>
        <v>11L</v>
      </c>
    </row>
    <row r="9868" spans="1:6" x14ac:dyDescent="0.2">
      <c r="A9868">
        <v>12</v>
      </c>
      <c r="E9868" t="str">
        <f t="shared" si="327"/>
        <v>M</v>
      </c>
      <c r="F9868" t="str">
        <f t="shared" si="328"/>
        <v>12M</v>
      </c>
    </row>
    <row r="9869" spans="1:6" x14ac:dyDescent="0.2">
      <c r="A9869">
        <v>13</v>
      </c>
      <c r="E9869" t="str">
        <f t="shared" si="327"/>
        <v>N</v>
      </c>
      <c r="F9869" t="str">
        <f t="shared" si="328"/>
        <v>13N</v>
      </c>
    </row>
    <row r="9870" spans="1:6" x14ac:dyDescent="0.2">
      <c r="A9870">
        <v>14</v>
      </c>
      <c r="E9870" t="str">
        <f t="shared" si="327"/>
        <v>O</v>
      </c>
      <c r="F9870" t="str">
        <f t="shared" si="328"/>
        <v>14O</v>
      </c>
    </row>
    <row r="9871" spans="1:6" x14ac:dyDescent="0.2">
      <c r="A9871">
        <v>15</v>
      </c>
      <c r="E9871" t="str">
        <f t="shared" si="327"/>
        <v>P</v>
      </c>
      <c r="F9871" t="str">
        <f t="shared" si="328"/>
        <v>15P</v>
      </c>
    </row>
    <row r="9872" spans="1:6" x14ac:dyDescent="0.2">
      <c r="A9872">
        <v>16</v>
      </c>
      <c r="E9872" t="str">
        <f t="shared" si="327"/>
        <v>Q</v>
      </c>
      <c r="F9872" t="str">
        <f t="shared" si="328"/>
        <v>16Q</v>
      </c>
    </row>
    <row r="9873" spans="1:6" x14ac:dyDescent="0.2">
      <c r="A9873">
        <v>17</v>
      </c>
      <c r="E9873" t="str">
        <f t="shared" si="327"/>
        <v>R</v>
      </c>
      <c r="F9873" t="str">
        <f t="shared" si="328"/>
        <v>17R</v>
      </c>
    </row>
    <row r="9874" spans="1:6" x14ac:dyDescent="0.2">
      <c r="A9874">
        <v>18</v>
      </c>
      <c r="E9874" t="str">
        <f t="shared" si="327"/>
        <v>S</v>
      </c>
      <c r="F9874" t="str">
        <f t="shared" si="328"/>
        <v>18S</v>
      </c>
    </row>
    <row r="9875" spans="1:6" x14ac:dyDescent="0.2">
      <c r="A9875">
        <v>19</v>
      </c>
      <c r="E9875" t="str">
        <f t="shared" si="327"/>
        <v>T</v>
      </c>
      <c r="F9875" t="str">
        <f t="shared" si="328"/>
        <v>19T</v>
      </c>
    </row>
    <row r="9876" spans="1:6" x14ac:dyDescent="0.2">
      <c r="A9876">
        <v>20</v>
      </c>
      <c r="E9876" t="str">
        <f t="shared" si="327"/>
        <v>U</v>
      </c>
      <c r="F9876" t="str">
        <f t="shared" si="328"/>
        <v>20U</v>
      </c>
    </row>
    <row r="9877" spans="1:6" x14ac:dyDescent="0.2">
      <c r="A9877">
        <v>21</v>
      </c>
      <c r="E9877" t="str">
        <f t="shared" ref="E9877:E9940" si="329">E9851</f>
        <v>V</v>
      </c>
      <c r="F9877" t="str">
        <f t="shared" ref="F9877:F9940" si="330">A9877&amp;C9877&amp;E9877</f>
        <v>21V</v>
      </c>
    </row>
    <row r="9878" spans="1:6" x14ac:dyDescent="0.2">
      <c r="A9878">
        <v>22</v>
      </c>
      <c r="E9878" t="str">
        <f t="shared" si="329"/>
        <v>W</v>
      </c>
      <c r="F9878" t="str">
        <f t="shared" si="330"/>
        <v>22W</v>
      </c>
    </row>
    <row r="9879" spans="1:6" x14ac:dyDescent="0.2">
      <c r="A9879">
        <v>23</v>
      </c>
      <c r="E9879" t="str">
        <f t="shared" si="329"/>
        <v>X</v>
      </c>
      <c r="F9879" t="str">
        <f t="shared" si="330"/>
        <v>23X</v>
      </c>
    </row>
    <row r="9880" spans="1:6" x14ac:dyDescent="0.2">
      <c r="A9880">
        <v>24</v>
      </c>
      <c r="E9880" t="str">
        <f t="shared" si="329"/>
        <v>Y</v>
      </c>
      <c r="F9880" t="str">
        <f t="shared" si="330"/>
        <v>24Y</v>
      </c>
    </row>
    <row r="9881" spans="1:6" x14ac:dyDescent="0.2">
      <c r="A9881">
        <v>25</v>
      </c>
      <c r="E9881" t="str">
        <f t="shared" si="329"/>
        <v>Z</v>
      </c>
      <c r="F9881" t="str">
        <f t="shared" si="330"/>
        <v>25Z</v>
      </c>
    </row>
    <row r="9882" spans="1:6" x14ac:dyDescent="0.2">
      <c r="A9882">
        <v>0</v>
      </c>
      <c r="E9882" t="str">
        <f t="shared" si="329"/>
        <v>A</v>
      </c>
      <c r="F9882" t="str">
        <f t="shared" si="330"/>
        <v>0A</v>
      </c>
    </row>
    <row r="9883" spans="1:6" x14ac:dyDescent="0.2">
      <c r="A9883">
        <v>1</v>
      </c>
      <c r="E9883" t="str">
        <f t="shared" si="329"/>
        <v>B</v>
      </c>
      <c r="F9883" t="str">
        <f t="shared" si="330"/>
        <v>1B</v>
      </c>
    </row>
    <row r="9884" spans="1:6" x14ac:dyDescent="0.2">
      <c r="A9884">
        <v>2</v>
      </c>
      <c r="E9884" t="str">
        <f t="shared" si="329"/>
        <v>C</v>
      </c>
      <c r="F9884" t="str">
        <f t="shared" si="330"/>
        <v>2C</v>
      </c>
    </row>
    <row r="9885" spans="1:6" x14ac:dyDescent="0.2">
      <c r="A9885">
        <v>3</v>
      </c>
      <c r="E9885" t="str">
        <f t="shared" si="329"/>
        <v>D</v>
      </c>
      <c r="F9885" t="str">
        <f t="shared" si="330"/>
        <v>3D</v>
      </c>
    </row>
    <row r="9886" spans="1:6" x14ac:dyDescent="0.2">
      <c r="A9886">
        <v>4</v>
      </c>
      <c r="E9886" t="str">
        <f t="shared" si="329"/>
        <v>E</v>
      </c>
      <c r="F9886" t="str">
        <f t="shared" si="330"/>
        <v>4E</v>
      </c>
    </row>
    <row r="9887" spans="1:6" x14ac:dyDescent="0.2">
      <c r="A9887">
        <v>5</v>
      </c>
      <c r="E9887" t="str">
        <f t="shared" si="329"/>
        <v>F</v>
      </c>
      <c r="F9887" t="str">
        <f t="shared" si="330"/>
        <v>5F</v>
      </c>
    </row>
    <row r="9888" spans="1:6" x14ac:dyDescent="0.2">
      <c r="A9888">
        <v>6</v>
      </c>
      <c r="E9888" t="str">
        <f t="shared" si="329"/>
        <v>G</v>
      </c>
      <c r="F9888" t="str">
        <f t="shared" si="330"/>
        <v>6G</v>
      </c>
    </row>
    <row r="9889" spans="1:6" x14ac:dyDescent="0.2">
      <c r="A9889">
        <v>7</v>
      </c>
      <c r="E9889" t="str">
        <f t="shared" si="329"/>
        <v>H</v>
      </c>
      <c r="F9889" t="str">
        <f t="shared" si="330"/>
        <v>7H</v>
      </c>
    </row>
    <row r="9890" spans="1:6" x14ac:dyDescent="0.2">
      <c r="A9890">
        <v>8</v>
      </c>
      <c r="E9890" t="str">
        <f t="shared" si="329"/>
        <v>I</v>
      </c>
      <c r="F9890" t="str">
        <f t="shared" si="330"/>
        <v>8I</v>
      </c>
    </row>
    <row r="9891" spans="1:6" x14ac:dyDescent="0.2">
      <c r="A9891">
        <v>9</v>
      </c>
      <c r="E9891" t="str">
        <f t="shared" si="329"/>
        <v>J</v>
      </c>
      <c r="F9891" t="str">
        <f t="shared" si="330"/>
        <v>9J</v>
      </c>
    </row>
    <row r="9892" spans="1:6" x14ac:dyDescent="0.2">
      <c r="A9892">
        <v>10</v>
      </c>
      <c r="E9892" t="str">
        <f t="shared" si="329"/>
        <v>K</v>
      </c>
      <c r="F9892" t="str">
        <f t="shared" si="330"/>
        <v>10K</v>
      </c>
    </row>
    <row r="9893" spans="1:6" x14ac:dyDescent="0.2">
      <c r="A9893">
        <v>11</v>
      </c>
      <c r="E9893" t="str">
        <f t="shared" si="329"/>
        <v>L</v>
      </c>
      <c r="F9893" t="str">
        <f t="shared" si="330"/>
        <v>11L</v>
      </c>
    </row>
    <row r="9894" spans="1:6" x14ac:dyDescent="0.2">
      <c r="A9894">
        <v>12</v>
      </c>
      <c r="E9894" t="str">
        <f t="shared" si="329"/>
        <v>M</v>
      </c>
      <c r="F9894" t="str">
        <f t="shared" si="330"/>
        <v>12M</v>
      </c>
    </row>
    <row r="9895" spans="1:6" x14ac:dyDescent="0.2">
      <c r="A9895">
        <v>13</v>
      </c>
      <c r="E9895" t="str">
        <f t="shared" si="329"/>
        <v>N</v>
      </c>
      <c r="F9895" t="str">
        <f t="shared" si="330"/>
        <v>13N</v>
      </c>
    </row>
    <row r="9896" spans="1:6" x14ac:dyDescent="0.2">
      <c r="A9896">
        <v>14</v>
      </c>
      <c r="E9896" t="str">
        <f t="shared" si="329"/>
        <v>O</v>
      </c>
      <c r="F9896" t="str">
        <f t="shared" si="330"/>
        <v>14O</v>
      </c>
    </row>
    <row r="9897" spans="1:6" x14ac:dyDescent="0.2">
      <c r="A9897">
        <v>15</v>
      </c>
      <c r="E9897" t="str">
        <f t="shared" si="329"/>
        <v>P</v>
      </c>
      <c r="F9897" t="str">
        <f t="shared" si="330"/>
        <v>15P</v>
      </c>
    </row>
    <row r="9898" spans="1:6" x14ac:dyDescent="0.2">
      <c r="A9898">
        <v>16</v>
      </c>
      <c r="E9898" t="str">
        <f t="shared" si="329"/>
        <v>Q</v>
      </c>
      <c r="F9898" t="str">
        <f t="shared" si="330"/>
        <v>16Q</v>
      </c>
    </row>
    <row r="9899" spans="1:6" x14ac:dyDescent="0.2">
      <c r="A9899">
        <v>17</v>
      </c>
      <c r="E9899" t="str">
        <f t="shared" si="329"/>
        <v>R</v>
      </c>
      <c r="F9899" t="str">
        <f t="shared" si="330"/>
        <v>17R</v>
      </c>
    </row>
    <row r="9900" spans="1:6" x14ac:dyDescent="0.2">
      <c r="A9900">
        <v>18</v>
      </c>
      <c r="E9900" t="str">
        <f t="shared" si="329"/>
        <v>S</v>
      </c>
      <c r="F9900" t="str">
        <f t="shared" si="330"/>
        <v>18S</v>
      </c>
    </row>
    <row r="9901" spans="1:6" x14ac:dyDescent="0.2">
      <c r="A9901">
        <v>19</v>
      </c>
      <c r="E9901" t="str">
        <f t="shared" si="329"/>
        <v>T</v>
      </c>
      <c r="F9901" t="str">
        <f t="shared" si="330"/>
        <v>19T</v>
      </c>
    </row>
    <row r="9902" spans="1:6" x14ac:dyDescent="0.2">
      <c r="A9902">
        <v>20</v>
      </c>
      <c r="E9902" t="str">
        <f t="shared" si="329"/>
        <v>U</v>
      </c>
      <c r="F9902" t="str">
        <f t="shared" si="330"/>
        <v>20U</v>
      </c>
    </row>
    <row r="9903" spans="1:6" x14ac:dyDescent="0.2">
      <c r="A9903">
        <v>21</v>
      </c>
      <c r="E9903" t="str">
        <f t="shared" si="329"/>
        <v>V</v>
      </c>
      <c r="F9903" t="str">
        <f t="shared" si="330"/>
        <v>21V</v>
      </c>
    </row>
    <row r="9904" spans="1:6" x14ac:dyDescent="0.2">
      <c r="A9904">
        <v>22</v>
      </c>
      <c r="E9904" t="str">
        <f t="shared" si="329"/>
        <v>W</v>
      </c>
      <c r="F9904" t="str">
        <f t="shared" si="330"/>
        <v>22W</v>
      </c>
    </row>
    <row r="9905" spans="1:6" x14ac:dyDescent="0.2">
      <c r="A9905">
        <v>23</v>
      </c>
      <c r="E9905" t="str">
        <f t="shared" si="329"/>
        <v>X</v>
      </c>
      <c r="F9905" t="str">
        <f t="shared" si="330"/>
        <v>23X</v>
      </c>
    </row>
    <row r="9906" spans="1:6" x14ac:dyDescent="0.2">
      <c r="A9906">
        <v>24</v>
      </c>
      <c r="E9906" t="str">
        <f t="shared" si="329"/>
        <v>Y</v>
      </c>
      <c r="F9906" t="str">
        <f t="shared" si="330"/>
        <v>24Y</v>
      </c>
    </row>
    <row r="9907" spans="1:6" x14ac:dyDescent="0.2">
      <c r="A9907">
        <v>25</v>
      </c>
      <c r="E9907" t="str">
        <f t="shared" si="329"/>
        <v>Z</v>
      </c>
      <c r="F9907" t="str">
        <f t="shared" si="330"/>
        <v>25Z</v>
      </c>
    </row>
    <row r="9908" spans="1:6" x14ac:dyDescent="0.2">
      <c r="A9908">
        <v>0</v>
      </c>
      <c r="E9908" t="str">
        <f t="shared" si="329"/>
        <v>A</v>
      </c>
      <c r="F9908" t="str">
        <f t="shared" si="330"/>
        <v>0A</v>
      </c>
    </row>
    <row r="9909" spans="1:6" x14ac:dyDescent="0.2">
      <c r="A9909">
        <v>1</v>
      </c>
      <c r="E9909" t="str">
        <f t="shared" si="329"/>
        <v>B</v>
      </c>
      <c r="F9909" t="str">
        <f t="shared" si="330"/>
        <v>1B</v>
      </c>
    </row>
    <row r="9910" spans="1:6" x14ac:dyDescent="0.2">
      <c r="A9910">
        <v>2</v>
      </c>
      <c r="E9910" t="str">
        <f t="shared" si="329"/>
        <v>C</v>
      </c>
      <c r="F9910" t="str">
        <f t="shared" si="330"/>
        <v>2C</v>
      </c>
    </row>
    <row r="9911" spans="1:6" x14ac:dyDescent="0.2">
      <c r="A9911">
        <v>3</v>
      </c>
      <c r="E9911" t="str">
        <f t="shared" si="329"/>
        <v>D</v>
      </c>
      <c r="F9911" t="str">
        <f t="shared" si="330"/>
        <v>3D</v>
      </c>
    </row>
    <row r="9912" spans="1:6" x14ac:dyDescent="0.2">
      <c r="A9912">
        <v>4</v>
      </c>
      <c r="E9912" t="str">
        <f t="shared" si="329"/>
        <v>E</v>
      </c>
      <c r="F9912" t="str">
        <f t="shared" si="330"/>
        <v>4E</v>
      </c>
    </row>
    <row r="9913" spans="1:6" x14ac:dyDescent="0.2">
      <c r="A9913">
        <v>5</v>
      </c>
      <c r="E9913" t="str">
        <f t="shared" si="329"/>
        <v>F</v>
      </c>
      <c r="F9913" t="str">
        <f t="shared" si="330"/>
        <v>5F</v>
      </c>
    </row>
    <row r="9914" spans="1:6" x14ac:dyDescent="0.2">
      <c r="A9914">
        <v>6</v>
      </c>
      <c r="E9914" t="str">
        <f t="shared" si="329"/>
        <v>G</v>
      </c>
      <c r="F9914" t="str">
        <f t="shared" si="330"/>
        <v>6G</v>
      </c>
    </row>
    <row r="9915" spans="1:6" x14ac:dyDescent="0.2">
      <c r="A9915">
        <v>7</v>
      </c>
      <c r="E9915" t="str">
        <f t="shared" si="329"/>
        <v>H</v>
      </c>
      <c r="F9915" t="str">
        <f t="shared" si="330"/>
        <v>7H</v>
      </c>
    </row>
    <row r="9916" spans="1:6" x14ac:dyDescent="0.2">
      <c r="A9916">
        <v>8</v>
      </c>
      <c r="E9916" t="str">
        <f t="shared" si="329"/>
        <v>I</v>
      </c>
      <c r="F9916" t="str">
        <f t="shared" si="330"/>
        <v>8I</v>
      </c>
    </row>
    <row r="9917" spans="1:6" x14ac:dyDescent="0.2">
      <c r="A9917">
        <v>9</v>
      </c>
      <c r="E9917" t="str">
        <f t="shared" si="329"/>
        <v>J</v>
      </c>
      <c r="F9917" t="str">
        <f t="shared" si="330"/>
        <v>9J</v>
      </c>
    </row>
    <row r="9918" spans="1:6" x14ac:dyDescent="0.2">
      <c r="A9918">
        <v>10</v>
      </c>
      <c r="E9918" t="str">
        <f t="shared" si="329"/>
        <v>K</v>
      </c>
      <c r="F9918" t="str">
        <f t="shared" si="330"/>
        <v>10K</v>
      </c>
    </row>
    <row r="9919" spans="1:6" x14ac:dyDescent="0.2">
      <c r="A9919">
        <v>11</v>
      </c>
      <c r="E9919" t="str">
        <f t="shared" si="329"/>
        <v>L</v>
      </c>
      <c r="F9919" t="str">
        <f t="shared" si="330"/>
        <v>11L</v>
      </c>
    </row>
    <row r="9920" spans="1:6" x14ac:dyDescent="0.2">
      <c r="A9920">
        <v>12</v>
      </c>
      <c r="E9920" t="str">
        <f t="shared" si="329"/>
        <v>M</v>
      </c>
      <c r="F9920" t="str">
        <f t="shared" si="330"/>
        <v>12M</v>
      </c>
    </row>
    <row r="9921" spans="1:6" x14ac:dyDescent="0.2">
      <c r="A9921">
        <v>13</v>
      </c>
      <c r="E9921" t="str">
        <f t="shared" si="329"/>
        <v>N</v>
      </c>
      <c r="F9921" t="str">
        <f t="shared" si="330"/>
        <v>13N</v>
      </c>
    </row>
    <row r="9922" spans="1:6" x14ac:dyDescent="0.2">
      <c r="A9922">
        <v>14</v>
      </c>
      <c r="E9922" t="str">
        <f t="shared" si="329"/>
        <v>O</v>
      </c>
      <c r="F9922" t="str">
        <f t="shared" si="330"/>
        <v>14O</v>
      </c>
    </row>
    <row r="9923" spans="1:6" x14ac:dyDescent="0.2">
      <c r="A9923">
        <v>15</v>
      </c>
      <c r="E9923" t="str">
        <f t="shared" si="329"/>
        <v>P</v>
      </c>
      <c r="F9923" t="str">
        <f t="shared" si="330"/>
        <v>15P</v>
      </c>
    </row>
    <row r="9924" spans="1:6" x14ac:dyDescent="0.2">
      <c r="A9924">
        <v>16</v>
      </c>
      <c r="E9924" t="str">
        <f t="shared" si="329"/>
        <v>Q</v>
      </c>
      <c r="F9924" t="str">
        <f t="shared" si="330"/>
        <v>16Q</v>
      </c>
    </row>
    <row r="9925" spans="1:6" x14ac:dyDescent="0.2">
      <c r="A9925">
        <v>17</v>
      </c>
      <c r="E9925" t="str">
        <f t="shared" si="329"/>
        <v>R</v>
      </c>
      <c r="F9925" t="str">
        <f t="shared" si="330"/>
        <v>17R</v>
      </c>
    </row>
    <row r="9926" spans="1:6" x14ac:dyDescent="0.2">
      <c r="A9926">
        <v>18</v>
      </c>
      <c r="E9926" t="str">
        <f t="shared" si="329"/>
        <v>S</v>
      </c>
      <c r="F9926" t="str">
        <f t="shared" si="330"/>
        <v>18S</v>
      </c>
    </row>
    <row r="9927" spans="1:6" x14ac:dyDescent="0.2">
      <c r="A9927">
        <v>19</v>
      </c>
      <c r="E9927" t="str">
        <f t="shared" si="329"/>
        <v>T</v>
      </c>
      <c r="F9927" t="str">
        <f t="shared" si="330"/>
        <v>19T</v>
      </c>
    </row>
    <row r="9928" spans="1:6" x14ac:dyDescent="0.2">
      <c r="A9928">
        <v>20</v>
      </c>
      <c r="E9928" t="str">
        <f t="shared" si="329"/>
        <v>U</v>
      </c>
      <c r="F9928" t="str">
        <f t="shared" si="330"/>
        <v>20U</v>
      </c>
    </row>
    <row r="9929" spans="1:6" x14ac:dyDescent="0.2">
      <c r="A9929">
        <v>21</v>
      </c>
      <c r="E9929" t="str">
        <f t="shared" si="329"/>
        <v>V</v>
      </c>
      <c r="F9929" t="str">
        <f t="shared" si="330"/>
        <v>21V</v>
      </c>
    </row>
    <row r="9930" spans="1:6" x14ac:dyDescent="0.2">
      <c r="A9930">
        <v>22</v>
      </c>
      <c r="E9930" t="str">
        <f t="shared" si="329"/>
        <v>W</v>
      </c>
      <c r="F9930" t="str">
        <f t="shared" si="330"/>
        <v>22W</v>
      </c>
    </row>
    <row r="9931" spans="1:6" x14ac:dyDescent="0.2">
      <c r="A9931">
        <v>23</v>
      </c>
      <c r="E9931" t="str">
        <f t="shared" si="329"/>
        <v>X</v>
      </c>
      <c r="F9931" t="str">
        <f t="shared" si="330"/>
        <v>23X</v>
      </c>
    </row>
    <row r="9932" spans="1:6" x14ac:dyDescent="0.2">
      <c r="A9932">
        <v>24</v>
      </c>
      <c r="E9932" t="str">
        <f t="shared" si="329"/>
        <v>Y</v>
      </c>
      <c r="F9932" t="str">
        <f t="shared" si="330"/>
        <v>24Y</v>
      </c>
    </row>
    <row r="9933" spans="1:6" x14ac:dyDescent="0.2">
      <c r="A9933">
        <v>25</v>
      </c>
      <c r="E9933" t="str">
        <f t="shared" si="329"/>
        <v>Z</v>
      </c>
      <c r="F9933" t="str">
        <f t="shared" si="330"/>
        <v>25Z</v>
      </c>
    </row>
    <row r="9934" spans="1:6" x14ac:dyDescent="0.2">
      <c r="A9934">
        <v>0</v>
      </c>
      <c r="E9934" t="str">
        <f t="shared" si="329"/>
        <v>A</v>
      </c>
      <c r="F9934" t="str">
        <f t="shared" si="330"/>
        <v>0A</v>
      </c>
    </row>
    <row r="9935" spans="1:6" x14ac:dyDescent="0.2">
      <c r="A9935">
        <v>1</v>
      </c>
      <c r="E9935" t="str">
        <f t="shared" si="329"/>
        <v>B</v>
      </c>
      <c r="F9935" t="str">
        <f t="shared" si="330"/>
        <v>1B</v>
      </c>
    </row>
    <row r="9936" spans="1:6" x14ac:dyDescent="0.2">
      <c r="A9936">
        <v>2</v>
      </c>
      <c r="E9936" t="str">
        <f t="shared" si="329"/>
        <v>C</v>
      </c>
      <c r="F9936" t="str">
        <f t="shared" si="330"/>
        <v>2C</v>
      </c>
    </row>
    <row r="9937" spans="1:6" x14ac:dyDescent="0.2">
      <c r="A9937">
        <v>3</v>
      </c>
      <c r="E9937" t="str">
        <f t="shared" si="329"/>
        <v>D</v>
      </c>
      <c r="F9937" t="str">
        <f t="shared" si="330"/>
        <v>3D</v>
      </c>
    </row>
    <row r="9938" spans="1:6" x14ac:dyDescent="0.2">
      <c r="A9938">
        <v>4</v>
      </c>
      <c r="E9938" t="str">
        <f t="shared" si="329"/>
        <v>E</v>
      </c>
      <c r="F9938" t="str">
        <f t="shared" si="330"/>
        <v>4E</v>
      </c>
    </row>
    <row r="9939" spans="1:6" x14ac:dyDescent="0.2">
      <c r="A9939">
        <v>5</v>
      </c>
      <c r="E9939" t="str">
        <f t="shared" si="329"/>
        <v>F</v>
      </c>
      <c r="F9939" t="str">
        <f t="shared" si="330"/>
        <v>5F</v>
      </c>
    </row>
    <row r="9940" spans="1:6" x14ac:dyDescent="0.2">
      <c r="A9940">
        <v>6</v>
      </c>
      <c r="E9940" t="str">
        <f t="shared" si="329"/>
        <v>G</v>
      </c>
      <c r="F9940" t="str">
        <f t="shared" si="330"/>
        <v>6G</v>
      </c>
    </row>
    <row r="9941" spans="1:6" x14ac:dyDescent="0.2">
      <c r="A9941">
        <v>7</v>
      </c>
      <c r="E9941" t="str">
        <f t="shared" ref="E9941:E10004" si="331">E9915</f>
        <v>H</v>
      </c>
      <c r="F9941" t="str">
        <f t="shared" ref="F9941:F10004" si="332">A9941&amp;C9941&amp;E9941</f>
        <v>7H</v>
      </c>
    </row>
    <row r="9942" spans="1:6" x14ac:dyDescent="0.2">
      <c r="A9942">
        <v>8</v>
      </c>
      <c r="E9942" t="str">
        <f t="shared" si="331"/>
        <v>I</v>
      </c>
      <c r="F9942" t="str">
        <f t="shared" si="332"/>
        <v>8I</v>
      </c>
    </row>
    <row r="9943" spans="1:6" x14ac:dyDescent="0.2">
      <c r="A9943">
        <v>9</v>
      </c>
      <c r="E9943" t="str">
        <f t="shared" si="331"/>
        <v>J</v>
      </c>
      <c r="F9943" t="str">
        <f t="shared" si="332"/>
        <v>9J</v>
      </c>
    </row>
    <row r="9944" spans="1:6" x14ac:dyDescent="0.2">
      <c r="A9944">
        <v>10</v>
      </c>
      <c r="E9944" t="str">
        <f t="shared" si="331"/>
        <v>K</v>
      </c>
      <c r="F9944" t="str">
        <f t="shared" si="332"/>
        <v>10K</v>
      </c>
    </row>
    <row r="9945" spans="1:6" x14ac:dyDescent="0.2">
      <c r="A9945">
        <v>11</v>
      </c>
      <c r="E9945" t="str">
        <f t="shared" si="331"/>
        <v>L</v>
      </c>
      <c r="F9945" t="str">
        <f t="shared" si="332"/>
        <v>11L</v>
      </c>
    </row>
    <row r="9946" spans="1:6" x14ac:dyDescent="0.2">
      <c r="A9946">
        <v>12</v>
      </c>
      <c r="E9946" t="str">
        <f t="shared" si="331"/>
        <v>M</v>
      </c>
      <c r="F9946" t="str">
        <f t="shared" si="332"/>
        <v>12M</v>
      </c>
    </row>
    <row r="9947" spans="1:6" x14ac:dyDescent="0.2">
      <c r="A9947">
        <v>13</v>
      </c>
      <c r="E9947" t="str">
        <f t="shared" si="331"/>
        <v>N</v>
      </c>
      <c r="F9947" t="str">
        <f t="shared" si="332"/>
        <v>13N</v>
      </c>
    </row>
    <row r="9948" spans="1:6" x14ac:dyDescent="0.2">
      <c r="A9948">
        <v>14</v>
      </c>
      <c r="E9948" t="str">
        <f t="shared" si="331"/>
        <v>O</v>
      </c>
      <c r="F9948" t="str">
        <f t="shared" si="332"/>
        <v>14O</v>
      </c>
    </row>
    <row r="9949" spans="1:6" x14ac:dyDescent="0.2">
      <c r="A9949">
        <v>15</v>
      </c>
      <c r="E9949" t="str">
        <f t="shared" si="331"/>
        <v>P</v>
      </c>
      <c r="F9949" t="str">
        <f t="shared" si="332"/>
        <v>15P</v>
      </c>
    </row>
    <row r="9950" spans="1:6" x14ac:dyDescent="0.2">
      <c r="A9950">
        <v>16</v>
      </c>
      <c r="E9950" t="str">
        <f t="shared" si="331"/>
        <v>Q</v>
      </c>
      <c r="F9950" t="str">
        <f t="shared" si="332"/>
        <v>16Q</v>
      </c>
    </row>
    <row r="9951" spans="1:6" x14ac:dyDescent="0.2">
      <c r="A9951">
        <v>17</v>
      </c>
      <c r="E9951" t="str">
        <f t="shared" si="331"/>
        <v>R</v>
      </c>
      <c r="F9951" t="str">
        <f t="shared" si="332"/>
        <v>17R</v>
      </c>
    </row>
    <row r="9952" spans="1:6" x14ac:dyDescent="0.2">
      <c r="A9952">
        <v>18</v>
      </c>
      <c r="E9952" t="str">
        <f t="shared" si="331"/>
        <v>S</v>
      </c>
      <c r="F9952" t="str">
        <f t="shared" si="332"/>
        <v>18S</v>
      </c>
    </row>
    <row r="9953" spans="1:6" x14ac:dyDescent="0.2">
      <c r="A9953">
        <v>19</v>
      </c>
      <c r="E9953" t="str">
        <f t="shared" si="331"/>
        <v>T</v>
      </c>
      <c r="F9953" t="str">
        <f t="shared" si="332"/>
        <v>19T</v>
      </c>
    </row>
    <row r="9954" spans="1:6" x14ac:dyDescent="0.2">
      <c r="A9954">
        <v>20</v>
      </c>
      <c r="E9954" t="str">
        <f t="shared" si="331"/>
        <v>U</v>
      </c>
      <c r="F9954" t="str">
        <f t="shared" si="332"/>
        <v>20U</v>
      </c>
    </row>
    <row r="9955" spans="1:6" x14ac:dyDescent="0.2">
      <c r="A9955">
        <v>21</v>
      </c>
      <c r="E9955" t="str">
        <f t="shared" si="331"/>
        <v>V</v>
      </c>
      <c r="F9955" t="str">
        <f t="shared" si="332"/>
        <v>21V</v>
      </c>
    </row>
    <row r="9956" spans="1:6" x14ac:dyDescent="0.2">
      <c r="A9956">
        <v>22</v>
      </c>
      <c r="E9956" t="str">
        <f t="shared" si="331"/>
        <v>W</v>
      </c>
      <c r="F9956" t="str">
        <f t="shared" si="332"/>
        <v>22W</v>
      </c>
    </row>
    <row r="9957" spans="1:6" x14ac:dyDescent="0.2">
      <c r="A9957">
        <v>23</v>
      </c>
      <c r="E9957" t="str">
        <f t="shared" si="331"/>
        <v>X</v>
      </c>
      <c r="F9957" t="str">
        <f t="shared" si="332"/>
        <v>23X</v>
      </c>
    </row>
    <row r="9958" spans="1:6" x14ac:dyDescent="0.2">
      <c r="A9958">
        <v>24</v>
      </c>
      <c r="E9958" t="str">
        <f t="shared" si="331"/>
        <v>Y</v>
      </c>
      <c r="F9958" t="str">
        <f t="shared" si="332"/>
        <v>24Y</v>
      </c>
    </row>
    <row r="9959" spans="1:6" x14ac:dyDescent="0.2">
      <c r="A9959">
        <v>25</v>
      </c>
      <c r="E9959" t="str">
        <f t="shared" si="331"/>
        <v>Z</v>
      </c>
      <c r="F9959" t="str">
        <f t="shared" si="332"/>
        <v>25Z</v>
      </c>
    </row>
    <row r="9960" spans="1:6" x14ac:dyDescent="0.2">
      <c r="A9960">
        <v>0</v>
      </c>
      <c r="E9960" t="str">
        <f t="shared" si="331"/>
        <v>A</v>
      </c>
      <c r="F9960" t="str">
        <f t="shared" si="332"/>
        <v>0A</v>
      </c>
    </row>
    <row r="9961" spans="1:6" x14ac:dyDescent="0.2">
      <c r="A9961">
        <v>1</v>
      </c>
      <c r="E9961" t="str">
        <f t="shared" si="331"/>
        <v>B</v>
      </c>
      <c r="F9961" t="str">
        <f t="shared" si="332"/>
        <v>1B</v>
      </c>
    </row>
    <row r="9962" spans="1:6" x14ac:dyDescent="0.2">
      <c r="A9962">
        <v>2</v>
      </c>
      <c r="E9962" t="str">
        <f t="shared" si="331"/>
        <v>C</v>
      </c>
      <c r="F9962" t="str">
        <f t="shared" si="332"/>
        <v>2C</v>
      </c>
    </row>
    <row r="9963" spans="1:6" x14ac:dyDescent="0.2">
      <c r="A9963">
        <v>3</v>
      </c>
      <c r="E9963" t="str">
        <f t="shared" si="331"/>
        <v>D</v>
      </c>
      <c r="F9963" t="str">
        <f t="shared" si="332"/>
        <v>3D</v>
      </c>
    </row>
    <row r="9964" spans="1:6" x14ac:dyDescent="0.2">
      <c r="A9964">
        <v>4</v>
      </c>
      <c r="E9964" t="str">
        <f t="shared" si="331"/>
        <v>E</v>
      </c>
      <c r="F9964" t="str">
        <f t="shared" si="332"/>
        <v>4E</v>
      </c>
    </row>
    <row r="9965" spans="1:6" x14ac:dyDescent="0.2">
      <c r="A9965">
        <v>5</v>
      </c>
      <c r="E9965" t="str">
        <f t="shared" si="331"/>
        <v>F</v>
      </c>
      <c r="F9965" t="str">
        <f t="shared" si="332"/>
        <v>5F</v>
      </c>
    </row>
    <row r="9966" spans="1:6" x14ac:dyDescent="0.2">
      <c r="A9966">
        <v>6</v>
      </c>
      <c r="E9966" t="str">
        <f t="shared" si="331"/>
        <v>G</v>
      </c>
      <c r="F9966" t="str">
        <f t="shared" si="332"/>
        <v>6G</v>
      </c>
    </row>
    <row r="9967" spans="1:6" x14ac:dyDescent="0.2">
      <c r="A9967">
        <v>7</v>
      </c>
      <c r="E9967" t="str">
        <f t="shared" si="331"/>
        <v>H</v>
      </c>
      <c r="F9967" t="str">
        <f t="shared" si="332"/>
        <v>7H</v>
      </c>
    </row>
    <row r="9968" spans="1:6" x14ac:dyDescent="0.2">
      <c r="A9968">
        <v>8</v>
      </c>
      <c r="E9968" t="str">
        <f t="shared" si="331"/>
        <v>I</v>
      </c>
      <c r="F9968" t="str">
        <f t="shared" si="332"/>
        <v>8I</v>
      </c>
    </row>
    <row r="9969" spans="1:6" x14ac:dyDescent="0.2">
      <c r="A9969">
        <v>9</v>
      </c>
      <c r="E9969" t="str">
        <f t="shared" si="331"/>
        <v>J</v>
      </c>
      <c r="F9969" t="str">
        <f t="shared" si="332"/>
        <v>9J</v>
      </c>
    </row>
    <row r="9970" spans="1:6" x14ac:dyDescent="0.2">
      <c r="A9970">
        <v>10</v>
      </c>
      <c r="E9970" t="str">
        <f t="shared" si="331"/>
        <v>K</v>
      </c>
      <c r="F9970" t="str">
        <f t="shared" si="332"/>
        <v>10K</v>
      </c>
    </row>
    <row r="9971" spans="1:6" x14ac:dyDescent="0.2">
      <c r="A9971">
        <v>11</v>
      </c>
      <c r="E9971" t="str">
        <f t="shared" si="331"/>
        <v>L</v>
      </c>
      <c r="F9971" t="str">
        <f t="shared" si="332"/>
        <v>11L</v>
      </c>
    </row>
    <row r="9972" spans="1:6" x14ac:dyDescent="0.2">
      <c r="A9972">
        <v>12</v>
      </c>
      <c r="E9972" t="str">
        <f t="shared" si="331"/>
        <v>M</v>
      </c>
      <c r="F9972" t="str">
        <f t="shared" si="332"/>
        <v>12M</v>
      </c>
    </row>
    <row r="9973" spans="1:6" x14ac:dyDescent="0.2">
      <c r="A9973">
        <v>13</v>
      </c>
      <c r="E9973" t="str">
        <f t="shared" si="331"/>
        <v>N</v>
      </c>
      <c r="F9973" t="str">
        <f t="shared" si="332"/>
        <v>13N</v>
      </c>
    </row>
    <row r="9974" spans="1:6" x14ac:dyDescent="0.2">
      <c r="A9974">
        <v>14</v>
      </c>
      <c r="E9974" t="str">
        <f t="shared" si="331"/>
        <v>O</v>
      </c>
      <c r="F9974" t="str">
        <f t="shared" si="332"/>
        <v>14O</v>
      </c>
    </row>
    <row r="9975" spans="1:6" x14ac:dyDescent="0.2">
      <c r="A9975">
        <v>15</v>
      </c>
      <c r="E9975" t="str">
        <f t="shared" si="331"/>
        <v>P</v>
      </c>
      <c r="F9975" t="str">
        <f t="shared" si="332"/>
        <v>15P</v>
      </c>
    </row>
    <row r="9976" spans="1:6" x14ac:dyDescent="0.2">
      <c r="A9976">
        <v>16</v>
      </c>
      <c r="E9976" t="str">
        <f t="shared" si="331"/>
        <v>Q</v>
      </c>
      <c r="F9976" t="str">
        <f t="shared" si="332"/>
        <v>16Q</v>
      </c>
    </row>
    <row r="9977" spans="1:6" x14ac:dyDescent="0.2">
      <c r="A9977">
        <v>17</v>
      </c>
      <c r="E9977" t="str">
        <f t="shared" si="331"/>
        <v>R</v>
      </c>
      <c r="F9977" t="str">
        <f t="shared" si="332"/>
        <v>17R</v>
      </c>
    </row>
    <row r="9978" spans="1:6" x14ac:dyDescent="0.2">
      <c r="A9978">
        <v>18</v>
      </c>
      <c r="E9978" t="str">
        <f t="shared" si="331"/>
        <v>S</v>
      </c>
      <c r="F9978" t="str">
        <f t="shared" si="332"/>
        <v>18S</v>
      </c>
    </row>
    <row r="9979" spans="1:6" x14ac:dyDescent="0.2">
      <c r="A9979">
        <v>19</v>
      </c>
      <c r="E9979" t="str">
        <f t="shared" si="331"/>
        <v>T</v>
      </c>
      <c r="F9979" t="str">
        <f t="shared" si="332"/>
        <v>19T</v>
      </c>
    </row>
    <row r="9980" spans="1:6" x14ac:dyDescent="0.2">
      <c r="A9980">
        <v>20</v>
      </c>
      <c r="E9980" t="str">
        <f t="shared" si="331"/>
        <v>U</v>
      </c>
      <c r="F9980" t="str">
        <f t="shared" si="332"/>
        <v>20U</v>
      </c>
    </row>
    <row r="9981" spans="1:6" x14ac:dyDescent="0.2">
      <c r="A9981">
        <v>21</v>
      </c>
      <c r="E9981" t="str">
        <f t="shared" si="331"/>
        <v>V</v>
      </c>
      <c r="F9981" t="str">
        <f t="shared" si="332"/>
        <v>21V</v>
      </c>
    </row>
    <row r="9982" spans="1:6" x14ac:dyDescent="0.2">
      <c r="A9982">
        <v>22</v>
      </c>
      <c r="E9982" t="str">
        <f t="shared" si="331"/>
        <v>W</v>
      </c>
      <c r="F9982" t="str">
        <f t="shared" si="332"/>
        <v>22W</v>
      </c>
    </row>
    <row r="9983" spans="1:6" x14ac:dyDescent="0.2">
      <c r="A9983">
        <v>23</v>
      </c>
      <c r="E9983" t="str">
        <f t="shared" si="331"/>
        <v>X</v>
      </c>
      <c r="F9983" t="str">
        <f t="shared" si="332"/>
        <v>23X</v>
      </c>
    </row>
    <row r="9984" spans="1:6" x14ac:dyDescent="0.2">
      <c r="A9984">
        <v>24</v>
      </c>
      <c r="E9984" t="str">
        <f t="shared" si="331"/>
        <v>Y</v>
      </c>
      <c r="F9984" t="str">
        <f t="shared" si="332"/>
        <v>24Y</v>
      </c>
    </row>
    <row r="9985" spans="1:6" x14ac:dyDescent="0.2">
      <c r="A9985">
        <v>25</v>
      </c>
      <c r="E9985" t="str">
        <f t="shared" si="331"/>
        <v>Z</v>
      </c>
      <c r="F9985" t="str">
        <f t="shared" si="332"/>
        <v>25Z</v>
      </c>
    </row>
    <row r="9986" spans="1:6" x14ac:dyDescent="0.2">
      <c r="A9986">
        <v>0</v>
      </c>
      <c r="E9986" t="str">
        <f t="shared" si="331"/>
        <v>A</v>
      </c>
      <c r="F9986" t="str">
        <f t="shared" si="332"/>
        <v>0A</v>
      </c>
    </row>
    <row r="9987" spans="1:6" x14ac:dyDescent="0.2">
      <c r="A9987">
        <v>1</v>
      </c>
      <c r="E9987" t="str">
        <f t="shared" si="331"/>
        <v>B</v>
      </c>
      <c r="F9987" t="str">
        <f t="shared" si="332"/>
        <v>1B</v>
      </c>
    </row>
    <row r="9988" spans="1:6" x14ac:dyDescent="0.2">
      <c r="A9988">
        <v>2</v>
      </c>
      <c r="E9988" t="str">
        <f t="shared" si="331"/>
        <v>C</v>
      </c>
      <c r="F9988" t="str">
        <f t="shared" si="332"/>
        <v>2C</v>
      </c>
    </row>
    <row r="9989" spans="1:6" x14ac:dyDescent="0.2">
      <c r="A9989">
        <v>3</v>
      </c>
      <c r="E9989" t="str">
        <f t="shared" si="331"/>
        <v>D</v>
      </c>
      <c r="F9989" t="str">
        <f t="shared" si="332"/>
        <v>3D</v>
      </c>
    </row>
    <row r="9990" spans="1:6" x14ac:dyDescent="0.2">
      <c r="A9990">
        <v>4</v>
      </c>
      <c r="E9990" t="str">
        <f t="shared" si="331"/>
        <v>E</v>
      </c>
      <c r="F9990" t="str">
        <f t="shared" si="332"/>
        <v>4E</v>
      </c>
    </row>
    <row r="9991" spans="1:6" x14ac:dyDescent="0.2">
      <c r="A9991">
        <v>5</v>
      </c>
      <c r="E9991" t="str">
        <f t="shared" si="331"/>
        <v>F</v>
      </c>
      <c r="F9991" t="str">
        <f t="shared" si="332"/>
        <v>5F</v>
      </c>
    </row>
    <row r="9992" spans="1:6" x14ac:dyDescent="0.2">
      <c r="A9992">
        <v>6</v>
      </c>
      <c r="E9992" t="str">
        <f t="shared" si="331"/>
        <v>G</v>
      </c>
      <c r="F9992" t="str">
        <f t="shared" si="332"/>
        <v>6G</v>
      </c>
    </row>
    <row r="9993" spans="1:6" x14ac:dyDescent="0.2">
      <c r="A9993">
        <v>7</v>
      </c>
      <c r="E9993" t="str">
        <f t="shared" si="331"/>
        <v>H</v>
      </c>
      <c r="F9993" t="str">
        <f t="shared" si="332"/>
        <v>7H</v>
      </c>
    </row>
    <row r="9994" spans="1:6" x14ac:dyDescent="0.2">
      <c r="A9994">
        <v>8</v>
      </c>
      <c r="E9994" t="str">
        <f t="shared" si="331"/>
        <v>I</v>
      </c>
      <c r="F9994" t="str">
        <f t="shared" si="332"/>
        <v>8I</v>
      </c>
    </row>
    <row r="9995" spans="1:6" x14ac:dyDescent="0.2">
      <c r="A9995">
        <v>9</v>
      </c>
      <c r="E9995" t="str">
        <f t="shared" si="331"/>
        <v>J</v>
      </c>
      <c r="F9995" t="str">
        <f t="shared" si="332"/>
        <v>9J</v>
      </c>
    </row>
    <row r="9996" spans="1:6" x14ac:dyDescent="0.2">
      <c r="A9996">
        <v>10</v>
      </c>
      <c r="E9996" t="str">
        <f t="shared" si="331"/>
        <v>K</v>
      </c>
      <c r="F9996" t="str">
        <f t="shared" si="332"/>
        <v>10K</v>
      </c>
    </row>
    <row r="9997" spans="1:6" x14ac:dyDescent="0.2">
      <c r="A9997">
        <v>11</v>
      </c>
      <c r="E9997" t="str">
        <f t="shared" si="331"/>
        <v>L</v>
      </c>
      <c r="F9997" t="str">
        <f t="shared" si="332"/>
        <v>11L</v>
      </c>
    </row>
    <row r="9998" spans="1:6" x14ac:dyDescent="0.2">
      <c r="A9998">
        <v>12</v>
      </c>
      <c r="E9998" t="str">
        <f t="shared" si="331"/>
        <v>M</v>
      </c>
      <c r="F9998" t="str">
        <f t="shared" si="332"/>
        <v>12M</v>
      </c>
    </row>
    <row r="9999" spans="1:6" x14ac:dyDescent="0.2">
      <c r="A9999">
        <v>13</v>
      </c>
      <c r="E9999" t="str">
        <f t="shared" si="331"/>
        <v>N</v>
      </c>
      <c r="F9999" t="str">
        <f t="shared" si="332"/>
        <v>13N</v>
      </c>
    </row>
    <row r="10000" spans="1:6" x14ac:dyDescent="0.2">
      <c r="A10000">
        <v>14</v>
      </c>
      <c r="E10000" t="str">
        <f t="shared" si="331"/>
        <v>O</v>
      </c>
      <c r="F10000" t="str">
        <f t="shared" si="332"/>
        <v>14O</v>
      </c>
    </row>
    <row r="10001" spans="1:6" x14ac:dyDescent="0.2">
      <c r="A10001">
        <v>15</v>
      </c>
      <c r="E10001" t="str">
        <f t="shared" si="331"/>
        <v>P</v>
      </c>
      <c r="F10001" t="str">
        <f t="shared" si="332"/>
        <v>15P</v>
      </c>
    </row>
    <row r="10002" spans="1:6" x14ac:dyDescent="0.2">
      <c r="A10002">
        <v>16</v>
      </c>
      <c r="E10002" t="str">
        <f t="shared" si="331"/>
        <v>Q</v>
      </c>
      <c r="F10002" t="str">
        <f t="shared" si="332"/>
        <v>16Q</v>
      </c>
    </row>
    <row r="10003" spans="1:6" x14ac:dyDescent="0.2">
      <c r="A10003">
        <v>17</v>
      </c>
      <c r="E10003" t="str">
        <f t="shared" si="331"/>
        <v>R</v>
      </c>
      <c r="F10003" t="str">
        <f t="shared" si="332"/>
        <v>17R</v>
      </c>
    </row>
    <row r="10004" spans="1:6" x14ac:dyDescent="0.2">
      <c r="A10004">
        <v>18</v>
      </c>
      <c r="E10004" t="str">
        <f t="shared" si="331"/>
        <v>S</v>
      </c>
      <c r="F10004" t="str">
        <f t="shared" si="332"/>
        <v>18S</v>
      </c>
    </row>
    <row r="10005" spans="1:6" x14ac:dyDescent="0.2">
      <c r="A10005">
        <v>19</v>
      </c>
      <c r="E10005" t="str">
        <f t="shared" ref="E10005:E10068" si="333">E9979</f>
        <v>T</v>
      </c>
      <c r="F10005" t="str">
        <f t="shared" ref="F10005:F10068" si="334">A10005&amp;C10005&amp;E10005</f>
        <v>19T</v>
      </c>
    </row>
    <row r="10006" spans="1:6" x14ac:dyDescent="0.2">
      <c r="A10006">
        <v>20</v>
      </c>
      <c r="E10006" t="str">
        <f t="shared" si="333"/>
        <v>U</v>
      </c>
      <c r="F10006" t="str">
        <f t="shared" si="334"/>
        <v>20U</v>
      </c>
    </row>
    <row r="10007" spans="1:6" x14ac:dyDescent="0.2">
      <c r="A10007">
        <v>21</v>
      </c>
      <c r="E10007" t="str">
        <f t="shared" si="333"/>
        <v>V</v>
      </c>
      <c r="F10007" t="str">
        <f t="shared" si="334"/>
        <v>21V</v>
      </c>
    </row>
    <row r="10008" spans="1:6" x14ac:dyDescent="0.2">
      <c r="A10008">
        <v>22</v>
      </c>
      <c r="E10008" t="str">
        <f t="shared" si="333"/>
        <v>W</v>
      </c>
      <c r="F10008" t="str">
        <f t="shared" si="334"/>
        <v>22W</v>
      </c>
    </row>
    <row r="10009" spans="1:6" x14ac:dyDescent="0.2">
      <c r="A10009">
        <v>23</v>
      </c>
      <c r="E10009" t="str">
        <f t="shared" si="333"/>
        <v>X</v>
      </c>
      <c r="F10009" t="str">
        <f t="shared" si="334"/>
        <v>23X</v>
      </c>
    </row>
    <row r="10010" spans="1:6" x14ac:dyDescent="0.2">
      <c r="A10010">
        <v>24</v>
      </c>
      <c r="E10010" t="str">
        <f t="shared" si="333"/>
        <v>Y</v>
      </c>
      <c r="F10010" t="str">
        <f t="shared" si="334"/>
        <v>24Y</v>
      </c>
    </row>
    <row r="10011" spans="1:6" x14ac:dyDescent="0.2">
      <c r="A10011">
        <v>25</v>
      </c>
      <c r="E10011" t="str">
        <f t="shared" si="333"/>
        <v>Z</v>
      </c>
      <c r="F10011" t="str">
        <f t="shared" si="334"/>
        <v>25Z</v>
      </c>
    </row>
    <row r="10012" spans="1:6" x14ac:dyDescent="0.2">
      <c r="A10012">
        <v>0</v>
      </c>
      <c r="E10012" t="str">
        <f t="shared" si="333"/>
        <v>A</v>
      </c>
      <c r="F10012" t="str">
        <f t="shared" si="334"/>
        <v>0A</v>
      </c>
    </row>
    <row r="10013" spans="1:6" x14ac:dyDescent="0.2">
      <c r="A10013">
        <v>1</v>
      </c>
      <c r="E10013" t="str">
        <f t="shared" si="333"/>
        <v>B</v>
      </c>
      <c r="F10013" t="str">
        <f t="shared" si="334"/>
        <v>1B</v>
      </c>
    </row>
    <row r="10014" spans="1:6" x14ac:dyDescent="0.2">
      <c r="A10014">
        <v>2</v>
      </c>
      <c r="E10014" t="str">
        <f t="shared" si="333"/>
        <v>C</v>
      </c>
      <c r="F10014" t="str">
        <f t="shared" si="334"/>
        <v>2C</v>
      </c>
    </row>
    <row r="10015" spans="1:6" x14ac:dyDescent="0.2">
      <c r="A10015">
        <v>3</v>
      </c>
      <c r="E10015" t="str">
        <f t="shared" si="333"/>
        <v>D</v>
      </c>
      <c r="F10015" t="str">
        <f t="shared" si="334"/>
        <v>3D</v>
      </c>
    </row>
    <row r="10016" spans="1:6" x14ac:dyDescent="0.2">
      <c r="A10016">
        <v>4</v>
      </c>
      <c r="E10016" t="str">
        <f t="shared" si="333"/>
        <v>E</v>
      </c>
      <c r="F10016" t="str">
        <f t="shared" si="334"/>
        <v>4E</v>
      </c>
    </row>
    <row r="10017" spans="1:6" x14ac:dyDescent="0.2">
      <c r="A10017">
        <v>5</v>
      </c>
      <c r="E10017" t="str">
        <f t="shared" si="333"/>
        <v>F</v>
      </c>
      <c r="F10017" t="str">
        <f t="shared" si="334"/>
        <v>5F</v>
      </c>
    </row>
    <row r="10018" spans="1:6" x14ac:dyDescent="0.2">
      <c r="A10018">
        <v>6</v>
      </c>
      <c r="E10018" t="str">
        <f t="shared" si="333"/>
        <v>G</v>
      </c>
      <c r="F10018" t="str">
        <f t="shared" si="334"/>
        <v>6G</v>
      </c>
    </row>
    <row r="10019" spans="1:6" x14ac:dyDescent="0.2">
      <c r="A10019">
        <v>7</v>
      </c>
      <c r="E10019" t="str">
        <f t="shared" si="333"/>
        <v>H</v>
      </c>
      <c r="F10019" t="str">
        <f t="shared" si="334"/>
        <v>7H</v>
      </c>
    </row>
    <row r="10020" spans="1:6" x14ac:dyDescent="0.2">
      <c r="A10020">
        <v>8</v>
      </c>
      <c r="E10020" t="str">
        <f t="shared" si="333"/>
        <v>I</v>
      </c>
      <c r="F10020" t="str">
        <f t="shared" si="334"/>
        <v>8I</v>
      </c>
    </row>
    <row r="10021" spans="1:6" x14ac:dyDescent="0.2">
      <c r="A10021">
        <v>9</v>
      </c>
      <c r="E10021" t="str">
        <f t="shared" si="333"/>
        <v>J</v>
      </c>
      <c r="F10021" t="str">
        <f t="shared" si="334"/>
        <v>9J</v>
      </c>
    </row>
    <row r="10022" spans="1:6" x14ac:dyDescent="0.2">
      <c r="A10022">
        <v>10</v>
      </c>
      <c r="E10022" t="str">
        <f t="shared" si="333"/>
        <v>K</v>
      </c>
      <c r="F10022" t="str">
        <f t="shared" si="334"/>
        <v>10K</v>
      </c>
    </row>
    <row r="10023" spans="1:6" x14ac:dyDescent="0.2">
      <c r="A10023">
        <v>11</v>
      </c>
      <c r="E10023" t="str">
        <f t="shared" si="333"/>
        <v>L</v>
      </c>
      <c r="F10023" t="str">
        <f t="shared" si="334"/>
        <v>11L</v>
      </c>
    </row>
    <row r="10024" spans="1:6" x14ac:dyDescent="0.2">
      <c r="A10024">
        <v>12</v>
      </c>
      <c r="E10024" t="str">
        <f t="shared" si="333"/>
        <v>M</v>
      </c>
      <c r="F10024" t="str">
        <f t="shared" si="334"/>
        <v>12M</v>
      </c>
    </row>
    <row r="10025" spans="1:6" x14ac:dyDescent="0.2">
      <c r="A10025">
        <v>13</v>
      </c>
      <c r="E10025" t="str">
        <f t="shared" si="333"/>
        <v>N</v>
      </c>
      <c r="F10025" t="str">
        <f t="shared" si="334"/>
        <v>13N</v>
      </c>
    </row>
    <row r="10026" spans="1:6" x14ac:dyDescent="0.2">
      <c r="A10026">
        <v>14</v>
      </c>
      <c r="E10026" t="str">
        <f t="shared" si="333"/>
        <v>O</v>
      </c>
      <c r="F10026" t="str">
        <f t="shared" si="334"/>
        <v>14O</v>
      </c>
    </row>
    <row r="10027" spans="1:6" x14ac:dyDescent="0.2">
      <c r="A10027">
        <v>15</v>
      </c>
      <c r="E10027" t="str">
        <f t="shared" si="333"/>
        <v>P</v>
      </c>
      <c r="F10027" t="str">
        <f t="shared" si="334"/>
        <v>15P</v>
      </c>
    </row>
    <row r="10028" spans="1:6" x14ac:dyDescent="0.2">
      <c r="A10028">
        <v>16</v>
      </c>
      <c r="E10028" t="str">
        <f t="shared" si="333"/>
        <v>Q</v>
      </c>
      <c r="F10028" t="str">
        <f t="shared" si="334"/>
        <v>16Q</v>
      </c>
    </row>
    <row r="10029" spans="1:6" x14ac:dyDescent="0.2">
      <c r="A10029">
        <v>17</v>
      </c>
      <c r="E10029" t="str">
        <f t="shared" si="333"/>
        <v>R</v>
      </c>
      <c r="F10029" t="str">
        <f t="shared" si="334"/>
        <v>17R</v>
      </c>
    </row>
    <row r="10030" spans="1:6" x14ac:dyDescent="0.2">
      <c r="A10030">
        <v>18</v>
      </c>
      <c r="E10030" t="str">
        <f t="shared" si="333"/>
        <v>S</v>
      </c>
      <c r="F10030" t="str">
        <f t="shared" si="334"/>
        <v>18S</v>
      </c>
    </row>
    <row r="10031" spans="1:6" x14ac:dyDescent="0.2">
      <c r="A10031">
        <v>19</v>
      </c>
      <c r="E10031" t="str">
        <f t="shared" si="333"/>
        <v>T</v>
      </c>
      <c r="F10031" t="str">
        <f t="shared" si="334"/>
        <v>19T</v>
      </c>
    </row>
    <row r="10032" spans="1:6" x14ac:dyDescent="0.2">
      <c r="A10032">
        <v>20</v>
      </c>
      <c r="E10032" t="str">
        <f t="shared" si="333"/>
        <v>U</v>
      </c>
      <c r="F10032" t="str">
        <f t="shared" si="334"/>
        <v>20U</v>
      </c>
    </row>
    <row r="10033" spans="1:6" x14ac:dyDescent="0.2">
      <c r="A10033">
        <v>21</v>
      </c>
      <c r="E10033" t="str">
        <f t="shared" si="333"/>
        <v>V</v>
      </c>
      <c r="F10033" t="str">
        <f t="shared" si="334"/>
        <v>21V</v>
      </c>
    </row>
    <row r="10034" spans="1:6" x14ac:dyDescent="0.2">
      <c r="A10034">
        <v>22</v>
      </c>
      <c r="E10034" t="str">
        <f t="shared" si="333"/>
        <v>W</v>
      </c>
      <c r="F10034" t="str">
        <f t="shared" si="334"/>
        <v>22W</v>
      </c>
    </row>
    <row r="10035" spans="1:6" x14ac:dyDescent="0.2">
      <c r="A10035">
        <v>23</v>
      </c>
      <c r="E10035" t="str">
        <f t="shared" si="333"/>
        <v>X</v>
      </c>
      <c r="F10035" t="str">
        <f t="shared" si="334"/>
        <v>23X</v>
      </c>
    </row>
    <row r="10036" spans="1:6" x14ac:dyDescent="0.2">
      <c r="A10036">
        <v>24</v>
      </c>
      <c r="E10036" t="str">
        <f t="shared" si="333"/>
        <v>Y</v>
      </c>
      <c r="F10036" t="str">
        <f t="shared" si="334"/>
        <v>24Y</v>
      </c>
    </row>
    <row r="10037" spans="1:6" x14ac:dyDescent="0.2">
      <c r="A10037">
        <v>25</v>
      </c>
      <c r="E10037" t="str">
        <f t="shared" si="333"/>
        <v>Z</v>
      </c>
      <c r="F10037" t="str">
        <f t="shared" si="334"/>
        <v>25Z</v>
      </c>
    </row>
    <row r="10038" spans="1:6" x14ac:dyDescent="0.2">
      <c r="A10038">
        <v>0</v>
      </c>
      <c r="E10038" t="str">
        <f t="shared" si="333"/>
        <v>A</v>
      </c>
      <c r="F10038" t="str">
        <f t="shared" si="334"/>
        <v>0A</v>
      </c>
    </row>
    <row r="10039" spans="1:6" x14ac:dyDescent="0.2">
      <c r="A10039">
        <v>1</v>
      </c>
      <c r="E10039" t="str">
        <f t="shared" si="333"/>
        <v>B</v>
      </c>
      <c r="F10039" t="str">
        <f t="shared" si="334"/>
        <v>1B</v>
      </c>
    </row>
    <row r="10040" spans="1:6" x14ac:dyDescent="0.2">
      <c r="A10040">
        <v>2</v>
      </c>
      <c r="E10040" t="str">
        <f t="shared" si="333"/>
        <v>C</v>
      </c>
      <c r="F10040" t="str">
        <f t="shared" si="334"/>
        <v>2C</v>
      </c>
    </row>
    <row r="10041" spans="1:6" x14ac:dyDescent="0.2">
      <c r="A10041">
        <v>3</v>
      </c>
      <c r="E10041" t="str">
        <f t="shared" si="333"/>
        <v>D</v>
      </c>
      <c r="F10041" t="str">
        <f t="shared" si="334"/>
        <v>3D</v>
      </c>
    </row>
    <row r="10042" spans="1:6" x14ac:dyDescent="0.2">
      <c r="A10042">
        <v>4</v>
      </c>
      <c r="E10042" t="str">
        <f t="shared" si="333"/>
        <v>E</v>
      </c>
      <c r="F10042" t="str">
        <f t="shared" si="334"/>
        <v>4E</v>
      </c>
    </row>
    <row r="10043" spans="1:6" x14ac:dyDescent="0.2">
      <c r="A10043">
        <v>5</v>
      </c>
      <c r="E10043" t="str">
        <f t="shared" si="333"/>
        <v>F</v>
      </c>
      <c r="F10043" t="str">
        <f t="shared" si="334"/>
        <v>5F</v>
      </c>
    </row>
    <row r="10044" spans="1:6" x14ac:dyDescent="0.2">
      <c r="A10044">
        <v>6</v>
      </c>
      <c r="E10044" t="str">
        <f t="shared" si="333"/>
        <v>G</v>
      </c>
      <c r="F10044" t="str">
        <f t="shared" si="334"/>
        <v>6G</v>
      </c>
    </row>
    <row r="10045" spans="1:6" x14ac:dyDescent="0.2">
      <c r="A10045">
        <v>7</v>
      </c>
      <c r="E10045" t="str">
        <f t="shared" si="333"/>
        <v>H</v>
      </c>
      <c r="F10045" t="str">
        <f t="shared" si="334"/>
        <v>7H</v>
      </c>
    </row>
    <row r="10046" spans="1:6" x14ac:dyDescent="0.2">
      <c r="A10046">
        <v>8</v>
      </c>
      <c r="E10046" t="str">
        <f t="shared" si="333"/>
        <v>I</v>
      </c>
      <c r="F10046" t="str">
        <f t="shared" si="334"/>
        <v>8I</v>
      </c>
    </row>
    <row r="10047" spans="1:6" x14ac:dyDescent="0.2">
      <c r="A10047">
        <v>9</v>
      </c>
      <c r="E10047" t="str">
        <f t="shared" si="333"/>
        <v>J</v>
      </c>
      <c r="F10047" t="str">
        <f t="shared" si="334"/>
        <v>9J</v>
      </c>
    </row>
    <row r="10048" spans="1:6" x14ac:dyDescent="0.2">
      <c r="A10048">
        <v>10</v>
      </c>
      <c r="E10048" t="str">
        <f t="shared" si="333"/>
        <v>K</v>
      </c>
      <c r="F10048" t="str">
        <f t="shared" si="334"/>
        <v>10K</v>
      </c>
    </row>
    <row r="10049" spans="1:6" x14ac:dyDescent="0.2">
      <c r="A10049">
        <v>11</v>
      </c>
      <c r="E10049" t="str">
        <f t="shared" si="333"/>
        <v>L</v>
      </c>
      <c r="F10049" t="str">
        <f t="shared" si="334"/>
        <v>11L</v>
      </c>
    </row>
    <row r="10050" spans="1:6" x14ac:dyDescent="0.2">
      <c r="A10050">
        <v>12</v>
      </c>
      <c r="E10050" t="str">
        <f t="shared" si="333"/>
        <v>M</v>
      </c>
      <c r="F10050" t="str">
        <f t="shared" si="334"/>
        <v>12M</v>
      </c>
    </row>
    <row r="10051" spans="1:6" x14ac:dyDescent="0.2">
      <c r="A10051">
        <v>13</v>
      </c>
      <c r="E10051" t="str">
        <f t="shared" si="333"/>
        <v>N</v>
      </c>
      <c r="F10051" t="str">
        <f t="shared" si="334"/>
        <v>13N</v>
      </c>
    </row>
    <row r="10052" spans="1:6" x14ac:dyDescent="0.2">
      <c r="A10052">
        <v>14</v>
      </c>
      <c r="E10052" t="str">
        <f t="shared" si="333"/>
        <v>O</v>
      </c>
      <c r="F10052" t="str">
        <f t="shared" si="334"/>
        <v>14O</v>
      </c>
    </row>
    <row r="10053" spans="1:6" x14ac:dyDescent="0.2">
      <c r="A10053">
        <v>15</v>
      </c>
      <c r="E10053" t="str">
        <f t="shared" si="333"/>
        <v>P</v>
      </c>
      <c r="F10053" t="str">
        <f t="shared" si="334"/>
        <v>15P</v>
      </c>
    </row>
    <row r="10054" spans="1:6" x14ac:dyDescent="0.2">
      <c r="A10054">
        <v>16</v>
      </c>
      <c r="E10054" t="str">
        <f t="shared" si="333"/>
        <v>Q</v>
      </c>
      <c r="F10054" t="str">
        <f t="shared" si="334"/>
        <v>16Q</v>
      </c>
    </row>
    <row r="10055" spans="1:6" x14ac:dyDescent="0.2">
      <c r="A10055">
        <v>17</v>
      </c>
      <c r="E10055" t="str">
        <f t="shared" si="333"/>
        <v>R</v>
      </c>
      <c r="F10055" t="str">
        <f t="shared" si="334"/>
        <v>17R</v>
      </c>
    </row>
    <row r="10056" spans="1:6" x14ac:dyDescent="0.2">
      <c r="A10056">
        <v>18</v>
      </c>
      <c r="E10056" t="str">
        <f t="shared" si="333"/>
        <v>S</v>
      </c>
      <c r="F10056" t="str">
        <f t="shared" si="334"/>
        <v>18S</v>
      </c>
    </row>
    <row r="10057" spans="1:6" x14ac:dyDescent="0.2">
      <c r="A10057">
        <v>19</v>
      </c>
      <c r="E10057" t="str">
        <f t="shared" si="333"/>
        <v>T</v>
      </c>
      <c r="F10057" t="str">
        <f t="shared" si="334"/>
        <v>19T</v>
      </c>
    </row>
    <row r="10058" spans="1:6" x14ac:dyDescent="0.2">
      <c r="A10058">
        <v>20</v>
      </c>
      <c r="E10058" t="str">
        <f t="shared" si="333"/>
        <v>U</v>
      </c>
      <c r="F10058" t="str">
        <f t="shared" si="334"/>
        <v>20U</v>
      </c>
    </row>
    <row r="10059" spans="1:6" x14ac:dyDescent="0.2">
      <c r="A10059">
        <v>21</v>
      </c>
      <c r="E10059" t="str">
        <f t="shared" si="333"/>
        <v>V</v>
      </c>
      <c r="F10059" t="str">
        <f t="shared" si="334"/>
        <v>21V</v>
      </c>
    </row>
    <row r="10060" spans="1:6" x14ac:dyDescent="0.2">
      <c r="A10060">
        <v>22</v>
      </c>
      <c r="E10060" t="str">
        <f t="shared" si="333"/>
        <v>W</v>
      </c>
      <c r="F10060" t="str">
        <f t="shared" si="334"/>
        <v>22W</v>
      </c>
    </row>
    <row r="10061" spans="1:6" x14ac:dyDescent="0.2">
      <c r="A10061">
        <v>23</v>
      </c>
      <c r="E10061" t="str">
        <f t="shared" si="333"/>
        <v>X</v>
      </c>
      <c r="F10061" t="str">
        <f t="shared" si="334"/>
        <v>23X</v>
      </c>
    </row>
    <row r="10062" spans="1:6" x14ac:dyDescent="0.2">
      <c r="A10062">
        <v>24</v>
      </c>
      <c r="E10062" t="str">
        <f t="shared" si="333"/>
        <v>Y</v>
      </c>
      <c r="F10062" t="str">
        <f t="shared" si="334"/>
        <v>24Y</v>
      </c>
    </row>
    <row r="10063" spans="1:6" x14ac:dyDescent="0.2">
      <c r="A10063">
        <v>25</v>
      </c>
      <c r="E10063" t="str">
        <f t="shared" si="333"/>
        <v>Z</v>
      </c>
      <c r="F10063" t="str">
        <f t="shared" si="334"/>
        <v>25Z</v>
      </c>
    </row>
    <row r="10064" spans="1:6" x14ac:dyDescent="0.2">
      <c r="A10064">
        <v>0</v>
      </c>
      <c r="E10064" t="str">
        <f t="shared" si="333"/>
        <v>A</v>
      </c>
      <c r="F10064" t="str">
        <f t="shared" si="334"/>
        <v>0A</v>
      </c>
    </row>
    <row r="10065" spans="1:6" x14ac:dyDescent="0.2">
      <c r="A10065">
        <v>1</v>
      </c>
      <c r="E10065" t="str">
        <f t="shared" si="333"/>
        <v>B</v>
      </c>
      <c r="F10065" t="str">
        <f t="shared" si="334"/>
        <v>1B</v>
      </c>
    </row>
    <row r="10066" spans="1:6" x14ac:dyDescent="0.2">
      <c r="A10066">
        <v>2</v>
      </c>
      <c r="E10066" t="str">
        <f t="shared" si="333"/>
        <v>C</v>
      </c>
      <c r="F10066" t="str">
        <f t="shared" si="334"/>
        <v>2C</v>
      </c>
    </row>
    <row r="10067" spans="1:6" x14ac:dyDescent="0.2">
      <c r="A10067">
        <v>3</v>
      </c>
      <c r="E10067" t="str">
        <f t="shared" si="333"/>
        <v>D</v>
      </c>
      <c r="F10067" t="str">
        <f t="shared" si="334"/>
        <v>3D</v>
      </c>
    </row>
    <row r="10068" spans="1:6" x14ac:dyDescent="0.2">
      <c r="A10068">
        <v>4</v>
      </c>
      <c r="E10068" t="str">
        <f t="shared" si="333"/>
        <v>E</v>
      </c>
      <c r="F10068" t="str">
        <f t="shared" si="334"/>
        <v>4E</v>
      </c>
    </row>
    <row r="10069" spans="1:6" x14ac:dyDescent="0.2">
      <c r="A10069">
        <v>5</v>
      </c>
      <c r="E10069" t="str">
        <f t="shared" ref="E10069:E10132" si="335">E10043</f>
        <v>F</v>
      </c>
      <c r="F10069" t="str">
        <f t="shared" ref="F10069:F10132" si="336">A10069&amp;C10069&amp;E10069</f>
        <v>5F</v>
      </c>
    </row>
    <row r="10070" spans="1:6" x14ac:dyDescent="0.2">
      <c r="A10070">
        <v>6</v>
      </c>
      <c r="E10070" t="str">
        <f t="shared" si="335"/>
        <v>G</v>
      </c>
      <c r="F10070" t="str">
        <f t="shared" si="336"/>
        <v>6G</v>
      </c>
    </row>
    <row r="10071" spans="1:6" x14ac:dyDescent="0.2">
      <c r="A10071">
        <v>7</v>
      </c>
      <c r="E10071" t="str">
        <f t="shared" si="335"/>
        <v>H</v>
      </c>
      <c r="F10071" t="str">
        <f t="shared" si="336"/>
        <v>7H</v>
      </c>
    </row>
    <row r="10072" spans="1:6" x14ac:dyDescent="0.2">
      <c r="A10072">
        <v>8</v>
      </c>
      <c r="E10072" t="str">
        <f t="shared" si="335"/>
        <v>I</v>
      </c>
      <c r="F10072" t="str">
        <f t="shared" si="336"/>
        <v>8I</v>
      </c>
    </row>
    <row r="10073" spans="1:6" x14ac:dyDescent="0.2">
      <c r="A10073">
        <v>9</v>
      </c>
      <c r="E10073" t="str">
        <f t="shared" si="335"/>
        <v>J</v>
      </c>
      <c r="F10073" t="str">
        <f t="shared" si="336"/>
        <v>9J</v>
      </c>
    </row>
    <row r="10074" spans="1:6" x14ac:dyDescent="0.2">
      <c r="A10074">
        <v>10</v>
      </c>
      <c r="E10074" t="str">
        <f t="shared" si="335"/>
        <v>K</v>
      </c>
      <c r="F10074" t="str">
        <f t="shared" si="336"/>
        <v>10K</v>
      </c>
    </row>
    <row r="10075" spans="1:6" x14ac:dyDescent="0.2">
      <c r="A10075">
        <v>11</v>
      </c>
      <c r="E10075" t="str">
        <f t="shared" si="335"/>
        <v>L</v>
      </c>
      <c r="F10075" t="str">
        <f t="shared" si="336"/>
        <v>11L</v>
      </c>
    </row>
    <row r="10076" spans="1:6" x14ac:dyDescent="0.2">
      <c r="A10076">
        <v>12</v>
      </c>
      <c r="E10076" t="str">
        <f t="shared" si="335"/>
        <v>M</v>
      </c>
      <c r="F10076" t="str">
        <f t="shared" si="336"/>
        <v>12M</v>
      </c>
    </row>
    <row r="10077" spans="1:6" x14ac:dyDescent="0.2">
      <c r="A10077">
        <v>13</v>
      </c>
      <c r="E10077" t="str">
        <f t="shared" si="335"/>
        <v>N</v>
      </c>
      <c r="F10077" t="str">
        <f t="shared" si="336"/>
        <v>13N</v>
      </c>
    </row>
    <row r="10078" spans="1:6" x14ac:dyDescent="0.2">
      <c r="A10078">
        <v>14</v>
      </c>
      <c r="E10078" t="str">
        <f t="shared" si="335"/>
        <v>O</v>
      </c>
      <c r="F10078" t="str">
        <f t="shared" si="336"/>
        <v>14O</v>
      </c>
    </row>
    <row r="10079" spans="1:6" x14ac:dyDescent="0.2">
      <c r="A10079">
        <v>15</v>
      </c>
      <c r="E10079" t="str">
        <f t="shared" si="335"/>
        <v>P</v>
      </c>
      <c r="F10079" t="str">
        <f t="shared" si="336"/>
        <v>15P</v>
      </c>
    </row>
    <row r="10080" spans="1:6" x14ac:dyDescent="0.2">
      <c r="A10080">
        <v>16</v>
      </c>
      <c r="E10080" t="str">
        <f t="shared" si="335"/>
        <v>Q</v>
      </c>
      <c r="F10080" t="str">
        <f t="shared" si="336"/>
        <v>16Q</v>
      </c>
    </row>
    <row r="10081" spans="1:6" x14ac:dyDescent="0.2">
      <c r="A10081">
        <v>17</v>
      </c>
      <c r="E10081" t="str">
        <f t="shared" si="335"/>
        <v>R</v>
      </c>
      <c r="F10081" t="str">
        <f t="shared" si="336"/>
        <v>17R</v>
      </c>
    </row>
    <row r="10082" spans="1:6" x14ac:dyDescent="0.2">
      <c r="A10082">
        <v>18</v>
      </c>
      <c r="E10082" t="str">
        <f t="shared" si="335"/>
        <v>S</v>
      </c>
      <c r="F10082" t="str">
        <f t="shared" si="336"/>
        <v>18S</v>
      </c>
    </row>
    <row r="10083" spans="1:6" x14ac:dyDescent="0.2">
      <c r="A10083">
        <v>19</v>
      </c>
      <c r="E10083" t="str">
        <f t="shared" si="335"/>
        <v>T</v>
      </c>
      <c r="F10083" t="str">
        <f t="shared" si="336"/>
        <v>19T</v>
      </c>
    </row>
    <row r="10084" spans="1:6" x14ac:dyDescent="0.2">
      <c r="A10084">
        <v>20</v>
      </c>
      <c r="E10084" t="str">
        <f t="shared" si="335"/>
        <v>U</v>
      </c>
      <c r="F10084" t="str">
        <f t="shared" si="336"/>
        <v>20U</v>
      </c>
    </row>
    <row r="10085" spans="1:6" x14ac:dyDescent="0.2">
      <c r="A10085">
        <v>21</v>
      </c>
      <c r="E10085" t="str">
        <f t="shared" si="335"/>
        <v>V</v>
      </c>
      <c r="F10085" t="str">
        <f t="shared" si="336"/>
        <v>21V</v>
      </c>
    </row>
    <row r="10086" spans="1:6" x14ac:dyDescent="0.2">
      <c r="A10086">
        <v>22</v>
      </c>
      <c r="E10086" t="str">
        <f t="shared" si="335"/>
        <v>W</v>
      </c>
      <c r="F10086" t="str">
        <f t="shared" si="336"/>
        <v>22W</v>
      </c>
    </row>
    <row r="10087" spans="1:6" x14ac:dyDescent="0.2">
      <c r="A10087">
        <v>23</v>
      </c>
      <c r="E10087" t="str">
        <f t="shared" si="335"/>
        <v>X</v>
      </c>
      <c r="F10087" t="str">
        <f t="shared" si="336"/>
        <v>23X</v>
      </c>
    </row>
    <row r="10088" spans="1:6" x14ac:dyDescent="0.2">
      <c r="A10088">
        <v>24</v>
      </c>
      <c r="E10088" t="str">
        <f t="shared" si="335"/>
        <v>Y</v>
      </c>
      <c r="F10088" t="str">
        <f t="shared" si="336"/>
        <v>24Y</v>
      </c>
    </row>
    <row r="10089" spans="1:6" x14ac:dyDescent="0.2">
      <c r="A10089">
        <v>25</v>
      </c>
      <c r="E10089" t="str">
        <f t="shared" si="335"/>
        <v>Z</v>
      </c>
      <c r="F10089" t="str">
        <f t="shared" si="336"/>
        <v>25Z</v>
      </c>
    </row>
    <row r="10090" spans="1:6" x14ac:dyDescent="0.2">
      <c r="A10090">
        <v>0</v>
      </c>
      <c r="E10090" t="str">
        <f t="shared" si="335"/>
        <v>A</v>
      </c>
      <c r="F10090" t="str">
        <f t="shared" si="336"/>
        <v>0A</v>
      </c>
    </row>
    <row r="10091" spans="1:6" x14ac:dyDescent="0.2">
      <c r="A10091">
        <v>1</v>
      </c>
      <c r="E10091" t="str">
        <f t="shared" si="335"/>
        <v>B</v>
      </c>
      <c r="F10091" t="str">
        <f t="shared" si="336"/>
        <v>1B</v>
      </c>
    </row>
    <row r="10092" spans="1:6" x14ac:dyDescent="0.2">
      <c r="A10092">
        <v>2</v>
      </c>
      <c r="E10092" t="str">
        <f t="shared" si="335"/>
        <v>C</v>
      </c>
      <c r="F10092" t="str">
        <f t="shared" si="336"/>
        <v>2C</v>
      </c>
    </row>
    <row r="10093" spans="1:6" x14ac:dyDescent="0.2">
      <c r="A10093">
        <v>3</v>
      </c>
      <c r="E10093" t="str">
        <f t="shared" si="335"/>
        <v>D</v>
      </c>
      <c r="F10093" t="str">
        <f t="shared" si="336"/>
        <v>3D</v>
      </c>
    </row>
    <row r="10094" spans="1:6" x14ac:dyDescent="0.2">
      <c r="A10094">
        <v>4</v>
      </c>
      <c r="E10094" t="str">
        <f t="shared" si="335"/>
        <v>E</v>
      </c>
      <c r="F10094" t="str">
        <f t="shared" si="336"/>
        <v>4E</v>
      </c>
    </row>
    <row r="10095" spans="1:6" x14ac:dyDescent="0.2">
      <c r="A10095">
        <v>5</v>
      </c>
      <c r="E10095" t="str">
        <f t="shared" si="335"/>
        <v>F</v>
      </c>
      <c r="F10095" t="str">
        <f t="shared" si="336"/>
        <v>5F</v>
      </c>
    </row>
    <row r="10096" spans="1:6" x14ac:dyDescent="0.2">
      <c r="A10096">
        <v>6</v>
      </c>
      <c r="E10096" t="str">
        <f t="shared" si="335"/>
        <v>G</v>
      </c>
      <c r="F10096" t="str">
        <f t="shared" si="336"/>
        <v>6G</v>
      </c>
    </row>
    <row r="10097" spans="1:6" x14ac:dyDescent="0.2">
      <c r="A10097">
        <v>7</v>
      </c>
      <c r="E10097" t="str">
        <f t="shared" si="335"/>
        <v>H</v>
      </c>
      <c r="F10097" t="str">
        <f t="shared" si="336"/>
        <v>7H</v>
      </c>
    </row>
    <row r="10098" spans="1:6" x14ac:dyDescent="0.2">
      <c r="A10098">
        <v>8</v>
      </c>
      <c r="E10098" t="str">
        <f t="shared" si="335"/>
        <v>I</v>
      </c>
      <c r="F10098" t="str">
        <f t="shared" si="336"/>
        <v>8I</v>
      </c>
    </row>
    <row r="10099" spans="1:6" x14ac:dyDescent="0.2">
      <c r="A10099">
        <v>9</v>
      </c>
      <c r="E10099" t="str">
        <f t="shared" si="335"/>
        <v>J</v>
      </c>
      <c r="F10099" t="str">
        <f t="shared" si="336"/>
        <v>9J</v>
      </c>
    </row>
    <row r="10100" spans="1:6" x14ac:dyDescent="0.2">
      <c r="A10100">
        <v>10</v>
      </c>
      <c r="E10100" t="str">
        <f t="shared" si="335"/>
        <v>K</v>
      </c>
      <c r="F10100" t="str">
        <f t="shared" si="336"/>
        <v>10K</v>
      </c>
    </row>
    <row r="10101" spans="1:6" x14ac:dyDescent="0.2">
      <c r="A10101">
        <v>11</v>
      </c>
      <c r="E10101" t="str">
        <f t="shared" si="335"/>
        <v>L</v>
      </c>
      <c r="F10101" t="str">
        <f t="shared" si="336"/>
        <v>11L</v>
      </c>
    </row>
    <row r="10102" spans="1:6" x14ac:dyDescent="0.2">
      <c r="A10102">
        <v>12</v>
      </c>
      <c r="E10102" t="str">
        <f t="shared" si="335"/>
        <v>M</v>
      </c>
      <c r="F10102" t="str">
        <f t="shared" si="336"/>
        <v>12M</v>
      </c>
    </row>
    <row r="10103" spans="1:6" x14ac:dyDescent="0.2">
      <c r="A10103">
        <v>13</v>
      </c>
      <c r="E10103" t="str">
        <f t="shared" si="335"/>
        <v>N</v>
      </c>
      <c r="F10103" t="str">
        <f t="shared" si="336"/>
        <v>13N</v>
      </c>
    </row>
    <row r="10104" spans="1:6" x14ac:dyDescent="0.2">
      <c r="A10104">
        <v>14</v>
      </c>
      <c r="E10104" t="str">
        <f t="shared" si="335"/>
        <v>O</v>
      </c>
      <c r="F10104" t="str">
        <f t="shared" si="336"/>
        <v>14O</v>
      </c>
    </row>
    <row r="10105" spans="1:6" x14ac:dyDescent="0.2">
      <c r="A10105">
        <v>15</v>
      </c>
      <c r="E10105" t="str">
        <f t="shared" si="335"/>
        <v>P</v>
      </c>
      <c r="F10105" t="str">
        <f t="shared" si="336"/>
        <v>15P</v>
      </c>
    </row>
    <row r="10106" spans="1:6" x14ac:dyDescent="0.2">
      <c r="A10106">
        <v>16</v>
      </c>
      <c r="E10106" t="str">
        <f t="shared" si="335"/>
        <v>Q</v>
      </c>
      <c r="F10106" t="str">
        <f t="shared" si="336"/>
        <v>16Q</v>
      </c>
    </row>
    <row r="10107" spans="1:6" x14ac:dyDescent="0.2">
      <c r="A10107">
        <v>17</v>
      </c>
      <c r="E10107" t="str">
        <f t="shared" si="335"/>
        <v>R</v>
      </c>
      <c r="F10107" t="str">
        <f t="shared" si="336"/>
        <v>17R</v>
      </c>
    </row>
    <row r="10108" spans="1:6" x14ac:dyDescent="0.2">
      <c r="A10108">
        <v>18</v>
      </c>
      <c r="E10108" t="str">
        <f t="shared" si="335"/>
        <v>S</v>
      </c>
      <c r="F10108" t="str">
        <f t="shared" si="336"/>
        <v>18S</v>
      </c>
    </row>
    <row r="10109" spans="1:6" x14ac:dyDescent="0.2">
      <c r="A10109">
        <v>19</v>
      </c>
      <c r="E10109" t="str">
        <f t="shared" si="335"/>
        <v>T</v>
      </c>
      <c r="F10109" t="str">
        <f t="shared" si="336"/>
        <v>19T</v>
      </c>
    </row>
    <row r="10110" spans="1:6" x14ac:dyDescent="0.2">
      <c r="A10110">
        <v>20</v>
      </c>
      <c r="E10110" t="str">
        <f t="shared" si="335"/>
        <v>U</v>
      </c>
      <c r="F10110" t="str">
        <f t="shared" si="336"/>
        <v>20U</v>
      </c>
    </row>
    <row r="10111" spans="1:6" x14ac:dyDescent="0.2">
      <c r="A10111">
        <v>21</v>
      </c>
      <c r="E10111" t="str">
        <f t="shared" si="335"/>
        <v>V</v>
      </c>
      <c r="F10111" t="str">
        <f t="shared" si="336"/>
        <v>21V</v>
      </c>
    </row>
    <row r="10112" spans="1:6" x14ac:dyDescent="0.2">
      <c r="A10112">
        <v>22</v>
      </c>
      <c r="E10112" t="str">
        <f t="shared" si="335"/>
        <v>W</v>
      </c>
      <c r="F10112" t="str">
        <f t="shared" si="336"/>
        <v>22W</v>
      </c>
    </row>
    <row r="10113" spans="1:6" x14ac:dyDescent="0.2">
      <c r="A10113">
        <v>23</v>
      </c>
      <c r="E10113" t="str">
        <f t="shared" si="335"/>
        <v>X</v>
      </c>
      <c r="F10113" t="str">
        <f t="shared" si="336"/>
        <v>23X</v>
      </c>
    </row>
    <row r="10114" spans="1:6" x14ac:dyDescent="0.2">
      <c r="A10114">
        <v>24</v>
      </c>
      <c r="E10114" t="str">
        <f t="shared" si="335"/>
        <v>Y</v>
      </c>
      <c r="F10114" t="str">
        <f t="shared" si="336"/>
        <v>24Y</v>
      </c>
    </row>
    <row r="10115" spans="1:6" x14ac:dyDescent="0.2">
      <c r="A10115">
        <v>25</v>
      </c>
      <c r="E10115" t="str">
        <f t="shared" si="335"/>
        <v>Z</v>
      </c>
      <c r="F10115" t="str">
        <f t="shared" si="336"/>
        <v>25Z</v>
      </c>
    </row>
    <row r="10116" spans="1:6" x14ac:dyDescent="0.2">
      <c r="A10116">
        <v>0</v>
      </c>
      <c r="E10116" t="str">
        <f t="shared" si="335"/>
        <v>A</v>
      </c>
      <c r="F10116" t="str">
        <f t="shared" si="336"/>
        <v>0A</v>
      </c>
    </row>
    <row r="10117" spans="1:6" x14ac:dyDescent="0.2">
      <c r="A10117">
        <v>1</v>
      </c>
      <c r="E10117" t="str">
        <f t="shared" si="335"/>
        <v>B</v>
      </c>
      <c r="F10117" t="str">
        <f t="shared" si="336"/>
        <v>1B</v>
      </c>
    </row>
    <row r="10118" spans="1:6" x14ac:dyDescent="0.2">
      <c r="A10118">
        <v>2</v>
      </c>
      <c r="E10118" t="str">
        <f t="shared" si="335"/>
        <v>C</v>
      </c>
      <c r="F10118" t="str">
        <f t="shared" si="336"/>
        <v>2C</v>
      </c>
    </row>
    <row r="10119" spans="1:6" x14ac:dyDescent="0.2">
      <c r="A10119">
        <v>3</v>
      </c>
      <c r="E10119" t="str">
        <f t="shared" si="335"/>
        <v>D</v>
      </c>
      <c r="F10119" t="str">
        <f t="shared" si="336"/>
        <v>3D</v>
      </c>
    </row>
    <row r="10120" spans="1:6" x14ac:dyDescent="0.2">
      <c r="A10120">
        <v>4</v>
      </c>
      <c r="E10120" t="str">
        <f t="shared" si="335"/>
        <v>E</v>
      </c>
      <c r="F10120" t="str">
        <f t="shared" si="336"/>
        <v>4E</v>
      </c>
    </row>
    <row r="10121" spans="1:6" x14ac:dyDescent="0.2">
      <c r="A10121">
        <v>5</v>
      </c>
      <c r="E10121" t="str">
        <f t="shared" si="335"/>
        <v>F</v>
      </c>
      <c r="F10121" t="str">
        <f t="shared" si="336"/>
        <v>5F</v>
      </c>
    </row>
    <row r="10122" spans="1:6" x14ac:dyDescent="0.2">
      <c r="A10122">
        <v>6</v>
      </c>
      <c r="E10122" t="str">
        <f t="shared" si="335"/>
        <v>G</v>
      </c>
      <c r="F10122" t="str">
        <f t="shared" si="336"/>
        <v>6G</v>
      </c>
    </row>
    <row r="10123" spans="1:6" x14ac:dyDescent="0.2">
      <c r="A10123">
        <v>7</v>
      </c>
      <c r="E10123" t="str">
        <f t="shared" si="335"/>
        <v>H</v>
      </c>
      <c r="F10123" t="str">
        <f t="shared" si="336"/>
        <v>7H</v>
      </c>
    </row>
    <row r="10124" spans="1:6" x14ac:dyDescent="0.2">
      <c r="A10124">
        <v>8</v>
      </c>
      <c r="E10124" t="str">
        <f t="shared" si="335"/>
        <v>I</v>
      </c>
      <c r="F10124" t="str">
        <f t="shared" si="336"/>
        <v>8I</v>
      </c>
    </row>
    <row r="10125" spans="1:6" x14ac:dyDescent="0.2">
      <c r="A10125">
        <v>9</v>
      </c>
      <c r="E10125" t="str">
        <f t="shared" si="335"/>
        <v>J</v>
      </c>
      <c r="F10125" t="str">
        <f t="shared" si="336"/>
        <v>9J</v>
      </c>
    </row>
    <row r="10126" spans="1:6" x14ac:dyDescent="0.2">
      <c r="A10126">
        <v>10</v>
      </c>
      <c r="E10126" t="str">
        <f t="shared" si="335"/>
        <v>K</v>
      </c>
      <c r="F10126" t="str">
        <f t="shared" si="336"/>
        <v>10K</v>
      </c>
    </row>
    <row r="10127" spans="1:6" x14ac:dyDescent="0.2">
      <c r="A10127">
        <v>11</v>
      </c>
      <c r="E10127" t="str">
        <f t="shared" si="335"/>
        <v>L</v>
      </c>
      <c r="F10127" t="str">
        <f t="shared" si="336"/>
        <v>11L</v>
      </c>
    </row>
    <row r="10128" spans="1:6" x14ac:dyDescent="0.2">
      <c r="A10128">
        <v>12</v>
      </c>
      <c r="E10128" t="str">
        <f t="shared" si="335"/>
        <v>M</v>
      </c>
      <c r="F10128" t="str">
        <f t="shared" si="336"/>
        <v>12M</v>
      </c>
    </row>
    <row r="10129" spans="1:6" x14ac:dyDescent="0.2">
      <c r="A10129">
        <v>13</v>
      </c>
      <c r="E10129" t="str">
        <f t="shared" si="335"/>
        <v>N</v>
      </c>
      <c r="F10129" t="str">
        <f t="shared" si="336"/>
        <v>13N</v>
      </c>
    </row>
    <row r="10130" spans="1:6" x14ac:dyDescent="0.2">
      <c r="A10130">
        <v>14</v>
      </c>
      <c r="E10130" t="str">
        <f t="shared" si="335"/>
        <v>O</v>
      </c>
      <c r="F10130" t="str">
        <f t="shared" si="336"/>
        <v>14O</v>
      </c>
    </row>
    <row r="10131" spans="1:6" x14ac:dyDescent="0.2">
      <c r="A10131">
        <v>15</v>
      </c>
      <c r="E10131" t="str">
        <f t="shared" si="335"/>
        <v>P</v>
      </c>
      <c r="F10131" t="str">
        <f t="shared" si="336"/>
        <v>15P</v>
      </c>
    </row>
    <row r="10132" spans="1:6" x14ac:dyDescent="0.2">
      <c r="A10132">
        <v>16</v>
      </c>
      <c r="E10132" t="str">
        <f t="shared" si="335"/>
        <v>Q</v>
      </c>
      <c r="F10132" t="str">
        <f t="shared" si="336"/>
        <v>16Q</v>
      </c>
    </row>
    <row r="10133" spans="1:6" x14ac:dyDescent="0.2">
      <c r="A10133">
        <v>17</v>
      </c>
      <c r="E10133" t="str">
        <f t="shared" ref="E10133:E10196" si="337">E10107</f>
        <v>R</v>
      </c>
      <c r="F10133" t="str">
        <f t="shared" ref="F10133:F10196" si="338">A10133&amp;C10133&amp;E10133</f>
        <v>17R</v>
      </c>
    </row>
    <row r="10134" spans="1:6" x14ac:dyDescent="0.2">
      <c r="A10134">
        <v>18</v>
      </c>
      <c r="E10134" t="str">
        <f t="shared" si="337"/>
        <v>S</v>
      </c>
      <c r="F10134" t="str">
        <f t="shared" si="338"/>
        <v>18S</v>
      </c>
    </row>
    <row r="10135" spans="1:6" x14ac:dyDescent="0.2">
      <c r="A10135">
        <v>19</v>
      </c>
      <c r="E10135" t="str">
        <f t="shared" si="337"/>
        <v>T</v>
      </c>
      <c r="F10135" t="str">
        <f t="shared" si="338"/>
        <v>19T</v>
      </c>
    </row>
    <row r="10136" spans="1:6" x14ac:dyDescent="0.2">
      <c r="A10136">
        <v>20</v>
      </c>
      <c r="E10136" t="str">
        <f t="shared" si="337"/>
        <v>U</v>
      </c>
      <c r="F10136" t="str">
        <f t="shared" si="338"/>
        <v>20U</v>
      </c>
    </row>
    <row r="10137" spans="1:6" x14ac:dyDescent="0.2">
      <c r="A10137">
        <v>21</v>
      </c>
      <c r="E10137" t="str">
        <f t="shared" si="337"/>
        <v>V</v>
      </c>
      <c r="F10137" t="str">
        <f t="shared" si="338"/>
        <v>21V</v>
      </c>
    </row>
    <row r="10138" spans="1:6" x14ac:dyDescent="0.2">
      <c r="A10138">
        <v>22</v>
      </c>
      <c r="E10138" t="str">
        <f t="shared" si="337"/>
        <v>W</v>
      </c>
      <c r="F10138" t="str">
        <f t="shared" si="338"/>
        <v>22W</v>
      </c>
    </row>
    <row r="10139" spans="1:6" x14ac:dyDescent="0.2">
      <c r="A10139">
        <v>23</v>
      </c>
      <c r="E10139" t="str">
        <f t="shared" si="337"/>
        <v>X</v>
      </c>
      <c r="F10139" t="str">
        <f t="shared" si="338"/>
        <v>23X</v>
      </c>
    </row>
    <row r="10140" spans="1:6" x14ac:dyDescent="0.2">
      <c r="A10140">
        <v>24</v>
      </c>
      <c r="E10140" t="str">
        <f t="shared" si="337"/>
        <v>Y</v>
      </c>
      <c r="F10140" t="str">
        <f t="shared" si="338"/>
        <v>24Y</v>
      </c>
    </row>
    <row r="10141" spans="1:6" x14ac:dyDescent="0.2">
      <c r="A10141">
        <v>25</v>
      </c>
      <c r="E10141" t="str">
        <f t="shared" si="337"/>
        <v>Z</v>
      </c>
      <c r="F10141" t="str">
        <f t="shared" si="338"/>
        <v>25Z</v>
      </c>
    </row>
    <row r="10142" spans="1:6" x14ac:dyDescent="0.2">
      <c r="A10142">
        <v>0</v>
      </c>
      <c r="E10142" t="str">
        <f t="shared" si="337"/>
        <v>A</v>
      </c>
      <c r="F10142" t="str">
        <f t="shared" si="338"/>
        <v>0A</v>
      </c>
    </row>
    <row r="10143" spans="1:6" x14ac:dyDescent="0.2">
      <c r="A10143">
        <v>1</v>
      </c>
      <c r="E10143" t="str">
        <f t="shared" si="337"/>
        <v>B</v>
      </c>
      <c r="F10143" t="str">
        <f t="shared" si="338"/>
        <v>1B</v>
      </c>
    </row>
    <row r="10144" spans="1:6" x14ac:dyDescent="0.2">
      <c r="A10144">
        <v>2</v>
      </c>
      <c r="E10144" t="str">
        <f t="shared" si="337"/>
        <v>C</v>
      </c>
      <c r="F10144" t="str">
        <f t="shared" si="338"/>
        <v>2C</v>
      </c>
    </row>
    <row r="10145" spans="1:6" x14ac:dyDescent="0.2">
      <c r="A10145">
        <v>3</v>
      </c>
      <c r="E10145" t="str">
        <f t="shared" si="337"/>
        <v>D</v>
      </c>
      <c r="F10145" t="str">
        <f t="shared" si="338"/>
        <v>3D</v>
      </c>
    </row>
    <row r="10146" spans="1:6" x14ac:dyDescent="0.2">
      <c r="A10146">
        <v>4</v>
      </c>
      <c r="E10146" t="str">
        <f t="shared" si="337"/>
        <v>E</v>
      </c>
      <c r="F10146" t="str">
        <f t="shared" si="338"/>
        <v>4E</v>
      </c>
    </row>
    <row r="10147" spans="1:6" x14ac:dyDescent="0.2">
      <c r="A10147">
        <v>5</v>
      </c>
      <c r="E10147" t="str">
        <f t="shared" si="337"/>
        <v>F</v>
      </c>
      <c r="F10147" t="str">
        <f t="shared" si="338"/>
        <v>5F</v>
      </c>
    </row>
    <row r="10148" spans="1:6" x14ac:dyDescent="0.2">
      <c r="A10148">
        <v>6</v>
      </c>
      <c r="E10148" t="str">
        <f t="shared" si="337"/>
        <v>G</v>
      </c>
      <c r="F10148" t="str">
        <f t="shared" si="338"/>
        <v>6G</v>
      </c>
    </row>
    <row r="10149" spans="1:6" x14ac:dyDescent="0.2">
      <c r="A10149">
        <v>7</v>
      </c>
      <c r="E10149" t="str">
        <f t="shared" si="337"/>
        <v>H</v>
      </c>
      <c r="F10149" t="str">
        <f t="shared" si="338"/>
        <v>7H</v>
      </c>
    </row>
    <row r="10150" spans="1:6" x14ac:dyDescent="0.2">
      <c r="A10150">
        <v>8</v>
      </c>
      <c r="E10150" t="str">
        <f t="shared" si="337"/>
        <v>I</v>
      </c>
      <c r="F10150" t="str">
        <f t="shared" si="338"/>
        <v>8I</v>
      </c>
    </row>
    <row r="10151" spans="1:6" x14ac:dyDescent="0.2">
      <c r="A10151">
        <v>9</v>
      </c>
      <c r="E10151" t="str">
        <f t="shared" si="337"/>
        <v>J</v>
      </c>
      <c r="F10151" t="str">
        <f t="shared" si="338"/>
        <v>9J</v>
      </c>
    </row>
    <row r="10152" spans="1:6" x14ac:dyDescent="0.2">
      <c r="A10152">
        <v>10</v>
      </c>
      <c r="E10152" t="str">
        <f t="shared" si="337"/>
        <v>K</v>
      </c>
      <c r="F10152" t="str">
        <f t="shared" si="338"/>
        <v>10K</v>
      </c>
    </row>
    <row r="10153" spans="1:6" x14ac:dyDescent="0.2">
      <c r="A10153">
        <v>11</v>
      </c>
      <c r="E10153" t="str">
        <f t="shared" si="337"/>
        <v>L</v>
      </c>
      <c r="F10153" t="str">
        <f t="shared" si="338"/>
        <v>11L</v>
      </c>
    </row>
    <row r="10154" spans="1:6" x14ac:dyDescent="0.2">
      <c r="A10154">
        <v>12</v>
      </c>
      <c r="E10154" t="str">
        <f t="shared" si="337"/>
        <v>M</v>
      </c>
      <c r="F10154" t="str">
        <f t="shared" si="338"/>
        <v>12M</v>
      </c>
    </row>
    <row r="10155" spans="1:6" x14ac:dyDescent="0.2">
      <c r="A10155">
        <v>13</v>
      </c>
      <c r="E10155" t="str">
        <f t="shared" si="337"/>
        <v>N</v>
      </c>
      <c r="F10155" t="str">
        <f t="shared" si="338"/>
        <v>13N</v>
      </c>
    </row>
    <row r="10156" spans="1:6" x14ac:dyDescent="0.2">
      <c r="A10156">
        <v>14</v>
      </c>
      <c r="E10156" t="str">
        <f t="shared" si="337"/>
        <v>O</v>
      </c>
      <c r="F10156" t="str">
        <f t="shared" si="338"/>
        <v>14O</v>
      </c>
    </row>
    <row r="10157" spans="1:6" x14ac:dyDescent="0.2">
      <c r="A10157">
        <v>15</v>
      </c>
      <c r="E10157" t="str">
        <f t="shared" si="337"/>
        <v>P</v>
      </c>
      <c r="F10157" t="str">
        <f t="shared" si="338"/>
        <v>15P</v>
      </c>
    </row>
    <row r="10158" spans="1:6" x14ac:dyDescent="0.2">
      <c r="A10158">
        <v>16</v>
      </c>
      <c r="E10158" t="str">
        <f t="shared" si="337"/>
        <v>Q</v>
      </c>
      <c r="F10158" t="str">
        <f t="shared" si="338"/>
        <v>16Q</v>
      </c>
    </row>
    <row r="10159" spans="1:6" x14ac:dyDescent="0.2">
      <c r="A10159">
        <v>17</v>
      </c>
      <c r="E10159" t="str">
        <f t="shared" si="337"/>
        <v>R</v>
      </c>
      <c r="F10159" t="str">
        <f t="shared" si="338"/>
        <v>17R</v>
      </c>
    </row>
    <row r="10160" spans="1:6" x14ac:dyDescent="0.2">
      <c r="A10160">
        <v>18</v>
      </c>
      <c r="E10160" t="str">
        <f t="shared" si="337"/>
        <v>S</v>
      </c>
      <c r="F10160" t="str">
        <f t="shared" si="338"/>
        <v>18S</v>
      </c>
    </row>
    <row r="10161" spans="1:6" x14ac:dyDescent="0.2">
      <c r="A10161">
        <v>19</v>
      </c>
      <c r="E10161" t="str">
        <f t="shared" si="337"/>
        <v>T</v>
      </c>
      <c r="F10161" t="str">
        <f t="shared" si="338"/>
        <v>19T</v>
      </c>
    </row>
    <row r="10162" spans="1:6" x14ac:dyDescent="0.2">
      <c r="A10162">
        <v>20</v>
      </c>
      <c r="E10162" t="str">
        <f t="shared" si="337"/>
        <v>U</v>
      </c>
      <c r="F10162" t="str">
        <f t="shared" si="338"/>
        <v>20U</v>
      </c>
    </row>
    <row r="10163" spans="1:6" x14ac:dyDescent="0.2">
      <c r="A10163">
        <v>21</v>
      </c>
      <c r="E10163" t="str">
        <f t="shared" si="337"/>
        <v>V</v>
      </c>
      <c r="F10163" t="str">
        <f t="shared" si="338"/>
        <v>21V</v>
      </c>
    </row>
    <row r="10164" spans="1:6" x14ac:dyDescent="0.2">
      <c r="A10164">
        <v>22</v>
      </c>
      <c r="E10164" t="str">
        <f t="shared" si="337"/>
        <v>W</v>
      </c>
      <c r="F10164" t="str">
        <f t="shared" si="338"/>
        <v>22W</v>
      </c>
    </row>
    <row r="10165" spans="1:6" x14ac:dyDescent="0.2">
      <c r="A10165">
        <v>23</v>
      </c>
      <c r="E10165" t="str">
        <f t="shared" si="337"/>
        <v>X</v>
      </c>
      <c r="F10165" t="str">
        <f t="shared" si="338"/>
        <v>23X</v>
      </c>
    </row>
    <row r="10166" spans="1:6" x14ac:dyDescent="0.2">
      <c r="A10166">
        <v>24</v>
      </c>
      <c r="E10166" t="str">
        <f t="shared" si="337"/>
        <v>Y</v>
      </c>
      <c r="F10166" t="str">
        <f t="shared" si="338"/>
        <v>24Y</v>
      </c>
    </row>
    <row r="10167" spans="1:6" x14ac:dyDescent="0.2">
      <c r="A10167">
        <v>25</v>
      </c>
      <c r="E10167" t="str">
        <f t="shared" si="337"/>
        <v>Z</v>
      </c>
      <c r="F10167" t="str">
        <f t="shared" si="338"/>
        <v>25Z</v>
      </c>
    </row>
    <row r="10168" spans="1:6" x14ac:dyDescent="0.2">
      <c r="A10168">
        <v>0</v>
      </c>
      <c r="E10168" t="str">
        <f t="shared" si="337"/>
        <v>A</v>
      </c>
      <c r="F10168" t="str">
        <f t="shared" si="338"/>
        <v>0A</v>
      </c>
    </row>
    <row r="10169" spans="1:6" x14ac:dyDescent="0.2">
      <c r="A10169">
        <v>1</v>
      </c>
      <c r="E10169" t="str">
        <f t="shared" si="337"/>
        <v>B</v>
      </c>
      <c r="F10169" t="str">
        <f t="shared" si="338"/>
        <v>1B</v>
      </c>
    </row>
    <row r="10170" spans="1:6" x14ac:dyDescent="0.2">
      <c r="A10170">
        <v>2</v>
      </c>
      <c r="E10170" t="str">
        <f t="shared" si="337"/>
        <v>C</v>
      </c>
      <c r="F10170" t="str">
        <f t="shared" si="338"/>
        <v>2C</v>
      </c>
    </row>
    <row r="10171" spans="1:6" x14ac:dyDescent="0.2">
      <c r="A10171">
        <v>3</v>
      </c>
      <c r="E10171" t="str">
        <f t="shared" si="337"/>
        <v>D</v>
      </c>
      <c r="F10171" t="str">
        <f t="shared" si="338"/>
        <v>3D</v>
      </c>
    </row>
    <row r="10172" spans="1:6" x14ac:dyDescent="0.2">
      <c r="A10172">
        <v>4</v>
      </c>
      <c r="E10172" t="str">
        <f t="shared" si="337"/>
        <v>E</v>
      </c>
      <c r="F10172" t="str">
        <f t="shared" si="338"/>
        <v>4E</v>
      </c>
    </row>
    <row r="10173" spans="1:6" x14ac:dyDescent="0.2">
      <c r="A10173">
        <v>5</v>
      </c>
      <c r="E10173" t="str">
        <f t="shared" si="337"/>
        <v>F</v>
      </c>
      <c r="F10173" t="str">
        <f t="shared" si="338"/>
        <v>5F</v>
      </c>
    </row>
    <row r="10174" spans="1:6" x14ac:dyDescent="0.2">
      <c r="A10174">
        <v>6</v>
      </c>
      <c r="E10174" t="str">
        <f t="shared" si="337"/>
        <v>G</v>
      </c>
      <c r="F10174" t="str">
        <f t="shared" si="338"/>
        <v>6G</v>
      </c>
    </row>
    <row r="10175" spans="1:6" x14ac:dyDescent="0.2">
      <c r="A10175">
        <v>7</v>
      </c>
      <c r="E10175" t="str">
        <f t="shared" si="337"/>
        <v>H</v>
      </c>
      <c r="F10175" t="str">
        <f t="shared" si="338"/>
        <v>7H</v>
      </c>
    </row>
    <row r="10176" spans="1:6" x14ac:dyDescent="0.2">
      <c r="A10176">
        <v>8</v>
      </c>
      <c r="E10176" t="str">
        <f t="shared" si="337"/>
        <v>I</v>
      </c>
      <c r="F10176" t="str">
        <f t="shared" si="338"/>
        <v>8I</v>
      </c>
    </row>
    <row r="10177" spans="1:6" x14ac:dyDescent="0.2">
      <c r="A10177">
        <v>9</v>
      </c>
      <c r="E10177" t="str">
        <f t="shared" si="337"/>
        <v>J</v>
      </c>
      <c r="F10177" t="str">
        <f t="shared" si="338"/>
        <v>9J</v>
      </c>
    </row>
    <row r="10178" spans="1:6" x14ac:dyDescent="0.2">
      <c r="A10178">
        <v>10</v>
      </c>
      <c r="E10178" t="str">
        <f t="shared" si="337"/>
        <v>K</v>
      </c>
      <c r="F10178" t="str">
        <f t="shared" si="338"/>
        <v>10K</v>
      </c>
    </row>
    <row r="10179" spans="1:6" x14ac:dyDescent="0.2">
      <c r="A10179">
        <v>11</v>
      </c>
      <c r="E10179" t="str">
        <f t="shared" si="337"/>
        <v>L</v>
      </c>
      <c r="F10179" t="str">
        <f t="shared" si="338"/>
        <v>11L</v>
      </c>
    </row>
    <row r="10180" spans="1:6" x14ac:dyDescent="0.2">
      <c r="A10180">
        <v>12</v>
      </c>
      <c r="E10180" t="str">
        <f t="shared" si="337"/>
        <v>M</v>
      </c>
      <c r="F10180" t="str">
        <f t="shared" si="338"/>
        <v>12M</v>
      </c>
    </row>
    <row r="10181" spans="1:6" x14ac:dyDescent="0.2">
      <c r="A10181">
        <v>13</v>
      </c>
      <c r="E10181" t="str">
        <f t="shared" si="337"/>
        <v>N</v>
      </c>
      <c r="F10181" t="str">
        <f t="shared" si="338"/>
        <v>13N</v>
      </c>
    </row>
    <row r="10182" spans="1:6" x14ac:dyDescent="0.2">
      <c r="A10182">
        <v>14</v>
      </c>
      <c r="E10182" t="str">
        <f t="shared" si="337"/>
        <v>O</v>
      </c>
      <c r="F10182" t="str">
        <f t="shared" si="338"/>
        <v>14O</v>
      </c>
    </row>
    <row r="10183" spans="1:6" x14ac:dyDescent="0.2">
      <c r="A10183">
        <v>15</v>
      </c>
      <c r="E10183" t="str">
        <f t="shared" si="337"/>
        <v>P</v>
      </c>
      <c r="F10183" t="str">
        <f t="shared" si="338"/>
        <v>15P</v>
      </c>
    </row>
    <row r="10184" spans="1:6" x14ac:dyDescent="0.2">
      <c r="A10184">
        <v>16</v>
      </c>
      <c r="E10184" t="str">
        <f t="shared" si="337"/>
        <v>Q</v>
      </c>
      <c r="F10184" t="str">
        <f t="shared" si="338"/>
        <v>16Q</v>
      </c>
    </row>
    <row r="10185" spans="1:6" x14ac:dyDescent="0.2">
      <c r="A10185">
        <v>17</v>
      </c>
      <c r="E10185" t="str">
        <f t="shared" si="337"/>
        <v>R</v>
      </c>
      <c r="F10185" t="str">
        <f t="shared" si="338"/>
        <v>17R</v>
      </c>
    </row>
    <row r="10186" spans="1:6" x14ac:dyDescent="0.2">
      <c r="A10186">
        <v>18</v>
      </c>
      <c r="E10186" t="str">
        <f t="shared" si="337"/>
        <v>S</v>
      </c>
      <c r="F10186" t="str">
        <f t="shared" si="338"/>
        <v>18S</v>
      </c>
    </row>
    <row r="10187" spans="1:6" x14ac:dyDescent="0.2">
      <c r="A10187">
        <v>19</v>
      </c>
      <c r="E10187" t="str">
        <f t="shared" si="337"/>
        <v>T</v>
      </c>
      <c r="F10187" t="str">
        <f t="shared" si="338"/>
        <v>19T</v>
      </c>
    </row>
    <row r="10188" spans="1:6" x14ac:dyDescent="0.2">
      <c r="A10188">
        <v>20</v>
      </c>
      <c r="E10188" t="str">
        <f t="shared" si="337"/>
        <v>U</v>
      </c>
      <c r="F10188" t="str">
        <f t="shared" si="338"/>
        <v>20U</v>
      </c>
    </row>
    <row r="10189" spans="1:6" x14ac:dyDescent="0.2">
      <c r="A10189">
        <v>21</v>
      </c>
      <c r="E10189" t="str">
        <f t="shared" si="337"/>
        <v>V</v>
      </c>
      <c r="F10189" t="str">
        <f t="shared" si="338"/>
        <v>21V</v>
      </c>
    </row>
    <row r="10190" spans="1:6" x14ac:dyDescent="0.2">
      <c r="A10190">
        <v>22</v>
      </c>
      <c r="E10190" t="str">
        <f t="shared" si="337"/>
        <v>W</v>
      </c>
      <c r="F10190" t="str">
        <f t="shared" si="338"/>
        <v>22W</v>
      </c>
    </row>
    <row r="10191" spans="1:6" x14ac:dyDescent="0.2">
      <c r="A10191">
        <v>23</v>
      </c>
      <c r="E10191" t="str">
        <f t="shared" si="337"/>
        <v>X</v>
      </c>
      <c r="F10191" t="str">
        <f t="shared" si="338"/>
        <v>23X</v>
      </c>
    </row>
    <row r="10192" spans="1:6" x14ac:dyDescent="0.2">
      <c r="A10192">
        <v>24</v>
      </c>
      <c r="E10192" t="str">
        <f t="shared" si="337"/>
        <v>Y</v>
      </c>
      <c r="F10192" t="str">
        <f t="shared" si="338"/>
        <v>24Y</v>
      </c>
    </row>
    <row r="10193" spans="1:6" x14ac:dyDescent="0.2">
      <c r="A10193">
        <v>25</v>
      </c>
      <c r="E10193" t="str">
        <f t="shared" si="337"/>
        <v>Z</v>
      </c>
      <c r="F10193" t="str">
        <f t="shared" si="338"/>
        <v>25Z</v>
      </c>
    </row>
    <row r="10194" spans="1:6" x14ac:dyDescent="0.2">
      <c r="A10194">
        <v>0</v>
      </c>
      <c r="E10194" t="str">
        <f t="shared" si="337"/>
        <v>A</v>
      </c>
      <c r="F10194" t="str">
        <f t="shared" si="338"/>
        <v>0A</v>
      </c>
    </row>
    <row r="10195" spans="1:6" x14ac:dyDescent="0.2">
      <c r="A10195">
        <v>1</v>
      </c>
      <c r="E10195" t="str">
        <f t="shared" si="337"/>
        <v>B</v>
      </c>
      <c r="F10195" t="str">
        <f t="shared" si="338"/>
        <v>1B</v>
      </c>
    </row>
    <row r="10196" spans="1:6" x14ac:dyDescent="0.2">
      <c r="A10196">
        <v>2</v>
      </c>
      <c r="E10196" t="str">
        <f t="shared" si="337"/>
        <v>C</v>
      </c>
      <c r="F10196" t="str">
        <f t="shared" si="338"/>
        <v>2C</v>
      </c>
    </row>
    <row r="10197" spans="1:6" x14ac:dyDescent="0.2">
      <c r="A10197">
        <v>3</v>
      </c>
      <c r="E10197" t="str">
        <f t="shared" ref="E10197:E10260" si="339">E10171</f>
        <v>D</v>
      </c>
      <c r="F10197" t="str">
        <f t="shared" ref="F10197:F10260" si="340">A10197&amp;C10197&amp;E10197</f>
        <v>3D</v>
      </c>
    </row>
    <row r="10198" spans="1:6" x14ac:dyDescent="0.2">
      <c r="A10198">
        <v>4</v>
      </c>
      <c r="E10198" t="str">
        <f t="shared" si="339"/>
        <v>E</v>
      </c>
      <c r="F10198" t="str">
        <f t="shared" si="340"/>
        <v>4E</v>
      </c>
    </row>
    <row r="10199" spans="1:6" x14ac:dyDescent="0.2">
      <c r="A10199">
        <v>5</v>
      </c>
      <c r="E10199" t="str">
        <f t="shared" si="339"/>
        <v>F</v>
      </c>
      <c r="F10199" t="str">
        <f t="shared" si="340"/>
        <v>5F</v>
      </c>
    </row>
    <row r="10200" spans="1:6" x14ac:dyDescent="0.2">
      <c r="A10200">
        <v>6</v>
      </c>
      <c r="E10200" t="str">
        <f t="shared" si="339"/>
        <v>G</v>
      </c>
      <c r="F10200" t="str">
        <f t="shared" si="340"/>
        <v>6G</v>
      </c>
    </row>
    <row r="10201" spans="1:6" x14ac:dyDescent="0.2">
      <c r="A10201">
        <v>7</v>
      </c>
      <c r="E10201" t="str">
        <f t="shared" si="339"/>
        <v>H</v>
      </c>
      <c r="F10201" t="str">
        <f t="shared" si="340"/>
        <v>7H</v>
      </c>
    </row>
    <row r="10202" spans="1:6" x14ac:dyDescent="0.2">
      <c r="A10202">
        <v>8</v>
      </c>
      <c r="E10202" t="str">
        <f t="shared" si="339"/>
        <v>I</v>
      </c>
      <c r="F10202" t="str">
        <f t="shared" si="340"/>
        <v>8I</v>
      </c>
    </row>
    <row r="10203" spans="1:6" x14ac:dyDescent="0.2">
      <c r="A10203">
        <v>9</v>
      </c>
      <c r="E10203" t="str">
        <f t="shared" si="339"/>
        <v>J</v>
      </c>
      <c r="F10203" t="str">
        <f t="shared" si="340"/>
        <v>9J</v>
      </c>
    </row>
    <row r="10204" spans="1:6" x14ac:dyDescent="0.2">
      <c r="A10204">
        <v>10</v>
      </c>
      <c r="E10204" t="str">
        <f t="shared" si="339"/>
        <v>K</v>
      </c>
      <c r="F10204" t="str">
        <f t="shared" si="340"/>
        <v>10K</v>
      </c>
    </row>
    <row r="10205" spans="1:6" x14ac:dyDescent="0.2">
      <c r="A10205">
        <v>11</v>
      </c>
      <c r="E10205" t="str">
        <f t="shared" si="339"/>
        <v>L</v>
      </c>
      <c r="F10205" t="str">
        <f t="shared" si="340"/>
        <v>11L</v>
      </c>
    </row>
    <row r="10206" spans="1:6" x14ac:dyDescent="0.2">
      <c r="A10206">
        <v>12</v>
      </c>
      <c r="E10206" t="str">
        <f t="shared" si="339"/>
        <v>M</v>
      </c>
      <c r="F10206" t="str">
        <f t="shared" si="340"/>
        <v>12M</v>
      </c>
    </row>
    <row r="10207" spans="1:6" x14ac:dyDescent="0.2">
      <c r="A10207">
        <v>13</v>
      </c>
      <c r="E10207" t="str">
        <f t="shared" si="339"/>
        <v>N</v>
      </c>
      <c r="F10207" t="str">
        <f t="shared" si="340"/>
        <v>13N</v>
      </c>
    </row>
    <row r="10208" spans="1:6" x14ac:dyDescent="0.2">
      <c r="A10208">
        <v>14</v>
      </c>
      <c r="E10208" t="str">
        <f t="shared" si="339"/>
        <v>O</v>
      </c>
      <c r="F10208" t="str">
        <f t="shared" si="340"/>
        <v>14O</v>
      </c>
    </row>
    <row r="10209" spans="1:6" x14ac:dyDescent="0.2">
      <c r="A10209">
        <v>15</v>
      </c>
      <c r="E10209" t="str">
        <f t="shared" si="339"/>
        <v>P</v>
      </c>
      <c r="F10209" t="str">
        <f t="shared" si="340"/>
        <v>15P</v>
      </c>
    </row>
    <row r="10210" spans="1:6" x14ac:dyDescent="0.2">
      <c r="A10210">
        <v>16</v>
      </c>
      <c r="E10210" t="str">
        <f t="shared" si="339"/>
        <v>Q</v>
      </c>
      <c r="F10210" t="str">
        <f t="shared" si="340"/>
        <v>16Q</v>
      </c>
    </row>
    <row r="10211" spans="1:6" x14ac:dyDescent="0.2">
      <c r="A10211">
        <v>17</v>
      </c>
      <c r="E10211" t="str">
        <f t="shared" si="339"/>
        <v>R</v>
      </c>
      <c r="F10211" t="str">
        <f t="shared" si="340"/>
        <v>17R</v>
      </c>
    </row>
    <row r="10212" spans="1:6" x14ac:dyDescent="0.2">
      <c r="A10212">
        <v>18</v>
      </c>
      <c r="E10212" t="str">
        <f t="shared" si="339"/>
        <v>S</v>
      </c>
      <c r="F10212" t="str">
        <f t="shared" si="340"/>
        <v>18S</v>
      </c>
    </row>
    <row r="10213" spans="1:6" x14ac:dyDescent="0.2">
      <c r="A10213">
        <v>19</v>
      </c>
      <c r="E10213" t="str">
        <f t="shared" si="339"/>
        <v>T</v>
      </c>
      <c r="F10213" t="str">
        <f t="shared" si="340"/>
        <v>19T</v>
      </c>
    </row>
    <row r="10214" spans="1:6" x14ac:dyDescent="0.2">
      <c r="A10214">
        <v>20</v>
      </c>
      <c r="E10214" t="str">
        <f t="shared" si="339"/>
        <v>U</v>
      </c>
      <c r="F10214" t="str">
        <f t="shared" si="340"/>
        <v>20U</v>
      </c>
    </row>
    <row r="10215" spans="1:6" x14ac:dyDescent="0.2">
      <c r="A10215">
        <v>21</v>
      </c>
      <c r="E10215" t="str">
        <f t="shared" si="339"/>
        <v>V</v>
      </c>
      <c r="F10215" t="str">
        <f t="shared" si="340"/>
        <v>21V</v>
      </c>
    </row>
    <row r="10216" spans="1:6" x14ac:dyDescent="0.2">
      <c r="A10216">
        <v>22</v>
      </c>
      <c r="E10216" t="str">
        <f t="shared" si="339"/>
        <v>W</v>
      </c>
      <c r="F10216" t="str">
        <f t="shared" si="340"/>
        <v>22W</v>
      </c>
    </row>
    <row r="10217" spans="1:6" x14ac:dyDescent="0.2">
      <c r="A10217">
        <v>23</v>
      </c>
      <c r="E10217" t="str">
        <f t="shared" si="339"/>
        <v>X</v>
      </c>
      <c r="F10217" t="str">
        <f t="shared" si="340"/>
        <v>23X</v>
      </c>
    </row>
    <row r="10218" spans="1:6" x14ac:dyDescent="0.2">
      <c r="A10218">
        <v>24</v>
      </c>
      <c r="E10218" t="str">
        <f t="shared" si="339"/>
        <v>Y</v>
      </c>
      <c r="F10218" t="str">
        <f t="shared" si="340"/>
        <v>24Y</v>
      </c>
    </row>
    <row r="10219" spans="1:6" x14ac:dyDescent="0.2">
      <c r="A10219">
        <v>25</v>
      </c>
      <c r="E10219" t="str">
        <f t="shared" si="339"/>
        <v>Z</v>
      </c>
      <c r="F10219" t="str">
        <f t="shared" si="340"/>
        <v>25Z</v>
      </c>
    </row>
    <row r="10220" spans="1:6" x14ac:dyDescent="0.2">
      <c r="A10220">
        <v>0</v>
      </c>
      <c r="E10220" t="str">
        <f t="shared" si="339"/>
        <v>A</v>
      </c>
      <c r="F10220" t="str">
        <f t="shared" si="340"/>
        <v>0A</v>
      </c>
    </row>
    <row r="10221" spans="1:6" x14ac:dyDescent="0.2">
      <c r="A10221">
        <v>1</v>
      </c>
      <c r="E10221" t="str">
        <f t="shared" si="339"/>
        <v>B</v>
      </c>
      <c r="F10221" t="str">
        <f t="shared" si="340"/>
        <v>1B</v>
      </c>
    </row>
    <row r="10222" spans="1:6" x14ac:dyDescent="0.2">
      <c r="A10222">
        <v>2</v>
      </c>
      <c r="E10222" t="str">
        <f t="shared" si="339"/>
        <v>C</v>
      </c>
      <c r="F10222" t="str">
        <f t="shared" si="340"/>
        <v>2C</v>
      </c>
    </row>
    <row r="10223" spans="1:6" x14ac:dyDescent="0.2">
      <c r="A10223">
        <v>3</v>
      </c>
      <c r="E10223" t="str">
        <f t="shared" si="339"/>
        <v>D</v>
      </c>
      <c r="F10223" t="str">
        <f t="shared" si="340"/>
        <v>3D</v>
      </c>
    </row>
    <row r="10224" spans="1:6" x14ac:dyDescent="0.2">
      <c r="A10224">
        <v>4</v>
      </c>
      <c r="E10224" t="str">
        <f t="shared" si="339"/>
        <v>E</v>
      </c>
      <c r="F10224" t="str">
        <f t="shared" si="340"/>
        <v>4E</v>
      </c>
    </row>
    <row r="10225" spans="1:6" x14ac:dyDescent="0.2">
      <c r="A10225">
        <v>5</v>
      </c>
      <c r="E10225" t="str">
        <f t="shared" si="339"/>
        <v>F</v>
      </c>
      <c r="F10225" t="str">
        <f t="shared" si="340"/>
        <v>5F</v>
      </c>
    </row>
    <row r="10226" spans="1:6" x14ac:dyDescent="0.2">
      <c r="A10226">
        <v>6</v>
      </c>
      <c r="E10226" t="str">
        <f t="shared" si="339"/>
        <v>G</v>
      </c>
      <c r="F10226" t="str">
        <f t="shared" si="340"/>
        <v>6G</v>
      </c>
    </row>
    <row r="10227" spans="1:6" x14ac:dyDescent="0.2">
      <c r="A10227">
        <v>7</v>
      </c>
      <c r="E10227" t="str">
        <f t="shared" si="339"/>
        <v>H</v>
      </c>
      <c r="F10227" t="str">
        <f t="shared" si="340"/>
        <v>7H</v>
      </c>
    </row>
    <row r="10228" spans="1:6" x14ac:dyDescent="0.2">
      <c r="A10228">
        <v>8</v>
      </c>
      <c r="E10228" t="str">
        <f t="shared" si="339"/>
        <v>I</v>
      </c>
      <c r="F10228" t="str">
        <f t="shared" si="340"/>
        <v>8I</v>
      </c>
    </row>
    <row r="10229" spans="1:6" x14ac:dyDescent="0.2">
      <c r="A10229">
        <v>9</v>
      </c>
      <c r="E10229" t="str">
        <f t="shared" si="339"/>
        <v>J</v>
      </c>
      <c r="F10229" t="str">
        <f t="shared" si="340"/>
        <v>9J</v>
      </c>
    </row>
    <row r="10230" spans="1:6" x14ac:dyDescent="0.2">
      <c r="A10230">
        <v>10</v>
      </c>
      <c r="E10230" t="str">
        <f t="shared" si="339"/>
        <v>K</v>
      </c>
      <c r="F10230" t="str">
        <f t="shared" si="340"/>
        <v>10K</v>
      </c>
    </row>
    <row r="10231" spans="1:6" x14ac:dyDescent="0.2">
      <c r="A10231">
        <v>11</v>
      </c>
      <c r="E10231" t="str">
        <f t="shared" si="339"/>
        <v>L</v>
      </c>
      <c r="F10231" t="str">
        <f t="shared" si="340"/>
        <v>11L</v>
      </c>
    </row>
    <row r="10232" spans="1:6" x14ac:dyDescent="0.2">
      <c r="A10232">
        <v>12</v>
      </c>
      <c r="E10232" t="str">
        <f t="shared" si="339"/>
        <v>M</v>
      </c>
      <c r="F10232" t="str">
        <f t="shared" si="340"/>
        <v>12M</v>
      </c>
    </row>
    <row r="10233" spans="1:6" x14ac:dyDescent="0.2">
      <c r="A10233">
        <v>13</v>
      </c>
      <c r="E10233" t="str">
        <f t="shared" si="339"/>
        <v>N</v>
      </c>
      <c r="F10233" t="str">
        <f t="shared" si="340"/>
        <v>13N</v>
      </c>
    </row>
    <row r="10234" spans="1:6" x14ac:dyDescent="0.2">
      <c r="A10234">
        <v>14</v>
      </c>
      <c r="E10234" t="str">
        <f t="shared" si="339"/>
        <v>O</v>
      </c>
      <c r="F10234" t="str">
        <f t="shared" si="340"/>
        <v>14O</v>
      </c>
    </row>
    <row r="10235" spans="1:6" x14ac:dyDescent="0.2">
      <c r="A10235">
        <v>15</v>
      </c>
      <c r="E10235" t="str">
        <f t="shared" si="339"/>
        <v>P</v>
      </c>
      <c r="F10235" t="str">
        <f t="shared" si="340"/>
        <v>15P</v>
      </c>
    </row>
    <row r="10236" spans="1:6" x14ac:dyDescent="0.2">
      <c r="A10236">
        <v>16</v>
      </c>
      <c r="E10236" t="str">
        <f t="shared" si="339"/>
        <v>Q</v>
      </c>
      <c r="F10236" t="str">
        <f t="shared" si="340"/>
        <v>16Q</v>
      </c>
    </row>
    <row r="10237" spans="1:6" x14ac:dyDescent="0.2">
      <c r="A10237">
        <v>17</v>
      </c>
      <c r="E10237" t="str">
        <f t="shared" si="339"/>
        <v>R</v>
      </c>
      <c r="F10237" t="str">
        <f t="shared" si="340"/>
        <v>17R</v>
      </c>
    </row>
    <row r="10238" spans="1:6" x14ac:dyDescent="0.2">
      <c r="A10238">
        <v>18</v>
      </c>
      <c r="E10238" t="str">
        <f t="shared" si="339"/>
        <v>S</v>
      </c>
      <c r="F10238" t="str">
        <f t="shared" si="340"/>
        <v>18S</v>
      </c>
    </row>
    <row r="10239" spans="1:6" x14ac:dyDescent="0.2">
      <c r="A10239">
        <v>19</v>
      </c>
      <c r="E10239" t="str">
        <f t="shared" si="339"/>
        <v>T</v>
      </c>
      <c r="F10239" t="str">
        <f t="shared" si="340"/>
        <v>19T</v>
      </c>
    </row>
    <row r="10240" spans="1:6" x14ac:dyDescent="0.2">
      <c r="A10240">
        <v>20</v>
      </c>
      <c r="E10240" t="str">
        <f t="shared" si="339"/>
        <v>U</v>
      </c>
      <c r="F10240" t="str">
        <f t="shared" si="340"/>
        <v>20U</v>
      </c>
    </row>
    <row r="10241" spans="1:6" x14ac:dyDescent="0.2">
      <c r="A10241">
        <v>21</v>
      </c>
      <c r="E10241" t="str">
        <f t="shared" si="339"/>
        <v>V</v>
      </c>
      <c r="F10241" t="str">
        <f t="shared" si="340"/>
        <v>21V</v>
      </c>
    </row>
    <row r="10242" spans="1:6" x14ac:dyDescent="0.2">
      <c r="A10242">
        <v>22</v>
      </c>
      <c r="E10242" t="str">
        <f t="shared" si="339"/>
        <v>W</v>
      </c>
      <c r="F10242" t="str">
        <f t="shared" si="340"/>
        <v>22W</v>
      </c>
    </row>
    <row r="10243" spans="1:6" x14ac:dyDescent="0.2">
      <c r="A10243">
        <v>23</v>
      </c>
      <c r="E10243" t="str">
        <f t="shared" si="339"/>
        <v>X</v>
      </c>
      <c r="F10243" t="str">
        <f t="shared" si="340"/>
        <v>23X</v>
      </c>
    </row>
    <row r="10244" spans="1:6" x14ac:dyDescent="0.2">
      <c r="A10244">
        <v>24</v>
      </c>
      <c r="E10244" t="str">
        <f t="shared" si="339"/>
        <v>Y</v>
      </c>
      <c r="F10244" t="str">
        <f t="shared" si="340"/>
        <v>24Y</v>
      </c>
    </row>
    <row r="10245" spans="1:6" x14ac:dyDescent="0.2">
      <c r="A10245">
        <v>25</v>
      </c>
      <c r="E10245" t="str">
        <f t="shared" si="339"/>
        <v>Z</v>
      </c>
      <c r="F10245" t="str">
        <f t="shared" si="340"/>
        <v>25Z</v>
      </c>
    </row>
    <row r="10246" spans="1:6" x14ac:dyDescent="0.2">
      <c r="A10246">
        <v>0</v>
      </c>
      <c r="E10246" t="str">
        <f t="shared" si="339"/>
        <v>A</v>
      </c>
      <c r="F10246" t="str">
        <f t="shared" si="340"/>
        <v>0A</v>
      </c>
    </row>
    <row r="10247" spans="1:6" x14ac:dyDescent="0.2">
      <c r="A10247">
        <v>1</v>
      </c>
      <c r="E10247" t="str">
        <f t="shared" si="339"/>
        <v>B</v>
      </c>
      <c r="F10247" t="str">
        <f t="shared" si="340"/>
        <v>1B</v>
      </c>
    </row>
    <row r="10248" spans="1:6" x14ac:dyDescent="0.2">
      <c r="A10248">
        <v>2</v>
      </c>
      <c r="E10248" t="str">
        <f t="shared" si="339"/>
        <v>C</v>
      </c>
      <c r="F10248" t="str">
        <f t="shared" si="340"/>
        <v>2C</v>
      </c>
    </row>
    <row r="10249" spans="1:6" x14ac:dyDescent="0.2">
      <c r="A10249">
        <v>3</v>
      </c>
      <c r="E10249" t="str">
        <f t="shared" si="339"/>
        <v>D</v>
      </c>
      <c r="F10249" t="str">
        <f t="shared" si="340"/>
        <v>3D</v>
      </c>
    </row>
    <row r="10250" spans="1:6" x14ac:dyDescent="0.2">
      <c r="A10250">
        <v>4</v>
      </c>
      <c r="E10250" t="str">
        <f t="shared" si="339"/>
        <v>E</v>
      </c>
      <c r="F10250" t="str">
        <f t="shared" si="340"/>
        <v>4E</v>
      </c>
    </row>
    <row r="10251" spans="1:6" x14ac:dyDescent="0.2">
      <c r="A10251">
        <v>5</v>
      </c>
      <c r="E10251" t="str">
        <f t="shared" si="339"/>
        <v>F</v>
      </c>
      <c r="F10251" t="str">
        <f t="shared" si="340"/>
        <v>5F</v>
      </c>
    </row>
    <row r="10252" spans="1:6" x14ac:dyDescent="0.2">
      <c r="A10252">
        <v>6</v>
      </c>
      <c r="E10252" t="str">
        <f t="shared" si="339"/>
        <v>G</v>
      </c>
      <c r="F10252" t="str">
        <f t="shared" si="340"/>
        <v>6G</v>
      </c>
    </row>
    <row r="10253" spans="1:6" x14ac:dyDescent="0.2">
      <c r="A10253">
        <v>7</v>
      </c>
      <c r="E10253" t="str">
        <f t="shared" si="339"/>
        <v>H</v>
      </c>
      <c r="F10253" t="str">
        <f t="shared" si="340"/>
        <v>7H</v>
      </c>
    </row>
    <row r="10254" spans="1:6" x14ac:dyDescent="0.2">
      <c r="A10254">
        <v>8</v>
      </c>
      <c r="E10254" t="str">
        <f t="shared" si="339"/>
        <v>I</v>
      </c>
      <c r="F10254" t="str">
        <f t="shared" si="340"/>
        <v>8I</v>
      </c>
    </row>
    <row r="10255" spans="1:6" x14ac:dyDescent="0.2">
      <c r="A10255">
        <v>9</v>
      </c>
      <c r="E10255" t="str">
        <f t="shared" si="339"/>
        <v>J</v>
      </c>
      <c r="F10255" t="str">
        <f t="shared" si="340"/>
        <v>9J</v>
      </c>
    </row>
    <row r="10256" spans="1:6" x14ac:dyDescent="0.2">
      <c r="A10256">
        <v>10</v>
      </c>
      <c r="E10256" t="str">
        <f t="shared" si="339"/>
        <v>K</v>
      </c>
      <c r="F10256" t="str">
        <f t="shared" si="340"/>
        <v>10K</v>
      </c>
    </row>
    <row r="10257" spans="1:6" x14ac:dyDescent="0.2">
      <c r="A10257">
        <v>11</v>
      </c>
      <c r="E10257" t="str">
        <f t="shared" si="339"/>
        <v>L</v>
      </c>
      <c r="F10257" t="str">
        <f t="shared" si="340"/>
        <v>11L</v>
      </c>
    </row>
    <row r="10258" spans="1:6" x14ac:dyDescent="0.2">
      <c r="A10258">
        <v>12</v>
      </c>
      <c r="E10258" t="str">
        <f t="shared" si="339"/>
        <v>M</v>
      </c>
      <c r="F10258" t="str">
        <f t="shared" si="340"/>
        <v>12M</v>
      </c>
    </row>
    <row r="10259" spans="1:6" x14ac:dyDescent="0.2">
      <c r="A10259">
        <v>13</v>
      </c>
      <c r="E10259" t="str">
        <f t="shared" si="339"/>
        <v>N</v>
      </c>
      <c r="F10259" t="str">
        <f t="shared" si="340"/>
        <v>13N</v>
      </c>
    </row>
    <row r="10260" spans="1:6" x14ac:dyDescent="0.2">
      <c r="A10260">
        <v>14</v>
      </c>
      <c r="E10260" t="str">
        <f t="shared" si="339"/>
        <v>O</v>
      </c>
      <c r="F10260" t="str">
        <f t="shared" si="340"/>
        <v>14O</v>
      </c>
    </row>
    <row r="10261" spans="1:6" x14ac:dyDescent="0.2">
      <c r="A10261">
        <v>15</v>
      </c>
      <c r="E10261" t="str">
        <f t="shared" ref="E10261:E10324" si="341">E10235</f>
        <v>P</v>
      </c>
      <c r="F10261" t="str">
        <f t="shared" ref="F10261:F10324" si="342">A10261&amp;C10261&amp;E10261</f>
        <v>15P</v>
      </c>
    </row>
    <row r="10262" spans="1:6" x14ac:dyDescent="0.2">
      <c r="A10262">
        <v>16</v>
      </c>
      <c r="E10262" t="str">
        <f t="shared" si="341"/>
        <v>Q</v>
      </c>
      <c r="F10262" t="str">
        <f t="shared" si="342"/>
        <v>16Q</v>
      </c>
    </row>
    <row r="10263" spans="1:6" x14ac:dyDescent="0.2">
      <c r="A10263">
        <v>17</v>
      </c>
      <c r="E10263" t="str">
        <f t="shared" si="341"/>
        <v>R</v>
      </c>
      <c r="F10263" t="str">
        <f t="shared" si="342"/>
        <v>17R</v>
      </c>
    </row>
    <row r="10264" spans="1:6" x14ac:dyDescent="0.2">
      <c r="A10264">
        <v>18</v>
      </c>
      <c r="E10264" t="str">
        <f t="shared" si="341"/>
        <v>S</v>
      </c>
      <c r="F10264" t="str">
        <f t="shared" si="342"/>
        <v>18S</v>
      </c>
    </row>
    <row r="10265" spans="1:6" x14ac:dyDescent="0.2">
      <c r="A10265">
        <v>19</v>
      </c>
      <c r="E10265" t="str">
        <f t="shared" si="341"/>
        <v>T</v>
      </c>
      <c r="F10265" t="str">
        <f t="shared" si="342"/>
        <v>19T</v>
      </c>
    </row>
    <row r="10266" spans="1:6" x14ac:dyDescent="0.2">
      <c r="A10266">
        <v>20</v>
      </c>
      <c r="E10266" t="str">
        <f t="shared" si="341"/>
        <v>U</v>
      </c>
      <c r="F10266" t="str">
        <f t="shared" si="342"/>
        <v>20U</v>
      </c>
    </row>
    <row r="10267" spans="1:6" x14ac:dyDescent="0.2">
      <c r="A10267">
        <v>21</v>
      </c>
      <c r="E10267" t="str">
        <f t="shared" si="341"/>
        <v>V</v>
      </c>
      <c r="F10267" t="str">
        <f t="shared" si="342"/>
        <v>21V</v>
      </c>
    </row>
    <row r="10268" spans="1:6" x14ac:dyDescent="0.2">
      <c r="A10268">
        <v>22</v>
      </c>
      <c r="E10268" t="str">
        <f t="shared" si="341"/>
        <v>W</v>
      </c>
      <c r="F10268" t="str">
        <f t="shared" si="342"/>
        <v>22W</v>
      </c>
    </row>
    <row r="10269" spans="1:6" x14ac:dyDescent="0.2">
      <c r="A10269">
        <v>23</v>
      </c>
      <c r="E10269" t="str">
        <f t="shared" si="341"/>
        <v>X</v>
      </c>
      <c r="F10269" t="str">
        <f t="shared" si="342"/>
        <v>23X</v>
      </c>
    </row>
    <row r="10270" spans="1:6" x14ac:dyDescent="0.2">
      <c r="A10270">
        <v>24</v>
      </c>
      <c r="E10270" t="str">
        <f t="shared" si="341"/>
        <v>Y</v>
      </c>
      <c r="F10270" t="str">
        <f t="shared" si="342"/>
        <v>24Y</v>
      </c>
    </row>
    <row r="10271" spans="1:6" x14ac:dyDescent="0.2">
      <c r="A10271">
        <v>25</v>
      </c>
      <c r="E10271" t="str">
        <f t="shared" si="341"/>
        <v>Z</v>
      </c>
      <c r="F10271" t="str">
        <f t="shared" si="342"/>
        <v>25Z</v>
      </c>
    </row>
    <row r="10272" spans="1:6" x14ac:dyDescent="0.2">
      <c r="A10272">
        <v>0</v>
      </c>
      <c r="E10272" t="str">
        <f t="shared" si="341"/>
        <v>A</v>
      </c>
      <c r="F10272" t="str">
        <f t="shared" si="342"/>
        <v>0A</v>
      </c>
    </row>
    <row r="10273" spans="1:6" x14ac:dyDescent="0.2">
      <c r="A10273">
        <v>1</v>
      </c>
      <c r="E10273" t="str">
        <f t="shared" si="341"/>
        <v>B</v>
      </c>
      <c r="F10273" t="str">
        <f t="shared" si="342"/>
        <v>1B</v>
      </c>
    </row>
    <row r="10274" spans="1:6" x14ac:dyDescent="0.2">
      <c r="A10274">
        <v>2</v>
      </c>
      <c r="E10274" t="str">
        <f t="shared" si="341"/>
        <v>C</v>
      </c>
      <c r="F10274" t="str">
        <f t="shared" si="342"/>
        <v>2C</v>
      </c>
    </row>
    <row r="10275" spans="1:6" x14ac:dyDescent="0.2">
      <c r="A10275">
        <v>3</v>
      </c>
      <c r="E10275" t="str">
        <f t="shared" si="341"/>
        <v>D</v>
      </c>
      <c r="F10275" t="str">
        <f t="shared" si="342"/>
        <v>3D</v>
      </c>
    </row>
    <row r="10276" spans="1:6" x14ac:dyDescent="0.2">
      <c r="A10276">
        <v>4</v>
      </c>
      <c r="E10276" t="str">
        <f t="shared" si="341"/>
        <v>E</v>
      </c>
      <c r="F10276" t="str">
        <f t="shared" si="342"/>
        <v>4E</v>
      </c>
    </row>
    <row r="10277" spans="1:6" x14ac:dyDescent="0.2">
      <c r="A10277">
        <v>5</v>
      </c>
      <c r="E10277" t="str">
        <f t="shared" si="341"/>
        <v>F</v>
      </c>
      <c r="F10277" t="str">
        <f t="shared" si="342"/>
        <v>5F</v>
      </c>
    </row>
    <row r="10278" spans="1:6" x14ac:dyDescent="0.2">
      <c r="A10278">
        <v>6</v>
      </c>
      <c r="E10278" t="str">
        <f t="shared" si="341"/>
        <v>G</v>
      </c>
      <c r="F10278" t="str">
        <f t="shared" si="342"/>
        <v>6G</v>
      </c>
    </row>
    <row r="10279" spans="1:6" x14ac:dyDescent="0.2">
      <c r="A10279">
        <v>7</v>
      </c>
      <c r="E10279" t="str">
        <f t="shared" si="341"/>
        <v>H</v>
      </c>
      <c r="F10279" t="str">
        <f t="shared" si="342"/>
        <v>7H</v>
      </c>
    </row>
    <row r="10280" spans="1:6" x14ac:dyDescent="0.2">
      <c r="A10280">
        <v>8</v>
      </c>
      <c r="E10280" t="str">
        <f t="shared" si="341"/>
        <v>I</v>
      </c>
      <c r="F10280" t="str">
        <f t="shared" si="342"/>
        <v>8I</v>
      </c>
    </row>
    <row r="10281" spans="1:6" x14ac:dyDescent="0.2">
      <c r="A10281">
        <v>9</v>
      </c>
      <c r="E10281" t="str">
        <f t="shared" si="341"/>
        <v>J</v>
      </c>
      <c r="F10281" t="str">
        <f t="shared" si="342"/>
        <v>9J</v>
      </c>
    </row>
    <row r="10282" spans="1:6" x14ac:dyDescent="0.2">
      <c r="A10282">
        <v>10</v>
      </c>
      <c r="E10282" t="str">
        <f t="shared" si="341"/>
        <v>K</v>
      </c>
      <c r="F10282" t="str">
        <f t="shared" si="342"/>
        <v>10K</v>
      </c>
    </row>
    <row r="10283" spans="1:6" x14ac:dyDescent="0.2">
      <c r="A10283">
        <v>11</v>
      </c>
      <c r="E10283" t="str">
        <f t="shared" si="341"/>
        <v>L</v>
      </c>
      <c r="F10283" t="str">
        <f t="shared" si="342"/>
        <v>11L</v>
      </c>
    </row>
    <row r="10284" spans="1:6" x14ac:dyDescent="0.2">
      <c r="A10284">
        <v>12</v>
      </c>
      <c r="E10284" t="str">
        <f t="shared" si="341"/>
        <v>M</v>
      </c>
      <c r="F10284" t="str">
        <f t="shared" si="342"/>
        <v>12M</v>
      </c>
    </row>
    <row r="10285" spans="1:6" x14ac:dyDescent="0.2">
      <c r="A10285">
        <v>13</v>
      </c>
      <c r="E10285" t="str">
        <f t="shared" si="341"/>
        <v>N</v>
      </c>
      <c r="F10285" t="str">
        <f t="shared" si="342"/>
        <v>13N</v>
      </c>
    </row>
    <row r="10286" spans="1:6" x14ac:dyDescent="0.2">
      <c r="A10286">
        <v>14</v>
      </c>
      <c r="E10286" t="str">
        <f t="shared" si="341"/>
        <v>O</v>
      </c>
      <c r="F10286" t="str">
        <f t="shared" si="342"/>
        <v>14O</v>
      </c>
    </row>
    <row r="10287" spans="1:6" x14ac:dyDescent="0.2">
      <c r="A10287">
        <v>15</v>
      </c>
      <c r="E10287" t="str">
        <f t="shared" si="341"/>
        <v>P</v>
      </c>
      <c r="F10287" t="str">
        <f t="shared" si="342"/>
        <v>15P</v>
      </c>
    </row>
    <row r="10288" spans="1:6" x14ac:dyDescent="0.2">
      <c r="A10288">
        <v>16</v>
      </c>
      <c r="E10288" t="str">
        <f t="shared" si="341"/>
        <v>Q</v>
      </c>
      <c r="F10288" t="str">
        <f t="shared" si="342"/>
        <v>16Q</v>
      </c>
    </row>
    <row r="10289" spans="1:6" x14ac:dyDescent="0.2">
      <c r="A10289">
        <v>17</v>
      </c>
      <c r="E10289" t="str">
        <f t="shared" si="341"/>
        <v>R</v>
      </c>
      <c r="F10289" t="str">
        <f t="shared" si="342"/>
        <v>17R</v>
      </c>
    </row>
    <row r="10290" spans="1:6" x14ac:dyDescent="0.2">
      <c r="A10290">
        <v>18</v>
      </c>
      <c r="E10290" t="str">
        <f t="shared" si="341"/>
        <v>S</v>
      </c>
      <c r="F10290" t="str">
        <f t="shared" si="342"/>
        <v>18S</v>
      </c>
    </row>
    <row r="10291" spans="1:6" x14ac:dyDescent="0.2">
      <c r="A10291">
        <v>19</v>
      </c>
      <c r="E10291" t="str">
        <f t="shared" si="341"/>
        <v>T</v>
      </c>
      <c r="F10291" t="str">
        <f t="shared" si="342"/>
        <v>19T</v>
      </c>
    </row>
    <row r="10292" spans="1:6" x14ac:dyDescent="0.2">
      <c r="A10292">
        <v>20</v>
      </c>
      <c r="E10292" t="str">
        <f t="shared" si="341"/>
        <v>U</v>
      </c>
      <c r="F10292" t="str">
        <f t="shared" si="342"/>
        <v>20U</v>
      </c>
    </row>
    <row r="10293" spans="1:6" x14ac:dyDescent="0.2">
      <c r="A10293">
        <v>21</v>
      </c>
      <c r="E10293" t="str">
        <f t="shared" si="341"/>
        <v>V</v>
      </c>
      <c r="F10293" t="str">
        <f t="shared" si="342"/>
        <v>21V</v>
      </c>
    </row>
    <row r="10294" spans="1:6" x14ac:dyDescent="0.2">
      <c r="A10294">
        <v>22</v>
      </c>
      <c r="E10294" t="str">
        <f t="shared" si="341"/>
        <v>W</v>
      </c>
      <c r="F10294" t="str">
        <f t="shared" si="342"/>
        <v>22W</v>
      </c>
    </row>
    <row r="10295" spans="1:6" x14ac:dyDescent="0.2">
      <c r="A10295">
        <v>23</v>
      </c>
      <c r="E10295" t="str">
        <f t="shared" si="341"/>
        <v>X</v>
      </c>
      <c r="F10295" t="str">
        <f t="shared" si="342"/>
        <v>23X</v>
      </c>
    </row>
    <row r="10296" spans="1:6" x14ac:dyDescent="0.2">
      <c r="A10296">
        <v>24</v>
      </c>
      <c r="E10296" t="str">
        <f t="shared" si="341"/>
        <v>Y</v>
      </c>
      <c r="F10296" t="str">
        <f t="shared" si="342"/>
        <v>24Y</v>
      </c>
    </row>
    <row r="10297" spans="1:6" x14ac:dyDescent="0.2">
      <c r="A10297">
        <v>25</v>
      </c>
      <c r="E10297" t="str">
        <f t="shared" si="341"/>
        <v>Z</v>
      </c>
      <c r="F10297" t="str">
        <f t="shared" si="342"/>
        <v>25Z</v>
      </c>
    </row>
    <row r="10298" spans="1:6" x14ac:dyDescent="0.2">
      <c r="A10298">
        <v>0</v>
      </c>
      <c r="E10298" t="str">
        <f t="shared" si="341"/>
        <v>A</v>
      </c>
      <c r="F10298" t="str">
        <f t="shared" si="342"/>
        <v>0A</v>
      </c>
    </row>
    <row r="10299" spans="1:6" x14ac:dyDescent="0.2">
      <c r="A10299">
        <v>1</v>
      </c>
      <c r="E10299" t="str">
        <f t="shared" si="341"/>
        <v>B</v>
      </c>
      <c r="F10299" t="str">
        <f t="shared" si="342"/>
        <v>1B</v>
      </c>
    </row>
    <row r="10300" spans="1:6" x14ac:dyDescent="0.2">
      <c r="A10300">
        <v>2</v>
      </c>
      <c r="E10300" t="str">
        <f t="shared" si="341"/>
        <v>C</v>
      </c>
      <c r="F10300" t="str">
        <f t="shared" si="342"/>
        <v>2C</v>
      </c>
    </row>
    <row r="10301" spans="1:6" x14ac:dyDescent="0.2">
      <c r="A10301">
        <v>3</v>
      </c>
      <c r="E10301" t="str">
        <f t="shared" si="341"/>
        <v>D</v>
      </c>
      <c r="F10301" t="str">
        <f t="shared" si="342"/>
        <v>3D</v>
      </c>
    </row>
    <row r="10302" spans="1:6" x14ac:dyDescent="0.2">
      <c r="A10302">
        <v>4</v>
      </c>
      <c r="E10302" t="str">
        <f t="shared" si="341"/>
        <v>E</v>
      </c>
      <c r="F10302" t="str">
        <f t="shared" si="342"/>
        <v>4E</v>
      </c>
    </row>
    <row r="10303" spans="1:6" x14ac:dyDescent="0.2">
      <c r="A10303">
        <v>5</v>
      </c>
      <c r="E10303" t="str">
        <f t="shared" si="341"/>
        <v>F</v>
      </c>
      <c r="F10303" t="str">
        <f t="shared" si="342"/>
        <v>5F</v>
      </c>
    </row>
    <row r="10304" spans="1:6" x14ac:dyDescent="0.2">
      <c r="A10304">
        <v>6</v>
      </c>
      <c r="E10304" t="str">
        <f t="shared" si="341"/>
        <v>G</v>
      </c>
      <c r="F10304" t="str">
        <f t="shared" si="342"/>
        <v>6G</v>
      </c>
    </row>
    <row r="10305" spans="1:6" x14ac:dyDescent="0.2">
      <c r="A10305">
        <v>7</v>
      </c>
      <c r="E10305" t="str">
        <f t="shared" si="341"/>
        <v>H</v>
      </c>
      <c r="F10305" t="str">
        <f t="shared" si="342"/>
        <v>7H</v>
      </c>
    </row>
    <row r="10306" spans="1:6" x14ac:dyDescent="0.2">
      <c r="A10306">
        <v>8</v>
      </c>
      <c r="E10306" t="str">
        <f t="shared" si="341"/>
        <v>I</v>
      </c>
      <c r="F10306" t="str">
        <f t="shared" si="342"/>
        <v>8I</v>
      </c>
    </row>
    <row r="10307" spans="1:6" x14ac:dyDescent="0.2">
      <c r="A10307">
        <v>9</v>
      </c>
      <c r="E10307" t="str">
        <f t="shared" si="341"/>
        <v>J</v>
      </c>
      <c r="F10307" t="str">
        <f t="shared" si="342"/>
        <v>9J</v>
      </c>
    </row>
    <row r="10308" spans="1:6" x14ac:dyDescent="0.2">
      <c r="A10308">
        <v>10</v>
      </c>
      <c r="E10308" t="str">
        <f t="shared" si="341"/>
        <v>K</v>
      </c>
      <c r="F10308" t="str">
        <f t="shared" si="342"/>
        <v>10K</v>
      </c>
    </row>
    <row r="10309" spans="1:6" x14ac:dyDescent="0.2">
      <c r="A10309">
        <v>11</v>
      </c>
      <c r="E10309" t="str">
        <f t="shared" si="341"/>
        <v>L</v>
      </c>
      <c r="F10309" t="str">
        <f t="shared" si="342"/>
        <v>11L</v>
      </c>
    </row>
    <row r="10310" spans="1:6" x14ac:dyDescent="0.2">
      <c r="A10310">
        <v>12</v>
      </c>
      <c r="E10310" t="str">
        <f t="shared" si="341"/>
        <v>M</v>
      </c>
      <c r="F10310" t="str">
        <f t="shared" si="342"/>
        <v>12M</v>
      </c>
    </row>
    <row r="10311" spans="1:6" x14ac:dyDescent="0.2">
      <c r="A10311">
        <v>13</v>
      </c>
      <c r="E10311" t="str">
        <f t="shared" si="341"/>
        <v>N</v>
      </c>
      <c r="F10311" t="str">
        <f t="shared" si="342"/>
        <v>13N</v>
      </c>
    </row>
    <row r="10312" spans="1:6" x14ac:dyDescent="0.2">
      <c r="A10312">
        <v>14</v>
      </c>
      <c r="E10312" t="str">
        <f t="shared" si="341"/>
        <v>O</v>
      </c>
      <c r="F10312" t="str">
        <f t="shared" si="342"/>
        <v>14O</v>
      </c>
    </row>
    <row r="10313" spans="1:6" x14ac:dyDescent="0.2">
      <c r="A10313">
        <v>15</v>
      </c>
      <c r="E10313" t="str">
        <f t="shared" si="341"/>
        <v>P</v>
      </c>
      <c r="F10313" t="str">
        <f t="shared" si="342"/>
        <v>15P</v>
      </c>
    </row>
    <row r="10314" spans="1:6" x14ac:dyDescent="0.2">
      <c r="A10314">
        <v>16</v>
      </c>
      <c r="E10314" t="str">
        <f t="shared" si="341"/>
        <v>Q</v>
      </c>
      <c r="F10314" t="str">
        <f t="shared" si="342"/>
        <v>16Q</v>
      </c>
    </row>
    <row r="10315" spans="1:6" x14ac:dyDescent="0.2">
      <c r="A10315">
        <v>17</v>
      </c>
      <c r="E10315" t="str">
        <f t="shared" si="341"/>
        <v>R</v>
      </c>
      <c r="F10315" t="str">
        <f t="shared" si="342"/>
        <v>17R</v>
      </c>
    </row>
    <row r="10316" spans="1:6" x14ac:dyDescent="0.2">
      <c r="A10316">
        <v>18</v>
      </c>
      <c r="E10316" t="str">
        <f t="shared" si="341"/>
        <v>S</v>
      </c>
      <c r="F10316" t="str">
        <f t="shared" si="342"/>
        <v>18S</v>
      </c>
    </row>
    <row r="10317" spans="1:6" x14ac:dyDescent="0.2">
      <c r="A10317">
        <v>19</v>
      </c>
      <c r="E10317" t="str">
        <f t="shared" si="341"/>
        <v>T</v>
      </c>
      <c r="F10317" t="str">
        <f t="shared" si="342"/>
        <v>19T</v>
      </c>
    </row>
    <row r="10318" spans="1:6" x14ac:dyDescent="0.2">
      <c r="A10318">
        <v>20</v>
      </c>
      <c r="E10318" t="str">
        <f t="shared" si="341"/>
        <v>U</v>
      </c>
      <c r="F10318" t="str">
        <f t="shared" si="342"/>
        <v>20U</v>
      </c>
    </row>
    <row r="10319" spans="1:6" x14ac:dyDescent="0.2">
      <c r="A10319">
        <v>21</v>
      </c>
      <c r="E10319" t="str">
        <f t="shared" si="341"/>
        <v>V</v>
      </c>
      <c r="F10319" t="str">
        <f t="shared" si="342"/>
        <v>21V</v>
      </c>
    </row>
    <row r="10320" spans="1:6" x14ac:dyDescent="0.2">
      <c r="A10320">
        <v>22</v>
      </c>
      <c r="E10320" t="str">
        <f t="shared" si="341"/>
        <v>W</v>
      </c>
      <c r="F10320" t="str">
        <f t="shared" si="342"/>
        <v>22W</v>
      </c>
    </row>
    <row r="10321" spans="1:6" x14ac:dyDescent="0.2">
      <c r="A10321">
        <v>23</v>
      </c>
      <c r="E10321" t="str">
        <f t="shared" si="341"/>
        <v>X</v>
      </c>
      <c r="F10321" t="str">
        <f t="shared" si="342"/>
        <v>23X</v>
      </c>
    </row>
    <row r="10322" spans="1:6" x14ac:dyDescent="0.2">
      <c r="A10322">
        <v>24</v>
      </c>
      <c r="E10322" t="str">
        <f t="shared" si="341"/>
        <v>Y</v>
      </c>
      <c r="F10322" t="str">
        <f t="shared" si="342"/>
        <v>24Y</v>
      </c>
    </row>
    <row r="10323" spans="1:6" x14ac:dyDescent="0.2">
      <c r="A10323">
        <v>25</v>
      </c>
      <c r="E10323" t="str">
        <f t="shared" si="341"/>
        <v>Z</v>
      </c>
      <c r="F10323" t="str">
        <f t="shared" si="342"/>
        <v>25Z</v>
      </c>
    </row>
    <row r="10324" spans="1:6" x14ac:dyDescent="0.2">
      <c r="A10324">
        <v>0</v>
      </c>
      <c r="E10324" t="str">
        <f t="shared" si="341"/>
        <v>A</v>
      </c>
      <c r="F10324" t="str">
        <f t="shared" si="342"/>
        <v>0A</v>
      </c>
    </row>
    <row r="10325" spans="1:6" x14ac:dyDescent="0.2">
      <c r="A10325">
        <v>1</v>
      </c>
      <c r="E10325" t="str">
        <f t="shared" ref="E10325:E10388" si="343">E10299</f>
        <v>B</v>
      </c>
      <c r="F10325" t="str">
        <f t="shared" ref="F10325:F10388" si="344">A10325&amp;C10325&amp;E10325</f>
        <v>1B</v>
      </c>
    </row>
    <row r="10326" spans="1:6" x14ac:dyDescent="0.2">
      <c r="A10326">
        <v>2</v>
      </c>
      <c r="E10326" t="str">
        <f t="shared" si="343"/>
        <v>C</v>
      </c>
      <c r="F10326" t="str">
        <f t="shared" si="344"/>
        <v>2C</v>
      </c>
    </row>
    <row r="10327" spans="1:6" x14ac:dyDescent="0.2">
      <c r="A10327">
        <v>3</v>
      </c>
      <c r="E10327" t="str">
        <f t="shared" si="343"/>
        <v>D</v>
      </c>
      <c r="F10327" t="str">
        <f t="shared" si="344"/>
        <v>3D</v>
      </c>
    </row>
    <row r="10328" spans="1:6" x14ac:dyDescent="0.2">
      <c r="A10328">
        <v>4</v>
      </c>
      <c r="E10328" t="str">
        <f t="shared" si="343"/>
        <v>E</v>
      </c>
      <c r="F10328" t="str">
        <f t="shared" si="344"/>
        <v>4E</v>
      </c>
    </row>
    <row r="10329" spans="1:6" x14ac:dyDescent="0.2">
      <c r="A10329">
        <v>5</v>
      </c>
      <c r="E10329" t="str">
        <f t="shared" si="343"/>
        <v>F</v>
      </c>
      <c r="F10329" t="str">
        <f t="shared" si="344"/>
        <v>5F</v>
      </c>
    </row>
    <row r="10330" spans="1:6" x14ac:dyDescent="0.2">
      <c r="A10330">
        <v>6</v>
      </c>
      <c r="E10330" t="str">
        <f t="shared" si="343"/>
        <v>G</v>
      </c>
      <c r="F10330" t="str">
        <f t="shared" si="344"/>
        <v>6G</v>
      </c>
    </row>
    <row r="10331" spans="1:6" x14ac:dyDescent="0.2">
      <c r="A10331">
        <v>7</v>
      </c>
      <c r="E10331" t="str">
        <f t="shared" si="343"/>
        <v>H</v>
      </c>
      <c r="F10331" t="str">
        <f t="shared" si="344"/>
        <v>7H</v>
      </c>
    </row>
    <row r="10332" spans="1:6" x14ac:dyDescent="0.2">
      <c r="A10332">
        <v>8</v>
      </c>
      <c r="E10332" t="str">
        <f t="shared" si="343"/>
        <v>I</v>
      </c>
      <c r="F10332" t="str">
        <f t="shared" si="344"/>
        <v>8I</v>
      </c>
    </row>
    <row r="10333" spans="1:6" x14ac:dyDescent="0.2">
      <c r="A10333">
        <v>9</v>
      </c>
      <c r="E10333" t="str">
        <f t="shared" si="343"/>
        <v>J</v>
      </c>
      <c r="F10333" t="str">
        <f t="shared" si="344"/>
        <v>9J</v>
      </c>
    </row>
    <row r="10334" spans="1:6" x14ac:dyDescent="0.2">
      <c r="A10334">
        <v>10</v>
      </c>
      <c r="E10334" t="str">
        <f t="shared" si="343"/>
        <v>K</v>
      </c>
      <c r="F10334" t="str">
        <f t="shared" si="344"/>
        <v>10K</v>
      </c>
    </row>
    <row r="10335" spans="1:6" x14ac:dyDescent="0.2">
      <c r="A10335">
        <v>11</v>
      </c>
      <c r="E10335" t="str">
        <f t="shared" si="343"/>
        <v>L</v>
      </c>
      <c r="F10335" t="str">
        <f t="shared" si="344"/>
        <v>11L</v>
      </c>
    </row>
    <row r="10336" spans="1:6" x14ac:dyDescent="0.2">
      <c r="A10336">
        <v>12</v>
      </c>
      <c r="E10336" t="str">
        <f t="shared" si="343"/>
        <v>M</v>
      </c>
      <c r="F10336" t="str">
        <f t="shared" si="344"/>
        <v>12M</v>
      </c>
    </row>
    <row r="10337" spans="1:6" x14ac:dyDescent="0.2">
      <c r="A10337">
        <v>13</v>
      </c>
      <c r="E10337" t="str">
        <f t="shared" si="343"/>
        <v>N</v>
      </c>
      <c r="F10337" t="str">
        <f t="shared" si="344"/>
        <v>13N</v>
      </c>
    </row>
    <row r="10338" spans="1:6" x14ac:dyDescent="0.2">
      <c r="A10338">
        <v>14</v>
      </c>
      <c r="E10338" t="str">
        <f t="shared" si="343"/>
        <v>O</v>
      </c>
      <c r="F10338" t="str">
        <f t="shared" si="344"/>
        <v>14O</v>
      </c>
    </row>
    <row r="10339" spans="1:6" x14ac:dyDescent="0.2">
      <c r="A10339">
        <v>15</v>
      </c>
      <c r="E10339" t="str">
        <f t="shared" si="343"/>
        <v>P</v>
      </c>
      <c r="F10339" t="str">
        <f t="shared" si="344"/>
        <v>15P</v>
      </c>
    </row>
    <row r="10340" spans="1:6" x14ac:dyDescent="0.2">
      <c r="A10340">
        <v>16</v>
      </c>
      <c r="E10340" t="str">
        <f t="shared" si="343"/>
        <v>Q</v>
      </c>
      <c r="F10340" t="str">
        <f t="shared" si="344"/>
        <v>16Q</v>
      </c>
    </row>
    <row r="10341" spans="1:6" x14ac:dyDescent="0.2">
      <c r="A10341">
        <v>17</v>
      </c>
      <c r="E10341" t="str">
        <f t="shared" si="343"/>
        <v>R</v>
      </c>
      <c r="F10341" t="str">
        <f t="shared" si="344"/>
        <v>17R</v>
      </c>
    </row>
    <row r="10342" spans="1:6" x14ac:dyDescent="0.2">
      <c r="A10342">
        <v>18</v>
      </c>
      <c r="E10342" t="str">
        <f t="shared" si="343"/>
        <v>S</v>
      </c>
      <c r="F10342" t="str">
        <f t="shared" si="344"/>
        <v>18S</v>
      </c>
    </row>
    <row r="10343" spans="1:6" x14ac:dyDescent="0.2">
      <c r="A10343">
        <v>19</v>
      </c>
      <c r="E10343" t="str">
        <f t="shared" si="343"/>
        <v>T</v>
      </c>
      <c r="F10343" t="str">
        <f t="shared" si="344"/>
        <v>19T</v>
      </c>
    </row>
    <row r="10344" spans="1:6" x14ac:dyDescent="0.2">
      <c r="A10344">
        <v>20</v>
      </c>
      <c r="E10344" t="str">
        <f t="shared" si="343"/>
        <v>U</v>
      </c>
      <c r="F10344" t="str">
        <f t="shared" si="344"/>
        <v>20U</v>
      </c>
    </row>
    <row r="10345" spans="1:6" x14ac:dyDescent="0.2">
      <c r="A10345">
        <v>21</v>
      </c>
      <c r="E10345" t="str">
        <f t="shared" si="343"/>
        <v>V</v>
      </c>
      <c r="F10345" t="str">
        <f t="shared" si="344"/>
        <v>21V</v>
      </c>
    </row>
    <row r="10346" spans="1:6" x14ac:dyDescent="0.2">
      <c r="A10346">
        <v>22</v>
      </c>
      <c r="E10346" t="str">
        <f t="shared" si="343"/>
        <v>W</v>
      </c>
      <c r="F10346" t="str">
        <f t="shared" si="344"/>
        <v>22W</v>
      </c>
    </row>
    <row r="10347" spans="1:6" x14ac:dyDescent="0.2">
      <c r="A10347">
        <v>23</v>
      </c>
      <c r="E10347" t="str">
        <f t="shared" si="343"/>
        <v>X</v>
      </c>
      <c r="F10347" t="str">
        <f t="shared" si="344"/>
        <v>23X</v>
      </c>
    </row>
    <row r="10348" spans="1:6" x14ac:dyDescent="0.2">
      <c r="A10348">
        <v>24</v>
      </c>
      <c r="E10348" t="str">
        <f t="shared" si="343"/>
        <v>Y</v>
      </c>
      <c r="F10348" t="str">
        <f t="shared" si="344"/>
        <v>24Y</v>
      </c>
    </row>
    <row r="10349" spans="1:6" x14ac:dyDescent="0.2">
      <c r="A10349">
        <v>25</v>
      </c>
      <c r="E10349" t="str">
        <f t="shared" si="343"/>
        <v>Z</v>
      </c>
      <c r="F10349" t="str">
        <f t="shared" si="344"/>
        <v>25Z</v>
      </c>
    </row>
    <row r="10350" spans="1:6" x14ac:dyDescent="0.2">
      <c r="A10350">
        <v>0</v>
      </c>
      <c r="E10350" t="str">
        <f t="shared" si="343"/>
        <v>A</v>
      </c>
      <c r="F10350" t="str">
        <f t="shared" si="344"/>
        <v>0A</v>
      </c>
    </row>
    <row r="10351" spans="1:6" x14ac:dyDescent="0.2">
      <c r="A10351">
        <v>1</v>
      </c>
      <c r="E10351" t="str">
        <f t="shared" si="343"/>
        <v>B</v>
      </c>
      <c r="F10351" t="str">
        <f t="shared" si="344"/>
        <v>1B</v>
      </c>
    </row>
    <row r="10352" spans="1:6" x14ac:dyDescent="0.2">
      <c r="A10352">
        <v>2</v>
      </c>
      <c r="E10352" t="str">
        <f t="shared" si="343"/>
        <v>C</v>
      </c>
      <c r="F10352" t="str">
        <f t="shared" si="344"/>
        <v>2C</v>
      </c>
    </row>
    <row r="10353" spans="1:6" x14ac:dyDescent="0.2">
      <c r="A10353">
        <v>3</v>
      </c>
      <c r="E10353" t="str">
        <f t="shared" si="343"/>
        <v>D</v>
      </c>
      <c r="F10353" t="str">
        <f t="shared" si="344"/>
        <v>3D</v>
      </c>
    </row>
    <row r="10354" spans="1:6" x14ac:dyDescent="0.2">
      <c r="A10354">
        <v>4</v>
      </c>
      <c r="E10354" t="str">
        <f t="shared" si="343"/>
        <v>E</v>
      </c>
      <c r="F10354" t="str">
        <f t="shared" si="344"/>
        <v>4E</v>
      </c>
    </row>
    <row r="10355" spans="1:6" x14ac:dyDescent="0.2">
      <c r="A10355">
        <v>5</v>
      </c>
      <c r="E10355" t="str">
        <f t="shared" si="343"/>
        <v>F</v>
      </c>
      <c r="F10355" t="str">
        <f t="shared" si="344"/>
        <v>5F</v>
      </c>
    </row>
    <row r="10356" spans="1:6" x14ac:dyDescent="0.2">
      <c r="A10356">
        <v>6</v>
      </c>
      <c r="E10356" t="str">
        <f t="shared" si="343"/>
        <v>G</v>
      </c>
      <c r="F10356" t="str">
        <f t="shared" si="344"/>
        <v>6G</v>
      </c>
    </row>
    <row r="10357" spans="1:6" x14ac:dyDescent="0.2">
      <c r="A10357">
        <v>7</v>
      </c>
      <c r="E10357" t="str">
        <f t="shared" si="343"/>
        <v>H</v>
      </c>
      <c r="F10357" t="str">
        <f t="shared" si="344"/>
        <v>7H</v>
      </c>
    </row>
    <row r="10358" spans="1:6" x14ac:dyDescent="0.2">
      <c r="A10358">
        <v>8</v>
      </c>
      <c r="E10358" t="str">
        <f t="shared" si="343"/>
        <v>I</v>
      </c>
      <c r="F10358" t="str">
        <f t="shared" si="344"/>
        <v>8I</v>
      </c>
    </row>
    <row r="10359" spans="1:6" x14ac:dyDescent="0.2">
      <c r="A10359">
        <v>9</v>
      </c>
      <c r="E10359" t="str">
        <f t="shared" si="343"/>
        <v>J</v>
      </c>
      <c r="F10359" t="str">
        <f t="shared" si="344"/>
        <v>9J</v>
      </c>
    </row>
    <row r="10360" spans="1:6" x14ac:dyDescent="0.2">
      <c r="A10360">
        <v>10</v>
      </c>
      <c r="E10360" t="str">
        <f t="shared" si="343"/>
        <v>K</v>
      </c>
      <c r="F10360" t="str">
        <f t="shared" si="344"/>
        <v>10K</v>
      </c>
    </row>
    <row r="10361" spans="1:6" x14ac:dyDescent="0.2">
      <c r="A10361">
        <v>11</v>
      </c>
      <c r="E10361" t="str">
        <f t="shared" si="343"/>
        <v>L</v>
      </c>
      <c r="F10361" t="str">
        <f t="shared" si="344"/>
        <v>11L</v>
      </c>
    </row>
    <row r="10362" spans="1:6" x14ac:dyDescent="0.2">
      <c r="A10362">
        <v>12</v>
      </c>
      <c r="E10362" t="str">
        <f t="shared" si="343"/>
        <v>M</v>
      </c>
      <c r="F10362" t="str">
        <f t="shared" si="344"/>
        <v>12M</v>
      </c>
    </row>
    <row r="10363" spans="1:6" x14ac:dyDescent="0.2">
      <c r="A10363">
        <v>13</v>
      </c>
      <c r="E10363" t="str">
        <f t="shared" si="343"/>
        <v>N</v>
      </c>
      <c r="F10363" t="str">
        <f t="shared" si="344"/>
        <v>13N</v>
      </c>
    </row>
    <row r="10364" spans="1:6" x14ac:dyDescent="0.2">
      <c r="A10364">
        <v>14</v>
      </c>
      <c r="E10364" t="str">
        <f t="shared" si="343"/>
        <v>O</v>
      </c>
      <c r="F10364" t="str">
        <f t="shared" si="344"/>
        <v>14O</v>
      </c>
    </row>
    <row r="10365" spans="1:6" x14ac:dyDescent="0.2">
      <c r="A10365">
        <v>15</v>
      </c>
      <c r="E10365" t="str">
        <f t="shared" si="343"/>
        <v>P</v>
      </c>
      <c r="F10365" t="str">
        <f t="shared" si="344"/>
        <v>15P</v>
      </c>
    </row>
    <row r="10366" spans="1:6" x14ac:dyDescent="0.2">
      <c r="A10366">
        <v>16</v>
      </c>
      <c r="E10366" t="str">
        <f t="shared" si="343"/>
        <v>Q</v>
      </c>
      <c r="F10366" t="str">
        <f t="shared" si="344"/>
        <v>16Q</v>
      </c>
    </row>
    <row r="10367" spans="1:6" x14ac:dyDescent="0.2">
      <c r="A10367">
        <v>17</v>
      </c>
      <c r="E10367" t="str">
        <f t="shared" si="343"/>
        <v>R</v>
      </c>
      <c r="F10367" t="str">
        <f t="shared" si="344"/>
        <v>17R</v>
      </c>
    </row>
    <row r="10368" spans="1:6" x14ac:dyDescent="0.2">
      <c r="A10368">
        <v>18</v>
      </c>
      <c r="E10368" t="str">
        <f t="shared" si="343"/>
        <v>S</v>
      </c>
      <c r="F10368" t="str">
        <f t="shared" si="344"/>
        <v>18S</v>
      </c>
    </row>
    <row r="10369" spans="1:6" x14ac:dyDescent="0.2">
      <c r="A10369">
        <v>19</v>
      </c>
      <c r="E10369" t="str">
        <f t="shared" si="343"/>
        <v>T</v>
      </c>
      <c r="F10369" t="str">
        <f t="shared" si="344"/>
        <v>19T</v>
      </c>
    </row>
    <row r="10370" spans="1:6" x14ac:dyDescent="0.2">
      <c r="A10370">
        <v>20</v>
      </c>
      <c r="E10370" t="str">
        <f t="shared" si="343"/>
        <v>U</v>
      </c>
      <c r="F10370" t="str">
        <f t="shared" si="344"/>
        <v>20U</v>
      </c>
    </row>
    <row r="10371" spans="1:6" x14ac:dyDescent="0.2">
      <c r="A10371">
        <v>21</v>
      </c>
      <c r="E10371" t="str">
        <f t="shared" si="343"/>
        <v>V</v>
      </c>
      <c r="F10371" t="str">
        <f t="shared" si="344"/>
        <v>21V</v>
      </c>
    </row>
    <row r="10372" spans="1:6" x14ac:dyDescent="0.2">
      <c r="A10372">
        <v>22</v>
      </c>
      <c r="E10372" t="str">
        <f t="shared" si="343"/>
        <v>W</v>
      </c>
      <c r="F10372" t="str">
        <f t="shared" si="344"/>
        <v>22W</v>
      </c>
    </row>
    <row r="10373" spans="1:6" x14ac:dyDescent="0.2">
      <c r="A10373">
        <v>23</v>
      </c>
      <c r="E10373" t="str">
        <f t="shared" si="343"/>
        <v>X</v>
      </c>
      <c r="F10373" t="str">
        <f t="shared" si="344"/>
        <v>23X</v>
      </c>
    </row>
    <row r="10374" spans="1:6" x14ac:dyDescent="0.2">
      <c r="A10374">
        <v>24</v>
      </c>
      <c r="E10374" t="str">
        <f t="shared" si="343"/>
        <v>Y</v>
      </c>
      <c r="F10374" t="str">
        <f t="shared" si="344"/>
        <v>24Y</v>
      </c>
    </row>
    <row r="10375" spans="1:6" x14ac:dyDescent="0.2">
      <c r="A10375">
        <v>25</v>
      </c>
      <c r="E10375" t="str">
        <f t="shared" si="343"/>
        <v>Z</v>
      </c>
      <c r="F10375" t="str">
        <f t="shared" si="344"/>
        <v>25Z</v>
      </c>
    </row>
    <row r="10376" spans="1:6" x14ac:dyDescent="0.2">
      <c r="A10376">
        <v>0</v>
      </c>
      <c r="E10376" t="str">
        <f t="shared" si="343"/>
        <v>A</v>
      </c>
      <c r="F10376" t="str">
        <f t="shared" si="344"/>
        <v>0A</v>
      </c>
    </row>
    <row r="10377" spans="1:6" x14ac:dyDescent="0.2">
      <c r="A10377">
        <v>1</v>
      </c>
      <c r="E10377" t="str">
        <f t="shared" si="343"/>
        <v>B</v>
      </c>
      <c r="F10377" t="str">
        <f t="shared" si="344"/>
        <v>1B</v>
      </c>
    </row>
    <row r="10378" spans="1:6" x14ac:dyDescent="0.2">
      <c r="A10378">
        <v>2</v>
      </c>
      <c r="E10378" t="str">
        <f t="shared" si="343"/>
        <v>C</v>
      </c>
      <c r="F10378" t="str">
        <f t="shared" si="344"/>
        <v>2C</v>
      </c>
    </row>
    <row r="10379" spans="1:6" x14ac:dyDescent="0.2">
      <c r="A10379">
        <v>3</v>
      </c>
      <c r="E10379" t="str">
        <f t="shared" si="343"/>
        <v>D</v>
      </c>
      <c r="F10379" t="str">
        <f t="shared" si="344"/>
        <v>3D</v>
      </c>
    </row>
    <row r="10380" spans="1:6" x14ac:dyDescent="0.2">
      <c r="A10380">
        <v>4</v>
      </c>
      <c r="E10380" t="str">
        <f t="shared" si="343"/>
        <v>E</v>
      </c>
      <c r="F10380" t="str">
        <f t="shared" si="344"/>
        <v>4E</v>
      </c>
    </row>
    <row r="10381" spans="1:6" x14ac:dyDescent="0.2">
      <c r="A10381">
        <v>5</v>
      </c>
      <c r="E10381" t="str">
        <f t="shared" si="343"/>
        <v>F</v>
      </c>
      <c r="F10381" t="str">
        <f t="shared" si="344"/>
        <v>5F</v>
      </c>
    </row>
    <row r="10382" spans="1:6" x14ac:dyDescent="0.2">
      <c r="A10382">
        <v>6</v>
      </c>
      <c r="E10382" t="str">
        <f t="shared" si="343"/>
        <v>G</v>
      </c>
      <c r="F10382" t="str">
        <f t="shared" si="344"/>
        <v>6G</v>
      </c>
    </row>
    <row r="10383" spans="1:6" x14ac:dyDescent="0.2">
      <c r="A10383">
        <v>7</v>
      </c>
      <c r="E10383" t="str">
        <f t="shared" si="343"/>
        <v>H</v>
      </c>
      <c r="F10383" t="str">
        <f t="shared" si="344"/>
        <v>7H</v>
      </c>
    </row>
    <row r="10384" spans="1:6" x14ac:dyDescent="0.2">
      <c r="A10384">
        <v>8</v>
      </c>
      <c r="E10384" t="str">
        <f t="shared" si="343"/>
        <v>I</v>
      </c>
      <c r="F10384" t="str">
        <f t="shared" si="344"/>
        <v>8I</v>
      </c>
    </row>
    <row r="10385" spans="1:6" x14ac:dyDescent="0.2">
      <c r="A10385">
        <v>9</v>
      </c>
      <c r="E10385" t="str">
        <f t="shared" si="343"/>
        <v>J</v>
      </c>
      <c r="F10385" t="str">
        <f t="shared" si="344"/>
        <v>9J</v>
      </c>
    </row>
    <row r="10386" spans="1:6" x14ac:dyDescent="0.2">
      <c r="A10386">
        <v>10</v>
      </c>
      <c r="E10386" t="str">
        <f t="shared" si="343"/>
        <v>K</v>
      </c>
      <c r="F10386" t="str">
        <f t="shared" si="344"/>
        <v>10K</v>
      </c>
    </row>
    <row r="10387" spans="1:6" x14ac:dyDescent="0.2">
      <c r="A10387">
        <v>11</v>
      </c>
      <c r="E10387" t="str">
        <f t="shared" si="343"/>
        <v>L</v>
      </c>
      <c r="F10387" t="str">
        <f t="shared" si="344"/>
        <v>11L</v>
      </c>
    </row>
    <row r="10388" spans="1:6" x14ac:dyDescent="0.2">
      <c r="A10388">
        <v>12</v>
      </c>
      <c r="E10388" t="str">
        <f t="shared" si="343"/>
        <v>M</v>
      </c>
      <c r="F10388" t="str">
        <f t="shared" si="344"/>
        <v>12M</v>
      </c>
    </row>
    <row r="10389" spans="1:6" x14ac:dyDescent="0.2">
      <c r="A10389">
        <v>13</v>
      </c>
      <c r="E10389" t="str">
        <f t="shared" ref="E10389:E10452" si="345">E10363</f>
        <v>N</v>
      </c>
      <c r="F10389" t="str">
        <f t="shared" ref="F10389:F10452" si="346">A10389&amp;C10389&amp;E10389</f>
        <v>13N</v>
      </c>
    </row>
    <row r="10390" spans="1:6" x14ac:dyDescent="0.2">
      <c r="A10390">
        <v>14</v>
      </c>
      <c r="E10390" t="str">
        <f t="shared" si="345"/>
        <v>O</v>
      </c>
      <c r="F10390" t="str">
        <f t="shared" si="346"/>
        <v>14O</v>
      </c>
    </row>
    <row r="10391" spans="1:6" x14ac:dyDescent="0.2">
      <c r="A10391">
        <v>15</v>
      </c>
      <c r="E10391" t="str">
        <f t="shared" si="345"/>
        <v>P</v>
      </c>
      <c r="F10391" t="str">
        <f t="shared" si="346"/>
        <v>15P</v>
      </c>
    </row>
    <row r="10392" spans="1:6" x14ac:dyDescent="0.2">
      <c r="A10392">
        <v>16</v>
      </c>
      <c r="E10392" t="str">
        <f t="shared" si="345"/>
        <v>Q</v>
      </c>
      <c r="F10392" t="str">
        <f t="shared" si="346"/>
        <v>16Q</v>
      </c>
    </row>
    <row r="10393" spans="1:6" x14ac:dyDescent="0.2">
      <c r="A10393">
        <v>17</v>
      </c>
      <c r="E10393" t="str">
        <f t="shared" si="345"/>
        <v>R</v>
      </c>
      <c r="F10393" t="str">
        <f t="shared" si="346"/>
        <v>17R</v>
      </c>
    </row>
    <row r="10394" spans="1:6" x14ac:dyDescent="0.2">
      <c r="A10394">
        <v>18</v>
      </c>
      <c r="E10394" t="str">
        <f t="shared" si="345"/>
        <v>S</v>
      </c>
      <c r="F10394" t="str">
        <f t="shared" si="346"/>
        <v>18S</v>
      </c>
    </row>
    <row r="10395" spans="1:6" x14ac:dyDescent="0.2">
      <c r="A10395">
        <v>19</v>
      </c>
      <c r="E10395" t="str">
        <f t="shared" si="345"/>
        <v>T</v>
      </c>
      <c r="F10395" t="str">
        <f t="shared" si="346"/>
        <v>19T</v>
      </c>
    </row>
    <row r="10396" spans="1:6" x14ac:dyDescent="0.2">
      <c r="A10396">
        <v>20</v>
      </c>
      <c r="E10396" t="str">
        <f t="shared" si="345"/>
        <v>U</v>
      </c>
      <c r="F10396" t="str">
        <f t="shared" si="346"/>
        <v>20U</v>
      </c>
    </row>
    <row r="10397" spans="1:6" x14ac:dyDescent="0.2">
      <c r="A10397">
        <v>21</v>
      </c>
      <c r="E10397" t="str">
        <f t="shared" si="345"/>
        <v>V</v>
      </c>
      <c r="F10397" t="str">
        <f t="shared" si="346"/>
        <v>21V</v>
      </c>
    </row>
    <row r="10398" spans="1:6" x14ac:dyDescent="0.2">
      <c r="A10398">
        <v>22</v>
      </c>
      <c r="E10398" t="str">
        <f t="shared" si="345"/>
        <v>W</v>
      </c>
      <c r="F10398" t="str">
        <f t="shared" si="346"/>
        <v>22W</v>
      </c>
    </row>
    <row r="10399" spans="1:6" x14ac:dyDescent="0.2">
      <c r="A10399">
        <v>23</v>
      </c>
      <c r="E10399" t="str">
        <f t="shared" si="345"/>
        <v>X</v>
      </c>
      <c r="F10399" t="str">
        <f t="shared" si="346"/>
        <v>23X</v>
      </c>
    </row>
    <row r="10400" spans="1:6" x14ac:dyDescent="0.2">
      <c r="A10400">
        <v>24</v>
      </c>
      <c r="E10400" t="str">
        <f t="shared" si="345"/>
        <v>Y</v>
      </c>
      <c r="F10400" t="str">
        <f t="shared" si="346"/>
        <v>24Y</v>
      </c>
    </row>
    <row r="10401" spans="1:6" x14ac:dyDescent="0.2">
      <c r="A10401">
        <v>25</v>
      </c>
      <c r="E10401" t="str">
        <f t="shared" si="345"/>
        <v>Z</v>
      </c>
      <c r="F10401" t="str">
        <f t="shared" si="346"/>
        <v>25Z</v>
      </c>
    </row>
    <row r="10402" spans="1:6" x14ac:dyDescent="0.2">
      <c r="A10402">
        <v>0</v>
      </c>
      <c r="E10402" t="str">
        <f t="shared" si="345"/>
        <v>A</v>
      </c>
      <c r="F10402" t="str">
        <f t="shared" si="346"/>
        <v>0A</v>
      </c>
    </row>
    <row r="10403" spans="1:6" x14ac:dyDescent="0.2">
      <c r="A10403">
        <v>1</v>
      </c>
      <c r="E10403" t="str">
        <f t="shared" si="345"/>
        <v>B</v>
      </c>
      <c r="F10403" t="str">
        <f t="shared" si="346"/>
        <v>1B</v>
      </c>
    </row>
    <row r="10404" spans="1:6" x14ac:dyDescent="0.2">
      <c r="A10404">
        <v>2</v>
      </c>
      <c r="E10404" t="str">
        <f t="shared" si="345"/>
        <v>C</v>
      </c>
      <c r="F10404" t="str">
        <f t="shared" si="346"/>
        <v>2C</v>
      </c>
    </row>
    <row r="10405" spans="1:6" x14ac:dyDescent="0.2">
      <c r="A10405">
        <v>3</v>
      </c>
      <c r="E10405" t="str">
        <f t="shared" si="345"/>
        <v>D</v>
      </c>
      <c r="F10405" t="str">
        <f t="shared" si="346"/>
        <v>3D</v>
      </c>
    </row>
    <row r="10406" spans="1:6" x14ac:dyDescent="0.2">
      <c r="A10406">
        <v>4</v>
      </c>
      <c r="E10406" t="str">
        <f t="shared" si="345"/>
        <v>E</v>
      </c>
      <c r="F10406" t="str">
        <f t="shared" si="346"/>
        <v>4E</v>
      </c>
    </row>
    <row r="10407" spans="1:6" x14ac:dyDescent="0.2">
      <c r="A10407">
        <v>5</v>
      </c>
      <c r="E10407" t="str">
        <f t="shared" si="345"/>
        <v>F</v>
      </c>
      <c r="F10407" t="str">
        <f t="shared" si="346"/>
        <v>5F</v>
      </c>
    </row>
    <row r="10408" spans="1:6" x14ac:dyDescent="0.2">
      <c r="A10408">
        <v>6</v>
      </c>
      <c r="E10408" t="str">
        <f t="shared" si="345"/>
        <v>G</v>
      </c>
      <c r="F10408" t="str">
        <f t="shared" si="346"/>
        <v>6G</v>
      </c>
    </row>
    <row r="10409" spans="1:6" x14ac:dyDescent="0.2">
      <c r="A10409">
        <v>7</v>
      </c>
      <c r="E10409" t="str">
        <f t="shared" si="345"/>
        <v>H</v>
      </c>
      <c r="F10409" t="str">
        <f t="shared" si="346"/>
        <v>7H</v>
      </c>
    </row>
    <row r="10410" spans="1:6" x14ac:dyDescent="0.2">
      <c r="A10410">
        <v>8</v>
      </c>
      <c r="E10410" t="str">
        <f t="shared" si="345"/>
        <v>I</v>
      </c>
      <c r="F10410" t="str">
        <f t="shared" si="346"/>
        <v>8I</v>
      </c>
    </row>
    <row r="10411" spans="1:6" x14ac:dyDescent="0.2">
      <c r="A10411">
        <v>9</v>
      </c>
      <c r="E10411" t="str">
        <f t="shared" si="345"/>
        <v>J</v>
      </c>
      <c r="F10411" t="str">
        <f t="shared" si="346"/>
        <v>9J</v>
      </c>
    </row>
    <row r="10412" spans="1:6" x14ac:dyDescent="0.2">
      <c r="A10412">
        <v>10</v>
      </c>
      <c r="E10412" t="str">
        <f t="shared" si="345"/>
        <v>K</v>
      </c>
      <c r="F10412" t="str">
        <f t="shared" si="346"/>
        <v>10K</v>
      </c>
    </row>
    <row r="10413" spans="1:6" x14ac:dyDescent="0.2">
      <c r="A10413">
        <v>11</v>
      </c>
      <c r="E10413" t="str">
        <f t="shared" si="345"/>
        <v>L</v>
      </c>
      <c r="F10413" t="str">
        <f t="shared" si="346"/>
        <v>11L</v>
      </c>
    </row>
    <row r="10414" spans="1:6" x14ac:dyDescent="0.2">
      <c r="A10414">
        <v>12</v>
      </c>
      <c r="E10414" t="str">
        <f t="shared" si="345"/>
        <v>M</v>
      </c>
      <c r="F10414" t="str">
        <f t="shared" si="346"/>
        <v>12M</v>
      </c>
    </row>
    <row r="10415" spans="1:6" x14ac:dyDescent="0.2">
      <c r="A10415">
        <v>13</v>
      </c>
      <c r="E10415" t="str">
        <f t="shared" si="345"/>
        <v>N</v>
      </c>
      <c r="F10415" t="str">
        <f t="shared" si="346"/>
        <v>13N</v>
      </c>
    </row>
    <row r="10416" spans="1:6" x14ac:dyDescent="0.2">
      <c r="A10416">
        <v>14</v>
      </c>
      <c r="E10416" t="str">
        <f t="shared" si="345"/>
        <v>O</v>
      </c>
      <c r="F10416" t="str">
        <f t="shared" si="346"/>
        <v>14O</v>
      </c>
    </row>
    <row r="10417" spans="1:6" x14ac:dyDescent="0.2">
      <c r="A10417">
        <v>15</v>
      </c>
      <c r="E10417" t="str">
        <f t="shared" si="345"/>
        <v>P</v>
      </c>
      <c r="F10417" t="str">
        <f t="shared" si="346"/>
        <v>15P</v>
      </c>
    </row>
    <row r="10418" spans="1:6" x14ac:dyDescent="0.2">
      <c r="A10418">
        <v>16</v>
      </c>
      <c r="E10418" t="str">
        <f t="shared" si="345"/>
        <v>Q</v>
      </c>
      <c r="F10418" t="str">
        <f t="shared" si="346"/>
        <v>16Q</v>
      </c>
    </row>
    <row r="10419" spans="1:6" x14ac:dyDescent="0.2">
      <c r="A10419">
        <v>17</v>
      </c>
      <c r="E10419" t="str">
        <f t="shared" si="345"/>
        <v>R</v>
      </c>
      <c r="F10419" t="str">
        <f t="shared" si="346"/>
        <v>17R</v>
      </c>
    </row>
    <row r="10420" spans="1:6" x14ac:dyDescent="0.2">
      <c r="A10420">
        <v>18</v>
      </c>
      <c r="E10420" t="str">
        <f t="shared" si="345"/>
        <v>S</v>
      </c>
      <c r="F10420" t="str">
        <f t="shared" si="346"/>
        <v>18S</v>
      </c>
    </row>
    <row r="10421" spans="1:6" x14ac:dyDescent="0.2">
      <c r="A10421">
        <v>19</v>
      </c>
      <c r="E10421" t="str">
        <f t="shared" si="345"/>
        <v>T</v>
      </c>
      <c r="F10421" t="str">
        <f t="shared" si="346"/>
        <v>19T</v>
      </c>
    </row>
    <row r="10422" spans="1:6" x14ac:dyDescent="0.2">
      <c r="A10422">
        <v>20</v>
      </c>
      <c r="E10422" t="str">
        <f t="shared" si="345"/>
        <v>U</v>
      </c>
      <c r="F10422" t="str">
        <f t="shared" si="346"/>
        <v>20U</v>
      </c>
    </row>
    <row r="10423" spans="1:6" x14ac:dyDescent="0.2">
      <c r="A10423">
        <v>21</v>
      </c>
      <c r="E10423" t="str">
        <f t="shared" si="345"/>
        <v>V</v>
      </c>
      <c r="F10423" t="str">
        <f t="shared" si="346"/>
        <v>21V</v>
      </c>
    </row>
    <row r="10424" spans="1:6" x14ac:dyDescent="0.2">
      <c r="A10424">
        <v>22</v>
      </c>
      <c r="E10424" t="str">
        <f t="shared" si="345"/>
        <v>W</v>
      </c>
      <c r="F10424" t="str">
        <f t="shared" si="346"/>
        <v>22W</v>
      </c>
    </row>
    <row r="10425" spans="1:6" x14ac:dyDescent="0.2">
      <c r="A10425">
        <v>23</v>
      </c>
      <c r="E10425" t="str">
        <f t="shared" si="345"/>
        <v>X</v>
      </c>
      <c r="F10425" t="str">
        <f t="shared" si="346"/>
        <v>23X</v>
      </c>
    </row>
    <row r="10426" spans="1:6" x14ac:dyDescent="0.2">
      <c r="A10426">
        <v>24</v>
      </c>
      <c r="E10426" t="str">
        <f t="shared" si="345"/>
        <v>Y</v>
      </c>
      <c r="F10426" t="str">
        <f t="shared" si="346"/>
        <v>24Y</v>
      </c>
    </row>
    <row r="10427" spans="1:6" x14ac:dyDescent="0.2">
      <c r="A10427">
        <v>25</v>
      </c>
      <c r="E10427" t="str">
        <f t="shared" si="345"/>
        <v>Z</v>
      </c>
      <c r="F10427" t="str">
        <f t="shared" si="346"/>
        <v>25Z</v>
      </c>
    </row>
    <row r="10428" spans="1:6" x14ac:dyDescent="0.2">
      <c r="A10428">
        <v>0</v>
      </c>
      <c r="E10428" t="str">
        <f t="shared" si="345"/>
        <v>A</v>
      </c>
      <c r="F10428" t="str">
        <f t="shared" si="346"/>
        <v>0A</v>
      </c>
    </row>
    <row r="10429" spans="1:6" x14ac:dyDescent="0.2">
      <c r="A10429">
        <v>1</v>
      </c>
      <c r="E10429" t="str">
        <f t="shared" si="345"/>
        <v>B</v>
      </c>
      <c r="F10429" t="str">
        <f t="shared" si="346"/>
        <v>1B</v>
      </c>
    </row>
    <row r="10430" spans="1:6" x14ac:dyDescent="0.2">
      <c r="A10430">
        <v>2</v>
      </c>
      <c r="E10430" t="str">
        <f t="shared" si="345"/>
        <v>C</v>
      </c>
      <c r="F10430" t="str">
        <f t="shared" si="346"/>
        <v>2C</v>
      </c>
    </row>
    <row r="10431" spans="1:6" x14ac:dyDescent="0.2">
      <c r="A10431">
        <v>3</v>
      </c>
      <c r="E10431" t="str">
        <f t="shared" si="345"/>
        <v>D</v>
      </c>
      <c r="F10431" t="str">
        <f t="shared" si="346"/>
        <v>3D</v>
      </c>
    </row>
    <row r="10432" spans="1:6" x14ac:dyDescent="0.2">
      <c r="A10432">
        <v>4</v>
      </c>
      <c r="E10432" t="str">
        <f t="shared" si="345"/>
        <v>E</v>
      </c>
      <c r="F10432" t="str">
        <f t="shared" si="346"/>
        <v>4E</v>
      </c>
    </row>
    <row r="10433" spans="1:6" x14ac:dyDescent="0.2">
      <c r="A10433">
        <v>5</v>
      </c>
      <c r="E10433" t="str">
        <f t="shared" si="345"/>
        <v>F</v>
      </c>
      <c r="F10433" t="str">
        <f t="shared" si="346"/>
        <v>5F</v>
      </c>
    </row>
    <row r="10434" spans="1:6" x14ac:dyDescent="0.2">
      <c r="A10434">
        <v>6</v>
      </c>
      <c r="E10434" t="str">
        <f t="shared" si="345"/>
        <v>G</v>
      </c>
      <c r="F10434" t="str">
        <f t="shared" si="346"/>
        <v>6G</v>
      </c>
    </row>
    <row r="10435" spans="1:6" x14ac:dyDescent="0.2">
      <c r="A10435">
        <v>7</v>
      </c>
      <c r="E10435" t="str">
        <f t="shared" si="345"/>
        <v>H</v>
      </c>
      <c r="F10435" t="str">
        <f t="shared" si="346"/>
        <v>7H</v>
      </c>
    </row>
    <row r="10436" spans="1:6" x14ac:dyDescent="0.2">
      <c r="A10436">
        <v>8</v>
      </c>
      <c r="E10436" t="str">
        <f t="shared" si="345"/>
        <v>I</v>
      </c>
      <c r="F10436" t="str">
        <f t="shared" si="346"/>
        <v>8I</v>
      </c>
    </row>
    <row r="10437" spans="1:6" x14ac:dyDescent="0.2">
      <c r="A10437">
        <v>9</v>
      </c>
      <c r="E10437" t="str">
        <f t="shared" si="345"/>
        <v>J</v>
      </c>
      <c r="F10437" t="str">
        <f t="shared" si="346"/>
        <v>9J</v>
      </c>
    </row>
    <row r="10438" spans="1:6" x14ac:dyDescent="0.2">
      <c r="A10438">
        <v>10</v>
      </c>
      <c r="E10438" t="str">
        <f t="shared" si="345"/>
        <v>K</v>
      </c>
      <c r="F10438" t="str">
        <f t="shared" si="346"/>
        <v>10K</v>
      </c>
    </row>
    <row r="10439" spans="1:6" x14ac:dyDescent="0.2">
      <c r="A10439">
        <v>11</v>
      </c>
      <c r="E10439" t="str">
        <f t="shared" si="345"/>
        <v>L</v>
      </c>
      <c r="F10439" t="str">
        <f t="shared" si="346"/>
        <v>11L</v>
      </c>
    </row>
    <row r="10440" spans="1:6" x14ac:dyDescent="0.2">
      <c r="A10440">
        <v>12</v>
      </c>
      <c r="E10440" t="str">
        <f t="shared" si="345"/>
        <v>M</v>
      </c>
      <c r="F10440" t="str">
        <f t="shared" si="346"/>
        <v>12M</v>
      </c>
    </row>
    <row r="10441" spans="1:6" x14ac:dyDescent="0.2">
      <c r="A10441">
        <v>13</v>
      </c>
      <c r="E10441" t="str">
        <f t="shared" si="345"/>
        <v>N</v>
      </c>
      <c r="F10441" t="str">
        <f t="shared" si="346"/>
        <v>13N</v>
      </c>
    </row>
    <row r="10442" spans="1:6" x14ac:dyDescent="0.2">
      <c r="A10442">
        <v>14</v>
      </c>
      <c r="E10442" t="str">
        <f t="shared" si="345"/>
        <v>O</v>
      </c>
      <c r="F10442" t="str">
        <f t="shared" si="346"/>
        <v>14O</v>
      </c>
    </row>
    <row r="10443" spans="1:6" x14ac:dyDescent="0.2">
      <c r="A10443">
        <v>15</v>
      </c>
      <c r="E10443" t="str">
        <f t="shared" si="345"/>
        <v>P</v>
      </c>
      <c r="F10443" t="str">
        <f t="shared" si="346"/>
        <v>15P</v>
      </c>
    </row>
    <row r="10444" spans="1:6" x14ac:dyDescent="0.2">
      <c r="A10444">
        <v>16</v>
      </c>
      <c r="E10444" t="str">
        <f t="shared" si="345"/>
        <v>Q</v>
      </c>
      <c r="F10444" t="str">
        <f t="shared" si="346"/>
        <v>16Q</v>
      </c>
    </row>
    <row r="10445" spans="1:6" x14ac:dyDescent="0.2">
      <c r="A10445">
        <v>17</v>
      </c>
      <c r="E10445" t="str">
        <f t="shared" si="345"/>
        <v>R</v>
      </c>
      <c r="F10445" t="str">
        <f t="shared" si="346"/>
        <v>17R</v>
      </c>
    </row>
    <row r="10446" spans="1:6" x14ac:dyDescent="0.2">
      <c r="A10446">
        <v>18</v>
      </c>
      <c r="E10446" t="str">
        <f t="shared" si="345"/>
        <v>S</v>
      </c>
      <c r="F10446" t="str">
        <f t="shared" si="346"/>
        <v>18S</v>
      </c>
    </row>
    <row r="10447" spans="1:6" x14ac:dyDescent="0.2">
      <c r="A10447">
        <v>19</v>
      </c>
      <c r="E10447" t="str">
        <f t="shared" si="345"/>
        <v>T</v>
      </c>
      <c r="F10447" t="str">
        <f t="shared" si="346"/>
        <v>19T</v>
      </c>
    </row>
    <row r="10448" spans="1:6" x14ac:dyDescent="0.2">
      <c r="A10448">
        <v>20</v>
      </c>
      <c r="E10448" t="str">
        <f t="shared" si="345"/>
        <v>U</v>
      </c>
      <c r="F10448" t="str">
        <f t="shared" si="346"/>
        <v>20U</v>
      </c>
    </row>
    <row r="10449" spans="1:6" x14ac:dyDescent="0.2">
      <c r="A10449">
        <v>21</v>
      </c>
      <c r="E10449" t="str">
        <f t="shared" si="345"/>
        <v>V</v>
      </c>
      <c r="F10449" t="str">
        <f t="shared" si="346"/>
        <v>21V</v>
      </c>
    </row>
    <row r="10450" spans="1:6" x14ac:dyDescent="0.2">
      <c r="A10450">
        <v>22</v>
      </c>
      <c r="E10450" t="str">
        <f t="shared" si="345"/>
        <v>W</v>
      </c>
      <c r="F10450" t="str">
        <f t="shared" si="346"/>
        <v>22W</v>
      </c>
    </row>
    <row r="10451" spans="1:6" x14ac:dyDescent="0.2">
      <c r="A10451">
        <v>23</v>
      </c>
      <c r="E10451" t="str">
        <f t="shared" si="345"/>
        <v>X</v>
      </c>
      <c r="F10451" t="str">
        <f t="shared" si="346"/>
        <v>23X</v>
      </c>
    </row>
    <row r="10452" spans="1:6" x14ac:dyDescent="0.2">
      <c r="A10452">
        <v>24</v>
      </c>
      <c r="E10452" t="str">
        <f t="shared" si="345"/>
        <v>Y</v>
      </c>
      <c r="F10452" t="str">
        <f t="shared" si="346"/>
        <v>24Y</v>
      </c>
    </row>
    <row r="10453" spans="1:6" x14ac:dyDescent="0.2">
      <c r="A10453">
        <v>25</v>
      </c>
      <c r="E10453" t="str">
        <f t="shared" ref="E10453:E10516" si="347">E10427</f>
        <v>Z</v>
      </c>
      <c r="F10453" t="str">
        <f t="shared" ref="F10453:F10516" si="348">A10453&amp;C10453&amp;E10453</f>
        <v>25Z</v>
      </c>
    </row>
    <row r="10454" spans="1:6" x14ac:dyDescent="0.2">
      <c r="A10454">
        <v>0</v>
      </c>
      <c r="E10454" t="str">
        <f t="shared" si="347"/>
        <v>A</v>
      </c>
      <c r="F10454" t="str">
        <f t="shared" si="348"/>
        <v>0A</v>
      </c>
    </row>
    <row r="10455" spans="1:6" x14ac:dyDescent="0.2">
      <c r="A10455">
        <v>1</v>
      </c>
      <c r="E10455" t="str">
        <f t="shared" si="347"/>
        <v>B</v>
      </c>
      <c r="F10455" t="str">
        <f t="shared" si="348"/>
        <v>1B</v>
      </c>
    </row>
    <row r="10456" spans="1:6" x14ac:dyDescent="0.2">
      <c r="A10456">
        <v>2</v>
      </c>
      <c r="E10456" t="str">
        <f t="shared" si="347"/>
        <v>C</v>
      </c>
      <c r="F10456" t="str">
        <f t="shared" si="348"/>
        <v>2C</v>
      </c>
    </row>
    <row r="10457" spans="1:6" x14ac:dyDescent="0.2">
      <c r="A10457">
        <v>3</v>
      </c>
      <c r="E10457" t="str">
        <f t="shared" si="347"/>
        <v>D</v>
      </c>
      <c r="F10457" t="str">
        <f t="shared" si="348"/>
        <v>3D</v>
      </c>
    </row>
    <row r="10458" spans="1:6" x14ac:dyDescent="0.2">
      <c r="A10458">
        <v>4</v>
      </c>
      <c r="E10458" t="str">
        <f t="shared" si="347"/>
        <v>E</v>
      </c>
      <c r="F10458" t="str">
        <f t="shared" si="348"/>
        <v>4E</v>
      </c>
    </row>
    <row r="10459" spans="1:6" x14ac:dyDescent="0.2">
      <c r="A10459">
        <v>5</v>
      </c>
      <c r="E10459" t="str">
        <f t="shared" si="347"/>
        <v>F</v>
      </c>
      <c r="F10459" t="str">
        <f t="shared" si="348"/>
        <v>5F</v>
      </c>
    </row>
    <row r="10460" spans="1:6" x14ac:dyDescent="0.2">
      <c r="A10460">
        <v>6</v>
      </c>
      <c r="E10460" t="str">
        <f t="shared" si="347"/>
        <v>G</v>
      </c>
      <c r="F10460" t="str">
        <f t="shared" si="348"/>
        <v>6G</v>
      </c>
    </row>
    <row r="10461" spans="1:6" x14ac:dyDescent="0.2">
      <c r="A10461">
        <v>7</v>
      </c>
      <c r="E10461" t="str">
        <f t="shared" si="347"/>
        <v>H</v>
      </c>
      <c r="F10461" t="str">
        <f t="shared" si="348"/>
        <v>7H</v>
      </c>
    </row>
    <row r="10462" spans="1:6" x14ac:dyDescent="0.2">
      <c r="A10462">
        <v>8</v>
      </c>
      <c r="E10462" t="str">
        <f t="shared" si="347"/>
        <v>I</v>
      </c>
      <c r="F10462" t="str">
        <f t="shared" si="348"/>
        <v>8I</v>
      </c>
    </row>
    <row r="10463" spans="1:6" x14ac:dyDescent="0.2">
      <c r="A10463">
        <v>9</v>
      </c>
      <c r="E10463" t="str">
        <f t="shared" si="347"/>
        <v>J</v>
      </c>
      <c r="F10463" t="str">
        <f t="shared" si="348"/>
        <v>9J</v>
      </c>
    </row>
    <row r="10464" spans="1:6" x14ac:dyDescent="0.2">
      <c r="A10464">
        <v>10</v>
      </c>
      <c r="E10464" t="str">
        <f t="shared" si="347"/>
        <v>K</v>
      </c>
      <c r="F10464" t="str">
        <f t="shared" si="348"/>
        <v>10K</v>
      </c>
    </row>
    <row r="10465" spans="1:6" x14ac:dyDescent="0.2">
      <c r="A10465">
        <v>11</v>
      </c>
      <c r="E10465" t="str">
        <f t="shared" si="347"/>
        <v>L</v>
      </c>
      <c r="F10465" t="str">
        <f t="shared" si="348"/>
        <v>11L</v>
      </c>
    </row>
    <row r="10466" spans="1:6" x14ac:dyDescent="0.2">
      <c r="A10466">
        <v>12</v>
      </c>
      <c r="E10466" t="str">
        <f t="shared" si="347"/>
        <v>M</v>
      </c>
      <c r="F10466" t="str">
        <f t="shared" si="348"/>
        <v>12M</v>
      </c>
    </row>
    <row r="10467" spans="1:6" x14ac:dyDescent="0.2">
      <c r="A10467">
        <v>13</v>
      </c>
      <c r="E10467" t="str">
        <f t="shared" si="347"/>
        <v>N</v>
      </c>
      <c r="F10467" t="str">
        <f t="shared" si="348"/>
        <v>13N</v>
      </c>
    </row>
    <row r="10468" spans="1:6" x14ac:dyDescent="0.2">
      <c r="A10468">
        <v>14</v>
      </c>
      <c r="E10468" t="str">
        <f t="shared" si="347"/>
        <v>O</v>
      </c>
      <c r="F10468" t="str">
        <f t="shared" si="348"/>
        <v>14O</v>
      </c>
    </row>
    <row r="10469" spans="1:6" x14ac:dyDescent="0.2">
      <c r="A10469">
        <v>15</v>
      </c>
      <c r="E10469" t="str">
        <f t="shared" si="347"/>
        <v>P</v>
      </c>
      <c r="F10469" t="str">
        <f t="shared" si="348"/>
        <v>15P</v>
      </c>
    </row>
    <row r="10470" spans="1:6" x14ac:dyDescent="0.2">
      <c r="A10470">
        <v>16</v>
      </c>
      <c r="E10470" t="str">
        <f t="shared" si="347"/>
        <v>Q</v>
      </c>
      <c r="F10470" t="str">
        <f t="shared" si="348"/>
        <v>16Q</v>
      </c>
    </row>
    <row r="10471" spans="1:6" x14ac:dyDescent="0.2">
      <c r="A10471">
        <v>17</v>
      </c>
      <c r="E10471" t="str">
        <f t="shared" si="347"/>
        <v>R</v>
      </c>
      <c r="F10471" t="str">
        <f t="shared" si="348"/>
        <v>17R</v>
      </c>
    </row>
    <row r="10472" spans="1:6" x14ac:dyDescent="0.2">
      <c r="A10472">
        <v>18</v>
      </c>
      <c r="E10472" t="str">
        <f t="shared" si="347"/>
        <v>S</v>
      </c>
      <c r="F10472" t="str">
        <f t="shared" si="348"/>
        <v>18S</v>
      </c>
    </row>
    <row r="10473" spans="1:6" x14ac:dyDescent="0.2">
      <c r="A10473">
        <v>19</v>
      </c>
      <c r="E10473" t="str">
        <f t="shared" si="347"/>
        <v>T</v>
      </c>
      <c r="F10473" t="str">
        <f t="shared" si="348"/>
        <v>19T</v>
      </c>
    </row>
    <row r="10474" spans="1:6" x14ac:dyDescent="0.2">
      <c r="A10474">
        <v>20</v>
      </c>
      <c r="E10474" t="str">
        <f t="shared" si="347"/>
        <v>U</v>
      </c>
      <c r="F10474" t="str">
        <f t="shared" si="348"/>
        <v>20U</v>
      </c>
    </row>
    <row r="10475" spans="1:6" x14ac:dyDescent="0.2">
      <c r="A10475">
        <v>21</v>
      </c>
      <c r="E10475" t="str">
        <f t="shared" si="347"/>
        <v>V</v>
      </c>
      <c r="F10475" t="str">
        <f t="shared" si="348"/>
        <v>21V</v>
      </c>
    </row>
    <row r="10476" spans="1:6" x14ac:dyDescent="0.2">
      <c r="A10476">
        <v>22</v>
      </c>
      <c r="E10476" t="str">
        <f t="shared" si="347"/>
        <v>W</v>
      </c>
      <c r="F10476" t="str">
        <f t="shared" si="348"/>
        <v>22W</v>
      </c>
    </row>
    <row r="10477" spans="1:6" x14ac:dyDescent="0.2">
      <c r="A10477">
        <v>23</v>
      </c>
      <c r="E10477" t="str">
        <f t="shared" si="347"/>
        <v>X</v>
      </c>
      <c r="F10477" t="str">
        <f t="shared" si="348"/>
        <v>23X</v>
      </c>
    </row>
    <row r="10478" spans="1:6" x14ac:dyDescent="0.2">
      <c r="A10478">
        <v>24</v>
      </c>
      <c r="E10478" t="str">
        <f t="shared" si="347"/>
        <v>Y</v>
      </c>
      <c r="F10478" t="str">
        <f t="shared" si="348"/>
        <v>24Y</v>
      </c>
    </row>
    <row r="10479" spans="1:6" x14ac:dyDescent="0.2">
      <c r="A10479">
        <v>25</v>
      </c>
      <c r="E10479" t="str">
        <f t="shared" si="347"/>
        <v>Z</v>
      </c>
      <c r="F10479" t="str">
        <f t="shared" si="348"/>
        <v>25Z</v>
      </c>
    </row>
    <row r="10480" spans="1:6" x14ac:dyDescent="0.2">
      <c r="A10480">
        <v>0</v>
      </c>
      <c r="E10480" t="str">
        <f t="shared" si="347"/>
        <v>A</v>
      </c>
      <c r="F10480" t="str">
        <f t="shared" si="348"/>
        <v>0A</v>
      </c>
    </row>
    <row r="10481" spans="1:6" x14ac:dyDescent="0.2">
      <c r="A10481">
        <v>1</v>
      </c>
      <c r="E10481" t="str">
        <f t="shared" si="347"/>
        <v>B</v>
      </c>
      <c r="F10481" t="str">
        <f t="shared" si="348"/>
        <v>1B</v>
      </c>
    </row>
    <row r="10482" spans="1:6" x14ac:dyDescent="0.2">
      <c r="A10482">
        <v>2</v>
      </c>
      <c r="E10482" t="str">
        <f t="shared" si="347"/>
        <v>C</v>
      </c>
      <c r="F10482" t="str">
        <f t="shared" si="348"/>
        <v>2C</v>
      </c>
    </row>
    <row r="10483" spans="1:6" x14ac:dyDescent="0.2">
      <c r="A10483">
        <v>3</v>
      </c>
      <c r="E10483" t="str">
        <f t="shared" si="347"/>
        <v>D</v>
      </c>
      <c r="F10483" t="str">
        <f t="shared" si="348"/>
        <v>3D</v>
      </c>
    </row>
    <row r="10484" spans="1:6" x14ac:dyDescent="0.2">
      <c r="A10484">
        <v>4</v>
      </c>
      <c r="E10484" t="str">
        <f t="shared" si="347"/>
        <v>E</v>
      </c>
      <c r="F10484" t="str">
        <f t="shared" si="348"/>
        <v>4E</v>
      </c>
    </row>
    <row r="10485" spans="1:6" x14ac:dyDescent="0.2">
      <c r="A10485">
        <v>5</v>
      </c>
      <c r="E10485" t="str">
        <f t="shared" si="347"/>
        <v>F</v>
      </c>
      <c r="F10485" t="str">
        <f t="shared" si="348"/>
        <v>5F</v>
      </c>
    </row>
    <row r="10486" spans="1:6" x14ac:dyDescent="0.2">
      <c r="A10486">
        <v>6</v>
      </c>
      <c r="E10486" t="str">
        <f t="shared" si="347"/>
        <v>G</v>
      </c>
      <c r="F10486" t="str">
        <f t="shared" si="348"/>
        <v>6G</v>
      </c>
    </row>
    <row r="10487" spans="1:6" x14ac:dyDescent="0.2">
      <c r="A10487">
        <v>7</v>
      </c>
      <c r="E10487" t="str">
        <f t="shared" si="347"/>
        <v>H</v>
      </c>
      <c r="F10487" t="str">
        <f t="shared" si="348"/>
        <v>7H</v>
      </c>
    </row>
    <row r="10488" spans="1:6" x14ac:dyDescent="0.2">
      <c r="A10488">
        <v>8</v>
      </c>
      <c r="E10488" t="str">
        <f t="shared" si="347"/>
        <v>I</v>
      </c>
      <c r="F10488" t="str">
        <f t="shared" si="348"/>
        <v>8I</v>
      </c>
    </row>
    <row r="10489" spans="1:6" x14ac:dyDescent="0.2">
      <c r="A10489">
        <v>9</v>
      </c>
      <c r="E10489" t="str">
        <f t="shared" si="347"/>
        <v>J</v>
      </c>
      <c r="F10489" t="str">
        <f t="shared" si="348"/>
        <v>9J</v>
      </c>
    </row>
    <row r="10490" spans="1:6" x14ac:dyDescent="0.2">
      <c r="A10490">
        <v>10</v>
      </c>
      <c r="E10490" t="str">
        <f t="shared" si="347"/>
        <v>K</v>
      </c>
      <c r="F10490" t="str">
        <f t="shared" si="348"/>
        <v>10K</v>
      </c>
    </row>
    <row r="10491" spans="1:6" x14ac:dyDescent="0.2">
      <c r="A10491">
        <v>11</v>
      </c>
      <c r="E10491" t="str">
        <f t="shared" si="347"/>
        <v>L</v>
      </c>
      <c r="F10491" t="str">
        <f t="shared" si="348"/>
        <v>11L</v>
      </c>
    </row>
    <row r="10492" spans="1:6" x14ac:dyDescent="0.2">
      <c r="A10492">
        <v>12</v>
      </c>
      <c r="E10492" t="str">
        <f t="shared" si="347"/>
        <v>M</v>
      </c>
      <c r="F10492" t="str">
        <f t="shared" si="348"/>
        <v>12M</v>
      </c>
    </row>
    <row r="10493" spans="1:6" x14ac:dyDescent="0.2">
      <c r="A10493">
        <v>13</v>
      </c>
      <c r="E10493" t="str">
        <f t="shared" si="347"/>
        <v>N</v>
      </c>
      <c r="F10493" t="str">
        <f t="shared" si="348"/>
        <v>13N</v>
      </c>
    </row>
    <row r="10494" spans="1:6" x14ac:dyDescent="0.2">
      <c r="A10494">
        <v>14</v>
      </c>
      <c r="E10494" t="str">
        <f t="shared" si="347"/>
        <v>O</v>
      </c>
      <c r="F10494" t="str">
        <f t="shared" si="348"/>
        <v>14O</v>
      </c>
    </row>
    <row r="10495" spans="1:6" x14ac:dyDescent="0.2">
      <c r="A10495">
        <v>15</v>
      </c>
      <c r="E10495" t="str">
        <f t="shared" si="347"/>
        <v>P</v>
      </c>
      <c r="F10495" t="str">
        <f t="shared" si="348"/>
        <v>15P</v>
      </c>
    </row>
    <row r="10496" spans="1:6" x14ac:dyDescent="0.2">
      <c r="A10496">
        <v>16</v>
      </c>
      <c r="E10496" t="str">
        <f t="shared" si="347"/>
        <v>Q</v>
      </c>
      <c r="F10496" t="str">
        <f t="shared" si="348"/>
        <v>16Q</v>
      </c>
    </row>
    <row r="10497" spans="1:6" x14ac:dyDescent="0.2">
      <c r="A10497">
        <v>17</v>
      </c>
      <c r="E10497" t="str">
        <f t="shared" si="347"/>
        <v>R</v>
      </c>
      <c r="F10497" t="str">
        <f t="shared" si="348"/>
        <v>17R</v>
      </c>
    </row>
    <row r="10498" spans="1:6" x14ac:dyDescent="0.2">
      <c r="A10498">
        <v>18</v>
      </c>
      <c r="E10498" t="str">
        <f t="shared" si="347"/>
        <v>S</v>
      </c>
      <c r="F10498" t="str">
        <f t="shared" si="348"/>
        <v>18S</v>
      </c>
    </row>
    <row r="10499" spans="1:6" x14ac:dyDescent="0.2">
      <c r="A10499">
        <v>19</v>
      </c>
      <c r="E10499" t="str">
        <f t="shared" si="347"/>
        <v>T</v>
      </c>
      <c r="F10499" t="str">
        <f t="shared" si="348"/>
        <v>19T</v>
      </c>
    </row>
    <row r="10500" spans="1:6" x14ac:dyDescent="0.2">
      <c r="A10500">
        <v>20</v>
      </c>
      <c r="E10500" t="str">
        <f t="shared" si="347"/>
        <v>U</v>
      </c>
      <c r="F10500" t="str">
        <f t="shared" si="348"/>
        <v>20U</v>
      </c>
    </row>
    <row r="10501" spans="1:6" x14ac:dyDescent="0.2">
      <c r="A10501">
        <v>21</v>
      </c>
      <c r="E10501" t="str">
        <f t="shared" si="347"/>
        <v>V</v>
      </c>
      <c r="F10501" t="str">
        <f t="shared" si="348"/>
        <v>21V</v>
      </c>
    </row>
    <row r="10502" spans="1:6" x14ac:dyDescent="0.2">
      <c r="A10502">
        <v>22</v>
      </c>
      <c r="E10502" t="str">
        <f t="shared" si="347"/>
        <v>W</v>
      </c>
      <c r="F10502" t="str">
        <f t="shared" si="348"/>
        <v>22W</v>
      </c>
    </row>
    <row r="10503" spans="1:6" x14ac:dyDescent="0.2">
      <c r="A10503">
        <v>23</v>
      </c>
      <c r="E10503" t="str">
        <f t="shared" si="347"/>
        <v>X</v>
      </c>
      <c r="F10503" t="str">
        <f t="shared" si="348"/>
        <v>23X</v>
      </c>
    </row>
    <row r="10504" spans="1:6" x14ac:dyDescent="0.2">
      <c r="A10504">
        <v>24</v>
      </c>
      <c r="E10504" t="str">
        <f t="shared" si="347"/>
        <v>Y</v>
      </c>
      <c r="F10504" t="str">
        <f t="shared" si="348"/>
        <v>24Y</v>
      </c>
    </row>
    <row r="10505" spans="1:6" x14ac:dyDescent="0.2">
      <c r="A10505">
        <v>25</v>
      </c>
      <c r="E10505" t="str">
        <f t="shared" si="347"/>
        <v>Z</v>
      </c>
      <c r="F10505" t="str">
        <f t="shared" si="348"/>
        <v>25Z</v>
      </c>
    </row>
    <row r="10506" spans="1:6" x14ac:dyDescent="0.2">
      <c r="A10506">
        <v>0</v>
      </c>
      <c r="E10506" t="str">
        <f t="shared" si="347"/>
        <v>A</v>
      </c>
      <c r="F10506" t="str">
        <f t="shared" si="348"/>
        <v>0A</v>
      </c>
    </row>
    <row r="10507" spans="1:6" x14ac:dyDescent="0.2">
      <c r="A10507">
        <v>1</v>
      </c>
      <c r="E10507" t="str">
        <f t="shared" si="347"/>
        <v>B</v>
      </c>
      <c r="F10507" t="str">
        <f t="shared" si="348"/>
        <v>1B</v>
      </c>
    </row>
    <row r="10508" spans="1:6" x14ac:dyDescent="0.2">
      <c r="A10508">
        <v>2</v>
      </c>
      <c r="E10508" t="str">
        <f t="shared" si="347"/>
        <v>C</v>
      </c>
      <c r="F10508" t="str">
        <f t="shared" si="348"/>
        <v>2C</v>
      </c>
    </row>
    <row r="10509" spans="1:6" x14ac:dyDescent="0.2">
      <c r="A10509">
        <v>3</v>
      </c>
      <c r="E10509" t="str">
        <f t="shared" si="347"/>
        <v>D</v>
      </c>
      <c r="F10509" t="str">
        <f t="shared" si="348"/>
        <v>3D</v>
      </c>
    </row>
    <row r="10510" spans="1:6" x14ac:dyDescent="0.2">
      <c r="A10510">
        <v>4</v>
      </c>
      <c r="E10510" t="str">
        <f t="shared" si="347"/>
        <v>E</v>
      </c>
      <c r="F10510" t="str">
        <f t="shared" si="348"/>
        <v>4E</v>
      </c>
    </row>
    <row r="10511" spans="1:6" x14ac:dyDescent="0.2">
      <c r="A10511">
        <v>5</v>
      </c>
      <c r="E10511" t="str">
        <f t="shared" si="347"/>
        <v>F</v>
      </c>
      <c r="F10511" t="str">
        <f t="shared" si="348"/>
        <v>5F</v>
      </c>
    </row>
    <row r="10512" spans="1:6" x14ac:dyDescent="0.2">
      <c r="A10512">
        <v>6</v>
      </c>
      <c r="E10512" t="str">
        <f t="shared" si="347"/>
        <v>G</v>
      </c>
      <c r="F10512" t="str">
        <f t="shared" si="348"/>
        <v>6G</v>
      </c>
    </row>
    <row r="10513" spans="1:6" x14ac:dyDescent="0.2">
      <c r="A10513">
        <v>7</v>
      </c>
      <c r="E10513" t="str">
        <f t="shared" si="347"/>
        <v>H</v>
      </c>
      <c r="F10513" t="str">
        <f t="shared" si="348"/>
        <v>7H</v>
      </c>
    </row>
    <row r="10514" spans="1:6" x14ac:dyDescent="0.2">
      <c r="A10514">
        <v>8</v>
      </c>
      <c r="E10514" t="str">
        <f t="shared" si="347"/>
        <v>I</v>
      </c>
      <c r="F10514" t="str">
        <f t="shared" si="348"/>
        <v>8I</v>
      </c>
    </row>
    <row r="10515" spans="1:6" x14ac:dyDescent="0.2">
      <c r="A10515">
        <v>9</v>
      </c>
      <c r="E10515" t="str">
        <f t="shared" si="347"/>
        <v>J</v>
      </c>
      <c r="F10515" t="str">
        <f t="shared" si="348"/>
        <v>9J</v>
      </c>
    </row>
    <row r="10516" spans="1:6" x14ac:dyDescent="0.2">
      <c r="A10516">
        <v>10</v>
      </c>
      <c r="E10516" t="str">
        <f t="shared" si="347"/>
        <v>K</v>
      </c>
      <c r="F10516" t="str">
        <f t="shared" si="348"/>
        <v>10K</v>
      </c>
    </row>
    <row r="10517" spans="1:6" x14ac:dyDescent="0.2">
      <c r="A10517">
        <v>11</v>
      </c>
      <c r="E10517" t="str">
        <f t="shared" ref="E10517:E10580" si="349">E10491</f>
        <v>L</v>
      </c>
      <c r="F10517" t="str">
        <f t="shared" ref="F10517:F10580" si="350">A10517&amp;C10517&amp;E10517</f>
        <v>11L</v>
      </c>
    </row>
    <row r="10518" spans="1:6" x14ac:dyDescent="0.2">
      <c r="A10518">
        <v>12</v>
      </c>
      <c r="E10518" t="str">
        <f t="shared" si="349"/>
        <v>M</v>
      </c>
      <c r="F10518" t="str">
        <f t="shared" si="350"/>
        <v>12M</v>
      </c>
    </row>
    <row r="10519" spans="1:6" x14ac:dyDescent="0.2">
      <c r="A10519">
        <v>13</v>
      </c>
      <c r="E10519" t="str">
        <f t="shared" si="349"/>
        <v>N</v>
      </c>
      <c r="F10519" t="str">
        <f t="shared" si="350"/>
        <v>13N</v>
      </c>
    </row>
    <row r="10520" spans="1:6" x14ac:dyDescent="0.2">
      <c r="A10520">
        <v>14</v>
      </c>
      <c r="E10520" t="str">
        <f t="shared" si="349"/>
        <v>O</v>
      </c>
      <c r="F10520" t="str">
        <f t="shared" si="350"/>
        <v>14O</v>
      </c>
    </row>
    <row r="10521" spans="1:6" x14ac:dyDescent="0.2">
      <c r="A10521">
        <v>15</v>
      </c>
      <c r="E10521" t="str">
        <f t="shared" si="349"/>
        <v>P</v>
      </c>
      <c r="F10521" t="str">
        <f t="shared" si="350"/>
        <v>15P</v>
      </c>
    </row>
    <row r="10522" spans="1:6" x14ac:dyDescent="0.2">
      <c r="A10522">
        <v>16</v>
      </c>
      <c r="E10522" t="str">
        <f t="shared" si="349"/>
        <v>Q</v>
      </c>
      <c r="F10522" t="str">
        <f t="shared" si="350"/>
        <v>16Q</v>
      </c>
    </row>
    <row r="10523" spans="1:6" x14ac:dyDescent="0.2">
      <c r="A10523">
        <v>17</v>
      </c>
      <c r="E10523" t="str">
        <f t="shared" si="349"/>
        <v>R</v>
      </c>
      <c r="F10523" t="str">
        <f t="shared" si="350"/>
        <v>17R</v>
      </c>
    </row>
    <row r="10524" spans="1:6" x14ac:dyDescent="0.2">
      <c r="A10524">
        <v>18</v>
      </c>
      <c r="E10524" t="str">
        <f t="shared" si="349"/>
        <v>S</v>
      </c>
      <c r="F10524" t="str">
        <f t="shared" si="350"/>
        <v>18S</v>
      </c>
    </row>
    <row r="10525" spans="1:6" x14ac:dyDescent="0.2">
      <c r="A10525">
        <v>19</v>
      </c>
      <c r="E10525" t="str">
        <f t="shared" si="349"/>
        <v>T</v>
      </c>
      <c r="F10525" t="str">
        <f t="shared" si="350"/>
        <v>19T</v>
      </c>
    </row>
    <row r="10526" spans="1:6" x14ac:dyDescent="0.2">
      <c r="A10526">
        <v>20</v>
      </c>
      <c r="E10526" t="str">
        <f t="shared" si="349"/>
        <v>U</v>
      </c>
      <c r="F10526" t="str">
        <f t="shared" si="350"/>
        <v>20U</v>
      </c>
    </row>
    <row r="10527" spans="1:6" x14ac:dyDescent="0.2">
      <c r="A10527">
        <v>21</v>
      </c>
      <c r="E10527" t="str">
        <f t="shared" si="349"/>
        <v>V</v>
      </c>
      <c r="F10527" t="str">
        <f t="shared" si="350"/>
        <v>21V</v>
      </c>
    </row>
    <row r="10528" spans="1:6" x14ac:dyDescent="0.2">
      <c r="A10528">
        <v>22</v>
      </c>
      <c r="E10528" t="str">
        <f t="shared" si="349"/>
        <v>W</v>
      </c>
      <c r="F10528" t="str">
        <f t="shared" si="350"/>
        <v>22W</v>
      </c>
    </row>
    <row r="10529" spans="1:6" x14ac:dyDescent="0.2">
      <c r="A10529">
        <v>23</v>
      </c>
      <c r="E10529" t="str">
        <f t="shared" si="349"/>
        <v>X</v>
      </c>
      <c r="F10529" t="str">
        <f t="shared" si="350"/>
        <v>23X</v>
      </c>
    </row>
    <row r="10530" spans="1:6" x14ac:dyDescent="0.2">
      <c r="A10530">
        <v>24</v>
      </c>
      <c r="E10530" t="str">
        <f t="shared" si="349"/>
        <v>Y</v>
      </c>
      <c r="F10530" t="str">
        <f t="shared" si="350"/>
        <v>24Y</v>
      </c>
    </row>
    <row r="10531" spans="1:6" x14ac:dyDescent="0.2">
      <c r="A10531">
        <v>25</v>
      </c>
      <c r="E10531" t="str">
        <f t="shared" si="349"/>
        <v>Z</v>
      </c>
      <c r="F10531" t="str">
        <f t="shared" si="350"/>
        <v>25Z</v>
      </c>
    </row>
    <row r="10532" spans="1:6" x14ac:dyDescent="0.2">
      <c r="A10532">
        <v>0</v>
      </c>
      <c r="E10532" t="str">
        <f t="shared" si="349"/>
        <v>A</v>
      </c>
      <c r="F10532" t="str">
        <f t="shared" si="350"/>
        <v>0A</v>
      </c>
    </row>
    <row r="10533" spans="1:6" x14ac:dyDescent="0.2">
      <c r="A10533">
        <v>1</v>
      </c>
      <c r="E10533" t="str">
        <f t="shared" si="349"/>
        <v>B</v>
      </c>
      <c r="F10533" t="str">
        <f t="shared" si="350"/>
        <v>1B</v>
      </c>
    </row>
    <row r="10534" spans="1:6" x14ac:dyDescent="0.2">
      <c r="A10534">
        <v>2</v>
      </c>
      <c r="E10534" t="str">
        <f t="shared" si="349"/>
        <v>C</v>
      </c>
      <c r="F10534" t="str">
        <f t="shared" si="350"/>
        <v>2C</v>
      </c>
    </row>
    <row r="10535" spans="1:6" x14ac:dyDescent="0.2">
      <c r="A10535">
        <v>3</v>
      </c>
      <c r="E10535" t="str">
        <f t="shared" si="349"/>
        <v>D</v>
      </c>
      <c r="F10535" t="str">
        <f t="shared" si="350"/>
        <v>3D</v>
      </c>
    </row>
    <row r="10536" spans="1:6" x14ac:dyDescent="0.2">
      <c r="A10536">
        <v>4</v>
      </c>
      <c r="E10536" t="str">
        <f t="shared" si="349"/>
        <v>E</v>
      </c>
      <c r="F10536" t="str">
        <f t="shared" si="350"/>
        <v>4E</v>
      </c>
    </row>
    <row r="10537" spans="1:6" x14ac:dyDescent="0.2">
      <c r="A10537">
        <v>5</v>
      </c>
      <c r="E10537" t="str">
        <f t="shared" si="349"/>
        <v>F</v>
      </c>
      <c r="F10537" t="str">
        <f t="shared" si="350"/>
        <v>5F</v>
      </c>
    </row>
    <row r="10538" spans="1:6" x14ac:dyDescent="0.2">
      <c r="A10538">
        <v>6</v>
      </c>
      <c r="E10538" t="str">
        <f t="shared" si="349"/>
        <v>G</v>
      </c>
      <c r="F10538" t="str">
        <f t="shared" si="350"/>
        <v>6G</v>
      </c>
    </row>
    <row r="10539" spans="1:6" x14ac:dyDescent="0.2">
      <c r="A10539">
        <v>7</v>
      </c>
      <c r="E10539" t="str">
        <f t="shared" si="349"/>
        <v>H</v>
      </c>
      <c r="F10539" t="str">
        <f t="shared" si="350"/>
        <v>7H</v>
      </c>
    </row>
    <row r="10540" spans="1:6" x14ac:dyDescent="0.2">
      <c r="A10540">
        <v>8</v>
      </c>
      <c r="E10540" t="str">
        <f t="shared" si="349"/>
        <v>I</v>
      </c>
      <c r="F10540" t="str">
        <f t="shared" si="350"/>
        <v>8I</v>
      </c>
    </row>
    <row r="10541" spans="1:6" x14ac:dyDescent="0.2">
      <c r="A10541">
        <v>9</v>
      </c>
      <c r="E10541" t="str">
        <f t="shared" si="349"/>
        <v>J</v>
      </c>
      <c r="F10541" t="str">
        <f t="shared" si="350"/>
        <v>9J</v>
      </c>
    </row>
    <row r="10542" spans="1:6" x14ac:dyDescent="0.2">
      <c r="A10542">
        <v>10</v>
      </c>
      <c r="E10542" t="str">
        <f t="shared" si="349"/>
        <v>K</v>
      </c>
      <c r="F10542" t="str">
        <f t="shared" si="350"/>
        <v>10K</v>
      </c>
    </row>
    <row r="10543" spans="1:6" x14ac:dyDescent="0.2">
      <c r="A10543">
        <v>11</v>
      </c>
      <c r="E10543" t="str">
        <f t="shared" si="349"/>
        <v>L</v>
      </c>
      <c r="F10543" t="str">
        <f t="shared" si="350"/>
        <v>11L</v>
      </c>
    </row>
    <row r="10544" spans="1:6" x14ac:dyDescent="0.2">
      <c r="A10544">
        <v>12</v>
      </c>
      <c r="E10544" t="str">
        <f t="shared" si="349"/>
        <v>M</v>
      </c>
      <c r="F10544" t="str">
        <f t="shared" si="350"/>
        <v>12M</v>
      </c>
    </row>
    <row r="10545" spans="1:6" x14ac:dyDescent="0.2">
      <c r="A10545">
        <v>13</v>
      </c>
      <c r="E10545" t="str">
        <f t="shared" si="349"/>
        <v>N</v>
      </c>
      <c r="F10545" t="str">
        <f t="shared" si="350"/>
        <v>13N</v>
      </c>
    </row>
    <row r="10546" spans="1:6" x14ac:dyDescent="0.2">
      <c r="A10546">
        <v>14</v>
      </c>
      <c r="E10546" t="str">
        <f t="shared" si="349"/>
        <v>O</v>
      </c>
      <c r="F10546" t="str">
        <f t="shared" si="350"/>
        <v>14O</v>
      </c>
    </row>
    <row r="10547" spans="1:6" x14ac:dyDescent="0.2">
      <c r="A10547">
        <v>15</v>
      </c>
      <c r="E10547" t="str">
        <f t="shared" si="349"/>
        <v>P</v>
      </c>
      <c r="F10547" t="str">
        <f t="shared" si="350"/>
        <v>15P</v>
      </c>
    </row>
    <row r="10548" spans="1:6" x14ac:dyDescent="0.2">
      <c r="A10548">
        <v>16</v>
      </c>
      <c r="E10548" t="str">
        <f t="shared" si="349"/>
        <v>Q</v>
      </c>
      <c r="F10548" t="str">
        <f t="shared" si="350"/>
        <v>16Q</v>
      </c>
    </row>
    <row r="10549" spans="1:6" x14ac:dyDescent="0.2">
      <c r="A10549">
        <v>17</v>
      </c>
      <c r="E10549" t="str">
        <f t="shared" si="349"/>
        <v>R</v>
      </c>
      <c r="F10549" t="str">
        <f t="shared" si="350"/>
        <v>17R</v>
      </c>
    </row>
    <row r="10550" spans="1:6" x14ac:dyDescent="0.2">
      <c r="A10550">
        <v>18</v>
      </c>
      <c r="E10550" t="str">
        <f t="shared" si="349"/>
        <v>S</v>
      </c>
      <c r="F10550" t="str">
        <f t="shared" si="350"/>
        <v>18S</v>
      </c>
    </row>
    <row r="10551" spans="1:6" x14ac:dyDescent="0.2">
      <c r="A10551">
        <v>19</v>
      </c>
      <c r="E10551" t="str">
        <f t="shared" si="349"/>
        <v>T</v>
      </c>
      <c r="F10551" t="str">
        <f t="shared" si="350"/>
        <v>19T</v>
      </c>
    </row>
    <row r="10552" spans="1:6" x14ac:dyDescent="0.2">
      <c r="A10552">
        <v>20</v>
      </c>
      <c r="E10552" t="str">
        <f t="shared" si="349"/>
        <v>U</v>
      </c>
      <c r="F10552" t="str">
        <f t="shared" si="350"/>
        <v>20U</v>
      </c>
    </row>
    <row r="10553" spans="1:6" x14ac:dyDescent="0.2">
      <c r="A10553">
        <v>21</v>
      </c>
      <c r="E10553" t="str">
        <f t="shared" si="349"/>
        <v>V</v>
      </c>
      <c r="F10553" t="str">
        <f t="shared" si="350"/>
        <v>21V</v>
      </c>
    </row>
    <row r="10554" spans="1:6" x14ac:dyDescent="0.2">
      <c r="A10554">
        <v>22</v>
      </c>
      <c r="E10554" t="str">
        <f t="shared" si="349"/>
        <v>W</v>
      </c>
      <c r="F10554" t="str">
        <f t="shared" si="350"/>
        <v>22W</v>
      </c>
    </row>
    <row r="10555" spans="1:6" x14ac:dyDescent="0.2">
      <c r="A10555">
        <v>23</v>
      </c>
      <c r="E10555" t="str">
        <f t="shared" si="349"/>
        <v>X</v>
      </c>
      <c r="F10555" t="str">
        <f t="shared" si="350"/>
        <v>23X</v>
      </c>
    </row>
    <row r="10556" spans="1:6" x14ac:dyDescent="0.2">
      <c r="A10556">
        <v>24</v>
      </c>
      <c r="E10556" t="str">
        <f t="shared" si="349"/>
        <v>Y</v>
      </c>
      <c r="F10556" t="str">
        <f t="shared" si="350"/>
        <v>24Y</v>
      </c>
    </row>
    <row r="10557" spans="1:6" x14ac:dyDescent="0.2">
      <c r="A10557">
        <v>25</v>
      </c>
      <c r="E10557" t="str">
        <f t="shared" si="349"/>
        <v>Z</v>
      </c>
      <c r="F10557" t="str">
        <f t="shared" si="350"/>
        <v>25Z</v>
      </c>
    </row>
    <row r="10558" spans="1:6" x14ac:dyDescent="0.2">
      <c r="A10558">
        <v>0</v>
      </c>
      <c r="E10558" t="str">
        <f t="shared" si="349"/>
        <v>A</v>
      </c>
      <c r="F10558" t="str">
        <f t="shared" si="350"/>
        <v>0A</v>
      </c>
    </row>
    <row r="10559" spans="1:6" x14ac:dyDescent="0.2">
      <c r="A10559">
        <v>1</v>
      </c>
      <c r="E10559" t="str">
        <f t="shared" si="349"/>
        <v>B</v>
      </c>
      <c r="F10559" t="str">
        <f t="shared" si="350"/>
        <v>1B</v>
      </c>
    </row>
    <row r="10560" spans="1:6" x14ac:dyDescent="0.2">
      <c r="A10560">
        <v>2</v>
      </c>
      <c r="E10560" t="str">
        <f t="shared" si="349"/>
        <v>C</v>
      </c>
      <c r="F10560" t="str">
        <f t="shared" si="350"/>
        <v>2C</v>
      </c>
    </row>
    <row r="10561" spans="1:6" x14ac:dyDescent="0.2">
      <c r="A10561">
        <v>3</v>
      </c>
      <c r="E10561" t="str">
        <f t="shared" si="349"/>
        <v>D</v>
      </c>
      <c r="F10561" t="str">
        <f t="shared" si="350"/>
        <v>3D</v>
      </c>
    </row>
    <row r="10562" spans="1:6" x14ac:dyDescent="0.2">
      <c r="A10562">
        <v>4</v>
      </c>
      <c r="E10562" t="str">
        <f t="shared" si="349"/>
        <v>E</v>
      </c>
      <c r="F10562" t="str">
        <f t="shared" si="350"/>
        <v>4E</v>
      </c>
    </row>
    <row r="10563" spans="1:6" x14ac:dyDescent="0.2">
      <c r="A10563">
        <v>5</v>
      </c>
      <c r="E10563" t="str">
        <f t="shared" si="349"/>
        <v>F</v>
      </c>
      <c r="F10563" t="str">
        <f t="shared" si="350"/>
        <v>5F</v>
      </c>
    </row>
    <row r="10564" spans="1:6" x14ac:dyDescent="0.2">
      <c r="A10564">
        <v>6</v>
      </c>
      <c r="E10564" t="str">
        <f t="shared" si="349"/>
        <v>G</v>
      </c>
      <c r="F10564" t="str">
        <f t="shared" si="350"/>
        <v>6G</v>
      </c>
    </row>
    <row r="10565" spans="1:6" x14ac:dyDescent="0.2">
      <c r="A10565">
        <v>7</v>
      </c>
      <c r="E10565" t="str">
        <f t="shared" si="349"/>
        <v>H</v>
      </c>
      <c r="F10565" t="str">
        <f t="shared" si="350"/>
        <v>7H</v>
      </c>
    </row>
    <row r="10566" spans="1:6" x14ac:dyDescent="0.2">
      <c r="A10566">
        <v>8</v>
      </c>
      <c r="E10566" t="str">
        <f t="shared" si="349"/>
        <v>I</v>
      </c>
      <c r="F10566" t="str">
        <f t="shared" si="350"/>
        <v>8I</v>
      </c>
    </row>
    <row r="10567" spans="1:6" x14ac:dyDescent="0.2">
      <c r="A10567">
        <v>9</v>
      </c>
      <c r="E10567" t="str">
        <f t="shared" si="349"/>
        <v>J</v>
      </c>
      <c r="F10567" t="str">
        <f t="shared" si="350"/>
        <v>9J</v>
      </c>
    </row>
    <row r="10568" spans="1:6" x14ac:dyDescent="0.2">
      <c r="A10568">
        <v>10</v>
      </c>
      <c r="E10568" t="str">
        <f t="shared" si="349"/>
        <v>K</v>
      </c>
      <c r="F10568" t="str">
        <f t="shared" si="350"/>
        <v>10K</v>
      </c>
    </row>
    <row r="10569" spans="1:6" x14ac:dyDescent="0.2">
      <c r="A10569">
        <v>11</v>
      </c>
      <c r="E10569" t="str">
        <f t="shared" si="349"/>
        <v>L</v>
      </c>
      <c r="F10569" t="str">
        <f t="shared" si="350"/>
        <v>11L</v>
      </c>
    </row>
    <row r="10570" spans="1:6" x14ac:dyDescent="0.2">
      <c r="A10570">
        <v>12</v>
      </c>
      <c r="E10570" t="str">
        <f t="shared" si="349"/>
        <v>M</v>
      </c>
      <c r="F10570" t="str">
        <f t="shared" si="350"/>
        <v>12M</v>
      </c>
    </row>
    <row r="10571" spans="1:6" x14ac:dyDescent="0.2">
      <c r="A10571">
        <v>13</v>
      </c>
      <c r="E10571" t="str">
        <f t="shared" si="349"/>
        <v>N</v>
      </c>
      <c r="F10571" t="str">
        <f t="shared" si="350"/>
        <v>13N</v>
      </c>
    </row>
    <row r="10572" spans="1:6" x14ac:dyDescent="0.2">
      <c r="A10572">
        <v>14</v>
      </c>
      <c r="E10572" t="str">
        <f t="shared" si="349"/>
        <v>O</v>
      </c>
      <c r="F10572" t="str">
        <f t="shared" si="350"/>
        <v>14O</v>
      </c>
    </row>
    <row r="10573" spans="1:6" x14ac:dyDescent="0.2">
      <c r="A10573">
        <v>15</v>
      </c>
      <c r="E10573" t="str">
        <f t="shared" si="349"/>
        <v>P</v>
      </c>
      <c r="F10573" t="str">
        <f t="shared" si="350"/>
        <v>15P</v>
      </c>
    </row>
    <row r="10574" spans="1:6" x14ac:dyDescent="0.2">
      <c r="A10574">
        <v>16</v>
      </c>
      <c r="E10574" t="str">
        <f t="shared" si="349"/>
        <v>Q</v>
      </c>
      <c r="F10574" t="str">
        <f t="shared" si="350"/>
        <v>16Q</v>
      </c>
    </row>
    <row r="10575" spans="1:6" x14ac:dyDescent="0.2">
      <c r="A10575">
        <v>17</v>
      </c>
      <c r="E10575" t="str">
        <f t="shared" si="349"/>
        <v>R</v>
      </c>
      <c r="F10575" t="str">
        <f t="shared" si="350"/>
        <v>17R</v>
      </c>
    </row>
    <row r="10576" spans="1:6" x14ac:dyDescent="0.2">
      <c r="A10576">
        <v>18</v>
      </c>
      <c r="E10576" t="str">
        <f t="shared" si="349"/>
        <v>S</v>
      </c>
      <c r="F10576" t="str">
        <f t="shared" si="350"/>
        <v>18S</v>
      </c>
    </row>
    <row r="10577" spans="1:6" x14ac:dyDescent="0.2">
      <c r="A10577">
        <v>19</v>
      </c>
      <c r="E10577" t="str">
        <f t="shared" si="349"/>
        <v>T</v>
      </c>
      <c r="F10577" t="str">
        <f t="shared" si="350"/>
        <v>19T</v>
      </c>
    </row>
    <row r="10578" spans="1:6" x14ac:dyDescent="0.2">
      <c r="A10578">
        <v>20</v>
      </c>
      <c r="E10578" t="str">
        <f t="shared" si="349"/>
        <v>U</v>
      </c>
      <c r="F10578" t="str">
        <f t="shared" si="350"/>
        <v>20U</v>
      </c>
    </row>
    <row r="10579" spans="1:6" x14ac:dyDescent="0.2">
      <c r="A10579">
        <v>21</v>
      </c>
      <c r="E10579" t="str">
        <f t="shared" si="349"/>
        <v>V</v>
      </c>
      <c r="F10579" t="str">
        <f t="shared" si="350"/>
        <v>21V</v>
      </c>
    </row>
    <row r="10580" spans="1:6" x14ac:dyDescent="0.2">
      <c r="A10580">
        <v>22</v>
      </c>
      <c r="E10580" t="str">
        <f t="shared" si="349"/>
        <v>W</v>
      </c>
      <c r="F10580" t="str">
        <f t="shared" si="350"/>
        <v>22W</v>
      </c>
    </row>
    <row r="10581" spans="1:6" x14ac:dyDescent="0.2">
      <c r="A10581">
        <v>23</v>
      </c>
      <c r="E10581" t="str">
        <f t="shared" ref="E10581:E10644" si="351">E10555</f>
        <v>X</v>
      </c>
      <c r="F10581" t="str">
        <f t="shared" ref="F10581:F10644" si="352">A10581&amp;C10581&amp;E10581</f>
        <v>23X</v>
      </c>
    </row>
    <row r="10582" spans="1:6" x14ac:dyDescent="0.2">
      <c r="A10582">
        <v>24</v>
      </c>
      <c r="E10582" t="str">
        <f t="shared" si="351"/>
        <v>Y</v>
      </c>
      <c r="F10582" t="str">
        <f t="shared" si="352"/>
        <v>24Y</v>
      </c>
    </row>
    <row r="10583" spans="1:6" x14ac:dyDescent="0.2">
      <c r="A10583">
        <v>25</v>
      </c>
      <c r="E10583" t="str">
        <f t="shared" si="351"/>
        <v>Z</v>
      </c>
      <c r="F10583" t="str">
        <f t="shared" si="352"/>
        <v>25Z</v>
      </c>
    </row>
    <row r="10584" spans="1:6" x14ac:dyDescent="0.2">
      <c r="A10584">
        <v>0</v>
      </c>
      <c r="E10584" t="str">
        <f t="shared" si="351"/>
        <v>A</v>
      </c>
      <c r="F10584" t="str">
        <f t="shared" si="352"/>
        <v>0A</v>
      </c>
    </row>
    <row r="10585" spans="1:6" x14ac:dyDescent="0.2">
      <c r="A10585">
        <v>1</v>
      </c>
      <c r="E10585" t="str">
        <f t="shared" si="351"/>
        <v>B</v>
      </c>
      <c r="F10585" t="str">
        <f t="shared" si="352"/>
        <v>1B</v>
      </c>
    </row>
    <row r="10586" spans="1:6" x14ac:dyDescent="0.2">
      <c r="A10586">
        <v>2</v>
      </c>
      <c r="E10586" t="str">
        <f t="shared" si="351"/>
        <v>C</v>
      </c>
      <c r="F10586" t="str">
        <f t="shared" si="352"/>
        <v>2C</v>
      </c>
    </row>
    <row r="10587" spans="1:6" x14ac:dyDescent="0.2">
      <c r="A10587">
        <v>3</v>
      </c>
      <c r="E10587" t="str">
        <f t="shared" si="351"/>
        <v>D</v>
      </c>
      <c r="F10587" t="str">
        <f t="shared" si="352"/>
        <v>3D</v>
      </c>
    </row>
    <row r="10588" spans="1:6" x14ac:dyDescent="0.2">
      <c r="A10588">
        <v>4</v>
      </c>
      <c r="E10588" t="str">
        <f t="shared" si="351"/>
        <v>E</v>
      </c>
      <c r="F10588" t="str">
        <f t="shared" si="352"/>
        <v>4E</v>
      </c>
    </row>
    <row r="10589" spans="1:6" x14ac:dyDescent="0.2">
      <c r="A10589">
        <v>5</v>
      </c>
      <c r="E10589" t="str">
        <f t="shared" si="351"/>
        <v>F</v>
      </c>
      <c r="F10589" t="str">
        <f t="shared" si="352"/>
        <v>5F</v>
      </c>
    </row>
    <row r="10590" spans="1:6" x14ac:dyDescent="0.2">
      <c r="A10590">
        <v>6</v>
      </c>
      <c r="E10590" t="str">
        <f t="shared" si="351"/>
        <v>G</v>
      </c>
      <c r="F10590" t="str">
        <f t="shared" si="352"/>
        <v>6G</v>
      </c>
    </row>
    <row r="10591" spans="1:6" x14ac:dyDescent="0.2">
      <c r="A10591">
        <v>7</v>
      </c>
      <c r="E10591" t="str">
        <f t="shared" si="351"/>
        <v>H</v>
      </c>
      <c r="F10591" t="str">
        <f t="shared" si="352"/>
        <v>7H</v>
      </c>
    </row>
    <row r="10592" spans="1:6" x14ac:dyDescent="0.2">
      <c r="A10592">
        <v>8</v>
      </c>
      <c r="E10592" t="str">
        <f t="shared" si="351"/>
        <v>I</v>
      </c>
      <c r="F10592" t="str">
        <f t="shared" si="352"/>
        <v>8I</v>
      </c>
    </row>
    <row r="10593" spans="1:6" x14ac:dyDescent="0.2">
      <c r="A10593">
        <v>9</v>
      </c>
      <c r="E10593" t="str">
        <f t="shared" si="351"/>
        <v>J</v>
      </c>
      <c r="F10593" t="str">
        <f t="shared" si="352"/>
        <v>9J</v>
      </c>
    </row>
    <row r="10594" spans="1:6" x14ac:dyDescent="0.2">
      <c r="A10594">
        <v>10</v>
      </c>
      <c r="E10594" t="str">
        <f t="shared" si="351"/>
        <v>K</v>
      </c>
      <c r="F10594" t="str">
        <f t="shared" si="352"/>
        <v>10K</v>
      </c>
    </row>
    <row r="10595" spans="1:6" x14ac:dyDescent="0.2">
      <c r="A10595">
        <v>11</v>
      </c>
      <c r="E10595" t="str">
        <f t="shared" si="351"/>
        <v>L</v>
      </c>
      <c r="F10595" t="str">
        <f t="shared" si="352"/>
        <v>11L</v>
      </c>
    </row>
    <row r="10596" spans="1:6" x14ac:dyDescent="0.2">
      <c r="A10596">
        <v>12</v>
      </c>
      <c r="E10596" t="str">
        <f t="shared" si="351"/>
        <v>M</v>
      </c>
      <c r="F10596" t="str">
        <f t="shared" si="352"/>
        <v>12M</v>
      </c>
    </row>
    <row r="10597" spans="1:6" x14ac:dyDescent="0.2">
      <c r="A10597">
        <v>13</v>
      </c>
      <c r="E10597" t="str">
        <f t="shared" si="351"/>
        <v>N</v>
      </c>
      <c r="F10597" t="str">
        <f t="shared" si="352"/>
        <v>13N</v>
      </c>
    </row>
    <row r="10598" spans="1:6" x14ac:dyDescent="0.2">
      <c r="A10598">
        <v>14</v>
      </c>
      <c r="E10598" t="str">
        <f t="shared" si="351"/>
        <v>O</v>
      </c>
      <c r="F10598" t="str">
        <f t="shared" si="352"/>
        <v>14O</v>
      </c>
    </row>
    <row r="10599" spans="1:6" x14ac:dyDescent="0.2">
      <c r="A10599">
        <v>15</v>
      </c>
      <c r="E10599" t="str">
        <f t="shared" si="351"/>
        <v>P</v>
      </c>
      <c r="F10599" t="str">
        <f t="shared" si="352"/>
        <v>15P</v>
      </c>
    </row>
    <row r="10600" spans="1:6" x14ac:dyDescent="0.2">
      <c r="A10600">
        <v>16</v>
      </c>
      <c r="E10600" t="str">
        <f t="shared" si="351"/>
        <v>Q</v>
      </c>
      <c r="F10600" t="str">
        <f t="shared" si="352"/>
        <v>16Q</v>
      </c>
    </row>
    <row r="10601" spans="1:6" x14ac:dyDescent="0.2">
      <c r="A10601">
        <v>17</v>
      </c>
      <c r="E10601" t="str">
        <f t="shared" si="351"/>
        <v>R</v>
      </c>
      <c r="F10601" t="str">
        <f t="shared" si="352"/>
        <v>17R</v>
      </c>
    </row>
    <row r="10602" spans="1:6" x14ac:dyDescent="0.2">
      <c r="A10602">
        <v>18</v>
      </c>
      <c r="E10602" t="str">
        <f t="shared" si="351"/>
        <v>S</v>
      </c>
      <c r="F10602" t="str">
        <f t="shared" si="352"/>
        <v>18S</v>
      </c>
    </row>
    <row r="10603" spans="1:6" x14ac:dyDescent="0.2">
      <c r="A10603">
        <v>19</v>
      </c>
      <c r="E10603" t="str">
        <f t="shared" si="351"/>
        <v>T</v>
      </c>
      <c r="F10603" t="str">
        <f t="shared" si="352"/>
        <v>19T</v>
      </c>
    </row>
    <row r="10604" spans="1:6" x14ac:dyDescent="0.2">
      <c r="A10604">
        <v>20</v>
      </c>
      <c r="E10604" t="str">
        <f t="shared" si="351"/>
        <v>U</v>
      </c>
      <c r="F10604" t="str">
        <f t="shared" si="352"/>
        <v>20U</v>
      </c>
    </row>
    <row r="10605" spans="1:6" x14ac:dyDescent="0.2">
      <c r="A10605">
        <v>21</v>
      </c>
      <c r="E10605" t="str">
        <f t="shared" si="351"/>
        <v>V</v>
      </c>
      <c r="F10605" t="str">
        <f t="shared" si="352"/>
        <v>21V</v>
      </c>
    </row>
    <row r="10606" spans="1:6" x14ac:dyDescent="0.2">
      <c r="A10606">
        <v>22</v>
      </c>
      <c r="E10606" t="str">
        <f t="shared" si="351"/>
        <v>W</v>
      </c>
      <c r="F10606" t="str">
        <f t="shared" si="352"/>
        <v>22W</v>
      </c>
    </row>
    <row r="10607" spans="1:6" x14ac:dyDescent="0.2">
      <c r="A10607">
        <v>23</v>
      </c>
      <c r="E10607" t="str">
        <f t="shared" si="351"/>
        <v>X</v>
      </c>
      <c r="F10607" t="str">
        <f t="shared" si="352"/>
        <v>23X</v>
      </c>
    </row>
    <row r="10608" spans="1:6" x14ac:dyDescent="0.2">
      <c r="A10608">
        <v>24</v>
      </c>
      <c r="E10608" t="str">
        <f t="shared" si="351"/>
        <v>Y</v>
      </c>
      <c r="F10608" t="str">
        <f t="shared" si="352"/>
        <v>24Y</v>
      </c>
    </row>
    <row r="10609" spans="1:6" x14ac:dyDescent="0.2">
      <c r="A10609">
        <v>25</v>
      </c>
      <c r="E10609" t="str">
        <f t="shared" si="351"/>
        <v>Z</v>
      </c>
      <c r="F10609" t="str">
        <f t="shared" si="352"/>
        <v>25Z</v>
      </c>
    </row>
    <row r="10610" spans="1:6" x14ac:dyDescent="0.2">
      <c r="A10610">
        <v>0</v>
      </c>
      <c r="E10610" t="str">
        <f t="shared" si="351"/>
        <v>A</v>
      </c>
      <c r="F10610" t="str">
        <f t="shared" si="352"/>
        <v>0A</v>
      </c>
    </row>
    <row r="10611" spans="1:6" x14ac:dyDescent="0.2">
      <c r="A10611">
        <v>1</v>
      </c>
      <c r="E10611" t="str">
        <f t="shared" si="351"/>
        <v>B</v>
      </c>
      <c r="F10611" t="str">
        <f t="shared" si="352"/>
        <v>1B</v>
      </c>
    </row>
    <row r="10612" spans="1:6" x14ac:dyDescent="0.2">
      <c r="A10612">
        <v>2</v>
      </c>
      <c r="E10612" t="str">
        <f t="shared" si="351"/>
        <v>C</v>
      </c>
      <c r="F10612" t="str">
        <f t="shared" si="352"/>
        <v>2C</v>
      </c>
    </row>
    <row r="10613" spans="1:6" x14ac:dyDescent="0.2">
      <c r="A10613">
        <v>3</v>
      </c>
      <c r="E10613" t="str">
        <f t="shared" si="351"/>
        <v>D</v>
      </c>
      <c r="F10613" t="str">
        <f t="shared" si="352"/>
        <v>3D</v>
      </c>
    </row>
    <row r="10614" spans="1:6" x14ac:dyDescent="0.2">
      <c r="A10614">
        <v>4</v>
      </c>
      <c r="E10614" t="str">
        <f t="shared" si="351"/>
        <v>E</v>
      </c>
      <c r="F10614" t="str">
        <f t="shared" si="352"/>
        <v>4E</v>
      </c>
    </row>
    <row r="10615" spans="1:6" x14ac:dyDescent="0.2">
      <c r="A10615">
        <v>5</v>
      </c>
      <c r="E10615" t="str">
        <f t="shared" si="351"/>
        <v>F</v>
      </c>
      <c r="F10615" t="str">
        <f t="shared" si="352"/>
        <v>5F</v>
      </c>
    </row>
    <row r="10616" spans="1:6" x14ac:dyDescent="0.2">
      <c r="A10616">
        <v>6</v>
      </c>
      <c r="E10616" t="str">
        <f t="shared" si="351"/>
        <v>G</v>
      </c>
      <c r="F10616" t="str">
        <f t="shared" si="352"/>
        <v>6G</v>
      </c>
    </row>
    <row r="10617" spans="1:6" x14ac:dyDescent="0.2">
      <c r="A10617">
        <v>7</v>
      </c>
      <c r="E10617" t="str">
        <f t="shared" si="351"/>
        <v>H</v>
      </c>
      <c r="F10617" t="str">
        <f t="shared" si="352"/>
        <v>7H</v>
      </c>
    </row>
    <row r="10618" spans="1:6" x14ac:dyDescent="0.2">
      <c r="A10618">
        <v>8</v>
      </c>
      <c r="E10618" t="str">
        <f t="shared" si="351"/>
        <v>I</v>
      </c>
      <c r="F10618" t="str">
        <f t="shared" si="352"/>
        <v>8I</v>
      </c>
    </row>
    <row r="10619" spans="1:6" x14ac:dyDescent="0.2">
      <c r="A10619">
        <v>9</v>
      </c>
      <c r="E10619" t="str">
        <f t="shared" si="351"/>
        <v>J</v>
      </c>
      <c r="F10619" t="str">
        <f t="shared" si="352"/>
        <v>9J</v>
      </c>
    </row>
    <row r="10620" spans="1:6" x14ac:dyDescent="0.2">
      <c r="A10620">
        <v>10</v>
      </c>
      <c r="E10620" t="str">
        <f t="shared" si="351"/>
        <v>K</v>
      </c>
      <c r="F10620" t="str">
        <f t="shared" si="352"/>
        <v>10K</v>
      </c>
    </row>
    <row r="10621" spans="1:6" x14ac:dyDescent="0.2">
      <c r="A10621">
        <v>11</v>
      </c>
      <c r="E10621" t="str">
        <f t="shared" si="351"/>
        <v>L</v>
      </c>
      <c r="F10621" t="str">
        <f t="shared" si="352"/>
        <v>11L</v>
      </c>
    </row>
    <row r="10622" spans="1:6" x14ac:dyDescent="0.2">
      <c r="A10622">
        <v>12</v>
      </c>
      <c r="E10622" t="str">
        <f t="shared" si="351"/>
        <v>M</v>
      </c>
      <c r="F10622" t="str">
        <f t="shared" si="352"/>
        <v>12M</v>
      </c>
    </row>
    <row r="10623" spans="1:6" x14ac:dyDescent="0.2">
      <c r="A10623">
        <v>13</v>
      </c>
      <c r="E10623" t="str">
        <f t="shared" si="351"/>
        <v>N</v>
      </c>
      <c r="F10623" t="str">
        <f t="shared" si="352"/>
        <v>13N</v>
      </c>
    </row>
    <row r="10624" spans="1:6" x14ac:dyDescent="0.2">
      <c r="A10624">
        <v>14</v>
      </c>
      <c r="E10624" t="str">
        <f t="shared" si="351"/>
        <v>O</v>
      </c>
      <c r="F10624" t="str">
        <f t="shared" si="352"/>
        <v>14O</v>
      </c>
    </row>
    <row r="10625" spans="1:6" x14ac:dyDescent="0.2">
      <c r="A10625">
        <v>15</v>
      </c>
      <c r="E10625" t="str">
        <f t="shared" si="351"/>
        <v>P</v>
      </c>
      <c r="F10625" t="str">
        <f t="shared" si="352"/>
        <v>15P</v>
      </c>
    </row>
    <row r="10626" spans="1:6" x14ac:dyDescent="0.2">
      <c r="A10626">
        <v>16</v>
      </c>
      <c r="E10626" t="str">
        <f t="shared" si="351"/>
        <v>Q</v>
      </c>
      <c r="F10626" t="str">
        <f t="shared" si="352"/>
        <v>16Q</v>
      </c>
    </row>
    <row r="10627" spans="1:6" x14ac:dyDescent="0.2">
      <c r="A10627">
        <v>17</v>
      </c>
      <c r="E10627" t="str">
        <f t="shared" si="351"/>
        <v>R</v>
      </c>
      <c r="F10627" t="str">
        <f t="shared" si="352"/>
        <v>17R</v>
      </c>
    </row>
    <row r="10628" spans="1:6" x14ac:dyDescent="0.2">
      <c r="A10628">
        <v>18</v>
      </c>
      <c r="E10628" t="str">
        <f t="shared" si="351"/>
        <v>S</v>
      </c>
      <c r="F10628" t="str">
        <f t="shared" si="352"/>
        <v>18S</v>
      </c>
    </row>
    <row r="10629" spans="1:6" x14ac:dyDescent="0.2">
      <c r="A10629">
        <v>19</v>
      </c>
      <c r="E10629" t="str">
        <f t="shared" si="351"/>
        <v>T</v>
      </c>
      <c r="F10629" t="str">
        <f t="shared" si="352"/>
        <v>19T</v>
      </c>
    </row>
    <row r="10630" spans="1:6" x14ac:dyDescent="0.2">
      <c r="A10630">
        <v>20</v>
      </c>
      <c r="E10630" t="str">
        <f t="shared" si="351"/>
        <v>U</v>
      </c>
      <c r="F10630" t="str">
        <f t="shared" si="352"/>
        <v>20U</v>
      </c>
    </row>
    <row r="10631" spans="1:6" x14ac:dyDescent="0.2">
      <c r="A10631">
        <v>21</v>
      </c>
      <c r="E10631" t="str">
        <f t="shared" si="351"/>
        <v>V</v>
      </c>
      <c r="F10631" t="str">
        <f t="shared" si="352"/>
        <v>21V</v>
      </c>
    </row>
    <row r="10632" spans="1:6" x14ac:dyDescent="0.2">
      <c r="A10632">
        <v>22</v>
      </c>
      <c r="E10632" t="str">
        <f t="shared" si="351"/>
        <v>W</v>
      </c>
      <c r="F10632" t="str">
        <f t="shared" si="352"/>
        <v>22W</v>
      </c>
    </row>
    <row r="10633" spans="1:6" x14ac:dyDescent="0.2">
      <c r="A10633">
        <v>23</v>
      </c>
      <c r="E10633" t="str">
        <f t="shared" si="351"/>
        <v>X</v>
      </c>
      <c r="F10633" t="str">
        <f t="shared" si="352"/>
        <v>23X</v>
      </c>
    </row>
    <row r="10634" spans="1:6" x14ac:dyDescent="0.2">
      <c r="A10634">
        <v>24</v>
      </c>
      <c r="E10634" t="str">
        <f t="shared" si="351"/>
        <v>Y</v>
      </c>
      <c r="F10634" t="str">
        <f t="shared" si="352"/>
        <v>24Y</v>
      </c>
    </row>
    <row r="10635" spans="1:6" x14ac:dyDescent="0.2">
      <c r="A10635">
        <v>25</v>
      </c>
      <c r="E10635" t="str">
        <f t="shared" si="351"/>
        <v>Z</v>
      </c>
      <c r="F10635" t="str">
        <f t="shared" si="352"/>
        <v>25Z</v>
      </c>
    </row>
    <row r="10636" spans="1:6" x14ac:dyDescent="0.2">
      <c r="A10636">
        <v>0</v>
      </c>
      <c r="E10636" t="str">
        <f t="shared" si="351"/>
        <v>A</v>
      </c>
      <c r="F10636" t="str">
        <f t="shared" si="352"/>
        <v>0A</v>
      </c>
    </row>
    <row r="10637" spans="1:6" x14ac:dyDescent="0.2">
      <c r="A10637">
        <v>1</v>
      </c>
      <c r="E10637" t="str">
        <f t="shared" si="351"/>
        <v>B</v>
      </c>
      <c r="F10637" t="str">
        <f t="shared" si="352"/>
        <v>1B</v>
      </c>
    </row>
    <row r="10638" spans="1:6" x14ac:dyDescent="0.2">
      <c r="A10638">
        <v>2</v>
      </c>
      <c r="E10638" t="str">
        <f t="shared" si="351"/>
        <v>C</v>
      </c>
      <c r="F10638" t="str">
        <f t="shared" si="352"/>
        <v>2C</v>
      </c>
    </row>
    <row r="10639" spans="1:6" x14ac:dyDescent="0.2">
      <c r="A10639">
        <v>3</v>
      </c>
      <c r="E10639" t="str">
        <f t="shared" si="351"/>
        <v>D</v>
      </c>
      <c r="F10639" t="str">
        <f t="shared" si="352"/>
        <v>3D</v>
      </c>
    </row>
    <row r="10640" spans="1:6" x14ac:dyDescent="0.2">
      <c r="A10640">
        <v>4</v>
      </c>
      <c r="E10640" t="str">
        <f t="shared" si="351"/>
        <v>E</v>
      </c>
      <c r="F10640" t="str">
        <f t="shared" si="352"/>
        <v>4E</v>
      </c>
    </row>
    <row r="10641" spans="1:6" x14ac:dyDescent="0.2">
      <c r="A10641">
        <v>5</v>
      </c>
      <c r="E10641" t="str">
        <f t="shared" si="351"/>
        <v>F</v>
      </c>
      <c r="F10641" t="str">
        <f t="shared" si="352"/>
        <v>5F</v>
      </c>
    </row>
    <row r="10642" spans="1:6" x14ac:dyDescent="0.2">
      <c r="A10642">
        <v>6</v>
      </c>
      <c r="E10642" t="str">
        <f t="shared" si="351"/>
        <v>G</v>
      </c>
      <c r="F10642" t="str">
        <f t="shared" si="352"/>
        <v>6G</v>
      </c>
    </row>
    <row r="10643" spans="1:6" x14ac:dyDescent="0.2">
      <c r="A10643">
        <v>7</v>
      </c>
      <c r="E10643" t="str">
        <f t="shared" si="351"/>
        <v>H</v>
      </c>
      <c r="F10643" t="str">
        <f t="shared" si="352"/>
        <v>7H</v>
      </c>
    </row>
    <row r="10644" spans="1:6" x14ac:dyDescent="0.2">
      <c r="A10644">
        <v>8</v>
      </c>
      <c r="E10644" t="str">
        <f t="shared" si="351"/>
        <v>I</v>
      </c>
      <c r="F10644" t="str">
        <f t="shared" si="352"/>
        <v>8I</v>
      </c>
    </row>
    <row r="10645" spans="1:6" x14ac:dyDescent="0.2">
      <c r="A10645">
        <v>9</v>
      </c>
      <c r="E10645" t="str">
        <f t="shared" ref="E10645:E10708" si="353">E10619</f>
        <v>J</v>
      </c>
      <c r="F10645" t="str">
        <f t="shared" ref="F10645:F10708" si="354">A10645&amp;C10645&amp;E10645</f>
        <v>9J</v>
      </c>
    </row>
    <row r="10646" spans="1:6" x14ac:dyDescent="0.2">
      <c r="A10646">
        <v>10</v>
      </c>
      <c r="E10646" t="str">
        <f t="shared" si="353"/>
        <v>K</v>
      </c>
      <c r="F10646" t="str">
        <f t="shared" si="354"/>
        <v>10K</v>
      </c>
    </row>
    <row r="10647" spans="1:6" x14ac:dyDescent="0.2">
      <c r="A10647">
        <v>11</v>
      </c>
      <c r="E10647" t="str">
        <f t="shared" si="353"/>
        <v>L</v>
      </c>
      <c r="F10647" t="str">
        <f t="shared" si="354"/>
        <v>11L</v>
      </c>
    </row>
    <row r="10648" spans="1:6" x14ac:dyDescent="0.2">
      <c r="A10648">
        <v>12</v>
      </c>
      <c r="E10648" t="str">
        <f t="shared" si="353"/>
        <v>M</v>
      </c>
      <c r="F10648" t="str">
        <f t="shared" si="354"/>
        <v>12M</v>
      </c>
    </row>
    <row r="10649" spans="1:6" x14ac:dyDescent="0.2">
      <c r="A10649">
        <v>13</v>
      </c>
      <c r="E10649" t="str">
        <f t="shared" si="353"/>
        <v>N</v>
      </c>
      <c r="F10649" t="str">
        <f t="shared" si="354"/>
        <v>13N</v>
      </c>
    </row>
    <row r="10650" spans="1:6" x14ac:dyDescent="0.2">
      <c r="A10650">
        <v>14</v>
      </c>
      <c r="E10650" t="str">
        <f t="shared" si="353"/>
        <v>O</v>
      </c>
      <c r="F10650" t="str">
        <f t="shared" si="354"/>
        <v>14O</v>
      </c>
    </row>
    <row r="10651" spans="1:6" x14ac:dyDescent="0.2">
      <c r="A10651">
        <v>15</v>
      </c>
      <c r="E10651" t="str">
        <f t="shared" si="353"/>
        <v>P</v>
      </c>
      <c r="F10651" t="str">
        <f t="shared" si="354"/>
        <v>15P</v>
      </c>
    </row>
    <row r="10652" spans="1:6" x14ac:dyDescent="0.2">
      <c r="A10652">
        <v>16</v>
      </c>
      <c r="E10652" t="str">
        <f t="shared" si="353"/>
        <v>Q</v>
      </c>
      <c r="F10652" t="str">
        <f t="shared" si="354"/>
        <v>16Q</v>
      </c>
    </row>
    <row r="10653" spans="1:6" x14ac:dyDescent="0.2">
      <c r="A10653">
        <v>17</v>
      </c>
      <c r="E10653" t="str">
        <f t="shared" si="353"/>
        <v>R</v>
      </c>
      <c r="F10653" t="str">
        <f t="shared" si="354"/>
        <v>17R</v>
      </c>
    </row>
    <row r="10654" spans="1:6" x14ac:dyDescent="0.2">
      <c r="A10654">
        <v>18</v>
      </c>
      <c r="E10654" t="str">
        <f t="shared" si="353"/>
        <v>S</v>
      </c>
      <c r="F10654" t="str">
        <f t="shared" si="354"/>
        <v>18S</v>
      </c>
    </row>
    <row r="10655" spans="1:6" x14ac:dyDescent="0.2">
      <c r="A10655">
        <v>19</v>
      </c>
      <c r="E10655" t="str">
        <f t="shared" si="353"/>
        <v>T</v>
      </c>
      <c r="F10655" t="str">
        <f t="shared" si="354"/>
        <v>19T</v>
      </c>
    </row>
    <row r="10656" spans="1:6" x14ac:dyDescent="0.2">
      <c r="A10656">
        <v>20</v>
      </c>
      <c r="E10656" t="str">
        <f t="shared" si="353"/>
        <v>U</v>
      </c>
      <c r="F10656" t="str">
        <f t="shared" si="354"/>
        <v>20U</v>
      </c>
    </row>
    <row r="10657" spans="1:6" x14ac:dyDescent="0.2">
      <c r="A10657">
        <v>21</v>
      </c>
      <c r="E10657" t="str">
        <f t="shared" si="353"/>
        <v>V</v>
      </c>
      <c r="F10657" t="str">
        <f t="shared" si="354"/>
        <v>21V</v>
      </c>
    </row>
    <row r="10658" spans="1:6" x14ac:dyDescent="0.2">
      <c r="A10658">
        <v>22</v>
      </c>
      <c r="E10658" t="str">
        <f t="shared" si="353"/>
        <v>W</v>
      </c>
      <c r="F10658" t="str">
        <f t="shared" si="354"/>
        <v>22W</v>
      </c>
    </row>
    <row r="10659" spans="1:6" x14ac:dyDescent="0.2">
      <c r="A10659">
        <v>23</v>
      </c>
      <c r="E10659" t="str">
        <f t="shared" si="353"/>
        <v>X</v>
      </c>
      <c r="F10659" t="str">
        <f t="shared" si="354"/>
        <v>23X</v>
      </c>
    </row>
    <row r="10660" spans="1:6" x14ac:dyDescent="0.2">
      <c r="A10660">
        <v>24</v>
      </c>
      <c r="E10660" t="str">
        <f t="shared" si="353"/>
        <v>Y</v>
      </c>
      <c r="F10660" t="str">
        <f t="shared" si="354"/>
        <v>24Y</v>
      </c>
    </row>
    <row r="10661" spans="1:6" x14ac:dyDescent="0.2">
      <c r="A10661">
        <v>25</v>
      </c>
      <c r="E10661" t="str">
        <f t="shared" si="353"/>
        <v>Z</v>
      </c>
      <c r="F10661" t="str">
        <f t="shared" si="354"/>
        <v>25Z</v>
      </c>
    </row>
    <row r="10662" spans="1:6" x14ac:dyDescent="0.2">
      <c r="A10662">
        <v>0</v>
      </c>
      <c r="E10662" t="str">
        <f t="shared" si="353"/>
        <v>A</v>
      </c>
      <c r="F10662" t="str">
        <f t="shared" si="354"/>
        <v>0A</v>
      </c>
    </row>
    <row r="10663" spans="1:6" x14ac:dyDescent="0.2">
      <c r="A10663">
        <v>1</v>
      </c>
      <c r="E10663" t="str">
        <f t="shared" si="353"/>
        <v>B</v>
      </c>
      <c r="F10663" t="str">
        <f t="shared" si="354"/>
        <v>1B</v>
      </c>
    </row>
    <row r="10664" spans="1:6" x14ac:dyDescent="0.2">
      <c r="A10664">
        <v>2</v>
      </c>
      <c r="E10664" t="str">
        <f t="shared" si="353"/>
        <v>C</v>
      </c>
      <c r="F10664" t="str">
        <f t="shared" si="354"/>
        <v>2C</v>
      </c>
    </row>
    <row r="10665" spans="1:6" x14ac:dyDescent="0.2">
      <c r="A10665">
        <v>3</v>
      </c>
      <c r="E10665" t="str">
        <f t="shared" si="353"/>
        <v>D</v>
      </c>
      <c r="F10665" t="str">
        <f t="shared" si="354"/>
        <v>3D</v>
      </c>
    </row>
    <row r="10666" spans="1:6" x14ac:dyDescent="0.2">
      <c r="A10666">
        <v>4</v>
      </c>
      <c r="E10666" t="str">
        <f t="shared" si="353"/>
        <v>E</v>
      </c>
      <c r="F10666" t="str">
        <f t="shared" si="354"/>
        <v>4E</v>
      </c>
    </row>
    <row r="10667" spans="1:6" x14ac:dyDescent="0.2">
      <c r="A10667">
        <v>5</v>
      </c>
      <c r="E10667" t="str">
        <f t="shared" si="353"/>
        <v>F</v>
      </c>
      <c r="F10667" t="str">
        <f t="shared" si="354"/>
        <v>5F</v>
      </c>
    </row>
    <row r="10668" spans="1:6" x14ac:dyDescent="0.2">
      <c r="A10668">
        <v>6</v>
      </c>
      <c r="E10668" t="str">
        <f t="shared" si="353"/>
        <v>G</v>
      </c>
      <c r="F10668" t="str">
        <f t="shared" si="354"/>
        <v>6G</v>
      </c>
    </row>
    <row r="10669" spans="1:6" x14ac:dyDescent="0.2">
      <c r="A10669">
        <v>7</v>
      </c>
      <c r="E10669" t="str">
        <f t="shared" si="353"/>
        <v>H</v>
      </c>
      <c r="F10669" t="str">
        <f t="shared" si="354"/>
        <v>7H</v>
      </c>
    </row>
    <row r="10670" spans="1:6" x14ac:dyDescent="0.2">
      <c r="A10670">
        <v>8</v>
      </c>
      <c r="E10670" t="str">
        <f t="shared" si="353"/>
        <v>I</v>
      </c>
      <c r="F10670" t="str">
        <f t="shared" si="354"/>
        <v>8I</v>
      </c>
    </row>
    <row r="10671" spans="1:6" x14ac:dyDescent="0.2">
      <c r="A10671">
        <v>9</v>
      </c>
      <c r="E10671" t="str">
        <f t="shared" si="353"/>
        <v>J</v>
      </c>
      <c r="F10671" t="str">
        <f t="shared" si="354"/>
        <v>9J</v>
      </c>
    </row>
    <row r="10672" spans="1:6" x14ac:dyDescent="0.2">
      <c r="A10672">
        <v>10</v>
      </c>
      <c r="E10672" t="str">
        <f t="shared" si="353"/>
        <v>K</v>
      </c>
      <c r="F10672" t="str">
        <f t="shared" si="354"/>
        <v>10K</v>
      </c>
    </row>
    <row r="10673" spans="1:6" x14ac:dyDescent="0.2">
      <c r="A10673">
        <v>11</v>
      </c>
      <c r="E10673" t="str">
        <f t="shared" si="353"/>
        <v>L</v>
      </c>
      <c r="F10673" t="str">
        <f t="shared" si="354"/>
        <v>11L</v>
      </c>
    </row>
    <row r="10674" spans="1:6" x14ac:dyDescent="0.2">
      <c r="A10674">
        <v>12</v>
      </c>
      <c r="E10674" t="str">
        <f t="shared" si="353"/>
        <v>M</v>
      </c>
      <c r="F10674" t="str">
        <f t="shared" si="354"/>
        <v>12M</v>
      </c>
    </row>
    <row r="10675" spans="1:6" x14ac:dyDescent="0.2">
      <c r="A10675">
        <v>13</v>
      </c>
      <c r="E10675" t="str">
        <f t="shared" si="353"/>
        <v>N</v>
      </c>
      <c r="F10675" t="str">
        <f t="shared" si="354"/>
        <v>13N</v>
      </c>
    </row>
    <row r="10676" spans="1:6" x14ac:dyDescent="0.2">
      <c r="A10676">
        <v>14</v>
      </c>
      <c r="E10676" t="str">
        <f t="shared" si="353"/>
        <v>O</v>
      </c>
      <c r="F10676" t="str">
        <f t="shared" si="354"/>
        <v>14O</v>
      </c>
    </row>
    <row r="10677" spans="1:6" x14ac:dyDescent="0.2">
      <c r="A10677">
        <v>15</v>
      </c>
      <c r="E10677" t="str">
        <f t="shared" si="353"/>
        <v>P</v>
      </c>
      <c r="F10677" t="str">
        <f t="shared" si="354"/>
        <v>15P</v>
      </c>
    </row>
    <row r="10678" spans="1:6" x14ac:dyDescent="0.2">
      <c r="A10678">
        <v>16</v>
      </c>
      <c r="E10678" t="str">
        <f t="shared" si="353"/>
        <v>Q</v>
      </c>
      <c r="F10678" t="str">
        <f t="shared" si="354"/>
        <v>16Q</v>
      </c>
    </row>
    <row r="10679" spans="1:6" x14ac:dyDescent="0.2">
      <c r="A10679">
        <v>17</v>
      </c>
      <c r="E10679" t="str">
        <f t="shared" si="353"/>
        <v>R</v>
      </c>
      <c r="F10679" t="str">
        <f t="shared" si="354"/>
        <v>17R</v>
      </c>
    </row>
    <row r="10680" spans="1:6" x14ac:dyDescent="0.2">
      <c r="A10680">
        <v>18</v>
      </c>
      <c r="E10680" t="str">
        <f t="shared" si="353"/>
        <v>S</v>
      </c>
      <c r="F10680" t="str">
        <f t="shared" si="354"/>
        <v>18S</v>
      </c>
    </row>
    <row r="10681" spans="1:6" x14ac:dyDescent="0.2">
      <c r="A10681">
        <v>19</v>
      </c>
      <c r="E10681" t="str">
        <f t="shared" si="353"/>
        <v>T</v>
      </c>
      <c r="F10681" t="str">
        <f t="shared" si="354"/>
        <v>19T</v>
      </c>
    </row>
    <row r="10682" spans="1:6" x14ac:dyDescent="0.2">
      <c r="A10682">
        <v>20</v>
      </c>
      <c r="E10682" t="str">
        <f t="shared" si="353"/>
        <v>U</v>
      </c>
      <c r="F10682" t="str">
        <f t="shared" si="354"/>
        <v>20U</v>
      </c>
    </row>
    <row r="10683" spans="1:6" x14ac:dyDescent="0.2">
      <c r="A10683">
        <v>21</v>
      </c>
      <c r="E10683" t="str">
        <f t="shared" si="353"/>
        <v>V</v>
      </c>
      <c r="F10683" t="str">
        <f t="shared" si="354"/>
        <v>21V</v>
      </c>
    </row>
    <row r="10684" spans="1:6" x14ac:dyDescent="0.2">
      <c r="A10684">
        <v>22</v>
      </c>
      <c r="E10684" t="str">
        <f t="shared" si="353"/>
        <v>W</v>
      </c>
      <c r="F10684" t="str">
        <f t="shared" si="354"/>
        <v>22W</v>
      </c>
    </row>
    <row r="10685" spans="1:6" x14ac:dyDescent="0.2">
      <c r="A10685">
        <v>23</v>
      </c>
      <c r="E10685" t="str">
        <f t="shared" si="353"/>
        <v>X</v>
      </c>
      <c r="F10685" t="str">
        <f t="shared" si="354"/>
        <v>23X</v>
      </c>
    </row>
    <row r="10686" spans="1:6" x14ac:dyDescent="0.2">
      <c r="A10686">
        <v>24</v>
      </c>
      <c r="E10686" t="str">
        <f t="shared" si="353"/>
        <v>Y</v>
      </c>
      <c r="F10686" t="str">
        <f t="shared" si="354"/>
        <v>24Y</v>
      </c>
    </row>
    <row r="10687" spans="1:6" x14ac:dyDescent="0.2">
      <c r="A10687">
        <v>25</v>
      </c>
      <c r="E10687" t="str">
        <f t="shared" si="353"/>
        <v>Z</v>
      </c>
      <c r="F10687" t="str">
        <f t="shared" si="354"/>
        <v>25Z</v>
      </c>
    </row>
    <row r="10688" spans="1:6" x14ac:dyDescent="0.2">
      <c r="A10688">
        <v>0</v>
      </c>
      <c r="E10688" t="str">
        <f t="shared" si="353"/>
        <v>A</v>
      </c>
      <c r="F10688" t="str">
        <f t="shared" si="354"/>
        <v>0A</v>
      </c>
    </row>
    <row r="10689" spans="1:6" x14ac:dyDescent="0.2">
      <c r="A10689">
        <v>1</v>
      </c>
      <c r="E10689" t="str">
        <f t="shared" si="353"/>
        <v>B</v>
      </c>
      <c r="F10689" t="str">
        <f t="shared" si="354"/>
        <v>1B</v>
      </c>
    </row>
    <row r="10690" spans="1:6" x14ac:dyDescent="0.2">
      <c r="A10690">
        <v>2</v>
      </c>
      <c r="E10690" t="str">
        <f t="shared" si="353"/>
        <v>C</v>
      </c>
      <c r="F10690" t="str">
        <f t="shared" si="354"/>
        <v>2C</v>
      </c>
    </row>
    <row r="10691" spans="1:6" x14ac:dyDescent="0.2">
      <c r="A10691">
        <v>3</v>
      </c>
      <c r="E10691" t="str">
        <f t="shared" si="353"/>
        <v>D</v>
      </c>
      <c r="F10691" t="str">
        <f t="shared" si="354"/>
        <v>3D</v>
      </c>
    </row>
    <row r="10692" spans="1:6" x14ac:dyDescent="0.2">
      <c r="A10692">
        <v>4</v>
      </c>
      <c r="E10692" t="str">
        <f t="shared" si="353"/>
        <v>E</v>
      </c>
      <c r="F10692" t="str">
        <f t="shared" si="354"/>
        <v>4E</v>
      </c>
    </row>
    <row r="10693" spans="1:6" x14ac:dyDescent="0.2">
      <c r="A10693">
        <v>5</v>
      </c>
      <c r="E10693" t="str">
        <f t="shared" si="353"/>
        <v>F</v>
      </c>
      <c r="F10693" t="str">
        <f t="shared" si="354"/>
        <v>5F</v>
      </c>
    </row>
    <row r="10694" spans="1:6" x14ac:dyDescent="0.2">
      <c r="A10694">
        <v>6</v>
      </c>
      <c r="E10694" t="str">
        <f t="shared" si="353"/>
        <v>G</v>
      </c>
      <c r="F10694" t="str">
        <f t="shared" si="354"/>
        <v>6G</v>
      </c>
    </row>
    <row r="10695" spans="1:6" x14ac:dyDescent="0.2">
      <c r="A10695">
        <v>7</v>
      </c>
      <c r="E10695" t="str">
        <f t="shared" si="353"/>
        <v>H</v>
      </c>
      <c r="F10695" t="str">
        <f t="shared" si="354"/>
        <v>7H</v>
      </c>
    </row>
    <row r="10696" spans="1:6" x14ac:dyDescent="0.2">
      <c r="A10696">
        <v>8</v>
      </c>
      <c r="E10696" t="str">
        <f t="shared" si="353"/>
        <v>I</v>
      </c>
      <c r="F10696" t="str">
        <f t="shared" si="354"/>
        <v>8I</v>
      </c>
    </row>
    <row r="10697" spans="1:6" x14ac:dyDescent="0.2">
      <c r="A10697">
        <v>9</v>
      </c>
      <c r="E10697" t="str">
        <f t="shared" si="353"/>
        <v>J</v>
      </c>
      <c r="F10697" t="str">
        <f t="shared" si="354"/>
        <v>9J</v>
      </c>
    </row>
    <row r="10698" spans="1:6" x14ac:dyDescent="0.2">
      <c r="A10698">
        <v>10</v>
      </c>
      <c r="E10698" t="str">
        <f t="shared" si="353"/>
        <v>K</v>
      </c>
      <c r="F10698" t="str">
        <f t="shared" si="354"/>
        <v>10K</v>
      </c>
    </row>
    <row r="10699" spans="1:6" x14ac:dyDescent="0.2">
      <c r="A10699">
        <v>11</v>
      </c>
      <c r="E10699" t="str">
        <f t="shared" si="353"/>
        <v>L</v>
      </c>
      <c r="F10699" t="str">
        <f t="shared" si="354"/>
        <v>11L</v>
      </c>
    </row>
    <row r="10700" spans="1:6" x14ac:dyDescent="0.2">
      <c r="A10700">
        <v>12</v>
      </c>
      <c r="E10700" t="str">
        <f t="shared" si="353"/>
        <v>M</v>
      </c>
      <c r="F10700" t="str">
        <f t="shared" si="354"/>
        <v>12M</v>
      </c>
    </row>
    <row r="10701" spans="1:6" x14ac:dyDescent="0.2">
      <c r="A10701">
        <v>13</v>
      </c>
      <c r="E10701" t="str">
        <f t="shared" si="353"/>
        <v>N</v>
      </c>
      <c r="F10701" t="str">
        <f t="shared" si="354"/>
        <v>13N</v>
      </c>
    </row>
    <row r="10702" spans="1:6" x14ac:dyDescent="0.2">
      <c r="A10702">
        <v>14</v>
      </c>
      <c r="E10702" t="str">
        <f t="shared" si="353"/>
        <v>O</v>
      </c>
      <c r="F10702" t="str">
        <f t="shared" si="354"/>
        <v>14O</v>
      </c>
    </row>
    <row r="10703" spans="1:6" x14ac:dyDescent="0.2">
      <c r="A10703">
        <v>15</v>
      </c>
      <c r="E10703" t="str">
        <f t="shared" si="353"/>
        <v>P</v>
      </c>
      <c r="F10703" t="str">
        <f t="shared" si="354"/>
        <v>15P</v>
      </c>
    </row>
    <row r="10704" spans="1:6" x14ac:dyDescent="0.2">
      <c r="A10704">
        <v>16</v>
      </c>
      <c r="E10704" t="str">
        <f t="shared" si="353"/>
        <v>Q</v>
      </c>
      <c r="F10704" t="str">
        <f t="shared" si="354"/>
        <v>16Q</v>
      </c>
    </row>
    <row r="10705" spans="1:6" x14ac:dyDescent="0.2">
      <c r="A10705">
        <v>17</v>
      </c>
      <c r="E10705" t="str">
        <f t="shared" si="353"/>
        <v>R</v>
      </c>
      <c r="F10705" t="str">
        <f t="shared" si="354"/>
        <v>17R</v>
      </c>
    </row>
    <row r="10706" spans="1:6" x14ac:dyDescent="0.2">
      <c r="A10706">
        <v>18</v>
      </c>
      <c r="E10706" t="str">
        <f t="shared" si="353"/>
        <v>S</v>
      </c>
      <c r="F10706" t="str">
        <f t="shared" si="354"/>
        <v>18S</v>
      </c>
    </row>
    <row r="10707" spans="1:6" x14ac:dyDescent="0.2">
      <c r="A10707">
        <v>19</v>
      </c>
      <c r="E10707" t="str">
        <f t="shared" si="353"/>
        <v>T</v>
      </c>
      <c r="F10707" t="str">
        <f t="shared" si="354"/>
        <v>19T</v>
      </c>
    </row>
    <row r="10708" spans="1:6" x14ac:dyDescent="0.2">
      <c r="A10708">
        <v>20</v>
      </c>
      <c r="E10708" t="str">
        <f t="shared" si="353"/>
        <v>U</v>
      </c>
      <c r="F10708" t="str">
        <f t="shared" si="354"/>
        <v>20U</v>
      </c>
    </row>
    <row r="10709" spans="1:6" x14ac:dyDescent="0.2">
      <c r="A10709">
        <v>21</v>
      </c>
      <c r="E10709" t="str">
        <f t="shared" ref="E10709:E10772" si="355">E10683</f>
        <v>V</v>
      </c>
      <c r="F10709" t="str">
        <f t="shared" ref="F10709:F10772" si="356">A10709&amp;C10709&amp;E10709</f>
        <v>21V</v>
      </c>
    </row>
    <row r="10710" spans="1:6" x14ac:dyDescent="0.2">
      <c r="A10710">
        <v>22</v>
      </c>
      <c r="E10710" t="str">
        <f t="shared" si="355"/>
        <v>W</v>
      </c>
      <c r="F10710" t="str">
        <f t="shared" si="356"/>
        <v>22W</v>
      </c>
    </row>
    <row r="10711" spans="1:6" x14ac:dyDescent="0.2">
      <c r="A10711">
        <v>23</v>
      </c>
      <c r="E10711" t="str">
        <f t="shared" si="355"/>
        <v>X</v>
      </c>
      <c r="F10711" t="str">
        <f t="shared" si="356"/>
        <v>23X</v>
      </c>
    </row>
    <row r="10712" spans="1:6" x14ac:dyDescent="0.2">
      <c r="A10712">
        <v>24</v>
      </c>
      <c r="E10712" t="str">
        <f t="shared" si="355"/>
        <v>Y</v>
      </c>
      <c r="F10712" t="str">
        <f t="shared" si="356"/>
        <v>24Y</v>
      </c>
    </row>
    <row r="10713" spans="1:6" x14ac:dyDescent="0.2">
      <c r="A10713">
        <v>25</v>
      </c>
      <c r="E10713" t="str">
        <f t="shared" si="355"/>
        <v>Z</v>
      </c>
      <c r="F10713" t="str">
        <f t="shared" si="356"/>
        <v>25Z</v>
      </c>
    </row>
    <row r="10714" spans="1:6" x14ac:dyDescent="0.2">
      <c r="A10714">
        <v>0</v>
      </c>
      <c r="E10714" t="str">
        <f t="shared" si="355"/>
        <v>A</v>
      </c>
      <c r="F10714" t="str">
        <f t="shared" si="356"/>
        <v>0A</v>
      </c>
    </row>
    <row r="10715" spans="1:6" x14ac:dyDescent="0.2">
      <c r="A10715">
        <v>1</v>
      </c>
      <c r="E10715" t="str">
        <f t="shared" si="355"/>
        <v>B</v>
      </c>
      <c r="F10715" t="str">
        <f t="shared" si="356"/>
        <v>1B</v>
      </c>
    </row>
    <row r="10716" spans="1:6" x14ac:dyDescent="0.2">
      <c r="A10716">
        <v>2</v>
      </c>
      <c r="E10716" t="str">
        <f t="shared" si="355"/>
        <v>C</v>
      </c>
      <c r="F10716" t="str">
        <f t="shared" si="356"/>
        <v>2C</v>
      </c>
    </row>
    <row r="10717" spans="1:6" x14ac:dyDescent="0.2">
      <c r="A10717">
        <v>3</v>
      </c>
      <c r="E10717" t="str">
        <f t="shared" si="355"/>
        <v>D</v>
      </c>
      <c r="F10717" t="str">
        <f t="shared" si="356"/>
        <v>3D</v>
      </c>
    </row>
    <row r="10718" spans="1:6" x14ac:dyDescent="0.2">
      <c r="A10718">
        <v>4</v>
      </c>
      <c r="E10718" t="str">
        <f t="shared" si="355"/>
        <v>E</v>
      </c>
      <c r="F10718" t="str">
        <f t="shared" si="356"/>
        <v>4E</v>
      </c>
    </row>
    <row r="10719" spans="1:6" x14ac:dyDescent="0.2">
      <c r="A10719">
        <v>5</v>
      </c>
      <c r="E10719" t="str">
        <f t="shared" si="355"/>
        <v>F</v>
      </c>
      <c r="F10719" t="str">
        <f t="shared" si="356"/>
        <v>5F</v>
      </c>
    </row>
    <row r="10720" spans="1:6" x14ac:dyDescent="0.2">
      <c r="A10720">
        <v>6</v>
      </c>
      <c r="E10720" t="str">
        <f t="shared" si="355"/>
        <v>G</v>
      </c>
      <c r="F10720" t="str">
        <f t="shared" si="356"/>
        <v>6G</v>
      </c>
    </row>
    <row r="10721" spans="1:6" x14ac:dyDescent="0.2">
      <c r="A10721">
        <v>7</v>
      </c>
      <c r="E10721" t="str">
        <f t="shared" si="355"/>
        <v>H</v>
      </c>
      <c r="F10721" t="str">
        <f t="shared" si="356"/>
        <v>7H</v>
      </c>
    </row>
    <row r="10722" spans="1:6" x14ac:dyDescent="0.2">
      <c r="A10722">
        <v>8</v>
      </c>
      <c r="E10722" t="str">
        <f t="shared" si="355"/>
        <v>I</v>
      </c>
      <c r="F10722" t="str">
        <f t="shared" si="356"/>
        <v>8I</v>
      </c>
    </row>
    <row r="10723" spans="1:6" x14ac:dyDescent="0.2">
      <c r="A10723">
        <v>9</v>
      </c>
      <c r="E10723" t="str">
        <f t="shared" si="355"/>
        <v>J</v>
      </c>
      <c r="F10723" t="str">
        <f t="shared" si="356"/>
        <v>9J</v>
      </c>
    </row>
    <row r="10724" spans="1:6" x14ac:dyDescent="0.2">
      <c r="A10724">
        <v>10</v>
      </c>
      <c r="E10724" t="str">
        <f t="shared" si="355"/>
        <v>K</v>
      </c>
      <c r="F10724" t="str">
        <f t="shared" si="356"/>
        <v>10K</v>
      </c>
    </row>
    <row r="10725" spans="1:6" x14ac:dyDescent="0.2">
      <c r="A10725">
        <v>11</v>
      </c>
      <c r="E10725" t="str">
        <f t="shared" si="355"/>
        <v>L</v>
      </c>
      <c r="F10725" t="str">
        <f t="shared" si="356"/>
        <v>11L</v>
      </c>
    </row>
    <row r="10726" spans="1:6" x14ac:dyDescent="0.2">
      <c r="A10726">
        <v>12</v>
      </c>
      <c r="E10726" t="str">
        <f t="shared" si="355"/>
        <v>M</v>
      </c>
      <c r="F10726" t="str">
        <f t="shared" si="356"/>
        <v>12M</v>
      </c>
    </row>
    <row r="10727" spans="1:6" x14ac:dyDescent="0.2">
      <c r="A10727">
        <v>13</v>
      </c>
      <c r="E10727" t="str">
        <f t="shared" si="355"/>
        <v>N</v>
      </c>
      <c r="F10727" t="str">
        <f t="shared" si="356"/>
        <v>13N</v>
      </c>
    </row>
    <row r="10728" spans="1:6" x14ac:dyDescent="0.2">
      <c r="A10728">
        <v>14</v>
      </c>
      <c r="E10728" t="str">
        <f t="shared" si="355"/>
        <v>O</v>
      </c>
      <c r="F10728" t="str">
        <f t="shared" si="356"/>
        <v>14O</v>
      </c>
    </row>
    <row r="10729" spans="1:6" x14ac:dyDescent="0.2">
      <c r="A10729">
        <v>15</v>
      </c>
      <c r="E10729" t="str">
        <f t="shared" si="355"/>
        <v>P</v>
      </c>
      <c r="F10729" t="str">
        <f t="shared" si="356"/>
        <v>15P</v>
      </c>
    </row>
    <row r="10730" spans="1:6" x14ac:dyDescent="0.2">
      <c r="A10730">
        <v>16</v>
      </c>
      <c r="E10730" t="str">
        <f t="shared" si="355"/>
        <v>Q</v>
      </c>
      <c r="F10730" t="str">
        <f t="shared" si="356"/>
        <v>16Q</v>
      </c>
    </row>
    <row r="10731" spans="1:6" x14ac:dyDescent="0.2">
      <c r="A10731">
        <v>17</v>
      </c>
      <c r="E10731" t="str">
        <f t="shared" si="355"/>
        <v>R</v>
      </c>
      <c r="F10731" t="str">
        <f t="shared" si="356"/>
        <v>17R</v>
      </c>
    </row>
    <row r="10732" spans="1:6" x14ac:dyDescent="0.2">
      <c r="A10732">
        <v>18</v>
      </c>
      <c r="E10732" t="str">
        <f t="shared" si="355"/>
        <v>S</v>
      </c>
      <c r="F10732" t="str">
        <f t="shared" si="356"/>
        <v>18S</v>
      </c>
    </row>
    <row r="10733" spans="1:6" x14ac:dyDescent="0.2">
      <c r="A10733">
        <v>19</v>
      </c>
      <c r="E10733" t="str">
        <f t="shared" si="355"/>
        <v>T</v>
      </c>
      <c r="F10733" t="str">
        <f t="shared" si="356"/>
        <v>19T</v>
      </c>
    </row>
    <row r="10734" spans="1:6" x14ac:dyDescent="0.2">
      <c r="A10734">
        <v>20</v>
      </c>
      <c r="E10734" t="str">
        <f t="shared" si="355"/>
        <v>U</v>
      </c>
      <c r="F10734" t="str">
        <f t="shared" si="356"/>
        <v>20U</v>
      </c>
    </row>
    <row r="10735" spans="1:6" x14ac:dyDescent="0.2">
      <c r="A10735">
        <v>21</v>
      </c>
      <c r="E10735" t="str">
        <f t="shared" si="355"/>
        <v>V</v>
      </c>
      <c r="F10735" t="str">
        <f t="shared" si="356"/>
        <v>21V</v>
      </c>
    </row>
    <row r="10736" spans="1:6" x14ac:dyDescent="0.2">
      <c r="A10736">
        <v>22</v>
      </c>
      <c r="E10736" t="str">
        <f t="shared" si="355"/>
        <v>W</v>
      </c>
      <c r="F10736" t="str">
        <f t="shared" si="356"/>
        <v>22W</v>
      </c>
    </row>
    <row r="10737" spans="1:6" x14ac:dyDescent="0.2">
      <c r="A10737">
        <v>23</v>
      </c>
      <c r="E10737" t="str">
        <f t="shared" si="355"/>
        <v>X</v>
      </c>
      <c r="F10737" t="str">
        <f t="shared" si="356"/>
        <v>23X</v>
      </c>
    </row>
    <row r="10738" spans="1:6" x14ac:dyDescent="0.2">
      <c r="A10738">
        <v>24</v>
      </c>
      <c r="E10738" t="str">
        <f t="shared" si="355"/>
        <v>Y</v>
      </c>
      <c r="F10738" t="str">
        <f t="shared" si="356"/>
        <v>24Y</v>
      </c>
    </row>
    <row r="10739" spans="1:6" x14ac:dyDescent="0.2">
      <c r="A10739">
        <v>25</v>
      </c>
      <c r="E10739" t="str">
        <f t="shared" si="355"/>
        <v>Z</v>
      </c>
      <c r="F10739" t="str">
        <f t="shared" si="356"/>
        <v>25Z</v>
      </c>
    </row>
    <row r="10740" spans="1:6" x14ac:dyDescent="0.2">
      <c r="A10740">
        <v>0</v>
      </c>
      <c r="E10740" t="str">
        <f t="shared" si="355"/>
        <v>A</v>
      </c>
      <c r="F10740" t="str">
        <f t="shared" si="356"/>
        <v>0A</v>
      </c>
    </row>
    <row r="10741" spans="1:6" x14ac:dyDescent="0.2">
      <c r="A10741">
        <v>1</v>
      </c>
      <c r="E10741" t="str">
        <f t="shared" si="355"/>
        <v>B</v>
      </c>
      <c r="F10741" t="str">
        <f t="shared" si="356"/>
        <v>1B</v>
      </c>
    </row>
    <row r="10742" spans="1:6" x14ac:dyDescent="0.2">
      <c r="A10742">
        <v>2</v>
      </c>
      <c r="E10742" t="str">
        <f t="shared" si="355"/>
        <v>C</v>
      </c>
      <c r="F10742" t="str">
        <f t="shared" si="356"/>
        <v>2C</v>
      </c>
    </row>
    <row r="10743" spans="1:6" x14ac:dyDescent="0.2">
      <c r="A10743">
        <v>3</v>
      </c>
      <c r="E10743" t="str">
        <f t="shared" si="355"/>
        <v>D</v>
      </c>
      <c r="F10743" t="str">
        <f t="shared" si="356"/>
        <v>3D</v>
      </c>
    </row>
    <row r="10744" spans="1:6" x14ac:dyDescent="0.2">
      <c r="A10744">
        <v>4</v>
      </c>
      <c r="E10744" t="str">
        <f t="shared" si="355"/>
        <v>E</v>
      </c>
      <c r="F10744" t="str">
        <f t="shared" si="356"/>
        <v>4E</v>
      </c>
    </row>
    <row r="10745" spans="1:6" x14ac:dyDescent="0.2">
      <c r="A10745">
        <v>5</v>
      </c>
      <c r="E10745" t="str">
        <f t="shared" si="355"/>
        <v>F</v>
      </c>
      <c r="F10745" t="str">
        <f t="shared" si="356"/>
        <v>5F</v>
      </c>
    </row>
    <row r="10746" spans="1:6" x14ac:dyDescent="0.2">
      <c r="A10746">
        <v>6</v>
      </c>
      <c r="E10746" t="str">
        <f t="shared" si="355"/>
        <v>G</v>
      </c>
      <c r="F10746" t="str">
        <f t="shared" si="356"/>
        <v>6G</v>
      </c>
    </row>
    <row r="10747" spans="1:6" x14ac:dyDescent="0.2">
      <c r="A10747">
        <v>7</v>
      </c>
      <c r="E10747" t="str">
        <f t="shared" si="355"/>
        <v>H</v>
      </c>
      <c r="F10747" t="str">
        <f t="shared" si="356"/>
        <v>7H</v>
      </c>
    </row>
    <row r="10748" spans="1:6" x14ac:dyDescent="0.2">
      <c r="A10748">
        <v>8</v>
      </c>
      <c r="E10748" t="str">
        <f t="shared" si="355"/>
        <v>I</v>
      </c>
      <c r="F10748" t="str">
        <f t="shared" si="356"/>
        <v>8I</v>
      </c>
    </row>
    <row r="10749" spans="1:6" x14ac:dyDescent="0.2">
      <c r="A10749">
        <v>9</v>
      </c>
      <c r="E10749" t="str">
        <f t="shared" si="355"/>
        <v>J</v>
      </c>
      <c r="F10749" t="str">
        <f t="shared" si="356"/>
        <v>9J</v>
      </c>
    </row>
    <row r="10750" spans="1:6" x14ac:dyDescent="0.2">
      <c r="A10750">
        <v>10</v>
      </c>
      <c r="E10750" t="str">
        <f t="shared" si="355"/>
        <v>K</v>
      </c>
      <c r="F10750" t="str">
        <f t="shared" si="356"/>
        <v>10K</v>
      </c>
    </row>
    <row r="10751" spans="1:6" x14ac:dyDescent="0.2">
      <c r="A10751">
        <v>11</v>
      </c>
      <c r="E10751" t="str">
        <f t="shared" si="355"/>
        <v>L</v>
      </c>
      <c r="F10751" t="str">
        <f t="shared" si="356"/>
        <v>11L</v>
      </c>
    </row>
    <row r="10752" spans="1:6" x14ac:dyDescent="0.2">
      <c r="A10752">
        <v>12</v>
      </c>
      <c r="E10752" t="str">
        <f t="shared" si="355"/>
        <v>M</v>
      </c>
      <c r="F10752" t="str">
        <f t="shared" si="356"/>
        <v>12M</v>
      </c>
    </row>
    <row r="10753" spans="1:6" x14ac:dyDescent="0.2">
      <c r="A10753">
        <v>13</v>
      </c>
      <c r="E10753" t="str">
        <f t="shared" si="355"/>
        <v>N</v>
      </c>
      <c r="F10753" t="str">
        <f t="shared" si="356"/>
        <v>13N</v>
      </c>
    </row>
    <row r="10754" spans="1:6" x14ac:dyDescent="0.2">
      <c r="A10754">
        <v>14</v>
      </c>
      <c r="E10754" t="str">
        <f t="shared" si="355"/>
        <v>O</v>
      </c>
      <c r="F10754" t="str">
        <f t="shared" si="356"/>
        <v>14O</v>
      </c>
    </row>
    <row r="10755" spans="1:6" x14ac:dyDescent="0.2">
      <c r="A10755">
        <v>15</v>
      </c>
      <c r="E10755" t="str">
        <f t="shared" si="355"/>
        <v>P</v>
      </c>
      <c r="F10755" t="str">
        <f t="shared" si="356"/>
        <v>15P</v>
      </c>
    </row>
    <row r="10756" spans="1:6" x14ac:dyDescent="0.2">
      <c r="A10756">
        <v>16</v>
      </c>
      <c r="E10756" t="str">
        <f t="shared" si="355"/>
        <v>Q</v>
      </c>
      <c r="F10756" t="str">
        <f t="shared" si="356"/>
        <v>16Q</v>
      </c>
    </row>
    <row r="10757" spans="1:6" x14ac:dyDescent="0.2">
      <c r="A10757">
        <v>17</v>
      </c>
      <c r="E10757" t="str">
        <f t="shared" si="355"/>
        <v>R</v>
      </c>
      <c r="F10757" t="str">
        <f t="shared" si="356"/>
        <v>17R</v>
      </c>
    </row>
    <row r="10758" spans="1:6" x14ac:dyDescent="0.2">
      <c r="A10758">
        <v>18</v>
      </c>
      <c r="E10758" t="str">
        <f t="shared" si="355"/>
        <v>S</v>
      </c>
      <c r="F10758" t="str">
        <f t="shared" si="356"/>
        <v>18S</v>
      </c>
    </row>
    <row r="10759" spans="1:6" x14ac:dyDescent="0.2">
      <c r="A10759">
        <v>19</v>
      </c>
      <c r="E10759" t="str">
        <f t="shared" si="355"/>
        <v>T</v>
      </c>
      <c r="F10759" t="str">
        <f t="shared" si="356"/>
        <v>19T</v>
      </c>
    </row>
    <row r="10760" spans="1:6" x14ac:dyDescent="0.2">
      <c r="A10760">
        <v>20</v>
      </c>
      <c r="E10760" t="str">
        <f t="shared" si="355"/>
        <v>U</v>
      </c>
      <c r="F10760" t="str">
        <f t="shared" si="356"/>
        <v>20U</v>
      </c>
    </row>
    <row r="10761" spans="1:6" x14ac:dyDescent="0.2">
      <c r="A10761">
        <v>21</v>
      </c>
      <c r="E10761" t="str">
        <f t="shared" si="355"/>
        <v>V</v>
      </c>
      <c r="F10761" t="str">
        <f t="shared" si="356"/>
        <v>21V</v>
      </c>
    </row>
    <row r="10762" spans="1:6" x14ac:dyDescent="0.2">
      <c r="A10762">
        <v>22</v>
      </c>
      <c r="E10762" t="str">
        <f t="shared" si="355"/>
        <v>W</v>
      </c>
      <c r="F10762" t="str">
        <f t="shared" si="356"/>
        <v>22W</v>
      </c>
    </row>
    <row r="10763" spans="1:6" x14ac:dyDescent="0.2">
      <c r="A10763">
        <v>23</v>
      </c>
      <c r="E10763" t="str">
        <f t="shared" si="355"/>
        <v>X</v>
      </c>
      <c r="F10763" t="str">
        <f t="shared" si="356"/>
        <v>23X</v>
      </c>
    </row>
    <row r="10764" spans="1:6" x14ac:dyDescent="0.2">
      <c r="A10764">
        <v>24</v>
      </c>
      <c r="E10764" t="str">
        <f t="shared" si="355"/>
        <v>Y</v>
      </c>
      <c r="F10764" t="str">
        <f t="shared" si="356"/>
        <v>24Y</v>
      </c>
    </row>
    <row r="10765" spans="1:6" x14ac:dyDescent="0.2">
      <c r="A10765">
        <v>25</v>
      </c>
      <c r="E10765" t="str">
        <f t="shared" si="355"/>
        <v>Z</v>
      </c>
      <c r="F10765" t="str">
        <f t="shared" si="356"/>
        <v>25Z</v>
      </c>
    </row>
    <row r="10766" spans="1:6" x14ac:dyDescent="0.2">
      <c r="A10766">
        <v>0</v>
      </c>
      <c r="E10766" t="str">
        <f t="shared" si="355"/>
        <v>A</v>
      </c>
      <c r="F10766" t="str">
        <f t="shared" si="356"/>
        <v>0A</v>
      </c>
    </row>
    <row r="10767" spans="1:6" x14ac:dyDescent="0.2">
      <c r="A10767">
        <v>1</v>
      </c>
      <c r="E10767" t="str">
        <f t="shared" si="355"/>
        <v>B</v>
      </c>
      <c r="F10767" t="str">
        <f t="shared" si="356"/>
        <v>1B</v>
      </c>
    </row>
    <row r="10768" spans="1:6" x14ac:dyDescent="0.2">
      <c r="A10768">
        <v>2</v>
      </c>
      <c r="E10768" t="str">
        <f t="shared" si="355"/>
        <v>C</v>
      </c>
      <c r="F10768" t="str">
        <f t="shared" si="356"/>
        <v>2C</v>
      </c>
    </row>
    <row r="10769" spans="1:6" x14ac:dyDescent="0.2">
      <c r="A10769">
        <v>3</v>
      </c>
      <c r="E10769" t="str">
        <f t="shared" si="355"/>
        <v>D</v>
      </c>
      <c r="F10769" t="str">
        <f t="shared" si="356"/>
        <v>3D</v>
      </c>
    </row>
    <row r="10770" spans="1:6" x14ac:dyDescent="0.2">
      <c r="A10770">
        <v>4</v>
      </c>
      <c r="E10770" t="str">
        <f t="shared" si="355"/>
        <v>E</v>
      </c>
      <c r="F10770" t="str">
        <f t="shared" si="356"/>
        <v>4E</v>
      </c>
    </row>
    <row r="10771" spans="1:6" x14ac:dyDescent="0.2">
      <c r="A10771">
        <v>5</v>
      </c>
      <c r="E10771" t="str">
        <f t="shared" si="355"/>
        <v>F</v>
      </c>
      <c r="F10771" t="str">
        <f t="shared" si="356"/>
        <v>5F</v>
      </c>
    </row>
    <row r="10772" spans="1:6" x14ac:dyDescent="0.2">
      <c r="A10772">
        <v>6</v>
      </c>
      <c r="E10772" t="str">
        <f t="shared" si="355"/>
        <v>G</v>
      </c>
      <c r="F10772" t="str">
        <f t="shared" si="356"/>
        <v>6G</v>
      </c>
    </row>
    <row r="10773" spans="1:6" x14ac:dyDescent="0.2">
      <c r="A10773">
        <v>7</v>
      </c>
      <c r="E10773" t="str">
        <f t="shared" ref="E10773:E10836" si="357">E10747</f>
        <v>H</v>
      </c>
      <c r="F10773" t="str">
        <f t="shared" ref="F10773:F10836" si="358">A10773&amp;C10773&amp;E10773</f>
        <v>7H</v>
      </c>
    </row>
    <row r="10774" spans="1:6" x14ac:dyDescent="0.2">
      <c r="A10774">
        <v>8</v>
      </c>
      <c r="E10774" t="str">
        <f t="shared" si="357"/>
        <v>I</v>
      </c>
      <c r="F10774" t="str">
        <f t="shared" si="358"/>
        <v>8I</v>
      </c>
    </row>
    <row r="10775" spans="1:6" x14ac:dyDescent="0.2">
      <c r="A10775">
        <v>9</v>
      </c>
      <c r="E10775" t="str">
        <f t="shared" si="357"/>
        <v>J</v>
      </c>
      <c r="F10775" t="str">
        <f t="shared" si="358"/>
        <v>9J</v>
      </c>
    </row>
    <row r="10776" spans="1:6" x14ac:dyDescent="0.2">
      <c r="A10776">
        <v>10</v>
      </c>
      <c r="E10776" t="str">
        <f t="shared" si="357"/>
        <v>K</v>
      </c>
      <c r="F10776" t="str">
        <f t="shared" si="358"/>
        <v>10K</v>
      </c>
    </row>
    <row r="10777" spans="1:6" x14ac:dyDescent="0.2">
      <c r="A10777">
        <v>11</v>
      </c>
      <c r="E10777" t="str">
        <f t="shared" si="357"/>
        <v>L</v>
      </c>
      <c r="F10777" t="str">
        <f t="shared" si="358"/>
        <v>11L</v>
      </c>
    </row>
    <row r="10778" spans="1:6" x14ac:dyDescent="0.2">
      <c r="A10778">
        <v>12</v>
      </c>
      <c r="E10778" t="str">
        <f t="shared" si="357"/>
        <v>M</v>
      </c>
      <c r="F10778" t="str">
        <f t="shared" si="358"/>
        <v>12M</v>
      </c>
    </row>
    <row r="10779" spans="1:6" x14ac:dyDescent="0.2">
      <c r="A10779">
        <v>13</v>
      </c>
      <c r="E10779" t="str">
        <f t="shared" si="357"/>
        <v>N</v>
      </c>
      <c r="F10779" t="str">
        <f t="shared" si="358"/>
        <v>13N</v>
      </c>
    </row>
    <row r="10780" spans="1:6" x14ac:dyDescent="0.2">
      <c r="A10780">
        <v>14</v>
      </c>
      <c r="E10780" t="str">
        <f t="shared" si="357"/>
        <v>O</v>
      </c>
      <c r="F10780" t="str">
        <f t="shared" si="358"/>
        <v>14O</v>
      </c>
    </row>
    <row r="10781" spans="1:6" x14ac:dyDescent="0.2">
      <c r="A10781">
        <v>15</v>
      </c>
      <c r="E10781" t="str">
        <f t="shared" si="357"/>
        <v>P</v>
      </c>
      <c r="F10781" t="str">
        <f t="shared" si="358"/>
        <v>15P</v>
      </c>
    </row>
    <row r="10782" spans="1:6" x14ac:dyDescent="0.2">
      <c r="A10782">
        <v>16</v>
      </c>
      <c r="E10782" t="str">
        <f t="shared" si="357"/>
        <v>Q</v>
      </c>
      <c r="F10782" t="str">
        <f t="shared" si="358"/>
        <v>16Q</v>
      </c>
    </row>
    <row r="10783" spans="1:6" x14ac:dyDescent="0.2">
      <c r="A10783">
        <v>17</v>
      </c>
      <c r="E10783" t="str">
        <f t="shared" si="357"/>
        <v>R</v>
      </c>
      <c r="F10783" t="str">
        <f t="shared" si="358"/>
        <v>17R</v>
      </c>
    </row>
    <row r="10784" spans="1:6" x14ac:dyDescent="0.2">
      <c r="A10784">
        <v>18</v>
      </c>
      <c r="E10784" t="str">
        <f t="shared" si="357"/>
        <v>S</v>
      </c>
      <c r="F10784" t="str">
        <f t="shared" si="358"/>
        <v>18S</v>
      </c>
    </row>
    <row r="10785" spans="1:6" x14ac:dyDescent="0.2">
      <c r="A10785">
        <v>19</v>
      </c>
      <c r="E10785" t="str">
        <f t="shared" si="357"/>
        <v>T</v>
      </c>
      <c r="F10785" t="str">
        <f t="shared" si="358"/>
        <v>19T</v>
      </c>
    </row>
    <row r="10786" spans="1:6" x14ac:dyDescent="0.2">
      <c r="A10786">
        <v>20</v>
      </c>
      <c r="E10786" t="str">
        <f t="shared" si="357"/>
        <v>U</v>
      </c>
      <c r="F10786" t="str">
        <f t="shared" si="358"/>
        <v>20U</v>
      </c>
    </row>
    <row r="10787" spans="1:6" x14ac:dyDescent="0.2">
      <c r="A10787">
        <v>21</v>
      </c>
      <c r="E10787" t="str">
        <f t="shared" si="357"/>
        <v>V</v>
      </c>
      <c r="F10787" t="str">
        <f t="shared" si="358"/>
        <v>21V</v>
      </c>
    </row>
    <row r="10788" spans="1:6" x14ac:dyDescent="0.2">
      <c r="A10788">
        <v>22</v>
      </c>
      <c r="E10788" t="str">
        <f t="shared" si="357"/>
        <v>W</v>
      </c>
      <c r="F10788" t="str">
        <f t="shared" si="358"/>
        <v>22W</v>
      </c>
    </row>
    <row r="10789" spans="1:6" x14ac:dyDescent="0.2">
      <c r="A10789">
        <v>23</v>
      </c>
      <c r="E10789" t="str">
        <f t="shared" si="357"/>
        <v>X</v>
      </c>
      <c r="F10789" t="str">
        <f t="shared" si="358"/>
        <v>23X</v>
      </c>
    </row>
    <row r="10790" spans="1:6" x14ac:dyDescent="0.2">
      <c r="A10790">
        <v>24</v>
      </c>
      <c r="E10790" t="str">
        <f t="shared" si="357"/>
        <v>Y</v>
      </c>
      <c r="F10790" t="str">
        <f t="shared" si="358"/>
        <v>24Y</v>
      </c>
    </row>
    <row r="10791" spans="1:6" x14ac:dyDescent="0.2">
      <c r="A10791">
        <v>25</v>
      </c>
      <c r="E10791" t="str">
        <f t="shared" si="357"/>
        <v>Z</v>
      </c>
      <c r="F10791" t="str">
        <f t="shared" si="358"/>
        <v>25Z</v>
      </c>
    </row>
    <row r="10792" spans="1:6" x14ac:dyDescent="0.2">
      <c r="A10792">
        <v>0</v>
      </c>
      <c r="E10792" t="str">
        <f t="shared" si="357"/>
        <v>A</v>
      </c>
      <c r="F10792" t="str">
        <f t="shared" si="358"/>
        <v>0A</v>
      </c>
    </row>
    <row r="10793" spans="1:6" x14ac:dyDescent="0.2">
      <c r="A10793">
        <v>1</v>
      </c>
      <c r="E10793" t="str">
        <f t="shared" si="357"/>
        <v>B</v>
      </c>
      <c r="F10793" t="str">
        <f t="shared" si="358"/>
        <v>1B</v>
      </c>
    </row>
    <row r="10794" spans="1:6" x14ac:dyDescent="0.2">
      <c r="A10794">
        <v>2</v>
      </c>
      <c r="E10794" t="str">
        <f t="shared" si="357"/>
        <v>C</v>
      </c>
      <c r="F10794" t="str">
        <f t="shared" si="358"/>
        <v>2C</v>
      </c>
    </row>
    <row r="10795" spans="1:6" x14ac:dyDescent="0.2">
      <c r="A10795">
        <v>3</v>
      </c>
      <c r="E10795" t="str">
        <f t="shared" si="357"/>
        <v>D</v>
      </c>
      <c r="F10795" t="str">
        <f t="shared" si="358"/>
        <v>3D</v>
      </c>
    </row>
    <row r="10796" spans="1:6" x14ac:dyDescent="0.2">
      <c r="A10796">
        <v>4</v>
      </c>
      <c r="E10796" t="str">
        <f t="shared" si="357"/>
        <v>E</v>
      </c>
      <c r="F10796" t="str">
        <f t="shared" si="358"/>
        <v>4E</v>
      </c>
    </row>
    <row r="10797" spans="1:6" x14ac:dyDescent="0.2">
      <c r="A10797">
        <v>5</v>
      </c>
      <c r="E10797" t="str">
        <f t="shared" si="357"/>
        <v>F</v>
      </c>
      <c r="F10797" t="str">
        <f t="shared" si="358"/>
        <v>5F</v>
      </c>
    </row>
    <row r="10798" spans="1:6" x14ac:dyDescent="0.2">
      <c r="A10798">
        <v>6</v>
      </c>
      <c r="E10798" t="str">
        <f t="shared" si="357"/>
        <v>G</v>
      </c>
      <c r="F10798" t="str">
        <f t="shared" si="358"/>
        <v>6G</v>
      </c>
    </row>
    <row r="10799" spans="1:6" x14ac:dyDescent="0.2">
      <c r="A10799">
        <v>7</v>
      </c>
      <c r="E10799" t="str">
        <f t="shared" si="357"/>
        <v>H</v>
      </c>
      <c r="F10799" t="str">
        <f t="shared" si="358"/>
        <v>7H</v>
      </c>
    </row>
    <row r="10800" spans="1:6" x14ac:dyDescent="0.2">
      <c r="A10800">
        <v>8</v>
      </c>
      <c r="E10800" t="str">
        <f t="shared" si="357"/>
        <v>I</v>
      </c>
      <c r="F10800" t="str">
        <f t="shared" si="358"/>
        <v>8I</v>
      </c>
    </row>
    <row r="10801" spans="1:6" x14ac:dyDescent="0.2">
      <c r="A10801">
        <v>9</v>
      </c>
      <c r="E10801" t="str">
        <f t="shared" si="357"/>
        <v>J</v>
      </c>
      <c r="F10801" t="str">
        <f t="shared" si="358"/>
        <v>9J</v>
      </c>
    </row>
    <row r="10802" spans="1:6" x14ac:dyDescent="0.2">
      <c r="A10802">
        <v>10</v>
      </c>
      <c r="E10802" t="str">
        <f t="shared" si="357"/>
        <v>K</v>
      </c>
      <c r="F10802" t="str">
        <f t="shared" si="358"/>
        <v>10K</v>
      </c>
    </row>
    <row r="10803" spans="1:6" x14ac:dyDescent="0.2">
      <c r="A10803">
        <v>11</v>
      </c>
      <c r="E10803" t="str">
        <f t="shared" si="357"/>
        <v>L</v>
      </c>
      <c r="F10803" t="str">
        <f t="shared" si="358"/>
        <v>11L</v>
      </c>
    </row>
    <row r="10804" spans="1:6" x14ac:dyDescent="0.2">
      <c r="A10804">
        <v>12</v>
      </c>
      <c r="E10804" t="str">
        <f t="shared" si="357"/>
        <v>M</v>
      </c>
      <c r="F10804" t="str">
        <f t="shared" si="358"/>
        <v>12M</v>
      </c>
    </row>
    <row r="10805" spans="1:6" x14ac:dyDescent="0.2">
      <c r="A10805">
        <v>13</v>
      </c>
      <c r="E10805" t="str">
        <f t="shared" si="357"/>
        <v>N</v>
      </c>
      <c r="F10805" t="str">
        <f t="shared" si="358"/>
        <v>13N</v>
      </c>
    </row>
    <row r="10806" spans="1:6" x14ac:dyDescent="0.2">
      <c r="A10806">
        <v>14</v>
      </c>
      <c r="E10806" t="str">
        <f t="shared" si="357"/>
        <v>O</v>
      </c>
      <c r="F10806" t="str">
        <f t="shared" si="358"/>
        <v>14O</v>
      </c>
    </row>
    <row r="10807" spans="1:6" x14ac:dyDescent="0.2">
      <c r="A10807">
        <v>15</v>
      </c>
      <c r="E10807" t="str">
        <f t="shared" si="357"/>
        <v>P</v>
      </c>
      <c r="F10807" t="str">
        <f t="shared" si="358"/>
        <v>15P</v>
      </c>
    </row>
    <row r="10808" spans="1:6" x14ac:dyDescent="0.2">
      <c r="A10808">
        <v>16</v>
      </c>
      <c r="E10808" t="str">
        <f t="shared" si="357"/>
        <v>Q</v>
      </c>
      <c r="F10808" t="str">
        <f t="shared" si="358"/>
        <v>16Q</v>
      </c>
    </row>
    <row r="10809" spans="1:6" x14ac:dyDescent="0.2">
      <c r="A10809">
        <v>17</v>
      </c>
      <c r="E10809" t="str">
        <f t="shared" si="357"/>
        <v>R</v>
      </c>
      <c r="F10809" t="str">
        <f t="shared" si="358"/>
        <v>17R</v>
      </c>
    </row>
    <row r="10810" spans="1:6" x14ac:dyDescent="0.2">
      <c r="A10810">
        <v>18</v>
      </c>
      <c r="E10810" t="str">
        <f t="shared" si="357"/>
        <v>S</v>
      </c>
      <c r="F10810" t="str">
        <f t="shared" si="358"/>
        <v>18S</v>
      </c>
    </row>
    <row r="10811" spans="1:6" x14ac:dyDescent="0.2">
      <c r="A10811">
        <v>19</v>
      </c>
      <c r="E10811" t="str">
        <f t="shared" si="357"/>
        <v>T</v>
      </c>
      <c r="F10811" t="str">
        <f t="shared" si="358"/>
        <v>19T</v>
      </c>
    </row>
    <row r="10812" spans="1:6" x14ac:dyDescent="0.2">
      <c r="A10812">
        <v>20</v>
      </c>
      <c r="E10812" t="str">
        <f t="shared" si="357"/>
        <v>U</v>
      </c>
      <c r="F10812" t="str">
        <f t="shared" si="358"/>
        <v>20U</v>
      </c>
    </row>
    <row r="10813" spans="1:6" x14ac:dyDescent="0.2">
      <c r="A10813">
        <v>21</v>
      </c>
      <c r="E10813" t="str">
        <f t="shared" si="357"/>
        <v>V</v>
      </c>
      <c r="F10813" t="str">
        <f t="shared" si="358"/>
        <v>21V</v>
      </c>
    </row>
    <row r="10814" spans="1:6" x14ac:dyDescent="0.2">
      <c r="A10814">
        <v>22</v>
      </c>
      <c r="E10814" t="str">
        <f t="shared" si="357"/>
        <v>W</v>
      </c>
      <c r="F10814" t="str">
        <f t="shared" si="358"/>
        <v>22W</v>
      </c>
    </row>
    <row r="10815" spans="1:6" x14ac:dyDescent="0.2">
      <c r="A10815">
        <v>23</v>
      </c>
      <c r="E10815" t="str">
        <f t="shared" si="357"/>
        <v>X</v>
      </c>
      <c r="F10815" t="str">
        <f t="shared" si="358"/>
        <v>23X</v>
      </c>
    </row>
    <row r="10816" spans="1:6" x14ac:dyDescent="0.2">
      <c r="A10816">
        <v>24</v>
      </c>
      <c r="E10816" t="str">
        <f t="shared" si="357"/>
        <v>Y</v>
      </c>
      <c r="F10816" t="str">
        <f t="shared" si="358"/>
        <v>24Y</v>
      </c>
    </row>
    <row r="10817" spans="1:6" x14ac:dyDescent="0.2">
      <c r="A10817">
        <v>25</v>
      </c>
      <c r="E10817" t="str">
        <f t="shared" si="357"/>
        <v>Z</v>
      </c>
      <c r="F10817" t="str">
        <f t="shared" si="358"/>
        <v>25Z</v>
      </c>
    </row>
    <row r="10818" spans="1:6" x14ac:dyDescent="0.2">
      <c r="A10818">
        <v>0</v>
      </c>
      <c r="E10818" t="str">
        <f t="shared" si="357"/>
        <v>A</v>
      </c>
      <c r="F10818" t="str">
        <f t="shared" si="358"/>
        <v>0A</v>
      </c>
    </row>
    <row r="10819" spans="1:6" x14ac:dyDescent="0.2">
      <c r="A10819">
        <v>1</v>
      </c>
      <c r="E10819" t="str">
        <f t="shared" si="357"/>
        <v>B</v>
      </c>
      <c r="F10819" t="str">
        <f t="shared" si="358"/>
        <v>1B</v>
      </c>
    </row>
    <row r="10820" spans="1:6" x14ac:dyDescent="0.2">
      <c r="A10820">
        <v>2</v>
      </c>
      <c r="E10820" t="str">
        <f t="shared" si="357"/>
        <v>C</v>
      </c>
      <c r="F10820" t="str">
        <f t="shared" si="358"/>
        <v>2C</v>
      </c>
    </row>
    <row r="10821" spans="1:6" x14ac:dyDescent="0.2">
      <c r="A10821">
        <v>3</v>
      </c>
      <c r="E10821" t="str">
        <f t="shared" si="357"/>
        <v>D</v>
      </c>
      <c r="F10821" t="str">
        <f t="shared" si="358"/>
        <v>3D</v>
      </c>
    </row>
    <row r="10822" spans="1:6" x14ac:dyDescent="0.2">
      <c r="A10822">
        <v>4</v>
      </c>
      <c r="E10822" t="str">
        <f t="shared" si="357"/>
        <v>E</v>
      </c>
      <c r="F10822" t="str">
        <f t="shared" si="358"/>
        <v>4E</v>
      </c>
    </row>
    <row r="10823" spans="1:6" x14ac:dyDescent="0.2">
      <c r="A10823">
        <v>5</v>
      </c>
      <c r="E10823" t="str">
        <f t="shared" si="357"/>
        <v>F</v>
      </c>
      <c r="F10823" t="str">
        <f t="shared" si="358"/>
        <v>5F</v>
      </c>
    </row>
    <row r="10824" spans="1:6" x14ac:dyDescent="0.2">
      <c r="A10824">
        <v>6</v>
      </c>
      <c r="E10824" t="str">
        <f t="shared" si="357"/>
        <v>G</v>
      </c>
      <c r="F10824" t="str">
        <f t="shared" si="358"/>
        <v>6G</v>
      </c>
    </row>
    <row r="10825" spans="1:6" x14ac:dyDescent="0.2">
      <c r="A10825">
        <v>7</v>
      </c>
      <c r="E10825" t="str">
        <f t="shared" si="357"/>
        <v>H</v>
      </c>
      <c r="F10825" t="str">
        <f t="shared" si="358"/>
        <v>7H</v>
      </c>
    </row>
    <row r="10826" spans="1:6" x14ac:dyDescent="0.2">
      <c r="A10826">
        <v>8</v>
      </c>
      <c r="E10826" t="str">
        <f t="shared" si="357"/>
        <v>I</v>
      </c>
      <c r="F10826" t="str">
        <f t="shared" si="358"/>
        <v>8I</v>
      </c>
    </row>
    <row r="10827" spans="1:6" x14ac:dyDescent="0.2">
      <c r="A10827">
        <v>9</v>
      </c>
      <c r="E10827" t="str">
        <f t="shared" si="357"/>
        <v>J</v>
      </c>
      <c r="F10827" t="str">
        <f t="shared" si="358"/>
        <v>9J</v>
      </c>
    </row>
    <row r="10828" spans="1:6" x14ac:dyDescent="0.2">
      <c r="A10828">
        <v>10</v>
      </c>
      <c r="E10828" t="str">
        <f t="shared" si="357"/>
        <v>K</v>
      </c>
      <c r="F10828" t="str">
        <f t="shared" si="358"/>
        <v>10K</v>
      </c>
    </row>
    <row r="10829" spans="1:6" x14ac:dyDescent="0.2">
      <c r="A10829">
        <v>11</v>
      </c>
      <c r="E10829" t="str">
        <f t="shared" si="357"/>
        <v>L</v>
      </c>
      <c r="F10829" t="str">
        <f t="shared" si="358"/>
        <v>11L</v>
      </c>
    </row>
    <row r="10830" spans="1:6" x14ac:dyDescent="0.2">
      <c r="A10830">
        <v>12</v>
      </c>
      <c r="E10830" t="str">
        <f t="shared" si="357"/>
        <v>M</v>
      </c>
      <c r="F10830" t="str">
        <f t="shared" si="358"/>
        <v>12M</v>
      </c>
    </row>
    <row r="10831" spans="1:6" x14ac:dyDescent="0.2">
      <c r="A10831">
        <v>13</v>
      </c>
      <c r="E10831" t="str">
        <f t="shared" si="357"/>
        <v>N</v>
      </c>
      <c r="F10831" t="str">
        <f t="shared" si="358"/>
        <v>13N</v>
      </c>
    </row>
    <row r="10832" spans="1:6" x14ac:dyDescent="0.2">
      <c r="A10832">
        <v>14</v>
      </c>
      <c r="E10832" t="str">
        <f t="shared" si="357"/>
        <v>O</v>
      </c>
      <c r="F10832" t="str">
        <f t="shared" si="358"/>
        <v>14O</v>
      </c>
    </row>
    <row r="10833" spans="1:6" x14ac:dyDescent="0.2">
      <c r="A10833">
        <v>15</v>
      </c>
      <c r="E10833" t="str">
        <f t="shared" si="357"/>
        <v>P</v>
      </c>
      <c r="F10833" t="str">
        <f t="shared" si="358"/>
        <v>15P</v>
      </c>
    </row>
    <row r="10834" spans="1:6" x14ac:dyDescent="0.2">
      <c r="A10834">
        <v>16</v>
      </c>
      <c r="E10834" t="str">
        <f t="shared" si="357"/>
        <v>Q</v>
      </c>
      <c r="F10834" t="str">
        <f t="shared" si="358"/>
        <v>16Q</v>
      </c>
    </row>
    <row r="10835" spans="1:6" x14ac:dyDescent="0.2">
      <c r="A10835">
        <v>17</v>
      </c>
      <c r="E10835" t="str">
        <f t="shared" si="357"/>
        <v>R</v>
      </c>
      <c r="F10835" t="str">
        <f t="shared" si="358"/>
        <v>17R</v>
      </c>
    </row>
    <row r="10836" spans="1:6" x14ac:dyDescent="0.2">
      <c r="A10836">
        <v>18</v>
      </c>
      <c r="E10836" t="str">
        <f t="shared" si="357"/>
        <v>S</v>
      </c>
      <c r="F10836" t="str">
        <f t="shared" si="358"/>
        <v>18S</v>
      </c>
    </row>
    <row r="10837" spans="1:6" x14ac:dyDescent="0.2">
      <c r="A10837">
        <v>19</v>
      </c>
      <c r="E10837" t="str">
        <f t="shared" ref="E10837:E10900" si="359">E10811</f>
        <v>T</v>
      </c>
      <c r="F10837" t="str">
        <f t="shared" ref="F10837:F10900" si="360">A10837&amp;C10837&amp;E10837</f>
        <v>19T</v>
      </c>
    </row>
    <row r="10838" spans="1:6" x14ac:dyDescent="0.2">
      <c r="A10838">
        <v>20</v>
      </c>
      <c r="E10838" t="str">
        <f t="shared" si="359"/>
        <v>U</v>
      </c>
      <c r="F10838" t="str">
        <f t="shared" si="360"/>
        <v>20U</v>
      </c>
    </row>
    <row r="10839" spans="1:6" x14ac:dyDescent="0.2">
      <c r="A10839">
        <v>21</v>
      </c>
      <c r="E10839" t="str">
        <f t="shared" si="359"/>
        <v>V</v>
      </c>
      <c r="F10839" t="str">
        <f t="shared" si="360"/>
        <v>21V</v>
      </c>
    </row>
    <row r="10840" spans="1:6" x14ac:dyDescent="0.2">
      <c r="A10840">
        <v>22</v>
      </c>
      <c r="E10840" t="str">
        <f t="shared" si="359"/>
        <v>W</v>
      </c>
      <c r="F10840" t="str">
        <f t="shared" si="360"/>
        <v>22W</v>
      </c>
    </row>
    <row r="10841" spans="1:6" x14ac:dyDescent="0.2">
      <c r="A10841">
        <v>23</v>
      </c>
      <c r="E10841" t="str">
        <f t="shared" si="359"/>
        <v>X</v>
      </c>
      <c r="F10841" t="str">
        <f t="shared" si="360"/>
        <v>23X</v>
      </c>
    </row>
    <row r="10842" spans="1:6" x14ac:dyDescent="0.2">
      <c r="A10842">
        <v>24</v>
      </c>
      <c r="E10842" t="str">
        <f t="shared" si="359"/>
        <v>Y</v>
      </c>
      <c r="F10842" t="str">
        <f t="shared" si="360"/>
        <v>24Y</v>
      </c>
    </row>
    <row r="10843" spans="1:6" x14ac:dyDescent="0.2">
      <c r="A10843">
        <v>25</v>
      </c>
      <c r="E10843" t="str">
        <f t="shared" si="359"/>
        <v>Z</v>
      </c>
      <c r="F10843" t="str">
        <f t="shared" si="360"/>
        <v>25Z</v>
      </c>
    </row>
    <row r="10844" spans="1:6" x14ac:dyDescent="0.2">
      <c r="A10844">
        <v>0</v>
      </c>
      <c r="E10844" t="str">
        <f t="shared" si="359"/>
        <v>A</v>
      </c>
      <c r="F10844" t="str">
        <f t="shared" si="360"/>
        <v>0A</v>
      </c>
    </row>
    <row r="10845" spans="1:6" x14ac:dyDescent="0.2">
      <c r="A10845">
        <v>1</v>
      </c>
      <c r="E10845" t="str">
        <f t="shared" si="359"/>
        <v>B</v>
      </c>
      <c r="F10845" t="str">
        <f t="shared" si="360"/>
        <v>1B</v>
      </c>
    </row>
    <row r="10846" spans="1:6" x14ac:dyDescent="0.2">
      <c r="A10846">
        <v>2</v>
      </c>
      <c r="E10846" t="str">
        <f t="shared" si="359"/>
        <v>C</v>
      </c>
      <c r="F10846" t="str">
        <f t="shared" si="360"/>
        <v>2C</v>
      </c>
    </row>
    <row r="10847" spans="1:6" x14ac:dyDescent="0.2">
      <c r="A10847">
        <v>3</v>
      </c>
      <c r="E10847" t="str">
        <f t="shared" si="359"/>
        <v>D</v>
      </c>
      <c r="F10847" t="str">
        <f t="shared" si="360"/>
        <v>3D</v>
      </c>
    </row>
    <row r="10848" spans="1:6" x14ac:dyDescent="0.2">
      <c r="A10848">
        <v>4</v>
      </c>
      <c r="E10848" t="str">
        <f t="shared" si="359"/>
        <v>E</v>
      </c>
      <c r="F10848" t="str">
        <f t="shared" si="360"/>
        <v>4E</v>
      </c>
    </row>
    <row r="10849" spans="1:6" x14ac:dyDescent="0.2">
      <c r="A10849">
        <v>5</v>
      </c>
      <c r="E10849" t="str">
        <f t="shared" si="359"/>
        <v>F</v>
      </c>
      <c r="F10849" t="str">
        <f t="shared" si="360"/>
        <v>5F</v>
      </c>
    </row>
    <row r="10850" spans="1:6" x14ac:dyDescent="0.2">
      <c r="A10850">
        <v>6</v>
      </c>
      <c r="E10850" t="str">
        <f t="shared" si="359"/>
        <v>G</v>
      </c>
      <c r="F10850" t="str">
        <f t="shared" si="360"/>
        <v>6G</v>
      </c>
    </row>
    <row r="10851" spans="1:6" x14ac:dyDescent="0.2">
      <c r="A10851">
        <v>7</v>
      </c>
      <c r="E10851" t="str">
        <f t="shared" si="359"/>
        <v>H</v>
      </c>
      <c r="F10851" t="str">
        <f t="shared" si="360"/>
        <v>7H</v>
      </c>
    </row>
    <row r="10852" spans="1:6" x14ac:dyDescent="0.2">
      <c r="A10852">
        <v>8</v>
      </c>
      <c r="E10852" t="str">
        <f t="shared" si="359"/>
        <v>I</v>
      </c>
      <c r="F10852" t="str">
        <f t="shared" si="360"/>
        <v>8I</v>
      </c>
    </row>
    <row r="10853" spans="1:6" x14ac:dyDescent="0.2">
      <c r="A10853">
        <v>9</v>
      </c>
      <c r="E10853" t="str">
        <f t="shared" si="359"/>
        <v>J</v>
      </c>
      <c r="F10853" t="str">
        <f t="shared" si="360"/>
        <v>9J</v>
      </c>
    </row>
    <row r="10854" spans="1:6" x14ac:dyDescent="0.2">
      <c r="A10854">
        <v>10</v>
      </c>
      <c r="E10854" t="str">
        <f t="shared" si="359"/>
        <v>K</v>
      </c>
      <c r="F10854" t="str">
        <f t="shared" si="360"/>
        <v>10K</v>
      </c>
    </row>
    <row r="10855" spans="1:6" x14ac:dyDescent="0.2">
      <c r="A10855">
        <v>11</v>
      </c>
      <c r="E10855" t="str">
        <f t="shared" si="359"/>
        <v>L</v>
      </c>
      <c r="F10855" t="str">
        <f t="shared" si="360"/>
        <v>11L</v>
      </c>
    </row>
    <row r="10856" spans="1:6" x14ac:dyDescent="0.2">
      <c r="A10856">
        <v>12</v>
      </c>
      <c r="E10856" t="str">
        <f t="shared" si="359"/>
        <v>M</v>
      </c>
      <c r="F10856" t="str">
        <f t="shared" si="360"/>
        <v>12M</v>
      </c>
    </row>
    <row r="10857" spans="1:6" x14ac:dyDescent="0.2">
      <c r="A10857">
        <v>13</v>
      </c>
      <c r="E10857" t="str">
        <f t="shared" si="359"/>
        <v>N</v>
      </c>
      <c r="F10857" t="str">
        <f t="shared" si="360"/>
        <v>13N</v>
      </c>
    </row>
    <row r="10858" spans="1:6" x14ac:dyDescent="0.2">
      <c r="A10858">
        <v>14</v>
      </c>
      <c r="E10858" t="str">
        <f t="shared" si="359"/>
        <v>O</v>
      </c>
      <c r="F10858" t="str">
        <f t="shared" si="360"/>
        <v>14O</v>
      </c>
    </row>
    <row r="10859" spans="1:6" x14ac:dyDescent="0.2">
      <c r="A10859">
        <v>15</v>
      </c>
      <c r="E10859" t="str">
        <f t="shared" si="359"/>
        <v>P</v>
      </c>
      <c r="F10859" t="str">
        <f t="shared" si="360"/>
        <v>15P</v>
      </c>
    </row>
    <row r="10860" spans="1:6" x14ac:dyDescent="0.2">
      <c r="A10860">
        <v>16</v>
      </c>
      <c r="E10860" t="str">
        <f t="shared" si="359"/>
        <v>Q</v>
      </c>
      <c r="F10860" t="str">
        <f t="shared" si="360"/>
        <v>16Q</v>
      </c>
    </row>
    <row r="10861" spans="1:6" x14ac:dyDescent="0.2">
      <c r="A10861">
        <v>17</v>
      </c>
      <c r="E10861" t="str">
        <f t="shared" si="359"/>
        <v>R</v>
      </c>
      <c r="F10861" t="str">
        <f t="shared" si="360"/>
        <v>17R</v>
      </c>
    </row>
    <row r="10862" spans="1:6" x14ac:dyDescent="0.2">
      <c r="A10862">
        <v>18</v>
      </c>
      <c r="E10862" t="str">
        <f t="shared" si="359"/>
        <v>S</v>
      </c>
      <c r="F10862" t="str">
        <f t="shared" si="360"/>
        <v>18S</v>
      </c>
    </row>
    <row r="10863" spans="1:6" x14ac:dyDescent="0.2">
      <c r="A10863">
        <v>19</v>
      </c>
      <c r="E10863" t="str">
        <f t="shared" si="359"/>
        <v>T</v>
      </c>
      <c r="F10863" t="str">
        <f t="shared" si="360"/>
        <v>19T</v>
      </c>
    </row>
    <row r="10864" spans="1:6" x14ac:dyDescent="0.2">
      <c r="A10864">
        <v>20</v>
      </c>
      <c r="E10864" t="str">
        <f t="shared" si="359"/>
        <v>U</v>
      </c>
      <c r="F10864" t="str">
        <f t="shared" si="360"/>
        <v>20U</v>
      </c>
    </row>
    <row r="10865" spans="1:6" x14ac:dyDescent="0.2">
      <c r="A10865">
        <v>21</v>
      </c>
      <c r="E10865" t="str">
        <f t="shared" si="359"/>
        <v>V</v>
      </c>
      <c r="F10865" t="str">
        <f t="shared" si="360"/>
        <v>21V</v>
      </c>
    </row>
    <row r="10866" spans="1:6" x14ac:dyDescent="0.2">
      <c r="A10866">
        <v>22</v>
      </c>
      <c r="E10866" t="str">
        <f t="shared" si="359"/>
        <v>W</v>
      </c>
      <c r="F10866" t="str">
        <f t="shared" si="360"/>
        <v>22W</v>
      </c>
    </row>
    <row r="10867" spans="1:6" x14ac:dyDescent="0.2">
      <c r="A10867">
        <v>23</v>
      </c>
      <c r="E10867" t="str">
        <f t="shared" si="359"/>
        <v>X</v>
      </c>
      <c r="F10867" t="str">
        <f t="shared" si="360"/>
        <v>23X</v>
      </c>
    </row>
    <row r="10868" spans="1:6" x14ac:dyDescent="0.2">
      <c r="A10868">
        <v>24</v>
      </c>
      <c r="E10868" t="str">
        <f t="shared" si="359"/>
        <v>Y</v>
      </c>
      <c r="F10868" t="str">
        <f t="shared" si="360"/>
        <v>24Y</v>
      </c>
    </row>
    <row r="10869" spans="1:6" x14ac:dyDescent="0.2">
      <c r="A10869">
        <v>25</v>
      </c>
      <c r="E10869" t="str">
        <f t="shared" si="359"/>
        <v>Z</v>
      </c>
      <c r="F10869" t="str">
        <f t="shared" si="360"/>
        <v>25Z</v>
      </c>
    </row>
    <row r="10870" spans="1:6" x14ac:dyDescent="0.2">
      <c r="A10870">
        <v>0</v>
      </c>
      <c r="E10870" t="str">
        <f t="shared" si="359"/>
        <v>A</v>
      </c>
      <c r="F10870" t="str">
        <f t="shared" si="360"/>
        <v>0A</v>
      </c>
    </row>
    <row r="10871" spans="1:6" x14ac:dyDescent="0.2">
      <c r="A10871">
        <v>1</v>
      </c>
      <c r="E10871" t="str">
        <f t="shared" si="359"/>
        <v>B</v>
      </c>
      <c r="F10871" t="str">
        <f t="shared" si="360"/>
        <v>1B</v>
      </c>
    </row>
    <row r="10872" spans="1:6" x14ac:dyDescent="0.2">
      <c r="A10872">
        <v>2</v>
      </c>
      <c r="E10872" t="str">
        <f t="shared" si="359"/>
        <v>C</v>
      </c>
      <c r="F10872" t="str">
        <f t="shared" si="360"/>
        <v>2C</v>
      </c>
    </row>
    <row r="10873" spans="1:6" x14ac:dyDescent="0.2">
      <c r="A10873">
        <v>3</v>
      </c>
      <c r="E10873" t="str">
        <f t="shared" si="359"/>
        <v>D</v>
      </c>
      <c r="F10873" t="str">
        <f t="shared" si="360"/>
        <v>3D</v>
      </c>
    </row>
    <row r="10874" spans="1:6" x14ac:dyDescent="0.2">
      <c r="A10874">
        <v>4</v>
      </c>
      <c r="E10874" t="str">
        <f t="shared" si="359"/>
        <v>E</v>
      </c>
      <c r="F10874" t="str">
        <f t="shared" si="360"/>
        <v>4E</v>
      </c>
    </row>
    <row r="10875" spans="1:6" x14ac:dyDescent="0.2">
      <c r="A10875">
        <v>5</v>
      </c>
      <c r="E10875" t="str">
        <f t="shared" si="359"/>
        <v>F</v>
      </c>
      <c r="F10875" t="str">
        <f t="shared" si="360"/>
        <v>5F</v>
      </c>
    </row>
    <row r="10876" spans="1:6" x14ac:dyDescent="0.2">
      <c r="A10876">
        <v>6</v>
      </c>
      <c r="E10876" t="str">
        <f t="shared" si="359"/>
        <v>G</v>
      </c>
      <c r="F10876" t="str">
        <f t="shared" si="360"/>
        <v>6G</v>
      </c>
    </row>
    <row r="10877" spans="1:6" x14ac:dyDescent="0.2">
      <c r="A10877">
        <v>7</v>
      </c>
      <c r="E10877" t="str">
        <f t="shared" si="359"/>
        <v>H</v>
      </c>
      <c r="F10877" t="str">
        <f t="shared" si="360"/>
        <v>7H</v>
      </c>
    </row>
    <row r="10878" spans="1:6" x14ac:dyDescent="0.2">
      <c r="A10878">
        <v>8</v>
      </c>
      <c r="E10878" t="str">
        <f t="shared" si="359"/>
        <v>I</v>
      </c>
      <c r="F10878" t="str">
        <f t="shared" si="360"/>
        <v>8I</v>
      </c>
    </row>
    <row r="10879" spans="1:6" x14ac:dyDescent="0.2">
      <c r="A10879">
        <v>9</v>
      </c>
      <c r="E10879" t="str">
        <f t="shared" si="359"/>
        <v>J</v>
      </c>
      <c r="F10879" t="str">
        <f t="shared" si="360"/>
        <v>9J</v>
      </c>
    </row>
    <row r="10880" spans="1:6" x14ac:dyDescent="0.2">
      <c r="A10880">
        <v>10</v>
      </c>
      <c r="E10880" t="str">
        <f t="shared" si="359"/>
        <v>K</v>
      </c>
      <c r="F10880" t="str">
        <f t="shared" si="360"/>
        <v>10K</v>
      </c>
    </row>
    <row r="10881" spans="1:6" x14ac:dyDescent="0.2">
      <c r="A10881">
        <v>11</v>
      </c>
      <c r="E10881" t="str">
        <f t="shared" si="359"/>
        <v>L</v>
      </c>
      <c r="F10881" t="str">
        <f t="shared" si="360"/>
        <v>11L</v>
      </c>
    </row>
    <row r="10882" spans="1:6" x14ac:dyDescent="0.2">
      <c r="A10882">
        <v>12</v>
      </c>
      <c r="E10882" t="str">
        <f t="shared" si="359"/>
        <v>M</v>
      </c>
      <c r="F10882" t="str">
        <f t="shared" si="360"/>
        <v>12M</v>
      </c>
    </row>
    <row r="10883" spans="1:6" x14ac:dyDescent="0.2">
      <c r="A10883">
        <v>13</v>
      </c>
      <c r="E10883" t="str">
        <f t="shared" si="359"/>
        <v>N</v>
      </c>
      <c r="F10883" t="str">
        <f t="shared" si="360"/>
        <v>13N</v>
      </c>
    </row>
    <row r="10884" spans="1:6" x14ac:dyDescent="0.2">
      <c r="A10884">
        <v>14</v>
      </c>
      <c r="E10884" t="str">
        <f t="shared" si="359"/>
        <v>O</v>
      </c>
      <c r="F10884" t="str">
        <f t="shared" si="360"/>
        <v>14O</v>
      </c>
    </row>
    <row r="10885" spans="1:6" x14ac:dyDescent="0.2">
      <c r="A10885">
        <v>15</v>
      </c>
      <c r="E10885" t="str">
        <f t="shared" si="359"/>
        <v>P</v>
      </c>
      <c r="F10885" t="str">
        <f t="shared" si="360"/>
        <v>15P</v>
      </c>
    </row>
    <row r="10886" spans="1:6" x14ac:dyDescent="0.2">
      <c r="A10886">
        <v>16</v>
      </c>
      <c r="E10886" t="str">
        <f t="shared" si="359"/>
        <v>Q</v>
      </c>
      <c r="F10886" t="str">
        <f t="shared" si="360"/>
        <v>16Q</v>
      </c>
    </row>
    <row r="10887" spans="1:6" x14ac:dyDescent="0.2">
      <c r="A10887">
        <v>17</v>
      </c>
      <c r="E10887" t="str">
        <f t="shared" si="359"/>
        <v>R</v>
      </c>
      <c r="F10887" t="str">
        <f t="shared" si="360"/>
        <v>17R</v>
      </c>
    </row>
    <row r="10888" spans="1:6" x14ac:dyDescent="0.2">
      <c r="A10888">
        <v>18</v>
      </c>
      <c r="E10888" t="str">
        <f t="shared" si="359"/>
        <v>S</v>
      </c>
      <c r="F10888" t="str">
        <f t="shared" si="360"/>
        <v>18S</v>
      </c>
    </row>
    <row r="10889" spans="1:6" x14ac:dyDescent="0.2">
      <c r="A10889">
        <v>19</v>
      </c>
      <c r="E10889" t="str">
        <f t="shared" si="359"/>
        <v>T</v>
      </c>
      <c r="F10889" t="str">
        <f t="shared" si="360"/>
        <v>19T</v>
      </c>
    </row>
    <row r="10890" spans="1:6" x14ac:dyDescent="0.2">
      <c r="A10890">
        <v>20</v>
      </c>
      <c r="E10890" t="str">
        <f t="shared" si="359"/>
        <v>U</v>
      </c>
      <c r="F10890" t="str">
        <f t="shared" si="360"/>
        <v>20U</v>
      </c>
    </row>
    <row r="10891" spans="1:6" x14ac:dyDescent="0.2">
      <c r="A10891">
        <v>21</v>
      </c>
      <c r="E10891" t="str">
        <f t="shared" si="359"/>
        <v>V</v>
      </c>
      <c r="F10891" t="str">
        <f t="shared" si="360"/>
        <v>21V</v>
      </c>
    </row>
    <row r="10892" spans="1:6" x14ac:dyDescent="0.2">
      <c r="A10892">
        <v>22</v>
      </c>
      <c r="E10892" t="str">
        <f t="shared" si="359"/>
        <v>W</v>
      </c>
      <c r="F10892" t="str">
        <f t="shared" si="360"/>
        <v>22W</v>
      </c>
    </row>
    <row r="10893" spans="1:6" x14ac:dyDescent="0.2">
      <c r="A10893">
        <v>23</v>
      </c>
      <c r="E10893" t="str">
        <f t="shared" si="359"/>
        <v>X</v>
      </c>
      <c r="F10893" t="str">
        <f t="shared" si="360"/>
        <v>23X</v>
      </c>
    </row>
    <row r="10894" spans="1:6" x14ac:dyDescent="0.2">
      <c r="A10894">
        <v>24</v>
      </c>
      <c r="E10894" t="str">
        <f t="shared" si="359"/>
        <v>Y</v>
      </c>
      <c r="F10894" t="str">
        <f t="shared" si="360"/>
        <v>24Y</v>
      </c>
    </row>
    <row r="10895" spans="1:6" x14ac:dyDescent="0.2">
      <c r="A10895">
        <v>25</v>
      </c>
      <c r="E10895" t="str">
        <f t="shared" si="359"/>
        <v>Z</v>
      </c>
      <c r="F10895" t="str">
        <f t="shared" si="360"/>
        <v>25Z</v>
      </c>
    </row>
    <row r="10896" spans="1:6" x14ac:dyDescent="0.2">
      <c r="A10896">
        <v>0</v>
      </c>
      <c r="E10896" t="str">
        <f t="shared" si="359"/>
        <v>A</v>
      </c>
      <c r="F10896" t="str">
        <f t="shared" si="360"/>
        <v>0A</v>
      </c>
    </row>
    <row r="10897" spans="1:6" x14ac:dyDescent="0.2">
      <c r="A10897">
        <v>1</v>
      </c>
      <c r="E10897" t="str">
        <f t="shared" si="359"/>
        <v>B</v>
      </c>
      <c r="F10897" t="str">
        <f t="shared" si="360"/>
        <v>1B</v>
      </c>
    </row>
    <row r="10898" spans="1:6" x14ac:dyDescent="0.2">
      <c r="A10898">
        <v>2</v>
      </c>
      <c r="E10898" t="str">
        <f t="shared" si="359"/>
        <v>C</v>
      </c>
      <c r="F10898" t="str">
        <f t="shared" si="360"/>
        <v>2C</v>
      </c>
    </row>
    <row r="10899" spans="1:6" x14ac:dyDescent="0.2">
      <c r="A10899">
        <v>3</v>
      </c>
      <c r="E10899" t="str">
        <f t="shared" si="359"/>
        <v>D</v>
      </c>
      <c r="F10899" t="str">
        <f t="shared" si="360"/>
        <v>3D</v>
      </c>
    </row>
    <row r="10900" spans="1:6" x14ac:dyDescent="0.2">
      <c r="A10900">
        <v>4</v>
      </c>
      <c r="E10900" t="str">
        <f t="shared" si="359"/>
        <v>E</v>
      </c>
      <c r="F10900" t="str">
        <f t="shared" si="360"/>
        <v>4E</v>
      </c>
    </row>
    <row r="10901" spans="1:6" x14ac:dyDescent="0.2">
      <c r="A10901">
        <v>5</v>
      </c>
      <c r="E10901" t="str">
        <f t="shared" ref="E10901:E10964" si="361">E10875</f>
        <v>F</v>
      </c>
      <c r="F10901" t="str">
        <f t="shared" ref="F10901:F10964" si="362">A10901&amp;C10901&amp;E10901</f>
        <v>5F</v>
      </c>
    </row>
    <row r="10902" spans="1:6" x14ac:dyDescent="0.2">
      <c r="A10902">
        <v>6</v>
      </c>
      <c r="E10902" t="str">
        <f t="shared" si="361"/>
        <v>G</v>
      </c>
      <c r="F10902" t="str">
        <f t="shared" si="362"/>
        <v>6G</v>
      </c>
    </row>
    <row r="10903" spans="1:6" x14ac:dyDescent="0.2">
      <c r="A10903">
        <v>7</v>
      </c>
      <c r="E10903" t="str">
        <f t="shared" si="361"/>
        <v>H</v>
      </c>
      <c r="F10903" t="str">
        <f t="shared" si="362"/>
        <v>7H</v>
      </c>
    </row>
    <row r="10904" spans="1:6" x14ac:dyDescent="0.2">
      <c r="A10904">
        <v>8</v>
      </c>
      <c r="E10904" t="str">
        <f t="shared" si="361"/>
        <v>I</v>
      </c>
      <c r="F10904" t="str">
        <f t="shared" si="362"/>
        <v>8I</v>
      </c>
    </row>
    <row r="10905" spans="1:6" x14ac:dyDescent="0.2">
      <c r="A10905">
        <v>9</v>
      </c>
      <c r="E10905" t="str">
        <f t="shared" si="361"/>
        <v>J</v>
      </c>
      <c r="F10905" t="str">
        <f t="shared" si="362"/>
        <v>9J</v>
      </c>
    </row>
    <row r="10906" spans="1:6" x14ac:dyDescent="0.2">
      <c r="A10906">
        <v>10</v>
      </c>
      <c r="E10906" t="str">
        <f t="shared" si="361"/>
        <v>K</v>
      </c>
      <c r="F10906" t="str">
        <f t="shared" si="362"/>
        <v>10K</v>
      </c>
    </row>
    <row r="10907" spans="1:6" x14ac:dyDescent="0.2">
      <c r="A10907">
        <v>11</v>
      </c>
      <c r="E10907" t="str">
        <f t="shared" si="361"/>
        <v>L</v>
      </c>
      <c r="F10907" t="str">
        <f t="shared" si="362"/>
        <v>11L</v>
      </c>
    </row>
    <row r="10908" spans="1:6" x14ac:dyDescent="0.2">
      <c r="A10908">
        <v>12</v>
      </c>
      <c r="E10908" t="str">
        <f t="shared" si="361"/>
        <v>M</v>
      </c>
      <c r="F10908" t="str">
        <f t="shared" si="362"/>
        <v>12M</v>
      </c>
    </row>
    <row r="10909" spans="1:6" x14ac:dyDescent="0.2">
      <c r="A10909">
        <v>13</v>
      </c>
      <c r="E10909" t="str">
        <f t="shared" si="361"/>
        <v>N</v>
      </c>
      <c r="F10909" t="str">
        <f t="shared" si="362"/>
        <v>13N</v>
      </c>
    </row>
    <row r="10910" spans="1:6" x14ac:dyDescent="0.2">
      <c r="A10910">
        <v>14</v>
      </c>
      <c r="E10910" t="str">
        <f t="shared" si="361"/>
        <v>O</v>
      </c>
      <c r="F10910" t="str">
        <f t="shared" si="362"/>
        <v>14O</v>
      </c>
    </row>
    <row r="10911" spans="1:6" x14ac:dyDescent="0.2">
      <c r="A10911">
        <v>15</v>
      </c>
      <c r="E10911" t="str">
        <f t="shared" si="361"/>
        <v>P</v>
      </c>
      <c r="F10911" t="str">
        <f t="shared" si="362"/>
        <v>15P</v>
      </c>
    </row>
    <row r="10912" spans="1:6" x14ac:dyDescent="0.2">
      <c r="A10912">
        <v>16</v>
      </c>
      <c r="E10912" t="str">
        <f t="shared" si="361"/>
        <v>Q</v>
      </c>
      <c r="F10912" t="str">
        <f t="shared" si="362"/>
        <v>16Q</v>
      </c>
    </row>
    <row r="10913" spans="1:6" x14ac:dyDescent="0.2">
      <c r="A10913">
        <v>17</v>
      </c>
      <c r="E10913" t="str">
        <f t="shared" si="361"/>
        <v>R</v>
      </c>
      <c r="F10913" t="str">
        <f t="shared" si="362"/>
        <v>17R</v>
      </c>
    </row>
    <row r="10914" spans="1:6" x14ac:dyDescent="0.2">
      <c r="A10914">
        <v>18</v>
      </c>
      <c r="E10914" t="str">
        <f t="shared" si="361"/>
        <v>S</v>
      </c>
      <c r="F10914" t="str">
        <f t="shared" si="362"/>
        <v>18S</v>
      </c>
    </row>
    <row r="10915" spans="1:6" x14ac:dyDescent="0.2">
      <c r="A10915">
        <v>19</v>
      </c>
      <c r="E10915" t="str">
        <f t="shared" si="361"/>
        <v>T</v>
      </c>
      <c r="F10915" t="str">
        <f t="shared" si="362"/>
        <v>19T</v>
      </c>
    </row>
    <row r="10916" spans="1:6" x14ac:dyDescent="0.2">
      <c r="A10916">
        <v>20</v>
      </c>
      <c r="E10916" t="str">
        <f t="shared" si="361"/>
        <v>U</v>
      </c>
      <c r="F10916" t="str">
        <f t="shared" si="362"/>
        <v>20U</v>
      </c>
    </row>
    <row r="10917" spans="1:6" x14ac:dyDescent="0.2">
      <c r="A10917">
        <v>21</v>
      </c>
      <c r="E10917" t="str">
        <f t="shared" si="361"/>
        <v>V</v>
      </c>
      <c r="F10917" t="str">
        <f t="shared" si="362"/>
        <v>21V</v>
      </c>
    </row>
    <row r="10918" spans="1:6" x14ac:dyDescent="0.2">
      <c r="A10918">
        <v>22</v>
      </c>
      <c r="E10918" t="str">
        <f t="shared" si="361"/>
        <v>W</v>
      </c>
      <c r="F10918" t="str">
        <f t="shared" si="362"/>
        <v>22W</v>
      </c>
    </row>
    <row r="10919" spans="1:6" x14ac:dyDescent="0.2">
      <c r="A10919">
        <v>23</v>
      </c>
      <c r="E10919" t="str">
        <f t="shared" si="361"/>
        <v>X</v>
      </c>
      <c r="F10919" t="str">
        <f t="shared" si="362"/>
        <v>23X</v>
      </c>
    </row>
    <row r="10920" spans="1:6" x14ac:dyDescent="0.2">
      <c r="A10920">
        <v>24</v>
      </c>
      <c r="E10920" t="str">
        <f t="shared" si="361"/>
        <v>Y</v>
      </c>
      <c r="F10920" t="str">
        <f t="shared" si="362"/>
        <v>24Y</v>
      </c>
    </row>
    <row r="10921" spans="1:6" x14ac:dyDescent="0.2">
      <c r="A10921">
        <v>25</v>
      </c>
      <c r="E10921" t="str">
        <f t="shared" si="361"/>
        <v>Z</v>
      </c>
      <c r="F10921" t="str">
        <f t="shared" si="362"/>
        <v>25Z</v>
      </c>
    </row>
    <row r="10922" spans="1:6" x14ac:dyDescent="0.2">
      <c r="A10922">
        <v>0</v>
      </c>
      <c r="E10922" t="str">
        <f t="shared" si="361"/>
        <v>A</v>
      </c>
      <c r="F10922" t="str">
        <f t="shared" si="362"/>
        <v>0A</v>
      </c>
    </row>
    <row r="10923" spans="1:6" x14ac:dyDescent="0.2">
      <c r="A10923">
        <v>1</v>
      </c>
      <c r="E10923" t="str">
        <f t="shared" si="361"/>
        <v>B</v>
      </c>
      <c r="F10923" t="str">
        <f t="shared" si="362"/>
        <v>1B</v>
      </c>
    </row>
    <row r="10924" spans="1:6" x14ac:dyDescent="0.2">
      <c r="A10924">
        <v>2</v>
      </c>
      <c r="E10924" t="str">
        <f t="shared" si="361"/>
        <v>C</v>
      </c>
      <c r="F10924" t="str">
        <f t="shared" si="362"/>
        <v>2C</v>
      </c>
    </row>
    <row r="10925" spans="1:6" x14ac:dyDescent="0.2">
      <c r="A10925">
        <v>3</v>
      </c>
      <c r="E10925" t="str">
        <f t="shared" si="361"/>
        <v>D</v>
      </c>
      <c r="F10925" t="str">
        <f t="shared" si="362"/>
        <v>3D</v>
      </c>
    </row>
    <row r="10926" spans="1:6" x14ac:dyDescent="0.2">
      <c r="A10926">
        <v>4</v>
      </c>
      <c r="E10926" t="str">
        <f t="shared" si="361"/>
        <v>E</v>
      </c>
      <c r="F10926" t="str">
        <f t="shared" si="362"/>
        <v>4E</v>
      </c>
    </row>
    <row r="10927" spans="1:6" x14ac:dyDescent="0.2">
      <c r="A10927">
        <v>5</v>
      </c>
      <c r="E10927" t="str">
        <f t="shared" si="361"/>
        <v>F</v>
      </c>
      <c r="F10927" t="str">
        <f t="shared" si="362"/>
        <v>5F</v>
      </c>
    </row>
    <row r="10928" spans="1:6" x14ac:dyDescent="0.2">
      <c r="A10928">
        <v>6</v>
      </c>
      <c r="E10928" t="str">
        <f t="shared" si="361"/>
        <v>G</v>
      </c>
      <c r="F10928" t="str">
        <f t="shared" si="362"/>
        <v>6G</v>
      </c>
    </row>
    <row r="10929" spans="1:6" x14ac:dyDescent="0.2">
      <c r="A10929">
        <v>7</v>
      </c>
      <c r="E10929" t="str">
        <f t="shared" si="361"/>
        <v>H</v>
      </c>
      <c r="F10929" t="str">
        <f t="shared" si="362"/>
        <v>7H</v>
      </c>
    </row>
    <row r="10930" spans="1:6" x14ac:dyDescent="0.2">
      <c r="A10930">
        <v>8</v>
      </c>
      <c r="E10930" t="str">
        <f t="shared" si="361"/>
        <v>I</v>
      </c>
      <c r="F10930" t="str">
        <f t="shared" si="362"/>
        <v>8I</v>
      </c>
    </row>
    <row r="10931" spans="1:6" x14ac:dyDescent="0.2">
      <c r="A10931">
        <v>9</v>
      </c>
      <c r="E10931" t="str">
        <f t="shared" si="361"/>
        <v>J</v>
      </c>
      <c r="F10931" t="str">
        <f t="shared" si="362"/>
        <v>9J</v>
      </c>
    </row>
    <row r="10932" spans="1:6" x14ac:dyDescent="0.2">
      <c r="A10932">
        <v>10</v>
      </c>
      <c r="E10932" t="str">
        <f t="shared" si="361"/>
        <v>K</v>
      </c>
      <c r="F10932" t="str">
        <f t="shared" si="362"/>
        <v>10K</v>
      </c>
    </row>
    <row r="10933" spans="1:6" x14ac:dyDescent="0.2">
      <c r="A10933">
        <v>11</v>
      </c>
      <c r="E10933" t="str">
        <f t="shared" si="361"/>
        <v>L</v>
      </c>
      <c r="F10933" t="str">
        <f t="shared" si="362"/>
        <v>11L</v>
      </c>
    </row>
    <row r="10934" spans="1:6" x14ac:dyDescent="0.2">
      <c r="A10934">
        <v>12</v>
      </c>
      <c r="E10934" t="str">
        <f t="shared" si="361"/>
        <v>M</v>
      </c>
      <c r="F10934" t="str">
        <f t="shared" si="362"/>
        <v>12M</v>
      </c>
    </row>
    <row r="10935" spans="1:6" x14ac:dyDescent="0.2">
      <c r="A10935">
        <v>13</v>
      </c>
      <c r="E10935" t="str">
        <f t="shared" si="361"/>
        <v>N</v>
      </c>
      <c r="F10935" t="str">
        <f t="shared" si="362"/>
        <v>13N</v>
      </c>
    </row>
    <row r="10936" spans="1:6" x14ac:dyDescent="0.2">
      <c r="A10936">
        <v>14</v>
      </c>
      <c r="E10936" t="str">
        <f t="shared" si="361"/>
        <v>O</v>
      </c>
      <c r="F10936" t="str">
        <f t="shared" si="362"/>
        <v>14O</v>
      </c>
    </row>
    <row r="10937" spans="1:6" x14ac:dyDescent="0.2">
      <c r="A10937">
        <v>15</v>
      </c>
      <c r="E10937" t="str">
        <f t="shared" si="361"/>
        <v>P</v>
      </c>
      <c r="F10937" t="str">
        <f t="shared" si="362"/>
        <v>15P</v>
      </c>
    </row>
    <row r="10938" spans="1:6" x14ac:dyDescent="0.2">
      <c r="A10938">
        <v>16</v>
      </c>
      <c r="E10938" t="str">
        <f t="shared" si="361"/>
        <v>Q</v>
      </c>
      <c r="F10938" t="str">
        <f t="shared" si="362"/>
        <v>16Q</v>
      </c>
    </row>
    <row r="10939" spans="1:6" x14ac:dyDescent="0.2">
      <c r="A10939">
        <v>17</v>
      </c>
      <c r="E10939" t="str">
        <f t="shared" si="361"/>
        <v>R</v>
      </c>
      <c r="F10939" t="str">
        <f t="shared" si="362"/>
        <v>17R</v>
      </c>
    </row>
    <row r="10940" spans="1:6" x14ac:dyDescent="0.2">
      <c r="A10940">
        <v>18</v>
      </c>
      <c r="E10940" t="str">
        <f t="shared" si="361"/>
        <v>S</v>
      </c>
      <c r="F10940" t="str">
        <f t="shared" si="362"/>
        <v>18S</v>
      </c>
    </row>
    <row r="10941" spans="1:6" x14ac:dyDescent="0.2">
      <c r="A10941">
        <v>19</v>
      </c>
      <c r="E10941" t="str">
        <f t="shared" si="361"/>
        <v>T</v>
      </c>
      <c r="F10941" t="str">
        <f t="shared" si="362"/>
        <v>19T</v>
      </c>
    </row>
    <row r="10942" spans="1:6" x14ac:dyDescent="0.2">
      <c r="A10942">
        <v>20</v>
      </c>
      <c r="E10942" t="str">
        <f t="shared" si="361"/>
        <v>U</v>
      </c>
      <c r="F10942" t="str">
        <f t="shared" si="362"/>
        <v>20U</v>
      </c>
    </row>
    <row r="10943" spans="1:6" x14ac:dyDescent="0.2">
      <c r="A10943">
        <v>21</v>
      </c>
      <c r="E10943" t="str">
        <f t="shared" si="361"/>
        <v>V</v>
      </c>
      <c r="F10943" t="str">
        <f t="shared" si="362"/>
        <v>21V</v>
      </c>
    </row>
    <row r="10944" spans="1:6" x14ac:dyDescent="0.2">
      <c r="A10944">
        <v>22</v>
      </c>
      <c r="E10944" t="str">
        <f t="shared" si="361"/>
        <v>W</v>
      </c>
      <c r="F10944" t="str">
        <f t="shared" si="362"/>
        <v>22W</v>
      </c>
    </row>
    <row r="10945" spans="1:6" x14ac:dyDescent="0.2">
      <c r="A10945">
        <v>23</v>
      </c>
      <c r="E10945" t="str">
        <f t="shared" si="361"/>
        <v>X</v>
      </c>
      <c r="F10945" t="str">
        <f t="shared" si="362"/>
        <v>23X</v>
      </c>
    </row>
    <row r="10946" spans="1:6" x14ac:dyDescent="0.2">
      <c r="A10946">
        <v>24</v>
      </c>
      <c r="E10946" t="str">
        <f t="shared" si="361"/>
        <v>Y</v>
      </c>
      <c r="F10946" t="str">
        <f t="shared" si="362"/>
        <v>24Y</v>
      </c>
    </row>
    <row r="10947" spans="1:6" x14ac:dyDescent="0.2">
      <c r="A10947">
        <v>25</v>
      </c>
      <c r="E10947" t="str">
        <f t="shared" si="361"/>
        <v>Z</v>
      </c>
      <c r="F10947" t="str">
        <f t="shared" si="362"/>
        <v>25Z</v>
      </c>
    </row>
    <row r="10948" spans="1:6" x14ac:dyDescent="0.2">
      <c r="A10948">
        <v>0</v>
      </c>
      <c r="E10948" t="str">
        <f t="shared" si="361"/>
        <v>A</v>
      </c>
      <c r="F10948" t="str">
        <f t="shared" si="362"/>
        <v>0A</v>
      </c>
    </row>
    <row r="10949" spans="1:6" x14ac:dyDescent="0.2">
      <c r="A10949">
        <v>1</v>
      </c>
      <c r="E10949" t="str">
        <f t="shared" si="361"/>
        <v>B</v>
      </c>
      <c r="F10949" t="str">
        <f t="shared" si="362"/>
        <v>1B</v>
      </c>
    </row>
    <row r="10950" spans="1:6" x14ac:dyDescent="0.2">
      <c r="A10950">
        <v>2</v>
      </c>
      <c r="E10950" t="str">
        <f t="shared" si="361"/>
        <v>C</v>
      </c>
      <c r="F10950" t="str">
        <f t="shared" si="362"/>
        <v>2C</v>
      </c>
    </row>
    <row r="10951" spans="1:6" x14ac:dyDescent="0.2">
      <c r="A10951">
        <v>3</v>
      </c>
      <c r="E10951" t="str">
        <f t="shared" si="361"/>
        <v>D</v>
      </c>
      <c r="F10951" t="str">
        <f t="shared" si="362"/>
        <v>3D</v>
      </c>
    </row>
    <row r="10952" spans="1:6" x14ac:dyDescent="0.2">
      <c r="A10952">
        <v>4</v>
      </c>
      <c r="E10952" t="str">
        <f t="shared" si="361"/>
        <v>E</v>
      </c>
      <c r="F10952" t="str">
        <f t="shared" si="362"/>
        <v>4E</v>
      </c>
    </row>
    <row r="10953" spans="1:6" x14ac:dyDescent="0.2">
      <c r="A10953">
        <v>5</v>
      </c>
      <c r="E10953" t="str">
        <f t="shared" si="361"/>
        <v>F</v>
      </c>
      <c r="F10953" t="str">
        <f t="shared" si="362"/>
        <v>5F</v>
      </c>
    </row>
    <row r="10954" spans="1:6" x14ac:dyDescent="0.2">
      <c r="A10954">
        <v>6</v>
      </c>
      <c r="E10954" t="str">
        <f t="shared" si="361"/>
        <v>G</v>
      </c>
      <c r="F10954" t="str">
        <f t="shared" si="362"/>
        <v>6G</v>
      </c>
    </row>
    <row r="10955" spans="1:6" x14ac:dyDescent="0.2">
      <c r="A10955">
        <v>7</v>
      </c>
      <c r="E10955" t="str">
        <f t="shared" si="361"/>
        <v>H</v>
      </c>
      <c r="F10955" t="str">
        <f t="shared" si="362"/>
        <v>7H</v>
      </c>
    </row>
    <row r="10956" spans="1:6" x14ac:dyDescent="0.2">
      <c r="A10956">
        <v>8</v>
      </c>
      <c r="E10956" t="str">
        <f t="shared" si="361"/>
        <v>I</v>
      </c>
      <c r="F10956" t="str">
        <f t="shared" si="362"/>
        <v>8I</v>
      </c>
    </row>
    <row r="10957" spans="1:6" x14ac:dyDescent="0.2">
      <c r="A10957">
        <v>9</v>
      </c>
      <c r="E10957" t="str">
        <f t="shared" si="361"/>
        <v>J</v>
      </c>
      <c r="F10957" t="str">
        <f t="shared" si="362"/>
        <v>9J</v>
      </c>
    </row>
    <row r="10958" spans="1:6" x14ac:dyDescent="0.2">
      <c r="A10958">
        <v>10</v>
      </c>
      <c r="E10958" t="str">
        <f t="shared" si="361"/>
        <v>K</v>
      </c>
      <c r="F10958" t="str">
        <f t="shared" si="362"/>
        <v>10K</v>
      </c>
    </row>
    <row r="10959" spans="1:6" x14ac:dyDescent="0.2">
      <c r="A10959">
        <v>11</v>
      </c>
      <c r="E10959" t="str">
        <f t="shared" si="361"/>
        <v>L</v>
      </c>
      <c r="F10959" t="str">
        <f t="shared" si="362"/>
        <v>11L</v>
      </c>
    </row>
    <row r="10960" spans="1:6" x14ac:dyDescent="0.2">
      <c r="A10960">
        <v>12</v>
      </c>
      <c r="E10960" t="str">
        <f t="shared" si="361"/>
        <v>M</v>
      </c>
      <c r="F10960" t="str">
        <f t="shared" si="362"/>
        <v>12M</v>
      </c>
    </row>
    <row r="10961" spans="1:6" x14ac:dyDescent="0.2">
      <c r="A10961">
        <v>13</v>
      </c>
      <c r="E10961" t="str">
        <f t="shared" si="361"/>
        <v>N</v>
      </c>
      <c r="F10961" t="str">
        <f t="shared" si="362"/>
        <v>13N</v>
      </c>
    </row>
    <row r="10962" spans="1:6" x14ac:dyDescent="0.2">
      <c r="A10962">
        <v>14</v>
      </c>
      <c r="E10962" t="str">
        <f t="shared" si="361"/>
        <v>O</v>
      </c>
      <c r="F10962" t="str">
        <f t="shared" si="362"/>
        <v>14O</v>
      </c>
    </row>
    <row r="10963" spans="1:6" x14ac:dyDescent="0.2">
      <c r="A10963">
        <v>15</v>
      </c>
      <c r="E10963" t="str">
        <f t="shared" si="361"/>
        <v>P</v>
      </c>
      <c r="F10963" t="str">
        <f t="shared" si="362"/>
        <v>15P</v>
      </c>
    </row>
    <row r="10964" spans="1:6" x14ac:dyDescent="0.2">
      <c r="A10964">
        <v>16</v>
      </c>
      <c r="E10964" t="str">
        <f t="shared" si="361"/>
        <v>Q</v>
      </c>
      <c r="F10964" t="str">
        <f t="shared" si="362"/>
        <v>16Q</v>
      </c>
    </row>
    <row r="10965" spans="1:6" x14ac:dyDescent="0.2">
      <c r="A10965">
        <v>17</v>
      </c>
      <c r="E10965" t="str">
        <f t="shared" ref="E10965:E11028" si="363">E10939</f>
        <v>R</v>
      </c>
      <c r="F10965" t="str">
        <f t="shared" ref="F10965:F11028" si="364">A10965&amp;C10965&amp;E10965</f>
        <v>17R</v>
      </c>
    </row>
    <row r="10966" spans="1:6" x14ac:dyDescent="0.2">
      <c r="A10966">
        <v>18</v>
      </c>
      <c r="E10966" t="str">
        <f t="shared" si="363"/>
        <v>S</v>
      </c>
      <c r="F10966" t="str">
        <f t="shared" si="364"/>
        <v>18S</v>
      </c>
    </row>
    <row r="10967" spans="1:6" x14ac:dyDescent="0.2">
      <c r="A10967">
        <v>19</v>
      </c>
      <c r="E10967" t="str">
        <f t="shared" si="363"/>
        <v>T</v>
      </c>
      <c r="F10967" t="str">
        <f t="shared" si="364"/>
        <v>19T</v>
      </c>
    </row>
    <row r="10968" spans="1:6" x14ac:dyDescent="0.2">
      <c r="A10968">
        <v>20</v>
      </c>
      <c r="E10968" t="str">
        <f t="shared" si="363"/>
        <v>U</v>
      </c>
      <c r="F10968" t="str">
        <f t="shared" si="364"/>
        <v>20U</v>
      </c>
    </row>
    <row r="10969" spans="1:6" x14ac:dyDescent="0.2">
      <c r="A10969">
        <v>21</v>
      </c>
      <c r="E10969" t="str">
        <f t="shared" si="363"/>
        <v>V</v>
      </c>
      <c r="F10969" t="str">
        <f t="shared" si="364"/>
        <v>21V</v>
      </c>
    </row>
    <row r="10970" spans="1:6" x14ac:dyDescent="0.2">
      <c r="A10970">
        <v>22</v>
      </c>
      <c r="E10970" t="str">
        <f t="shared" si="363"/>
        <v>W</v>
      </c>
      <c r="F10970" t="str">
        <f t="shared" si="364"/>
        <v>22W</v>
      </c>
    </row>
    <row r="10971" spans="1:6" x14ac:dyDescent="0.2">
      <c r="A10971">
        <v>23</v>
      </c>
      <c r="E10971" t="str">
        <f t="shared" si="363"/>
        <v>X</v>
      </c>
      <c r="F10971" t="str">
        <f t="shared" si="364"/>
        <v>23X</v>
      </c>
    </row>
    <row r="10972" spans="1:6" x14ac:dyDescent="0.2">
      <c r="A10972">
        <v>24</v>
      </c>
      <c r="E10972" t="str">
        <f t="shared" si="363"/>
        <v>Y</v>
      </c>
      <c r="F10972" t="str">
        <f t="shared" si="364"/>
        <v>24Y</v>
      </c>
    </row>
    <row r="10973" spans="1:6" x14ac:dyDescent="0.2">
      <c r="A10973">
        <v>25</v>
      </c>
      <c r="E10973" t="str">
        <f t="shared" si="363"/>
        <v>Z</v>
      </c>
      <c r="F10973" t="str">
        <f t="shared" si="364"/>
        <v>25Z</v>
      </c>
    </row>
    <row r="10974" spans="1:6" x14ac:dyDescent="0.2">
      <c r="A10974">
        <v>0</v>
      </c>
      <c r="E10974" t="str">
        <f t="shared" si="363"/>
        <v>A</v>
      </c>
      <c r="F10974" t="str">
        <f t="shared" si="364"/>
        <v>0A</v>
      </c>
    </row>
    <row r="10975" spans="1:6" x14ac:dyDescent="0.2">
      <c r="A10975">
        <v>1</v>
      </c>
      <c r="E10975" t="str">
        <f t="shared" si="363"/>
        <v>B</v>
      </c>
      <c r="F10975" t="str">
        <f t="shared" si="364"/>
        <v>1B</v>
      </c>
    </row>
    <row r="10976" spans="1:6" x14ac:dyDescent="0.2">
      <c r="A10976">
        <v>2</v>
      </c>
      <c r="E10976" t="str">
        <f t="shared" si="363"/>
        <v>C</v>
      </c>
      <c r="F10976" t="str">
        <f t="shared" si="364"/>
        <v>2C</v>
      </c>
    </row>
    <row r="10977" spans="1:6" x14ac:dyDescent="0.2">
      <c r="A10977">
        <v>3</v>
      </c>
      <c r="E10977" t="str">
        <f t="shared" si="363"/>
        <v>D</v>
      </c>
      <c r="F10977" t="str">
        <f t="shared" si="364"/>
        <v>3D</v>
      </c>
    </row>
    <row r="10978" spans="1:6" x14ac:dyDescent="0.2">
      <c r="A10978">
        <v>4</v>
      </c>
      <c r="E10978" t="str">
        <f t="shared" si="363"/>
        <v>E</v>
      </c>
      <c r="F10978" t="str">
        <f t="shared" si="364"/>
        <v>4E</v>
      </c>
    </row>
    <row r="10979" spans="1:6" x14ac:dyDescent="0.2">
      <c r="A10979">
        <v>5</v>
      </c>
      <c r="E10979" t="str">
        <f t="shared" si="363"/>
        <v>F</v>
      </c>
      <c r="F10979" t="str">
        <f t="shared" si="364"/>
        <v>5F</v>
      </c>
    </row>
    <row r="10980" spans="1:6" x14ac:dyDescent="0.2">
      <c r="A10980">
        <v>6</v>
      </c>
      <c r="E10980" t="str">
        <f t="shared" si="363"/>
        <v>G</v>
      </c>
      <c r="F10980" t="str">
        <f t="shared" si="364"/>
        <v>6G</v>
      </c>
    </row>
    <row r="10981" spans="1:6" x14ac:dyDescent="0.2">
      <c r="A10981">
        <v>7</v>
      </c>
      <c r="E10981" t="str">
        <f t="shared" si="363"/>
        <v>H</v>
      </c>
      <c r="F10981" t="str">
        <f t="shared" si="364"/>
        <v>7H</v>
      </c>
    </row>
    <row r="10982" spans="1:6" x14ac:dyDescent="0.2">
      <c r="A10982">
        <v>8</v>
      </c>
      <c r="E10982" t="str">
        <f t="shared" si="363"/>
        <v>I</v>
      </c>
      <c r="F10982" t="str">
        <f t="shared" si="364"/>
        <v>8I</v>
      </c>
    </row>
    <row r="10983" spans="1:6" x14ac:dyDescent="0.2">
      <c r="A10983">
        <v>9</v>
      </c>
      <c r="E10983" t="str">
        <f t="shared" si="363"/>
        <v>J</v>
      </c>
      <c r="F10983" t="str">
        <f t="shared" si="364"/>
        <v>9J</v>
      </c>
    </row>
    <row r="10984" spans="1:6" x14ac:dyDescent="0.2">
      <c r="A10984">
        <v>10</v>
      </c>
      <c r="E10984" t="str">
        <f t="shared" si="363"/>
        <v>K</v>
      </c>
      <c r="F10984" t="str">
        <f t="shared" si="364"/>
        <v>10K</v>
      </c>
    </row>
    <row r="10985" spans="1:6" x14ac:dyDescent="0.2">
      <c r="A10985">
        <v>11</v>
      </c>
      <c r="E10985" t="str">
        <f t="shared" si="363"/>
        <v>L</v>
      </c>
      <c r="F10985" t="str">
        <f t="shared" si="364"/>
        <v>11L</v>
      </c>
    </row>
    <row r="10986" spans="1:6" x14ac:dyDescent="0.2">
      <c r="A10986">
        <v>12</v>
      </c>
      <c r="E10986" t="str">
        <f t="shared" si="363"/>
        <v>M</v>
      </c>
      <c r="F10986" t="str">
        <f t="shared" si="364"/>
        <v>12M</v>
      </c>
    </row>
    <row r="10987" spans="1:6" x14ac:dyDescent="0.2">
      <c r="A10987">
        <v>13</v>
      </c>
      <c r="E10987" t="str">
        <f t="shared" si="363"/>
        <v>N</v>
      </c>
      <c r="F10987" t="str">
        <f t="shared" si="364"/>
        <v>13N</v>
      </c>
    </row>
    <row r="10988" spans="1:6" x14ac:dyDescent="0.2">
      <c r="A10988">
        <v>14</v>
      </c>
      <c r="E10988" t="str">
        <f t="shared" si="363"/>
        <v>O</v>
      </c>
      <c r="F10988" t="str">
        <f t="shared" si="364"/>
        <v>14O</v>
      </c>
    </row>
    <row r="10989" spans="1:6" x14ac:dyDescent="0.2">
      <c r="A10989">
        <v>15</v>
      </c>
      <c r="E10989" t="str">
        <f t="shared" si="363"/>
        <v>P</v>
      </c>
      <c r="F10989" t="str">
        <f t="shared" si="364"/>
        <v>15P</v>
      </c>
    </row>
    <row r="10990" spans="1:6" x14ac:dyDescent="0.2">
      <c r="A10990">
        <v>16</v>
      </c>
      <c r="E10990" t="str">
        <f t="shared" si="363"/>
        <v>Q</v>
      </c>
      <c r="F10990" t="str">
        <f t="shared" si="364"/>
        <v>16Q</v>
      </c>
    </row>
    <row r="10991" spans="1:6" x14ac:dyDescent="0.2">
      <c r="A10991">
        <v>17</v>
      </c>
      <c r="E10991" t="str">
        <f t="shared" si="363"/>
        <v>R</v>
      </c>
      <c r="F10991" t="str">
        <f t="shared" si="364"/>
        <v>17R</v>
      </c>
    </row>
    <row r="10992" spans="1:6" x14ac:dyDescent="0.2">
      <c r="A10992">
        <v>18</v>
      </c>
      <c r="E10992" t="str">
        <f t="shared" si="363"/>
        <v>S</v>
      </c>
      <c r="F10992" t="str">
        <f t="shared" si="364"/>
        <v>18S</v>
      </c>
    </row>
    <row r="10993" spans="1:6" x14ac:dyDescent="0.2">
      <c r="A10993">
        <v>19</v>
      </c>
      <c r="E10993" t="str">
        <f t="shared" si="363"/>
        <v>T</v>
      </c>
      <c r="F10993" t="str">
        <f t="shared" si="364"/>
        <v>19T</v>
      </c>
    </row>
    <row r="10994" spans="1:6" x14ac:dyDescent="0.2">
      <c r="A10994">
        <v>20</v>
      </c>
      <c r="E10994" t="str">
        <f t="shared" si="363"/>
        <v>U</v>
      </c>
      <c r="F10994" t="str">
        <f t="shared" si="364"/>
        <v>20U</v>
      </c>
    </row>
    <row r="10995" spans="1:6" x14ac:dyDescent="0.2">
      <c r="A10995">
        <v>21</v>
      </c>
      <c r="E10995" t="str">
        <f t="shared" si="363"/>
        <v>V</v>
      </c>
      <c r="F10995" t="str">
        <f t="shared" si="364"/>
        <v>21V</v>
      </c>
    </row>
    <row r="10996" spans="1:6" x14ac:dyDescent="0.2">
      <c r="A10996">
        <v>22</v>
      </c>
      <c r="E10996" t="str">
        <f t="shared" si="363"/>
        <v>W</v>
      </c>
      <c r="F10996" t="str">
        <f t="shared" si="364"/>
        <v>22W</v>
      </c>
    </row>
    <row r="10997" spans="1:6" x14ac:dyDescent="0.2">
      <c r="A10997">
        <v>23</v>
      </c>
      <c r="E10997" t="str">
        <f t="shared" si="363"/>
        <v>X</v>
      </c>
      <c r="F10997" t="str">
        <f t="shared" si="364"/>
        <v>23X</v>
      </c>
    </row>
    <row r="10998" spans="1:6" x14ac:dyDescent="0.2">
      <c r="A10998">
        <v>24</v>
      </c>
      <c r="E10998" t="str">
        <f t="shared" si="363"/>
        <v>Y</v>
      </c>
      <c r="F10998" t="str">
        <f t="shared" si="364"/>
        <v>24Y</v>
      </c>
    </row>
    <row r="10999" spans="1:6" x14ac:dyDescent="0.2">
      <c r="A10999">
        <v>25</v>
      </c>
      <c r="E10999" t="str">
        <f t="shared" si="363"/>
        <v>Z</v>
      </c>
      <c r="F10999" t="str">
        <f t="shared" si="364"/>
        <v>25Z</v>
      </c>
    </row>
    <row r="11000" spans="1:6" x14ac:dyDescent="0.2">
      <c r="A11000">
        <v>0</v>
      </c>
      <c r="E11000" t="str">
        <f t="shared" si="363"/>
        <v>A</v>
      </c>
      <c r="F11000" t="str">
        <f t="shared" si="364"/>
        <v>0A</v>
      </c>
    </row>
    <row r="11001" spans="1:6" x14ac:dyDescent="0.2">
      <c r="A11001">
        <v>1</v>
      </c>
      <c r="E11001" t="str">
        <f t="shared" si="363"/>
        <v>B</v>
      </c>
      <c r="F11001" t="str">
        <f t="shared" si="364"/>
        <v>1B</v>
      </c>
    </row>
    <row r="11002" spans="1:6" x14ac:dyDescent="0.2">
      <c r="A11002">
        <v>2</v>
      </c>
      <c r="E11002" t="str">
        <f t="shared" si="363"/>
        <v>C</v>
      </c>
      <c r="F11002" t="str">
        <f t="shared" si="364"/>
        <v>2C</v>
      </c>
    </row>
    <row r="11003" spans="1:6" x14ac:dyDescent="0.2">
      <c r="A11003">
        <v>3</v>
      </c>
      <c r="E11003" t="str">
        <f t="shared" si="363"/>
        <v>D</v>
      </c>
      <c r="F11003" t="str">
        <f t="shared" si="364"/>
        <v>3D</v>
      </c>
    </row>
    <row r="11004" spans="1:6" x14ac:dyDescent="0.2">
      <c r="A11004">
        <v>4</v>
      </c>
      <c r="E11004" t="str">
        <f t="shared" si="363"/>
        <v>E</v>
      </c>
      <c r="F11004" t="str">
        <f t="shared" si="364"/>
        <v>4E</v>
      </c>
    </row>
    <row r="11005" spans="1:6" x14ac:dyDescent="0.2">
      <c r="A11005">
        <v>5</v>
      </c>
      <c r="E11005" t="str">
        <f t="shared" si="363"/>
        <v>F</v>
      </c>
      <c r="F11005" t="str">
        <f t="shared" si="364"/>
        <v>5F</v>
      </c>
    </row>
    <row r="11006" spans="1:6" x14ac:dyDescent="0.2">
      <c r="A11006">
        <v>6</v>
      </c>
      <c r="E11006" t="str">
        <f t="shared" si="363"/>
        <v>G</v>
      </c>
      <c r="F11006" t="str">
        <f t="shared" si="364"/>
        <v>6G</v>
      </c>
    </row>
    <row r="11007" spans="1:6" x14ac:dyDescent="0.2">
      <c r="A11007">
        <v>7</v>
      </c>
      <c r="E11007" t="str">
        <f t="shared" si="363"/>
        <v>H</v>
      </c>
      <c r="F11007" t="str">
        <f t="shared" si="364"/>
        <v>7H</v>
      </c>
    </row>
    <row r="11008" spans="1:6" x14ac:dyDescent="0.2">
      <c r="A11008">
        <v>8</v>
      </c>
      <c r="E11008" t="str">
        <f t="shared" si="363"/>
        <v>I</v>
      </c>
      <c r="F11008" t="str">
        <f t="shared" si="364"/>
        <v>8I</v>
      </c>
    </row>
    <row r="11009" spans="1:6" x14ac:dyDescent="0.2">
      <c r="A11009">
        <v>9</v>
      </c>
      <c r="E11009" t="str">
        <f t="shared" si="363"/>
        <v>J</v>
      </c>
      <c r="F11009" t="str">
        <f t="shared" si="364"/>
        <v>9J</v>
      </c>
    </row>
    <row r="11010" spans="1:6" x14ac:dyDescent="0.2">
      <c r="A11010">
        <v>10</v>
      </c>
      <c r="E11010" t="str">
        <f t="shared" si="363"/>
        <v>K</v>
      </c>
      <c r="F11010" t="str">
        <f t="shared" si="364"/>
        <v>10K</v>
      </c>
    </row>
    <row r="11011" spans="1:6" x14ac:dyDescent="0.2">
      <c r="A11011">
        <v>11</v>
      </c>
      <c r="E11011" t="str">
        <f t="shared" si="363"/>
        <v>L</v>
      </c>
      <c r="F11011" t="str">
        <f t="shared" si="364"/>
        <v>11L</v>
      </c>
    </row>
    <row r="11012" spans="1:6" x14ac:dyDescent="0.2">
      <c r="A11012">
        <v>12</v>
      </c>
      <c r="E11012" t="str">
        <f t="shared" si="363"/>
        <v>M</v>
      </c>
      <c r="F11012" t="str">
        <f t="shared" si="364"/>
        <v>12M</v>
      </c>
    </row>
    <row r="11013" spans="1:6" x14ac:dyDescent="0.2">
      <c r="A11013">
        <v>13</v>
      </c>
      <c r="E11013" t="str">
        <f t="shared" si="363"/>
        <v>N</v>
      </c>
      <c r="F11013" t="str">
        <f t="shared" si="364"/>
        <v>13N</v>
      </c>
    </row>
    <row r="11014" spans="1:6" x14ac:dyDescent="0.2">
      <c r="A11014">
        <v>14</v>
      </c>
      <c r="E11014" t="str">
        <f t="shared" si="363"/>
        <v>O</v>
      </c>
      <c r="F11014" t="str">
        <f t="shared" si="364"/>
        <v>14O</v>
      </c>
    </row>
    <row r="11015" spans="1:6" x14ac:dyDescent="0.2">
      <c r="A11015">
        <v>15</v>
      </c>
      <c r="E11015" t="str">
        <f t="shared" si="363"/>
        <v>P</v>
      </c>
      <c r="F11015" t="str">
        <f t="shared" si="364"/>
        <v>15P</v>
      </c>
    </row>
    <row r="11016" spans="1:6" x14ac:dyDescent="0.2">
      <c r="A11016">
        <v>16</v>
      </c>
      <c r="E11016" t="str">
        <f t="shared" si="363"/>
        <v>Q</v>
      </c>
      <c r="F11016" t="str">
        <f t="shared" si="364"/>
        <v>16Q</v>
      </c>
    </row>
    <row r="11017" spans="1:6" x14ac:dyDescent="0.2">
      <c r="A11017">
        <v>17</v>
      </c>
      <c r="E11017" t="str">
        <f t="shared" si="363"/>
        <v>R</v>
      </c>
      <c r="F11017" t="str">
        <f t="shared" si="364"/>
        <v>17R</v>
      </c>
    </row>
    <row r="11018" spans="1:6" x14ac:dyDescent="0.2">
      <c r="A11018">
        <v>18</v>
      </c>
      <c r="E11018" t="str">
        <f t="shared" si="363"/>
        <v>S</v>
      </c>
      <c r="F11018" t="str">
        <f t="shared" si="364"/>
        <v>18S</v>
      </c>
    </row>
    <row r="11019" spans="1:6" x14ac:dyDescent="0.2">
      <c r="A11019">
        <v>19</v>
      </c>
      <c r="E11019" t="str">
        <f t="shared" si="363"/>
        <v>T</v>
      </c>
      <c r="F11019" t="str">
        <f t="shared" si="364"/>
        <v>19T</v>
      </c>
    </row>
    <row r="11020" spans="1:6" x14ac:dyDescent="0.2">
      <c r="A11020">
        <v>20</v>
      </c>
      <c r="E11020" t="str">
        <f t="shared" si="363"/>
        <v>U</v>
      </c>
      <c r="F11020" t="str">
        <f t="shared" si="364"/>
        <v>20U</v>
      </c>
    </row>
    <row r="11021" spans="1:6" x14ac:dyDescent="0.2">
      <c r="A11021">
        <v>21</v>
      </c>
      <c r="E11021" t="str">
        <f t="shared" si="363"/>
        <v>V</v>
      </c>
      <c r="F11021" t="str">
        <f t="shared" si="364"/>
        <v>21V</v>
      </c>
    </row>
    <row r="11022" spans="1:6" x14ac:dyDescent="0.2">
      <c r="A11022">
        <v>22</v>
      </c>
      <c r="E11022" t="str">
        <f t="shared" si="363"/>
        <v>W</v>
      </c>
      <c r="F11022" t="str">
        <f t="shared" si="364"/>
        <v>22W</v>
      </c>
    </row>
    <row r="11023" spans="1:6" x14ac:dyDescent="0.2">
      <c r="A11023">
        <v>23</v>
      </c>
      <c r="E11023" t="str">
        <f t="shared" si="363"/>
        <v>X</v>
      </c>
      <c r="F11023" t="str">
        <f t="shared" si="364"/>
        <v>23X</v>
      </c>
    </row>
    <row r="11024" spans="1:6" x14ac:dyDescent="0.2">
      <c r="A11024">
        <v>24</v>
      </c>
      <c r="E11024" t="str">
        <f t="shared" si="363"/>
        <v>Y</v>
      </c>
      <c r="F11024" t="str">
        <f t="shared" si="364"/>
        <v>24Y</v>
      </c>
    </row>
    <row r="11025" spans="1:6" x14ac:dyDescent="0.2">
      <c r="A11025">
        <v>25</v>
      </c>
      <c r="E11025" t="str">
        <f t="shared" si="363"/>
        <v>Z</v>
      </c>
      <c r="F11025" t="str">
        <f t="shared" si="364"/>
        <v>25Z</v>
      </c>
    </row>
    <row r="11026" spans="1:6" x14ac:dyDescent="0.2">
      <c r="A11026">
        <v>0</v>
      </c>
      <c r="E11026" t="str">
        <f t="shared" si="363"/>
        <v>A</v>
      </c>
      <c r="F11026" t="str">
        <f t="shared" si="364"/>
        <v>0A</v>
      </c>
    </row>
    <row r="11027" spans="1:6" x14ac:dyDescent="0.2">
      <c r="A11027">
        <v>1</v>
      </c>
      <c r="E11027" t="str">
        <f t="shared" si="363"/>
        <v>B</v>
      </c>
      <c r="F11027" t="str">
        <f t="shared" si="364"/>
        <v>1B</v>
      </c>
    </row>
    <row r="11028" spans="1:6" x14ac:dyDescent="0.2">
      <c r="A11028">
        <v>2</v>
      </c>
      <c r="E11028" t="str">
        <f t="shared" si="363"/>
        <v>C</v>
      </c>
      <c r="F11028" t="str">
        <f t="shared" si="364"/>
        <v>2C</v>
      </c>
    </row>
    <row r="11029" spans="1:6" x14ac:dyDescent="0.2">
      <c r="A11029">
        <v>3</v>
      </c>
      <c r="E11029" t="str">
        <f t="shared" ref="E11029:E11092" si="365">E11003</f>
        <v>D</v>
      </c>
      <c r="F11029" t="str">
        <f t="shared" ref="F11029:F11092" si="366">A11029&amp;C11029&amp;E11029</f>
        <v>3D</v>
      </c>
    </row>
    <row r="11030" spans="1:6" x14ac:dyDescent="0.2">
      <c r="A11030">
        <v>4</v>
      </c>
      <c r="E11030" t="str">
        <f t="shared" si="365"/>
        <v>E</v>
      </c>
      <c r="F11030" t="str">
        <f t="shared" si="366"/>
        <v>4E</v>
      </c>
    </row>
    <row r="11031" spans="1:6" x14ac:dyDescent="0.2">
      <c r="A11031">
        <v>5</v>
      </c>
      <c r="E11031" t="str">
        <f t="shared" si="365"/>
        <v>F</v>
      </c>
      <c r="F11031" t="str">
        <f t="shared" si="366"/>
        <v>5F</v>
      </c>
    </row>
    <row r="11032" spans="1:6" x14ac:dyDescent="0.2">
      <c r="A11032">
        <v>6</v>
      </c>
      <c r="E11032" t="str">
        <f t="shared" si="365"/>
        <v>G</v>
      </c>
      <c r="F11032" t="str">
        <f t="shared" si="366"/>
        <v>6G</v>
      </c>
    </row>
    <row r="11033" spans="1:6" x14ac:dyDescent="0.2">
      <c r="A11033">
        <v>7</v>
      </c>
      <c r="E11033" t="str">
        <f t="shared" si="365"/>
        <v>H</v>
      </c>
      <c r="F11033" t="str">
        <f t="shared" si="366"/>
        <v>7H</v>
      </c>
    </row>
    <row r="11034" spans="1:6" x14ac:dyDescent="0.2">
      <c r="A11034">
        <v>8</v>
      </c>
      <c r="E11034" t="str">
        <f t="shared" si="365"/>
        <v>I</v>
      </c>
      <c r="F11034" t="str">
        <f t="shared" si="366"/>
        <v>8I</v>
      </c>
    </row>
    <row r="11035" spans="1:6" x14ac:dyDescent="0.2">
      <c r="A11035">
        <v>9</v>
      </c>
      <c r="E11035" t="str">
        <f t="shared" si="365"/>
        <v>J</v>
      </c>
      <c r="F11035" t="str">
        <f t="shared" si="366"/>
        <v>9J</v>
      </c>
    </row>
    <row r="11036" spans="1:6" x14ac:dyDescent="0.2">
      <c r="A11036">
        <v>10</v>
      </c>
      <c r="E11036" t="str">
        <f t="shared" si="365"/>
        <v>K</v>
      </c>
      <c r="F11036" t="str">
        <f t="shared" si="366"/>
        <v>10K</v>
      </c>
    </row>
    <row r="11037" spans="1:6" x14ac:dyDescent="0.2">
      <c r="A11037">
        <v>11</v>
      </c>
      <c r="E11037" t="str">
        <f t="shared" si="365"/>
        <v>L</v>
      </c>
      <c r="F11037" t="str">
        <f t="shared" si="366"/>
        <v>11L</v>
      </c>
    </row>
    <row r="11038" spans="1:6" x14ac:dyDescent="0.2">
      <c r="A11038">
        <v>12</v>
      </c>
      <c r="E11038" t="str">
        <f t="shared" si="365"/>
        <v>M</v>
      </c>
      <c r="F11038" t="str">
        <f t="shared" si="366"/>
        <v>12M</v>
      </c>
    </row>
    <row r="11039" spans="1:6" x14ac:dyDescent="0.2">
      <c r="A11039">
        <v>13</v>
      </c>
      <c r="E11039" t="str">
        <f t="shared" si="365"/>
        <v>N</v>
      </c>
      <c r="F11039" t="str">
        <f t="shared" si="366"/>
        <v>13N</v>
      </c>
    </row>
    <row r="11040" spans="1:6" x14ac:dyDescent="0.2">
      <c r="A11040">
        <v>14</v>
      </c>
      <c r="E11040" t="str">
        <f t="shared" si="365"/>
        <v>O</v>
      </c>
      <c r="F11040" t="str">
        <f t="shared" si="366"/>
        <v>14O</v>
      </c>
    </row>
    <row r="11041" spans="1:6" x14ac:dyDescent="0.2">
      <c r="A11041">
        <v>15</v>
      </c>
      <c r="E11041" t="str">
        <f t="shared" si="365"/>
        <v>P</v>
      </c>
      <c r="F11041" t="str">
        <f t="shared" si="366"/>
        <v>15P</v>
      </c>
    </row>
    <row r="11042" spans="1:6" x14ac:dyDescent="0.2">
      <c r="A11042">
        <v>16</v>
      </c>
      <c r="E11042" t="str">
        <f t="shared" si="365"/>
        <v>Q</v>
      </c>
      <c r="F11042" t="str">
        <f t="shared" si="366"/>
        <v>16Q</v>
      </c>
    </row>
    <row r="11043" spans="1:6" x14ac:dyDescent="0.2">
      <c r="A11043">
        <v>17</v>
      </c>
      <c r="E11043" t="str">
        <f t="shared" si="365"/>
        <v>R</v>
      </c>
      <c r="F11043" t="str">
        <f t="shared" si="366"/>
        <v>17R</v>
      </c>
    </row>
    <row r="11044" spans="1:6" x14ac:dyDescent="0.2">
      <c r="A11044">
        <v>18</v>
      </c>
      <c r="E11044" t="str">
        <f t="shared" si="365"/>
        <v>S</v>
      </c>
      <c r="F11044" t="str">
        <f t="shared" si="366"/>
        <v>18S</v>
      </c>
    </row>
    <row r="11045" spans="1:6" x14ac:dyDescent="0.2">
      <c r="A11045">
        <v>19</v>
      </c>
      <c r="E11045" t="str">
        <f t="shared" si="365"/>
        <v>T</v>
      </c>
      <c r="F11045" t="str">
        <f t="shared" si="366"/>
        <v>19T</v>
      </c>
    </row>
    <row r="11046" spans="1:6" x14ac:dyDescent="0.2">
      <c r="A11046">
        <v>20</v>
      </c>
      <c r="E11046" t="str">
        <f t="shared" si="365"/>
        <v>U</v>
      </c>
      <c r="F11046" t="str">
        <f t="shared" si="366"/>
        <v>20U</v>
      </c>
    </row>
    <row r="11047" spans="1:6" x14ac:dyDescent="0.2">
      <c r="A11047">
        <v>21</v>
      </c>
      <c r="E11047" t="str">
        <f t="shared" si="365"/>
        <v>V</v>
      </c>
      <c r="F11047" t="str">
        <f t="shared" si="366"/>
        <v>21V</v>
      </c>
    </row>
    <row r="11048" spans="1:6" x14ac:dyDescent="0.2">
      <c r="A11048">
        <v>22</v>
      </c>
      <c r="E11048" t="str">
        <f t="shared" si="365"/>
        <v>W</v>
      </c>
      <c r="F11048" t="str">
        <f t="shared" si="366"/>
        <v>22W</v>
      </c>
    </row>
    <row r="11049" spans="1:6" x14ac:dyDescent="0.2">
      <c r="A11049">
        <v>23</v>
      </c>
      <c r="E11049" t="str">
        <f t="shared" si="365"/>
        <v>X</v>
      </c>
      <c r="F11049" t="str">
        <f t="shared" si="366"/>
        <v>23X</v>
      </c>
    </row>
    <row r="11050" spans="1:6" x14ac:dyDescent="0.2">
      <c r="A11050">
        <v>24</v>
      </c>
      <c r="E11050" t="str">
        <f t="shared" si="365"/>
        <v>Y</v>
      </c>
      <c r="F11050" t="str">
        <f t="shared" si="366"/>
        <v>24Y</v>
      </c>
    </row>
    <row r="11051" spans="1:6" x14ac:dyDescent="0.2">
      <c r="A11051">
        <v>25</v>
      </c>
      <c r="E11051" t="str">
        <f t="shared" si="365"/>
        <v>Z</v>
      </c>
      <c r="F11051" t="str">
        <f t="shared" si="366"/>
        <v>25Z</v>
      </c>
    </row>
    <row r="11052" spans="1:6" x14ac:dyDescent="0.2">
      <c r="A11052">
        <v>0</v>
      </c>
      <c r="E11052" t="str">
        <f t="shared" si="365"/>
        <v>A</v>
      </c>
      <c r="F11052" t="str">
        <f t="shared" si="366"/>
        <v>0A</v>
      </c>
    </row>
    <row r="11053" spans="1:6" x14ac:dyDescent="0.2">
      <c r="A11053">
        <v>1</v>
      </c>
      <c r="E11053" t="str">
        <f t="shared" si="365"/>
        <v>B</v>
      </c>
      <c r="F11053" t="str">
        <f t="shared" si="366"/>
        <v>1B</v>
      </c>
    </row>
    <row r="11054" spans="1:6" x14ac:dyDescent="0.2">
      <c r="A11054">
        <v>2</v>
      </c>
      <c r="E11054" t="str">
        <f t="shared" si="365"/>
        <v>C</v>
      </c>
      <c r="F11054" t="str">
        <f t="shared" si="366"/>
        <v>2C</v>
      </c>
    </row>
    <row r="11055" spans="1:6" x14ac:dyDescent="0.2">
      <c r="A11055">
        <v>3</v>
      </c>
      <c r="E11055" t="str">
        <f t="shared" si="365"/>
        <v>D</v>
      </c>
      <c r="F11055" t="str">
        <f t="shared" si="366"/>
        <v>3D</v>
      </c>
    </row>
    <row r="11056" spans="1:6" x14ac:dyDescent="0.2">
      <c r="A11056">
        <v>4</v>
      </c>
      <c r="E11056" t="str">
        <f t="shared" si="365"/>
        <v>E</v>
      </c>
      <c r="F11056" t="str">
        <f t="shared" si="366"/>
        <v>4E</v>
      </c>
    </row>
    <row r="11057" spans="1:6" x14ac:dyDescent="0.2">
      <c r="A11057">
        <v>5</v>
      </c>
      <c r="E11057" t="str">
        <f t="shared" si="365"/>
        <v>F</v>
      </c>
      <c r="F11057" t="str">
        <f t="shared" si="366"/>
        <v>5F</v>
      </c>
    </row>
    <row r="11058" spans="1:6" x14ac:dyDescent="0.2">
      <c r="A11058">
        <v>6</v>
      </c>
      <c r="E11058" t="str">
        <f t="shared" si="365"/>
        <v>G</v>
      </c>
      <c r="F11058" t="str">
        <f t="shared" si="366"/>
        <v>6G</v>
      </c>
    </row>
    <row r="11059" spans="1:6" x14ac:dyDescent="0.2">
      <c r="A11059">
        <v>7</v>
      </c>
      <c r="E11059" t="str">
        <f t="shared" si="365"/>
        <v>H</v>
      </c>
      <c r="F11059" t="str">
        <f t="shared" si="366"/>
        <v>7H</v>
      </c>
    </row>
    <row r="11060" spans="1:6" x14ac:dyDescent="0.2">
      <c r="A11060">
        <v>8</v>
      </c>
      <c r="E11060" t="str">
        <f t="shared" si="365"/>
        <v>I</v>
      </c>
      <c r="F11060" t="str">
        <f t="shared" si="366"/>
        <v>8I</v>
      </c>
    </row>
    <row r="11061" spans="1:6" x14ac:dyDescent="0.2">
      <c r="A11061">
        <v>9</v>
      </c>
      <c r="E11061" t="str">
        <f t="shared" si="365"/>
        <v>J</v>
      </c>
      <c r="F11061" t="str">
        <f t="shared" si="366"/>
        <v>9J</v>
      </c>
    </row>
    <row r="11062" spans="1:6" x14ac:dyDescent="0.2">
      <c r="A11062">
        <v>10</v>
      </c>
      <c r="E11062" t="str">
        <f t="shared" si="365"/>
        <v>K</v>
      </c>
      <c r="F11062" t="str">
        <f t="shared" si="366"/>
        <v>10K</v>
      </c>
    </row>
    <row r="11063" spans="1:6" x14ac:dyDescent="0.2">
      <c r="A11063">
        <v>11</v>
      </c>
      <c r="E11063" t="str">
        <f t="shared" si="365"/>
        <v>L</v>
      </c>
      <c r="F11063" t="str">
        <f t="shared" si="366"/>
        <v>11L</v>
      </c>
    </row>
    <row r="11064" spans="1:6" x14ac:dyDescent="0.2">
      <c r="A11064">
        <v>12</v>
      </c>
      <c r="E11064" t="str">
        <f t="shared" si="365"/>
        <v>M</v>
      </c>
      <c r="F11064" t="str">
        <f t="shared" si="366"/>
        <v>12M</v>
      </c>
    </row>
    <row r="11065" spans="1:6" x14ac:dyDescent="0.2">
      <c r="A11065">
        <v>13</v>
      </c>
      <c r="E11065" t="str">
        <f t="shared" si="365"/>
        <v>N</v>
      </c>
      <c r="F11065" t="str">
        <f t="shared" si="366"/>
        <v>13N</v>
      </c>
    </row>
    <row r="11066" spans="1:6" x14ac:dyDescent="0.2">
      <c r="A11066">
        <v>14</v>
      </c>
      <c r="E11066" t="str">
        <f t="shared" si="365"/>
        <v>O</v>
      </c>
      <c r="F11066" t="str">
        <f t="shared" si="366"/>
        <v>14O</v>
      </c>
    </row>
    <row r="11067" spans="1:6" x14ac:dyDescent="0.2">
      <c r="A11067">
        <v>15</v>
      </c>
      <c r="E11067" t="str">
        <f t="shared" si="365"/>
        <v>P</v>
      </c>
      <c r="F11067" t="str">
        <f t="shared" si="366"/>
        <v>15P</v>
      </c>
    </row>
    <row r="11068" spans="1:6" x14ac:dyDescent="0.2">
      <c r="A11068">
        <v>16</v>
      </c>
      <c r="E11068" t="str">
        <f t="shared" si="365"/>
        <v>Q</v>
      </c>
      <c r="F11068" t="str">
        <f t="shared" si="366"/>
        <v>16Q</v>
      </c>
    </row>
    <row r="11069" spans="1:6" x14ac:dyDescent="0.2">
      <c r="A11069">
        <v>17</v>
      </c>
      <c r="E11069" t="str">
        <f t="shared" si="365"/>
        <v>R</v>
      </c>
      <c r="F11069" t="str">
        <f t="shared" si="366"/>
        <v>17R</v>
      </c>
    </row>
    <row r="11070" spans="1:6" x14ac:dyDescent="0.2">
      <c r="A11070">
        <v>18</v>
      </c>
      <c r="E11070" t="str">
        <f t="shared" si="365"/>
        <v>S</v>
      </c>
      <c r="F11070" t="str">
        <f t="shared" si="366"/>
        <v>18S</v>
      </c>
    </row>
    <row r="11071" spans="1:6" x14ac:dyDescent="0.2">
      <c r="A11071">
        <v>19</v>
      </c>
      <c r="E11071" t="str">
        <f t="shared" si="365"/>
        <v>T</v>
      </c>
      <c r="F11071" t="str">
        <f t="shared" si="366"/>
        <v>19T</v>
      </c>
    </row>
    <row r="11072" spans="1:6" x14ac:dyDescent="0.2">
      <c r="A11072">
        <v>20</v>
      </c>
      <c r="E11072" t="str">
        <f t="shared" si="365"/>
        <v>U</v>
      </c>
      <c r="F11072" t="str">
        <f t="shared" si="366"/>
        <v>20U</v>
      </c>
    </row>
    <row r="11073" spans="1:6" x14ac:dyDescent="0.2">
      <c r="A11073">
        <v>21</v>
      </c>
      <c r="E11073" t="str">
        <f t="shared" si="365"/>
        <v>V</v>
      </c>
      <c r="F11073" t="str">
        <f t="shared" si="366"/>
        <v>21V</v>
      </c>
    </row>
    <row r="11074" spans="1:6" x14ac:dyDescent="0.2">
      <c r="A11074">
        <v>22</v>
      </c>
      <c r="E11074" t="str">
        <f t="shared" si="365"/>
        <v>W</v>
      </c>
      <c r="F11074" t="str">
        <f t="shared" si="366"/>
        <v>22W</v>
      </c>
    </row>
    <row r="11075" spans="1:6" x14ac:dyDescent="0.2">
      <c r="A11075">
        <v>23</v>
      </c>
      <c r="E11075" t="str">
        <f t="shared" si="365"/>
        <v>X</v>
      </c>
      <c r="F11075" t="str">
        <f t="shared" si="366"/>
        <v>23X</v>
      </c>
    </row>
    <row r="11076" spans="1:6" x14ac:dyDescent="0.2">
      <c r="A11076">
        <v>24</v>
      </c>
      <c r="E11076" t="str">
        <f t="shared" si="365"/>
        <v>Y</v>
      </c>
      <c r="F11076" t="str">
        <f t="shared" si="366"/>
        <v>24Y</v>
      </c>
    </row>
    <row r="11077" spans="1:6" x14ac:dyDescent="0.2">
      <c r="A11077">
        <v>25</v>
      </c>
      <c r="E11077" t="str">
        <f t="shared" si="365"/>
        <v>Z</v>
      </c>
      <c r="F11077" t="str">
        <f t="shared" si="366"/>
        <v>25Z</v>
      </c>
    </row>
    <row r="11078" spans="1:6" x14ac:dyDescent="0.2">
      <c r="A11078">
        <v>0</v>
      </c>
      <c r="E11078" t="str">
        <f t="shared" si="365"/>
        <v>A</v>
      </c>
      <c r="F11078" t="str">
        <f t="shared" si="366"/>
        <v>0A</v>
      </c>
    </row>
    <row r="11079" spans="1:6" x14ac:dyDescent="0.2">
      <c r="A11079">
        <v>1</v>
      </c>
      <c r="E11079" t="str">
        <f t="shared" si="365"/>
        <v>B</v>
      </c>
      <c r="F11079" t="str">
        <f t="shared" si="366"/>
        <v>1B</v>
      </c>
    </row>
    <row r="11080" spans="1:6" x14ac:dyDescent="0.2">
      <c r="A11080">
        <v>2</v>
      </c>
      <c r="E11080" t="str">
        <f t="shared" si="365"/>
        <v>C</v>
      </c>
      <c r="F11080" t="str">
        <f t="shared" si="366"/>
        <v>2C</v>
      </c>
    </row>
    <row r="11081" spans="1:6" x14ac:dyDescent="0.2">
      <c r="A11081">
        <v>3</v>
      </c>
      <c r="E11081" t="str">
        <f t="shared" si="365"/>
        <v>D</v>
      </c>
      <c r="F11081" t="str">
        <f t="shared" si="366"/>
        <v>3D</v>
      </c>
    </row>
    <row r="11082" spans="1:6" x14ac:dyDescent="0.2">
      <c r="A11082">
        <v>4</v>
      </c>
      <c r="E11082" t="str">
        <f t="shared" si="365"/>
        <v>E</v>
      </c>
      <c r="F11082" t="str">
        <f t="shared" si="366"/>
        <v>4E</v>
      </c>
    </row>
    <row r="11083" spans="1:6" x14ac:dyDescent="0.2">
      <c r="A11083">
        <v>5</v>
      </c>
      <c r="E11083" t="str">
        <f t="shared" si="365"/>
        <v>F</v>
      </c>
      <c r="F11083" t="str">
        <f t="shared" si="366"/>
        <v>5F</v>
      </c>
    </row>
    <row r="11084" spans="1:6" x14ac:dyDescent="0.2">
      <c r="A11084">
        <v>6</v>
      </c>
      <c r="E11084" t="str">
        <f t="shared" si="365"/>
        <v>G</v>
      </c>
      <c r="F11084" t="str">
        <f t="shared" si="366"/>
        <v>6G</v>
      </c>
    </row>
    <row r="11085" spans="1:6" x14ac:dyDescent="0.2">
      <c r="A11085">
        <v>7</v>
      </c>
      <c r="E11085" t="str">
        <f t="shared" si="365"/>
        <v>H</v>
      </c>
      <c r="F11085" t="str">
        <f t="shared" si="366"/>
        <v>7H</v>
      </c>
    </row>
    <row r="11086" spans="1:6" x14ac:dyDescent="0.2">
      <c r="A11086">
        <v>8</v>
      </c>
      <c r="E11086" t="str">
        <f t="shared" si="365"/>
        <v>I</v>
      </c>
      <c r="F11086" t="str">
        <f t="shared" si="366"/>
        <v>8I</v>
      </c>
    </row>
    <row r="11087" spans="1:6" x14ac:dyDescent="0.2">
      <c r="A11087">
        <v>9</v>
      </c>
      <c r="E11087" t="str">
        <f t="shared" si="365"/>
        <v>J</v>
      </c>
      <c r="F11087" t="str">
        <f t="shared" si="366"/>
        <v>9J</v>
      </c>
    </row>
    <row r="11088" spans="1:6" x14ac:dyDescent="0.2">
      <c r="A11088">
        <v>10</v>
      </c>
      <c r="E11088" t="str">
        <f t="shared" si="365"/>
        <v>K</v>
      </c>
      <c r="F11088" t="str">
        <f t="shared" si="366"/>
        <v>10K</v>
      </c>
    </row>
    <row r="11089" spans="1:6" x14ac:dyDescent="0.2">
      <c r="A11089">
        <v>11</v>
      </c>
      <c r="E11089" t="str">
        <f t="shared" si="365"/>
        <v>L</v>
      </c>
      <c r="F11089" t="str">
        <f t="shared" si="366"/>
        <v>11L</v>
      </c>
    </row>
    <row r="11090" spans="1:6" x14ac:dyDescent="0.2">
      <c r="A11090">
        <v>12</v>
      </c>
      <c r="E11090" t="str">
        <f t="shared" si="365"/>
        <v>M</v>
      </c>
      <c r="F11090" t="str">
        <f t="shared" si="366"/>
        <v>12M</v>
      </c>
    </row>
    <row r="11091" spans="1:6" x14ac:dyDescent="0.2">
      <c r="A11091">
        <v>13</v>
      </c>
      <c r="E11091" t="str">
        <f t="shared" si="365"/>
        <v>N</v>
      </c>
      <c r="F11091" t="str">
        <f t="shared" si="366"/>
        <v>13N</v>
      </c>
    </row>
    <row r="11092" spans="1:6" x14ac:dyDescent="0.2">
      <c r="A11092">
        <v>14</v>
      </c>
      <c r="E11092" t="str">
        <f t="shared" si="365"/>
        <v>O</v>
      </c>
      <c r="F11092" t="str">
        <f t="shared" si="366"/>
        <v>14O</v>
      </c>
    </row>
    <row r="11093" spans="1:6" x14ac:dyDescent="0.2">
      <c r="A11093">
        <v>15</v>
      </c>
      <c r="E11093" t="str">
        <f t="shared" ref="E11093:E11156" si="367">E11067</f>
        <v>P</v>
      </c>
      <c r="F11093" t="str">
        <f t="shared" ref="F11093:F11156" si="368">A11093&amp;C11093&amp;E11093</f>
        <v>15P</v>
      </c>
    </row>
    <row r="11094" spans="1:6" x14ac:dyDescent="0.2">
      <c r="A11094">
        <v>16</v>
      </c>
      <c r="E11094" t="str">
        <f t="shared" si="367"/>
        <v>Q</v>
      </c>
      <c r="F11094" t="str">
        <f t="shared" si="368"/>
        <v>16Q</v>
      </c>
    </row>
    <row r="11095" spans="1:6" x14ac:dyDescent="0.2">
      <c r="A11095">
        <v>17</v>
      </c>
      <c r="E11095" t="str">
        <f t="shared" si="367"/>
        <v>R</v>
      </c>
      <c r="F11095" t="str">
        <f t="shared" si="368"/>
        <v>17R</v>
      </c>
    </row>
    <row r="11096" spans="1:6" x14ac:dyDescent="0.2">
      <c r="A11096">
        <v>18</v>
      </c>
      <c r="E11096" t="str">
        <f t="shared" si="367"/>
        <v>S</v>
      </c>
      <c r="F11096" t="str">
        <f t="shared" si="368"/>
        <v>18S</v>
      </c>
    </row>
    <row r="11097" spans="1:6" x14ac:dyDescent="0.2">
      <c r="A11097">
        <v>19</v>
      </c>
      <c r="E11097" t="str">
        <f t="shared" si="367"/>
        <v>T</v>
      </c>
      <c r="F11097" t="str">
        <f t="shared" si="368"/>
        <v>19T</v>
      </c>
    </row>
    <row r="11098" spans="1:6" x14ac:dyDescent="0.2">
      <c r="A11098">
        <v>20</v>
      </c>
      <c r="E11098" t="str">
        <f t="shared" si="367"/>
        <v>U</v>
      </c>
      <c r="F11098" t="str">
        <f t="shared" si="368"/>
        <v>20U</v>
      </c>
    </row>
    <row r="11099" spans="1:6" x14ac:dyDescent="0.2">
      <c r="A11099">
        <v>21</v>
      </c>
      <c r="E11099" t="str">
        <f t="shared" si="367"/>
        <v>V</v>
      </c>
      <c r="F11099" t="str">
        <f t="shared" si="368"/>
        <v>21V</v>
      </c>
    </row>
    <row r="11100" spans="1:6" x14ac:dyDescent="0.2">
      <c r="A11100">
        <v>22</v>
      </c>
      <c r="E11100" t="str">
        <f t="shared" si="367"/>
        <v>W</v>
      </c>
      <c r="F11100" t="str">
        <f t="shared" si="368"/>
        <v>22W</v>
      </c>
    </row>
    <row r="11101" spans="1:6" x14ac:dyDescent="0.2">
      <c r="A11101">
        <v>23</v>
      </c>
      <c r="E11101" t="str">
        <f t="shared" si="367"/>
        <v>X</v>
      </c>
      <c r="F11101" t="str">
        <f t="shared" si="368"/>
        <v>23X</v>
      </c>
    </row>
    <row r="11102" spans="1:6" x14ac:dyDescent="0.2">
      <c r="A11102">
        <v>24</v>
      </c>
      <c r="E11102" t="str">
        <f t="shared" si="367"/>
        <v>Y</v>
      </c>
      <c r="F11102" t="str">
        <f t="shared" si="368"/>
        <v>24Y</v>
      </c>
    </row>
    <row r="11103" spans="1:6" x14ac:dyDescent="0.2">
      <c r="A11103">
        <v>25</v>
      </c>
      <c r="E11103" t="str">
        <f t="shared" si="367"/>
        <v>Z</v>
      </c>
      <c r="F11103" t="str">
        <f t="shared" si="368"/>
        <v>25Z</v>
      </c>
    </row>
    <row r="11104" spans="1:6" x14ac:dyDescent="0.2">
      <c r="A11104">
        <v>0</v>
      </c>
      <c r="E11104" t="str">
        <f t="shared" si="367"/>
        <v>A</v>
      </c>
      <c r="F11104" t="str">
        <f t="shared" si="368"/>
        <v>0A</v>
      </c>
    </row>
    <row r="11105" spans="1:6" x14ac:dyDescent="0.2">
      <c r="A11105">
        <v>1</v>
      </c>
      <c r="E11105" t="str">
        <f t="shared" si="367"/>
        <v>B</v>
      </c>
      <c r="F11105" t="str">
        <f t="shared" si="368"/>
        <v>1B</v>
      </c>
    </row>
    <row r="11106" spans="1:6" x14ac:dyDescent="0.2">
      <c r="A11106">
        <v>2</v>
      </c>
      <c r="E11106" t="str">
        <f t="shared" si="367"/>
        <v>C</v>
      </c>
      <c r="F11106" t="str">
        <f t="shared" si="368"/>
        <v>2C</v>
      </c>
    </row>
    <row r="11107" spans="1:6" x14ac:dyDescent="0.2">
      <c r="A11107">
        <v>3</v>
      </c>
      <c r="E11107" t="str">
        <f t="shared" si="367"/>
        <v>D</v>
      </c>
      <c r="F11107" t="str">
        <f t="shared" si="368"/>
        <v>3D</v>
      </c>
    </row>
    <row r="11108" spans="1:6" x14ac:dyDescent="0.2">
      <c r="A11108">
        <v>4</v>
      </c>
      <c r="E11108" t="str">
        <f t="shared" si="367"/>
        <v>E</v>
      </c>
      <c r="F11108" t="str">
        <f t="shared" si="368"/>
        <v>4E</v>
      </c>
    </row>
    <row r="11109" spans="1:6" x14ac:dyDescent="0.2">
      <c r="A11109">
        <v>5</v>
      </c>
      <c r="E11109" t="str">
        <f t="shared" si="367"/>
        <v>F</v>
      </c>
      <c r="F11109" t="str">
        <f t="shared" si="368"/>
        <v>5F</v>
      </c>
    </row>
    <row r="11110" spans="1:6" x14ac:dyDescent="0.2">
      <c r="A11110">
        <v>6</v>
      </c>
      <c r="E11110" t="str">
        <f t="shared" si="367"/>
        <v>G</v>
      </c>
      <c r="F11110" t="str">
        <f t="shared" si="368"/>
        <v>6G</v>
      </c>
    </row>
    <row r="11111" spans="1:6" x14ac:dyDescent="0.2">
      <c r="A11111">
        <v>7</v>
      </c>
      <c r="E11111" t="str">
        <f t="shared" si="367"/>
        <v>H</v>
      </c>
      <c r="F11111" t="str">
        <f t="shared" si="368"/>
        <v>7H</v>
      </c>
    </row>
    <row r="11112" spans="1:6" x14ac:dyDescent="0.2">
      <c r="A11112">
        <v>8</v>
      </c>
      <c r="E11112" t="str">
        <f t="shared" si="367"/>
        <v>I</v>
      </c>
      <c r="F11112" t="str">
        <f t="shared" si="368"/>
        <v>8I</v>
      </c>
    </row>
    <row r="11113" spans="1:6" x14ac:dyDescent="0.2">
      <c r="A11113">
        <v>9</v>
      </c>
      <c r="E11113" t="str">
        <f t="shared" si="367"/>
        <v>J</v>
      </c>
      <c r="F11113" t="str">
        <f t="shared" si="368"/>
        <v>9J</v>
      </c>
    </row>
    <row r="11114" spans="1:6" x14ac:dyDescent="0.2">
      <c r="A11114">
        <v>10</v>
      </c>
      <c r="E11114" t="str">
        <f t="shared" si="367"/>
        <v>K</v>
      </c>
      <c r="F11114" t="str">
        <f t="shared" si="368"/>
        <v>10K</v>
      </c>
    </row>
    <row r="11115" spans="1:6" x14ac:dyDescent="0.2">
      <c r="A11115">
        <v>11</v>
      </c>
      <c r="E11115" t="str">
        <f t="shared" si="367"/>
        <v>L</v>
      </c>
      <c r="F11115" t="str">
        <f t="shared" si="368"/>
        <v>11L</v>
      </c>
    </row>
    <row r="11116" spans="1:6" x14ac:dyDescent="0.2">
      <c r="A11116">
        <v>12</v>
      </c>
      <c r="E11116" t="str">
        <f t="shared" si="367"/>
        <v>M</v>
      </c>
      <c r="F11116" t="str">
        <f t="shared" si="368"/>
        <v>12M</v>
      </c>
    </row>
    <row r="11117" spans="1:6" x14ac:dyDescent="0.2">
      <c r="A11117">
        <v>13</v>
      </c>
      <c r="E11117" t="str">
        <f t="shared" si="367"/>
        <v>N</v>
      </c>
      <c r="F11117" t="str">
        <f t="shared" si="368"/>
        <v>13N</v>
      </c>
    </row>
    <row r="11118" spans="1:6" x14ac:dyDescent="0.2">
      <c r="A11118">
        <v>14</v>
      </c>
      <c r="E11118" t="str">
        <f t="shared" si="367"/>
        <v>O</v>
      </c>
      <c r="F11118" t="str">
        <f t="shared" si="368"/>
        <v>14O</v>
      </c>
    </row>
    <row r="11119" spans="1:6" x14ac:dyDescent="0.2">
      <c r="A11119">
        <v>15</v>
      </c>
      <c r="E11119" t="str">
        <f t="shared" si="367"/>
        <v>P</v>
      </c>
      <c r="F11119" t="str">
        <f t="shared" si="368"/>
        <v>15P</v>
      </c>
    </row>
    <row r="11120" spans="1:6" x14ac:dyDescent="0.2">
      <c r="A11120">
        <v>16</v>
      </c>
      <c r="E11120" t="str">
        <f t="shared" si="367"/>
        <v>Q</v>
      </c>
      <c r="F11120" t="str">
        <f t="shared" si="368"/>
        <v>16Q</v>
      </c>
    </row>
    <row r="11121" spans="1:6" x14ac:dyDescent="0.2">
      <c r="A11121">
        <v>17</v>
      </c>
      <c r="E11121" t="str">
        <f t="shared" si="367"/>
        <v>R</v>
      </c>
      <c r="F11121" t="str">
        <f t="shared" si="368"/>
        <v>17R</v>
      </c>
    </row>
    <row r="11122" spans="1:6" x14ac:dyDescent="0.2">
      <c r="A11122">
        <v>18</v>
      </c>
      <c r="E11122" t="str">
        <f t="shared" si="367"/>
        <v>S</v>
      </c>
      <c r="F11122" t="str">
        <f t="shared" si="368"/>
        <v>18S</v>
      </c>
    </row>
    <row r="11123" spans="1:6" x14ac:dyDescent="0.2">
      <c r="A11123">
        <v>19</v>
      </c>
      <c r="E11123" t="str">
        <f t="shared" si="367"/>
        <v>T</v>
      </c>
      <c r="F11123" t="str">
        <f t="shared" si="368"/>
        <v>19T</v>
      </c>
    </row>
    <row r="11124" spans="1:6" x14ac:dyDescent="0.2">
      <c r="A11124">
        <v>20</v>
      </c>
      <c r="E11124" t="str">
        <f t="shared" si="367"/>
        <v>U</v>
      </c>
      <c r="F11124" t="str">
        <f t="shared" si="368"/>
        <v>20U</v>
      </c>
    </row>
    <row r="11125" spans="1:6" x14ac:dyDescent="0.2">
      <c r="A11125">
        <v>21</v>
      </c>
      <c r="E11125" t="str">
        <f t="shared" si="367"/>
        <v>V</v>
      </c>
      <c r="F11125" t="str">
        <f t="shared" si="368"/>
        <v>21V</v>
      </c>
    </row>
    <row r="11126" spans="1:6" x14ac:dyDescent="0.2">
      <c r="A11126">
        <v>22</v>
      </c>
      <c r="E11126" t="str">
        <f t="shared" si="367"/>
        <v>W</v>
      </c>
      <c r="F11126" t="str">
        <f t="shared" si="368"/>
        <v>22W</v>
      </c>
    </row>
    <row r="11127" spans="1:6" x14ac:dyDescent="0.2">
      <c r="A11127">
        <v>23</v>
      </c>
      <c r="E11127" t="str">
        <f t="shared" si="367"/>
        <v>X</v>
      </c>
      <c r="F11127" t="str">
        <f t="shared" si="368"/>
        <v>23X</v>
      </c>
    </row>
    <row r="11128" spans="1:6" x14ac:dyDescent="0.2">
      <c r="A11128">
        <v>24</v>
      </c>
      <c r="E11128" t="str">
        <f t="shared" si="367"/>
        <v>Y</v>
      </c>
      <c r="F11128" t="str">
        <f t="shared" si="368"/>
        <v>24Y</v>
      </c>
    </row>
    <row r="11129" spans="1:6" x14ac:dyDescent="0.2">
      <c r="A11129">
        <v>25</v>
      </c>
      <c r="E11129" t="str">
        <f t="shared" si="367"/>
        <v>Z</v>
      </c>
      <c r="F11129" t="str">
        <f t="shared" si="368"/>
        <v>25Z</v>
      </c>
    </row>
    <row r="11130" spans="1:6" x14ac:dyDescent="0.2">
      <c r="A11130">
        <v>0</v>
      </c>
      <c r="E11130" t="str">
        <f t="shared" si="367"/>
        <v>A</v>
      </c>
      <c r="F11130" t="str">
        <f t="shared" si="368"/>
        <v>0A</v>
      </c>
    </row>
    <row r="11131" spans="1:6" x14ac:dyDescent="0.2">
      <c r="A11131">
        <v>1</v>
      </c>
      <c r="E11131" t="str">
        <f t="shared" si="367"/>
        <v>B</v>
      </c>
      <c r="F11131" t="str">
        <f t="shared" si="368"/>
        <v>1B</v>
      </c>
    </row>
    <row r="11132" spans="1:6" x14ac:dyDescent="0.2">
      <c r="A11132">
        <v>2</v>
      </c>
      <c r="E11132" t="str">
        <f t="shared" si="367"/>
        <v>C</v>
      </c>
      <c r="F11132" t="str">
        <f t="shared" si="368"/>
        <v>2C</v>
      </c>
    </row>
    <row r="11133" spans="1:6" x14ac:dyDescent="0.2">
      <c r="A11133">
        <v>3</v>
      </c>
      <c r="E11133" t="str">
        <f t="shared" si="367"/>
        <v>D</v>
      </c>
      <c r="F11133" t="str">
        <f t="shared" si="368"/>
        <v>3D</v>
      </c>
    </row>
    <row r="11134" spans="1:6" x14ac:dyDescent="0.2">
      <c r="A11134">
        <v>4</v>
      </c>
      <c r="E11134" t="str">
        <f t="shared" si="367"/>
        <v>E</v>
      </c>
      <c r="F11134" t="str">
        <f t="shared" si="368"/>
        <v>4E</v>
      </c>
    </row>
    <row r="11135" spans="1:6" x14ac:dyDescent="0.2">
      <c r="A11135">
        <v>5</v>
      </c>
      <c r="E11135" t="str">
        <f t="shared" si="367"/>
        <v>F</v>
      </c>
      <c r="F11135" t="str">
        <f t="shared" si="368"/>
        <v>5F</v>
      </c>
    </row>
    <row r="11136" spans="1:6" x14ac:dyDescent="0.2">
      <c r="A11136">
        <v>6</v>
      </c>
      <c r="E11136" t="str">
        <f t="shared" si="367"/>
        <v>G</v>
      </c>
      <c r="F11136" t="str">
        <f t="shared" si="368"/>
        <v>6G</v>
      </c>
    </row>
    <row r="11137" spans="1:6" x14ac:dyDescent="0.2">
      <c r="A11137">
        <v>7</v>
      </c>
      <c r="E11137" t="str">
        <f t="shared" si="367"/>
        <v>H</v>
      </c>
      <c r="F11137" t="str">
        <f t="shared" si="368"/>
        <v>7H</v>
      </c>
    </row>
    <row r="11138" spans="1:6" x14ac:dyDescent="0.2">
      <c r="A11138">
        <v>8</v>
      </c>
      <c r="E11138" t="str">
        <f t="shared" si="367"/>
        <v>I</v>
      </c>
      <c r="F11138" t="str">
        <f t="shared" si="368"/>
        <v>8I</v>
      </c>
    </row>
    <row r="11139" spans="1:6" x14ac:dyDescent="0.2">
      <c r="A11139">
        <v>9</v>
      </c>
      <c r="E11139" t="str">
        <f t="shared" si="367"/>
        <v>J</v>
      </c>
      <c r="F11139" t="str">
        <f t="shared" si="368"/>
        <v>9J</v>
      </c>
    </row>
    <row r="11140" spans="1:6" x14ac:dyDescent="0.2">
      <c r="A11140">
        <v>10</v>
      </c>
      <c r="E11140" t="str">
        <f t="shared" si="367"/>
        <v>K</v>
      </c>
      <c r="F11140" t="str">
        <f t="shared" si="368"/>
        <v>10K</v>
      </c>
    </row>
    <row r="11141" spans="1:6" x14ac:dyDescent="0.2">
      <c r="A11141">
        <v>11</v>
      </c>
      <c r="E11141" t="str">
        <f t="shared" si="367"/>
        <v>L</v>
      </c>
      <c r="F11141" t="str">
        <f t="shared" si="368"/>
        <v>11L</v>
      </c>
    </row>
    <row r="11142" spans="1:6" x14ac:dyDescent="0.2">
      <c r="A11142">
        <v>12</v>
      </c>
      <c r="E11142" t="str">
        <f t="shared" si="367"/>
        <v>M</v>
      </c>
      <c r="F11142" t="str">
        <f t="shared" si="368"/>
        <v>12M</v>
      </c>
    </row>
    <row r="11143" spans="1:6" x14ac:dyDescent="0.2">
      <c r="A11143">
        <v>13</v>
      </c>
      <c r="E11143" t="str">
        <f t="shared" si="367"/>
        <v>N</v>
      </c>
      <c r="F11143" t="str">
        <f t="shared" si="368"/>
        <v>13N</v>
      </c>
    </row>
    <row r="11144" spans="1:6" x14ac:dyDescent="0.2">
      <c r="A11144">
        <v>14</v>
      </c>
      <c r="E11144" t="str">
        <f t="shared" si="367"/>
        <v>O</v>
      </c>
      <c r="F11144" t="str">
        <f t="shared" si="368"/>
        <v>14O</v>
      </c>
    </row>
    <row r="11145" spans="1:6" x14ac:dyDescent="0.2">
      <c r="A11145">
        <v>15</v>
      </c>
      <c r="E11145" t="str">
        <f t="shared" si="367"/>
        <v>P</v>
      </c>
      <c r="F11145" t="str">
        <f t="shared" si="368"/>
        <v>15P</v>
      </c>
    </row>
    <row r="11146" spans="1:6" x14ac:dyDescent="0.2">
      <c r="A11146">
        <v>16</v>
      </c>
      <c r="E11146" t="str">
        <f t="shared" si="367"/>
        <v>Q</v>
      </c>
      <c r="F11146" t="str">
        <f t="shared" si="368"/>
        <v>16Q</v>
      </c>
    </row>
    <row r="11147" spans="1:6" x14ac:dyDescent="0.2">
      <c r="A11147">
        <v>17</v>
      </c>
      <c r="E11147" t="str">
        <f t="shared" si="367"/>
        <v>R</v>
      </c>
      <c r="F11147" t="str">
        <f t="shared" si="368"/>
        <v>17R</v>
      </c>
    </row>
    <row r="11148" spans="1:6" x14ac:dyDescent="0.2">
      <c r="A11148">
        <v>18</v>
      </c>
      <c r="E11148" t="str">
        <f t="shared" si="367"/>
        <v>S</v>
      </c>
      <c r="F11148" t="str">
        <f t="shared" si="368"/>
        <v>18S</v>
      </c>
    </row>
    <row r="11149" spans="1:6" x14ac:dyDescent="0.2">
      <c r="A11149">
        <v>19</v>
      </c>
      <c r="E11149" t="str">
        <f t="shared" si="367"/>
        <v>T</v>
      </c>
      <c r="F11149" t="str">
        <f t="shared" si="368"/>
        <v>19T</v>
      </c>
    </row>
    <row r="11150" spans="1:6" x14ac:dyDescent="0.2">
      <c r="A11150">
        <v>20</v>
      </c>
      <c r="E11150" t="str">
        <f t="shared" si="367"/>
        <v>U</v>
      </c>
      <c r="F11150" t="str">
        <f t="shared" si="368"/>
        <v>20U</v>
      </c>
    </row>
    <row r="11151" spans="1:6" x14ac:dyDescent="0.2">
      <c r="A11151">
        <v>21</v>
      </c>
      <c r="E11151" t="str">
        <f t="shared" si="367"/>
        <v>V</v>
      </c>
      <c r="F11151" t="str">
        <f t="shared" si="368"/>
        <v>21V</v>
      </c>
    </row>
    <row r="11152" spans="1:6" x14ac:dyDescent="0.2">
      <c r="A11152">
        <v>22</v>
      </c>
      <c r="E11152" t="str">
        <f t="shared" si="367"/>
        <v>W</v>
      </c>
      <c r="F11152" t="str">
        <f t="shared" si="368"/>
        <v>22W</v>
      </c>
    </row>
    <row r="11153" spans="1:6" x14ac:dyDescent="0.2">
      <c r="A11153">
        <v>23</v>
      </c>
      <c r="E11153" t="str">
        <f t="shared" si="367"/>
        <v>X</v>
      </c>
      <c r="F11153" t="str">
        <f t="shared" si="368"/>
        <v>23X</v>
      </c>
    </row>
    <row r="11154" spans="1:6" x14ac:dyDescent="0.2">
      <c r="A11154">
        <v>24</v>
      </c>
      <c r="E11154" t="str">
        <f t="shared" si="367"/>
        <v>Y</v>
      </c>
      <c r="F11154" t="str">
        <f t="shared" si="368"/>
        <v>24Y</v>
      </c>
    </row>
    <row r="11155" spans="1:6" x14ac:dyDescent="0.2">
      <c r="A11155">
        <v>25</v>
      </c>
      <c r="E11155" t="str">
        <f t="shared" si="367"/>
        <v>Z</v>
      </c>
      <c r="F11155" t="str">
        <f t="shared" si="368"/>
        <v>25Z</v>
      </c>
    </row>
    <row r="11156" spans="1:6" x14ac:dyDescent="0.2">
      <c r="A11156">
        <v>0</v>
      </c>
      <c r="E11156" t="str">
        <f t="shared" si="367"/>
        <v>A</v>
      </c>
      <c r="F11156" t="str">
        <f t="shared" si="368"/>
        <v>0A</v>
      </c>
    </row>
    <row r="11157" spans="1:6" x14ac:dyDescent="0.2">
      <c r="A11157">
        <v>1</v>
      </c>
      <c r="E11157" t="str">
        <f t="shared" ref="E11157:E11220" si="369">E11131</f>
        <v>B</v>
      </c>
      <c r="F11157" t="str">
        <f t="shared" ref="F11157:F11220" si="370">A11157&amp;C11157&amp;E11157</f>
        <v>1B</v>
      </c>
    </row>
    <row r="11158" spans="1:6" x14ac:dyDescent="0.2">
      <c r="A11158">
        <v>2</v>
      </c>
      <c r="E11158" t="str">
        <f t="shared" si="369"/>
        <v>C</v>
      </c>
      <c r="F11158" t="str">
        <f t="shared" si="370"/>
        <v>2C</v>
      </c>
    </row>
    <row r="11159" spans="1:6" x14ac:dyDescent="0.2">
      <c r="A11159">
        <v>3</v>
      </c>
      <c r="E11159" t="str">
        <f t="shared" si="369"/>
        <v>D</v>
      </c>
      <c r="F11159" t="str">
        <f t="shared" si="370"/>
        <v>3D</v>
      </c>
    </row>
    <row r="11160" spans="1:6" x14ac:dyDescent="0.2">
      <c r="A11160">
        <v>4</v>
      </c>
      <c r="E11160" t="str">
        <f t="shared" si="369"/>
        <v>E</v>
      </c>
      <c r="F11160" t="str">
        <f t="shared" si="370"/>
        <v>4E</v>
      </c>
    </row>
    <row r="11161" spans="1:6" x14ac:dyDescent="0.2">
      <c r="A11161">
        <v>5</v>
      </c>
      <c r="E11161" t="str">
        <f t="shared" si="369"/>
        <v>F</v>
      </c>
      <c r="F11161" t="str">
        <f t="shared" si="370"/>
        <v>5F</v>
      </c>
    </row>
    <row r="11162" spans="1:6" x14ac:dyDescent="0.2">
      <c r="A11162">
        <v>6</v>
      </c>
      <c r="E11162" t="str">
        <f t="shared" si="369"/>
        <v>G</v>
      </c>
      <c r="F11162" t="str">
        <f t="shared" si="370"/>
        <v>6G</v>
      </c>
    </row>
    <row r="11163" spans="1:6" x14ac:dyDescent="0.2">
      <c r="A11163">
        <v>7</v>
      </c>
      <c r="E11163" t="str">
        <f t="shared" si="369"/>
        <v>H</v>
      </c>
      <c r="F11163" t="str">
        <f t="shared" si="370"/>
        <v>7H</v>
      </c>
    </row>
    <row r="11164" spans="1:6" x14ac:dyDescent="0.2">
      <c r="A11164">
        <v>8</v>
      </c>
      <c r="E11164" t="str">
        <f t="shared" si="369"/>
        <v>I</v>
      </c>
      <c r="F11164" t="str">
        <f t="shared" si="370"/>
        <v>8I</v>
      </c>
    </row>
    <row r="11165" spans="1:6" x14ac:dyDescent="0.2">
      <c r="A11165">
        <v>9</v>
      </c>
      <c r="E11165" t="str">
        <f t="shared" si="369"/>
        <v>J</v>
      </c>
      <c r="F11165" t="str">
        <f t="shared" si="370"/>
        <v>9J</v>
      </c>
    </row>
    <row r="11166" spans="1:6" x14ac:dyDescent="0.2">
      <c r="A11166">
        <v>10</v>
      </c>
      <c r="E11166" t="str">
        <f t="shared" si="369"/>
        <v>K</v>
      </c>
      <c r="F11166" t="str">
        <f t="shared" si="370"/>
        <v>10K</v>
      </c>
    </row>
    <row r="11167" spans="1:6" x14ac:dyDescent="0.2">
      <c r="A11167">
        <v>11</v>
      </c>
      <c r="E11167" t="str">
        <f t="shared" si="369"/>
        <v>L</v>
      </c>
      <c r="F11167" t="str">
        <f t="shared" si="370"/>
        <v>11L</v>
      </c>
    </row>
    <row r="11168" spans="1:6" x14ac:dyDescent="0.2">
      <c r="A11168">
        <v>12</v>
      </c>
      <c r="E11168" t="str">
        <f t="shared" si="369"/>
        <v>M</v>
      </c>
      <c r="F11168" t="str">
        <f t="shared" si="370"/>
        <v>12M</v>
      </c>
    </row>
    <row r="11169" spans="1:6" x14ac:dyDescent="0.2">
      <c r="A11169">
        <v>13</v>
      </c>
      <c r="E11169" t="str">
        <f t="shared" si="369"/>
        <v>N</v>
      </c>
      <c r="F11169" t="str">
        <f t="shared" si="370"/>
        <v>13N</v>
      </c>
    </row>
    <row r="11170" spans="1:6" x14ac:dyDescent="0.2">
      <c r="A11170">
        <v>14</v>
      </c>
      <c r="E11170" t="str">
        <f t="shared" si="369"/>
        <v>O</v>
      </c>
      <c r="F11170" t="str">
        <f t="shared" si="370"/>
        <v>14O</v>
      </c>
    </row>
    <row r="11171" spans="1:6" x14ac:dyDescent="0.2">
      <c r="A11171">
        <v>15</v>
      </c>
      <c r="E11171" t="str">
        <f t="shared" si="369"/>
        <v>P</v>
      </c>
      <c r="F11171" t="str">
        <f t="shared" si="370"/>
        <v>15P</v>
      </c>
    </row>
    <row r="11172" spans="1:6" x14ac:dyDescent="0.2">
      <c r="A11172">
        <v>16</v>
      </c>
      <c r="E11172" t="str">
        <f t="shared" si="369"/>
        <v>Q</v>
      </c>
      <c r="F11172" t="str">
        <f t="shared" si="370"/>
        <v>16Q</v>
      </c>
    </row>
    <row r="11173" spans="1:6" x14ac:dyDescent="0.2">
      <c r="A11173">
        <v>17</v>
      </c>
      <c r="E11173" t="str">
        <f t="shared" si="369"/>
        <v>R</v>
      </c>
      <c r="F11173" t="str">
        <f t="shared" si="370"/>
        <v>17R</v>
      </c>
    </row>
    <row r="11174" spans="1:6" x14ac:dyDescent="0.2">
      <c r="A11174">
        <v>18</v>
      </c>
      <c r="E11174" t="str">
        <f t="shared" si="369"/>
        <v>S</v>
      </c>
      <c r="F11174" t="str">
        <f t="shared" si="370"/>
        <v>18S</v>
      </c>
    </row>
    <row r="11175" spans="1:6" x14ac:dyDescent="0.2">
      <c r="A11175">
        <v>19</v>
      </c>
      <c r="E11175" t="str">
        <f t="shared" si="369"/>
        <v>T</v>
      </c>
      <c r="F11175" t="str">
        <f t="shared" si="370"/>
        <v>19T</v>
      </c>
    </row>
    <row r="11176" spans="1:6" x14ac:dyDescent="0.2">
      <c r="A11176">
        <v>20</v>
      </c>
      <c r="E11176" t="str">
        <f t="shared" si="369"/>
        <v>U</v>
      </c>
      <c r="F11176" t="str">
        <f t="shared" si="370"/>
        <v>20U</v>
      </c>
    </row>
    <row r="11177" spans="1:6" x14ac:dyDescent="0.2">
      <c r="A11177">
        <v>21</v>
      </c>
      <c r="E11177" t="str">
        <f t="shared" si="369"/>
        <v>V</v>
      </c>
      <c r="F11177" t="str">
        <f t="shared" si="370"/>
        <v>21V</v>
      </c>
    </row>
    <row r="11178" spans="1:6" x14ac:dyDescent="0.2">
      <c r="A11178">
        <v>22</v>
      </c>
      <c r="E11178" t="str">
        <f t="shared" si="369"/>
        <v>W</v>
      </c>
      <c r="F11178" t="str">
        <f t="shared" si="370"/>
        <v>22W</v>
      </c>
    </row>
    <row r="11179" spans="1:6" x14ac:dyDescent="0.2">
      <c r="A11179">
        <v>23</v>
      </c>
      <c r="E11179" t="str">
        <f t="shared" si="369"/>
        <v>X</v>
      </c>
      <c r="F11179" t="str">
        <f t="shared" si="370"/>
        <v>23X</v>
      </c>
    </row>
    <row r="11180" spans="1:6" x14ac:dyDescent="0.2">
      <c r="A11180">
        <v>24</v>
      </c>
      <c r="E11180" t="str">
        <f t="shared" si="369"/>
        <v>Y</v>
      </c>
      <c r="F11180" t="str">
        <f t="shared" si="370"/>
        <v>24Y</v>
      </c>
    </row>
    <row r="11181" spans="1:6" x14ac:dyDescent="0.2">
      <c r="A11181">
        <v>25</v>
      </c>
      <c r="E11181" t="str">
        <f t="shared" si="369"/>
        <v>Z</v>
      </c>
      <c r="F11181" t="str">
        <f t="shared" si="370"/>
        <v>25Z</v>
      </c>
    </row>
    <row r="11182" spans="1:6" x14ac:dyDescent="0.2">
      <c r="A11182">
        <v>0</v>
      </c>
      <c r="E11182" t="str">
        <f t="shared" si="369"/>
        <v>A</v>
      </c>
      <c r="F11182" t="str">
        <f t="shared" si="370"/>
        <v>0A</v>
      </c>
    </row>
    <row r="11183" spans="1:6" x14ac:dyDescent="0.2">
      <c r="A11183">
        <v>1</v>
      </c>
      <c r="E11183" t="str">
        <f t="shared" si="369"/>
        <v>B</v>
      </c>
      <c r="F11183" t="str">
        <f t="shared" si="370"/>
        <v>1B</v>
      </c>
    </row>
    <row r="11184" spans="1:6" x14ac:dyDescent="0.2">
      <c r="A11184">
        <v>2</v>
      </c>
      <c r="E11184" t="str">
        <f t="shared" si="369"/>
        <v>C</v>
      </c>
      <c r="F11184" t="str">
        <f t="shared" si="370"/>
        <v>2C</v>
      </c>
    </row>
    <row r="11185" spans="1:6" x14ac:dyDescent="0.2">
      <c r="A11185">
        <v>3</v>
      </c>
      <c r="E11185" t="str">
        <f t="shared" si="369"/>
        <v>D</v>
      </c>
      <c r="F11185" t="str">
        <f t="shared" si="370"/>
        <v>3D</v>
      </c>
    </row>
    <row r="11186" spans="1:6" x14ac:dyDescent="0.2">
      <c r="A11186">
        <v>4</v>
      </c>
      <c r="E11186" t="str">
        <f t="shared" si="369"/>
        <v>E</v>
      </c>
      <c r="F11186" t="str">
        <f t="shared" si="370"/>
        <v>4E</v>
      </c>
    </row>
    <row r="11187" spans="1:6" x14ac:dyDescent="0.2">
      <c r="A11187">
        <v>5</v>
      </c>
      <c r="E11187" t="str">
        <f t="shared" si="369"/>
        <v>F</v>
      </c>
      <c r="F11187" t="str">
        <f t="shared" si="370"/>
        <v>5F</v>
      </c>
    </row>
    <row r="11188" spans="1:6" x14ac:dyDescent="0.2">
      <c r="A11188">
        <v>6</v>
      </c>
      <c r="E11188" t="str">
        <f t="shared" si="369"/>
        <v>G</v>
      </c>
      <c r="F11188" t="str">
        <f t="shared" si="370"/>
        <v>6G</v>
      </c>
    </row>
    <row r="11189" spans="1:6" x14ac:dyDescent="0.2">
      <c r="A11189">
        <v>7</v>
      </c>
      <c r="E11189" t="str">
        <f t="shared" si="369"/>
        <v>H</v>
      </c>
      <c r="F11189" t="str">
        <f t="shared" si="370"/>
        <v>7H</v>
      </c>
    </row>
    <row r="11190" spans="1:6" x14ac:dyDescent="0.2">
      <c r="A11190">
        <v>8</v>
      </c>
      <c r="E11190" t="str">
        <f t="shared" si="369"/>
        <v>I</v>
      </c>
      <c r="F11190" t="str">
        <f t="shared" si="370"/>
        <v>8I</v>
      </c>
    </row>
    <row r="11191" spans="1:6" x14ac:dyDescent="0.2">
      <c r="A11191">
        <v>9</v>
      </c>
      <c r="E11191" t="str">
        <f t="shared" si="369"/>
        <v>J</v>
      </c>
      <c r="F11191" t="str">
        <f t="shared" si="370"/>
        <v>9J</v>
      </c>
    </row>
    <row r="11192" spans="1:6" x14ac:dyDescent="0.2">
      <c r="A11192">
        <v>10</v>
      </c>
      <c r="E11192" t="str">
        <f t="shared" si="369"/>
        <v>K</v>
      </c>
      <c r="F11192" t="str">
        <f t="shared" si="370"/>
        <v>10K</v>
      </c>
    </row>
    <row r="11193" spans="1:6" x14ac:dyDescent="0.2">
      <c r="A11193">
        <v>11</v>
      </c>
      <c r="E11193" t="str">
        <f t="shared" si="369"/>
        <v>L</v>
      </c>
      <c r="F11193" t="str">
        <f t="shared" si="370"/>
        <v>11L</v>
      </c>
    </row>
    <row r="11194" spans="1:6" x14ac:dyDescent="0.2">
      <c r="A11194">
        <v>12</v>
      </c>
      <c r="E11194" t="str">
        <f t="shared" si="369"/>
        <v>M</v>
      </c>
      <c r="F11194" t="str">
        <f t="shared" si="370"/>
        <v>12M</v>
      </c>
    </row>
    <row r="11195" spans="1:6" x14ac:dyDescent="0.2">
      <c r="A11195">
        <v>13</v>
      </c>
      <c r="E11195" t="str">
        <f t="shared" si="369"/>
        <v>N</v>
      </c>
      <c r="F11195" t="str">
        <f t="shared" si="370"/>
        <v>13N</v>
      </c>
    </row>
    <row r="11196" spans="1:6" x14ac:dyDescent="0.2">
      <c r="A11196">
        <v>14</v>
      </c>
      <c r="E11196" t="str">
        <f t="shared" si="369"/>
        <v>O</v>
      </c>
      <c r="F11196" t="str">
        <f t="shared" si="370"/>
        <v>14O</v>
      </c>
    </row>
    <row r="11197" spans="1:6" x14ac:dyDescent="0.2">
      <c r="A11197">
        <v>15</v>
      </c>
      <c r="E11197" t="str">
        <f t="shared" si="369"/>
        <v>P</v>
      </c>
      <c r="F11197" t="str">
        <f t="shared" si="370"/>
        <v>15P</v>
      </c>
    </row>
    <row r="11198" spans="1:6" x14ac:dyDescent="0.2">
      <c r="A11198">
        <v>16</v>
      </c>
      <c r="E11198" t="str">
        <f t="shared" si="369"/>
        <v>Q</v>
      </c>
      <c r="F11198" t="str">
        <f t="shared" si="370"/>
        <v>16Q</v>
      </c>
    </row>
    <row r="11199" spans="1:6" x14ac:dyDescent="0.2">
      <c r="A11199">
        <v>17</v>
      </c>
      <c r="E11199" t="str">
        <f t="shared" si="369"/>
        <v>R</v>
      </c>
      <c r="F11199" t="str">
        <f t="shared" si="370"/>
        <v>17R</v>
      </c>
    </row>
    <row r="11200" spans="1:6" x14ac:dyDescent="0.2">
      <c r="A11200">
        <v>18</v>
      </c>
      <c r="E11200" t="str">
        <f t="shared" si="369"/>
        <v>S</v>
      </c>
      <c r="F11200" t="str">
        <f t="shared" si="370"/>
        <v>18S</v>
      </c>
    </row>
    <row r="11201" spans="1:6" x14ac:dyDescent="0.2">
      <c r="A11201">
        <v>19</v>
      </c>
      <c r="E11201" t="str">
        <f t="shared" si="369"/>
        <v>T</v>
      </c>
      <c r="F11201" t="str">
        <f t="shared" si="370"/>
        <v>19T</v>
      </c>
    </row>
    <row r="11202" spans="1:6" x14ac:dyDescent="0.2">
      <c r="A11202">
        <v>20</v>
      </c>
      <c r="E11202" t="str">
        <f t="shared" si="369"/>
        <v>U</v>
      </c>
      <c r="F11202" t="str">
        <f t="shared" si="370"/>
        <v>20U</v>
      </c>
    </row>
    <row r="11203" spans="1:6" x14ac:dyDescent="0.2">
      <c r="A11203">
        <v>21</v>
      </c>
      <c r="E11203" t="str">
        <f t="shared" si="369"/>
        <v>V</v>
      </c>
      <c r="F11203" t="str">
        <f t="shared" si="370"/>
        <v>21V</v>
      </c>
    </row>
    <row r="11204" spans="1:6" x14ac:dyDescent="0.2">
      <c r="A11204">
        <v>22</v>
      </c>
      <c r="E11204" t="str">
        <f t="shared" si="369"/>
        <v>W</v>
      </c>
      <c r="F11204" t="str">
        <f t="shared" si="370"/>
        <v>22W</v>
      </c>
    </row>
    <row r="11205" spans="1:6" x14ac:dyDescent="0.2">
      <c r="A11205">
        <v>23</v>
      </c>
      <c r="E11205" t="str">
        <f t="shared" si="369"/>
        <v>X</v>
      </c>
      <c r="F11205" t="str">
        <f t="shared" si="370"/>
        <v>23X</v>
      </c>
    </row>
    <row r="11206" spans="1:6" x14ac:dyDescent="0.2">
      <c r="A11206">
        <v>24</v>
      </c>
      <c r="E11206" t="str">
        <f t="shared" si="369"/>
        <v>Y</v>
      </c>
      <c r="F11206" t="str">
        <f t="shared" si="370"/>
        <v>24Y</v>
      </c>
    </row>
    <row r="11207" spans="1:6" x14ac:dyDescent="0.2">
      <c r="A11207">
        <v>25</v>
      </c>
      <c r="E11207" t="str">
        <f t="shared" si="369"/>
        <v>Z</v>
      </c>
      <c r="F11207" t="str">
        <f t="shared" si="370"/>
        <v>25Z</v>
      </c>
    </row>
    <row r="11208" spans="1:6" x14ac:dyDescent="0.2">
      <c r="A11208">
        <v>0</v>
      </c>
      <c r="E11208" t="str">
        <f t="shared" si="369"/>
        <v>A</v>
      </c>
      <c r="F11208" t="str">
        <f t="shared" si="370"/>
        <v>0A</v>
      </c>
    </row>
    <row r="11209" spans="1:6" x14ac:dyDescent="0.2">
      <c r="A11209">
        <v>1</v>
      </c>
      <c r="E11209" t="str">
        <f t="shared" si="369"/>
        <v>B</v>
      </c>
      <c r="F11209" t="str">
        <f t="shared" si="370"/>
        <v>1B</v>
      </c>
    </row>
    <row r="11210" spans="1:6" x14ac:dyDescent="0.2">
      <c r="A11210">
        <v>2</v>
      </c>
      <c r="E11210" t="str">
        <f t="shared" si="369"/>
        <v>C</v>
      </c>
      <c r="F11210" t="str">
        <f t="shared" si="370"/>
        <v>2C</v>
      </c>
    </row>
    <row r="11211" spans="1:6" x14ac:dyDescent="0.2">
      <c r="A11211">
        <v>3</v>
      </c>
      <c r="E11211" t="str">
        <f t="shared" si="369"/>
        <v>D</v>
      </c>
      <c r="F11211" t="str">
        <f t="shared" si="370"/>
        <v>3D</v>
      </c>
    </row>
    <row r="11212" spans="1:6" x14ac:dyDescent="0.2">
      <c r="A11212">
        <v>4</v>
      </c>
      <c r="E11212" t="str">
        <f t="shared" si="369"/>
        <v>E</v>
      </c>
      <c r="F11212" t="str">
        <f t="shared" si="370"/>
        <v>4E</v>
      </c>
    </row>
    <row r="11213" spans="1:6" x14ac:dyDescent="0.2">
      <c r="A11213">
        <v>5</v>
      </c>
      <c r="E11213" t="str">
        <f t="shared" si="369"/>
        <v>F</v>
      </c>
      <c r="F11213" t="str">
        <f t="shared" si="370"/>
        <v>5F</v>
      </c>
    </row>
    <row r="11214" spans="1:6" x14ac:dyDescent="0.2">
      <c r="A11214">
        <v>6</v>
      </c>
      <c r="E11214" t="str">
        <f t="shared" si="369"/>
        <v>G</v>
      </c>
      <c r="F11214" t="str">
        <f t="shared" si="370"/>
        <v>6G</v>
      </c>
    </row>
    <row r="11215" spans="1:6" x14ac:dyDescent="0.2">
      <c r="A11215">
        <v>7</v>
      </c>
      <c r="E11215" t="str">
        <f t="shared" si="369"/>
        <v>H</v>
      </c>
      <c r="F11215" t="str">
        <f t="shared" si="370"/>
        <v>7H</v>
      </c>
    </row>
    <row r="11216" spans="1:6" x14ac:dyDescent="0.2">
      <c r="A11216">
        <v>8</v>
      </c>
      <c r="E11216" t="str">
        <f t="shared" si="369"/>
        <v>I</v>
      </c>
      <c r="F11216" t="str">
        <f t="shared" si="370"/>
        <v>8I</v>
      </c>
    </row>
    <row r="11217" spans="1:6" x14ac:dyDescent="0.2">
      <c r="A11217">
        <v>9</v>
      </c>
      <c r="E11217" t="str">
        <f t="shared" si="369"/>
        <v>J</v>
      </c>
      <c r="F11217" t="str">
        <f t="shared" si="370"/>
        <v>9J</v>
      </c>
    </row>
    <row r="11218" spans="1:6" x14ac:dyDescent="0.2">
      <c r="A11218">
        <v>10</v>
      </c>
      <c r="E11218" t="str">
        <f t="shared" si="369"/>
        <v>K</v>
      </c>
      <c r="F11218" t="str">
        <f t="shared" si="370"/>
        <v>10K</v>
      </c>
    </row>
    <row r="11219" spans="1:6" x14ac:dyDescent="0.2">
      <c r="A11219">
        <v>11</v>
      </c>
      <c r="E11219" t="str">
        <f t="shared" si="369"/>
        <v>L</v>
      </c>
      <c r="F11219" t="str">
        <f t="shared" si="370"/>
        <v>11L</v>
      </c>
    </row>
    <row r="11220" spans="1:6" x14ac:dyDescent="0.2">
      <c r="A11220">
        <v>12</v>
      </c>
      <c r="E11220" t="str">
        <f t="shared" si="369"/>
        <v>M</v>
      </c>
      <c r="F11220" t="str">
        <f t="shared" si="370"/>
        <v>12M</v>
      </c>
    </row>
    <row r="11221" spans="1:6" x14ac:dyDescent="0.2">
      <c r="A11221">
        <v>13</v>
      </c>
      <c r="E11221" t="str">
        <f t="shared" ref="E11221:E11284" si="371">E11195</f>
        <v>N</v>
      </c>
      <c r="F11221" t="str">
        <f t="shared" ref="F11221:F11284" si="372">A11221&amp;C11221&amp;E11221</f>
        <v>13N</v>
      </c>
    </row>
    <row r="11222" spans="1:6" x14ac:dyDescent="0.2">
      <c r="A11222">
        <v>14</v>
      </c>
      <c r="E11222" t="str">
        <f t="shared" si="371"/>
        <v>O</v>
      </c>
      <c r="F11222" t="str">
        <f t="shared" si="372"/>
        <v>14O</v>
      </c>
    </row>
    <row r="11223" spans="1:6" x14ac:dyDescent="0.2">
      <c r="A11223">
        <v>15</v>
      </c>
      <c r="E11223" t="str">
        <f t="shared" si="371"/>
        <v>P</v>
      </c>
      <c r="F11223" t="str">
        <f t="shared" si="372"/>
        <v>15P</v>
      </c>
    </row>
    <row r="11224" spans="1:6" x14ac:dyDescent="0.2">
      <c r="A11224">
        <v>16</v>
      </c>
      <c r="E11224" t="str">
        <f t="shared" si="371"/>
        <v>Q</v>
      </c>
      <c r="F11224" t="str">
        <f t="shared" si="372"/>
        <v>16Q</v>
      </c>
    </row>
    <row r="11225" spans="1:6" x14ac:dyDescent="0.2">
      <c r="A11225">
        <v>17</v>
      </c>
      <c r="E11225" t="str">
        <f t="shared" si="371"/>
        <v>R</v>
      </c>
      <c r="F11225" t="str">
        <f t="shared" si="372"/>
        <v>17R</v>
      </c>
    </row>
    <row r="11226" spans="1:6" x14ac:dyDescent="0.2">
      <c r="A11226">
        <v>18</v>
      </c>
      <c r="E11226" t="str">
        <f t="shared" si="371"/>
        <v>S</v>
      </c>
      <c r="F11226" t="str">
        <f t="shared" si="372"/>
        <v>18S</v>
      </c>
    </row>
    <row r="11227" spans="1:6" x14ac:dyDescent="0.2">
      <c r="A11227">
        <v>19</v>
      </c>
      <c r="E11227" t="str">
        <f t="shared" si="371"/>
        <v>T</v>
      </c>
      <c r="F11227" t="str">
        <f t="shared" si="372"/>
        <v>19T</v>
      </c>
    </row>
    <row r="11228" spans="1:6" x14ac:dyDescent="0.2">
      <c r="A11228">
        <v>20</v>
      </c>
      <c r="E11228" t="str">
        <f t="shared" si="371"/>
        <v>U</v>
      </c>
      <c r="F11228" t="str">
        <f t="shared" si="372"/>
        <v>20U</v>
      </c>
    </row>
    <row r="11229" spans="1:6" x14ac:dyDescent="0.2">
      <c r="A11229">
        <v>21</v>
      </c>
      <c r="E11229" t="str">
        <f t="shared" si="371"/>
        <v>V</v>
      </c>
      <c r="F11229" t="str">
        <f t="shared" si="372"/>
        <v>21V</v>
      </c>
    </row>
    <row r="11230" spans="1:6" x14ac:dyDescent="0.2">
      <c r="A11230">
        <v>22</v>
      </c>
      <c r="E11230" t="str">
        <f t="shared" si="371"/>
        <v>W</v>
      </c>
      <c r="F11230" t="str">
        <f t="shared" si="372"/>
        <v>22W</v>
      </c>
    </row>
    <row r="11231" spans="1:6" x14ac:dyDescent="0.2">
      <c r="A11231">
        <v>23</v>
      </c>
      <c r="E11231" t="str">
        <f t="shared" si="371"/>
        <v>X</v>
      </c>
      <c r="F11231" t="str">
        <f t="shared" si="372"/>
        <v>23X</v>
      </c>
    </row>
    <row r="11232" spans="1:6" x14ac:dyDescent="0.2">
      <c r="A11232">
        <v>24</v>
      </c>
      <c r="E11232" t="str">
        <f t="shared" si="371"/>
        <v>Y</v>
      </c>
      <c r="F11232" t="str">
        <f t="shared" si="372"/>
        <v>24Y</v>
      </c>
    </row>
    <row r="11233" spans="1:6" x14ac:dyDescent="0.2">
      <c r="A11233">
        <v>25</v>
      </c>
      <c r="E11233" t="str">
        <f t="shared" si="371"/>
        <v>Z</v>
      </c>
      <c r="F11233" t="str">
        <f t="shared" si="372"/>
        <v>25Z</v>
      </c>
    </row>
    <row r="11234" spans="1:6" x14ac:dyDescent="0.2">
      <c r="A11234">
        <v>0</v>
      </c>
      <c r="E11234" t="str">
        <f t="shared" si="371"/>
        <v>A</v>
      </c>
      <c r="F11234" t="str">
        <f t="shared" si="372"/>
        <v>0A</v>
      </c>
    </row>
    <row r="11235" spans="1:6" x14ac:dyDescent="0.2">
      <c r="A11235">
        <v>1</v>
      </c>
      <c r="E11235" t="str">
        <f t="shared" si="371"/>
        <v>B</v>
      </c>
      <c r="F11235" t="str">
        <f t="shared" si="372"/>
        <v>1B</v>
      </c>
    </row>
    <row r="11236" spans="1:6" x14ac:dyDescent="0.2">
      <c r="A11236">
        <v>2</v>
      </c>
      <c r="E11236" t="str">
        <f t="shared" si="371"/>
        <v>C</v>
      </c>
      <c r="F11236" t="str">
        <f t="shared" si="372"/>
        <v>2C</v>
      </c>
    </row>
    <row r="11237" spans="1:6" x14ac:dyDescent="0.2">
      <c r="A11237">
        <v>3</v>
      </c>
      <c r="E11237" t="str">
        <f t="shared" si="371"/>
        <v>D</v>
      </c>
      <c r="F11237" t="str">
        <f t="shared" si="372"/>
        <v>3D</v>
      </c>
    </row>
    <row r="11238" spans="1:6" x14ac:dyDescent="0.2">
      <c r="A11238">
        <v>4</v>
      </c>
      <c r="E11238" t="str">
        <f t="shared" si="371"/>
        <v>E</v>
      </c>
      <c r="F11238" t="str">
        <f t="shared" si="372"/>
        <v>4E</v>
      </c>
    </row>
    <row r="11239" spans="1:6" x14ac:dyDescent="0.2">
      <c r="A11239">
        <v>5</v>
      </c>
      <c r="E11239" t="str">
        <f t="shared" si="371"/>
        <v>F</v>
      </c>
      <c r="F11239" t="str">
        <f t="shared" si="372"/>
        <v>5F</v>
      </c>
    </row>
    <row r="11240" spans="1:6" x14ac:dyDescent="0.2">
      <c r="A11240">
        <v>6</v>
      </c>
      <c r="E11240" t="str">
        <f t="shared" si="371"/>
        <v>G</v>
      </c>
      <c r="F11240" t="str">
        <f t="shared" si="372"/>
        <v>6G</v>
      </c>
    </row>
    <row r="11241" spans="1:6" x14ac:dyDescent="0.2">
      <c r="A11241">
        <v>7</v>
      </c>
      <c r="E11241" t="str">
        <f t="shared" si="371"/>
        <v>H</v>
      </c>
      <c r="F11241" t="str">
        <f t="shared" si="372"/>
        <v>7H</v>
      </c>
    </row>
    <row r="11242" spans="1:6" x14ac:dyDescent="0.2">
      <c r="A11242">
        <v>8</v>
      </c>
      <c r="E11242" t="str">
        <f t="shared" si="371"/>
        <v>I</v>
      </c>
      <c r="F11242" t="str">
        <f t="shared" si="372"/>
        <v>8I</v>
      </c>
    </row>
    <row r="11243" spans="1:6" x14ac:dyDescent="0.2">
      <c r="A11243">
        <v>9</v>
      </c>
      <c r="E11243" t="str">
        <f t="shared" si="371"/>
        <v>J</v>
      </c>
      <c r="F11243" t="str">
        <f t="shared" si="372"/>
        <v>9J</v>
      </c>
    </row>
    <row r="11244" spans="1:6" x14ac:dyDescent="0.2">
      <c r="A11244">
        <v>10</v>
      </c>
      <c r="E11244" t="str">
        <f t="shared" si="371"/>
        <v>K</v>
      </c>
      <c r="F11244" t="str">
        <f t="shared" si="372"/>
        <v>10K</v>
      </c>
    </row>
    <row r="11245" spans="1:6" x14ac:dyDescent="0.2">
      <c r="A11245">
        <v>11</v>
      </c>
      <c r="E11245" t="str">
        <f t="shared" si="371"/>
        <v>L</v>
      </c>
      <c r="F11245" t="str">
        <f t="shared" si="372"/>
        <v>11L</v>
      </c>
    </row>
    <row r="11246" spans="1:6" x14ac:dyDescent="0.2">
      <c r="A11246">
        <v>12</v>
      </c>
      <c r="E11246" t="str">
        <f t="shared" si="371"/>
        <v>M</v>
      </c>
      <c r="F11246" t="str">
        <f t="shared" si="372"/>
        <v>12M</v>
      </c>
    </row>
    <row r="11247" spans="1:6" x14ac:dyDescent="0.2">
      <c r="A11247">
        <v>13</v>
      </c>
      <c r="E11247" t="str">
        <f t="shared" si="371"/>
        <v>N</v>
      </c>
      <c r="F11247" t="str">
        <f t="shared" si="372"/>
        <v>13N</v>
      </c>
    </row>
    <row r="11248" spans="1:6" x14ac:dyDescent="0.2">
      <c r="A11248">
        <v>14</v>
      </c>
      <c r="E11248" t="str">
        <f t="shared" si="371"/>
        <v>O</v>
      </c>
      <c r="F11248" t="str">
        <f t="shared" si="372"/>
        <v>14O</v>
      </c>
    </row>
    <row r="11249" spans="1:6" x14ac:dyDescent="0.2">
      <c r="A11249">
        <v>15</v>
      </c>
      <c r="E11249" t="str">
        <f t="shared" si="371"/>
        <v>P</v>
      </c>
      <c r="F11249" t="str">
        <f t="shared" si="372"/>
        <v>15P</v>
      </c>
    </row>
    <row r="11250" spans="1:6" x14ac:dyDescent="0.2">
      <c r="A11250">
        <v>16</v>
      </c>
      <c r="E11250" t="str">
        <f t="shared" si="371"/>
        <v>Q</v>
      </c>
      <c r="F11250" t="str">
        <f t="shared" si="372"/>
        <v>16Q</v>
      </c>
    </row>
    <row r="11251" spans="1:6" x14ac:dyDescent="0.2">
      <c r="A11251">
        <v>17</v>
      </c>
      <c r="E11251" t="str">
        <f t="shared" si="371"/>
        <v>R</v>
      </c>
      <c r="F11251" t="str">
        <f t="shared" si="372"/>
        <v>17R</v>
      </c>
    </row>
    <row r="11252" spans="1:6" x14ac:dyDescent="0.2">
      <c r="A11252">
        <v>18</v>
      </c>
      <c r="E11252" t="str">
        <f t="shared" si="371"/>
        <v>S</v>
      </c>
      <c r="F11252" t="str">
        <f t="shared" si="372"/>
        <v>18S</v>
      </c>
    </row>
    <row r="11253" spans="1:6" x14ac:dyDescent="0.2">
      <c r="A11253">
        <v>19</v>
      </c>
      <c r="E11253" t="str">
        <f t="shared" si="371"/>
        <v>T</v>
      </c>
      <c r="F11253" t="str">
        <f t="shared" si="372"/>
        <v>19T</v>
      </c>
    </row>
    <row r="11254" spans="1:6" x14ac:dyDescent="0.2">
      <c r="A11254">
        <v>20</v>
      </c>
      <c r="E11254" t="str">
        <f t="shared" si="371"/>
        <v>U</v>
      </c>
      <c r="F11254" t="str">
        <f t="shared" si="372"/>
        <v>20U</v>
      </c>
    </row>
    <row r="11255" spans="1:6" x14ac:dyDescent="0.2">
      <c r="A11255">
        <v>21</v>
      </c>
      <c r="E11255" t="str">
        <f t="shared" si="371"/>
        <v>V</v>
      </c>
      <c r="F11255" t="str">
        <f t="shared" si="372"/>
        <v>21V</v>
      </c>
    </row>
    <row r="11256" spans="1:6" x14ac:dyDescent="0.2">
      <c r="A11256">
        <v>22</v>
      </c>
      <c r="E11256" t="str">
        <f t="shared" si="371"/>
        <v>W</v>
      </c>
      <c r="F11256" t="str">
        <f t="shared" si="372"/>
        <v>22W</v>
      </c>
    </row>
    <row r="11257" spans="1:6" x14ac:dyDescent="0.2">
      <c r="A11257">
        <v>23</v>
      </c>
      <c r="E11257" t="str">
        <f t="shared" si="371"/>
        <v>X</v>
      </c>
      <c r="F11257" t="str">
        <f t="shared" si="372"/>
        <v>23X</v>
      </c>
    </row>
    <row r="11258" spans="1:6" x14ac:dyDescent="0.2">
      <c r="A11258">
        <v>24</v>
      </c>
      <c r="E11258" t="str">
        <f t="shared" si="371"/>
        <v>Y</v>
      </c>
      <c r="F11258" t="str">
        <f t="shared" si="372"/>
        <v>24Y</v>
      </c>
    </row>
    <row r="11259" spans="1:6" x14ac:dyDescent="0.2">
      <c r="A11259">
        <v>25</v>
      </c>
      <c r="E11259" t="str">
        <f t="shared" si="371"/>
        <v>Z</v>
      </c>
      <c r="F11259" t="str">
        <f t="shared" si="372"/>
        <v>25Z</v>
      </c>
    </row>
    <row r="11260" spans="1:6" x14ac:dyDescent="0.2">
      <c r="A11260">
        <v>0</v>
      </c>
      <c r="E11260" t="str">
        <f t="shared" si="371"/>
        <v>A</v>
      </c>
      <c r="F11260" t="str">
        <f t="shared" si="372"/>
        <v>0A</v>
      </c>
    </row>
    <row r="11261" spans="1:6" x14ac:dyDescent="0.2">
      <c r="A11261">
        <v>1</v>
      </c>
      <c r="E11261" t="str">
        <f t="shared" si="371"/>
        <v>B</v>
      </c>
      <c r="F11261" t="str">
        <f t="shared" si="372"/>
        <v>1B</v>
      </c>
    </row>
    <row r="11262" spans="1:6" x14ac:dyDescent="0.2">
      <c r="A11262">
        <v>2</v>
      </c>
      <c r="E11262" t="str">
        <f t="shared" si="371"/>
        <v>C</v>
      </c>
      <c r="F11262" t="str">
        <f t="shared" si="372"/>
        <v>2C</v>
      </c>
    </row>
    <row r="11263" spans="1:6" x14ac:dyDescent="0.2">
      <c r="A11263">
        <v>3</v>
      </c>
      <c r="E11263" t="str">
        <f t="shared" si="371"/>
        <v>D</v>
      </c>
      <c r="F11263" t="str">
        <f t="shared" si="372"/>
        <v>3D</v>
      </c>
    </row>
    <row r="11264" spans="1:6" x14ac:dyDescent="0.2">
      <c r="A11264">
        <v>4</v>
      </c>
      <c r="E11264" t="str">
        <f t="shared" si="371"/>
        <v>E</v>
      </c>
      <c r="F11264" t="str">
        <f t="shared" si="372"/>
        <v>4E</v>
      </c>
    </row>
    <row r="11265" spans="1:6" x14ac:dyDescent="0.2">
      <c r="A11265">
        <v>5</v>
      </c>
      <c r="E11265" t="str">
        <f t="shared" si="371"/>
        <v>F</v>
      </c>
      <c r="F11265" t="str">
        <f t="shared" si="372"/>
        <v>5F</v>
      </c>
    </row>
    <row r="11266" spans="1:6" x14ac:dyDescent="0.2">
      <c r="A11266">
        <v>6</v>
      </c>
      <c r="E11266" t="str">
        <f t="shared" si="371"/>
        <v>G</v>
      </c>
      <c r="F11266" t="str">
        <f t="shared" si="372"/>
        <v>6G</v>
      </c>
    </row>
    <row r="11267" spans="1:6" x14ac:dyDescent="0.2">
      <c r="A11267">
        <v>7</v>
      </c>
      <c r="E11267" t="str">
        <f t="shared" si="371"/>
        <v>H</v>
      </c>
      <c r="F11267" t="str">
        <f t="shared" si="372"/>
        <v>7H</v>
      </c>
    </row>
    <row r="11268" spans="1:6" x14ac:dyDescent="0.2">
      <c r="A11268">
        <v>8</v>
      </c>
      <c r="E11268" t="str">
        <f t="shared" si="371"/>
        <v>I</v>
      </c>
      <c r="F11268" t="str">
        <f t="shared" si="372"/>
        <v>8I</v>
      </c>
    </row>
    <row r="11269" spans="1:6" x14ac:dyDescent="0.2">
      <c r="A11269">
        <v>9</v>
      </c>
      <c r="E11269" t="str">
        <f t="shared" si="371"/>
        <v>J</v>
      </c>
      <c r="F11269" t="str">
        <f t="shared" si="372"/>
        <v>9J</v>
      </c>
    </row>
    <row r="11270" spans="1:6" x14ac:dyDescent="0.2">
      <c r="A11270">
        <v>10</v>
      </c>
      <c r="E11270" t="str">
        <f t="shared" si="371"/>
        <v>K</v>
      </c>
      <c r="F11270" t="str">
        <f t="shared" si="372"/>
        <v>10K</v>
      </c>
    </row>
    <row r="11271" spans="1:6" x14ac:dyDescent="0.2">
      <c r="A11271">
        <v>11</v>
      </c>
      <c r="E11271" t="str">
        <f t="shared" si="371"/>
        <v>L</v>
      </c>
      <c r="F11271" t="str">
        <f t="shared" si="372"/>
        <v>11L</v>
      </c>
    </row>
    <row r="11272" spans="1:6" x14ac:dyDescent="0.2">
      <c r="A11272">
        <v>12</v>
      </c>
      <c r="E11272" t="str">
        <f t="shared" si="371"/>
        <v>M</v>
      </c>
      <c r="F11272" t="str">
        <f t="shared" si="372"/>
        <v>12M</v>
      </c>
    </row>
    <row r="11273" spans="1:6" x14ac:dyDescent="0.2">
      <c r="A11273">
        <v>13</v>
      </c>
      <c r="E11273" t="str">
        <f t="shared" si="371"/>
        <v>N</v>
      </c>
      <c r="F11273" t="str">
        <f t="shared" si="372"/>
        <v>13N</v>
      </c>
    </row>
    <row r="11274" spans="1:6" x14ac:dyDescent="0.2">
      <c r="A11274">
        <v>14</v>
      </c>
      <c r="E11274" t="str">
        <f t="shared" si="371"/>
        <v>O</v>
      </c>
      <c r="F11274" t="str">
        <f t="shared" si="372"/>
        <v>14O</v>
      </c>
    </row>
    <row r="11275" spans="1:6" x14ac:dyDescent="0.2">
      <c r="A11275">
        <v>15</v>
      </c>
      <c r="E11275" t="str">
        <f t="shared" si="371"/>
        <v>P</v>
      </c>
      <c r="F11275" t="str">
        <f t="shared" si="372"/>
        <v>15P</v>
      </c>
    </row>
    <row r="11276" spans="1:6" x14ac:dyDescent="0.2">
      <c r="A11276">
        <v>16</v>
      </c>
      <c r="E11276" t="str">
        <f t="shared" si="371"/>
        <v>Q</v>
      </c>
      <c r="F11276" t="str">
        <f t="shared" si="372"/>
        <v>16Q</v>
      </c>
    </row>
    <row r="11277" spans="1:6" x14ac:dyDescent="0.2">
      <c r="A11277">
        <v>17</v>
      </c>
      <c r="E11277" t="str">
        <f t="shared" si="371"/>
        <v>R</v>
      </c>
      <c r="F11277" t="str">
        <f t="shared" si="372"/>
        <v>17R</v>
      </c>
    </row>
    <row r="11278" spans="1:6" x14ac:dyDescent="0.2">
      <c r="A11278">
        <v>18</v>
      </c>
      <c r="E11278" t="str">
        <f t="shared" si="371"/>
        <v>S</v>
      </c>
      <c r="F11278" t="str">
        <f t="shared" si="372"/>
        <v>18S</v>
      </c>
    </row>
    <row r="11279" spans="1:6" x14ac:dyDescent="0.2">
      <c r="A11279">
        <v>19</v>
      </c>
      <c r="E11279" t="str">
        <f t="shared" si="371"/>
        <v>T</v>
      </c>
      <c r="F11279" t="str">
        <f t="shared" si="372"/>
        <v>19T</v>
      </c>
    </row>
    <row r="11280" spans="1:6" x14ac:dyDescent="0.2">
      <c r="A11280">
        <v>20</v>
      </c>
      <c r="E11280" t="str">
        <f t="shared" si="371"/>
        <v>U</v>
      </c>
      <c r="F11280" t="str">
        <f t="shared" si="372"/>
        <v>20U</v>
      </c>
    </row>
    <row r="11281" spans="1:6" x14ac:dyDescent="0.2">
      <c r="A11281">
        <v>21</v>
      </c>
      <c r="E11281" t="str">
        <f t="shared" si="371"/>
        <v>V</v>
      </c>
      <c r="F11281" t="str">
        <f t="shared" si="372"/>
        <v>21V</v>
      </c>
    </row>
    <row r="11282" spans="1:6" x14ac:dyDescent="0.2">
      <c r="A11282">
        <v>22</v>
      </c>
      <c r="E11282" t="str">
        <f t="shared" si="371"/>
        <v>W</v>
      </c>
      <c r="F11282" t="str">
        <f t="shared" si="372"/>
        <v>22W</v>
      </c>
    </row>
    <row r="11283" spans="1:6" x14ac:dyDescent="0.2">
      <c r="A11283">
        <v>23</v>
      </c>
      <c r="E11283" t="str">
        <f t="shared" si="371"/>
        <v>X</v>
      </c>
      <c r="F11283" t="str">
        <f t="shared" si="372"/>
        <v>23X</v>
      </c>
    </row>
    <row r="11284" spans="1:6" x14ac:dyDescent="0.2">
      <c r="A11284">
        <v>24</v>
      </c>
      <c r="E11284" t="str">
        <f t="shared" si="371"/>
        <v>Y</v>
      </c>
      <c r="F11284" t="str">
        <f t="shared" si="372"/>
        <v>24Y</v>
      </c>
    </row>
    <row r="11285" spans="1:6" x14ac:dyDescent="0.2">
      <c r="A11285">
        <v>25</v>
      </c>
      <c r="E11285" t="str">
        <f t="shared" ref="E11285:E11348" si="373">E11259</f>
        <v>Z</v>
      </c>
      <c r="F11285" t="str">
        <f t="shared" ref="F11285:F11348" si="374">A11285&amp;C11285&amp;E11285</f>
        <v>25Z</v>
      </c>
    </row>
    <row r="11286" spans="1:6" x14ac:dyDescent="0.2">
      <c r="A11286">
        <v>0</v>
      </c>
      <c r="E11286" t="str">
        <f t="shared" si="373"/>
        <v>A</v>
      </c>
      <c r="F11286" t="str">
        <f t="shared" si="374"/>
        <v>0A</v>
      </c>
    </row>
    <row r="11287" spans="1:6" x14ac:dyDescent="0.2">
      <c r="A11287">
        <v>1</v>
      </c>
      <c r="E11287" t="str">
        <f t="shared" si="373"/>
        <v>B</v>
      </c>
      <c r="F11287" t="str">
        <f t="shared" si="374"/>
        <v>1B</v>
      </c>
    </row>
    <row r="11288" spans="1:6" x14ac:dyDescent="0.2">
      <c r="A11288">
        <v>2</v>
      </c>
      <c r="E11288" t="str">
        <f t="shared" si="373"/>
        <v>C</v>
      </c>
      <c r="F11288" t="str">
        <f t="shared" si="374"/>
        <v>2C</v>
      </c>
    </row>
    <row r="11289" spans="1:6" x14ac:dyDescent="0.2">
      <c r="A11289">
        <v>3</v>
      </c>
      <c r="E11289" t="str">
        <f t="shared" si="373"/>
        <v>D</v>
      </c>
      <c r="F11289" t="str">
        <f t="shared" si="374"/>
        <v>3D</v>
      </c>
    </row>
    <row r="11290" spans="1:6" x14ac:dyDescent="0.2">
      <c r="A11290">
        <v>4</v>
      </c>
      <c r="E11290" t="str">
        <f t="shared" si="373"/>
        <v>E</v>
      </c>
      <c r="F11290" t="str">
        <f t="shared" si="374"/>
        <v>4E</v>
      </c>
    </row>
    <row r="11291" spans="1:6" x14ac:dyDescent="0.2">
      <c r="A11291">
        <v>5</v>
      </c>
      <c r="E11291" t="str">
        <f t="shared" si="373"/>
        <v>F</v>
      </c>
      <c r="F11291" t="str">
        <f t="shared" si="374"/>
        <v>5F</v>
      </c>
    </row>
    <row r="11292" spans="1:6" x14ac:dyDescent="0.2">
      <c r="A11292">
        <v>6</v>
      </c>
      <c r="E11292" t="str">
        <f t="shared" si="373"/>
        <v>G</v>
      </c>
      <c r="F11292" t="str">
        <f t="shared" si="374"/>
        <v>6G</v>
      </c>
    </row>
    <row r="11293" spans="1:6" x14ac:dyDescent="0.2">
      <c r="A11293">
        <v>7</v>
      </c>
      <c r="E11293" t="str">
        <f t="shared" si="373"/>
        <v>H</v>
      </c>
      <c r="F11293" t="str">
        <f t="shared" si="374"/>
        <v>7H</v>
      </c>
    </row>
    <row r="11294" spans="1:6" x14ac:dyDescent="0.2">
      <c r="A11294">
        <v>8</v>
      </c>
      <c r="E11294" t="str">
        <f t="shared" si="373"/>
        <v>I</v>
      </c>
      <c r="F11294" t="str">
        <f t="shared" si="374"/>
        <v>8I</v>
      </c>
    </row>
    <row r="11295" spans="1:6" x14ac:dyDescent="0.2">
      <c r="A11295">
        <v>9</v>
      </c>
      <c r="E11295" t="str">
        <f t="shared" si="373"/>
        <v>J</v>
      </c>
      <c r="F11295" t="str">
        <f t="shared" si="374"/>
        <v>9J</v>
      </c>
    </row>
    <row r="11296" spans="1:6" x14ac:dyDescent="0.2">
      <c r="A11296">
        <v>10</v>
      </c>
      <c r="E11296" t="str">
        <f t="shared" si="373"/>
        <v>K</v>
      </c>
      <c r="F11296" t="str">
        <f t="shared" si="374"/>
        <v>10K</v>
      </c>
    </row>
    <row r="11297" spans="1:6" x14ac:dyDescent="0.2">
      <c r="A11297">
        <v>11</v>
      </c>
      <c r="E11297" t="str">
        <f t="shared" si="373"/>
        <v>L</v>
      </c>
      <c r="F11297" t="str">
        <f t="shared" si="374"/>
        <v>11L</v>
      </c>
    </row>
    <row r="11298" spans="1:6" x14ac:dyDescent="0.2">
      <c r="A11298">
        <v>12</v>
      </c>
      <c r="E11298" t="str">
        <f t="shared" si="373"/>
        <v>M</v>
      </c>
      <c r="F11298" t="str">
        <f t="shared" si="374"/>
        <v>12M</v>
      </c>
    </row>
    <row r="11299" spans="1:6" x14ac:dyDescent="0.2">
      <c r="A11299">
        <v>13</v>
      </c>
      <c r="E11299" t="str">
        <f t="shared" si="373"/>
        <v>N</v>
      </c>
      <c r="F11299" t="str">
        <f t="shared" si="374"/>
        <v>13N</v>
      </c>
    </row>
    <row r="11300" spans="1:6" x14ac:dyDescent="0.2">
      <c r="A11300">
        <v>14</v>
      </c>
      <c r="E11300" t="str">
        <f t="shared" si="373"/>
        <v>O</v>
      </c>
      <c r="F11300" t="str">
        <f t="shared" si="374"/>
        <v>14O</v>
      </c>
    </row>
    <row r="11301" spans="1:6" x14ac:dyDescent="0.2">
      <c r="A11301">
        <v>15</v>
      </c>
      <c r="E11301" t="str">
        <f t="shared" si="373"/>
        <v>P</v>
      </c>
      <c r="F11301" t="str">
        <f t="shared" si="374"/>
        <v>15P</v>
      </c>
    </row>
    <row r="11302" spans="1:6" x14ac:dyDescent="0.2">
      <c r="A11302">
        <v>16</v>
      </c>
      <c r="E11302" t="str">
        <f t="shared" si="373"/>
        <v>Q</v>
      </c>
      <c r="F11302" t="str">
        <f t="shared" si="374"/>
        <v>16Q</v>
      </c>
    </row>
    <row r="11303" spans="1:6" x14ac:dyDescent="0.2">
      <c r="A11303">
        <v>17</v>
      </c>
      <c r="E11303" t="str">
        <f t="shared" si="373"/>
        <v>R</v>
      </c>
      <c r="F11303" t="str">
        <f t="shared" si="374"/>
        <v>17R</v>
      </c>
    </row>
    <row r="11304" spans="1:6" x14ac:dyDescent="0.2">
      <c r="A11304">
        <v>18</v>
      </c>
      <c r="E11304" t="str">
        <f t="shared" si="373"/>
        <v>S</v>
      </c>
      <c r="F11304" t="str">
        <f t="shared" si="374"/>
        <v>18S</v>
      </c>
    </row>
    <row r="11305" spans="1:6" x14ac:dyDescent="0.2">
      <c r="A11305">
        <v>19</v>
      </c>
      <c r="E11305" t="str">
        <f t="shared" si="373"/>
        <v>T</v>
      </c>
      <c r="F11305" t="str">
        <f t="shared" si="374"/>
        <v>19T</v>
      </c>
    </row>
    <row r="11306" spans="1:6" x14ac:dyDescent="0.2">
      <c r="A11306">
        <v>20</v>
      </c>
      <c r="E11306" t="str">
        <f t="shared" si="373"/>
        <v>U</v>
      </c>
      <c r="F11306" t="str">
        <f t="shared" si="374"/>
        <v>20U</v>
      </c>
    </row>
    <row r="11307" spans="1:6" x14ac:dyDescent="0.2">
      <c r="A11307">
        <v>21</v>
      </c>
      <c r="E11307" t="str">
        <f t="shared" si="373"/>
        <v>V</v>
      </c>
      <c r="F11307" t="str">
        <f t="shared" si="374"/>
        <v>21V</v>
      </c>
    </row>
    <row r="11308" spans="1:6" x14ac:dyDescent="0.2">
      <c r="A11308">
        <v>22</v>
      </c>
      <c r="E11308" t="str">
        <f t="shared" si="373"/>
        <v>W</v>
      </c>
      <c r="F11308" t="str">
        <f t="shared" si="374"/>
        <v>22W</v>
      </c>
    </row>
    <row r="11309" spans="1:6" x14ac:dyDescent="0.2">
      <c r="A11309">
        <v>23</v>
      </c>
      <c r="E11309" t="str">
        <f t="shared" si="373"/>
        <v>X</v>
      </c>
      <c r="F11309" t="str">
        <f t="shared" si="374"/>
        <v>23X</v>
      </c>
    </row>
    <row r="11310" spans="1:6" x14ac:dyDescent="0.2">
      <c r="A11310">
        <v>24</v>
      </c>
      <c r="E11310" t="str">
        <f t="shared" si="373"/>
        <v>Y</v>
      </c>
      <c r="F11310" t="str">
        <f t="shared" si="374"/>
        <v>24Y</v>
      </c>
    </row>
    <row r="11311" spans="1:6" x14ac:dyDescent="0.2">
      <c r="A11311">
        <v>25</v>
      </c>
      <c r="E11311" t="str">
        <f t="shared" si="373"/>
        <v>Z</v>
      </c>
      <c r="F11311" t="str">
        <f t="shared" si="374"/>
        <v>25Z</v>
      </c>
    </row>
    <row r="11312" spans="1:6" x14ac:dyDescent="0.2">
      <c r="A11312">
        <v>0</v>
      </c>
      <c r="E11312" t="str">
        <f t="shared" si="373"/>
        <v>A</v>
      </c>
      <c r="F11312" t="str">
        <f t="shared" si="374"/>
        <v>0A</v>
      </c>
    </row>
    <row r="11313" spans="1:6" x14ac:dyDescent="0.2">
      <c r="A11313">
        <v>1</v>
      </c>
      <c r="E11313" t="str">
        <f t="shared" si="373"/>
        <v>B</v>
      </c>
      <c r="F11313" t="str">
        <f t="shared" si="374"/>
        <v>1B</v>
      </c>
    </row>
    <row r="11314" spans="1:6" x14ac:dyDescent="0.2">
      <c r="A11314">
        <v>2</v>
      </c>
      <c r="E11314" t="str">
        <f t="shared" si="373"/>
        <v>C</v>
      </c>
      <c r="F11314" t="str">
        <f t="shared" si="374"/>
        <v>2C</v>
      </c>
    </row>
    <row r="11315" spans="1:6" x14ac:dyDescent="0.2">
      <c r="A11315">
        <v>3</v>
      </c>
      <c r="E11315" t="str">
        <f t="shared" si="373"/>
        <v>D</v>
      </c>
      <c r="F11315" t="str">
        <f t="shared" si="374"/>
        <v>3D</v>
      </c>
    </row>
    <row r="11316" spans="1:6" x14ac:dyDescent="0.2">
      <c r="A11316">
        <v>4</v>
      </c>
      <c r="E11316" t="str">
        <f t="shared" si="373"/>
        <v>E</v>
      </c>
      <c r="F11316" t="str">
        <f t="shared" si="374"/>
        <v>4E</v>
      </c>
    </row>
    <row r="11317" spans="1:6" x14ac:dyDescent="0.2">
      <c r="A11317">
        <v>5</v>
      </c>
      <c r="E11317" t="str">
        <f t="shared" si="373"/>
        <v>F</v>
      </c>
      <c r="F11317" t="str">
        <f t="shared" si="374"/>
        <v>5F</v>
      </c>
    </row>
    <row r="11318" spans="1:6" x14ac:dyDescent="0.2">
      <c r="A11318">
        <v>6</v>
      </c>
      <c r="E11318" t="str">
        <f t="shared" si="373"/>
        <v>G</v>
      </c>
      <c r="F11318" t="str">
        <f t="shared" si="374"/>
        <v>6G</v>
      </c>
    </row>
    <row r="11319" spans="1:6" x14ac:dyDescent="0.2">
      <c r="A11319">
        <v>7</v>
      </c>
      <c r="E11319" t="str">
        <f t="shared" si="373"/>
        <v>H</v>
      </c>
      <c r="F11319" t="str">
        <f t="shared" si="374"/>
        <v>7H</v>
      </c>
    </row>
    <row r="11320" spans="1:6" x14ac:dyDescent="0.2">
      <c r="A11320">
        <v>8</v>
      </c>
      <c r="E11320" t="str">
        <f t="shared" si="373"/>
        <v>I</v>
      </c>
      <c r="F11320" t="str">
        <f t="shared" si="374"/>
        <v>8I</v>
      </c>
    </row>
    <row r="11321" spans="1:6" x14ac:dyDescent="0.2">
      <c r="A11321">
        <v>9</v>
      </c>
      <c r="E11321" t="str">
        <f t="shared" si="373"/>
        <v>J</v>
      </c>
      <c r="F11321" t="str">
        <f t="shared" si="374"/>
        <v>9J</v>
      </c>
    </row>
    <row r="11322" spans="1:6" x14ac:dyDescent="0.2">
      <c r="A11322">
        <v>10</v>
      </c>
      <c r="E11322" t="str">
        <f t="shared" si="373"/>
        <v>K</v>
      </c>
      <c r="F11322" t="str">
        <f t="shared" si="374"/>
        <v>10K</v>
      </c>
    </row>
    <row r="11323" spans="1:6" x14ac:dyDescent="0.2">
      <c r="A11323">
        <v>11</v>
      </c>
      <c r="E11323" t="str">
        <f t="shared" si="373"/>
        <v>L</v>
      </c>
      <c r="F11323" t="str">
        <f t="shared" si="374"/>
        <v>11L</v>
      </c>
    </row>
    <row r="11324" spans="1:6" x14ac:dyDescent="0.2">
      <c r="A11324">
        <v>12</v>
      </c>
      <c r="E11324" t="str">
        <f t="shared" si="373"/>
        <v>M</v>
      </c>
      <c r="F11324" t="str">
        <f t="shared" si="374"/>
        <v>12M</v>
      </c>
    </row>
    <row r="11325" spans="1:6" x14ac:dyDescent="0.2">
      <c r="A11325">
        <v>13</v>
      </c>
      <c r="E11325" t="str">
        <f t="shared" si="373"/>
        <v>N</v>
      </c>
      <c r="F11325" t="str">
        <f t="shared" si="374"/>
        <v>13N</v>
      </c>
    </row>
    <row r="11326" spans="1:6" x14ac:dyDescent="0.2">
      <c r="A11326">
        <v>14</v>
      </c>
      <c r="E11326" t="str">
        <f t="shared" si="373"/>
        <v>O</v>
      </c>
      <c r="F11326" t="str">
        <f t="shared" si="374"/>
        <v>14O</v>
      </c>
    </row>
    <row r="11327" spans="1:6" x14ac:dyDescent="0.2">
      <c r="A11327">
        <v>15</v>
      </c>
      <c r="E11327" t="str">
        <f t="shared" si="373"/>
        <v>P</v>
      </c>
      <c r="F11327" t="str">
        <f t="shared" si="374"/>
        <v>15P</v>
      </c>
    </row>
    <row r="11328" spans="1:6" x14ac:dyDescent="0.2">
      <c r="A11328">
        <v>16</v>
      </c>
      <c r="E11328" t="str">
        <f t="shared" si="373"/>
        <v>Q</v>
      </c>
      <c r="F11328" t="str">
        <f t="shared" si="374"/>
        <v>16Q</v>
      </c>
    </row>
    <row r="11329" spans="1:6" x14ac:dyDescent="0.2">
      <c r="A11329">
        <v>17</v>
      </c>
      <c r="E11329" t="str">
        <f t="shared" si="373"/>
        <v>R</v>
      </c>
      <c r="F11329" t="str">
        <f t="shared" si="374"/>
        <v>17R</v>
      </c>
    </row>
    <row r="11330" spans="1:6" x14ac:dyDescent="0.2">
      <c r="A11330">
        <v>18</v>
      </c>
      <c r="E11330" t="str">
        <f t="shared" si="373"/>
        <v>S</v>
      </c>
      <c r="F11330" t="str">
        <f t="shared" si="374"/>
        <v>18S</v>
      </c>
    </row>
    <row r="11331" spans="1:6" x14ac:dyDescent="0.2">
      <c r="A11331">
        <v>19</v>
      </c>
      <c r="E11331" t="str">
        <f t="shared" si="373"/>
        <v>T</v>
      </c>
      <c r="F11331" t="str">
        <f t="shared" si="374"/>
        <v>19T</v>
      </c>
    </row>
    <row r="11332" spans="1:6" x14ac:dyDescent="0.2">
      <c r="A11332">
        <v>20</v>
      </c>
      <c r="E11332" t="str">
        <f t="shared" si="373"/>
        <v>U</v>
      </c>
      <c r="F11332" t="str">
        <f t="shared" si="374"/>
        <v>20U</v>
      </c>
    </row>
    <row r="11333" spans="1:6" x14ac:dyDescent="0.2">
      <c r="A11333">
        <v>21</v>
      </c>
      <c r="E11333" t="str">
        <f t="shared" si="373"/>
        <v>V</v>
      </c>
      <c r="F11333" t="str">
        <f t="shared" si="374"/>
        <v>21V</v>
      </c>
    </row>
    <row r="11334" spans="1:6" x14ac:dyDescent="0.2">
      <c r="A11334">
        <v>22</v>
      </c>
      <c r="E11334" t="str">
        <f t="shared" si="373"/>
        <v>W</v>
      </c>
      <c r="F11334" t="str">
        <f t="shared" si="374"/>
        <v>22W</v>
      </c>
    </row>
    <row r="11335" spans="1:6" x14ac:dyDescent="0.2">
      <c r="A11335">
        <v>23</v>
      </c>
      <c r="E11335" t="str">
        <f t="shared" si="373"/>
        <v>X</v>
      </c>
      <c r="F11335" t="str">
        <f t="shared" si="374"/>
        <v>23X</v>
      </c>
    </row>
    <row r="11336" spans="1:6" x14ac:dyDescent="0.2">
      <c r="A11336">
        <v>24</v>
      </c>
      <c r="E11336" t="str">
        <f t="shared" si="373"/>
        <v>Y</v>
      </c>
      <c r="F11336" t="str">
        <f t="shared" si="374"/>
        <v>24Y</v>
      </c>
    </row>
    <row r="11337" spans="1:6" x14ac:dyDescent="0.2">
      <c r="A11337">
        <v>25</v>
      </c>
      <c r="E11337" t="str">
        <f t="shared" si="373"/>
        <v>Z</v>
      </c>
      <c r="F11337" t="str">
        <f t="shared" si="374"/>
        <v>25Z</v>
      </c>
    </row>
    <row r="11338" spans="1:6" x14ac:dyDescent="0.2">
      <c r="A11338">
        <v>0</v>
      </c>
      <c r="E11338" t="str">
        <f t="shared" si="373"/>
        <v>A</v>
      </c>
      <c r="F11338" t="str">
        <f t="shared" si="374"/>
        <v>0A</v>
      </c>
    </row>
    <row r="11339" spans="1:6" x14ac:dyDescent="0.2">
      <c r="A11339">
        <v>1</v>
      </c>
      <c r="E11339" t="str">
        <f t="shared" si="373"/>
        <v>B</v>
      </c>
      <c r="F11339" t="str">
        <f t="shared" si="374"/>
        <v>1B</v>
      </c>
    </row>
    <row r="11340" spans="1:6" x14ac:dyDescent="0.2">
      <c r="A11340">
        <v>2</v>
      </c>
      <c r="E11340" t="str">
        <f t="shared" si="373"/>
        <v>C</v>
      </c>
      <c r="F11340" t="str">
        <f t="shared" si="374"/>
        <v>2C</v>
      </c>
    </row>
    <row r="11341" spans="1:6" x14ac:dyDescent="0.2">
      <c r="A11341">
        <v>3</v>
      </c>
      <c r="E11341" t="str">
        <f t="shared" si="373"/>
        <v>D</v>
      </c>
      <c r="F11341" t="str">
        <f t="shared" si="374"/>
        <v>3D</v>
      </c>
    </row>
    <row r="11342" spans="1:6" x14ac:dyDescent="0.2">
      <c r="A11342">
        <v>4</v>
      </c>
      <c r="E11342" t="str">
        <f t="shared" si="373"/>
        <v>E</v>
      </c>
      <c r="F11342" t="str">
        <f t="shared" si="374"/>
        <v>4E</v>
      </c>
    </row>
    <row r="11343" spans="1:6" x14ac:dyDescent="0.2">
      <c r="A11343">
        <v>5</v>
      </c>
      <c r="E11343" t="str">
        <f t="shared" si="373"/>
        <v>F</v>
      </c>
      <c r="F11343" t="str">
        <f t="shared" si="374"/>
        <v>5F</v>
      </c>
    </row>
    <row r="11344" spans="1:6" x14ac:dyDescent="0.2">
      <c r="A11344">
        <v>6</v>
      </c>
      <c r="E11344" t="str">
        <f t="shared" si="373"/>
        <v>G</v>
      </c>
      <c r="F11344" t="str">
        <f t="shared" si="374"/>
        <v>6G</v>
      </c>
    </row>
    <row r="11345" spans="1:6" x14ac:dyDescent="0.2">
      <c r="A11345">
        <v>7</v>
      </c>
      <c r="E11345" t="str">
        <f t="shared" si="373"/>
        <v>H</v>
      </c>
      <c r="F11345" t="str">
        <f t="shared" si="374"/>
        <v>7H</v>
      </c>
    </row>
    <row r="11346" spans="1:6" x14ac:dyDescent="0.2">
      <c r="A11346">
        <v>8</v>
      </c>
      <c r="E11346" t="str">
        <f t="shared" si="373"/>
        <v>I</v>
      </c>
      <c r="F11346" t="str">
        <f t="shared" si="374"/>
        <v>8I</v>
      </c>
    </row>
    <row r="11347" spans="1:6" x14ac:dyDescent="0.2">
      <c r="A11347">
        <v>9</v>
      </c>
      <c r="E11347" t="str">
        <f t="shared" si="373"/>
        <v>J</v>
      </c>
      <c r="F11347" t="str">
        <f t="shared" si="374"/>
        <v>9J</v>
      </c>
    </row>
    <row r="11348" spans="1:6" x14ac:dyDescent="0.2">
      <c r="A11348">
        <v>10</v>
      </c>
      <c r="E11348" t="str">
        <f t="shared" si="373"/>
        <v>K</v>
      </c>
      <c r="F11348" t="str">
        <f t="shared" si="374"/>
        <v>10K</v>
      </c>
    </row>
    <row r="11349" spans="1:6" x14ac:dyDescent="0.2">
      <c r="A11349">
        <v>11</v>
      </c>
      <c r="E11349" t="str">
        <f t="shared" ref="E11349:E11412" si="375">E11323</f>
        <v>L</v>
      </c>
      <c r="F11349" t="str">
        <f t="shared" ref="F11349:F11412" si="376">A11349&amp;C11349&amp;E11349</f>
        <v>11L</v>
      </c>
    </row>
    <row r="11350" spans="1:6" x14ac:dyDescent="0.2">
      <c r="A11350">
        <v>12</v>
      </c>
      <c r="E11350" t="str">
        <f t="shared" si="375"/>
        <v>M</v>
      </c>
      <c r="F11350" t="str">
        <f t="shared" si="376"/>
        <v>12M</v>
      </c>
    </row>
    <row r="11351" spans="1:6" x14ac:dyDescent="0.2">
      <c r="A11351">
        <v>13</v>
      </c>
      <c r="E11351" t="str">
        <f t="shared" si="375"/>
        <v>N</v>
      </c>
      <c r="F11351" t="str">
        <f t="shared" si="376"/>
        <v>13N</v>
      </c>
    </row>
    <row r="11352" spans="1:6" x14ac:dyDescent="0.2">
      <c r="A11352">
        <v>14</v>
      </c>
      <c r="E11352" t="str">
        <f t="shared" si="375"/>
        <v>O</v>
      </c>
      <c r="F11352" t="str">
        <f t="shared" si="376"/>
        <v>14O</v>
      </c>
    </row>
    <row r="11353" spans="1:6" x14ac:dyDescent="0.2">
      <c r="A11353">
        <v>15</v>
      </c>
      <c r="E11353" t="str">
        <f t="shared" si="375"/>
        <v>P</v>
      </c>
      <c r="F11353" t="str">
        <f t="shared" si="376"/>
        <v>15P</v>
      </c>
    </row>
    <row r="11354" spans="1:6" x14ac:dyDescent="0.2">
      <c r="A11354">
        <v>16</v>
      </c>
      <c r="E11354" t="str">
        <f t="shared" si="375"/>
        <v>Q</v>
      </c>
      <c r="F11354" t="str">
        <f t="shared" si="376"/>
        <v>16Q</v>
      </c>
    </row>
    <row r="11355" spans="1:6" x14ac:dyDescent="0.2">
      <c r="A11355">
        <v>17</v>
      </c>
      <c r="E11355" t="str">
        <f t="shared" si="375"/>
        <v>R</v>
      </c>
      <c r="F11355" t="str">
        <f t="shared" si="376"/>
        <v>17R</v>
      </c>
    </row>
    <row r="11356" spans="1:6" x14ac:dyDescent="0.2">
      <c r="A11356">
        <v>18</v>
      </c>
      <c r="E11356" t="str">
        <f t="shared" si="375"/>
        <v>S</v>
      </c>
      <c r="F11356" t="str">
        <f t="shared" si="376"/>
        <v>18S</v>
      </c>
    </row>
    <row r="11357" spans="1:6" x14ac:dyDescent="0.2">
      <c r="A11357">
        <v>19</v>
      </c>
      <c r="E11357" t="str">
        <f t="shared" si="375"/>
        <v>T</v>
      </c>
      <c r="F11357" t="str">
        <f t="shared" si="376"/>
        <v>19T</v>
      </c>
    </row>
    <row r="11358" spans="1:6" x14ac:dyDescent="0.2">
      <c r="A11358">
        <v>20</v>
      </c>
      <c r="E11358" t="str">
        <f t="shared" si="375"/>
        <v>U</v>
      </c>
      <c r="F11358" t="str">
        <f t="shared" si="376"/>
        <v>20U</v>
      </c>
    </row>
    <row r="11359" spans="1:6" x14ac:dyDescent="0.2">
      <c r="A11359">
        <v>21</v>
      </c>
      <c r="E11359" t="str">
        <f t="shared" si="375"/>
        <v>V</v>
      </c>
      <c r="F11359" t="str">
        <f t="shared" si="376"/>
        <v>21V</v>
      </c>
    </row>
    <row r="11360" spans="1:6" x14ac:dyDescent="0.2">
      <c r="A11360">
        <v>22</v>
      </c>
      <c r="E11360" t="str">
        <f t="shared" si="375"/>
        <v>W</v>
      </c>
      <c r="F11360" t="str">
        <f t="shared" si="376"/>
        <v>22W</v>
      </c>
    </row>
    <row r="11361" spans="1:6" x14ac:dyDescent="0.2">
      <c r="A11361">
        <v>23</v>
      </c>
      <c r="E11361" t="str">
        <f t="shared" si="375"/>
        <v>X</v>
      </c>
      <c r="F11361" t="str">
        <f t="shared" si="376"/>
        <v>23X</v>
      </c>
    </row>
    <row r="11362" spans="1:6" x14ac:dyDescent="0.2">
      <c r="A11362">
        <v>24</v>
      </c>
      <c r="E11362" t="str">
        <f t="shared" si="375"/>
        <v>Y</v>
      </c>
      <c r="F11362" t="str">
        <f t="shared" si="376"/>
        <v>24Y</v>
      </c>
    </row>
    <row r="11363" spans="1:6" x14ac:dyDescent="0.2">
      <c r="A11363">
        <v>25</v>
      </c>
      <c r="E11363" t="str">
        <f t="shared" si="375"/>
        <v>Z</v>
      </c>
      <c r="F11363" t="str">
        <f t="shared" si="376"/>
        <v>25Z</v>
      </c>
    </row>
    <row r="11364" spans="1:6" x14ac:dyDescent="0.2">
      <c r="A11364">
        <v>0</v>
      </c>
      <c r="E11364" t="str">
        <f t="shared" si="375"/>
        <v>A</v>
      </c>
      <c r="F11364" t="str">
        <f t="shared" si="376"/>
        <v>0A</v>
      </c>
    </row>
    <row r="11365" spans="1:6" x14ac:dyDescent="0.2">
      <c r="A11365">
        <v>1</v>
      </c>
      <c r="E11365" t="str">
        <f t="shared" si="375"/>
        <v>B</v>
      </c>
      <c r="F11365" t="str">
        <f t="shared" si="376"/>
        <v>1B</v>
      </c>
    </row>
    <row r="11366" spans="1:6" x14ac:dyDescent="0.2">
      <c r="A11366">
        <v>2</v>
      </c>
      <c r="E11366" t="str">
        <f t="shared" si="375"/>
        <v>C</v>
      </c>
      <c r="F11366" t="str">
        <f t="shared" si="376"/>
        <v>2C</v>
      </c>
    </row>
    <row r="11367" spans="1:6" x14ac:dyDescent="0.2">
      <c r="A11367">
        <v>3</v>
      </c>
      <c r="E11367" t="str">
        <f t="shared" si="375"/>
        <v>D</v>
      </c>
      <c r="F11367" t="str">
        <f t="shared" si="376"/>
        <v>3D</v>
      </c>
    </row>
    <row r="11368" spans="1:6" x14ac:dyDescent="0.2">
      <c r="A11368">
        <v>4</v>
      </c>
      <c r="E11368" t="str">
        <f t="shared" si="375"/>
        <v>E</v>
      </c>
      <c r="F11368" t="str">
        <f t="shared" si="376"/>
        <v>4E</v>
      </c>
    </row>
    <row r="11369" spans="1:6" x14ac:dyDescent="0.2">
      <c r="A11369">
        <v>5</v>
      </c>
      <c r="E11369" t="str">
        <f t="shared" si="375"/>
        <v>F</v>
      </c>
      <c r="F11369" t="str">
        <f t="shared" si="376"/>
        <v>5F</v>
      </c>
    </row>
    <row r="11370" spans="1:6" x14ac:dyDescent="0.2">
      <c r="A11370">
        <v>6</v>
      </c>
      <c r="E11370" t="str">
        <f t="shared" si="375"/>
        <v>G</v>
      </c>
      <c r="F11370" t="str">
        <f t="shared" si="376"/>
        <v>6G</v>
      </c>
    </row>
    <row r="11371" spans="1:6" x14ac:dyDescent="0.2">
      <c r="A11371">
        <v>7</v>
      </c>
      <c r="E11371" t="str">
        <f t="shared" si="375"/>
        <v>H</v>
      </c>
      <c r="F11371" t="str">
        <f t="shared" si="376"/>
        <v>7H</v>
      </c>
    </row>
    <row r="11372" spans="1:6" x14ac:dyDescent="0.2">
      <c r="A11372">
        <v>8</v>
      </c>
      <c r="E11372" t="str">
        <f t="shared" si="375"/>
        <v>I</v>
      </c>
      <c r="F11372" t="str">
        <f t="shared" si="376"/>
        <v>8I</v>
      </c>
    </row>
    <row r="11373" spans="1:6" x14ac:dyDescent="0.2">
      <c r="A11373">
        <v>9</v>
      </c>
      <c r="E11373" t="str">
        <f t="shared" si="375"/>
        <v>J</v>
      </c>
      <c r="F11373" t="str">
        <f t="shared" si="376"/>
        <v>9J</v>
      </c>
    </row>
    <row r="11374" spans="1:6" x14ac:dyDescent="0.2">
      <c r="A11374">
        <v>10</v>
      </c>
      <c r="E11374" t="str">
        <f t="shared" si="375"/>
        <v>K</v>
      </c>
      <c r="F11374" t="str">
        <f t="shared" si="376"/>
        <v>10K</v>
      </c>
    </row>
    <row r="11375" spans="1:6" x14ac:dyDescent="0.2">
      <c r="A11375">
        <v>11</v>
      </c>
      <c r="E11375" t="str">
        <f t="shared" si="375"/>
        <v>L</v>
      </c>
      <c r="F11375" t="str">
        <f t="shared" si="376"/>
        <v>11L</v>
      </c>
    </row>
    <row r="11376" spans="1:6" x14ac:dyDescent="0.2">
      <c r="A11376">
        <v>12</v>
      </c>
      <c r="E11376" t="str">
        <f t="shared" si="375"/>
        <v>M</v>
      </c>
      <c r="F11376" t="str">
        <f t="shared" si="376"/>
        <v>12M</v>
      </c>
    </row>
    <row r="11377" spans="1:6" x14ac:dyDescent="0.2">
      <c r="A11377">
        <v>13</v>
      </c>
      <c r="E11377" t="str">
        <f t="shared" si="375"/>
        <v>N</v>
      </c>
      <c r="F11377" t="str">
        <f t="shared" si="376"/>
        <v>13N</v>
      </c>
    </row>
    <row r="11378" spans="1:6" x14ac:dyDescent="0.2">
      <c r="A11378">
        <v>14</v>
      </c>
      <c r="E11378" t="str">
        <f t="shared" si="375"/>
        <v>O</v>
      </c>
      <c r="F11378" t="str">
        <f t="shared" si="376"/>
        <v>14O</v>
      </c>
    </row>
    <row r="11379" spans="1:6" x14ac:dyDescent="0.2">
      <c r="A11379">
        <v>15</v>
      </c>
      <c r="E11379" t="str">
        <f t="shared" si="375"/>
        <v>P</v>
      </c>
      <c r="F11379" t="str">
        <f t="shared" si="376"/>
        <v>15P</v>
      </c>
    </row>
    <row r="11380" spans="1:6" x14ac:dyDescent="0.2">
      <c r="A11380">
        <v>16</v>
      </c>
      <c r="E11380" t="str">
        <f t="shared" si="375"/>
        <v>Q</v>
      </c>
      <c r="F11380" t="str">
        <f t="shared" si="376"/>
        <v>16Q</v>
      </c>
    </row>
    <row r="11381" spans="1:6" x14ac:dyDescent="0.2">
      <c r="A11381">
        <v>17</v>
      </c>
      <c r="E11381" t="str">
        <f t="shared" si="375"/>
        <v>R</v>
      </c>
      <c r="F11381" t="str">
        <f t="shared" si="376"/>
        <v>17R</v>
      </c>
    </row>
    <row r="11382" spans="1:6" x14ac:dyDescent="0.2">
      <c r="A11382">
        <v>18</v>
      </c>
      <c r="E11382" t="str">
        <f t="shared" si="375"/>
        <v>S</v>
      </c>
      <c r="F11382" t="str">
        <f t="shared" si="376"/>
        <v>18S</v>
      </c>
    </row>
    <row r="11383" spans="1:6" x14ac:dyDescent="0.2">
      <c r="A11383">
        <v>19</v>
      </c>
      <c r="E11383" t="str">
        <f t="shared" si="375"/>
        <v>T</v>
      </c>
      <c r="F11383" t="str">
        <f t="shared" si="376"/>
        <v>19T</v>
      </c>
    </row>
    <row r="11384" spans="1:6" x14ac:dyDescent="0.2">
      <c r="A11384">
        <v>20</v>
      </c>
      <c r="E11384" t="str">
        <f t="shared" si="375"/>
        <v>U</v>
      </c>
      <c r="F11384" t="str">
        <f t="shared" si="376"/>
        <v>20U</v>
      </c>
    </row>
    <row r="11385" spans="1:6" x14ac:dyDescent="0.2">
      <c r="A11385">
        <v>21</v>
      </c>
      <c r="E11385" t="str">
        <f t="shared" si="375"/>
        <v>V</v>
      </c>
      <c r="F11385" t="str">
        <f t="shared" si="376"/>
        <v>21V</v>
      </c>
    </row>
    <row r="11386" spans="1:6" x14ac:dyDescent="0.2">
      <c r="A11386">
        <v>22</v>
      </c>
      <c r="E11386" t="str">
        <f t="shared" si="375"/>
        <v>W</v>
      </c>
      <c r="F11386" t="str">
        <f t="shared" si="376"/>
        <v>22W</v>
      </c>
    </row>
    <row r="11387" spans="1:6" x14ac:dyDescent="0.2">
      <c r="A11387">
        <v>23</v>
      </c>
      <c r="E11387" t="str">
        <f t="shared" si="375"/>
        <v>X</v>
      </c>
      <c r="F11387" t="str">
        <f t="shared" si="376"/>
        <v>23X</v>
      </c>
    </row>
    <row r="11388" spans="1:6" x14ac:dyDescent="0.2">
      <c r="A11388">
        <v>24</v>
      </c>
      <c r="E11388" t="str">
        <f t="shared" si="375"/>
        <v>Y</v>
      </c>
      <c r="F11388" t="str">
        <f t="shared" si="376"/>
        <v>24Y</v>
      </c>
    </row>
    <row r="11389" spans="1:6" x14ac:dyDescent="0.2">
      <c r="A11389">
        <v>25</v>
      </c>
      <c r="E11389" t="str">
        <f t="shared" si="375"/>
        <v>Z</v>
      </c>
      <c r="F11389" t="str">
        <f t="shared" si="376"/>
        <v>25Z</v>
      </c>
    </row>
    <row r="11390" spans="1:6" x14ac:dyDescent="0.2">
      <c r="A11390">
        <v>0</v>
      </c>
      <c r="E11390" t="str">
        <f t="shared" si="375"/>
        <v>A</v>
      </c>
      <c r="F11390" t="str">
        <f t="shared" si="376"/>
        <v>0A</v>
      </c>
    </row>
    <row r="11391" spans="1:6" x14ac:dyDescent="0.2">
      <c r="A11391">
        <v>1</v>
      </c>
      <c r="E11391" t="str">
        <f t="shared" si="375"/>
        <v>B</v>
      </c>
      <c r="F11391" t="str">
        <f t="shared" si="376"/>
        <v>1B</v>
      </c>
    </row>
    <row r="11392" spans="1:6" x14ac:dyDescent="0.2">
      <c r="A11392">
        <v>2</v>
      </c>
      <c r="E11392" t="str">
        <f t="shared" si="375"/>
        <v>C</v>
      </c>
      <c r="F11392" t="str">
        <f t="shared" si="376"/>
        <v>2C</v>
      </c>
    </row>
    <row r="11393" spans="1:6" x14ac:dyDescent="0.2">
      <c r="A11393">
        <v>3</v>
      </c>
      <c r="E11393" t="str">
        <f t="shared" si="375"/>
        <v>D</v>
      </c>
      <c r="F11393" t="str">
        <f t="shared" si="376"/>
        <v>3D</v>
      </c>
    </row>
    <row r="11394" spans="1:6" x14ac:dyDescent="0.2">
      <c r="A11394">
        <v>4</v>
      </c>
      <c r="E11394" t="str">
        <f t="shared" si="375"/>
        <v>E</v>
      </c>
      <c r="F11394" t="str">
        <f t="shared" si="376"/>
        <v>4E</v>
      </c>
    </row>
    <row r="11395" spans="1:6" x14ac:dyDescent="0.2">
      <c r="A11395">
        <v>5</v>
      </c>
      <c r="E11395" t="str">
        <f t="shared" si="375"/>
        <v>F</v>
      </c>
      <c r="F11395" t="str">
        <f t="shared" si="376"/>
        <v>5F</v>
      </c>
    </row>
    <row r="11396" spans="1:6" x14ac:dyDescent="0.2">
      <c r="A11396">
        <v>6</v>
      </c>
      <c r="E11396" t="str">
        <f t="shared" si="375"/>
        <v>G</v>
      </c>
      <c r="F11396" t="str">
        <f t="shared" si="376"/>
        <v>6G</v>
      </c>
    </row>
    <row r="11397" spans="1:6" x14ac:dyDescent="0.2">
      <c r="A11397">
        <v>7</v>
      </c>
      <c r="E11397" t="str">
        <f t="shared" si="375"/>
        <v>H</v>
      </c>
      <c r="F11397" t="str">
        <f t="shared" si="376"/>
        <v>7H</v>
      </c>
    </row>
    <row r="11398" spans="1:6" x14ac:dyDescent="0.2">
      <c r="A11398">
        <v>8</v>
      </c>
      <c r="E11398" t="str">
        <f t="shared" si="375"/>
        <v>I</v>
      </c>
      <c r="F11398" t="str">
        <f t="shared" si="376"/>
        <v>8I</v>
      </c>
    </row>
    <row r="11399" spans="1:6" x14ac:dyDescent="0.2">
      <c r="A11399">
        <v>9</v>
      </c>
      <c r="E11399" t="str">
        <f t="shared" si="375"/>
        <v>J</v>
      </c>
      <c r="F11399" t="str">
        <f t="shared" si="376"/>
        <v>9J</v>
      </c>
    </row>
    <row r="11400" spans="1:6" x14ac:dyDescent="0.2">
      <c r="A11400">
        <v>10</v>
      </c>
      <c r="E11400" t="str">
        <f t="shared" si="375"/>
        <v>K</v>
      </c>
      <c r="F11400" t="str">
        <f t="shared" si="376"/>
        <v>10K</v>
      </c>
    </row>
    <row r="11401" spans="1:6" x14ac:dyDescent="0.2">
      <c r="A11401">
        <v>11</v>
      </c>
      <c r="E11401" t="str">
        <f t="shared" si="375"/>
        <v>L</v>
      </c>
      <c r="F11401" t="str">
        <f t="shared" si="376"/>
        <v>11L</v>
      </c>
    </row>
    <row r="11402" spans="1:6" x14ac:dyDescent="0.2">
      <c r="A11402">
        <v>12</v>
      </c>
      <c r="E11402" t="str">
        <f t="shared" si="375"/>
        <v>M</v>
      </c>
      <c r="F11402" t="str">
        <f t="shared" si="376"/>
        <v>12M</v>
      </c>
    </row>
    <row r="11403" spans="1:6" x14ac:dyDescent="0.2">
      <c r="A11403">
        <v>13</v>
      </c>
      <c r="E11403" t="str">
        <f t="shared" si="375"/>
        <v>N</v>
      </c>
      <c r="F11403" t="str">
        <f t="shared" si="376"/>
        <v>13N</v>
      </c>
    </row>
    <row r="11404" spans="1:6" x14ac:dyDescent="0.2">
      <c r="A11404">
        <v>14</v>
      </c>
      <c r="E11404" t="str">
        <f t="shared" si="375"/>
        <v>O</v>
      </c>
      <c r="F11404" t="str">
        <f t="shared" si="376"/>
        <v>14O</v>
      </c>
    </row>
    <row r="11405" spans="1:6" x14ac:dyDescent="0.2">
      <c r="A11405">
        <v>15</v>
      </c>
      <c r="E11405" t="str">
        <f t="shared" si="375"/>
        <v>P</v>
      </c>
      <c r="F11405" t="str">
        <f t="shared" si="376"/>
        <v>15P</v>
      </c>
    </row>
    <row r="11406" spans="1:6" x14ac:dyDescent="0.2">
      <c r="A11406">
        <v>16</v>
      </c>
      <c r="E11406" t="str">
        <f t="shared" si="375"/>
        <v>Q</v>
      </c>
      <c r="F11406" t="str">
        <f t="shared" si="376"/>
        <v>16Q</v>
      </c>
    </row>
    <row r="11407" spans="1:6" x14ac:dyDescent="0.2">
      <c r="A11407">
        <v>17</v>
      </c>
      <c r="E11407" t="str">
        <f t="shared" si="375"/>
        <v>R</v>
      </c>
      <c r="F11407" t="str">
        <f t="shared" si="376"/>
        <v>17R</v>
      </c>
    </row>
    <row r="11408" spans="1:6" x14ac:dyDescent="0.2">
      <c r="A11408">
        <v>18</v>
      </c>
      <c r="E11408" t="str">
        <f t="shared" si="375"/>
        <v>S</v>
      </c>
      <c r="F11408" t="str">
        <f t="shared" si="376"/>
        <v>18S</v>
      </c>
    </row>
    <row r="11409" spans="1:6" x14ac:dyDescent="0.2">
      <c r="A11409">
        <v>19</v>
      </c>
      <c r="E11409" t="str">
        <f t="shared" si="375"/>
        <v>T</v>
      </c>
      <c r="F11409" t="str">
        <f t="shared" si="376"/>
        <v>19T</v>
      </c>
    </row>
    <row r="11410" spans="1:6" x14ac:dyDescent="0.2">
      <c r="A11410">
        <v>20</v>
      </c>
      <c r="E11410" t="str">
        <f t="shared" si="375"/>
        <v>U</v>
      </c>
      <c r="F11410" t="str">
        <f t="shared" si="376"/>
        <v>20U</v>
      </c>
    </row>
    <row r="11411" spans="1:6" x14ac:dyDescent="0.2">
      <c r="A11411">
        <v>21</v>
      </c>
      <c r="E11411" t="str">
        <f t="shared" si="375"/>
        <v>V</v>
      </c>
      <c r="F11411" t="str">
        <f t="shared" si="376"/>
        <v>21V</v>
      </c>
    </row>
    <row r="11412" spans="1:6" x14ac:dyDescent="0.2">
      <c r="A11412">
        <v>22</v>
      </c>
      <c r="E11412" t="str">
        <f t="shared" si="375"/>
        <v>W</v>
      </c>
      <c r="F11412" t="str">
        <f t="shared" si="376"/>
        <v>22W</v>
      </c>
    </row>
    <row r="11413" spans="1:6" x14ac:dyDescent="0.2">
      <c r="A11413">
        <v>23</v>
      </c>
      <c r="E11413" t="str">
        <f t="shared" ref="E11413:E11476" si="377">E11387</f>
        <v>X</v>
      </c>
      <c r="F11413" t="str">
        <f t="shared" ref="F11413:F11476" si="378">A11413&amp;C11413&amp;E11413</f>
        <v>23X</v>
      </c>
    </row>
    <row r="11414" spans="1:6" x14ac:dyDescent="0.2">
      <c r="A11414">
        <v>24</v>
      </c>
      <c r="E11414" t="str">
        <f t="shared" si="377"/>
        <v>Y</v>
      </c>
      <c r="F11414" t="str">
        <f t="shared" si="378"/>
        <v>24Y</v>
      </c>
    </row>
    <row r="11415" spans="1:6" x14ac:dyDescent="0.2">
      <c r="A11415">
        <v>25</v>
      </c>
      <c r="E11415" t="str">
        <f t="shared" si="377"/>
        <v>Z</v>
      </c>
      <c r="F11415" t="str">
        <f t="shared" si="378"/>
        <v>25Z</v>
      </c>
    </row>
    <row r="11416" spans="1:6" x14ac:dyDescent="0.2">
      <c r="A11416">
        <v>0</v>
      </c>
      <c r="E11416" t="str">
        <f t="shared" si="377"/>
        <v>A</v>
      </c>
      <c r="F11416" t="str">
        <f t="shared" si="378"/>
        <v>0A</v>
      </c>
    </row>
    <row r="11417" spans="1:6" x14ac:dyDescent="0.2">
      <c r="A11417">
        <v>1</v>
      </c>
      <c r="E11417" t="str">
        <f t="shared" si="377"/>
        <v>B</v>
      </c>
      <c r="F11417" t="str">
        <f t="shared" si="378"/>
        <v>1B</v>
      </c>
    </row>
    <row r="11418" spans="1:6" x14ac:dyDescent="0.2">
      <c r="A11418">
        <v>2</v>
      </c>
      <c r="E11418" t="str">
        <f t="shared" si="377"/>
        <v>C</v>
      </c>
      <c r="F11418" t="str">
        <f t="shared" si="378"/>
        <v>2C</v>
      </c>
    </row>
    <row r="11419" spans="1:6" x14ac:dyDescent="0.2">
      <c r="A11419">
        <v>3</v>
      </c>
      <c r="E11419" t="str">
        <f t="shared" si="377"/>
        <v>D</v>
      </c>
      <c r="F11419" t="str">
        <f t="shared" si="378"/>
        <v>3D</v>
      </c>
    </row>
    <row r="11420" spans="1:6" x14ac:dyDescent="0.2">
      <c r="A11420">
        <v>4</v>
      </c>
      <c r="E11420" t="str">
        <f t="shared" si="377"/>
        <v>E</v>
      </c>
      <c r="F11420" t="str">
        <f t="shared" si="378"/>
        <v>4E</v>
      </c>
    </row>
    <row r="11421" spans="1:6" x14ac:dyDescent="0.2">
      <c r="A11421">
        <v>5</v>
      </c>
      <c r="E11421" t="str">
        <f t="shared" si="377"/>
        <v>F</v>
      </c>
      <c r="F11421" t="str">
        <f t="shared" si="378"/>
        <v>5F</v>
      </c>
    </row>
    <row r="11422" spans="1:6" x14ac:dyDescent="0.2">
      <c r="A11422">
        <v>6</v>
      </c>
      <c r="E11422" t="str">
        <f t="shared" si="377"/>
        <v>G</v>
      </c>
      <c r="F11422" t="str">
        <f t="shared" si="378"/>
        <v>6G</v>
      </c>
    </row>
    <row r="11423" spans="1:6" x14ac:dyDescent="0.2">
      <c r="A11423">
        <v>7</v>
      </c>
      <c r="E11423" t="str">
        <f t="shared" si="377"/>
        <v>H</v>
      </c>
      <c r="F11423" t="str">
        <f t="shared" si="378"/>
        <v>7H</v>
      </c>
    </row>
    <row r="11424" spans="1:6" x14ac:dyDescent="0.2">
      <c r="A11424">
        <v>8</v>
      </c>
      <c r="E11424" t="str">
        <f t="shared" si="377"/>
        <v>I</v>
      </c>
      <c r="F11424" t="str">
        <f t="shared" si="378"/>
        <v>8I</v>
      </c>
    </row>
    <row r="11425" spans="1:6" x14ac:dyDescent="0.2">
      <c r="A11425">
        <v>9</v>
      </c>
      <c r="E11425" t="str">
        <f t="shared" si="377"/>
        <v>J</v>
      </c>
      <c r="F11425" t="str">
        <f t="shared" si="378"/>
        <v>9J</v>
      </c>
    </row>
    <row r="11426" spans="1:6" x14ac:dyDescent="0.2">
      <c r="A11426">
        <v>10</v>
      </c>
      <c r="E11426" t="str">
        <f t="shared" si="377"/>
        <v>K</v>
      </c>
      <c r="F11426" t="str">
        <f t="shared" si="378"/>
        <v>10K</v>
      </c>
    </row>
    <row r="11427" spans="1:6" x14ac:dyDescent="0.2">
      <c r="A11427">
        <v>11</v>
      </c>
      <c r="E11427" t="str">
        <f t="shared" si="377"/>
        <v>L</v>
      </c>
      <c r="F11427" t="str">
        <f t="shared" si="378"/>
        <v>11L</v>
      </c>
    </row>
    <row r="11428" spans="1:6" x14ac:dyDescent="0.2">
      <c r="A11428">
        <v>12</v>
      </c>
      <c r="E11428" t="str">
        <f t="shared" si="377"/>
        <v>M</v>
      </c>
      <c r="F11428" t="str">
        <f t="shared" si="378"/>
        <v>12M</v>
      </c>
    </row>
    <row r="11429" spans="1:6" x14ac:dyDescent="0.2">
      <c r="A11429">
        <v>13</v>
      </c>
      <c r="E11429" t="str">
        <f t="shared" si="377"/>
        <v>N</v>
      </c>
      <c r="F11429" t="str">
        <f t="shared" si="378"/>
        <v>13N</v>
      </c>
    </row>
    <row r="11430" spans="1:6" x14ac:dyDescent="0.2">
      <c r="A11430">
        <v>14</v>
      </c>
      <c r="E11430" t="str">
        <f t="shared" si="377"/>
        <v>O</v>
      </c>
      <c r="F11430" t="str">
        <f t="shared" si="378"/>
        <v>14O</v>
      </c>
    </row>
    <row r="11431" spans="1:6" x14ac:dyDescent="0.2">
      <c r="A11431">
        <v>15</v>
      </c>
      <c r="E11431" t="str">
        <f t="shared" si="377"/>
        <v>P</v>
      </c>
      <c r="F11431" t="str">
        <f t="shared" si="378"/>
        <v>15P</v>
      </c>
    </row>
    <row r="11432" spans="1:6" x14ac:dyDescent="0.2">
      <c r="A11432">
        <v>16</v>
      </c>
      <c r="E11432" t="str">
        <f t="shared" si="377"/>
        <v>Q</v>
      </c>
      <c r="F11432" t="str">
        <f t="shared" si="378"/>
        <v>16Q</v>
      </c>
    </row>
    <row r="11433" spans="1:6" x14ac:dyDescent="0.2">
      <c r="A11433">
        <v>17</v>
      </c>
      <c r="E11433" t="str">
        <f t="shared" si="377"/>
        <v>R</v>
      </c>
      <c r="F11433" t="str">
        <f t="shared" si="378"/>
        <v>17R</v>
      </c>
    </row>
    <row r="11434" spans="1:6" x14ac:dyDescent="0.2">
      <c r="A11434">
        <v>18</v>
      </c>
      <c r="E11434" t="str">
        <f t="shared" si="377"/>
        <v>S</v>
      </c>
      <c r="F11434" t="str">
        <f t="shared" si="378"/>
        <v>18S</v>
      </c>
    </row>
    <row r="11435" spans="1:6" x14ac:dyDescent="0.2">
      <c r="A11435">
        <v>19</v>
      </c>
      <c r="E11435" t="str">
        <f t="shared" si="377"/>
        <v>T</v>
      </c>
      <c r="F11435" t="str">
        <f t="shared" si="378"/>
        <v>19T</v>
      </c>
    </row>
    <row r="11436" spans="1:6" x14ac:dyDescent="0.2">
      <c r="A11436">
        <v>20</v>
      </c>
      <c r="E11436" t="str">
        <f t="shared" si="377"/>
        <v>U</v>
      </c>
      <c r="F11436" t="str">
        <f t="shared" si="378"/>
        <v>20U</v>
      </c>
    </row>
    <row r="11437" spans="1:6" x14ac:dyDescent="0.2">
      <c r="A11437">
        <v>21</v>
      </c>
      <c r="E11437" t="str">
        <f t="shared" si="377"/>
        <v>V</v>
      </c>
      <c r="F11437" t="str">
        <f t="shared" si="378"/>
        <v>21V</v>
      </c>
    </row>
    <row r="11438" spans="1:6" x14ac:dyDescent="0.2">
      <c r="A11438">
        <v>22</v>
      </c>
      <c r="E11438" t="str">
        <f t="shared" si="377"/>
        <v>W</v>
      </c>
      <c r="F11438" t="str">
        <f t="shared" si="378"/>
        <v>22W</v>
      </c>
    </row>
    <row r="11439" spans="1:6" x14ac:dyDescent="0.2">
      <c r="A11439">
        <v>23</v>
      </c>
      <c r="E11439" t="str">
        <f t="shared" si="377"/>
        <v>X</v>
      </c>
      <c r="F11439" t="str">
        <f t="shared" si="378"/>
        <v>23X</v>
      </c>
    </row>
    <row r="11440" spans="1:6" x14ac:dyDescent="0.2">
      <c r="A11440">
        <v>24</v>
      </c>
      <c r="E11440" t="str">
        <f t="shared" si="377"/>
        <v>Y</v>
      </c>
      <c r="F11440" t="str">
        <f t="shared" si="378"/>
        <v>24Y</v>
      </c>
    </row>
    <row r="11441" spans="1:6" x14ac:dyDescent="0.2">
      <c r="A11441">
        <v>25</v>
      </c>
      <c r="E11441" t="str">
        <f t="shared" si="377"/>
        <v>Z</v>
      </c>
      <c r="F11441" t="str">
        <f t="shared" si="378"/>
        <v>25Z</v>
      </c>
    </row>
    <row r="11442" spans="1:6" x14ac:dyDescent="0.2">
      <c r="A11442">
        <v>0</v>
      </c>
      <c r="E11442" t="str">
        <f t="shared" si="377"/>
        <v>A</v>
      </c>
      <c r="F11442" t="str">
        <f t="shared" si="378"/>
        <v>0A</v>
      </c>
    </row>
    <row r="11443" spans="1:6" x14ac:dyDescent="0.2">
      <c r="A11443">
        <v>1</v>
      </c>
      <c r="E11443" t="str">
        <f t="shared" si="377"/>
        <v>B</v>
      </c>
      <c r="F11443" t="str">
        <f t="shared" si="378"/>
        <v>1B</v>
      </c>
    </row>
    <row r="11444" spans="1:6" x14ac:dyDescent="0.2">
      <c r="A11444">
        <v>2</v>
      </c>
      <c r="E11444" t="str">
        <f t="shared" si="377"/>
        <v>C</v>
      </c>
      <c r="F11444" t="str">
        <f t="shared" si="378"/>
        <v>2C</v>
      </c>
    </row>
    <row r="11445" spans="1:6" x14ac:dyDescent="0.2">
      <c r="A11445">
        <v>3</v>
      </c>
      <c r="E11445" t="str">
        <f t="shared" si="377"/>
        <v>D</v>
      </c>
      <c r="F11445" t="str">
        <f t="shared" si="378"/>
        <v>3D</v>
      </c>
    </row>
    <row r="11446" spans="1:6" x14ac:dyDescent="0.2">
      <c r="A11446">
        <v>4</v>
      </c>
      <c r="E11446" t="str">
        <f t="shared" si="377"/>
        <v>E</v>
      </c>
      <c r="F11446" t="str">
        <f t="shared" si="378"/>
        <v>4E</v>
      </c>
    </row>
    <row r="11447" spans="1:6" x14ac:dyDescent="0.2">
      <c r="A11447">
        <v>5</v>
      </c>
      <c r="E11447" t="str">
        <f t="shared" si="377"/>
        <v>F</v>
      </c>
      <c r="F11447" t="str">
        <f t="shared" si="378"/>
        <v>5F</v>
      </c>
    </row>
    <row r="11448" spans="1:6" x14ac:dyDescent="0.2">
      <c r="A11448">
        <v>6</v>
      </c>
      <c r="E11448" t="str">
        <f t="shared" si="377"/>
        <v>G</v>
      </c>
      <c r="F11448" t="str">
        <f t="shared" si="378"/>
        <v>6G</v>
      </c>
    </row>
    <row r="11449" spans="1:6" x14ac:dyDescent="0.2">
      <c r="A11449">
        <v>7</v>
      </c>
      <c r="E11449" t="str">
        <f t="shared" si="377"/>
        <v>H</v>
      </c>
      <c r="F11449" t="str">
        <f t="shared" si="378"/>
        <v>7H</v>
      </c>
    </row>
    <row r="11450" spans="1:6" x14ac:dyDescent="0.2">
      <c r="A11450">
        <v>8</v>
      </c>
      <c r="E11450" t="str">
        <f t="shared" si="377"/>
        <v>I</v>
      </c>
      <c r="F11450" t="str">
        <f t="shared" si="378"/>
        <v>8I</v>
      </c>
    </row>
    <row r="11451" spans="1:6" x14ac:dyDescent="0.2">
      <c r="A11451">
        <v>9</v>
      </c>
      <c r="E11451" t="str">
        <f t="shared" si="377"/>
        <v>J</v>
      </c>
      <c r="F11451" t="str">
        <f t="shared" si="378"/>
        <v>9J</v>
      </c>
    </row>
    <row r="11452" spans="1:6" x14ac:dyDescent="0.2">
      <c r="A11452">
        <v>10</v>
      </c>
      <c r="E11452" t="str">
        <f t="shared" si="377"/>
        <v>K</v>
      </c>
      <c r="F11452" t="str">
        <f t="shared" si="378"/>
        <v>10K</v>
      </c>
    </row>
    <row r="11453" spans="1:6" x14ac:dyDescent="0.2">
      <c r="A11453">
        <v>11</v>
      </c>
      <c r="E11453" t="str">
        <f t="shared" si="377"/>
        <v>L</v>
      </c>
      <c r="F11453" t="str">
        <f t="shared" si="378"/>
        <v>11L</v>
      </c>
    </row>
    <row r="11454" spans="1:6" x14ac:dyDescent="0.2">
      <c r="A11454">
        <v>12</v>
      </c>
      <c r="E11454" t="str">
        <f t="shared" si="377"/>
        <v>M</v>
      </c>
      <c r="F11454" t="str">
        <f t="shared" si="378"/>
        <v>12M</v>
      </c>
    </row>
    <row r="11455" spans="1:6" x14ac:dyDescent="0.2">
      <c r="A11455">
        <v>13</v>
      </c>
      <c r="E11455" t="str">
        <f t="shared" si="377"/>
        <v>N</v>
      </c>
      <c r="F11455" t="str">
        <f t="shared" si="378"/>
        <v>13N</v>
      </c>
    </row>
    <row r="11456" spans="1:6" x14ac:dyDescent="0.2">
      <c r="A11456">
        <v>14</v>
      </c>
      <c r="E11456" t="str">
        <f t="shared" si="377"/>
        <v>O</v>
      </c>
      <c r="F11456" t="str">
        <f t="shared" si="378"/>
        <v>14O</v>
      </c>
    </row>
    <row r="11457" spans="1:6" x14ac:dyDescent="0.2">
      <c r="A11457">
        <v>15</v>
      </c>
      <c r="E11457" t="str">
        <f t="shared" si="377"/>
        <v>P</v>
      </c>
      <c r="F11457" t="str">
        <f t="shared" si="378"/>
        <v>15P</v>
      </c>
    </row>
    <row r="11458" spans="1:6" x14ac:dyDescent="0.2">
      <c r="A11458">
        <v>16</v>
      </c>
      <c r="E11458" t="str">
        <f t="shared" si="377"/>
        <v>Q</v>
      </c>
      <c r="F11458" t="str">
        <f t="shared" si="378"/>
        <v>16Q</v>
      </c>
    </row>
    <row r="11459" spans="1:6" x14ac:dyDescent="0.2">
      <c r="A11459">
        <v>17</v>
      </c>
      <c r="E11459" t="str">
        <f t="shared" si="377"/>
        <v>R</v>
      </c>
      <c r="F11459" t="str">
        <f t="shared" si="378"/>
        <v>17R</v>
      </c>
    </row>
    <row r="11460" spans="1:6" x14ac:dyDescent="0.2">
      <c r="A11460">
        <v>18</v>
      </c>
      <c r="E11460" t="str">
        <f t="shared" si="377"/>
        <v>S</v>
      </c>
      <c r="F11460" t="str">
        <f t="shared" si="378"/>
        <v>18S</v>
      </c>
    </row>
    <row r="11461" spans="1:6" x14ac:dyDescent="0.2">
      <c r="A11461">
        <v>19</v>
      </c>
      <c r="E11461" t="str">
        <f t="shared" si="377"/>
        <v>T</v>
      </c>
      <c r="F11461" t="str">
        <f t="shared" si="378"/>
        <v>19T</v>
      </c>
    </row>
    <row r="11462" spans="1:6" x14ac:dyDescent="0.2">
      <c r="A11462">
        <v>20</v>
      </c>
      <c r="E11462" t="str">
        <f t="shared" si="377"/>
        <v>U</v>
      </c>
      <c r="F11462" t="str">
        <f t="shared" si="378"/>
        <v>20U</v>
      </c>
    </row>
    <row r="11463" spans="1:6" x14ac:dyDescent="0.2">
      <c r="A11463">
        <v>21</v>
      </c>
      <c r="E11463" t="str">
        <f t="shared" si="377"/>
        <v>V</v>
      </c>
      <c r="F11463" t="str">
        <f t="shared" si="378"/>
        <v>21V</v>
      </c>
    </row>
    <row r="11464" spans="1:6" x14ac:dyDescent="0.2">
      <c r="A11464">
        <v>22</v>
      </c>
      <c r="E11464" t="str">
        <f t="shared" si="377"/>
        <v>W</v>
      </c>
      <c r="F11464" t="str">
        <f t="shared" si="378"/>
        <v>22W</v>
      </c>
    </row>
    <row r="11465" spans="1:6" x14ac:dyDescent="0.2">
      <c r="A11465">
        <v>23</v>
      </c>
      <c r="E11465" t="str">
        <f t="shared" si="377"/>
        <v>X</v>
      </c>
      <c r="F11465" t="str">
        <f t="shared" si="378"/>
        <v>23X</v>
      </c>
    </row>
    <row r="11466" spans="1:6" x14ac:dyDescent="0.2">
      <c r="A11466">
        <v>24</v>
      </c>
      <c r="E11466" t="str">
        <f t="shared" si="377"/>
        <v>Y</v>
      </c>
      <c r="F11466" t="str">
        <f t="shared" si="378"/>
        <v>24Y</v>
      </c>
    </row>
    <row r="11467" spans="1:6" x14ac:dyDescent="0.2">
      <c r="A11467">
        <v>25</v>
      </c>
      <c r="E11467" t="str">
        <f t="shared" si="377"/>
        <v>Z</v>
      </c>
      <c r="F11467" t="str">
        <f t="shared" si="378"/>
        <v>25Z</v>
      </c>
    </row>
    <row r="11468" spans="1:6" x14ac:dyDescent="0.2">
      <c r="A11468">
        <v>0</v>
      </c>
      <c r="E11468" t="str">
        <f t="shared" si="377"/>
        <v>A</v>
      </c>
      <c r="F11468" t="str">
        <f t="shared" si="378"/>
        <v>0A</v>
      </c>
    </row>
    <row r="11469" spans="1:6" x14ac:dyDescent="0.2">
      <c r="A11469">
        <v>1</v>
      </c>
      <c r="E11469" t="str">
        <f t="shared" si="377"/>
        <v>B</v>
      </c>
      <c r="F11469" t="str">
        <f t="shared" si="378"/>
        <v>1B</v>
      </c>
    </row>
    <row r="11470" spans="1:6" x14ac:dyDescent="0.2">
      <c r="A11470">
        <v>2</v>
      </c>
      <c r="E11470" t="str">
        <f t="shared" si="377"/>
        <v>C</v>
      </c>
      <c r="F11470" t="str">
        <f t="shared" si="378"/>
        <v>2C</v>
      </c>
    </row>
    <row r="11471" spans="1:6" x14ac:dyDescent="0.2">
      <c r="A11471">
        <v>3</v>
      </c>
      <c r="E11471" t="str">
        <f t="shared" si="377"/>
        <v>D</v>
      </c>
      <c r="F11471" t="str">
        <f t="shared" si="378"/>
        <v>3D</v>
      </c>
    </row>
    <row r="11472" spans="1:6" x14ac:dyDescent="0.2">
      <c r="A11472">
        <v>4</v>
      </c>
      <c r="E11472" t="str">
        <f t="shared" si="377"/>
        <v>E</v>
      </c>
      <c r="F11472" t="str">
        <f t="shared" si="378"/>
        <v>4E</v>
      </c>
    </row>
    <row r="11473" spans="1:6" x14ac:dyDescent="0.2">
      <c r="A11473">
        <v>5</v>
      </c>
      <c r="E11473" t="str">
        <f t="shared" si="377"/>
        <v>F</v>
      </c>
      <c r="F11473" t="str">
        <f t="shared" si="378"/>
        <v>5F</v>
      </c>
    </row>
    <row r="11474" spans="1:6" x14ac:dyDescent="0.2">
      <c r="A11474">
        <v>6</v>
      </c>
      <c r="E11474" t="str">
        <f t="shared" si="377"/>
        <v>G</v>
      </c>
      <c r="F11474" t="str">
        <f t="shared" si="378"/>
        <v>6G</v>
      </c>
    </row>
    <row r="11475" spans="1:6" x14ac:dyDescent="0.2">
      <c r="A11475">
        <v>7</v>
      </c>
      <c r="E11475" t="str">
        <f t="shared" si="377"/>
        <v>H</v>
      </c>
      <c r="F11475" t="str">
        <f t="shared" si="378"/>
        <v>7H</v>
      </c>
    </row>
    <row r="11476" spans="1:6" x14ac:dyDescent="0.2">
      <c r="A11476">
        <v>8</v>
      </c>
      <c r="E11476" t="str">
        <f t="shared" si="377"/>
        <v>I</v>
      </c>
      <c r="F11476" t="str">
        <f t="shared" si="378"/>
        <v>8I</v>
      </c>
    </row>
    <row r="11477" spans="1:6" x14ac:dyDescent="0.2">
      <c r="A11477">
        <v>9</v>
      </c>
      <c r="E11477" t="str">
        <f t="shared" ref="E11477:E11540" si="379">E11451</f>
        <v>J</v>
      </c>
      <c r="F11477" t="str">
        <f t="shared" ref="F11477:F11540" si="380">A11477&amp;C11477&amp;E11477</f>
        <v>9J</v>
      </c>
    </row>
    <row r="11478" spans="1:6" x14ac:dyDescent="0.2">
      <c r="A11478">
        <v>10</v>
      </c>
      <c r="E11478" t="str">
        <f t="shared" si="379"/>
        <v>K</v>
      </c>
      <c r="F11478" t="str">
        <f t="shared" si="380"/>
        <v>10K</v>
      </c>
    </row>
    <row r="11479" spans="1:6" x14ac:dyDescent="0.2">
      <c r="A11479">
        <v>11</v>
      </c>
      <c r="E11479" t="str">
        <f t="shared" si="379"/>
        <v>L</v>
      </c>
      <c r="F11479" t="str">
        <f t="shared" si="380"/>
        <v>11L</v>
      </c>
    </row>
    <row r="11480" spans="1:6" x14ac:dyDescent="0.2">
      <c r="A11480">
        <v>12</v>
      </c>
      <c r="E11480" t="str">
        <f t="shared" si="379"/>
        <v>M</v>
      </c>
      <c r="F11480" t="str">
        <f t="shared" si="380"/>
        <v>12M</v>
      </c>
    </row>
    <row r="11481" spans="1:6" x14ac:dyDescent="0.2">
      <c r="A11481">
        <v>13</v>
      </c>
      <c r="E11481" t="str">
        <f t="shared" si="379"/>
        <v>N</v>
      </c>
      <c r="F11481" t="str">
        <f t="shared" si="380"/>
        <v>13N</v>
      </c>
    </row>
    <row r="11482" spans="1:6" x14ac:dyDescent="0.2">
      <c r="A11482">
        <v>14</v>
      </c>
      <c r="E11482" t="str">
        <f t="shared" si="379"/>
        <v>O</v>
      </c>
      <c r="F11482" t="str">
        <f t="shared" si="380"/>
        <v>14O</v>
      </c>
    </row>
    <row r="11483" spans="1:6" x14ac:dyDescent="0.2">
      <c r="A11483">
        <v>15</v>
      </c>
      <c r="E11483" t="str">
        <f t="shared" si="379"/>
        <v>P</v>
      </c>
      <c r="F11483" t="str">
        <f t="shared" si="380"/>
        <v>15P</v>
      </c>
    </row>
    <row r="11484" spans="1:6" x14ac:dyDescent="0.2">
      <c r="A11484">
        <v>16</v>
      </c>
      <c r="E11484" t="str">
        <f t="shared" si="379"/>
        <v>Q</v>
      </c>
      <c r="F11484" t="str">
        <f t="shared" si="380"/>
        <v>16Q</v>
      </c>
    </row>
    <row r="11485" spans="1:6" x14ac:dyDescent="0.2">
      <c r="A11485">
        <v>17</v>
      </c>
      <c r="E11485" t="str">
        <f t="shared" si="379"/>
        <v>R</v>
      </c>
      <c r="F11485" t="str">
        <f t="shared" si="380"/>
        <v>17R</v>
      </c>
    </row>
    <row r="11486" spans="1:6" x14ac:dyDescent="0.2">
      <c r="A11486">
        <v>18</v>
      </c>
      <c r="E11486" t="str">
        <f t="shared" si="379"/>
        <v>S</v>
      </c>
      <c r="F11486" t="str">
        <f t="shared" si="380"/>
        <v>18S</v>
      </c>
    </row>
    <row r="11487" spans="1:6" x14ac:dyDescent="0.2">
      <c r="A11487">
        <v>19</v>
      </c>
      <c r="E11487" t="str">
        <f t="shared" si="379"/>
        <v>T</v>
      </c>
      <c r="F11487" t="str">
        <f t="shared" si="380"/>
        <v>19T</v>
      </c>
    </row>
    <row r="11488" spans="1:6" x14ac:dyDescent="0.2">
      <c r="A11488">
        <v>20</v>
      </c>
      <c r="E11488" t="str">
        <f t="shared" si="379"/>
        <v>U</v>
      </c>
      <c r="F11488" t="str">
        <f t="shared" si="380"/>
        <v>20U</v>
      </c>
    </row>
    <row r="11489" spans="1:6" x14ac:dyDescent="0.2">
      <c r="A11489">
        <v>21</v>
      </c>
      <c r="E11489" t="str">
        <f t="shared" si="379"/>
        <v>V</v>
      </c>
      <c r="F11489" t="str">
        <f t="shared" si="380"/>
        <v>21V</v>
      </c>
    </row>
    <row r="11490" spans="1:6" x14ac:dyDescent="0.2">
      <c r="A11490">
        <v>22</v>
      </c>
      <c r="E11490" t="str">
        <f t="shared" si="379"/>
        <v>W</v>
      </c>
      <c r="F11490" t="str">
        <f t="shared" si="380"/>
        <v>22W</v>
      </c>
    </row>
    <row r="11491" spans="1:6" x14ac:dyDescent="0.2">
      <c r="A11491">
        <v>23</v>
      </c>
      <c r="E11491" t="str">
        <f t="shared" si="379"/>
        <v>X</v>
      </c>
      <c r="F11491" t="str">
        <f t="shared" si="380"/>
        <v>23X</v>
      </c>
    </row>
    <row r="11492" spans="1:6" x14ac:dyDescent="0.2">
      <c r="A11492">
        <v>24</v>
      </c>
      <c r="E11492" t="str">
        <f t="shared" si="379"/>
        <v>Y</v>
      </c>
      <c r="F11492" t="str">
        <f t="shared" si="380"/>
        <v>24Y</v>
      </c>
    </row>
    <row r="11493" spans="1:6" x14ac:dyDescent="0.2">
      <c r="A11493">
        <v>25</v>
      </c>
      <c r="E11493" t="str">
        <f t="shared" si="379"/>
        <v>Z</v>
      </c>
      <c r="F11493" t="str">
        <f t="shared" si="380"/>
        <v>25Z</v>
      </c>
    </row>
    <row r="11494" spans="1:6" x14ac:dyDescent="0.2">
      <c r="A11494">
        <v>0</v>
      </c>
      <c r="E11494" t="str">
        <f t="shared" si="379"/>
        <v>A</v>
      </c>
      <c r="F11494" t="str">
        <f t="shared" si="380"/>
        <v>0A</v>
      </c>
    </row>
    <row r="11495" spans="1:6" x14ac:dyDescent="0.2">
      <c r="A11495">
        <v>1</v>
      </c>
      <c r="E11495" t="str">
        <f t="shared" si="379"/>
        <v>B</v>
      </c>
      <c r="F11495" t="str">
        <f t="shared" si="380"/>
        <v>1B</v>
      </c>
    </row>
    <row r="11496" spans="1:6" x14ac:dyDescent="0.2">
      <c r="A11496">
        <v>2</v>
      </c>
      <c r="E11496" t="str">
        <f t="shared" si="379"/>
        <v>C</v>
      </c>
      <c r="F11496" t="str">
        <f t="shared" si="380"/>
        <v>2C</v>
      </c>
    </row>
    <row r="11497" spans="1:6" x14ac:dyDescent="0.2">
      <c r="A11497">
        <v>3</v>
      </c>
      <c r="E11497" t="str">
        <f t="shared" si="379"/>
        <v>D</v>
      </c>
      <c r="F11497" t="str">
        <f t="shared" si="380"/>
        <v>3D</v>
      </c>
    </row>
    <row r="11498" spans="1:6" x14ac:dyDescent="0.2">
      <c r="A11498">
        <v>4</v>
      </c>
      <c r="E11498" t="str">
        <f t="shared" si="379"/>
        <v>E</v>
      </c>
      <c r="F11498" t="str">
        <f t="shared" si="380"/>
        <v>4E</v>
      </c>
    </row>
    <row r="11499" spans="1:6" x14ac:dyDescent="0.2">
      <c r="A11499">
        <v>5</v>
      </c>
      <c r="E11499" t="str">
        <f t="shared" si="379"/>
        <v>F</v>
      </c>
      <c r="F11499" t="str">
        <f t="shared" si="380"/>
        <v>5F</v>
      </c>
    </row>
    <row r="11500" spans="1:6" x14ac:dyDescent="0.2">
      <c r="A11500">
        <v>6</v>
      </c>
      <c r="E11500" t="str">
        <f t="shared" si="379"/>
        <v>G</v>
      </c>
      <c r="F11500" t="str">
        <f t="shared" si="380"/>
        <v>6G</v>
      </c>
    </row>
    <row r="11501" spans="1:6" x14ac:dyDescent="0.2">
      <c r="A11501">
        <v>7</v>
      </c>
      <c r="E11501" t="str">
        <f t="shared" si="379"/>
        <v>H</v>
      </c>
      <c r="F11501" t="str">
        <f t="shared" si="380"/>
        <v>7H</v>
      </c>
    </row>
    <row r="11502" spans="1:6" x14ac:dyDescent="0.2">
      <c r="A11502">
        <v>8</v>
      </c>
      <c r="E11502" t="str">
        <f t="shared" si="379"/>
        <v>I</v>
      </c>
      <c r="F11502" t="str">
        <f t="shared" si="380"/>
        <v>8I</v>
      </c>
    </row>
    <row r="11503" spans="1:6" x14ac:dyDescent="0.2">
      <c r="A11503">
        <v>9</v>
      </c>
      <c r="E11503" t="str">
        <f t="shared" si="379"/>
        <v>J</v>
      </c>
      <c r="F11503" t="str">
        <f t="shared" si="380"/>
        <v>9J</v>
      </c>
    </row>
    <row r="11504" spans="1:6" x14ac:dyDescent="0.2">
      <c r="A11504">
        <v>10</v>
      </c>
      <c r="E11504" t="str">
        <f t="shared" si="379"/>
        <v>K</v>
      </c>
      <c r="F11504" t="str">
        <f t="shared" si="380"/>
        <v>10K</v>
      </c>
    </row>
    <row r="11505" spans="1:6" x14ac:dyDescent="0.2">
      <c r="A11505">
        <v>11</v>
      </c>
      <c r="E11505" t="str">
        <f t="shared" si="379"/>
        <v>L</v>
      </c>
      <c r="F11505" t="str">
        <f t="shared" si="380"/>
        <v>11L</v>
      </c>
    </row>
    <row r="11506" spans="1:6" x14ac:dyDescent="0.2">
      <c r="A11506">
        <v>12</v>
      </c>
      <c r="E11506" t="str">
        <f t="shared" si="379"/>
        <v>M</v>
      </c>
      <c r="F11506" t="str">
        <f t="shared" si="380"/>
        <v>12M</v>
      </c>
    </row>
    <row r="11507" spans="1:6" x14ac:dyDescent="0.2">
      <c r="A11507">
        <v>13</v>
      </c>
      <c r="E11507" t="str">
        <f t="shared" si="379"/>
        <v>N</v>
      </c>
      <c r="F11507" t="str">
        <f t="shared" si="380"/>
        <v>13N</v>
      </c>
    </row>
    <row r="11508" spans="1:6" x14ac:dyDescent="0.2">
      <c r="A11508">
        <v>14</v>
      </c>
      <c r="E11508" t="str">
        <f t="shared" si="379"/>
        <v>O</v>
      </c>
      <c r="F11508" t="str">
        <f t="shared" si="380"/>
        <v>14O</v>
      </c>
    </row>
    <row r="11509" spans="1:6" x14ac:dyDescent="0.2">
      <c r="A11509">
        <v>15</v>
      </c>
      <c r="E11509" t="str">
        <f t="shared" si="379"/>
        <v>P</v>
      </c>
      <c r="F11509" t="str">
        <f t="shared" si="380"/>
        <v>15P</v>
      </c>
    </row>
    <row r="11510" spans="1:6" x14ac:dyDescent="0.2">
      <c r="A11510">
        <v>16</v>
      </c>
      <c r="E11510" t="str">
        <f t="shared" si="379"/>
        <v>Q</v>
      </c>
      <c r="F11510" t="str">
        <f t="shared" si="380"/>
        <v>16Q</v>
      </c>
    </row>
    <row r="11511" spans="1:6" x14ac:dyDescent="0.2">
      <c r="A11511">
        <v>17</v>
      </c>
      <c r="E11511" t="str">
        <f t="shared" si="379"/>
        <v>R</v>
      </c>
      <c r="F11511" t="str">
        <f t="shared" si="380"/>
        <v>17R</v>
      </c>
    </row>
    <row r="11512" spans="1:6" x14ac:dyDescent="0.2">
      <c r="A11512">
        <v>18</v>
      </c>
      <c r="E11512" t="str">
        <f t="shared" si="379"/>
        <v>S</v>
      </c>
      <c r="F11512" t="str">
        <f t="shared" si="380"/>
        <v>18S</v>
      </c>
    </row>
    <row r="11513" spans="1:6" x14ac:dyDescent="0.2">
      <c r="A11513">
        <v>19</v>
      </c>
      <c r="E11513" t="str">
        <f t="shared" si="379"/>
        <v>T</v>
      </c>
      <c r="F11513" t="str">
        <f t="shared" si="380"/>
        <v>19T</v>
      </c>
    </row>
    <row r="11514" spans="1:6" x14ac:dyDescent="0.2">
      <c r="A11514">
        <v>20</v>
      </c>
      <c r="E11514" t="str">
        <f t="shared" si="379"/>
        <v>U</v>
      </c>
      <c r="F11514" t="str">
        <f t="shared" si="380"/>
        <v>20U</v>
      </c>
    </row>
    <row r="11515" spans="1:6" x14ac:dyDescent="0.2">
      <c r="A11515">
        <v>21</v>
      </c>
      <c r="E11515" t="str">
        <f t="shared" si="379"/>
        <v>V</v>
      </c>
      <c r="F11515" t="str">
        <f t="shared" si="380"/>
        <v>21V</v>
      </c>
    </row>
    <row r="11516" spans="1:6" x14ac:dyDescent="0.2">
      <c r="A11516">
        <v>22</v>
      </c>
      <c r="E11516" t="str">
        <f t="shared" si="379"/>
        <v>W</v>
      </c>
      <c r="F11516" t="str">
        <f t="shared" si="380"/>
        <v>22W</v>
      </c>
    </row>
    <row r="11517" spans="1:6" x14ac:dyDescent="0.2">
      <c r="A11517">
        <v>23</v>
      </c>
      <c r="E11517" t="str">
        <f t="shared" si="379"/>
        <v>X</v>
      </c>
      <c r="F11517" t="str">
        <f t="shared" si="380"/>
        <v>23X</v>
      </c>
    </row>
    <row r="11518" spans="1:6" x14ac:dyDescent="0.2">
      <c r="A11518">
        <v>24</v>
      </c>
      <c r="E11518" t="str">
        <f t="shared" si="379"/>
        <v>Y</v>
      </c>
      <c r="F11518" t="str">
        <f t="shared" si="380"/>
        <v>24Y</v>
      </c>
    </row>
    <row r="11519" spans="1:6" x14ac:dyDescent="0.2">
      <c r="A11519">
        <v>25</v>
      </c>
      <c r="E11519" t="str">
        <f t="shared" si="379"/>
        <v>Z</v>
      </c>
      <c r="F11519" t="str">
        <f t="shared" si="380"/>
        <v>25Z</v>
      </c>
    </row>
    <row r="11520" spans="1:6" x14ac:dyDescent="0.2">
      <c r="A11520">
        <v>0</v>
      </c>
      <c r="E11520" t="str">
        <f t="shared" si="379"/>
        <v>A</v>
      </c>
      <c r="F11520" t="str">
        <f t="shared" si="380"/>
        <v>0A</v>
      </c>
    </row>
    <row r="11521" spans="1:6" x14ac:dyDescent="0.2">
      <c r="A11521">
        <v>1</v>
      </c>
      <c r="E11521" t="str">
        <f t="shared" si="379"/>
        <v>B</v>
      </c>
      <c r="F11521" t="str">
        <f t="shared" si="380"/>
        <v>1B</v>
      </c>
    </row>
    <row r="11522" spans="1:6" x14ac:dyDescent="0.2">
      <c r="A11522">
        <v>2</v>
      </c>
      <c r="E11522" t="str">
        <f t="shared" si="379"/>
        <v>C</v>
      </c>
      <c r="F11522" t="str">
        <f t="shared" si="380"/>
        <v>2C</v>
      </c>
    </row>
    <row r="11523" spans="1:6" x14ac:dyDescent="0.2">
      <c r="A11523">
        <v>3</v>
      </c>
      <c r="E11523" t="str">
        <f t="shared" si="379"/>
        <v>D</v>
      </c>
      <c r="F11523" t="str">
        <f t="shared" si="380"/>
        <v>3D</v>
      </c>
    </row>
    <row r="11524" spans="1:6" x14ac:dyDescent="0.2">
      <c r="A11524">
        <v>4</v>
      </c>
      <c r="E11524" t="str">
        <f t="shared" si="379"/>
        <v>E</v>
      </c>
      <c r="F11524" t="str">
        <f t="shared" si="380"/>
        <v>4E</v>
      </c>
    </row>
    <row r="11525" spans="1:6" x14ac:dyDescent="0.2">
      <c r="A11525">
        <v>5</v>
      </c>
      <c r="E11525" t="str">
        <f t="shared" si="379"/>
        <v>F</v>
      </c>
      <c r="F11525" t="str">
        <f t="shared" si="380"/>
        <v>5F</v>
      </c>
    </row>
    <row r="11526" spans="1:6" x14ac:dyDescent="0.2">
      <c r="A11526">
        <v>6</v>
      </c>
      <c r="E11526" t="str">
        <f t="shared" si="379"/>
        <v>G</v>
      </c>
      <c r="F11526" t="str">
        <f t="shared" si="380"/>
        <v>6G</v>
      </c>
    </row>
    <row r="11527" spans="1:6" x14ac:dyDescent="0.2">
      <c r="A11527">
        <v>7</v>
      </c>
      <c r="E11527" t="str">
        <f t="shared" si="379"/>
        <v>H</v>
      </c>
      <c r="F11527" t="str">
        <f t="shared" si="380"/>
        <v>7H</v>
      </c>
    </row>
    <row r="11528" spans="1:6" x14ac:dyDescent="0.2">
      <c r="A11528">
        <v>8</v>
      </c>
      <c r="E11528" t="str">
        <f t="shared" si="379"/>
        <v>I</v>
      </c>
      <c r="F11528" t="str">
        <f t="shared" si="380"/>
        <v>8I</v>
      </c>
    </row>
    <row r="11529" spans="1:6" x14ac:dyDescent="0.2">
      <c r="A11529">
        <v>9</v>
      </c>
      <c r="E11529" t="str">
        <f t="shared" si="379"/>
        <v>J</v>
      </c>
      <c r="F11529" t="str">
        <f t="shared" si="380"/>
        <v>9J</v>
      </c>
    </row>
    <row r="11530" spans="1:6" x14ac:dyDescent="0.2">
      <c r="A11530">
        <v>10</v>
      </c>
      <c r="E11530" t="str">
        <f t="shared" si="379"/>
        <v>K</v>
      </c>
      <c r="F11530" t="str">
        <f t="shared" si="380"/>
        <v>10K</v>
      </c>
    </row>
    <row r="11531" spans="1:6" x14ac:dyDescent="0.2">
      <c r="A11531">
        <v>11</v>
      </c>
      <c r="E11531" t="str">
        <f t="shared" si="379"/>
        <v>L</v>
      </c>
      <c r="F11531" t="str">
        <f t="shared" si="380"/>
        <v>11L</v>
      </c>
    </row>
    <row r="11532" spans="1:6" x14ac:dyDescent="0.2">
      <c r="A11532">
        <v>12</v>
      </c>
      <c r="E11532" t="str">
        <f t="shared" si="379"/>
        <v>M</v>
      </c>
      <c r="F11532" t="str">
        <f t="shared" si="380"/>
        <v>12M</v>
      </c>
    </row>
    <row r="11533" spans="1:6" x14ac:dyDescent="0.2">
      <c r="A11533">
        <v>13</v>
      </c>
      <c r="E11533" t="str">
        <f t="shared" si="379"/>
        <v>N</v>
      </c>
      <c r="F11533" t="str">
        <f t="shared" si="380"/>
        <v>13N</v>
      </c>
    </row>
    <row r="11534" spans="1:6" x14ac:dyDescent="0.2">
      <c r="A11534">
        <v>14</v>
      </c>
      <c r="E11534" t="str">
        <f t="shared" si="379"/>
        <v>O</v>
      </c>
      <c r="F11534" t="str">
        <f t="shared" si="380"/>
        <v>14O</v>
      </c>
    </row>
    <row r="11535" spans="1:6" x14ac:dyDescent="0.2">
      <c r="A11535">
        <v>15</v>
      </c>
      <c r="E11535" t="str">
        <f t="shared" si="379"/>
        <v>P</v>
      </c>
      <c r="F11535" t="str">
        <f t="shared" si="380"/>
        <v>15P</v>
      </c>
    </row>
    <row r="11536" spans="1:6" x14ac:dyDescent="0.2">
      <c r="A11536">
        <v>16</v>
      </c>
      <c r="E11536" t="str">
        <f t="shared" si="379"/>
        <v>Q</v>
      </c>
      <c r="F11536" t="str">
        <f t="shared" si="380"/>
        <v>16Q</v>
      </c>
    </row>
    <row r="11537" spans="1:6" x14ac:dyDescent="0.2">
      <c r="A11537">
        <v>17</v>
      </c>
      <c r="E11537" t="str">
        <f t="shared" si="379"/>
        <v>R</v>
      </c>
      <c r="F11537" t="str">
        <f t="shared" si="380"/>
        <v>17R</v>
      </c>
    </row>
    <row r="11538" spans="1:6" x14ac:dyDescent="0.2">
      <c r="A11538">
        <v>18</v>
      </c>
      <c r="E11538" t="str">
        <f t="shared" si="379"/>
        <v>S</v>
      </c>
      <c r="F11538" t="str">
        <f t="shared" si="380"/>
        <v>18S</v>
      </c>
    </row>
    <row r="11539" spans="1:6" x14ac:dyDescent="0.2">
      <c r="A11539">
        <v>19</v>
      </c>
      <c r="E11539" t="str">
        <f t="shared" si="379"/>
        <v>T</v>
      </c>
      <c r="F11539" t="str">
        <f t="shared" si="380"/>
        <v>19T</v>
      </c>
    </row>
    <row r="11540" spans="1:6" x14ac:dyDescent="0.2">
      <c r="A11540">
        <v>20</v>
      </c>
      <c r="E11540" t="str">
        <f t="shared" si="379"/>
        <v>U</v>
      </c>
      <c r="F11540" t="str">
        <f t="shared" si="380"/>
        <v>20U</v>
      </c>
    </row>
    <row r="11541" spans="1:6" x14ac:dyDescent="0.2">
      <c r="A11541">
        <v>21</v>
      </c>
      <c r="E11541" t="str">
        <f t="shared" ref="E11541:E11604" si="381">E11515</f>
        <v>V</v>
      </c>
      <c r="F11541" t="str">
        <f t="shared" ref="F11541:F11604" si="382">A11541&amp;C11541&amp;E11541</f>
        <v>21V</v>
      </c>
    </row>
    <row r="11542" spans="1:6" x14ac:dyDescent="0.2">
      <c r="A11542">
        <v>22</v>
      </c>
      <c r="E11542" t="str">
        <f t="shared" si="381"/>
        <v>W</v>
      </c>
      <c r="F11542" t="str">
        <f t="shared" si="382"/>
        <v>22W</v>
      </c>
    </row>
    <row r="11543" spans="1:6" x14ac:dyDescent="0.2">
      <c r="A11543">
        <v>23</v>
      </c>
      <c r="E11543" t="str">
        <f t="shared" si="381"/>
        <v>X</v>
      </c>
      <c r="F11543" t="str">
        <f t="shared" si="382"/>
        <v>23X</v>
      </c>
    </row>
    <row r="11544" spans="1:6" x14ac:dyDescent="0.2">
      <c r="A11544">
        <v>24</v>
      </c>
      <c r="E11544" t="str">
        <f t="shared" si="381"/>
        <v>Y</v>
      </c>
      <c r="F11544" t="str">
        <f t="shared" si="382"/>
        <v>24Y</v>
      </c>
    </row>
    <row r="11545" spans="1:6" x14ac:dyDescent="0.2">
      <c r="A11545">
        <v>25</v>
      </c>
      <c r="E11545" t="str">
        <f t="shared" si="381"/>
        <v>Z</v>
      </c>
      <c r="F11545" t="str">
        <f t="shared" si="382"/>
        <v>25Z</v>
      </c>
    </row>
    <row r="11546" spans="1:6" x14ac:dyDescent="0.2">
      <c r="A11546">
        <v>0</v>
      </c>
      <c r="E11546" t="str">
        <f t="shared" si="381"/>
        <v>A</v>
      </c>
      <c r="F11546" t="str">
        <f t="shared" si="382"/>
        <v>0A</v>
      </c>
    </row>
    <row r="11547" spans="1:6" x14ac:dyDescent="0.2">
      <c r="A11547">
        <v>1</v>
      </c>
      <c r="E11547" t="str">
        <f t="shared" si="381"/>
        <v>B</v>
      </c>
      <c r="F11547" t="str">
        <f t="shared" si="382"/>
        <v>1B</v>
      </c>
    </row>
    <row r="11548" spans="1:6" x14ac:dyDescent="0.2">
      <c r="A11548">
        <v>2</v>
      </c>
      <c r="E11548" t="str">
        <f t="shared" si="381"/>
        <v>C</v>
      </c>
      <c r="F11548" t="str">
        <f t="shared" si="382"/>
        <v>2C</v>
      </c>
    </row>
    <row r="11549" spans="1:6" x14ac:dyDescent="0.2">
      <c r="A11549">
        <v>3</v>
      </c>
      <c r="E11549" t="str">
        <f t="shared" si="381"/>
        <v>D</v>
      </c>
      <c r="F11549" t="str">
        <f t="shared" si="382"/>
        <v>3D</v>
      </c>
    </row>
    <row r="11550" spans="1:6" x14ac:dyDescent="0.2">
      <c r="A11550">
        <v>4</v>
      </c>
      <c r="E11550" t="str">
        <f t="shared" si="381"/>
        <v>E</v>
      </c>
      <c r="F11550" t="str">
        <f t="shared" si="382"/>
        <v>4E</v>
      </c>
    </row>
    <row r="11551" spans="1:6" x14ac:dyDescent="0.2">
      <c r="A11551">
        <v>5</v>
      </c>
      <c r="E11551" t="str">
        <f t="shared" si="381"/>
        <v>F</v>
      </c>
      <c r="F11551" t="str">
        <f t="shared" si="382"/>
        <v>5F</v>
      </c>
    </row>
    <row r="11552" spans="1:6" x14ac:dyDescent="0.2">
      <c r="A11552">
        <v>6</v>
      </c>
      <c r="E11552" t="str">
        <f t="shared" si="381"/>
        <v>G</v>
      </c>
      <c r="F11552" t="str">
        <f t="shared" si="382"/>
        <v>6G</v>
      </c>
    </row>
    <row r="11553" spans="1:6" x14ac:dyDescent="0.2">
      <c r="A11553">
        <v>7</v>
      </c>
      <c r="E11553" t="str">
        <f t="shared" si="381"/>
        <v>H</v>
      </c>
      <c r="F11553" t="str">
        <f t="shared" si="382"/>
        <v>7H</v>
      </c>
    </row>
    <row r="11554" spans="1:6" x14ac:dyDescent="0.2">
      <c r="A11554">
        <v>8</v>
      </c>
      <c r="E11554" t="str">
        <f t="shared" si="381"/>
        <v>I</v>
      </c>
      <c r="F11554" t="str">
        <f t="shared" si="382"/>
        <v>8I</v>
      </c>
    </row>
    <row r="11555" spans="1:6" x14ac:dyDescent="0.2">
      <c r="A11555">
        <v>9</v>
      </c>
      <c r="E11555" t="str">
        <f t="shared" si="381"/>
        <v>J</v>
      </c>
      <c r="F11555" t="str">
        <f t="shared" si="382"/>
        <v>9J</v>
      </c>
    </row>
    <row r="11556" spans="1:6" x14ac:dyDescent="0.2">
      <c r="A11556">
        <v>10</v>
      </c>
      <c r="E11556" t="str">
        <f t="shared" si="381"/>
        <v>K</v>
      </c>
      <c r="F11556" t="str">
        <f t="shared" si="382"/>
        <v>10K</v>
      </c>
    </row>
    <row r="11557" spans="1:6" x14ac:dyDescent="0.2">
      <c r="A11557">
        <v>11</v>
      </c>
      <c r="E11557" t="str">
        <f t="shared" si="381"/>
        <v>L</v>
      </c>
      <c r="F11557" t="str">
        <f t="shared" si="382"/>
        <v>11L</v>
      </c>
    </row>
    <row r="11558" spans="1:6" x14ac:dyDescent="0.2">
      <c r="A11558">
        <v>12</v>
      </c>
      <c r="E11558" t="str">
        <f t="shared" si="381"/>
        <v>M</v>
      </c>
      <c r="F11558" t="str">
        <f t="shared" si="382"/>
        <v>12M</v>
      </c>
    </row>
    <row r="11559" spans="1:6" x14ac:dyDescent="0.2">
      <c r="A11559">
        <v>13</v>
      </c>
      <c r="E11559" t="str">
        <f t="shared" si="381"/>
        <v>N</v>
      </c>
      <c r="F11559" t="str">
        <f t="shared" si="382"/>
        <v>13N</v>
      </c>
    </row>
    <row r="11560" spans="1:6" x14ac:dyDescent="0.2">
      <c r="A11560">
        <v>14</v>
      </c>
      <c r="E11560" t="str">
        <f t="shared" si="381"/>
        <v>O</v>
      </c>
      <c r="F11560" t="str">
        <f t="shared" si="382"/>
        <v>14O</v>
      </c>
    </row>
    <row r="11561" spans="1:6" x14ac:dyDescent="0.2">
      <c r="A11561">
        <v>15</v>
      </c>
      <c r="E11561" t="str">
        <f t="shared" si="381"/>
        <v>P</v>
      </c>
      <c r="F11561" t="str">
        <f t="shared" si="382"/>
        <v>15P</v>
      </c>
    </row>
    <row r="11562" spans="1:6" x14ac:dyDescent="0.2">
      <c r="A11562">
        <v>16</v>
      </c>
      <c r="E11562" t="str">
        <f t="shared" si="381"/>
        <v>Q</v>
      </c>
      <c r="F11562" t="str">
        <f t="shared" si="382"/>
        <v>16Q</v>
      </c>
    </row>
    <row r="11563" spans="1:6" x14ac:dyDescent="0.2">
      <c r="A11563">
        <v>17</v>
      </c>
      <c r="E11563" t="str">
        <f t="shared" si="381"/>
        <v>R</v>
      </c>
      <c r="F11563" t="str">
        <f t="shared" si="382"/>
        <v>17R</v>
      </c>
    </row>
    <row r="11564" spans="1:6" x14ac:dyDescent="0.2">
      <c r="A11564">
        <v>18</v>
      </c>
      <c r="E11564" t="str">
        <f t="shared" si="381"/>
        <v>S</v>
      </c>
      <c r="F11564" t="str">
        <f t="shared" si="382"/>
        <v>18S</v>
      </c>
    </row>
    <row r="11565" spans="1:6" x14ac:dyDescent="0.2">
      <c r="A11565">
        <v>19</v>
      </c>
      <c r="E11565" t="str">
        <f t="shared" si="381"/>
        <v>T</v>
      </c>
      <c r="F11565" t="str">
        <f t="shared" si="382"/>
        <v>19T</v>
      </c>
    </row>
    <row r="11566" spans="1:6" x14ac:dyDescent="0.2">
      <c r="A11566">
        <v>20</v>
      </c>
      <c r="E11566" t="str">
        <f t="shared" si="381"/>
        <v>U</v>
      </c>
      <c r="F11566" t="str">
        <f t="shared" si="382"/>
        <v>20U</v>
      </c>
    </row>
    <row r="11567" spans="1:6" x14ac:dyDescent="0.2">
      <c r="A11567">
        <v>21</v>
      </c>
      <c r="E11567" t="str">
        <f t="shared" si="381"/>
        <v>V</v>
      </c>
      <c r="F11567" t="str">
        <f t="shared" si="382"/>
        <v>21V</v>
      </c>
    </row>
    <row r="11568" spans="1:6" x14ac:dyDescent="0.2">
      <c r="A11568">
        <v>22</v>
      </c>
      <c r="E11568" t="str">
        <f t="shared" si="381"/>
        <v>W</v>
      </c>
      <c r="F11568" t="str">
        <f t="shared" si="382"/>
        <v>22W</v>
      </c>
    </row>
    <row r="11569" spans="1:6" x14ac:dyDescent="0.2">
      <c r="A11569">
        <v>23</v>
      </c>
      <c r="E11569" t="str">
        <f t="shared" si="381"/>
        <v>X</v>
      </c>
      <c r="F11569" t="str">
        <f t="shared" si="382"/>
        <v>23X</v>
      </c>
    </row>
    <row r="11570" spans="1:6" x14ac:dyDescent="0.2">
      <c r="A11570">
        <v>24</v>
      </c>
      <c r="E11570" t="str">
        <f t="shared" si="381"/>
        <v>Y</v>
      </c>
      <c r="F11570" t="str">
        <f t="shared" si="382"/>
        <v>24Y</v>
      </c>
    </row>
    <row r="11571" spans="1:6" x14ac:dyDescent="0.2">
      <c r="A11571">
        <v>25</v>
      </c>
      <c r="E11571" t="str">
        <f t="shared" si="381"/>
        <v>Z</v>
      </c>
      <c r="F11571" t="str">
        <f t="shared" si="382"/>
        <v>25Z</v>
      </c>
    </row>
    <row r="11572" spans="1:6" x14ac:dyDescent="0.2">
      <c r="A11572">
        <v>0</v>
      </c>
      <c r="E11572" t="str">
        <f t="shared" si="381"/>
        <v>A</v>
      </c>
      <c r="F11572" t="str">
        <f t="shared" si="382"/>
        <v>0A</v>
      </c>
    </row>
    <row r="11573" spans="1:6" x14ac:dyDescent="0.2">
      <c r="A11573">
        <v>1</v>
      </c>
      <c r="E11573" t="str">
        <f t="shared" si="381"/>
        <v>B</v>
      </c>
      <c r="F11573" t="str">
        <f t="shared" si="382"/>
        <v>1B</v>
      </c>
    </row>
    <row r="11574" spans="1:6" x14ac:dyDescent="0.2">
      <c r="A11574">
        <v>2</v>
      </c>
      <c r="E11574" t="str">
        <f t="shared" si="381"/>
        <v>C</v>
      </c>
      <c r="F11574" t="str">
        <f t="shared" si="382"/>
        <v>2C</v>
      </c>
    </row>
    <row r="11575" spans="1:6" x14ac:dyDescent="0.2">
      <c r="A11575">
        <v>3</v>
      </c>
      <c r="E11575" t="str">
        <f t="shared" si="381"/>
        <v>D</v>
      </c>
      <c r="F11575" t="str">
        <f t="shared" si="382"/>
        <v>3D</v>
      </c>
    </row>
    <row r="11576" spans="1:6" x14ac:dyDescent="0.2">
      <c r="A11576">
        <v>4</v>
      </c>
      <c r="E11576" t="str">
        <f t="shared" si="381"/>
        <v>E</v>
      </c>
      <c r="F11576" t="str">
        <f t="shared" si="382"/>
        <v>4E</v>
      </c>
    </row>
    <row r="11577" spans="1:6" x14ac:dyDescent="0.2">
      <c r="A11577">
        <v>5</v>
      </c>
      <c r="E11577" t="str">
        <f t="shared" si="381"/>
        <v>F</v>
      </c>
      <c r="F11577" t="str">
        <f t="shared" si="382"/>
        <v>5F</v>
      </c>
    </row>
    <row r="11578" spans="1:6" x14ac:dyDescent="0.2">
      <c r="A11578">
        <v>6</v>
      </c>
      <c r="E11578" t="str">
        <f t="shared" si="381"/>
        <v>G</v>
      </c>
      <c r="F11578" t="str">
        <f t="shared" si="382"/>
        <v>6G</v>
      </c>
    </row>
    <row r="11579" spans="1:6" x14ac:dyDescent="0.2">
      <c r="A11579">
        <v>7</v>
      </c>
      <c r="E11579" t="str">
        <f t="shared" si="381"/>
        <v>H</v>
      </c>
      <c r="F11579" t="str">
        <f t="shared" si="382"/>
        <v>7H</v>
      </c>
    </row>
    <row r="11580" spans="1:6" x14ac:dyDescent="0.2">
      <c r="A11580">
        <v>8</v>
      </c>
      <c r="E11580" t="str">
        <f t="shared" si="381"/>
        <v>I</v>
      </c>
      <c r="F11580" t="str">
        <f t="shared" si="382"/>
        <v>8I</v>
      </c>
    </row>
    <row r="11581" spans="1:6" x14ac:dyDescent="0.2">
      <c r="A11581">
        <v>9</v>
      </c>
      <c r="E11581" t="str">
        <f t="shared" si="381"/>
        <v>J</v>
      </c>
      <c r="F11581" t="str">
        <f t="shared" si="382"/>
        <v>9J</v>
      </c>
    </row>
    <row r="11582" spans="1:6" x14ac:dyDescent="0.2">
      <c r="A11582">
        <v>10</v>
      </c>
      <c r="E11582" t="str">
        <f t="shared" si="381"/>
        <v>K</v>
      </c>
      <c r="F11582" t="str">
        <f t="shared" si="382"/>
        <v>10K</v>
      </c>
    </row>
    <row r="11583" spans="1:6" x14ac:dyDescent="0.2">
      <c r="A11583">
        <v>11</v>
      </c>
      <c r="E11583" t="str">
        <f t="shared" si="381"/>
        <v>L</v>
      </c>
      <c r="F11583" t="str">
        <f t="shared" si="382"/>
        <v>11L</v>
      </c>
    </row>
    <row r="11584" spans="1:6" x14ac:dyDescent="0.2">
      <c r="A11584">
        <v>12</v>
      </c>
      <c r="E11584" t="str">
        <f t="shared" si="381"/>
        <v>M</v>
      </c>
      <c r="F11584" t="str">
        <f t="shared" si="382"/>
        <v>12M</v>
      </c>
    </row>
    <row r="11585" spans="1:6" x14ac:dyDescent="0.2">
      <c r="A11585">
        <v>13</v>
      </c>
      <c r="E11585" t="str">
        <f t="shared" si="381"/>
        <v>N</v>
      </c>
      <c r="F11585" t="str">
        <f t="shared" si="382"/>
        <v>13N</v>
      </c>
    </row>
    <row r="11586" spans="1:6" x14ac:dyDescent="0.2">
      <c r="A11586">
        <v>14</v>
      </c>
      <c r="E11586" t="str">
        <f t="shared" si="381"/>
        <v>O</v>
      </c>
      <c r="F11586" t="str">
        <f t="shared" si="382"/>
        <v>14O</v>
      </c>
    </row>
    <row r="11587" spans="1:6" x14ac:dyDescent="0.2">
      <c r="A11587">
        <v>15</v>
      </c>
      <c r="E11587" t="str">
        <f t="shared" si="381"/>
        <v>P</v>
      </c>
      <c r="F11587" t="str">
        <f t="shared" si="382"/>
        <v>15P</v>
      </c>
    </row>
    <row r="11588" spans="1:6" x14ac:dyDescent="0.2">
      <c r="A11588">
        <v>16</v>
      </c>
      <c r="E11588" t="str">
        <f t="shared" si="381"/>
        <v>Q</v>
      </c>
      <c r="F11588" t="str">
        <f t="shared" si="382"/>
        <v>16Q</v>
      </c>
    </row>
    <row r="11589" spans="1:6" x14ac:dyDescent="0.2">
      <c r="A11589">
        <v>17</v>
      </c>
      <c r="E11589" t="str">
        <f t="shared" si="381"/>
        <v>R</v>
      </c>
      <c r="F11589" t="str">
        <f t="shared" si="382"/>
        <v>17R</v>
      </c>
    </row>
    <row r="11590" spans="1:6" x14ac:dyDescent="0.2">
      <c r="A11590">
        <v>18</v>
      </c>
      <c r="E11590" t="str">
        <f t="shared" si="381"/>
        <v>S</v>
      </c>
      <c r="F11590" t="str">
        <f t="shared" si="382"/>
        <v>18S</v>
      </c>
    </row>
    <row r="11591" spans="1:6" x14ac:dyDescent="0.2">
      <c r="A11591">
        <v>19</v>
      </c>
      <c r="E11591" t="str">
        <f t="shared" si="381"/>
        <v>T</v>
      </c>
      <c r="F11591" t="str">
        <f t="shared" si="382"/>
        <v>19T</v>
      </c>
    </row>
    <row r="11592" spans="1:6" x14ac:dyDescent="0.2">
      <c r="A11592">
        <v>20</v>
      </c>
      <c r="E11592" t="str">
        <f t="shared" si="381"/>
        <v>U</v>
      </c>
      <c r="F11592" t="str">
        <f t="shared" si="382"/>
        <v>20U</v>
      </c>
    </row>
    <row r="11593" spans="1:6" x14ac:dyDescent="0.2">
      <c r="A11593">
        <v>21</v>
      </c>
      <c r="E11593" t="str">
        <f t="shared" si="381"/>
        <v>V</v>
      </c>
      <c r="F11593" t="str">
        <f t="shared" si="382"/>
        <v>21V</v>
      </c>
    </row>
    <row r="11594" spans="1:6" x14ac:dyDescent="0.2">
      <c r="A11594">
        <v>22</v>
      </c>
      <c r="E11594" t="str">
        <f t="shared" si="381"/>
        <v>W</v>
      </c>
      <c r="F11594" t="str">
        <f t="shared" si="382"/>
        <v>22W</v>
      </c>
    </row>
    <row r="11595" spans="1:6" x14ac:dyDescent="0.2">
      <c r="A11595">
        <v>23</v>
      </c>
      <c r="E11595" t="str">
        <f t="shared" si="381"/>
        <v>X</v>
      </c>
      <c r="F11595" t="str">
        <f t="shared" si="382"/>
        <v>23X</v>
      </c>
    </row>
    <row r="11596" spans="1:6" x14ac:dyDescent="0.2">
      <c r="A11596">
        <v>24</v>
      </c>
      <c r="E11596" t="str">
        <f t="shared" si="381"/>
        <v>Y</v>
      </c>
      <c r="F11596" t="str">
        <f t="shared" si="382"/>
        <v>24Y</v>
      </c>
    </row>
    <row r="11597" spans="1:6" x14ac:dyDescent="0.2">
      <c r="A11597">
        <v>25</v>
      </c>
      <c r="E11597" t="str">
        <f t="shared" si="381"/>
        <v>Z</v>
      </c>
      <c r="F11597" t="str">
        <f t="shared" si="382"/>
        <v>25Z</v>
      </c>
    </row>
    <row r="11598" spans="1:6" x14ac:dyDescent="0.2">
      <c r="A11598">
        <v>0</v>
      </c>
      <c r="E11598" t="str">
        <f t="shared" si="381"/>
        <v>A</v>
      </c>
      <c r="F11598" t="str">
        <f t="shared" si="382"/>
        <v>0A</v>
      </c>
    </row>
    <row r="11599" spans="1:6" x14ac:dyDescent="0.2">
      <c r="A11599">
        <v>1</v>
      </c>
      <c r="E11599" t="str">
        <f t="shared" si="381"/>
        <v>B</v>
      </c>
      <c r="F11599" t="str">
        <f t="shared" si="382"/>
        <v>1B</v>
      </c>
    </row>
    <row r="11600" spans="1:6" x14ac:dyDescent="0.2">
      <c r="A11600">
        <v>2</v>
      </c>
      <c r="E11600" t="str">
        <f t="shared" si="381"/>
        <v>C</v>
      </c>
      <c r="F11600" t="str">
        <f t="shared" si="382"/>
        <v>2C</v>
      </c>
    </row>
    <row r="11601" spans="1:6" x14ac:dyDescent="0.2">
      <c r="A11601">
        <v>3</v>
      </c>
      <c r="E11601" t="str">
        <f t="shared" si="381"/>
        <v>D</v>
      </c>
      <c r="F11601" t="str">
        <f t="shared" si="382"/>
        <v>3D</v>
      </c>
    </row>
    <row r="11602" spans="1:6" x14ac:dyDescent="0.2">
      <c r="A11602">
        <v>4</v>
      </c>
      <c r="E11602" t="str">
        <f t="shared" si="381"/>
        <v>E</v>
      </c>
      <c r="F11602" t="str">
        <f t="shared" si="382"/>
        <v>4E</v>
      </c>
    </row>
    <row r="11603" spans="1:6" x14ac:dyDescent="0.2">
      <c r="A11603">
        <v>5</v>
      </c>
      <c r="E11603" t="str">
        <f t="shared" si="381"/>
        <v>F</v>
      </c>
      <c r="F11603" t="str">
        <f t="shared" si="382"/>
        <v>5F</v>
      </c>
    </row>
    <row r="11604" spans="1:6" x14ac:dyDescent="0.2">
      <c r="A11604">
        <v>6</v>
      </c>
      <c r="E11604" t="str">
        <f t="shared" si="381"/>
        <v>G</v>
      </c>
      <c r="F11604" t="str">
        <f t="shared" si="382"/>
        <v>6G</v>
      </c>
    </row>
    <row r="11605" spans="1:6" x14ac:dyDescent="0.2">
      <c r="A11605">
        <v>7</v>
      </c>
      <c r="E11605" t="str">
        <f t="shared" ref="E11605:E11668" si="383">E11579</f>
        <v>H</v>
      </c>
      <c r="F11605" t="str">
        <f t="shared" ref="F11605:F11668" si="384">A11605&amp;C11605&amp;E11605</f>
        <v>7H</v>
      </c>
    </row>
    <row r="11606" spans="1:6" x14ac:dyDescent="0.2">
      <c r="A11606">
        <v>8</v>
      </c>
      <c r="E11606" t="str">
        <f t="shared" si="383"/>
        <v>I</v>
      </c>
      <c r="F11606" t="str">
        <f t="shared" si="384"/>
        <v>8I</v>
      </c>
    </row>
    <row r="11607" spans="1:6" x14ac:dyDescent="0.2">
      <c r="A11607">
        <v>9</v>
      </c>
      <c r="E11607" t="str">
        <f t="shared" si="383"/>
        <v>J</v>
      </c>
      <c r="F11607" t="str">
        <f t="shared" si="384"/>
        <v>9J</v>
      </c>
    </row>
    <row r="11608" spans="1:6" x14ac:dyDescent="0.2">
      <c r="A11608">
        <v>10</v>
      </c>
      <c r="E11608" t="str">
        <f t="shared" si="383"/>
        <v>K</v>
      </c>
      <c r="F11608" t="str">
        <f t="shared" si="384"/>
        <v>10K</v>
      </c>
    </row>
    <row r="11609" spans="1:6" x14ac:dyDescent="0.2">
      <c r="A11609">
        <v>11</v>
      </c>
      <c r="E11609" t="str">
        <f t="shared" si="383"/>
        <v>L</v>
      </c>
      <c r="F11609" t="str">
        <f t="shared" si="384"/>
        <v>11L</v>
      </c>
    </row>
    <row r="11610" spans="1:6" x14ac:dyDescent="0.2">
      <c r="A11610">
        <v>12</v>
      </c>
      <c r="E11610" t="str">
        <f t="shared" si="383"/>
        <v>M</v>
      </c>
      <c r="F11610" t="str">
        <f t="shared" si="384"/>
        <v>12M</v>
      </c>
    </row>
    <row r="11611" spans="1:6" x14ac:dyDescent="0.2">
      <c r="A11611">
        <v>13</v>
      </c>
      <c r="E11611" t="str">
        <f t="shared" si="383"/>
        <v>N</v>
      </c>
      <c r="F11611" t="str">
        <f t="shared" si="384"/>
        <v>13N</v>
      </c>
    </row>
    <row r="11612" spans="1:6" x14ac:dyDescent="0.2">
      <c r="A11612">
        <v>14</v>
      </c>
      <c r="E11612" t="str">
        <f t="shared" si="383"/>
        <v>O</v>
      </c>
      <c r="F11612" t="str">
        <f t="shared" si="384"/>
        <v>14O</v>
      </c>
    </row>
    <row r="11613" spans="1:6" x14ac:dyDescent="0.2">
      <c r="A11613">
        <v>15</v>
      </c>
      <c r="E11613" t="str">
        <f t="shared" si="383"/>
        <v>P</v>
      </c>
      <c r="F11613" t="str">
        <f t="shared" si="384"/>
        <v>15P</v>
      </c>
    </row>
    <row r="11614" spans="1:6" x14ac:dyDescent="0.2">
      <c r="A11614">
        <v>16</v>
      </c>
      <c r="E11614" t="str">
        <f t="shared" si="383"/>
        <v>Q</v>
      </c>
      <c r="F11614" t="str">
        <f t="shared" si="384"/>
        <v>16Q</v>
      </c>
    </row>
    <row r="11615" spans="1:6" x14ac:dyDescent="0.2">
      <c r="A11615">
        <v>17</v>
      </c>
      <c r="E11615" t="str">
        <f t="shared" si="383"/>
        <v>R</v>
      </c>
      <c r="F11615" t="str">
        <f t="shared" si="384"/>
        <v>17R</v>
      </c>
    </row>
    <row r="11616" spans="1:6" x14ac:dyDescent="0.2">
      <c r="A11616">
        <v>18</v>
      </c>
      <c r="E11616" t="str">
        <f t="shared" si="383"/>
        <v>S</v>
      </c>
      <c r="F11616" t="str">
        <f t="shared" si="384"/>
        <v>18S</v>
      </c>
    </row>
    <row r="11617" spans="1:6" x14ac:dyDescent="0.2">
      <c r="A11617">
        <v>19</v>
      </c>
      <c r="E11617" t="str">
        <f t="shared" si="383"/>
        <v>T</v>
      </c>
      <c r="F11617" t="str">
        <f t="shared" si="384"/>
        <v>19T</v>
      </c>
    </row>
    <row r="11618" spans="1:6" x14ac:dyDescent="0.2">
      <c r="A11618">
        <v>20</v>
      </c>
      <c r="E11618" t="str">
        <f t="shared" si="383"/>
        <v>U</v>
      </c>
      <c r="F11618" t="str">
        <f t="shared" si="384"/>
        <v>20U</v>
      </c>
    </row>
    <row r="11619" spans="1:6" x14ac:dyDescent="0.2">
      <c r="A11619">
        <v>21</v>
      </c>
      <c r="E11619" t="str">
        <f t="shared" si="383"/>
        <v>V</v>
      </c>
      <c r="F11619" t="str">
        <f t="shared" si="384"/>
        <v>21V</v>
      </c>
    </row>
    <row r="11620" spans="1:6" x14ac:dyDescent="0.2">
      <c r="A11620">
        <v>22</v>
      </c>
      <c r="E11620" t="str">
        <f t="shared" si="383"/>
        <v>W</v>
      </c>
      <c r="F11620" t="str">
        <f t="shared" si="384"/>
        <v>22W</v>
      </c>
    </row>
    <row r="11621" spans="1:6" x14ac:dyDescent="0.2">
      <c r="A11621">
        <v>23</v>
      </c>
      <c r="E11621" t="str">
        <f t="shared" si="383"/>
        <v>X</v>
      </c>
      <c r="F11621" t="str">
        <f t="shared" si="384"/>
        <v>23X</v>
      </c>
    </row>
    <row r="11622" spans="1:6" x14ac:dyDescent="0.2">
      <c r="A11622">
        <v>24</v>
      </c>
      <c r="E11622" t="str">
        <f t="shared" si="383"/>
        <v>Y</v>
      </c>
      <c r="F11622" t="str">
        <f t="shared" si="384"/>
        <v>24Y</v>
      </c>
    </row>
    <row r="11623" spans="1:6" x14ac:dyDescent="0.2">
      <c r="A11623">
        <v>25</v>
      </c>
      <c r="E11623" t="str">
        <f t="shared" si="383"/>
        <v>Z</v>
      </c>
      <c r="F11623" t="str">
        <f t="shared" si="384"/>
        <v>25Z</v>
      </c>
    </row>
    <row r="11624" spans="1:6" x14ac:dyDescent="0.2">
      <c r="A11624">
        <v>0</v>
      </c>
      <c r="E11624" t="str">
        <f t="shared" si="383"/>
        <v>A</v>
      </c>
      <c r="F11624" t="str">
        <f t="shared" si="384"/>
        <v>0A</v>
      </c>
    </row>
    <row r="11625" spans="1:6" x14ac:dyDescent="0.2">
      <c r="A11625">
        <v>1</v>
      </c>
      <c r="E11625" t="str">
        <f t="shared" si="383"/>
        <v>B</v>
      </c>
      <c r="F11625" t="str">
        <f t="shared" si="384"/>
        <v>1B</v>
      </c>
    </row>
    <row r="11626" spans="1:6" x14ac:dyDescent="0.2">
      <c r="A11626">
        <v>2</v>
      </c>
      <c r="E11626" t="str">
        <f t="shared" si="383"/>
        <v>C</v>
      </c>
      <c r="F11626" t="str">
        <f t="shared" si="384"/>
        <v>2C</v>
      </c>
    </row>
    <row r="11627" spans="1:6" x14ac:dyDescent="0.2">
      <c r="A11627">
        <v>3</v>
      </c>
      <c r="E11627" t="str">
        <f t="shared" si="383"/>
        <v>D</v>
      </c>
      <c r="F11627" t="str">
        <f t="shared" si="384"/>
        <v>3D</v>
      </c>
    </row>
    <row r="11628" spans="1:6" x14ac:dyDescent="0.2">
      <c r="A11628">
        <v>4</v>
      </c>
      <c r="E11628" t="str">
        <f t="shared" si="383"/>
        <v>E</v>
      </c>
      <c r="F11628" t="str">
        <f t="shared" si="384"/>
        <v>4E</v>
      </c>
    </row>
    <row r="11629" spans="1:6" x14ac:dyDescent="0.2">
      <c r="A11629">
        <v>5</v>
      </c>
      <c r="E11629" t="str">
        <f t="shared" si="383"/>
        <v>F</v>
      </c>
      <c r="F11629" t="str">
        <f t="shared" si="384"/>
        <v>5F</v>
      </c>
    </row>
    <row r="11630" spans="1:6" x14ac:dyDescent="0.2">
      <c r="A11630">
        <v>6</v>
      </c>
      <c r="E11630" t="str">
        <f t="shared" si="383"/>
        <v>G</v>
      </c>
      <c r="F11630" t="str">
        <f t="shared" si="384"/>
        <v>6G</v>
      </c>
    </row>
    <row r="11631" spans="1:6" x14ac:dyDescent="0.2">
      <c r="A11631">
        <v>7</v>
      </c>
      <c r="E11631" t="str">
        <f t="shared" si="383"/>
        <v>H</v>
      </c>
      <c r="F11631" t="str">
        <f t="shared" si="384"/>
        <v>7H</v>
      </c>
    </row>
    <row r="11632" spans="1:6" x14ac:dyDescent="0.2">
      <c r="A11632">
        <v>8</v>
      </c>
      <c r="E11632" t="str">
        <f t="shared" si="383"/>
        <v>I</v>
      </c>
      <c r="F11632" t="str">
        <f t="shared" si="384"/>
        <v>8I</v>
      </c>
    </row>
    <row r="11633" spans="1:6" x14ac:dyDescent="0.2">
      <c r="A11633">
        <v>9</v>
      </c>
      <c r="E11633" t="str">
        <f t="shared" si="383"/>
        <v>J</v>
      </c>
      <c r="F11633" t="str">
        <f t="shared" si="384"/>
        <v>9J</v>
      </c>
    </row>
    <row r="11634" spans="1:6" x14ac:dyDescent="0.2">
      <c r="A11634">
        <v>10</v>
      </c>
      <c r="E11634" t="str">
        <f t="shared" si="383"/>
        <v>K</v>
      </c>
      <c r="F11634" t="str">
        <f t="shared" si="384"/>
        <v>10K</v>
      </c>
    </row>
    <row r="11635" spans="1:6" x14ac:dyDescent="0.2">
      <c r="A11635">
        <v>11</v>
      </c>
      <c r="E11635" t="str">
        <f t="shared" si="383"/>
        <v>L</v>
      </c>
      <c r="F11635" t="str">
        <f t="shared" si="384"/>
        <v>11L</v>
      </c>
    </row>
    <row r="11636" spans="1:6" x14ac:dyDescent="0.2">
      <c r="A11636">
        <v>12</v>
      </c>
      <c r="E11636" t="str">
        <f t="shared" si="383"/>
        <v>M</v>
      </c>
      <c r="F11636" t="str">
        <f t="shared" si="384"/>
        <v>12M</v>
      </c>
    </row>
    <row r="11637" spans="1:6" x14ac:dyDescent="0.2">
      <c r="A11637">
        <v>13</v>
      </c>
      <c r="E11637" t="str">
        <f t="shared" si="383"/>
        <v>N</v>
      </c>
      <c r="F11637" t="str">
        <f t="shared" si="384"/>
        <v>13N</v>
      </c>
    </row>
    <row r="11638" spans="1:6" x14ac:dyDescent="0.2">
      <c r="A11638">
        <v>14</v>
      </c>
      <c r="E11638" t="str">
        <f t="shared" si="383"/>
        <v>O</v>
      </c>
      <c r="F11638" t="str">
        <f t="shared" si="384"/>
        <v>14O</v>
      </c>
    </row>
    <row r="11639" spans="1:6" x14ac:dyDescent="0.2">
      <c r="A11639">
        <v>15</v>
      </c>
      <c r="E11639" t="str">
        <f t="shared" si="383"/>
        <v>P</v>
      </c>
      <c r="F11639" t="str">
        <f t="shared" si="384"/>
        <v>15P</v>
      </c>
    </row>
    <row r="11640" spans="1:6" x14ac:dyDescent="0.2">
      <c r="A11640">
        <v>16</v>
      </c>
      <c r="E11640" t="str">
        <f t="shared" si="383"/>
        <v>Q</v>
      </c>
      <c r="F11640" t="str">
        <f t="shared" si="384"/>
        <v>16Q</v>
      </c>
    </row>
    <row r="11641" spans="1:6" x14ac:dyDescent="0.2">
      <c r="A11641">
        <v>17</v>
      </c>
      <c r="E11641" t="str">
        <f t="shared" si="383"/>
        <v>R</v>
      </c>
      <c r="F11641" t="str">
        <f t="shared" si="384"/>
        <v>17R</v>
      </c>
    </row>
    <row r="11642" spans="1:6" x14ac:dyDescent="0.2">
      <c r="A11642">
        <v>18</v>
      </c>
      <c r="E11642" t="str">
        <f t="shared" si="383"/>
        <v>S</v>
      </c>
      <c r="F11642" t="str">
        <f t="shared" si="384"/>
        <v>18S</v>
      </c>
    </row>
    <row r="11643" spans="1:6" x14ac:dyDescent="0.2">
      <c r="A11643">
        <v>19</v>
      </c>
      <c r="E11643" t="str">
        <f t="shared" si="383"/>
        <v>T</v>
      </c>
      <c r="F11643" t="str">
        <f t="shared" si="384"/>
        <v>19T</v>
      </c>
    </row>
    <row r="11644" spans="1:6" x14ac:dyDescent="0.2">
      <c r="A11644">
        <v>20</v>
      </c>
      <c r="E11644" t="str">
        <f t="shared" si="383"/>
        <v>U</v>
      </c>
      <c r="F11644" t="str">
        <f t="shared" si="384"/>
        <v>20U</v>
      </c>
    </row>
    <row r="11645" spans="1:6" x14ac:dyDescent="0.2">
      <c r="A11645">
        <v>21</v>
      </c>
      <c r="E11645" t="str">
        <f t="shared" si="383"/>
        <v>V</v>
      </c>
      <c r="F11645" t="str">
        <f t="shared" si="384"/>
        <v>21V</v>
      </c>
    </row>
    <row r="11646" spans="1:6" x14ac:dyDescent="0.2">
      <c r="A11646">
        <v>22</v>
      </c>
      <c r="E11646" t="str">
        <f t="shared" si="383"/>
        <v>W</v>
      </c>
      <c r="F11646" t="str">
        <f t="shared" si="384"/>
        <v>22W</v>
      </c>
    </row>
    <row r="11647" spans="1:6" x14ac:dyDescent="0.2">
      <c r="A11647">
        <v>23</v>
      </c>
      <c r="E11647" t="str">
        <f t="shared" si="383"/>
        <v>X</v>
      </c>
      <c r="F11647" t="str">
        <f t="shared" si="384"/>
        <v>23X</v>
      </c>
    </row>
    <row r="11648" spans="1:6" x14ac:dyDescent="0.2">
      <c r="A11648">
        <v>24</v>
      </c>
      <c r="E11648" t="str">
        <f t="shared" si="383"/>
        <v>Y</v>
      </c>
      <c r="F11648" t="str">
        <f t="shared" si="384"/>
        <v>24Y</v>
      </c>
    </row>
    <row r="11649" spans="1:6" x14ac:dyDescent="0.2">
      <c r="A11649">
        <v>25</v>
      </c>
      <c r="E11649" t="str">
        <f t="shared" si="383"/>
        <v>Z</v>
      </c>
      <c r="F11649" t="str">
        <f t="shared" si="384"/>
        <v>25Z</v>
      </c>
    </row>
    <row r="11650" spans="1:6" x14ac:dyDescent="0.2">
      <c r="A11650">
        <v>0</v>
      </c>
      <c r="E11650" t="str">
        <f t="shared" si="383"/>
        <v>A</v>
      </c>
      <c r="F11650" t="str">
        <f t="shared" si="384"/>
        <v>0A</v>
      </c>
    </row>
    <row r="11651" spans="1:6" x14ac:dyDescent="0.2">
      <c r="A11651">
        <v>1</v>
      </c>
      <c r="E11651" t="str">
        <f t="shared" si="383"/>
        <v>B</v>
      </c>
      <c r="F11651" t="str">
        <f t="shared" si="384"/>
        <v>1B</v>
      </c>
    </row>
    <row r="11652" spans="1:6" x14ac:dyDescent="0.2">
      <c r="A11652">
        <v>2</v>
      </c>
      <c r="E11652" t="str">
        <f t="shared" si="383"/>
        <v>C</v>
      </c>
      <c r="F11652" t="str">
        <f t="shared" si="384"/>
        <v>2C</v>
      </c>
    </row>
    <row r="11653" spans="1:6" x14ac:dyDescent="0.2">
      <c r="A11653">
        <v>3</v>
      </c>
      <c r="E11653" t="str">
        <f t="shared" si="383"/>
        <v>D</v>
      </c>
      <c r="F11653" t="str">
        <f t="shared" si="384"/>
        <v>3D</v>
      </c>
    </row>
    <row r="11654" spans="1:6" x14ac:dyDescent="0.2">
      <c r="A11654">
        <v>4</v>
      </c>
      <c r="E11654" t="str">
        <f t="shared" si="383"/>
        <v>E</v>
      </c>
      <c r="F11654" t="str">
        <f t="shared" si="384"/>
        <v>4E</v>
      </c>
    </row>
    <row r="11655" spans="1:6" x14ac:dyDescent="0.2">
      <c r="A11655">
        <v>5</v>
      </c>
      <c r="E11655" t="str">
        <f t="shared" si="383"/>
        <v>F</v>
      </c>
      <c r="F11655" t="str">
        <f t="shared" si="384"/>
        <v>5F</v>
      </c>
    </row>
    <row r="11656" spans="1:6" x14ac:dyDescent="0.2">
      <c r="A11656">
        <v>6</v>
      </c>
      <c r="E11656" t="str">
        <f t="shared" si="383"/>
        <v>G</v>
      </c>
      <c r="F11656" t="str">
        <f t="shared" si="384"/>
        <v>6G</v>
      </c>
    </row>
    <row r="11657" spans="1:6" x14ac:dyDescent="0.2">
      <c r="A11657">
        <v>7</v>
      </c>
      <c r="E11657" t="str">
        <f t="shared" si="383"/>
        <v>H</v>
      </c>
      <c r="F11657" t="str">
        <f t="shared" si="384"/>
        <v>7H</v>
      </c>
    </row>
    <row r="11658" spans="1:6" x14ac:dyDescent="0.2">
      <c r="A11658">
        <v>8</v>
      </c>
      <c r="E11658" t="str">
        <f t="shared" si="383"/>
        <v>I</v>
      </c>
      <c r="F11658" t="str">
        <f t="shared" si="384"/>
        <v>8I</v>
      </c>
    </row>
    <row r="11659" spans="1:6" x14ac:dyDescent="0.2">
      <c r="A11659">
        <v>9</v>
      </c>
      <c r="E11659" t="str">
        <f t="shared" si="383"/>
        <v>J</v>
      </c>
      <c r="F11659" t="str">
        <f t="shared" si="384"/>
        <v>9J</v>
      </c>
    </row>
    <row r="11660" spans="1:6" x14ac:dyDescent="0.2">
      <c r="A11660">
        <v>10</v>
      </c>
      <c r="E11660" t="str">
        <f t="shared" si="383"/>
        <v>K</v>
      </c>
      <c r="F11660" t="str">
        <f t="shared" si="384"/>
        <v>10K</v>
      </c>
    </row>
    <row r="11661" spans="1:6" x14ac:dyDescent="0.2">
      <c r="A11661">
        <v>11</v>
      </c>
      <c r="E11661" t="str">
        <f t="shared" si="383"/>
        <v>L</v>
      </c>
      <c r="F11661" t="str">
        <f t="shared" si="384"/>
        <v>11L</v>
      </c>
    </row>
    <row r="11662" spans="1:6" x14ac:dyDescent="0.2">
      <c r="A11662">
        <v>12</v>
      </c>
      <c r="E11662" t="str">
        <f t="shared" si="383"/>
        <v>M</v>
      </c>
      <c r="F11662" t="str">
        <f t="shared" si="384"/>
        <v>12M</v>
      </c>
    </row>
    <row r="11663" spans="1:6" x14ac:dyDescent="0.2">
      <c r="A11663">
        <v>13</v>
      </c>
      <c r="E11663" t="str">
        <f t="shared" si="383"/>
        <v>N</v>
      </c>
      <c r="F11663" t="str">
        <f t="shared" si="384"/>
        <v>13N</v>
      </c>
    </row>
    <row r="11664" spans="1:6" x14ac:dyDescent="0.2">
      <c r="A11664">
        <v>14</v>
      </c>
      <c r="E11664" t="str">
        <f t="shared" si="383"/>
        <v>O</v>
      </c>
      <c r="F11664" t="str">
        <f t="shared" si="384"/>
        <v>14O</v>
      </c>
    </row>
    <row r="11665" spans="1:6" x14ac:dyDescent="0.2">
      <c r="A11665">
        <v>15</v>
      </c>
      <c r="E11665" t="str">
        <f t="shared" si="383"/>
        <v>P</v>
      </c>
      <c r="F11665" t="str">
        <f t="shared" si="384"/>
        <v>15P</v>
      </c>
    </row>
    <row r="11666" spans="1:6" x14ac:dyDescent="0.2">
      <c r="A11666">
        <v>16</v>
      </c>
      <c r="E11666" t="str">
        <f t="shared" si="383"/>
        <v>Q</v>
      </c>
      <c r="F11666" t="str">
        <f t="shared" si="384"/>
        <v>16Q</v>
      </c>
    </row>
    <row r="11667" spans="1:6" x14ac:dyDescent="0.2">
      <c r="A11667">
        <v>17</v>
      </c>
      <c r="E11667" t="str">
        <f t="shared" si="383"/>
        <v>R</v>
      </c>
      <c r="F11667" t="str">
        <f t="shared" si="384"/>
        <v>17R</v>
      </c>
    </row>
    <row r="11668" spans="1:6" x14ac:dyDescent="0.2">
      <c r="A11668">
        <v>18</v>
      </c>
      <c r="E11668" t="str">
        <f t="shared" si="383"/>
        <v>S</v>
      </c>
      <c r="F11668" t="str">
        <f t="shared" si="384"/>
        <v>18S</v>
      </c>
    </row>
    <row r="11669" spans="1:6" x14ac:dyDescent="0.2">
      <c r="A11669">
        <v>19</v>
      </c>
      <c r="E11669" t="str">
        <f t="shared" ref="E11669:E11732" si="385">E11643</f>
        <v>T</v>
      </c>
      <c r="F11669" t="str">
        <f t="shared" ref="F11669:F11734" si="386">A11669&amp;C11669&amp;E11669</f>
        <v>19T</v>
      </c>
    </row>
    <row r="11670" spans="1:6" x14ac:dyDescent="0.2">
      <c r="A11670">
        <v>20</v>
      </c>
      <c r="E11670" t="str">
        <f t="shared" si="385"/>
        <v>U</v>
      </c>
      <c r="F11670" t="str">
        <f t="shared" si="386"/>
        <v>20U</v>
      </c>
    </row>
    <row r="11671" spans="1:6" x14ac:dyDescent="0.2">
      <c r="A11671">
        <v>21</v>
      </c>
      <c r="E11671" t="str">
        <f t="shared" si="385"/>
        <v>V</v>
      </c>
      <c r="F11671" t="str">
        <f t="shared" si="386"/>
        <v>21V</v>
      </c>
    </row>
    <row r="11672" spans="1:6" x14ac:dyDescent="0.2">
      <c r="A11672">
        <v>22</v>
      </c>
      <c r="E11672" t="str">
        <f t="shared" si="385"/>
        <v>W</v>
      </c>
      <c r="F11672" t="str">
        <f t="shared" si="386"/>
        <v>22W</v>
      </c>
    </row>
    <row r="11673" spans="1:6" x14ac:dyDescent="0.2">
      <c r="A11673">
        <v>23</v>
      </c>
      <c r="E11673" t="str">
        <f t="shared" si="385"/>
        <v>X</v>
      </c>
      <c r="F11673" t="str">
        <f t="shared" si="386"/>
        <v>23X</v>
      </c>
    </row>
    <row r="11674" spans="1:6" x14ac:dyDescent="0.2">
      <c r="A11674">
        <v>24</v>
      </c>
      <c r="E11674" t="str">
        <f t="shared" si="385"/>
        <v>Y</v>
      </c>
      <c r="F11674" t="str">
        <f t="shared" si="386"/>
        <v>24Y</v>
      </c>
    </row>
    <row r="11675" spans="1:6" x14ac:dyDescent="0.2">
      <c r="A11675">
        <v>25</v>
      </c>
      <c r="E11675" t="str">
        <f t="shared" si="385"/>
        <v>Z</v>
      </c>
      <c r="F11675" t="str">
        <f t="shared" si="386"/>
        <v>25Z</v>
      </c>
    </row>
    <row r="11676" spans="1:6" x14ac:dyDescent="0.2">
      <c r="A11676">
        <v>0</v>
      </c>
      <c r="E11676" t="str">
        <f t="shared" si="385"/>
        <v>A</v>
      </c>
      <c r="F11676" t="str">
        <f t="shared" si="386"/>
        <v>0A</v>
      </c>
    </row>
    <row r="11677" spans="1:6" x14ac:dyDescent="0.2">
      <c r="A11677">
        <v>1</v>
      </c>
      <c r="E11677" t="str">
        <f t="shared" si="385"/>
        <v>B</v>
      </c>
      <c r="F11677" t="str">
        <f t="shared" si="386"/>
        <v>1B</v>
      </c>
    </row>
    <row r="11678" spans="1:6" x14ac:dyDescent="0.2">
      <c r="A11678">
        <v>2</v>
      </c>
      <c r="E11678" t="str">
        <f t="shared" si="385"/>
        <v>C</v>
      </c>
      <c r="F11678" t="str">
        <f t="shared" si="386"/>
        <v>2C</v>
      </c>
    </row>
    <row r="11679" spans="1:6" x14ac:dyDescent="0.2">
      <c r="A11679">
        <v>3</v>
      </c>
      <c r="E11679" t="str">
        <f t="shared" si="385"/>
        <v>D</v>
      </c>
      <c r="F11679" t="str">
        <f t="shared" si="386"/>
        <v>3D</v>
      </c>
    </row>
    <row r="11680" spans="1:6" x14ac:dyDescent="0.2">
      <c r="A11680">
        <v>4</v>
      </c>
      <c r="E11680" t="str">
        <f t="shared" si="385"/>
        <v>E</v>
      </c>
      <c r="F11680" t="str">
        <f t="shared" si="386"/>
        <v>4E</v>
      </c>
    </row>
    <row r="11681" spans="1:6" x14ac:dyDescent="0.2">
      <c r="A11681">
        <v>5</v>
      </c>
      <c r="E11681" t="str">
        <f t="shared" si="385"/>
        <v>F</v>
      </c>
      <c r="F11681" t="str">
        <f t="shared" si="386"/>
        <v>5F</v>
      </c>
    </row>
    <row r="11682" spans="1:6" x14ac:dyDescent="0.2">
      <c r="A11682">
        <v>6</v>
      </c>
      <c r="E11682" t="str">
        <f t="shared" si="385"/>
        <v>G</v>
      </c>
      <c r="F11682" t="str">
        <f t="shared" si="386"/>
        <v>6G</v>
      </c>
    </row>
    <row r="11683" spans="1:6" x14ac:dyDescent="0.2">
      <c r="A11683">
        <v>7</v>
      </c>
      <c r="E11683" t="str">
        <f t="shared" si="385"/>
        <v>H</v>
      </c>
      <c r="F11683" t="str">
        <f t="shared" si="386"/>
        <v>7H</v>
      </c>
    </row>
    <row r="11684" spans="1:6" x14ac:dyDescent="0.2">
      <c r="A11684">
        <v>8</v>
      </c>
      <c r="E11684" t="str">
        <f t="shared" si="385"/>
        <v>I</v>
      </c>
      <c r="F11684" t="str">
        <f t="shared" si="386"/>
        <v>8I</v>
      </c>
    </row>
    <row r="11685" spans="1:6" x14ac:dyDescent="0.2">
      <c r="A11685">
        <v>9</v>
      </c>
      <c r="E11685" t="str">
        <f t="shared" si="385"/>
        <v>J</v>
      </c>
      <c r="F11685" t="str">
        <f t="shared" si="386"/>
        <v>9J</v>
      </c>
    </row>
    <row r="11686" spans="1:6" x14ac:dyDescent="0.2">
      <c r="A11686">
        <v>10</v>
      </c>
      <c r="E11686" t="str">
        <f t="shared" si="385"/>
        <v>K</v>
      </c>
      <c r="F11686" t="str">
        <f t="shared" si="386"/>
        <v>10K</v>
      </c>
    </row>
    <row r="11687" spans="1:6" x14ac:dyDescent="0.2">
      <c r="A11687">
        <v>11</v>
      </c>
      <c r="E11687" t="str">
        <f t="shared" si="385"/>
        <v>L</v>
      </c>
      <c r="F11687" t="str">
        <f t="shared" si="386"/>
        <v>11L</v>
      </c>
    </row>
    <row r="11688" spans="1:6" x14ac:dyDescent="0.2">
      <c r="A11688">
        <v>12</v>
      </c>
      <c r="E11688" t="str">
        <f t="shared" si="385"/>
        <v>M</v>
      </c>
      <c r="F11688" t="str">
        <f t="shared" si="386"/>
        <v>12M</v>
      </c>
    </row>
    <row r="11689" spans="1:6" x14ac:dyDescent="0.2">
      <c r="A11689">
        <v>13</v>
      </c>
      <c r="E11689" t="str">
        <f t="shared" si="385"/>
        <v>N</v>
      </c>
      <c r="F11689" t="str">
        <f t="shared" si="386"/>
        <v>13N</v>
      </c>
    </row>
    <row r="11690" spans="1:6" x14ac:dyDescent="0.2">
      <c r="A11690">
        <v>14</v>
      </c>
      <c r="E11690" t="str">
        <f t="shared" si="385"/>
        <v>O</v>
      </c>
      <c r="F11690" t="str">
        <f t="shared" si="386"/>
        <v>14O</v>
      </c>
    </row>
    <row r="11691" spans="1:6" x14ac:dyDescent="0.2">
      <c r="A11691">
        <v>15</v>
      </c>
      <c r="E11691" t="str">
        <f t="shared" si="385"/>
        <v>P</v>
      </c>
      <c r="F11691" t="str">
        <f t="shared" si="386"/>
        <v>15P</v>
      </c>
    </row>
    <row r="11692" spans="1:6" x14ac:dyDescent="0.2">
      <c r="A11692">
        <v>16</v>
      </c>
      <c r="E11692" t="str">
        <f t="shared" si="385"/>
        <v>Q</v>
      </c>
      <c r="F11692" t="str">
        <f t="shared" si="386"/>
        <v>16Q</v>
      </c>
    </row>
    <row r="11693" spans="1:6" x14ac:dyDescent="0.2">
      <c r="A11693">
        <v>17</v>
      </c>
      <c r="E11693" t="str">
        <f t="shared" si="385"/>
        <v>R</v>
      </c>
      <c r="F11693" t="str">
        <f t="shared" si="386"/>
        <v>17R</v>
      </c>
    </row>
    <row r="11694" spans="1:6" x14ac:dyDescent="0.2">
      <c r="A11694">
        <v>18</v>
      </c>
      <c r="E11694" t="str">
        <f t="shared" si="385"/>
        <v>S</v>
      </c>
      <c r="F11694" t="str">
        <f t="shared" si="386"/>
        <v>18S</v>
      </c>
    </row>
    <row r="11695" spans="1:6" x14ac:dyDescent="0.2">
      <c r="A11695">
        <v>19</v>
      </c>
      <c r="E11695" t="str">
        <f t="shared" si="385"/>
        <v>T</v>
      </c>
      <c r="F11695" t="str">
        <f t="shared" si="386"/>
        <v>19T</v>
      </c>
    </row>
    <row r="11696" spans="1:6" x14ac:dyDescent="0.2">
      <c r="A11696">
        <v>20</v>
      </c>
      <c r="E11696" t="str">
        <f t="shared" si="385"/>
        <v>U</v>
      </c>
      <c r="F11696" t="str">
        <f t="shared" si="386"/>
        <v>20U</v>
      </c>
    </row>
    <row r="11697" spans="1:6" x14ac:dyDescent="0.2">
      <c r="A11697">
        <v>21</v>
      </c>
      <c r="E11697" t="str">
        <f t="shared" si="385"/>
        <v>V</v>
      </c>
      <c r="F11697" t="str">
        <f t="shared" si="386"/>
        <v>21V</v>
      </c>
    </row>
    <row r="11698" spans="1:6" x14ac:dyDescent="0.2">
      <c r="A11698">
        <v>22</v>
      </c>
      <c r="E11698" t="str">
        <f t="shared" si="385"/>
        <v>W</v>
      </c>
      <c r="F11698" t="str">
        <f t="shared" si="386"/>
        <v>22W</v>
      </c>
    </row>
    <row r="11699" spans="1:6" x14ac:dyDescent="0.2">
      <c r="A11699">
        <v>23</v>
      </c>
      <c r="E11699" t="str">
        <f t="shared" si="385"/>
        <v>X</v>
      </c>
      <c r="F11699" t="str">
        <f t="shared" si="386"/>
        <v>23X</v>
      </c>
    </row>
    <row r="11700" spans="1:6" x14ac:dyDescent="0.2">
      <c r="A11700">
        <v>24</v>
      </c>
      <c r="E11700" t="str">
        <f t="shared" si="385"/>
        <v>Y</v>
      </c>
      <c r="F11700" t="str">
        <f t="shared" si="386"/>
        <v>24Y</v>
      </c>
    </row>
    <row r="11701" spans="1:6" x14ac:dyDescent="0.2">
      <c r="A11701">
        <v>25</v>
      </c>
      <c r="E11701" t="str">
        <f t="shared" si="385"/>
        <v>Z</v>
      </c>
      <c r="F11701" t="str">
        <f t="shared" si="386"/>
        <v>25Z</v>
      </c>
    </row>
    <row r="11702" spans="1:6" x14ac:dyDescent="0.2">
      <c r="A11702">
        <v>0</v>
      </c>
      <c r="E11702" t="str">
        <f t="shared" si="385"/>
        <v>A</v>
      </c>
      <c r="F11702" t="str">
        <f t="shared" si="386"/>
        <v>0A</v>
      </c>
    </row>
    <row r="11703" spans="1:6" x14ac:dyDescent="0.2">
      <c r="A11703">
        <v>1</v>
      </c>
      <c r="E11703" t="str">
        <f t="shared" si="385"/>
        <v>B</v>
      </c>
      <c r="F11703" t="str">
        <f t="shared" si="386"/>
        <v>1B</v>
      </c>
    </row>
    <row r="11704" spans="1:6" x14ac:dyDescent="0.2">
      <c r="A11704">
        <v>2</v>
      </c>
      <c r="E11704" t="str">
        <f t="shared" si="385"/>
        <v>C</v>
      </c>
      <c r="F11704" t="str">
        <f t="shared" si="386"/>
        <v>2C</v>
      </c>
    </row>
    <row r="11705" spans="1:6" x14ac:dyDescent="0.2">
      <c r="A11705">
        <v>3</v>
      </c>
      <c r="E11705" t="str">
        <f t="shared" si="385"/>
        <v>D</v>
      </c>
      <c r="F11705" t="str">
        <f t="shared" si="386"/>
        <v>3D</v>
      </c>
    </row>
    <row r="11706" spans="1:6" x14ac:dyDescent="0.2">
      <c r="A11706">
        <v>4</v>
      </c>
      <c r="E11706" t="str">
        <f t="shared" si="385"/>
        <v>E</v>
      </c>
      <c r="F11706" t="str">
        <f t="shared" si="386"/>
        <v>4E</v>
      </c>
    </row>
    <row r="11707" spans="1:6" x14ac:dyDescent="0.2">
      <c r="A11707">
        <v>5</v>
      </c>
      <c r="E11707" t="str">
        <f t="shared" si="385"/>
        <v>F</v>
      </c>
      <c r="F11707" t="str">
        <f t="shared" si="386"/>
        <v>5F</v>
      </c>
    </row>
    <row r="11708" spans="1:6" x14ac:dyDescent="0.2">
      <c r="A11708">
        <v>6</v>
      </c>
      <c r="E11708" t="str">
        <f t="shared" si="385"/>
        <v>G</v>
      </c>
      <c r="F11708" t="str">
        <f t="shared" si="386"/>
        <v>6G</v>
      </c>
    </row>
    <row r="11709" spans="1:6" x14ac:dyDescent="0.2">
      <c r="A11709">
        <v>7</v>
      </c>
      <c r="E11709" t="str">
        <f t="shared" si="385"/>
        <v>H</v>
      </c>
      <c r="F11709" t="str">
        <f t="shared" si="386"/>
        <v>7H</v>
      </c>
    </row>
    <row r="11710" spans="1:6" x14ac:dyDescent="0.2">
      <c r="A11710">
        <v>8</v>
      </c>
      <c r="E11710" t="str">
        <f t="shared" si="385"/>
        <v>I</v>
      </c>
      <c r="F11710" t="str">
        <f t="shared" si="386"/>
        <v>8I</v>
      </c>
    </row>
    <row r="11711" spans="1:6" x14ac:dyDescent="0.2">
      <c r="A11711">
        <v>9</v>
      </c>
      <c r="E11711" t="str">
        <f t="shared" si="385"/>
        <v>J</v>
      </c>
      <c r="F11711" t="str">
        <f t="shared" si="386"/>
        <v>9J</v>
      </c>
    </row>
    <row r="11712" spans="1:6" x14ac:dyDescent="0.2">
      <c r="A11712">
        <v>10</v>
      </c>
      <c r="E11712" t="str">
        <f t="shared" si="385"/>
        <v>K</v>
      </c>
      <c r="F11712" t="str">
        <f t="shared" si="386"/>
        <v>10K</v>
      </c>
    </row>
    <row r="11713" spans="1:6" x14ac:dyDescent="0.2">
      <c r="A11713">
        <v>11</v>
      </c>
      <c r="E11713" t="str">
        <f t="shared" si="385"/>
        <v>L</v>
      </c>
      <c r="F11713" t="str">
        <f t="shared" si="386"/>
        <v>11L</v>
      </c>
    </row>
    <row r="11714" spans="1:6" x14ac:dyDescent="0.2">
      <c r="A11714">
        <v>12</v>
      </c>
      <c r="E11714" t="str">
        <f t="shared" si="385"/>
        <v>M</v>
      </c>
      <c r="F11714" t="str">
        <f t="shared" si="386"/>
        <v>12M</v>
      </c>
    </row>
    <row r="11715" spans="1:6" x14ac:dyDescent="0.2">
      <c r="A11715">
        <v>13</v>
      </c>
      <c r="E11715" t="str">
        <f t="shared" si="385"/>
        <v>N</v>
      </c>
      <c r="F11715" t="str">
        <f t="shared" si="386"/>
        <v>13N</v>
      </c>
    </row>
    <row r="11716" spans="1:6" x14ac:dyDescent="0.2">
      <c r="A11716">
        <v>14</v>
      </c>
      <c r="E11716" t="str">
        <f t="shared" si="385"/>
        <v>O</v>
      </c>
      <c r="F11716" t="str">
        <f t="shared" si="386"/>
        <v>14O</v>
      </c>
    </row>
    <row r="11717" spans="1:6" x14ac:dyDescent="0.2">
      <c r="A11717">
        <v>15</v>
      </c>
      <c r="E11717" t="str">
        <f t="shared" si="385"/>
        <v>P</v>
      </c>
      <c r="F11717" t="str">
        <f t="shared" si="386"/>
        <v>15P</v>
      </c>
    </row>
    <row r="11718" spans="1:6" x14ac:dyDescent="0.2">
      <c r="A11718">
        <v>16</v>
      </c>
      <c r="E11718" t="str">
        <f t="shared" si="385"/>
        <v>Q</v>
      </c>
      <c r="F11718" t="str">
        <f t="shared" si="386"/>
        <v>16Q</v>
      </c>
    </row>
    <row r="11719" spans="1:6" x14ac:dyDescent="0.2">
      <c r="A11719">
        <v>17</v>
      </c>
      <c r="E11719" t="str">
        <f t="shared" si="385"/>
        <v>R</v>
      </c>
      <c r="F11719" t="str">
        <f t="shared" si="386"/>
        <v>17R</v>
      </c>
    </row>
    <row r="11720" spans="1:6" x14ac:dyDescent="0.2">
      <c r="A11720">
        <v>18</v>
      </c>
      <c r="E11720" t="str">
        <f t="shared" si="385"/>
        <v>S</v>
      </c>
      <c r="F11720" t="str">
        <f t="shared" si="386"/>
        <v>18S</v>
      </c>
    </row>
    <row r="11721" spans="1:6" x14ac:dyDescent="0.2">
      <c r="A11721">
        <v>19</v>
      </c>
      <c r="E11721" t="str">
        <f t="shared" si="385"/>
        <v>T</v>
      </c>
      <c r="F11721" t="str">
        <f t="shared" si="386"/>
        <v>19T</v>
      </c>
    </row>
    <row r="11722" spans="1:6" x14ac:dyDescent="0.2">
      <c r="A11722">
        <v>20</v>
      </c>
      <c r="E11722" t="str">
        <f t="shared" si="385"/>
        <v>U</v>
      </c>
      <c r="F11722" t="str">
        <f t="shared" si="386"/>
        <v>20U</v>
      </c>
    </row>
    <row r="11723" spans="1:6" x14ac:dyDescent="0.2">
      <c r="A11723">
        <v>21</v>
      </c>
      <c r="E11723" t="str">
        <f t="shared" si="385"/>
        <v>V</v>
      </c>
      <c r="F11723" t="str">
        <f t="shared" si="386"/>
        <v>21V</v>
      </c>
    </row>
    <row r="11724" spans="1:6" x14ac:dyDescent="0.2">
      <c r="A11724">
        <v>22</v>
      </c>
      <c r="E11724" t="str">
        <f t="shared" si="385"/>
        <v>W</v>
      </c>
      <c r="F11724" t="str">
        <f t="shared" si="386"/>
        <v>22W</v>
      </c>
    </row>
    <row r="11725" spans="1:6" x14ac:dyDescent="0.2">
      <c r="A11725">
        <v>23</v>
      </c>
      <c r="E11725" t="str">
        <f t="shared" si="385"/>
        <v>X</v>
      </c>
      <c r="F11725" t="str">
        <f t="shared" si="386"/>
        <v>23X</v>
      </c>
    </row>
    <row r="11726" spans="1:6" x14ac:dyDescent="0.2">
      <c r="A11726">
        <v>24</v>
      </c>
      <c r="E11726" t="str">
        <f t="shared" si="385"/>
        <v>Y</v>
      </c>
      <c r="F11726" t="str">
        <f t="shared" si="386"/>
        <v>24Y</v>
      </c>
    </row>
    <row r="11727" spans="1:6" x14ac:dyDescent="0.2">
      <c r="A11727">
        <v>25</v>
      </c>
      <c r="E11727" t="str">
        <f t="shared" si="385"/>
        <v>Z</v>
      </c>
      <c r="F11727" t="str">
        <f t="shared" si="386"/>
        <v>25Z</v>
      </c>
    </row>
    <row r="11728" spans="1:6" x14ac:dyDescent="0.2">
      <c r="A11728">
        <v>0</v>
      </c>
      <c r="E11728" t="str">
        <f t="shared" si="385"/>
        <v>A</v>
      </c>
      <c r="F11728" t="str">
        <f t="shared" si="386"/>
        <v>0A</v>
      </c>
    </row>
    <row r="11729" spans="1:6" x14ac:dyDescent="0.2">
      <c r="A11729">
        <v>1</v>
      </c>
      <c r="E11729" t="str">
        <f t="shared" si="385"/>
        <v>B</v>
      </c>
      <c r="F11729" t="str">
        <f t="shared" si="386"/>
        <v>1B</v>
      </c>
    </row>
    <row r="11730" spans="1:6" x14ac:dyDescent="0.2">
      <c r="A11730">
        <v>2</v>
      </c>
      <c r="E11730" t="str">
        <f t="shared" si="385"/>
        <v>C</v>
      </c>
      <c r="F11730" t="str">
        <f t="shared" si="386"/>
        <v>2C</v>
      </c>
    </row>
    <row r="11731" spans="1:6" x14ac:dyDescent="0.2">
      <c r="A11731">
        <v>3</v>
      </c>
      <c r="E11731" t="str">
        <f t="shared" si="385"/>
        <v>D</v>
      </c>
      <c r="F11731" t="str">
        <f t="shared" si="386"/>
        <v>3D</v>
      </c>
    </row>
    <row r="11732" spans="1:6" x14ac:dyDescent="0.2">
      <c r="A11732">
        <v>4</v>
      </c>
      <c r="E11732" t="str">
        <f t="shared" si="385"/>
        <v>E</v>
      </c>
      <c r="F11732" t="str">
        <f t="shared" si="386"/>
        <v>4E</v>
      </c>
    </row>
    <row r="11733" spans="1:6" x14ac:dyDescent="0.2">
      <c r="A11733">
        <v>5</v>
      </c>
      <c r="E11733" t="str">
        <f t="shared" ref="E11733:E11796" si="387">E11707</f>
        <v>F</v>
      </c>
      <c r="F11733" t="str">
        <f t="shared" si="386"/>
        <v>5F</v>
      </c>
    </row>
    <row r="11734" spans="1:6" x14ac:dyDescent="0.2">
      <c r="A11734">
        <v>6</v>
      </c>
      <c r="E11734" t="str">
        <f t="shared" si="387"/>
        <v>G</v>
      </c>
      <c r="F11734" t="str">
        <f t="shared" si="386"/>
        <v>6G</v>
      </c>
    </row>
    <row r="11735" spans="1:6" x14ac:dyDescent="0.2">
      <c r="A11735">
        <v>7</v>
      </c>
      <c r="E11735" t="str">
        <f t="shared" si="387"/>
        <v>H</v>
      </c>
      <c r="F11735" t="str">
        <f t="shared" ref="F11735:F11798" si="388">A11735&amp;C11735&amp;E11735</f>
        <v>7H</v>
      </c>
    </row>
    <row r="11736" spans="1:6" x14ac:dyDescent="0.2">
      <c r="A11736">
        <v>8</v>
      </c>
      <c r="E11736" t="str">
        <f t="shared" si="387"/>
        <v>I</v>
      </c>
      <c r="F11736" t="str">
        <f t="shared" si="388"/>
        <v>8I</v>
      </c>
    </row>
    <row r="11737" spans="1:6" x14ac:dyDescent="0.2">
      <c r="A11737">
        <v>9</v>
      </c>
      <c r="E11737" t="str">
        <f t="shared" si="387"/>
        <v>J</v>
      </c>
      <c r="F11737" t="str">
        <f t="shared" si="388"/>
        <v>9J</v>
      </c>
    </row>
    <row r="11738" spans="1:6" x14ac:dyDescent="0.2">
      <c r="A11738">
        <v>10</v>
      </c>
      <c r="E11738" t="str">
        <f t="shared" si="387"/>
        <v>K</v>
      </c>
      <c r="F11738" t="str">
        <f t="shared" si="388"/>
        <v>10K</v>
      </c>
    </row>
    <row r="11739" spans="1:6" x14ac:dyDescent="0.2">
      <c r="A11739">
        <v>11</v>
      </c>
      <c r="E11739" t="str">
        <f t="shared" si="387"/>
        <v>L</v>
      </c>
      <c r="F11739" t="str">
        <f t="shared" si="388"/>
        <v>11L</v>
      </c>
    </row>
    <row r="11740" spans="1:6" x14ac:dyDescent="0.2">
      <c r="A11740">
        <v>12</v>
      </c>
      <c r="E11740" t="str">
        <f t="shared" si="387"/>
        <v>M</v>
      </c>
      <c r="F11740" t="str">
        <f t="shared" si="388"/>
        <v>12M</v>
      </c>
    </row>
    <row r="11741" spans="1:6" x14ac:dyDescent="0.2">
      <c r="A11741">
        <v>13</v>
      </c>
      <c r="E11741" t="str">
        <f t="shared" si="387"/>
        <v>N</v>
      </c>
      <c r="F11741" t="str">
        <f t="shared" si="388"/>
        <v>13N</v>
      </c>
    </row>
    <row r="11742" spans="1:6" x14ac:dyDescent="0.2">
      <c r="A11742">
        <v>14</v>
      </c>
      <c r="E11742" t="str">
        <f t="shared" si="387"/>
        <v>O</v>
      </c>
      <c r="F11742" t="str">
        <f t="shared" si="388"/>
        <v>14O</v>
      </c>
    </row>
    <row r="11743" spans="1:6" x14ac:dyDescent="0.2">
      <c r="A11743">
        <v>15</v>
      </c>
      <c r="E11743" t="str">
        <f t="shared" si="387"/>
        <v>P</v>
      </c>
      <c r="F11743" t="str">
        <f t="shared" si="388"/>
        <v>15P</v>
      </c>
    </row>
    <row r="11744" spans="1:6" x14ac:dyDescent="0.2">
      <c r="A11744">
        <v>16</v>
      </c>
      <c r="E11744" t="str">
        <f t="shared" si="387"/>
        <v>Q</v>
      </c>
      <c r="F11744" t="str">
        <f t="shared" si="388"/>
        <v>16Q</v>
      </c>
    </row>
    <row r="11745" spans="1:6" x14ac:dyDescent="0.2">
      <c r="A11745">
        <v>17</v>
      </c>
      <c r="E11745" t="str">
        <f t="shared" si="387"/>
        <v>R</v>
      </c>
      <c r="F11745" t="str">
        <f t="shared" si="388"/>
        <v>17R</v>
      </c>
    </row>
    <row r="11746" spans="1:6" x14ac:dyDescent="0.2">
      <c r="A11746">
        <v>18</v>
      </c>
      <c r="E11746" t="str">
        <f t="shared" si="387"/>
        <v>S</v>
      </c>
      <c r="F11746" t="str">
        <f t="shared" si="388"/>
        <v>18S</v>
      </c>
    </row>
    <row r="11747" spans="1:6" x14ac:dyDescent="0.2">
      <c r="A11747">
        <v>19</v>
      </c>
      <c r="E11747" t="str">
        <f t="shared" si="387"/>
        <v>T</v>
      </c>
      <c r="F11747" t="str">
        <f t="shared" si="388"/>
        <v>19T</v>
      </c>
    </row>
    <row r="11748" spans="1:6" x14ac:dyDescent="0.2">
      <c r="A11748">
        <v>20</v>
      </c>
      <c r="E11748" t="str">
        <f t="shared" si="387"/>
        <v>U</v>
      </c>
      <c r="F11748" t="str">
        <f t="shared" si="388"/>
        <v>20U</v>
      </c>
    </row>
    <row r="11749" spans="1:6" x14ac:dyDescent="0.2">
      <c r="A11749">
        <v>21</v>
      </c>
      <c r="E11749" t="str">
        <f t="shared" si="387"/>
        <v>V</v>
      </c>
      <c r="F11749" t="str">
        <f t="shared" si="388"/>
        <v>21V</v>
      </c>
    </row>
    <row r="11750" spans="1:6" x14ac:dyDescent="0.2">
      <c r="A11750">
        <v>22</v>
      </c>
      <c r="E11750" t="str">
        <f t="shared" si="387"/>
        <v>W</v>
      </c>
      <c r="F11750" t="str">
        <f t="shared" si="388"/>
        <v>22W</v>
      </c>
    </row>
    <row r="11751" spans="1:6" x14ac:dyDescent="0.2">
      <c r="A11751">
        <v>23</v>
      </c>
      <c r="E11751" t="str">
        <f t="shared" si="387"/>
        <v>X</v>
      </c>
      <c r="F11751" t="str">
        <f t="shared" si="388"/>
        <v>23X</v>
      </c>
    </row>
    <row r="11752" spans="1:6" x14ac:dyDescent="0.2">
      <c r="A11752">
        <v>24</v>
      </c>
      <c r="E11752" t="str">
        <f t="shared" si="387"/>
        <v>Y</v>
      </c>
      <c r="F11752" t="str">
        <f t="shared" si="388"/>
        <v>24Y</v>
      </c>
    </row>
    <row r="11753" spans="1:6" x14ac:dyDescent="0.2">
      <c r="A11753">
        <v>25</v>
      </c>
      <c r="E11753" t="str">
        <f t="shared" si="387"/>
        <v>Z</v>
      </c>
      <c r="F11753" t="str">
        <f t="shared" si="388"/>
        <v>25Z</v>
      </c>
    </row>
    <row r="11754" spans="1:6" x14ac:dyDescent="0.2">
      <c r="A11754">
        <v>0</v>
      </c>
      <c r="E11754" t="str">
        <f t="shared" si="387"/>
        <v>A</v>
      </c>
      <c r="F11754" t="str">
        <f t="shared" si="388"/>
        <v>0A</v>
      </c>
    </row>
    <row r="11755" spans="1:6" x14ac:dyDescent="0.2">
      <c r="A11755">
        <v>1</v>
      </c>
      <c r="E11755" t="str">
        <f t="shared" si="387"/>
        <v>B</v>
      </c>
      <c r="F11755" t="str">
        <f t="shared" si="388"/>
        <v>1B</v>
      </c>
    </row>
    <row r="11756" spans="1:6" x14ac:dyDescent="0.2">
      <c r="A11756">
        <v>2</v>
      </c>
      <c r="E11756" t="str">
        <f t="shared" si="387"/>
        <v>C</v>
      </c>
      <c r="F11756" t="str">
        <f t="shared" si="388"/>
        <v>2C</v>
      </c>
    </row>
    <row r="11757" spans="1:6" x14ac:dyDescent="0.2">
      <c r="A11757">
        <v>3</v>
      </c>
      <c r="E11757" t="str">
        <f t="shared" si="387"/>
        <v>D</v>
      </c>
      <c r="F11757" t="str">
        <f t="shared" si="388"/>
        <v>3D</v>
      </c>
    </row>
    <row r="11758" spans="1:6" x14ac:dyDescent="0.2">
      <c r="A11758">
        <v>4</v>
      </c>
      <c r="E11758" t="str">
        <f t="shared" si="387"/>
        <v>E</v>
      </c>
      <c r="F11758" t="str">
        <f t="shared" si="388"/>
        <v>4E</v>
      </c>
    </row>
    <row r="11759" spans="1:6" x14ac:dyDescent="0.2">
      <c r="A11759">
        <v>5</v>
      </c>
      <c r="E11759" t="str">
        <f t="shared" si="387"/>
        <v>F</v>
      </c>
      <c r="F11759" t="str">
        <f t="shared" si="388"/>
        <v>5F</v>
      </c>
    </row>
    <row r="11760" spans="1:6" x14ac:dyDescent="0.2">
      <c r="A11760">
        <v>6</v>
      </c>
      <c r="E11760" t="str">
        <f t="shared" si="387"/>
        <v>G</v>
      </c>
      <c r="F11760" t="str">
        <f t="shared" si="388"/>
        <v>6G</v>
      </c>
    </row>
    <row r="11761" spans="1:6" x14ac:dyDescent="0.2">
      <c r="A11761">
        <v>7</v>
      </c>
      <c r="E11761" t="str">
        <f t="shared" si="387"/>
        <v>H</v>
      </c>
      <c r="F11761" t="str">
        <f t="shared" si="388"/>
        <v>7H</v>
      </c>
    </row>
    <row r="11762" spans="1:6" x14ac:dyDescent="0.2">
      <c r="A11762">
        <v>8</v>
      </c>
      <c r="E11762" t="str">
        <f t="shared" si="387"/>
        <v>I</v>
      </c>
      <c r="F11762" t="str">
        <f t="shared" si="388"/>
        <v>8I</v>
      </c>
    </row>
    <row r="11763" spans="1:6" x14ac:dyDescent="0.2">
      <c r="A11763">
        <v>9</v>
      </c>
      <c r="E11763" t="str">
        <f t="shared" si="387"/>
        <v>J</v>
      </c>
      <c r="F11763" t="str">
        <f t="shared" si="388"/>
        <v>9J</v>
      </c>
    </row>
    <row r="11764" spans="1:6" x14ac:dyDescent="0.2">
      <c r="A11764">
        <v>10</v>
      </c>
      <c r="E11764" t="str">
        <f t="shared" si="387"/>
        <v>K</v>
      </c>
      <c r="F11764" t="str">
        <f t="shared" si="388"/>
        <v>10K</v>
      </c>
    </row>
    <row r="11765" spans="1:6" x14ac:dyDescent="0.2">
      <c r="A11765">
        <v>11</v>
      </c>
      <c r="E11765" t="str">
        <f t="shared" si="387"/>
        <v>L</v>
      </c>
      <c r="F11765" t="str">
        <f t="shared" si="388"/>
        <v>11L</v>
      </c>
    </row>
    <row r="11766" spans="1:6" x14ac:dyDescent="0.2">
      <c r="A11766">
        <v>12</v>
      </c>
      <c r="E11766" t="str">
        <f t="shared" si="387"/>
        <v>M</v>
      </c>
      <c r="F11766" t="str">
        <f t="shared" si="388"/>
        <v>12M</v>
      </c>
    </row>
    <row r="11767" spans="1:6" x14ac:dyDescent="0.2">
      <c r="A11767">
        <v>13</v>
      </c>
      <c r="E11767" t="str">
        <f t="shared" si="387"/>
        <v>N</v>
      </c>
      <c r="F11767" t="str">
        <f t="shared" si="388"/>
        <v>13N</v>
      </c>
    </row>
    <row r="11768" spans="1:6" x14ac:dyDescent="0.2">
      <c r="A11768">
        <v>14</v>
      </c>
      <c r="E11768" t="str">
        <f t="shared" si="387"/>
        <v>O</v>
      </c>
      <c r="F11768" t="str">
        <f t="shared" si="388"/>
        <v>14O</v>
      </c>
    </row>
    <row r="11769" spans="1:6" x14ac:dyDescent="0.2">
      <c r="A11769">
        <v>15</v>
      </c>
      <c r="E11769" t="str">
        <f t="shared" si="387"/>
        <v>P</v>
      </c>
      <c r="F11769" t="str">
        <f t="shared" si="388"/>
        <v>15P</v>
      </c>
    </row>
    <row r="11770" spans="1:6" x14ac:dyDescent="0.2">
      <c r="A11770">
        <v>16</v>
      </c>
      <c r="E11770" t="str">
        <f t="shared" si="387"/>
        <v>Q</v>
      </c>
      <c r="F11770" t="str">
        <f t="shared" si="388"/>
        <v>16Q</v>
      </c>
    </row>
    <row r="11771" spans="1:6" x14ac:dyDescent="0.2">
      <c r="A11771">
        <v>17</v>
      </c>
      <c r="E11771" t="str">
        <f t="shared" si="387"/>
        <v>R</v>
      </c>
      <c r="F11771" t="str">
        <f t="shared" si="388"/>
        <v>17R</v>
      </c>
    </row>
    <row r="11772" spans="1:6" x14ac:dyDescent="0.2">
      <c r="A11772">
        <v>18</v>
      </c>
      <c r="E11772" t="str">
        <f t="shared" si="387"/>
        <v>S</v>
      </c>
      <c r="F11772" t="str">
        <f t="shared" si="388"/>
        <v>18S</v>
      </c>
    </row>
    <row r="11773" spans="1:6" x14ac:dyDescent="0.2">
      <c r="A11773">
        <v>19</v>
      </c>
      <c r="E11773" t="str">
        <f t="shared" si="387"/>
        <v>T</v>
      </c>
      <c r="F11773" t="str">
        <f t="shared" si="388"/>
        <v>19T</v>
      </c>
    </row>
    <row r="11774" spans="1:6" x14ac:dyDescent="0.2">
      <c r="A11774">
        <v>20</v>
      </c>
      <c r="E11774" t="str">
        <f t="shared" si="387"/>
        <v>U</v>
      </c>
      <c r="F11774" t="str">
        <f t="shared" si="388"/>
        <v>20U</v>
      </c>
    </row>
    <row r="11775" spans="1:6" x14ac:dyDescent="0.2">
      <c r="A11775">
        <v>21</v>
      </c>
      <c r="E11775" t="str">
        <f t="shared" si="387"/>
        <v>V</v>
      </c>
      <c r="F11775" t="str">
        <f t="shared" si="388"/>
        <v>21V</v>
      </c>
    </row>
    <row r="11776" spans="1:6" x14ac:dyDescent="0.2">
      <c r="A11776">
        <v>22</v>
      </c>
      <c r="E11776" t="str">
        <f t="shared" si="387"/>
        <v>W</v>
      </c>
      <c r="F11776" t="str">
        <f t="shared" si="388"/>
        <v>22W</v>
      </c>
    </row>
    <row r="11777" spans="1:6" x14ac:dyDescent="0.2">
      <c r="A11777">
        <v>23</v>
      </c>
      <c r="E11777" t="str">
        <f t="shared" si="387"/>
        <v>X</v>
      </c>
      <c r="F11777" t="str">
        <f t="shared" si="388"/>
        <v>23X</v>
      </c>
    </row>
    <row r="11778" spans="1:6" x14ac:dyDescent="0.2">
      <c r="A11778">
        <v>24</v>
      </c>
      <c r="E11778" t="str">
        <f t="shared" si="387"/>
        <v>Y</v>
      </c>
      <c r="F11778" t="str">
        <f t="shared" si="388"/>
        <v>24Y</v>
      </c>
    </row>
    <row r="11779" spans="1:6" x14ac:dyDescent="0.2">
      <c r="A11779">
        <v>25</v>
      </c>
      <c r="E11779" t="str">
        <f t="shared" si="387"/>
        <v>Z</v>
      </c>
      <c r="F11779" t="str">
        <f t="shared" si="388"/>
        <v>25Z</v>
      </c>
    </row>
    <row r="11780" spans="1:6" x14ac:dyDescent="0.2">
      <c r="A11780">
        <v>0</v>
      </c>
      <c r="E11780" t="str">
        <f t="shared" si="387"/>
        <v>A</v>
      </c>
      <c r="F11780" t="str">
        <f t="shared" si="388"/>
        <v>0A</v>
      </c>
    </row>
    <row r="11781" spans="1:6" x14ac:dyDescent="0.2">
      <c r="A11781">
        <v>1</v>
      </c>
      <c r="E11781" t="str">
        <f t="shared" si="387"/>
        <v>B</v>
      </c>
      <c r="F11781" t="str">
        <f t="shared" si="388"/>
        <v>1B</v>
      </c>
    </row>
    <row r="11782" spans="1:6" x14ac:dyDescent="0.2">
      <c r="A11782">
        <v>2</v>
      </c>
      <c r="E11782" t="str">
        <f t="shared" si="387"/>
        <v>C</v>
      </c>
      <c r="F11782" t="str">
        <f t="shared" si="388"/>
        <v>2C</v>
      </c>
    </row>
    <row r="11783" spans="1:6" x14ac:dyDescent="0.2">
      <c r="A11783">
        <v>3</v>
      </c>
      <c r="E11783" t="str">
        <f t="shared" si="387"/>
        <v>D</v>
      </c>
      <c r="F11783" t="str">
        <f t="shared" si="388"/>
        <v>3D</v>
      </c>
    </row>
    <row r="11784" spans="1:6" x14ac:dyDescent="0.2">
      <c r="A11784">
        <v>4</v>
      </c>
      <c r="E11784" t="str">
        <f t="shared" si="387"/>
        <v>E</v>
      </c>
      <c r="F11784" t="str">
        <f t="shared" si="388"/>
        <v>4E</v>
      </c>
    </row>
    <row r="11785" spans="1:6" x14ac:dyDescent="0.2">
      <c r="A11785">
        <v>5</v>
      </c>
      <c r="E11785" t="str">
        <f t="shared" si="387"/>
        <v>F</v>
      </c>
      <c r="F11785" t="str">
        <f t="shared" si="388"/>
        <v>5F</v>
      </c>
    </row>
    <row r="11786" spans="1:6" x14ac:dyDescent="0.2">
      <c r="A11786">
        <v>6</v>
      </c>
      <c r="E11786" t="str">
        <f t="shared" si="387"/>
        <v>G</v>
      </c>
      <c r="F11786" t="str">
        <f t="shared" si="388"/>
        <v>6G</v>
      </c>
    </row>
    <row r="11787" spans="1:6" x14ac:dyDescent="0.2">
      <c r="A11787">
        <v>7</v>
      </c>
      <c r="E11787" t="str">
        <f t="shared" si="387"/>
        <v>H</v>
      </c>
      <c r="F11787" t="str">
        <f t="shared" si="388"/>
        <v>7H</v>
      </c>
    </row>
    <row r="11788" spans="1:6" x14ac:dyDescent="0.2">
      <c r="A11788">
        <v>8</v>
      </c>
      <c r="E11788" t="str">
        <f t="shared" si="387"/>
        <v>I</v>
      </c>
      <c r="F11788" t="str">
        <f t="shared" si="388"/>
        <v>8I</v>
      </c>
    </row>
    <row r="11789" spans="1:6" x14ac:dyDescent="0.2">
      <c r="A11789">
        <v>9</v>
      </c>
      <c r="E11789" t="str">
        <f t="shared" si="387"/>
        <v>J</v>
      </c>
      <c r="F11789" t="str">
        <f t="shared" si="388"/>
        <v>9J</v>
      </c>
    </row>
    <row r="11790" spans="1:6" x14ac:dyDescent="0.2">
      <c r="A11790">
        <v>10</v>
      </c>
      <c r="E11790" t="str">
        <f t="shared" si="387"/>
        <v>K</v>
      </c>
      <c r="F11790" t="str">
        <f t="shared" si="388"/>
        <v>10K</v>
      </c>
    </row>
    <row r="11791" spans="1:6" x14ac:dyDescent="0.2">
      <c r="A11791">
        <v>11</v>
      </c>
      <c r="E11791" t="str">
        <f t="shared" si="387"/>
        <v>L</v>
      </c>
      <c r="F11791" t="str">
        <f t="shared" si="388"/>
        <v>11L</v>
      </c>
    </row>
    <row r="11792" spans="1:6" x14ac:dyDescent="0.2">
      <c r="A11792">
        <v>12</v>
      </c>
      <c r="E11792" t="str">
        <f t="shared" si="387"/>
        <v>M</v>
      </c>
      <c r="F11792" t="str">
        <f t="shared" si="388"/>
        <v>12M</v>
      </c>
    </row>
    <row r="11793" spans="1:6" x14ac:dyDescent="0.2">
      <c r="A11793">
        <v>13</v>
      </c>
      <c r="E11793" t="str">
        <f t="shared" si="387"/>
        <v>N</v>
      </c>
      <c r="F11793" t="str">
        <f t="shared" si="388"/>
        <v>13N</v>
      </c>
    </row>
    <row r="11794" spans="1:6" x14ac:dyDescent="0.2">
      <c r="A11794">
        <v>14</v>
      </c>
      <c r="E11794" t="str">
        <f t="shared" si="387"/>
        <v>O</v>
      </c>
      <c r="F11794" t="str">
        <f t="shared" si="388"/>
        <v>14O</v>
      </c>
    </row>
    <row r="11795" spans="1:6" x14ac:dyDescent="0.2">
      <c r="A11795">
        <v>15</v>
      </c>
      <c r="E11795" t="str">
        <f t="shared" si="387"/>
        <v>P</v>
      </c>
      <c r="F11795" t="str">
        <f t="shared" si="388"/>
        <v>15P</v>
      </c>
    </row>
    <row r="11796" spans="1:6" x14ac:dyDescent="0.2">
      <c r="A11796">
        <v>16</v>
      </c>
      <c r="E11796" t="str">
        <f t="shared" si="387"/>
        <v>Q</v>
      </c>
      <c r="F11796" t="str">
        <f t="shared" si="388"/>
        <v>16Q</v>
      </c>
    </row>
    <row r="11797" spans="1:6" x14ac:dyDescent="0.2">
      <c r="A11797">
        <v>17</v>
      </c>
      <c r="E11797" t="str">
        <f t="shared" ref="E11797:E11860" si="389">E11771</f>
        <v>R</v>
      </c>
      <c r="F11797" t="str">
        <f t="shared" si="388"/>
        <v>17R</v>
      </c>
    </row>
    <row r="11798" spans="1:6" x14ac:dyDescent="0.2">
      <c r="A11798">
        <v>18</v>
      </c>
      <c r="E11798" t="str">
        <f t="shared" si="389"/>
        <v>S</v>
      </c>
      <c r="F11798" t="str">
        <f t="shared" si="388"/>
        <v>18S</v>
      </c>
    </row>
    <row r="11799" spans="1:6" x14ac:dyDescent="0.2">
      <c r="A11799">
        <v>19</v>
      </c>
      <c r="E11799" t="str">
        <f t="shared" si="389"/>
        <v>T</v>
      </c>
      <c r="F11799" t="str">
        <f t="shared" ref="F11799:F11862" si="390">A11799&amp;C11799&amp;E11799</f>
        <v>19T</v>
      </c>
    </row>
    <row r="11800" spans="1:6" x14ac:dyDescent="0.2">
      <c r="A11800">
        <v>20</v>
      </c>
      <c r="E11800" t="str">
        <f t="shared" si="389"/>
        <v>U</v>
      </c>
      <c r="F11800" t="str">
        <f t="shared" si="390"/>
        <v>20U</v>
      </c>
    </row>
    <row r="11801" spans="1:6" x14ac:dyDescent="0.2">
      <c r="A11801">
        <v>21</v>
      </c>
      <c r="E11801" t="str">
        <f t="shared" si="389"/>
        <v>V</v>
      </c>
      <c r="F11801" t="str">
        <f t="shared" si="390"/>
        <v>21V</v>
      </c>
    </row>
    <row r="11802" spans="1:6" x14ac:dyDescent="0.2">
      <c r="A11802">
        <v>22</v>
      </c>
      <c r="E11802" t="str">
        <f t="shared" si="389"/>
        <v>W</v>
      </c>
      <c r="F11802" t="str">
        <f t="shared" si="390"/>
        <v>22W</v>
      </c>
    </row>
    <row r="11803" spans="1:6" x14ac:dyDescent="0.2">
      <c r="A11803">
        <v>23</v>
      </c>
      <c r="E11803" t="str">
        <f t="shared" si="389"/>
        <v>X</v>
      </c>
      <c r="F11803" t="str">
        <f t="shared" si="390"/>
        <v>23X</v>
      </c>
    </row>
    <row r="11804" spans="1:6" x14ac:dyDescent="0.2">
      <c r="A11804">
        <v>24</v>
      </c>
      <c r="E11804" t="str">
        <f t="shared" si="389"/>
        <v>Y</v>
      </c>
      <c r="F11804" t="str">
        <f t="shared" si="390"/>
        <v>24Y</v>
      </c>
    </row>
    <row r="11805" spans="1:6" x14ac:dyDescent="0.2">
      <c r="A11805">
        <v>25</v>
      </c>
      <c r="E11805" t="str">
        <f t="shared" si="389"/>
        <v>Z</v>
      </c>
      <c r="F11805" t="str">
        <f t="shared" si="390"/>
        <v>25Z</v>
      </c>
    </row>
    <row r="11806" spans="1:6" x14ac:dyDescent="0.2">
      <c r="A11806">
        <v>0</v>
      </c>
      <c r="E11806" t="str">
        <f t="shared" si="389"/>
        <v>A</v>
      </c>
      <c r="F11806" t="str">
        <f t="shared" si="390"/>
        <v>0A</v>
      </c>
    </row>
    <row r="11807" spans="1:6" x14ac:dyDescent="0.2">
      <c r="A11807">
        <v>1</v>
      </c>
      <c r="E11807" t="str">
        <f t="shared" si="389"/>
        <v>B</v>
      </c>
      <c r="F11807" t="str">
        <f t="shared" si="390"/>
        <v>1B</v>
      </c>
    </row>
    <row r="11808" spans="1:6" x14ac:dyDescent="0.2">
      <c r="A11808">
        <v>2</v>
      </c>
      <c r="E11808" t="str">
        <f t="shared" si="389"/>
        <v>C</v>
      </c>
      <c r="F11808" t="str">
        <f t="shared" si="390"/>
        <v>2C</v>
      </c>
    </row>
    <row r="11809" spans="1:6" x14ac:dyDescent="0.2">
      <c r="A11809">
        <v>3</v>
      </c>
      <c r="E11809" t="str">
        <f t="shared" si="389"/>
        <v>D</v>
      </c>
      <c r="F11809" t="str">
        <f t="shared" si="390"/>
        <v>3D</v>
      </c>
    </row>
    <row r="11810" spans="1:6" x14ac:dyDescent="0.2">
      <c r="A11810">
        <v>4</v>
      </c>
      <c r="E11810" t="str">
        <f t="shared" si="389"/>
        <v>E</v>
      </c>
      <c r="F11810" t="str">
        <f t="shared" si="390"/>
        <v>4E</v>
      </c>
    </row>
    <row r="11811" spans="1:6" x14ac:dyDescent="0.2">
      <c r="A11811">
        <v>5</v>
      </c>
      <c r="E11811" t="str">
        <f t="shared" si="389"/>
        <v>F</v>
      </c>
      <c r="F11811" t="str">
        <f t="shared" si="390"/>
        <v>5F</v>
      </c>
    </row>
    <row r="11812" spans="1:6" x14ac:dyDescent="0.2">
      <c r="A11812">
        <v>6</v>
      </c>
      <c r="E11812" t="str">
        <f t="shared" si="389"/>
        <v>G</v>
      </c>
      <c r="F11812" t="str">
        <f t="shared" si="390"/>
        <v>6G</v>
      </c>
    </row>
    <row r="11813" spans="1:6" x14ac:dyDescent="0.2">
      <c r="A11813">
        <v>7</v>
      </c>
      <c r="E11813" t="str">
        <f t="shared" si="389"/>
        <v>H</v>
      </c>
      <c r="F11813" t="str">
        <f t="shared" si="390"/>
        <v>7H</v>
      </c>
    </row>
    <row r="11814" spans="1:6" x14ac:dyDescent="0.2">
      <c r="A11814">
        <v>8</v>
      </c>
      <c r="E11814" t="str">
        <f t="shared" si="389"/>
        <v>I</v>
      </c>
      <c r="F11814" t="str">
        <f t="shared" si="390"/>
        <v>8I</v>
      </c>
    </row>
    <row r="11815" spans="1:6" x14ac:dyDescent="0.2">
      <c r="A11815">
        <v>9</v>
      </c>
      <c r="E11815" t="str">
        <f t="shared" si="389"/>
        <v>J</v>
      </c>
      <c r="F11815" t="str">
        <f t="shared" si="390"/>
        <v>9J</v>
      </c>
    </row>
    <row r="11816" spans="1:6" x14ac:dyDescent="0.2">
      <c r="A11816">
        <v>10</v>
      </c>
      <c r="E11816" t="str">
        <f t="shared" si="389"/>
        <v>K</v>
      </c>
      <c r="F11816" t="str">
        <f t="shared" si="390"/>
        <v>10K</v>
      </c>
    </row>
    <row r="11817" spans="1:6" x14ac:dyDescent="0.2">
      <c r="A11817">
        <v>11</v>
      </c>
      <c r="E11817" t="str">
        <f t="shared" si="389"/>
        <v>L</v>
      </c>
      <c r="F11817" t="str">
        <f t="shared" si="390"/>
        <v>11L</v>
      </c>
    </row>
    <row r="11818" spans="1:6" x14ac:dyDescent="0.2">
      <c r="A11818">
        <v>12</v>
      </c>
      <c r="E11818" t="str">
        <f t="shared" si="389"/>
        <v>M</v>
      </c>
      <c r="F11818" t="str">
        <f t="shared" si="390"/>
        <v>12M</v>
      </c>
    </row>
    <row r="11819" spans="1:6" x14ac:dyDescent="0.2">
      <c r="A11819">
        <v>13</v>
      </c>
      <c r="E11819" t="str">
        <f t="shared" si="389"/>
        <v>N</v>
      </c>
      <c r="F11819" t="str">
        <f t="shared" si="390"/>
        <v>13N</v>
      </c>
    </row>
    <row r="11820" spans="1:6" x14ac:dyDescent="0.2">
      <c r="A11820">
        <v>14</v>
      </c>
      <c r="E11820" t="str">
        <f t="shared" si="389"/>
        <v>O</v>
      </c>
      <c r="F11820" t="str">
        <f t="shared" si="390"/>
        <v>14O</v>
      </c>
    </row>
    <row r="11821" spans="1:6" x14ac:dyDescent="0.2">
      <c r="A11821">
        <v>15</v>
      </c>
      <c r="E11821" t="str">
        <f t="shared" si="389"/>
        <v>P</v>
      </c>
      <c r="F11821" t="str">
        <f t="shared" si="390"/>
        <v>15P</v>
      </c>
    </row>
    <row r="11822" spans="1:6" x14ac:dyDescent="0.2">
      <c r="A11822">
        <v>16</v>
      </c>
      <c r="E11822" t="str">
        <f t="shared" si="389"/>
        <v>Q</v>
      </c>
      <c r="F11822" t="str">
        <f t="shared" si="390"/>
        <v>16Q</v>
      </c>
    </row>
    <row r="11823" spans="1:6" x14ac:dyDescent="0.2">
      <c r="A11823">
        <v>17</v>
      </c>
      <c r="E11823" t="str">
        <f t="shared" si="389"/>
        <v>R</v>
      </c>
      <c r="F11823" t="str">
        <f t="shared" si="390"/>
        <v>17R</v>
      </c>
    </row>
    <row r="11824" spans="1:6" x14ac:dyDescent="0.2">
      <c r="A11824">
        <v>18</v>
      </c>
      <c r="E11824" t="str">
        <f t="shared" si="389"/>
        <v>S</v>
      </c>
      <c r="F11824" t="str">
        <f t="shared" si="390"/>
        <v>18S</v>
      </c>
    </row>
    <row r="11825" spans="1:6" x14ac:dyDescent="0.2">
      <c r="A11825">
        <v>19</v>
      </c>
      <c r="E11825" t="str">
        <f t="shared" si="389"/>
        <v>T</v>
      </c>
      <c r="F11825" t="str">
        <f t="shared" si="390"/>
        <v>19T</v>
      </c>
    </row>
    <row r="11826" spans="1:6" x14ac:dyDescent="0.2">
      <c r="A11826">
        <v>20</v>
      </c>
      <c r="E11826" t="str">
        <f t="shared" si="389"/>
        <v>U</v>
      </c>
      <c r="F11826" t="str">
        <f t="shared" si="390"/>
        <v>20U</v>
      </c>
    </row>
    <row r="11827" spans="1:6" x14ac:dyDescent="0.2">
      <c r="A11827">
        <v>21</v>
      </c>
      <c r="E11827" t="str">
        <f t="shared" si="389"/>
        <v>V</v>
      </c>
      <c r="F11827" t="str">
        <f t="shared" si="390"/>
        <v>21V</v>
      </c>
    </row>
    <row r="11828" spans="1:6" x14ac:dyDescent="0.2">
      <c r="A11828">
        <v>22</v>
      </c>
      <c r="E11828" t="str">
        <f t="shared" si="389"/>
        <v>W</v>
      </c>
      <c r="F11828" t="str">
        <f t="shared" si="390"/>
        <v>22W</v>
      </c>
    </row>
    <row r="11829" spans="1:6" x14ac:dyDescent="0.2">
      <c r="A11829">
        <v>23</v>
      </c>
      <c r="E11829" t="str">
        <f t="shared" si="389"/>
        <v>X</v>
      </c>
      <c r="F11829" t="str">
        <f t="shared" si="390"/>
        <v>23X</v>
      </c>
    </row>
    <row r="11830" spans="1:6" x14ac:dyDescent="0.2">
      <c r="A11830">
        <v>24</v>
      </c>
      <c r="E11830" t="str">
        <f t="shared" si="389"/>
        <v>Y</v>
      </c>
      <c r="F11830" t="str">
        <f t="shared" si="390"/>
        <v>24Y</v>
      </c>
    </row>
    <row r="11831" spans="1:6" x14ac:dyDescent="0.2">
      <c r="A11831">
        <v>25</v>
      </c>
      <c r="E11831" t="str">
        <f t="shared" si="389"/>
        <v>Z</v>
      </c>
      <c r="F11831" t="str">
        <f t="shared" si="390"/>
        <v>25Z</v>
      </c>
    </row>
    <row r="11832" spans="1:6" x14ac:dyDescent="0.2">
      <c r="A11832">
        <v>0</v>
      </c>
      <c r="E11832" t="str">
        <f t="shared" si="389"/>
        <v>A</v>
      </c>
      <c r="F11832" t="str">
        <f t="shared" si="390"/>
        <v>0A</v>
      </c>
    </row>
    <row r="11833" spans="1:6" x14ac:dyDescent="0.2">
      <c r="A11833">
        <v>1</v>
      </c>
      <c r="E11833" t="str">
        <f t="shared" si="389"/>
        <v>B</v>
      </c>
      <c r="F11833" t="str">
        <f t="shared" si="390"/>
        <v>1B</v>
      </c>
    </row>
    <row r="11834" spans="1:6" x14ac:dyDescent="0.2">
      <c r="A11834">
        <v>2</v>
      </c>
      <c r="E11834" t="str">
        <f t="shared" si="389"/>
        <v>C</v>
      </c>
      <c r="F11834" t="str">
        <f t="shared" si="390"/>
        <v>2C</v>
      </c>
    </row>
    <row r="11835" spans="1:6" x14ac:dyDescent="0.2">
      <c r="A11835">
        <v>3</v>
      </c>
      <c r="E11835" t="str">
        <f t="shared" si="389"/>
        <v>D</v>
      </c>
      <c r="F11835" t="str">
        <f t="shared" si="390"/>
        <v>3D</v>
      </c>
    </row>
    <row r="11836" spans="1:6" x14ac:dyDescent="0.2">
      <c r="A11836">
        <v>4</v>
      </c>
      <c r="E11836" t="str">
        <f t="shared" si="389"/>
        <v>E</v>
      </c>
      <c r="F11836" t="str">
        <f t="shared" si="390"/>
        <v>4E</v>
      </c>
    </row>
    <row r="11837" spans="1:6" x14ac:dyDescent="0.2">
      <c r="A11837">
        <v>5</v>
      </c>
      <c r="E11837" t="str">
        <f t="shared" si="389"/>
        <v>F</v>
      </c>
      <c r="F11837" t="str">
        <f t="shared" si="390"/>
        <v>5F</v>
      </c>
    </row>
    <row r="11838" spans="1:6" x14ac:dyDescent="0.2">
      <c r="A11838">
        <v>6</v>
      </c>
      <c r="E11838" t="str">
        <f t="shared" si="389"/>
        <v>G</v>
      </c>
      <c r="F11838" t="str">
        <f t="shared" si="390"/>
        <v>6G</v>
      </c>
    </row>
    <row r="11839" spans="1:6" x14ac:dyDescent="0.2">
      <c r="A11839">
        <v>7</v>
      </c>
      <c r="E11839" t="str">
        <f t="shared" si="389"/>
        <v>H</v>
      </c>
      <c r="F11839" t="str">
        <f t="shared" si="390"/>
        <v>7H</v>
      </c>
    </row>
    <row r="11840" spans="1:6" x14ac:dyDescent="0.2">
      <c r="A11840">
        <v>8</v>
      </c>
      <c r="E11840" t="str">
        <f t="shared" si="389"/>
        <v>I</v>
      </c>
      <c r="F11840" t="str">
        <f t="shared" si="390"/>
        <v>8I</v>
      </c>
    </row>
    <row r="11841" spans="1:6" x14ac:dyDescent="0.2">
      <c r="A11841">
        <v>9</v>
      </c>
      <c r="E11841" t="str">
        <f t="shared" si="389"/>
        <v>J</v>
      </c>
      <c r="F11841" t="str">
        <f t="shared" si="390"/>
        <v>9J</v>
      </c>
    </row>
    <row r="11842" spans="1:6" x14ac:dyDescent="0.2">
      <c r="A11842">
        <v>10</v>
      </c>
      <c r="E11842" t="str">
        <f t="shared" si="389"/>
        <v>K</v>
      </c>
      <c r="F11842" t="str">
        <f t="shared" si="390"/>
        <v>10K</v>
      </c>
    </row>
    <row r="11843" spans="1:6" x14ac:dyDescent="0.2">
      <c r="A11843">
        <v>11</v>
      </c>
      <c r="E11843" t="str">
        <f t="shared" si="389"/>
        <v>L</v>
      </c>
      <c r="F11843" t="str">
        <f t="shared" si="390"/>
        <v>11L</v>
      </c>
    </row>
    <row r="11844" spans="1:6" x14ac:dyDescent="0.2">
      <c r="A11844">
        <v>12</v>
      </c>
      <c r="E11844" t="str">
        <f t="shared" si="389"/>
        <v>M</v>
      </c>
      <c r="F11844" t="str">
        <f t="shared" si="390"/>
        <v>12M</v>
      </c>
    </row>
    <row r="11845" spans="1:6" x14ac:dyDescent="0.2">
      <c r="A11845">
        <v>13</v>
      </c>
      <c r="E11845" t="str">
        <f t="shared" si="389"/>
        <v>N</v>
      </c>
      <c r="F11845" t="str">
        <f t="shared" si="390"/>
        <v>13N</v>
      </c>
    </row>
    <row r="11846" spans="1:6" x14ac:dyDescent="0.2">
      <c r="A11846">
        <v>14</v>
      </c>
      <c r="E11846" t="str">
        <f t="shared" si="389"/>
        <v>O</v>
      </c>
      <c r="F11846" t="str">
        <f t="shared" si="390"/>
        <v>14O</v>
      </c>
    </row>
    <row r="11847" spans="1:6" x14ac:dyDescent="0.2">
      <c r="A11847">
        <v>15</v>
      </c>
      <c r="E11847" t="str">
        <f t="shared" si="389"/>
        <v>P</v>
      </c>
      <c r="F11847" t="str">
        <f t="shared" si="390"/>
        <v>15P</v>
      </c>
    </row>
    <row r="11848" spans="1:6" x14ac:dyDescent="0.2">
      <c r="A11848">
        <v>16</v>
      </c>
      <c r="E11848" t="str">
        <f t="shared" si="389"/>
        <v>Q</v>
      </c>
      <c r="F11848" t="str">
        <f t="shared" si="390"/>
        <v>16Q</v>
      </c>
    </row>
    <row r="11849" spans="1:6" x14ac:dyDescent="0.2">
      <c r="A11849">
        <v>17</v>
      </c>
      <c r="E11849" t="str">
        <f t="shared" si="389"/>
        <v>R</v>
      </c>
      <c r="F11849" t="str">
        <f t="shared" si="390"/>
        <v>17R</v>
      </c>
    </row>
    <row r="11850" spans="1:6" x14ac:dyDescent="0.2">
      <c r="A11850">
        <v>18</v>
      </c>
      <c r="E11850" t="str">
        <f t="shared" si="389"/>
        <v>S</v>
      </c>
      <c r="F11850" t="str">
        <f t="shared" si="390"/>
        <v>18S</v>
      </c>
    </row>
    <row r="11851" spans="1:6" x14ac:dyDescent="0.2">
      <c r="A11851">
        <v>19</v>
      </c>
      <c r="E11851" t="str">
        <f t="shared" si="389"/>
        <v>T</v>
      </c>
      <c r="F11851" t="str">
        <f t="shared" si="390"/>
        <v>19T</v>
      </c>
    </row>
    <row r="11852" spans="1:6" x14ac:dyDescent="0.2">
      <c r="A11852">
        <v>20</v>
      </c>
      <c r="E11852" t="str">
        <f t="shared" si="389"/>
        <v>U</v>
      </c>
      <c r="F11852" t="str">
        <f t="shared" si="390"/>
        <v>20U</v>
      </c>
    </row>
    <row r="11853" spans="1:6" x14ac:dyDescent="0.2">
      <c r="A11853">
        <v>21</v>
      </c>
      <c r="E11853" t="str">
        <f t="shared" si="389"/>
        <v>V</v>
      </c>
      <c r="F11853" t="str">
        <f t="shared" si="390"/>
        <v>21V</v>
      </c>
    </row>
    <row r="11854" spans="1:6" x14ac:dyDescent="0.2">
      <c r="A11854">
        <v>22</v>
      </c>
      <c r="E11854" t="str">
        <f t="shared" si="389"/>
        <v>W</v>
      </c>
      <c r="F11854" t="str">
        <f t="shared" si="390"/>
        <v>22W</v>
      </c>
    </row>
    <row r="11855" spans="1:6" x14ac:dyDescent="0.2">
      <c r="A11855">
        <v>23</v>
      </c>
      <c r="E11855" t="str">
        <f t="shared" si="389"/>
        <v>X</v>
      </c>
      <c r="F11855" t="str">
        <f t="shared" si="390"/>
        <v>23X</v>
      </c>
    </row>
    <row r="11856" spans="1:6" x14ac:dyDescent="0.2">
      <c r="A11856">
        <v>24</v>
      </c>
      <c r="E11856" t="str">
        <f t="shared" si="389"/>
        <v>Y</v>
      </c>
      <c r="F11856" t="str">
        <f t="shared" si="390"/>
        <v>24Y</v>
      </c>
    </row>
    <row r="11857" spans="1:6" x14ac:dyDescent="0.2">
      <c r="A11857">
        <v>25</v>
      </c>
      <c r="E11857" t="str">
        <f t="shared" si="389"/>
        <v>Z</v>
      </c>
      <c r="F11857" t="str">
        <f t="shared" si="390"/>
        <v>25Z</v>
      </c>
    </row>
    <row r="11858" spans="1:6" x14ac:dyDescent="0.2">
      <c r="A11858">
        <v>0</v>
      </c>
      <c r="E11858" t="str">
        <f t="shared" si="389"/>
        <v>A</v>
      </c>
      <c r="F11858" t="str">
        <f t="shared" si="390"/>
        <v>0A</v>
      </c>
    </row>
    <row r="11859" spans="1:6" x14ac:dyDescent="0.2">
      <c r="A11859">
        <v>1</v>
      </c>
      <c r="E11859" t="str">
        <f t="shared" si="389"/>
        <v>B</v>
      </c>
      <c r="F11859" t="str">
        <f t="shared" si="390"/>
        <v>1B</v>
      </c>
    </row>
    <row r="11860" spans="1:6" x14ac:dyDescent="0.2">
      <c r="A11860">
        <v>2</v>
      </c>
      <c r="E11860" t="str">
        <f t="shared" si="389"/>
        <v>C</v>
      </c>
      <c r="F11860" t="str">
        <f t="shared" si="390"/>
        <v>2C</v>
      </c>
    </row>
    <row r="11861" spans="1:6" x14ac:dyDescent="0.2">
      <c r="A11861">
        <v>3</v>
      </c>
      <c r="E11861" t="str">
        <f t="shared" ref="E11861:E11924" si="391">E11835</f>
        <v>D</v>
      </c>
      <c r="F11861" t="str">
        <f t="shared" si="390"/>
        <v>3D</v>
      </c>
    </row>
    <row r="11862" spans="1:6" x14ac:dyDescent="0.2">
      <c r="A11862">
        <v>4</v>
      </c>
      <c r="E11862" t="str">
        <f t="shared" si="391"/>
        <v>E</v>
      </c>
      <c r="F11862" t="str">
        <f t="shared" si="390"/>
        <v>4E</v>
      </c>
    </row>
    <row r="11863" spans="1:6" x14ac:dyDescent="0.2">
      <c r="A11863">
        <v>5</v>
      </c>
      <c r="E11863" t="str">
        <f t="shared" si="391"/>
        <v>F</v>
      </c>
      <c r="F11863" t="str">
        <f t="shared" ref="F11863:F11926" si="392">A11863&amp;C11863&amp;E11863</f>
        <v>5F</v>
      </c>
    </row>
    <row r="11864" spans="1:6" x14ac:dyDescent="0.2">
      <c r="A11864">
        <v>6</v>
      </c>
      <c r="E11864" t="str">
        <f t="shared" si="391"/>
        <v>G</v>
      </c>
      <c r="F11864" t="str">
        <f t="shared" si="392"/>
        <v>6G</v>
      </c>
    </row>
    <row r="11865" spans="1:6" x14ac:dyDescent="0.2">
      <c r="A11865">
        <v>7</v>
      </c>
      <c r="E11865" t="str">
        <f t="shared" si="391"/>
        <v>H</v>
      </c>
      <c r="F11865" t="str">
        <f t="shared" si="392"/>
        <v>7H</v>
      </c>
    </row>
    <row r="11866" spans="1:6" x14ac:dyDescent="0.2">
      <c r="A11866">
        <v>8</v>
      </c>
      <c r="E11866" t="str">
        <f t="shared" si="391"/>
        <v>I</v>
      </c>
      <c r="F11866" t="str">
        <f t="shared" si="392"/>
        <v>8I</v>
      </c>
    </row>
    <row r="11867" spans="1:6" x14ac:dyDescent="0.2">
      <c r="A11867">
        <v>9</v>
      </c>
      <c r="E11867" t="str">
        <f t="shared" si="391"/>
        <v>J</v>
      </c>
      <c r="F11867" t="str">
        <f t="shared" si="392"/>
        <v>9J</v>
      </c>
    </row>
    <row r="11868" spans="1:6" x14ac:dyDescent="0.2">
      <c r="A11868">
        <v>10</v>
      </c>
      <c r="E11868" t="str">
        <f t="shared" si="391"/>
        <v>K</v>
      </c>
      <c r="F11868" t="str">
        <f t="shared" si="392"/>
        <v>10K</v>
      </c>
    </row>
    <row r="11869" spans="1:6" x14ac:dyDescent="0.2">
      <c r="A11869">
        <v>11</v>
      </c>
      <c r="E11869" t="str">
        <f t="shared" si="391"/>
        <v>L</v>
      </c>
      <c r="F11869" t="str">
        <f t="shared" si="392"/>
        <v>11L</v>
      </c>
    </row>
    <row r="11870" spans="1:6" x14ac:dyDescent="0.2">
      <c r="A11870">
        <v>12</v>
      </c>
      <c r="E11870" t="str">
        <f t="shared" si="391"/>
        <v>M</v>
      </c>
      <c r="F11870" t="str">
        <f t="shared" si="392"/>
        <v>12M</v>
      </c>
    </row>
    <row r="11871" spans="1:6" x14ac:dyDescent="0.2">
      <c r="A11871">
        <v>13</v>
      </c>
      <c r="E11871" t="str">
        <f t="shared" si="391"/>
        <v>N</v>
      </c>
      <c r="F11871" t="str">
        <f t="shared" si="392"/>
        <v>13N</v>
      </c>
    </row>
    <row r="11872" spans="1:6" x14ac:dyDescent="0.2">
      <c r="A11872">
        <v>14</v>
      </c>
      <c r="E11872" t="str">
        <f t="shared" si="391"/>
        <v>O</v>
      </c>
      <c r="F11872" t="str">
        <f t="shared" si="392"/>
        <v>14O</v>
      </c>
    </row>
    <row r="11873" spans="1:6" x14ac:dyDescent="0.2">
      <c r="A11873">
        <v>15</v>
      </c>
      <c r="E11873" t="str">
        <f t="shared" si="391"/>
        <v>P</v>
      </c>
      <c r="F11873" t="str">
        <f t="shared" si="392"/>
        <v>15P</v>
      </c>
    </row>
    <row r="11874" spans="1:6" x14ac:dyDescent="0.2">
      <c r="A11874">
        <v>16</v>
      </c>
      <c r="E11874" t="str">
        <f t="shared" si="391"/>
        <v>Q</v>
      </c>
      <c r="F11874" t="str">
        <f t="shared" si="392"/>
        <v>16Q</v>
      </c>
    </row>
    <row r="11875" spans="1:6" x14ac:dyDescent="0.2">
      <c r="A11875">
        <v>17</v>
      </c>
      <c r="E11875" t="str">
        <f t="shared" si="391"/>
        <v>R</v>
      </c>
      <c r="F11875" t="str">
        <f t="shared" si="392"/>
        <v>17R</v>
      </c>
    </row>
    <row r="11876" spans="1:6" x14ac:dyDescent="0.2">
      <c r="A11876">
        <v>18</v>
      </c>
      <c r="E11876" t="str">
        <f t="shared" si="391"/>
        <v>S</v>
      </c>
      <c r="F11876" t="str">
        <f t="shared" si="392"/>
        <v>18S</v>
      </c>
    </row>
    <row r="11877" spans="1:6" x14ac:dyDescent="0.2">
      <c r="A11877">
        <v>19</v>
      </c>
      <c r="E11877" t="str">
        <f t="shared" si="391"/>
        <v>T</v>
      </c>
      <c r="F11877" t="str">
        <f t="shared" si="392"/>
        <v>19T</v>
      </c>
    </row>
    <row r="11878" spans="1:6" x14ac:dyDescent="0.2">
      <c r="A11878">
        <v>20</v>
      </c>
      <c r="E11878" t="str">
        <f t="shared" si="391"/>
        <v>U</v>
      </c>
      <c r="F11878" t="str">
        <f t="shared" si="392"/>
        <v>20U</v>
      </c>
    </row>
    <row r="11879" spans="1:6" x14ac:dyDescent="0.2">
      <c r="A11879">
        <v>21</v>
      </c>
      <c r="E11879" t="str">
        <f t="shared" si="391"/>
        <v>V</v>
      </c>
      <c r="F11879" t="str">
        <f t="shared" si="392"/>
        <v>21V</v>
      </c>
    </row>
    <row r="11880" spans="1:6" x14ac:dyDescent="0.2">
      <c r="A11880">
        <v>22</v>
      </c>
      <c r="E11880" t="str">
        <f t="shared" si="391"/>
        <v>W</v>
      </c>
      <c r="F11880" t="str">
        <f t="shared" si="392"/>
        <v>22W</v>
      </c>
    </row>
    <row r="11881" spans="1:6" x14ac:dyDescent="0.2">
      <c r="A11881">
        <v>23</v>
      </c>
      <c r="E11881" t="str">
        <f t="shared" si="391"/>
        <v>X</v>
      </c>
      <c r="F11881" t="str">
        <f t="shared" si="392"/>
        <v>23X</v>
      </c>
    </row>
    <row r="11882" spans="1:6" x14ac:dyDescent="0.2">
      <c r="A11882">
        <v>24</v>
      </c>
      <c r="E11882" t="str">
        <f t="shared" si="391"/>
        <v>Y</v>
      </c>
      <c r="F11882" t="str">
        <f t="shared" si="392"/>
        <v>24Y</v>
      </c>
    </row>
    <row r="11883" spans="1:6" x14ac:dyDescent="0.2">
      <c r="A11883">
        <v>25</v>
      </c>
      <c r="E11883" t="str">
        <f t="shared" si="391"/>
        <v>Z</v>
      </c>
      <c r="F11883" t="str">
        <f t="shared" si="392"/>
        <v>25Z</v>
      </c>
    </row>
    <row r="11884" spans="1:6" x14ac:dyDescent="0.2">
      <c r="A11884">
        <v>0</v>
      </c>
      <c r="E11884" t="str">
        <f t="shared" si="391"/>
        <v>A</v>
      </c>
      <c r="F11884" t="str">
        <f t="shared" si="392"/>
        <v>0A</v>
      </c>
    </row>
    <row r="11885" spans="1:6" x14ac:dyDescent="0.2">
      <c r="A11885">
        <v>1</v>
      </c>
      <c r="E11885" t="str">
        <f t="shared" si="391"/>
        <v>B</v>
      </c>
      <c r="F11885" t="str">
        <f t="shared" si="392"/>
        <v>1B</v>
      </c>
    </row>
    <row r="11886" spans="1:6" x14ac:dyDescent="0.2">
      <c r="A11886">
        <v>2</v>
      </c>
      <c r="E11886" t="str">
        <f t="shared" si="391"/>
        <v>C</v>
      </c>
      <c r="F11886" t="str">
        <f t="shared" si="392"/>
        <v>2C</v>
      </c>
    </row>
    <row r="11887" spans="1:6" x14ac:dyDescent="0.2">
      <c r="A11887">
        <v>3</v>
      </c>
      <c r="E11887" t="str">
        <f t="shared" si="391"/>
        <v>D</v>
      </c>
      <c r="F11887" t="str">
        <f t="shared" si="392"/>
        <v>3D</v>
      </c>
    </row>
    <row r="11888" spans="1:6" x14ac:dyDescent="0.2">
      <c r="A11888">
        <v>4</v>
      </c>
      <c r="E11888" t="str">
        <f t="shared" si="391"/>
        <v>E</v>
      </c>
      <c r="F11888" t="str">
        <f t="shared" si="392"/>
        <v>4E</v>
      </c>
    </row>
    <row r="11889" spans="1:6" x14ac:dyDescent="0.2">
      <c r="A11889">
        <v>5</v>
      </c>
      <c r="E11889" t="str">
        <f t="shared" si="391"/>
        <v>F</v>
      </c>
      <c r="F11889" t="str">
        <f t="shared" si="392"/>
        <v>5F</v>
      </c>
    </row>
    <row r="11890" spans="1:6" x14ac:dyDescent="0.2">
      <c r="A11890">
        <v>6</v>
      </c>
      <c r="E11890" t="str">
        <f t="shared" si="391"/>
        <v>G</v>
      </c>
      <c r="F11890" t="str">
        <f t="shared" si="392"/>
        <v>6G</v>
      </c>
    </row>
    <row r="11891" spans="1:6" x14ac:dyDescent="0.2">
      <c r="A11891">
        <v>7</v>
      </c>
      <c r="E11891" t="str">
        <f t="shared" si="391"/>
        <v>H</v>
      </c>
      <c r="F11891" t="str">
        <f t="shared" si="392"/>
        <v>7H</v>
      </c>
    </row>
    <row r="11892" spans="1:6" x14ac:dyDescent="0.2">
      <c r="A11892">
        <v>8</v>
      </c>
      <c r="E11892" t="str">
        <f t="shared" si="391"/>
        <v>I</v>
      </c>
      <c r="F11892" t="str">
        <f t="shared" si="392"/>
        <v>8I</v>
      </c>
    </row>
    <row r="11893" spans="1:6" x14ac:dyDescent="0.2">
      <c r="A11893">
        <v>9</v>
      </c>
      <c r="E11893" t="str">
        <f t="shared" si="391"/>
        <v>J</v>
      </c>
      <c r="F11893" t="str">
        <f t="shared" si="392"/>
        <v>9J</v>
      </c>
    </row>
    <row r="11894" spans="1:6" x14ac:dyDescent="0.2">
      <c r="A11894">
        <v>10</v>
      </c>
      <c r="E11894" t="str">
        <f t="shared" si="391"/>
        <v>K</v>
      </c>
      <c r="F11894" t="str">
        <f t="shared" si="392"/>
        <v>10K</v>
      </c>
    </row>
    <row r="11895" spans="1:6" x14ac:dyDescent="0.2">
      <c r="A11895">
        <v>11</v>
      </c>
      <c r="E11895" t="str">
        <f t="shared" si="391"/>
        <v>L</v>
      </c>
      <c r="F11895" t="str">
        <f t="shared" si="392"/>
        <v>11L</v>
      </c>
    </row>
    <row r="11896" spans="1:6" x14ac:dyDescent="0.2">
      <c r="A11896">
        <v>12</v>
      </c>
      <c r="E11896" t="str">
        <f t="shared" si="391"/>
        <v>M</v>
      </c>
      <c r="F11896" t="str">
        <f t="shared" si="392"/>
        <v>12M</v>
      </c>
    </row>
    <row r="11897" spans="1:6" x14ac:dyDescent="0.2">
      <c r="A11897">
        <v>13</v>
      </c>
      <c r="E11897" t="str">
        <f t="shared" si="391"/>
        <v>N</v>
      </c>
      <c r="F11897" t="str">
        <f t="shared" si="392"/>
        <v>13N</v>
      </c>
    </row>
    <row r="11898" spans="1:6" x14ac:dyDescent="0.2">
      <c r="A11898">
        <v>14</v>
      </c>
      <c r="E11898" t="str">
        <f t="shared" si="391"/>
        <v>O</v>
      </c>
      <c r="F11898" t="str">
        <f t="shared" si="392"/>
        <v>14O</v>
      </c>
    </row>
    <row r="11899" spans="1:6" x14ac:dyDescent="0.2">
      <c r="A11899">
        <v>15</v>
      </c>
      <c r="E11899" t="str">
        <f t="shared" si="391"/>
        <v>P</v>
      </c>
      <c r="F11899" t="str">
        <f t="shared" si="392"/>
        <v>15P</v>
      </c>
    </row>
    <row r="11900" spans="1:6" x14ac:dyDescent="0.2">
      <c r="A11900">
        <v>16</v>
      </c>
      <c r="E11900" t="str">
        <f t="shared" si="391"/>
        <v>Q</v>
      </c>
      <c r="F11900" t="str">
        <f t="shared" si="392"/>
        <v>16Q</v>
      </c>
    </row>
    <row r="11901" spans="1:6" x14ac:dyDescent="0.2">
      <c r="A11901">
        <v>17</v>
      </c>
      <c r="E11901" t="str">
        <f t="shared" si="391"/>
        <v>R</v>
      </c>
      <c r="F11901" t="str">
        <f t="shared" si="392"/>
        <v>17R</v>
      </c>
    </row>
    <row r="11902" spans="1:6" x14ac:dyDescent="0.2">
      <c r="A11902">
        <v>18</v>
      </c>
      <c r="E11902" t="str">
        <f t="shared" si="391"/>
        <v>S</v>
      </c>
      <c r="F11902" t="str">
        <f t="shared" si="392"/>
        <v>18S</v>
      </c>
    </row>
    <row r="11903" spans="1:6" x14ac:dyDescent="0.2">
      <c r="A11903">
        <v>19</v>
      </c>
      <c r="E11903" t="str">
        <f t="shared" si="391"/>
        <v>T</v>
      </c>
      <c r="F11903" t="str">
        <f t="shared" si="392"/>
        <v>19T</v>
      </c>
    </row>
    <row r="11904" spans="1:6" x14ac:dyDescent="0.2">
      <c r="A11904">
        <v>20</v>
      </c>
      <c r="E11904" t="str">
        <f t="shared" si="391"/>
        <v>U</v>
      </c>
      <c r="F11904" t="str">
        <f t="shared" si="392"/>
        <v>20U</v>
      </c>
    </row>
    <row r="11905" spans="1:6" x14ac:dyDescent="0.2">
      <c r="A11905">
        <v>21</v>
      </c>
      <c r="E11905" t="str">
        <f t="shared" si="391"/>
        <v>V</v>
      </c>
      <c r="F11905" t="str">
        <f t="shared" si="392"/>
        <v>21V</v>
      </c>
    </row>
    <row r="11906" spans="1:6" x14ac:dyDescent="0.2">
      <c r="A11906">
        <v>22</v>
      </c>
      <c r="E11906" t="str">
        <f t="shared" si="391"/>
        <v>W</v>
      </c>
      <c r="F11906" t="str">
        <f t="shared" si="392"/>
        <v>22W</v>
      </c>
    </row>
    <row r="11907" spans="1:6" x14ac:dyDescent="0.2">
      <c r="A11907">
        <v>23</v>
      </c>
      <c r="E11907" t="str">
        <f t="shared" si="391"/>
        <v>X</v>
      </c>
      <c r="F11907" t="str">
        <f t="shared" si="392"/>
        <v>23X</v>
      </c>
    </row>
    <row r="11908" spans="1:6" x14ac:dyDescent="0.2">
      <c r="A11908">
        <v>24</v>
      </c>
      <c r="E11908" t="str">
        <f t="shared" si="391"/>
        <v>Y</v>
      </c>
      <c r="F11908" t="str">
        <f t="shared" si="392"/>
        <v>24Y</v>
      </c>
    </row>
    <row r="11909" spans="1:6" x14ac:dyDescent="0.2">
      <c r="A11909">
        <v>25</v>
      </c>
      <c r="E11909" t="str">
        <f t="shared" si="391"/>
        <v>Z</v>
      </c>
      <c r="F11909" t="str">
        <f t="shared" si="392"/>
        <v>25Z</v>
      </c>
    </row>
    <row r="11910" spans="1:6" x14ac:dyDescent="0.2">
      <c r="A11910">
        <v>0</v>
      </c>
      <c r="E11910" t="str">
        <f t="shared" si="391"/>
        <v>A</v>
      </c>
      <c r="F11910" t="str">
        <f t="shared" si="392"/>
        <v>0A</v>
      </c>
    </row>
    <row r="11911" spans="1:6" x14ac:dyDescent="0.2">
      <c r="A11911">
        <v>1</v>
      </c>
      <c r="E11911" t="str">
        <f t="shared" si="391"/>
        <v>B</v>
      </c>
      <c r="F11911" t="str">
        <f t="shared" si="392"/>
        <v>1B</v>
      </c>
    </row>
    <row r="11912" spans="1:6" x14ac:dyDescent="0.2">
      <c r="A11912">
        <v>2</v>
      </c>
      <c r="E11912" t="str">
        <f t="shared" si="391"/>
        <v>C</v>
      </c>
      <c r="F11912" t="str">
        <f t="shared" si="392"/>
        <v>2C</v>
      </c>
    </row>
    <row r="11913" spans="1:6" x14ac:dyDescent="0.2">
      <c r="A11913">
        <v>3</v>
      </c>
      <c r="E11913" t="str">
        <f t="shared" si="391"/>
        <v>D</v>
      </c>
      <c r="F11913" t="str">
        <f t="shared" si="392"/>
        <v>3D</v>
      </c>
    </row>
    <row r="11914" spans="1:6" x14ac:dyDescent="0.2">
      <c r="A11914">
        <v>4</v>
      </c>
      <c r="E11914" t="str">
        <f t="shared" si="391"/>
        <v>E</v>
      </c>
      <c r="F11914" t="str">
        <f t="shared" si="392"/>
        <v>4E</v>
      </c>
    </row>
    <row r="11915" spans="1:6" x14ac:dyDescent="0.2">
      <c r="A11915">
        <v>5</v>
      </c>
      <c r="E11915" t="str">
        <f t="shared" si="391"/>
        <v>F</v>
      </c>
      <c r="F11915" t="str">
        <f t="shared" si="392"/>
        <v>5F</v>
      </c>
    </row>
    <row r="11916" spans="1:6" x14ac:dyDescent="0.2">
      <c r="A11916">
        <v>6</v>
      </c>
      <c r="E11916" t="str">
        <f t="shared" si="391"/>
        <v>G</v>
      </c>
      <c r="F11916" t="str">
        <f t="shared" si="392"/>
        <v>6G</v>
      </c>
    </row>
    <row r="11917" spans="1:6" x14ac:dyDescent="0.2">
      <c r="A11917">
        <v>7</v>
      </c>
      <c r="E11917" t="str">
        <f t="shared" si="391"/>
        <v>H</v>
      </c>
      <c r="F11917" t="str">
        <f t="shared" si="392"/>
        <v>7H</v>
      </c>
    </row>
    <row r="11918" spans="1:6" x14ac:dyDescent="0.2">
      <c r="A11918">
        <v>8</v>
      </c>
      <c r="E11918" t="str">
        <f t="shared" si="391"/>
        <v>I</v>
      </c>
      <c r="F11918" t="str">
        <f t="shared" si="392"/>
        <v>8I</v>
      </c>
    </row>
    <row r="11919" spans="1:6" x14ac:dyDescent="0.2">
      <c r="A11919">
        <v>9</v>
      </c>
      <c r="E11919" t="str">
        <f t="shared" si="391"/>
        <v>J</v>
      </c>
      <c r="F11919" t="str">
        <f t="shared" si="392"/>
        <v>9J</v>
      </c>
    </row>
    <row r="11920" spans="1:6" x14ac:dyDescent="0.2">
      <c r="A11920">
        <v>10</v>
      </c>
      <c r="E11920" t="str">
        <f t="shared" si="391"/>
        <v>K</v>
      </c>
      <c r="F11920" t="str">
        <f t="shared" si="392"/>
        <v>10K</v>
      </c>
    </row>
    <row r="11921" spans="1:6" x14ac:dyDescent="0.2">
      <c r="A11921">
        <v>11</v>
      </c>
      <c r="E11921" t="str">
        <f t="shared" si="391"/>
        <v>L</v>
      </c>
      <c r="F11921" t="str">
        <f t="shared" si="392"/>
        <v>11L</v>
      </c>
    </row>
    <row r="11922" spans="1:6" x14ac:dyDescent="0.2">
      <c r="A11922">
        <v>12</v>
      </c>
      <c r="E11922" t="str">
        <f t="shared" si="391"/>
        <v>M</v>
      </c>
      <c r="F11922" t="str">
        <f t="shared" si="392"/>
        <v>12M</v>
      </c>
    </row>
    <row r="11923" spans="1:6" x14ac:dyDescent="0.2">
      <c r="A11923">
        <v>13</v>
      </c>
      <c r="E11923" t="str">
        <f t="shared" si="391"/>
        <v>N</v>
      </c>
      <c r="F11923" t="str">
        <f t="shared" si="392"/>
        <v>13N</v>
      </c>
    </row>
    <row r="11924" spans="1:6" x14ac:dyDescent="0.2">
      <c r="A11924">
        <v>14</v>
      </c>
      <c r="E11924" t="str">
        <f t="shared" si="391"/>
        <v>O</v>
      </c>
      <c r="F11924" t="str">
        <f t="shared" si="392"/>
        <v>14O</v>
      </c>
    </row>
    <row r="11925" spans="1:6" x14ac:dyDescent="0.2">
      <c r="A11925">
        <v>15</v>
      </c>
      <c r="E11925" t="str">
        <f t="shared" ref="E11925:E11988" si="393">E11899</f>
        <v>P</v>
      </c>
      <c r="F11925" t="str">
        <f t="shared" si="392"/>
        <v>15P</v>
      </c>
    </row>
    <row r="11926" spans="1:6" x14ac:dyDescent="0.2">
      <c r="A11926">
        <v>16</v>
      </c>
      <c r="E11926" t="str">
        <f t="shared" si="393"/>
        <v>Q</v>
      </c>
      <c r="F11926" t="str">
        <f t="shared" si="392"/>
        <v>16Q</v>
      </c>
    </row>
    <row r="11927" spans="1:6" x14ac:dyDescent="0.2">
      <c r="A11927">
        <v>17</v>
      </c>
      <c r="E11927" t="str">
        <f t="shared" si="393"/>
        <v>R</v>
      </c>
      <c r="F11927" t="str">
        <f t="shared" ref="F11927:F11990" si="394">A11927&amp;C11927&amp;E11927</f>
        <v>17R</v>
      </c>
    </row>
    <row r="11928" spans="1:6" x14ac:dyDescent="0.2">
      <c r="A11928">
        <v>18</v>
      </c>
      <c r="E11928" t="str">
        <f t="shared" si="393"/>
        <v>S</v>
      </c>
      <c r="F11928" t="str">
        <f t="shared" si="394"/>
        <v>18S</v>
      </c>
    </row>
    <row r="11929" spans="1:6" x14ac:dyDescent="0.2">
      <c r="A11929">
        <v>19</v>
      </c>
      <c r="E11929" t="str">
        <f t="shared" si="393"/>
        <v>T</v>
      </c>
      <c r="F11929" t="str">
        <f t="shared" si="394"/>
        <v>19T</v>
      </c>
    </row>
    <row r="11930" spans="1:6" x14ac:dyDescent="0.2">
      <c r="A11930">
        <v>20</v>
      </c>
      <c r="E11930" t="str">
        <f t="shared" si="393"/>
        <v>U</v>
      </c>
      <c r="F11930" t="str">
        <f t="shared" si="394"/>
        <v>20U</v>
      </c>
    </row>
    <row r="11931" spans="1:6" x14ac:dyDescent="0.2">
      <c r="A11931">
        <v>21</v>
      </c>
      <c r="E11931" t="str">
        <f t="shared" si="393"/>
        <v>V</v>
      </c>
      <c r="F11931" t="str">
        <f t="shared" si="394"/>
        <v>21V</v>
      </c>
    </row>
    <row r="11932" spans="1:6" x14ac:dyDescent="0.2">
      <c r="A11932">
        <v>22</v>
      </c>
      <c r="E11932" t="str">
        <f t="shared" si="393"/>
        <v>W</v>
      </c>
      <c r="F11932" t="str">
        <f t="shared" si="394"/>
        <v>22W</v>
      </c>
    </row>
    <row r="11933" spans="1:6" x14ac:dyDescent="0.2">
      <c r="A11933">
        <v>23</v>
      </c>
      <c r="E11933" t="str">
        <f t="shared" si="393"/>
        <v>X</v>
      </c>
      <c r="F11933" t="str">
        <f t="shared" si="394"/>
        <v>23X</v>
      </c>
    </row>
    <row r="11934" spans="1:6" x14ac:dyDescent="0.2">
      <c r="A11934">
        <v>24</v>
      </c>
      <c r="E11934" t="str">
        <f t="shared" si="393"/>
        <v>Y</v>
      </c>
      <c r="F11934" t="str">
        <f t="shared" si="394"/>
        <v>24Y</v>
      </c>
    </row>
    <row r="11935" spans="1:6" x14ac:dyDescent="0.2">
      <c r="A11935">
        <v>25</v>
      </c>
      <c r="E11935" t="str">
        <f t="shared" si="393"/>
        <v>Z</v>
      </c>
      <c r="F11935" t="str">
        <f t="shared" si="394"/>
        <v>25Z</v>
      </c>
    </row>
    <row r="11936" spans="1:6" x14ac:dyDescent="0.2">
      <c r="A11936">
        <v>0</v>
      </c>
      <c r="E11936" t="str">
        <f t="shared" si="393"/>
        <v>A</v>
      </c>
      <c r="F11936" t="str">
        <f t="shared" si="394"/>
        <v>0A</v>
      </c>
    </row>
    <row r="11937" spans="1:6" x14ac:dyDescent="0.2">
      <c r="A11937">
        <v>1</v>
      </c>
      <c r="E11937" t="str">
        <f t="shared" si="393"/>
        <v>B</v>
      </c>
      <c r="F11937" t="str">
        <f t="shared" si="394"/>
        <v>1B</v>
      </c>
    </row>
    <row r="11938" spans="1:6" x14ac:dyDescent="0.2">
      <c r="A11938">
        <v>2</v>
      </c>
      <c r="E11938" t="str">
        <f t="shared" si="393"/>
        <v>C</v>
      </c>
      <c r="F11938" t="str">
        <f t="shared" si="394"/>
        <v>2C</v>
      </c>
    </row>
    <row r="11939" spans="1:6" x14ac:dyDescent="0.2">
      <c r="A11939">
        <v>3</v>
      </c>
      <c r="E11939" t="str">
        <f t="shared" si="393"/>
        <v>D</v>
      </c>
      <c r="F11939" t="str">
        <f t="shared" si="394"/>
        <v>3D</v>
      </c>
    </row>
    <row r="11940" spans="1:6" x14ac:dyDescent="0.2">
      <c r="A11940">
        <v>4</v>
      </c>
      <c r="E11940" t="str">
        <f t="shared" si="393"/>
        <v>E</v>
      </c>
      <c r="F11940" t="str">
        <f t="shared" si="394"/>
        <v>4E</v>
      </c>
    </row>
    <row r="11941" spans="1:6" x14ac:dyDescent="0.2">
      <c r="A11941">
        <v>5</v>
      </c>
      <c r="E11941" t="str">
        <f t="shared" si="393"/>
        <v>F</v>
      </c>
      <c r="F11941" t="str">
        <f t="shared" si="394"/>
        <v>5F</v>
      </c>
    </row>
    <row r="11942" spans="1:6" x14ac:dyDescent="0.2">
      <c r="A11942">
        <v>6</v>
      </c>
      <c r="E11942" t="str">
        <f t="shared" si="393"/>
        <v>G</v>
      </c>
      <c r="F11942" t="str">
        <f t="shared" si="394"/>
        <v>6G</v>
      </c>
    </row>
    <row r="11943" spans="1:6" x14ac:dyDescent="0.2">
      <c r="A11943">
        <v>7</v>
      </c>
      <c r="E11943" t="str">
        <f t="shared" si="393"/>
        <v>H</v>
      </c>
      <c r="F11943" t="str">
        <f t="shared" si="394"/>
        <v>7H</v>
      </c>
    </row>
    <row r="11944" spans="1:6" x14ac:dyDescent="0.2">
      <c r="A11944">
        <v>8</v>
      </c>
      <c r="E11944" t="str">
        <f t="shared" si="393"/>
        <v>I</v>
      </c>
      <c r="F11944" t="str">
        <f t="shared" si="394"/>
        <v>8I</v>
      </c>
    </row>
    <row r="11945" spans="1:6" x14ac:dyDescent="0.2">
      <c r="A11945">
        <v>9</v>
      </c>
      <c r="E11945" t="str">
        <f t="shared" si="393"/>
        <v>J</v>
      </c>
      <c r="F11945" t="str">
        <f t="shared" si="394"/>
        <v>9J</v>
      </c>
    </row>
    <row r="11946" spans="1:6" x14ac:dyDescent="0.2">
      <c r="A11946">
        <v>10</v>
      </c>
      <c r="E11946" t="str">
        <f t="shared" si="393"/>
        <v>K</v>
      </c>
      <c r="F11946" t="str">
        <f t="shared" si="394"/>
        <v>10K</v>
      </c>
    </row>
    <row r="11947" spans="1:6" x14ac:dyDescent="0.2">
      <c r="A11947">
        <v>11</v>
      </c>
      <c r="E11947" t="str">
        <f t="shared" si="393"/>
        <v>L</v>
      </c>
      <c r="F11947" t="str">
        <f t="shared" si="394"/>
        <v>11L</v>
      </c>
    </row>
    <row r="11948" spans="1:6" x14ac:dyDescent="0.2">
      <c r="A11948">
        <v>12</v>
      </c>
      <c r="E11948" t="str">
        <f t="shared" si="393"/>
        <v>M</v>
      </c>
      <c r="F11948" t="str">
        <f t="shared" si="394"/>
        <v>12M</v>
      </c>
    </row>
    <row r="11949" spans="1:6" x14ac:dyDescent="0.2">
      <c r="A11949">
        <v>13</v>
      </c>
      <c r="E11949" t="str">
        <f t="shared" si="393"/>
        <v>N</v>
      </c>
      <c r="F11949" t="str">
        <f t="shared" si="394"/>
        <v>13N</v>
      </c>
    </row>
    <row r="11950" spans="1:6" x14ac:dyDescent="0.2">
      <c r="A11950">
        <v>14</v>
      </c>
      <c r="E11950" t="str">
        <f t="shared" si="393"/>
        <v>O</v>
      </c>
      <c r="F11950" t="str">
        <f t="shared" si="394"/>
        <v>14O</v>
      </c>
    </row>
    <row r="11951" spans="1:6" x14ac:dyDescent="0.2">
      <c r="A11951">
        <v>15</v>
      </c>
      <c r="E11951" t="str">
        <f t="shared" si="393"/>
        <v>P</v>
      </c>
      <c r="F11951" t="str">
        <f t="shared" si="394"/>
        <v>15P</v>
      </c>
    </row>
    <row r="11952" spans="1:6" x14ac:dyDescent="0.2">
      <c r="A11952">
        <v>16</v>
      </c>
      <c r="E11952" t="str">
        <f t="shared" si="393"/>
        <v>Q</v>
      </c>
      <c r="F11952" t="str">
        <f t="shared" si="394"/>
        <v>16Q</v>
      </c>
    </row>
    <row r="11953" spans="1:6" x14ac:dyDescent="0.2">
      <c r="A11953">
        <v>17</v>
      </c>
      <c r="E11953" t="str">
        <f t="shared" si="393"/>
        <v>R</v>
      </c>
      <c r="F11953" t="str">
        <f t="shared" si="394"/>
        <v>17R</v>
      </c>
    </row>
    <row r="11954" spans="1:6" x14ac:dyDescent="0.2">
      <c r="A11954">
        <v>18</v>
      </c>
      <c r="E11954" t="str">
        <f t="shared" si="393"/>
        <v>S</v>
      </c>
      <c r="F11954" t="str">
        <f t="shared" si="394"/>
        <v>18S</v>
      </c>
    </row>
    <row r="11955" spans="1:6" x14ac:dyDescent="0.2">
      <c r="A11955">
        <v>19</v>
      </c>
      <c r="E11955" t="str">
        <f t="shared" si="393"/>
        <v>T</v>
      </c>
      <c r="F11955" t="str">
        <f t="shared" si="394"/>
        <v>19T</v>
      </c>
    </row>
    <row r="11956" spans="1:6" x14ac:dyDescent="0.2">
      <c r="A11956">
        <v>20</v>
      </c>
      <c r="E11956" t="str">
        <f t="shared" si="393"/>
        <v>U</v>
      </c>
      <c r="F11956" t="str">
        <f t="shared" si="394"/>
        <v>20U</v>
      </c>
    </row>
    <row r="11957" spans="1:6" x14ac:dyDescent="0.2">
      <c r="A11957">
        <v>21</v>
      </c>
      <c r="E11957" t="str">
        <f t="shared" si="393"/>
        <v>V</v>
      </c>
      <c r="F11957" t="str">
        <f t="shared" si="394"/>
        <v>21V</v>
      </c>
    </row>
    <row r="11958" spans="1:6" x14ac:dyDescent="0.2">
      <c r="A11958">
        <v>22</v>
      </c>
      <c r="E11958" t="str">
        <f t="shared" si="393"/>
        <v>W</v>
      </c>
      <c r="F11958" t="str">
        <f t="shared" si="394"/>
        <v>22W</v>
      </c>
    </row>
    <row r="11959" spans="1:6" x14ac:dyDescent="0.2">
      <c r="A11959">
        <v>23</v>
      </c>
      <c r="E11959" t="str">
        <f t="shared" si="393"/>
        <v>X</v>
      </c>
      <c r="F11959" t="str">
        <f t="shared" si="394"/>
        <v>23X</v>
      </c>
    </row>
    <row r="11960" spans="1:6" x14ac:dyDescent="0.2">
      <c r="A11960">
        <v>24</v>
      </c>
      <c r="E11960" t="str">
        <f t="shared" si="393"/>
        <v>Y</v>
      </c>
      <c r="F11960" t="str">
        <f t="shared" si="394"/>
        <v>24Y</v>
      </c>
    </row>
    <row r="11961" spans="1:6" x14ac:dyDescent="0.2">
      <c r="A11961">
        <v>25</v>
      </c>
      <c r="E11961" t="str">
        <f t="shared" si="393"/>
        <v>Z</v>
      </c>
      <c r="F11961" t="str">
        <f t="shared" si="394"/>
        <v>25Z</v>
      </c>
    </row>
    <row r="11962" spans="1:6" x14ac:dyDescent="0.2">
      <c r="A11962">
        <v>0</v>
      </c>
      <c r="E11962" t="str">
        <f t="shared" si="393"/>
        <v>A</v>
      </c>
      <c r="F11962" t="str">
        <f t="shared" si="394"/>
        <v>0A</v>
      </c>
    </row>
    <row r="11963" spans="1:6" x14ac:dyDescent="0.2">
      <c r="A11963">
        <v>1</v>
      </c>
      <c r="E11963" t="str">
        <f t="shared" si="393"/>
        <v>B</v>
      </c>
      <c r="F11963" t="str">
        <f t="shared" si="394"/>
        <v>1B</v>
      </c>
    </row>
    <row r="11964" spans="1:6" x14ac:dyDescent="0.2">
      <c r="A11964">
        <v>2</v>
      </c>
      <c r="E11964" t="str">
        <f t="shared" si="393"/>
        <v>C</v>
      </c>
      <c r="F11964" t="str">
        <f t="shared" si="394"/>
        <v>2C</v>
      </c>
    </row>
    <row r="11965" spans="1:6" x14ac:dyDescent="0.2">
      <c r="A11965">
        <v>3</v>
      </c>
      <c r="E11965" t="str">
        <f t="shared" si="393"/>
        <v>D</v>
      </c>
      <c r="F11965" t="str">
        <f t="shared" si="394"/>
        <v>3D</v>
      </c>
    </row>
    <row r="11966" spans="1:6" x14ac:dyDescent="0.2">
      <c r="A11966">
        <v>4</v>
      </c>
      <c r="E11966" t="str">
        <f t="shared" si="393"/>
        <v>E</v>
      </c>
      <c r="F11966" t="str">
        <f t="shared" si="394"/>
        <v>4E</v>
      </c>
    </row>
    <row r="11967" spans="1:6" x14ac:dyDescent="0.2">
      <c r="A11967">
        <v>5</v>
      </c>
      <c r="E11967" t="str">
        <f t="shared" si="393"/>
        <v>F</v>
      </c>
      <c r="F11967" t="str">
        <f t="shared" si="394"/>
        <v>5F</v>
      </c>
    </row>
    <row r="11968" spans="1:6" x14ac:dyDescent="0.2">
      <c r="A11968">
        <v>6</v>
      </c>
      <c r="E11968" t="str">
        <f t="shared" si="393"/>
        <v>G</v>
      </c>
      <c r="F11968" t="str">
        <f t="shared" si="394"/>
        <v>6G</v>
      </c>
    </row>
    <row r="11969" spans="1:6" x14ac:dyDescent="0.2">
      <c r="A11969">
        <v>7</v>
      </c>
      <c r="E11969" t="str">
        <f t="shared" si="393"/>
        <v>H</v>
      </c>
      <c r="F11969" t="str">
        <f t="shared" si="394"/>
        <v>7H</v>
      </c>
    </row>
    <row r="11970" spans="1:6" x14ac:dyDescent="0.2">
      <c r="A11970">
        <v>8</v>
      </c>
      <c r="E11970" t="str">
        <f t="shared" si="393"/>
        <v>I</v>
      </c>
      <c r="F11970" t="str">
        <f t="shared" si="394"/>
        <v>8I</v>
      </c>
    </row>
    <row r="11971" spans="1:6" x14ac:dyDescent="0.2">
      <c r="A11971">
        <v>9</v>
      </c>
      <c r="E11971" t="str">
        <f t="shared" si="393"/>
        <v>J</v>
      </c>
      <c r="F11971" t="str">
        <f t="shared" si="394"/>
        <v>9J</v>
      </c>
    </row>
    <row r="11972" spans="1:6" x14ac:dyDescent="0.2">
      <c r="A11972">
        <v>10</v>
      </c>
      <c r="E11972" t="str">
        <f t="shared" si="393"/>
        <v>K</v>
      </c>
      <c r="F11972" t="str">
        <f t="shared" si="394"/>
        <v>10K</v>
      </c>
    </row>
    <row r="11973" spans="1:6" x14ac:dyDescent="0.2">
      <c r="A11973">
        <v>11</v>
      </c>
      <c r="E11973" t="str">
        <f t="shared" si="393"/>
        <v>L</v>
      </c>
      <c r="F11973" t="str">
        <f t="shared" si="394"/>
        <v>11L</v>
      </c>
    </row>
    <row r="11974" spans="1:6" x14ac:dyDescent="0.2">
      <c r="A11974">
        <v>12</v>
      </c>
      <c r="E11974" t="str">
        <f t="shared" si="393"/>
        <v>M</v>
      </c>
      <c r="F11974" t="str">
        <f t="shared" si="394"/>
        <v>12M</v>
      </c>
    </row>
    <row r="11975" spans="1:6" x14ac:dyDescent="0.2">
      <c r="A11975">
        <v>13</v>
      </c>
      <c r="E11975" t="str">
        <f t="shared" si="393"/>
        <v>N</v>
      </c>
      <c r="F11975" t="str">
        <f t="shared" si="394"/>
        <v>13N</v>
      </c>
    </row>
    <row r="11976" spans="1:6" x14ac:dyDescent="0.2">
      <c r="A11976">
        <v>14</v>
      </c>
      <c r="E11976" t="str">
        <f t="shared" si="393"/>
        <v>O</v>
      </c>
      <c r="F11976" t="str">
        <f t="shared" si="394"/>
        <v>14O</v>
      </c>
    </row>
    <row r="11977" spans="1:6" x14ac:dyDescent="0.2">
      <c r="A11977">
        <v>15</v>
      </c>
      <c r="E11977" t="str">
        <f t="shared" si="393"/>
        <v>P</v>
      </c>
      <c r="F11977" t="str">
        <f t="shared" si="394"/>
        <v>15P</v>
      </c>
    </row>
    <row r="11978" spans="1:6" x14ac:dyDescent="0.2">
      <c r="A11978">
        <v>16</v>
      </c>
      <c r="E11978" t="str">
        <f t="shared" si="393"/>
        <v>Q</v>
      </c>
      <c r="F11978" t="str">
        <f t="shared" si="394"/>
        <v>16Q</v>
      </c>
    </row>
    <row r="11979" spans="1:6" x14ac:dyDescent="0.2">
      <c r="A11979">
        <v>17</v>
      </c>
      <c r="E11979" t="str">
        <f t="shared" si="393"/>
        <v>R</v>
      </c>
      <c r="F11979" t="str">
        <f t="shared" si="394"/>
        <v>17R</v>
      </c>
    </row>
    <row r="11980" spans="1:6" x14ac:dyDescent="0.2">
      <c r="A11980">
        <v>18</v>
      </c>
      <c r="E11980" t="str">
        <f t="shared" si="393"/>
        <v>S</v>
      </c>
      <c r="F11980" t="str">
        <f t="shared" si="394"/>
        <v>18S</v>
      </c>
    </row>
    <row r="11981" spans="1:6" x14ac:dyDescent="0.2">
      <c r="A11981">
        <v>19</v>
      </c>
      <c r="E11981" t="str">
        <f t="shared" si="393"/>
        <v>T</v>
      </c>
      <c r="F11981" t="str">
        <f t="shared" si="394"/>
        <v>19T</v>
      </c>
    </row>
    <row r="11982" spans="1:6" x14ac:dyDescent="0.2">
      <c r="A11982">
        <v>20</v>
      </c>
      <c r="E11982" t="str">
        <f t="shared" si="393"/>
        <v>U</v>
      </c>
      <c r="F11982" t="str">
        <f t="shared" si="394"/>
        <v>20U</v>
      </c>
    </row>
    <row r="11983" spans="1:6" x14ac:dyDescent="0.2">
      <c r="A11983">
        <v>21</v>
      </c>
      <c r="E11983" t="str">
        <f t="shared" si="393"/>
        <v>V</v>
      </c>
      <c r="F11983" t="str">
        <f t="shared" si="394"/>
        <v>21V</v>
      </c>
    </row>
    <row r="11984" spans="1:6" x14ac:dyDescent="0.2">
      <c r="A11984">
        <v>22</v>
      </c>
      <c r="E11984" t="str">
        <f t="shared" si="393"/>
        <v>W</v>
      </c>
      <c r="F11984" t="str">
        <f t="shared" si="394"/>
        <v>22W</v>
      </c>
    </row>
    <row r="11985" spans="1:6" x14ac:dyDescent="0.2">
      <c r="A11985">
        <v>23</v>
      </c>
      <c r="E11985" t="str">
        <f t="shared" si="393"/>
        <v>X</v>
      </c>
      <c r="F11985" t="str">
        <f t="shared" si="394"/>
        <v>23X</v>
      </c>
    </row>
    <row r="11986" spans="1:6" x14ac:dyDescent="0.2">
      <c r="A11986">
        <v>24</v>
      </c>
      <c r="E11986" t="str">
        <f t="shared" si="393"/>
        <v>Y</v>
      </c>
      <c r="F11986" t="str">
        <f t="shared" si="394"/>
        <v>24Y</v>
      </c>
    </row>
    <row r="11987" spans="1:6" x14ac:dyDescent="0.2">
      <c r="A11987">
        <v>25</v>
      </c>
      <c r="E11987" t="str">
        <f t="shared" si="393"/>
        <v>Z</v>
      </c>
      <c r="F11987" t="str">
        <f t="shared" si="394"/>
        <v>25Z</v>
      </c>
    </row>
    <row r="11988" spans="1:6" x14ac:dyDescent="0.2">
      <c r="A11988">
        <v>0</v>
      </c>
      <c r="E11988" t="str">
        <f t="shared" si="393"/>
        <v>A</v>
      </c>
      <c r="F11988" t="str">
        <f t="shared" si="394"/>
        <v>0A</v>
      </c>
    </row>
    <row r="11989" spans="1:6" x14ac:dyDescent="0.2">
      <c r="A11989">
        <v>1</v>
      </c>
      <c r="E11989" t="str">
        <f t="shared" ref="E11989:E12052" si="395">E11963</f>
        <v>B</v>
      </c>
      <c r="F11989" t="str">
        <f t="shared" si="394"/>
        <v>1B</v>
      </c>
    </row>
    <row r="11990" spans="1:6" x14ac:dyDescent="0.2">
      <c r="A11990">
        <v>2</v>
      </c>
      <c r="E11990" t="str">
        <f t="shared" si="395"/>
        <v>C</v>
      </c>
      <c r="F11990" t="str">
        <f t="shared" si="394"/>
        <v>2C</v>
      </c>
    </row>
    <row r="11991" spans="1:6" x14ac:dyDescent="0.2">
      <c r="A11991">
        <v>3</v>
      </c>
      <c r="E11991" t="str">
        <f t="shared" si="395"/>
        <v>D</v>
      </c>
      <c r="F11991" t="str">
        <f t="shared" ref="F11991:F12054" si="396">A11991&amp;C11991&amp;E11991</f>
        <v>3D</v>
      </c>
    </row>
    <row r="11992" spans="1:6" x14ac:dyDescent="0.2">
      <c r="A11992">
        <v>4</v>
      </c>
      <c r="E11992" t="str">
        <f t="shared" si="395"/>
        <v>E</v>
      </c>
      <c r="F11992" t="str">
        <f t="shared" si="396"/>
        <v>4E</v>
      </c>
    </row>
    <row r="11993" spans="1:6" x14ac:dyDescent="0.2">
      <c r="A11993">
        <v>5</v>
      </c>
      <c r="E11993" t="str">
        <f t="shared" si="395"/>
        <v>F</v>
      </c>
      <c r="F11993" t="str">
        <f t="shared" si="396"/>
        <v>5F</v>
      </c>
    </row>
    <row r="11994" spans="1:6" x14ac:dyDescent="0.2">
      <c r="A11994">
        <v>6</v>
      </c>
      <c r="E11994" t="str">
        <f t="shared" si="395"/>
        <v>G</v>
      </c>
      <c r="F11994" t="str">
        <f t="shared" si="396"/>
        <v>6G</v>
      </c>
    </row>
    <row r="11995" spans="1:6" x14ac:dyDescent="0.2">
      <c r="A11995">
        <v>7</v>
      </c>
      <c r="E11995" t="str">
        <f t="shared" si="395"/>
        <v>H</v>
      </c>
      <c r="F11995" t="str">
        <f t="shared" si="396"/>
        <v>7H</v>
      </c>
    </row>
    <row r="11996" spans="1:6" x14ac:dyDescent="0.2">
      <c r="A11996">
        <v>8</v>
      </c>
      <c r="E11996" t="str">
        <f t="shared" si="395"/>
        <v>I</v>
      </c>
      <c r="F11996" t="str">
        <f t="shared" si="396"/>
        <v>8I</v>
      </c>
    </row>
    <row r="11997" spans="1:6" x14ac:dyDescent="0.2">
      <c r="A11997">
        <v>9</v>
      </c>
      <c r="E11997" t="str">
        <f t="shared" si="395"/>
        <v>J</v>
      </c>
      <c r="F11997" t="str">
        <f t="shared" si="396"/>
        <v>9J</v>
      </c>
    </row>
    <row r="11998" spans="1:6" x14ac:dyDescent="0.2">
      <c r="A11998">
        <v>10</v>
      </c>
      <c r="E11998" t="str">
        <f t="shared" si="395"/>
        <v>K</v>
      </c>
      <c r="F11998" t="str">
        <f t="shared" si="396"/>
        <v>10K</v>
      </c>
    </row>
    <row r="11999" spans="1:6" x14ac:dyDescent="0.2">
      <c r="A11999">
        <v>11</v>
      </c>
      <c r="E11999" t="str">
        <f t="shared" si="395"/>
        <v>L</v>
      </c>
      <c r="F11999" t="str">
        <f t="shared" si="396"/>
        <v>11L</v>
      </c>
    </row>
    <row r="12000" spans="1:6" x14ac:dyDescent="0.2">
      <c r="A12000">
        <v>12</v>
      </c>
      <c r="E12000" t="str">
        <f t="shared" si="395"/>
        <v>M</v>
      </c>
      <c r="F12000" t="str">
        <f t="shared" si="396"/>
        <v>12M</v>
      </c>
    </row>
    <row r="12001" spans="1:6" x14ac:dyDescent="0.2">
      <c r="A12001">
        <v>13</v>
      </c>
      <c r="E12001" t="str">
        <f t="shared" si="395"/>
        <v>N</v>
      </c>
      <c r="F12001" t="str">
        <f t="shared" si="396"/>
        <v>13N</v>
      </c>
    </row>
    <row r="12002" spans="1:6" x14ac:dyDescent="0.2">
      <c r="A12002">
        <v>14</v>
      </c>
      <c r="E12002" t="str">
        <f t="shared" si="395"/>
        <v>O</v>
      </c>
      <c r="F12002" t="str">
        <f t="shared" si="396"/>
        <v>14O</v>
      </c>
    </row>
    <row r="12003" spans="1:6" x14ac:dyDescent="0.2">
      <c r="A12003">
        <v>15</v>
      </c>
      <c r="E12003" t="str">
        <f t="shared" si="395"/>
        <v>P</v>
      </c>
      <c r="F12003" t="str">
        <f t="shared" si="396"/>
        <v>15P</v>
      </c>
    </row>
    <row r="12004" spans="1:6" x14ac:dyDescent="0.2">
      <c r="A12004">
        <v>16</v>
      </c>
      <c r="E12004" t="str">
        <f t="shared" si="395"/>
        <v>Q</v>
      </c>
      <c r="F12004" t="str">
        <f t="shared" si="396"/>
        <v>16Q</v>
      </c>
    </row>
    <row r="12005" spans="1:6" x14ac:dyDescent="0.2">
      <c r="A12005">
        <v>17</v>
      </c>
      <c r="E12005" t="str">
        <f t="shared" si="395"/>
        <v>R</v>
      </c>
      <c r="F12005" t="str">
        <f t="shared" si="396"/>
        <v>17R</v>
      </c>
    </row>
    <row r="12006" spans="1:6" x14ac:dyDescent="0.2">
      <c r="A12006">
        <v>18</v>
      </c>
      <c r="E12006" t="str">
        <f t="shared" si="395"/>
        <v>S</v>
      </c>
      <c r="F12006" t="str">
        <f t="shared" si="396"/>
        <v>18S</v>
      </c>
    </row>
    <row r="12007" spans="1:6" x14ac:dyDescent="0.2">
      <c r="A12007">
        <v>19</v>
      </c>
      <c r="E12007" t="str">
        <f t="shared" si="395"/>
        <v>T</v>
      </c>
      <c r="F12007" t="str">
        <f t="shared" si="396"/>
        <v>19T</v>
      </c>
    </row>
    <row r="12008" spans="1:6" x14ac:dyDescent="0.2">
      <c r="A12008">
        <v>20</v>
      </c>
      <c r="E12008" t="str">
        <f t="shared" si="395"/>
        <v>U</v>
      </c>
      <c r="F12008" t="str">
        <f t="shared" si="396"/>
        <v>20U</v>
      </c>
    </row>
    <row r="12009" spans="1:6" x14ac:dyDescent="0.2">
      <c r="A12009">
        <v>21</v>
      </c>
      <c r="E12009" t="str">
        <f t="shared" si="395"/>
        <v>V</v>
      </c>
      <c r="F12009" t="str">
        <f t="shared" si="396"/>
        <v>21V</v>
      </c>
    </row>
    <row r="12010" spans="1:6" x14ac:dyDescent="0.2">
      <c r="A12010">
        <v>22</v>
      </c>
      <c r="E12010" t="str">
        <f t="shared" si="395"/>
        <v>W</v>
      </c>
      <c r="F12010" t="str">
        <f t="shared" si="396"/>
        <v>22W</v>
      </c>
    </row>
    <row r="12011" spans="1:6" x14ac:dyDescent="0.2">
      <c r="A12011">
        <v>23</v>
      </c>
      <c r="E12011" t="str">
        <f t="shared" si="395"/>
        <v>X</v>
      </c>
      <c r="F12011" t="str">
        <f t="shared" si="396"/>
        <v>23X</v>
      </c>
    </row>
    <row r="12012" spans="1:6" x14ac:dyDescent="0.2">
      <c r="A12012">
        <v>24</v>
      </c>
      <c r="E12012" t="str">
        <f t="shared" si="395"/>
        <v>Y</v>
      </c>
      <c r="F12012" t="str">
        <f t="shared" si="396"/>
        <v>24Y</v>
      </c>
    </row>
    <row r="12013" spans="1:6" x14ac:dyDescent="0.2">
      <c r="A12013">
        <v>25</v>
      </c>
      <c r="E12013" t="str">
        <f t="shared" si="395"/>
        <v>Z</v>
      </c>
      <c r="F12013" t="str">
        <f t="shared" si="396"/>
        <v>25Z</v>
      </c>
    </row>
    <row r="12014" spans="1:6" x14ac:dyDescent="0.2">
      <c r="A12014">
        <v>0</v>
      </c>
      <c r="E12014" t="str">
        <f t="shared" si="395"/>
        <v>A</v>
      </c>
      <c r="F12014" t="str">
        <f t="shared" si="396"/>
        <v>0A</v>
      </c>
    </row>
    <row r="12015" spans="1:6" x14ac:dyDescent="0.2">
      <c r="A12015">
        <v>1</v>
      </c>
      <c r="E12015" t="str">
        <f t="shared" si="395"/>
        <v>B</v>
      </c>
      <c r="F12015" t="str">
        <f t="shared" si="396"/>
        <v>1B</v>
      </c>
    </row>
    <row r="12016" spans="1:6" x14ac:dyDescent="0.2">
      <c r="A12016">
        <v>2</v>
      </c>
      <c r="E12016" t="str">
        <f t="shared" si="395"/>
        <v>C</v>
      </c>
      <c r="F12016" t="str">
        <f t="shared" si="396"/>
        <v>2C</v>
      </c>
    </row>
    <row r="12017" spans="1:6" x14ac:dyDescent="0.2">
      <c r="A12017">
        <v>3</v>
      </c>
      <c r="E12017" t="str">
        <f t="shared" si="395"/>
        <v>D</v>
      </c>
      <c r="F12017" t="str">
        <f t="shared" si="396"/>
        <v>3D</v>
      </c>
    </row>
    <row r="12018" spans="1:6" x14ac:dyDescent="0.2">
      <c r="A12018">
        <v>4</v>
      </c>
      <c r="E12018" t="str">
        <f t="shared" si="395"/>
        <v>E</v>
      </c>
      <c r="F12018" t="str">
        <f t="shared" si="396"/>
        <v>4E</v>
      </c>
    </row>
    <row r="12019" spans="1:6" x14ac:dyDescent="0.2">
      <c r="A12019">
        <v>5</v>
      </c>
      <c r="E12019" t="str">
        <f t="shared" si="395"/>
        <v>F</v>
      </c>
      <c r="F12019" t="str">
        <f t="shared" si="396"/>
        <v>5F</v>
      </c>
    </row>
    <row r="12020" spans="1:6" x14ac:dyDescent="0.2">
      <c r="A12020">
        <v>6</v>
      </c>
      <c r="E12020" t="str">
        <f t="shared" si="395"/>
        <v>G</v>
      </c>
      <c r="F12020" t="str">
        <f t="shared" si="396"/>
        <v>6G</v>
      </c>
    </row>
    <row r="12021" spans="1:6" x14ac:dyDescent="0.2">
      <c r="A12021">
        <v>7</v>
      </c>
      <c r="E12021" t="str">
        <f t="shared" si="395"/>
        <v>H</v>
      </c>
      <c r="F12021" t="str">
        <f t="shared" si="396"/>
        <v>7H</v>
      </c>
    </row>
    <row r="12022" spans="1:6" x14ac:dyDescent="0.2">
      <c r="A12022">
        <v>8</v>
      </c>
      <c r="E12022" t="str">
        <f t="shared" si="395"/>
        <v>I</v>
      </c>
      <c r="F12022" t="str">
        <f t="shared" si="396"/>
        <v>8I</v>
      </c>
    </row>
    <row r="12023" spans="1:6" x14ac:dyDescent="0.2">
      <c r="A12023">
        <v>9</v>
      </c>
      <c r="E12023" t="str">
        <f t="shared" si="395"/>
        <v>J</v>
      </c>
      <c r="F12023" t="str">
        <f t="shared" si="396"/>
        <v>9J</v>
      </c>
    </row>
    <row r="12024" spans="1:6" x14ac:dyDescent="0.2">
      <c r="A12024">
        <v>10</v>
      </c>
      <c r="E12024" t="str">
        <f t="shared" si="395"/>
        <v>K</v>
      </c>
      <c r="F12024" t="str">
        <f t="shared" si="396"/>
        <v>10K</v>
      </c>
    </row>
    <row r="12025" spans="1:6" x14ac:dyDescent="0.2">
      <c r="A12025">
        <v>11</v>
      </c>
      <c r="E12025" t="str">
        <f t="shared" si="395"/>
        <v>L</v>
      </c>
      <c r="F12025" t="str">
        <f t="shared" si="396"/>
        <v>11L</v>
      </c>
    </row>
    <row r="12026" spans="1:6" x14ac:dyDescent="0.2">
      <c r="A12026">
        <v>12</v>
      </c>
      <c r="E12026" t="str">
        <f t="shared" si="395"/>
        <v>M</v>
      </c>
      <c r="F12026" t="str">
        <f t="shared" si="396"/>
        <v>12M</v>
      </c>
    </row>
    <row r="12027" spans="1:6" x14ac:dyDescent="0.2">
      <c r="A12027">
        <v>13</v>
      </c>
      <c r="E12027" t="str">
        <f t="shared" si="395"/>
        <v>N</v>
      </c>
      <c r="F12027" t="str">
        <f t="shared" si="396"/>
        <v>13N</v>
      </c>
    </row>
    <row r="12028" spans="1:6" x14ac:dyDescent="0.2">
      <c r="A12028">
        <v>14</v>
      </c>
      <c r="E12028" t="str">
        <f t="shared" si="395"/>
        <v>O</v>
      </c>
      <c r="F12028" t="str">
        <f t="shared" si="396"/>
        <v>14O</v>
      </c>
    </row>
    <row r="12029" spans="1:6" x14ac:dyDescent="0.2">
      <c r="A12029">
        <v>15</v>
      </c>
      <c r="E12029" t="str">
        <f t="shared" si="395"/>
        <v>P</v>
      </c>
      <c r="F12029" t="str">
        <f t="shared" si="396"/>
        <v>15P</v>
      </c>
    </row>
    <row r="12030" spans="1:6" x14ac:dyDescent="0.2">
      <c r="A12030">
        <v>16</v>
      </c>
      <c r="E12030" t="str">
        <f t="shared" si="395"/>
        <v>Q</v>
      </c>
      <c r="F12030" t="str">
        <f t="shared" si="396"/>
        <v>16Q</v>
      </c>
    </row>
    <row r="12031" spans="1:6" x14ac:dyDescent="0.2">
      <c r="A12031">
        <v>17</v>
      </c>
      <c r="E12031" t="str">
        <f t="shared" si="395"/>
        <v>R</v>
      </c>
      <c r="F12031" t="str">
        <f t="shared" si="396"/>
        <v>17R</v>
      </c>
    </row>
    <row r="12032" spans="1:6" x14ac:dyDescent="0.2">
      <c r="A12032">
        <v>18</v>
      </c>
      <c r="E12032" t="str">
        <f t="shared" si="395"/>
        <v>S</v>
      </c>
      <c r="F12032" t="str">
        <f t="shared" si="396"/>
        <v>18S</v>
      </c>
    </row>
    <row r="12033" spans="1:6" x14ac:dyDescent="0.2">
      <c r="A12033">
        <v>19</v>
      </c>
      <c r="E12033" t="str">
        <f t="shared" si="395"/>
        <v>T</v>
      </c>
      <c r="F12033" t="str">
        <f t="shared" si="396"/>
        <v>19T</v>
      </c>
    </row>
    <row r="12034" spans="1:6" x14ac:dyDescent="0.2">
      <c r="A12034">
        <v>20</v>
      </c>
      <c r="E12034" t="str">
        <f t="shared" si="395"/>
        <v>U</v>
      </c>
      <c r="F12034" t="str">
        <f t="shared" si="396"/>
        <v>20U</v>
      </c>
    </row>
    <row r="12035" spans="1:6" x14ac:dyDescent="0.2">
      <c r="A12035">
        <v>21</v>
      </c>
      <c r="E12035" t="str">
        <f t="shared" si="395"/>
        <v>V</v>
      </c>
      <c r="F12035" t="str">
        <f t="shared" si="396"/>
        <v>21V</v>
      </c>
    </row>
    <row r="12036" spans="1:6" x14ac:dyDescent="0.2">
      <c r="A12036">
        <v>22</v>
      </c>
      <c r="E12036" t="str">
        <f t="shared" si="395"/>
        <v>W</v>
      </c>
      <c r="F12036" t="str">
        <f t="shared" si="396"/>
        <v>22W</v>
      </c>
    </row>
    <row r="12037" spans="1:6" x14ac:dyDescent="0.2">
      <c r="A12037">
        <v>23</v>
      </c>
      <c r="E12037" t="str">
        <f t="shared" si="395"/>
        <v>X</v>
      </c>
      <c r="F12037" t="str">
        <f t="shared" si="396"/>
        <v>23X</v>
      </c>
    </row>
    <row r="12038" spans="1:6" x14ac:dyDescent="0.2">
      <c r="A12038">
        <v>24</v>
      </c>
      <c r="E12038" t="str">
        <f t="shared" si="395"/>
        <v>Y</v>
      </c>
      <c r="F12038" t="str">
        <f t="shared" si="396"/>
        <v>24Y</v>
      </c>
    </row>
    <row r="12039" spans="1:6" x14ac:dyDescent="0.2">
      <c r="A12039">
        <v>25</v>
      </c>
      <c r="E12039" t="str">
        <f t="shared" si="395"/>
        <v>Z</v>
      </c>
      <c r="F12039" t="str">
        <f t="shared" si="396"/>
        <v>25Z</v>
      </c>
    </row>
    <row r="12040" spans="1:6" x14ac:dyDescent="0.2">
      <c r="A12040">
        <v>0</v>
      </c>
      <c r="E12040" t="str">
        <f t="shared" si="395"/>
        <v>A</v>
      </c>
      <c r="F12040" t="str">
        <f t="shared" si="396"/>
        <v>0A</v>
      </c>
    </row>
    <row r="12041" spans="1:6" x14ac:dyDescent="0.2">
      <c r="A12041">
        <v>1</v>
      </c>
      <c r="E12041" t="str">
        <f t="shared" si="395"/>
        <v>B</v>
      </c>
      <c r="F12041" t="str">
        <f t="shared" si="396"/>
        <v>1B</v>
      </c>
    </row>
    <row r="12042" spans="1:6" x14ac:dyDescent="0.2">
      <c r="A12042">
        <v>2</v>
      </c>
      <c r="E12042" t="str">
        <f t="shared" si="395"/>
        <v>C</v>
      </c>
      <c r="F12042" t="str">
        <f t="shared" si="396"/>
        <v>2C</v>
      </c>
    </row>
    <row r="12043" spans="1:6" x14ac:dyDescent="0.2">
      <c r="A12043">
        <v>3</v>
      </c>
      <c r="E12043" t="str">
        <f t="shared" si="395"/>
        <v>D</v>
      </c>
      <c r="F12043" t="str">
        <f t="shared" si="396"/>
        <v>3D</v>
      </c>
    </row>
    <row r="12044" spans="1:6" x14ac:dyDescent="0.2">
      <c r="A12044">
        <v>4</v>
      </c>
      <c r="E12044" t="str">
        <f t="shared" si="395"/>
        <v>E</v>
      </c>
      <c r="F12044" t="str">
        <f t="shared" si="396"/>
        <v>4E</v>
      </c>
    </row>
    <row r="12045" spans="1:6" x14ac:dyDescent="0.2">
      <c r="A12045">
        <v>5</v>
      </c>
      <c r="E12045" t="str">
        <f t="shared" si="395"/>
        <v>F</v>
      </c>
      <c r="F12045" t="str">
        <f t="shared" si="396"/>
        <v>5F</v>
      </c>
    </row>
    <row r="12046" spans="1:6" x14ac:dyDescent="0.2">
      <c r="A12046">
        <v>6</v>
      </c>
      <c r="E12046" t="str">
        <f t="shared" si="395"/>
        <v>G</v>
      </c>
      <c r="F12046" t="str">
        <f t="shared" si="396"/>
        <v>6G</v>
      </c>
    </row>
    <row r="12047" spans="1:6" x14ac:dyDescent="0.2">
      <c r="A12047">
        <v>7</v>
      </c>
      <c r="E12047" t="str">
        <f t="shared" si="395"/>
        <v>H</v>
      </c>
      <c r="F12047" t="str">
        <f t="shared" si="396"/>
        <v>7H</v>
      </c>
    </row>
    <row r="12048" spans="1:6" x14ac:dyDescent="0.2">
      <c r="A12048">
        <v>8</v>
      </c>
      <c r="E12048" t="str">
        <f t="shared" si="395"/>
        <v>I</v>
      </c>
      <c r="F12048" t="str">
        <f t="shared" si="396"/>
        <v>8I</v>
      </c>
    </row>
    <row r="12049" spans="1:6" x14ac:dyDescent="0.2">
      <c r="A12049">
        <v>9</v>
      </c>
      <c r="E12049" t="str">
        <f t="shared" si="395"/>
        <v>J</v>
      </c>
      <c r="F12049" t="str">
        <f t="shared" si="396"/>
        <v>9J</v>
      </c>
    </row>
    <row r="12050" spans="1:6" x14ac:dyDescent="0.2">
      <c r="A12050">
        <v>10</v>
      </c>
      <c r="E12050" t="str">
        <f t="shared" si="395"/>
        <v>K</v>
      </c>
      <c r="F12050" t="str">
        <f t="shared" si="396"/>
        <v>10K</v>
      </c>
    </row>
    <row r="12051" spans="1:6" x14ac:dyDescent="0.2">
      <c r="A12051">
        <v>11</v>
      </c>
      <c r="E12051" t="str">
        <f t="shared" si="395"/>
        <v>L</v>
      </c>
      <c r="F12051" t="str">
        <f t="shared" si="396"/>
        <v>11L</v>
      </c>
    </row>
    <row r="12052" spans="1:6" x14ac:dyDescent="0.2">
      <c r="A12052">
        <v>12</v>
      </c>
      <c r="E12052" t="str">
        <f t="shared" si="395"/>
        <v>M</v>
      </c>
      <c r="F12052" t="str">
        <f t="shared" si="396"/>
        <v>12M</v>
      </c>
    </row>
    <row r="12053" spans="1:6" x14ac:dyDescent="0.2">
      <c r="A12053">
        <v>13</v>
      </c>
      <c r="E12053" t="str">
        <f t="shared" ref="E12053:E12116" si="397">E12027</f>
        <v>N</v>
      </c>
      <c r="F12053" t="str">
        <f t="shared" si="396"/>
        <v>13N</v>
      </c>
    </row>
    <row r="12054" spans="1:6" x14ac:dyDescent="0.2">
      <c r="A12054">
        <v>14</v>
      </c>
      <c r="E12054" t="str">
        <f t="shared" si="397"/>
        <v>O</v>
      </c>
      <c r="F12054" t="str">
        <f t="shared" si="396"/>
        <v>14O</v>
      </c>
    </row>
    <row r="12055" spans="1:6" x14ac:dyDescent="0.2">
      <c r="A12055">
        <v>15</v>
      </c>
      <c r="E12055" t="str">
        <f t="shared" si="397"/>
        <v>P</v>
      </c>
      <c r="F12055" t="str">
        <f t="shared" ref="F12055:F12118" si="398">A12055&amp;C12055&amp;E12055</f>
        <v>15P</v>
      </c>
    </row>
    <row r="12056" spans="1:6" x14ac:dyDescent="0.2">
      <c r="A12056">
        <v>16</v>
      </c>
      <c r="E12056" t="str">
        <f t="shared" si="397"/>
        <v>Q</v>
      </c>
      <c r="F12056" t="str">
        <f t="shared" si="398"/>
        <v>16Q</v>
      </c>
    </row>
    <row r="12057" spans="1:6" x14ac:dyDescent="0.2">
      <c r="A12057">
        <v>17</v>
      </c>
      <c r="E12057" t="str">
        <f t="shared" si="397"/>
        <v>R</v>
      </c>
      <c r="F12057" t="str">
        <f t="shared" si="398"/>
        <v>17R</v>
      </c>
    </row>
    <row r="12058" spans="1:6" x14ac:dyDescent="0.2">
      <c r="A12058">
        <v>18</v>
      </c>
      <c r="E12058" t="str">
        <f t="shared" si="397"/>
        <v>S</v>
      </c>
      <c r="F12058" t="str">
        <f t="shared" si="398"/>
        <v>18S</v>
      </c>
    </row>
    <row r="12059" spans="1:6" x14ac:dyDescent="0.2">
      <c r="A12059">
        <v>19</v>
      </c>
      <c r="E12059" t="str">
        <f t="shared" si="397"/>
        <v>T</v>
      </c>
      <c r="F12059" t="str">
        <f t="shared" si="398"/>
        <v>19T</v>
      </c>
    </row>
    <row r="12060" spans="1:6" x14ac:dyDescent="0.2">
      <c r="A12060">
        <v>20</v>
      </c>
      <c r="E12060" t="str">
        <f t="shared" si="397"/>
        <v>U</v>
      </c>
      <c r="F12060" t="str">
        <f t="shared" si="398"/>
        <v>20U</v>
      </c>
    </row>
    <row r="12061" spans="1:6" x14ac:dyDescent="0.2">
      <c r="A12061">
        <v>21</v>
      </c>
      <c r="E12061" t="str">
        <f t="shared" si="397"/>
        <v>V</v>
      </c>
      <c r="F12061" t="str">
        <f t="shared" si="398"/>
        <v>21V</v>
      </c>
    </row>
    <row r="12062" spans="1:6" x14ac:dyDescent="0.2">
      <c r="A12062">
        <v>22</v>
      </c>
      <c r="E12062" t="str">
        <f t="shared" si="397"/>
        <v>W</v>
      </c>
      <c r="F12062" t="str">
        <f t="shared" si="398"/>
        <v>22W</v>
      </c>
    </row>
    <row r="12063" spans="1:6" x14ac:dyDescent="0.2">
      <c r="A12063">
        <v>23</v>
      </c>
      <c r="E12063" t="str">
        <f t="shared" si="397"/>
        <v>X</v>
      </c>
      <c r="F12063" t="str">
        <f t="shared" si="398"/>
        <v>23X</v>
      </c>
    </row>
    <row r="12064" spans="1:6" x14ac:dyDescent="0.2">
      <c r="A12064">
        <v>24</v>
      </c>
      <c r="E12064" t="str">
        <f t="shared" si="397"/>
        <v>Y</v>
      </c>
      <c r="F12064" t="str">
        <f t="shared" si="398"/>
        <v>24Y</v>
      </c>
    </row>
    <row r="12065" spans="1:6" x14ac:dyDescent="0.2">
      <c r="A12065">
        <v>25</v>
      </c>
      <c r="E12065" t="str">
        <f t="shared" si="397"/>
        <v>Z</v>
      </c>
      <c r="F12065" t="str">
        <f t="shared" si="398"/>
        <v>25Z</v>
      </c>
    </row>
    <row r="12066" spans="1:6" x14ac:dyDescent="0.2">
      <c r="A12066">
        <v>0</v>
      </c>
      <c r="E12066" t="str">
        <f t="shared" si="397"/>
        <v>A</v>
      </c>
      <c r="F12066" t="str">
        <f t="shared" si="398"/>
        <v>0A</v>
      </c>
    </row>
    <row r="12067" spans="1:6" x14ac:dyDescent="0.2">
      <c r="A12067">
        <v>1</v>
      </c>
      <c r="E12067" t="str">
        <f t="shared" si="397"/>
        <v>B</v>
      </c>
      <c r="F12067" t="str">
        <f t="shared" si="398"/>
        <v>1B</v>
      </c>
    </row>
    <row r="12068" spans="1:6" x14ac:dyDescent="0.2">
      <c r="A12068">
        <v>2</v>
      </c>
      <c r="E12068" t="str">
        <f t="shared" si="397"/>
        <v>C</v>
      </c>
      <c r="F12068" t="str">
        <f t="shared" si="398"/>
        <v>2C</v>
      </c>
    </row>
    <row r="12069" spans="1:6" x14ac:dyDescent="0.2">
      <c r="A12069">
        <v>3</v>
      </c>
      <c r="E12069" t="str">
        <f t="shared" si="397"/>
        <v>D</v>
      </c>
      <c r="F12069" t="str">
        <f t="shared" si="398"/>
        <v>3D</v>
      </c>
    </row>
    <row r="12070" spans="1:6" x14ac:dyDescent="0.2">
      <c r="A12070">
        <v>4</v>
      </c>
      <c r="E12070" t="str">
        <f t="shared" si="397"/>
        <v>E</v>
      </c>
      <c r="F12070" t="str">
        <f t="shared" si="398"/>
        <v>4E</v>
      </c>
    </row>
    <row r="12071" spans="1:6" x14ac:dyDescent="0.2">
      <c r="A12071">
        <v>5</v>
      </c>
      <c r="E12071" t="str">
        <f t="shared" si="397"/>
        <v>F</v>
      </c>
      <c r="F12071" t="str">
        <f t="shared" si="398"/>
        <v>5F</v>
      </c>
    </row>
    <row r="12072" spans="1:6" x14ac:dyDescent="0.2">
      <c r="A12072">
        <v>6</v>
      </c>
      <c r="E12072" t="str">
        <f t="shared" si="397"/>
        <v>G</v>
      </c>
      <c r="F12072" t="str">
        <f t="shared" si="398"/>
        <v>6G</v>
      </c>
    </row>
    <row r="12073" spans="1:6" x14ac:dyDescent="0.2">
      <c r="A12073">
        <v>7</v>
      </c>
      <c r="E12073" t="str">
        <f t="shared" si="397"/>
        <v>H</v>
      </c>
      <c r="F12073" t="str">
        <f t="shared" si="398"/>
        <v>7H</v>
      </c>
    </row>
    <row r="12074" spans="1:6" x14ac:dyDescent="0.2">
      <c r="A12074">
        <v>8</v>
      </c>
      <c r="E12074" t="str">
        <f t="shared" si="397"/>
        <v>I</v>
      </c>
      <c r="F12074" t="str">
        <f t="shared" si="398"/>
        <v>8I</v>
      </c>
    </row>
    <row r="12075" spans="1:6" x14ac:dyDescent="0.2">
      <c r="A12075">
        <v>9</v>
      </c>
      <c r="E12075" t="str">
        <f t="shared" si="397"/>
        <v>J</v>
      </c>
      <c r="F12075" t="str">
        <f t="shared" si="398"/>
        <v>9J</v>
      </c>
    </row>
    <row r="12076" spans="1:6" x14ac:dyDescent="0.2">
      <c r="A12076">
        <v>10</v>
      </c>
      <c r="E12076" t="str">
        <f t="shared" si="397"/>
        <v>K</v>
      </c>
      <c r="F12076" t="str">
        <f t="shared" si="398"/>
        <v>10K</v>
      </c>
    </row>
    <row r="12077" spans="1:6" x14ac:dyDescent="0.2">
      <c r="A12077">
        <v>11</v>
      </c>
      <c r="E12077" t="str">
        <f t="shared" si="397"/>
        <v>L</v>
      </c>
      <c r="F12077" t="str">
        <f t="shared" si="398"/>
        <v>11L</v>
      </c>
    </row>
    <row r="12078" spans="1:6" x14ac:dyDescent="0.2">
      <c r="A12078">
        <v>12</v>
      </c>
      <c r="E12078" t="str">
        <f t="shared" si="397"/>
        <v>M</v>
      </c>
      <c r="F12078" t="str">
        <f t="shared" si="398"/>
        <v>12M</v>
      </c>
    </row>
    <row r="12079" spans="1:6" x14ac:dyDescent="0.2">
      <c r="A12079">
        <v>13</v>
      </c>
      <c r="E12079" t="str">
        <f t="shared" si="397"/>
        <v>N</v>
      </c>
      <c r="F12079" t="str">
        <f t="shared" si="398"/>
        <v>13N</v>
      </c>
    </row>
    <row r="12080" spans="1:6" x14ac:dyDescent="0.2">
      <c r="A12080">
        <v>14</v>
      </c>
      <c r="E12080" t="str">
        <f t="shared" si="397"/>
        <v>O</v>
      </c>
      <c r="F12080" t="str">
        <f t="shared" si="398"/>
        <v>14O</v>
      </c>
    </row>
    <row r="12081" spans="1:6" x14ac:dyDescent="0.2">
      <c r="A12081">
        <v>15</v>
      </c>
      <c r="E12081" t="str">
        <f t="shared" si="397"/>
        <v>P</v>
      </c>
      <c r="F12081" t="str">
        <f t="shared" si="398"/>
        <v>15P</v>
      </c>
    </row>
    <row r="12082" spans="1:6" x14ac:dyDescent="0.2">
      <c r="A12082">
        <v>16</v>
      </c>
      <c r="E12082" t="str">
        <f t="shared" si="397"/>
        <v>Q</v>
      </c>
      <c r="F12082" t="str">
        <f t="shared" si="398"/>
        <v>16Q</v>
      </c>
    </row>
    <row r="12083" spans="1:6" x14ac:dyDescent="0.2">
      <c r="A12083">
        <v>17</v>
      </c>
      <c r="E12083" t="str">
        <f t="shared" si="397"/>
        <v>R</v>
      </c>
      <c r="F12083" t="str">
        <f t="shared" si="398"/>
        <v>17R</v>
      </c>
    </row>
    <row r="12084" spans="1:6" x14ac:dyDescent="0.2">
      <c r="A12084">
        <v>18</v>
      </c>
      <c r="E12084" t="str">
        <f t="shared" si="397"/>
        <v>S</v>
      </c>
      <c r="F12084" t="str">
        <f t="shared" si="398"/>
        <v>18S</v>
      </c>
    </row>
    <row r="12085" spans="1:6" x14ac:dyDescent="0.2">
      <c r="A12085">
        <v>19</v>
      </c>
      <c r="E12085" t="str">
        <f t="shared" si="397"/>
        <v>T</v>
      </c>
      <c r="F12085" t="str">
        <f t="shared" si="398"/>
        <v>19T</v>
      </c>
    </row>
    <row r="12086" spans="1:6" x14ac:dyDescent="0.2">
      <c r="A12086">
        <v>20</v>
      </c>
      <c r="E12086" t="str">
        <f t="shared" si="397"/>
        <v>U</v>
      </c>
      <c r="F12086" t="str">
        <f t="shared" si="398"/>
        <v>20U</v>
      </c>
    </row>
    <row r="12087" spans="1:6" x14ac:dyDescent="0.2">
      <c r="A12087">
        <v>21</v>
      </c>
      <c r="E12087" t="str">
        <f t="shared" si="397"/>
        <v>V</v>
      </c>
      <c r="F12087" t="str">
        <f t="shared" si="398"/>
        <v>21V</v>
      </c>
    </row>
    <row r="12088" spans="1:6" x14ac:dyDescent="0.2">
      <c r="A12088">
        <v>22</v>
      </c>
      <c r="E12088" t="str">
        <f t="shared" si="397"/>
        <v>W</v>
      </c>
      <c r="F12088" t="str">
        <f t="shared" si="398"/>
        <v>22W</v>
      </c>
    </row>
    <row r="12089" spans="1:6" x14ac:dyDescent="0.2">
      <c r="A12089">
        <v>23</v>
      </c>
      <c r="E12089" t="str">
        <f t="shared" si="397"/>
        <v>X</v>
      </c>
      <c r="F12089" t="str">
        <f t="shared" si="398"/>
        <v>23X</v>
      </c>
    </row>
    <row r="12090" spans="1:6" x14ac:dyDescent="0.2">
      <c r="A12090">
        <v>24</v>
      </c>
      <c r="E12090" t="str">
        <f t="shared" si="397"/>
        <v>Y</v>
      </c>
      <c r="F12090" t="str">
        <f t="shared" si="398"/>
        <v>24Y</v>
      </c>
    </row>
    <row r="12091" spans="1:6" x14ac:dyDescent="0.2">
      <c r="A12091">
        <v>25</v>
      </c>
      <c r="E12091" t="str">
        <f t="shared" si="397"/>
        <v>Z</v>
      </c>
      <c r="F12091" t="str">
        <f t="shared" si="398"/>
        <v>25Z</v>
      </c>
    </row>
    <row r="12092" spans="1:6" x14ac:dyDescent="0.2">
      <c r="A12092">
        <v>0</v>
      </c>
      <c r="E12092" t="str">
        <f t="shared" si="397"/>
        <v>A</v>
      </c>
      <c r="F12092" t="str">
        <f t="shared" si="398"/>
        <v>0A</v>
      </c>
    </row>
    <row r="12093" spans="1:6" x14ac:dyDescent="0.2">
      <c r="A12093">
        <v>1</v>
      </c>
      <c r="E12093" t="str">
        <f t="shared" si="397"/>
        <v>B</v>
      </c>
      <c r="F12093" t="str">
        <f t="shared" si="398"/>
        <v>1B</v>
      </c>
    </row>
    <row r="12094" spans="1:6" x14ac:dyDescent="0.2">
      <c r="A12094">
        <v>2</v>
      </c>
      <c r="E12094" t="str">
        <f t="shared" si="397"/>
        <v>C</v>
      </c>
      <c r="F12094" t="str">
        <f t="shared" si="398"/>
        <v>2C</v>
      </c>
    </row>
    <row r="12095" spans="1:6" x14ac:dyDescent="0.2">
      <c r="A12095">
        <v>3</v>
      </c>
      <c r="E12095" t="str">
        <f t="shared" si="397"/>
        <v>D</v>
      </c>
      <c r="F12095" t="str">
        <f t="shared" si="398"/>
        <v>3D</v>
      </c>
    </row>
    <row r="12096" spans="1:6" x14ac:dyDescent="0.2">
      <c r="A12096">
        <v>4</v>
      </c>
      <c r="E12096" t="str">
        <f t="shared" si="397"/>
        <v>E</v>
      </c>
      <c r="F12096" t="str">
        <f t="shared" si="398"/>
        <v>4E</v>
      </c>
    </row>
    <row r="12097" spans="1:6" x14ac:dyDescent="0.2">
      <c r="A12097">
        <v>5</v>
      </c>
      <c r="E12097" t="str">
        <f t="shared" si="397"/>
        <v>F</v>
      </c>
      <c r="F12097" t="str">
        <f t="shared" si="398"/>
        <v>5F</v>
      </c>
    </row>
    <row r="12098" spans="1:6" x14ac:dyDescent="0.2">
      <c r="A12098">
        <v>6</v>
      </c>
      <c r="E12098" t="str">
        <f t="shared" si="397"/>
        <v>G</v>
      </c>
      <c r="F12098" t="str">
        <f t="shared" si="398"/>
        <v>6G</v>
      </c>
    </row>
    <row r="12099" spans="1:6" x14ac:dyDescent="0.2">
      <c r="A12099">
        <v>7</v>
      </c>
      <c r="E12099" t="str">
        <f t="shared" si="397"/>
        <v>H</v>
      </c>
      <c r="F12099" t="str">
        <f t="shared" si="398"/>
        <v>7H</v>
      </c>
    </row>
    <row r="12100" spans="1:6" x14ac:dyDescent="0.2">
      <c r="A12100">
        <v>8</v>
      </c>
      <c r="E12100" t="str">
        <f t="shared" si="397"/>
        <v>I</v>
      </c>
      <c r="F12100" t="str">
        <f t="shared" si="398"/>
        <v>8I</v>
      </c>
    </row>
    <row r="12101" spans="1:6" x14ac:dyDescent="0.2">
      <c r="A12101">
        <v>9</v>
      </c>
      <c r="E12101" t="str">
        <f t="shared" si="397"/>
        <v>J</v>
      </c>
      <c r="F12101" t="str">
        <f t="shared" si="398"/>
        <v>9J</v>
      </c>
    </row>
    <row r="12102" spans="1:6" x14ac:dyDescent="0.2">
      <c r="A12102">
        <v>10</v>
      </c>
      <c r="E12102" t="str">
        <f t="shared" si="397"/>
        <v>K</v>
      </c>
      <c r="F12102" t="str">
        <f t="shared" si="398"/>
        <v>10K</v>
      </c>
    </row>
    <row r="12103" spans="1:6" x14ac:dyDescent="0.2">
      <c r="A12103">
        <v>11</v>
      </c>
      <c r="E12103" t="str">
        <f t="shared" si="397"/>
        <v>L</v>
      </c>
      <c r="F12103" t="str">
        <f t="shared" si="398"/>
        <v>11L</v>
      </c>
    </row>
    <row r="12104" spans="1:6" x14ac:dyDescent="0.2">
      <c r="A12104">
        <v>12</v>
      </c>
      <c r="E12104" t="str">
        <f t="shared" si="397"/>
        <v>M</v>
      </c>
      <c r="F12104" t="str">
        <f t="shared" si="398"/>
        <v>12M</v>
      </c>
    </row>
    <row r="12105" spans="1:6" x14ac:dyDescent="0.2">
      <c r="A12105">
        <v>13</v>
      </c>
      <c r="E12105" t="str">
        <f t="shared" si="397"/>
        <v>N</v>
      </c>
      <c r="F12105" t="str">
        <f t="shared" si="398"/>
        <v>13N</v>
      </c>
    </row>
    <row r="12106" spans="1:6" x14ac:dyDescent="0.2">
      <c r="A12106">
        <v>14</v>
      </c>
      <c r="E12106" t="str">
        <f t="shared" si="397"/>
        <v>O</v>
      </c>
      <c r="F12106" t="str">
        <f t="shared" si="398"/>
        <v>14O</v>
      </c>
    </row>
    <row r="12107" spans="1:6" x14ac:dyDescent="0.2">
      <c r="A12107">
        <v>15</v>
      </c>
      <c r="E12107" t="str">
        <f t="shared" si="397"/>
        <v>P</v>
      </c>
      <c r="F12107" t="str">
        <f t="shared" si="398"/>
        <v>15P</v>
      </c>
    </row>
    <row r="12108" spans="1:6" x14ac:dyDescent="0.2">
      <c r="A12108">
        <v>16</v>
      </c>
      <c r="E12108" t="str">
        <f t="shared" si="397"/>
        <v>Q</v>
      </c>
      <c r="F12108" t="str">
        <f t="shared" si="398"/>
        <v>16Q</v>
      </c>
    </row>
    <row r="12109" spans="1:6" x14ac:dyDescent="0.2">
      <c r="A12109">
        <v>17</v>
      </c>
      <c r="E12109" t="str">
        <f t="shared" si="397"/>
        <v>R</v>
      </c>
      <c r="F12109" t="str">
        <f t="shared" si="398"/>
        <v>17R</v>
      </c>
    </row>
    <row r="12110" spans="1:6" x14ac:dyDescent="0.2">
      <c r="A12110">
        <v>18</v>
      </c>
      <c r="E12110" t="str">
        <f t="shared" si="397"/>
        <v>S</v>
      </c>
      <c r="F12110" t="str">
        <f t="shared" si="398"/>
        <v>18S</v>
      </c>
    </row>
    <row r="12111" spans="1:6" x14ac:dyDescent="0.2">
      <c r="A12111">
        <v>19</v>
      </c>
      <c r="E12111" t="str">
        <f t="shared" si="397"/>
        <v>T</v>
      </c>
      <c r="F12111" t="str">
        <f t="shared" si="398"/>
        <v>19T</v>
      </c>
    </row>
    <row r="12112" spans="1:6" x14ac:dyDescent="0.2">
      <c r="A12112">
        <v>20</v>
      </c>
      <c r="E12112" t="str">
        <f t="shared" si="397"/>
        <v>U</v>
      </c>
      <c r="F12112" t="str">
        <f t="shared" si="398"/>
        <v>20U</v>
      </c>
    </row>
    <row r="12113" spans="1:6" x14ac:dyDescent="0.2">
      <c r="A12113">
        <v>21</v>
      </c>
      <c r="E12113" t="str">
        <f t="shared" si="397"/>
        <v>V</v>
      </c>
      <c r="F12113" t="str">
        <f t="shared" si="398"/>
        <v>21V</v>
      </c>
    </row>
    <row r="12114" spans="1:6" x14ac:dyDescent="0.2">
      <c r="A12114">
        <v>22</v>
      </c>
      <c r="E12114" t="str">
        <f t="shared" si="397"/>
        <v>W</v>
      </c>
      <c r="F12114" t="str">
        <f t="shared" si="398"/>
        <v>22W</v>
      </c>
    </row>
    <row r="12115" spans="1:6" x14ac:dyDescent="0.2">
      <c r="A12115">
        <v>23</v>
      </c>
      <c r="E12115" t="str">
        <f t="shared" si="397"/>
        <v>X</v>
      </c>
      <c r="F12115" t="str">
        <f t="shared" si="398"/>
        <v>23X</v>
      </c>
    </row>
    <row r="12116" spans="1:6" x14ac:dyDescent="0.2">
      <c r="A12116">
        <v>24</v>
      </c>
      <c r="E12116" t="str">
        <f t="shared" si="397"/>
        <v>Y</v>
      </c>
      <c r="F12116" t="str">
        <f t="shared" si="398"/>
        <v>24Y</v>
      </c>
    </row>
    <row r="12117" spans="1:6" x14ac:dyDescent="0.2">
      <c r="A12117">
        <v>25</v>
      </c>
      <c r="E12117" t="str">
        <f t="shared" ref="E12117:E12180" si="399">E12091</f>
        <v>Z</v>
      </c>
      <c r="F12117" t="str">
        <f t="shared" si="398"/>
        <v>25Z</v>
      </c>
    </row>
    <row r="12118" spans="1:6" x14ac:dyDescent="0.2">
      <c r="A12118">
        <v>0</v>
      </c>
      <c r="E12118" t="str">
        <f t="shared" si="399"/>
        <v>A</v>
      </c>
      <c r="F12118" t="str">
        <f t="shared" si="398"/>
        <v>0A</v>
      </c>
    </row>
    <row r="12119" spans="1:6" x14ac:dyDescent="0.2">
      <c r="A12119">
        <v>1</v>
      </c>
      <c r="E12119" t="str">
        <f t="shared" si="399"/>
        <v>B</v>
      </c>
      <c r="F12119" t="str">
        <f t="shared" ref="F12119:F12182" si="400">A12119&amp;C12119&amp;E12119</f>
        <v>1B</v>
      </c>
    </row>
    <row r="12120" spans="1:6" x14ac:dyDescent="0.2">
      <c r="A12120">
        <v>2</v>
      </c>
      <c r="E12120" t="str">
        <f t="shared" si="399"/>
        <v>C</v>
      </c>
      <c r="F12120" t="str">
        <f t="shared" si="400"/>
        <v>2C</v>
      </c>
    </row>
    <row r="12121" spans="1:6" x14ac:dyDescent="0.2">
      <c r="A12121">
        <v>3</v>
      </c>
      <c r="E12121" t="str">
        <f t="shared" si="399"/>
        <v>D</v>
      </c>
      <c r="F12121" t="str">
        <f t="shared" si="400"/>
        <v>3D</v>
      </c>
    </row>
    <row r="12122" spans="1:6" x14ac:dyDescent="0.2">
      <c r="A12122">
        <v>4</v>
      </c>
      <c r="E12122" t="str">
        <f t="shared" si="399"/>
        <v>E</v>
      </c>
      <c r="F12122" t="str">
        <f t="shared" si="400"/>
        <v>4E</v>
      </c>
    </row>
    <row r="12123" spans="1:6" x14ac:dyDescent="0.2">
      <c r="A12123">
        <v>5</v>
      </c>
      <c r="E12123" t="str">
        <f t="shared" si="399"/>
        <v>F</v>
      </c>
      <c r="F12123" t="str">
        <f t="shared" si="400"/>
        <v>5F</v>
      </c>
    </row>
    <row r="12124" spans="1:6" x14ac:dyDescent="0.2">
      <c r="A12124">
        <v>6</v>
      </c>
      <c r="E12124" t="str">
        <f t="shared" si="399"/>
        <v>G</v>
      </c>
      <c r="F12124" t="str">
        <f t="shared" si="400"/>
        <v>6G</v>
      </c>
    </row>
    <row r="12125" spans="1:6" x14ac:dyDescent="0.2">
      <c r="A12125">
        <v>7</v>
      </c>
      <c r="E12125" t="str">
        <f t="shared" si="399"/>
        <v>H</v>
      </c>
      <c r="F12125" t="str">
        <f t="shared" si="400"/>
        <v>7H</v>
      </c>
    </row>
    <row r="12126" spans="1:6" x14ac:dyDescent="0.2">
      <c r="A12126">
        <v>8</v>
      </c>
      <c r="E12126" t="str">
        <f t="shared" si="399"/>
        <v>I</v>
      </c>
      <c r="F12126" t="str">
        <f t="shared" si="400"/>
        <v>8I</v>
      </c>
    </row>
    <row r="12127" spans="1:6" x14ac:dyDescent="0.2">
      <c r="A12127">
        <v>9</v>
      </c>
      <c r="E12127" t="str">
        <f t="shared" si="399"/>
        <v>J</v>
      </c>
      <c r="F12127" t="str">
        <f t="shared" si="400"/>
        <v>9J</v>
      </c>
    </row>
    <row r="12128" spans="1:6" x14ac:dyDescent="0.2">
      <c r="A12128">
        <v>10</v>
      </c>
      <c r="E12128" t="str">
        <f t="shared" si="399"/>
        <v>K</v>
      </c>
      <c r="F12128" t="str">
        <f t="shared" si="400"/>
        <v>10K</v>
      </c>
    </row>
    <row r="12129" spans="1:6" x14ac:dyDescent="0.2">
      <c r="A12129">
        <v>11</v>
      </c>
      <c r="E12129" t="str">
        <f t="shared" si="399"/>
        <v>L</v>
      </c>
      <c r="F12129" t="str">
        <f t="shared" si="400"/>
        <v>11L</v>
      </c>
    </row>
    <row r="12130" spans="1:6" x14ac:dyDescent="0.2">
      <c r="A12130">
        <v>12</v>
      </c>
      <c r="E12130" t="str">
        <f t="shared" si="399"/>
        <v>M</v>
      </c>
      <c r="F12130" t="str">
        <f t="shared" si="400"/>
        <v>12M</v>
      </c>
    </row>
    <row r="12131" spans="1:6" x14ac:dyDescent="0.2">
      <c r="A12131">
        <v>13</v>
      </c>
      <c r="E12131" t="str">
        <f t="shared" si="399"/>
        <v>N</v>
      </c>
      <c r="F12131" t="str">
        <f t="shared" si="400"/>
        <v>13N</v>
      </c>
    </row>
    <row r="12132" spans="1:6" x14ac:dyDescent="0.2">
      <c r="A12132">
        <v>14</v>
      </c>
      <c r="E12132" t="str">
        <f t="shared" si="399"/>
        <v>O</v>
      </c>
      <c r="F12132" t="str">
        <f t="shared" si="400"/>
        <v>14O</v>
      </c>
    </row>
    <row r="12133" spans="1:6" x14ac:dyDescent="0.2">
      <c r="A12133">
        <v>15</v>
      </c>
      <c r="E12133" t="str">
        <f t="shared" si="399"/>
        <v>P</v>
      </c>
      <c r="F12133" t="str">
        <f t="shared" si="400"/>
        <v>15P</v>
      </c>
    </row>
    <row r="12134" spans="1:6" x14ac:dyDescent="0.2">
      <c r="A12134">
        <v>16</v>
      </c>
      <c r="E12134" t="str">
        <f t="shared" si="399"/>
        <v>Q</v>
      </c>
      <c r="F12134" t="str">
        <f t="shared" si="400"/>
        <v>16Q</v>
      </c>
    </row>
    <row r="12135" spans="1:6" x14ac:dyDescent="0.2">
      <c r="A12135">
        <v>17</v>
      </c>
      <c r="E12135" t="str">
        <f t="shared" si="399"/>
        <v>R</v>
      </c>
      <c r="F12135" t="str">
        <f t="shared" si="400"/>
        <v>17R</v>
      </c>
    </row>
    <row r="12136" spans="1:6" x14ac:dyDescent="0.2">
      <c r="A12136">
        <v>18</v>
      </c>
      <c r="E12136" t="str">
        <f t="shared" si="399"/>
        <v>S</v>
      </c>
      <c r="F12136" t="str">
        <f t="shared" si="400"/>
        <v>18S</v>
      </c>
    </row>
    <row r="12137" spans="1:6" x14ac:dyDescent="0.2">
      <c r="A12137">
        <v>19</v>
      </c>
      <c r="E12137" t="str">
        <f t="shared" si="399"/>
        <v>T</v>
      </c>
      <c r="F12137" t="str">
        <f t="shared" si="400"/>
        <v>19T</v>
      </c>
    </row>
    <row r="12138" spans="1:6" x14ac:dyDescent="0.2">
      <c r="A12138">
        <v>20</v>
      </c>
      <c r="E12138" t="str">
        <f t="shared" si="399"/>
        <v>U</v>
      </c>
      <c r="F12138" t="str">
        <f t="shared" si="400"/>
        <v>20U</v>
      </c>
    </row>
    <row r="12139" spans="1:6" x14ac:dyDescent="0.2">
      <c r="A12139">
        <v>21</v>
      </c>
      <c r="E12139" t="str">
        <f t="shared" si="399"/>
        <v>V</v>
      </c>
      <c r="F12139" t="str">
        <f t="shared" si="400"/>
        <v>21V</v>
      </c>
    </row>
    <row r="12140" spans="1:6" x14ac:dyDescent="0.2">
      <c r="A12140">
        <v>22</v>
      </c>
      <c r="E12140" t="str">
        <f t="shared" si="399"/>
        <v>W</v>
      </c>
      <c r="F12140" t="str">
        <f t="shared" si="400"/>
        <v>22W</v>
      </c>
    </row>
    <row r="12141" spans="1:6" x14ac:dyDescent="0.2">
      <c r="A12141">
        <v>23</v>
      </c>
      <c r="E12141" t="str">
        <f t="shared" si="399"/>
        <v>X</v>
      </c>
      <c r="F12141" t="str">
        <f t="shared" si="400"/>
        <v>23X</v>
      </c>
    </row>
    <row r="12142" spans="1:6" x14ac:dyDescent="0.2">
      <c r="A12142">
        <v>24</v>
      </c>
      <c r="E12142" t="str">
        <f t="shared" si="399"/>
        <v>Y</v>
      </c>
      <c r="F12142" t="str">
        <f t="shared" si="400"/>
        <v>24Y</v>
      </c>
    </row>
    <row r="12143" spans="1:6" x14ac:dyDescent="0.2">
      <c r="A12143">
        <v>25</v>
      </c>
      <c r="E12143" t="str">
        <f t="shared" si="399"/>
        <v>Z</v>
      </c>
      <c r="F12143" t="str">
        <f t="shared" si="400"/>
        <v>25Z</v>
      </c>
    </row>
    <row r="12144" spans="1:6" x14ac:dyDescent="0.2">
      <c r="A12144">
        <v>0</v>
      </c>
      <c r="E12144" t="str">
        <f t="shared" si="399"/>
        <v>A</v>
      </c>
      <c r="F12144" t="str">
        <f t="shared" si="400"/>
        <v>0A</v>
      </c>
    </row>
    <row r="12145" spans="1:6" x14ac:dyDescent="0.2">
      <c r="A12145">
        <v>1</v>
      </c>
      <c r="E12145" t="str">
        <f t="shared" si="399"/>
        <v>B</v>
      </c>
      <c r="F12145" t="str">
        <f t="shared" si="400"/>
        <v>1B</v>
      </c>
    </row>
    <row r="12146" spans="1:6" x14ac:dyDescent="0.2">
      <c r="A12146">
        <v>2</v>
      </c>
      <c r="E12146" t="str">
        <f t="shared" si="399"/>
        <v>C</v>
      </c>
      <c r="F12146" t="str">
        <f t="shared" si="400"/>
        <v>2C</v>
      </c>
    </row>
    <row r="12147" spans="1:6" x14ac:dyDescent="0.2">
      <c r="A12147">
        <v>3</v>
      </c>
      <c r="E12147" t="str">
        <f t="shared" si="399"/>
        <v>D</v>
      </c>
      <c r="F12147" t="str">
        <f t="shared" si="400"/>
        <v>3D</v>
      </c>
    </row>
    <row r="12148" spans="1:6" x14ac:dyDescent="0.2">
      <c r="A12148">
        <v>4</v>
      </c>
      <c r="E12148" t="str">
        <f t="shared" si="399"/>
        <v>E</v>
      </c>
      <c r="F12148" t="str">
        <f t="shared" si="400"/>
        <v>4E</v>
      </c>
    </row>
    <row r="12149" spans="1:6" x14ac:dyDescent="0.2">
      <c r="A12149">
        <v>5</v>
      </c>
      <c r="E12149" t="str">
        <f t="shared" si="399"/>
        <v>F</v>
      </c>
      <c r="F12149" t="str">
        <f t="shared" si="400"/>
        <v>5F</v>
      </c>
    </row>
    <row r="12150" spans="1:6" x14ac:dyDescent="0.2">
      <c r="A12150">
        <v>6</v>
      </c>
      <c r="E12150" t="str">
        <f t="shared" si="399"/>
        <v>G</v>
      </c>
      <c r="F12150" t="str">
        <f t="shared" si="400"/>
        <v>6G</v>
      </c>
    </row>
    <row r="12151" spans="1:6" x14ac:dyDescent="0.2">
      <c r="A12151">
        <v>7</v>
      </c>
      <c r="E12151" t="str">
        <f t="shared" si="399"/>
        <v>H</v>
      </c>
      <c r="F12151" t="str">
        <f t="shared" si="400"/>
        <v>7H</v>
      </c>
    </row>
    <row r="12152" spans="1:6" x14ac:dyDescent="0.2">
      <c r="A12152">
        <v>8</v>
      </c>
      <c r="E12152" t="str">
        <f t="shared" si="399"/>
        <v>I</v>
      </c>
      <c r="F12152" t="str">
        <f t="shared" si="400"/>
        <v>8I</v>
      </c>
    </row>
    <row r="12153" spans="1:6" x14ac:dyDescent="0.2">
      <c r="A12153">
        <v>9</v>
      </c>
      <c r="E12153" t="str">
        <f t="shared" si="399"/>
        <v>J</v>
      </c>
      <c r="F12153" t="str">
        <f t="shared" si="400"/>
        <v>9J</v>
      </c>
    </row>
    <row r="12154" spans="1:6" x14ac:dyDescent="0.2">
      <c r="A12154">
        <v>10</v>
      </c>
      <c r="E12154" t="str">
        <f t="shared" si="399"/>
        <v>K</v>
      </c>
      <c r="F12154" t="str">
        <f t="shared" si="400"/>
        <v>10K</v>
      </c>
    </row>
    <row r="12155" spans="1:6" x14ac:dyDescent="0.2">
      <c r="A12155">
        <v>11</v>
      </c>
      <c r="E12155" t="str">
        <f t="shared" si="399"/>
        <v>L</v>
      </c>
      <c r="F12155" t="str">
        <f t="shared" si="400"/>
        <v>11L</v>
      </c>
    </row>
    <row r="12156" spans="1:6" x14ac:dyDescent="0.2">
      <c r="A12156">
        <v>12</v>
      </c>
      <c r="E12156" t="str">
        <f t="shared" si="399"/>
        <v>M</v>
      </c>
      <c r="F12156" t="str">
        <f t="shared" si="400"/>
        <v>12M</v>
      </c>
    </row>
    <row r="12157" spans="1:6" x14ac:dyDescent="0.2">
      <c r="A12157">
        <v>13</v>
      </c>
      <c r="E12157" t="str">
        <f t="shared" si="399"/>
        <v>N</v>
      </c>
      <c r="F12157" t="str">
        <f t="shared" si="400"/>
        <v>13N</v>
      </c>
    </row>
    <row r="12158" spans="1:6" x14ac:dyDescent="0.2">
      <c r="A12158">
        <v>14</v>
      </c>
      <c r="E12158" t="str">
        <f t="shared" si="399"/>
        <v>O</v>
      </c>
      <c r="F12158" t="str">
        <f t="shared" si="400"/>
        <v>14O</v>
      </c>
    </row>
    <row r="12159" spans="1:6" x14ac:dyDescent="0.2">
      <c r="A12159">
        <v>15</v>
      </c>
      <c r="E12159" t="str">
        <f t="shared" si="399"/>
        <v>P</v>
      </c>
      <c r="F12159" t="str">
        <f t="shared" si="400"/>
        <v>15P</v>
      </c>
    </row>
    <row r="12160" spans="1:6" x14ac:dyDescent="0.2">
      <c r="A12160">
        <v>16</v>
      </c>
      <c r="E12160" t="str">
        <f t="shared" si="399"/>
        <v>Q</v>
      </c>
      <c r="F12160" t="str">
        <f t="shared" si="400"/>
        <v>16Q</v>
      </c>
    </row>
    <row r="12161" spans="1:6" x14ac:dyDescent="0.2">
      <c r="A12161">
        <v>17</v>
      </c>
      <c r="E12161" t="str">
        <f t="shared" si="399"/>
        <v>R</v>
      </c>
      <c r="F12161" t="str">
        <f t="shared" si="400"/>
        <v>17R</v>
      </c>
    </row>
    <row r="12162" spans="1:6" x14ac:dyDescent="0.2">
      <c r="A12162">
        <v>18</v>
      </c>
      <c r="E12162" t="str">
        <f t="shared" si="399"/>
        <v>S</v>
      </c>
      <c r="F12162" t="str">
        <f t="shared" si="400"/>
        <v>18S</v>
      </c>
    </row>
    <row r="12163" spans="1:6" x14ac:dyDescent="0.2">
      <c r="A12163">
        <v>19</v>
      </c>
      <c r="E12163" t="str">
        <f t="shared" si="399"/>
        <v>T</v>
      </c>
      <c r="F12163" t="str">
        <f t="shared" si="400"/>
        <v>19T</v>
      </c>
    </row>
    <row r="12164" spans="1:6" x14ac:dyDescent="0.2">
      <c r="A12164">
        <v>20</v>
      </c>
      <c r="E12164" t="str">
        <f t="shared" si="399"/>
        <v>U</v>
      </c>
      <c r="F12164" t="str">
        <f t="shared" si="400"/>
        <v>20U</v>
      </c>
    </row>
    <row r="12165" spans="1:6" x14ac:dyDescent="0.2">
      <c r="A12165">
        <v>21</v>
      </c>
      <c r="E12165" t="str">
        <f t="shared" si="399"/>
        <v>V</v>
      </c>
      <c r="F12165" t="str">
        <f t="shared" si="400"/>
        <v>21V</v>
      </c>
    </row>
    <row r="12166" spans="1:6" x14ac:dyDescent="0.2">
      <c r="A12166">
        <v>22</v>
      </c>
      <c r="E12166" t="str">
        <f t="shared" si="399"/>
        <v>W</v>
      </c>
      <c r="F12166" t="str">
        <f t="shared" si="400"/>
        <v>22W</v>
      </c>
    </row>
    <row r="12167" spans="1:6" x14ac:dyDescent="0.2">
      <c r="A12167">
        <v>23</v>
      </c>
      <c r="E12167" t="str">
        <f t="shared" si="399"/>
        <v>X</v>
      </c>
      <c r="F12167" t="str">
        <f t="shared" si="400"/>
        <v>23X</v>
      </c>
    </row>
    <row r="12168" spans="1:6" x14ac:dyDescent="0.2">
      <c r="A12168">
        <v>24</v>
      </c>
      <c r="E12168" t="str">
        <f t="shared" si="399"/>
        <v>Y</v>
      </c>
      <c r="F12168" t="str">
        <f t="shared" si="400"/>
        <v>24Y</v>
      </c>
    </row>
    <row r="12169" spans="1:6" x14ac:dyDescent="0.2">
      <c r="A12169">
        <v>25</v>
      </c>
      <c r="E12169" t="str">
        <f t="shared" si="399"/>
        <v>Z</v>
      </c>
      <c r="F12169" t="str">
        <f t="shared" si="400"/>
        <v>25Z</v>
      </c>
    </row>
    <row r="12170" spans="1:6" x14ac:dyDescent="0.2">
      <c r="A12170">
        <v>0</v>
      </c>
      <c r="E12170" t="str">
        <f t="shared" si="399"/>
        <v>A</v>
      </c>
      <c r="F12170" t="str">
        <f t="shared" si="400"/>
        <v>0A</v>
      </c>
    </row>
    <row r="12171" spans="1:6" x14ac:dyDescent="0.2">
      <c r="A12171">
        <v>1</v>
      </c>
      <c r="E12171" t="str">
        <f t="shared" si="399"/>
        <v>B</v>
      </c>
      <c r="F12171" t="str">
        <f t="shared" si="400"/>
        <v>1B</v>
      </c>
    </row>
    <row r="12172" spans="1:6" x14ac:dyDescent="0.2">
      <c r="A12172">
        <v>2</v>
      </c>
      <c r="E12172" t="str">
        <f t="shared" si="399"/>
        <v>C</v>
      </c>
      <c r="F12172" t="str">
        <f t="shared" si="400"/>
        <v>2C</v>
      </c>
    </row>
    <row r="12173" spans="1:6" x14ac:dyDescent="0.2">
      <c r="A12173">
        <v>3</v>
      </c>
      <c r="E12173" t="str">
        <f t="shared" si="399"/>
        <v>D</v>
      </c>
      <c r="F12173" t="str">
        <f t="shared" si="400"/>
        <v>3D</v>
      </c>
    </row>
    <row r="12174" spans="1:6" x14ac:dyDescent="0.2">
      <c r="A12174">
        <v>4</v>
      </c>
      <c r="E12174" t="str">
        <f t="shared" si="399"/>
        <v>E</v>
      </c>
      <c r="F12174" t="str">
        <f t="shared" si="400"/>
        <v>4E</v>
      </c>
    </row>
    <row r="12175" spans="1:6" x14ac:dyDescent="0.2">
      <c r="A12175">
        <v>5</v>
      </c>
      <c r="E12175" t="str">
        <f t="shared" si="399"/>
        <v>F</v>
      </c>
      <c r="F12175" t="str">
        <f t="shared" si="400"/>
        <v>5F</v>
      </c>
    </row>
    <row r="12176" spans="1:6" x14ac:dyDescent="0.2">
      <c r="A12176">
        <v>6</v>
      </c>
      <c r="E12176" t="str">
        <f t="shared" si="399"/>
        <v>G</v>
      </c>
      <c r="F12176" t="str">
        <f t="shared" si="400"/>
        <v>6G</v>
      </c>
    </row>
    <row r="12177" spans="1:6" x14ac:dyDescent="0.2">
      <c r="A12177">
        <v>7</v>
      </c>
      <c r="E12177" t="str">
        <f t="shared" si="399"/>
        <v>H</v>
      </c>
      <c r="F12177" t="str">
        <f t="shared" si="400"/>
        <v>7H</v>
      </c>
    </row>
    <row r="12178" spans="1:6" x14ac:dyDescent="0.2">
      <c r="A12178">
        <v>8</v>
      </c>
      <c r="E12178" t="str">
        <f t="shared" si="399"/>
        <v>I</v>
      </c>
      <c r="F12178" t="str">
        <f t="shared" si="400"/>
        <v>8I</v>
      </c>
    </row>
    <row r="12179" spans="1:6" x14ac:dyDescent="0.2">
      <c r="A12179">
        <v>9</v>
      </c>
      <c r="E12179" t="str">
        <f t="shared" si="399"/>
        <v>J</v>
      </c>
      <c r="F12179" t="str">
        <f t="shared" si="400"/>
        <v>9J</v>
      </c>
    </row>
    <row r="12180" spans="1:6" x14ac:dyDescent="0.2">
      <c r="A12180">
        <v>10</v>
      </c>
      <c r="E12180" t="str">
        <f t="shared" si="399"/>
        <v>K</v>
      </c>
      <c r="F12180" t="str">
        <f t="shared" si="400"/>
        <v>10K</v>
      </c>
    </row>
    <row r="12181" spans="1:6" x14ac:dyDescent="0.2">
      <c r="A12181">
        <v>11</v>
      </c>
      <c r="E12181" t="str">
        <f t="shared" ref="E12181:E12244" si="401">E12155</f>
        <v>L</v>
      </c>
      <c r="F12181" t="str">
        <f t="shared" si="400"/>
        <v>11L</v>
      </c>
    </row>
    <row r="12182" spans="1:6" x14ac:dyDescent="0.2">
      <c r="A12182">
        <v>12</v>
      </c>
      <c r="E12182" t="str">
        <f t="shared" si="401"/>
        <v>M</v>
      </c>
      <c r="F12182" t="str">
        <f t="shared" si="400"/>
        <v>12M</v>
      </c>
    </row>
    <row r="12183" spans="1:6" x14ac:dyDescent="0.2">
      <c r="A12183">
        <v>13</v>
      </c>
      <c r="E12183" t="str">
        <f t="shared" si="401"/>
        <v>N</v>
      </c>
      <c r="F12183" t="str">
        <f t="shared" ref="F12183:F12246" si="402">A12183&amp;C12183&amp;E12183</f>
        <v>13N</v>
      </c>
    </row>
    <row r="12184" spans="1:6" x14ac:dyDescent="0.2">
      <c r="A12184">
        <v>14</v>
      </c>
      <c r="E12184" t="str">
        <f t="shared" si="401"/>
        <v>O</v>
      </c>
      <c r="F12184" t="str">
        <f t="shared" si="402"/>
        <v>14O</v>
      </c>
    </row>
    <row r="12185" spans="1:6" x14ac:dyDescent="0.2">
      <c r="A12185">
        <v>15</v>
      </c>
      <c r="E12185" t="str">
        <f t="shared" si="401"/>
        <v>P</v>
      </c>
      <c r="F12185" t="str">
        <f t="shared" si="402"/>
        <v>15P</v>
      </c>
    </row>
    <row r="12186" spans="1:6" x14ac:dyDescent="0.2">
      <c r="A12186">
        <v>16</v>
      </c>
      <c r="E12186" t="str">
        <f t="shared" si="401"/>
        <v>Q</v>
      </c>
      <c r="F12186" t="str">
        <f t="shared" si="402"/>
        <v>16Q</v>
      </c>
    </row>
    <row r="12187" spans="1:6" x14ac:dyDescent="0.2">
      <c r="A12187">
        <v>17</v>
      </c>
      <c r="E12187" t="str">
        <f t="shared" si="401"/>
        <v>R</v>
      </c>
      <c r="F12187" t="str">
        <f t="shared" si="402"/>
        <v>17R</v>
      </c>
    </row>
    <row r="12188" spans="1:6" x14ac:dyDescent="0.2">
      <c r="A12188">
        <v>18</v>
      </c>
      <c r="E12188" t="str">
        <f t="shared" si="401"/>
        <v>S</v>
      </c>
      <c r="F12188" t="str">
        <f t="shared" si="402"/>
        <v>18S</v>
      </c>
    </row>
    <row r="12189" spans="1:6" x14ac:dyDescent="0.2">
      <c r="A12189">
        <v>19</v>
      </c>
      <c r="E12189" t="str">
        <f t="shared" si="401"/>
        <v>T</v>
      </c>
      <c r="F12189" t="str">
        <f t="shared" si="402"/>
        <v>19T</v>
      </c>
    </row>
    <row r="12190" spans="1:6" x14ac:dyDescent="0.2">
      <c r="A12190">
        <v>20</v>
      </c>
      <c r="E12190" t="str">
        <f t="shared" si="401"/>
        <v>U</v>
      </c>
      <c r="F12190" t="str">
        <f t="shared" si="402"/>
        <v>20U</v>
      </c>
    </row>
    <row r="12191" spans="1:6" x14ac:dyDescent="0.2">
      <c r="A12191">
        <v>21</v>
      </c>
      <c r="E12191" t="str">
        <f t="shared" si="401"/>
        <v>V</v>
      </c>
      <c r="F12191" t="str">
        <f t="shared" si="402"/>
        <v>21V</v>
      </c>
    </row>
    <row r="12192" spans="1:6" x14ac:dyDescent="0.2">
      <c r="A12192">
        <v>22</v>
      </c>
      <c r="E12192" t="str">
        <f t="shared" si="401"/>
        <v>W</v>
      </c>
      <c r="F12192" t="str">
        <f t="shared" si="402"/>
        <v>22W</v>
      </c>
    </row>
    <row r="12193" spans="1:6" x14ac:dyDescent="0.2">
      <c r="A12193">
        <v>23</v>
      </c>
      <c r="E12193" t="str">
        <f t="shared" si="401"/>
        <v>X</v>
      </c>
      <c r="F12193" t="str">
        <f t="shared" si="402"/>
        <v>23X</v>
      </c>
    </row>
    <row r="12194" spans="1:6" x14ac:dyDescent="0.2">
      <c r="A12194">
        <v>24</v>
      </c>
      <c r="E12194" t="str">
        <f t="shared" si="401"/>
        <v>Y</v>
      </c>
      <c r="F12194" t="str">
        <f t="shared" si="402"/>
        <v>24Y</v>
      </c>
    </row>
    <row r="12195" spans="1:6" x14ac:dyDescent="0.2">
      <c r="A12195">
        <v>25</v>
      </c>
      <c r="E12195" t="str">
        <f t="shared" si="401"/>
        <v>Z</v>
      </c>
      <c r="F12195" t="str">
        <f t="shared" si="402"/>
        <v>25Z</v>
      </c>
    </row>
    <row r="12196" spans="1:6" x14ac:dyDescent="0.2">
      <c r="A12196">
        <v>0</v>
      </c>
      <c r="E12196" t="str">
        <f t="shared" si="401"/>
        <v>A</v>
      </c>
      <c r="F12196" t="str">
        <f t="shared" si="402"/>
        <v>0A</v>
      </c>
    </row>
    <row r="12197" spans="1:6" x14ac:dyDescent="0.2">
      <c r="A12197">
        <v>1</v>
      </c>
      <c r="E12197" t="str">
        <f t="shared" si="401"/>
        <v>B</v>
      </c>
      <c r="F12197" t="str">
        <f t="shared" si="402"/>
        <v>1B</v>
      </c>
    </row>
    <row r="12198" spans="1:6" x14ac:dyDescent="0.2">
      <c r="A12198">
        <v>2</v>
      </c>
      <c r="E12198" t="str">
        <f t="shared" si="401"/>
        <v>C</v>
      </c>
      <c r="F12198" t="str">
        <f t="shared" si="402"/>
        <v>2C</v>
      </c>
    </row>
    <row r="12199" spans="1:6" x14ac:dyDescent="0.2">
      <c r="A12199">
        <v>3</v>
      </c>
      <c r="E12199" t="str">
        <f t="shared" si="401"/>
        <v>D</v>
      </c>
      <c r="F12199" t="str">
        <f t="shared" si="402"/>
        <v>3D</v>
      </c>
    </row>
    <row r="12200" spans="1:6" x14ac:dyDescent="0.2">
      <c r="A12200">
        <v>4</v>
      </c>
      <c r="E12200" t="str">
        <f t="shared" si="401"/>
        <v>E</v>
      </c>
      <c r="F12200" t="str">
        <f t="shared" si="402"/>
        <v>4E</v>
      </c>
    </row>
    <row r="12201" spans="1:6" x14ac:dyDescent="0.2">
      <c r="A12201">
        <v>5</v>
      </c>
      <c r="E12201" t="str">
        <f t="shared" si="401"/>
        <v>F</v>
      </c>
      <c r="F12201" t="str">
        <f t="shared" si="402"/>
        <v>5F</v>
      </c>
    </row>
    <row r="12202" spans="1:6" x14ac:dyDescent="0.2">
      <c r="A12202">
        <v>6</v>
      </c>
      <c r="E12202" t="str">
        <f t="shared" si="401"/>
        <v>G</v>
      </c>
      <c r="F12202" t="str">
        <f t="shared" si="402"/>
        <v>6G</v>
      </c>
    </row>
    <row r="12203" spans="1:6" x14ac:dyDescent="0.2">
      <c r="A12203">
        <v>7</v>
      </c>
      <c r="E12203" t="str">
        <f t="shared" si="401"/>
        <v>H</v>
      </c>
      <c r="F12203" t="str">
        <f t="shared" si="402"/>
        <v>7H</v>
      </c>
    </row>
    <row r="12204" spans="1:6" x14ac:dyDescent="0.2">
      <c r="A12204">
        <v>8</v>
      </c>
      <c r="E12204" t="str">
        <f t="shared" si="401"/>
        <v>I</v>
      </c>
      <c r="F12204" t="str">
        <f t="shared" si="402"/>
        <v>8I</v>
      </c>
    </row>
    <row r="12205" spans="1:6" x14ac:dyDescent="0.2">
      <c r="A12205">
        <v>9</v>
      </c>
      <c r="E12205" t="str">
        <f t="shared" si="401"/>
        <v>J</v>
      </c>
      <c r="F12205" t="str">
        <f t="shared" si="402"/>
        <v>9J</v>
      </c>
    </row>
    <row r="12206" spans="1:6" x14ac:dyDescent="0.2">
      <c r="A12206">
        <v>10</v>
      </c>
      <c r="E12206" t="str">
        <f t="shared" si="401"/>
        <v>K</v>
      </c>
      <c r="F12206" t="str">
        <f t="shared" si="402"/>
        <v>10K</v>
      </c>
    </row>
    <row r="12207" spans="1:6" x14ac:dyDescent="0.2">
      <c r="A12207">
        <v>11</v>
      </c>
      <c r="E12207" t="str">
        <f t="shared" si="401"/>
        <v>L</v>
      </c>
      <c r="F12207" t="str">
        <f t="shared" si="402"/>
        <v>11L</v>
      </c>
    </row>
    <row r="12208" spans="1:6" x14ac:dyDescent="0.2">
      <c r="A12208">
        <v>12</v>
      </c>
      <c r="E12208" t="str">
        <f t="shared" si="401"/>
        <v>M</v>
      </c>
      <c r="F12208" t="str">
        <f t="shared" si="402"/>
        <v>12M</v>
      </c>
    </row>
    <row r="12209" spans="1:6" x14ac:dyDescent="0.2">
      <c r="A12209">
        <v>13</v>
      </c>
      <c r="E12209" t="str">
        <f t="shared" si="401"/>
        <v>N</v>
      </c>
      <c r="F12209" t="str">
        <f t="shared" si="402"/>
        <v>13N</v>
      </c>
    </row>
    <row r="12210" spans="1:6" x14ac:dyDescent="0.2">
      <c r="A12210">
        <v>14</v>
      </c>
      <c r="E12210" t="str">
        <f t="shared" si="401"/>
        <v>O</v>
      </c>
      <c r="F12210" t="str">
        <f t="shared" si="402"/>
        <v>14O</v>
      </c>
    </row>
    <row r="12211" spans="1:6" x14ac:dyDescent="0.2">
      <c r="A12211">
        <v>15</v>
      </c>
      <c r="E12211" t="str">
        <f t="shared" si="401"/>
        <v>P</v>
      </c>
      <c r="F12211" t="str">
        <f t="shared" si="402"/>
        <v>15P</v>
      </c>
    </row>
    <row r="12212" spans="1:6" x14ac:dyDescent="0.2">
      <c r="A12212">
        <v>16</v>
      </c>
      <c r="E12212" t="str">
        <f t="shared" si="401"/>
        <v>Q</v>
      </c>
      <c r="F12212" t="str">
        <f t="shared" si="402"/>
        <v>16Q</v>
      </c>
    </row>
    <row r="12213" spans="1:6" x14ac:dyDescent="0.2">
      <c r="A12213">
        <v>17</v>
      </c>
      <c r="E12213" t="str">
        <f t="shared" si="401"/>
        <v>R</v>
      </c>
      <c r="F12213" t="str">
        <f t="shared" si="402"/>
        <v>17R</v>
      </c>
    </row>
    <row r="12214" spans="1:6" x14ac:dyDescent="0.2">
      <c r="A12214">
        <v>18</v>
      </c>
      <c r="E12214" t="str">
        <f t="shared" si="401"/>
        <v>S</v>
      </c>
      <c r="F12214" t="str">
        <f t="shared" si="402"/>
        <v>18S</v>
      </c>
    </row>
    <row r="12215" spans="1:6" x14ac:dyDescent="0.2">
      <c r="A12215">
        <v>19</v>
      </c>
      <c r="E12215" t="str">
        <f t="shared" si="401"/>
        <v>T</v>
      </c>
      <c r="F12215" t="str">
        <f t="shared" si="402"/>
        <v>19T</v>
      </c>
    </row>
    <row r="12216" spans="1:6" x14ac:dyDescent="0.2">
      <c r="A12216">
        <v>20</v>
      </c>
      <c r="E12216" t="str">
        <f t="shared" si="401"/>
        <v>U</v>
      </c>
      <c r="F12216" t="str">
        <f t="shared" si="402"/>
        <v>20U</v>
      </c>
    </row>
    <row r="12217" spans="1:6" x14ac:dyDescent="0.2">
      <c r="A12217">
        <v>21</v>
      </c>
      <c r="E12217" t="str">
        <f t="shared" si="401"/>
        <v>V</v>
      </c>
      <c r="F12217" t="str">
        <f t="shared" si="402"/>
        <v>21V</v>
      </c>
    </row>
    <row r="12218" spans="1:6" x14ac:dyDescent="0.2">
      <c r="A12218">
        <v>22</v>
      </c>
      <c r="E12218" t="str">
        <f t="shared" si="401"/>
        <v>W</v>
      </c>
      <c r="F12218" t="str">
        <f t="shared" si="402"/>
        <v>22W</v>
      </c>
    </row>
    <row r="12219" spans="1:6" x14ac:dyDescent="0.2">
      <c r="A12219">
        <v>23</v>
      </c>
      <c r="E12219" t="str">
        <f t="shared" si="401"/>
        <v>X</v>
      </c>
      <c r="F12219" t="str">
        <f t="shared" si="402"/>
        <v>23X</v>
      </c>
    </row>
    <row r="12220" spans="1:6" x14ac:dyDescent="0.2">
      <c r="A12220">
        <v>24</v>
      </c>
      <c r="E12220" t="str">
        <f t="shared" si="401"/>
        <v>Y</v>
      </c>
      <c r="F12220" t="str">
        <f t="shared" si="402"/>
        <v>24Y</v>
      </c>
    </row>
    <row r="12221" spans="1:6" x14ac:dyDescent="0.2">
      <c r="A12221">
        <v>25</v>
      </c>
      <c r="E12221" t="str">
        <f t="shared" si="401"/>
        <v>Z</v>
      </c>
      <c r="F12221" t="str">
        <f t="shared" si="402"/>
        <v>25Z</v>
      </c>
    </row>
    <row r="12222" spans="1:6" x14ac:dyDescent="0.2">
      <c r="A12222">
        <v>0</v>
      </c>
      <c r="E12222" t="str">
        <f t="shared" si="401"/>
        <v>A</v>
      </c>
      <c r="F12222" t="str">
        <f t="shared" si="402"/>
        <v>0A</v>
      </c>
    </row>
    <row r="12223" spans="1:6" x14ac:dyDescent="0.2">
      <c r="A12223">
        <v>1</v>
      </c>
      <c r="E12223" t="str">
        <f t="shared" si="401"/>
        <v>B</v>
      </c>
      <c r="F12223" t="str">
        <f t="shared" si="402"/>
        <v>1B</v>
      </c>
    </row>
    <row r="12224" spans="1:6" x14ac:dyDescent="0.2">
      <c r="A12224">
        <v>2</v>
      </c>
      <c r="E12224" t="str">
        <f t="shared" si="401"/>
        <v>C</v>
      </c>
      <c r="F12224" t="str">
        <f t="shared" si="402"/>
        <v>2C</v>
      </c>
    </row>
    <row r="12225" spans="1:6" x14ac:dyDescent="0.2">
      <c r="A12225">
        <v>3</v>
      </c>
      <c r="E12225" t="str">
        <f t="shared" si="401"/>
        <v>D</v>
      </c>
      <c r="F12225" t="str">
        <f t="shared" si="402"/>
        <v>3D</v>
      </c>
    </row>
    <row r="12226" spans="1:6" x14ac:dyDescent="0.2">
      <c r="A12226">
        <v>4</v>
      </c>
      <c r="E12226" t="str">
        <f t="shared" si="401"/>
        <v>E</v>
      </c>
      <c r="F12226" t="str">
        <f t="shared" si="402"/>
        <v>4E</v>
      </c>
    </row>
    <row r="12227" spans="1:6" x14ac:dyDescent="0.2">
      <c r="A12227">
        <v>5</v>
      </c>
      <c r="E12227" t="str">
        <f t="shared" si="401"/>
        <v>F</v>
      </c>
      <c r="F12227" t="str">
        <f t="shared" si="402"/>
        <v>5F</v>
      </c>
    </row>
    <row r="12228" spans="1:6" x14ac:dyDescent="0.2">
      <c r="A12228">
        <v>6</v>
      </c>
      <c r="E12228" t="str">
        <f t="shared" si="401"/>
        <v>G</v>
      </c>
      <c r="F12228" t="str">
        <f t="shared" si="402"/>
        <v>6G</v>
      </c>
    </row>
    <row r="12229" spans="1:6" x14ac:dyDescent="0.2">
      <c r="A12229">
        <v>7</v>
      </c>
      <c r="E12229" t="str">
        <f t="shared" si="401"/>
        <v>H</v>
      </c>
      <c r="F12229" t="str">
        <f t="shared" si="402"/>
        <v>7H</v>
      </c>
    </row>
    <row r="12230" spans="1:6" x14ac:dyDescent="0.2">
      <c r="A12230">
        <v>8</v>
      </c>
      <c r="E12230" t="str">
        <f t="shared" si="401"/>
        <v>I</v>
      </c>
      <c r="F12230" t="str">
        <f t="shared" si="402"/>
        <v>8I</v>
      </c>
    </row>
    <row r="12231" spans="1:6" x14ac:dyDescent="0.2">
      <c r="A12231">
        <v>9</v>
      </c>
      <c r="E12231" t="str">
        <f t="shared" si="401"/>
        <v>J</v>
      </c>
      <c r="F12231" t="str">
        <f t="shared" si="402"/>
        <v>9J</v>
      </c>
    </row>
    <row r="12232" spans="1:6" x14ac:dyDescent="0.2">
      <c r="A12232">
        <v>10</v>
      </c>
      <c r="E12232" t="str">
        <f t="shared" si="401"/>
        <v>K</v>
      </c>
      <c r="F12232" t="str">
        <f t="shared" si="402"/>
        <v>10K</v>
      </c>
    </row>
    <row r="12233" spans="1:6" x14ac:dyDescent="0.2">
      <c r="A12233">
        <v>11</v>
      </c>
      <c r="E12233" t="str">
        <f t="shared" si="401"/>
        <v>L</v>
      </c>
      <c r="F12233" t="str">
        <f t="shared" si="402"/>
        <v>11L</v>
      </c>
    </row>
    <row r="12234" spans="1:6" x14ac:dyDescent="0.2">
      <c r="A12234">
        <v>12</v>
      </c>
      <c r="E12234" t="str">
        <f t="shared" si="401"/>
        <v>M</v>
      </c>
      <c r="F12234" t="str">
        <f t="shared" si="402"/>
        <v>12M</v>
      </c>
    </row>
    <row r="12235" spans="1:6" x14ac:dyDescent="0.2">
      <c r="A12235">
        <v>13</v>
      </c>
      <c r="E12235" t="str">
        <f t="shared" si="401"/>
        <v>N</v>
      </c>
      <c r="F12235" t="str">
        <f t="shared" si="402"/>
        <v>13N</v>
      </c>
    </row>
    <row r="12236" spans="1:6" x14ac:dyDescent="0.2">
      <c r="A12236">
        <v>14</v>
      </c>
      <c r="E12236" t="str">
        <f t="shared" si="401"/>
        <v>O</v>
      </c>
      <c r="F12236" t="str">
        <f t="shared" si="402"/>
        <v>14O</v>
      </c>
    </row>
    <row r="12237" spans="1:6" x14ac:dyDescent="0.2">
      <c r="A12237">
        <v>15</v>
      </c>
      <c r="E12237" t="str">
        <f t="shared" si="401"/>
        <v>P</v>
      </c>
      <c r="F12237" t="str">
        <f t="shared" si="402"/>
        <v>15P</v>
      </c>
    </row>
    <row r="12238" spans="1:6" x14ac:dyDescent="0.2">
      <c r="A12238">
        <v>16</v>
      </c>
      <c r="E12238" t="str">
        <f t="shared" si="401"/>
        <v>Q</v>
      </c>
      <c r="F12238" t="str">
        <f t="shared" si="402"/>
        <v>16Q</v>
      </c>
    </row>
    <row r="12239" spans="1:6" x14ac:dyDescent="0.2">
      <c r="A12239">
        <v>17</v>
      </c>
      <c r="E12239" t="str">
        <f t="shared" si="401"/>
        <v>R</v>
      </c>
      <c r="F12239" t="str">
        <f t="shared" si="402"/>
        <v>17R</v>
      </c>
    </row>
    <row r="12240" spans="1:6" x14ac:dyDescent="0.2">
      <c r="A12240">
        <v>18</v>
      </c>
      <c r="E12240" t="str">
        <f t="shared" si="401"/>
        <v>S</v>
      </c>
      <c r="F12240" t="str">
        <f t="shared" si="402"/>
        <v>18S</v>
      </c>
    </row>
    <row r="12241" spans="1:6" x14ac:dyDescent="0.2">
      <c r="A12241">
        <v>19</v>
      </c>
      <c r="E12241" t="str">
        <f t="shared" si="401"/>
        <v>T</v>
      </c>
      <c r="F12241" t="str">
        <f t="shared" si="402"/>
        <v>19T</v>
      </c>
    </row>
    <row r="12242" spans="1:6" x14ac:dyDescent="0.2">
      <c r="A12242">
        <v>20</v>
      </c>
      <c r="E12242" t="str">
        <f t="shared" si="401"/>
        <v>U</v>
      </c>
      <c r="F12242" t="str">
        <f t="shared" si="402"/>
        <v>20U</v>
      </c>
    </row>
    <row r="12243" spans="1:6" x14ac:dyDescent="0.2">
      <c r="A12243">
        <v>21</v>
      </c>
      <c r="E12243" t="str">
        <f t="shared" si="401"/>
        <v>V</v>
      </c>
      <c r="F12243" t="str">
        <f t="shared" si="402"/>
        <v>21V</v>
      </c>
    </row>
    <row r="12244" spans="1:6" x14ac:dyDescent="0.2">
      <c r="A12244">
        <v>22</v>
      </c>
      <c r="E12244" t="str">
        <f t="shared" si="401"/>
        <v>W</v>
      </c>
      <c r="F12244" t="str">
        <f t="shared" si="402"/>
        <v>22W</v>
      </c>
    </row>
    <row r="12245" spans="1:6" x14ac:dyDescent="0.2">
      <c r="A12245">
        <v>23</v>
      </c>
      <c r="E12245" t="str">
        <f t="shared" ref="E12245:E12308" si="403">E12219</f>
        <v>X</v>
      </c>
      <c r="F12245" t="str">
        <f t="shared" si="402"/>
        <v>23X</v>
      </c>
    </row>
    <row r="12246" spans="1:6" x14ac:dyDescent="0.2">
      <c r="A12246">
        <v>24</v>
      </c>
      <c r="E12246" t="str">
        <f t="shared" si="403"/>
        <v>Y</v>
      </c>
      <c r="F12246" t="str">
        <f t="shared" si="402"/>
        <v>24Y</v>
      </c>
    </row>
    <row r="12247" spans="1:6" x14ac:dyDescent="0.2">
      <c r="A12247">
        <v>25</v>
      </c>
      <c r="E12247" t="str">
        <f t="shared" si="403"/>
        <v>Z</v>
      </c>
      <c r="F12247" t="str">
        <f t="shared" ref="F12247:F12310" si="404">A12247&amp;C12247&amp;E12247</f>
        <v>25Z</v>
      </c>
    </row>
    <row r="12248" spans="1:6" x14ac:dyDescent="0.2">
      <c r="A12248">
        <v>0</v>
      </c>
      <c r="E12248" t="str">
        <f t="shared" si="403"/>
        <v>A</v>
      </c>
      <c r="F12248" t="str">
        <f t="shared" si="404"/>
        <v>0A</v>
      </c>
    </row>
    <row r="12249" spans="1:6" x14ac:dyDescent="0.2">
      <c r="A12249">
        <v>1</v>
      </c>
      <c r="E12249" t="str">
        <f t="shared" si="403"/>
        <v>B</v>
      </c>
      <c r="F12249" t="str">
        <f t="shared" si="404"/>
        <v>1B</v>
      </c>
    </row>
    <row r="12250" spans="1:6" x14ac:dyDescent="0.2">
      <c r="A12250">
        <v>2</v>
      </c>
      <c r="E12250" t="str">
        <f t="shared" si="403"/>
        <v>C</v>
      </c>
      <c r="F12250" t="str">
        <f t="shared" si="404"/>
        <v>2C</v>
      </c>
    </row>
    <row r="12251" spans="1:6" x14ac:dyDescent="0.2">
      <c r="A12251">
        <v>3</v>
      </c>
      <c r="E12251" t="str">
        <f t="shared" si="403"/>
        <v>D</v>
      </c>
      <c r="F12251" t="str">
        <f t="shared" si="404"/>
        <v>3D</v>
      </c>
    </row>
    <row r="12252" spans="1:6" x14ac:dyDescent="0.2">
      <c r="A12252">
        <v>4</v>
      </c>
      <c r="E12252" t="str">
        <f t="shared" si="403"/>
        <v>E</v>
      </c>
      <c r="F12252" t="str">
        <f t="shared" si="404"/>
        <v>4E</v>
      </c>
    </row>
    <row r="12253" spans="1:6" x14ac:dyDescent="0.2">
      <c r="A12253">
        <v>5</v>
      </c>
      <c r="E12253" t="str">
        <f t="shared" si="403"/>
        <v>F</v>
      </c>
      <c r="F12253" t="str">
        <f t="shared" si="404"/>
        <v>5F</v>
      </c>
    </row>
    <row r="12254" spans="1:6" x14ac:dyDescent="0.2">
      <c r="A12254">
        <v>6</v>
      </c>
      <c r="E12254" t="str">
        <f t="shared" si="403"/>
        <v>G</v>
      </c>
      <c r="F12254" t="str">
        <f t="shared" si="404"/>
        <v>6G</v>
      </c>
    </row>
    <row r="12255" spans="1:6" x14ac:dyDescent="0.2">
      <c r="A12255">
        <v>7</v>
      </c>
      <c r="E12255" t="str">
        <f t="shared" si="403"/>
        <v>H</v>
      </c>
      <c r="F12255" t="str">
        <f t="shared" si="404"/>
        <v>7H</v>
      </c>
    </row>
    <row r="12256" spans="1:6" x14ac:dyDescent="0.2">
      <c r="A12256">
        <v>8</v>
      </c>
      <c r="E12256" t="str">
        <f t="shared" si="403"/>
        <v>I</v>
      </c>
      <c r="F12256" t="str">
        <f t="shared" si="404"/>
        <v>8I</v>
      </c>
    </row>
    <row r="12257" spans="1:6" x14ac:dyDescent="0.2">
      <c r="A12257">
        <v>9</v>
      </c>
      <c r="E12257" t="str">
        <f t="shared" si="403"/>
        <v>J</v>
      </c>
      <c r="F12257" t="str">
        <f t="shared" si="404"/>
        <v>9J</v>
      </c>
    </row>
    <row r="12258" spans="1:6" x14ac:dyDescent="0.2">
      <c r="A12258">
        <v>10</v>
      </c>
      <c r="E12258" t="str">
        <f t="shared" si="403"/>
        <v>K</v>
      </c>
      <c r="F12258" t="str">
        <f t="shared" si="404"/>
        <v>10K</v>
      </c>
    </row>
    <row r="12259" spans="1:6" x14ac:dyDescent="0.2">
      <c r="A12259">
        <v>11</v>
      </c>
      <c r="E12259" t="str">
        <f t="shared" si="403"/>
        <v>L</v>
      </c>
      <c r="F12259" t="str">
        <f t="shared" si="404"/>
        <v>11L</v>
      </c>
    </row>
    <row r="12260" spans="1:6" x14ac:dyDescent="0.2">
      <c r="A12260">
        <v>12</v>
      </c>
      <c r="E12260" t="str">
        <f t="shared" si="403"/>
        <v>M</v>
      </c>
      <c r="F12260" t="str">
        <f t="shared" si="404"/>
        <v>12M</v>
      </c>
    </row>
    <row r="12261" spans="1:6" x14ac:dyDescent="0.2">
      <c r="A12261">
        <v>13</v>
      </c>
      <c r="E12261" t="str">
        <f t="shared" si="403"/>
        <v>N</v>
      </c>
      <c r="F12261" t="str">
        <f t="shared" si="404"/>
        <v>13N</v>
      </c>
    </row>
    <row r="12262" spans="1:6" x14ac:dyDescent="0.2">
      <c r="A12262">
        <v>14</v>
      </c>
      <c r="E12262" t="str">
        <f t="shared" si="403"/>
        <v>O</v>
      </c>
      <c r="F12262" t="str">
        <f t="shared" si="404"/>
        <v>14O</v>
      </c>
    </row>
    <row r="12263" spans="1:6" x14ac:dyDescent="0.2">
      <c r="A12263">
        <v>15</v>
      </c>
      <c r="E12263" t="str">
        <f t="shared" si="403"/>
        <v>P</v>
      </c>
      <c r="F12263" t="str">
        <f t="shared" si="404"/>
        <v>15P</v>
      </c>
    </row>
    <row r="12264" spans="1:6" x14ac:dyDescent="0.2">
      <c r="A12264">
        <v>16</v>
      </c>
      <c r="E12264" t="str">
        <f t="shared" si="403"/>
        <v>Q</v>
      </c>
      <c r="F12264" t="str">
        <f t="shared" si="404"/>
        <v>16Q</v>
      </c>
    </row>
    <row r="12265" spans="1:6" x14ac:dyDescent="0.2">
      <c r="A12265">
        <v>17</v>
      </c>
      <c r="E12265" t="str">
        <f t="shared" si="403"/>
        <v>R</v>
      </c>
      <c r="F12265" t="str">
        <f t="shared" si="404"/>
        <v>17R</v>
      </c>
    </row>
    <row r="12266" spans="1:6" x14ac:dyDescent="0.2">
      <c r="A12266">
        <v>18</v>
      </c>
      <c r="E12266" t="str">
        <f t="shared" si="403"/>
        <v>S</v>
      </c>
      <c r="F12266" t="str">
        <f t="shared" si="404"/>
        <v>18S</v>
      </c>
    </row>
    <row r="12267" spans="1:6" x14ac:dyDescent="0.2">
      <c r="A12267">
        <v>19</v>
      </c>
      <c r="E12267" t="str">
        <f t="shared" si="403"/>
        <v>T</v>
      </c>
      <c r="F12267" t="str">
        <f t="shared" si="404"/>
        <v>19T</v>
      </c>
    </row>
    <row r="12268" spans="1:6" x14ac:dyDescent="0.2">
      <c r="A12268">
        <v>20</v>
      </c>
      <c r="E12268" t="str">
        <f t="shared" si="403"/>
        <v>U</v>
      </c>
      <c r="F12268" t="str">
        <f t="shared" si="404"/>
        <v>20U</v>
      </c>
    </row>
    <row r="12269" spans="1:6" x14ac:dyDescent="0.2">
      <c r="A12269">
        <v>21</v>
      </c>
      <c r="E12269" t="str">
        <f t="shared" si="403"/>
        <v>V</v>
      </c>
      <c r="F12269" t="str">
        <f t="shared" si="404"/>
        <v>21V</v>
      </c>
    </row>
    <row r="12270" spans="1:6" x14ac:dyDescent="0.2">
      <c r="A12270">
        <v>22</v>
      </c>
      <c r="E12270" t="str">
        <f t="shared" si="403"/>
        <v>W</v>
      </c>
      <c r="F12270" t="str">
        <f t="shared" si="404"/>
        <v>22W</v>
      </c>
    </row>
    <row r="12271" spans="1:6" x14ac:dyDescent="0.2">
      <c r="A12271">
        <v>23</v>
      </c>
      <c r="E12271" t="str">
        <f t="shared" si="403"/>
        <v>X</v>
      </c>
      <c r="F12271" t="str">
        <f t="shared" si="404"/>
        <v>23X</v>
      </c>
    </row>
    <row r="12272" spans="1:6" x14ac:dyDescent="0.2">
      <c r="A12272">
        <v>24</v>
      </c>
      <c r="E12272" t="str">
        <f t="shared" si="403"/>
        <v>Y</v>
      </c>
      <c r="F12272" t="str">
        <f t="shared" si="404"/>
        <v>24Y</v>
      </c>
    </row>
    <row r="12273" spans="1:6" x14ac:dyDescent="0.2">
      <c r="A12273">
        <v>25</v>
      </c>
      <c r="E12273" t="str">
        <f t="shared" si="403"/>
        <v>Z</v>
      </c>
      <c r="F12273" t="str">
        <f t="shared" si="404"/>
        <v>25Z</v>
      </c>
    </row>
    <row r="12274" spans="1:6" x14ac:dyDescent="0.2">
      <c r="A12274">
        <v>0</v>
      </c>
      <c r="E12274" t="str">
        <f t="shared" si="403"/>
        <v>A</v>
      </c>
      <c r="F12274" t="str">
        <f t="shared" si="404"/>
        <v>0A</v>
      </c>
    </row>
    <row r="12275" spans="1:6" x14ac:dyDescent="0.2">
      <c r="A12275">
        <v>1</v>
      </c>
      <c r="E12275" t="str">
        <f t="shared" si="403"/>
        <v>B</v>
      </c>
      <c r="F12275" t="str">
        <f t="shared" si="404"/>
        <v>1B</v>
      </c>
    </row>
    <row r="12276" spans="1:6" x14ac:dyDescent="0.2">
      <c r="A12276">
        <v>2</v>
      </c>
      <c r="E12276" t="str">
        <f t="shared" si="403"/>
        <v>C</v>
      </c>
      <c r="F12276" t="str">
        <f t="shared" si="404"/>
        <v>2C</v>
      </c>
    </row>
    <row r="12277" spans="1:6" x14ac:dyDescent="0.2">
      <c r="A12277">
        <v>3</v>
      </c>
      <c r="E12277" t="str">
        <f t="shared" si="403"/>
        <v>D</v>
      </c>
      <c r="F12277" t="str">
        <f t="shared" si="404"/>
        <v>3D</v>
      </c>
    </row>
    <row r="12278" spans="1:6" x14ac:dyDescent="0.2">
      <c r="A12278">
        <v>4</v>
      </c>
      <c r="E12278" t="str">
        <f t="shared" si="403"/>
        <v>E</v>
      </c>
      <c r="F12278" t="str">
        <f t="shared" si="404"/>
        <v>4E</v>
      </c>
    </row>
    <row r="12279" spans="1:6" x14ac:dyDescent="0.2">
      <c r="A12279">
        <v>5</v>
      </c>
      <c r="E12279" t="str">
        <f t="shared" si="403"/>
        <v>F</v>
      </c>
      <c r="F12279" t="str">
        <f t="shared" si="404"/>
        <v>5F</v>
      </c>
    </row>
    <row r="12280" spans="1:6" x14ac:dyDescent="0.2">
      <c r="A12280">
        <v>6</v>
      </c>
      <c r="E12280" t="str">
        <f t="shared" si="403"/>
        <v>G</v>
      </c>
      <c r="F12280" t="str">
        <f t="shared" si="404"/>
        <v>6G</v>
      </c>
    </row>
    <row r="12281" spans="1:6" x14ac:dyDescent="0.2">
      <c r="A12281">
        <v>7</v>
      </c>
      <c r="E12281" t="str">
        <f t="shared" si="403"/>
        <v>H</v>
      </c>
      <c r="F12281" t="str">
        <f t="shared" si="404"/>
        <v>7H</v>
      </c>
    </row>
    <row r="12282" spans="1:6" x14ac:dyDescent="0.2">
      <c r="A12282">
        <v>8</v>
      </c>
      <c r="E12282" t="str">
        <f t="shared" si="403"/>
        <v>I</v>
      </c>
      <c r="F12282" t="str">
        <f t="shared" si="404"/>
        <v>8I</v>
      </c>
    </row>
    <row r="12283" spans="1:6" x14ac:dyDescent="0.2">
      <c r="A12283">
        <v>9</v>
      </c>
      <c r="E12283" t="str">
        <f t="shared" si="403"/>
        <v>J</v>
      </c>
      <c r="F12283" t="str">
        <f t="shared" si="404"/>
        <v>9J</v>
      </c>
    </row>
    <row r="12284" spans="1:6" x14ac:dyDescent="0.2">
      <c r="A12284">
        <v>10</v>
      </c>
      <c r="E12284" t="str">
        <f t="shared" si="403"/>
        <v>K</v>
      </c>
      <c r="F12284" t="str">
        <f t="shared" si="404"/>
        <v>10K</v>
      </c>
    </row>
    <row r="12285" spans="1:6" x14ac:dyDescent="0.2">
      <c r="A12285">
        <v>11</v>
      </c>
      <c r="E12285" t="str">
        <f t="shared" si="403"/>
        <v>L</v>
      </c>
      <c r="F12285" t="str">
        <f t="shared" si="404"/>
        <v>11L</v>
      </c>
    </row>
    <row r="12286" spans="1:6" x14ac:dyDescent="0.2">
      <c r="A12286">
        <v>12</v>
      </c>
      <c r="E12286" t="str">
        <f t="shared" si="403"/>
        <v>M</v>
      </c>
      <c r="F12286" t="str">
        <f t="shared" si="404"/>
        <v>12M</v>
      </c>
    </row>
    <row r="12287" spans="1:6" x14ac:dyDescent="0.2">
      <c r="A12287">
        <v>13</v>
      </c>
      <c r="E12287" t="str">
        <f t="shared" si="403"/>
        <v>N</v>
      </c>
      <c r="F12287" t="str">
        <f t="shared" si="404"/>
        <v>13N</v>
      </c>
    </row>
    <row r="12288" spans="1:6" x14ac:dyDescent="0.2">
      <c r="A12288">
        <v>14</v>
      </c>
      <c r="E12288" t="str">
        <f t="shared" si="403"/>
        <v>O</v>
      </c>
      <c r="F12288" t="str">
        <f t="shared" si="404"/>
        <v>14O</v>
      </c>
    </row>
    <row r="12289" spans="1:6" x14ac:dyDescent="0.2">
      <c r="A12289">
        <v>15</v>
      </c>
      <c r="E12289" t="str">
        <f t="shared" si="403"/>
        <v>P</v>
      </c>
      <c r="F12289" t="str">
        <f t="shared" si="404"/>
        <v>15P</v>
      </c>
    </row>
    <row r="12290" spans="1:6" x14ac:dyDescent="0.2">
      <c r="A12290">
        <v>16</v>
      </c>
      <c r="E12290" t="str">
        <f t="shared" si="403"/>
        <v>Q</v>
      </c>
      <c r="F12290" t="str">
        <f t="shared" si="404"/>
        <v>16Q</v>
      </c>
    </row>
    <row r="12291" spans="1:6" x14ac:dyDescent="0.2">
      <c r="A12291">
        <v>17</v>
      </c>
      <c r="E12291" t="str">
        <f t="shared" si="403"/>
        <v>R</v>
      </c>
      <c r="F12291" t="str">
        <f t="shared" si="404"/>
        <v>17R</v>
      </c>
    </row>
    <row r="12292" spans="1:6" x14ac:dyDescent="0.2">
      <c r="A12292">
        <v>18</v>
      </c>
      <c r="E12292" t="str">
        <f t="shared" si="403"/>
        <v>S</v>
      </c>
      <c r="F12292" t="str">
        <f t="shared" si="404"/>
        <v>18S</v>
      </c>
    </row>
    <row r="12293" spans="1:6" x14ac:dyDescent="0.2">
      <c r="A12293">
        <v>19</v>
      </c>
      <c r="E12293" t="str">
        <f t="shared" si="403"/>
        <v>T</v>
      </c>
      <c r="F12293" t="str">
        <f t="shared" si="404"/>
        <v>19T</v>
      </c>
    </row>
    <row r="12294" spans="1:6" x14ac:dyDescent="0.2">
      <c r="A12294">
        <v>20</v>
      </c>
      <c r="E12294" t="str">
        <f t="shared" si="403"/>
        <v>U</v>
      </c>
      <c r="F12294" t="str">
        <f t="shared" si="404"/>
        <v>20U</v>
      </c>
    </row>
    <row r="12295" spans="1:6" x14ac:dyDescent="0.2">
      <c r="A12295">
        <v>21</v>
      </c>
      <c r="E12295" t="str">
        <f t="shared" si="403"/>
        <v>V</v>
      </c>
      <c r="F12295" t="str">
        <f t="shared" si="404"/>
        <v>21V</v>
      </c>
    </row>
    <row r="12296" spans="1:6" x14ac:dyDescent="0.2">
      <c r="A12296">
        <v>22</v>
      </c>
      <c r="E12296" t="str">
        <f t="shared" si="403"/>
        <v>W</v>
      </c>
      <c r="F12296" t="str">
        <f t="shared" si="404"/>
        <v>22W</v>
      </c>
    </row>
    <row r="12297" spans="1:6" x14ac:dyDescent="0.2">
      <c r="A12297">
        <v>23</v>
      </c>
      <c r="E12297" t="str">
        <f t="shared" si="403"/>
        <v>X</v>
      </c>
      <c r="F12297" t="str">
        <f t="shared" si="404"/>
        <v>23X</v>
      </c>
    </row>
    <row r="12298" spans="1:6" x14ac:dyDescent="0.2">
      <c r="A12298">
        <v>24</v>
      </c>
      <c r="E12298" t="str">
        <f t="shared" si="403"/>
        <v>Y</v>
      </c>
      <c r="F12298" t="str">
        <f t="shared" si="404"/>
        <v>24Y</v>
      </c>
    </row>
    <row r="12299" spans="1:6" x14ac:dyDescent="0.2">
      <c r="A12299">
        <v>25</v>
      </c>
      <c r="E12299" t="str">
        <f t="shared" si="403"/>
        <v>Z</v>
      </c>
      <c r="F12299" t="str">
        <f t="shared" si="404"/>
        <v>25Z</v>
      </c>
    </row>
    <row r="12300" spans="1:6" x14ac:dyDescent="0.2">
      <c r="A12300">
        <v>0</v>
      </c>
      <c r="E12300" t="str">
        <f t="shared" si="403"/>
        <v>A</v>
      </c>
      <c r="F12300" t="str">
        <f t="shared" si="404"/>
        <v>0A</v>
      </c>
    </row>
    <row r="12301" spans="1:6" x14ac:dyDescent="0.2">
      <c r="A12301">
        <v>1</v>
      </c>
      <c r="E12301" t="str">
        <f t="shared" si="403"/>
        <v>B</v>
      </c>
      <c r="F12301" t="str">
        <f t="shared" si="404"/>
        <v>1B</v>
      </c>
    </row>
    <row r="12302" spans="1:6" x14ac:dyDescent="0.2">
      <c r="A12302">
        <v>2</v>
      </c>
      <c r="E12302" t="str">
        <f t="shared" si="403"/>
        <v>C</v>
      </c>
      <c r="F12302" t="str">
        <f t="shared" si="404"/>
        <v>2C</v>
      </c>
    </row>
    <row r="12303" spans="1:6" x14ac:dyDescent="0.2">
      <c r="A12303">
        <v>3</v>
      </c>
      <c r="E12303" t="str">
        <f t="shared" si="403"/>
        <v>D</v>
      </c>
      <c r="F12303" t="str">
        <f t="shared" si="404"/>
        <v>3D</v>
      </c>
    </row>
    <row r="12304" spans="1:6" x14ac:dyDescent="0.2">
      <c r="A12304">
        <v>4</v>
      </c>
      <c r="E12304" t="str">
        <f t="shared" si="403"/>
        <v>E</v>
      </c>
      <c r="F12304" t="str">
        <f t="shared" si="404"/>
        <v>4E</v>
      </c>
    </row>
    <row r="12305" spans="1:6" x14ac:dyDescent="0.2">
      <c r="A12305">
        <v>5</v>
      </c>
      <c r="E12305" t="str">
        <f t="shared" si="403"/>
        <v>F</v>
      </c>
      <c r="F12305" t="str">
        <f t="shared" si="404"/>
        <v>5F</v>
      </c>
    </row>
    <row r="12306" spans="1:6" x14ac:dyDescent="0.2">
      <c r="A12306">
        <v>6</v>
      </c>
      <c r="E12306" t="str">
        <f t="shared" si="403"/>
        <v>G</v>
      </c>
      <c r="F12306" t="str">
        <f t="shared" si="404"/>
        <v>6G</v>
      </c>
    </row>
    <row r="12307" spans="1:6" x14ac:dyDescent="0.2">
      <c r="A12307">
        <v>7</v>
      </c>
      <c r="E12307" t="str">
        <f t="shared" si="403"/>
        <v>H</v>
      </c>
      <c r="F12307" t="str">
        <f t="shared" si="404"/>
        <v>7H</v>
      </c>
    </row>
    <row r="12308" spans="1:6" x14ac:dyDescent="0.2">
      <c r="A12308">
        <v>8</v>
      </c>
      <c r="E12308" t="str">
        <f t="shared" si="403"/>
        <v>I</v>
      </c>
      <c r="F12308" t="str">
        <f t="shared" si="404"/>
        <v>8I</v>
      </c>
    </row>
    <row r="12309" spans="1:6" x14ac:dyDescent="0.2">
      <c r="A12309">
        <v>9</v>
      </c>
      <c r="E12309" t="str">
        <f t="shared" ref="E12309:E12372" si="405">E12283</f>
        <v>J</v>
      </c>
      <c r="F12309" t="str">
        <f t="shared" si="404"/>
        <v>9J</v>
      </c>
    </row>
    <row r="12310" spans="1:6" x14ac:dyDescent="0.2">
      <c r="A12310">
        <v>10</v>
      </c>
      <c r="E12310" t="str">
        <f t="shared" si="405"/>
        <v>K</v>
      </c>
      <c r="F12310" t="str">
        <f t="shared" si="404"/>
        <v>10K</v>
      </c>
    </row>
    <row r="12311" spans="1:6" x14ac:dyDescent="0.2">
      <c r="A12311">
        <v>11</v>
      </c>
      <c r="E12311" t="str">
        <f t="shared" si="405"/>
        <v>L</v>
      </c>
      <c r="F12311" t="str">
        <f t="shared" ref="F12311:F12374" si="406">A12311&amp;C12311&amp;E12311</f>
        <v>11L</v>
      </c>
    </row>
    <row r="12312" spans="1:6" x14ac:dyDescent="0.2">
      <c r="A12312">
        <v>12</v>
      </c>
      <c r="E12312" t="str">
        <f t="shared" si="405"/>
        <v>M</v>
      </c>
      <c r="F12312" t="str">
        <f t="shared" si="406"/>
        <v>12M</v>
      </c>
    </row>
    <row r="12313" spans="1:6" x14ac:dyDescent="0.2">
      <c r="A12313">
        <v>13</v>
      </c>
      <c r="E12313" t="str">
        <f t="shared" si="405"/>
        <v>N</v>
      </c>
      <c r="F12313" t="str">
        <f t="shared" si="406"/>
        <v>13N</v>
      </c>
    </row>
    <row r="12314" spans="1:6" x14ac:dyDescent="0.2">
      <c r="A12314">
        <v>14</v>
      </c>
      <c r="E12314" t="str">
        <f t="shared" si="405"/>
        <v>O</v>
      </c>
      <c r="F12314" t="str">
        <f t="shared" si="406"/>
        <v>14O</v>
      </c>
    </row>
    <row r="12315" spans="1:6" x14ac:dyDescent="0.2">
      <c r="A12315">
        <v>15</v>
      </c>
      <c r="E12315" t="str">
        <f t="shared" si="405"/>
        <v>P</v>
      </c>
      <c r="F12315" t="str">
        <f t="shared" si="406"/>
        <v>15P</v>
      </c>
    </row>
    <row r="12316" spans="1:6" x14ac:dyDescent="0.2">
      <c r="A12316">
        <v>16</v>
      </c>
      <c r="E12316" t="str">
        <f t="shared" si="405"/>
        <v>Q</v>
      </c>
      <c r="F12316" t="str">
        <f t="shared" si="406"/>
        <v>16Q</v>
      </c>
    </row>
    <row r="12317" spans="1:6" x14ac:dyDescent="0.2">
      <c r="A12317">
        <v>17</v>
      </c>
      <c r="E12317" t="str">
        <f t="shared" si="405"/>
        <v>R</v>
      </c>
      <c r="F12317" t="str">
        <f t="shared" si="406"/>
        <v>17R</v>
      </c>
    </row>
    <row r="12318" spans="1:6" x14ac:dyDescent="0.2">
      <c r="A12318">
        <v>18</v>
      </c>
      <c r="E12318" t="str">
        <f t="shared" si="405"/>
        <v>S</v>
      </c>
      <c r="F12318" t="str">
        <f t="shared" si="406"/>
        <v>18S</v>
      </c>
    </row>
    <row r="12319" spans="1:6" x14ac:dyDescent="0.2">
      <c r="A12319">
        <v>19</v>
      </c>
      <c r="E12319" t="str">
        <f t="shared" si="405"/>
        <v>T</v>
      </c>
      <c r="F12319" t="str">
        <f t="shared" si="406"/>
        <v>19T</v>
      </c>
    </row>
    <row r="12320" spans="1:6" x14ac:dyDescent="0.2">
      <c r="A12320">
        <v>20</v>
      </c>
      <c r="E12320" t="str">
        <f t="shared" si="405"/>
        <v>U</v>
      </c>
      <c r="F12320" t="str">
        <f t="shared" si="406"/>
        <v>20U</v>
      </c>
    </row>
    <row r="12321" spans="1:6" x14ac:dyDescent="0.2">
      <c r="A12321">
        <v>21</v>
      </c>
      <c r="E12321" t="str">
        <f t="shared" si="405"/>
        <v>V</v>
      </c>
      <c r="F12321" t="str">
        <f t="shared" si="406"/>
        <v>21V</v>
      </c>
    </row>
    <row r="12322" spans="1:6" x14ac:dyDescent="0.2">
      <c r="A12322">
        <v>22</v>
      </c>
      <c r="E12322" t="str">
        <f t="shared" si="405"/>
        <v>W</v>
      </c>
      <c r="F12322" t="str">
        <f t="shared" si="406"/>
        <v>22W</v>
      </c>
    </row>
    <row r="12323" spans="1:6" x14ac:dyDescent="0.2">
      <c r="A12323">
        <v>23</v>
      </c>
      <c r="E12323" t="str">
        <f t="shared" si="405"/>
        <v>X</v>
      </c>
      <c r="F12323" t="str">
        <f t="shared" si="406"/>
        <v>23X</v>
      </c>
    </row>
    <row r="12324" spans="1:6" x14ac:dyDescent="0.2">
      <c r="A12324">
        <v>24</v>
      </c>
      <c r="E12324" t="str">
        <f t="shared" si="405"/>
        <v>Y</v>
      </c>
      <c r="F12324" t="str">
        <f t="shared" si="406"/>
        <v>24Y</v>
      </c>
    </row>
    <row r="12325" spans="1:6" x14ac:dyDescent="0.2">
      <c r="A12325">
        <v>25</v>
      </c>
      <c r="E12325" t="str">
        <f t="shared" si="405"/>
        <v>Z</v>
      </c>
      <c r="F12325" t="str">
        <f t="shared" si="406"/>
        <v>25Z</v>
      </c>
    </row>
    <row r="12326" spans="1:6" x14ac:dyDescent="0.2">
      <c r="A12326">
        <v>0</v>
      </c>
      <c r="E12326" t="str">
        <f t="shared" si="405"/>
        <v>A</v>
      </c>
      <c r="F12326" t="str">
        <f t="shared" si="406"/>
        <v>0A</v>
      </c>
    </row>
    <row r="12327" spans="1:6" x14ac:dyDescent="0.2">
      <c r="A12327">
        <v>1</v>
      </c>
      <c r="E12327" t="str">
        <f t="shared" si="405"/>
        <v>B</v>
      </c>
      <c r="F12327" t="str">
        <f t="shared" si="406"/>
        <v>1B</v>
      </c>
    </row>
    <row r="12328" spans="1:6" x14ac:dyDescent="0.2">
      <c r="A12328">
        <v>2</v>
      </c>
      <c r="E12328" t="str">
        <f t="shared" si="405"/>
        <v>C</v>
      </c>
      <c r="F12328" t="str">
        <f t="shared" si="406"/>
        <v>2C</v>
      </c>
    </row>
    <row r="12329" spans="1:6" x14ac:dyDescent="0.2">
      <c r="A12329">
        <v>3</v>
      </c>
      <c r="E12329" t="str">
        <f t="shared" si="405"/>
        <v>D</v>
      </c>
      <c r="F12329" t="str">
        <f t="shared" si="406"/>
        <v>3D</v>
      </c>
    </row>
    <row r="12330" spans="1:6" x14ac:dyDescent="0.2">
      <c r="A12330">
        <v>4</v>
      </c>
      <c r="E12330" t="str">
        <f t="shared" si="405"/>
        <v>E</v>
      </c>
      <c r="F12330" t="str">
        <f t="shared" si="406"/>
        <v>4E</v>
      </c>
    </row>
    <row r="12331" spans="1:6" x14ac:dyDescent="0.2">
      <c r="A12331">
        <v>5</v>
      </c>
      <c r="E12331" t="str">
        <f t="shared" si="405"/>
        <v>F</v>
      </c>
      <c r="F12331" t="str">
        <f t="shared" si="406"/>
        <v>5F</v>
      </c>
    </row>
    <row r="12332" spans="1:6" x14ac:dyDescent="0.2">
      <c r="A12332">
        <v>6</v>
      </c>
      <c r="E12332" t="str">
        <f t="shared" si="405"/>
        <v>G</v>
      </c>
      <c r="F12332" t="str">
        <f t="shared" si="406"/>
        <v>6G</v>
      </c>
    </row>
    <row r="12333" spans="1:6" x14ac:dyDescent="0.2">
      <c r="A12333">
        <v>7</v>
      </c>
      <c r="E12333" t="str">
        <f t="shared" si="405"/>
        <v>H</v>
      </c>
      <c r="F12333" t="str">
        <f t="shared" si="406"/>
        <v>7H</v>
      </c>
    </row>
    <row r="12334" spans="1:6" x14ac:dyDescent="0.2">
      <c r="A12334">
        <v>8</v>
      </c>
      <c r="E12334" t="str">
        <f t="shared" si="405"/>
        <v>I</v>
      </c>
      <c r="F12334" t="str">
        <f t="shared" si="406"/>
        <v>8I</v>
      </c>
    </row>
    <row r="12335" spans="1:6" x14ac:dyDescent="0.2">
      <c r="A12335">
        <v>9</v>
      </c>
      <c r="E12335" t="str">
        <f t="shared" si="405"/>
        <v>J</v>
      </c>
      <c r="F12335" t="str">
        <f t="shared" si="406"/>
        <v>9J</v>
      </c>
    </row>
    <row r="12336" spans="1:6" x14ac:dyDescent="0.2">
      <c r="A12336">
        <v>10</v>
      </c>
      <c r="E12336" t="str">
        <f t="shared" si="405"/>
        <v>K</v>
      </c>
      <c r="F12336" t="str">
        <f t="shared" si="406"/>
        <v>10K</v>
      </c>
    </row>
    <row r="12337" spans="1:6" x14ac:dyDescent="0.2">
      <c r="A12337">
        <v>11</v>
      </c>
      <c r="E12337" t="str">
        <f t="shared" si="405"/>
        <v>L</v>
      </c>
      <c r="F12337" t="str">
        <f t="shared" si="406"/>
        <v>11L</v>
      </c>
    </row>
    <row r="12338" spans="1:6" x14ac:dyDescent="0.2">
      <c r="A12338">
        <v>12</v>
      </c>
      <c r="E12338" t="str">
        <f t="shared" si="405"/>
        <v>M</v>
      </c>
      <c r="F12338" t="str">
        <f t="shared" si="406"/>
        <v>12M</v>
      </c>
    </row>
    <row r="12339" spans="1:6" x14ac:dyDescent="0.2">
      <c r="A12339">
        <v>13</v>
      </c>
      <c r="E12339" t="str">
        <f t="shared" si="405"/>
        <v>N</v>
      </c>
      <c r="F12339" t="str">
        <f t="shared" si="406"/>
        <v>13N</v>
      </c>
    </row>
    <row r="12340" spans="1:6" x14ac:dyDescent="0.2">
      <c r="A12340">
        <v>14</v>
      </c>
      <c r="E12340" t="str">
        <f t="shared" si="405"/>
        <v>O</v>
      </c>
      <c r="F12340" t="str">
        <f t="shared" si="406"/>
        <v>14O</v>
      </c>
    </row>
    <row r="12341" spans="1:6" x14ac:dyDescent="0.2">
      <c r="A12341">
        <v>15</v>
      </c>
      <c r="E12341" t="str">
        <f t="shared" si="405"/>
        <v>P</v>
      </c>
      <c r="F12341" t="str">
        <f t="shared" si="406"/>
        <v>15P</v>
      </c>
    </row>
    <row r="12342" spans="1:6" x14ac:dyDescent="0.2">
      <c r="A12342">
        <v>16</v>
      </c>
      <c r="E12342" t="str">
        <f t="shared" si="405"/>
        <v>Q</v>
      </c>
      <c r="F12342" t="str">
        <f t="shared" si="406"/>
        <v>16Q</v>
      </c>
    </row>
    <row r="12343" spans="1:6" x14ac:dyDescent="0.2">
      <c r="A12343">
        <v>17</v>
      </c>
      <c r="E12343" t="str">
        <f t="shared" si="405"/>
        <v>R</v>
      </c>
      <c r="F12343" t="str">
        <f t="shared" si="406"/>
        <v>17R</v>
      </c>
    </row>
    <row r="12344" spans="1:6" x14ac:dyDescent="0.2">
      <c r="A12344">
        <v>18</v>
      </c>
      <c r="E12344" t="str">
        <f t="shared" si="405"/>
        <v>S</v>
      </c>
      <c r="F12344" t="str">
        <f t="shared" si="406"/>
        <v>18S</v>
      </c>
    </row>
    <row r="12345" spans="1:6" x14ac:dyDescent="0.2">
      <c r="A12345">
        <v>19</v>
      </c>
      <c r="E12345" t="str">
        <f t="shared" si="405"/>
        <v>T</v>
      </c>
      <c r="F12345" t="str">
        <f t="shared" si="406"/>
        <v>19T</v>
      </c>
    </row>
    <row r="12346" spans="1:6" x14ac:dyDescent="0.2">
      <c r="A12346">
        <v>20</v>
      </c>
      <c r="E12346" t="str">
        <f t="shared" si="405"/>
        <v>U</v>
      </c>
      <c r="F12346" t="str">
        <f t="shared" si="406"/>
        <v>20U</v>
      </c>
    </row>
    <row r="12347" spans="1:6" x14ac:dyDescent="0.2">
      <c r="A12347">
        <v>21</v>
      </c>
      <c r="E12347" t="str">
        <f t="shared" si="405"/>
        <v>V</v>
      </c>
      <c r="F12347" t="str">
        <f t="shared" si="406"/>
        <v>21V</v>
      </c>
    </row>
    <row r="12348" spans="1:6" x14ac:dyDescent="0.2">
      <c r="A12348">
        <v>22</v>
      </c>
      <c r="E12348" t="str">
        <f t="shared" si="405"/>
        <v>W</v>
      </c>
      <c r="F12348" t="str">
        <f t="shared" si="406"/>
        <v>22W</v>
      </c>
    </row>
    <row r="12349" spans="1:6" x14ac:dyDescent="0.2">
      <c r="A12349">
        <v>23</v>
      </c>
      <c r="E12349" t="str">
        <f t="shared" si="405"/>
        <v>X</v>
      </c>
      <c r="F12349" t="str">
        <f t="shared" si="406"/>
        <v>23X</v>
      </c>
    </row>
    <row r="12350" spans="1:6" x14ac:dyDescent="0.2">
      <c r="A12350">
        <v>24</v>
      </c>
      <c r="E12350" t="str">
        <f t="shared" si="405"/>
        <v>Y</v>
      </c>
      <c r="F12350" t="str">
        <f t="shared" si="406"/>
        <v>24Y</v>
      </c>
    </row>
    <row r="12351" spans="1:6" x14ac:dyDescent="0.2">
      <c r="A12351">
        <v>25</v>
      </c>
      <c r="E12351" t="str">
        <f t="shared" si="405"/>
        <v>Z</v>
      </c>
      <c r="F12351" t="str">
        <f t="shared" si="406"/>
        <v>25Z</v>
      </c>
    </row>
    <row r="12352" spans="1:6" x14ac:dyDescent="0.2">
      <c r="A12352">
        <v>0</v>
      </c>
      <c r="E12352" t="str">
        <f t="shared" si="405"/>
        <v>A</v>
      </c>
      <c r="F12352" t="str">
        <f t="shared" si="406"/>
        <v>0A</v>
      </c>
    </row>
    <row r="12353" spans="1:6" x14ac:dyDescent="0.2">
      <c r="A12353">
        <v>1</v>
      </c>
      <c r="E12353" t="str">
        <f t="shared" si="405"/>
        <v>B</v>
      </c>
      <c r="F12353" t="str">
        <f t="shared" si="406"/>
        <v>1B</v>
      </c>
    </row>
    <row r="12354" spans="1:6" x14ac:dyDescent="0.2">
      <c r="A12354">
        <v>2</v>
      </c>
      <c r="E12354" t="str">
        <f t="shared" si="405"/>
        <v>C</v>
      </c>
      <c r="F12354" t="str">
        <f t="shared" si="406"/>
        <v>2C</v>
      </c>
    </row>
    <row r="12355" spans="1:6" x14ac:dyDescent="0.2">
      <c r="A12355">
        <v>3</v>
      </c>
      <c r="E12355" t="str">
        <f t="shared" si="405"/>
        <v>D</v>
      </c>
      <c r="F12355" t="str">
        <f t="shared" si="406"/>
        <v>3D</v>
      </c>
    </row>
    <row r="12356" spans="1:6" x14ac:dyDescent="0.2">
      <c r="A12356">
        <v>4</v>
      </c>
      <c r="E12356" t="str">
        <f t="shared" si="405"/>
        <v>E</v>
      </c>
      <c r="F12356" t="str">
        <f t="shared" si="406"/>
        <v>4E</v>
      </c>
    </row>
    <row r="12357" spans="1:6" x14ac:dyDescent="0.2">
      <c r="A12357">
        <v>5</v>
      </c>
      <c r="E12357" t="str">
        <f t="shared" si="405"/>
        <v>F</v>
      </c>
      <c r="F12357" t="str">
        <f t="shared" si="406"/>
        <v>5F</v>
      </c>
    </row>
    <row r="12358" spans="1:6" x14ac:dyDescent="0.2">
      <c r="A12358">
        <v>6</v>
      </c>
      <c r="E12358" t="str">
        <f t="shared" si="405"/>
        <v>G</v>
      </c>
      <c r="F12358" t="str">
        <f t="shared" si="406"/>
        <v>6G</v>
      </c>
    </row>
    <row r="12359" spans="1:6" x14ac:dyDescent="0.2">
      <c r="A12359">
        <v>7</v>
      </c>
      <c r="E12359" t="str">
        <f t="shared" si="405"/>
        <v>H</v>
      </c>
      <c r="F12359" t="str">
        <f t="shared" si="406"/>
        <v>7H</v>
      </c>
    </row>
    <row r="12360" spans="1:6" x14ac:dyDescent="0.2">
      <c r="A12360">
        <v>8</v>
      </c>
      <c r="E12360" t="str">
        <f t="shared" si="405"/>
        <v>I</v>
      </c>
      <c r="F12360" t="str">
        <f t="shared" si="406"/>
        <v>8I</v>
      </c>
    </row>
    <row r="12361" spans="1:6" x14ac:dyDescent="0.2">
      <c r="A12361">
        <v>9</v>
      </c>
      <c r="E12361" t="str">
        <f t="shared" si="405"/>
        <v>J</v>
      </c>
      <c r="F12361" t="str">
        <f t="shared" si="406"/>
        <v>9J</v>
      </c>
    </row>
    <row r="12362" spans="1:6" x14ac:dyDescent="0.2">
      <c r="A12362">
        <v>10</v>
      </c>
      <c r="E12362" t="str">
        <f t="shared" si="405"/>
        <v>K</v>
      </c>
      <c r="F12362" t="str">
        <f t="shared" si="406"/>
        <v>10K</v>
      </c>
    </row>
    <row r="12363" spans="1:6" x14ac:dyDescent="0.2">
      <c r="A12363">
        <v>11</v>
      </c>
      <c r="E12363" t="str">
        <f t="shared" si="405"/>
        <v>L</v>
      </c>
      <c r="F12363" t="str">
        <f t="shared" si="406"/>
        <v>11L</v>
      </c>
    </row>
    <row r="12364" spans="1:6" x14ac:dyDescent="0.2">
      <c r="A12364">
        <v>12</v>
      </c>
      <c r="E12364" t="str">
        <f t="shared" si="405"/>
        <v>M</v>
      </c>
      <c r="F12364" t="str">
        <f t="shared" si="406"/>
        <v>12M</v>
      </c>
    </row>
    <row r="12365" spans="1:6" x14ac:dyDescent="0.2">
      <c r="A12365">
        <v>13</v>
      </c>
      <c r="E12365" t="str">
        <f t="shared" si="405"/>
        <v>N</v>
      </c>
      <c r="F12365" t="str">
        <f t="shared" si="406"/>
        <v>13N</v>
      </c>
    </row>
    <row r="12366" spans="1:6" x14ac:dyDescent="0.2">
      <c r="A12366">
        <v>14</v>
      </c>
      <c r="E12366" t="str">
        <f t="shared" si="405"/>
        <v>O</v>
      </c>
      <c r="F12366" t="str">
        <f t="shared" si="406"/>
        <v>14O</v>
      </c>
    </row>
    <row r="12367" spans="1:6" x14ac:dyDescent="0.2">
      <c r="A12367">
        <v>15</v>
      </c>
      <c r="E12367" t="str">
        <f t="shared" si="405"/>
        <v>P</v>
      </c>
      <c r="F12367" t="str">
        <f t="shared" si="406"/>
        <v>15P</v>
      </c>
    </row>
    <row r="12368" spans="1:6" x14ac:dyDescent="0.2">
      <c r="A12368">
        <v>16</v>
      </c>
      <c r="E12368" t="str">
        <f t="shared" si="405"/>
        <v>Q</v>
      </c>
      <c r="F12368" t="str">
        <f t="shared" si="406"/>
        <v>16Q</v>
      </c>
    </row>
    <row r="12369" spans="1:6" x14ac:dyDescent="0.2">
      <c r="A12369">
        <v>17</v>
      </c>
      <c r="E12369" t="str">
        <f t="shared" si="405"/>
        <v>R</v>
      </c>
      <c r="F12369" t="str">
        <f t="shared" si="406"/>
        <v>17R</v>
      </c>
    </row>
    <row r="12370" spans="1:6" x14ac:dyDescent="0.2">
      <c r="A12370">
        <v>18</v>
      </c>
      <c r="E12370" t="str">
        <f t="shared" si="405"/>
        <v>S</v>
      </c>
      <c r="F12370" t="str">
        <f t="shared" si="406"/>
        <v>18S</v>
      </c>
    </row>
    <row r="12371" spans="1:6" x14ac:dyDescent="0.2">
      <c r="A12371">
        <v>19</v>
      </c>
      <c r="E12371" t="str">
        <f t="shared" si="405"/>
        <v>T</v>
      </c>
      <c r="F12371" t="str">
        <f t="shared" si="406"/>
        <v>19T</v>
      </c>
    </row>
    <row r="12372" spans="1:6" x14ac:dyDescent="0.2">
      <c r="A12372">
        <v>20</v>
      </c>
      <c r="E12372" t="str">
        <f t="shared" si="405"/>
        <v>U</v>
      </c>
      <c r="F12372" t="str">
        <f t="shared" si="406"/>
        <v>20U</v>
      </c>
    </row>
    <row r="12373" spans="1:6" x14ac:dyDescent="0.2">
      <c r="A12373">
        <v>21</v>
      </c>
      <c r="E12373" t="str">
        <f t="shared" ref="E12373:E12436" si="407">E12347</f>
        <v>V</v>
      </c>
      <c r="F12373" t="str">
        <f t="shared" si="406"/>
        <v>21V</v>
      </c>
    </row>
    <row r="12374" spans="1:6" x14ac:dyDescent="0.2">
      <c r="A12374">
        <v>22</v>
      </c>
      <c r="E12374" t="str">
        <f t="shared" si="407"/>
        <v>W</v>
      </c>
      <c r="F12374" t="str">
        <f t="shared" si="406"/>
        <v>22W</v>
      </c>
    </row>
    <row r="12375" spans="1:6" x14ac:dyDescent="0.2">
      <c r="A12375">
        <v>23</v>
      </c>
      <c r="E12375" t="str">
        <f t="shared" si="407"/>
        <v>X</v>
      </c>
      <c r="F12375" t="str">
        <f t="shared" ref="F12375:F12438" si="408">A12375&amp;C12375&amp;E12375</f>
        <v>23X</v>
      </c>
    </row>
    <row r="12376" spans="1:6" x14ac:dyDescent="0.2">
      <c r="A12376">
        <v>24</v>
      </c>
      <c r="E12376" t="str">
        <f t="shared" si="407"/>
        <v>Y</v>
      </c>
      <c r="F12376" t="str">
        <f t="shared" si="408"/>
        <v>24Y</v>
      </c>
    </row>
    <row r="12377" spans="1:6" x14ac:dyDescent="0.2">
      <c r="A12377">
        <v>25</v>
      </c>
      <c r="E12377" t="str">
        <f t="shared" si="407"/>
        <v>Z</v>
      </c>
      <c r="F12377" t="str">
        <f t="shared" si="408"/>
        <v>25Z</v>
      </c>
    </row>
    <row r="12378" spans="1:6" x14ac:dyDescent="0.2">
      <c r="A12378">
        <v>0</v>
      </c>
      <c r="E12378" t="str">
        <f t="shared" si="407"/>
        <v>A</v>
      </c>
      <c r="F12378" t="str">
        <f t="shared" si="408"/>
        <v>0A</v>
      </c>
    </row>
    <row r="12379" spans="1:6" x14ac:dyDescent="0.2">
      <c r="A12379">
        <v>1</v>
      </c>
      <c r="E12379" t="str">
        <f t="shared" si="407"/>
        <v>B</v>
      </c>
      <c r="F12379" t="str">
        <f t="shared" si="408"/>
        <v>1B</v>
      </c>
    </row>
    <row r="12380" spans="1:6" x14ac:dyDescent="0.2">
      <c r="A12380">
        <v>2</v>
      </c>
      <c r="E12380" t="str">
        <f t="shared" si="407"/>
        <v>C</v>
      </c>
      <c r="F12380" t="str">
        <f t="shared" si="408"/>
        <v>2C</v>
      </c>
    </row>
    <row r="12381" spans="1:6" x14ac:dyDescent="0.2">
      <c r="A12381">
        <v>3</v>
      </c>
      <c r="E12381" t="str">
        <f t="shared" si="407"/>
        <v>D</v>
      </c>
      <c r="F12381" t="str">
        <f t="shared" si="408"/>
        <v>3D</v>
      </c>
    </row>
    <row r="12382" spans="1:6" x14ac:dyDescent="0.2">
      <c r="A12382">
        <v>4</v>
      </c>
      <c r="E12382" t="str">
        <f t="shared" si="407"/>
        <v>E</v>
      </c>
      <c r="F12382" t="str">
        <f t="shared" si="408"/>
        <v>4E</v>
      </c>
    </row>
    <row r="12383" spans="1:6" x14ac:dyDescent="0.2">
      <c r="A12383">
        <v>5</v>
      </c>
      <c r="E12383" t="str">
        <f t="shared" si="407"/>
        <v>F</v>
      </c>
      <c r="F12383" t="str">
        <f t="shared" si="408"/>
        <v>5F</v>
      </c>
    </row>
    <row r="12384" spans="1:6" x14ac:dyDescent="0.2">
      <c r="A12384">
        <v>6</v>
      </c>
      <c r="E12384" t="str">
        <f t="shared" si="407"/>
        <v>G</v>
      </c>
      <c r="F12384" t="str">
        <f t="shared" si="408"/>
        <v>6G</v>
      </c>
    </row>
    <row r="12385" spans="1:6" x14ac:dyDescent="0.2">
      <c r="A12385">
        <v>7</v>
      </c>
      <c r="E12385" t="str">
        <f t="shared" si="407"/>
        <v>H</v>
      </c>
      <c r="F12385" t="str">
        <f t="shared" si="408"/>
        <v>7H</v>
      </c>
    </row>
    <row r="12386" spans="1:6" x14ac:dyDescent="0.2">
      <c r="A12386">
        <v>8</v>
      </c>
      <c r="E12386" t="str">
        <f t="shared" si="407"/>
        <v>I</v>
      </c>
      <c r="F12386" t="str">
        <f t="shared" si="408"/>
        <v>8I</v>
      </c>
    </row>
    <row r="12387" spans="1:6" x14ac:dyDescent="0.2">
      <c r="A12387">
        <v>9</v>
      </c>
      <c r="E12387" t="str">
        <f t="shared" si="407"/>
        <v>J</v>
      </c>
      <c r="F12387" t="str">
        <f t="shared" si="408"/>
        <v>9J</v>
      </c>
    </row>
    <row r="12388" spans="1:6" x14ac:dyDescent="0.2">
      <c r="A12388">
        <v>10</v>
      </c>
      <c r="E12388" t="str">
        <f t="shared" si="407"/>
        <v>K</v>
      </c>
      <c r="F12388" t="str">
        <f t="shared" si="408"/>
        <v>10K</v>
      </c>
    </row>
    <row r="12389" spans="1:6" x14ac:dyDescent="0.2">
      <c r="A12389">
        <v>11</v>
      </c>
      <c r="E12389" t="str">
        <f t="shared" si="407"/>
        <v>L</v>
      </c>
      <c r="F12389" t="str">
        <f t="shared" si="408"/>
        <v>11L</v>
      </c>
    </row>
    <row r="12390" spans="1:6" x14ac:dyDescent="0.2">
      <c r="A12390">
        <v>12</v>
      </c>
      <c r="E12390" t="str">
        <f t="shared" si="407"/>
        <v>M</v>
      </c>
      <c r="F12390" t="str">
        <f t="shared" si="408"/>
        <v>12M</v>
      </c>
    </row>
    <row r="12391" spans="1:6" x14ac:dyDescent="0.2">
      <c r="A12391">
        <v>13</v>
      </c>
      <c r="E12391" t="str">
        <f t="shared" si="407"/>
        <v>N</v>
      </c>
      <c r="F12391" t="str">
        <f t="shared" si="408"/>
        <v>13N</v>
      </c>
    </row>
    <row r="12392" spans="1:6" x14ac:dyDescent="0.2">
      <c r="A12392">
        <v>14</v>
      </c>
      <c r="E12392" t="str">
        <f t="shared" si="407"/>
        <v>O</v>
      </c>
      <c r="F12392" t="str">
        <f t="shared" si="408"/>
        <v>14O</v>
      </c>
    </row>
    <row r="12393" spans="1:6" x14ac:dyDescent="0.2">
      <c r="A12393">
        <v>15</v>
      </c>
      <c r="E12393" t="str">
        <f t="shared" si="407"/>
        <v>P</v>
      </c>
      <c r="F12393" t="str">
        <f t="shared" si="408"/>
        <v>15P</v>
      </c>
    </row>
    <row r="12394" spans="1:6" x14ac:dyDescent="0.2">
      <c r="A12394">
        <v>16</v>
      </c>
      <c r="E12394" t="str">
        <f t="shared" si="407"/>
        <v>Q</v>
      </c>
      <c r="F12394" t="str">
        <f t="shared" si="408"/>
        <v>16Q</v>
      </c>
    </row>
    <row r="12395" spans="1:6" x14ac:dyDescent="0.2">
      <c r="A12395">
        <v>17</v>
      </c>
      <c r="E12395" t="str">
        <f t="shared" si="407"/>
        <v>R</v>
      </c>
      <c r="F12395" t="str">
        <f t="shared" si="408"/>
        <v>17R</v>
      </c>
    </row>
    <row r="12396" spans="1:6" x14ac:dyDescent="0.2">
      <c r="A12396">
        <v>18</v>
      </c>
      <c r="E12396" t="str">
        <f t="shared" si="407"/>
        <v>S</v>
      </c>
      <c r="F12396" t="str">
        <f t="shared" si="408"/>
        <v>18S</v>
      </c>
    </row>
    <row r="12397" spans="1:6" x14ac:dyDescent="0.2">
      <c r="A12397">
        <v>19</v>
      </c>
      <c r="E12397" t="str">
        <f t="shared" si="407"/>
        <v>T</v>
      </c>
      <c r="F12397" t="str">
        <f t="shared" si="408"/>
        <v>19T</v>
      </c>
    </row>
    <row r="12398" spans="1:6" x14ac:dyDescent="0.2">
      <c r="A12398">
        <v>20</v>
      </c>
      <c r="E12398" t="str">
        <f t="shared" si="407"/>
        <v>U</v>
      </c>
      <c r="F12398" t="str">
        <f t="shared" si="408"/>
        <v>20U</v>
      </c>
    </row>
    <row r="12399" spans="1:6" x14ac:dyDescent="0.2">
      <c r="A12399">
        <v>21</v>
      </c>
      <c r="E12399" t="str">
        <f t="shared" si="407"/>
        <v>V</v>
      </c>
      <c r="F12399" t="str">
        <f t="shared" si="408"/>
        <v>21V</v>
      </c>
    </row>
    <row r="12400" spans="1:6" x14ac:dyDescent="0.2">
      <c r="A12400">
        <v>22</v>
      </c>
      <c r="E12400" t="str">
        <f t="shared" si="407"/>
        <v>W</v>
      </c>
      <c r="F12400" t="str">
        <f t="shared" si="408"/>
        <v>22W</v>
      </c>
    </row>
    <row r="12401" spans="1:6" x14ac:dyDescent="0.2">
      <c r="A12401">
        <v>23</v>
      </c>
      <c r="E12401" t="str">
        <f t="shared" si="407"/>
        <v>X</v>
      </c>
      <c r="F12401" t="str">
        <f t="shared" si="408"/>
        <v>23X</v>
      </c>
    </row>
    <row r="12402" spans="1:6" x14ac:dyDescent="0.2">
      <c r="A12402">
        <v>24</v>
      </c>
      <c r="E12402" t="str">
        <f t="shared" si="407"/>
        <v>Y</v>
      </c>
      <c r="F12402" t="str">
        <f t="shared" si="408"/>
        <v>24Y</v>
      </c>
    </row>
    <row r="12403" spans="1:6" x14ac:dyDescent="0.2">
      <c r="A12403">
        <v>25</v>
      </c>
      <c r="E12403" t="str">
        <f t="shared" si="407"/>
        <v>Z</v>
      </c>
      <c r="F12403" t="str">
        <f t="shared" si="408"/>
        <v>25Z</v>
      </c>
    </row>
    <row r="12404" spans="1:6" x14ac:dyDescent="0.2">
      <c r="A12404">
        <v>0</v>
      </c>
      <c r="E12404" t="str">
        <f t="shared" si="407"/>
        <v>A</v>
      </c>
      <c r="F12404" t="str">
        <f t="shared" si="408"/>
        <v>0A</v>
      </c>
    </row>
    <row r="12405" spans="1:6" x14ac:dyDescent="0.2">
      <c r="A12405">
        <v>1</v>
      </c>
      <c r="E12405" t="str">
        <f t="shared" si="407"/>
        <v>B</v>
      </c>
      <c r="F12405" t="str">
        <f t="shared" si="408"/>
        <v>1B</v>
      </c>
    </row>
    <row r="12406" spans="1:6" x14ac:dyDescent="0.2">
      <c r="A12406">
        <v>2</v>
      </c>
      <c r="E12406" t="str">
        <f t="shared" si="407"/>
        <v>C</v>
      </c>
      <c r="F12406" t="str">
        <f t="shared" si="408"/>
        <v>2C</v>
      </c>
    </row>
    <row r="12407" spans="1:6" x14ac:dyDescent="0.2">
      <c r="A12407">
        <v>3</v>
      </c>
      <c r="E12407" t="str">
        <f t="shared" si="407"/>
        <v>D</v>
      </c>
      <c r="F12407" t="str">
        <f t="shared" si="408"/>
        <v>3D</v>
      </c>
    </row>
    <row r="12408" spans="1:6" x14ac:dyDescent="0.2">
      <c r="A12408">
        <v>4</v>
      </c>
      <c r="E12408" t="str">
        <f t="shared" si="407"/>
        <v>E</v>
      </c>
      <c r="F12408" t="str">
        <f t="shared" si="408"/>
        <v>4E</v>
      </c>
    </row>
    <row r="12409" spans="1:6" x14ac:dyDescent="0.2">
      <c r="A12409">
        <v>5</v>
      </c>
      <c r="E12409" t="str">
        <f t="shared" si="407"/>
        <v>F</v>
      </c>
      <c r="F12409" t="str">
        <f t="shared" si="408"/>
        <v>5F</v>
      </c>
    </row>
    <row r="12410" spans="1:6" x14ac:dyDescent="0.2">
      <c r="A12410">
        <v>6</v>
      </c>
      <c r="E12410" t="str">
        <f t="shared" si="407"/>
        <v>G</v>
      </c>
      <c r="F12410" t="str">
        <f t="shared" si="408"/>
        <v>6G</v>
      </c>
    </row>
    <row r="12411" spans="1:6" x14ac:dyDescent="0.2">
      <c r="A12411">
        <v>7</v>
      </c>
      <c r="E12411" t="str">
        <f t="shared" si="407"/>
        <v>H</v>
      </c>
      <c r="F12411" t="str">
        <f t="shared" si="408"/>
        <v>7H</v>
      </c>
    </row>
    <row r="12412" spans="1:6" x14ac:dyDescent="0.2">
      <c r="A12412">
        <v>8</v>
      </c>
      <c r="E12412" t="str">
        <f t="shared" si="407"/>
        <v>I</v>
      </c>
      <c r="F12412" t="str">
        <f t="shared" si="408"/>
        <v>8I</v>
      </c>
    </row>
    <row r="12413" spans="1:6" x14ac:dyDescent="0.2">
      <c r="A12413">
        <v>9</v>
      </c>
      <c r="E12413" t="str">
        <f t="shared" si="407"/>
        <v>J</v>
      </c>
      <c r="F12413" t="str">
        <f t="shared" si="408"/>
        <v>9J</v>
      </c>
    </row>
    <row r="12414" spans="1:6" x14ac:dyDescent="0.2">
      <c r="A12414">
        <v>10</v>
      </c>
      <c r="E12414" t="str">
        <f t="shared" si="407"/>
        <v>K</v>
      </c>
      <c r="F12414" t="str">
        <f t="shared" si="408"/>
        <v>10K</v>
      </c>
    </row>
    <row r="12415" spans="1:6" x14ac:dyDescent="0.2">
      <c r="A12415">
        <v>11</v>
      </c>
      <c r="E12415" t="str">
        <f t="shared" si="407"/>
        <v>L</v>
      </c>
      <c r="F12415" t="str">
        <f t="shared" si="408"/>
        <v>11L</v>
      </c>
    </row>
    <row r="12416" spans="1:6" x14ac:dyDescent="0.2">
      <c r="A12416">
        <v>12</v>
      </c>
      <c r="E12416" t="str">
        <f t="shared" si="407"/>
        <v>M</v>
      </c>
      <c r="F12416" t="str">
        <f t="shared" si="408"/>
        <v>12M</v>
      </c>
    </row>
    <row r="12417" spans="1:6" x14ac:dyDescent="0.2">
      <c r="A12417">
        <v>13</v>
      </c>
      <c r="E12417" t="str">
        <f t="shared" si="407"/>
        <v>N</v>
      </c>
      <c r="F12417" t="str">
        <f t="shared" si="408"/>
        <v>13N</v>
      </c>
    </row>
    <row r="12418" spans="1:6" x14ac:dyDescent="0.2">
      <c r="A12418">
        <v>14</v>
      </c>
      <c r="E12418" t="str">
        <f t="shared" si="407"/>
        <v>O</v>
      </c>
      <c r="F12418" t="str">
        <f t="shared" si="408"/>
        <v>14O</v>
      </c>
    </row>
    <row r="12419" spans="1:6" x14ac:dyDescent="0.2">
      <c r="A12419">
        <v>15</v>
      </c>
      <c r="E12419" t="str">
        <f t="shared" si="407"/>
        <v>P</v>
      </c>
      <c r="F12419" t="str">
        <f t="shared" si="408"/>
        <v>15P</v>
      </c>
    </row>
    <row r="12420" spans="1:6" x14ac:dyDescent="0.2">
      <c r="A12420">
        <v>16</v>
      </c>
      <c r="E12420" t="str">
        <f t="shared" si="407"/>
        <v>Q</v>
      </c>
      <c r="F12420" t="str">
        <f t="shared" si="408"/>
        <v>16Q</v>
      </c>
    </row>
    <row r="12421" spans="1:6" x14ac:dyDescent="0.2">
      <c r="A12421">
        <v>17</v>
      </c>
      <c r="E12421" t="str">
        <f t="shared" si="407"/>
        <v>R</v>
      </c>
      <c r="F12421" t="str">
        <f t="shared" si="408"/>
        <v>17R</v>
      </c>
    </row>
    <row r="12422" spans="1:6" x14ac:dyDescent="0.2">
      <c r="A12422">
        <v>18</v>
      </c>
      <c r="E12422" t="str">
        <f t="shared" si="407"/>
        <v>S</v>
      </c>
      <c r="F12422" t="str">
        <f t="shared" si="408"/>
        <v>18S</v>
      </c>
    </row>
    <row r="12423" spans="1:6" x14ac:dyDescent="0.2">
      <c r="A12423">
        <v>19</v>
      </c>
      <c r="E12423" t="str">
        <f t="shared" si="407"/>
        <v>T</v>
      </c>
      <c r="F12423" t="str">
        <f t="shared" si="408"/>
        <v>19T</v>
      </c>
    </row>
    <row r="12424" spans="1:6" x14ac:dyDescent="0.2">
      <c r="A12424">
        <v>20</v>
      </c>
      <c r="E12424" t="str">
        <f t="shared" si="407"/>
        <v>U</v>
      </c>
      <c r="F12424" t="str">
        <f t="shared" si="408"/>
        <v>20U</v>
      </c>
    </row>
    <row r="12425" spans="1:6" x14ac:dyDescent="0.2">
      <c r="A12425">
        <v>21</v>
      </c>
      <c r="E12425" t="str">
        <f t="shared" si="407"/>
        <v>V</v>
      </c>
      <c r="F12425" t="str">
        <f t="shared" si="408"/>
        <v>21V</v>
      </c>
    </row>
    <row r="12426" spans="1:6" x14ac:dyDescent="0.2">
      <c r="A12426">
        <v>22</v>
      </c>
      <c r="E12426" t="str">
        <f t="shared" si="407"/>
        <v>W</v>
      </c>
      <c r="F12426" t="str">
        <f t="shared" si="408"/>
        <v>22W</v>
      </c>
    </row>
    <row r="12427" spans="1:6" x14ac:dyDescent="0.2">
      <c r="A12427">
        <v>23</v>
      </c>
      <c r="E12427" t="str">
        <f t="shared" si="407"/>
        <v>X</v>
      </c>
      <c r="F12427" t="str">
        <f t="shared" si="408"/>
        <v>23X</v>
      </c>
    </row>
    <row r="12428" spans="1:6" x14ac:dyDescent="0.2">
      <c r="A12428">
        <v>24</v>
      </c>
      <c r="E12428" t="str">
        <f t="shared" si="407"/>
        <v>Y</v>
      </c>
      <c r="F12428" t="str">
        <f t="shared" si="408"/>
        <v>24Y</v>
      </c>
    </row>
    <row r="12429" spans="1:6" x14ac:dyDescent="0.2">
      <c r="A12429">
        <v>25</v>
      </c>
      <c r="E12429" t="str">
        <f t="shared" si="407"/>
        <v>Z</v>
      </c>
      <c r="F12429" t="str">
        <f t="shared" si="408"/>
        <v>25Z</v>
      </c>
    </row>
    <row r="12430" spans="1:6" x14ac:dyDescent="0.2">
      <c r="A12430">
        <v>0</v>
      </c>
      <c r="E12430" t="str">
        <f t="shared" si="407"/>
        <v>A</v>
      </c>
      <c r="F12430" t="str">
        <f t="shared" si="408"/>
        <v>0A</v>
      </c>
    </row>
    <row r="12431" spans="1:6" x14ac:dyDescent="0.2">
      <c r="A12431">
        <v>1</v>
      </c>
      <c r="E12431" t="str">
        <f t="shared" si="407"/>
        <v>B</v>
      </c>
      <c r="F12431" t="str">
        <f t="shared" si="408"/>
        <v>1B</v>
      </c>
    </row>
    <row r="12432" spans="1:6" x14ac:dyDescent="0.2">
      <c r="A12432">
        <v>2</v>
      </c>
      <c r="E12432" t="str">
        <f t="shared" si="407"/>
        <v>C</v>
      </c>
      <c r="F12432" t="str">
        <f t="shared" si="408"/>
        <v>2C</v>
      </c>
    </row>
    <row r="12433" spans="1:6" x14ac:dyDescent="0.2">
      <c r="A12433">
        <v>3</v>
      </c>
      <c r="E12433" t="str">
        <f t="shared" si="407"/>
        <v>D</v>
      </c>
      <c r="F12433" t="str">
        <f t="shared" si="408"/>
        <v>3D</v>
      </c>
    </row>
    <row r="12434" spans="1:6" x14ac:dyDescent="0.2">
      <c r="A12434">
        <v>4</v>
      </c>
      <c r="E12434" t="str">
        <f t="shared" si="407"/>
        <v>E</v>
      </c>
      <c r="F12434" t="str">
        <f t="shared" si="408"/>
        <v>4E</v>
      </c>
    </row>
    <row r="12435" spans="1:6" x14ac:dyDescent="0.2">
      <c r="A12435">
        <v>5</v>
      </c>
      <c r="E12435" t="str">
        <f t="shared" si="407"/>
        <v>F</v>
      </c>
      <c r="F12435" t="str">
        <f t="shared" si="408"/>
        <v>5F</v>
      </c>
    </row>
    <row r="12436" spans="1:6" x14ac:dyDescent="0.2">
      <c r="A12436">
        <v>6</v>
      </c>
      <c r="E12436" t="str">
        <f t="shared" si="407"/>
        <v>G</v>
      </c>
      <c r="F12436" t="str">
        <f t="shared" si="408"/>
        <v>6G</v>
      </c>
    </row>
    <row r="12437" spans="1:6" x14ac:dyDescent="0.2">
      <c r="A12437">
        <v>7</v>
      </c>
      <c r="E12437" t="str">
        <f t="shared" ref="E12437:E12500" si="409">E12411</f>
        <v>H</v>
      </c>
      <c r="F12437" t="str">
        <f t="shared" si="408"/>
        <v>7H</v>
      </c>
    </row>
    <row r="12438" spans="1:6" x14ac:dyDescent="0.2">
      <c r="A12438">
        <v>8</v>
      </c>
      <c r="E12438" t="str">
        <f t="shared" si="409"/>
        <v>I</v>
      </c>
      <c r="F12438" t="str">
        <f t="shared" si="408"/>
        <v>8I</v>
      </c>
    </row>
    <row r="12439" spans="1:6" x14ac:dyDescent="0.2">
      <c r="A12439">
        <v>9</v>
      </c>
      <c r="E12439" t="str">
        <f t="shared" si="409"/>
        <v>J</v>
      </c>
      <c r="F12439" t="str">
        <f t="shared" ref="F12439:F12502" si="410">A12439&amp;C12439&amp;E12439</f>
        <v>9J</v>
      </c>
    </row>
    <row r="12440" spans="1:6" x14ac:dyDescent="0.2">
      <c r="A12440">
        <v>10</v>
      </c>
      <c r="E12440" t="str">
        <f t="shared" si="409"/>
        <v>K</v>
      </c>
      <c r="F12440" t="str">
        <f t="shared" si="410"/>
        <v>10K</v>
      </c>
    </row>
    <row r="12441" spans="1:6" x14ac:dyDescent="0.2">
      <c r="A12441">
        <v>11</v>
      </c>
      <c r="E12441" t="str">
        <f t="shared" si="409"/>
        <v>L</v>
      </c>
      <c r="F12441" t="str">
        <f t="shared" si="410"/>
        <v>11L</v>
      </c>
    </row>
    <row r="12442" spans="1:6" x14ac:dyDescent="0.2">
      <c r="A12442">
        <v>12</v>
      </c>
      <c r="E12442" t="str">
        <f t="shared" si="409"/>
        <v>M</v>
      </c>
      <c r="F12442" t="str">
        <f t="shared" si="410"/>
        <v>12M</v>
      </c>
    </row>
    <row r="12443" spans="1:6" x14ac:dyDescent="0.2">
      <c r="A12443">
        <v>13</v>
      </c>
      <c r="E12443" t="str">
        <f t="shared" si="409"/>
        <v>N</v>
      </c>
      <c r="F12443" t="str">
        <f t="shared" si="410"/>
        <v>13N</v>
      </c>
    </row>
    <row r="12444" spans="1:6" x14ac:dyDescent="0.2">
      <c r="A12444">
        <v>14</v>
      </c>
      <c r="E12444" t="str">
        <f t="shared" si="409"/>
        <v>O</v>
      </c>
      <c r="F12444" t="str">
        <f t="shared" si="410"/>
        <v>14O</v>
      </c>
    </row>
    <row r="12445" spans="1:6" x14ac:dyDescent="0.2">
      <c r="A12445">
        <v>15</v>
      </c>
      <c r="E12445" t="str">
        <f t="shared" si="409"/>
        <v>P</v>
      </c>
      <c r="F12445" t="str">
        <f t="shared" si="410"/>
        <v>15P</v>
      </c>
    </row>
    <row r="12446" spans="1:6" x14ac:dyDescent="0.2">
      <c r="A12446">
        <v>16</v>
      </c>
      <c r="E12446" t="str">
        <f t="shared" si="409"/>
        <v>Q</v>
      </c>
      <c r="F12446" t="str">
        <f t="shared" si="410"/>
        <v>16Q</v>
      </c>
    </row>
    <row r="12447" spans="1:6" x14ac:dyDescent="0.2">
      <c r="A12447">
        <v>17</v>
      </c>
      <c r="E12447" t="str">
        <f t="shared" si="409"/>
        <v>R</v>
      </c>
      <c r="F12447" t="str">
        <f t="shared" si="410"/>
        <v>17R</v>
      </c>
    </row>
    <row r="12448" spans="1:6" x14ac:dyDescent="0.2">
      <c r="A12448">
        <v>18</v>
      </c>
      <c r="E12448" t="str">
        <f t="shared" si="409"/>
        <v>S</v>
      </c>
      <c r="F12448" t="str">
        <f t="shared" si="410"/>
        <v>18S</v>
      </c>
    </row>
    <row r="12449" spans="1:6" x14ac:dyDescent="0.2">
      <c r="A12449">
        <v>19</v>
      </c>
      <c r="E12449" t="str">
        <f t="shared" si="409"/>
        <v>T</v>
      </c>
      <c r="F12449" t="str">
        <f t="shared" si="410"/>
        <v>19T</v>
      </c>
    </row>
    <row r="12450" spans="1:6" x14ac:dyDescent="0.2">
      <c r="A12450">
        <v>20</v>
      </c>
      <c r="E12450" t="str">
        <f t="shared" si="409"/>
        <v>U</v>
      </c>
      <c r="F12450" t="str">
        <f t="shared" si="410"/>
        <v>20U</v>
      </c>
    </row>
    <row r="12451" spans="1:6" x14ac:dyDescent="0.2">
      <c r="A12451">
        <v>21</v>
      </c>
      <c r="E12451" t="str">
        <f t="shared" si="409"/>
        <v>V</v>
      </c>
      <c r="F12451" t="str">
        <f t="shared" si="410"/>
        <v>21V</v>
      </c>
    </row>
    <row r="12452" spans="1:6" x14ac:dyDescent="0.2">
      <c r="A12452">
        <v>22</v>
      </c>
      <c r="E12452" t="str">
        <f t="shared" si="409"/>
        <v>W</v>
      </c>
      <c r="F12452" t="str">
        <f t="shared" si="410"/>
        <v>22W</v>
      </c>
    </row>
    <row r="12453" spans="1:6" x14ac:dyDescent="0.2">
      <c r="A12453">
        <v>23</v>
      </c>
      <c r="E12453" t="str">
        <f t="shared" si="409"/>
        <v>X</v>
      </c>
      <c r="F12453" t="str">
        <f t="shared" si="410"/>
        <v>23X</v>
      </c>
    </row>
    <row r="12454" spans="1:6" x14ac:dyDescent="0.2">
      <c r="A12454">
        <v>24</v>
      </c>
      <c r="E12454" t="str">
        <f t="shared" si="409"/>
        <v>Y</v>
      </c>
      <c r="F12454" t="str">
        <f t="shared" si="410"/>
        <v>24Y</v>
      </c>
    </row>
    <row r="12455" spans="1:6" x14ac:dyDescent="0.2">
      <c r="A12455">
        <v>25</v>
      </c>
      <c r="E12455" t="str">
        <f t="shared" si="409"/>
        <v>Z</v>
      </c>
      <c r="F12455" t="str">
        <f t="shared" si="410"/>
        <v>25Z</v>
      </c>
    </row>
    <row r="12456" spans="1:6" x14ac:dyDescent="0.2">
      <c r="A12456">
        <v>0</v>
      </c>
      <c r="E12456" t="str">
        <f t="shared" si="409"/>
        <v>A</v>
      </c>
      <c r="F12456" t="str">
        <f t="shared" si="410"/>
        <v>0A</v>
      </c>
    </row>
    <row r="12457" spans="1:6" x14ac:dyDescent="0.2">
      <c r="A12457">
        <v>1</v>
      </c>
      <c r="E12457" t="str">
        <f t="shared" si="409"/>
        <v>B</v>
      </c>
      <c r="F12457" t="str">
        <f t="shared" si="410"/>
        <v>1B</v>
      </c>
    </row>
    <row r="12458" spans="1:6" x14ac:dyDescent="0.2">
      <c r="A12458">
        <v>2</v>
      </c>
      <c r="E12458" t="str">
        <f t="shared" si="409"/>
        <v>C</v>
      </c>
      <c r="F12458" t="str">
        <f t="shared" si="410"/>
        <v>2C</v>
      </c>
    </row>
    <row r="12459" spans="1:6" x14ac:dyDescent="0.2">
      <c r="A12459">
        <v>3</v>
      </c>
      <c r="E12459" t="str">
        <f t="shared" si="409"/>
        <v>D</v>
      </c>
      <c r="F12459" t="str">
        <f t="shared" si="410"/>
        <v>3D</v>
      </c>
    </row>
    <row r="12460" spans="1:6" x14ac:dyDescent="0.2">
      <c r="A12460">
        <v>4</v>
      </c>
      <c r="E12460" t="str">
        <f t="shared" si="409"/>
        <v>E</v>
      </c>
      <c r="F12460" t="str">
        <f t="shared" si="410"/>
        <v>4E</v>
      </c>
    </row>
    <row r="12461" spans="1:6" x14ac:dyDescent="0.2">
      <c r="A12461">
        <v>5</v>
      </c>
      <c r="E12461" t="str">
        <f t="shared" si="409"/>
        <v>F</v>
      </c>
      <c r="F12461" t="str">
        <f t="shared" si="410"/>
        <v>5F</v>
      </c>
    </row>
    <row r="12462" spans="1:6" x14ac:dyDescent="0.2">
      <c r="A12462">
        <v>6</v>
      </c>
      <c r="E12462" t="str">
        <f t="shared" si="409"/>
        <v>G</v>
      </c>
      <c r="F12462" t="str">
        <f t="shared" si="410"/>
        <v>6G</v>
      </c>
    </row>
    <row r="12463" spans="1:6" x14ac:dyDescent="0.2">
      <c r="A12463">
        <v>7</v>
      </c>
      <c r="E12463" t="str">
        <f t="shared" si="409"/>
        <v>H</v>
      </c>
      <c r="F12463" t="str">
        <f t="shared" si="410"/>
        <v>7H</v>
      </c>
    </row>
    <row r="12464" spans="1:6" x14ac:dyDescent="0.2">
      <c r="A12464">
        <v>8</v>
      </c>
      <c r="E12464" t="str">
        <f t="shared" si="409"/>
        <v>I</v>
      </c>
      <c r="F12464" t="str">
        <f t="shared" si="410"/>
        <v>8I</v>
      </c>
    </row>
    <row r="12465" spans="1:6" x14ac:dyDescent="0.2">
      <c r="A12465">
        <v>9</v>
      </c>
      <c r="E12465" t="str">
        <f t="shared" si="409"/>
        <v>J</v>
      </c>
      <c r="F12465" t="str">
        <f t="shared" si="410"/>
        <v>9J</v>
      </c>
    </row>
    <row r="12466" spans="1:6" x14ac:dyDescent="0.2">
      <c r="A12466">
        <v>10</v>
      </c>
      <c r="E12466" t="str">
        <f t="shared" si="409"/>
        <v>K</v>
      </c>
      <c r="F12466" t="str">
        <f t="shared" si="410"/>
        <v>10K</v>
      </c>
    </row>
    <row r="12467" spans="1:6" x14ac:dyDescent="0.2">
      <c r="A12467">
        <v>11</v>
      </c>
      <c r="E12467" t="str">
        <f t="shared" si="409"/>
        <v>L</v>
      </c>
      <c r="F12467" t="str">
        <f t="shared" si="410"/>
        <v>11L</v>
      </c>
    </row>
    <row r="12468" spans="1:6" x14ac:dyDescent="0.2">
      <c r="A12468">
        <v>12</v>
      </c>
      <c r="E12468" t="str">
        <f t="shared" si="409"/>
        <v>M</v>
      </c>
      <c r="F12468" t="str">
        <f t="shared" si="410"/>
        <v>12M</v>
      </c>
    </row>
    <row r="12469" spans="1:6" x14ac:dyDescent="0.2">
      <c r="A12469">
        <v>13</v>
      </c>
      <c r="E12469" t="str">
        <f t="shared" si="409"/>
        <v>N</v>
      </c>
      <c r="F12469" t="str">
        <f t="shared" si="410"/>
        <v>13N</v>
      </c>
    </row>
    <row r="12470" spans="1:6" x14ac:dyDescent="0.2">
      <c r="A12470">
        <v>14</v>
      </c>
      <c r="E12470" t="str">
        <f t="shared" si="409"/>
        <v>O</v>
      </c>
      <c r="F12470" t="str">
        <f t="shared" si="410"/>
        <v>14O</v>
      </c>
    </row>
    <row r="12471" spans="1:6" x14ac:dyDescent="0.2">
      <c r="A12471">
        <v>15</v>
      </c>
      <c r="E12471" t="str">
        <f t="shared" si="409"/>
        <v>P</v>
      </c>
      <c r="F12471" t="str">
        <f t="shared" si="410"/>
        <v>15P</v>
      </c>
    </row>
    <row r="12472" spans="1:6" x14ac:dyDescent="0.2">
      <c r="A12472">
        <v>16</v>
      </c>
      <c r="E12472" t="str">
        <f t="shared" si="409"/>
        <v>Q</v>
      </c>
      <c r="F12472" t="str">
        <f t="shared" si="410"/>
        <v>16Q</v>
      </c>
    </row>
    <row r="12473" spans="1:6" x14ac:dyDescent="0.2">
      <c r="A12473">
        <v>17</v>
      </c>
      <c r="E12473" t="str">
        <f t="shared" si="409"/>
        <v>R</v>
      </c>
      <c r="F12473" t="str">
        <f t="shared" si="410"/>
        <v>17R</v>
      </c>
    </row>
    <row r="12474" spans="1:6" x14ac:dyDescent="0.2">
      <c r="A12474">
        <v>18</v>
      </c>
      <c r="E12474" t="str">
        <f t="shared" si="409"/>
        <v>S</v>
      </c>
      <c r="F12474" t="str">
        <f t="shared" si="410"/>
        <v>18S</v>
      </c>
    </row>
    <row r="12475" spans="1:6" x14ac:dyDescent="0.2">
      <c r="A12475">
        <v>19</v>
      </c>
      <c r="E12475" t="str">
        <f t="shared" si="409"/>
        <v>T</v>
      </c>
      <c r="F12475" t="str">
        <f t="shared" si="410"/>
        <v>19T</v>
      </c>
    </row>
    <row r="12476" spans="1:6" x14ac:dyDescent="0.2">
      <c r="A12476">
        <v>20</v>
      </c>
      <c r="E12476" t="str">
        <f t="shared" si="409"/>
        <v>U</v>
      </c>
      <c r="F12476" t="str">
        <f t="shared" si="410"/>
        <v>20U</v>
      </c>
    </row>
    <row r="12477" spans="1:6" x14ac:dyDescent="0.2">
      <c r="A12477">
        <v>21</v>
      </c>
      <c r="E12477" t="str">
        <f t="shared" si="409"/>
        <v>V</v>
      </c>
      <c r="F12477" t="str">
        <f t="shared" si="410"/>
        <v>21V</v>
      </c>
    </row>
    <row r="12478" spans="1:6" x14ac:dyDescent="0.2">
      <c r="A12478">
        <v>22</v>
      </c>
      <c r="E12478" t="str">
        <f t="shared" si="409"/>
        <v>W</v>
      </c>
      <c r="F12478" t="str">
        <f t="shared" si="410"/>
        <v>22W</v>
      </c>
    </row>
    <row r="12479" spans="1:6" x14ac:dyDescent="0.2">
      <c r="A12479">
        <v>23</v>
      </c>
      <c r="E12479" t="str">
        <f t="shared" si="409"/>
        <v>X</v>
      </c>
      <c r="F12479" t="str">
        <f t="shared" si="410"/>
        <v>23X</v>
      </c>
    </row>
    <row r="12480" spans="1:6" x14ac:dyDescent="0.2">
      <c r="A12480">
        <v>24</v>
      </c>
      <c r="E12480" t="str">
        <f t="shared" si="409"/>
        <v>Y</v>
      </c>
      <c r="F12480" t="str">
        <f t="shared" si="410"/>
        <v>24Y</v>
      </c>
    </row>
    <row r="12481" spans="1:6" x14ac:dyDescent="0.2">
      <c r="A12481">
        <v>25</v>
      </c>
      <c r="E12481" t="str">
        <f t="shared" si="409"/>
        <v>Z</v>
      </c>
      <c r="F12481" t="str">
        <f t="shared" si="410"/>
        <v>25Z</v>
      </c>
    </row>
    <row r="12482" spans="1:6" x14ac:dyDescent="0.2">
      <c r="A12482">
        <v>0</v>
      </c>
      <c r="E12482" t="str">
        <f t="shared" si="409"/>
        <v>A</v>
      </c>
      <c r="F12482" t="str">
        <f t="shared" si="410"/>
        <v>0A</v>
      </c>
    </row>
    <row r="12483" spans="1:6" x14ac:dyDescent="0.2">
      <c r="A12483">
        <v>1</v>
      </c>
      <c r="E12483" t="str">
        <f t="shared" si="409"/>
        <v>B</v>
      </c>
      <c r="F12483" t="str">
        <f t="shared" si="410"/>
        <v>1B</v>
      </c>
    </row>
    <row r="12484" spans="1:6" x14ac:dyDescent="0.2">
      <c r="A12484">
        <v>2</v>
      </c>
      <c r="E12484" t="str">
        <f t="shared" si="409"/>
        <v>C</v>
      </c>
      <c r="F12484" t="str">
        <f t="shared" si="410"/>
        <v>2C</v>
      </c>
    </row>
    <row r="12485" spans="1:6" x14ac:dyDescent="0.2">
      <c r="A12485">
        <v>3</v>
      </c>
      <c r="E12485" t="str">
        <f t="shared" si="409"/>
        <v>D</v>
      </c>
      <c r="F12485" t="str">
        <f t="shared" si="410"/>
        <v>3D</v>
      </c>
    </row>
    <row r="12486" spans="1:6" x14ac:dyDescent="0.2">
      <c r="A12486">
        <v>4</v>
      </c>
      <c r="E12486" t="str">
        <f t="shared" si="409"/>
        <v>E</v>
      </c>
      <c r="F12486" t="str">
        <f t="shared" si="410"/>
        <v>4E</v>
      </c>
    </row>
    <row r="12487" spans="1:6" x14ac:dyDescent="0.2">
      <c r="A12487">
        <v>5</v>
      </c>
      <c r="E12487" t="str">
        <f t="shared" si="409"/>
        <v>F</v>
      </c>
      <c r="F12487" t="str">
        <f t="shared" si="410"/>
        <v>5F</v>
      </c>
    </row>
    <row r="12488" spans="1:6" x14ac:dyDescent="0.2">
      <c r="A12488">
        <v>6</v>
      </c>
      <c r="E12488" t="str">
        <f t="shared" si="409"/>
        <v>G</v>
      </c>
      <c r="F12488" t="str">
        <f t="shared" si="410"/>
        <v>6G</v>
      </c>
    </row>
    <row r="12489" spans="1:6" x14ac:dyDescent="0.2">
      <c r="A12489">
        <v>7</v>
      </c>
      <c r="E12489" t="str">
        <f t="shared" si="409"/>
        <v>H</v>
      </c>
      <c r="F12489" t="str">
        <f t="shared" si="410"/>
        <v>7H</v>
      </c>
    </row>
    <row r="12490" spans="1:6" x14ac:dyDescent="0.2">
      <c r="A12490">
        <v>8</v>
      </c>
      <c r="E12490" t="str">
        <f t="shared" si="409"/>
        <v>I</v>
      </c>
      <c r="F12490" t="str">
        <f t="shared" si="410"/>
        <v>8I</v>
      </c>
    </row>
    <row r="12491" spans="1:6" x14ac:dyDescent="0.2">
      <c r="A12491">
        <v>9</v>
      </c>
      <c r="E12491" t="str">
        <f t="shared" si="409"/>
        <v>J</v>
      </c>
      <c r="F12491" t="str">
        <f t="shared" si="410"/>
        <v>9J</v>
      </c>
    </row>
    <row r="12492" spans="1:6" x14ac:dyDescent="0.2">
      <c r="A12492">
        <v>10</v>
      </c>
      <c r="E12492" t="str">
        <f t="shared" si="409"/>
        <v>K</v>
      </c>
      <c r="F12492" t="str">
        <f t="shared" si="410"/>
        <v>10K</v>
      </c>
    </row>
    <row r="12493" spans="1:6" x14ac:dyDescent="0.2">
      <c r="A12493">
        <v>11</v>
      </c>
      <c r="E12493" t="str">
        <f t="shared" si="409"/>
        <v>L</v>
      </c>
      <c r="F12493" t="str">
        <f t="shared" si="410"/>
        <v>11L</v>
      </c>
    </row>
    <row r="12494" spans="1:6" x14ac:dyDescent="0.2">
      <c r="A12494">
        <v>12</v>
      </c>
      <c r="E12494" t="str">
        <f t="shared" si="409"/>
        <v>M</v>
      </c>
      <c r="F12494" t="str">
        <f t="shared" si="410"/>
        <v>12M</v>
      </c>
    </row>
    <row r="12495" spans="1:6" x14ac:dyDescent="0.2">
      <c r="A12495">
        <v>13</v>
      </c>
      <c r="E12495" t="str">
        <f t="shared" si="409"/>
        <v>N</v>
      </c>
      <c r="F12495" t="str">
        <f t="shared" si="410"/>
        <v>13N</v>
      </c>
    </row>
    <row r="12496" spans="1:6" x14ac:dyDescent="0.2">
      <c r="A12496">
        <v>14</v>
      </c>
      <c r="E12496" t="str">
        <f t="shared" si="409"/>
        <v>O</v>
      </c>
      <c r="F12496" t="str">
        <f t="shared" si="410"/>
        <v>14O</v>
      </c>
    </row>
    <row r="12497" spans="1:6" x14ac:dyDescent="0.2">
      <c r="A12497">
        <v>15</v>
      </c>
      <c r="E12497" t="str">
        <f t="shared" si="409"/>
        <v>P</v>
      </c>
      <c r="F12497" t="str">
        <f t="shared" si="410"/>
        <v>15P</v>
      </c>
    </row>
    <row r="12498" spans="1:6" x14ac:dyDescent="0.2">
      <c r="A12498">
        <v>16</v>
      </c>
      <c r="E12498" t="str">
        <f t="shared" si="409"/>
        <v>Q</v>
      </c>
      <c r="F12498" t="str">
        <f t="shared" si="410"/>
        <v>16Q</v>
      </c>
    </row>
    <row r="12499" spans="1:6" x14ac:dyDescent="0.2">
      <c r="A12499">
        <v>17</v>
      </c>
      <c r="E12499" t="str">
        <f t="shared" si="409"/>
        <v>R</v>
      </c>
      <c r="F12499" t="str">
        <f t="shared" si="410"/>
        <v>17R</v>
      </c>
    </row>
    <row r="12500" spans="1:6" x14ac:dyDescent="0.2">
      <c r="A12500">
        <v>18</v>
      </c>
      <c r="E12500" t="str">
        <f t="shared" si="409"/>
        <v>S</v>
      </c>
      <c r="F12500" t="str">
        <f t="shared" si="410"/>
        <v>18S</v>
      </c>
    </row>
    <row r="12501" spans="1:6" x14ac:dyDescent="0.2">
      <c r="A12501">
        <v>19</v>
      </c>
      <c r="E12501" t="str">
        <f t="shared" ref="E12501:E12564" si="411">E12475</f>
        <v>T</v>
      </c>
      <c r="F12501" t="str">
        <f t="shared" si="410"/>
        <v>19T</v>
      </c>
    </row>
    <row r="12502" spans="1:6" x14ac:dyDescent="0.2">
      <c r="A12502">
        <v>20</v>
      </c>
      <c r="E12502" t="str">
        <f t="shared" si="411"/>
        <v>U</v>
      </c>
      <c r="F12502" t="str">
        <f t="shared" si="410"/>
        <v>20U</v>
      </c>
    </row>
    <row r="12503" spans="1:6" x14ac:dyDescent="0.2">
      <c r="A12503">
        <v>21</v>
      </c>
      <c r="E12503" t="str">
        <f t="shared" si="411"/>
        <v>V</v>
      </c>
      <c r="F12503" t="str">
        <f t="shared" ref="F12503:F12566" si="412">A12503&amp;C12503&amp;E12503</f>
        <v>21V</v>
      </c>
    </row>
    <row r="12504" spans="1:6" x14ac:dyDescent="0.2">
      <c r="A12504">
        <v>22</v>
      </c>
      <c r="E12504" t="str">
        <f t="shared" si="411"/>
        <v>W</v>
      </c>
      <c r="F12504" t="str">
        <f t="shared" si="412"/>
        <v>22W</v>
      </c>
    </row>
    <row r="12505" spans="1:6" x14ac:dyDescent="0.2">
      <c r="A12505">
        <v>23</v>
      </c>
      <c r="E12505" t="str">
        <f t="shared" si="411"/>
        <v>X</v>
      </c>
      <c r="F12505" t="str">
        <f t="shared" si="412"/>
        <v>23X</v>
      </c>
    </row>
    <row r="12506" spans="1:6" x14ac:dyDescent="0.2">
      <c r="A12506">
        <v>24</v>
      </c>
      <c r="E12506" t="str">
        <f t="shared" si="411"/>
        <v>Y</v>
      </c>
      <c r="F12506" t="str">
        <f t="shared" si="412"/>
        <v>24Y</v>
      </c>
    </row>
    <row r="12507" spans="1:6" x14ac:dyDescent="0.2">
      <c r="A12507">
        <v>25</v>
      </c>
      <c r="E12507" t="str">
        <f t="shared" si="411"/>
        <v>Z</v>
      </c>
      <c r="F12507" t="str">
        <f t="shared" si="412"/>
        <v>25Z</v>
      </c>
    </row>
    <row r="12508" spans="1:6" x14ac:dyDescent="0.2">
      <c r="A12508">
        <v>0</v>
      </c>
      <c r="E12508" t="str">
        <f t="shared" si="411"/>
        <v>A</v>
      </c>
      <c r="F12508" t="str">
        <f t="shared" si="412"/>
        <v>0A</v>
      </c>
    </row>
    <row r="12509" spans="1:6" x14ac:dyDescent="0.2">
      <c r="A12509">
        <v>1</v>
      </c>
      <c r="E12509" t="str">
        <f t="shared" si="411"/>
        <v>B</v>
      </c>
      <c r="F12509" t="str">
        <f t="shared" si="412"/>
        <v>1B</v>
      </c>
    </row>
    <row r="12510" spans="1:6" x14ac:dyDescent="0.2">
      <c r="A12510">
        <v>2</v>
      </c>
      <c r="E12510" t="str">
        <f t="shared" si="411"/>
        <v>C</v>
      </c>
      <c r="F12510" t="str">
        <f t="shared" si="412"/>
        <v>2C</v>
      </c>
    </row>
    <row r="12511" spans="1:6" x14ac:dyDescent="0.2">
      <c r="A12511">
        <v>3</v>
      </c>
      <c r="E12511" t="str">
        <f t="shared" si="411"/>
        <v>D</v>
      </c>
      <c r="F12511" t="str">
        <f t="shared" si="412"/>
        <v>3D</v>
      </c>
    </row>
    <row r="12512" spans="1:6" x14ac:dyDescent="0.2">
      <c r="A12512">
        <v>4</v>
      </c>
      <c r="E12512" t="str">
        <f t="shared" si="411"/>
        <v>E</v>
      </c>
      <c r="F12512" t="str">
        <f t="shared" si="412"/>
        <v>4E</v>
      </c>
    </row>
    <row r="12513" spans="1:6" x14ac:dyDescent="0.2">
      <c r="A12513">
        <v>5</v>
      </c>
      <c r="E12513" t="str">
        <f t="shared" si="411"/>
        <v>F</v>
      </c>
      <c r="F12513" t="str">
        <f t="shared" si="412"/>
        <v>5F</v>
      </c>
    </row>
    <row r="12514" spans="1:6" x14ac:dyDescent="0.2">
      <c r="A12514">
        <v>6</v>
      </c>
      <c r="E12514" t="str">
        <f t="shared" si="411"/>
        <v>G</v>
      </c>
      <c r="F12514" t="str">
        <f t="shared" si="412"/>
        <v>6G</v>
      </c>
    </row>
    <row r="12515" spans="1:6" x14ac:dyDescent="0.2">
      <c r="A12515">
        <v>7</v>
      </c>
      <c r="E12515" t="str">
        <f t="shared" si="411"/>
        <v>H</v>
      </c>
      <c r="F12515" t="str">
        <f t="shared" si="412"/>
        <v>7H</v>
      </c>
    </row>
    <row r="12516" spans="1:6" x14ac:dyDescent="0.2">
      <c r="A12516">
        <v>8</v>
      </c>
      <c r="E12516" t="str">
        <f t="shared" si="411"/>
        <v>I</v>
      </c>
      <c r="F12516" t="str">
        <f t="shared" si="412"/>
        <v>8I</v>
      </c>
    </row>
    <row r="12517" spans="1:6" x14ac:dyDescent="0.2">
      <c r="A12517">
        <v>9</v>
      </c>
      <c r="E12517" t="str">
        <f t="shared" si="411"/>
        <v>J</v>
      </c>
      <c r="F12517" t="str">
        <f t="shared" si="412"/>
        <v>9J</v>
      </c>
    </row>
    <row r="12518" spans="1:6" x14ac:dyDescent="0.2">
      <c r="A12518">
        <v>10</v>
      </c>
      <c r="E12518" t="str">
        <f t="shared" si="411"/>
        <v>K</v>
      </c>
      <c r="F12518" t="str">
        <f t="shared" si="412"/>
        <v>10K</v>
      </c>
    </row>
    <row r="12519" spans="1:6" x14ac:dyDescent="0.2">
      <c r="A12519">
        <v>11</v>
      </c>
      <c r="E12519" t="str">
        <f t="shared" si="411"/>
        <v>L</v>
      </c>
      <c r="F12519" t="str">
        <f t="shared" si="412"/>
        <v>11L</v>
      </c>
    </row>
    <row r="12520" spans="1:6" x14ac:dyDescent="0.2">
      <c r="A12520">
        <v>12</v>
      </c>
      <c r="E12520" t="str">
        <f t="shared" si="411"/>
        <v>M</v>
      </c>
      <c r="F12520" t="str">
        <f t="shared" si="412"/>
        <v>12M</v>
      </c>
    </row>
    <row r="12521" spans="1:6" x14ac:dyDescent="0.2">
      <c r="A12521">
        <v>13</v>
      </c>
      <c r="E12521" t="str">
        <f t="shared" si="411"/>
        <v>N</v>
      </c>
      <c r="F12521" t="str">
        <f t="shared" si="412"/>
        <v>13N</v>
      </c>
    </row>
    <row r="12522" spans="1:6" x14ac:dyDescent="0.2">
      <c r="A12522">
        <v>14</v>
      </c>
      <c r="E12522" t="str">
        <f t="shared" si="411"/>
        <v>O</v>
      </c>
      <c r="F12522" t="str">
        <f t="shared" si="412"/>
        <v>14O</v>
      </c>
    </row>
    <row r="12523" spans="1:6" x14ac:dyDescent="0.2">
      <c r="A12523">
        <v>15</v>
      </c>
      <c r="E12523" t="str">
        <f t="shared" si="411"/>
        <v>P</v>
      </c>
      <c r="F12523" t="str">
        <f t="shared" si="412"/>
        <v>15P</v>
      </c>
    </row>
    <row r="12524" spans="1:6" x14ac:dyDescent="0.2">
      <c r="A12524">
        <v>16</v>
      </c>
      <c r="E12524" t="str">
        <f t="shared" si="411"/>
        <v>Q</v>
      </c>
      <c r="F12524" t="str">
        <f t="shared" si="412"/>
        <v>16Q</v>
      </c>
    </row>
    <row r="12525" spans="1:6" x14ac:dyDescent="0.2">
      <c r="A12525">
        <v>17</v>
      </c>
      <c r="E12525" t="str">
        <f t="shared" si="411"/>
        <v>R</v>
      </c>
      <c r="F12525" t="str">
        <f t="shared" si="412"/>
        <v>17R</v>
      </c>
    </row>
    <row r="12526" spans="1:6" x14ac:dyDescent="0.2">
      <c r="A12526">
        <v>18</v>
      </c>
      <c r="E12526" t="str">
        <f t="shared" si="411"/>
        <v>S</v>
      </c>
      <c r="F12526" t="str">
        <f t="shared" si="412"/>
        <v>18S</v>
      </c>
    </row>
    <row r="12527" spans="1:6" x14ac:dyDescent="0.2">
      <c r="A12527">
        <v>19</v>
      </c>
      <c r="E12527" t="str">
        <f t="shared" si="411"/>
        <v>T</v>
      </c>
      <c r="F12527" t="str">
        <f t="shared" si="412"/>
        <v>19T</v>
      </c>
    </row>
    <row r="12528" spans="1:6" x14ac:dyDescent="0.2">
      <c r="A12528">
        <v>20</v>
      </c>
      <c r="E12528" t="str">
        <f t="shared" si="411"/>
        <v>U</v>
      </c>
      <c r="F12528" t="str">
        <f t="shared" si="412"/>
        <v>20U</v>
      </c>
    </row>
    <row r="12529" spans="1:6" x14ac:dyDescent="0.2">
      <c r="A12529">
        <v>21</v>
      </c>
      <c r="E12529" t="str">
        <f t="shared" si="411"/>
        <v>V</v>
      </c>
      <c r="F12529" t="str">
        <f t="shared" si="412"/>
        <v>21V</v>
      </c>
    </row>
    <row r="12530" spans="1:6" x14ac:dyDescent="0.2">
      <c r="A12530">
        <v>22</v>
      </c>
      <c r="E12530" t="str">
        <f t="shared" si="411"/>
        <v>W</v>
      </c>
      <c r="F12530" t="str">
        <f t="shared" si="412"/>
        <v>22W</v>
      </c>
    </row>
    <row r="12531" spans="1:6" x14ac:dyDescent="0.2">
      <c r="A12531">
        <v>23</v>
      </c>
      <c r="E12531" t="str">
        <f t="shared" si="411"/>
        <v>X</v>
      </c>
      <c r="F12531" t="str">
        <f t="shared" si="412"/>
        <v>23X</v>
      </c>
    </row>
    <row r="12532" spans="1:6" x14ac:dyDescent="0.2">
      <c r="A12532">
        <v>24</v>
      </c>
      <c r="E12532" t="str">
        <f t="shared" si="411"/>
        <v>Y</v>
      </c>
      <c r="F12532" t="str">
        <f t="shared" si="412"/>
        <v>24Y</v>
      </c>
    </row>
    <row r="12533" spans="1:6" x14ac:dyDescent="0.2">
      <c r="A12533">
        <v>25</v>
      </c>
      <c r="E12533" t="str">
        <f t="shared" si="411"/>
        <v>Z</v>
      </c>
      <c r="F12533" t="str">
        <f t="shared" si="412"/>
        <v>25Z</v>
      </c>
    </row>
    <row r="12534" spans="1:6" x14ac:dyDescent="0.2">
      <c r="A12534">
        <v>0</v>
      </c>
      <c r="E12534" t="str">
        <f t="shared" si="411"/>
        <v>A</v>
      </c>
      <c r="F12534" t="str">
        <f t="shared" si="412"/>
        <v>0A</v>
      </c>
    </row>
    <row r="12535" spans="1:6" x14ac:dyDescent="0.2">
      <c r="A12535">
        <v>1</v>
      </c>
      <c r="E12535" t="str">
        <f t="shared" si="411"/>
        <v>B</v>
      </c>
      <c r="F12535" t="str">
        <f t="shared" si="412"/>
        <v>1B</v>
      </c>
    </row>
    <row r="12536" spans="1:6" x14ac:dyDescent="0.2">
      <c r="A12536">
        <v>2</v>
      </c>
      <c r="E12536" t="str">
        <f t="shared" si="411"/>
        <v>C</v>
      </c>
      <c r="F12536" t="str">
        <f t="shared" si="412"/>
        <v>2C</v>
      </c>
    </row>
    <row r="12537" spans="1:6" x14ac:dyDescent="0.2">
      <c r="A12537">
        <v>3</v>
      </c>
      <c r="E12537" t="str">
        <f t="shared" si="411"/>
        <v>D</v>
      </c>
      <c r="F12537" t="str">
        <f t="shared" si="412"/>
        <v>3D</v>
      </c>
    </row>
    <row r="12538" spans="1:6" x14ac:dyDescent="0.2">
      <c r="A12538">
        <v>4</v>
      </c>
      <c r="E12538" t="str">
        <f t="shared" si="411"/>
        <v>E</v>
      </c>
      <c r="F12538" t="str">
        <f t="shared" si="412"/>
        <v>4E</v>
      </c>
    </row>
    <row r="12539" spans="1:6" x14ac:dyDescent="0.2">
      <c r="A12539">
        <v>5</v>
      </c>
      <c r="E12539" t="str">
        <f t="shared" si="411"/>
        <v>F</v>
      </c>
      <c r="F12539" t="str">
        <f t="shared" si="412"/>
        <v>5F</v>
      </c>
    </row>
    <row r="12540" spans="1:6" x14ac:dyDescent="0.2">
      <c r="A12540">
        <v>6</v>
      </c>
      <c r="E12540" t="str">
        <f t="shared" si="411"/>
        <v>G</v>
      </c>
      <c r="F12540" t="str">
        <f t="shared" si="412"/>
        <v>6G</v>
      </c>
    </row>
    <row r="12541" spans="1:6" x14ac:dyDescent="0.2">
      <c r="A12541">
        <v>7</v>
      </c>
      <c r="E12541" t="str">
        <f t="shared" si="411"/>
        <v>H</v>
      </c>
      <c r="F12541" t="str">
        <f t="shared" si="412"/>
        <v>7H</v>
      </c>
    </row>
    <row r="12542" spans="1:6" x14ac:dyDescent="0.2">
      <c r="A12542">
        <v>8</v>
      </c>
      <c r="E12542" t="str">
        <f t="shared" si="411"/>
        <v>I</v>
      </c>
      <c r="F12542" t="str">
        <f t="shared" si="412"/>
        <v>8I</v>
      </c>
    </row>
    <row r="12543" spans="1:6" x14ac:dyDescent="0.2">
      <c r="A12543">
        <v>9</v>
      </c>
      <c r="E12543" t="str">
        <f t="shared" si="411"/>
        <v>J</v>
      </c>
      <c r="F12543" t="str">
        <f t="shared" si="412"/>
        <v>9J</v>
      </c>
    </row>
    <row r="12544" spans="1:6" x14ac:dyDescent="0.2">
      <c r="A12544">
        <v>10</v>
      </c>
      <c r="E12544" t="str">
        <f t="shared" si="411"/>
        <v>K</v>
      </c>
      <c r="F12544" t="str">
        <f t="shared" si="412"/>
        <v>10K</v>
      </c>
    </row>
    <row r="12545" spans="1:6" x14ac:dyDescent="0.2">
      <c r="A12545">
        <v>11</v>
      </c>
      <c r="E12545" t="str">
        <f t="shared" si="411"/>
        <v>L</v>
      </c>
      <c r="F12545" t="str">
        <f t="shared" si="412"/>
        <v>11L</v>
      </c>
    </row>
    <row r="12546" spans="1:6" x14ac:dyDescent="0.2">
      <c r="A12546">
        <v>12</v>
      </c>
      <c r="E12546" t="str">
        <f t="shared" si="411"/>
        <v>M</v>
      </c>
      <c r="F12546" t="str">
        <f t="shared" si="412"/>
        <v>12M</v>
      </c>
    </row>
    <row r="12547" spans="1:6" x14ac:dyDescent="0.2">
      <c r="A12547">
        <v>13</v>
      </c>
      <c r="E12547" t="str">
        <f t="shared" si="411"/>
        <v>N</v>
      </c>
      <c r="F12547" t="str">
        <f t="shared" si="412"/>
        <v>13N</v>
      </c>
    </row>
    <row r="12548" spans="1:6" x14ac:dyDescent="0.2">
      <c r="A12548">
        <v>14</v>
      </c>
      <c r="E12548" t="str">
        <f t="shared" si="411"/>
        <v>O</v>
      </c>
      <c r="F12548" t="str">
        <f t="shared" si="412"/>
        <v>14O</v>
      </c>
    </row>
    <row r="12549" spans="1:6" x14ac:dyDescent="0.2">
      <c r="A12549">
        <v>15</v>
      </c>
      <c r="E12549" t="str">
        <f t="shared" si="411"/>
        <v>P</v>
      </c>
      <c r="F12549" t="str">
        <f t="shared" si="412"/>
        <v>15P</v>
      </c>
    </row>
    <row r="12550" spans="1:6" x14ac:dyDescent="0.2">
      <c r="A12550">
        <v>16</v>
      </c>
      <c r="E12550" t="str">
        <f t="shared" si="411"/>
        <v>Q</v>
      </c>
      <c r="F12550" t="str">
        <f t="shared" si="412"/>
        <v>16Q</v>
      </c>
    </row>
    <row r="12551" spans="1:6" x14ac:dyDescent="0.2">
      <c r="A12551">
        <v>17</v>
      </c>
      <c r="E12551" t="str">
        <f t="shared" si="411"/>
        <v>R</v>
      </c>
      <c r="F12551" t="str">
        <f t="shared" si="412"/>
        <v>17R</v>
      </c>
    </row>
    <row r="12552" spans="1:6" x14ac:dyDescent="0.2">
      <c r="A12552">
        <v>18</v>
      </c>
      <c r="E12552" t="str">
        <f t="shared" si="411"/>
        <v>S</v>
      </c>
      <c r="F12552" t="str">
        <f t="shared" si="412"/>
        <v>18S</v>
      </c>
    </row>
    <row r="12553" spans="1:6" x14ac:dyDescent="0.2">
      <c r="A12553">
        <v>19</v>
      </c>
      <c r="E12553" t="str">
        <f t="shared" si="411"/>
        <v>T</v>
      </c>
      <c r="F12553" t="str">
        <f t="shared" si="412"/>
        <v>19T</v>
      </c>
    </row>
    <row r="12554" spans="1:6" x14ac:dyDescent="0.2">
      <c r="A12554">
        <v>20</v>
      </c>
      <c r="E12554" t="str">
        <f t="shared" si="411"/>
        <v>U</v>
      </c>
      <c r="F12554" t="str">
        <f t="shared" si="412"/>
        <v>20U</v>
      </c>
    </row>
    <row r="12555" spans="1:6" x14ac:dyDescent="0.2">
      <c r="A12555">
        <v>21</v>
      </c>
      <c r="E12555" t="str">
        <f t="shared" si="411"/>
        <v>V</v>
      </c>
      <c r="F12555" t="str">
        <f t="shared" si="412"/>
        <v>21V</v>
      </c>
    </row>
    <row r="12556" spans="1:6" x14ac:dyDescent="0.2">
      <c r="A12556">
        <v>22</v>
      </c>
      <c r="E12556" t="str">
        <f t="shared" si="411"/>
        <v>W</v>
      </c>
      <c r="F12556" t="str">
        <f t="shared" si="412"/>
        <v>22W</v>
      </c>
    </row>
    <row r="12557" spans="1:6" x14ac:dyDescent="0.2">
      <c r="A12557">
        <v>23</v>
      </c>
      <c r="E12557" t="str">
        <f t="shared" si="411"/>
        <v>X</v>
      </c>
      <c r="F12557" t="str">
        <f t="shared" si="412"/>
        <v>23X</v>
      </c>
    </row>
    <row r="12558" spans="1:6" x14ac:dyDescent="0.2">
      <c r="A12558">
        <v>24</v>
      </c>
      <c r="E12558" t="str">
        <f t="shared" si="411"/>
        <v>Y</v>
      </c>
      <c r="F12558" t="str">
        <f t="shared" si="412"/>
        <v>24Y</v>
      </c>
    </row>
    <row r="12559" spans="1:6" x14ac:dyDescent="0.2">
      <c r="A12559">
        <v>25</v>
      </c>
      <c r="E12559" t="str">
        <f t="shared" si="411"/>
        <v>Z</v>
      </c>
      <c r="F12559" t="str">
        <f t="shared" si="412"/>
        <v>25Z</v>
      </c>
    </row>
    <row r="12560" spans="1:6" x14ac:dyDescent="0.2">
      <c r="A12560">
        <v>0</v>
      </c>
      <c r="E12560" t="str">
        <f t="shared" si="411"/>
        <v>A</v>
      </c>
      <c r="F12560" t="str">
        <f t="shared" si="412"/>
        <v>0A</v>
      </c>
    </row>
    <row r="12561" spans="1:6" x14ac:dyDescent="0.2">
      <c r="A12561">
        <v>1</v>
      </c>
      <c r="E12561" t="str">
        <f t="shared" si="411"/>
        <v>B</v>
      </c>
      <c r="F12561" t="str">
        <f t="shared" si="412"/>
        <v>1B</v>
      </c>
    </row>
    <row r="12562" spans="1:6" x14ac:dyDescent="0.2">
      <c r="A12562">
        <v>2</v>
      </c>
      <c r="E12562" t="str">
        <f t="shared" si="411"/>
        <v>C</v>
      </c>
      <c r="F12562" t="str">
        <f t="shared" si="412"/>
        <v>2C</v>
      </c>
    </row>
    <row r="12563" spans="1:6" x14ac:dyDescent="0.2">
      <c r="A12563">
        <v>3</v>
      </c>
      <c r="E12563" t="str">
        <f t="shared" si="411"/>
        <v>D</v>
      </c>
      <c r="F12563" t="str">
        <f t="shared" si="412"/>
        <v>3D</v>
      </c>
    </row>
    <row r="12564" spans="1:6" x14ac:dyDescent="0.2">
      <c r="A12564">
        <v>4</v>
      </c>
      <c r="E12564" t="str">
        <f t="shared" si="411"/>
        <v>E</v>
      </c>
      <c r="F12564" t="str">
        <f t="shared" si="412"/>
        <v>4E</v>
      </c>
    </row>
    <row r="12565" spans="1:6" x14ac:dyDescent="0.2">
      <c r="A12565">
        <v>5</v>
      </c>
      <c r="E12565" t="str">
        <f t="shared" ref="E12565:E12628" si="413">E12539</f>
        <v>F</v>
      </c>
      <c r="F12565" t="str">
        <f t="shared" si="412"/>
        <v>5F</v>
      </c>
    </row>
    <row r="12566" spans="1:6" x14ac:dyDescent="0.2">
      <c r="A12566">
        <v>6</v>
      </c>
      <c r="E12566" t="str">
        <f t="shared" si="413"/>
        <v>G</v>
      </c>
      <c r="F12566" t="str">
        <f t="shared" si="412"/>
        <v>6G</v>
      </c>
    </row>
    <row r="12567" spans="1:6" x14ac:dyDescent="0.2">
      <c r="A12567">
        <v>7</v>
      </c>
      <c r="E12567" t="str">
        <f t="shared" si="413"/>
        <v>H</v>
      </c>
      <c r="F12567" t="str">
        <f t="shared" ref="F12567:F12630" si="414">A12567&amp;C12567&amp;E12567</f>
        <v>7H</v>
      </c>
    </row>
    <row r="12568" spans="1:6" x14ac:dyDescent="0.2">
      <c r="A12568">
        <v>8</v>
      </c>
      <c r="E12568" t="str">
        <f t="shared" si="413"/>
        <v>I</v>
      </c>
      <c r="F12568" t="str">
        <f t="shared" si="414"/>
        <v>8I</v>
      </c>
    </row>
    <row r="12569" spans="1:6" x14ac:dyDescent="0.2">
      <c r="A12569">
        <v>9</v>
      </c>
      <c r="E12569" t="str">
        <f t="shared" si="413"/>
        <v>J</v>
      </c>
      <c r="F12569" t="str">
        <f t="shared" si="414"/>
        <v>9J</v>
      </c>
    </row>
    <row r="12570" spans="1:6" x14ac:dyDescent="0.2">
      <c r="A12570">
        <v>10</v>
      </c>
      <c r="E12570" t="str">
        <f t="shared" si="413"/>
        <v>K</v>
      </c>
      <c r="F12570" t="str">
        <f t="shared" si="414"/>
        <v>10K</v>
      </c>
    </row>
    <row r="12571" spans="1:6" x14ac:dyDescent="0.2">
      <c r="A12571">
        <v>11</v>
      </c>
      <c r="E12571" t="str">
        <f t="shared" si="413"/>
        <v>L</v>
      </c>
      <c r="F12571" t="str">
        <f t="shared" si="414"/>
        <v>11L</v>
      </c>
    </row>
    <row r="12572" spans="1:6" x14ac:dyDescent="0.2">
      <c r="A12572">
        <v>12</v>
      </c>
      <c r="E12572" t="str">
        <f t="shared" si="413"/>
        <v>M</v>
      </c>
      <c r="F12572" t="str">
        <f t="shared" si="414"/>
        <v>12M</v>
      </c>
    </row>
    <row r="12573" spans="1:6" x14ac:dyDescent="0.2">
      <c r="A12573">
        <v>13</v>
      </c>
      <c r="E12573" t="str">
        <f t="shared" si="413"/>
        <v>N</v>
      </c>
      <c r="F12573" t="str">
        <f t="shared" si="414"/>
        <v>13N</v>
      </c>
    </row>
    <row r="12574" spans="1:6" x14ac:dyDescent="0.2">
      <c r="A12574">
        <v>14</v>
      </c>
      <c r="E12574" t="str">
        <f t="shared" si="413"/>
        <v>O</v>
      </c>
      <c r="F12574" t="str">
        <f t="shared" si="414"/>
        <v>14O</v>
      </c>
    </row>
    <row r="12575" spans="1:6" x14ac:dyDescent="0.2">
      <c r="A12575">
        <v>15</v>
      </c>
      <c r="E12575" t="str">
        <f t="shared" si="413"/>
        <v>P</v>
      </c>
      <c r="F12575" t="str">
        <f t="shared" si="414"/>
        <v>15P</v>
      </c>
    </row>
    <row r="12576" spans="1:6" x14ac:dyDescent="0.2">
      <c r="A12576">
        <v>16</v>
      </c>
      <c r="E12576" t="str">
        <f t="shared" si="413"/>
        <v>Q</v>
      </c>
      <c r="F12576" t="str">
        <f t="shared" si="414"/>
        <v>16Q</v>
      </c>
    </row>
    <row r="12577" spans="1:6" x14ac:dyDescent="0.2">
      <c r="A12577">
        <v>17</v>
      </c>
      <c r="E12577" t="str">
        <f t="shared" si="413"/>
        <v>R</v>
      </c>
      <c r="F12577" t="str">
        <f t="shared" si="414"/>
        <v>17R</v>
      </c>
    </row>
    <row r="12578" spans="1:6" x14ac:dyDescent="0.2">
      <c r="A12578">
        <v>18</v>
      </c>
      <c r="E12578" t="str">
        <f t="shared" si="413"/>
        <v>S</v>
      </c>
      <c r="F12578" t="str">
        <f t="shared" si="414"/>
        <v>18S</v>
      </c>
    </row>
    <row r="12579" spans="1:6" x14ac:dyDescent="0.2">
      <c r="A12579">
        <v>19</v>
      </c>
      <c r="E12579" t="str">
        <f t="shared" si="413"/>
        <v>T</v>
      </c>
      <c r="F12579" t="str">
        <f t="shared" si="414"/>
        <v>19T</v>
      </c>
    </row>
    <row r="12580" spans="1:6" x14ac:dyDescent="0.2">
      <c r="A12580">
        <v>20</v>
      </c>
      <c r="E12580" t="str">
        <f t="shared" si="413"/>
        <v>U</v>
      </c>
      <c r="F12580" t="str">
        <f t="shared" si="414"/>
        <v>20U</v>
      </c>
    </row>
    <row r="12581" spans="1:6" x14ac:dyDescent="0.2">
      <c r="A12581">
        <v>21</v>
      </c>
      <c r="E12581" t="str">
        <f t="shared" si="413"/>
        <v>V</v>
      </c>
      <c r="F12581" t="str">
        <f t="shared" si="414"/>
        <v>21V</v>
      </c>
    </row>
    <row r="12582" spans="1:6" x14ac:dyDescent="0.2">
      <c r="A12582">
        <v>22</v>
      </c>
      <c r="E12582" t="str">
        <f t="shared" si="413"/>
        <v>W</v>
      </c>
      <c r="F12582" t="str">
        <f t="shared" si="414"/>
        <v>22W</v>
      </c>
    </row>
    <row r="12583" spans="1:6" x14ac:dyDescent="0.2">
      <c r="A12583">
        <v>23</v>
      </c>
      <c r="E12583" t="str">
        <f t="shared" si="413"/>
        <v>X</v>
      </c>
      <c r="F12583" t="str">
        <f t="shared" si="414"/>
        <v>23X</v>
      </c>
    </row>
    <row r="12584" spans="1:6" x14ac:dyDescent="0.2">
      <c r="A12584">
        <v>24</v>
      </c>
      <c r="E12584" t="str">
        <f t="shared" si="413"/>
        <v>Y</v>
      </c>
      <c r="F12584" t="str">
        <f t="shared" si="414"/>
        <v>24Y</v>
      </c>
    </row>
    <row r="12585" spans="1:6" x14ac:dyDescent="0.2">
      <c r="A12585">
        <v>25</v>
      </c>
      <c r="E12585" t="str">
        <f t="shared" si="413"/>
        <v>Z</v>
      </c>
      <c r="F12585" t="str">
        <f t="shared" si="414"/>
        <v>25Z</v>
      </c>
    </row>
    <row r="12586" spans="1:6" x14ac:dyDescent="0.2">
      <c r="A12586">
        <v>0</v>
      </c>
      <c r="E12586" t="str">
        <f t="shared" si="413"/>
        <v>A</v>
      </c>
      <c r="F12586" t="str">
        <f t="shared" si="414"/>
        <v>0A</v>
      </c>
    </row>
    <row r="12587" spans="1:6" x14ac:dyDescent="0.2">
      <c r="A12587">
        <v>1</v>
      </c>
      <c r="E12587" t="str">
        <f t="shared" si="413"/>
        <v>B</v>
      </c>
      <c r="F12587" t="str">
        <f t="shared" si="414"/>
        <v>1B</v>
      </c>
    </row>
    <row r="12588" spans="1:6" x14ac:dyDescent="0.2">
      <c r="A12588">
        <v>2</v>
      </c>
      <c r="E12588" t="str">
        <f t="shared" si="413"/>
        <v>C</v>
      </c>
      <c r="F12588" t="str">
        <f t="shared" si="414"/>
        <v>2C</v>
      </c>
    </row>
    <row r="12589" spans="1:6" x14ac:dyDescent="0.2">
      <c r="A12589">
        <v>3</v>
      </c>
      <c r="E12589" t="str">
        <f t="shared" si="413"/>
        <v>D</v>
      </c>
      <c r="F12589" t="str">
        <f t="shared" si="414"/>
        <v>3D</v>
      </c>
    </row>
    <row r="12590" spans="1:6" x14ac:dyDescent="0.2">
      <c r="A12590">
        <v>4</v>
      </c>
      <c r="E12590" t="str">
        <f t="shared" si="413"/>
        <v>E</v>
      </c>
      <c r="F12590" t="str">
        <f t="shared" si="414"/>
        <v>4E</v>
      </c>
    </row>
    <row r="12591" spans="1:6" x14ac:dyDescent="0.2">
      <c r="A12591">
        <v>5</v>
      </c>
      <c r="E12591" t="str">
        <f t="shared" si="413"/>
        <v>F</v>
      </c>
      <c r="F12591" t="str">
        <f t="shared" si="414"/>
        <v>5F</v>
      </c>
    </row>
    <row r="12592" spans="1:6" x14ac:dyDescent="0.2">
      <c r="A12592">
        <v>6</v>
      </c>
      <c r="E12592" t="str">
        <f t="shared" si="413"/>
        <v>G</v>
      </c>
      <c r="F12592" t="str">
        <f t="shared" si="414"/>
        <v>6G</v>
      </c>
    </row>
    <row r="12593" spans="1:6" x14ac:dyDescent="0.2">
      <c r="A12593">
        <v>7</v>
      </c>
      <c r="E12593" t="str">
        <f t="shared" si="413"/>
        <v>H</v>
      </c>
      <c r="F12593" t="str">
        <f t="shared" si="414"/>
        <v>7H</v>
      </c>
    </row>
    <row r="12594" spans="1:6" x14ac:dyDescent="0.2">
      <c r="A12594">
        <v>8</v>
      </c>
      <c r="E12594" t="str">
        <f t="shared" si="413"/>
        <v>I</v>
      </c>
      <c r="F12594" t="str">
        <f t="shared" si="414"/>
        <v>8I</v>
      </c>
    </row>
    <row r="12595" spans="1:6" x14ac:dyDescent="0.2">
      <c r="A12595">
        <v>9</v>
      </c>
      <c r="E12595" t="str">
        <f t="shared" si="413"/>
        <v>J</v>
      </c>
      <c r="F12595" t="str">
        <f t="shared" si="414"/>
        <v>9J</v>
      </c>
    </row>
    <row r="12596" spans="1:6" x14ac:dyDescent="0.2">
      <c r="A12596">
        <v>10</v>
      </c>
      <c r="E12596" t="str">
        <f t="shared" si="413"/>
        <v>K</v>
      </c>
      <c r="F12596" t="str">
        <f t="shared" si="414"/>
        <v>10K</v>
      </c>
    </row>
    <row r="12597" spans="1:6" x14ac:dyDescent="0.2">
      <c r="A12597">
        <v>11</v>
      </c>
      <c r="E12597" t="str">
        <f t="shared" si="413"/>
        <v>L</v>
      </c>
      <c r="F12597" t="str">
        <f t="shared" si="414"/>
        <v>11L</v>
      </c>
    </row>
    <row r="12598" spans="1:6" x14ac:dyDescent="0.2">
      <c r="A12598">
        <v>12</v>
      </c>
      <c r="E12598" t="str">
        <f t="shared" si="413"/>
        <v>M</v>
      </c>
      <c r="F12598" t="str">
        <f t="shared" si="414"/>
        <v>12M</v>
      </c>
    </row>
    <row r="12599" spans="1:6" x14ac:dyDescent="0.2">
      <c r="A12599">
        <v>13</v>
      </c>
      <c r="E12599" t="str">
        <f t="shared" si="413"/>
        <v>N</v>
      </c>
      <c r="F12599" t="str">
        <f t="shared" si="414"/>
        <v>13N</v>
      </c>
    </row>
    <row r="12600" spans="1:6" x14ac:dyDescent="0.2">
      <c r="A12600">
        <v>14</v>
      </c>
      <c r="E12600" t="str">
        <f t="shared" si="413"/>
        <v>O</v>
      </c>
      <c r="F12600" t="str">
        <f t="shared" si="414"/>
        <v>14O</v>
      </c>
    </row>
    <row r="12601" spans="1:6" x14ac:dyDescent="0.2">
      <c r="A12601">
        <v>15</v>
      </c>
      <c r="E12601" t="str">
        <f t="shared" si="413"/>
        <v>P</v>
      </c>
      <c r="F12601" t="str">
        <f t="shared" si="414"/>
        <v>15P</v>
      </c>
    </row>
    <row r="12602" spans="1:6" x14ac:dyDescent="0.2">
      <c r="A12602">
        <v>16</v>
      </c>
      <c r="E12602" t="str">
        <f t="shared" si="413"/>
        <v>Q</v>
      </c>
      <c r="F12602" t="str">
        <f t="shared" si="414"/>
        <v>16Q</v>
      </c>
    </row>
    <row r="12603" spans="1:6" x14ac:dyDescent="0.2">
      <c r="A12603">
        <v>17</v>
      </c>
      <c r="E12603" t="str">
        <f t="shared" si="413"/>
        <v>R</v>
      </c>
      <c r="F12603" t="str">
        <f t="shared" si="414"/>
        <v>17R</v>
      </c>
    </row>
    <row r="12604" spans="1:6" x14ac:dyDescent="0.2">
      <c r="A12604">
        <v>18</v>
      </c>
      <c r="E12604" t="str">
        <f t="shared" si="413"/>
        <v>S</v>
      </c>
      <c r="F12604" t="str">
        <f t="shared" si="414"/>
        <v>18S</v>
      </c>
    </row>
    <row r="12605" spans="1:6" x14ac:dyDescent="0.2">
      <c r="A12605">
        <v>19</v>
      </c>
      <c r="E12605" t="str">
        <f t="shared" si="413"/>
        <v>T</v>
      </c>
      <c r="F12605" t="str">
        <f t="shared" si="414"/>
        <v>19T</v>
      </c>
    </row>
    <row r="12606" spans="1:6" x14ac:dyDescent="0.2">
      <c r="A12606">
        <v>20</v>
      </c>
      <c r="E12606" t="str">
        <f t="shared" si="413"/>
        <v>U</v>
      </c>
      <c r="F12606" t="str">
        <f t="shared" si="414"/>
        <v>20U</v>
      </c>
    </row>
    <row r="12607" spans="1:6" x14ac:dyDescent="0.2">
      <c r="A12607">
        <v>21</v>
      </c>
      <c r="E12607" t="str">
        <f t="shared" si="413"/>
        <v>V</v>
      </c>
      <c r="F12607" t="str">
        <f t="shared" si="414"/>
        <v>21V</v>
      </c>
    </row>
    <row r="12608" spans="1:6" x14ac:dyDescent="0.2">
      <c r="A12608">
        <v>22</v>
      </c>
      <c r="E12608" t="str">
        <f t="shared" si="413"/>
        <v>W</v>
      </c>
      <c r="F12608" t="str">
        <f t="shared" si="414"/>
        <v>22W</v>
      </c>
    </row>
    <row r="12609" spans="1:6" x14ac:dyDescent="0.2">
      <c r="A12609">
        <v>23</v>
      </c>
      <c r="E12609" t="str">
        <f t="shared" si="413"/>
        <v>X</v>
      </c>
      <c r="F12609" t="str">
        <f t="shared" si="414"/>
        <v>23X</v>
      </c>
    </row>
    <row r="12610" spans="1:6" x14ac:dyDescent="0.2">
      <c r="A12610">
        <v>24</v>
      </c>
      <c r="E12610" t="str">
        <f t="shared" si="413"/>
        <v>Y</v>
      </c>
      <c r="F12610" t="str">
        <f t="shared" si="414"/>
        <v>24Y</v>
      </c>
    </row>
    <row r="12611" spans="1:6" x14ac:dyDescent="0.2">
      <c r="A12611">
        <v>25</v>
      </c>
      <c r="E12611" t="str">
        <f t="shared" si="413"/>
        <v>Z</v>
      </c>
      <c r="F12611" t="str">
        <f t="shared" si="414"/>
        <v>25Z</v>
      </c>
    </row>
    <row r="12612" spans="1:6" x14ac:dyDescent="0.2">
      <c r="A12612">
        <v>0</v>
      </c>
      <c r="E12612" t="str">
        <f t="shared" si="413"/>
        <v>A</v>
      </c>
      <c r="F12612" t="str">
        <f t="shared" si="414"/>
        <v>0A</v>
      </c>
    </row>
    <row r="12613" spans="1:6" x14ac:dyDescent="0.2">
      <c r="A12613">
        <v>1</v>
      </c>
      <c r="E12613" t="str">
        <f t="shared" si="413"/>
        <v>B</v>
      </c>
      <c r="F12613" t="str">
        <f t="shared" si="414"/>
        <v>1B</v>
      </c>
    </row>
    <row r="12614" spans="1:6" x14ac:dyDescent="0.2">
      <c r="A12614">
        <v>2</v>
      </c>
      <c r="E12614" t="str">
        <f t="shared" si="413"/>
        <v>C</v>
      </c>
      <c r="F12614" t="str">
        <f t="shared" si="414"/>
        <v>2C</v>
      </c>
    </row>
    <row r="12615" spans="1:6" x14ac:dyDescent="0.2">
      <c r="A12615">
        <v>3</v>
      </c>
      <c r="E12615" t="str">
        <f t="shared" si="413"/>
        <v>D</v>
      </c>
      <c r="F12615" t="str">
        <f t="shared" si="414"/>
        <v>3D</v>
      </c>
    </row>
    <row r="12616" spans="1:6" x14ac:dyDescent="0.2">
      <c r="A12616">
        <v>4</v>
      </c>
      <c r="E12616" t="str">
        <f t="shared" si="413"/>
        <v>E</v>
      </c>
      <c r="F12616" t="str">
        <f t="shared" si="414"/>
        <v>4E</v>
      </c>
    </row>
    <row r="12617" spans="1:6" x14ac:dyDescent="0.2">
      <c r="A12617">
        <v>5</v>
      </c>
      <c r="E12617" t="str">
        <f t="shared" si="413"/>
        <v>F</v>
      </c>
      <c r="F12617" t="str">
        <f t="shared" si="414"/>
        <v>5F</v>
      </c>
    </row>
    <row r="12618" spans="1:6" x14ac:dyDescent="0.2">
      <c r="A12618">
        <v>6</v>
      </c>
      <c r="E12618" t="str">
        <f t="shared" si="413"/>
        <v>G</v>
      </c>
      <c r="F12618" t="str">
        <f t="shared" si="414"/>
        <v>6G</v>
      </c>
    </row>
    <row r="12619" spans="1:6" x14ac:dyDescent="0.2">
      <c r="A12619">
        <v>7</v>
      </c>
      <c r="E12619" t="str">
        <f t="shared" si="413"/>
        <v>H</v>
      </c>
      <c r="F12619" t="str">
        <f t="shared" si="414"/>
        <v>7H</v>
      </c>
    </row>
    <row r="12620" spans="1:6" x14ac:dyDescent="0.2">
      <c r="A12620">
        <v>8</v>
      </c>
      <c r="E12620" t="str">
        <f t="shared" si="413"/>
        <v>I</v>
      </c>
      <c r="F12620" t="str">
        <f t="shared" si="414"/>
        <v>8I</v>
      </c>
    </row>
    <row r="12621" spans="1:6" x14ac:dyDescent="0.2">
      <c r="A12621">
        <v>9</v>
      </c>
      <c r="E12621" t="str">
        <f t="shared" si="413"/>
        <v>J</v>
      </c>
      <c r="F12621" t="str">
        <f t="shared" si="414"/>
        <v>9J</v>
      </c>
    </row>
    <row r="12622" spans="1:6" x14ac:dyDescent="0.2">
      <c r="A12622">
        <v>10</v>
      </c>
      <c r="E12622" t="str">
        <f t="shared" si="413"/>
        <v>K</v>
      </c>
      <c r="F12622" t="str">
        <f t="shared" si="414"/>
        <v>10K</v>
      </c>
    </row>
    <row r="12623" spans="1:6" x14ac:dyDescent="0.2">
      <c r="A12623">
        <v>11</v>
      </c>
      <c r="E12623" t="str">
        <f t="shared" si="413"/>
        <v>L</v>
      </c>
      <c r="F12623" t="str">
        <f t="shared" si="414"/>
        <v>11L</v>
      </c>
    </row>
    <row r="12624" spans="1:6" x14ac:dyDescent="0.2">
      <c r="A12624">
        <v>12</v>
      </c>
      <c r="E12624" t="str">
        <f t="shared" si="413"/>
        <v>M</v>
      </c>
      <c r="F12624" t="str">
        <f t="shared" si="414"/>
        <v>12M</v>
      </c>
    </row>
    <row r="12625" spans="1:6" x14ac:dyDescent="0.2">
      <c r="A12625">
        <v>13</v>
      </c>
      <c r="E12625" t="str">
        <f t="shared" si="413"/>
        <v>N</v>
      </c>
      <c r="F12625" t="str">
        <f t="shared" si="414"/>
        <v>13N</v>
      </c>
    </row>
    <row r="12626" spans="1:6" x14ac:dyDescent="0.2">
      <c r="A12626">
        <v>14</v>
      </c>
      <c r="E12626" t="str">
        <f t="shared" si="413"/>
        <v>O</v>
      </c>
      <c r="F12626" t="str">
        <f t="shared" si="414"/>
        <v>14O</v>
      </c>
    </row>
    <row r="12627" spans="1:6" x14ac:dyDescent="0.2">
      <c r="A12627">
        <v>15</v>
      </c>
      <c r="E12627" t="str">
        <f t="shared" si="413"/>
        <v>P</v>
      </c>
      <c r="F12627" t="str">
        <f t="shared" si="414"/>
        <v>15P</v>
      </c>
    </row>
    <row r="12628" spans="1:6" x14ac:dyDescent="0.2">
      <c r="A12628">
        <v>16</v>
      </c>
      <c r="E12628" t="str">
        <f t="shared" si="413"/>
        <v>Q</v>
      </c>
      <c r="F12628" t="str">
        <f t="shared" si="414"/>
        <v>16Q</v>
      </c>
    </row>
    <row r="12629" spans="1:6" x14ac:dyDescent="0.2">
      <c r="A12629">
        <v>17</v>
      </c>
      <c r="E12629" t="str">
        <f t="shared" ref="E12629:E12692" si="415">E12603</f>
        <v>R</v>
      </c>
      <c r="F12629" t="str">
        <f t="shared" si="414"/>
        <v>17R</v>
      </c>
    </row>
    <row r="12630" spans="1:6" x14ac:dyDescent="0.2">
      <c r="A12630">
        <v>18</v>
      </c>
      <c r="E12630" t="str">
        <f t="shared" si="415"/>
        <v>S</v>
      </c>
      <c r="F12630" t="str">
        <f t="shared" si="414"/>
        <v>18S</v>
      </c>
    </row>
    <row r="12631" spans="1:6" x14ac:dyDescent="0.2">
      <c r="A12631">
        <v>19</v>
      </c>
      <c r="E12631" t="str">
        <f t="shared" si="415"/>
        <v>T</v>
      </c>
      <c r="F12631" t="str">
        <f t="shared" ref="F12631:F12694" si="416">A12631&amp;C12631&amp;E12631</f>
        <v>19T</v>
      </c>
    </row>
    <row r="12632" spans="1:6" x14ac:dyDescent="0.2">
      <c r="A12632">
        <v>20</v>
      </c>
      <c r="E12632" t="str">
        <f t="shared" si="415"/>
        <v>U</v>
      </c>
      <c r="F12632" t="str">
        <f t="shared" si="416"/>
        <v>20U</v>
      </c>
    </row>
    <row r="12633" spans="1:6" x14ac:dyDescent="0.2">
      <c r="A12633">
        <v>21</v>
      </c>
      <c r="E12633" t="str">
        <f t="shared" si="415"/>
        <v>V</v>
      </c>
      <c r="F12633" t="str">
        <f t="shared" si="416"/>
        <v>21V</v>
      </c>
    </row>
    <row r="12634" spans="1:6" x14ac:dyDescent="0.2">
      <c r="A12634">
        <v>22</v>
      </c>
      <c r="E12634" t="str">
        <f t="shared" si="415"/>
        <v>W</v>
      </c>
      <c r="F12634" t="str">
        <f t="shared" si="416"/>
        <v>22W</v>
      </c>
    </row>
    <row r="12635" spans="1:6" x14ac:dyDescent="0.2">
      <c r="A12635">
        <v>23</v>
      </c>
      <c r="E12635" t="str">
        <f t="shared" si="415"/>
        <v>X</v>
      </c>
      <c r="F12635" t="str">
        <f t="shared" si="416"/>
        <v>23X</v>
      </c>
    </row>
    <row r="12636" spans="1:6" x14ac:dyDescent="0.2">
      <c r="A12636">
        <v>24</v>
      </c>
      <c r="E12636" t="str">
        <f t="shared" si="415"/>
        <v>Y</v>
      </c>
      <c r="F12636" t="str">
        <f t="shared" si="416"/>
        <v>24Y</v>
      </c>
    </row>
    <row r="12637" spans="1:6" x14ac:dyDescent="0.2">
      <c r="A12637">
        <v>25</v>
      </c>
      <c r="E12637" t="str">
        <f t="shared" si="415"/>
        <v>Z</v>
      </c>
      <c r="F12637" t="str">
        <f t="shared" si="416"/>
        <v>25Z</v>
      </c>
    </row>
    <row r="12638" spans="1:6" x14ac:dyDescent="0.2">
      <c r="A12638">
        <v>0</v>
      </c>
      <c r="E12638" t="str">
        <f t="shared" si="415"/>
        <v>A</v>
      </c>
      <c r="F12638" t="str">
        <f t="shared" si="416"/>
        <v>0A</v>
      </c>
    </row>
    <row r="12639" spans="1:6" x14ac:dyDescent="0.2">
      <c r="A12639">
        <v>1</v>
      </c>
      <c r="E12639" t="str">
        <f t="shared" si="415"/>
        <v>B</v>
      </c>
      <c r="F12639" t="str">
        <f t="shared" si="416"/>
        <v>1B</v>
      </c>
    </row>
    <row r="12640" spans="1:6" x14ac:dyDescent="0.2">
      <c r="A12640">
        <v>2</v>
      </c>
      <c r="E12640" t="str">
        <f t="shared" si="415"/>
        <v>C</v>
      </c>
      <c r="F12640" t="str">
        <f t="shared" si="416"/>
        <v>2C</v>
      </c>
    </row>
    <row r="12641" spans="1:6" x14ac:dyDescent="0.2">
      <c r="A12641">
        <v>3</v>
      </c>
      <c r="E12641" t="str">
        <f t="shared" si="415"/>
        <v>D</v>
      </c>
      <c r="F12641" t="str">
        <f t="shared" si="416"/>
        <v>3D</v>
      </c>
    </row>
    <row r="12642" spans="1:6" x14ac:dyDescent="0.2">
      <c r="A12642">
        <v>4</v>
      </c>
      <c r="E12642" t="str">
        <f t="shared" si="415"/>
        <v>E</v>
      </c>
      <c r="F12642" t="str">
        <f t="shared" si="416"/>
        <v>4E</v>
      </c>
    </row>
    <row r="12643" spans="1:6" x14ac:dyDescent="0.2">
      <c r="A12643">
        <v>5</v>
      </c>
      <c r="E12643" t="str">
        <f t="shared" si="415"/>
        <v>F</v>
      </c>
      <c r="F12643" t="str">
        <f t="shared" si="416"/>
        <v>5F</v>
      </c>
    </row>
    <row r="12644" spans="1:6" x14ac:dyDescent="0.2">
      <c r="A12644">
        <v>6</v>
      </c>
      <c r="E12644" t="str">
        <f t="shared" si="415"/>
        <v>G</v>
      </c>
      <c r="F12644" t="str">
        <f t="shared" si="416"/>
        <v>6G</v>
      </c>
    </row>
    <row r="12645" spans="1:6" x14ac:dyDescent="0.2">
      <c r="A12645">
        <v>7</v>
      </c>
      <c r="E12645" t="str">
        <f t="shared" si="415"/>
        <v>H</v>
      </c>
      <c r="F12645" t="str">
        <f t="shared" si="416"/>
        <v>7H</v>
      </c>
    </row>
    <row r="12646" spans="1:6" x14ac:dyDescent="0.2">
      <c r="A12646">
        <v>8</v>
      </c>
      <c r="E12646" t="str">
        <f t="shared" si="415"/>
        <v>I</v>
      </c>
      <c r="F12646" t="str">
        <f t="shared" si="416"/>
        <v>8I</v>
      </c>
    </row>
    <row r="12647" spans="1:6" x14ac:dyDescent="0.2">
      <c r="A12647">
        <v>9</v>
      </c>
      <c r="E12647" t="str">
        <f t="shared" si="415"/>
        <v>J</v>
      </c>
      <c r="F12647" t="str">
        <f t="shared" si="416"/>
        <v>9J</v>
      </c>
    </row>
    <row r="12648" spans="1:6" x14ac:dyDescent="0.2">
      <c r="A12648">
        <v>10</v>
      </c>
      <c r="E12648" t="str">
        <f t="shared" si="415"/>
        <v>K</v>
      </c>
      <c r="F12648" t="str">
        <f t="shared" si="416"/>
        <v>10K</v>
      </c>
    </row>
    <row r="12649" spans="1:6" x14ac:dyDescent="0.2">
      <c r="A12649">
        <v>11</v>
      </c>
      <c r="E12649" t="str">
        <f t="shared" si="415"/>
        <v>L</v>
      </c>
      <c r="F12649" t="str">
        <f t="shared" si="416"/>
        <v>11L</v>
      </c>
    </row>
    <row r="12650" spans="1:6" x14ac:dyDescent="0.2">
      <c r="A12650">
        <v>12</v>
      </c>
      <c r="E12650" t="str">
        <f t="shared" si="415"/>
        <v>M</v>
      </c>
      <c r="F12650" t="str">
        <f t="shared" si="416"/>
        <v>12M</v>
      </c>
    </row>
    <row r="12651" spans="1:6" x14ac:dyDescent="0.2">
      <c r="A12651">
        <v>13</v>
      </c>
      <c r="E12651" t="str">
        <f t="shared" si="415"/>
        <v>N</v>
      </c>
      <c r="F12651" t="str">
        <f t="shared" si="416"/>
        <v>13N</v>
      </c>
    </row>
    <row r="12652" spans="1:6" x14ac:dyDescent="0.2">
      <c r="A12652">
        <v>14</v>
      </c>
      <c r="E12652" t="str">
        <f t="shared" si="415"/>
        <v>O</v>
      </c>
      <c r="F12652" t="str">
        <f t="shared" si="416"/>
        <v>14O</v>
      </c>
    </row>
    <row r="12653" spans="1:6" x14ac:dyDescent="0.2">
      <c r="A12653">
        <v>15</v>
      </c>
      <c r="E12653" t="str">
        <f t="shared" si="415"/>
        <v>P</v>
      </c>
      <c r="F12653" t="str">
        <f t="shared" si="416"/>
        <v>15P</v>
      </c>
    </row>
    <row r="12654" spans="1:6" x14ac:dyDescent="0.2">
      <c r="A12654">
        <v>16</v>
      </c>
      <c r="E12654" t="str">
        <f t="shared" si="415"/>
        <v>Q</v>
      </c>
      <c r="F12654" t="str">
        <f t="shared" si="416"/>
        <v>16Q</v>
      </c>
    </row>
    <row r="12655" spans="1:6" x14ac:dyDescent="0.2">
      <c r="A12655">
        <v>17</v>
      </c>
      <c r="E12655" t="str">
        <f t="shared" si="415"/>
        <v>R</v>
      </c>
      <c r="F12655" t="str">
        <f t="shared" si="416"/>
        <v>17R</v>
      </c>
    </row>
    <row r="12656" spans="1:6" x14ac:dyDescent="0.2">
      <c r="A12656">
        <v>18</v>
      </c>
      <c r="E12656" t="str">
        <f t="shared" si="415"/>
        <v>S</v>
      </c>
      <c r="F12656" t="str">
        <f t="shared" si="416"/>
        <v>18S</v>
      </c>
    </row>
    <row r="12657" spans="1:6" x14ac:dyDescent="0.2">
      <c r="A12657">
        <v>19</v>
      </c>
      <c r="E12657" t="str">
        <f t="shared" si="415"/>
        <v>T</v>
      </c>
      <c r="F12657" t="str">
        <f t="shared" si="416"/>
        <v>19T</v>
      </c>
    </row>
    <row r="12658" spans="1:6" x14ac:dyDescent="0.2">
      <c r="A12658">
        <v>20</v>
      </c>
      <c r="E12658" t="str">
        <f t="shared" si="415"/>
        <v>U</v>
      </c>
      <c r="F12658" t="str">
        <f t="shared" si="416"/>
        <v>20U</v>
      </c>
    </row>
    <row r="12659" spans="1:6" x14ac:dyDescent="0.2">
      <c r="A12659">
        <v>21</v>
      </c>
      <c r="E12659" t="str">
        <f t="shared" si="415"/>
        <v>V</v>
      </c>
      <c r="F12659" t="str">
        <f t="shared" si="416"/>
        <v>21V</v>
      </c>
    </row>
    <row r="12660" spans="1:6" x14ac:dyDescent="0.2">
      <c r="A12660">
        <v>22</v>
      </c>
      <c r="E12660" t="str">
        <f t="shared" si="415"/>
        <v>W</v>
      </c>
      <c r="F12660" t="str">
        <f t="shared" si="416"/>
        <v>22W</v>
      </c>
    </row>
    <row r="12661" spans="1:6" x14ac:dyDescent="0.2">
      <c r="A12661">
        <v>23</v>
      </c>
      <c r="E12661" t="str">
        <f t="shared" si="415"/>
        <v>X</v>
      </c>
      <c r="F12661" t="str">
        <f t="shared" si="416"/>
        <v>23X</v>
      </c>
    </row>
    <row r="12662" spans="1:6" x14ac:dyDescent="0.2">
      <c r="A12662">
        <v>24</v>
      </c>
      <c r="E12662" t="str">
        <f t="shared" si="415"/>
        <v>Y</v>
      </c>
      <c r="F12662" t="str">
        <f t="shared" si="416"/>
        <v>24Y</v>
      </c>
    </row>
    <row r="12663" spans="1:6" x14ac:dyDescent="0.2">
      <c r="A12663">
        <v>25</v>
      </c>
      <c r="E12663" t="str">
        <f t="shared" si="415"/>
        <v>Z</v>
      </c>
      <c r="F12663" t="str">
        <f t="shared" si="416"/>
        <v>25Z</v>
      </c>
    </row>
    <row r="12664" spans="1:6" x14ac:dyDescent="0.2">
      <c r="A12664">
        <v>0</v>
      </c>
      <c r="E12664" t="str">
        <f t="shared" si="415"/>
        <v>A</v>
      </c>
      <c r="F12664" t="str">
        <f t="shared" si="416"/>
        <v>0A</v>
      </c>
    </row>
    <row r="12665" spans="1:6" x14ac:dyDescent="0.2">
      <c r="A12665">
        <v>1</v>
      </c>
      <c r="E12665" t="str">
        <f t="shared" si="415"/>
        <v>B</v>
      </c>
      <c r="F12665" t="str">
        <f t="shared" si="416"/>
        <v>1B</v>
      </c>
    </row>
    <row r="12666" spans="1:6" x14ac:dyDescent="0.2">
      <c r="A12666">
        <v>2</v>
      </c>
      <c r="E12666" t="str">
        <f t="shared" si="415"/>
        <v>C</v>
      </c>
      <c r="F12666" t="str">
        <f t="shared" si="416"/>
        <v>2C</v>
      </c>
    </row>
    <row r="12667" spans="1:6" x14ac:dyDescent="0.2">
      <c r="A12667">
        <v>3</v>
      </c>
      <c r="E12667" t="str">
        <f t="shared" si="415"/>
        <v>D</v>
      </c>
      <c r="F12667" t="str">
        <f t="shared" si="416"/>
        <v>3D</v>
      </c>
    </row>
    <row r="12668" spans="1:6" x14ac:dyDescent="0.2">
      <c r="A12668">
        <v>4</v>
      </c>
      <c r="E12668" t="str">
        <f t="shared" si="415"/>
        <v>E</v>
      </c>
      <c r="F12668" t="str">
        <f t="shared" si="416"/>
        <v>4E</v>
      </c>
    </row>
    <row r="12669" spans="1:6" x14ac:dyDescent="0.2">
      <c r="A12669">
        <v>5</v>
      </c>
      <c r="E12669" t="str">
        <f t="shared" si="415"/>
        <v>F</v>
      </c>
      <c r="F12669" t="str">
        <f t="shared" si="416"/>
        <v>5F</v>
      </c>
    </row>
    <row r="12670" spans="1:6" x14ac:dyDescent="0.2">
      <c r="A12670">
        <v>6</v>
      </c>
      <c r="E12670" t="str">
        <f t="shared" si="415"/>
        <v>G</v>
      </c>
      <c r="F12670" t="str">
        <f t="shared" si="416"/>
        <v>6G</v>
      </c>
    </row>
    <row r="12671" spans="1:6" x14ac:dyDescent="0.2">
      <c r="A12671">
        <v>7</v>
      </c>
      <c r="E12671" t="str">
        <f t="shared" si="415"/>
        <v>H</v>
      </c>
      <c r="F12671" t="str">
        <f t="shared" si="416"/>
        <v>7H</v>
      </c>
    </row>
    <row r="12672" spans="1:6" x14ac:dyDescent="0.2">
      <c r="A12672">
        <v>8</v>
      </c>
      <c r="E12672" t="str">
        <f t="shared" si="415"/>
        <v>I</v>
      </c>
      <c r="F12672" t="str">
        <f t="shared" si="416"/>
        <v>8I</v>
      </c>
    </row>
    <row r="12673" spans="1:6" x14ac:dyDescent="0.2">
      <c r="A12673">
        <v>9</v>
      </c>
      <c r="E12673" t="str">
        <f t="shared" si="415"/>
        <v>J</v>
      </c>
      <c r="F12673" t="str">
        <f t="shared" si="416"/>
        <v>9J</v>
      </c>
    </row>
    <row r="12674" spans="1:6" x14ac:dyDescent="0.2">
      <c r="A12674">
        <v>10</v>
      </c>
      <c r="E12674" t="str">
        <f t="shared" si="415"/>
        <v>K</v>
      </c>
      <c r="F12674" t="str">
        <f t="shared" si="416"/>
        <v>10K</v>
      </c>
    </row>
    <row r="12675" spans="1:6" x14ac:dyDescent="0.2">
      <c r="A12675">
        <v>11</v>
      </c>
      <c r="E12675" t="str">
        <f t="shared" si="415"/>
        <v>L</v>
      </c>
      <c r="F12675" t="str">
        <f t="shared" si="416"/>
        <v>11L</v>
      </c>
    </row>
    <row r="12676" spans="1:6" x14ac:dyDescent="0.2">
      <c r="A12676">
        <v>12</v>
      </c>
      <c r="E12676" t="str">
        <f t="shared" si="415"/>
        <v>M</v>
      </c>
      <c r="F12676" t="str">
        <f t="shared" si="416"/>
        <v>12M</v>
      </c>
    </row>
    <row r="12677" spans="1:6" x14ac:dyDescent="0.2">
      <c r="A12677">
        <v>13</v>
      </c>
      <c r="E12677" t="str">
        <f t="shared" si="415"/>
        <v>N</v>
      </c>
      <c r="F12677" t="str">
        <f t="shared" si="416"/>
        <v>13N</v>
      </c>
    </row>
    <row r="12678" spans="1:6" x14ac:dyDescent="0.2">
      <c r="A12678">
        <v>14</v>
      </c>
      <c r="E12678" t="str">
        <f t="shared" si="415"/>
        <v>O</v>
      </c>
      <c r="F12678" t="str">
        <f t="shared" si="416"/>
        <v>14O</v>
      </c>
    </row>
    <row r="12679" spans="1:6" x14ac:dyDescent="0.2">
      <c r="A12679">
        <v>15</v>
      </c>
      <c r="E12679" t="str">
        <f t="shared" si="415"/>
        <v>P</v>
      </c>
      <c r="F12679" t="str">
        <f t="shared" si="416"/>
        <v>15P</v>
      </c>
    </row>
    <row r="12680" spans="1:6" x14ac:dyDescent="0.2">
      <c r="A12680">
        <v>16</v>
      </c>
      <c r="E12680" t="str">
        <f t="shared" si="415"/>
        <v>Q</v>
      </c>
      <c r="F12680" t="str">
        <f t="shared" si="416"/>
        <v>16Q</v>
      </c>
    </row>
    <row r="12681" spans="1:6" x14ac:dyDescent="0.2">
      <c r="A12681">
        <v>17</v>
      </c>
      <c r="E12681" t="str">
        <f t="shared" si="415"/>
        <v>R</v>
      </c>
      <c r="F12681" t="str">
        <f t="shared" si="416"/>
        <v>17R</v>
      </c>
    </row>
    <row r="12682" spans="1:6" x14ac:dyDescent="0.2">
      <c r="A12682">
        <v>18</v>
      </c>
      <c r="E12682" t="str">
        <f t="shared" si="415"/>
        <v>S</v>
      </c>
      <c r="F12682" t="str">
        <f t="shared" si="416"/>
        <v>18S</v>
      </c>
    </row>
    <row r="12683" spans="1:6" x14ac:dyDescent="0.2">
      <c r="A12683">
        <v>19</v>
      </c>
      <c r="E12683" t="str">
        <f t="shared" si="415"/>
        <v>T</v>
      </c>
      <c r="F12683" t="str">
        <f t="shared" si="416"/>
        <v>19T</v>
      </c>
    </row>
    <row r="12684" spans="1:6" x14ac:dyDescent="0.2">
      <c r="A12684">
        <v>20</v>
      </c>
      <c r="E12684" t="str">
        <f t="shared" si="415"/>
        <v>U</v>
      </c>
      <c r="F12684" t="str">
        <f t="shared" si="416"/>
        <v>20U</v>
      </c>
    </row>
    <row r="12685" spans="1:6" x14ac:dyDescent="0.2">
      <c r="A12685">
        <v>21</v>
      </c>
      <c r="E12685" t="str">
        <f t="shared" si="415"/>
        <v>V</v>
      </c>
      <c r="F12685" t="str">
        <f t="shared" si="416"/>
        <v>21V</v>
      </c>
    </row>
    <row r="12686" spans="1:6" x14ac:dyDescent="0.2">
      <c r="A12686">
        <v>22</v>
      </c>
      <c r="E12686" t="str">
        <f t="shared" si="415"/>
        <v>W</v>
      </c>
      <c r="F12686" t="str">
        <f t="shared" si="416"/>
        <v>22W</v>
      </c>
    </row>
    <row r="12687" spans="1:6" x14ac:dyDescent="0.2">
      <c r="A12687">
        <v>23</v>
      </c>
      <c r="E12687" t="str">
        <f t="shared" si="415"/>
        <v>X</v>
      </c>
      <c r="F12687" t="str">
        <f t="shared" si="416"/>
        <v>23X</v>
      </c>
    </row>
    <row r="12688" spans="1:6" x14ac:dyDescent="0.2">
      <c r="A12688">
        <v>24</v>
      </c>
      <c r="E12688" t="str">
        <f t="shared" si="415"/>
        <v>Y</v>
      </c>
      <c r="F12688" t="str">
        <f t="shared" si="416"/>
        <v>24Y</v>
      </c>
    </row>
    <row r="12689" spans="1:6" x14ac:dyDescent="0.2">
      <c r="A12689">
        <v>25</v>
      </c>
      <c r="E12689" t="str">
        <f t="shared" si="415"/>
        <v>Z</v>
      </c>
      <c r="F12689" t="str">
        <f t="shared" si="416"/>
        <v>25Z</v>
      </c>
    </row>
    <row r="12690" spans="1:6" x14ac:dyDescent="0.2">
      <c r="A12690">
        <v>0</v>
      </c>
      <c r="E12690" t="str">
        <f t="shared" si="415"/>
        <v>A</v>
      </c>
      <c r="F12690" t="str">
        <f t="shared" si="416"/>
        <v>0A</v>
      </c>
    </row>
    <row r="12691" spans="1:6" x14ac:dyDescent="0.2">
      <c r="A12691">
        <v>1</v>
      </c>
      <c r="E12691" t="str">
        <f t="shared" si="415"/>
        <v>B</v>
      </c>
      <c r="F12691" t="str">
        <f t="shared" si="416"/>
        <v>1B</v>
      </c>
    </row>
    <row r="12692" spans="1:6" x14ac:dyDescent="0.2">
      <c r="A12692">
        <v>2</v>
      </c>
      <c r="E12692" t="str">
        <f t="shared" si="415"/>
        <v>C</v>
      </c>
      <c r="F12692" t="str">
        <f t="shared" si="416"/>
        <v>2C</v>
      </c>
    </row>
    <row r="12693" spans="1:6" x14ac:dyDescent="0.2">
      <c r="A12693">
        <v>3</v>
      </c>
      <c r="E12693" t="str">
        <f t="shared" ref="E12693:E12756" si="417">E12667</f>
        <v>D</v>
      </c>
      <c r="F12693" t="str">
        <f t="shared" si="416"/>
        <v>3D</v>
      </c>
    </row>
    <row r="12694" spans="1:6" x14ac:dyDescent="0.2">
      <c r="A12694">
        <v>4</v>
      </c>
      <c r="E12694" t="str">
        <f t="shared" si="417"/>
        <v>E</v>
      </c>
      <c r="F12694" t="str">
        <f t="shared" si="416"/>
        <v>4E</v>
      </c>
    </row>
    <row r="12695" spans="1:6" x14ac:dyDescent="0.2">
      <c r="A12695">
        <v>5</v>
      </c>
      <c r="E12695" t="str">
        <f t="shared" si="417"/>
        <v>F</v>
      </c>
      <c r="F12695" t="str">
        <f t="shared" ref="F12695:F12758" si="418">A12695&amp;C12695&amp;E12695</f>
        <v>5F</v>
      </c>
    </row>
    <row r="12696" spans="1:6" x14ac:dyDescent="0.2">
      <c r="A12696">
        <v>6</v>
      </c>
      <c r="E12696" t="str">
        <f t="shared" si="417"/>
        <v>G</v>
      </c>
      <c r="F12696" t="str">
        <f t="shared" si="418"/>
        <v>6G</v>
      </c>
    </row>
    <row r="12697" spans="1:6" x14ac:dyDescent="0.2">
      <c r="A12697">
        <v>7</v>
      </c>
      <c r="E12697" t="str">
        <f t="shared" si="417"/>
        <v>H</v>
      </c>
      <c r="F12697" t="str">
        <f t="shared" si="418"/>
        <v>7H</v>
      </c>
    </row>
    <row r="12698" spans="1:6" x14ac:dyDescent="0.2">
      <c r="A12698">
        <v>8</v>
      </c>
      <c r="E12698" t="str">
        <f t="shared" si="417"/>
        <v>I</v>
      </c>
      <c r="F12698" t="str">
        <f t="shared" si="418"/>
        <v>8I</v>
      </c>
    </row>
    <row r="12699" spans="1:6" x14ac:dyDescent="0.2">
      <c r="A12699">
        <v>9</v>
      </c>
      <c r="E12699" t="str">
        <f t="shared" si="417"/>
        <v>J</v>
      </c>
      <c r="F12699" t="str">
        <f t="shared" si="418"/>
        <v>9J</v>
      </c>
    </row>
    <row r="12700" spans="1:6" x14ac:dyDescent="0.2">
      <c r="A12700">
        <v>10</v>
      </c>
      <c r="E12700" t="str">
        <f t="shared" si="417"/>
        <v>K</v>
      </c>
      <c r="F12700" t="str">
        <f t="shared" si="418"/>
        <v>10K</v>
      </c>
    </row>
    <row r="12701" spans="1:6" x14ac:dyDescent="0.2">
      <c r="A12701">
        <v>11</v>
      </c>
      <c r="E12701" t="str">
        <f t="shared" si="417"/>
        <v>L</v>
      </c>
      <c r="F12701" t="str">
        <f t="shared" si="418"/>
        <v>11L</v>
      </c>
    </row>
    <row r="12702" spans="1:6" x14ac:dyDescent="0.2">
      <c r="A12702">
        <v>12</v>
      </c>
      <c r="E12702" t="str">
        <f t="shared" si="417"/>
        <v>M</v>
      </c>
      <c r="F12702" t="str">
        <f t="shared" si="418"/>
        <v>12M</v>
      </c>
    </row>
    <row r="12703" spans="1:6" x14ac:dyDescent="0.2">
      <c r="A12703">
        <v>13</v>
      </c>
      <c r="E12703" t="str">
        <f t="shared" si="417"/>
        <v>N</v>
      </c>
      <c r="F12703" t="str">
        <f t="shared" si="418"/>
        <v>13N</v>
      </c>
    </row>
    <row r="12704" spans="1:6" x14ac:dyDescent="0.2">
      <c r="A12704">
        <v>14</v>
      </c>
      <c r="E12704" t="str">
        <f t="shared" si="417"/>
        <v>O</v>
      </c>
      <c r="F12704" t="str">
        <f t="shared" si="418"/>
        <v>14O</v>
      </c>
    </row>
    <row r="12705" spans="1:6" x14ac:dyDescent="0.2">
      <c r="A12705">
        <v>15</v>
      </c>
      <c r="E12705" t="str">
        <f t="shared" si="417"/>
        <v>P</v>
      </c>
      <c r="F12705" t="str">
        <f t="shared" si="418"/>
        <v>15P</v>
      </c>
    </row>
    <row r="12706" spans="1:6" x14ac:dyDescent="0.2">
      <c r="A12706">
        <v>16</v>
      </c>
      <c r="E12706" t="str">
        <f t="shared" si="417"/>
        <v>Q</v>
      </c>
      <c r="F12706" t="str">
        <f t="shared" si="418"/>
        <v>16Q</v>
      </c>
    </row>
    <row r="12707" spans="1:6" x14ac:dyDescent="0.2">
      <c r="A12707">
        <v>17</v>
      </c>
      <c r="E12707" t="str">
        <f t="shared" si="417"/>
        <v>R</v>
      </c>
      <c r="F12707" t="str">
        <f t="shared" si="418"/>
        <v>17R</v>
      </c>
    </row>
    <row r="12708" spans="1:6" x14ac:dyDescent="0.2">
      <c r="A12708">
        <v>18</v>
      </c>
      <c r="E12708" t="str">
        <f t="shared" si="417"/>
        <v>S</v>
      </c>
      <c r="F12708" t="str">
        <f t="shared" si="418"/>
        <v>18S</v>
      </c>
    </row>
    <row r="12709" spans="1:6" x14ac:dyDescent="0.2">
      <c r="A12709">
        <v>19</v>
      </c>
      <c r="E12709" t="str">
        <f t="shared" si="417"/>
        <v>T</v>
      </c>
      <c r="F12709" t="str">
        <f t="shared" si="418"/>
        <v>19T</v>
      </c>
    </row>
    <row r="12710" spans="1:6" x14ac:dyDescent="0.2">
      <c r="A12710">
        <v>20</v>
      </c>
      <c r="E12710" t="str">
        <f t="shared" si="417"/>
        <v>U</v>
      </c>
      <c r="F12710" t="str">
        <f t="shared" si="418"/>
        <v>20U</v>
      </c>
    </row>
    <row r="12711" spans="1:6" x14ac:dyDescent="0.2">
      <c r="A12711">
        <v>21</v>
      </c>
      <c r="E12711" t="str">
        <f t="shared" si="417"/>
        <v>V</v>
      </c>
      <c r="F12711" t="str">
        <f t="shared" si="418"/>
        <v>21V</v>
      </c>
    </row>
    <row r="12712" spans="1:6" x14ac:dyDescent="0.2">
      <c r="A12712">
        <v>22</v>
      </c>
      <c r="E12712" t="str">
        <f t="shared" si="417"/>
        <v>W</v>
      </c>
      <c r="F12712" t="str">
        <f t="shared" si="418"/>
        <v>22W</v>
      </c>
    </row>
    <row r="12713" spans="1:6" x14ac:dyDescent="0.2">
      <c r="A12713">
        <v>23</v>
      </c>
      <c r="E12713" t="str">
        <f t="shared" si="417"/>
        <v>X</v>
      </c>
      <c r="F12713" t="str">
        <f t="shared" si="418"/>
        <v>23X</v>
      </c>
    </row>
    <row r="12714" spans="1:6" x14ac:dyDescent="0.2">
      <c r="A12714">
        <v>24</v>
      </c>
      <c r="E12714" t="str">
        <f t="shared" si="417"/>
        <v>Y</v>
      </c>
      <c r="F12714" t="str">
        <f t="shared" si="418"/>
        <v>24Y</v>
      </c>
    </row>
    <row r="12715" spans="1:6" x14ac:dyDescent="0.2">
      <c r="A12715">
        <v>25</v>
      </c>
      <c r="E12715" t="str">
        <f t="shared" si="417"/>
        <v>Z</v>
      </c>
      <c r="F12715" t="str">
        <f t="shared" si="418"/>
        <v>25Z</v>
      </c>
    </row>
    <row r="12716" spans="1:6" x14ac:dyDescent="0.2">
      <c r="A12716">
        <v>0</v>
      </c>
      <c r="E12716" t="str">
        <f t="shared" si="417"/>
        <v>A</v>
      </c>
      <c r="F12716" t="str">
        <f t="shared" si="418"/>
        <v>0A</v>
      </c>
    </row>
    <row r="12717" spans="1:6" x14ac:dyDescent="0.2">
      <c r="A12717">
        <v>1</v>
      </c>
      <c r="E12717" t="str">
        <f t="shared" si="417"/>
        <v>B</v>
      </c>
      <c r="F12717" t="str">
        <f t="shared" si="418"/>
        <v>1B</v>
      </c>
    </row>
    <row r="12718" spans="1:6" x14ac:dyDescent="0.2">
      <c r="A12718">
        <v>2</v>
      </c>
      <c r="E12718" t="str">
        <f t="shared" si="417"/>
        <v>C</v>
      </c>
      <c r="F12718" t="str">
        <f t="shared" si="418"/>
        <v>2C</v>
      </c>
    </row>
    <row r="12719" spans="1:6" x14ac:dyDescent="0.2">
      <c r="A12719">
        <v>3</v>
      </c>
      <c r="E12719" t="str">
        <f t="shared" si="417"/>
        <v>D</v>
      </c>
      <c r="F12719" t="str">
        <f t="shared" si="418"/>
        <v>3D</v>
      </c>
    </row>
    <row r="12720" spans="1:6" x14ac:dyDescent="0.2">
      <c r="A12720">
        <v>4</v>
      </c>
      <c r="E12720" t="str">
        <f t="shared" si="417"/>
        <v>E</v>
      </c>
      <c r="F12720" t="str">
        <f t="shared" si="418"/>
        <v>4E</v>
      </c>
    </row>
    <row r="12721" spans="1:6" x14ac:dyDescent="0.2">
      <c r="A12721">
        <v>5</v>
      </c>
      <c r="E12721" t="str">
        <f t="shared" si="417"/>
        <v>F</v>
      </c>
      <c r="F12721" t="str">
        <f t="shared" si="418"/>
        <v>5F</v>
      </c>
    </row>
    <row r="12722" spans="1:6" x14ac:dyDescent="0.2">
      <c r="A12722">
        <v>6</v>
      </c>
      <c r="E12722" t="str">
        <f t="shared" si="417"/>
        <v>G</v>
      </c>
      <c r="F12722" t="str">
        <f t="shared" si="418"/>
        <v>6G</v>
      </c>
    </row>
    <row r="12723" spans="1:6" x14ac:dyDescent="0.2">
      <c r="A12723">
        <v>7</v>
      </c>
      <c r="E12723" t="str">
        <f t="shared" si="417"/>
        <v>H</v>
      </c>
      <c r="F12723" t="str">
        <f t="shared" si="418"/>
        <v>7H</v>
      </c>
    </row>
    <row r="12724" spans="1:6" x14ac:dyDescent="0.2">
      <c r="A12724">
        <v>8</v>
      </c>
      <c r="E12724" t="str">
        <f t="shared" si="417"/>
        <v>I</v>
      </c>
      <c r="F12724" t="str">
        <f t="shared" si="418"/>
        <v>8I</v>
      </c>
    </row>
    <row r="12725" spans="1:6" x14ac:dyDescent="0.2">
      <c r="A12725">
        <v>9</v>
      </c>
      <c r="E12725" t="str">
        <f t="shared" si="417"/>
        <v>J</v>
      </c>
      <c r="F12725" t="str">
        <f t="shared" si="418"/>
        <v>9J</v>
      </c>
    </row>
    <row r="12726" spans="1:6" x14ac:dyDescent="0.2">
      <c r="A12726">
        <v>10</v>
      </c>
      <c r="E12726" t="str">
        <f t="shared" si="417"/>
        <v>K</v>
      </c>
      <c r="F12726" t="str">
        <f t="shared" si="418"/>
        <v>10K</v>
      </c>
    </row>
    <row r="12727" spans="1:6" x14ac:dyDescent="0.2">
      <c r="A12727">
        <v>11</v>
      </c>
      <c r="E12727" t="str">
        <f t="shared" si="417"/>
        <v>L</v>
      </c>
      <c r="F12727" t="str">
        <f t="shared" si="418"/>
        <v>11L</v>
      </c>
    </row>
    <row r="12728" spans="1:6" x14ac:dyDescent="0.2">
      <c r="A12728">
        <v>12</v>
      </c>
      <c r="E12728" t="str">
        <f t="shared" si="417"/>
        <v>M</v>
      </c>
      <c r="F12728" t="str">
        <f t="shared" si="418"/>
        <v>12M</v>
      </c>
    </row>
    <row r="12729" spans="1:6" x14ac:dyDescent="0.2">
      <c r="A12729">
        <v>13</v>
      </c>
      <c r="E12729" t="str">
        <f t="shared" si="417"/>
        <v>N</v>
      </c>
      <c r="F12729" t="str">
        <f t="shared" si="418"/>
        <v>13N</v>
      </c>
    </row>
    <row r="12730" spans="1:6" x14ac:dyDescent="0.2">
      <c r="A12730">
        <v>14</v>
      </c>
      <c r="E12730" t="str">
        <f t="shared" si="417"/>
        <v>O</v>
      </c>
      <c r="F12730" t="str">
        <f t="shared" si="418"/>
        <v>14O</v>
      </c>
    </row>
    <row r="12731" spans="1:6" x14ac:dyDescent="0.2">
      <c r="A12731">
        <v>15</v>
      </c>
      <c r="E12731" t="str">
        <f t="shared" si="417"/>
        <v>P</v>
      </c>
      <c r="F12731" t="str">
        <f t="shared" si="418"/>
        <v>15P</v>
      </c>
    </row>
    <row r="12732" spans="1:6" x14ac:dyDescent="0.2">
      <c r="A12732">
        <v>16</v>
      </c>
      <c r="E12732" t="str">
        <f t="shared" si="417"/>
        <v>Q</v>
      </c>
      <c r="F12732" t="str">
        <f t="shared" si="418"/>
        <v>16Q</v>
      </c>
    </row>
    <row r="12733" spans="1:6" x14ac:dyDescent="0.2">
      <c r="A12733">
        <v>17</v>
      </c>
      <c r="E12733" t="str">
        <f t="shared" si="417"/>
        <v>R</v>
      </c>
      <c r="F12733" t="str">
        <f t="shared" si="418"/>
        <v>17R</v>
      </c>
    </row>
    <row r="12734" spans="1:6" x14ac:dyDescent="0.2">
      <c r="A12734">
        <v>18</v>
      </c>
      <c r="E12734" t="str">
        <f t="shared" si="417"/>
        <v>S</v>
      </c>
      <c r="F12734" t="str">
        <f t="shared" si="418"/>
        <v>18S</v>
      </c>
    </row>
    <row r="12735" spans="1:6" x14ac:dyDescent="0.2">
      <c r="A12735">
        <v>19</v>
      </c>
      <c r="E12735" t="str">
        <f t="shared" si="417"/>
        <v>T</v>
      </c>
      <c r="F12735" t="str">
        <f t="shared" si="418"/>
        <v>19T</v>
      </c>
    </row>
    <row r="12736" spans="1:6" x14ac:dyDescent="0.2">
      <c r="A12736">
        <v>20</v>
      </c>
      <c r="E12736" t="str">
        <f t="shared" si="417"/>
        <v>U</v>
      </c>
      <c r="F12736" t="str">
        <f t="shared" si="418"/>
        <v>20U</v>
      </c>
    </row>
    <row r="12737" spans="1:6" x14ac:dyDescent="0.2">
      <c r="A12737">
        <v>21</v>
      </c>
      <c r="E12737" t="str">
        <f t="shared" si="417"/>
        <v>V</v>
      </c>
      <c r="F12737" t="str">
        <f t="shared" si="418"/>
        <v>21V</v>
      </c>
    </row>
    <row r="12738" spans="1:6" x14ac:dyDescent="0.2">
      <c r="A12738">
        <v>22</v>
      </c>
      <c r="E12738" t="str">
        <f t="shared" si="417"/>
        <v>W</v>
      </c>
      <c r="F12738" t="str">
        <f t="shared" si="418"/>
        <v>22W</v>
      </c>
    </row>
    <row r="12739" spans="1:6" x14ac:dyDescent="0.2">
      <c r="A12739">
        <v>23</v>
      </c>
      <c r="E12739" t="str">
        <f t="shared" si="417"/>
        <v>X</v>
      </c>
      <c r="F12739" t="str">
        <f t="shared" si="418"/>
        <v>23X</v>
      </c>
    </row>
    <row r="12740" spans="1:6" x14ac:dyDescent="0.2">
      <c r="A12740">
        <v>24</v>
      </c>
      <c r="E12740" t="str">
        <f t="shared" si="417"/>
        <v>Y</v>
      </c>
      <c r="F12740" t="str">
        <f t="shared" si="418"/>
        <v>24Y</v>
      </c>
    </row>
    <row r="12741" spans="1:6" x14ac:dyDescent="0.2">
      <c r="A12741">
        <v>25</v>
      </c>
      <c r="E12741" t="str">
        <f t="shared" si="417"/>
        <v>Z</v>
      </c>
      <c r="F12741" t="str">
        <f t="shared" si="418"/>
        <v>25Z</v>
      </c>
    </row>
    <row r="12742" spans="1:6" x14ac:dyDescent="0.2">
      <c r="A12742">
        <v>0</v>
      </c>
      <c r="E12742" t="str">
        <f t="shared" si="417"/>
        <v>A</v>
      </c>
      <c r="F12742" t="str">
        <f t="shared" si="418"/>
        <v>0A</v>
      </c>
    </row>
    <row r="12743" spans="1:6" x14ac:dyDescent="0.2">
      <c r="A12743">
        <v>1</v>
      </c>
      <c r="E12743" t="str">
        <f t="shared" si="417"/>
        <v>B</v>
      </c>
      <c r="F12743" t="str">
        <f t="shared" si="418"/>
        <v>1B</v>
      </c>
    </row>
    <row r="12744" spans="1:6" x14ac:dyDescent="0.2">
      <c r="A12744">
        <v>2</v>
      </c>
      <c r="E12744" t="str">
        <f t="shared" si="417"/>
        <v>C</v>
      </c>
      <c r="F12744" t="str">
        <f t="shared" si="418"/>
        <v>2C</v>
      </c>
    </row>
    <row r="12745" spans="1:6" x14ac:dyDescent="0.2">
      <c r="A12745">
        <v>3</v>
      </c>
      <c r="E12745" t="str">
        <f t="shared" si="417"/>
        <v>D</v>
      </c>
      <c r="F12745" t="str">
        <f t="shared" si="418"/>
        <v>3D</v>
      </c>
    </row>
    <row r="12746" spans="1:6" x14ac:dyDescent="0.2">
      <c r="A12746">
        <v>4</v>
      </c>
      <c r="E12746" t="str">
        <f t="shared" si="417"/>
        <v>E</v>
      </c>
      <c r="F12746" t="str">
        <f t="shared" si="418"/>
        <v>4E</v>
      </c>
    </row>
    <row r="12747" spans="1:6" x14ac:dyDescent="0.2">
      <c r="A12747">
        <v>5</v>
      </c>
      <c r="E12747" t="str">
        <f t="shared" si="417"/>
        <v>F</v>
      </c>
      <c r="F12747" t="str">
        <f t="shared" si="418"/>
        <v>5F</v>
      </c>
    </row>
    <row r="12748" spans="1:6" x14ac:dyDescent="0.2">
      <c r="A12748">
        <v>6</v>
      </c>
      <c r="E12748" t="str">
        <f t="shared" si="417"/>
        <v>G</v>
      </c>
      <c r="F12748" t="str">
        <f t="shared" si="418"/>
        <v>6G</v>
      </c>
    </row>
    <row r="12749" spans="1:6" x14ac:dyDescent="0.2">
      <c r="A12749">
        <v>7</v>
      </c>
      <c r="E12749" t="str">
        <f t="shared" si="417"/>
        <v>H</v>
      </c>
      <c r="F12749" t="str">
        <f t="shared" si="418"/>
        <v>7H</v>
      </c>
    </row>
    <row r="12750" spans="1:6" x14ac:dyDescent="0.2">
      <c r="A12750">
        <v>8</v>
      </c>
      <c r="E12750" t="str">
        <f t="shared" si="417"/>
        <v>I</v>
      </c>
      <c r="F12750" t="str">
        <f t="shared" si="418"/>
        <v>8I</v>
      </c>
    </row>
    <row r="12751" spans="1:6" x14ac:dyDescent="0.2">
      <c r="A12751">
        <v>9</v>
      </c>
      <c r="E12751" t="str">
        <f t="shared" si="417"/>
        <v>J</v>
      </c>
      <c r="F12751" t="str">
        <f t="shared" si="418"/>
        <v>9J</v>
      </c>
    </row>
    <row r="12752" spans="1:6" x14ac:dyDescent="0.2">
      <c r="A12752">
        <v>10</v>
      </c>
      <c r="E12752" t="str">
        <f t="shared" si="417"/>
        <v>K</v>
      </c>
      <c r="F12752" t="str">
        <f t="shared" si="418"/>
        <v>10K</v>
      </c>
    </row>
    <row r="12753" spans="1:6" x14ac:dyDescent="0.2">
      <c r="A12753">
        <v>11</v>
      </c>
      <c r="E12753" t="str">
        <f t="shared" si="417"/>
        <v>L</v>
      </c>
      <c r="F12753" t="str">
        <f t="shared" si="418"/>
        <v>11L</v>
      </c>
    </row>
    <row r="12754" spans="1:6" x14ac:dyDescent="0.2">
      <c r="A12754">
        <v>12</v>
      </c>
      <c r="E12754" t="str">
        <f t="shared" si="417"/>
        <v>M</v>
      </c>
      <c r="F12754" t="str">
        <f t="shared" si="418"/>
        <v>12M</v>
      </c>
    </row>
    <row r="12755" spans="1:6" x14ac:dyDescent="0.2">
      <c r="A12755">
        <v>13</v>
      </c>
      <c r="E12755" t="str">
        <f t="shared" si="417"/>
        <v>N</v>
      </c>
      <c r="F12755" t="str">
        <f t="shared" si="418"/>
        <v>13N</v>
      </c>
    </row>
    <row r="12756" spans="1:6" x14ac:dyDescent="0.2">
      <c r="A12756">
        <v>14</v>
      </c>
      <c r="E12756" t="str">
        <f t="shared" si="417"/>
        <v>O</v>
      </c>
      <c r="F12756" t="str">
        <f t="shared" si="418"/>
        <v>14O</v>
      </c>
    </row>
    <row r="12757" spans="1:6" x14ac:dyDescent="0.2">
      <c r="A12757">
        <v>15</v>
      </c>
      <c r="E12757" t="str">
        <f t="shared" ref="E12757:E12820" si="419">E12731</f>
        <v>P</v>
      </c>
      <c r="F12757" t="str">
        <f t="shared" si="418"/>
        <v>15P</v>
      </c>
    </row>
    <row r="12758" spans="1:6" x14ac:dyDescent="0.2">
      <c r="A12758">
        <v>16</v>
      </c>
      <c r="E12758" t="str">
        <f t="shared" si="419"/>
        <v>Q</v>
      </c>
      <c r="F12758" t="str">
        <f t="shared" si="418"/>
        <v>16Q</v>
      </c>
    </row>
    <row r="12759" spans="1:6" x14ac:dyDescent="0.2">
      <c r="A12759">
        <v>17</v>
      </c>
      <c r="E12759" t="str">
        <f t="shared" si="419"/>
        <v>R</v>
      </c>
      <c r="F12759" t="str">
        <f t="shared" ref="F12759:F12822" si="420">A12759&amp;C12759&amp;E12759</f>
        <v>17R</v>
      </c>
    </row>
    <row r="12760" spans="1:6" x14ac:dyDescent="0.2">
      <c r="A12760">
        <v>18</v>
      </c>
      <c r="E12760" t="str">
        <f t="shared" si="419"/>
        <v>S</v>
      </c>
      <c r="F12760" t="str">
        <f t="shared" si="420"/>
        <v>18S</v>
      </c>
    </row>
    <row r="12761" spans="1:6" x14ac:dyDescent="0.2">
      <c r="A12761">
        <v>19</v>
      </c>
      <c r="E12761" t="str">
        <f t="shared" si="419"/>
        <v>T</v>
      </c>
      <c r="F12761" t="str">
        <f t="shared" si="420"/>
        <v>19T</v>
      </c>
    </row>
    <row r="12762" spans="1:6" x14ac:dyDescent="0.2">
      <c r="A12762">
        <v>20</v>
      </c>
      <c r="E12762" t="str">
        <f t="shared" si="419"/>
        <v>U</v>
      </c>
      <c r="F12762" t="str">
        <f t="shared" si="420"/>
        <v>20U</v>
      </c>
    </row>
    <row r="12763" spans="1:6" x14ac:dyDescent="0.2">
      <c r="A12763">
        <v>21</v>
      </c>
      <c r="E12763" t="str">
        <f t="shared" si="419"/>
        <v>V</v>
      </c>
      <c r="F12763" t="str">
        <f t="shared" si="420"/>
        <v>21V</v>
      </c>
    </row>
    <row r="12764" spans="1:6" x14ac:dyDescent="0.2">
      <c r="A12764">
        <v>22</v>
      </c>
      <c r="E12764" t="str">
        <f t="shared" si="419"/>
        <v>W</v>
      </c>
      <c r="F12764" t="str">
        <f t="shared" si="420"/>
        <v>22W</v>
      </c>
    </row>
    <row r="12765" spans="1:6" x14ac:dyDescent="0.2">
      <c r="A12765">
        <v>23</v>
      </c>
      <c r="E12765" t="str">
        <f t="shared" si="419"/>
        <v>X</v>
      </c>
      <c r="F12765" t="str">
        <f t="shared" si="420"/>
        <v>23X</v>
      </c>
    </row>
    <row r="12766" spans="1:6" x14ac:dyDescent="0.2">
      <c r="A12766">
        <v>24</v>
      </c>
      <c r="E12766" t="str">
        <f t="shared" si="419"/>
        <v>Y</v>
      </c>
      <c r="F12766" t="str">
        <f t="shared" si="420"/>
        <v>24Y</v>
      </c>
    </row>
    <row r="12767" spans="1:6" x14ac:dyDescent="0.2">
      <c r="A12767">
        <v>25</v>
      </c>
      <c r="E12767" t="str">
        <f t="shared" si="419"/>
        <v>Z</v>
      </c>
      <c r="F12767" t="str">
        <f t="shared" si="420"/>
        <v>25Z</v>
      </c>
    </row>
    <row r="12768" spans="1:6" x14ac:dyDescent="0.2">
      <c r="A12768">
        <v>0</v>
      </c>
      <c r="E12768" t="str">
        <f t="shared" si="419"/>
        <v>A</v>
      </c>
      <c r="F12768" t="str">
        <f t="shared" si="420"/>
        <v>0A</v>
      </c>
    </row>
    <row r="12769" spans="1:6" x14ac:dyDescent="0.2">
      <c r="A12769">
        <v>1</v>
      </c>
      <c r="E12769" t="str">
        <f t="shared" si="419"/>
        <v>B</v>
      </c>
      <c r="F12769" t="str">
        <f t="shared" si="420"/>
        <v>1B</v>
      </c>
    </row>
    <row r="12770" spans="1:6" x14ac:dyDescent="0.2">
      <c r="A12770">
        <v>2</v>
      </c>
      <c r="E12770" t="str">
        <f t="shared" si="419"/>
        <v>C</v>
      </c>
      <c r="F12770" t="str">
        <f t="shared" si="420"/>
        <v>2C</v>
      </c>
    </row>
    <row r="12771" spans="1:6" x14ac:dyDescent="0.2">
      <c r="A12771">
        <v>3</v>
      </c>
      <c r="E12771" t="str">
        <f t="shared" si="419"/>
        <v>D</v>
      </c>
      <c r="F12771" t="str">
        <f t="shared" si="420"/>
        <v>3D</v>
      </c>
    </row>
    <row r="12772" spans="1:6" x14ac:dyDescent="0.2">
      <c r="A12772">
        <v>4</v>
      </c>
      <c r="E12772" t="str">
        <f t="shared" si="419"/>
        <v>E</v>
      </c>
      <c r="F12772" t="str">
        <f t="shared" si="420"/>
        <v>4E</v>
      </c>
    </row>
    <row r="12773" spans="1:6" x14ac:dyDescent="0.2">
      <c r="A12773">
        <v>5</v>
      </c>
      <c r="E12773" t="str">
        <f t="shared" si="419"/>
        <v>F</v>
      </c>
      <c r="F12773" t="str">
        <f t="shared" si="420"/>
        <v>5F</v>
      </c>
    </row>
    <row r="12774" spans="1:6" x14ac:dyDescent="0.2">
      <c r="A12774">
        <v>6</v>
      </c>
      <c r="E12774" t="str">
        <f t="shared" si="419"/>
        <v>G</v>
      </c>
      <c r="F12774" t="str">
        <f t="shared" si="420"/>
        <v>6G</v>
      </c>
    </row>
    <row r="12775" spans="1:6" x14ac:dyDescent="0.2">
      <c r="A12775">
        <v>7</v>
      </c>
      <c r="E12775" t="str">
        <f t="shared" si="419"/>
        <v>H</v>
      </c>
      <c r="F12775" t="str">
        <f t="shared" si="420"/>
        <v>7H</v>
      </c>
    </row>
    <row r="12776" spans="1:6" x14ac:dyDescent="0.2">
      <c r="A12776">
        <v>8</v>
      </c>
      <c r="E12776" t="str">
        <f t="shared" si="419"/>
        <v>I</v>
      </c>
      <c r="F12776" t="str">
        <f t="shared" si="420"/>
        <v>8I</v>
      </c>
    </row>
    <row r="12777" spans="1:6" x14ac:dyDescent="0.2">
      <c r="A12777">
        <v>9</v>
      </c>
      <c r="E12777" t="str">
        <f t="shared" si="419"/>
        <v>J</v>
      </c>
      <c r="F12777" t="str">
        <f t="shared" si="420"/>
        <v>9J</v>
      </c>
    </row>
    <row r="12778" spans="1:6" x14ac:dyDescent="0.2">
      <c r="A12778">
        <v>10</v>
      </c>
      <c r="E12778" t="str">
        <f t="shared" si="419"/>
        <v>K</v>
      </c>
      <c r="F12778" t="str">
        <f t="shared" si="420"/>
        <v>10K</v>
      </c>
    </row>
    <row r="12779" spans="1:6" x14ac:dyDescent="0.2">
      <c r="A12779">
        <v>11</v>
      </c>
      <c r="E12779" t="str">
        <f t="shared" si="419"/>
        <v>L</v>
      </c>
      <c r="F12779" t="str">
        <f t="shared" si="420"/>
        <v>11L</v>
      </c>
    </row>
    <row r="12780" spans="1:6" x14ac:dyDescent="0.2">
      <c r="A12780">
        <v>12</v>
      </c>
      <c r="E12780" t="str">
        <f t="shared" si="419"/>
        <v>M</v>
      </c>
      <c r="F12780" t="str">
        <f t="shared" si="420"/>
        <v>12M</v>
      </c>
    </row>
    <row r="12781" spans="1:6" x14ac:dyDescent="0.2">
      <c r="A12781">
        <v>13</v>
      </c>
      <c r="E12781" t="str">
        <f t="shared" si="419"/>
        <v>N</v>
      </c>
      <c r="F12781" t="str">
        <f t="shared" si="420"/>
        <v>13N</v>
      </c>
    </row>
    <row r="12782" spans="1:6" x14ac:dyDescent="0.2">
      <c r="A12782">
        <v>14</v>
      </c>
      <c r="E12782" t="str">
        <f t="shared" si="419"/>
        <v>O</v>
      </c>
      <c r="F12782" t="str">
        <f t="shared" si="420"/>
        <v>14O</v>
      </c>
    </row>
    <row r="12783" spans="1:6" x14ac:dyDescent="0.2">
      <c r="A12783">
        <v>15</v>
      </c>
      <c r="E12783" t="str">
        <f t="shared" si="419"/>
        <v>P</v>
      </c>
      <c r="F12783" t="str">
        <f t="shared" si="420"/>
        <v>15P</v>
      </c>
    </row>
    <row r="12784" spans="1:6" x14ac:dyDescent="0.2">
      <c r="A12784">
        <v>16</v>
      </c>
      <c r="E12784" t="str">
        <f t="shared" si="419"/>
        <v>Q</v>
      </c>
      <c r="F12784" t="str">
        <f t="shared" si="420"/>
        <v>16Q</v>
      </c>
    </row>
    <row r="12785" spans="1:6" x14ac:dyDescent="0.2">
      <c r="A12785">
        <v>17</v>
      </c>
      <c r="E12785" t="str">
        <f t="shared" si="419"/>
        <v>R</v>
      </c>
      <c r="F12785" t="str">
        <f t="shared" si="420"/>
        <v>17R</v>
      </c>
    </row>
    <row r="12786" spans="1:6" x14ac:dyDescent="0.2">
      <c r="A12786">
        <v>18</v>
      </c>
      <c r="E12786" t="str">
        <f t="shared" si="419"/>
        <v>S</v>
      </c>
      <c r="F12786" t="str">
        <f t="shared" si="420"/>
        <v>18S</v>
      </c>
    </row>
    <row r="12787" spans="1:6" x14ac:dyDescent="0.2">
      <c r="A12787">
        <v>19</v>
      </c>
      <c r="E12787" t="str">
        <f t="shared" si="419"/>
        <v>T</v>
      </c>
      <c r="F12787" t="str">
        <f t="shared" si="420"/>
        <v>19T</v>
      </c>
    </row>
    <row r="12788" spans="1:6" x14ac:dyDescent="0.2">
      <c r="A12788">
        <v>20</v>
      </c>
      <c r="E12788" t="str">
        <f t="shared" si="419"/>
        <v>U</v>
      </c>
      <c r="F12788" t="str">
        <f t="shared" si="420"/>
        <v>20U</v>
      </c>
    </row>
    <row r="12789" spans="1:6" x14ac:dyDescent="0.2">
      <c r="A12789">
        <v>21</v>
      </c>
      <c r="E12789" t="str">
        <f t="shared" si="419"/>
        <v>V</v>
      </c>
      <c r="F12789" t="str">
        <f t="shared" si="420"/>
        <v>21V</v>
      </c>
    </row>
    <row r="12790" spans="1:6" x14ac:dyDescent="0.2">
      <c r="A12790">
        <v>22</v>
      </c>
      <c r="E12790" t="str">
        <f t="shared" si="419"/>
        <v>W</v>
      </c>
      <c r="F12790" t="str">
        <f t="shared" si="420"/>
        <v>22W</v>
      </c>
    </row>
    <row r="12791" spans="1:6" x14ac:dyDescent="0.2">
      <c r="A12791">
        <v>23</v>
      </c>
      <c r="E12791" t="str">
        <f t="shared" si="419"/>
        <v>X</v>
      </c>
      <c r="F12791" t="str">
        <f t="shared" si="420"/>
        <v>23X</v>
      </c>
    </row>
    <row r="12792" spans="1:6" x14ac:dyDescent="0.2">
      <c r="A12792">
        <v>24</v>
      </c>
      <c r="E12792" t="str">
        <f t="shared" si="419"/>
        <v>Y</v>
      </c>
      <c r="F12792" t="str">
        <f t="shared" si="420"/>
        <v>24Y</v>
      </c>
    </row>
    <row r="12793" spans="1:6" x14ac:dyDescent="0.2">
      <c r="A12793">
        <v>25</v>
      </c>
      <c r="E12793" t="str">
        <f t="shared" si="419"/>
        <v>Z</v>
      </c>
      <c r="F12793" t="str">
        <f t="shared" si="420"/>
        <v>25Z</v>
      </c>
    </row>
    <row r="12794" spans="1:6" x14ac:dyDescent="0.2">
      <c r="A12794">
        <v>0</v>
      </c>
      <c r="E12794" t="str">
        <f t="shared" si="419"/>
        <v>A</v>
      </c>
      <c r="F12794" t="str">
        <f t="shared" si="420"/>
        <v>0A</v>
      </c>
    </row>
    <row r="12795" spans="1:6" x14ac:dyDescent="0.2">
      <c r="A12795">
        <v>1</v>
      </c>
      <c r="E12795" t="str">
        <f t="shared" si="419"/>
        <v>B</v>
      </c>
      <c r="F12795" t="str">
        <f t="shared" si="420"/>
        <v>1B</v>
      </c>
    </row>
    <row r="12796" spans="1:6" x14ac:dyDescent="0.2">
      <c r="A12796">
        <v>2</v>
      </c>
      <c r="E12796" t="str">
        <f t="shared" si="419"/>
        <v>C</v>
      </c>
      <c r="F12796" t="str">
        <f t="shared" si="420"/>
        <v>2C</v>
      </c>
    </row>
    <row r="12797" spans="1:6" x14ac:dyDescent="0.2">
      <c r="A12797">
        <v>3</v>
      </c>
      <c r="E12797" t="str">
        <f t="shared" si="419"/>
        <v>D</v>
      </c>
      <c r="F12797" t="str">
        <f t="shared" si="420"/>
        <v>3D</v>
      </c>
    </row>
    <row r="12798" spans="1:6" x14ac:dyDescent="0.2">
      <c r="A12798">
        <v>4</v>
      </c>
      <c r="E12798" t="str">
        <f t="shared" si="419"/>
        <v>E</v>
      </c>
      <c r="F12798" t="str">
        <f t="shared" si="420"/>
        <v>4E</v>
      </c>
    </row>
    <row r="12799" spans="1:6" x14ac:dyDescent="0.2">
      <c r="A12799">
        <v>5</v>
      </c>
      <c r="E12799" t="str">
        <f t="shared" si="419"/>
        <v>F</v>
      </c>
      <c r="F12799" t="str">
        <f t="shared" si="420"/>
        <v>5F</v>
      </c>
    </row>
    <row r="12800" spans="1:6" x14ac:dyDescent="0.2">
      <c r="A12800">
        <v>6</v>
      </c>
      <c r="E12800" t="str">
        <f t="shared" si="419"/>
        <v>G</v>
      </c>
      <c r="F12800" t="str">
        <f t="shared" si="420"/>
        <v>6G</v>
      </c>
    </row>
    <row r="12801" spans="1:6" x14ac:dyDescent="0.2">
      <c r="A12801">
        <v>7</v>
      </c>
      <c r="E12801" t="str">
        <f t="shared" si="419"/>
        <v>H</v>
      </c>
      <c r="F12801" t="str">
        <f t="shared" si="420"/>
        <v>7H</v>
      </c>
    </row>
    <row r="12802" spans="1:6" x14ac:dyDescent="0.2">
      <c r="A12802">
        <v>8</v>
      </c>
      <c r="E12802" t="str">
        <f t="shared" si="419"/>
        <v>I</v>
      </c>
      <c r="F12802" t="str">
        <f t="shared" si="420"/>
        <v>8I</v>
      </c>
    </row>
    <row r="12803" spans="1:6" x14ac:dyDescent="0.2">
      <c r="A12803">
        <v>9</v>
      </c>
      <c r="E12803" t="str">
        <f t="shared" si="419"/>
        <v>J</v>
      </c>
      <c r="F12803" t="str">
        <f t="shared" si="420"/>
        <v>9J</v>
      </c>
    </row>
    <row r="12804" spans="1:6" x14ac:dyDescent="0.2">
      <c r="A12804">
        <v>10</v>
      </c>
      <c r="E12804" t="str">
        <f t="shared" si="419"/>
        <v>K</v>
      </c>
      <c r="F12804" t="str">
        <f t="shared" si="420"/>
        <v>10K</v>
      </c>
    </row>
    <row r="12805" spans="1:6" x14ac:dyDescent="0.2">
      <c r="A12805">
        <v>11</v>
      </c>
      <c r="E12805" t="str">
        <f t="shared" si="419"/>
        <v>L</v>
      </c>
      <c r="F12805" t="str">
        <f t="shared" si="420"/>
        <v>11L</v>
      </c>
    </row>
    <row r="12806" spans="1:6" x14ac:dyDescent="0.2">
      <c r="A12806">
        <v>12</v>
      </c>
      <c r="E12806" t="str">
        <f t="shared" si="419"/>
        <v>M</v>
      </c>
      <c r="F12806" t="str">
        <f t="shared" si="420"/>
        <v>12M</v>
      </c>
    </row>
    <row r="12807" spans="1:6" x14ac:dyDescent="0.2">
      <c r="A12807">
        <v>13</v>
      </c>
      <c r="E12807" t="str">
        <f t="shared" si="419"/>
        <v>N</v>
      </c>
      <c r="F12807" t="str">
        <f t="shared" si="420"/>
        <v>13N</v>
      </c>
    </row>
    <row r="12808" spans="1:6" x14ac:dyDescent="0.2">
      <c r="A12808">
        <v>14</v>
      </c>
      <c r="E12808" t="str">
        <f t="shared" si="419"/>
        <v>O</v>
      </c>
      <c r="F12808" t="str">
        <f t="shared" si="420"/>
        <v>14O</v>
      </c>
    </row>
    <row r="12809" spans="1:6" x14ac:dyDescent="0.2">
      <c r="A12809">
        <v>15</v>
      </c>
      <c r="E12809" t="str">
        <f t="shared" si="419"/>
        <v>P</v>
      </c>
      <c r="F12809" t="str">
        <f t="shared" si="420"/>
        <v>15P</v>
      </c>
    </row>
    <row r="12810" spans="1:6" x14ac:dyDescent="0.2">
      <c r="A12810">
        <v>16</v>
      </c>
      <c r="E12810" t="str">
        <f t="shared" si="419"/>
        <v>Q</v>
      </c>
      <c r="F12810" t="str">
        <f t="shared" si="420"/>
        <v>16Q</v>
      </c>
    </row>
    <row r="12811" spans="1:6" x14ac:dyDescent="0.2">
      <c r="A12811">
        <v>17</v>
      </c>
      <c r="E12811" t="str">
        <f t="shared" si="419"/>
        <v>R</v>
      </c>
      <c r="F12811" t="str">
        <f t="shared" si="420"/>
        <v>17R</v>
      </c>
    </row>
    <row r="12812" spans="1:6" x14ac:dyDescent="0.2">
      <c r="A12812">
        <v>18</v>
      </c>
      <c r="E12812" t="str">
        <f t="shared" si="419"/>
        <v>S</v>
      </c>
      <c r="F12812" t="str">
        <f t="shared" si="420"/>
        <v>18S</v>
      </c>
    </row>
    <row r="12813" spans="1:6" x14ac:dyDescent="0.2">
      <c r="A12813">
        <v>19</v>
      </c>
      <c r="E12813" t="str">
        <f t="shared" si="419"/>
        <v>T</v>
      </c>
      <c r="F12813" t="str">
        <f t="shared" si="420"/>
        <v>19T</v>
      </c>
    </row>
    <row r="12814" spans="1:6" x14ac:dyDescent="0.2">
      <c r="A12814">
        <v>20</v>
      </c>
      <c r="E12814" t="str">
        <f t="shared" si="419"/>
        <v>U</v>
      </c>
      <c r="F12814" t="str">
        <f t="shared" si="420"/>
        <v>20U</v>
      </c>
    </row>
    <row r="12815" spans="1:6" x14ac:dyDescent="0.2">
      <c r="A12815">
        <v>21</v>
      </c>
      <c r="E12815" t="str">
        <f t="shared" si="419"/>
        <v>V</v>
      </c>
      <c r="F12815" t="str">
        <f t="shared" si="420"/>
        <v>21V</v>
      </c>
    </row>
    <row r="12816" spans="1:6" x14ac:dyDescent="0.2">
      <c r="A12816">
        <v>22</v>
      </c>
      <c r="E12816" t="str">
        <f t="shared" si="419"/>
        <v>W</v>
      </c>
      <c r="F12816" t="str">
        <f t="shared" si="420"/>
        <v>22W</v>
      </c>
    </row>
    <row r="12817" spans="1:6" x14ac:dyDescent="0.2">
      <c r="A12817">
        <v>23</v>
      </c>
      <c r="E12817" t="str">
        <f t="shared" si="419"/>
        <v>X</v>
      </c>
      <c r="F12817" t="str">
        <f t="shared" si="420"/>
        <v>23X</v>
      </c>
    </row>
    <row r="12818" spans="1:6" x14ac:dyDescent="0.2">
      <c r="A12818">
        <v>24</v>
      </c>
      <c r="E12818" t="str">
        <f t="shared" si="419"/>
        <v>Y</v>
      </c>
      <c r="F12818" t="str">
        <f t="shared" si="420"/>
        <v>24Y</v>
      </c>
    </row>
    <row r="12819" spans="1:6" x14ac:dyDescent="0.2">
      <c r="A12819">
        <v>25</v>
      </c>
      <c r="E12819" t="str">
        <f t="shared" si="419"/>
        <v>Z</v>
      </c>
      <c r="F12819" t="str">
        <f t="shared" si="420"/>
        <v>25Z</v>
      </c>
    </row>
    <row r="12820" spans="1:6" x14ac:dyDescent="0.2">
      <c r="A12820">
        <v>0</v>
      </c>
      <c r="E12820" t="str">
        <f t="shared" si="419"/>
        <v>A</v>
      </c>
      <c r="F12820" t="str">
        <f t="shared" si="420"/>
        <v>0A</v>
      </c>
    </row>
    <row r="12821" spans="1:6" x14ac:dyDescent="0.2">
      <c r="A12821">
        <v>1</v>
      </c>
      <c r="E12821" t="str">
        <f t="shared" ref="E12821:E12884" si="421">E12795</f>
        <v>B</v>
      </c>
      <c r="F12821" t="str">
        <f t="shared" si="420"/>
        <v>1B</v>
      </c>
    </row>
    <row r="12822" spans="1:6" x14ac:dyDescent="0.2">
      <c r="A12822">
        <v>2</v>
      </c>
      <c r="E12822" t="str">
        <f t="shared" si="421"/>
        <v>C</v>
      </c>
      <c r="F12822" t="str">
        <f t="shared" si="420"/>
        <v>2C</v>
      </c>
    </row>
    <row r="12823" spans="1:6" x14ac:dyDescent="0.2">
      <c r="A12823">
        <v>3</v>
      </c>
      <c r="E12823" t="str">
        <f t="shared" si="421"/>
        <v>D</v>
      </c>
      <c r="F12823" t="str">
        <f t="shared" ref="F12823:F12886" si="422">A12823&amp;C12823&amp;E12823</f>
        <v>3D</v>
      </c>
    </row>
    <row r="12824" spans="1:6" x14ac:dyDescent="0.2">
      <c r="A12824">
        <v>4</v>
      </c>
      <c r="E12824" t="str">
        <f t="shared" si="421"/>
        <v>E</v>
      </c>
      <c r="F12824" t="str">
        <f t="shared" si="422"/>
        <v>4E</v>
      </c>
    </row>
    <row r="12825" spans="1:6" x14ac:dyDescent="0.2">
      <c r="A12825">
        <v>5</v>
      </c>
      <c r="E12825" t="str">
        <f t="shared" si="421"/>
        <v>F</v>
      </c>
      <c r="F12825" t="str">
        <f t="shared" si="422"/>
        <v>5F</v>
      </c>
    </row>
    <row r="12826" spans="1:6" x14ac:dyDescent="0.2">
      <c r="A12826">
        <v>6</v>
      </c>
      <c r="E12826" t="str">
        <f t="shared" si="421"/>
        <v>G</v>
      </c>
      <c r="F12826" t="str">
        <f t="shared" si="422"/>
        <v>6G</v>
      </c>
    </row>
    <row r="12827" spans="1:6" x14ac:dyDescent="0.2">
      <c r="A12827">
        <v>7</v>
      </c>
      <c r="E12827" t="str">
        <f t="shared" si="421"/>
        <v>H</v>
      </c>
      <c r="F12827" t="str">
        <f t="shared" si="422"/>
        <v>7H</v>
      </c>
    </row>
    <row r="12828" spans="1:6" x14ac:dyDescent="0.2">
      <c r="A12828">
        <v>8</v>
      </c>
      <c r="E12828" t="str">
        <f t="shared" si="421"/>
        <v>I</v>
      </c>
      <c r="F12828" t="str">
        <f t="shared" si="422"/>
        <v>8I</v>
      </c>
    </row>
    <row r="12829" spans="1:6" x14ac:dyDescent="0.2">
      <c r="A12829">
        <v>9</v>
      </c>
      <c r="E12829" t="str">
        <f t="shared" si="421"/>
        <v>J</v>
      </c>
      <c r="F12829" t="str">
        <f t="shared" si="422"/>
        <v>9J</v>
      </c>
    </row>
    <row r="12830" spans="1:6" x14ac:dyDescent="0.2">
      <c r="A12830">
        <v>10</v>
      </c>
      <c r="E12830" t="str">
        <f t="shared" si="421"/>
        <v>K</v>
      </c>
      <c r="F12830" t="str">
        <f t="shared" si="422"/>
        <v>10K</v>
      </c>
    </row>
    <row r="12831" spans="1:6" x14ac:dyDescent="0.2">
      <c r="A12831">
        <v>11</v>
      </c>
      <c r="E12831" t="str">
        <f t="shared" si="421"/>
        <v>L</v>
      </c>
      <c r="F12831" t="str">
        <f t="shared" si="422"/>
        <v>11L</v>
      </c>
    </row>
    <row r="12832" spans="1:6" x14ac:dyDescent="0.2">
      <c r="A12832">
        <v>12</v>
      </c>
      <c r="E12832" t="str">
        <f t="shared" si="421"/>
        <v>M</v>
      </c>
      <c r="F12832" t="str">
        <f t="shared" si="422"/>
        <v>12M</v>
      </c>
    </row>
    <row r="12833" spans="1:6" x14ac:dyDescent="0.2">
      <c r="A12833">
        <v>13</v>
      </c>
      <c r="E12833" t="str">
        <f t="shared" si="421"/>
        <v>N</v>
      </c>
      <c r="F12833" t="str">
        <f t="shared" si="422"/>
        <v>13N</v>
      </c>
    </row>
    <row r="12834" spans="1:6" x14ac:dyDescent="0.2">
      <c r="A12834">
        <v>14</v>
      </c>
      <c r="E12834" t="str">
        <f t="shared" si="421"/>
        <v>O</v>
      </c>
      <c r="F12834" t="str">
        <f t="shared" si="422"/>
        <v>14O</v>
      </c>
    </row>
    <row r="12835" spans="1:6" x14ac:dyDescent="0.2">
      <c r="A12835">
        <v>15</v>
      </c>
      <c r="E12835" t="str">
        <f t="shared" si="421"/>
        <v>P</v>
      </c>
      <c r="F12835" t="str">
        <f t="shared" si="422"/>
        <v>15P</v>
      </c>
    </row>
    <row r="12836" spans="1:6" x14ac:dyDescent="0.2">
      <c r="A12836">
        <v>16</v>
      </c>
      <c r="E12836" t="str">
        <f t="shared" si="421"/>
        <v>Q</v>
      </c>
      <c r="F12836" t="str">
        <f t="shared" si="422"/>
        <v>16Q</v>
      </c>
    </row>
    <row r="12837" spans="1:6" x14ac:dyDescent="0.2">
      <c r="A12837">
        <v>17</v>
      </c>
      <c r="E12837" t="str">
        <f t="shared" si="421"/>
        <v>R</v>
      </c>
      <c r="F12837" t="str">
        <f t="shared" si="422"/>
        <v>17R</v>
      </c>
    </row>
    <row r="12838" spans="1:6" x14ac:dyDescent="0.2">
      <c r="A12838">
        <v>18</v>
      </c>
      <c r="E12838" t="str">
        <f t="shared" si="421"/>
        <v>S</v>
      </c>
      <c r="F12838" t="str">
        <f t="shared" si="422"/>
        <v>18S</v>
      </c>
    </row>
    <row r="12839" spans="1:6" x14ac:dyDescent="0.2">
      <c r="A12839">
        <v>19</v>
      </c>
      <c r="E12839" t="str">
        <f t="shared" si="421"/>
        <v>T</v>
      </c>
      <c r="F12839" t="str">
        <f t="shared" si="422"/>
        <v>19T</v>
      </c>
    </row>
    <row r="12840" spans="1:6" x14ac:dyDescent="0.2">
      <c r="A12840">
        <v>20</v>
      </c>
      <c r="E12840" t="str">
        <f t="shared" si="421"/>
        <v>U</v>
      </c>
      <c r="F12840" t="str">
        <f t="shared" si="422"/>
        <v>20U</v>
      </c>
    </row>
    <row r="12841" spans="1:6" x14ac:dyDescent="0.2">
      <c r="A12841">
        <v>21</v>
      </c>
      <c r="E12841" t="str">
        <f t="shared" si="421"/>
        <v>V</v>
      </c>
      <c r="F12841" t="str">
        <f t="shared" si="422"/>
        <v>21V</v>
      </c>
    </row>
    <row r="12842" spans="1:6" x14ac:dyDescent="0.2">
      <c r="A12842">
        <v>22</v>
      </c>
      <c r="E12842" t="str">
        <f t="shared" si="421"/>
        <v>W</v>
      </c>
      <c r="F12842" t="str">
        <f t="shared" si="422"/>
        <v>22W</v>
      </c>
    </row>
    <row r="12843" spans="1:6" x14ac:dyDescent="0.2">
      <c r="A12843">
        <v>23</v>
      </c>
      <c r="E12843" t="str">
        <f t="shared" si="421"/>
        <v>X</v>
      </c>
      <c r="F12843" t="str">
        <f t="shared" si="422"/>
        <v>23X</v>
      </c>
    </row>
    <row r="12844" spans="1:6" x14ac:dyDescent="0.2">
      <c r="A12844">
        <v>24</v>
      </c>
      <c r="E12844" t="str">
        <f t="shared" si="421"/>
        <v>Y</v>
      </c>
      <c r="F12844" t="str">
        <f t="shared" si="422"/>
        <v>24Y</v>
      </c>
    </row>
    <row r="12845" spans="1:6" x14ac:dyDescent="0.2">
      <c r="A12845">
        <v>25</v>
      </c>
      <c r="E12845" t="str">
        <f t="shared" si="421"/>
        <v>Z</v>
      </c>
      <c r="F12845" t="str">
        <f t="shared" si="422"/>
        <v>25Z</v>
      </c>
    </row>
    <row r="12846" spans="1:6" x14ac:dyDescent="0.2">
      <c r="A12846">
        <v>0</v>
      </c>
      <c r="E12846" t="str">
        <f t="shared" si="421"/>
        <v>A</v>
      </c>
      <c r="F12846" t="str">
        <f t="shared" si="422"/>
        <v>0A</v>
      </c>
    </row>
    <row r="12847" spans="1:6" x14ac:dyDescent="0.2">
      <c r="A12847">
        <v>1</v>
      </c>
      <c r="E12847" t="str">
        <f t="shared" si="421"/>
        <v>B</v>
      </c>
      <c r="F12847" t="str">
        <f t="shared" si="422"/>
        <v>1B</v>
      </c>
    </row>
    <row r="12848" spans="1:6" x14ac:dyDescent="0.2">
      <c r="A12848">
        <v>2</v>
      </c>
      <c r="E12848" t="str">
        <f t="shared" si="421"/>
        <v>C</v>
      </c>
      <c r="F12848" t="str">
        <f t="shared" si="422"/>
        <v>2C</v>
      </c>
    </row>
    <row r="12849" spans="1:6" x14ac:dyDescent="0.2">
      <c r="A12849">
        <v>3</v>
      </c>
      <c r="E12849" t="str">
        <f t="shared" si="421"/>
        <v>D</v>
      </c>
      <c r="F12849" t="str">
        <f t="shared" si="422"/>
        <v>3D</v>
      </c>
    </row>
    <row r="12850" spans="1:6" x14ac:dyDescent="0.2">
      <c r="A12850">
        <v>4</v>
      </c>
      <c r="E12850" t="str">
        <f t="shared" si="421"/>
        <v>E</v>
      </c>
      <c r="F12850" t="str">
        <f t="shared" si="422"/>
        <v>4E</v>
      </c>
    </row>
    <row r="12851" spans="1:6" x14ac:dyDescent="0.2">
      <c r="A12851">
        <v>5</v>
      </c>
      <c r="E12851" t="str">
        <f t="shared" si="421"/>
        <v>F</v>
      </c>
      <c r="F12851" t="str">
        <f t="shared" si="422"/>
        <v>5F</v>
      </c>
    </row>
    <row r="12852" spans="1:6" x14ac:dyDescent="0.2">
      <c r="A12852">
        <v>6</v>
      </c>
      <c r="E12852" t="str">
        <f t="shared" si="421"/>
        <v>G</v>
      </c>
      <c r="F12852" t="str">
        <f t="shared" si="422"/>
        <v>6G</v>
      </c>
    </row>
    <row r="12853" spans="1:6" x14ac:dyDescent="0.2">
      <c r="A12853">
        <v>7</v>
      </c>
      <c r="E12853" t="str">
        <f t="shared" si="421"/>
        <v>H</v>
      </c>
      <c r="F12853" t="str">
        <f t="shared" si="422"/>
        <v>7H</v>
      </c>
    </row>
    <row r="12854" spans="1:6" x14ac:dyDescent="0.2">
      <c r="A12854">
        <v>8</v>
      </c>
      <c r="E12854" t="str">
        <f t="shared" si="421"/>
        <v>I</v>
      </c>
      <c r="F12854" t="str">
        <f t="shared" si="422"/>
        <v>8I</v>
      </c>
    </row>
    <row r="12855" spans="1:6" x14ac:dyDescent="0.2">
      <c r="A12855">
        <v>9</v>
      </c>
      <c r="E12855" t="str">
        <f t="shared" si="421"/>
        <v>J</v>
      </c>
      <c r="F12855" t="str">
        <f t="shared" si="422"/>
        <v>9J</v>
      </c>
    </row>
    <row r="12856" spans="1:6" x14ac:dyDescent="0.2">
      <c r="A12856">
        <v>10</v>
      </c>
      <c r="E12856" t="str">
        <f t="shared" si="421"/>
        <v>K</v>
      </c>
      <c r="F12856" t="str">
        <f t="shared" si="422"/>
        <v>10K</v>
      </c>
    </row>
    <row r="12857" spans="1:6" x14ac:dyDescent="0.2">
      <c r="A12857">
        <v>11</v>
      </c>
      <c r="E12857" t="str">
        <f t="shared" si="421"/>
        <v>L</v>
      </c>
      <c r="F12857" t="str">
        <f t="shared" si="422"/>
        <v>11L</v>
      </c>
    </row>
    <row r="12858" spans="1:6" x14ac:dyDescent="0.2">
      <c r="A12858">
        <v>12</v>
      </c>
      <c r="E12858" t="str">
        <f t="shared" si="421"/>
        <v>M</v>
      </c>
      <c r="F12858" t="str">
        <f t="shared" si="422"/>
        <v>12M</v>
      </c>
    </row>
    <row r="12859" spans="1:6" x14ac:dyDescent="0.2">
      <c r="A12859">
        <v>13</v>
      </c>
      <c r="E12859" t="str">
        <f t="shared" si="421"/>
        <v>N</v>
      </c>
      <c r="F12859" t="str">
        <f t="shared" si="422"/>
        <v>13N</v>
      </c>
    </row>
    <row r="12860" spans="1:6" x14ac:dyDescent="0.2">
      <c r="A12860">
        <v>14</v>
      </c>
      <c r="E12860" t="str">
        <f t="shared" si="421"/>
        <v>O</v>
      </c>
      <c r="F12860" t="str">
        <f t="shared" si="422"/>
        <v>14O</v>
      </c>
    </row>
    <row r="12861" spans="1:6" x14ac:dyDescent="0.2">
      <c r="A12861">
        <v>15</v>
      </c>
      <c r="E12861" t="str">
        <f t="shared" si="421"/>
        <v>P</v>
      </c>
      <c r="F12861" t="str">
        <f t="shared" si="422"/>
        <v>15P</v>
      </c>
    </row>
    <row r="12862" spans="1:6" x14ac:dyDescent="0.2">
      <c r="A12862">
        <v>16</v>
      </c>
      <c r="E12862" t="str">
        <f t="shared" si="421"/>
        <v>Q</v>
      </c>
      <c r="F12862" t="str">
        <f t="shared" si="422"/>
        <v>16Q</v>
      </c>
    </row>
    <row r="12863" spans="1:6" x14ac:dyDescent="0.2">
      <c r="A12863">
        <v>17</v>
      </c>
      <c r="E12863" t="str">
        <f t="shared" si="421"/>
        <v>R</v>
      </c>
      <c r="F12863" t="str">
        <f t="shared" si="422"/>
        <v>17R</v>
      </c>
    </row>
    <row r="12864" spans="1:6" x14ac:dyDescent="0.2">
      <c r="A12864">
        <v>18</v>
      </c>
      <c r="E12864" t="str">
        <f t="shared" si="421"/>
        <v>S</v>
      </c>
      <c r="F12864" t="str">
        <f t="shared" si="422"/>
        <v>18S</v>
      </c>
    </row>
    <row r="12865" spans="1:6" x14ac:dyDescent="0.2">
      <c r="A12865">
        <v>19</v>
      </c>
      <c r="E12865" t="str">
        <f t="shared" si="421"/>
        <v>T</v>
      </c>
      <c r="F12865" t="str">
        <f t="shared" si="422"/>
        <v>19T</v>
      </c>
    </row>
    <row r="12866" spans="1:6" x14ac:dyDescent="0.2">
      <c r="A12866">
        <v>20</v>
      </c>
      <c r="E12866" t="str">
        <f t="shared" si="421"/>
        <v>U</v>
      </c>
      <c r="F12866" t="str">
        <f t="shared" si="422"/>
        <v>20U</v>
      </c>
    </row>
    <row r="12867" spans="1:6" x14ac:dyDescent="0.2">
      <c r="A12867">
        <v>21</v>
      </c>
      <c r="E12867" t="str">
        <f t="shared" si="421"/>
        <v>V</v>
      </c>
      <c r="F12867" t="str">
        <f t="shared" si="422"/>
        <v>21V</v>
      </c>
    </row>
    <row r="12868" spans="1:6" x14ac:dyDescent="0.2">
      <c r="A12868">
        <v>22</v>
      </c>
      <c r="E12868" t="str">
        <f t="shared" si="421"/>
        <v>W</v>
      </c>
      <c r="F12868" t="str">
        <f t="shared" si="422"/>
        <v>22W</v>
      </c>
    </row>
    <row r="12869" spans="1:6" x14ac:dyDescent="0.2">
      <c r="A12869">
        <v>23</v>
      </c>
      <c r="E12869" t="str">
        <f t="shared" si="421"/>
        <v>X</v>
      </c>
      <c r="F12869" t="str">
        <f t="shared" si="422"/>
        <v>23X</v>
      </c>
    </row>
    <row r="12870" spans="1:6" x14ac:dyDescent="0.2">
      <c r="A12870">
        <v>24</v>
      </c>
      <c r="E12870" t="str">
        <f t="shared" si="421"/>
        <v>Y</v>
      </c>
      <c r="F12870" t="str">
        <f t="shared" si="422"/>
        <v>24Y</v>
      </c>
    </row>
    <row r="12871" spans="1:6" x14ac:dyDescent="0.2">
      <c r="A12871">
        <v>25</v>
      </c>
      <c r="E12871" t="str">
        <f t="shared" si="421"/>
        <v>Z</v>
      </c>
      <c r="F12871" t="str">
        <f t="shared" si="422"/>
        <v>25Z</v>
      </c>
    </row>
    <row r="12872" spans="1:6" x14ac:dyDescent="0.2">
      <c r="A12872">
        <v>0</v>
      </c>
      <c r="E12872" t="str">
        <f t="shared" si="421"/>
        <v>A</v>
      </c>
      <c r="F12872" t="str">
        <f t="shared" si="422"/>
        <v>0A</v>
      </c>
    </row>
    <row r="12873" spans="1:6" x14ac:dyDescent="0.2">
      <c r="A12873">
        <v>1</v>
      </c>
      <c r="E12873" t="str">
        <f t="shared" si="421"/>
        <v>B</v>
      </c>
      <c r="F12873" t="str">
        <f t="shared" si="422"/>
        <v>1B</v>
      </c>
    </row>
    <row r="12874" spans="1:6" x14ac:dyDescent="0.2">
      <c r="A12874">
        <v>2</v>
      </c>
      <c r="E12874" t="str">
        <f t="shared" si="421"/>
        <v>C</v>
      </c>
      <c r="F12874" t="str">
        <f t="shared" si="422"/>
        <v>2C</v>
      </c>
    </row>
    <row r="12875" spans="1:6" x14ac:dyDescent="0.2">
      <c r="A12875">
        <v>3</v>
      </c>
      <c r="E12875" t="str">
        <f t="shared" si="421"/>
        <v>D</v>
      </c>
      <c r="F12875" t="str">
        <f t="shared" si="422"/>
        <v>3D</v>
      </c>
    </row>
    <row r="12876" spans="1:6" x14ac:dyDescent="0.2">
      <c r="A12876">
        <v>4</v>
      </c>
      <c r="E12876" t="str">
        <f t="shared" si="421"/>
        <v>E</v>
      </c>
      <c r="F12876" t="str">
        <f t="shared" si="422"/>
        <v>4E</v>
      </c>
    </row>
    <row r="12877" spans="1:6" x14ac:dyDescent="0.2">
      <c r="A12877">
        <v>5</v>
      </c>
      <c r="E12877" t="str">
        <f t="shared" si="421"/>
        <v>F</v>
      </c>
      <c r="F12877" t="str">
        <f t="shared" si="422"/>
        <v>5F</v>
      </c>
    </row>
    <row r="12878" spans="1:6" x14ac:dyDescent="0.2">
      <c r="A12878">
        <v>6</v>
      </c>
      <c r="E12878" t="str">
        <f t="shared" si="421"/>
        <v>G</v>
      </c>
      <c r="F12878" t="str">
        <f t="shared" si="422"/>
        <v>6G</v>
      </c>
    </row>
    <row r="12879" spans="1:6" x14ac:dyDescent="0.2">
      <c r="A12879">
        <v>7</v>
      </c>
      <c r="E12879" t="str">
        <f t="shared" si="421"/>
        <v>H</v>
      </c>
      <c r="F12879" t="str">
        <f t="shared" si="422"/>
        <v>7H</v>
      </c>
    </row>
    <row r="12880" spans="1:6" x14ac:dyDescent="0.2">
      <c r="A12880">
        <v>8</v>
      </c>
      <c r="E12880" t="str">
        <f t="shared" si="421"/>
        <v>I</v>
      </c>
      <c r="F12880" t="str">
        <f t="shared" si="422"/>
        <v>8I</v>
      </c>
    </row>
    <row r="12881" spans="1:6" x14ac:dyDescent="0.2">
      <c r="A12881">
        <v>9</v>
      </c>
      <c r="E12881" t="str">
        <f t="shared" si="421"/>
        <v>J</v>
      </c>
      <c r="F12881" t="str">
        <f t="shared" si="422"/>
        <v>9J</v>
      </c>
    </row>
    <row r="12882" spans="1:6" x14ac:dyDescent="0.2">
      <c r="A12882">
        <v>10</v>
      </c>
      <c r="E12882" t="str">
        <f t="shared" si="421"/>
        <v>K</v>
      </c>
      <c r="F12882" t="str">
        <f t="shared" si="422"/>
        <v>10K</v>
      </c>
    </row>
    <row r="12883" spans="1:6" x14ac:dyDescent="0.2">
      <c r="A12883">
        <v>11</v>
      </c>
      <c r="E12883" t="str">
        <f t="shared" si="421"/>
        <v>L</v>
      </c>
      <c r="F12883" t="str">
        <f t="shared" si="422"/>
        <v>11L</v>
      </c>
    </row>
    <row r="12884" spans="1:6" x14ac:dyDescent="0.2">
      <c r="A12884">
        <v>12</v>
      </c>
      <c r="E12884" t="str">
        <f t="shared" si="421"/>
        <v>M</v>
      </c>
      <c r="F12884" t="str">
        <f t="shared" si="422"/>
        <v>12M</v>
      </c>
    </row>
    <row r="12885" spans="1:6" x14ac:dyDescent="0.2">
      <c r="A12885">
        <v>13</v>
      </c>
      <c r="E12885" t="str">
        <f t="shared" ref="E12885:E12948" si="423">E12859</f>
        <v>N</v>
      </c>
      <c r="F12885" t="str">
        <f t="shared" si="422"/>
        <v>13N</v>
      </c>
    </row>
    <row r="12886" spans="1:6" x14ac:dyDescent="0.2">
      <c r="A12886">
        <v>14</v>
      </c>
      <c r="E12886" t="str">
        <f t="shared" si="423"/>
        <v>O</v>
      </c>
      <c r="F12886" t="str">
        <f t="shared" si="422"/>
        <v>14O</v>
      </c>
    </row>
    <row r="12887" spans="1:6" x14ac:dyDescent="0.2">
      <c r="A12887">
        <v>15</v>
      </c>
      <c r="E12887" t="str">
        <f t="shared" si="423"/>
        <v>P</v>
      </c>
      <c r="F12887" t="str">
        <f t="shared" ref="F12887:F12950" si="424">A12887&amp;C12887&amp;E12887</f>
        <v>15P</v>
      </c>
    </row>
    <row r="12888" spans="1:6" x14ac:dyDescent="0.2">
      <c r="A12888">
        <v>16</v>
      </c>
      <c r="E12888" t="str">
        <f t="shared" si="423"/>
        <v>Q</v>
      </c>
      <c r="F12888" t="str">
        <f t="shared" si="424"/>
        <v>16Q</v>
      </c>
    </row>
    <row r="12889" spans="1:6" x14ac:dyDescent="0.2">
      <c r="A12889">
        <v>17</v>
      </c>
      <c r="E12889" t="str">
        <f t="shared" si="423"/>
        <v>R</v>
      </c>
      <c r="F12889" t="str">
        <f t="shared" si="424"/>
        <v>17R</v>
      </c>
    </row>
    <row r="12890" spans="1:6" x14ac:dyDescent="0.2">
      <c r="A12890">
        <v>18</v>
      </c>
      <c r="E12890" t="str">
        <f t="shared" si="423"/>
        <v>S</v>
      </c>
      <c r="F12890" t="str">
        <f t="shared" si="424"/>
        <v>18S</v>
      </c>
    </row>
    <row r="12891" spans="1:6" x14ac:dyDescent="0.2">
      <c r="A12891">
        <v>19</v>
      </c>
      <c r="E12891" t="str">
        <f t="shared" si="423"/>
        <v>T</v>
      </c>
      <c r="F12891" t="str">
        <f t="shared" si="424"/>
        <v>19T</v>
      </c>
    </row>
    <row r="12892" spans="1:6" x14ac:dyDescent="0.2">
      <c r="A12892">
        <v>20</v>
      </c>
      <c r="E12892" t="str">
        <f t="shared" si="423"/>
        <v>U</v>
      </c>
      <c r="F12892" t="str">
        <f t="shared" si="424"/>
        <v>20U</v>
      </c>
    </row>
    <row r="12893" spans="1:6" x14ac:dyDescent="0.2">
      <c r="A12893">
        <v>21</v>
      </c>
      <c r="E12893" t="str">
        <f t="shared" si="423"/>
        <v>V</v>
      </c>
      <c r="F12893" t="str">
        <f t="shared" si="424"/>
        <v>21V</v>
      </c>
    </row>
    <row r="12894" spans="1:6" x14ac:dyDescent="0.2">
      <c r="A12894">
        <v>22</v>
      </c>
      <c r="E12894" t="str">
        <f t="shared" si="423"/>
        <v>W</v>
      </c>
      <c r="F12894" t="str">
        <f t="shared" si="424"/>
        <v>22W</v>
      </c>
    </row>
    <row r="12895" spans="1:6" x14ac:dyDescent="0.2">
      <c r="A12895">
        <v>23</v>
      </c>
      <c r="E12895" t="str">
        <f t="shared" si="423"/>
        <v>X</v>
      </c>
      <c r="F12895" t="str">
        <f t="shared" si="424"/>
        <v>23X</v>
      </c>
    </row>
    <row r="12896" spans="1:6" x14ac:dyDescent="0.2">
      <c r="A12896">
        <v>24</v>
      </c>
      <c r="E12896" t="str">
        <f t="shared" si="423"/>
        <v>Y</v>
      </c>
      <c r="F12896" t="str">
        <f t="shared" si="424"/>
        <v>24Y</v>
      </c>
    </row>
    <row r="12897" spans="1:6" x14ac:dyDescent="0.2">
      <c r="A12897">
        <v>25</v>
      </c>
      <c r="E12897" t="str">
        <f t="shared" si="423"/>
        <v>Z</v>
      </c>
      <c r="F12897" t="str">
        <f t="shared" si="424"/>
        <v>25Z</v>
      </c>
    </row>
    <row r="12898" spans="1:6" x14ac:dyDescent="0.2">
      <c r="A12898">
        <v>0</v>
      </c>
      <c r="E12898" t="str">
        <f t="shared" si="423"/>
        <v>A</v>
      </c>
      <c r="F12898" t="str">
        <f t="shared" si="424"/>
        <v>0A</v>
      </c>
    </row>
    <row r="12899" spans="1:6" x14ac:dyDescent="0.2">
      <c r="A12899">
        <v>1</v>
      </c>
      <c r="E12899" t="str">
        <f t="shared" si="423"/>
        <v>B</v>
      </c>
      <c r="F12899" t="str">
        <f t="shared" si="424"/>
        <v>1B</v>
      </c>
    </row>
    <row r="12900" spans="1:6" x14ac:dyDescent="0.2">
      <c r="A12900">
        <v>2</v>
      </c>
      <c r="E12900" t="str">
        <f t="shared" si="423"/>
        <v>C</v>
      </c>
      <c r="F12900" t="str">
        <f t="shared" si="424"/>
        <v>2C</v>
      </c>
    </row>
    <row r="12901" spans="1:6" x14ac:dyDescent="0.2">
      <c r="A12901">
        <v>3</v>
      </c>
      <c r="E12901" t="str">
        <f t="shared" si="423"/>
        <v>D</v>
      </c>
      <c r="F12901" t="str">
        <f t="shared" si="424"/>
        <v>3D</v>
      </c>
    </row>
    <row r="12902" spans="1:6" x14ac:dyDescent="0.2">
      <c r="A12902">
        <v>4</v>
      </c>
      <c r="E12902" t="str">
        <f t="shared" si="423"/>
        <v>E</v>
      </c>
      <c r="F12902" t="str">
        <f t="shared" si="424"/>
        <v>4E</v>
      </c>
    </row>
    <row r="12903" spans="1:6" x14ac:dyDescent="0.2">
      <c r="A12903">
        <v>5</v>
      </c>
      <c r="E12903" t="str">
        <f t="shared" si="423"/>
        <v>F</v>
      </c>
      <c r="F12903" t="str">
        <f t="shared" si="424"/>
        <v>5F</v>
      </c>
    </row>
    <row r="12904" spans="1:6" x14ac:dyDescent="0.2">
      <c r="A12904">
        <v>6</v>
      </c>
      <c r="E12904" t="str">
        <f t="shared" si="423"/>
        <v>G</v>
      </c>
      <c r="F12904" t="str">
        <f t="shared" si="424"/>
        <v>6G</v>
      </c>
    </row>
    <row r="12905" spans="1:6" x14ac:dyDescent="0.2">
      <c r="A12905">
        <v>7</v>
      </c>
      <c r="E12905" t="str">
        <f t="shared" si="423"/>
        <v>H</v>
      </c>
      <c r="F12905" t="str">
        <f t="shared" si="424"/>
        <v>7H</v>
      </c>
    </row>
    <row r="12906" spans="1:6" x14ac:dyDescent="0.2">
      <c r="A12906">
        <v>8</v>
      </c>
      <c r="E12906" t="str">
        <f t="shared" si="423"/>
        <v>I</v>
      </c>
      <c r="F12906" t="str">
        <f t="shared" si="424"/>
        <v>8I</v>
      </c>
    </row>
    <row r="12907" spans="1:6" x14ac:dyDescent="0.2">
      <c r="A12907">
        <v>9</v>
      </c>
      <c r="E12907" t="str">
        <f t="shared" si="423"/>
        <v>J</v>
      </c>
      <c r="F12907" t="str">
        <f t="shared" si="424"/>
        <v>9J</v>
      </c>
    </row>
    <row r="12908" spans="1:6" x14ac:dyDescent="0.2">
      <c r="A12908">
        <v>10</v>
      </c>
      <c r="E12908" t="str">
        <f t="shared" si="423"/>
        <v>K</v>
      </c>
      <c r="F12908" t="str">
        <f t="shared" si="424"/>
        <v>10K</v>
      </c>
    </row>
    <row r="12909" spans="1:6" x14ac:dyDescent="0.2">
      <c r="A12909">
        <v>11</v>
      </c>
      <c r="E12909" t="str">
        <f t="shared" si="423"/>
        <v>L</v>
      </c>
      <c r="F12909" t="str">
        <f t="shared" si="424"/>
        <v>11L</v>
      </c>
    </row>
    <row r="12910" spans="1:6" x14ac:dyDescent="0.2">
      <c r="A12910">
        <v>12</v>
      </c>
      <c r="E12910" t="str">
        <f t="shared" si="423"/>
        <v>M</v>
      </c>
      <c r="F12910" t="str">
        <f t="shared" si="424"/>
        <v>12M</v>
      </c>
    </row>
    <row r="12911" spans="1:6" x14ac:dyDescent="0.2">
      <c r="A12911">
        <v>13</v>
      </c>
      <c r="E12911" t="str">
        <f t="shared" si="423"/>
        <v>N</v>
      </c>
      <c r="F12911" t="str">
        <f t="shared" si="424"/>
        <v>13N</v>
      </c>
    </row>
    <row r="12912" spans="1:6" x14ac:dyDescent="0.2">
      <c r="A12912">
        <v>14</v>
      </c>
      <c r="E12912" t="str">
        <f t="shared" si="423"/>
        <v>O</v>
      </c>
      <c r="F12912" t="str">
        <f t="shared" si="424"/>
        <v>14O</v>
      </c>
    </row>
    <row r="12913" spans="1:6" x14ac:dyDescent="0.2">
      <c r="A12913">
        <v>15</v>
      </c>
      <c r="E12913" t="str">
        <f t="shared" si="423"/>
        <v>P</v>
      </c>
      <c r="F12913" t="str">
        <f t="shared" si="424"/>
        <v>15P</v>
      </c>
    </row>
    <row r="12914" spans="1:6" x14ac:dyDescent="0.2">
      <c r="A12914">
        <v>16</v>
      </c>
      <c r="E12914" t="str">
        <f t="shared" si="423"/>
        <v>Q</v>
      </c>
      <c r="F12914" t="str">
        <f t="shared" si="424"/>
        <v>16Q</v>
      </c>
    </row>
    <row r="12915" spans="1:6" x14ac:dyDescent="0.2">
      <c r="A12915">
        <v>17</v>
      </c>
      <c r="E12915" t="str">
        <f t="shared" si="423"/>
        <v>R</v>
      </c>
      <c r="F12915" t="str">
        <f t="shared" si="424"/>
        <v>17R</v>
      </c>
    </row>
    <row r="12916" spans="1:6" x14ac:dyDescent="0.2">
      <c r="A12916">
        <v>18</v>
      </c>
      <c r="E12916" t="str">
        <f t="shared" si="423"/>
        <v>S</v>
      </c>
      <c r="F12916" t="str">
        <f t="shared" si="424"/>
        <v>18S</v>
      </c>
    </row>
    <row r="12917" spans="1:6" x14ac:dyDescent="0.2">
      <c r="A12917">
        <v>19</v>
      </c>
      <c r="E12917" t="str">
        <f t="shared" si="423"/>
        <v>T</v>
      </c>
      <c r="F12917" t="str">
        <f t="shared" si="424"/>
        <v>19T</v>
      </c>
    </row>
    <row r="12918" spans="1:6" x14ac:dyDescent="0.2">
      <c r="A12918">
        <v>20</v>
      </c>
      <c r="E12918" t="str">
        <f t="shared" si="423"/>
        <v>U</v>
      </c>
      <c r="F12918" t="str">
        <f t="shared" si="424"/>
        <v>20U</v>
      </c>
    </row>
    <row r="12919" spans="1:6" x14ac:dyDescent="0.2">
      <c r="A12919">
        <v>21</v>
      </c>
      <c r="E12919" t="str">
        <f t="shared" si="423"/>
        <v>V</v>
      </c>
      <c r="F12919" t="str">
        <f t="shared" si="424"/>
        <v>21V</v>
      </c>
    </row>
    <row r="12920" spans="1:6" x14ac:dyDescent="0.2">
      <c r="A12920">
        <v>22</v>
      </c>
      <c r="E12920" t="str">
        <f t="shared" si="423"/>
        <v>W</v>
      </c>
      <c r="F12920" t="str">
        <f t="shared" si="424"/>
        <v>22W</v>
      </c>
    </row>
    <row r="12921" spans="1:6" x14ac:dyDescent="0.2">
      <c r="A12921">
        <v>23</v>
      </c>
      <c r="E12921" t="str">
        <f t="shared" si="423"/>
        <v>X</v>
      </c>
      <c r="F12921" t="str">
        <f t="shared" si="424"/>
        <v>23X</v>
      </c>
    </row>
    <row r="12922" spans="1:6" x14ac:dyDescent="0.2">
      <c r="A12922">
        <v>24</v>
      </c>
      <c r="E12922" t="str">
        <f t="shared" si="423"/>
        <v>Y</v>
      </c>
      <c r="F12922" t="str">
        <f t="shared" si="424"/>
        <v>24Y</v>
      </c>
    </row>
    <row r="12923" spans="1:6" x14ac:dyDescent="0.2">
      <c r="A12923">
        <v>25</v>
      </c>
      <c r="E12923" t="str">
        <f t="shared" si="423"/>
        <v>Z</v>
      </c>
      <c r="F12923" t="str">
        <f t="shared" si="424"/>
        <v>25Z</v>
      </c>
    </row>
    <row r="12924" spans="1:6" x14ac:dyDescent="0.2">
      <c r="A12924">
        <v>0</v>
      </c>
      <c r="E12924" t="str">
        <f t="shared" si="423"/>
        <v>A</v>
      </c>
      <c r="F12924" t="str">
        <f t="shared" si="424"/>
        <v>0A</v>
      </c>
    </row>
    <row r="12925" spans="1:6" x14ac:dyDescent="0.2">
      <c r="A12925">
        <v>1</v>
      </c>
      <c r="E12925" t="str">
        <f t="shared" si="423"/>
        <v>B</v>
      </c>
      <c r="F12925" t="str">
        <f t="shared" si="424"/>
        <v>1B</v>
      </c>
    </row>
    <row r="12926" spans="1:6" x14ac:dyDescent="0.2">
      <c r="A12926">
        <v>2</v>
      </c>
      <c r="E12926" t="str">
        <f t="shared" si="423"/>
        <v>C</v>
      </c>
      <c r="F12926" t="str">
        <f t="shared" si="424"/>
        <v>2C</v>
      </c>
    </row>
    <row r="12927" spans="1:6" x14ac:dyDescent="0.2">
      <c r="A12927">
        <v>3</v>
      </c>
      <c r="E12927" t="str">
        <f t="shared" si="423"/>
        <v>D</v>
      </c>
      <c r="F12927" t="str">
        <f t="shared" si="424"/>
        <v>3D</v>
      </c>
    </row>
    <row r="12928" spans="1:6" x14ac:dyDescent="0.2">
      <c r="A12928">
        <v>4</v>
      </c>
      <c r="E12928" t="str">
        <f t="shared" si="423"/>
        <v>E</v>
      </c>
      <c r="F12928" t="str">
        <f t="shared" si="424"/>
        <v>4E</v>
      </c>
    </row>
    <row r="12929" spans="1:6" x14ac:dyDescent="0.2">
      <c r="A12929">
        <v>5</v>
      </c>
      <c r="E12929" t="str">
        <f t="shared" si="423"/>
        <v>F</v>
      </c>
      <c r="F12929" t="str">
        <f t="shared" si="424"/>
        <v>5F</v>
      </c>
    </row>
    <row r="12930" spans="1:6" x14ac:dyDescent="0.2">
      <c r="A12930">
        <v>6</v>
      </c>
      <c r="E12930" t="str">
        <f t="shared" si="423"/>
        <v>G</v>
      </c>
      <c r="F12930" t="str">
        <f t="shared" si="424"/>
        <v>6G</v>
      </c>
    </row>
    <row r="12931" spans="1:6" x14ac:dyDescent="0.2">
      <c r="A12931">
        <v>7</v>
      </c>
      <c r="E12931" t="str">
        <f t="shared" si="423"/>
        <v>H</v>
      </c>
      <c r="F12931" t="str">
        <f t="shared" si="424"/>
        <v>7H</v>
      </c>
    </row>
    <row r="12932" spans="1:6" x14ac:dyDescent="0.2">
      <c r="A12932">
        <v>8</v>
      </c>
      <c r="E12932" t="str">
        <f t="shared" si="423"/>
        <v>I</v>
      </c>
      <c r="F12932" t="str">
        <f t="shared" si="424"/>
        <v>8I</v>
      </c>
    </row>
    <row r="12933" spans="1:6" x14ac:dyDescent="0.2">
      <c r="A12933">
        <v>9</v>
      </c>
      <c r="E12933" t="str">
        <f t="shared" si="423"/>
        <v>J</v>
      </c>
      <c r="F12933" t="str">
        <f t="shared" si="424"/>
        <v>9J</v>
      </c>
    </row>
    <row r="12934" spans="1:6" x14ac:dyDescent="0.2">
      <c r="A12934">
        <v>10</v>
      </c>
      <c r="E12934" t="str">
        <f t="shared" si="423"/>
        <v>K</v>
      </c>
      <c r="F12934" t="str">
        <f t="shared" si="424"/>
        <v>10K</v>
      </c>
    </row>
    <row r="12935" spans="1:6" x14ac:dyDescent="0.2">
      <c r="A12935">
        <v>11</v>
      </c>
      <c r="E12935" t="str">
        <f t="shared" si="423"/>
        <v>L</v>
      </c>
      <c r="F12935" t="str">
        <f t="shared" si="424"/>
        <v>11L</v>
      </c>
    </row>
    <row r="12936" spans="1:6" x14ac:dyDescent="0.2">
      <c r="A12936">
        <v>12</v>
      </c>
      <c r="E12936" t="str">
        <f t="shared" si="423"/>
        <v>M</v>
      </c>
      <c r="F12936" t="str">
        <f t="shared" si="424"/>
        <v>12M</v>
      </c>
    </row>
    <row r="12937" spans="1:6" x14ac:dyDescent="0.2">
      <c r="A12937">
        <v>13</v>
      </c>
      <c r="E12937" t="str">
        <f t="shared" si="423"/>
        <v>N</v>
      </c>
      <c r="F12937" t="str">
        <f t="shared" si="424"/>
        <v>13N</v>
      </c>
    </row>
    <row r="12938" spans="1:6" x14ac:dyDescent="0.2">
      <c r="A12938">
        <v>14</v>
      </c>
      <c r="E12938" t="str">
        <f t="shared" si="423"/>
        <v>O</v>
      </c>
      <c r="F12938" t="str">
        <f t="shared" si="424"/>
        <v>14O</v>
      </c>
    </row>
    <row r="12939" spans="1:6" x14ac:dyDescent="0.2">
      <c r="A12939">
        <v>15</v>
      </c>
      <c r="E12939" t="str">
        <f t="shared" si="423"/>
        <v>P</v>
      </c>
      <c r="F12939" t="str">
        <f t="shared" si="424"/>
        <v>15P</v>
      </c>
    </row>
    <row r="12940" spans="1:6" x14ac:dyDescent="0.2">
      <c r="A12940">
        <v>16</v>
      </c>
      <c r="E12940" t="str">
        <f t="shared" si="423"/>
        <v>Q</v>
      </c>
      <c r="F12940" t="str">
        <f t="shared" si="424"/>
        <v>16Q</v>
      </c>
    </row>
    <row r="12941" spans="1:6" x14ac:dyDescent="0.2">
      <c r="A12941">
        <v>17</v>
      </c>
      <c r="E12941" t="str">
        <f t="shared" si="423"/>
        <v>R</v>
      </c>
      <c r="F12941" t="str">
        <f t="shared" si="424"/>
        <v>17R</v>
      </c>
    </row>
    <row r="12942" spans="1:6" x14ac:dyDescent="0.2">
      <c r="A12942">
        <v>18</v>
      </c>
      <c r="E12942" t="str">
        <f t="shared" si="423"/>
        <v>S</v>
      </c>
      <c r="F12942" t="str">
        <f t="shared" si="424"/>
        <v>18S</v>
      </c>
    </row>
    <row r="12943" spans="1:6" x14ac:dyDescent="0.2">
      <c r="A12943">
        <v>19</v>
      </c>
      <c r="E12943" t="str">
        <f t="shared" si="423"/>
        <v>T</v>
      </c>
      <c r="F12943" t="str">
        <f t="shared" si="424"/>
        <v>19T</v>
      </c>
    </row>
    <row r="12944" spans="1:6" x14ac:dyDescent="0.2">
      <c r="A12944">
        <v>20</v>
      </c>
      <c r="E12944" t="str">
        <f t="shared" si="423"/>
        <v>U</v>
      </c>
      <c r="F12944" t="str">
        <f t="shared" si="424"/>
        <v>20U</v>
      </c>
    </row>
    <row r="12945" spans="1:6" x14ac:dyDescent="0.2">
      <c r="A12945">
        <v>21</v>
      </c>
      <c r="E12945" t="str">
        <f t="shared" si="423"/>
        <v>V</v>
      </c>
      <c r="F12945" t="str">
        <f t="shared" si="424"/>
        <v>21V</v>
      </c>
    </row>
    <row r="12946" spans="1:6" x14ac:dyDescent="0.2">
      <c r="A12946">
        <v>22</v>
      </c>
      <c r="E12946" t="str">
        <f t="shared" si="423"/>
        <v>W</v>
      </c>
      <c r="F12946" t="str">
        <f t="shared" si="424"/>
        <v>22W</v>
      </c>
    </row>
    <row r="12947" spans="1:6" x14ac:dyDescent="0.2">
      <c r="A12947">
        <v>23</v>
      </c>
      <c r="E12947" t="str">
        <f t="shared" si="423"/>
        <v>X</v>
      </c>
      <c r="F12947" t="str">
        <f t="shared" si="424"/>
        <v>23X</v>
      </c>
    </row>
    <row r="12948" spans="1:6" x14ac:dyDescent="0.2">
      <c r="A12948">
        <v>24</v>
      </c>
      <c r="E12948" t="str">
        <f t="shared" si="423"/>
        <v>Y</v>
      </c>
      <c r="F12948" t="str">
        <f t="shared" si="424"/>
        <v>24Y</v>
      </c>
    </row>
    <row r="12949" spans="1:6" x14ac:dyDescent="0.2">
      <c r="A12949">
        <v>25</v>
      </c>
      <c r="E12949" t="str">
        <f t="shared" ref="E12949:E13012" si="425">E12923</f>
        <v>Z</v>
      </c>
      <c r="F12949" t="str">
        <f t="shared" si="424"/>
        <v>25Z</v>
      </c>
    </row>
    <row r="12950" spans="1:6" x14ac:dyDescent="0.2">
      <c r="A12950">
        <v>0</v>
      </c>
      <c r="E12950" t="str">
        <f t="shared" si="425"/>
        <v>A</v>
      </c>
      <c r="F12950" t="str">
        <f t="shared" si="424"/>
        <v>0A</v>
      </c>
    </row>
    <row r="12951" spans="1:6" x14ac:dyDescent="0.2">
      <c r="A12951">
        <v>1</v>
      </c>
      <c r="E12951" t="str">
        <f t="shared" si="425"/>
        <v>B</v>
      </c>
      <c r="F12951" t="str">
        <f t="shared" ref="F12951:F13014" si="426">A12951&amp;C12951&amp;E12951</f>
        <v>1B</v>
      </c>
    </row>
    <row r="12952" spans="1:6" x14ac:dyDescent="0.2">
      <c r="A12952">
        <v>2</v>
      </c>
      <c r="E12952" t="str">
        <f t="shared" si="425"/>
        <v>C</v>
      </c>
      <c r="F12952" t="str">
        <f t="shared" si="426"/>
        <v>2C</v>
      </c>
    </row>
    <row r="12953" spans="1:6" x14ac:dyDescent="0.2">
      <c r="A12953">
        <v>3</v>
      </c>
      <c r="E12953" t="str">
        <f t="shared" si="425"/>
        <v>D</v>
      </c>
      <c r="F12953" t="str">
        <f t="shared" si="426"/>
        <v>3D</v>
      </c>
    </row>
    <row r="12954" spans="1:6" x14ac:dyDescent="0.2">
      <c r="A12954">
        <v>4</v>
      </c>
      <c r="E12954" t="str">
        <f t="shared" si="425"/>
        <v>E</v>
      </c>
      <c r="F12954" t="str">
        <f t="shared" si="426"/>
        <v>4E</v>
      </c>
    </row>
    <row r="12955" spans="1:6" x14ac:dyDescent="0.2">
      <c r="A12955">
        <v>5</v>
      </c>
      <c r="E12955" t="str">
        <f t="shared" si="425"/>
        <v>F</v>
      </c>
      <c r="F12955" t="str">
        <f t="shared" si="426"/>
        <v>5F</v>
      </c>
    </row>
    <row r="12956" spans="1:6" x14ac:dyDescent="0.2">
      <c r="A12956">
        <v>6</v>
      </c>
      <c r="E12956" t="str">
        <f t="shared" si="425"/>
        <v>G</v>
      </c>
      <c r="F12956" t="str">
        <f t="shared" si="426"/>
        <v>6G</v>
      </c>
    </row>
    <row r="12957" spans="1:6" x14ac:dyDescent="0.2">
      <c r="A12957">
        <v>7</v>
      </c>
      <c r="E12957" t="str">
        <f t="shared" si="425"/>
        <v>H</v>
      </c>
      <c r="F12957" t="str">
        <f t="shared" si="426"/>
        <v>7H</v>
      </c>
    </row>
    <row r="12958" spans="1:6" x14ac:dyDescent="0.2">
      <c r="A12958">
        <v>8</v>
      </c>
      <c r="E12958" t="str">
        <f t="shared" si="425"/>
        <v>I</v>
      </c>
      <c r="F12958" t="str">
        <f t="shared" si="426"/>
        <v>8I</v>
      </c>
    </row>
    <row r="12959" spans="1:6" x14ac:dyDescent="0.2">
      <c r="A12959">
        <v>9</v>
      </c>
      <c r="E12959" t="str">
        <f t="shared" si="425"/>
        <v>J</v>
      </c>
      <c r="F12959" t="str">
        <f t="shared" si="426"/>
        <v>9J</v>
      </c>
    </row>
    <row r="12960" spans="1:6" x14ac:dyDescent="0.2">
      <c r="A12960">
        <v>10</v>
      </c>
      <c r="E12960" t="str">
        <f t="shared" si="425"/>
        <v>K</v>
      </c>
      <c r="F12960" t="str">
        <f t="shared" si="426"/>
        <v>10K</v>
      </c>
    </row>
    <row r="12961" spans="1:6" x14ac:dyDescent="0.2">
      <c r="A12961">
        <v>11</v>
      </c>
      <c r="E12961" t="str">
        <f t="shared" si="425"/>
        <v>L</v>
      </c>
      <c r="F12961" t="str">
        <f t="shared" si="426"/>
        <v>11L</v>
      </c>
    </row>
    <row r="12962" spans="1:6" x14ac:dyDescent="0.2">
      <c r="A12962">
        <v>12</v>
      </c>
      <c r="E12962" t="str">
        <f t="shared" si="425"/>
        <v>M</v>
      </c>
      <c r="F12962" t="str">
        <f t="shared" si="426"/>
        <v>12M</v>
      </c>
    </row>
    <row r="12963" spans="1:6" x14ac:dyDescent="0.2">
      <c r="A12963">
        <v>13</v>
      </c>
      <c r="E12963" t="str">
        <f t="shared" si="425"/>
        <v>N</v>
      </c>
      <c r="F12963" t="str">
        <f t="shared" si="426"/>
        <v>13N</v>
      </c>
    </row>
    <row r="12964" spans="1:6" x14ac:dyDescent="0.2">
      <c r="A12964">
        <v>14</v>
      </c>
      <c r="E12964" t="str">
        <f t="shared" si="425"/>
        <v>O</v>
      </c>
      <c r="F12964" t="str">
        <f t="shared" si="426"/>
        <v>14O</v>
      </c>
    </row>
    <row r="12965" spans="1:6" x14ac:dyDescent="0.2">
      <c r="A12965">
        <v>15</v>
      </c>
      <c r="E12965" t="str">
        <f t="shared" si="425"/>
        <v>P</v>
      </c>
      <c r="F12965" t="str">
        <f t="shared" si="426"/>
        <v>15P</v>
      </c>
    </row>
    <row r="12966" spans="1:6" x14ac:dyDescent="0.2">
      <c r="A12966">
        <v>16</v>
      </c>
      <c r="E12966" t="str">
        <f t="shared" si="425"/>
        <v>Q</v>
      </c>
      <c r="F12966" t="str">
        <f t="shared" si="426"/>
        <v>16Q</v>
      </c>
    </row>
    <row r="12967" spans="1:6" x14ac:dyDescent="0.2">
      <c r="A12967">
        <v>17</v>
      </c>
      <c r="E12967" t="str">
        <f t="shared" si="425"/>
        <v>R</v>
      </c>
      <c r="F12967" t="str">
        <f t="shared" si="426"/>
        <v>17R</v>
      </c>
    </row>
    <row r="12968" spans="1:6" x14ac:dyDescent="0.2">
      <c r="A12968">
        <v>18</v>
      </c>
      <c r="E12968" t="str">
        <f t="shared" si="425"/>
        <v>S</v>
      </c>
      <c r="F12968" t="str">
        <f t="shared" si="426"/>
        <v>18S</v>
      </c>
    </row>
    <row r="12969" spans="1:6" x14ac:dyDescent="0.2">
      <c r="A12969">
        <v>19</v>
      </c>
      <c r="E12969" t="str">
        <f t="shared" si="425"/>
        <v>T</v>
      </c>
      <c r="F12969" t="str">
        <f t="shared" si="426"/>
        <v>19T</v>
      </c>
    </row>
    <row r="12970" spans="1:6" x14ac:dyDescent="0.2">
      <c r="A12970">
        <v>20</v>
      </c>
      <c r="E12970" t="str">
        <f t="shared" si="425"/>
        <v>U</v>
      </c>
      <c r="F12970" t="str">
        <f t="shared" si="426"/>
        <v>20U</v>
      </c>
    </row>
    <row r="12971" spans="1:6" x14ac:dyDescent="0.2">
      <c r="A12971">
        <v>21</v>
      </c>
      <c r="E12971" t="str">
        <f t="shared" si="425"/>
        <v>V</v>
      </c>
      <c r="F12971" t="str">
        <f t="shared" si="426"/>
        <v>21V</v>
      </c>
    </row>
    <row r="12972" spans="1:6" x14ac:dyDescent="0.2">
      <c r="A12972">
        <v>22</v>
      </c>
      <c r="E12972" t="str">
        <f t="shared" si="425"/>
        <v>W</v>
      </c>
      <c r="F12972" t="str">
        <f t="shared" si="426"/>
        <v>22W</v>
      </c>
    </row>
    <row r="12973" spans="1:6" x14ac:dyDescent="0.2">
      <c r="A12973">
        <v>23</v>
      </c>
      <c r="E12973" t="str">
        <f t="shared" si="425"/>
        <v>X</v>
      </c>
      <c r="F12973" t="str">
        <f t="shared" si="426"/>
        <v>23X</v>
      </c>
    </row>
    <row r="12974" spans="1:6" x14ac:dyDescent="0.2">
      <c r="A12974">
        <v>24</v>
      </c>
      <c r="E12974" t="str">
        <f t="shared" si="425"/>
        <v>Y</v>
      </c>
      <c r="F12974" t="str">
        <f t="shared" si="426"/>
        <v>24Y</v>
      </c>
    </row>
    <row r="12975" spans="1:6" x14ac:dyDescent="0.2">
      <c r="A12975">
        <v>25</v>
      </c>
      <c r="E12975" t="str">
        <f t="shared" si="425"/>
        <v>Z</v>
      </c>
      <c r="F12975" t="str">
        <f t="shared" si="426"/>
        <v>25Z</v>
      </c>
    </row>
    <row r="12976" spans="1:6" x14ac:dyDescent="0.2">
      <c r="A12976">
        <v>0</v>
      </c>
      <c r="E12976" t="str">
        <f t="shared" si="425"/>
        <v>A</v>
      </c>
      <c r="F12976" t="str">
        <f t="shared" si="426"/>
        <v>0A</v>
      </c>
    </row>
    <row r="12977" spans="1:6" x14ac:dyDescent="0.2">
      <c r="A12977">
        <v>1</v>
      </c>
      <c r="E12977" t="str">
        <f t="shared" si="425"/>
        <v>B</v>
      </c>
      <c r="F12977" t="str">
        <f t="shared" si="426"/>
        <v>1B</v>
      </c>
    </row>
    <row r="12978" spans="1:6" x14ac:dyDescent="0.2">
      <c r="A12978">
        <v>2</v>
      </c>
      <c r="E12978" t="str">
        <f t="shared" si="425"/>
        <v>C</v>
      </c>
      <c r="F12978" t="str">
        <f t="shared" si="426"/>
        <v>2C</v>
      </c>
    </row>
    <row r="12979" spans="1:6" x14ac:dyDescent="0.2">
      <c r="A12979">
        <v>3</v>
      </c>
      <c r="E12979" t="str">
        <f t="shared" si="425"/>
        <v>D</v>
      </c>
      <c r="F12979" t="str">
        <f t="shared" si="426"/>
        <v>3D</v>
      </c>
    </row>
    <row r="12980" spans="1:6" x14ac:dyDescent="0.2">
      <c r="A12980">
        <v>4</v>
      </c>
      <c r="E12980" t="str">
        <f t="shared" si="425"/>
        <v>E</v>
      </c>
      <c r="F12980" t="str">
        <f t="shared" si="426"/>
        <v>4E</v>
      </c>
    </row>
    <row r="12981" spans="1:6" x14ac:dyDescent="0.2">
      <c r="A12981">
        <v>5</v>
      </c>
      <c r="E12981" t="str">
        <f t="shared" si="425"/>
        <v>F</v>
      </c>
      <c r="F12981" t="str">
        <f t="shared" si="426"/>
        <v>5F</v>
      </c>
    </row>
    <row r="12982" spans="1:6" x14ac:dyDescent="0.2">
      <c r="A12982">
        <v>6</v>
      </c>
      <c r="E12982" t="str">
        <f t="shared" si="425"/>
        <v>G</v>
      </c>
      <c r="F12982" t="str">
        <f t="shared" si="426"/>
        <v>6G</v>
      </c>
    </row>
    <row r="12983" spans="1:6" x14ac:dyDescent="0.2">
      <c r="A12983">
        <v>7</v>
      </c>
      <c r="E12983" t="str">
        <f t="shared" si="425"/>
        <v>H</v>
      </c>
      <c r="F12983" t="str">
        <f t="shared" si="426"/>
        <v>7H</v>
      </c>
    </row>
    <row r="12984" spans="1:6" x14ac:dyDescent="0.2">
      <c r="A12984">
        <v>8</v>
      </c>
      <c r="E12984" t="str">
        <f t="shared" si="425"/>
        <v>I</v>
      </c>
      <c r="F12984" t="str">
        <f t="shared" si="426"/>
        <v>8I</v>
      </c>
    </row>
    <row r="12985" spans="1:6" x14ac:dyDescent="0.2">
      <c r="A12985">
        <v>9</v>
      </c>
      <c r="E12985" t="str">
        <f t="shared" si="425"/>
        <v>J</v>
      </c>
      <c r="F12985" t="str">
        <f t="shared" si="426"/>
        <v>9J</v>
      </c>
    </row>
    <row r="12986" spans="1:6" x14ac:dyDescent="0.2">
      <c r="A12986">
        <v>10</v>
      </c>
      <c r="E12986" t="str">
        <f t="shared" si="425"/>
        <v>K</v>
      </c>
      <c r="F12986" t="str">
        <f t="shared" si="426"/>
        <v>10K</v>
      </c>
    </row>
    <row r="12987" spans="1:6" x14ac:dyDescent="0.2">
      <c r="A12987">
        <v>11</v>
      </c>
      <c r="E12987" t="str">
        <f t="shared" si="425"/>
        <v>L</v>
      </c>
      <c r="F12987" t="str">
        <f t="shared" si="426"/>
        <v>11L</v>
      </c>
    </row>
    <row r="12988" spans="1:6" x14ac:dyDescent="0.2">
      <c r="A12988">
        <v>12</v>
      </c>
      <c r="E12988" t="str">
        <f t="shared" si="425"/>
        <v>M</v>
      </c>
      <c r="F12988" t="str">
        <f t="shared" si="426"/>
        <v>12M</v>
      </c>
    </row>
    <row r="12989" spans="1:6" x14ac:dyDescent="0.2">
      <c r="A12989">
        <v>13</v>
      </c>
      <c r="E12989" t="str">
        <f t="shared" si="425"/>
        <v>N</v>
      </c>
      <c r="F12989" t="str">
        <f t="shared" si="426"/>
        <v>13N</v>
      </c>
    </row>
    <row r="12990" spans="1:6" x14ac:dyDescent="0.2">
      <c r="A12990">
        <v>14</v>
      </c>
      <c r="E12990" t="str">
        <f t="shared" si="425"/>
        <v>O</v>
      </c>
      <c r="F12990" t="str">
        <f t="shared" si="426"/>
        <v>14O</v>
      </c>
    </row>
    <row r="12991" spans="1:6" x14ac:dyDescent="0.2">
      <c r="A12991">
        <v>15</v>
      </c>
      <c r="E12991" t="str">
        <f t="shared" si="425"/>
        <v>P</v>
      </c>
      <c r="F12991" t="str">
        <f t="shared" si="426"/>
        <v>15P</v>
      </c>
    </row>
    <row r="12992" spans="1:6" x14ac:dyDescent="0.2">
      <c r="A12992">
        <v>16</v>
      </c>
      <c r="E12992" t="str">
        <f t="shared" si="425"/>
        <v>Q</v>
      </c>
      <c r="F12992" t="str">
        <f t="shared" si="426"/>
        <v>16Q</v>
      </c>
    </row>
    <row r="12993" spans="1:6" x14ac:dyDescent="0.2">
      <c r="A12993">
        <v>17</v>
      </c>
      <c r="E12993" t="str">
        <f t="shared" si="425"/>
        <v>R</v>
      </c>
      <c r="F12993" t="str">
        <f t="shared" si="426"/>
        <v>17R</v>
      </c>
    </row>
    <row r="12994" spans="1:6" x14ac:dyDescent="0.2">
      <c r="A12994">
        <v>18</v>
      </c>
      <c r="E12994" t="str">
        <f t="shared" si="425"/>
        <v>S</v>
      </c>
      <c r="F12994" t="str">
        <f t="shared" si="426"/>
        <v>18S</v>
      </c>
    </row>
    <row r="12995" spans="1:6" x14ac:dyDescent="0.2">
      <c r="A12995">
        <v>19</v>
      </c>
      <c r="E12995" t="str">
        <f t="shared" si="425"/>
        <v>T</v>
      </c>
      <c r="F12995" t="str">
        <f t="shared" si="426"/>
        <v>19T</v>
      </c>
    </row>
    <row r="12996" spans="1:6" x14ac:dyDescent="0.2">
      <c r="A12996">
        <v>20</v>
      </c>
      <c r="E12996" t="str">
        <f t="shared" si="425"/>
        <v>U</v>
      </c>
      <c r="F12996" t="str">
        <f t="shared" si="426"/>
        <v>20U</v>
      </c>
    </row>
    <row r="12997" spans="1:6" x14ac:dyDescent="0.2">
      <c r="A12997">
        <v>21</v>
      </c>
      <c r="E12997" t="str">
        <f t="shared" si="425"/>
        <v>V</v>
      </c>
      <c r="F12997" t="str">
        <f t="shared" si="426"/>
        <v>21V</v>
      </c>
    </row>
    <row r="12998" spans="1:6" x14ac:dyDescent="0.2">
      <c r="A12998">
        <v>22</v>
      </c>
      <c r="E12998" t="str">
        <f t="shared" si="425"/>
        <v>W</v>
      </c>
      <c r="F12998" t="str">
        <f t="shared" si="426"/>
        <v>22W</v>
      </c>
    </row>
    <row r="12999" spans="1:6" x14ac:dyDescent="0.2">
      <c r="A12999">
        <v>23</v>
      </c>
      <c r="E12999" t="str">
        <f t="shared" si="425"/>
        <v>X</v>
      </c>
      <c r="F12999" t="str">
        <f t="shared" si="426"/>
        <v>23X</v>
      </c>
    </row>
    <row r="13000" spans="1:6" x14ac:dyDescent="0.2">
      <c r="A13000">
        <v>24</v>
      </c>
      <c r="E13000" t="str">
        <f t="shared" si="425"/>
        <v>Y</v>
      </c>
      <c r="F13000" t="str">
        <f t="shared" si="426"/>
        <v>24Y</v>
      </c>
    </row>
    <row r="13001" spans="1:6" x14ac:dyDescent="0.2">
      <c r="A13001">
        <v>25</v>
      </c>
      <c r="E13001" t="str">
        <f t="shared" si="425"/>
        <v>Z</v>
      </c>
      <c r="F13001" t="str">
        <f t="shared" si="426"/>
        <v>25Z</v>
      </c>
    </row>
    <row r="13002" spans="1:6" x14ac:dyDescent="0.2">
      <c r="A13002">
        <v>0</v>
      </c>
      <c r="E13002" t="str">
        <f t="shared" si="425"/>
        <v>A</v>
      </c>
      <c r="F13002" t="str">
        <f t="shared" si="426"/>
        <v>0A</v>
      </c>
    </row>
    <row r="13003" spans="1:6" x14ac:dyDescent="0.2">
      <c r="A13003">
        <v>1</v>
      </c>
      <c r="E13003" t="str">
        <f t="shared" si="425"/>
        <v>B</v>
      </c>
      <c r="F13003" t="str">
        <f t="shared" si="426"/>
        <v>1B</v>
      </c>
    </row>
    <row r="13004" spans="1:6" x14ac:dyDescent="0.2">
      <c r="A13004">
        <v>2</v>
      </c>
      <c r="E13004" t="str">
        <f t="shared" si="425"/>
        <v>C</v>
      </c>
      <c r="F13004" t="str">
        <f t="shared" si="426"/>
        <v>2C</v>
      </c>
    </row>
    <row r="13005" spans="1:6" x14ac:dyDescent="0.2">
      <c r="A13005">
        <v>3</v>
      </c>
      <c r="E13005" t="str">
        <f t="shared" si="425"/>
        <v>D</v>
      </c>
      <c r="F13005" t="str">
        <f t="shared" si="426"/>
        <v>3D</v>
      </c>
    </row>
    <row r="13006" spans="1:6" x14ac:dyDescent="0.2">
      <c r="A13006">
        <v>4</v>
      </c>
      <c r="E13006" t="str">
        <f t="shared" si="425"/>
        <v>E</v>
      </c>
      <c r="F13006" t="str">
        <f t="shared" si="426"/>
        <v>4E</v>
      </c>
    </row>
    <row r="13007" spans="1:6" x14ac:dyDescent="0.2">
      <c r="A13007">
        <v>5</v>
      </c>
      <c r="E13007" t="str">
        <f t="shared" si="425"/>
        <v>F</v>
      </c>
      <c r="F13007" t="str">
        <f t="shared" si="426"/>
        <v>5F</v>
      </c>
    </row>
    <row r="13008" spans="1:6" x14ac:dyDescent="0.2">
      <c r="A13008">
        <v>6</v>
      </c>
      <c r="E13008" t="str">
        <f t="shared" si="425"/>
        <v>G</v>
      </c>
      <c r="F13008" t="str">
        <f t="shared" si="426"/>
        <v>6G</v>
      </c>
    </row>
    <row r="13009" spans="1:6" x14ac:dyDescent="0.2">
      <c r="A13009">
        <v>7</v>
      </c>
      <c r="E13009" t="str">
        <f t="shared" si="425"/>
        <v>H</v>
      </c>
      <c r="F13009" t="str">
        <f t="shared" si="426"/>
        <v>7H</v>
      </c>
    </row>
    <row r="13010" spans="1:6" x14ac:dyDescent="0.2">
      <c r="A13010">
        <v>8</v>
      </c>
      <c r="E13010" t="str">
        <f t="shared" si="425"/>
        <v>I</v>
      </c>
      <c r="F13010" t="str">
        <f t="shared" si="426"/>
        <v>8I</v>
      </c>
    </row>
    <row r="13011" spans="1:6" x14ac:dyDescent="0.2">
      <c r="A13011">
        <v>9</v>
      </c>
      <c r="E13011" t="str">
        <f t="shared" si="425"/>
        <v>J</v>
      </c>
      <c r="F13011" t="str">
        <f t="shared" si="426"/>
        <v>9J</v>
      </c>
    </row>
    <row r="13012" spans="1:6" x14ac:dyDescent="0.2">
      <c r="A13012">
        <v>10</v>
      </c>
      <c r="E13012" t="str">
        <f t="shared" si="425"/>
        <v>K</v>
      </c>
      <c r="F13012" t="str">
        <f t="shared" si="426"/>
        <v>10K</v>
      </c>
    </row>
    <row r="13013" spans="1:6" x14ac:dyDescent="0.2">
      <c r="A13013">
        <v>11</v>
      </c>
      <c r="E13013" t="str">
        <f t="shared" ref="E13013:E13076" si="427">E12987</f>
        <v>L</v>
      </c>
      <c r="F13013" t="str">
        <f t="shared" si="426"/>
        <v>11L</v>
      </c>
    </row>
    <row r="13014" spans="1:6" x14ac:dyDescent="0.2">
      <c r="A13014">
        <v>12</v>
      </c>
      <c r="E13014" t="str">
        <f t="shared" si="427"/>
        <v>M</v>
      </c>
      <c r="F13014" t="str">
        <f t="shared" si="426"/>
        <v>12M</v>
      </c>
    </row>
    <row r="13015" spans="1:6" x14ac:dyDescent="0.2">
      <c r="A13015">
        <v>13</v>
      </c>
      <c r="E13015" t="str">
        <f t="shared" si="427"/>
        <v>N</v>
      </c>
      <c r="F13015" t="str">
        <f t="shared" ref="F13015:F13078" si="428">A13015&amp;C13015&amp;E13015</f>
        <v>13N</v>
      </c>
    </row>
    <row r="13016" spans="1:6" x14ac:dyDescent="0.2">
      <c r="A13016">
        <v>14</v>
      </c>
      <c r="E13016" t="str">
        <f t="shared" si="427"/>
        <v>O</v>
      </c>
      <c r="F13016" t="str">
        <f t="shared" si="428"/>
        <v>14O</v>
      </c>
    </row>
    <row r="13017" spans="1:6" x14ac:dyDescent="0.2">
      <c r="A13017">
        <v>15</v>
      </c>
      <c r="E13017" t="str">
        <f t="shared" si="427"/>
        <v>P</v>
      </c>
      <c r="F13017" t="str">
        <f t="shared" si="428"/>
        <v>15P</v>
      </c>
    </row>
    <row r="13018" spans="1:6" x14ac:dyDescent="0.2">
      <c r="A13018">
        <v>16</v>
      </c>
      <c r="E13018" t="str">
        <f t="shared" si="427"/>
        <v>Q</v>
      </c>
      <c r="F13018" t="str">
        <f t="shared" si="428"/>
        <v>16Q</v>
      </c>
    </row>
    <row r="13019" spans="1:6" x14ac:dyDescent="0.2">
      <c r="A13019">
        <v>17</v>
      </c>
      <c r="E13019" t="str">
        <f t="shared" si="427"/>
        <v>R</v>
      </c>
      <c r="F13019" t="str">
        <f t="shared" si="428"/>
        <v>17R</v>
      </c>
    </row>
    <row r="13020" spans="1:6" x14ac:dyDescent="0.2">
      <c r="A13020">
        <v>18</v>
      </c>
      <c r="E13020" t="str">
        <f t="shared" si="427"/>
        <v>S</v>
      </c>
      <c r="F13020" t="str">
        <f t="shared" si="428"/>
        <v>18S</v>
      </c>
    </row>
    <row r="13021" spans="1:6" x14ac:dyDescent="0.2">
      <c r="A13021">
        <v>19</v>
      </c>
      <c r="E13021" t="str">
        <f t="shared" si="427"/>
        <v>T</v>
      </c>
      <c r="F13021" t="str">
        <f t="shared" si="428"/>
        <v>19T</v>
      </c>
    </row>
    <row r="13022" spans="1:6" x14ac:dyDescent="0.2">
      <c r="A13022">
        <v>20</v>
      </c>
      <c r="E13022" t="str">
        <f t="shared" si="427"/>
        <v>U</v>
      </c>
      <c r="F13022" t="str">
        <f t="shared" si="428"/>
        <v>20U</v>
      </c>
    </row>
    <row r="13023" spans="1:6" x14ac:dyDescent="0.2">
      <c r="A13023">
        <v>21</v>
      </c>
      <c r="E13023" t="str">
        <f t="shared" si="427"/>
        <v>V</v>
      </c>
      <c r="F13023" t="str">
        <f t="shared" si="428"/>
        <v>21V</v>
      </c>
    </row>
    <row r="13024" spans="1:6" x14ac:dyDescent="0.2">
      <c r="A13024">
        <v>22</v>
      </c>
      <c r="E13024" t="str">
        <f t="shared" si="427"/>
        <v>W</v>
      </c>
      <c r="F13024" t="str">
        <f t="shared" si="428"/>
        <v>22W</v>
      </c>
    </row>
    <row r="13025" spans="1:6" x14ac:dyDescent="0.2">
      <c r="A13025">
        <v>23</v>
      </c>
      <c r="E13025" t="str">
        <f t="shared" si="427"/>
        <v>X</v>
      </c>
      <c r="F13025" t="str">
        <f t="shared" si="428"/>
        <v>23X</v>
      </c>
    </row>
    <row r="13026" spans="1:6" x14ac:dyDescent="0.2">
      <c r="A13026">
        <v>24</v>
      </c>
      <c r="E13026" t="str">
        <f t="shared" si="427"/>
        <v>Y</v>
      </c>
      <c r="F13026" t="str">
        <f t="shared" si="428"/>
        <v>24Y</v>
      </c>
    </row>
    <row r="13027" spans="1:6" x14ac:dyDescent="0.2">
      <c r="A13027">
        <v>25</v>
      </c>
      <c r="E13027" t="str">
        <f t="shared" si="427"/>
        <v>Z</v>
      </c>
      <c r="F13027" t="str">
        <f t="shared" si="428"/>
        <v>25Z</v>
      </c>
    </row>
    <row r="13028" spans="1:6" x14ac:dyDescent="0.2">
      <c r="A13028">
        <v>0</v>
      </c>
      <c r="E13028" t="str">
        <f t="shared" si="427"/>
        <v>A</v>
      </c>
      <c r="F13028" t="str">
        <f t="shared" si="428"/>
        <v>0A</v>
      </c>
    </row>
    <row r="13029" spans="1:6" x14ac:dyDescent="0.2">
      <c r="A13029">
        <v>1</v>
      </c>
      <c r="E13029" t="str">
        <f t="shared" si="427"/>
        <v>B</v>
      </c>
      <c r="F13029" t="str">
        <f t="shared" si="428"/>
        <v>1B</v>
      </c>
    </row>
    <row r="13030" spans="1:6" x14ac:dyDescent="0.2">
      <c r="A13030">
        <v>2</v>
      </c>
      <c r="E13030" t="str">
        <f t="shared" si="427"/>
        <v>C</v>
      </c>
      <c r="F13030" t="str">
        <f t="shared" si="428"/>
        <v>2C</v>
      </c>
    </row>
    <row r="13031" spans="1:6" x14ac:dyDescent="0.2">
      <c r="A13031">
        <v>3</v>
      </c>
      <c r="E13031" t="str">
        <f t="shared" si="427"/>
        <v>D</v>
      </c>
      <c r="F13031" t="str">
        <f t="shared" si="428"/>
        <v>3D</v>
      </c>
    </row>
    <row r="13032" spans="1:6" x14ac:dyDescent="0.2">
      <c r="A13032">
        <v>4</v>
      </c>
      <c r="E13032" t="str">
        <f t="shared" si="427"/>
        <v>E</v>
      </c>
      <c r="F13032" t="str">
        <f t="shared" si="428"/>
        <v>4E</v>
      </c>
    </row>
    <row r="13033" spans="1:6" x14ac:dyDescent="0.2">
      <c r="A13033">
        <v>5</v>
      </c>
      <c r="E13033" t="str">
        <f t="shared" si="427"/>
        <v>F</v>
      </c>
      <c r="F13033" t="str">
        <f t="shared" si="428"/>
        <v>5F</v>
      </c>
    </row>
    <row r="13034" spans="1:6" x14ac:dyDescent="0.2">
      <c r="A13034">
        <v>6</v>
      </c>
      <c r="E13034" t="str">
        <f t="shared" si="427"/>
        <v>G</v>
      </c>
      <c r="F13034" t="str">
        <f t="shared" si="428"/>
        <v>6G</v>
      </c>
    </row>
    <row r="13035" spans="1:6" x14ac:dyDescent="0.2">
      <c r="A13035">
        <v>7</v>
      </c>
      <c r="E13035" t="str">
        <f t="shared" si="427"/>
        <v>H</v>
      </c>
      <c r="F13035" t="str">
        <f t="shared" si="428"/>
        <v>7H</v>
      </c>
    </row>
    <row r="13036" spans="1:6" x14ac:dyDescent="0.2">
      <c r="A13036">
        <v>8</v>
      </c>
      <c r="E13036" t="str">
        <f t="shared" si="427"/>
        <v>I</v>
      </c>
      <c r="F13036" t="str">
        <f t="shared" si="428"/>
        <v>8I</v>
      </c>
    </row>
    <row r="13037" spans="1:6" x14ac:dyDescent="0.2">
      <c r="A13037">
        <v>9</v>
      </c>
      <c r="E13037" t="str">
        <f t="shared" si="427"/>
        <v>J</v>
      </c>
      <c r="F13037" t="str">
        <f t="shared" si="428"/>
        <v>9J</v>
      </c>
    </row>
    <row r="13038" spans="1:6" x14ac:dyDescent="0.2">
      <c r="A13038">
        <v>10</v>
      </c>
      <c r="E13038" t="str">
        <f t="shared" si="427"/>
        <v>K</v>
      </c>
      <c r="F13038" t="str">
        <f t="shared" si="428"/>
        <v>10K</v>
      </c>
    </row>
    <row r="13039" spans="1:6" x14ac:dyDescent="0.2">
      <c r="A13039">
        <v>11</v>
      </c>
      <c r="E13039" t="str">
        <f t="shared" si="427"/>
        <v>L</v>
      </c>
      <c r="F13039" t="str">
        <f t="shared" si="428"/>
        <v>11L</v>
      </c>
    </row>
    <row r="13040" spans="1:6" x14ac:dyDescent="0.2">
      <c r="A13040">
        <v>12</v>
      </c>
      <c r="E13040" t="str">
        <f t="shared" si="427"/>
        <v>M</v>
      </c>
      <c r="F13040" t="str">
        <f t="shared" si="428"/>
        <v>12M</v>
      </c>
    </row>
    <row r="13041" spans="1:6" x14ac:dyDescent="0.2">
      <c r="A13041">
        <v>13</v>
      </c>
      <c r="E13041" t="str">
        <f t="shared" si="427"/>
        <v>N</v>
      </c>
      <c r="F13041" t="str">
        <f t="shared" si="428"/>
        <v>13N</v>
      </c>
    </row>
    <row r="13042" spans="1:6" x14ac:dyDescent="0.2">
      <c r="A13042">
        <v>14</v>
      </c>
      <c r="E13042" t="str">
        <f t="shared" si="427"/>
        <v>O</v>
      </c>
      <c r="F13042" t="str">
        <f t="shared" si="428"/>
        <v>14O</v>
      </c>
    </row>
    <row r="13043" spans="1:6" x14ac:dyDescent="0.2">
      <c r="A13043">
        <v>15</v>
      </c>
      <c r="E13043" t="str">
        <f t="shared" si="427"/>
        <v>P</v>
      </c>
      <c r="F13043" t="str">
        <f t="shared" si="428"/>
        <v>15P</v>
      </c>
    </row>
    <row r="13044" spans="1:6" x14ac:dyDescent="0.2">
      <c r="A13044">
        <v>16</v>
      </c>
      <c r="E13044" t="str">
        <f t="shared" si="427"/>
        <v>Q</v>
      </c>
      <c r="F13044" t="str">
        <f t="shared" si="428"/>
        <v>16Q</v>
      </c>
    </row>
    <row r="13045" spans="1:6" x14ac:dyDescent="0.2">
      <c r="A13045">
        <v>17</v>
      </c>
      <c r="E13045" t="str">
        <f t="shared" si="427"/>
        <v>R</v>
      </c>
      <c r="F13045" t="str">
        <f t="shared" si="428"/>
        <v>17R</v>
      </c>
    </row>
    <row r="13046" spans="1:6" x14ac:dyDescent="0.2">
      <c r="A13046">
        <v>18</v>
      </c>
      <c r="E13046" t="str">
        <f t="shared" si="427"/>
        <v>S</v>
      </c>
      <c r="F13046" t="str">
        <f t="shared" si="428"/>
        <v>18S</v>
      </c>
    </row>
    <row r="13047" spans="1:6" x14ac:dyDescent="0.2">
      <c r="A13047">
        <v>19</v>
      </c>
      <c r="E13047" t="str">
        <f t="shared" si="427"/>
        <v>T</v>
      </c>
      <c r="F13047" t="str">
        <f t="shared" si="428"/>
        <v>19T</v>
      </c>
    </row>
    <row r="13048" spans="1:6" x14ac:dyDescent="0.2">
      <c r="A13048">
        <v>20</v>
      </c>
      <c r="E13048" t="str">
        <f t="shared" si="427"/>
        <v>U</v>
      </c>
      <c r="F13048" t="str">
        <f t="shared" si="428"/>
        <v>20U</v>
      </c>
    </row>
    <row r="13049" spans="1:6" x14ac:dyDescent="0.2">
      <c r="A13049">
        <v>21</v>
      </c>
      <c r="E13049" t="str">
        <f t="shared" si="427"/>
        <v>V</v>
      </c>
      <c r="F13049" t="str">
        <f t="shared" si="428"/>
        <v>21V</v>
      </c>
    </row>
    <row r="13050" spans="1:6" x14ac:dyDescent="0.2">
      <c r="A13050">
        <v>22</v>
      </c>
      <c r="E13050" t="str">
        <f t="shared" si="427"/>
        <v>W</v>
      </c>
      <c r="F13050" t="str">
        <f t="shared" si="428"/>
        <v>22W</v>
      </c>
    </row>
    <row r="13051" spans="1:6" x14ac:dyDescent="0.2">
      <c r="A13051">
        <v>23</v>
      </c>
      <c r="E13051" t="str">
        <f t="shared" si="427"/>
        <v>X</v>
      </c>
      <c r="F13051" t="str">
        <f t="shared" si="428"/>
        <v>23X</v>
      </c>
    </row>
    <row r="13052" spans="1:6" x14ac:dyDescent="0.2">
      <c r="A13052">
        <v>24</v>
      </c>
      <c r="E13052" t="str">
        <f t="shared" si="427"/>
        <v>Y</v>
      </c>
      <c r="F13052" t="str">
        <f t="shared" si="428"/>
        <v>24Y</v>
      </c>
    </row>
    <row r="13053" spans="1:6" x14ac:dyDescent="0.2">
      <c r="A13053">
        <v>25</v>
      </c>
      <c r="E13053" t="str">
        <f t="shared" si="427"/>
        <v>Z</v>
      </c>
      <c r="F13053" t="str">
        <f t="shared" si="428"/>
        <v>25Z</v>
      </c>
    </row>
    <row r="13054" spans="1:6" x14ac:dyDescent="0.2">
      <c r="A13054">
        <v>0</v>
      </c>
      <c r="E13054" t="str">
        <f t="shared" si="427"/>
        <v>A</v>
      </c>
      <c r="F13054" t="str">
        <f t="shared" si="428"/>
        <v>0A</v>
      </c>
    </row>
    <row r="13055" spans="1:6" x14ac:dyDescent="0.2">
      <c r="A13055">
        <v>1</v>
      </c>
      <c r="E13055" t="str">
        <f t="shared" si="427"/>
        <v>B</v>
      </c>
      <c r="F13055" t="str">
        <f t="shared" si="428"/>
        <v>1B</v>
      </c>
    </row>
    <row r="13056" spans="1:6" x14ac:dyDescent="0.2">
      <c r="A13056">
        <v>2</v>
      </c>
      <c r="E13056" t="str">
        <f t="shared" si="427"/>
        <v>C</v>
      </c>
      <c r="F13056" t="str">
        <f t="shared" si="428"/>
        <v>2C</v>
      </c>
    </row>
    <row r="13057" spans="1:6" x14ac:dyDescent="0.2">
      <c r="A13057">
        <v>3</v>
      </c>
      <c r="E13057" t="str">
        <f t="shared" si="427"/>
        <v>D</v>
      </c>
      <c r="F13057" t="str">
        <f t="shared" si="428"/>
        <v>3D</v>
      </c>
    </row>
    <row r="13058" spans="1:6" x14ac:dyDescent="0.2">
      <c r="A13058">
        <v>4</v>
      </c>
      <c r="E13058" t="str">
        <f t="shared" si="427"/>
        <v>E</v>
      </c>
      <c r="F13058" t="str">
        <f t="shared" si="428"/>
        <v>4E</v>
      </c>
    </row>
    <row r="13059" spans="1:6" x14ac:dyDescent="0.2">
      <c r="A13059">
        <v>5</v>
      </c>
      <c r="E13059" t="str">
        <f t="shared" si="427"/>
        <v>F</v>
      </c>
      <c r="F13059" t="str">
        <f t="shared" si="428"/>
        <v>5F</v>
      </c>
    </row>
    <row r="13060" spans="1:6" x14ac:dyDescent="0.2">
      <c r="A13060">
        <v>6</v>
      </c>
      <c r="E13060" t="str">
        <f t="shared" si="427"/>
        <v>G</v>
      </c>
      <c r="F13060" t="str">
        <f t="shared" si="428"/>
        <v>6G</v>
      </c>
    </row>
    <row r="13061" spans="1:6" x14ac:dyDescent="0.2">
      <c r="A13061">
        <v>7</v>
      </c>
      <c r="E13061" t="str">
        <f t="shared" si="427"/>
        <v>H</v>
      </c>
      <c r="F13061" t="str">
        <f t="shared" si="428"/>
        <v>7H</v>
      </c>
    </row>
    <row r="13062" spans="1:6" x14ac:dyDescent="0.2">
      <c r="A13062">
        <v>8</v>
      </c>
      <c r="E13062" t="str">
        <f t="shared" si="427"/>
        <v>I</v>
      </c>
      <c r="F13062" t="str">
        <f t="shared" si="428"/>
        <v>8I</v>
      </c>
    </row>
    <row r="13063" spans="1:6" x14ac:dyDescent="0.2">
      <c r="A13063">
        <v>9</v>
      </c>
      <c r="E13063" t="str">
        <f t="shared" si="427"/>
        <v>J</v>
      </c>
      <c r="F13063" t="str">
        <f t="shared" si="428"/>
        <v>9J</v>
      </c>
    </row>
    <row r="13064" spans="1:6" x14ac:dyDescent="0.2">
      <c r="A13064">
        <v>10</v>
      </c>
      <c r="E13064" t="str">
        <f t="shared" si="427"/>
        <v>K</v>
      </c>
      <c r="F13064" t="str">
        <f t="shared" si="428"/>
        <v>10K</v>
      </c>
    </row>
    <row r="13065" spans="1:6" x14ac:dyDescent="0.2">
      <c r="A13065">
        <v>11</v>
      </c>
      <c r="E13065" t="str">
        <f t="shared" si="427"/>
        <v>L</v>
      </c>
      <c r="F13065" t="str">
        <f t="shared" si="428"/>
        <v>11L</v>
      </c>
    </row>
    <row r="13066" spans="1:6" x14ac:dyDescent="0.2">
      <c r="A13066">
        <v>12</v>
      </c>
      <c r="E13066" t="str">
        <f t="shared" si="427"/>
        <v>M</v>
      </c>
      <c r="F13066" t="str">
        <f t="shared" si="428"/>
        <v>12M</v>
      </c>
    </row>
    <row r="13067" spans="1:6" x14ac:dyDescent="0.2">
      <c r="A13067">
        <v>13</v>
      </c>
      <c r="E13067" t="str">
        <f t="shared" si="427"/>
        <v>N</v>
      </c>
      <c r="F13067" t="str">
        <f t="shared" si="428"/>
        <v>13N</v>
      </c>
    </row>
    <row r="13068" spans="1:6" x14ac:dyDescent="0.2">
      <c r="A13068">
        <v>14</v>
      </c>
      <c r="E13068" t="str">
        <f t="shared" si="427"/>
        <v>O</v>
      </c>
      <c r="F13068" t="str">
        <f t="shared" si="428"/>
        <v>14O</v>
      </c>
    </row>
    <row r="13069" spans="1:6" x14ac:dyDescent="0.2">
      <c r="A13069">
        <v>15</v>
      </c>
      <c r="E13069" t="str">
        <f t="shared" si="427"/>
        <v>P</v>
      </c>
      <c r="F13069" t="str">
        <f t="shared" si="428"/>
        <v>15P</v>
      </c>
    </row>
    <row r="13070" spans="1:6" x14ac:dyDescent="0.2">
      <c r="A13070">
        <v>16</v>
      </c>
      <c r="E13070" t="str">
        <f t="shared" si="427"/>
        <v>Q</v>
      </c>
      <c r="F13070" t="str">
        <f t="shared" si="428"/>
        <v>16Q</v>
      </c>
    </row>
    <row r="13071" spans="1:6" x14ac:dyDescent="0.2">
      <c r="A13071">
        <v>17</v>
      </c>
      <c r="E13071" t="str">
        <f t="shared" si="427"/>
        <v>R</v>
      </c>
      <c r="F13071" t="str">
        <f t="shared" si="428"/>
        <v>17R</v>
      </c>
    </row>
    <row r="13072" spans="1:6" x14ac:dyDescent="0.2">
      <c r="A13072">
        <v>18</v>
      </c>
      <c r="E13072" t="str">
        <f t="shared" si="427"/>
        <v>S</v>
      </c>
      <c r="F13072" t="str">
        <f t="shared" si="428"/>
        <v>18S</v>
      </c>
    </row>
    <row r="13073" spans="1:6" x14ac:dyDescent="0.2">
      <c r="A13073">
        <v>19</v>
      </c>
      <c r="E13073" t="str">
        <f t="shared" si="427"/>
        <v>T</v>
      </c>
      <c r="F13073" t="str">
        <f t="shared" si="428"/>
        <v>19T</v>
      </c>
    </row>
    <row r="13074" spans="1:6" x14ac:dyDescent="0.2">
      <c r="A13074">
        <v>20</v>
      </c>
      <c r="E13074" t="str">
        <f t="shared" si="427"/>
        <v>U</v>
      </c>
      <c r="F13074" t="str">
        <f t="shared" si="428"/>
        <v>20U</v>
      </c>
    </row>
    <row r="13075" spans="1:6" x14ac:dyDescent="0.2">
      <c r="A13075">
        <v>21</v>
      </c>
      <c r="E13075" t="str">
        <f t="shared" si="427"/>
        <v>V</v>
      </c>
      <c r="F13075" t="str">
        <f t="shared" si="428"/>
        <v>21V</v>
      </c>
    </row>
    <row r="13076" spans="1:6" x14ac:dyDescent="0.2">
      <c r="A13076">
        <v>22</v>
      </c>
      <c r="E13076" t="str">
        <f t="shared" si="427"/>
        <v>W</v>
      </c>
      <c r="F13076" t="str">
        <f t="shared" si="428"/>
        <v>22W</v>
      </c>
    </row>
    <row r="13077" spans="1:6" x14ac:dyDescent="0.2">
      <c r="A13077">
        <v>23</v>
      </c>
      <c r="E13077" t="str">
        <f t="shared" ref="E13077:E13140" si="429">E13051</f>
        <v>X</v>
      </c>
      <c r="F13077" t="str">
        <f t="shared" si="428"/>
        <v>23X</v>
      </c>
    </row>
    <row r="13078" spans="1:6" x14ac:dyDescent="0.2">
      <c r="A13078">
        <v>24</v>
      </c>
      <c r="E13078" t="str">
        <f t="shared" si="429"/>
        <v>Y</v>
      </c>
      <c r="F13078" t="str">
        <f t="shared" si="428"/>
        <v>24Y</v>
      </c>
    </row>
    <row r="13079" spans="1:6" x14ac:dyDescent="0.2">
      <c r="A13079">
        <v>25</v>
      </c>
      <c r="E13079" t="str">
        <f t="shared" si="429"/>
        <v>Z</v>
      </c>
      <c r="F13079" t="str">
        <f t="shared" ref="F13079:F13142" si="430">A13079&amp;C13079&amp;E13079</f>
        <v>25Z</v>
      </c>
    </row>
    <row r="13080" spans="1:6" x14ac:dyDescent="0.2">
      <c r="A13080">
        <v>0</v>
      </c>
      <c r="E13080" t="str">
        <f t="shared" si="429"/>
        <v>A</v>
      </c>
      <c r="F13080" t="str">
        <f t="shared" si="430"/>
        <v>0A</v>
      </c>
    </row>
    <row r="13081" spans="1:6" x14ac:dyDescent="0.2">
      <c r="A13081">
        <v>1</v>
      </c>
      <c r="E13081" t="str">
        <f t="shared" si="429"/>
        <v>B</v>
      </c>
      <c r="F13081" t="str">
        <f t="shared" si="430"/>
        <v>1B</v>
      </c>
    </row>
    <row r="13082" spans="1:6" x14ac:dyDescent="0.2">
      <c r="A13082">
        <v>2</v>
      </c>
      <c r="E13082" t="str">
        <f t="shared" si="429"/>
        <v>C</v>
      </c>
      <c r="F13082" t="str">
        <f t="shared" si="430"/>
        <v>2C</v>
      </c>
    </row>
    <row r="13083" spans="1:6" x14ac:dyDescent="0.2">
      <c r="A13083">
        <v>3</v>
      </c>
      <c r="E13083" t="str">
        <f t="shared" si="429"/>
        <v>D</v>
      </c>
      <c r="F13083" t="str">
        <f t="shared" si="430"/>
        <v>3D</v>
      </c>
    </row>
    <row r="13084" spans="1:6" x14ac:dyDescent="0.2">
      <c r="A13084">
        <v>4</v>
      </c>
      <c r="E13084" t="str">
        <f t="shared" si="429"/>
        <v>E</v>
      </c>
      <c r="F13084" t="str">
        <f t="shared" si="430"/>
        <v>4E</v>
      </c>
    </row>
    <row r="13085" spans="1:6" x14ac:dyDescent="0.2">
      <c r="A13085">
        <v>5</v>
      </c>
      <c r="E13085" t="str">
        <f t="shared" si="429"/>
        <v>F</v>
      </c>
      <c r="F13085" t="str">
        <f t="shared" si="430"/>
        <v>5F</v>
      </c>
    </row>
    <row r="13086" spans="1:6" x14ac:dyDescent="0.2">
      <c r="A13086">
        <v>6</v>
      </c>
      <c r="E13086" t="str">
        <f t="shared" si="429"/>
        <v>G</v>
      </c>
      <c r="F13086" t="str">
        <f t="shared" si="430"/>
        <v>6G</v>
      </c>
    </row>
    <row r="13087" spans="1:6" x14ac:dyDescent="0.2">
      <c r="A13087">
        <v>7</v>
      </c>
      <c r="E13087" t="str">
        <f t="shared" si="429"/>
        <v>H</v>
      </c>
      <c r="F13087" t="str">
        <f t="shared" si="430"/>
        <v>7H</v>
      </c>
    </row>
    <row r="13088" spans="1:6" x14ac:dyDescent="0.2">
      <c r="A13088">
        <v>8</v>
      </c>
      <c r="E13088" t="str">
        <f t="shared" si="429"/>
        <v>I</v>
      </c>
      <c r="F13088" t="str">
        <f t="shared" si="430"/>
        <v>8I</v>
      </c>
    </row>
    <row r="13089" spans="1:6" x14ac:dyDescent="0.2">
      <c r="A13089">
        <v>9</v>
      </c>
      <c r="E13089" t="str">
        <f t="shared" si="429"/>
        <v>J</v>
      </c>
      <c r="F13089" t="str">
        <f t="shared" si="430"/>
        <v>9J</v>
      </c>
    </row>
    <row r="13090" spans="1:6" x14ac:dyDescent="0.2">
      <c r="A13090">
        <v>10</v>
      </c>
      <c r="E13090" t="str">
        <f t="shared" si="429"/>
        <v>K</v>
      </c>
      <c r="F13090" t="str">
        <f t="shared" si="430"/>
        <v>10K</v>
      </c>
    </row>
    <row r="13091" spans="1:6" x14ac:dyDescent="0.2">
      <c r="A13091">
        <v>11</v>
      </c>
      <c r="E13091" t="str">
        <f t="shared" si="429"/>
        <v>L</v>
      </c>
      <c r="F13091" t="str">
        <f t="shared" si="430"/>
        <v>11L</v>
      </c>
    </row>
    <row r="13092" spans="1:6" x14ac:dyDescent="0.2">
      <c r="A13092">
        <v>12</v>
      </c>
      <c r="E13092" t="str">
        <f t="shared" si="429"/>
        <v>M</v>
      </c>
      <c r="F13092" t="str">
        <f t="shared" si="430"/>
        <v>12M</v>
      </c>
    </row>
    <row r="13093" spans="1:6" x14ac:dyDescent="0.2">
      <c r="A13093">
        <v>13</v>
      </c>
      <c r="E13093" t="str">
        <f t="shared" si="429"/>
        <v>N</v>
      </c>
      <c r="F13093" t="str">
        <f t="shared" si="430"/>
        <v>13N</v>
      </c>
    </row>
    <row r="13094" spans="1:6" x14ac:dyDescent="0.2">
      <c r="A13094">
        <v>14</v>
      </c>
      <c r="E13094" t="str">
        <f t="shared" si="429"/>
        <v>O</v>
      </c>
      <c r="F13094" t="str">
        <f t="shared" si="430"/>
        <v>14O</v>
      </c>
    </row>
    <row r="13095" spans="1:6" x14ac:dyDescent="0.2">
      <c r="A13095">
        <v>15</v>
      </c>
      <c r="E13095" t="str">
        <f t="shared" si="429"/>
        <v>P</v>
      </c>
      <c r="F13095" t="str">
        <f t="shared" si="430"/>
        <v>15P</v>
      </c>
    </row>
    <row r="13096" spans="1:6" x14ac:dyDescent="0.2">
      <c r="A13096">
        <v>16</v>
      </c>
      <c r="E13096" t="str">
        <f t="shared" si="429"/>
        <v>Q</v>
      </c>
      <c r="F13096" t="str">
        <f t="shared" si="430"/>
        <v>16Q</v>
      </c>
    </row>
    <row r="13097" spans="1:6" x14ac:dyDescent="0.2">
      <c r="A13097">
        <v>17</v>
      </c>
      <c r="E13097" t="str">
        <f t="shared" si="429"/>
        <v>R</v>
      </c>
      <c r="F13097" t="str">
        <f t="shared" si="430"/>
        <v>17R</v>
      </c>
    </row>
    <row r="13098" spans="1:6" x14ac:dyDescent="0.2">
      <c r="A13098">
        <v>18</v>
      </c>
      <c r="E13098" t="str">
        <f t="shared" si="429"/>
        <v>S</v>
      </c>
      <c r="F13098" t="str">
        <f t="shared" si="430"/>
        <v>18S</v>
      </c>
    </row>
    <row r="13099" spans="1:6" x14ac:dyDescent="0.2">
      <c r="A13099">
        <v>19</v>
      </c>
      <c r="E13099" t="str">
        <f t="shared" si="429"/>
        <v>T</v>
      </c>
      <c r="F13099" t="str">
        <f t="shared" si="430"/>
        <v>19T</v>
      </c>
    </row>
    <row r="13100" spans="1:6" x14ac:dyDescent="0.2">
      <c r="A13100">
        <v>20</v>
      </c>
      <c r="E13100" t="str">
        <f t="shared" si="429"/>
        <v>U</v>
      </c>
      <c r="F13100" t="str">
        <f t="shared" si="430"/>
        <v>20U</v>
      </c>
    </row>
    <row r="13101" spans="1:6" x14ac:dyDescent="0.2">
      <c r="A13101">
        <v>21</v>
      </c>
      <c r="E13101" t="str">
        <f t="shared" si="429"/>
        <v>V</v>
      </c>
      <c r="F13101" t="str">
        <f t="shared" si="430"/>
        <v>21V</v>
      </c>
    </row>
    <row r="13102" spans="1:6" x14ac:dyDescent="0.2">
      <c r="A13102">
        <v>22</v>
      </c>
      <c r="E13102" t="str">
        <f t="shared" si="429"/>
        <v>W</v>
      </c>
      <c r="F13102" t="str">
        <f t="shared" si="430"/>
        <v>22W</v>
      </c>
    </row>
    <row r="13103" spans="1:6" x14ac:dyDescent="0.2">
      <c r="A13103">
        <v>23</v>
      </c>
      <c r="E13103" t="str">
        <f t="shared" si="429"/>
        <v>X</v>
      </c>
      <c r="F13103" t="str">
        <f t="shared" si="430"/>
        <v>23X</v>
      </c>
    </row>
    <row r="13104" spans="1:6" x14ac:dyDescent="0.2">
      <c r="A13104">
        <v>24</v>
      </c>
      <c r="E13104" t="str">
        <f t="shared" si="429"/>
        <v>Y</v>
      </c>
      <c r="F13104" t="str">
        <f t="shared" si="430"/>
        <v>24Y</v>
      </c>
    </row>
    <row r="13105" spans="1:6" x14ac:dyDescent="0.2">
      <c r="A13105">
        <v>25</v>
      </c>
      <c r="E13105" t="str">
        <f t="shared" si="429"/>
        <v>Z</v>
      </c>
      <c r="F13105" t="str">
        <f t="shared" si="430"/>
        <v>25Z</v>
      </c>
    </row>
    <row r="13106" spans="1:6" x14ac:dyDescent="0.2">
      <c r="A13106">
        <v>0</v>
      </c>
      <c r="E13106" t="str">
        <f t="shared" si="429"/>
        <v>A</v>
      </c>
      <c r="F13106" t="str">
        <f t="shared" si="430"/>
        <v>0A</v>
      </c>
    </row>
    <row r="13107" spans="1:6" x14ac:dyDescent="0.2">
      <c r="A13107">
        <v>1</v>
      </c>
      <c r="E13107" t="str">
        <f t="shared" si="429"/>
        <v>B</v>
      </c>
      <c r="F13107" t="str">
        <f t="shared" si="430"/>
        <v>1B</v>
      </c>
    </row>
    <row r="13108" spans="1:6" x14ac:dyDescent="0.2">
      <c r="A13108">
        <v>2</v>
      </c>
      <c r="E13108" t="str">
        <f t="shared" si="429"/>
        <v>C</v>
      </c>
      <c r="F13108" t="str">
        <f t="shared" si="430"/>
        <v>2C</v>
      </c>
    </row>
    <row r="13109" spans="1:6" x14ac:dyDescent="0.2">
      <c r="A13109">
        <v>3</v>
      </c>
      <c r="E13109" t="str">
        <f t="shared" si="429"/>
        <v>D</v>
      </c>
      <c r="F13109" t="str">
        <f t="shared" si="430"/>
        <v>3D</v>
      </c>
    </row>
    <row r="13110" spans="1:6" x14ac:dyDescent="0.2">
      <c r="A13110">
        <v>4</v>
      </c>
      <c r="E13110" t="str">
        <f t="shared" si="429"/>
        <v>E</v>
      </c>
      <c r="F13110" t="str">
        <f t="shared" si="430"/>
        <v>4E</v>
      </c>
    </row>
    <row r="13111" spans="1:6" x14ac:dyDescent="0.2">
      <c r="A13111">
        <v>5</v>
      </c>
      <c r="E13111" t="str">
        <f t="shared" si="429"/>
        <v>F</v>
      </c>
      <c r="F13111" t="str">
        <f t="shared" si="430"/>
        <v>5F</v>
      </c>
    </row>
    <row r="13112" spans="1:6" x14ac:dyDescent="0.2">
      <c r="A13112">
        <v>6</v>
      </c>
      <c r="E13112" t="str">
        <f t="shared" si="429"/>
        <v>G</v>
      </c>
      <c r="F13112" t="str">
        <f t="shared" si="430"/>
        <v>6G</v>
      </c>
    </row>
    <row r="13113" spans="1:6" x14ac:dyDescent="0.2">
      <c r="A13113">
        <v>7</v>
      </c>
      <c r="E13113" t="str">
        <f t="shared" si="429"/>
        <v>H</v>
      </c>
      <c r="F13113" t="str">
        <f t="shared" si="430"/>
        <v>7H</v>
      </c>
    </row>
    <row r="13114" spans="1:6" x14ac:dyDescent="0.2">
      <c r="A13114">
        <v>8</v>
      </c>
      <c r="E13114" t="str">
        <f t="shared" si="429"/>
        <v>I</v>
      </c>
      <c r="F13114" t="str">
        <f t="shared" si="430"/>
        <v>8I</v>
      </c>
    </row>
    <row r="13115" spans="1:6" x14ac:dyDescent="0.2">
      <c r="A13115">
        <v>9</v>
      </c>
      <c r="E13115" t="str">
        <f t="shared" si="429"/>
        <v>J</v>
      </c>
      <c r="F13115" t="str">
        <f t="shared" si="430"/>
        <v>9J</v>
      </c>
    </row>
    <row r="13116" spans="1:6" x14ac:dyDescent="0.2">
      <c r="A13116">
        <v>10</v>
      </c>
      <c r="E13116" t="str">
        <f t="shared" si="429"/>
        <v>K</v>
      </c>
      <c r="F13116" t="str">
        <f t="shared" si="430"/>
        <v>10K</v>
      </c>
    </row>
    <row r="13117" spans="1:6" x14ac:dyDescent="0.2">
      <c r="A13117">
        <v>11</v>
      </c>
      <c r="E13117" t="str">
        <f t="shared" si="429"/>
        <v>L</v>
      </c>
      <c r="F13117" t="str">
        <f t="shared" si="430"/>
        <v>11L</v>
      </c>
    </row>
    <row r="13118" spans="1:6" x14ac:dyDescent="0.2">
      <c r="A13118">
        <v>12</v>
      </c>
      <c r="E13118" t="str">
        <f t="shared" si="429"/>
        <v>M</v>
      </c>
      <c r="F13118" t="str">
        <f t="shared" si="430"/>
        <v>12M</v>
      </c>
    </row>
    <row r="13119" spans="1:6" x14ac:dyDescent="0.2">
      <c r="A13119">
        <v>13</v>
      </c>
      <c r="E13119" t="str">
        <f t="shared" si="429"/>
        <v>N</v>
      </c>
      <c r="F13119" t="str">
        <f t="shared" si="430"/>
        <v>13N</v>
      </c>
    </row>
    <row r="13120" spans="1:6" x14ac:dyDescent="0.2">
      <c r="A13120">
        <v>14</v>
      </c>
      <c r="E13120" t="str">
        <f t="shared" si="429"/>
        <v>O</v>
      </c>
      <c r="F13120" t="str">
        <f t="shared" si="430"/>
        <v>14O</v>
      </c>
    </row>
    <row r="13121" spans="1:6" x14ac:dyDescent="0.2">
      <c r="A13121">
        <v>15</v>
      </c>
      <c r="E13121" t="str">
        <f t="shared" si="429"/>
        <v>P</v>
      </c>
      <c r="F13121" t="str">
        <f t="shared" si="430"/>
        <v>15P</v>
      </c>
    </row>
    <row r="13122" spans="1:6" x14ac:dyDescent="0.2">
      <c r="A13122">
        <v>16</v>
      </c>
      <c r="E13122" t="str">
        <f t="shared" si="429"/>
        <v>Q</v>
      </c>
      <c r="F13122" t="str">
        <f t="shared" si="430"/>
        <v>16Q</v>
      </c>
    </row>
    <row r="13123" spans="1:6" x14ac:dyDescent="0.2">
      <c r="A13123">
        <v>17</v>
      </c>
      <c r="E13123" t="str">
        <f t="shared" si="429"/>
        <v>R</v>
      </c>
      <c r="F13123" t="str">
        <f t="shared" si="430"/>
        <v>17R</v>
      </c>
    </row>
    <row r="13124" spans="1:6" x14ac:dyDescent="0.2">
      <c r="A13124">
        <v>18</v>
      </c>
      <c r="E13124" t="str">
        <f t="shared" si="429"/>
        <v>S</v>
      </c>
      <c r="F13124" t="str">
        <f t="shared" si="430"/>
        <v>18S</v>
      </c>
    </row>
    <row r="13125" spans="1:6" x14ac:dyDescent="0.2">
      <c r="A13125">
        <v>19</v>
      </c>
      <c r="E13125" t="str">
        <f t="shared" si="429"/>
        <v>T</v>
      </c>
      <c r="F13125" t="str">
        <f t="shared" si="430"/>
        <v>19T</v>
      </c>
    </row>
    <row r="13126" spans="1:6" x14ac:dyDescent="0.2">
      <c r="A13126">
        <v>20</v>
      </c>
      <c r="E13126" t="str">
        <f t="shared" si="429"/>
        <v>U</v>
      </c>
      <c r="F13126" t="str">
        <f t="shared" si="430"/>
        <v>20U</v>
      </c>
    </row>
    <row r="13127" spans="1:6" x14ac:dyDescent="0.2">
      <c r="A13127">
        <v>21</v>
      </c>
      <c r="E13127" t="str">
        <f t="shared" si="429"/>
        <v>V</v>
      </c>
      <c r="F13127" t="str">
        <f t="shared" si="430"/>
        <v>21V</v>
      </c>
    </row>
    <row r="13128" spans="1:6" x14ac:dyDescent="0.2">
      <c r="A13128">
        <v>22</v>
      </c>
      <c r="E13128" t="str">
        <f t="shared" si="429"/>
        <v>W</v>
      </c>
      <c r="F13128" t="str">
        <f t="shared" si="430"/>
        <v>22W</v>
      </c>
    </row>
    <row r="13129" spans="1:6" x14ac:dyDescent="0.2">
      <c r="A13129">
        <v>23</v>
      </c>
      <c r="E13129" t="str">
        <f t="shared" si="429"/>
        <v>X</v>
      </c>
      <c r="F13129" t="str">
        <f t="shared" si="430"/>
        <v>23X</v>
      </c>
    </row>
    <row r="13130" spans="1:6" x14ac:dyDescent="0.2">
      <c r="A13130">
        <v>24</v>
      </c>
      <c r="E13130" t="str">
        <f t="shared" si="429"/>
        <v>Y</v>
      </c>
      <c r="F13130" t="str">
        <f t="shared" si="430"/>
        <v>24Y</v>
      </c>
    </row>
    <row r="13131" spans="1:6" x14ac:dyDescent="0.2">
      <c r="A13131">
        <v>25</v>
      </c>
      <c r="E13131" t="str">
        <f t="shared" si="429"/>
        <v>Z</v>
      </c>
      <c r="F13131" t="str">
        <f t="shared" si="430"/>
        <v>25Z</v>
      </c>
    </row>
    <row r="13132" spans="1:6" x14ac:dyDescent="0.2">
      <c r="A13132">
        <v>0</v>
      </c>
      <c r="E13132" t="str">
        <f t="shared" si="429"/>
        <v>A</v>
      </c>
      <c r="F13132" t="str">
        <f t="shared" si="430"/>
        <v>0A</v>
      </c>
    </row>
    <row r="13133" spans="1:6" x14ac:dyDescent="0.2">
      <c r="A13133">
        <v>1</v>
      </c>
      <c r="E13133" t="str">
        <f t="shared" si="429"/>
        <v>B</v>
      </c>
      <c r="F13133" t="str">
        <f t="shared" si="430"/>
        <v>1B</v>
      </c>
    </row>
    <row r="13134" spans="1:6" x14ac:dyDescent="0.2">
      <c r="A13134">
        <v>2</v>
      </c>
      <c r="E13134" t="str">
        <f t="shared" si="429"/>
        <v>C</v>
      </c>
      <c r="F13134" t="str">
        <f t="shared" si="430"/>
        <v>2C</v>
      </c>
    </row>
    <row r="13135" spans="1:6" x14ac:dyDescent="0.2">
      <c r="A13135">
        <v>3</v>
      </c>
      <c r="E13135" t="str">
        <f t="shared" si="429"/>
        <v>D</v>
      </c>
      <c r="F13135" t="str">
        <f t="shared" si="430"/>
        <v>3D</v>
      </c>
    </row>
    <row r="13136" spans="1:6" x14ac:dyDescent="0.2">
      <c r="A13136">
        <v>4</v>
      </c>
      <c r="E13136" t="str">
        <f t="shared" si="429"/>
        <v>E</v>
      </c>
      <c r="F13136" t="str">
        <f t="shared" si="430"/>
        <v>4E</v>
      </c>
    </row>
    <row r="13137" spans="1:6" x14ac:dyDescent="0.2">
      <c r="A13137">
        <v>5</v>
      </c>
      <c r="E13137" t="str">
        <f t="shared" si="429"/>
        <v>F</v>
      </c>
      <c r="F13137" t="str">
        <f t="shared" si="430"/>
        <v>5F</v>
      </c>
    </row>
    <row r="13138" spans="1:6" x14ac:dyDescent="0.2">
      <c r="A13138">
        <v>6</v>
      </c>
      <c r="E13138" t="str">
        <f t="shared" si="429"/>
        <v>G</v>
      </c>
      <c r="F13138" t="str">
        <f t="shared" si="430"/>
        <v>6G</v>
      </c>
    </row>
    <row r="13139" spans="1:6" x14ac:dyDescent="0.2">
      <c r="A13139">
        <v>7</v>
      </c>
      <c r="E13139" t="str">
        <f t="shared" si="429"/>
        <v>H</v>
      </c>
      <c r="F13139" t="str">
        <f t="shared" si="430"/>
        <v>7H</v>
      </c>
    </row>
    <row r="13140" spans="1:6" x14ac:dyDescent="0.2">
      <c r="A13140">
        <v>8</v>
      </c>
      <c r="E13140" t="str">
        <f t="shared" si="429"/>
        <v>I</v>
      </c>
      <c r="F13140" t="str">
        <f t="shared" si="430"/>
        <v>8I</v>
      </c>
    </row>
    <row r="13141" spans="1:6" x14ac:dyDescent="0.2">
      <c r="A13141">
        <v>9</v>
      </c>
      <c r="E13141" t="str">
        <f t="shared" ref="E13141:E13204" si="431">E13115</f>
        <v>J</v>
      </c>
      <c r="F13141" t="str">
        <f t="shared" si="430"/>
        <v>9J</v>
      </c>
    </row>
    <row r="13142" spans="1:6" x14ac:dyDescent="0.2">
      <c r="A13142">
        <v>10</v>
      </c>
      <c r="E13142" t="str">
        <f t="shared" si="431"/>
        <v>K</v>
      </c>
      <c r="F13142" t="str">
        <f t="shared" si="430"/>
        <v>10K</v>
      </c>
    </row>
    <row r="13143" spans="1:6" x14ac:dyDescent="0.2">
      <c r="A13143">
        <v>11</v>
      </c>
      <c r="E13143" t="str">
        <f t="shared" si="431"/>
        <v>L</v>
      </c>
      <c r="F13143" t="str">
        <f t="shared" ref="F13143:F13206" si="432">A13143&amp;C13143&amp;E13143</f>
        <v>11L</v>
      </c>
    </row>
    <row r="13144" spans="1:6" x14ac:dyDescent="0.2">
      <c r="A13144">
        <v>12</v>
      </c>
      <c r="E13144" t="str">
        <f t="shared" si="431"/>
        <v>M</v>
      </c>
      <c r="F13144" t="str">
        <f t="shared" si="432"/>
        <v>12M</v>
      </c>
    </row>
    <row r="13145" spans="1:6" x14ac:dyDescent="0.2">
      <c r="A13145">
        <v>13</v>
      </c>
      <c r="E13145" t="str">
        <f t="shared" si="431"/>
        <v>N</v>
      </c>
      <c r="F13145" t="str">
        <f t="shared" si="432"/>
        <v>13N</v>
      </c>
    </row>
    <row r="13146" spans="1:6" x14ac:dyDescent="0.2">
      <c r="A13146">
        <v>14</v>
      </c>
      <c r="E13146" t="str">
        <f t="shared" si="431"/>
        <v>O</v>
      </c>
      <c r="F13146" t="str">
        <f t="shared" si="432"/>
        <v>14O</v>
      </c>
    </row>
    <row r="13147" spans="1:6" x14ac:dyDescent="0.2">
      <c r="A13147">
        <v>15</v>
      </c>
      <c r="E13147" t="str">
        <f t="shared" si="431"/>
        <v>P</v>
      </c>
      <c r="F13147" t="str">
        <f t="shared" si="432"/>
        <v>15P</v>
      </c>
    </row>
    <row r="13148" spans="1:6" x14ac:dyDescent="0.2">
      <c r="A13148">
        <v>16</v>
      </c>
      <c r="E13148" t="str">
        <f t="shared" si="431"/>
        <v>Q</v>
      </c>
      <c r="F13148" t="str">
        <f t="shared" si="432"/>
        <v>16Q</v>
      </c>
    </row>
    <row r="13149" spans="1:6" x14ac:dyDescent="0.2">
      <c r="A13149">
        <v>17</v>
      </c>
      <c r="E13149" t="str">
        <f t="shared" si="431"/>
        <v>R</v>
      </c>
      <c r="F13149" t="str">
        <f t="shared" si="432"/>
        <v>17R</v>
      </c>
    </row>
    <row r="13150" spans="1:6" x14ac:dyDescent="0.2">
      <c r="A13150">
        <v>18</v>
      </c>
      <c r="E13150" t="str">
        <f t="shared" si="431"/>
        <v>S</v>
      </c>
      <c r="F13150" t="str">
        <f t="shared" si="432"/>
        <v>18S</v>
      </c>
    </row>
    <row r="13151" spans="1:6" x14ac:dyDescent="0.2">
      <c r="A13151">
        <v>19</v>
      </c>
      <c r="E13151" t="str">
        <f t="shared" si="431"/>
        <v>T</v>
      </c>
      <c r="F13151" t="str">
        <f t="shared" si="432"/>
        <v>19T</v>
      </c>
    </row>
    <row r="13152" spans="1:6" x14ac:dyDescent="0.2">
      <c r="A13152">
        <v>20</v>
      </c>
      <c r="E13152" t="str">
        <f t="shared" si="431"/>
        <v>U</v>
      </c>
      <c r="F13152" t="str">
        <f t="shared" si="432"/>
        <v>20U</v>
      </c>
    </row>
    <row r="13153" spans="1:6" x14ac:dyDescent="0.2">
      <c r="A13153">
        <v>21</v>
      </c>
      <c r="E13153" t="str">
        <f t="shared" si="431"/>
        <v>V</v>
      </c>
      <c r="F13153" t="str">
        <f t="shared" si="432"/>
        <v>21V</v>
      </c>
    </row>
    <row r="13154" spans="1:6" x14ac:dyDescent="0.2">
      <c r="A13154">
        <v>22</v>
      </c>
      <c r="E13154" t="str">
        <f t="shared" si="431"/>
        <v>W</v>
      </c>
      <c r="F13154" t="str">
        <f t="shared" si="432"/>
        <v>22W</v>
      </c>
    </row>
    <row r="13155" spans="1:6" x14ac:dyDescent="0.2">
      <c r="A13155">
        <v>23</v>
      </c>
      <c r="E13155" t="str">
        <f t="shared" si="431"/>
        <v>X</v>
      </c>
      <c r="F13155" t="str">
        <f t="shared" si="432"/>
        <v>23X</v>
      </c>
    </row>
    <row r="13156" spans="1:6" x14ac:dyDescent="0.2">
      <c r="A13156">
        <v>24</v>
      </c>
      <c r="E13156" t="str">
        <f t="shared" si="431"/>
        <v>Y</v>
      </c>
      <c r="F13156" t="str">
        <f t="shared" si="432"/>
        <v>24Y</v>
      </c>
    </row>
    <row r="13157" spans="1:6" x14ac:dyDescent="0.2">
      <c r="A13157">
        <v>25</v>
      </c>
      <c r="E13157" t="str">
        <f t="shared" si="431"/>
        <v>Z</v>
      </c>
      <c r="F13157" t="str">
        <f t="shared" si="432"/>
        <v>25Z</v>
      </c>
    </row>
    <row r="13158" spans="1:6" x14ac:dyDescent="0.2">
      <c r="A13158">
        <v>0</v>
      </c>
      <c r="E13158" t="str">
        <f t="shared" si="431"/>
        <v>A</v>
      </c>
      <c r="F13158" t="str">
        <f t="shared" si="432"/>
        <v>0A</v>
      </c>
    </row>
    <row r="13159" spans="1:6" x14ac:dyDescent="0.2">
      <c r="A13159">
        <v>1</v>
      </c>
      <c r="E13159" t="str">
        <f t="shared" si="431"/>
        <v>B</v>
      </c>
      <c r="F13159" t="str">
        <f t="shared" si="432"/>
        <v>1B</v>
      </c>
    </row>
    <row r="13160" spans="1:6" x14ac:dyDescent="0.2">
      <c r="A13160">
        <v>2</v>
      </c>
      <c r="E13160" t="str">
        <f t="shared" si="431"/>
        <v>C</v>
      </c>
      <c r="F13160" t="str">
        <f t="shared" si="432"/>
        <v>2C</v>
      </c>
    </row>
    <row r="13161" spans="1:6" x14ac:dyDescent="0.2">
      <c r="A13161">
        <v>3</v>
      </c>
      <c r="E13161" t="str">
        <f t="shared" si="431"/>
        <v>D</v>
      </c>
      <c r="F13161" t="str">
        <f t="shared" si="432"/>
        <v>3D</v>
      </c>
    </row>
    <row r="13162" spans="1:6" x14ac:dyDescent="0.2">
      <c r="A13162">
        <v>4</v>
      </c>
      <c r="E13162" t="str">
        <f t="shared" si="431"/>
        <v>E</v>
      </c>
      <c r="F13162" t="str">
        <f t="shared" si="432"/>
        <v>4E</v>
      </c>
    </row>
    <row r="13163" spans="1:6" x14ac:dyDescent="0.2">
      <c r="A13163">
        <v>5</v>
      </c>
      <c r="E13163" t="str">
        <f t="shared" si="431"/>
        <v>F</v>
      </c>
      <c r="F13163" t="str">
        <f t="shared" si="432"/>
        <v>5F</v>
      </c>
    </row>
    <row r="13164" spans="1:6" x14ac:dyDescent="0.2">
      <c r="A13164">
        <v>6</v>
      </c>
      <c r="E13164" t="str">
        <f t="shared" si="431"/>
        <v>G</v>
      </c>
      <c r="F13164" t="str">
        <f t="shared" si="432"/>
        <v>6G</v>
      </c>
    </row>
    <row r="13165" spans="1:6" x14ac:dyDescent="0.2">
      <c r="A13165">
        <v>7</v>
      </c>
      <c r="E13165" t="str">
        <f t="shared" si="431"/>
        <v>H</v>
      </c>
      <c r="F13165" t="str">
        <f t="shared" si="432"/>
        <v>7H</v>
      </c>
    </row>
    <row r="13166" spans="1:6" x14ac:dyDescent="0.2">
      <c r="A13166">
        <v>8</v>
      </c>
      <c r="E13166" t="str">
        <f t="shared" si="431"/>
        <v>I</v>
      </c>
      <c r="F13166" t="str">
        <f t="shared" si="432"/>
        <v>8I</v>
      </c>
    </row>
    <row r="13167" spans="1:6" x14ac:dyDescent="0.2">
      <c r="A13167">
        <v>9</v>
      </c>
      <c r="E13167" t="str">
        <f t="shared" si="431"/>
        <v>J</v>
      </c>
      <c r="F13167" t="str">
        <f t="shared" si="432"/>
        <v>9J</v>
      </c>
    </row>
    <row r="13168" spans="1:6" x14ac:dyDescent="0.2">
      <c r="A13168">
        <v>10</v>
      </c>
      <c r="E13168" t="str">
        <f t="shared" si="431"/>
        <v>K</v>
      </c>
      <c r="F13168" t="str">
        <f t="shared" si="432"/>
        <v>10K</v>
      </c>
    </row>
    <row r="13169" spans="1:6" x14ac:dyDescent="0.2">
      <c r="A13169">
        <v>11</v>
      </c>
      <c r="E13169" t="str">
        <f t="shared" si="431"/>
        <v>L</v>
      </c>
      <c r="F13169" t="str">
        <f t="shared" si="432"/>
        <v>11L</v>
      </c>
    </row>
    <row r="13170" spans="1:6" x14ac:dyDescent="0.2">
      <c r="A13170">
        <v>12</v>
      </c>
      <c r="E13170" t="str">
        <f t="shared" si="431"/>
        <v>M</v>
      </c>
      <c r="F13170" t="str">
        <f t="shared" si="432"/>
        <v>12M</v>
      </c>
    </row>
    <row r="13171" spans="1:6" x14ac:dyDescent="0.2">
      <c r="A13171">
        <v>13</v>
      </c>
      <c r="E13171" t="str">
        <f t="shared" si="431"/>
        <v>N</v>
      </c>
      <c r="F13171" t="str">
        <f t="shared" si="432"/>
        <v>13N</v>
      </c>
    </row>
    <row r="13172" spans="1:6" x14ac:dyDescent="0.2">
      <c r="A13172">
        <v>14</v>
      </c>
      <c r="E13172" t="str">
        <f t="shared" si="431"/>
        <v>O</v>
      </c>
      <c r="F13172" t="str">
        <f t="shared" si="432"/>
        <v>14O</v>
      </c>
    </row>
    <row r="13173" spans="1:6" x14ac:dyDescent="0.2">
      <c r="A13173">
        <v>15</v>
      </c>
      <c r="E13173" t="str">
        <f t="shared" si="431"/>
        <v>P</v>
      </c>
      <c r="F13173" t="str">
        <f t="shared" si="432"/>
        <v>15P</v>
      </c>
    </row>
    <row r="13174" spans="1:6" x14ac:dyDescent="0.2">
      <c r="A13174">
        <v>16</v>
      </c>
      <c r="E13174" t="str">
        <f t="shared" si="431"/>
        <v>Q</v>
      </c>
      <c r="F13174" t="str">
        <f t="shared" si="432"/>
        <v>16Q</v>
      </c>
    </row>
    <row r="13175" spans="1:6" x14ac:dyDescent="0.2">
      <c r="A13175">
        <v>17</v>
      </c>
      <c r="E13175" t="str">
        <f t="shared" si="431"/>
        <v>R</v>
      </c>
      <c r="F13175" t="str">
        <f t="shared" si="432"/>
        <v>17R</v>
      </c>
    </row>
    <row r="13176" spans="1:6" x14ac:dyDescent="0.2">
      <c r="A13176">
        <v>18</v>
      </c>
      <c r="E13176" t="str">
        <f t="shared" si="431"/>
        <v>S</v>
      </c>
      <c r="F13176" t="str">
        <f t="shared" si="432"/>
        <v>18S</v>
      </c>
    </row>
    <row r="13177" spans="1:6" x14ac:dyDescent="0.2">
      <c r="A13177">
        <v>19</v>
      </c>
      <c r="E13177" t="str">
        <f t="shared" si="431"/>
        <v>T</v>
      </c>
      <c r="F13177" t="str">
        <f t="shared" si="432"/>
        <v>19T</v>
      </c>
    </row>
    <row r="13178" spans="1:6" x14ac:dyDescent="0.2">
      <c r="A13178">
        <v>20</v>
      </c>
      <c r="E13178" t="str">
        <f t="shared" si="431"/>
        <v>U</v>
      </c>
      <c r="F13178" t="str">
        <f t="shared" si="432"/>
        <v>20U</v>
      </c>
    </row>
    <row r="13179" spans="1:6" x14ac:dyDescent="0.2">
      <c r="A13179">
        <v>21</v>
      </c>
      <c r="E13179" t="str">
        <f t="shared" si="431"/>
        <v>V</v>
      </c>
      <c r="F13179" t="str">
        <f t="shared" si="432"/>
        <v>21V</v>
      </c>
    </row>
    <row r="13180" spans="1:6" x14ac:dyDescent="0.2">
      <c r="A13180">
        <v>22</v>
      </c>
      <c r="E13180" t="str">
        <f t="shared" si="431"/>
        <v>W</v>
      </c>
      <c r="F13180" t="str">
        <f t="shared" si="432"/>
        <v>22W</v>
      </c>
    </row>
    <row r="13181" spans="1:6" x14ac:dyDescent="0.2">
      <c r="A13181">
        <v>23</v>
      </c>
      <c r="E13181" t="str">
        <f t="shared" si="431"/>
        <v>X</v>
      </c>
      <c r="F13181" t="str">
        <f t="shared" si="432"/>
        <v>23X</v>
      </c>
    </row>
    <row r="13182" spans="1:6" x14ac:dyDescent="0.2">
      <c r="A13182">
        <v>24</v>
      </c>
      <c r="E13182" t="str">
        <f t="shared" si="431"/>
        <v>Y</v>
      </c>
      <c r="F13182" t="str">
        <f t="shared" si="432"/>
        <v>24Y</v>
      </c>
    </row>
    <row r="13183" spans="1:6" x14ac:dyDescent="0.2">
      <c r="A13183">
        <v>25</v>
      </c>
      <c r="E13183" t="str">
        <f t="shared" si="431"/>
        <v>Z</v>
      </c>
      <c r="F13183" t="str">
        <f t="shared" si="432"/>
        <v>25Z</v>
      </c>
    </row>
    <row r="13184" spans="1:6" x14ac:dyDescent="0.2">
      <c r="A13184">
        <v>0</v>
      </c>
      <c r="E13184" t="str">
        <f t="shared" si="431"/>
        <v>A</v>
      </c>
      <c r="F13184" t="str">
        <f t="shared" si="432"/>
        <v>0A</v>
      </c>
    </row>
    <row r="13185" spans="1:6" x14ac:dyDescent="0.2">
      <c r="A13185">
        <v>1</v>
      </c>
      <c r="E13185" t="str">
        <f t="shared" si="431"/>
        <v>B</v>
      </c>
      <c r="F13185" t="str">
        <f t="shared" si="432"/>
        <v>1B</v>
      </c>
    </row>
    <row r="13186" spans="1:6" x14ac:dyDescent="0.2">
      <c r="A13186">
        <v>2</v>
      </c>
      <c r="E13186" t="str">
        <f t="shared" si="431"/>
        <v>C</v>
      </c>
      <c r="F13186" t="str">
        <f t="shared" si="432"/>
        <v>2C</v>
      </c>
    </row>
    <row r="13187" spans="1:6" x14ac:dyDescent="0.2">
      <c r="A13187">
        <v>3</v>
      </c>
      <c r="E13187" t="str">
        <f t="shared" si="431"/>
        <v>D</v>
      </c>
      <c r="F13187" t="str">
        <f t="shared" si="432"/>
        <v>3D</v>
      </c>
    </row>
    <row r="13188" spans="1:6" x14ac:dyDescent="0.2">
      <c r="A13188">
        <v>4</v>
      </c>
      <c r="E13188" t="str">
        <f t="shared" si="431"/>
        <v>E</v>
      </c>
      <c r="F13188" t="str">
        <f t="shared" si="432"/>
        <v>4E</v>
      </c>
    </row>
    <row r="13189" spans="1:6" x14ac:dyDescent="0.2">
      <c r="A13189">
        <v>5</v>
      </c>
      <c r="E13189" t="str">
        <f t="shared" si="431"/>
        <v>F</v>
      </c>
      <c r="F13189" t="str">
        <f t="shared" si="432"/>
        <v>5F</v>
      </c>
    </row>
    <row r="13190" spans="1:6" x14ac:dyDescent="0.2">
      <c r="A13190">
        <v>6</v>
      </c>
      <c r="E13190" t="str">
        <f t="shared" si="431"/>
        <v>G</v>
      </c>
      <c r="F13190" t="str">
        <f t="shared" si="432"/>
        <v>6G</v>
      </c>
    </row>
    <row r="13191" spans="1:6" x14ac:dyDescent="0.2">
      <c r="A13191">
        <v>7</v>
      </c>
      <c r="E13191" t="str">
        <f t="shared" si="431"/>
        <v>H</v>
      </c>
      <c r="F13191" t="str">
        <f t="shared" si="432"/>
        <v>7H</v>
      </c>
    </row>
    <row r="13192" spans="1:6" x14ac:dyDescent="0.2">
      <c r="A13192">
        <v>8</v>
      </c>
      <c r="E13192" t="str">
        <f t="shared" si="431"/>
        <v>I</v>
      </c>
      <c r="F13192" t="str">
        <f t="shared" si="432"/>
        <v>8I</v>
      </c>
    </row>
    <row r="13193" spans="1:6" x14ac:dyDescent="0.2">
      <c r="A13193">
        <v>9</v>
      </c>
      <c r="E13193" t="str">
        <f t="shared" si="431"/>
        <v>J</v>
      </c>
      <c r="F13193" t="str">
        <f t="shared" si="432"/>
        <v>9J</v>
      </c>
    </row>
    <row r="13194" spans="1:6" x14ac:dyDescent="0.2">
      <c r="A13194">
        <v>10</v>
      </c>
      <c r="E13194" t="str">
        <f t="shared" si="431"/>
        <v>K</v>
      </c>
      <c r="F13194" t="str">
        <f t="shared" si="432"/>
        <v>10K</v>
      </c>
    </row>
    <row r="13195" spans="1:6" x14ac:dyDescent="0.2">
      <c r="A13195">
        <v>11</v>
      </c>
      <c r="E13195" t="str">
        <f t="shared" si="431"/>
        <v>L</v>
      </c>
      <c r="F13195" t="str">
        <f t="shared" si="432"/>
        <v>11L</v>
      </c>
    </row>
    <row r="13196" spans="1:6" x14ac:dyDescent="0.2">
      <c r="A13196">
        <v>12</v>
      </c>
      <c r="E13196" t="str">
        <f t="shared" si="431"/>
        <v>M</v>
      </c>
      <c r="F13196" t="str">
        <f t="shared" si="432"/>
        <v>12M</v>
      </c>
    </row>
    <row r="13197" spans="1:6" x14ac:dyDescent="0.2">
      <c r="A13197">
        <v>13</v>
      </c>
      <c r="E13197" t="str">
        <f t="shared" si="431"/>
        <v>N</v>
      </c>
      <c r="F13197" t="str">
        <f t="shared" si="432"/>
        <v>13N</v>
      </c>
    </row>
    <row r="13198" spans="1:6" x14ac:dyDescent="0.2">
      <c r="A13198">
        <v>14</v>
      </c>
      <c r="E13198" t="str">
        <f t="shared" si="431"/>
        <v>O</v>
      </c>
      <c r="F13198" t="str">
        <f t="shared" si="432"/>
        <v>14O</v>
      </c>
    </row>
    <row r="13199" spans="1:6" x14ac:dyDescent="0.2">
      <c r="A13199">
        <v>15</v>
      </c>
      <c r="E13199" t="str">
        <f t="shared" si="431"/>
        <v>P</v>
      </c>
      <c r="F13199" t="str">
        <f t="shared" si="432"/>
        <v>15P</v>
      </c>
    </row>
    <row r="13200" spans="1:6" x14ac:dyDescent="0.2">
      <c r="A13200">
        <v>16</v>
      </c>
      <c r="E13200" t="str">
        <f t="shared" si="431"/>
        <v>Q</v>
      </c>
      <c r="F13200" t="str">
        <f t="shared" si="432"/>
        <v>16Q</v>
      </c>
    </row>
    <row r="13201" spans="1:6" x14ac:dyDescent="0.2">
      <c r="A13201">
        <v>17</v>
      </c>
      <c r="E13201" t="str">
        <f t="shared" si="431"/>
        <v>R</v>
      </c>
      <c r="F13201" t="str">
        <f t="shared" si="432"/>
        <v>17R</v>
      </c>
    </row>
    <row r="13202" spans="1:6" x14ac:dyDescent="0.2">
      <c r="A13202">
        <v>18</v>
      </c>
      <c r="E13202" t="str">
        <f t="shared" si="431"/>
        <v>S</v>
      </c>
      <c r="F13202" t="str">
        <f t="shared" si="432"/>
        <v>18S</v>
      </c>
    </row>
    <row r="13203" spans="1:6" x14ac:dyDescent="0.2">
      <c r="A13203">
        <v>19</v>
      </c>
      <c r="E13203" t="str">
        <f t="shared" si="431"/>
        <v>T</v>
      </c>
      <c r="F13203" t="str">
        <f t="shared" si="432"/>
        <v>19T</v>
      </c>
    </row>
    <row r="13204" spans="1:6" x14ac:dyDescent="0.2">
      <c r="A13204">
        <v>20</v>
      </c>
      <c r="E13204" t="str">
        <f t="shared" si="431"/>
        <v>U</v>
      </c>
      <c r="F13204" t="str">
        <f t="shared" si="432"/>
        <v>20U</v>
      </c>
    </row>
    <row r="13205" spans="1:6" x14ac:dyDescent="0.2">
      <c r="A13205">
        <v>21</v>
      </c>
      <c r="E13205" t="str">
        <f t="shared" ref="E13205:E13268" si="433">E13179</f>
        <v>V</v>
      </c>
      <c r="F13205" t="str">
        <f t="shared" si="432"/>
        <v>21V</v>
      </c>
    </row>
    <row r="13206" spans="1:6" x14ac:dyDescent="0.2">
      <c r="A13206">
        <v>22</v>
      </c>
      <c r="E13206" t="str">
        <f t="shared" si="433"/>
        <v>W</v>
      </c>
      <c r="F13206" t="str">
        <f t="shared" si="432"/>
        <v>22W</v>
      </c>
    </row>
    <row r="13207" spans="1:6" x14ac:dyDescent="0.2">
      <c r="A13207">
        <v>23</v>
      </c>
      <c r="E13207" t="str">
        <f t="shared" si="433"/>
        <v>X</v>
      </c>
      <c r="F13207" t="str">
        <f t="shared" ref="F13207:F13270" si="434">A13207&amp;C13207&amp;E13207</f>
        <v>23X</v>
      </c>
    </row>
    <row r="13208" spans="1:6" x14ac:dyDescent="0.2">
      <c r="A13208">
        <v>24</v>
      </c>
      <c r="E13208" t="str">
        <f t="shared" si="433"/>
        <v>Y</v>
      </c>
      <c r="F13208" t="str">
        <f t="shared" si="434"/>
        <v>24Y</v>
      </c>
    </row>
    <row r="13209" spans="1:6" x14ac:dyDescent="0.2">
      <c r="A13209">
        <v>25</v>
      </c>
      <c r="E13209" t="str">
        <f t="shared" si="433"/>
        <v>Z</v>
      </c>
      <c r="F13209" t="str">
        <f t="shared" si="434"/>
        <v>25Z</v>
      </c>
    </row>
    <row r="13210" spans="1:6" x14ac:dyDescent="0.2">
      <c r="A13210">
        <v>0</v>
      </c>
      <c r="E13210" t="str">
        <f t="shared" si="433"/>
        <v>A</v>
      </c>
      <c r="F13210" t="str">
        <f t="shared" si="434"/>
        <v>0A</v>
      </c>
    </row>
    <row r="13211" spans="1:6" x14ac:dyDescent="0.2">
      <c r="A13211">
        <v>1</v>
      </c>
      <c r="E13211" t="str">
        <f t="shared" si="433"/>
        <v>B</v>
      </c>
      <c r="F13211" t="str">
        <f t="shared" si="434"/>
        <v>1B</v>
      </c>
    </row>
    <row r="13212" spans="1:6" x14ac:dyDescent="0.2">
      <c r="A13212">
        <v>2</v>
      </c>
      <c r="E13212" t="str">
        <f t="shared" si="433"/>
        <v>C</v>
      </c>
      <c r="F13212" t="str">
        <f t="shared" si="434"/>
        <v>2C</v>
      </c>
    </row>
    <row r="13213" spans="1:6" x14ac:dyDescent="0.2">
      <c r="A13213">
        <v>3</v>
      </c>
      <c r="E13213" t="str">
        <f t="shared" si="433"/>
        <v>D</v>
      </c>
      <c r="F13213" t="str">
        <f t="shared" si="434"/>
        <v>3D</v>
      </c>
    </row>
    <row r="13214" spans="1:6" x14ac:dyDescent="0.2">
      <c r="A13214">
        <v>4</v>
      </c>
      <c r="E13214" t="str">
        <f t="shared" si="433"/>
        <v>E</v>
      </c>
      <c r="F13214" t="str">
        <f t="shared" si="434"/>
        <v>4E</v>
      </c>
    </row>
    <row r="13215" spans="1:6" x14ac:dyDescent="0.2">
      <c r="A13215">
        <v>5</v>
      </c>
      <c r="E13215" t="str">
        <f t="shared" si="433"/>
        <v>F</v>
      </c>
      <c r="F13215" t="str">
        <f t="shared" si="434"/>
        <v>5F</v>
      </c>
    </row>
    <row r="13216" spans="1:6" x14ac:dyDescent="0.2">
      <c r="A13216">
        <v>6</v>
      </c>
      <c r="E13216" t="str">
        <f t="shared" si="433"/>
        <v>G</v>
      </c>
      <c r="F13216" t="str">
        <f t="shared" si="434"/>
        <v>6G</v>
      </c>
    </row>
    <row r="13217" spans="1:6" x14ac:dyDescent="0.2">
      <c r="A13217">
        <v>7</v>
      </c>
      <c r="E13217" t="str">
        <f t="shared" si="433"/>
        <v>H</v>
      </c>
      <c r="F13217" t="str">
        <f t="shared" si="434"/>
        <v>7H</v>
      </c>
    </row>
    <row r="13218" spans="1:6" x14ac:dyDescent="0.2">
      <c r="A13218">
        <v>8</v>
      </c>
      <c r="E13218" t="str">
        <f t="shared" si="433"/>
        <v>I</v>
      </c>
      <c r="F13218" t="str">
        <f t="shared" si="434"/>
        <v>8I</v>
      </c>
    </row>
    <row r="13219" spans="1:6" x14ac:dyDescent="0.2">
      <c r="A13219">
        <v>9</v>
      </c>
      <c r="E13219" t="str">
        <f t="shared" si="433"/>
        <v>J</v>
      </c>
      <c r="F13219" t="str">
        <f t="shared" si="434"/>
        <v>9J</v>
      </c>
    </row>
    <row r="13220" spans="1:6" x14ac:dyDescent="0.2">
      <c r="A13220">
        <v>10</v>
      </c>
      <c r="E13220" t="str">
        <f t="shared" si="433"/>
        <v>K</v>
      </c>
      <c r="F13220" t="str">
        <f t="shared" si="434"/>
        <v>10K</v>
      </c>
    </row>
    <row r="13221" spans="1:6" x14ac:dyDescent="0.2">
      <c r="A13221">
        <v>11</v>
      </c>
      <c r="E13221" t="str">
        <f t="shared" si="433"/>
        <v>L</v>
      </c>
      <c r="F13221" t="str">
        <f t="shared" si="434"/>
        <v>11L</v>
      </c>
    </row>
    <row r="13222" spans="1:6" x14ac:dyDescent="0.2">
      <c r="A13222">
        <v>12</v>
      </c>
      <c r="E13222" t="str">
        <f t="shared" si="433"/>
        <v>M</v>
      </c>
      <c r="F13222" t="str">
        <f t="shared" si="434"/>
        <v>12M</v>
      </c>
    </row>
    <row r="13223" spans="1:6" x14ac:dyDescent="0.2">
      <c r="A13223">
        <v>13</v>
      </c>
      <c r="E13223" t="str">
        <f t="shared" si="433"/>
        <v>N</v>
      </c>
      <c r="F13223" t="str">
        <f t="shared" si="434"/>
        <v>13N</v>
      </c>
    </row>
    <row r="13224" spans="1:6" x14ac:dyDescent="0.2">
      <c r="A13224">
        <v>14</v>
      </c>
      <c r="E13224" t="str">
        <f t="shared" si="433"/>
        <v>O</v>
      </c>
      <c r="F13224" t="str">
        <f t="shared" si="434"/>
        <v>14O</v>
      </c>
    </row>
    <row r="13225" spans="1:6" x14ac:dyDescent="0.2">
      <c r="A13225">
        <v>15</v>
      </c>
      <c r="E13225" t="str">
        <f t="shared" si="433"/>
        <v>P</v>
      </c>
      <c r="F13225" t="str">
        <f t="shared" si="434"/>
        <v>15P</v>
      </c>
    </row>
    <row r="13226" spans="1:6" x14ac:dyDescent="0.2">
      <c r="A13226">
        <v>16</v>
      </c>
      <c r="E13226" t="str">
        <f t="shared" si="433"/>
        <v>Q</v>
      </c>
      <c r="F13226" t="str">
        <f t="shared" si="434"/>
        <v>16Q</v>
      </c>
    </row>
    <row r="13227" spans="1:6" x14ac:dyDescent="0.2">
      <c r="A13227">
        <v>17</v>
      </c>
      <c r="E13227" t="str">
        <f t="shared" si="433"/>
        <v>R</v>
      </c>
      <c r="F13227" t="str">
        <f t="shared" si="434"/>
        <v>17R</v>
      </c>
    </row>
    <row r="13228" spans="1:6" x14ac:dyDescent="0.2">
      <c r="A13228">
        <v>18</v>
      </c>
      <c r="E13228" t="str">
        <f t="shared" si="433"/>
        <v>S</v>
      </c>
      <c r="F13228" t="str">
        <f t="shared" si="434"/>
        <v>18S</v>
      </c>
    </row>
    <row r="13229" spans="1:6" x14ac:dyDescent="0.2">
      <c r="A13229">
        <v>19</v>
      </c>
      <c r="E13229" t="str">
        <f t="shared" si="433"/>
        <v>T</v>
      </c>
      <c r="F13229" t="str">
        <f t="shared" si="434"/>
        <v>19T</v>
      </c>
    </row>
    <row r="13230" spans="1:6" x14ac:dyDescent="0.2">
      <c r="A13230">
        <v>20</v>
      </c>
      <c r="E13230" t="str">
        <f t="shared" si="433"/>
        <v>U</v>
      </c>
      <c r="F13230" t="str">
        <f t="shared" si="434"/>
        <v>20U</v>
      </c>
    </row>
    <row r="13231" spans="1:6" x14ac:dyDescent="0.2">
      <c r="A13231">
        <v>21</v>
      </c>
      <c r="E13231" t="str">
        <f t="shared" si="433"/>
        <v>V</v>
      </c>
      <c r="F13231" t="str">
        <f t="shared" si="434"/>
        <v>21V</v>
      </c>
    </row>
    <row r="13232" spans="1:6" x14ac:dyDescent="0.2">
      <c r="A13232">
        <v>22</v>
      </c>
      <c r="E13232" t="str">
        <f t="shared" si="433"/>
        <v>W</v>
      </c>
      <c r="F13232" t="str">
        <f t="shared" si="434"/>
        <v>22W</v>
      </c>
    </row>
    <row r="13233" spans="1:6" x14ac:dyDescent="0.2">
      <c r="A13233">
        <v>23</v>
      </c>
      <c r="E13233" t="str">
        <f t="shared" si="433"/>
        <v>X</v>
      </c>
      <c r="F13233" t="str">
        <f t="shared" si="434"/>
        <v>23X</v>
      </c>
    </row>
    <row r="13234" spans="1:6" x14ac:dyDescent="0.2">
      <c r="A13234">
        <v>24</v>
      </c>
      <c r="E13234" t="str">
        <f t="shared" si="433"/>
        <v>Y</v>
      </c>
      <c r="F13234" t="str">
        <f t="shared" si="434"/>
        <v>24Y</v>
      </c>
    </row>
    <row r="13235" spans="1:6" x14ac:dyDescent="0.2">
      <c r="A13235">
        <v>25</v>
      </c>
      <c r="E13235" t="str">
        <f t="shared" si="433"/>
        <v>Z</v>
      </c>
      <c r="F13235" t="str">
        <f t="shared" si="434"/>
        <v>25Z</v>
      </c>
    </row>
    <row r="13236" spans="1:6" x14ac:dyDescent="0.2">
      <c r="A13236">
        <v>0</v>
      </c>
      <c r="E13236" t="str">
        <f t="shared" si="433"/>
        <v>A</v>
      </c>
      <c r="F13236" t="str">
        <f t="shared" si="434"/>
        <v>0A</v>
      </c>
    </row>
    <row r="13237" spans="1:6" x14ac:dyDescent="0.2">
      <c r="A13237">
        <v>1</v>
      </c>
      <c r="E13237" t="str">
        <f t="shared" si="433"/>
        <v>B</v>
      </c>
      <c r="F13237" t="str">
        <f t="shared" si="434"/>
        <v>1B</v>
      </c>
    </row>
    <row r="13238" spans="1:6" x14ac:dyDescent="0.2">
      <c r="A13238">
        <v>2</v>
      </c>
      <c r="E13238" t="str">
        <f t="shared" si="433"/>
        <v>C</v>
      </c>
      <c r="F13238" t="str">
        <f t="shared" si="434"/>
        <v>2C</v>
      </c>
    </row>
    <row r="13239" spans="1:6" x14ac:dyDescent="0.2">
      <c r="A13239">
        <v>3</v>
      </c>
      <c r="E13239" t="str">
        <f t="shared" si="433"/>
        <v>D</v>
      </c>
      <c r="F13239" t="str">
        <f t="shared" si="434"/>
        <v>3D</v>
      </c>
    </row>
    <row r="13240" spans="1:6" x14ac:dyDescent="0.2">
      <c r="A13240">
        <v>4</v>
      </c>
      <c r="E13240" t="str">
        <f t="shared" si="433"/>
        <v>E</v>
      </c>
      <c r="F13240" t="str">
        <f t="shared" si="434"/>
        <v>4E</v>
      </c>
    </row>
    <row r="13241" spans="1:6" x14ac:dyDescent="0.2">
      <c r="A13241">
        <v>5</v>
      </c>
      <c r="E13241" t="str">
        <f t="shared" si="433"/>
        <v>F</v>
      </c>
      <c r="F13241" t="str">
        <f t="shared" si="434"/>
        <v>5F</v>
      </c>
    </row>
    <row r="13242" spans="1:6" x14ac:dyDescent="0.2">
      <c r="A13242">
        <v>6</v>
      </c>
      <c r="E13242" t="str">
        <f t="shared" si="433"/>
        <v>G</v>
      </c>
      <c r="F13242" t="str">
        <f t="shared" si="434"/>
        <v>6G</v>
      </c>
    </row>
    <row r="13243" spans="1:6" x14ac:dyDescent="0.2">
      <c r="A13243">
        <v>7</v>
      </c>
      <c r="E13243" t="str">
        <f t="shared" si="433"/>
        <v>H</v>
      </c>
      <c r="F13243" t="str">
        <f t="shared" si="434"/>
        <v>7H</v>
      </c>
    </row>
    <row r="13244" spans="1:6" x14ac:dyDescent="0.2">
      <c r="A13244">
        <v>8</v>
      </c>
      <c r="E13244" t="str">
        <f t="shared" si="433"/>
        <v>I</v>
      </c>
      <c r="F13244" t="str">
        <f t="shared" si="434"/>
        <v>8I</v>
      </c>
    </row>
    <row r="13245" spans="1:6" x14ac:dyDescent="0.2">
      <c r="A13245">
        <v>9</v>
      </c>
      <c r="E13245" t="str">
        <f t="shared" si="433"/>
        <v>J</v>
      </c>
      <c r="F13245" t="str">
        <f t="shared" si="434"/>
        <v>9J</v>
      </c>
    </row>
    <row r="13246" spans="1:6" x14ac:dyDescent="0.2">
      <c r="A13246">
        <v>10</v>
      </c>
      <c r="E13246" t="str">
        <f t="shared" si="433"/>
        <v>K</v>
      </c>
      <c r="F13246" t="str">
        <f t="shared" si="434"/>
        <v>10K</v>
      </c>
    </row>
    <row r="13247" spans="1:6" x14ac:dyDescent="0.2">
      <c r="A13247">
        <v>11</v>
      </c>
      <c r="E13247" t="str">
        <f t="shared" si="433"/>
        <v>L</v>
      </c>
      <c r="F13247" t="str">
        <f t="shared" si="434"/>
        <v>11L</v>
      </c>
    </row>
    <row r="13248" spans="1:6" x14ac:dyDescent="0.2">
      <c r="A13248">
        <v>12</v>
      </c>
      <c r="E13248" t="str">
        <f t="shared" si="433"/>
        <v>M</v>
      </c>
      <c r="F13248" t="str">
        <f t="shared" si="434"/>
        <v>12M</v>
      </c>
    </row>
    <row r="13249" spans="1:6" x14ac:dyDescent="0.2">
      <c r="A13249">
        <v>13</v>
      </c>
      <c r="E13249" t="str">
        <f t="shared" si="433"/>
        <v>N</v>
      </c>
      <c r="F13249" t="str">
        <f t="shared" si="434"/>
        <v>13N</v>
      </c>
    </row>
    <row r="13250" spans="1:6" x14ac:dyDescent="0.2">
      <c r="A13250">
        <v>14</v>
      </c>
      <c r="E13250" t="str">
        <f t="shared" si="433"/>
        <v>O</v>
      </c>
      <c r="F13250" t="str">
        <f t="shared" si="434"/>
        <v>14O</v>
      </c>
    </row>
    <row r="13251" spans="1:6" x14ac:dyDescent="0.2">
      <c r="A13251">
        <v>15</v>
      </c>
      <c r="E13251" t="str">
        <f t="shared" si="433"/>
        <v>P</v>
      </c>
      <c r="F13251" t="str">
        <f t="shared" si="434"/>
        <v>15P</v>
      </c>
    </row>
    <row r="13252" spans="1:6" x14ac:dyDescent="0.2">
      <c r="A13252">
        <v>16</v>
      </c>
      <c r="E13252" t="str">
        <f t="shared" si="433"/>
        <v>Q</v>
      </c>
      <c r="F13252" t="str">
        <f t="shared" si="434"/>
        <v>16Q</v>
      </c>
    </row>
    <row r="13253" spans="1:6" x14ac:dyDescent="0.2">
      <c r="A13253">
        <v>17</v>
      </c>
      <c r="E13253" t="str">
        <f t="shared" si="433"/>
        <v>R</v>
      </c>
      <c r="F13253" t="str">
        <f t="shared" si="434"/>
        <v>17R</v>
      </c>
    </row>
    <row r="13254" spans="1:6" x14ac:dyDescent="0.2">
      <c r="A13254">
        <v>18</v>
      </c>
      <c r="E13254" t="str">
        <f t="shared" si="433"/>
        <v>S</v>
      </c>
      <c r="F13254" t="str">
        <f t="shared" si="434"/>
        <v>18S</v>
      </c>
    </row>
    <row r="13255" spans="1:6" x14ac:dyDescent="0.2">
      <c r="A13255">
        <v>19</v>
      </c>
      <c r="E13255" t="str">
        <f t="shared" si="433"/>
        <v>T</v>
      </c>
      <c r="F13255" t="str">
        <f t="shared" si="434"/>
        <v>19T</v>
      </c>
    </row>
    <row r="13256" spans="1:6" x14ac:dyDescent="0.2">
      <c r="A13256">
        <v>20</v>
      </c>
      <c r="E13256" t="str">
        <f t="shared" si="433"/>
        <v>U</v>
      </c>
      <c r="F13256" t="str">
        <f t="shared" si="434"/>
        <v>20U</v>
      </c>
    </row>
    <row r="13257" spans="1:6" x14ac:dyDescent="0.2">
      <c r="A13257">
        <v>21</v>
      </c>
      <c r="E13257" t="str">
        <f t="shared" si="433"/>
        <v>V</v>
      </c>
      <c r="F13257" t="str">
        <f t="shared" si="434"/>
        <v>21V</v>
      </c>
    </row>
    <row r="13258" spans="1:6" x14ac:dyDescent="0.2">
      <c r="A13258">
        <v>22</v>
      </c>
      <c r="E13258" t="str">
        <f t="shared" si="433"/>
        <v>W</v>
      </c>
      <c r="F13258" t="str">
        <f t="shared" si="434"/>
        <v>22W</v>
      </c>
    </row>
    <row r="13259" spans="1:6" x14ac:dyDescent="0.2">
      <c r="A13259">
        <v>23</v>
      </c>
      <c r="E13259" t="str">
        <f t="shared" si="433"/>
        <v>X</v>
      </c>
      <c r="F13259" t="str">
        <f t="shared" si="434"/>
        <v>23X</v>
      </c>
    </row>
    <row r="13260" spans="1:6" x14ac:dyDescent="0.2">
      <c r="A13260">
        <v>24</v>
      </c>
      <c r="E13260" t="str">
        <f t="shared" si="433"/>
        <v>Y</v>
      </c>
      <c r="F13260" t="str">
        <f t="shared" si="434"/>
        <v>24Y</v>
      </c>
    </row>
    <row r="13261" spans="1:6" x14ac:dyDescent="0.2">
      <c r="A13261">
        <v>25</v>
      </c>
      <c r="E13261" t="str">
        <f t="shared" si="433"/>
        <v>Z</v>
      </c>
      <c r="F13261" t="str">
        <f t="shared" si="434"/>
        <v>25Z</v>
      </c>
    </row>
    <row r="13262" spans="1:6" x14ac:dyDescent="0.2">
      <c r="A13262">
        <v>0</v>
      </c>
      <c r="E13262" t="str">
        <f t="shared" si="433"/>
        <v>A</v>
      </c>
      <c r="F13262" t="str">
        <f t="shared" si="434"/>
        <v>0A</v>
      </c>
    </row>
    <row r="13263" spans="1:6" x14ac:dyDescent="0.2">
      <c r="A13263">
        <v>1</v>
      </c>
      <c r="E13263" t="str">
        <f t="shared" si="433"/>
        <v>B</v>
      </c>
      <c r="F13263" t="str">
        <f t="shared" si="434"/>
        <v>1B</v>
      </c>
    </row>
    <row r="13264" spans="1:6" x14ac:dyDescent="0.2">
      <c r="A13264">
        <v>2</v>
      </c>
      <c r="E13264" t="str">
        <f t="shared" si="433"/>
        <v>C</v>
      </c>
      <c r="F13264" t="str">
        <f t="shared" si="434"/>
        <v>2C</v>
      </c>
    </row>
    <row r="13265" spans="1:6" x14ac:dyDescent="0.2">
      <c r="A13265">
        <v>3</v>
      </c>
      <c r="E13265" t="str">
        <f t="shared" si="433"/>
        <v>D</v>
      </c>
      <c r="F13265" t="str">
        <f t="shared" si="434"/>
        <v>3D</v>
      </c>
    </row>
    <row r="13266" spans="1:6" x14ac:dyDescent="0.2">
      <c r="A13266">
        <v>4</v>
      </c>
      <c r="E13266" t="str">
        <f t="shared" si="433"/>
        <v>E</v>
      </c>
      <c r="F13266" t="str">
        <f t="shared" si="434"/>
        <v>4E</v>
      </c>
    </row>
    <row r="13267" spans="1:6" x14ac:dyDescent="0.2">
      <c r="A13267">
        <v>5</v>
      </c>
      <c r="E13267" t="str">
        <f t="shared" si="433"/>
        <v>F</v>
      </c>
      <c r="F13267" t="str">
        <f t="shared" si="434"/>
        <v>5F</v>
      </c>
    </row>
    <row r="13268" spans="1:6" x14ac:dyDescent="0.2">
      <c r="A13268">
        <v>6</v>
      </c>
      <c r="E13268" t="str">
        <f t="shared" si="433"/>
        <v>G</v>
      </c>
      <c r="F13268" t="str">
        <f t="shared" si="434"/>
        <v>6G</v>
      </c>
    </row>
    <row r="13269" spans="1:6" x14ac:dyDescent="0.2">
      <c r="A13269">
        <v>7</v>
      </c>
      <c r="E13269" t="str">
        <f t="shared" ref="E13269:E13332" si="435">E13243</f>
        <v>H</v>
      </c>
      <c r="F13269" t="str">
        <f t="shared" si="434"/>
        <v>7H</v>
      </c>
    </row>
    <row r="13270" spans="1:6" x14ac:dyDescent="0.2">
      <c r="A13270">
        <v>8</v>
      </c>
      <c r="E13270" t="str">
        <f t="shared" si="435"/>
        <v>I</v>
      </c>
      <c r="F13270" t="str">
        <f t="shared" si="434"/>
        <v>8I</v>
      </c>
    </row>
    <row r="13271" spans="1:6" x14ac:dyDescent="0.2">
      <c r="A13271">
        <v>9</v>
      </c>
      <c r="E13271" t="str">
        <f t="shared" si="435"/>
        <v>J</v>
      </c>
      <c r="F13271" t="str">
        <f t="shared" ref="F13271:F13334" si="436">A13271&amp;C13271&amp;E13271</f>
        <v>9J</v>
      </c>
    </row>
    <row r="13272" spans="1:6" x14ac:dyDescent="0.2">
      <c r="A13272">
        <v>10</v>
      </c>
      <c r="E13272" t="str">
        <f t="shared" si="435"/>
        <v>K</v>
      </c>
      <c r="F13272" t="str">
        <f t="shared" si="436"/>
        <v>10K</v>
      </c>
    </row>
    <row r="13273" spans="1:6" x14ac:dyDescent="0.2">
      <c r="A13273">
        <v>11</v>
      </c>
      <c r="E13273" t="str">
        <f t="shared" si="435"/>
        <v>L</v>
      </c>
      <c r="F13273" t="str">
        <f t="shared" si="436"/>
        <v>11L</v>
      </c>
    </row>
    <row r="13274" spans="1:6" x14ac:dyDescent="0.2">
      <c r="A13274">
        <v>12</v>
      </c>
      <c r="E13274" t="str">
        <f t="shared" si="435"/>
        <v>M</v>
      </c>
      <c r="F13274" t="str">
        <f t="shared" si="436"/>
        <v>12M</v>
      </c>
    </row>
    <row r="13275" spans="1:6" x14ac:dyDescent="0.2">
      <c r="A13275">
        <v>13</v>
      </c>
      <c r="E13275" t="str">
        <f t="shared" si="435"/>
        <v>N</v>
      </c>
      <c r="F13275" t="str">
        <f t="shared" si="436"/>
        <v>13N</v>
      </c>
    </row>
    <row r="13276" spans="1:6" x14ac:dyDescent="0.2">
      <c r="A13276">
        <v>14</v>
      </c>
      <c r="E13276" t="str">
        <f t="shared" si="435"/>
        <v>O</v>
      </c>
      <c r="F13276" t="str">
        <f t="shared" si="436"/>
        <v>14O</v>
      </c>
    </row>
    <row r="13277" spans="1:6" x14ac:dyDescent="0.2">
      <c r="A13277">
        <v>15</v>
      </c>
      <c r="E13277" t="str">
        <f t="shared" si="435"/>
        <v>P</v>
      </c>
      <c r="F13277" t="str">
        <f t="shared" si="436"/>
        <v>15P</v>
      </c>
    </row>
    <row r="13278" spans="1:6" x14ac:dyDescent="0.2">
      <c r="A13278">
        <v>16</v>
      </c>
      <c r="E13278" t="str">
        <f t="shared" si="435"/>
        <v>Q</v>
      </c>
      <c r="F13278" t="str">
        <f t="shared" si="436"/>
        <v>16Q</v>
      </c>
    </row>
    <row r="13279" spans="1:6" x14ac:dyDescent="0.2">
      <c r="A13279">
        <v>17</v>
      </c>
      <c r="E13279" t="str">
        <f t="shared" si="435"/>
        <v>R</v>
      </c>
      <c r="F13279" t="str">
        <f t="shared" si="436"/>
        <v>17R</v>
      </c>
    </row>
    <row r="13280" spans="1:6" x14ac:dyDescent="0.2">
      <c r="A13280">
        <v>18</v>
      </c>
      <c r="E13280" t="str">
        <f t="shared" si="435"/>
        <v>S</v>
      </c>
      <c r="F13280" t="str">
        <f t="shared" si="436"/>
        <v>18S</v>
      </c>
    </row>
    <row r="13281" spans="1:6" x14ac:dyDescent="0.2">
      <c r="A13281">
        <v>19</v>
      </c>
      <c r="E13281" t="str">
        <f t="shared" si="435"/>
        <v>T</v>
      </c>
      <c r="F13281" t="str">
        <f t="shared" si="436"/>
        <v>19T</v>
      </c>
    </row>
    <row r="13282" spans="1:6" x14ac:dyDescent="0.2">
      <c r="A13282">
        <v>20</v>
      </c>
      <c r="E13282" t="str">
        <f t="shared" si="435"/>
        <v>U</v>
      </c>
      <c r="F13282" t="str">
        <f t="shared" si="436"/>
        <v>20U</v>
      </c>
    </row>
    <row r="13283" spans="1:6" x14ac:dyDescent="0.2">
      <c r="A13283">
        <v>21</v>
      </c>
      <c r="E13283" t="str">
        <f t="shared" si="435"/>
        <v>V</v>
      </c>
      <c r="F13283" t="str">
        <f t="shared" si="436"/>
        <v>21V</v>
      </c>
    </row>
    <row r="13284" spans="1:6" x14ac:dyDescent="0.2">
      <c r="A13284">
        <v>22</v>
      </c>
      <c r="E13284" t="str">
        <f t="shared" si="435"/>
        <v>W</v>
      </c>
      <c r="F13284" t="str">
        <f t="shared" si="436"/>
        <v>22W</v>
      </c>
    </row>
    <row r="13285" spans="1:6" x14ac:dyDescent="0.2">
      <c r="A13285">
        <v>23</v>
      </c>
      <c r="E13285" t="str">
        <f t="shared" si="435"/>
        <v>X</v>
      </c>
      <c r="F13285" t="str">
        <f t="shared" si="436"/>
        <v>23X</v>
      </c>
    </row>
    <row r="13286" spans="1:6" x14ac:dyDescent="0.2">
      <c r="A13286">
        <v>24</v>
      </c>
      <c r="E13286" t="str">
        <f t="shared" si="435"/>
        <v>Y</v>
      </c>
      <c r="F13286" t="str">
        <f t="shared" si="436"/>
        <v>24Y</v>
      </c>
    </row>
    <row r="13287" spans="1:6" x14ac:dyDescent="0.2">
      <c r="A13287">
        <v>25</v>
      </c>
      <c r="E13287" t="str">
        <f t="shared" si="435"/>
        <v>Z</v>
      </c>
      <c r="F13287" t="str">
        <f t="shared" si="436"/>
        <v>25Z</v>
      </c>
    </row>
    <row r="13288" spans="1:6" x14ac:dyDescent="0.2">
      <c r="A13288">
        <v>0</v>
      </c>
      <c r="E13288" t="str">
        <f t="shared" si="435"/>
        <v>A</v>
      </c>
      <c r="F13288" t="str">
        <f t="shared" si="436"/>
        <v>0A</v>
      </c>
    </row>
    <row r="13289" spans="1:6" x14ac:dyDescent="0.2">
      <c r="A13289">
        <v>1</v>
      </c>
      <c r="E13289" t="str">
        <f t="shared" si="435"/>
        <v>B</v>
      </c>
      <c r="F13289" t="str">
        <f t="shared" si="436"/>
        <v>1B</v>
      </c>
    </row>
    <row r="13290" spans="1:6" x14ac:dyDescent="0.2">
      <c r="A13290">
        <v>2</v>
      </c>
      <c r="E13290" t="str">
        <f t="shared" si="435"/>
        <v>C</v>
      </c>
      <c r="F13290" t="str">
        <f t="shared" si="436"/>
        <v>2C</v>
      </c>
    </row>
    <row r="13291" spans="1:6" x14ac:dyDescent="0.2">
      <c r="A13291">
        <v>3</v>
      </c>
      <c r="E13291" t="str">
        <f t="shared" si="435"/>
        <v>D</v>
      </c>
      <c r="F13291" t="str">
        <f t="shared" si="436"/>
        <v>3D</v>
      </c>
    </row>
    <row r="13292" spans="1:6" x14ac:dyDescent="0.2">
      <c r="A13292">
        <v>4</v>
      </c>
      <c r="E13292" t="str">
        <f t="shared" si="435"/>
        <v>E</v>
      </c>
      <c r="F13292" t="str">
        <f t="shared" si="436"/>
        <v>4E</v>
      </c>
    </row>
    <row r="13293" spans="1:6" x14ac:dyDescent="0.2">
      <c r="A13293">
        <v>5</v>
      </c>
      <c r="E13293" t="str">
        <f t="shared" si="435"/>
        <v>F</v>
      </c>
      <c r="F13293" t="str">
        <f t="shared" si="436"/>
        <v>5F</v>
      </c>
    </row>
    <row r="13294" spans="1:6" x14ac:dyDescent="0.2">
      <c r="A13294">
        <v>6</v>
      </c>
      <c r="E13294" t="str">
        <f t="shared" si="435"/>
        <v>G</v>
      </c>
      <c r="F13294" t="str">
        <f t="shared" si="436"/>
        <v>6G</v>
      </c>
    </row>
    <row r="13295" spans="1:6" x14ac:dyDescent="0.2">
      <c r="A13295">
        <v>7</v>
      </c>
      <c r="E13295" t="str">
        <f t="shared" si="435"/>
        <v>H</v>
      </c>
      <c r="F13295" t="str">
        <f t="shared" si="436"/>
        <v>7H</v>
      </c>
    </row>
    <row r="13296" spans="1:6" x14ac:dyDescent="0.2">
      <c r="A13296">
        <v>8</v>
      </c>
      <c r="E13296" t="str">
        <f t="shared" si="435"/>
        <v>I</v>
      </c>
      <c r="F13296" t="str">
        <f t="shared" si="436"/>
        <v>8I</v>
      </c>
    </row>
    <row r="13297" spans="1:6" x14ac:dyDescent="0.2">
      <c r="A13297">
        <v>9</v>
      </c>
      <c r="E13297" t="str">
        <f t="shared" si="435"/>
        <v>J</v>
      </c>
      <c r="F13297" t="str">
        <f t="shared" si="436"/>
        <v>9J</v>
      </c>
    </row>
    <row r="13298" spans="1:6" x14ac:dyDescent="0.2">
      <c r="A13298">
        <v>10</v>
      </c>
      <c r="E13298" t="str">
        <f t="shared" si="435"/>
        <v>K</v>
      </c>
      <c r="F13298" t="str">
        <f t="shared" si="436"/>
        <v>10K</v>
      </c>
    </row>
    <row r="13299" spans="1:6" x14ac:dyDescent="0.2">
      <c r="A13299">
        <v>11</v>
      </c>
      <c r="E13299" t="str">
        <f t="shared" si="435"/>
        <v>L</v>
      </c>
      <c r="F13299" t="str">
        <f t="shared" si="436"/>
        <v>11L</v>
      </c>
    </row>
    <row r="13300" spans="1:6" x14ac:dyDescent="0.2">
      <c r="A13300">
        <v>12</v>
      </c>
      <c r="E13300" t="str">
        <f t="shared" si="435"/>
        <v>M</v>
      </c>
      <c r="F13300" t="str">
        <f t="shared" si="436"/>
        <v>12M</v>
      </c>
    </row>
    <row r="13301" spans="1:6" x14ac:dyDescent="0.2">
      <c r="A13301">
        <v>13</v>
      </c>
      <c r="E13301" t="str">
        <f t="shared" si="435"/>
        <v>N</v>
      </c>
      <c r="F13301" t="str">
        <f t="shared" si="436"/>
        <v>13N</v>
      </c>
    </row>
    <row r="13302" spans="1:6" x14ac:dyDescent="0.2">
      <c r="A13302">
        <v>14</v>
      </c>
      <c r="E13302" t="str">
        <f t="shared" si="435"/>
        <v>O</v>
      </c>
      <c r="F13302" t="str">
        <f t="shared" si="436"/>
        <v>14O</v>
      </c>
    </row>
    <row r="13303" spans="1:6" x14ac:dyDescent="0.2">
      <c r="A13303">
        <v>15</v>
      </c>
      <c r="E13303" t="str">
        <f t="shared" si="435"/>
        <v>P</v>
      </c>
      <c r="F13303" t="str">
        <f t="shared" si="436"/>
        <v>15P</v>
      </c>
    </row>
    <row r="13304" spans="1:6" x14ac:dyDescent="0.2">
      <c r="A13304">
        <v>16</v>
      </c>
      <c r="E13304" t="str">
        <f t="shared" si="435"/>
        <v>Q</v>
      </c>
      <c r="F13304" t="str">
        <f t="shared" si="436"/>
        <v>16Q</v>
      </c>
    </row>
    <row r="13305" spans="1:6" x14ac:dyDescent="0.2">
      <c r="A13305">
        <v>17</v>
      </c>
      <c r="E13305" t="str">
        <f t="shared" si="435"/>
        <v>R</v>
      </c>
      <c r="F13305" t="str">
        <f t="shared" si="436"/>
        <v>17R</v>
      </c>
    </row>
    <row r="13306" spans="1:6" x14ac:dyDescent="0.2">
      <c r="A13306">
        <v>18</v>
      </c>
      <c r="E13306" t="str">
        <f t="shared" si="435"/>
        <v>S</v>
      </c>
      <c r="F13306" t="str">
        <f t="shared" si="436"/>
        <v>18S</v>
      </c>
    </row>
    <row r="13307" spans="1:6" x14ac:dyDescent="0.2">
      <c r="A13307">
        <v>19</v>
      </c>
      <c r="E13307" t="str">
        <f t="shared" si="435"/>
        <v>T</v>
      </c>
      <c r="F13307" t="str">
        <f t="shared" si="436"/>
        <v>19T</v>
      </c>
    </row>
    <row r="13308" spans="1:6" x14ac:dyDescent="0.2">
      <c r="A13308">
        <v>20</v>
      </c>
      <c r="E13308" t="str">
        <f t="shared" si="435"/>
        <v>U</v>
      </c>
      <c r="F13308" t="str">
        <f t="shared" si="436"/>
        <v>20U</v>
      </c>
    </row>
    <row r="13309" spans="1:6" x14ac:dyDescent="0.2">
      <c r="A13309">
        <v>21</v>
      </c>
      <c r="E13309" t="str">
        <f t="shared" si="435"/>
        <v>V</v>
      </c>
      <c r="F13309" t="str">
        <f t="shared" si="436"/>
        <v>21V</v>
      </c>
    </row>
    <row r="13310" spans="1:6" x14ac:dyDescent="0.2">
      <c r="A13310">
        <v>22</v>
      </c>
      <c r="E13310" t="str">
        <f t="shared" si="435"/>
        <v>W</v>
      </c>
      <c r="F13310" t="str">
        <f t="shared" si="436"/>
        <v>22W</v>
      </c>
    </row>
    <row r="13311" spans="1:6" x14ac:dyDescent="0.2">
      <c r="A13311">
        <v>23</v>
      </c>
      <c r="E13311" t="str">
        <f t="shared" si="435"/>
        <v>X</v>
      </c>
      <c r="F13311" t="str">
        <f t="shared" si="436"/>
        <v>23X</v>
      </c>
    </row>
    <row r="13312" spans="1:6" x14ac:dyDescent="0.2">
      <c r="A13312">
        <v>24</v>
      </c>
      <c r="E13312" t="str">
        <f t="shared" si="435"/>
        <v>Y</v>
      </c>
      <c r="F13312" t="str">
        <f t="shared" si="436"/>
        <v>24Y</v>
      </c>
    </row>
    <row r="13313" spans="1:6" x14ac:dyDescent="0.2">
      <c r="A13313">
        <v>25</v>
      </c>
      <c r="E13313" t="str">
        <f t="shared" si="435"/>
        <v>Z</v>
      </c>
      <c r="F13313" t="str">
        <f t="shared" si="436"/>
        <v>25Z</v>
      </c>
    </row>
    <row r="13314" spans="1:6" x14ac:dyDescent="0.2">
      <c r="A13314">
        <v>0</v>
      </c>
      <c r="E13314" t="str">
        <f t="shared" si="435"/>
        <v>A</v>
      </c>
      <c r="F13314" t="str">
        <f t="shared" si="436"/>
        <v>0A</v>
      </c>
    </row>
    <row r="13315" spans="1:6" x14ac:dyDescent="0.2">
      <c r="A13315">
        <v>1</v>
      </c>
      <c r="E13315" t="str">
        <f t="shared" si="435"/>
        <v>B</v>
      </c>
      <c r="F13315" t="str">
        <f t="shared" si="436"/>
        <v>1B</v>
      </c>
    </row>
    <row r="13316" spans="1:6" x14ac:dyDescent="0.2">
      <c r="A13316">
        <v>2</v>
      </c>
      <c r="E13316" t="str">
        <f t="shared" si="435"/>
        <v>C</v>
      </c>
      <c r="F13316" t="str">
        <f t="shared" si="436"/>
        <v>2C</v>
      </c>
    </row>
    <row r="13317" spans="1:6" x14ac:dyDescent="0.2">
      <c r="A13317">
        <v>3</v>
      </c>
      <c r="E13317" t="str">
        <f t="shared" si="435"/>
        <v>D</v>
      </c>
      <c r="F13317" t="str">
        <f t="shared" si="436"/>
        <v>3D</v>
      </c>
    </row>
    <row r="13318" spans="1:6" x14ac:dyDescent="0.2">
      <c r="A13318">
        <v>4</v>
      </c>
      <c r="E13318" t="str">
        <f t="shared" si="435"/>
        <v>E</v>
      </c>
      <c r="F13318" t="str">
        <f t="shared" si="436"/>
        <v>4E</v>
      </c>
    </row>
    <row r="13319" spans="1:6" x14ac:dyDescent="0.2">
      <c r="A13319">
        <v>5</v>
      </c>
      <c r="E13319" t="str">
        <f t="shared" si="435"/>
        <v>F</v>
      </c>
      <c r="F13319" t="str">
        <f t="shared" si="436"/>
        <v>5F</v>
      </c>
    </row>
    <row r="13320" spans="1:6" x14ac:dyDescent="0.2">
      <c r="A13320">
        <v>6</v>
      </c>
      <c r="E13320" t="str">
        <f t="shared" si="435"/>
        <v>G</v>
      </c>
      <c r="F13320" t="str">
        <f t="shared" si="436"/>
        <v>6G</v>
      </c>
    </row>
    <row r="13321" spans="1:6" x14ac:dyDescent="0.2">
      <c r="A13321">
        <v>7</v>
      </c>
      <c r="E13321" t="str">
        <f t="shared" si="435"/>
        <v>H</v>
      </c>
      <c r="F13321" t="str">
        <f t="shared" si="436"/>
        <v>7H</v>
      </c>
    </row>
    <row r="13322" spans="1:6" x14ac:dyDescent="0.2">
      <c r="A13322">
        <v>8</v>
      </c>
      <c r="E13322" t="str">
        <f t="shared" si="435"/>
        <v>I</v>
      </c>
      <c r="F13322" t="str">
        <f t="shared" si="436"/>
        <v>8I</v>
      </c>
    </row>
    <row r="13323" spans="1:6" x14ac:dyDescent="0.2">
      <c r="A13323">
        <v>9</v>
      </c>
      <c r="E13323" t="str">
        <f t="shared" si="435"/>
        <v>J</v>
      </c>
      <c r="F13323" t="str">
        <f t="shared" si="436"/>
        <v>9J</v>
      </c>
    </row>
    <row r="13324" spans="1:6" x14ac:dyDescent="0.2">
      <c r="A13324">
        <v>10</v>
      </c>
      <c r="E13324" t="str">
        <f t="shared" si="435"/>
        <v>K</v>
      </c>
      <c r="F13324" t="str">
        <f t="shared" si="436"/>
        <v>10K</v>
      </c>
    </row>
    <row r="13325" spans="1:6" x14ac:dyDescent="0.2">
      <c r="A13325">
        <v>11</v>
      </c>
      <c r="E13325" t="str">
        <f t="shared" si="435"/>
        <v>L</v>
      </c>
      <c r="F13325" t="str">
        <f t="shared" si="436"/>
        <v>11L</v>
      </c>
    </row>
    <row r="13326" spans="1:6" x14ac:dyDescent="0.2">
      <c r="A13326">
        <v>12</v>
      </c>
      <c r="E13326" t="str">
        <f t="shared" si="435"/>
        <v>M</v>
      </c>
      <c r="F13326" t="str">
        <f t="shared" si="436"/>
        <v>12M</v>
      </c>
    </row>
    <row r="13327" spans="1:6" x14ac:dyDescent="0.2">
      <c r="A13327">
        <v>13</v>
      </c>
      <c r="E13327" t="str">
        <f t="shared" si="435"/>
        <v>N</v>
      </c>
      <c r="F13327" t="str">
        <f t="shared" si="436"/>
        <v>13N</v>
      </c>
    </row>
    <row r="13328" spans="1:6" x14ac:dyDescent="0.2">
      <c r="A13328">
        <v>14</v>
      </c>
      <c r="E13328" t="str">
        <f t="shared" si="435"/>
        <v>O</v>
      </c>
      <c r="F13328" t="str">
        <f t="shared" si="436"/>
        <v>14O</v>
      </c>
    </row>
    <row r="13329" spans="1:6" x14ac:dyDescent="0.2">
      <c r="A13329">
        <v>15</v>
      </c>
      <c r="E13329" t="str">
        <f t="shared" si="435"/>
        <v>P</v>
      </c>
      <c r="F13329" t="str">
        <f t="shared" si="436"/>
        <v>15P</v>
      </c>
    </row>
    <row r="13330" spans="1:6" x14ac:dyDescent="0.2">
      <c r="A13330">
        <v>16</v>
      </c>
      <c r="E13330" t="str">
        <f t="shared" si="435"/>
        <v>Q</v>
      </c>
      <c r="F13330" t="str">
        <f t="shared" si="436"/>
        <v>16Q</v>
      </c>
    </row>
    <row r="13331" spans="1:6" x14ac:dyDescent="0.2">
      <c r="A13331">
        <v>17</v>
      </c>
      <c r="E13331" t="str">
        <f t="shared" si="435"/>
        <v>R</v>
      </c>
      <c r="F13331" t="str">
        <f t="shared" si="436"/>
        <v>17R</v>
      </c>
    </row>
    <row r="13332" spans="1:6" x14ac:dyDescent="0.2">
      <c r="A13332">
        <v>18</v>
      </c>
      <c r="E13332" t="str">
        <f t="shared" si="435"/>
        <v>S</v>
      </c>
      <c r="F13332" t="str">
        <f t="shared" si="436"/>
        <v>18S</v>
      </c>
    </row>
    <row r="13333" spans="1:6" x14ac:dyDescent="0.2">
      <c r="A13333">
        <v>19</v>
      </c>
      <c r="E13333" t="str">
        <f t="shared" ref="E13333:E13396" si="437">E13307</f>
        <v>T</v>
      </c>
      <c r="F13333" t="str">
        <f t="shared" si="436"/>
        <v>19T</v>
      </c>
    </row>
    <row r="13334" spans="1:6" x14ac:dyDescent="0.2">
      <c r="A13334">
        <v>20</v>
      </c>
      <c r="E13334" t="str">
        <f t="shared" si="437"/>
        <v>U</v>
      </c>
      <c r="F13334" t="str">
        <f t="shared" si="436"/>
        <v>20U</v>
      </c>
    </row>
    <row r="13335" spans="1:6" x14ac:dyDescent="0.2">
      <c r="A13335">
        <v>21</v>
      </c>
      <c r="E13335" t="str">
        <f t="shared" si="437"/>
        <v>V</v>
      </c>
      <c r="F13335" t="str">
        <f t="shared" ref="F13335:F13398" si="438">A13335&amp;C13335&amp;E13335</f>
        <v>21V</v>
      </c>
    </row>
    <row r="13336" spans="1:6" x14ac:dyDescent="0.2">
      <c r="A13336">
        <v>22</v>
      </c>
      <c r="E13336" t="str">
        <f t="shared" si="437"/>
        <v>W</v>
      </c>
      <c r="F13336" t="str">
        <f t="shared" si="438"/>
        <v>22W</v>
      </c>
    </row>
    <row r="13337" spans="1:6" x14ac:dyDescent="0.2">
      <c r="A13337">
        <v>23</v>
      </c>
      <c r="E13337" t="str">
        <f t="shared" si="437"/>
        <v>X</v>
      </c>
      <c r="F13337" t="str">
        <f t="shared" si="438"/>
        <v>23X</v>
      </c>
    </row>
    <row r="13338" spans="1:6" x14ac:dyDescent="0.2">
      <c r="A13338">
        <v>24</v>
      </c>
      <c r="E13338" t="str">
        <f t="shared" si="437"/>
        <v>Y</v>
      </c>
      <c r="F13338" t="str">
        <f t="shared" si="438"/>
        <v>24Y</v>
      </c>
    </row>
    <row r="13339" spans="1:6" x14ac:dyDescent="0.2">
      <c r="A13339">
        <v>25</v>
      </c>
      <c r="E13339" t="str">
        <f t="shared" si="437"/>
        <v>Z</v>
      </c>
      <c r="F13339" t="str">
        <f t="shared" si="438"/>
        <v>25Z</v>
      </c>
    </row>
    <row r="13340" spans="1:6" x14ac:dyDescent="0.2">
      <c r="A13340">
        <v>0</v>
      </c>
      <c r="E13340" t="str">
        <f t="shared" si="437"/>
        <v>A</v>
      </c>
      <c r="F13340" t="str">
        <f t="shared" si="438"/>
        <v>0A</v>
      </c>
    </row>
    <row r="13341" spans="1:6" x14ac:dyDescent="0.2">
      <c r="A13341">
        <v>1</v>
      </c>
      <c r="E13341" t="str">
        <f t="shared" si="437"/>
        <v>B</v>
      </c>
      <c r="F13341" t="str">
        <f t="shared" si="438"/>
        <v>1B</v>
      </c>
    </row>
    <row r="13342" spans="1:6" x14ac:dyDescent="0.2">
      <c r="A13342">
        <v>2</v>
      </c>
      <c r="E13342" t="str">
        <f t="shared" si="437"/>
        <v>C</v>
      </c>
      <c r="F13342" t="str">
        <f t="shared" si="438"/>
        <v>2C</v>
      </c>
    </row>
    <row r="13343" spans="1:6" x14ac:dyDescent="0.2">
      <c r="A13343">
        <v>3</v>
      </c>
      <c r="E13343" t="str">
        <f t="shared" si="437"/>
        <v>D</v>
      </c>
      <c r="F13343" t="str">
        <f t="shared" si="438"/>
        <v>3D</v>
      </c>
    </row>
    <row r="13344" spans="1:6" x14ac:dyDescent="0.2">
      <c r="A13344">
        <v>4</v>
      </c>
      <c r="E13344" t="str">
        <f t="shared" si="437"/>
        <v>E</v>
      </c>
      <c r="F13344" t="str">
        <f t="shared" si="438"/>
        <v>4E</v>
      </c>
    </row>
    <row r="13345" spans="1:6" x14ac:dyDescent="0.2">
      <c r="A13345">
        <v>5</v>
      </c>
      <c r="E13345" t="str">
        <f t="shared" si="437"/>
        <v>F</v>
      </c>
      <c r="F13345" t="str">
        <f t="shared" si="438"/>
        <v>5F</v>
      </c>
    </row>
    <row r="13346" spans="1:6" x14ac:dyDescent="0.2">
      <c r="A13346">
        <v>6</v>
      </c>
      <c r="E13346" t="str">
        <f t="shared" si="437"/>
        <v>G</v>
      </c>
      <c r="F13346" t="str">
        <f t="shared" si="438"/>
        <v>6G</v>
      </c>
    </row>
    <row r="13347" spans="1:6" x14ac:dyDescent="0.2">
      <c r="A13347">
        <v>7</v>
      </c>
      <c r="E13347" t="str">
        <f t="shared" si="437"/>
        <v>H</v>
      </c>
      <c r="F13347" t="str">
        <f t="shared" si="438"/>
        <v>7H</v>
      </c>
    </row>
    <row r="13348" spans="1:6" x14ac:dyDescent="0.2">
      <c r="A13348">
        <v>8</v>
      </c>
      <c r="E13348" t="str">
        <f t="shared" si="437"/>
        <v>I</v>
      </c>
      <c r="F13348" t="str">
        <f t="shared" si="438"/>
        <v>8I</v>
      </c>
    </row>
    <row r="13349" spans="1:6" x14ac:dyDescent="0.2">
      <c r="A13349">
        <v>9</v>
      </c>
      <c r="E13349" t="str">
        <f t="shared" si="437"/>
        <v>J</v>
      </c>
      <c r="F13349" t="str">
        <f t="shared" si="438"/>
        <v>9J</v>
      </c>
    </row>
    <row r="13350" spans="1:6" x14ac:dyDescent="0.2">
      <c r="A13350">
        <v>10</v>
      </c>
      <c r="E13350" t="str">
        <f t="shared" si="437"/>
        <v>K</v>
      </c>
      <c r="F13350" t="str">
        <f t="shared" si="438"/>
        <v>10K</v>
      </c>
    </row>
    <row r="13351" spans="1:6" x14ac:dyDescent="0.2">
      <c r="A13351">
        <v>11</v>
      </c>
      <c r="E13351" t="str">
        <f t="shared" si="437"/>
        <v>L</v>
      </c>
      <c r="F13351" t="str">
        <f t="shared" si="438"/>
        <v>11L</v>
      </c>
    </row>
    <row r="13352" spans="1:6" x14ac:dyDescent="0.2">
      <c r="A13352">
        <v>12</v>
      </c>
      <c r="E13352" t="str">
        <f t="shared" si="437"/>
        <v>M</v>
      </c>
      <c r="F13352" t="str">
        <f t="shared" si="438"/>
        <v>12M</v>
      </c>
    </row>
    <row r="13353" spans="1:6" x14ac:dyDescent="0.2">
      <c r="A13353">
        <v>13</v>
      </c>
      <c r="E13353" t="str">
        <f t="shared" si="437"/>
        <v>N</v>
      </c>
      <c r="F13353" t="str">
        <f t="shared" si="438"/>
        <v>13N</v>
      </c>
    </row>
    <row r="13354" spans="1:6" x14ac:dyDescent="0.2">
      <c r="A13354">
        <v>14</v>
      </c>
      <c r="E13354" t="str">
        <f t="shared" si="437"/>
        <v>O</v>
      </c>
      <c r="F13354" t="str">
        <f t="shared" si="438"/>
        <v>14O</v>
      </c>
    </row>
    <row r="13355" spans="1:6" x14ac:dyDescent="0.2">
      <c r="A13355">
        <v>15</v>
      </c>
      <c r="E13355" t="str">
        <f t="shared" si="437"/>
        <v>P</v>
      </c>
      <c r="F13355" t="str">
        <f t="shared" si="438"/>
        <v>15P</v>
      </c>
    </row>
    <row r="13356" spans="1:6" x14ac:dyDescent="0.2">
      <c r="A13356">
        <v>16</v>
      </c>
      <c r="E13356" t="str">
        <f t="shared" si="437"/>
        <v>Q</v>
      </c>
      <c r="F13356" t="str">
        <f t="shared" si="438"/>
        <v>16Q</v>
      </c>
    </row>
    <row r="13357" spans="1:6" x14ac:dyDescent="0.2">
      <c r="A13357">
        <v>17</v>
      </c>
      <c r="E13357" t="str">
        <f t="shared" si="437"/>
        <v>R</v>
      </c>
      <c r="F13357" t="str">
        <f t="shared" si="438"/>
        <v>17R</v>
      </c>
    </row>
    <row r="13358" spans="1:6" x14ac:dyDescent="0.2">
      <c r="A13358">
        <v>18</v>
      </c>
      <c r="E13358" t="str">
        <f t="shared" si="437"/>
        <v>S</v>
      </c>
      <c r="F13358" t="str">
        <f t="shared" si="438"/>
        <v>18S</v>
      </c>
    </row>
    <row r="13359" spans="1:6" x14ac:dyDescent="0.2">
      <c r="A13359">
        <v>19</v>
      </c>
      <c r="E13359" t="str">
        <f t="shared" si="437"/>
        <v>T</v>
      </c>
      <c r="F13359" t="str">
        <f t="shared" si="438"/>
        <v>19T</v>
      </c>
    </row>
    <row r="13360" spans="1:6" x14ac:dyDescent="0.2">
      <c r="A13360">
        <v>20</v>
      </c>
      <c r="E13360" t="str">
        <f t="shared" si="437"/>
        <v>U</v>
      </c>
      <c r="F13360" t="str">
        <f t="shared" si="438"/>
        <v>20U</v>
      </c>
    </row>
    <row r="13361" spans="1:6" x14ac:dyDescent="0.2">
      <c r="A13361">
        <v>21</v>
      </c>
      <c r="E13361" t="str">
        <f t="shared" si="437"/>
        <v>V</v>
      </c>
      <c r="F13361" t="str">
        <f t="shared" si="438"/>
        <v>21V</v>
      </c>
    </row>
    <row r="13362" spans="1:6" x14ac:dyDescent="0.2">
      <c r="A13362">
        <v>22</v>
      </c>
      <c r="E13362" t="str">
        <f t="shared" si="437"/>
        <v>W</v>
      </c>
      <c r="F13362" t="str">
        <f t="shared" si="438"/>
        <v>22W</v>
      </c>
    </row>
    <row r="13363" spans="1:6" x14ac:dyDescent="0.2">
      <c r="A13363">
        <v>23</v>
      </c>
      <c r="E13363" t="str">
        <f t="shared" si="437"/>
        <v>X</v>
      </c>
      <c r="F13363" t="str">
        <f t="shared" si="438"/>
        <v>23X</v>
      </c>
    </row>
    <row r="13364" spans="1:6" x14ac:dyDescent="0.2">
      <c r="A13364">
        <v>24</v>
      </c>
      <c r="E13364" t="str">
        <f t="shared" si="437"/>
        <v>Y</v>
      </c>
      <c r="F13364" t="str">
        <f t="shared" si="438"/>
        <v>24Y</v>
      </c>
    </row>
    <row r="13365" spans="1:6" x14ac:dyDescent="0.2">
      <c r="A13365">
        <v>25</v>
      </c>
      <c r="E13365" t="str">
        <f t="shared" si="437"/>
        <v>Z</v>
      </c>
      <c r="F13365" t="str">
        <f t="shared" si="438"/>
        <v>25Z</v>
      </c>
    </row>
    <row r="13366" spans="1:6" x14ac:dyDescent="0.2">
      <c r="A13366">
        <v>0</v>
      </c>
      <c r="E13366" t="str">
        <f t="shared" si="437"/>
        <v>A</v>
      </c>
      <c r="F13366" t="str">
        <f t="shared" si="438"/>
        <v>0A</v>
      </c>
    </row>
    <row r="13367" spans="1:6" x14ac:dyDescent="0.2">
      <c r="A13367">
        <v>1</v>
      </c>
      <c r="E13367" t="str">
        <f t="shared" si="437"/>
        <v>B</v>
      </c>
      <c r="F13367" t="str">
        <f t="shared" si="438"/>
        <v>1B</v>
      </c>
    </row>
    <row r="13368" spans="1:6" x14ac:dyDescent="0.2">
      <c r="A13368">
        <v>2</v>
      </c>
      <c r="E13368" t="str">
        <f t="shared" si="437"/>
        <v>C</v>
      </c>
      <c r="F13368" t="str">
        <f t="shared" si="438"/>
        <v>2C</v>
      </c>
    </row>
    <row r="13369" spans="1:6" x14ac:dyDescent="0.2">
      <c r="A13369">
        <v>3</v>
      </c>
      <c r="E13369" t="str">
        <f t="shared" si="437"/>
        <v>D</v>
      </c>
      <c r="F13369" t="str">
        <f t="shared" si="438"/>
        <v>3D</v>
      </c>
    </row>
    <row r="13370" spans="1:6" x14ac:dyDescent="0.2">
      <c r="A13370">
        <v>4</v>
      </c>
      <c r="E13370" t="str">
        <f t="shared" si="437"/>
        <v>E</v>
      </c>
      <c r="F13370" t="str">
        <f t="shared" si="438"/>
        <v>4E</v>
      </c>
    </row>
    <row r="13371" spans="1:6" x14ac:dyDescent="0.2">
      <c r="A13371">
        <v>5</v>
      </c>
      <c r="E13371" t="str">
        <f t="shared" si="437"/>
        <v>F</v>
      </c>
      <c r="F13371" t="str">
        <f t="shared" si="438"/>
        <v>5F</v>
      </c>
    </row>
    <row r="13372" spans="1:6" x14ac:dyDescent="0.2">
      <c r="A13372">
        <v>6</v>
      </c>
      <c r="E13372" t="str">
        <f t="shared" si="437"/>
        <v>G</v>
      </c>
      <c r="F13372" t="str">
        <f t="shared" si="438"/>
        <v>6G</v>
      </c>
    </row>
    <row r="13373" spans="1:6" x14ac:dyDescent="0.2">
      <c r="A13373">
        <v>7</v>
      </c>
      <c r="E13373" t="str">
        <f t="shared" si="437"/>
        <v>H</v>
      </c>
      <c r="F13373" t="str">
        <f t="shared" si="438"/>
        <v>7H</v>
      </c>
    </row>
    <row r="13374" spans="1:6" x14ac:dyDescent="0.2">
      <c r="A13374">
        <v>8</v>
      </c>
      <c r="E13374" t="str">
        <f t="shared" si="437"/>
        <v>I</v>
      </c>
      <c r="F13374" t="str">
        <f t="shared" si="438"/>
        <v>8I</v>
      </c>
    </row>
    <row r="13375" spans="1:6" x14ac:dyDescent="0.2">
      <c r="A13375">
        <v>9</v>
      </c>
      <c r="E13375" t="str">
        <f t="shared" si="437"/>
        <v>J</v>
      </c>
      <c r="F13375" t="str">
        <f t="shared" si="438"/>
        <v>9J</v>
      </c>
    </row>
    <row r="13376" spans="1:6" x14ac:dyDescent="0.2">
      <c r="A13376">
        <v>10</v>
      </c>
      <c r="E13376" t="str">
        <f t="shared" si="437"/>
        <v>K</v>
      </c>
      <c r="F13376" t="str">
        <f t="shared" si="438"/>
        <v>10K</v>
      </c>
    </row>
    <row r="13377" spans="1:6" x14ac:dyDescent="0.2">
      <c r="A13377">
        <v>11</v>
      </c>
      <c r="E13377" t="str">
        <f t="shared" si="437"/>
        <v>L</v>
      </c>
      <c r="F13377" t="str">
        <f t="shared" si="438"/>
        <v>11L</v>
      </c>
    </row>
    <row r="13378" spans="1:6" x14ac:dyDescent="0.2">
      <c r="A13378">
        <v>12</v>
      </c>
      <c r="E13378" t="str">
        <f t="shared" si="437"/>
        <v>M</v>
      </c>
      <c r="F13378" t="str">
        <f t="shared" si="438"/>
        <v>12M</v>
      </c>
    </row>
    <row r="13379" spans="1:6" x14ac:dyDescent="0.2">
      <c r="A13379">
        <v>13</v>
      </c>
      <c r="E13379" t="str">
        <f t="shared" si="437"/>
        <v>N</v>
      </c>
      <c r="F13379" t="str">
        <f t="shared" si="438"/>
        <v>13N</v>
      </c>
    </row>
    <row r="13380" spans="1:6" x14ac:dyDescent="0.2">
      <c r="A13380">
        <v>14</v>
      </c>
      <c r="E13380" t="str">
        <f t="shared" si="437"/>
        <v>O</v>
      </c>
      <c r="F13380" t="str">
        <f t="shared" si="438"/>
        <v>14O</v>
      </c>
    </row>
    <row r="13381" spans="1:6" x14ac:dyDescent="0.2">
      <c r="A13381">
        <v>15</v>
      </c>
      <c r="E13381" t="str">
        <f t="shared" si="437"/>
        <v>P</v>
      </c>
      <c r="F13381" t="str">
        <f t="shared" si="438"/>
        <v>15P</v>
      </c>
    </row>
    <row r="13382" spans="1:6" x14ac:dyDescent="0.2">
      <c r="A13382">
        <v>16</v>
      </c>
      <c r="E13382" t="str">
        <f t="shared" si="437"/>
        <v>Q</v>
      </c>
      <c r="F13382" t="str">
        <f t="shared" si="438"/>
        <v>16Q</v>
      </c>
    </row>
    <row r="13383" spans="1:6" x14ac:dyDescent="0.2">
      <c r="A13383">
        <v>17</v>
      </c>
      <c r="E13383" t="str">
        <f t="shared" si="437"/>
        <v>R</v>
      </c>
      <c r="F13383" t="str">
        <f t="shared" si="438"/>
        <v>17R</v>
      </c>
    </row>
    <row r="13384" spans="1:6" x14ac:dyDescent="0.2">
      <c r="A13384">
        <v>18</v>
      </c>
      <c r="E13384" t="str">
        <f t="shared" si="437"/>
        <v>S</v>
      </c>
      <c r="F13384" t="str">
        <f t="shared" si="438"/>
        <v>18S</v>
      </c>
    </row>
    <row r="13385" spans="1:6" x14ac:dyDescent="0.2">
      <c r="A13385">
        <v>19</v>
      </c>
      <c r="E13385" t="str">
        <f t="shared" si="437"/>
        <v>T</v>
      </c>
      <c r="F13385" t="str">
        <f t="shared" si="438"/>
        <v>19T</v>
      </c>
    </row>
    <row r="13386" spans="1:6" x14ac:dyDescent="0.2">
      <c r="A13386">
        <v>20</v>
      </c>
      <c r="E13386" t="str">
        <f t="shared" si="437"/>
        <v>U</v>
      </c>
      <c r="F13386" t="str">
        <f t="shared" si="438"/>
        <v>20U</v>
      </c>
    </row>
    <row r="13387" spans="1:6" x14ac:dyDescent="0.2">
      <c r="A13387">
        <v>21</v>
      </c>
      <c r="E13387" t="str">
        <f t="shared" si="437"/>
        <v>V</v>
      </c>
      <c r="F13387" t="str">
        <f t="shared" si="438"/>
        <v>21V</v>
      </c>
    </row>
    <row r="13388" spans="1:6" x14ac:dyDescent="0.2">
      <c r="A13388">
        <v>22</v>
      </c>
      <c r="E13388" t="str">
        <f t="shared" si="437"/>
        <v>W</v>
      </c>
      <c r="F13388" t="str">
        <f t="shared" si="438"/>
        <v>22W</v>
      </c>
    </row>
    <row r="13389" spans="1:6" x14ac:dyDescent="0.2">
      <c r="A13389">
        <v>23</v>
      </c>
      <c r="E13389" t="str">
        <f t="shared" si="437"/>
        <v>X</v>
      </c>
      <c r="F13389" t="str">
        <f t="shared" si="438"/>
        <v>23X</v>
      </c>
    </row>
    <row r="13390" spans="1:6" x14ac:dyDescent="0.2">
      <c r="A13390">
        <v>24</v>
      </c>
      <c r="E13390" t="str">
        <f t="shared" si="437"/>
        <v>Y</v>
      </c>
      <c r="F13390" t="str">
        <f t="shared" si="438"/>
        <v>24Y</v>
      </c>
    </row>
    <row r="13391" spans="1:6" x14ac:dyDescent="0.2">
      <c r="A13391">
        <v>25</v>
      </c>
      <c r="E13391" t="str">
        <f t="shared" si="437"/>
        <v>Z</v>
      </c>
      <c r="F13391" t="str">
        <f t="shared" si="438"/>
        <v>25Z</v>
      </c>
    </row>
    <row r="13392" spans="1:6" x14ac:dyDescent="0.2">
      <c r="A13392">
        <v>0</v>
      </c>
      <c r="E13392" t="str">
        <f t="shared" si="437"/>
        <v>A</v>
      </c>
      <c r="F13392" t="str">
        <f t="shared" si="438"/>
        <v>0A</v>
      </c>
    </row>
    <row r="13393" spans="1:6" x14ac:dyDescent="0.2">
      <c r="A13393">
        <v>1</v>
      </c>
      <c r="E13393" t="str">
        <f t="shared" si="437"/>
        <v>B</v>
      </c>
      <c r="F13393" t="str">
        <f t="shared" si="438"/>
        <v>1B</v>
      </c>
    </row>
    <row r="13394" spans="1:6" x14ac:dyDescent="0.2">
      <c r="A13394">
        <v>2</v>
      </c>
      <c r="E13394" t="str">
        <f t="shared" si="437"/>
        <v>C</v>
      </c>
      <c r="F13394" t="str">
        <f t="shared" si="438"/>
        <v>2C</v>
      </c>
    </row>
    <row r="13395" spans="1:6" x14ac:dyDescent="0.2">
      <c r="A13395">
        <v>3</v>
      </c>
      <c r="E13395" t="str">
        <f t="shared" si="437"/>
        <v>D</v>
      </c>
      <c r="F13395" t="str">
        <f t="shared" si="438"/>
        <v>3D</v>
      </c>
    </row>
    <row r="13396" spans="1:6" x14ac:dyDescent="0.2">
      <c r="A13396">
        <v>4</v>
      </c>
      <c r="E13396" t="str">
        <f t="shared" si="437"/>
        <v>E</v>
      </c>
      <c r="F13396" t="str">
        <f t="shared" si="438"/>
        <v>4E</v>
      </c>
    </row>
    <row r="13397" spans="1:6" x14ac:dyDescent="0.2">
      <c r="A13397">
        <v>5</v>
      </c>
      <c r="E13397" t="str">
        <f t="shared" ref="E13397:E13460" si="439">E13371</f>
        <v>F</v>
      </c>
      <c r="F13397" t="str">
        <f t="shared" si="438"/>
        <v>5F</v>
      </c>
    </row>
    <row r="13398" spans="1:6" x14ac:dyDescent="0.2">
      <c r="A13398">
        <v>6</v>
      </c>
      <c r="E13398" t="str">
        <f t="shared" si="439"/>
        <v>G</v>
      </c>
      <c r="F13398" t="str">
        <f t="shared" si="438"/>
        <v>6G</v>
      </c>
    </row>
    <row r="13399" spans="1:6" x14ac:dyDescent="0.2">
      <c r="A13399">
        <v>7</v>
      </c>
      <c r="E13399" t="str">
        <f t="shared" si="439"/>
        <v>H</v>
      </c>
      <c r="F13399" t="str">
        <f t="shared" ref="F13399:F13462" si="440">A13399&amp;C13399&amp;E13399</f>
        <v>7H</v>
      </c>
    </row>
    <row r="13400" spans="1:6" x14ac:dyDescent="0.2">
      <c r="A13400">
        <v>8</v>
      </c>
      <c r="E13400" t="str">
        <f t="shared" si="439"/>
        <v>I</v>
      </c>
      <c r="F13400" t="str">
        <f t="shared" si="440"/>
        <v>8I</v>
      </c>
    </row>
    <row r="13401" spans="1:6" x14ac:dyDescent="0.2">
      <c r="A13401">
        <v>9</v>
      </c>
      <c r="E13401" t="str">
        <f t="shared" si="439"/>
        <v>J</v>
      </c>
      <c r="F13401" t="str">
        <f t="shared" si="440"/>
        <v>9J</v>
      </c>
    </row>
    <row r="13402" spans="1:6" x14ac:dyDescent="0.2">
      <c r="A13402">
        <v>10</v>
      </c>
      <c r="E13402" t="str">
        <f t="shared" si="439"/>
        <v>K</v>
      </c>
      <c r="F13402" t="str">
        <f t="shared" si="440"/>
        <v>10K</v>
      </c>
    </row>
    <row r="13403" spans="1:6" x14ac:dyDescent="0.2">
      <c r="A13403">
        <v>11</v>
      </c>
      <c r="E13403" t="str">
        <f t="shared" si="439"/>
        <v>L</v>
      </c>
      <c r="F13403" t="str">
        <f t="shared" si="440"/>
        <v>11L</v>
      </c>
    </row>
    <row r="13404" spans="1:6" x14ac:dyDescent="0.2">
      <c r="A13404">
        <v>12</v>
      </c>
      <c r="E13404" t="str">
        <f t="shared" si="439"/>
        <v>M</v>
      </c>
      <c r="F13404" t="str">
        <f t="shared" si="440"/>
        <v>12M</v>
      </c>
    </row>
    <row r="13405" spans="1:6" x14ac:dyDescent="0.2">
      <c r="A13405">
        <v>13</v>
      </c>
      <c r="E13405" t="str">
        <f t="shared" si="439"/>
        <v>N</v>
      </c>
      <c r="F13405" t="str">
        <f t="shared" si="440"/>
        <v>13N</v>
      </c>
    </row>
    <row r="13406" spans="1:6" x14ac:dyDescent="0.2">
      <c r="A13406">
        <v>14</v>
      </c>
      <c r="E13406" t="str">
        <f t="shared" si="439"/>
        <v>O</v>
      </c>
      <c r="F13406" t="str">
        <f t="shared" si="440"/>
        <v>14O</v>
      </c>
    </row>
    <row r="13407" spans="1:6" x14ac:dyDescent="0.2">
      <c r="A13407">
        <v>15</v>
      </c>
      <c r="E13407" t="str">
        <f t="shared" si="439"/>
        <v>P</v>
      </c>
      <c r="F13407" t="str">
        <f t="shared" si="440"/>
        <v>15P</v>
      </c>
    </row>
    <row r="13408" spans="1:6" x14ac:dyDescent="0.2">
      <c r="A13408">
        <v>16</v>
      </c>
      <c r="E13408" t="str">
        <f t="shared" si="439"/>
        <v>Q</v>
      </c>
      <c r="F13408" t="str">
        <f t="shared" si="440"/>
        <v>16Q</v>
      </c>
    </row>
    <row r="13409" spans="1:6" x14ac:dyDescent="0.2">
      <c r="A13409">
        <v>17</v>
      </c>
      <c r="E13409" t="str">
        <f t="shared" si="439"/>
        <v>R</v>
      </c>
      <c r="F13409" t="str">
        <f t="shared" si="440"/>
        <v>17R</v>
      </c>
    </row>
    <row r="13410" spans="1:6" x14ac:dyDescent="0.2">
      <c r="A13410">
        <v>18</v>
      </c>
      <c r="E13410" t="str">
        <f t="shared" si="439"/>
        <v>S</v>
      </c>
      <c r="F13410" t="str">
        <f t="shared" si="440"/>
        <v>18S</v>
      </c>
    </row>
    <row r="13411" spans="1:6" x14ac:dyDescent="0.2">
      <c r="A13411">
        <v>19</v>
      </c>
      <c r="E13411" t="str">
        <f t="shared" si="439"/>
        <v>T</v>
      </c>
      <c r="F13411" t="str">
        <f t="shared" si="440"/>
        <v>19T</v>
      </c>
    </row>
    <row r="13412" spans="1:6" x14ac:dyDescent="0.2">
      <c r="A13412">
        <v>20</v>
      </c>
      <c r="E13412" t="str">
        <f t="shared" si="439"/>
        <v>U</v>
      </c>
      <c r="F13412" t="str">
        <f t="shared" si="440"/>
        <v>20U</v>
      </c>
    </row>
    <row r="13413" spans="1:6" x14ac:dyDescent="0.2">
      <c r="A13413">
        <v>21</v>
      </c>
      <c r="E13413" t="str">
        <f t="shared" si="439"/>
        <v>V</v>
      </c>
      <c r="F13413" t="str">
        <f t="shared" si="440"/>
        <v>21V</v>
      </c>
    </row>
    <row r="13414" spans="1:6" x14ac:dyDescent="0.2">
      <c r="A13414">
        <v>22</v>
      </c>
      <c r="E13414" t="str">
        <f t="shared" si="439"/>
        <v>W</v>
      </c>
      <c r="F13414" t="str">
        <f t="shared" si="440"/>
        <v>22W</v>
      </c>
    </row>
    <row r="13415" spans="1:6" x14ac:dyDescent="0.2">
      <c r="A13415">
        <v>23</v>
      </c>
      <c r="E13415" t="str">
        <f t="shared" si="439"/>
        <v>X</v>
      </c>
      <c r="F13415" t="str">
        <f t="shared" si="440"/>
        <v>23X</v>
      </c>
    </row>
    <row r="13416" spans="1:6" x14ac:dyDescent="0.2">
      <c r="A13416">
        <v>24</v>
      </c>
      <c r="E13416" t="str">
        <f t="shared" si="439"/>
        <v>Y</v>
      </c>
      <c r="F13416" t="str">
        <f t="shared" si="440"/>
        <v>24Y</v>
      </c>
    </row>
    <row r="13417" spans="1:6" x14ac:dyDescent="0.2">
      <c r="A13417">
        <v>25</v>
      </c>
      <c r="E13417" t="str">
        <f t="shared" si="439"/>
        <v>Z</v>
      </c>
      <c r="F13417" t="str">
        <f t="shared" si="440"/>
        <v>25Z</v>
      </c>
    </row>
    <row r="13418" spans="1:6" x14ac:dyDescent="0.2">
      <c r="A13418">
        <v>0</v>
      </c>
      <c r="E13418" t="str">
        <f t="shared" si="439"/>
        <v>A</v>
      </c>
      <c r="F13418" t="str">
        <f t="shared" si="440"/>
        <v>0A</v>
      </c>
    </row>
    <row r="13419" spans="1:6" x14ac:dyDescent="0.2">
      <c r="A13419">
        <v>1</v>
      </c>
      <c r="E13419" t="str">
        <f t="shared" si="439"/>
        <v>B</v>
      </c>
      <c r="F13419" t="str">
        <f t="shared" si="440"/>
        <v>1B</v>
      </c>
    </row>
    <row r="13420" spans="1:6" x14ac:dyDescent="0.2">
      <c r="A13420">
        <v>2</v>
      </c>
      <c r="E13420" t="str">
        <f t="shared" si="439"/>
        <v>C</v>
      </c>
      <c r="F13420" t="str">
        <f t="shared" si="440"/>
        <v>2C</v>
      </c>
    </row>
    <row r="13421" spans="1:6" x14ac:dyDescent="0.2">
      <c r="A13421">
        <v>3</v>
      </c>
      <c r="E13421" t="str">
        <f t="shared" si="439"/>
        <v>D</v>
      </c>
      <c r="F13421" t="str">
        <f t="shared" si="440"/>
        <v>3D</v>
      </c>
    </row>
    <row r="13422" spans="1:6" x14ac:dyDescent="0.2">
      <c r="A13422">
        <v>4</v>
      </c>
      <c r="E13422" t="str">
        <f t="shared" si="439"/>
        <v>E</v>
      </c>
      <c r="F13422" t="str">
        <f t="shared" si="440"/>
        <v>4E</v>
      </c>
    </row>
    <row r="13423" spans="1:6" x14ac:dyDescent="0.2">
      <c r="A13423">
        <v>5</v>
      </c>
      <c r="E13423" t="str">
        <f t="shared" si="439"/>
        <v>F</v>
      </c>
      <c r="F13423" t="str">
        <f t="shared" si="440"/>
        <v>5F</v>
      </c>
    </row>
    <row r="13424" spans="1:6" x14ac:dyDescent="0.2">
      <c r="A13424">
        <v>6</v>
      </c>
      <c r="E13424" t="str">
        <f t="shared" si="439"/>
        <v>G</v>
      </c>
      <c r="F13424" t="str">
        <f t="shared" si="440"/>
        <v>6G</v>
      </c>
    </row>
    <row r="13425" spans="1:6" x14ac:dyDescent="0.2">
      <c r="A13425">
        <v>7</v>
      </c>
      <c r="E13425" t="str">
        <f t="shared" si="439"/>
        <v>H</v>
      </c>
      <c r="F13425" t="str">
        <f t="shared" si="440"/>
        <v>7H</v>
      </c>
    </row>
    <row r="13426" spans="1:6" x14ac:dyDescent="0.2">
      <c r="A13426">
        <v>8</v>
      </c>
      <c r="E13426" t="str">
        <f t="shared" si="439"/>
        <v>I</v>
      </c>
      <c r="F13426" t="str">
        <f t="shared" si="440"/>
        <v>8I</v>
      </c>
    </row>
    <row r="13427" spans="1:6" x14ac:dyDescent="0.2">
      <c r="A13427">
        <v>9</v>
      </c>
      <c r="E13427" t="str">
        <f t="shared" si="439"/>
        <v>J</v>
      </c>
      <c r="F13427" t="str">
        <f t="shared" si="440"/>
        <v>9J</v>
      </c>
    </row>
    <row r="13428" spans="1:6" x14ac:dyDescent="0.2">
      <c r="A13428">
        <v>10</v>
      </c>
      <c r="E13428" t="str">
        <f t="shared" si="439"/>
        <v>K</v>
      </c>
      <c r="F13428" t="str">
        <f t="shared" si="440"/>
        <v>10K</v>
      </c>
    </row>
    <row r="13429" spans="1:6" x14ac:dyDescent="0.2">
      <c r="A13429">
        <v>11</v>
      </c>
      <c r="E13429" t="str">
        <f t="shared" si="439"/>
        <v>L</v>
      </c>
      <c r="F13429" t="str">
        <f t="shared" si="440"/>
        <v>11L</v>
      </c>
    </row>
    <row r="13430" spans="1:6" x14ac:dyDescent="0.2">
      <c r="A13430">
        <v>12</v>
      </c>
      <c r="E13430" t="str">
        <f t="shared" si="439"/>
        <v>M</v>
      </c>
      <c r="F13430" t="str">
        <f t="shared" si="440"/>
        <v>12M</v>
      </c>
    </row>
    <row r="13431" spans="1:6" x14ac:dyDescent="0.2">
      <c r="A13431">
        <v>13</v>
      </c>
      <c r="E13431" t="str">
        <f t="shared" si="439"/>
        <v>N</v>
      </c>
      <c r="F13431" t="str">
        <f t="shared" si="440"/>
        <v>13N</v>
      </c>
    </row>
    <row r="13432" spans="1:6" x14ac:dyDescent="0.2">
      <c r="A13432">
        <v>14</v>
      </c>
      <c r="E13432" t="str">
        <f t="shared" si="439"/>
        <v>O</v>
      </c>
      <c r="F13432" t="str">
        <f t="shared" si="440"/>
        <v>14O</v>
      </c>
    </row>
    <row r="13433" spans="1:6" x14ac:dyDescent="0.2">
      <c r="A13433">
        <v>15</v>
      </c>
      <c r="E13433" t="str">
        <f t="shared" si="439"/>
        <v>P</v>
      </c>
      <c r="F13433" t="str">
        <f t="shared" si="440"/>
        <v>15P</v>
      </c>
    </row>
    <row r="13434" spans="1:6" x14ac:dyDescent="0.2">
      <c r="A13434">
        <v>16</v>
      </c>
      <c r="E13434" t="str">
        <f t="shared" si="439"/>
        <v>Q</v>
      </c>
      <c r="F13434" t="str">
        <f t="shared" si="440"/>
        <v>16Q</v>
      </c>
    </row>
    <row r="13435" spans="1:6" x14ac:dyDescent="0.2">
      <c r="A13435">
        <v>17</v>
      </c>
      <c r="E13435" t="str">
        <f t="shared" si="439"/>
        <v>R</v>
      </c>
      <c r="F13435" t="str">
        <f t="shared" si="440"/>
        <v>17R</v>
      </c>
    </row>
    <row r="13436" spans="1:6" x14ac:dyDescent="0.2">
      <c r="A13436">
        <v>18</v>
      </c>
      <c r="E13436" t="str">
        <f t="shared" si="439"/>
        <v>S</v>
      </c>
      <c r="F13436" t="str">
        <f t="shared" si="440"/>
        <v>18S</v>
      </c>
    </row>
    <row r="13437" spans="1:6" x14ac:dyDescent="0.2">
      <c r="A13437">
        <v>19</v>
      </c>
      <c r="E13437" t="str">
        <f t="shared" si="439"/>
        <v>T</v>
      </c>
      <c r="F13437" t="str">
        <f t="shared" si="440"/>
        <v>19T</v>
      </c>
    </row>
    <row r="13438" spans="1:6" x14ac:dyDescent="0.2">
      <c r="A13438">
        <v>20</v>
      </c>
      <c r="E13438" t="str">
        <f t="shared" si="439"/>
        <v>U</v>
      </c>
      <c r="F13438" t="str">
        <f t="shared" si="440"/>
        <v>20U</v>
      </c>
    </row>
    <row r="13439" spans="1:6" x14ac:dyDescent="0.2">
      <c r="A13439">
        <v>21</v>
      </c>
      <c r="E13439" t="str">
        <f t="shared" si="439"/>
        <v>V</v>
      </c>
      <c r="F13439" t="str">
        <f t="shared" si="440"/>
        <v>21V</v>
      </c>
    </row>
    <row r="13440" spans="1:6" x14ac:dyDescent="0.2">
      <c r="A13440">
        <v>22</v>
      </c>
      <c r="E13440" t="str">
        <f t="shared" si="439"/>
        <v>W</v>
      </c>
      <c r="F13440" t="str">
        <f t="shared" si="440"/>
        <v>22W</v>
      </c>
    </row>
    <row r="13441" spans="1:6" x14ac:dyDescent="0.2">
      <c r="A13441">
        <v>23</v>
      </c>
      <c r="E13441" t="str">
        <f t="shared" si="439"/>
        <v>X</v>
      </c>
      <c r="F13441" t="str">
        <f t="shared" si="440"/>
        <v>23X</v>
      </c>
    </row>
    <row r="13442" spans="1:6" x14ac:dyDescent="0.2">
      <c r="A13442">
        <v>24</v>
      </c>
      <c r="E13442" t="str">
        <f t="shared" si="439"/>
        <v>Y</v>
      </c>
      <c r="F13442" t="str">
        <f t="shared" si="440"/>
        <v>24Y</v>
      </c>
    </row>
    <row r="13443" spans="1:6" x14ac:dyDescent="0.2">
      <c r="A13443">
        <v>25</v>
      </c>
      <c r="E13443" t="str">
        <f t="shared" si="439"/>
        <v>Z</v>
      </c>
      <c r="F13443" t="str">
        <f t="shared" si="440"/>
        <v>25Z</v>
      </c>
    </row>
    <row r="13444" spans="1:6" x14ac:dyDescent="0.2">
      <c r="A13444">
        <v>0</v>
      </c>
      <c r="E13444" t="str">
        <f t="shared" si="439"/>
        <v>A</v>
      </c>
      <c r="F13444" t="str">
        <f t="shared" si="440"/>
        <v>0A</v>
      </c>
    </row>
    <row r="13445" spans="1:6" x14ac:dyDescent="0.2">
      <c r="A13445">
        <v>1</v>
      </c>
      <c r="E13445" t="str">
        <f t="shared" si="439"/>
        <v>B</v>
      </c>
      <c r="F13445" t="str">
        <f t="shared" si="440"/>
        <v>1B</v>
      </c>
    </row>
    <row r="13446" spans="1:6" x14ac:dyDescent="0.2">
      <c r="A13446">
        <v>2</v>
      </c>
      <c r="E13446" t="str">
        <f t="shared" si="439"/>
        <v>C</v>
      </c>
      <c r="F13446" t="str">
        <f t="shared" si="440"/>
        <v>2C</v>
      </c>
    </row>
    <row r="13447" spans="1:6" x14ac:dyDescent="0.2">
      <c r="A13447">
        <v>3</v>
      </c>
      <c r="E13447" t="str">
        <f t="shared" si="439"/>
        <v>D</v>
      </c>
      <c r="F13447" t="str">
        <f t="shared" si="440"/>
        <v>3D</v>
      </c>
    </row>
    <row r="13448" spans="1:6" x14ac:dyDescent="0.2">
      <c r="A13448">
        <v>4</v>
      </c>
      <c r="E13448" t="str">
        <f t="shared" si="439"/>
        <v>E</v>
      </c>
      <c r="F13448" t="str">
        <f t="shared" si="440"/>
        <v>4E</v>
      </c>
    </row>
    <row r="13449" spans="1:6" x14ac:dyDescent="0.2">
      <c r="A13449">
        <v>5</v>
      </c>
      <c r="E13449" t="str">
        <f t="shared" si="439"/>
        <v>F</v>
      </c>
      <c r="F13449" t="str">
        <f t="shared" si="440"/>
        <v>5F</v>
      </c>
    </row>
    <row r="13450" spans="1:6" x14ac:dyDescent="0.2">
      <c r="A13450">
        <v>6</v>
      </c>
      <c r="E13450" t="str">
        <f t="shared" si="439"/>
        <v>G</v>
      </c>
      <c r="F13450" t="str">
        <f t="shared" si="440"/>
        <v>6G</v>
      </c>
    </row>
    <row r="13451" spans="1:6" x14ac:dyDescent="0.2">
      <c r="A13451">
        <v>7</v>
      </c>
      <c r="E13451" t="str">
        <f t="shared" si="439"/>
        <v>H</v>
      </c>
      <c r="F13451" t="str">
        <f t="shared" si="440"/>
        <v>7H</v>
      </c>
    </row>
    <row r="13452" spans="1:6" x14ac:dyDescent="0.2">
      <c r="A13452">
        <v>8</v>
      </c>
      <c r="E13452" t="str">
        <f t="shared" si="439"/>
        <v>I</v>
      </c>
      <c r="F13452" t="str">
        <f t="shared" si="440"/>
        <v>8I</v>
      </c>
    </row>
    <row r="13453" spans="1:6" x14ac:dyDescent="0.2">
      <c r="A13453">
        <v>9</v>
      </c>
      <c r="E13453" t="str">
        <f t="shared" si="439"/>
        <v>J</v>
      </c>
      <c r="F13453" t="str">
        <f t="shared" si="440"/>
        <v>9J</v>
      </c>
    </row>
    <row r="13454" spans="1:6" x14ac:dyDescent="0.2">
      <c r="A13454">
        <v>10</v>
      </c>
      <c r="E13454" t="str">
        <f t="shared" si="439"/>
        <v>K</v>
      </c>
      <c r="F13454" t="str">
        <f t="shared" si="440"/>
        <v>10K</v>
      </c>
    </row>
    <row r="13455" spans="1:6" x14ac:dyDescent="0.2">
      <c r="A13455">
        <v>11</v>
      </c>
      <c r="E13455" t="str">
        <f t="shared" si="439"/>
        <v>L</v>
      </c>
      <c r="F13455" t="str">
        <f t="shared" si="440"/>
        <v>11L</v>
      </c>
    </row>
    <row r="13456" spans="1:6" x14ac:dyDescent="0.2">
      <c r="A13456">
        <v>12</v>
      </c>
      <c r="E13456" t="str">
        <f t="shared" si="439"/>
        <v>M</v>
      </c>
      <c r="F13456" t="str">
        <f t="shared" si="440"/>
        <v>12M</v>
      </c>
    </row>
    <row r="13457" spans="1:6" x14ac:dyDescent="0.2">
      <c r="A13457">
        <v>13</v>
      </c>
      <c r="E13457" t="str">
        <f t="shared" si="439"/>
        <v>N</v>
      </c>
      <c r="F13457" t="str">
        <f t="shared" si="440"/>
        <v>13N</v>
      </c>
    </row>
    <row r="13458" spans="1:6" x14ac:dyDescent="0.2">
      <c r="A13458">
        <v>14</v>
      </c>
      <c r="E13458" t="str">
        <f t="shared" si="439"/>
        <v>O</v>
      </c>
      <c r="F13458" t="str">
        <f t="shared" si="440"/>
        <v>14O</v>
      </c>
    </row>
    <row r="13459" spans="1:6" x14ac:dyDescent="0.2">
      <c r="A13459">
        <v>15</v>
      </c>
      <c r="E13459" t="str">
        <f t="shared" si="439"/>
        <v>P</v>
      </c>
      <c r="F13459" t="str">
        <f t="shared" si="440"/>
        <v>15P</v>
      </c>
    </row>
    <row r="13460" spans="1:6" x14ac:dyDescent="0.2">
      <c r="A13460">
        <v>16</v>
      </c>
      <c r="E13460" t="str">
        <f t="shared" si="439"/>
        <v>Q</v>
      </c>
      <c r="F13460" t="str">
        <f t="shared" si="440"/>
        <v>16Q</v>
      </c>
    </row>
    <row r="13461" spans="1:6" x14ac:dyDescent="0.2">
      <c r="A13461">
        <v>17</v>
      </c>
      <c r="E13461" t="str">
        <f t="shared" ref="E13461:E13524" si="441">E13435</f>
        <v>R</v>
      </c>
      <c r="F13461" t="str">
        <f t="shared" si="440"/>
        <v>17R</v>
      </c>
    </row>
    <row r="13462" spans="1:6" x14ac:dyDescent="0.2">
      <c r="A13462">
        <v>18</v>
      </c>
      <c r="E13462" t="str">
        <f t="shared" si="441"/>
        <v>S</v>
      </c>
      <c r="F13462" t="str">
        <f t="shared" si="440"/>
        <v>18S</v>
      </c>
    </row>
    <row r="13463" spans="1:6" x14ac:dyDescent="0.2">
      <c r="A13463">
        <v>19</v>
      </c>
      <c r="E13463" t="str">
        <f t="shared" si="441"/>
        <v>T</v>
      </c>
      <c r="F13463" t="str">
        <f t="shared" ref="F13463:F13526" si="442">A13463&amp;C13463&amp;E13463</f>
        <v>19T</v>
      </c>
    </row>
    <row r="13464" spans="1:6" x14ac:dyDescent="0.2">
      <c r="A13464">
        <v>20</v>
      </c>
      <c r="E13464" t="str">
        <f t="shared" si="441"/>
        <v>U</v>
      </c>
      <c r="F13464" t="str">
        <f t="shared" si="442"/>
        <v>20U</v>
      </c>
    </row>
    <row r="13465" spans="1:6" x14ac:dyDescent="0.2">
      <c r="A13465">
        <v>21</v>
      </c>
      <c r="E13465" t="str">
        <f t="shared" si="441"/>
        <v>V</v>
      </c>
      <c r="F13465" t="str">
        <f t="shared" si="442"/>
        <v>21V</v>
      </c>
    </row>
    <row r="13466" spans="1:6" x14ac:dyDescent="0.2">
      <c r="A13466">
        <v>22</v>
      </c>
      <c r="E13466" t="str">
        <f t="shared" si="441"/>
        <v>W</v>
      </c>
      <c r="F13466" t="str">
        <f t="shared" si="442"/>
        <v>22W</v>
      </c>
    </row>
    <row r="13467" spans="1:6" x14ac:dyDescent="0.2">
      <c r="A13467">
        <v>23</v>
      </c>
      <c r="E13467" t="str">
        <f t="shared" si="441"/>
        <v>X</v>
      </c>
      <c r="F13467" t="str">
        <f t="shared" si="442"/>
        <v>23X</v>
      </c>
    </row>
    <row r="13468" spans="1:6" x14ac:dyDescent="0.2">
      <c r="A13468">
        <v>24</v>
      </c>
      <c r="E13468" t="str">
        <f t="shared" si="441"/>
        <v>Y</v>
      </c>
      <c r="F13468" t="str">
        <f t="shared" si="442"/>
        <v>24Y</v>
      </c>
    </row>
    <row r="13469" spans="1:6" x14ac:dyDescent="0.2">
      <c r="A13469">
        <v>25</v>
      </c>
      <c r="E13469" t="str">
        <f t="shared" si="441"/>
        <v>Z</v>
      </c>
      <c r="F13469" t="str">
        <f t="shared" si="442"/>
        <v>25Z</v>
      </c>
    </row>
    <row r="13470" spans="1:6" x14ac:dyDescent="0.2">
      <c r="A13470">
        <v>0</v>
      </c>
      <c r="E13470" t="str">
        <f t="shared" si="441"/>
        <v>A</v>
      </c>
      <c r="F13470" t="str">
        <f t="shared" si="442"/>
        <v>0A</v>
      </c>
    </row>
    <row r="13471" spans="1:6" x14ac:dyDescent="0.2">
      <c r="A13471">
        <v>1</v>
      </c>
      <c r="E13471" t="str">
        <f t="shared" si="441"/>
        <v>B</v>
      </c>
      <c r="F13471" t="str">
        <f t="shared" si="442"/>
        <v>1B</v>
      </c>
    </row>
    <row r="13472" spans="1:6" x14ac:dyDescent="0.2">
      <c r="A13472">
        <v>2</v>
      </c>
      <c r="E13472" t="str">
        <f t="shared" si="441"/>
        <v>C</v>
      </c>
      <c r="F13472" t="str">
        <f t="shared" si="442"/>
        <v>2C</v>
      </c>
    </row>
    <row r="13473" spans="1:6" x14ac:dyDescent="0.2">
      <c r="A13473">
        <v>3</v>
      </c>
      <c r="E13473" t="str">
        <f t="shared" si="441"/>
        <v>D</v>
      </c>
      <c r="F13473" t="str">
        <f t="shared" si="442"/>
        <v>3D</v>
      </c>
    </row>
    <row r="13474" spans="1:6" x14ac:dyDescent="0.2">
      <c r="A13474">
        <v>4</v>
      </c>
      <c r="E13474" t="str">
        <f t="shared" si="441"/>
        <v>E</v>
      </c>
      <c r="F13474" t="str">
        <f t="shared" si="442"/>
        <v>4E</v>
      </c>
    </row>
    <row r="13475" spans="1:6" x14ac:dyDescent="0.2">
      <c r="A13475">
        <v>5</v>
      </c>
      <c r="E13475" t="str">
        <f t="shared" si="441"/>
        <v>F</v>
      </c>
      <c r="F13475" t="str">
        <f t="shared" si="442"/>
        <v>5F</v>
      </c>
    </row>
    <row r="13476" spans="1:6" x14ac:dyDescent="0.2">
      <c r="A13476">
        <v>6</v>
      </c>
      <c r="E13476" t="str">
        <f t="shared" si="441"/>
        <v>G</v>
      </c>
      <c r="F13476" t="str">
        <f t="shared" si="442"/>
        <v>6G</v>
      </c>
    </row>
    <row r="13477" spans="1:6" x14ac:dyDescent="0.2">
      <c r="A13477">
        <v>7</v>
      </c>
      <c r="E13477" t="str">
        <f t="shared" si="441"/>
        <v>H</v>
      </c>
      <c r="F13477" t="str">
        <f t="shared" si="442"/>
        <v>7H</v>
      </c>
    </row>
    <row r="13478" spans="1:6" x14ac:dyDescent="0.2">
      <c r="A13478">
        <v>8</v>
      </c>
      <c r="E13478" t="str">
        <f t="shared" si="441"/>
        <v>I</v>
      </c>
      <c r="F13478" t="str">
        <f t="shared" si="442"/>
        <v>8I</v>
      </c>
    </row>
    <row r="13479" spans="1:6" x14ac:dyDescent="0.2">
      <c r="A13479">
        <v>9</v>
      </c>
      <c r="E13479" t="str">
        <f t="shared" si="441"/>
        <v>J</v>
      </c>
      <c r="F13479" t="str">
        <f t="shared" si="442"/>
        <v>9J</v>
      </c>
    </row>
    <row r="13480" spans="1:6" x14ac:dyDescent="0.2">
      <c r="A13480">
        <v>10</v>
      </c>
      <c r="E13480" t="str">
        <f t="shared" si="441"/>
        <v>K</v>
      </c>
      <c r="F13480" t="str">
        <f t="shared" si="442"/>
        <v>10K</v>
      </c>
    </row>
    <row r="13481" spans="1:6" x14ac:dyDescent="0.2">
      <c r="A13481">
        <v>11</v>
      </c>
      <c r="E13481" t="str">
        <f t="shared" si="441"/>
        <v>L</v>
      </c>
      <c r="F13481" t="str">
        <f t="shared" si="442"/>
        <v>11L</v>
      </c>
    </row>
    <row r="13482" spans="1:6" x14ac:dyDescent="0.2">
      <c r="A13482">
        <v>12</v>
      </c>
      <c r="E13482" t="str">
        <f t="shared" si="441"/>
        <v>M</v>
      </c>
      <c r="F13482" t="str">
        <f t="shared" si="442"/>
        <v>12M</v>
      </c>
    </row>
    <row r="13483" spans="1:6" x14ac:dyDescent="0.2">
      <c r="A13483">
        <v>13</v>
      </c>
      <c r="E13483" t="str">
        <f t="shared" si="441"/>
        <v>N</v>
      </c>
      <c r="F13483" t="str">
        <f t="shared" si="442"/>
        <v>13N</v>
      </c>
    </row>
    <row r="13484" spans="1:6" x14ac:dyDescent="0.2">
      <c r="A13484">
        <v>14</v>
      </c>
      <c r="E13484" t="str">
        <f t="shared" si="441"/>
        <v>O</v>
      </c>
      <c r="F13484" t="str">
        <f t="shared" si="442"/>
        <v>14O</v>
      </c>
    </row>
    <row r="13485" spans="1:6" x14ac:dyDescent="0.2">
      <c r="A13485">
        <v>15</v>
      </c>
      <c r="E13485" t="str">
        <f t="shared" si="441"/>
        <v>P</v>
      </c>
      <c r="F13485" t="str">
        <f t="shared" si="442"/>
        <v>15P</v>
      </c>
    </row>
    <row r="13486" spans="1:6" x14ac:dyDescent="0.2">
      <c r="A13486">
        <v>16</v>
      </c>
      <c r="E13486" t="str">
        <f t="shared" si="441"/>
        <v>Q</v>
      </c>
      <c r="F13486" t="str">
        <f t="shared" si="442"/>
        <v>16Q</v>
      </c>
    </row>
    <row r="13487" spans="1:6" x14ac:dyDescent="0.2">
      <c r="A13487">
        <v>17</v>
      </c>
      <c r="E13487" t="str">
        <f t="shared" si="441"/>
        <v>R</v>
      </c>
      <c r="F13487" t="str">
        <f t="shared" si="442"/>
        <v>17R</v>
      </c>
    </row>
    <row r="13488" spans="1:6" x14ac:dyDescent="0.2">
      <c r="A13488">
        <v>18</v>
      </c>
      <c r="E13488" t="str">
        <f t="shared" si="441"/>
        <v>S</v>
      </c>
      <c r="F13488" t="str">
        <f t="shared" si="442"/>
        <v>18S</v>
      </c>
    </row>
    <row r="13489" spans="1:6" x14ac:dyDescent="0.2">
      <c r="A13489">
        <v>19</v>
      </c>
      <c r="E13489" t="str">
        <f t="shared" si="441"/>
        <v>T</v>
      </c>
      <c r="F13489" t="str">
        <f t="shared" si="442"/>
        <v>19T</v>
      </c>
    </row>
    <row r="13490" spans="1:6" x14ac:dyDescent="0.2">
      <c r="A13490">
        <v>20</v>
      </c>
      <c r="E13490" t="str">
        <f t="shared" si="441"/>
        <v>U</v>
      </c>
      <c r="F13490" t="str">
        <f t="shared" si="442"/>
        <v>20U</v>
      </c>
    </row>
    <row r="13491" spans="1:6" x14ac:dyDescent="0.2">
      <c r="A13491">
        <v>21</v>
      </c>
      <c r="E13491" t="str">
        <f t="shared" si="441"/>
        <v>V</v>
      </c>
      <c r="F13491" t="str">
        <f t="shared" si="442"/>
        <v>21V</v>
      </c>
    </row>
    <row r="13492" spans="1:6" x14ac:dyDescent="0.2">
      <c r="A13492">
        <v>22</v>
      </c>
      <c r="E13492" t="str">
        <f t="shared" si="441"/>
        <v>W</v>
      </c>
      <c r="F13492" t="str">
        <f t="shared" si="442"/>
        <v>22W</v>
      </c>
    </row>
    <row r="13493" spans="1:6" x14ac:dyDescent="0.2">
      <c r="A13493">
        <v>23</v>
      </c>
      <c r="E13493" t="str">
        <f t="shared" si="441"/>
        <v>X</v>
      </c>
      <c r="F13493" t="str">
        <f t="shared" si="442"/>
        <v>23X</v>
      </c>
    </row>
    <row r="13494" spans="1:6" x14ac:dyDescent="0.2">
      <c r="A13494">
        <v>24</v>
      </c>
      <c r="E13494" t="str">
        <f t="shared" si="441"/>
        <v>Y</v>
      </c>
      <c r="F13494" t="str">
        <f t="shared" si="442"/>
        <v>24Y</v>
      </c>
    </row>
    <row r="13495" spans="1:6" x14ac:dyDescent="0.2">
      <c r="A13495">
        <v>25</v>
      </c>
      <c r="E13495" t="str">
        <f t="shared" si="441"/>
        <v>Z</v>
      </c>
      <c r="F13495" t="str">
        <f t="shared" si="442"/>
        <v>25Z</v>
      </c>
    </row>
    <row r="13496" spans="1:6" x14ac:dyDescent="0.2">
      <c r="A13496">
        <v>0</v>
      </c>
      <c r="E13496" t="str">
        <f t="shared" si="441"/>
        <v>A</v>
      </c>
      <c r="F13496" t="str">
        <f t="shared" si="442"/>
        <v>0A</v>
      </c>
    </row>
    <row r="13497" spans="1:6" x14ac:dyDescent="0.2">
      <c r="A13497">
        <v>1</v>
      </c>
      <c r="E13497" t="str">
        <f t="shared" si="441"/>
        <v>B</v>
      </c>
      <c r="F13497" t="str">
        <f t="shared" si="442"/>
        <v>1B</v>
      </c>
    </row>
    <row r="13498" spans="1:6" x14ac:dyDescent="0.2">
      <c r="A13498">
        <v>2</v>
      </c>
      <c r="E13498" t="str">
        <f t="shared" si="441"/>
        <v>C</v>
      </c>
      <c r="F13498" t="str">
        <f t="shared" si="442"/>
        <v>2C</v>
      </c>
    </row>
    <row r="13499" spans="1:6" x14ac:dyDescent="0.2">
      <c r="A13499">
        <v>3</v>
      </c>
      <c r="E13499" t="str">
        <f t="shared" si="441"/>
        <v>D</v>
      </c>
      <c r="F13499" t="str">
        <f t="shared" si="442"/>
        <v>3D</v>
      </c>
    </row>
    <row r="13500" spans="1:6" x14ac:dyDescent="0.2">
      <c r="A13500">
        <v>4</v>
      </c>
      <c r="E13500" t="str">
        <f t="shared" si="441"/>
        <v>E</v>
      </c>
      <c r="F13500" t="str">
        <f t="shared" si="442"/>
        <v>4E</v>
      </c>
    </row>
    <row r="13501" spans="1:6" x14ac:dyDescent="0.2">
      <c r="A13501">
        <v>5</v>
      </c>
      <c r="E13501" t="str">
        <f t="shared" si="441"/>
        <v>F</v>
      </c>
      <c r="F13501" t="str">
        <f t="shared" si="442"/>
        <v>5F</v>
      </c>
    </row>
    <row r="13502" spans="1:6" x14ac:dyDescent="0.2">
      <c r="A13502">
        <v>6</v>
      </c>
      <c r="E13502" t="str">
        <f t="shared" si="441"/>
        <v>G</v>
      </c>
      <c r="F13502" t="str">
        <f t="shared" si="442"/>
        <v>6G</v>
      </c>
    </row>
    <row r="13503" spans="1:6" x14ac:dyDescent="0.2">
      <c r="A13503">
        <v>7</v>
      </c>
      <c r="E13503" t="str">
        <f t="shared" si="441"/>
        <v>H</v>
      </c>
      <c r="F13503" t="str">
        <f t="shared" si="442"/>
        <v>7H</v>
      </c>
    </row>
    <row r="13504" spans="1:6" x14ac:dyDescent="0.2">
      <c r="A13504">
        <v>8</v>
      </c>
      <c r="E13504" t="str">
        <f t="shared" si="441"/>
        <v>I</v>
      </c>
      <c r="F13504" t="str">
        <f t="shared" si="442"/>
        <v>8I</v>
      </c>
    </row>
    <row r="13505" spans="1:6" x14ac:dyDescent="0.2">
      <c r="A13505">
        <v>9</v>
      </c>
      <c r="E13505" t="str">
        <f t="shared" si="441"/>
        <v>J</v>
      </c>
      <c r="F13505" t="str">
        <f t="shared" si="442"/>
        <v>9J</v>
      </c>
    </row>
    <row r="13506" spans="1:6" x14ac:dyDescent="0.2">
      <c r="A13506">
        <v>10</v>
      </c>
      <c r="E13506" t="str">
        <f t="shared" si="441"/>
        <v>K</v>
      </c>
      <c r="F13506" t="str">
        <f t="shared" si="442"/>
        <v>10K</v>
      </c>
    </row>
    <row r="13507" spans="1:6" x14ac:dyDescent="0.2">
      <c r="A13507">
        <v>11</v>
      </c>
      <c r="E13507" t="str">
        <f t="shared" si="441"/>
        <v>L</v>
      </c>
      <c r="F13507" t="str">
        <f t="shared" si="442"/>
        <v>11L</v>
      </c>
    </row>
    <row r="13508" spans="1:6" x14ac:dyDescent="0.2">
      <c r="A13508">
        <v>12</v>
      </c>
      <c r="E13508" t="str">
        <f t="shared" si="441"/>
        <v>M</v>
      </c>
      <c r="F13508" t="str">
        <f t="shared" si="442"/>
        <v>12M</v>
      </c>
    </row>
    <row r="13509" spans="1:6" x14ac:dyDescent="0.2">
      <c r="A13509">
        <v>13</v>
      </c>
      <c r="E13509" t="str">
        <f t="shared" si="441"/>
        <v>N</v>
      </c>
      <c r="F13509" t="str">
        <f t="shared" si="442"/>
        <v>13N</v>
      </c>
    </row>
    <row r="13510" spans="1:6" x14ac:dyDescent="0.2">
      <c r="A13510">
        <v>14</v>
      </c>
      <c r="E13510" t="str">
        <f t="shared" si="441"/>
        <v>O</v>
      </c>
      <c r="F13510" t="str">
        <f t="shared" si="442"/>
        <v>14O</v>
      </c>
    </row>
    <row r="13511" spans="1:6" x14ac:dyDescent="0.2">
      <c r="A13511">
        <v>15</v>
      </c>
      <c r="E13511" t="str">
        <f t="shared" si="441"/>
        <v>P</v>
      </c>
      <c r="F13511" t="str">
        <f t="shared" si="442"/>
        <v>15P</v>
      </c>
    </row>
    <row r="13512" spans="1:6" x14ac:dyDescent="0.2">
      <c r="A13512">
        <v>16</v>
      </c>
      <c r="E13512" t="str">
        <f t="shared" si="441"/>
        <v>Q</v>
      </c>
      <c r="F13512" t="str">
        <f t="shared" si="442"/>
        <v>16Q</v>
      </c>
    </row>
    <row r="13513" spans="1:6" x14ac:dyDescent="0.2">
      <c r="A13513">
        <v>17</v>
      </c>
      <c r="E13513" t="str">
        <f t="shared" si="441"/>
        <v>R</v>
      </c>
      <c r="F13513" t="str">
        <f t="shared" si="442"/>
        <v>17R</v>
      </c>
    </row>
    <row r="13514" spans="1:6" x14ac:dyDescent="0.2">
      <c r="A13514">
        <v>18</v>
      </c>
      <c r="E13514" t="str">
        <f t="shared" si="441"/>
        <v>S</v>
      </c>
      <c r="F13514" t="str">
        <f t="shared" si="442"/>
        <v>18S</v>
      </c>
    </row>
    <row r="13515" spans="1:6" x14ac:dyDescent="0.2">
      <c r="A13515">
        <v>19</v>
      </c>
      <c r="E13515" t="str">
        <f t="shared" si="441"/>
        <v>T</v>
      </c>
      <c r="F13515" t="str">
        <f t="shared" si="442"/>
        <v>19T</v>
      </c>
    </row>
    <row r="13516" spans="1:6" x14ac:dyDescent="0.2">
      <c r="A13516">
        <v>20</v>
      </c>
      <c r="E13516" t="str">
        <f t="shared" si="441"/>
        <v>U</v>
      </c>
      <c r="F13516" t="str">
        <f t="shared" si="442"/>
        <v>20U</v>
      </c>
    </row>
    <row r="13517" spans="1:6" x14ac:dyDescent="0.2">
      <c r="A13517">
        <v>21</v>
      </c>
      <c r="E13517" t="str">
        <f t="shared" si="441"/>
        <v>V</v>
      </c>
      <c r="F13517" t="str">
        <f t="shared" si="442"/>
        <v>21V</v>
      </c>
    </row>
    <row r="13518" spans="1:6" x14ac:dyDescent="0.2">
      <c r="A13518">
        <v>22</v>
      </c>
      <c r="E13518" t="str">
        <f t="shared" si="441"/>
        <v>W</v>
      </c>
      <c r="F13518" t="str">
        <f t="shared" si="442"/>
        <v>22W</v>
      </c>
    </row>
    <row r="13519" spans="1:6" x14ac:dyDescent="0.2">
      <c r="A13519">
        <v>23</v>
      </c>
      <c r="E13519" t="str">
        <f t="shared" si="441"/>
        <v>X</v>
      </c>
      <c r="F13519" t="str">
        <f t="shared" si="442"/>
        <v>23X</v>
      </c>
    </row>
    <row r="13520" spans="1:6" x14ac:dyDescent="0.2">
      <c r="A13520">
        <v>24</v>
      </c>
      <c r="E13520" t="str">
        <f t="shared" si="441"/>
        <v>Y</v>
      </c>
      <c r="F13520" t="str">
        <f t="shared" si="442"/>
        <v>24Y</v>
      </c>
    </row>
    <row r="13521" spans="1:6" x14ac:dyDescent="0.2">
      <c r="A13521">
        <v>25</v>
      </c>
      <c r="E13521" t="str">
        <f t="shared" si="441"/>
        <v>Z</v>
      </c>
      <c r="F13521" t="str">
        <f t="shared" si="442"/>
        <v>25Z</v>
      </c>
    </row>
    <row r="13522" spans="1:6" x14ac:dyDescent="0.2">
      <c r="A13522">
        <v>0</v>
      </c>
      <c r="E13522" t="str">
        <f t="shared" si="441"/>
        <v>A</v>
      </c>
      <c r="F13522" t="str">
        <f t="shared" si="442"/>
        <v>0A</v>
      </c>
    </row>
    <row r="13523" spans="1:6" x14ac:dyDescent="0.2">
      <c r="A13523">
        <v>1</v>
      </c>
      <c r="E13523" t="str">
        <f t="shared" si="441"/>
        <v>B</v>
      </c>
      <c r="F13523" t="str">
        <f t="shared" si="442"/>
        <v>1B</v>
      </c>
    </row>
    <row r="13524" spans="1:6" x14ac:dyDescent="0.2">
      <c r="A13524">
        <v>2</v>
      </c>
      <c r="E13524" t="str">
        <f t="shared" si="441"/>
        <v>C</v>
      </c>
      <c r="F13524" t="str">
        <f t="shared" si="442"/>
        <v>2C</v>
      </c>
    </row>
    <row r="13525" spans="1:6" x14ac:dyDescent="0.2">
      <c r="A13525">
        <v>3</v>
      </c>
      <c r="E13525" t="str">
        <f t="shared" ref="E13525:E13588" si="443">E13499</f>
        <v>D</v>
      </c>
      <c r="F13525" t="str">
        <f t="shared" si="442"/>
        <v>3D</v>
      </c>
    </row>
    <row r="13526" spans="1:6" x14ac:dyDescent="0.2">
      <c r="A13526">
        <v>4</v>
      </c>
      <c r="E13526" t="str">
        <f t="shared" si="443"/>
        <v>E</v>
      </c>
      <c r="F13526" t="str">
        <f t="shared" si="442"/>
        <v>4E</v>
      </c>
    </row>
    <row r="13527" spans="1:6" x14ac:dyDescent="0.2">
      <c r="A13527">
        <v>5</v>
      </c>
      <c r="E13527" t="str">
        <f t="shared" si="443"/>
        <v>F</v>
      </c>
      <c r="F13527" t="str">
        <f t="shared" ref="F13527:F13590" si="444">A13527&amp;C13527&amp;E13527</f>
        <v>5F</v>
      </c>
    </row>
    <row r="13528" spans="1:6" x14ac:dyDescent="0.2">
      <c r="A13528">
        <v>6</v>
      </c>
      <c r="E13528" t="str">
        <f t="shared" si="443"/>
        <v>G</v>
      </c>
      <c r="F13528" t="str">
        <f t="shared" si="444"/>
        <v>6G</v>
      </c>
    </row>
    <row r="13529" spans="1:6" x14ac:dyDescent="0.2">
      <c r="A13529">
        <v>7</v>
      </c>
      <c r="E13529" t="str">
        <f t="shared" si="443"/>
        <v>H</v>
      </c>
      <c r="F13529" t="str">
        <f t="shared" si="444"/>
        <v>7H</v>
      </c>
    </row>
    <row r="13530" spans="1:6" x14ac:dyDescent="0.2">
      <c r="A13530">
        <v>8</v>
      </c>
      <c r="E13530" t="str">
        <f t="shared" si="443"/>
        <v>I</v>
      </c>
      <c r="F13530" t="str">
        <f t="shared" si="444"/>
        <v>8I</v>
      </c>
    </row>
    <row r="13531" spans="1:6" x14ac:dyDescent="0.2">
      <c r="A13531">
        <v>9</v>
      </c>
      <c r="E13531" t="str">
        <f t="shared" si="443"/>
        <v>J</v>
      </c>
      <c r="F13531" t="str">
        <f t="shared" si="444"/>
        <v>9J</v>
      </c>
    </row>
    <row r="13532" spans="1:6" x14ac:dyDescent="0.2">
      <c r="A13532">
        <v>10</v>
      </c>
      <c r="E13532" t="str">
        <f t="shared" si="443"/>
        <v>K</v>
      </c>
      <c r="F13532" t="str">
        <f t="shared" si="444"/>
        <v>10K</v>
      </c>
    </row>
    <row r="13533" spans="1:6" x14ac:dyDescent="0.2">
      <c r="A13533">
        <v>11</v>
      </c>
      <c r="E13533" t="str">
        <f t="shared" si="443"/>
        <v>L</v>
      </c>
      <c r="F13533" t="str">
        <f t="shared" si="444"/>
        <v>11L</v>
      </c>
    </row>
    <row r="13534" spans="1:6" x14ac:dyDescent="0.2">
      <c r="A13534">
        <v>12</v>
      </c>
      <c r="E13534" t="str">
        <f t="shared" si="443"/>
        <v>M</v>
      </c>
      <c r="F13534" t="str">
        <f t="shared" si="444"/>
        <v>12M</v>
      </c>
    </row>
    <row r="13535" spans="1:6" x14ac:dyDescent="0.2">
      <c r="A13535">
        <v>13</v>
      </c>
      <c r="E13535" t="str">
        <f t="shared" si="443"/>
        <v>N</v>
      </c>
      <c r="F13535" t="str">
        <f t="shared" si="444"/>
        <v>13N</v>
      </c>
    </row>
    <row r="13536" spans="1:6" x14ac:dyDescent="0.2">
      <c r="A13536">
        <v>14</v>
      </c>
      <c r="E13536" t="str">
        <f t="shared" si="443"/>
        <v>O</v>
      </c>
      <c r="F13536" t="str">
        <f t="shared" si="444"/>
        <v>14O</v>
      </c>
    </row>
    <row r="13537" spans="1:6" x14ac:dyDescent="0.2">
      <c r="A13537">
        <v>15</v>
      </c>
      <c r="E13537" t="str">
        <f t="shared" si="443"/>
        <v>P</v>
      </c>
      <c r="F13537" t="str">
        <f t="shared" si="444"/>
        <v>15P</v>
      </c>
    </row>
    <row r="13538" spans="1:6" x14ac:dyDescent="0.2">
      <c r="A13538">
        <v>16</v>
      </c>
      <c r="E13538" t="str">
        <f t="shared" si="443"/>
        <v>Q</v>
      </c>
      <c r="F13538" t="str">
        <f t="shared" si="444"/>
        <v>16Q</v>
      </c>
    </row>
    <row r="13539" spans="1:6" x14ac:dyDescent="0.2">
      <c r="A13539">
        <v>17</v>
      </c>
      <c r="E13539" t="str">
        <f t="shared" si="443"/>
        <v>R</v>
      </c>
      <c r="F13539" t="str">
        <f t="shared" si="444"/>
        <v>17R</v>
      </c>
    </row>
    <row r="13540" spans="1:6" x14ac:dyDescent="0.2">
      <c r="A13540">
        <v>18</v>
      </c>
      <c r="E13540" t="str">
        <f t="shared" si="443"/>
        <v>S</v>
      </c>
      <c r="F13540" t="str">
        <f t="shared" si="444"/>
        <v>18S</v>
      </c>
    </row>
    <row r="13541" spans="1:6" x14ac:dyDescent="0.2">
      <c r="A13541">
        <v>19</v>
      </c>
      <c r="E13541" t="str">
        <f t="shared" si="443"/>
        <v>T</v>
      </c>
      <c r="F13541" t="str">
        <f t="shared" si="444"/>
        <v>19T</v>
      </c>
    </row>
    <row r="13542" spans="1:6" x14ac:dyDescent="0.2">
      <c r="A13542">
        <v>20</v>
      </c>
      <c r="E13542" t="str">
        <f t="shared" si="443"/>
        <v>U</v>
      </c>
      <c r="F13542" t="str">
        <f t="shared" si="444"/>
        <v>20U</v>
      </c>
    </row>
    <row r="13543" spans="1:6" x14ac:dyDescent="0.2">
      <c r="A13543">
        <v>21</v>
      </c>
      <c r="E13543" t="str">
        <f t="shared" si="443"/>
        <v>V</v>
      </c>
      <c r="F13543" t="str">
        <f t="shared" si="444"/>
        <v>21V</v>
      </c>
    </row>
    <row r="13544" spans="1:6" x14ac:dyDescent="0.2">
      <c r="A13544">
        <v>22</v>
      </c>
      <c r="E13544" t="str">
        <f t="shared" si="443"/>
        <v>W</v>
      </c>
      <c r="F13544" t="str">
        <f t="shared" si="444"/>
        <v>22W</v>
      </c>
    </row>
    <row r="13545" spans="1:6" x14ac:dyDescent="0.2">
      <c r="A13545">
        <v>23</v>
      </c>
      <c r="E13545" t="str">
        <f t="shared" si="443"/>
        <v>X</v>
      </c>
      <c r="F13545" t="str">
        <f t="shared" si="444"/>
        <v>23X</v>
      </c>
    </row>
    <row r="13546" spans="1:6" x14ac:dyDescent="0.2">
      <c r="A13546">
        <v>24</v>
      </c>
      <c r="E13546" t="str">
        <f t="shared" si="443"/>
        <v>Y</v>
      </c>
      <c r="F13546" t="str">
        <f t="shared" si="444"/>
        <v>24Y</v>
      </c>
    </row>
    <row r="13547" spans="1:6" x14ac:dyDescent="0.2">
      <c r="A13547">
        <v>25</v>
      </c>
      <c r="E13547" t="str">
        <f t="shared" si="443"/>
        <v>Z</v>
      </c>
      <c r="F13547" t="str">
        <f t="shared" si="444"/>
        <v>25Z</v>
      </c>
    </row>
    <row r="13548" spans="1:6" x14ac:dyDescent="0.2">
      <c r="A13548">
        <v>0</v>
      </c>
      <c r="E13548" t="str">
        <f t="shared" si="443"/>
        <v>A</v>
      </c>
      <c r="F13548" t="str">
        <f t="shared" si="444"/>
        <v>0A</v>
      </c>
    </row>
    <row r="13549" spans="1:6" x14ac:dyDescent="0.2">
      <c r="A13549">
        <v>1</v>
      </c>
      <c r="E13549" t="str">
        <f t="shared" si="443"/>
        <v>B</v>
      </c>
      <c r="F13549" t="str">
        <f t="shared" si="444"/>
        <v>1B</v>
      </c>
    </row>
    <row r="13550" spans="1:6" x14ac:dyDescent="0.2">
      <c r="A13550">
        <v>2</v>
      </c>
      <c r="E13550" t="str">
        <f t="shared" si="443"/>
        <v>C</v>
      </c>
      <c r="F13550" t="str">
        <f t="shared" si="444"/>
        <v>2C</v>
      </c>
    </row>
    <row r="13551" spans="1:6" x14ac:dyDescent="0.2">
      <c r="A13551">
        <v>3</v>
      </c>
      <c r="E13551" t="str">
        <f t="shared" si="443"/>
        <v>D</v>
      </c>
      <c r="F13551" t="str">
        <f t="shared" si="444"/>
        <v>3D</v>
      </c>
    </row>
    <row r="13552" spans="1:6" x14ac:dyDescent="0.2">
      <c r="A13552">
        <v>4</v>
      </c>
      <c r="E13552" t="str">
        <f t="shared" si="443"/>
        <v>E</v>
      </c>
      <c r="F13552" t="str">
        <f t="shared" si="444"/>
        <v>4E</v>
      </c>
    </row>
    <row r="13553" spans="1:6" x14ac:dyDescent="0.2">
      <c r="A13553">
        <v>5</v>
      </c>
      <c r="E13553" t="str">
        <f t="shared" si="443"/>
        <v>F</v>
      </c>
      <c r="F13553" t="str">
        <f t="shared" si="444"/>
        <v>5F</v>
      </c>
    </row>
    <row r="13554" spans="1:6" x14ac:dyDescent="0.2">
      <c r="A13554">
        <v>6</v>
      </c>
      <c r="E13554" t="str">
        <f t="shared" si="443"/>
        <v>G</v>
      </c>
      <c r="F13554" t="str">
        <f t="shared" si="444"/>
        <v>6G</v>
      </c>
    </row>
    <row r="13555" spans="1:6" x14ac:dyDescent="0.2">
      <c r="A13555">
        <v>7</v>
      </c>
      <c r="E13555" t="str">
        <f t="shared" si="443"/>
        <v>H</v>
      </c>
      <c r="F13555" t="str">
        <f t="shared" si="444"/>
        <v>7H</v>
      </c>
    </row>
    <row r="13556" spans="1:6" x14ac:dyDescent="0.2">
      <c r="A13556">
        <v>8</v>
      </c>
      <c r="E13556" t="str">
        <f t="shared" si="443"/>
        <v>I</v>
      </c>
      <c r="F13556" t="str">
        <f t="shared" si="444"/>
        <v>8I</v>
      </c>
    </row>
    <row r="13557" spans="1:6" x14ac:dyDescent="0.2">
      <c r="A13557">
        <v>9</v>
      </c>
      <c r="E13557" t="str">
        <f t="shared" si="443"/>
        <v>J</v>
      </c>
      <c r="F13557" t="str">
        <f t="shared" si="444"/>
        <v>9J</v>
      </c>
    </row>
    <row r="13558" spans="1:6" x14ac:dyDescent="0.2">
      <c r="A13558">
        <v>10</v>
      </c>
      <c r="E13558" t="str">
        <f t="shared" si="443"/>
        <v>K</v>
      </c>
      <c r="F13558" t="str">
        <f t="shared" si="444"/>
        <v>10K</v>
      </c>
    </row>
    <row r="13559" spans="1:6" x14ac:dyDescent="0.2">
      <c r="A13559">
        <v>11</v>
      </c>
      <c r="E13559" t="str">
        <f t="shared" si="443"/>
        <v>L</v>
      </c>
      <c r="F13559" t="str">
        <f t="shared" si="444"/>
        <v>11L</v>
      </c>
    </row>
    <row r="13560" spans="1:6" x14ac:dyDescent="0.2">
      <c r="A13560">
        <v>12</v>
      </c>
      <c r="E13560" t="str">
        <f t="shared" si="443"/>
        <v>M</v>
      </c>
      <c r="F13560" t="str">
        <f t="shared" si="444"/>
        <v>12M</v>
      </c>
    </row>
    <row r="13561" spans="1:6" x14ac:dyDescent="0.2">
      <c r="A13561">
        <v>13</v>
      </c>
      <c r="E13561" t="str">
        <f t="shared" si="443"/>
        <v>N</v>
      </c>
      <c r="F13561" t="str">
        <f t="shared" si="444"/>
        <v>13N</v>
      </c>
    </row>
    <row r="13562" spans="1:6" x14ac:dyDescent="0.2">
      <c r="A13562">
        <v>14</v>
      </c>
      <c r="E13562" t="str">
        <f t="shared" si="443"/>
        <v>O</v>
      </c>
      <c r="F13562" t="str">
        <f t="shared" si="444"/>
        <v>14O</v>
      </c>
    </row>
    <row r="13563" spans="1:6" x14ac:dyDescent="0.2">
      <c r="A13563">
        <v>15</v>
      </c>
      <c r="E13563" t="str">
        <f t="shared" si="443"/>
        <v>P</v>
      </c>
      <c r="F13563" t="str">
        <f t="shared" si="444"/>
        <v>15P</v>
      </c>
    </row>
    <row r="13564" spans="1:6" x14ac:dyDescent="0.2">
      <c r="A13564">
        <v>16</v>
      </c>
      <c r="E13564" t="str">
        <f t="shared" si="443"/>
        <v>Q</v>
      </c>
      <c r="F13564" t="str">
        <f t="shared" si="444"/>
        <v>16Q</v>
      </c>
    </row>
    <row r="13565" spans="1:6" x14ac:dyDescent="0.2">
      <c r="A13565">
        <v>17</v>
      </c>
      <c r="E13565" t="str">
        <f t="shared" si="443"/>
        <v>R</v>
      </c>
      <c r="F13565" t="str">
        <f t="shared" si="444"/>
        <v>17R</v>
      </c>
    </row>
    <row r="13566" spans="1:6" x14ac:dyDescent="0.2">
      <c r="A13566">
        <v>18</v>
      </c>
      <c r="E13566" t="str">
        <f t="shared" si="443"/>
        <v>S</v>
      </c>
      <c r="F13566" t="str">
        <f t="shared" si="444"/>
        <v>18S</v>
      </c>
    </row>
    <row r="13567" spans="1:6" x14ac:dyDescent="0.2">
      <c r="A13567">
        <v>19</v>
      </c>
      <c r="E13567" t="str">
        <f t="shared" si="443"/>
        <v>T</v>
      </c>
      <c r="F13567" t="str">
        <f t="shared" si="444"/>
        <v>19T</v>
      </c>
    </row>
    <row r="13568" spans="1:6" x14ac:dyDescent="0.2">
      <c r="A13568">
        <v>20</v>
      </c>
      <c r="E13568" t="str">
        <f t="shared" si="443"/>
        <v>U</v>
      </c>
      <c r="F13568" t="str">
        <f t="shared" si="444"/>
        <v>20U</v>
      </c>
    </row>
    <row r="13569" spans="1:6" x14ac:dyDescent="0.2">
      <c r="A13569">
        <v>21</v>
      </c>
      <c r="E13569" t="str">
        <f t="shared" si="443"/>
        <v>V</v>
      </c>
      <c r="F13569" t="str">
        <f t="shared" si="444"/>
        <v>21V</v>
      </c>
    </row>
    <row r="13570" spans="1:6" x14ac:dyDescent="0.2">
      <c r="A13570">
        <v>22</v>
      </c>
      <c r="E13570" t="str">
        <f t="shared" si="443"/>
        <v>W</v>
      </c>
      <c r="F13570" t="str">
        <f t="shared" si="444"/>
        <v>22W</v>
      </c>
    </row>
    <row r="13571" spans="1:6" x14ac:dyDescent="0.2">
      <c r="A13571">
        <v>23</v>
      </c>
      <c r="E13571" t="str">
        <f t="shared" si="443"/>
        <v>X</v>
      </c>
      <c r="F13571" t="str">
        <f t="shared" si="444"/>
        <v>23X</v>
      </c>
    </row>
    <row r="13572" spans="1:6" x14ac:dyDescent="0.2">
      <c r="A13572">
        <v>24</v>
      </c>
      <c r="E13572" t="str">
        <f t="shared" si="443"/>
        <v>Y</v>
      </c>
      <c r="F13572" t="str">
        <f t="shared" si="444"/>
        <v>24Y</v>
      </c>
    </row>
    <row r="13573" spans="1:6" x14ac:dyDescent="0.2">
      <c r="A13573">
        <v>25</v>
      </c>
      <c r="E13573" t="str">
        <f t="shared" si="443"/>
        <v>Z</v>
      </c>
      <c r="F13573" t="str">
        <f t="shared" si="444"/>
        <v>25Z</v>
      </c>
    </row>
    <row r="13574" spans="1:6" x14ac:dyDescent="0.2">
      <c r="A13574">
        <v>0</v>
      </c>
      <c r="E13574" t="str">
        <f t="shared" si="443"/>
        <v>A</v>
      </c>
      <c r="F13574" t="str">
        <f t="shared" si="444"/>
        <v>0A</v>
      </c>
    </row>
    <row r="13575" spans="1:6" x14ac:dyDescent="0.2">
      <c r="A13575">
        <v>1</v>
      </c>
      <c r="E13575" t="str">
        <f t="shared" si="443"/>
        <v>B</v>
      </c>
      <c r="F13575" t="str">
        <f t="shared" si="444"/>
        <v>1B</v>
      </c>
    </row>
    <row r="13576" spans="1:6" x14ac:dyDescent="0.2">
      <c r="A13576">
        <v>2</v>
      </c>
      <c r="E13576" t="str">
        <f t="shared" si="443"/>
        <v>C</v>
      </c>
      <c r="F13576" t="str">
        <f t="shared" si="444"/>
        <v>2C</v>
      </c>
    </row>
    <row r="13577" spans="1:6" x14ac:dyDescent="0.2">
      <c r="A13577">
        <v>3</v>
      </c>
      <c r="E13577" t="str">
        <f t="shared" si="443"/>
        <v>D</v>
      </c>
      <c r="F13577" t="str">
        <f t="shared" si="444"/>
        <v>3D</v>
      </c>
    </row>
    <row r="13578" spans="1:6" x14ac:dyDescent="0.2">
      <c r="A13578">
        <v>4</v>
      </c>
      <c r="E13578" t="str">
        <f t="shared" si="443"/>
        <v>E</v>
      </c>
      <c r="F13578" t="str">
        <f t="shared" si="444"/>
        <v>4E</v>
      </c>
    </row>
    <row r="13579" spans="1:6" x14ac:dyDescent="0.2">
      <c r="A13579">
        <v>5</v>
      </c>
      <c r="E13579" t="str">
        <f t="shared" si="443"/>
        <v>F</v>
      </c>
      <c r="F13579" t="str">
        <f t="shared" si="444"/>
        <v>5F</v>
      </c>
    </row>
    <row r="13580" spans="1:6" x14ac:dyDescent="0.2">
      <c r="A13580">
        <v>6</v>
      </c>
      <c r="E13580" t="str">
        <f t="shared" si="443"/>
        <v>G</v>
      </c>
      <c r="F13580" t="str">
        <f t="shared" si="444"/>
        <v>6G</v>
      </c>
    </row>
    <row r="13581" spans="1:6" x14ac:dyDescent="0.2">
      <c r="A13581">
        <v>7</v>
      </c>
      <c r="E13581" t="str">
        <f t="shared" si="443"/>
        <v>H</v>
      </c>
      <c r="F13581" t="str">
        <f t="shared" si="444"/>
        <v>7H</v>
      </c>
    </row>
    <row r="13582" spans="1:6" x14ac:dyDescent="0.2">
      <c r="A13582">
        <v>8</v>
      </c>
      <c r="E13582" t="str">
        <f t="shared" si="443"/>
        <v>I</v>
      </c>
      <c r="F13582" t="str">
        <f t="shared" si="444"/>
        <v>8I</v>
      </c>
    </row>
    <row r="13583" spans="1:6" x14ac:dyDescent="0.2">
      <c r="A13583">
        <v>9</v>
      </c>
      <c r="E13583" t="str">
        <f t="shared" si="443"/>
        <v>J</v>
      </c>
      <c r="F13583" t="str">
        <f t="shared" si="444"/>
        <v>9J</v>
      </c>
    </row>
    <row r="13584" spans="1:6" x14ac:dyDescent="0.2">
      <c r="A13584">
        <v>10</v>
      </c>
      <c r="E13584" t="str">
        <f t="shared" si="443"/>
        <v>K</v>
      </c>
      <c r="F13584" t="str">
        <f t="shared" si="444"/>
        <v>10K</v>
      </c>
    </row>
    <row r="13585" spans="1:6" x14ac:dyDescent="0.2">
      <c r="A13585">
        <v>11</v>
      </c>
      <c r="E13585" t="str">
        <f t="shared" si="443"/>
        <v>L</v>
      </c>
      <c r="F13585" t="str">
        <f t="shared" si="444"/>
        <v>11L</v>
      </c>
    </row>
    <row r="13586" spans="1:6" x14ac:dyDescent="0.2">
      <c r="A13586">
        <v>12</v>
      </c>
      <c r="E13586" t="str">
        <f t="shared" si="443"/>
        <v>M</v>
      </c>
      <c r="F13586" t="str">
        <f t="shared" si="444"/>
        <v>12M</v>
      </c>
    </row>
    <row r="13587" spans="1:6" x14ac:dyDescent="0.2">
      <c r="A13587">
        <v>13</v>
      </c>
      <c r="E13587" t="str">
        <f t="shared" si="443"/>
        <v>N</v>
      </c>
      <c r="F13587" t="str">
        <f t="shared" si="444"/>
        <v>13N</v>
      </c>
    </row>
    <row r="13588" spans="1:6" x14ac:dyDescent="0.2">
      <c r="A13588">
        <v>14</v>
      </c>
      <c r="E13588" t="str">
        <f t="shared" si="443"/>
        <v>O</v>
      </c>
      <c r="F13588" t="str">
        <f t="shared" si="444"/>
        <v>14O</v>
      </c>
    </row>
    <row r="13589" spans="1:6" x14ac:dyDescent="0.2">
      <c r="A13589">
        <v>15</v>
      </c>
      <c r="E13589" t="str">
        <f t="shared" ref="E13589:E13652" si="445">E13563</f>
        <v>P</v>
      </c>
      <c r="F13589" t="str">
        <f t="shared" si="444"/>
        <v>15P</v>
      </c>
    </row>
    <row r="13590" spans="1:6" x14ac:dyDescent="0.2">
      <c r="A13590">
        <v>16</v>
      </c>
      <c r="E13590" t="str">
        <f t="shared" si="445"/>
        <v>Q</v>
      </c>
      <c r="F13590" t="str">
        <f t="shared" si="444"/>
        <v>16Q</v>
      </c>
    </row>
    <row r="13591" spans="1:6" x14ac:dyDescent="0.2">
      <c r="A13591">
        <v>17</v>
      </c>
      <c r="E13591" t="str">
        <f t="shared" si="445"/>
        <v>R</v>
      </c>
      <c r="F13591" t="str">
        <f t="shared" ref="F13591:F13654" si="446">A13591&amp;C13591&amp;E13591</f>
        <v>17R</v>
      </c>
    </row>
    <row r="13592" spans="1:6" x14ac:dyDescent="0.2">
      <c r="A13592">
        <v>18</v>
      </c>
      <c r="E13592" t="str">
        <f t="shared" si="445"/>
        <v>S</v>
      </c>
      <c r="F13592" t="str">
        <f t="shared" si="446"/>
        <v>18S</v>
      </c>
    </row>
    <row r="13593" spans="1:6" x14ac:dyDescent="0.2">
      <c r="A13593">
        <v>19</v>
      </c>
      <c r="E13593" t="str">
        <f t="shared" si="445"/>
        <v>T</v>
      </c>
      <c r="F13593" t="str">
        <f t="shared" si="446"/>
        <v>19T</v>
      </c>
    </row>
    <row r="13594" spans="1:6" x14ac:dyDescent="0.2">
      <c r="A13594">
        <v>20</v>
      </c>
      <c r="E13594" t="str">
        <f t="shared" si="445"/>
        <v>U</v>
      </c>
      <c r="F13594" t="str">
        <f t="shared" si="446"/>
        <v>20U</v>
      </c>
    </row>
    <row r="13595" spans="1:6" x14ac:dyDescent="0.2">
      <c r="A13595">
        <v>21</v>
      </c>
      <c r="E13595" t="str">
        <f t="shared" si="445"/>
        <v>V</v>
      </c>
      <c r="F13595" t="str">
        <f t="shared" si="446"/>
        <v>21V</v>
      </c>
    </row>
    <row r="13596" spans="1:6" x14ac:dyDescent="0.2">
      <c r="A13596">
        <v>22</v>
      </c>
      <c r="E13596" t="str">
        <f t="shared" si="445"/>
        <v>W</v>
      </c>
      <c r="F13596" t="str">
        <f t="shared" si="446"/>
        <v>22W</v>
      </c>
    </row>
    <row r="13597" spans="1:6" x14ac:dyDescent="0.2">
      <c r="A13597">
        <v>23</v>
      </c>
      <c r="E13597" t="str">
        <f t="shared" si="445"/>
        <v>X</v>
      </c>
      <c r="F13597" t="str">
        <f t="shared" si="446"/>
        <v>23X</v>
      </c>
    </row>
    <row r="13598" spans="1:6" x14ac:dyDescent="0.2">
      <c r="A13598">
        <v>24</v>
      </c>
      <c r="E13598" t="str">
        <f t="shared" si="445"/>
        <v>Y</v>
      </c>
      <c r="F13598" t="str">
        <f t="shared" si="446"/>
        <v>24Y</v>
      </c>
    </row>
    <row r="13599" spans="1:6" x14ac:dyDescent="0.2">
      <c r="A13599">
        <v>25</v>
      </c>
      <c r="E13599" t="str">
        <f t="shared" si="445"/>
        <v>Z</v>
      </c>
      <c r="F13599" t="str">
        <f t="shared" si="446"/>
        <v>25Z</v>
      </c>
    </row>
    <row r="13600" spans="1:6" x14ac:dyDescent="0.2">
      <c r="A13600">
        <v>0</v>
      </c>
      <c r="E13600" t="str">
        <f t="shared" si="445"/>
        <v>A</v>
      </c>
      <c r="F13600" t="str">
        <f t="shared" si="446"/>
        <v>0A</v>
      </c>
    </row>
    <row r="13601" spans="1:6" x14ac:dyDescent="0.2">
      <c r="A13601">
        <v>1</v>
      </c>
      <c r="E13601" t="str">
        <f t="shared" si="445"/>
        <v>B</v>
      </c>
      <c r="F13601" t="str">
        <f t="shared" si="446"/>
        <v>1B</v>
      </c>
    </row>
    <row r="13602" spans="1:6" x14ac:dyDescent="0.2">
      <c r="A13602">
        <v>2</v>
      </c>
      <c r="E13602" t="str">
        <f t="shared" si="445"/>
        <v>C</v>
      </c>
      <c r="F13602" t="str">
        <f t="shared" si="446"/>
        <v>2C</v>
      </c>
    </row>
    <row r="13603" spans="1:6" x14ac:dyDescent="0.2">
      <c r="A13603">
        <v>3</v>
      </c>
      <c r="E13603" t="str">
        <f t="shared" si="445"/>
        <v>D</v>
      </c>
      <c r="F13603" t="str">
        <f t="shared" si="446"/>
        <v>3D</v>
      </c>
    </row>
    <row r="13604" spans="1:6" x14ac:dyDescent="0.2">
      <c r="A13604">
        <v>4</v>
      </c>
      <c r="E13604" t="str">
        <f t="shared" si="445"/>
        <v>E</v>
      </c>
      <c r="F13604" t="str">
        <f t="shared" si="446"/>
        <v>4E</v>
      </c>
    </row>
    <row r="13605" spans="1:6" x14ac:dyDescent="0.2">
      <c r="A13605">
        <v>5</v>
      </c>
      <c r="E13605" t="str">
        <f t="shared" si="445"/>
        <v>F</v>
      </c>
      <c r="F13605" t="str">
        <f t="shared" si="446"/>
        <v>5F</v>
      </c>
    </row>
    <row r="13606" spans="1:6" x14ac:dyDescent="0.2">
      <c r="A13606">
        <v>6</v>
      </c>
      <c r="E13606" t="str">
        <f t="shared" si="445"/>
        <v>G</v>
      </c>
      <c r="F13606" t="str">
        <f t="shared" si="446"/>
        <v>6G</v>
      </c>
    </row>
    <row r="13607" spans="1:6" x14ac:dyDescent="0.2">
      <c r="A13607">
        <v>7</v>
      </c>
      <c r="E13607" t="str">
        <f t="shared" si="445"/>
        <v>H</v>
      </c>
      <c r="F13607" t="str">
        <f t="shared" si="446"/>
        <v>7H</v>
      </c>
    </row>
    <row r="13608" spans="1:6" x14ac:dyDescent="0.2">
      <c r="A13608">
        <v>8</v>
      </c>
      <c r="E13608" t="str">
        <f t="shared" si="445"/>
        <v>I</v>
      </c>
      <c r="F13608" t="str">
        <f t="shared" si="446"/>
        <v>8I</v>
      </c>
    </row>
    <row r="13609" spans="1:6" x14ac:dyDescent="0.2">
      <c r="A13609">
        <v>9</v>
      </c>
      <c r="E13609" t="str">
        <f t="shared" si="445"/>
        <v>J</v>
      </c>
      <c r="F13609" t="str">
        <f t="shared" si="446"/>
        <v>9J</v>
      </c>
    </row>
    <row r="13610" spans="1:6" x14ac:dyDescent="0.2">
      <c r="A13610">
        <v>10</v>
      </c>
      <c r="E13610" t="str">
        <f t="shared" si="445"/>
        <v>K</v>
      </c>
      <c r="F13610" t="str">
        <f t="shared" si="446"/>
        <v>10K</v>
      </c>
    </row>
    <row r="13611" spans="1:6" x14ac:dyDescent="0.2">
      <c r="A13611">
        <v>11</v>
      </c>
      <c r="E13611" t="str">
        <f t="shared" si="445"/>
        <v>L</v>
      </c>
      <c r="F13611" t="str">
        <f t="shared" si="446"/>
        <v>11L</v>
      </c>
    </row>
    <row r="13612" spans="1:6" x14ac:dyDescent="0.2">
      <c r="A13612">
        <v>12</v>
      </c>
      <c r="E13612" t="str">
        <f t="shared" si="445"/>
        <v>M</v>
      </c>
      <c r="F13612" t="str">
        <f t="shared" si="446"/>
        <v>12M</v>
      </c>
    </row>
    <row r="13613" spans="1:6" x14ac:dyDescent="0.2">
      <c r="A13613">
        <v>13</v>
      </c>
      <c r="E13613" t="str">
        <f t="shared" si="445"/>
        <v>N</v>
      </c>
      <c r="F13613" t="str">
        <f t="shared" si="446"/>
        <v>13N</v>
      </c>
    </row>
    <row r="13614" spans="1:6" x14ac:dyDescent="0.2">
      <c r="A13614">
        <v>14</v>
      </c>
      <c r="E13614" t="str">
        <f t="shared" si="445"/>
        <v>O</v>
      </c>
      <c r="F13614" t="str">
        <f t="shared" si="446"/>
        <v>14O</v>
      </c>
    </row>
    <row r="13615" spans="1:6" x14ac:dyDescent="0.2">
      <c r="A13615">
        <v>15</v>
      </c>
      <c r="E13615" t="str">
        <f t="shared" si="445"/>
        <v>P</v>
      </c>
      <c r="F13615" t="str">
        <f t="shared" si="446"/>
        <v>15P</v>
      </c>
    </row>
    <row r="13616" spans="1:6" x14ac:dyDescent="0.2">
      <c r="A13616">
        <v>16</v>
      </c>
      <c r="E13616" t="str">
        <f t="shared" si="445"/>
        <v>Q</v>
      </c>
      <c r="F13616" t="str">
        <f t="shared" si="446"/>
        <v>16Q</v>
      </c>
    </row>
    <row r="13617" spans="1:6" x14ac:dyDescent="0.2">
      <c r="A13617">
        <v>17</v>
      </c>
      <c r="E13617" t="str">
        <f t="shared" si="445"/>
        <v>R</v>
      </c>
      <c r="F13617" t="str">
        <f t="shared" si="446"/>
        <v>17R</v>
      </c>
    </row>
    <row r="13618" spans="1:6" x14ac:dyDescent="0.2">
      <c r="A13618">
        <v>18</v>
      </c>
      <c r="E13618" t="str">
        <f t="shared" si="445"/>
        <v>S</v>
      </c>
      <c r="F13618" t="str">
        <f t="shared" si="446"/>
        <v>18S</v>
      </c>
    </row>
    <row r="13619" spans="1:6" x14ac:dyDescent="0.2">
      <c r="A13619">
        <v>19</v>
      </c>
      <c r="E13619" t="str">
        <f t="shared" si="445"/>
        <v>T</v>
      </c>
      <c r="F13619" t="str">
        <f t="shared" si="446"/>
        <v>19T</v>
      </c>
    </row>
    <row r="13620" spans="1:6" x14ac:dyDescent="0.2">
      <c r="A13620">
        <v>20</v>
      </c>
      <c r="E13620" t="str">
        <f t="shared" si="445"/>
        <v>U</v>
      </c>
      <c r="F13620" t="str">
        <f t="shared" si="446"/>
        <v>20U</v>
      </c>
    </row>
    <row r="13621" spans="1:6" x14ac:dyDescent="0.2">
      <c r="A13621">
        <v>21</v>
      </c>
      <c r="E13621" t="str">
        <f t="shared" si="445"/>
        <v>V</v>
      </c>
      <c r="F13621" t="str">
        <f t="shared" si="446"/>
        <v>21V</v>
      </c>
    </row>
    <row r="13622" spans="1:6" x14ac:dyDescent="0.2">
      <c r="A13622">
        <v>22</v>
      </c>
      <c r="E13622" t="str">
        <f t="shared" si="445"/>
        <v>W</v>
      </c>
      <c r="F13622" t="str">
        <f t="shared" si="446"/>
        <v>22W</v>
      </c>
    </row>
    <row r="13623" spans="1:6" x14ac:dyDescent="0.2">
      <c r="A13623">
        <v>23</v>
      </c>
      <c r="E13623" t="str">
        <f t="shared" si="445"/>
        <v>X</v>
      </c>
      <c r="F13623" t="str">
        <f t="shared" si="446"/>
        <v>23X</v>
      </c>
    </row>
    <row r="13624" spans="1:6" x14ac:dyDescent="0.2">
      <c r="A13624">
        <v>24</v>
      </c>
      <c r="E13624" t="str">
        <f t="shared" si="445"/>
        <v>Y</v>
      </c>
      <c r="F13624" t="str">
        <f t="shared" si="446"/>
        <v>24Y</v>
      </c>
    </row>
    <row r="13625" spans="1:6" x14ac:dyDescent="0.2">
      <c r="A13625">
        <v>25</v>
      </c>
      <c r="E13625" t="str">
        <f t="shared" si="445"/>
        <v>Z</v>
      </c>
      <c r="F13625" t="str">
        <f t="shared" si="446"/>
        <v>25Z</v>
      </c>
    </row>
    <row r="13626" spans="1:6" x14ac:dyDescent="0.2">
      <c r="A13626">
        <v>0</v>
      </c>
      <c r="E13626" t="str">
        <f t="shared" si="445"/>
        <v>A</v>
      </c>
      <c r="F13626" t="str">
        <f t="shared" si="446"/>
        <v>0A</v>
      </c>
    </row>
    <row r="13627" spans="1:6" x14ac:dyDescent="0.2">
      <c r="A13627">
        <v>1</v>
      </c>
      <c r="E13627" t="str">
        <f t="shared" si="445"/>
        <v>B</v>
      </c>
      <c r="F13627" t="str">
        <f t="shared" si="446"/>
        <v>1B</v>
      </c>
    </row>
    <row r="13628" spans="1:6" x14ac:dyDescent="0.2">
      <c r="A13628">
        <v>2</v>
      </c>
      <c r="E13628" t="str">
        <f t="shared" si="445"/>
        <v>C</v>
      </c>
      <c r="F13628" t="str">
        <f t="shared" si="446"/>
        <v>2C</v>
      </c>
    </row>
    <row r="13629" spans="1:6" x14ac:dyDescent="0.2">
      <c r="A13629">
        <v>3</v>
      </c>
      <c r="E13629" t="str">
        <f t="shared" si="445"/>
        <v>D</v>
      </c>
      <c r="F13629" t="str">
        <f t="shared" si="446"/>
        <v>3D</v>
      </c>
    </row>
    <row r="13630" spans="1:6" x14ac:dyDescent="0.2">
      <c r="A13630">
        <v>4</v>
      </c>
      <c r="E13630" t="str">
        <f t="shared" si="445"/>
        <v>E</v>
      </c>
      <c r="F13630" t="str">
        <f t="shared" si="446"/>
        <v>4E</v>
      </c>
    </row>
    <row r="13631" spans="1:6" x14ac:dyDescent="0.2">
      <c r="A13631">
        <v>5</v>
      </c>
      <c r="E13631" t="str">
        <f t="shared" si="445"/>
        <v>F</v>
      </c>
      <c r="F13631" t="str">
        <f t="shared" si="446"/>
        <v>5F</v>
      </c>
    </row>
    <row r="13632" spans="1:6" x14ac:dyDescent="0.2">
      <c r="A13632">
        <v>6</v>
      </c>
      <c r="E13632" t="str">
        <f t="shared" si="445"/>
        <v>G</v>
      </c>
      <c r="F13632" t="str">
        <f t="shared" si="446"/>
        <v>6G</v>
      </c>
    </row>
    <row r="13633" spans="1:6" x14ac:dyDescent="0.2">
      <c r="A13633">
        <v>7</v>
      </c>
      <c r="E13633" t="str">
        <f t="shared" si="445"/>
        <v>H</v>
      </c>
      <c r="F13633" t="str">
        <f t="shared" si="446"/>
        <v>7H</v>
      </c>
    </row>
    <row r="13634" spans="1:6" x14ac:dyDescent="0.2">
      <c r="A13634">
        <v>8</v>
      </c>
      <c r="E13634" t="str">
        <f t="shared" si="445"/>
        <v>I</v>
      </c>
      <c r="F13634" t="str">
        <f t="shared" si="446"/>
        <v>8I</v>
      </c>
    </row>
    <row r="13635" spans="1:6" x14ac:dyDescent="0.2">
      <c r="A13635">
        <v>9</v>
      </c>
      <c r="E13635" t="str">
        <f t="shared" si="445"/>
        <v>J</v>
      </c>
      <c r="F13635" t="str">
        <f t="shared" si="446"/>
        <v>9J</v>
      </c>
    </row>
    <row r="13636" spans="1:6" x14ac:dyDescent="0.2">
      <c r="A13636">
        <v>10</v>
      </c>
      <c r="E13636" t="str">
        <f t="shared" si="445"/>
        <v>K</v>
      </c>
      <c r="F13636" t="str">
        <f t="shared" si="446"/>
        <v>10K</v>
      </c>
    </row>
    <row r="13637" spans="1:6" x14ac:dyDescent="0.2">
      <c r="A13637">
        <v>11</v>
      </c>
      <c r="E13637" t="str">
        <f t="shared" si="445"/>
        <v>L</v>
      </c>
      <c r="F13637" t="str">
        <f t="shared" si="446"/>
        <v>11L</v>
      </c>
    </row>
    <row r="13638" spans="1:6" x14ac:dyDescent="0.2">
      <c r="A13638">
        <v>12</v>
      </c>
      <c r="E13638" t="str">
        <f t="shared" si="445"/>
        <v>M</v>
      </c>
      <c r="F13638" t="str">
        <f t="shared" si="446"/>
        <v>12M</v>
      </c>
    </row>
    <row r="13639" spans="1:6" x14ac:dyDescent="0.2">
      <c r="A13639">
        <v>13</v>
      </c>
      <c r="E13639" t="str">
        <f t="shared" si="445"/>
        <v>N</v>
      </c>
      <c r="F13639" t="str">
        <f t="shared" si="446"/>
        <v>13N</v>
      </c>
    </row>
    <row r="13640" spans="1:6" x14ac:dyDescent="0.2">
      <c r="A13640">
        <v>14</v>
      </c>
      <c r="E13640" t="str">
        <f t="shared" si="445"/>
        <v>O</v>
      </c>
      <c r="F13640" t="str">
        <f t="shared" si="446"/>
        <v>14O</v>
      </c>
    </row>
    <row r="13641" spans="1:6" x14ac:dyDescent="0.2">
      <c r="A13641">
        <v>15</v>
      </c>
      <c r="E13641" t="str">
        <f t="shared" si="445"/>
        <v>P</v>
      </c>
      <c r="F13641" t="str">
        <f t="shared" si="446"/>
        <v>15P</v>
      </c>
    </row>
    <row r="13642" spans="1:6" x14ac:dyDescent="0.2">
      <c r="A13642">
        <v>16</v>
      </c>
      <c r="E13642" t="str">
        <f t="shared" si="445"/>
        <v>Q</v>
      </c>
      <c r="F13642" t="str">
        <f t="shared" si="446"/>
        <v>16Q</v>
      </c>
    </row>
    <row r="13643" spans="1:6" x14ac:dyDescent="0.2">
      <c r="A13643">
        <v>17</v>
      </c>
      <c r="E13643" t="str">
        <f t="shared" si="445"/>
        <v>R</v>
      </c>
      <c r="F13643" t="str">
        <f t="shared" si="446"/>
        <v>17R</v>
      </c>
    </row>
    <row r="13644" spans="1:6" x14ac:dyDescent="0.2">
      <c r="A13644">
        <v>18</v>
      </c>
      <c r="E13644" t="str">
        <f t="shared" si="445"/>
        <v>S</v>
      </c>
      <c r="F13644" t="str">
        <f t="shared" si="446"/>
        <v>18S</v>
      </c>
    </row>
    <row r="13645" spans="1:6" x14ac:dyDescent="0.2">
      <c r="A13645">
        <v>19</v>
      </c>
      <c r="E13645" t="str">
        <f t="shared" si="445"/>
        <v>T</v>
      </c>
      <c r="F13645" t="str">
        <f t="shared" si="446"/>
        <v>19T</v>
      </c>
    </row>
    <row r="13646" spans="1:6" x14ac:dyDescent="0.2">
      <c r="A13646">
        <v>20</v>
      </c>
      <c r="E13646" t="str">
        <f t="shared" si="445"/>
        <v>U</v>
      </c>
      <c r="F13646" t="str">
        <f t="shared" si="446"/>
        <v>20U</v>
      </c>
    </row>
    <row r="13647" spans="1:6" x14ac:dyDescent="0.2">
      <c r="A13647">
        <v>21</v>
      </c>
      <c r="E13647" t="str">
        <f t="shared" si="445"/>
        <v>V</v>
      </c>
      <c r="F13647" t="str">
        <f t="shared" si="446"/>
        <v>21V</v>
      </c>
    </row>
    <row r="13648" spans="1:6" x14ac:dyDescent="0.2">
      <c r="A13648">
        <v>22</v>
      </c>
      <c r="E13648" t="str">
        <f t="shared" si="445"/>
        <v>W</v>
      </c>
      <c r="F13648" t="str">
        <f t="shared" si="446"/>
        <v>22W</v>
      </c>
    </row>
    <row r="13649" spans="1:6" x14ac:dyDescent="0.2">
      <c r="A13649">
        <v>23</v>
      </c>
      <c r="E13649" t="str">
        <f t="shared" si="445"/>
        <v>X</v>
      </c>
      <c r="F13649" t="str">
        <f t="shared" si="446"/>
        <v>23X</v>
      </c>
    </row>
    <row r="13650" spans="1:6" x14ac:dyDescent="0.2">
      <c r="A13650">
        <v>24</v>
      </c>
      <c r="E13650" t="str">
        <f t="shared" si="445"/>
        <v>Y</v>
      </c>
      <c r="F13650" t="str">
        <f t="shared" si="446"/>
        <v>24Y</v>
      </c>
    </row>
    <row r="13651" spans="1:6" x14ac:dyDescent="0.2">
      <c r="A13651">
        <v>25</v>
      </c>
      <c r="E13651" t="str">
        <f t="shared" si="445"/>
        <v>Z</v>
      </c>
      <c r="F13651" t="str">
        <f t="shared" si="446"/>
        <v>25Z</v>
      </c>
    </row>
    <row r="13652" spans="1:6" x14ac:dyDescent="0.2">
      <c r="A13652">
        <v>0</v>
      </c>
      <c r="E13652" t="str">
        <f t="shared" si="445"/>
        <v>A</v>
      </c>
      <c r="F13652" t="str">
        <f t="shared" si="446"/>
        <v>0A</v>
      </c>
    </row>
    <row r="13653" spans="1:6" x14ac:dyDescent="0.2">
      <c r="A13653">
        <v>1</v>
      </c>
      <c r="E13653" t="str">
        <f t="shared" ref="E13653:E13716" si="447">E13627</f>
        <v>B</v>
      </c>
      <c r="F13653" t="str">
        <f t="shared" si="446"/>
        <v>1B</v>
      </c>
    </row>
    <row r="13654" spans="1:6" x14ac:dyDescent="0.2">
      <c r="A13654">
        <v>2</v>
      </c>
      <c r="E13654" t="str">
        <f t="shared" si="447"/>
        <v>C</v>
      </c>
      <c r="F13654" t="str">
        <f t="shared" si="446"/>
        <v>2C</v>
      </c>
    </row>
    <row r="13655" spans="1:6" x14ac:dyDescent="0.2">
      <c r="A13655">
        <v>3</v>
      </c>
      <c r="E13655" t="str">
        <f t="shared" si="447"/>
        <v>D</v>
      </c>
      <c r="F13655" t="str">
        <f t="shared" ref="F13655:F13718" si="448">A13655&amp;C13655&amp;E13655</f>
        <v>3D</v>
      </c>
    </row>
    <row r="13656" spans="1:6" x14ac:dyDescent="0.2">
      <c r="A13656">
        <v>4</v>
      </c>
      <c r="E13656" t="str">
        <f t="shared" si="447"/>
        <v>E</v>
      </c>
      <c r="F13656" t="str">
        <f t="shared" si="448"/>
        <v>4E</v>
      </c>
    </row>
    <row r="13657" spans="1:6" x14ac:dyDescent="0.2">
      <c r="A13657">
        <v>5</v>
      </c>
      <c r="E13657" t="str">
        <f t="shared" si="447"/>
        <v>F</v>
      </c>
      <c r="F13657" t="str">
        <f t="shared" si="448"/>
        <v>5F</v>
      </c>
    </row>
    <row r="13658" spans="1:6" x14ac:dyDescent="0.2">
      <c r="A13658">
        <v>6</v>
      </c>
      <c r="E13658" t="str">
        <f t="shared" si="447"/>
        <v>G</v>
      </c>
      <c r="F13658" t="str">
        <f t="shared" si="448"/>
        <v>6G</v>
      </c>
    </row>
    <row r="13659" spans="1:6" x14ac:dyDescent="0.2">
      <c r="A13659">
        <v>7</v>
      </c>
      <c r="E13659" t="str">
        <f t="shared" si="447"/>
        <v>H</v>
      </c>
      <c r="F13659" t="str">
        <f t="shared" si="448"/>
        <v>7H</v>
      </c>
    </row>
    <row r="13660" spans="1:6" x14ac:dyDescent="0.2">
      <c r="A13660">
        <v>8</v>
      </c>
      <c r="E13660" t="str">
        <f t="shared" si="447"/>
        <v>I</v>
      </c>
      <c r="F13660" t="str">
        <f t="shared" si="448"/>
        <v>8I</v>
      </c>
    </row>
    <row r="13661" spans="1:6" x14ac:dyDescent="0.2">
      <c r="A13661">
        <v>9</v>
      </c>
      <c r="E13661" t="str">
        <f t="shared" si="447"/>
        <v>J</v>
      </c>
      <c r="F13661" t="str">
        <f t="shared" si="448"/>
        <v>9J</v>
      </c>
    </row>
    <row r="13662" spans="1:6" x14ac:dyDescent="0.2">
      <c r="A13662">
        <v>10</v>
      </c>
      <c r="E13662" t="str">
        <f t="shared" si="447"/>
        <v>K</v>
      </c>
      <c r="F13662" t="str">
        <f t="shared" si="448"/>
        <v>10K</v>
      </c>
    </row>
    <row r="13663" spans="1:6" x14ac:dyDescent="0.2">
      <c r="A13663">
        <v>11</v>
      </c>
      <c r="E13663" t="str">
        <f t="shared" si="447"/>
        <v>L</v>
      </c>
      <c r="F13663" t="str">
        <f t="shared" si="448"/>
        <v>11L</v>
      </c>
    </row>
    <row r="13664" spans="1:6" x14ac:dyDescent="0.2">
      <c r="A13664">
        <v>12</v>
      </c>
      <c r="E13664" t="str">
        <f t="shared" si="447"/>
        <v>M</v>
      </c>
      <c r="F13664" t="str">
        <f t="shared" si="448"/>
        <v>12M</v>
      </c>
    </row>
    <row r="13665" spans="1:6" x14ac:dyDescent="0.2">
      <c r="A13665">
        <v>13</v>
      </c>
      <c r="E13665" t="str">
        <f t="shared" si="447"/>
        <v>N</v>
      </c>
      <c r="F13665" t="str">
        <f t="shared" si="448"/>
        <v>13N</v>
      </c>
    </row>
    <row r="13666" spans="1:6" x14ac:dyDescent="0.2">
      <c r="A13666">
        <v>14</v>
      </c>
      <c r="E13666" t="str">
        <f t="shared" si="447"/>
        <v>O</v>
      </c>
      <c r="F13666" t="str">
        <f t="shared" si="448"/>
        <v>14O</v>
      </c>
    </row>
    <row r="13667" spans="1:6" x14ac:dyDescent="0.2">
      <c r="A13667">
        <v>15</v>
      </c>
      <c r="E13667" t="str">
        <f t="shared" si="447"/>
        <v>P</v>
      </c>
      <c r="F13667" t="str">
        <f t="shared" si="448"/>
        <v>15P</v>
      </c>
    </row>
    <row r="13668" spans="1:6" x14ac:dyDescent="0.2">
      <c r="A13668">
        <v>16</v>
      </c>
      <c r="E13668" t="str">
        <f t="shared" si="447"/>
        <v>Q</v>
      </c>
      <c r="F13668" t="str">
        <f t="shared" si="448"/>
        <v>16Q</v>
      </c>
    </row>
    <row r="13669" spans="1:6" x14ac:dyDescent="0.2">
      <c r="A13669">
        <v>17</v>
      </c>
      <c r="E13669" t="str">
        <f t="shared" si="447"/>
        <v>R</v>
      </c>
      <c r="F13669" t="str">
        <f t="shared" si="448"/>
        <v>17R</v>
      </c>
    </row>
    <row r="13670" spans="1:6" x14ac:dyDescent="0.2">
      <c r="A13670">
        <v>18</v>
      </c>
      <c r="E13670" t="str">
        <f t="shared" si="447"/>
        <v>S</v>
      </c>
      <c r="F13670" t="str">
        <f t="shared" si="448"/>
        <v>18S</v>
      </c>
    </row>
    <row r="13671" spans="1:6" x14ac:dyDescent="0.2">
      <c r="A13671">
        <v>19</v>
      </c>
      <c r="E13671" t="str">
        <f t="shared" si="447"/>
        <v>T</v>
      </c>
      <c r="F13671" t="str">
        <f t="shared" si="448"/>
        <v>19T</v>
      </c>
    </row>
    <row r="13672" spans="1:6" x14ac:dyDescent="0.2">
      <c r="A13672">
        <v>20</v>
      </c>
      <c r="E13672" t="str">
        <f t="shared" si="447"/>
        <v>U</v>
      </c>
      <c r="F13672" t="str">
        <f t="shared" si="448"/>
        <v>20U</v>
      </c>
    </row>
    <row r="13673" spans="1:6" x14ac:dyDescent="0.2">
      <c r="A13673">
        <v>21</v>
      </c>
      <c r="E13673" t="str">
        <f t="shared" si="447"/>
        <v>V</v>
      </c>
      <c r="F13673" t="str">
        <f t="shared" si="448"/>
        <v>21V</v>
      </c>
    </row>
    <row r="13674" spans="1:6" x14ac:dyDescent="0.2">
      <c r="A13674">
        <v>22</v>
      </c>
      <c r="E13674" t="str">
        <f t="shared" si="447"/>
        <v>W</v>
      </c>
      <c r="F13674" t="str">
        <f t="shared" si="448"/>
        <v>22W</v>
      </c>
    </row>
    <row r="13675" spans="1:6" x14ac:dyDescent="0.2">
      <c r="A13675">
        <v>23</v>
      </c>
      <c r="E13675" t="str">
        <f t="shared" si="447"/>
        <v>X</v>
      </c>
      <c r="F13675" t="str">
        <f t="shared" si="448"/>
        <v>23X</v>
      </c>
    </row>
    <row r="13676" spans="1:6" x14ac:dyDescent="0.2">
      <c r="A13676">
        <v>24</v>
      </c>
      <c r="E13676" t="str">
        <f t="shared" si="447"/>
        <v>Y</v>
      </c>
      <c r="F13676" t="str">
        <f t="shared" si="448"/>
        <v>24Y</v>
      </c>
    </row>
    <row r="13677" spans="1:6" x14ac:dyDescent="0.2">
      <c r="A13677">
        <v>25</v>
      </c>
      <c r="E13677" t="str">
        <f t="shared" si="447"/>
        <v>Z</v>
      </c>
      <c r="F13677" t="str">
        <f t="shared" si="448"/>
        <v>25Z</v>
      </c>
    </row>
    <row r="13678" spans="1:6" x14ac:dyDescent="0.2">
      <c r="A13678">
        <v>0</v>
      </c>
      <c r="E13678" t="str">
        <f t="shared" si="447"/>
        <v>A</v>
      </c>
      <c r="F13678" t="str">
        <f t="shared" si="448"/>
        <v>0A</v>
      </c>
    </row>
    <row r="13679" spans="1:6" x14ac:dyDescent="0.2">
      <c r="A13679">
        <v>1</v>
      </c>
      <c r="E13679" t="str">
        <f t="shared" si="447"/>
        <v>B</v>
      </c>
      <c r="F13679" t="str">
        <f t="shared" si="448"/>
        <v>1B</v>
      </c>
    </row>
    <row r="13680" spans="1:6" x14ac:dyDescent="0.2">
      <c r="A13680">
        <v>2</v>
      </c>
      <c r="E13680" t="str">
        <f t="shared" si="447"/>
        <v>C</v>
      </c>
      <c r="F13680" t="str">
        <f t="shared" si="448"/>
        <v>2C</v>
      </c>
    </row>
    <row r="13681" spans="1:6" x14ac:dyDescent="0.2">
      <c r="A13681">
        <v>3</v>
      </c>
      <c r="E13681" t="str">
        <f t="shared" si="447"/>
        <v>D</v>
      </c>
      <c r="F13681" t="str">
        <f t="shared" si="448"/>
        <v>3D</v>
      </c>
    </row>
    <row r="13682" spans="1:6" x14ac:dyDescent="0.2">
      <c r="A13682">
        <v>4</v>
      </c>
      <c r="E13682" t="str">
        <f t="shared" si="447"/>
        <v>E</v>
      </c>
      <c r="F13682" t="str">
        <f t="shared" si="448"/>
        <v>4E</v>
      </c>
    </row>
    <row r="13683" spans="1:6" x14ac:dyDescent="0.2">
      <c r="A13683">
        <v>5</v>
      </c>
      <c r="E13683" t="str">
        <f t="shared" si="447"/>
        <v>F</v>
      </c>
      <c r="F13683" t="str">
        <f t="shared" si="448"/>
        <v>5F</v>
      </c>
    </row>
    <row r="13684" spans="1:6" x14ac:dyDescent="0.2">
      <c r="A13684">
        <v>6</v>
      </c>
      <c r="E13684" t="str">
        <f t="shared" si="447"/>
        <v>G</v>
      </c>
      <c r="F13684" t="str">
        <f t="shared" si="448"/>
        <v>6G</v>
      </c>
    </row>
    <row r="13685" spans="1:6" x14ac:dyDescent="0.2">
      <c r="A13685">
        <v>7</v>
      </c>
      <c r="E13685" t="str">
        <f t="shared" si="447"/>
        <v>H</v>
      </c>
      <c r="F13685" t="str">
        <f t="shared" si="448"/>
        <v>7H</v>
      </c>
    </row>
    <row r="13686" spans="1:6" x14ac:dyDescent="0.2">
      <c r="A13686">
        <v>8</v>
      </c>
      <c r="E13686" t="str">
        <f t="shared" si="447"/>
        <v>I</v>
      </c>
      <c r="F13686" t="str">
        <f t="shared" si="448"/>
        <v>8I</v>
      </c>
    </row>
    <row r="13687" spans="1:6" x14ac:dyDescent="0.2">
      <c r="A13687">
        <v>9</v>
      </c>
      <c r="E13687" t="str">
        <f t="shared" si="447"/>
        <v>J</v>
      </c>
      <c r="F13687" t="str">
        <f t="shared" si="448"/>
        <v>9J</v>
      </c>
    </row>
    <row r="13688" spans="1:6" x14ac:dyDescent="0.2">
      <c r="A13688">
        <v>10</v>
      </c>
      <c r="E13688" t="str">
        <f t="shared" si="447"/>
        <v>K</v>
      </c>
      <c r="F13688" t="str">
        <f t="shared" si="448"/>
        <v>10K</v>
      </c>
    </row>
    <row r="13689" spans="1:6" x14ac:dyDescent="0.2">
      <c r="A13689">
        <v>11</v>
      </c>
      <c r="E13689" t="str">
        <f t="shared" si="447"/>
        <v>L</v>
      </c>
      <c r="F13689" t="str">
        <f t="shared" si="448"/>
        <v>11L</v>
      </c>
    </row>
    <row r="13690" spans="1:6" x14ac:dyDescent="0.2">
      <c r="A13690">
        <v>12</v>
      </c>
      <c r="E13690" t="str">
        <f t="shared" si="447"/>
        <v>M</v>
      </c>
      <c r="F13690" t="str">
        <f t="shared" si="448"/>
        <v>12M</v>
      </c>
    </row>
    <row r="13691" spans="1:6" x14ac:dyDescent="0.2">
      <c r="A13691">
        <v>13</v>
      </c>
      <c r="E13691" t="str">
        <f t="shared" si="447"/>
        <v>N</v>
      </c>
      <c r="F13691" t="str">
        <f t="shared" si="448"/>
        <v>13N</v>
      </c>
    </row>
    <row r="13692" spans="1:6" x14ac:dyDescent="0.2">
      <c r="A13692">
        <v>14</v>
      </c>
      <c r="E13692" t="str">
        <f t="shared" si="447"/>
        <v>O</v>
      </c>
      <c r="F13692" t="str">
        <f t="shared" si="448"/>
        <v>14O</v>
      </c>
    </row>
    <row r="13693" spans="1:6" x14ac:dyDescent="0.2">
      <c r="A13693">
        <v>15</v>
      </c>
      <c r="E13693" t="str">
        <f t="shared" si="447"/>
        <v>P</v>
      </c>
      <c r="F13693" t="str">
        <f t="shared" si="448"/>
        <v>15P</v>
      </c>
    </row>
    <row r="13694" spans="1:6" x14ac:dyDescent="0.2">
      <c r="A13694">
        <v>16</v>
      </c>
      <c r="E13694" t="str">
        <f t="shared" si="447"/>
        <v>Q</v>
      </c>
      <c r="F13694" t="str">
        <f t="shared" si="448"/>
        <v>16Q</v>
      </c>
    </row>
    <row r="13695" spans="1:6" x14ac:dyDescent="0.2">
      <c r="A13695">
        <v>17</v>
      </c>
      <c r="E13695" t="str">
        <f t="shared" si="447"/>
        <v>R</v>
      </c>
      <c r="F13695" t="str">
        <f t="shared" si="448"/>
        <v>17R</v>
      </c>
    </row>
    <row r="13696" spans="1:6" x14ac:dyDescent="0.2">
      <c r="A13696">
        <v>18</v>
      </c>
      <c r="E13696" t="str">
        <f t="shared" si="447"/>
        <v>S</v>
      </c>
      <c r="F13696" t="str">
        <f t="shared" si="448"/>
        <v>18S</v>
      </c>
    </row>
    <row r="13697" spans="1:6" x14ac:dyDescent="0.2">
      <c r="A13697">
        <v>19</v>
      </c>
      <c r="E13697" t="str">
        <f t="shared" si="447"/>
        <v>T</v>
      </c>
      <c r="F13697" t="str">
        <f t="shared" si="448"/>
        <v>19T</v>
      </c>
    </row>
    <row r="13698" spans="1:6" x14ac:dyDescent="0.2">
      <c r="A13698">
        <v>20</v>
      </c>
      <c r="E13698" t="str">
        <f t="shared" si="447"/>
        <v>U</v>
      </c>
      <c r="F13698" t="str">
        <f t="shared" si="448"/>
        <v>20U</v>
      </c>
    </row>
    <row r="13699" spans="1:6" x14ac:dyDescent="0.2">
      <c r="A13699">
        <v>21</v>
      </c>
      <c r="E13699" t="str">
        <f t="shared" si="447"/>
        <v>V</v>
      </c>
      <c r="F13699" t="str">
        <f t="shared" si="448"/>
        <v>21V</v>
      </c>
    </row>
    <row r="13700" spans="1:6" x14ac:dyDescent="0.2">
      <c r="A13700">
        <v>22</v>
      </c>
      <c r="E13700" t="str">
        <f t="shared" si="447"/>
        <v>W</v>
      </c>
      <c r="F13700" t="str">
        <f t="shared" si="448"/>
        <v>22W</v>
      </c>
    </row>
    <row r="13701" spans="1:6" x14ac:dyDescent="0.2">
      <c r="A13701">
        <v>23</v>
      </c>
      <c r="E13701" t="str">
        <f t="shared" si="447"/>
        <v>X</v>
      </c>
      <c r="F13701" t="str">
        <f t="shared" si="448"/>
        <v>23X</v>
      </c>
    </row>
    <row r="13702" spans="1:6" x14ac:dyDescent="0.2">
      <c r="A13702">
        <v>24</v>
      </c>
      <c r="E13702" t="str">
        <f t="shared" si="447"/>
        <v>Y</v>
      </c>
      <c r="F13702" t="str">
        <f t="shared" si="448"/>
        <v>24Y</v>
      </c>
    </row>
    <row r="13703" spans="1:6" x14ac:dyDescent="0.2">
      <c r="A13703">
        <v>25</v>
      </c>
      <c r="E13703" t="str">
        <f t="shared" si="447"/>
        <v>Z</v>
      </c>
      <c r="F13703" t="str">
        <f t="shared" si="448"/>
        <v>25Z</v>
      </c>
    </row>
    <row r="13704" spans="1:6" x14ac:dyDescent="0.2">
      <c r="A13704">
        <v>0</v>
      </c>
      <c r="E13704" t="str">
        <f t="shared" si="447"/>
        <v>A</v>
      </c>
      <c r="F13704" t="str">
        <f t="shared" si="448"/>
        <v>0A</v>
      </c>
    </row>
    <row r="13705" spans="1:6" x14ac:dyDescent="0.2">
      <c r="A13705">
        <v>1</v>
      </c>
      <c r="E13705" t="str">
        <f t="shared" si="447"/>
        <v>B</v>
      </c>
      <c r="F13705" t="str">
        <f t="shared" si="448"/>
        <v>1B</v>
      </c>
    </row>
    <row r="13706" spans="1:6" x14ac:dyDescent="0.2">
      <c r="A13706">
        <v>2</v>
      </c>
      <c r="E13706" t="str">
        <f t="shared" si="447"/>
        <v>C</v>
      </c>
      <c r="F13706" t="str">
        <f t="shared" si="448"/>
        <v>2C</v>
      </c>
    </row>
    <row r="13707" spans="1:6" x14ac:dyDescent="0.2">
      <c r="A13707">
        <v>3</v>
      </c>
      <c r="E13707" t="str">
        <f t="shared" si="447"/>
        <v>D</v>
      </c>
      <c r="F13707" t="str">
        <f t="shared" si="448"/>
        <v>3D</v>
      </c>
    </row>
    <row r="13708" spans="1:6" x14ac:dyDescent="0.2">
      <c r="A13708">
        <v>4</v>
      </c>
      <c r="E13708" t="str">
        <f t="shared" si="447"/>
        <v>E</v>
      </c>
      <c r="F13708" t="str">
        <f t="shared" si="448"/>
        <v>4E</v>
      </c>
    </row>
    <row r="13709" spans="1:6" x14ac:dyDescent="0.2">
      <c r="A13709">
        <v>5</v>
      </c>
      <c r="E13709" t="str">
        <f t="shared" si="447"/>
        <v>F</v>
      </c>
      <c r="F13709" t="str">
        <f t="shared" si="448"/>
        <v>5F</v>
      </c>
    </row>
    <row r="13710" spans="1:6" x14ac:dyDescent="0.2">
      <c r="A13710">
        <v>6</v>
      </c>
      <c r="E13710" t="str">
        <f t="shared" si="447"/>
        <v>G</v>
      </c>
      <c r="F13710" t="str">
        <f t="shared" si="448"/>
        <v>6G</v>
      </c>
    </row>
    <row r="13711" spans="1:6" x14ac:dyDescent="0.2">
      <c r="A13711">
        <v>7</v>
      </c>
      <c r="E13711" t="str">
        <f t="shared" si="447"/>
        <v>H</v>
      </c>
      <c r="F13711" t="str">
        <f t="shared" si="448"/>
        <v>7H</v>
      </c>
    </row>
    <row r="13712" spans="1:6" x14ac:dyDescent="0.2">
      <c r="A13712">
        <v>8</v>
      </c>
      <c r="E13712" t="str">
        <f t="shared" si="447"/>
        <v>I</v>
      </c>
      <c r="F13712" t="str">
        <f t="shared" si="448"/>
        <v>8I</v>
      </c>
    </row>
    <row r="13713" spans="1:6" x14ac:dyDescent="0.2">
      <c r="A13713">
        <v>9</v>
      </c>
      <c r="E13713" t="str">
        <f t="shared" si="447"/>
        <v>J</v>
      </c>
      <c r="F13713" t="str">
        <f t="shared" si="448"/>
        <v>9J</v>
      </c>
    </row>
    <row r="13714" spans="1:6" x14ac:dyDescent="0.2">
      <c r="A13714">
        <v>10</v>
      </c>
      <c r="E13714" t="str">
        <f t="shared" si="447"/>
        <v>K</v>
      </c>
      <c r="F13714" t="str">
        <f t="shared" si="448"/>
        <v>10K</v>
      </c>
    </row>
    <row r="13715" spans="1:6" x14ac:dyDescent="0.2">
      <c r="A13715">
        <v>11</v>
      </c>
      <c r="E13715" t="str">
        <f t="shared" si="447"/>
        <v>L</v>
      </c>
      <c r="F13715" t="str">
        <f t="shared" si="448"/>
        <v>11L</v>
      </c>
    </row>
    <row r="13716" spans="1:6" x14ac:dyDescent="0.2">
      <c r="A13716">
        <v>12</v>
      </c>
      <c r="E13716" t="str">
        <f t="shared" si="447"/>
        <v>M</v>
      </c>
      <c r="F13716" t="str">
        <f t="shared" si="448"/>
        <v>12M</v>
      </c>
    </row>
    <row r="13717" spans="1:6" x14ac:dyDescent="0.2">
      <c r="A13717">
        <v>13</v>
      </c>
      <c r="E13717" t="str">
        <f t="shared" ref="E13717:E13780" si="449">E13691</f>
        <v>N</v>
      </c>
      <c r="F13717" t="str">
        <f t="shared" si="448"/>
        <v>13N</v>
      </c>
    </row>
    <row r="13718" spans="1:6" x14ac:dyDescent="0.2">
      <c r="A13718">
        <v>14</v>
      </c>
      <c r="E13718" t="str">
        <f t="shared" si="449"/>
        <v>O</v>
      </c>
      <c r="F13718" t="str">
        <f t="shared" si="448"/>
        <v>14O</v>
      </c>
    </row>
    <row r="13719" spans="1:6" x14ac:dyDescent="0.2">
      <c r="A13719">
        <v>15</v>
      </c>
      <c r="E13719" t="str">
        <f t="shared" si="449"/>
        <v>P</v>
      </c>
      <c r="F13719" t="str">
        <f t="shared" ref="F13719:F13782" si="450">A13719&amp;C13719&amp;E13719</f>
        <v>15P</v>
      </c>
    </row>
    <row r="13720" spans="1:6" x14ac:dyDescent="0.2">
      <c r="A13720">
        <v>16</v>
      </c>
      <c r="E13720" t="str">
        <f t="shared" si="449"/>
        <v>Q</v>
      </c>
      <c r="F13720" t="str">
        <f t="shared" si="450"/>
        <v>16Q</v>
      </c>
    </row>
    <row r="13721" spans="1:6" x14ac:dyDescent="0.2">
      <c r="A13721">
        <v>17</v>
      </c>
      <c r="E13721" t="str">
        <f t="shared" si="449"/>
        <v>R</v>
      </c>
      <c r="F13721" t="str">
        <f t="shared" si="450"/>
        <v>17R</v>
      </c>
    </row>
    <row r="13722" spans="1:6" x14ac:dyDescent="0.2">
      <c r="A13722">
        <v>18</v>
      </c>
      <c r="E13722" t="str">
        <f t="shared" si="449"/>
        <v>S</v>
      </c>
      <c r="F13722" t="str">
        <f t="shared" si="450"/>
        <v>18S</v>
      </c>
    </row>
    <row r="13723" spans="1:6" x14ac:dyDescent="0.2">
      <c r="A13723">
        <v>19</v>
      </c>
      <c r="E13723" t="str">
        <f t="shared" si="449"/>
        <v>T</v>
      </c>
      <c r="F13723" t="str">
        <f t="shared" si="450"/>
        <v>19T</v>
      </c>
    </row>
    <row r="13724" spans="1:6" x14ac:dyDescent="0.2">
      <c r="A13724">
        <v>20</v>
      </c>
      <c r="E13724" t="str">
        <f t="shared" si="449"/>
        <v>U</v>
      </c>
      <c r="F13724" t="str">
        <f t="shared" si="450"/>
        <v>20U</v>
      </c>
    </row>
    <row r="13725" spans="1:6" x14ac:dyDescent="0.2">
      <c r="A13725">
        <v>21</v>
      </c>
      <c r="E13725" t="str">
        <f t="shared" si="449"/>
        <v>V</v>
      </c>
      <c r="F13725" t="str">
        <f t="shared" si="450"/>
        <v>21V</v>
      </c>
    </row>
    <row r="13726" spans="1:6" x14ac:dyDescent="0.2">
      <c r="A13726">
        <v>22</v>
      </c>
      <c r="E13726" t="str">
        <f t="shared" si="449"/>
        <v>W</v>
      </c>
      <c r="F13726" t="str">
        <f t="shared" si="450"/>
        <v>22W</v>
      </c>
    </row>
    <row r="13727" spans="1:6" x14ac:dyDescent="0.2">
      <c r="A13727">
        <v>23</v>
      </c>
      <c r="E13727" t="str">
        <f t="shared" si="449"/>
        <v>X</v>
      </c>
      <c r="F13727" t="str">
        <f t="shared" si="450"/>
        <v>23X</v>
      </c>
    </row>
    <row r="13728" spans="1:6" x14ac:dyDescent="0.2">
      <c r="A13728">
        <v>24</v>
      </c>
      <c r="E13728" t="str">
        <f t="shared" si="449"/>
        <v>Y</v>
      </c>
      <c r="F13728" t="str">
        <f t="shared" si="450"/>
        <v>24Y</v>
      </c>
    </row>
    <row r="13729" spans="1:6" x14ac:dyDescent="0.2">
      <c r="A13729">
        <v>25</v>
      </c>
      <c r="E13729" t="str">
        <f t="shared" si="449"/>
        <v>Z</v>
      </c>
      <c r="F13729" t="str">
        <f t="shared" si="450"/>
        <v>25Z</v>
      </c>
    </row>
    <row r="13730" spans="1:6" x14ac:dyDescent="0.2">
      <c r="A13730">
        <v>0</v>
      </c>
      <c r="E13730" t="str">
        <f t="shared" si="449"/>
        <v>A</v>
      </c>
      <c r="F13730" t="str">
        <f t="shared" si="450"/>
        <v>0A</v>
      </c>
    </row>
    <row r="13731" spans="1:6" x14ac:dyDescent="0.2">
      <c r="A13731">
        <v>1</v>
      </c>
      <c r="E13731" t="str">
        <f t="shared" si="449"/>
        <v>B</v>
      </c>
      <c r="F13731" t="str">
        <f t="shared" si="450"/>
        <v>1B</v>
      </c>
    </row>
    <row r="13732" spans="1:6" x14ac:dyDescent="0.2">
      <c r="A13732">
        <v>2</v>
      </c>
      <c r="E13732" t="str">
        <f t="shared" si="449"/>
        <v>C</v>
      </c>
      <c r="F13732" t="str">
        <f t="shared" si="450"/>
        <v>2C</v>
      </c>
    </row>
    <row r="13733" spans="1:6" x14ac:dyDescent="0.2">
      <c r="A13733">
        <v>3</v>
      </c>
      <c r="E13733" t="str">
        <f t="shared" si="449"/>
        <v>D</v>
      </c>
      <c r="F13733" t="str">
        <f t="shared" si="450"/>
        <v>3D</v>
      </c>
    </row>
    <row r="13734" spans="1:6" x14ac:dyDescent="0.2">
      <c r="A13734">
        <v>4</v>
      </c>
      <c r="E13734" t="str">
        <f t="shared" si="449"/>
        <v>E</v>
      </c>
      <c r="F13734" t="str">
        <f t="shared" si="450"/>
        <v>4E</v>
      </c>
    </row>
    <row r="13735" spans="1:6" x14ac:dyDescent="0.2">
      <c r="A13735">
        <v>5</v>
      </c>
      <c r="E13735" t="str">
        <f t="shared" si="449"/>
        <v>F</v>
      </c>
      <c r="F13735" t="str">
        <f t="shared" si="450"/>
        <v>5F</v>
      </c>
    </row>
    <row r="13736" spans="1:6" x14ac:dyDescent="0.2">
      <c r="A13736">
        <v>6</v>
      </c>
      <c r="E13736" t="str">
        <f t="shared" si="449"/>
        <v>G</v>
      </c>
      <c r="F13736" t="str">
        <f t="shared" si="450"/>
        <v>6G</v>
      </c>
    </row>
    <row r="13737" spans="1:6" x14ac:dyDescent="0.2">
      <c r="A13737">
        <v>7</v>
      </c>
      <c r="E13737" t="str">
        <f t="shared" si="449"/>
        <v>H</v>
      </c>
      <c r="F13737" t="str">
        <f t="shared" si="450"/>
        <v>7H</v>
      </c>
    </row>
    <row r="13738" spans="1:6" x14ac:dyDescent="0.2">
      <c r="A13738">
        <v>8</v>
      </c>
      <c r="E13738" t="str">
        <f t="shared" si="449"/>
        <v>I</v>
      </c>
      <c r="F13738" t="str">
        <f t="shared" si="450"/>
        <v>8I</v>
      </c>
    </row>
    <row r="13739" spans="1:6" x14ac:dyDescent="0.2">
      <c r="A13739">
        <v>9</v>
      </c>
      <c r="E13739" t="str">
        <f t="shared" si="449"/>
        <v>J</v>
      </c>
      <c r="F13739" t="str">
        <f t="shared" si="450"/>
        <v>9J</v>
      </c>
    </row>
    <row r="13740" spans="1:6" x14ac:dyDescent="0.2">
      <c r="A13740">
        <v>10</v>
      </c>
      <c r="E13740" t="str">
        <f t="shared" si="449"/>
        <v>K</v>
      </c>
      <c r="F13740" t="str">
        <f t="shared" si="450"/>
        <v>10K</v>
      </c>
    </row>
    <row r="13741" spans="1:6" x14ac:dyDescent="0.2">
      <c r="A13741">
        <v>11</v>
      </c>
      <c r="E13741" t="str">
        <f t="shared" si="449"/>
        <v>L</v>
      </c>
      <c r="F13741" t="str">
        <f t="shared" si="450"/>
        <v>11L</v>
      </c>
    </row>
    <row r="13742" spans="1:6" x14ac:dyDescent="0.2">
      <c r="A13742">
        <v>12</v>
      </c>
      <c r="E13742" t="str">
        <f t="shared" si="449"/>
        <v>M</v>
      </c>
      <c r="F13742" t="str">
        <f t="shared" si="450"/>
        <v>12M</v>
      </c>
    </row>
    <row r="13743" spans="1:6" x14ac:dyDescent="0.2">
      <c r="A13743">
        <v>13</v>
      </c>
      <c r="E13743" t="str">
        <f t="shared" si="449"/>
        <v>N</v>
      </c>
      <c r="F13743" t="str">
        <f t="shared" si="450"/>
        <v>13N</v>
      </c>
    </row>
    <row r="13744" spans="1:6" x14ac:dyDescent="0.2">
      <c r="A13744">
        <v>14</v>
      </c>
      <c r="E13744" t="str">
        <f t="shared" si="449"/>
        <v>O</v>
      </c>
      <c r="F13744" t="str">
        <f t="shared" si="450"/>
        <v>14O</v>
      </c>
    </row>
    <row r="13745" spans="1:6" x14ac:dyDescent="0.2">
      <c r="A13745">
        <v>15</v>
      </c>
      <c r="E13745" t="str">
        <f t="shared" si="449"/>
        <v>P</v>
      </c>
      <c r="F13745" t="str">
        <f t="shared" si="450"/>
        <v>15P</v>
      </c>
    </row>
    <row r="13746" spans="1:6" x14ac:dyDescent="0.2">
      <c r="A13746">
        <v>16</v>
      </c>
      <c r="E13746" t="str">
        <f t="shared" si="449"/>
        <v>Q</v>
      </c>
      <c r="F13746" t="str">
        <f t="shared" si="450"/>
        <v>16Q</v>
      </c>
    </row>
    <row r="13747" spans="1:6" x14ac:dyDescent="0.2">
      <c r="A13747">
        <v>17</v>
      </c>
      <c r="E13747" t="str">
        <f t="shared" si="449"/>
        <v>R</v>
      </c>
      <c r="F13747" t="str">
        <f t="shared" si="450"/>
        <v>17R</v>
      </c>
    </row>
    <row r="13748" spans="1:6" x14ac:dyDescent="0.2">
      <c r="A13748">
        <v>18</v>
      </c>
      <c r="E13748" t="str">
        <f t="shared" si="449"/>
        <v>S</v>
      </c>
      <c r="F13748" t="str">
        <f t="shared" si="450"/>
        <v>18S</v>
      </c>
    </row>
    <row r="13749" spans="1:6" x14ac:dyDescent="0.2">
      <c r="A13749">
        <v>19</v>
      </c>
      <c r="E13749" t="str">
        <f t="shared" si="449"/>
        <v>T</v>
      </c>
      <c r="F13749" t="str">
        <f t="shared" si="450"/>
        <v>19T</v>
      </c>
    </row>
    <row r="13750" spans="1:6" x14ac:dyDescent="0.2">
      <c r="A13750">
        <v>20</v>
      </c>
      <c r="E13750" t="str">
        <f t="shared" si="449"/>
        <v>U</v>
      </c>
      <c r="F13750" t="str">
        <f t="shared" si="450"/>
        <v>20U</v>
      </c>
    </row>
    <row r="13751" spans="1:6" x14ac:dyDescent="0.2">
      <c r="A13751">
        <v>21</v>
      </c>
      <c r="E13751" t="str">
        <f t="shared" si="449"/>
        <v>V</v>
      </c>
      <c r="F13751" t="str">
        <f t="shared" si="450"/>
        <v>21V</v>
      </c>
    </row>
    <row r="13752" spans="1:6" x14ac:dyDescent="0.2">
      <c r="A13752">
        <v>22</v>
      </c>
      <c r="E13752" t="str">
        <f t="shared" si="449"/>
        <v>W</v>
      </c>
      <c r="F13752" t="str">
        <f t="shared" si="450"/>
        <v>22W</v>
      </c>
    </row>
    <row r="13753" spans="1:6" x14ac:dyDescent="0.2">
      <c r="A13753">
        <v>23</v>
      </c>
      <c r="E13753" t="str">
        <f t="shared" si="449"/>
        <v>X</v>
      </c>
      <c r="F13753" t="str">
        <f t="shared" si="450"/>
        <v>23X</v>
      </c>
    </row>
    <row r="13754" spans="1:6" x14ac:dyDescent="0.2">
      <c r="A13754">
        <v>24</v>
      </c>
      <c r="E13754" t="str">
        <f t="shared" si="449"/>
        <v>Y</v>
      </c>
      <c r="F13754" t="str">
        <f t="shared" si="450"/>
        <v>24Y</v>
      </c>
    </row>
    <row r="13755" spans="1:6" x14ac:dyDescent="0.2">
      <c r="A13755">
        <v>25</v>
      </c>
      <c r="E13755" t="str">
        <f t="shared" si="449"/>
        <v>Z</v>
      </c>
      <c r="F13755" t="str">
        <f t="shared" si="450"/>
        <v>25Z</v>
      </c>
    </row>
    <row r="13756" spans="1:6" x14ac:dyDescent="0.2">
      <c r="A13756">
        <v>0</v>
      </c>
      <c r="E13756" t="str">
        <f t="shared" si="449"/>
        <v>A</v>
      </c>
      <c r="F13756" t="str">
        <f t="shared" si="450"/>
        <v>0A</v>
      </c>
    </row>
    <row r="13757" spans="1:6" x14ac:dyDescent="0.2">
      <c r="A13757">
        <v>1</v>
      </c>
      <c r="E13757" t="str">
        <f t="shared" si="449"/>
        <v>B</v>
      </c>
      <c r="F13757" t="str">
        <f t="shared" si="450"/>
        <v>1B</v>
      </c>
    </row>
    <row r="13758" spans="1:6" x14ac:dyDescent="0.2">
      <c r="A13758">
        <v>2</v>
      </c>
      <c r="E13758" t="str">
        <f t="shared" si="449"/>
        <v>C</v>
      </c>
      <c r="F13758" t="str">
        <f t="shared" si="450"/>
        <v>2C</v>
      </c>
    </row>
    <row r="13759" spans="1:6" x14ac:dyDescent="0.2">
      <c r="A13759">
        <v>3</v>
      </c>
      <c r="E13759" t="str">
        <f t="shared" si="449"/>
        <v>D</v>
      </c>
      <c r="F13759" t="str">
        <f t="shared" si="450"/>
        <v>3D</v>
      </c>
    </row>
    <row r="13760" spans="1:6" x14ac:dyDescent="0.2">
      <c r="A13760">
        <v>4</v>
      </c>
      <c r="E13760" t="str">
        <f t="shared" si="449"/>
        <v>E</v>
      </c>
      <c r="F13760" t="str">
        <f t="shared" si="450"/>
        <v>4E</v>
      </c>
    </row>
    <row r="13761" spans="1:6" x14ac:dyDescent="0.2">
      <c r="A13761">
        <v>5</v>
      </c>
      <c r="E13761" t="str">
        <f t="shared" si="449"/>
        <v>F</v>
      </c>
      <c r="F13761" t="str">
        <f t="shared" si="450"/>
        <v>5F</v>
      </c>
    </row>
    <row r="13762" spans="1:6" x14ac:dyDescent="0.2">
      <c r="A13762">
        <v>6</v>
      </c>
      <c r="E13762" t="str">
        <f t="shared" si="449"/>
        <v>G</v>
      </c>
      <c r="F13762" t="str">
        <f t="shared" si="450"/>
        <v>6G</v>
      </c>
    </row>
    <row r="13763" spans="1:6" x14ac:dyDescent="0.2">
      <c r="A13763">
        <v>7</v>
      </c>
      <c r="E13763" t="str">
        <f t="shared" si="449"/>
        <v>H</v>
      </c>
      <c r="F13763" t="str">
        <f t="shared" si="450"/>
        <v>7H</v>
      </c>
    </row>
    <row r="13764" spans="1:6" x14ac:dyDescent="0.2">
      <c r="A13764">
        <v>8</v>
      </c>
      <c r="E13764" t="str">
        <f t="shared" si="449"/>
        <v>I</v>
      </c>
      <c r="F13764" t="str">
        <f t="shared" si="450"/>
        <v>8I</v>
      </c>
    </row>
    <row r="13765" spans="1:6" x14ac:dyDescent="0.2">
      <c r="A13765">
        <v>9</v>
      </c>
      <c r="E13765" t="str">
        <f t="shared" si="449"/>
        <v>J</v>
      </c>
      <c r="F13765" t="str">
        <f t="shared" si="450"/>
        <v>9J</v>
      </c>
    </row>
    <row r="13766" spans="1:6" x14ac:dyDescent="0.2">
      <c r="A13766">
        <v>10</v>
      </c>
      <c r="E13766" t="str">
        <f t="shared" si="449"/>
        <v>K</v>
      </c>
      <c r="F13766" t="str">
        <f t="shared" si="450"/>
        <v>10K</v>
      </c>
    </row>
    <row r="13767" spans="1:6" x14ac:dyDescent="0.2">
      <c r="A13767">
        <v>11</v>
      </c>
      <c r="E13767" t="str">
        <f t="shared" si="449"/>
        <v>L</v>
      </c>
      <c r="F13767" t="str">
        <f t="shared" si="450"/>
        <v>11L</v>
      </c>
    </row>
    <row r="13768" spans="1:6" x14ac:dyDescent="0.2">
      <c r="A13768">
        <v>12</v>
      </c>
      <c r="E13768" t="str">
        <f t="shared" si="449"/>
        <v>M</v>
      </c>
      <c r="F13768" t="str">
        <f t="shared" si="450"/>
        <v>12M</v>
      </c>
    </row>
    <row r="13769" spans="1:6" x14ac:dyDescent="0.2">
      <c r="A13769">
        <v>13</v>
      </c>
      <c r="E13769" t="str">
        <f t="shared" si="449"/>
        <v>N</v>
      </c>
      <c r="F13769" t="str">
        <f t="shared" si="450"/>
        <v>13N</v>
      </c>
    </row>
    <row r="13770" spans="1:6" x14ac:dyDescent="0.2">
      <c r="A13770">
        <v>14</v>
      </c>
      <c r="E13770" t="str">
        <f t="shared" si="449"/>
        <v>O</v>
      </c>
      <c r="F13770" t="str">
        <f t="shared" si="450"/>
        <v>14O</v>
      </c>
    </row>
    <row r="13771" spans="1:6" x14ac:dyDescent="0.2">
      <c r="A13771">
        <v>15</v>
      </c>
      <c r="E13771" t="str">
        <f t="shared" si="449"/>
        <v>P</v>
      </c>
      <c r="F13771" t="str">
        <f t="shared" si="450"/>
        <v>15P</v>
      </c>
    </row>
    <row r="13772" spans="1:6" x14ac:dyDescent="0.2">
      <c r="A13772">
        <v>16</v>
      </c>
      <c r="E13772" t="str">
        <f t="shared" si="449"/>
        <v>Q</v>
      </c>
      <c r="F13772" t="str">
        <f t="shared" si="450"/>
        <v>16Q</v>
      </c>
    </row>
    <row r="13773" spans="1:6" x14ac:dyDescent="0.2">
      <c r="A13773">
        <v>17</v>
      </c>
      <c r="E13773" t="str">
        <f t="shared" si="449"/>
        <v>R</v>
      </c>
      <c r="F13773" t="str">
        <f t="shared" si="450"/>
        <v>17R</v>
      </c>
    </row>
    <row r="13774" spans="1:6" x14ac:dyDescent="0.2">
      <c r="A13774">
        <v>18</v>
      </c>
      <c r="E13774" t="str">
        <f t="shared" si="449"/>
        <v>S</v>
      </c>
      <c r="F13774" t="str">
        <f t="shared" si="450"/>
        <v>18S</v>
      </c>
    </row>
    <row r="13775" spans="1:6" x14ac:dyDescent="0.2">
      <c r="A13775">
        <v>19</v>
      </c>
      <c r="E13775" t="str">
        <f t="shared" si="449"/>
        <v>T</v>
      </c>
      <c r="F13775" t="str">
        <f t="shared" si="450"/>
        <v>19T</v>
      </c>
    </row>
    <row r="13776" spans="1:6" x14ac:dyDescent="0.2">
      <c r="A13776">
        <v>20</v>
      </c>
      <c r="E13776" t="str">
        <f t="shared" si="449"/>
        <v>U</v>
      </c>
      <c r="F13776" t="str">
        <f t="shared" si="450"/>
        <v>20U</v>
      </c>
    </row>
    <row r="13777" spans="1:6" x14ac:dyDescent="0.2">
      <c r="A13777">
        <v>21</v>
      </c>
      <c r="E13777" t="str">
        <f t="shared" si="449"/>
        <v>V</v>
      </c>
      <c r="F13777" t="str">
        <f t="shared" si="450"/>
        <v>21V</v>
      </c>
    </row>
    <row r="13778" spans="1:6" x14ac:dyDescent="0.2">
      <c r="A13778">
        <v>22</v>
      </c>
      <c r="E13778" t="str">
        <f t="shared" si="449"/>
        <v>W</v>
      </c>
      <c r="F13778" t="str">
        <f t="shared" si="450"/>
        <v>22W</v>
      </c>
    </row>
    <row r="13779" spans="1:6" x14ac:dyDescent="0.2">
      <c r="A13779">
        <v>23</v>
      </c>
      <c r="E13779" t="str">
        <f t="shared" si="449"/>
        <v>X</v>
      </c>
      <c r="F13779" t="str">
        <f t="shared" si="450"/>
        <v>23X</v>
      </c>
    </row>
    <row r="13780" spans="1:6" x14ac:dyDescent="0.2">
      <c r="A13780">
        <v>24</v>
      </c>
      <c r="E13780" t="str">
        <f t="shared" si="449"/>
        <v>Y</v>
      </c>
      <c r="F13780" t="str">
        <f t="shared" si="450"/>
        <v>24Y</v>
      </c>
    </row>
    <row r="13781" spans="1:6" x14ac:dyDescent="0.2">
      <c r="A13781">
        <v>25</v>
      </c>
      <c r="E13781" t="str">
        <f t="shared" ref="E13781:E13844" si="451">E13755</f>
        <v>Z</v>
      </c>
      <c r="F13781" t="str">
        <f t="shared" si="450"/>
        <v>25Z</v>
      </c>
    </row>
    <row r="13782" spans="1:6" x14ac:dyDescent="0.2">
      <c r="A13782">
        <v>0</v>
      </c>
      <c r="E13782" t="str">
        <f t="shared" si="451"/>
        <v>A</v>
      </c>
      <c r="F13782" t="str">
        <f t="shared" si="450"/>
        <v>0A</v>
      </c>
    </row>
    <row r="13783" spans="1:6" x14ac:dyDescent="0.2">
      <c r="A13783">
        <v>1</v>
      </c>
      <c r="E13783" t="str">
        <f t="shared" si="451"/>
        <v>B</v>
      </c>
      <c r="F13783" t="str">
        <f t="shared" ref="F13783:F13846" si="452">A13783&amp;C13783&amp;E13783</f>
        <v>1B</v>
      </c>
    </row>
    <row r="13784" spans="1:6" x14ac:dyDescent="0.2">
      <c r="A13784">
        <v>2</v>
      </c>
      <c r="E13784" t="str">
        <f t="shared" si="451"/>
        <v>C</v>
      </c>
      <c r="F13784" t="str">
        <f t="shared" si="452"/>
        <v>2C</v>
      </c>
    </row>
    <row r="13785" spans="1:6" x14ac:dyDescent="0.2">
      <c r="A13785">
        <v>3</v>
      </c>
      <c r="E13785" t="str">
        <f t="shared" si="451"/>
        <v>D</v>
      </c>
      <c r="F13785" t="str">
        <f t="shared" si="452"/>
        <v>3D</v>
      </c>
    </row>
    <row r="13786" spans="1:6" x14ac:dyDescent="0.2">
      <c r="A13786">
        <v>4</v>
      </c>
      <c r="E13786" t="str">
        <f t="shared" si="451"/>
        <v>E</v>
      </c>
      <c r="F13786" t="str">
        <f t="shared" si="452"/>
        <v>4E</v>
      </c>
    </row>
    <row r="13787" spans="1:6" x14ac:dyDescent="0.2">
      <c r="A13787">
        <v>5</v>
      </c>
      <c r="E13787" t="str">
        <f t="shared" si="451"/>
        <v>F</v>
      </c>
      <c r="F13787" t="str">
        <f t="shared" si="452"/>
        <v>5F</v>
      </c>
    </row>
    <row r="13788" spans="1:6" x14ac:dyDescent="0.2">
      <c r="A13788">
        <v>6</v>
      </c>
      <c r="E13788" t="str">
        <f t="shared" si="451"/>
        <v>G</v>
      </c>
      <c r="F13788" t="str">
        <f t="shared" si="452"/>
        <v>6G</v>
      </c>
    </row>
    <row r="13789" spans="1:6" x14ac:dyDescent="0.2">
      <c r="A13789">
        <v>7</v>
      </c>
      <c r="E13789" t="str">
        <f t="shared" si="451"/>
        <v>H</v>
      </c>
      <c r="F13789" t="str">
        <f t="shared" si="452"/>
        <v>7H</v>
      </c>
    </row>
    <row r="13790" spans="1:6" x14ac:dyDescent="0.2">
      <c r="A13790">
        <v>8</v>
      </c>
      <c r="E13790" t="str">
        <f t="shared" si="451"/>
        <v>I</v>
      </c>
      <c r="F13790" t="str">
        <f t="shared" si="452"/>
        <v>8I</v>
      </c>
    </row>
    <row r="13791" spans="1:6" x14ac:dyDescent="0.2">
      <c r="A13791">
        <v>9</v>
      </c>
      <c r="E13791" t="str">
        <f t="shared" si="451"/>
        <v>J</v>
      </c>
      <c r="F13791" t="str">
        <f t="shared" si="452"/>
        <v>9J</v>
      </c>
    </row>
    <row r="13792" spans="1:6" x14ac:dyDescent="0.2">
      <c r="A13792">
        <v>10</v>
      </c>
      <c r="E13792" t="str">
        <f t="shared" si="451"/>
        <v>K</v>
      </c>
      <c r="F13792" t="str">
        <f t="shared" si="452"/>
        <v>10K</v>
      </c>
    </row>
    <row r="13793" spans="1:6" x14ac:dyDescent="0.2">
      <c r="A13793">
        <v>11</v>
      </c>
      <c r="E13793" t="str">
        <f t="shared" si="451"/>
        <v>L</v>
      </c>
      <c r="F13793" t="str">
        <f t="shared" si="452"/>
        <v>11L</v>
      </c>
    </row>
    <row r="13794" spans="1:6" x14ac:dyDescent="0.2">
      <c r="A13794">
        <v>12</v>
      </c>
      <c r="E13794" t="str">
        <f t="shared" si="451"/>
        <v>M</v>
      </c>
      <c r="F13794" t="str">
        <f t="shared" si="452"/>
        <v>12M</v>
      </c>
    </row>
    <row r="13795" spans="1:6" x14ac:dyDescent="0.2">
      <c r="A13795">
        <v>13</v>
      </c>
      <c r="E13795" t="str">
        <f t="shared" si="451"/>
        <v>N</v>
      </c>
      <c r="F13795" t="str">
        <f t="shared" si="452"/>
        <v>13N</v>
      </c>
    </row>
    <row r="13796" spans="1:6" x14ac:dyDescent="0.2">
      <c r="A13796">
        <v>14</v>
      </c>
      <c r="E13796" t="str">
        <f t="shared" si="451"/>
        <v>O</v>
      </c>
      <c r="F13796" t="str">
        <f t="shared" si="452"/>
        <v>14O</v>
      </c>
    </row>
    <row r="13797" spans="1:6" x14ac:dyDescent="0.2">
      <c r="A13797">
        <v>15</v>
      </c>
      <c r="E13797" t="str">
        <f t="shared" si="451"/>
        <v>P</v>
      </c>
      <c r="F13797" t="str">
        <f t="shared" si="452"/>
        <v>15P</v>
      </c>
    </row>
    <row r="13798" spans="1:6" x14ac:dyDescent="0.2">
      <c r="A13798">
        <v>16</v>
      </c>
      <c r="E13798" t="str">
        <f t="shared" si="451"/>
        <v>Q</v>
      </c>
      <c r="F13798" t="str">
        <f t="shared" si="452"/>
        <v>16Q</v>
      </c>
    </row>
    <row r="13799" spans="1:6" x14ac:dyDescent="0.2">
      <c r="A13799">
        <v>17</v>
      </c>
      <c r="E13799" t="str">
        <f t="shared" si="451"/>
        <v>R</v>
      </c>
      <c r="F13799" t="str">
        <f t="shared" si="452"/>
        <v>17R</v>
      </c>
    </row>
    <row r="13800" spans="1:6" x14ac:dyDescent="0.2">
      <c r="A13800">
        <v>18</v>
      </c>
      <c r="E13800" t="str">
        <f t="shared" si="451"/>
        <v>S</v>
      </c>
      <c r="F13800" t="str">
        <f t="shared" si="452"/>
        <v>18S</v>
      </c>
    </row>
    <row r="13801" spans="1:6" x14ac:dyDescent="0.2">
      <c r="A13801">
        <v>19</v>
      </c>
      <c r="E13801" t="str">
        <f t="shared" si="451"/>
        <v>T</v>
      </c>
      <c r="F13801" t="str">
        <f t="shared" si="452"/>
        <v>19T</v>
      </c>
    </row>
    <row r="13802" spans="1:6" x14ac:dyDescent="0.2">
      <c r="A13802">
        <v>20</v>
      </c>
      <c r="E13802" t="str">
        <f t="shared" si="451"/>
        <v>U</v>
      </c>
      <c r="F13802" t="str">
        <f t="shared" si="452"/>
        <v>20U</v>
      </c>
    </row>
    <row r="13803" spans="1:6" x14ac:dyDescent="0.2">
      <c r="A13803">
        <v>21</v>
      </c>
      <c r="E13803" t="str">
        <f t="shared" si="451"/>
        <v>V</v>
      </c>
      <c r="F13803" t="str">
        <f t="shared" si="452"/>
        <v>21V</v>
      </c>
    </row>
    <row r="13804" spans="1:6" x14ac:dyDescent="0.2">
      <c r="A13804">
        <v>22</v>
      </c>
      <c r="E13804" t="str">
        <f t="shared" si="451"/>
        <v>W</v>
      </c>
      <c r="F13804" t="str">
        <f t="shared" si="452"/>
        <v>22W</v>
      </c>
    </row>
    <row r="13805" spans="1:6" x14ac:dyDescent="0.2">
      <c r="A13805">
        <v>23</v>
      </c>
      <c r="E13805" t="str">
        <f t="shared" si="451"/>
        <v>X</v>
      </c>
      <c r="F13805" t="str">
        <f t="shared" si="452"/>
        <v>23X</v>
      </c>
    </row>
    <row r="13806" spans="1:6" x14ac:dyDescent="0.2">
      <c r="A13806">
        <v>24</v>
      </c>
      <c r="E13806" t="str">
        <f t="shared" si="451"/>
        <v>Y</v>
      </c>
      <c r="F13806" t="str">
        <f t="shared" si="452"/>
        <v>24Y</v>
      </c>
    </row>
    <row r="13807" spans="1:6" x14ac:dyDescent="0.2">
      <c r="A13807">
        <v>25</v>
      </c>
      <c r="E13807" t="str">
        <f t="shared" si="451"/>
        <v>Z</v>
      </c>
      <c r="F13807" t="str">
        <f t="shared" si="452"/>
        <v>25Z</v>
      </c>
    </row>
    <row r="13808" spans="1:6" x14ac:dyDescent="0.2">
      <c r="A13808">
        <v>0</v>
      </c>
      <c r="E13808" t="str">
        <f t="shared" si="451"/>
        <v>A</v>
      </c>
      <c r="F13808" t="str">
        <f t="shared" si="452"/>
        <v>0A</v>
      </c>
    </row>
    <row r="13809" spans="1:6" x14ac:dyDescent="0.2">
      <c r="A13809">
        <v>1</v>
      </c>
      <c r="E13809" t="str">
        <f t="shared" si="451"/>
        <v>B</v>
      </c>
      <c r="F13809" t="str">
        <f t="shared" si="452"/>
        <v>1B</v>
      </c>
    </row>
    <row r="13810" spans="1:6" x14ac:dyDescent="0.2">
      <c r="A13810">
        <v>2</v>
      </c>
      <c r="E13810" t="str">
        <f t="shared" si="451"/>
        <v>C</v>
      </c>
      <c r="F13810" t="str">
        <f t="shared" si="452"/>
        <v>2C</v>
      </c>
    </row>
    <row r="13811" spans="1:6" x14ac:dyDescent="0.2">
      <c r="A13811">
        <v>3</v>
      </c>
      <c r="E13811" t="str">
        <f t="shared" si="451"/>
        <v>D</v>
      </c>
      <c r="F13811" t="str">
        <f t="shared" si="452"/>
        <v>3D</v>
      </c>
    </row>
    <row r="13812" spans="1:6" x14ac:dyDescent="0.2">
      <c r="A13812">
        <v>4</v>
      </c>
      <c r="E13812" t="str">
        <f t="shared" si="451"/>
        <v>E</v>
      </c>
      <c r="F13812" t="str">
        <f t="shared" si="452"/>
        <v>4E</v>
      </c>
    </row>
    <row r="13813" spans="1:6" x14ac:dyDescent="0.2">
      <c r="A13813">
        <v>5</v>
      </c>
      <c r="E13813" t="str">
        <f t="shared" si="451"/>
        <v>F</v>
      </c>
      <c r="F13813" t="str">
        <f t="shared" si="452"/>
        <v>5F</v>
      </c>
    </row>
    <row r="13814" spans="1:6" x14ac:dyDescent="0.2">
      <c r="A13814">
        <v>6</v>
      </c>
      <c r="E13814" t="str">
        <f t="shared" si="451"/>
        <v>G</v>
      </c>
      <c r="F13814" t="str">
        <f t="shared" si="452"/>
        <v>6G</v>
      </c>
    </row>
    <row r="13815" spans="1:6" x14ac:dyDescent="0.2">
      <c r="A13815">
        <v>7</v>
      </c>
      <c r="E13815" t="str">
        <f t="shared" si="451"/>
        <v>H</v>
      </c>
      <c r="F13815" t="str">
        <f t="shared" si="452"/>
        <v>7H</v>
      </c>
    </row>
    <row r="13816" spans="1:6" x14ac:dyDescent="0.2">
      <c r="A13816">
        <v>8</v>
      </c>
      <c r="E13816" t="str">
        <f t="shared" si="451"/>
        <v>I</v>
      </c>
      <c r="F13816" t="str">
        <f t="shared" si="452"/>
        <v>8I</v>
      </c>
    </row>
    <row r="13817" spans="1:6" x14ac:dyDescent="0.2">
      <c r="A13817">
        <v>9</v>
      </c>
      <c r="E13817" t="str">
        <f t="shared" si="451"/>
        <v>J</v>
      </c>
      <c r="F13817" t="str">
        <f t="shared" si="452"/>
        <v>9J</v>
      </c>
    </row>
    <row r="13818" spans="1:6" x14ac:dyDescent="0.2">
      <c r="A13818">
        <v>10</v>
      </c>
      <c r="E13818" t="str">
        <f t="shared" si="451"/>
        <v>K</v>
      </c>
      <c r="F13818" t="str">
        <f t="shared" si="452"/>
        <v>10K</v>
      </c>
    </row>
    <row r="13819" spans="1:6" x14ac:dyDescent="0.2">
      <c r="A13819">
        <v>11</v>
      </c>
      <c r="E13819" t="str">
        <f t="shared" si="451"/>
        <v>L</v>
      </c>
      <c r="F13819" t="str">
        <f t="shared" si="452"/>
        <v>11L</v>
      </c>
    </row>
    <row r="13820" spans="1:6" x14ac:dyDescent="0.2">
      <c r="A13820">
        <v>12</v>
      </c>
      <c r="E13820" t="str">
        <f t="shared" si="451"/>
        <v>M</v>
      </c>
      <c r="F13820" t="str">
        <f t="shared" si="452"/>
        <v>12M</v>
      </c>
    </row>
    <row r="13821" spans="1:6" x14ac:dyDescent="0.2">
      <c r="A13821">
        <v>13</v>
      </c>
      <c r="E13821" t="str">
        <f t="shared" si="451"/>
        <v>N</v>
      </c>
      <c r="F13821" t="str">
        <f t="shared" si="452"/>
        <v>13N</v>
      </c>
    </row>
    <row r="13822" spans="1:6" x14ac:dyDescent="0.2">
      <c r="A13822">
        <v>14</v>
      </c>
      <c r="E13822" t="str">
        <f t="shared" si="451"/>
        <v>O</v>
      </c>
      <c r="F13822" t="str">
        <f t="shared" si="452"/>
        <v>14O</v>
      </c>
    </row>
    <row r="13823" spans="1:6" x14ac:dyDescent="0.2">
      <c r="A13823">
        <v>15</v>
      </c>
      <c r="E13823" t="str">
        <f t="shared" si="451"/>
        <v>P</v>
      </c>
      <c r="F13823" t="str">
        <f t="shared" si="452"/>
        <v>15P</v>
      </c>
    </row>
    <row r="13824" spans="1:6" x14ac:dyDescent="0.2">
      <c r="A13824">
        <v>16</v>
      </c>
      <c r="E13824" t="str">
        <f t="shared" si="451"/>
        <v>Q</v>
      </c>
      <c r="F13824" t="str">
        <f t="shared" si="452"/>
        <v>16Q</v>
      </c>
    </row>
    <row r="13825" spans="1:6" x14ac:dyDescent="0.2">
      <c r="A13825">
        <v>17</v>
      </c>
      <c r="E13825" t="str">
        <f t="shared" si="451"/>
        <v>R</v>
      </c>
      <c r="F13825" t="str">
        <f t="shared" si="452"/>
        <v>17R</v>
      </c>
    </row>
    <row r="13826" spans="1:6" x14ac:dyDescent="0.2">
      <c r="A13826">
        <v>18</v>
      </c>
      <c r="E13826" t="str">
        <f t="shared" si="451"/>
        <v>S</v>
      </c>
      <c r="F13826" t="str">
        <f t="shared" si="452"/>
        <v>18S</v>
      </c>
    </row>
    <row r="13827" spans="1:6" x14ac:dyDescent="0.2">
      <c r="A13827">
        <v>19</v>
      </c>
      <c r="E13827" t="str">
        <f t="shared" si="451"/>
        <v>T</v>
      </c>
      <c r="F13827" t="str">
        <f t="shared" si="452"/>
        <v>19T</v>
      </c>
    </row>
    <row r="13828" spans="1:6" x14ac:dyDescent="0.2">
      <c r="A13828">
        <v>20</v>
      </c>
      <c r="E13828" t="str">
        <f t="shared" si="451"/>
        <v>U</v>
      </c>
      <c r="F13828" t="str">
        <f t="shared" si="452"/>
        <v>20U</v>
      </c>
    </row>
    <row r="13829" spans="1:6" x14ac:dyDescent="0.2">
      <c r="A13829">
        <v>21</v>
      </c>
      <c r="E13829" t="str">
        <f t="shared" si="451"/>
        <v>V</v>
      </c>
      <c r="F13829" t="str">
        <f t="shared" si="452"/>
        <v>21V</v>
      </c>
    </row>
    <row r="13830" spans="1:6" x14ac:dyDescent="0.2">
      <c r="A13830">
        <v>22</v>
      </c>
      <c r="E13830" t="str">
        <f t="shared" si="451"/>
        <v>W</v>
      </c>
      <c r="F13830" t="str">
        <f t="shared" si="452"/>
        <v>22W</v>
      </c>
    </row>
    <row r="13831" spans="1:6" x14ac:dyDescent="0.2">
      <c r="A13831">
        <v>23</v>
      </c>
      <c r="E13831" t="str">
        <f t="shared" si="451"/>
        <v>X</v>
      </c>
      <c r="F13831" t="str">
        <f t="shared" si="452"/>
        <v>23X</v>
      </c>
    </row>
    <row r="13832" spans="1:6" x14ac:dyDescent="0.2">
      <c r="A13832">
        <v>24</v>
      </c>
      <c r="E13832" t="str">
        <f t="shared" si="451"/>
        <v>Y</v>
      </c>
      <c r="F13832" t="str">
        <f t="shared" si="452"/>
        <v>24Y</v>
      </c>
    </row>
    <row r="13833" spans="1:6" x14ac:dyDescent="0.2">
      <c r="A13833">
        <v>25</v>
      </c>
      <c r="E13833" t="str">
        <f t="shared" si="451"/>
        <v>Z</v>
      </c>
      <c r="F13833" t="str">
        <f t="shared" si="452"/>
        <v>25Z</v>
      </c>
    </row>
    <row r="13834" spans="1:6" x14ac:dyDescent="0.2">
      <c r="A13834">
        <v>0</v>
      </c>
      <c r="E13834" t="str">
        <f t="shared" si="451"/>
        <v>A</v>
      </c>
      <c r="F13834" t="str">
        <f t="shared" si="452"/>
        <v>0A</v>
      </c>
    </row>
    <row r="13835" spans="1:6" x14ac:dyDescent="0.2">
      <c r="A13835">
        <v>1</v>
      </c>
      <c r="E13835" t="str">
        <f t="shared" si="451"/>
        <v>B</v>
      </c>
      <c r="F13835" t="str">
        <f t="shared" si="452"/>
        <v>1B</v>
      </c>
    </row>
    <row r="13836" spans="1:6" x14ac:dyDescent="0.2">
      <c r="A13836">
        <v>2</v>
      </c>
      <c r="E13836" t="str">
        <f t="shared" si="451"/>
        <v>C</v>
      </c>
      <c r="F13836" t="str">
        <f t="shared" si="452"/>
        <v>2C</v>
      </c>
    </row>
    <row r="13837" spans="1:6" x14ac:dyDescent="0.2">
      <c r="A13837">
        <v>3</v>
      </c>
      <c r="E13837" t="str">
        <f t="shared" si="451"/>
        <v>D</v>
      </c>
      <c r="F13837" t="str">
        <f t="shared" si="452"/>
        <v>3D</v>
      </c>
    </row>
    <row r="13838" spans="1:6" x14ac:dyDescent="0.2">
      <c r="A13838">
        <v>4</v>
      </c>
      <c r="E13838" t="str">
        <f t="shared" si="451"/>
        <v>E</v>
      </c>
      <c r="F13838" t="str">
        <f t="shared" si="452"/>
        <v>4E</v>
      </c>
    </row>
    <row r="13839" spans="1:6" x14ac:dyDescent="0.2">
      <c r="A13839">
        <v>5</v>
      </c>
      <c r="E13839" t="str">
        <f t="shared" si="451"/>
        <v>F</v>
      </c>
      <c r="F13839" t="str">
        <f t="shared" si="452"/>
        <v>5F</v>
      </c>
    </row>
    <row r="13840" spans="1:6" x14ac:dyDescent="0.2">
      <c r="A13840">
        <v>6</v>
      </c>
      <c r="E13840" t="str">
        <f t="shared" si="451"/>
        <v>G</v>
      </c>
      <c r="F13840" t="str">
        <f t="shared" si="452"/>
        <v>6G</v>
      </c>
    </row>
    <row r="13841" spans="1:6" x14ac:dyDescent="0.2">
      <c r="A13841">
        <v>7</v>
      </c>
      <c r="E13841" t="str">
        <f t="shared" si="451"/>
        <v>H</v>
      </c>
      <c r="F13841" t="str">
        <f t="shared" si="452"/>
        <v>7H</v>
      </c>
    </row>
    <row r="13842" spans="1:6" x14ac:dyDescent="0.2">
      <c r="A13842">
        <v>8</v>
      </c>
      <c r="E13842" t="str">
        <f t="shared" si="451"/>
        <v>I</v>
      </c>
      <c r="F13842" t="str">
        <f t="shared" si="452"/>
        <v>8I</v>
      </c>
    </row>
    <row r="13843" spans="1:6" x14ac:dyDescent="0.2">
      <c r="A13843">
        <v>9</v>
      </c>
      <c r="E13843" t="str">
        <f t="shared" si="451"/>
        <v>J</v>
      </c>
      <c r="F13843" t="str">
        <f t="shared" si="452"/>
        <v>9J</v>
      </c>
    </row>
    <row r="13844" spans="1:6" x14ac:dyDescent="0.2">
      <c r="A13844">
        <v>10</v>
      </c>
      <c r="E13844" t="str">
        <f t="shared" si="451"/>
        <v>K</v>
      </c>
      <c r="F13844" t="str">
        <f t="shared" si="452"/>
        <v>10K</v>
      </c>
    </row>
    <row r="13845" spans="1:6" x14ac:dyDescent="0.2">
      <c r="A13845">
        <v>11</v>
      </c>
      <c r="E13845" t="str">
        <f t="shared" ref="E13845:E13908" si="453">E13819</f>
        <v>L</v>
      </c>
      <c r="F13845" t="str">
        <f t="shared" si="452"/>
        <v>11L</v>
      </c>
    </row>
    <row r="13846" spans="1:6" x14ac:dyDescent="0.2">
      <c r="A13846">
        <v>12</v>
      </c>
      <c r="E13846" t="str">
        <f t="shared" si="453"/>
        <v>M</v>
      </c>
      <c r="F13846" t="str">
        <f t="shared" si="452"/>
        <v>12M</v>
      </c>
    </row>
    <row r="13847" spans="1:6" x14ac:dyDescent="0.2">
      <c r="A13847">
        <v>13</v>
      </c>
      <c r="E13847" t="str">
        <f t="shared" si="453"/>
        <v>N</v>
      </c>
      <c r="F13847" t="str">
        <f t="shared" ref="F13847:F13910" si="454">A13847&amp;C13847&amp;E13847</f>
        <v>13N</v>
      </c>
    </row>
    <row r="13848" spans="1:6" x14ac:dyDescent="0.2">
      <c r="A13848">
        <v>14</v>
      </c>
      <c r="E13848" t="str">
        <f t="shared" si="453"/>
        <v>O</v>
      </c>
      <c r="F13848" t="str">
        <f t="shared" si="454"/>
        <v>14O</v>
      </c>
    </row>
    <row r="13849" spans="1:6" x14ac:dyDescent="0.2">
      <c r="A13849">
        <v>15</v>
      </c>
      <c r="E13849" t="str">
        <f t="shared" si="453"/>
        <v>P</v>
      </c>
      <c r="F13849" t="str">
        <f t="shared" si="454"/>
        <v>15P</v>
      </c>
    </row>
    <row r="13850" spans="1:6" x14ac:dyDescent="0.2">
      <c r="A13850">
        <v>16</v>
      </c>
      <c r="E13850" t="str">
        <f t="shared" si="453"/>
        <v>Q</v>
      </c>
      <c r="F13850" t="str">
        <f t="shared" si="454"/>
        <v>16Q</v>
      </c>
    </row>
    <row r="13851" spans="1:6" x14ac:dyDescent="0.2">
      <c r="A13851">
        <v>17</v>
      </c>
      <c r="E13851" t="str">
        <f t="shared" si="453"/>
        <v>R</v>
      </c>
      <c r="F13851" t="str">
        <f t="shared" si="454"/>
        <v>17R</v>
      </c>
    </row>
    <row r="13852" spans="1:6" x14ac:dyDescent="0.2">
      <c r="A13852">
        <v>18</v>
      </c>
      <c r="E13852" t="str">
        <f t="shared" si="453"/>
        <v>S</v>
      </c>
      <c r="F13852" t="str">
        <f t="shared" si="454"/>
        <v>18S</v>
      </c>
    </row>
    <row r="13853" spans="1:6" x14ac:dyDescent="0.2">
      <c r="A13853">
        <v>19</v>
      </c>
      <c r="E13853" t="str">
        <f t="shared" si="453"/>
        <v>T</v>
      </c>
      <c r="F13853" t="str">
        <f t="shared" si="454"/>
        <v>19T</v>
      </c>
    </row>
    <row r="13854" spans="1:6" x14ac:dyDescent="0.2">
      <c r="A13854">
        <v>20</v>
      </c>
      <c r="E13854" t="str">
        <f t="shared" si="453"/>
        <v>U</v>
      </c>
      <c r="F13854" t="str">
        <f t="shared" si="454"/>
        <v>20U</v>
      </c>
    </row>
    <row r="13855" spans="1:6" x14ac:dyDescent="0.2">
      <c r="A13855">
        <v>21</v>
      </c>
      <c r="E13855" t="str">
        <f t="shared" si="453"/>
        <v>V</v>
      </c>
      <c r="F13855" t="str">
        <f t="shared" si="454"/>
        <v>21V</v>
      </c>
    </row>
    <row r="13856" spans="1:6" x14ac:dyDescent="0.2">
      <c r="A13856">
        <v>22</v>
      </c>
      <c r="E13856" t="str">
        <f t="shared" si="453"/>
        <v>W</v>
      </c>
      <c r="F13856" t="str">
        <f t="shared" si="454"/>
        <v>22W</v>
      </c>
    </row>
    <row r="13857" spans="1:6" x14ac:dyDescent="0.2">
      <c r="A13857">
        <v>23</v>
      </c>
      <c r="E13857" t="str">
        <f t="shared" si="453"/>
        <v>X</v>
      </c>
      <c r="F13857" t="str">
        <f t="shared" si="454"/>
        <v>23X</v>
      </c>
    </row>
    <row r="13858" spans="1:6" x14ac:dyDescent="0.2">
      <c r="A13858">
        <v>24</v>
      </c>
      <c r="E13858" t="str">
        <f t="shared" si="453"/>
        <v>Y</v>
      </c>
      <c r="F13858" t="str">
        <f t="shared" si="454"/>
        <v>24Y</v>
      </c>
    </row>
    <row r="13859" spans="1:6" x14ac:dyDescent="0.2">
      <c r="A13859">
        <v>25</v>
      </c>
      <c r="E13859" t="str">
        <f t="shared" si="453"/>
        <v>Z</v>
      </c>
      <c r="F13859" t="str">
        <f t="shared" si="454"/>
        <v>25Z</v>
      </c>
    </row>
    <row r="13860" spans="1:6" x14ac:dyDescent="0.2">
      <c r="A13860">
        <v>0</v>
      </c>
      <c r="E13860" t="str">
        <f t="shared" si="453"/>
        <v>A</v>
      </c>
      <c r="F13860" t="str">
        <f t="shared" si="454"/>
        <v>0A</v>
      </c>
    </row>
    <row r="13861" spans="1:6" x14ac:dyDescent="0.2">
      <c r="A13861">
        <v>1</v>
      </c>
      <c r="E13861" t="str">
        <f t="shared" si="453"/>
        <v>B</v>
      </c>
      <c r="F13861" t="str">
        <f t="shared" si="454"/>
        <v>1B</v>
      </c>
    </row>
    <row r="13862" spans="1:6" x14ac:dyDescent="0.2">
      <c r="A13862">
        <v>2</v>
      </c>
      <c r="E13862" t="str">
        <f t="shared" si="453"/>
        <v>C</v>
      </c>
      <c r="F13862" t="str">
        <f t="shared" si="454"/>
        <v>2C</v>
      </c>
    </row>
    <row r="13863" spans="1:6" x14ac:dyDescent="0.2">
      <c r="A13863">
        <v>3</v>
      </c>
      <c r="E13863" t="str">
        <f t="shared" si="453"/>
        <v>D</v>
      </c>
      <c r="F13863" t="str">
        <f t="shared" si="454"/>
        <v>3D</v>
      </c>
    </row>
    <row r="13864" spans="1:6" x14ac:dyDescent="0.2">
      <c r="A13864">
        <v>4</v>
      </c>
      <c r="E13864" t="str">
        <f t="shared" si="453"/>
        <v>E</v>
      </c>
      <c r="F13864" t="str">
        <f t="shared" si="454"/>
        <v>4E</v>
      </c>
    </row>
    <row r="13865" spans="1:6" x14ac:dyDescent="0.2">
      <c r="A13865">
        <v>5</v>
      </c>
      <c r="E13865" t="str">
        <f t="shared" si="453"/>
        <v>F</v>
      </c>
      <c r="F13865" t="str">
        <f t="shared" si="454"/>
        <v>5F</v>
      </c>
    </row>
    <row r="13866" spans="1:6" x14ac:dyDescent="0.2">
      <c r="A13866">
        <v>6</v>
      </c>
      <c r="E13866" t="str">
        <f t="shared" si="453"/>
        <v>G</v>
      </c>
      <c r="F13866" t="str">
        <f t="shared" si="454"/>
        <v>6G</v>
      </c>
    </row>
    <row r="13867" spans="1:6" x14ac:dyDescent="0.2">
      <c r="A13867">
        <v>7</v>
      </c>
      <c r="E13867" t="str">
        <f t="shared" si="453"/>
        <v>H</v>
      </c>
      <c r="F13867" t="str">
        <f t="shared" si="454"/>
        <v>7H</v>
      </c>
    </row>
    <row r="13868" spans="1:6" x14ac:dyDescent="0.2">
      <c r="A13868">
        <v>8</v>
      </c>
      <c r="E13868" t="str">
        <f t="shared" si="453"/>
        <v>I</v>
      </c>
      <c r="F13868" t="str">
        <f t="shared" si="454"/>
        <v>8I</v>
      </c>
    </row>
    <row r="13869" spans="1:6" x14ac:dyDescent="0.2">
      <c r="A13869">
        <v>9</v>
      </c>
      <c r="E13869" t="str">
        <f t="shared" si="453"/>
        <v>J</v>
      </c>
      <c r="F13869" t="str">
        <f t="shared" si="454"/>
        <v>9J</v>
      </c>
    </row>
    <row r="13870" spans="1:6" x14ac:dyDescent="0.2">
      <c r="A13870">
        <v>10</v>
      </c>
      <c r="E13870" t="str">
        <f t="shared" si="453"/>
        <v>K</v>
      </c>
      <c r="F13870" t="str">
        <f t="shared" si="454"/>
        <v>10K</v>
      </c>
    </row>
    <row r="13871" spans="1:6" x14ac:dyDescent="0.2">
      <c r="A13871">
        <v>11</v>
      </c>
      <c r="E13871" t="str">
        <f t="shared" si="453"/>
        <v>L</v>
      </c>
      <c r="F13871" t="str">
        <f t="shared" si="454"/>
        <v>11L</v>
      </c>
    </row>
    <row r="13872" spans="1:6" x14ac:dyDescent="0.2">
      <c r="A13872">
        <v>12</v>
      </c>
      <c r="E13872" t="str">
        <f t="shared" si="453"/>
        <v>M</v>
      </c>
      <c r="F13872" t="str">
        <f t="shared" si="454"/>
        <v>12M</v>
      </c>
    </row>
    <row r="13873" spans="1:6" x14ac:dyDescent="0.2">
      <c r="A13873">
        <v>13</v>
      </c>
      <c r="E13873" t="str">
        <f t="shared" si="453"/>
        <v>N</v>
      </c>
      <c r="F13873" t="str">
        <f t="shared" si="454"/>
        <v>13N</v>
      </c>
    </row>
    <row r="13874" spans="1:6" x14ac:dyDescent="0.2">
      <c r="A13874">
        <v>14</v>
      </c>
      <c r="E13874" t="str">
        <f t="shared" si="453"/>
        <v>O</v>
      </c>
      <c r="F13874" t="str">
        <f t="shared" si="454"/>
        <v>14O</v>
      </c>
    </row>
    <row r="13875" spans="1:6" x14ac:dyDescent="0.2">
      <c r="A13875">
        <v>15</v>
      </c>
      <c r="E13875" t="str">
        <f t="shared" si="453"/>
        <v>P</v>
      </c>
      <c r="F13875" t="str">
        <f t="shared" si="454"/>
        <v>15P</v>
      </c>
    </row>
    <row r="13876" spans="1:6" x14ac:dyDescent="0.2">
      <c r="A13876">
        <v>16</v>
      </c>
      <c r="E13876" t="str">
        <f t="shared" si="453"/>
        <v>Q</v>
      </c>
      <c r="F13876" t="str">
        <f t="shared" si="454"/>
        <v>16Q</v>
      </c>
    </row>
    <row r="13877" spans="1:6" x14ac:dyDescent="0.2">
      <c r="A13877">
        <v>17</v>
      </c>
      <c r="E13877" t="str">
        <f t="shared" si="453"/>
        <v>R</v>
      </c>
      <c r="F13877" t="str">
        <f t="shared" si="454"/>
        <v>17R</v>
      </c>
    </row>
    <row r="13878" spans="1:6" x14ac:dyDescent="0.2">
      <c r="A13878">
        <v>18</v>
      </c>
      <c r="E13878" t="str">
        <f t="shared" si="453"/>
        <v>S</v>
      </c>
      <c r="F13878" t="str">
        <f t="shared" si="454"/>
        <v>18S</v>
      </c>
    </row>
    <row r="13879" spans="1:6" x14ac:dyDescent="0.2">
      <c r="A13879">
        <v>19</v>
      </c>
      <c r="E13879" t="str">
        <f t="shared" si="453"/>
        <v>T</v>
      </c>
      <c r="F13879" t="str">
        <f t="shared" si="454"/>
        <v>19T</v>
      </c>
    </row>
    <row r="13880" spans="1:6" x14ac:dyDescent="0.2">
      <c r="A13880">
        <v>20</v>
      </c>
      <c r="E13880" t="str">
        <f t="shared" si="453"/>
        <v>U</v>
      </c>
      <c r="F13880" t="str">
        <f t="shared" si="454"/>
        <v>20U</v>
      </c>
    </row>
    <row r="13881" spans="1:6" x14ac:dyDescent="0.2">
      <c r="A13881">
        <v>21</v>
      </c>
      <c r="E13881" t="str">
        <f t="shared" si="453"/>
        <v>V</v>
      </c>
      <c r="F13881" t="str">
        <f t="shared" si="454"/>
        <v>21V</v>
      </c>
    </row>
    <row r="13882" spans="1:6" x14ac:dyDescent="0.2">
      <c r="A13882">
        <v>22</v>
      </c>
      <c r="E13882" t="str">
        <f t="shared" si="453"/>
        <v>W</v>
      </c>
      <c r="F13882" t="str">
        <f t="shared" si="454"/>
        <v>22W</v>
      </c>
    </row>
    <row r="13883" spans="1:6" x14ac:dyDescent="0.2">
      <c r="A13883">
        <v>23</v>
      </c>
      <c r="E13883" t="str">
        <f t="shared" si="453"/>
        <v>X</v>
      </c>
      <c r="F13883" t="str">
        <f t="shared" si="454"/>
        <v>23X</v>
      </c>
    </row>
    <row r="13884" spans="1:6" x14ac:dyDescent="0.2">
      <c r="A13884">
        <v>24</v>
      </c>
      <c r="E13884" t="str">
        <f t="shared" si="453"/>
        <v>Y</v>
      </c>
      <c r="F13884" t="str">
        <f t="shared" si="454"/>
        <v>24Y</v>
      </c>
    </row>
    <row r="13885" spans="1:6" x14ac:dyDescent="0.2">
      <c r="A13885">
        <v>25</v>
      </c>
      <c r="E13885" t="str">
        <f t="shared" si="453"/>
        <v>Z</v>
      </c>
      <c r="F13885" t="str">
        <f t="shared" si="454"/>
        <v>25Z</v>
      </c>
    </row>
    <row r="13886" spans="1:6" x14ac:dyDescent="0.2">
      <c r="A13886">
        <v>0</v>
      </c>
      <c r="E13886" t="str">
        <f t="shared" si="453"/>
        <v>A</v>
      </c>
      <c r="F13886" t="str">
        <f t="shared" si="454"/>
        <v>0A</v>
      </c>
    </row>
    <row r="13887" spans="1:6" x14ac:dyDescent="0.2">
      <c r="A13887">
        <v>1</v>
      </c>
      <c r="E13887" t="str">
        <f t="shared" si="453"/>
        <v>B</v>
      </c>
      <c r="F13887" t="str">
        <f t="shared" si="454"/>
        <v>1B</v>
      </c>
    </row>
    <row r="13888" spans="1:6" x14ac:dyDescent="0.2">
      <c r="A13888">
        <v>2</v>
      </c>
      <c r="E13888" t="str">
        <f t="shared" si="453"/>
        <v>C</v>
      </c>
      <c r="F13888" t="str">
        <f t="shared" si="454"/>
        <v>2C</v>
      </c>
    </row>
    <row r="13889" spans="1:6" x14ac:dyDescent="0.2">
      <c r="A13889">
        <v>3</v>
      </c>
      <c r="E13889" t="str">
        <f t="shared" si="453"/>
        <v>D</v>
      </c>
      <c r="F13889" t="str">
        <f t="shared" si="454"/>
        <v>3D</v>
      </c>
    </row>
    <row r="13890" spans="1:6" x14ac:dyDescent="0.2">
      <c r="A13890">
        <v>4</v>
      </c>
      <c r="E13890" t="str">
        <f t="shared" si="453"/>
        <v>E</v>
      </c>
      <c r="F13890" t="str">
        <f t="shared" si="454"/>
        <v>4E</v>
      </c>
    </row>
    <row r="13891" spans="1:6" x14ac:dyDescent="0.2">
      <c r="A13891">
        <v>5</v>
      </c>
      <c r="E13891" t="str">
        <f t="shared" si="453"/>
        <v>F</v>
      </c>
      <c r="F13891" t="str">
        <f t="shared" si="454"/>
        <v>5F</v>
      </c>
    </row>
    <row r="13892" spans="1:6" x14ac:dyDescent="0.2">
      <c r="A13892">
        <v>6</v>
      </c>
      <c r="E13892" t="str">
        <f t="shared" si="453"/>
        <v>G</v>
      </c>
      <c r="F13892" t="str">
        <f t="shared" si="454"/>
        <v>6G</v>
      </c>
    </row>
    <row r="13893" spans="1:6" x14ac:dyDescent="0.2">
      <c r="A13893">
        <v>7</v>
      </c>
      <c r="E13893" t="str">
        <f t="shared" si="453"/>
        <v>H</v>
      </c>
      <c r="F13893" t="str">
        <f t="shared" si="454"/>
        <v>7H</v>
      </c>
    </row>
    <row r="13894" spans="1:6" x14ac:dyDescent="0.2">
      <c r="A13894">
        <v>8</v>
      </c>
      <c r="E13894" t="str">
        <f t="shared" si="453"/>
        <v>I</v>
      </c>
      <c r="F13894" t="str">
        <f t="shared" si="454"/>
        <v>8I</v>
      </c>
    </row>
    <row r="13895" spans="1:6" x14ac:dyDescent="0.2">
      <c r="A13895">
        <v>9</v>
      </c>
      <c r="E13895" t="str">
        <f t="shared" si="453"/>
        <v>J</v>
      </c>
      <c r="F13895" t="str">
        <f t="shared" si="454"/>
        <v>9J</v>
      </c>
    </row>
    <row r="13896" spans="1:6" x14ac:dyDescent="0.2">
      <c r="A13896">
        <v>10</v>
      </c>
      <c r="E13896" t="str">
        <f t="shared" si="453"/>
        <v>K</v>
      </c>
      <c r="F13896" t="str">
        <f t="shared" si="454"/>
        <v>10K</v>
      </c>
    </row>
    <row r="13897" spans="1:6" x14ac:dyDescent="0.2">
      <c r="A13897">
        <v>11</v>
      </c>
      <c r="E13897" t="str">
        <f t="shared" si="453"/>
        <v>L</v>
      </c>
      <c r="F13897" t="str">
        <f t="shared" si="454"/>
        <v>11L</v>
      </c>
    </row>
    <row r="13898" spans="1:6" x14ac:dyDescent="0.2">
      <c r="A13898">
        <v>12</v>
      </c>
      <c r="E13898" t="str">
        <f t="shared" si="453"/>
        <v>M</v>
      </c>
      <c r="F13898" t="str">
        <f t="shared" si="454"/>
        <v>12M</v>
      </c>
    </row>
    <row r="13899" spans="1:6" x14ac:dyDescent="0.2">
      <c r="A13899">
        <v>13</v>
      </c>
      <c r="E13899" t="str">
        <f t="shared" si="453"/>
        <v>N</v>
      </c>
      <c r="F13899" t="str">
        <f t="shared" si="454"/>
        <v>13N</v>
      </c>
    </row>
    <row r="13900" spans="1:6" x14ac:dyDescent="0.2">
      <c r="A13900">
        <v>14</v>
      </c>
      <c r="E13900" t="str">
        <f t="shared" si="453"/>
        <v>O</v>
      </c>
      <c r="F13900" t="str">
        <f t="shared" si="454"/>
        <v>14O</v>
      </c>
    </row>
    <row r="13901" spans="1:6" x14ac:dyDescent="0.2">
      <c r="A13901">
        <v>15</v>
      </c>
      <c r="E13901" t="str">
        <f t="shared" si="453"/>
        <v>P</v>
      </c>
      <c r="F13901" t="str">
        <f t="shared" si="454"/>
        <v>15P</v>
      </c>
    </row>
    <row r="13902" spans="1:6" x14ac:dyDescent="0.2">
      <c r="A13902">
        <v>16</v>
      </c>
      <c r="E13902" t="str">
        <f t="shared" si="453"/>
        <v>Q</v>
      </c>
      <c r="F13902" t="str">
        <f t="shared" si="454"/>
        <v>16Q</v>
      </c>
    </row>
    <row r="13903" spans="1:6" x14ac:dyDescent="0.2">
      <c r="A13903">
        <v>17</v>
      </c>
      <c r="E13903" t="str">
        <f t="shared" si="453"/>
        <v>R</v>
      </c>
      <c r="F13903" t="str">
        <f t="shared" si="454"/>
        <v>17R</v>
      </c>
    </row>
    <row r="13904" spans="1:6" x14ac:dyDescent="0.2">
      <c r="A13904">
        <v>18</v>
      </c>
      <c r="E13904" t="str">
        <f t="shared" si="453"/>
        <v>S</v>
      </c>
      <c r="F13904" t="str">
        <f t="shared" si="454"/>
        <v>18S</v>
      </c>
    </row>
    <row r="13905" spans="1:6" x14ac:dyDescent="0.2">
      <c r="A13905">
        <v>19</v>
      </c>
      <c r="E13905" t="str">
        <f t="shared" si="453"/>
        <v>T</v>
      </c>
      <c r="F13905" t="str">
        <f t="shared" si="454"/>
        <v>19T</v>
      </c>
    </row>
    <row r="13906" spans="1:6" x14ac:dyDescent="0.2">
      <c r="A13906">
        <v>20</v>
      </c>
      <c r="E13906" t="str">
        <f t="shared" si="453"/>
        <v>U</v>
      </c>
      <c r="F13906" t="str">
        <f t="shared" si="454"/>
        <v>20U</v>
      </c>
    </row>
    <row r="13907" spans="1:6" x14ac:dyDescent="0.2">
      <c r="A13907">
        <v>21</v>
      </c>
      <c r="E13907" t="str">
        <f t="shared" si="453"/>
        <v>V</v>
      </c>
      <c r="F13907" t="str">
        <f t="shared" si="454"/>
        <v>21V</v>
      </c>
    </row>
    <row r="13908" spans="1:6" x14ac:dyDescent="0.2">
      <c r="A13908">
        <v>22</v>
      </c>
      <c r="E13908" t="str">
        <f t="shared" si="453"/>
        <v>W</v>
      </c>
      <c r="F13908" t="str">
        <f t="shared" si="454"/>
        <v>22W</v>
      </c>
    </row>
    <row r="13909" spans="1:6" x14ac:dyDescent="0.2">
      <c r="A13909">
        <v>23</v>
      </c>
      <c r="E13909" t="str">
        <f t="shared" ref="E13909:E13972" si="455">E13883</f>
        <v>X</v>
      </c>
      <c r="F13909" t="str">
        <f t="shared" si="454"/>
        <v>23X</v>
      </c>
    </row>
    <row r="13910" spans="1:6" x14ac:dyDescent="0.2">
      <c r="A13910">
        <v>24</v>
      </c>
      <c r="E13910" t="str">
        <f t="shared" si="455"/>
        <v>Y</v>
      </c>
      <c r="F13910" t="str">
        <f t="shared" si="454"/>
        <v>24Y</v>
      </c>
    </row>
    <row r="13911" spans="1:6" x14ac:dyDescent="0.2">
      <c r="A13911">
        <v>25</v>
      </c>
      <c r="E13911" t="str">
        <f t="shared" si="455"/>
        <v>Z</v>
      </c>
      <c r="F13911" t="str">
        <f t="shared" ref="F13911:F13974" si="456">A13911&amp;C13911&amp;E13911</f>
        <v>25Z</v>
      </c>
    </row>
    <row r="13912" spans="1:6" x14ac:dyDescent="0.2">
      <c r="A13912">
        <v>0</v>
      </c>
      <c r="E13912" t="str">
        <f t="shared" si="455"/>
        <v>A</v>
      </c>
      <c r="F13912" t="str">
        <f t="shared" si="456"/>
        <v>0A</v>
      </c>
    </row>
    <row r="13913" spans="1:6" x14ac:dyDescent="0.2">
      <c r="A13913">
        <v>1</v>
      </c>
      <c r="E13913" t="str">
        <f t="shared" si="455"/>
        <v>B</v>
      </c>
      <c r="F13913" t="str">
        <f t="shared" si="456"/>
        <v>1B</v>
      </c>
    </row>
    <row r="13914" spans="1:6" x14ac:dyDescent="0.2">
      <c r="A13914">
        <v>2</v>
      </c>
      <c r="E13914" t="str">
        <f t="shared" si="455"/>
        <v>C</v>
      </c>
      <c r="F13914" t="str">
        <f t="shared" si="456"/>
        <v>2C</v>
      </c>
    </row>
    <row r="13915" spans="1:6" x14ac:dyDescent="0.2">
      <c r="A13915">
        <v>3</v>
      </c>
      <c r="E13915" t="str">
        <f t="shared" si="455"/>
        <v>D</v>
      </c>
      <c r="F13915" t="str">
        <f t="shared" si="456"/>
        <v>3D</v>
      </c>
    </row>
    <row r="13916" spans="1:6" x14ac:dyDescent="0.2">
      <c r="A13916">
        <v>4</v>
      </c>
      <c r="E13916" t="str">
        <f t="shared" si="455"/>
        <v>E</v>
      </c>
      <c r="F13916" t="str">
        <f t="shared" si="456"/>
        <v>4E</v>
      </c>
    </row>
    <row r="13917" spans="1:6" x14ac:dyDescent="0.2">
      <c r="A13917">
        <v>5</v>
      </c>
      <c r="E13917" t="str">
        <f t="shared" si="455"/>
        <v>F</v>
      </c>
      <c r="F13917" t="str">
        <f t="shared" si="456"/>
        <v>5F</v>
      </c>
    </row>
    <row r="13918" spans="1:6" x14ac:dyDescent="0.2">
      <c r="A13918">
        <v>6</v>
      </c>
      <c r="E13918" t="str">
        <f t="shared" si="455"/>
        <v>G</v>
      </c>
      <c r="F13918" t="str">
        <f t="shared" si="456"/>
        <v>6G</v>
      </c>
    </row>
    <row r="13919" spans="1:6" x14ac:dyDescent="0.2">
      <c r="A13919">
        <v>7</v>
      </c>
      <c r="E13919" t="str">
        <f t="shared" si="455"/>
        <v>H</v>
      </c>
      <c r="F13919" t="str">
        <f t="shared" si="456"/>
        <v>7H</v>
      </c>
    </row>
    <row r="13920" spans="1:6" x14ac:dyDescent="0.2">
      <c r="A13920">
        <v>8</v>
      </c>
      <c r="E13920" t="str">
        <f t="shared" si="455"/>
        <v>I</v>
      </c>
      <c r="F13920" t="str">
        <f t="shared" si="456"/>
        <v>8I</v>
      </c>
    </row>
    <row r="13921" spans="1:6" x14ac:dyDescent="0.2">
      <c r="A13921">
        <v>9</v>
      </c>
      <c r="E13921" t="str">
        <f t="shared" si="455"/>
        <v>J</v>
      </c>
      <c r="F13921" t="str">
        <f t="shared" si="456"/>
        <v>9J</v>
      </c>
    </row>
    <row r="13922" spans="1:6" x14ac:dyDescent="0.2">
      <c r="A13922">
        <v>10</v>
      </c>
      <c r="E13922" t="str">
        <f t="shared" si="455"/>
        <v>K</v>
      </c>
      <c r="F13922" t="str">
        <f t="shared" si="456"/>
        <v>10K</v>
      </c>
    </row>
    <row r="13923" spans="1:6" x14ac:dyDescent="0.2">
      <c r="A13923">
        <v>11</v>
      </c>
      <c r="E13923" t="str">
        <f t="shared" si="455"/>
        <v>L</v>
      </c>
      <c r="F13923" t="str">
        <f t="shared" si="456"/>
        <v>11L</v>
      </c>
    </row>
    <row r="13924" spans="1:6" x14ac:dyDescent="0.2">
      <c r="A13924">
        <v>12</v>
      </c>
      <c r="E13924" t="str">
        <f t="shared" si="455"/>
        <v>M</v>
      </c>
      <c r="F13924" t="str">
        <f t="shared" si="456"/>
        <v>12M</v>
      </c>
    </row>
    <row r="13925" spans="1:6" x14ac:dyDescent="0.2">
      <c r="A13925">
        <v>13</v>
      </c>
      <c r="E13925" t="str">
        <f t="shared" si="455"/>
        <v>N</v>
      </c>
      <c r="F13925" t="str">
        <f t="shared" si="456"/>
        <v>13N</v>
      </c>
    </row>
    <row r="13926" spans="1:6" x14ac:dyDescent="0.2">
      <c r="A13926">
        <v>14</v>
      </c>
      <c r="E13926" t="str">
        <f t="shared" si="455"/>
        <v>O</v>
      </c>
      <c r="F13926" t="str">
        <f t="shared" si="456"/>
        <v>14O</v>
      </c>
    </row>
    <row r="13927" spans="1:6" x14ac:dyDescent="0.2">
      <c r="A13927">
        <v>15</v>
      </c>
      <c r="E13927" t="str">
        <f t="shared" si="455"/>
        <v>P</v>
      </c>
      <c r="F13927" t="str">
        <f t="shared" si="456"/>
        <v>15P</v>
      </c>
    </row>
    <row r="13928" spans="1:6" x14ac:dyDescent="0.2">
      <c r="A13928">
        <v>16</v>
      </c>
      <c r="E13928" t="str">
        <f t="shared" si="455"/>
        <v>Q</v>
      </c>
      <c r="F13928" t="str">
        <f t="shared" si="456"/>
        <v>16Q</v>
      </c>
    </row>
    <row r="13929" spans="1:6" x14ac:dyDescent="0.2">
      <c r="A13929">
        <v>17</v>
      </c>
      <c r="E13929" t="str">
        <f t="shared" si="455"/>
        <v>R</v>
      </c>
      <c r="F13929" t="str">
        <f t="shared" si="456"/>
        <v>17R</v>
      </c>
    </row>
    <row r="13930" spans="1:6" x14ac:dyDescent="0.2">
      <c r="A13930">
        <v>18</v>
      </c>
      <c r="E13930" t="str">
        <f t="shared" si="455"/>
        <v>S</v>
      </c>
      <c r="F13930" t="str">
        <f t="shared" si="456"/>
        <v>18S</v>
      </c>
    </row>
    <row r="13931" spans="1:6" x14ac:dyDescent="0.2">
      <c r="A13931">
        <v>19</v>
      </c>
      <c r="E13931" t="str">
        <f t="shared" si="455"/>
        <v>T</v>
      </c>
      <c r="F13931" t="str">
        <f t="shared" si="456"/>
        <v>19T</v>
      </c>
    </row>
    <row r="13932" spans="1:6" x14ac:dyDescent="0.2">
      <c r="A13932">
        <v>20</v>
      </c>
      <c r="E13932" t="str">
        <f t="shared" si="455"/>
        <v>U</v>
      </c>
      <c r="F13932" t="str">
        <f t="shared" si="456"/>
        <v>20U</v>
      </c>
    </row>
    <row r="13933" spans="1:6" x14ac:dyDescent="0.2">
      <c r="A13933">
        <v>21</v>
      </c>
      <c r="E13933" t="str">
        <f t="shared" si="455"/>
        <v>V</v>
      </c>
      <c r="F13933" t="str">
        <f t="shared" si="456"/>
        <v>21V</v>
      </c>
    </row>
    <row r="13934" spans="1:6" x14ac:dyDescent="0.2">
      <c r="A13934">
        <v>22</v>
      </c>
      <c r="E13934" t="str">
        <f t="shared" si="455"/>
        <v>W</v>
      </c>
      <c r="F13934" t="str">
        <f t="shared" si="456"/>
        <v>22W</v>
      </c>
    </row>
    <row r="13935" spans="1:6" x14ac:dyDescent="0.2">
      <c r="A13935">
        <v>23</v>
      </c>
      <c r="E13935" t="str">
        <f t="shared" si="455"/>
        <v>X</v>
      </c>
      <c r="F13935" t="str">
        <f t="shared" si="456"/>
        <v>23X</v>
      </c>
    </row>
    <row r="13936" spans="1:6" x14ac:dyDescent="0.2">
      <c r="A13936">
        <v>24</v>
      </c>
      <c r="E13936" t="str">
        <f t="shared" si="455"/>
        <v>Y</v>
      </c>
      <c r="F13936" t="str">
        <f t="shared" si="456"/>
        <v>24Y</v>
      </c>
    </row>
    <row r="13937" spans="1:6" x14ac:dyDescent="0.2">
      <c r="A13937">
        <v>25</v>
      </c>
      <c r="E13937" t="str">
        <f t="shared" si="455"/>
        <v>Z</v>
      </c>
      <c r="F13937" t="str">
        <f t="shared" si="456"/>
        <v>25Z</v>
      </c>
    </row>
    <row r="13938" spans="1:6" x14ac:dyDescent="0.2">
      <c r="A13938">
        <v>0</v>
      </c>
      <c r="E13938" t="str">
        <f t="shared" si="455"/>
        <v>A</v>
      </c>
      <c r="F13938" t="str">
        <f t="shared" si="456"/>
        <v>0A</v>
      </c>
    </row>
    <row r="13939" spans="1:6" x14ac:dyDescent="0.2">
      <c r="A13939">
        <v>1</v>
      </c>
      <c r="E13939" t="str">
        <f t="shared" si="455"/>
        <v>B</v>
      </c>
      <c r="F13939" t="str">
        <f t="shared" si="456"/>
        <v>1B</v>
      </c>
    </row>
    <row r="13940" spans="1:6" x14ac:dyDescent="0.2">
      <c r="A13940">
        <v>2</v>
      </c>
      <c r="E13940" t="str">
        <f t="shared" si="455"/>
        <v>C</v>
      </c>
      <c r="F13940" t="str">
        <f t="shared" si="456"/>
        <v>2C</v>
      </c>
    </row>
    <row r="13941" spans="1:6" x14ac:dyDescent="0.2">
      <c r="A13941">
        <v>3</v>
      </c>
      <c r="E13941" t="str">
        <f t="shared" si="455"/>
        <v>D</v>
      </c>
      <c r="F13941" t="str">
        <f t="shared" si="456"/>
        <v>3D</v>
      </c>
    </row>
    <row r="13942" spans="1:6" x14ac:dyDescent="0.2">
      <c r="A13942">
        <v>4</v>
      </c>
      <c r="E13942" t="str">
        <f t="shared" si="455"/>
        <v>E</v>
      </c>
      <c r="F13942" t="str">
        <f t="shared" si="456"/>
        <v>4E</v>
      </c>
    </row>
    <row r="13943" spans="1:6" x14ac:dyDescent="0.2">
      <c r="A13943">
        <v>5</v>
      </c>
      <c r="E13943" t="str">
        <f t="shared" si="455"/>
        <v>F</v>
      </c>
      <c r="F13943" t="str">
        <f t="shared" si="456"/>
        <v>5F</v>
      </c>
    </row>
    <row r="13944" spans="1:6" x14ac:dyDescent="0.2">
      <c r="A13944">
        <v>6</v>
      </c>
      <c r="E13944" t="str">
        <f t="shared" si="455"/>
        <v>G</v>
      </c>
      <c r="F13944" t="str">
        <f t="shared" si="456"/>
        <v>6G</v>
      </c>
    </row>
    <row r="13945" spans="1:6" x14ac:dyDescent="0.2">
      <c r="A13945">
        <v>7</v>
      </c>
      <c r="E13945" t="str">
        <f t="shared" si="455"/>
        <v>H</v>
      </c>
      <c r="F13945" t="str">
        <f t="shared" si="456"/>
        <v>7H</v>
      </c>
    </row>
    <row r="13946" spans="1:6" x14ac:dyDescent="0.2">
      <c r="A13946">
        <v>8</v>
      </c>
      <c r="E13946" t="str">
        <f t="shared" si="455"/>
        <v>I</v>
      </c>
      <c r="F13946" t="str">
        <f t="shared" si="456"/>
        <v>8I</v>
      </c>
    </row>
    <row r="13947" spans="1:6" x14ac:dyDescent="0.2">
      <c r="A13947">
        <v>9</v>
      </c>
      <c r="E13947" t="str">
        <f t="shared" si="455"/>
        <v>J</v>
      </c>
      <c r="F13947" t="str">
        <f t="shared" si="456"/>
        <v>9J</v>
      </c>
    </row>
    <row r="13948" spans="1:6" x14ac:dyDescent="0.2">
      <c r="A13948">
        <v>10</v>
      </c>
      <c r="E13948" t="str">
        <f t="shared" si="455"/>
        <v>K</v>
      </c>
      <c r="F13948" t="str">
        <f t="shared" si="456"/>
        <v>10K</v>
      </c>
    </row>
    <row r="13949" spans="1:6" x14ac:dyDescent="0.2">
      <c r="A13949">
        <v>11</v>
      </c>
      <c r="E13949" t="str">
        <f t="shared" si="455"/>
        <v>L</v>
      </c>
      <c r="F13949" t="str">
        <f t="shared" si="456"/>
        <v>11L</v>
      </c>
    </row>
    <row r="13950" spans="1:6" x14ac:dyDescent="0.2">
      <c r="A13950">
        <v>12</v>
      </c>
      <c r="E13950" t="str">
        <f t="shared" si="455"/>
        <v>M</v>
      </c>
      <c r="F13950" t="str">
        <f t="shared" si="456"/>
        <v>12M</v>
      </c>
    </row>
    <row r="13951" spans="1:6" x14ac:dyDescent="0.2">
      <c r="A13951">
        <v>13</v>
      </c>
      <c r="E13951" t="str">
        <f t="shared" si="455"/>
        <v>N</v>
      </c>
      <c r="F13951" t="str">
        <f t="shared" si="456"/>
        <v>13N</v>
      </c>
    </row>
    <row r="13952" spans="1:6" x14ac:dyDescent="0.2">
      <c r="A13952">
        <v>14</v>
      </c>
      <c r="E13952" t="str">
        <f t="shared" si="455"/>
        <v>O</v>
      </c>
      <c r="F13952" t="str">
        <f t="shared" si="456"/>
        <v>14O</v>
      </c>
    </row>
    <row r="13953" spans="1:6" x14ac:dyDescent="0.2">
      <c r="A13953">
        <v>15</v>
      </c>
      <c r="E13953" t="str">
        <f t="shared" si="455"/>
        <v>P</v>
      </c>
      <c r="F13953" t="str">
        <f t="shared" si="456"/>
        <v>15P</v>
      </c>
    </row>
    <row r="13954" spans="1:6" x14ac:dyDescent="0.2">
      <c r="A13954">
        <v>16</v>
      </c>
      <c r="E13954" t="str">
        <f t="shared" si="455"/>
        <v>Q</v>
      </c>
      <c r="F13954" t="str">
        <f t="shared" si="456"/>
        <v>16Q</v>
      </c>
    </row>
    <row r="13955" spans="1:6" x14ac:dyDescent="0.2">
      <c r="A13955">
        <v>17</v>
      </c>
      <c r="E13955" t="str">
        <f t="shared" si="455"/>
        <v>R</v>
      </c>
      <c r="F13955" t="str">
        <f t="shared" si="456"/>
        <v>17R</v>
      </c>
    </row>
    <row r="13956" spans="1:6" x14ac:dyDescent="0.2">
      <c r="A13956">
        <v>18</v>
      </c>
      <c r="E13956" t="str">
        <f t="shared" si="455"/>
        <v>S</v>
      </c>
      <c r="F13956" t="str">
        <f t="shared" si="456"/>
        <v>18S</v>
      </c>
    </row>
    <row r="13957" spans="1:6" x14ac:dyDescent="0.2">
      <c r="A13957">
        <v>19</v>
      </c>
      <c r="E13957" t="str">
        <f t="shared" si="455"/>
        <v>T</v>
      </c>
      <c r="F13957" t="str">
        <f t="shared" si="456"/>
        <v>19T</v>
      </c>
    </row>
    <row r="13958" spans="1:6" x14ac:dyDescent="0.2">
      <c r="A13958">
        <v>20</v>
      </c>
      <c r="E13958" t="str">
        <f t="shared" si="455"/>
        <v>U</v>
      </c>
      <c r="F13958" t="str">
        <f t="shared" si="456"/>
        <v>20U</v>
      </c>
    </row>
    <row r="13959" spans="1:6" x14ac:dyDescent="0.2">
      <c r="A13959">
        <v>21</v>
      </c>
      <c r="E13959" t="str">
        <f t="shared" si="455"/>
        <v>V</v>
      </c>
      <c r="F13959" t="str">
        <f t="shared" si="456"/>
        <v>21V</v>
      </c>
    </row>
    <row r="13960" spans="1:6" x14ac:dyDescent="0.2">
      <c r="A13960">
        <v>22</v>
      </c>
      <c r="E13960" t="str">
        <f t="shared" si="455"/>
        <v>W</v>
      </c>
      <c r="F13960" t="str">
        <f t="shared" si="456"/>
        <v>22W</v>
      </c>
    </row>
    <row r="13961" spans="1:6" x14ac:dyDescent="0.2">
      <c r="A13961">
        <v>23</v>
      </c>
      <c r="E13961" t="str">
        <f t="shared" si="455"/>
        <v>X</v>
      </c>
      <c r="F13961" t="str">
        <f t="shared" si="456"/>
        <v>23X</v>
      </c>
    </row>
    <row r="13962" spans="1:6" x14ac:dyDescent="0.2">
      <c r="A13962">
        <v>24</v>
      </c>
      <c r="E13962" t="str">
        <f t="shared" si="455"/>
        <v>Y</v>
      </c>
      <c r="F13962" t="str">
        <f t="shared" si="456"/>
        <v>24Y</v>
      </c>
    </row>
    <row r="13963" spans="1:6" x14ac:dyDescent="0.2">
      <c r="A13963">
        <v>25</v>
      </c>
      <c r="E13963" t="str">
        <f t="shared" si="455"/>
        <v>Z</v>
      </c>
      <c r="F13963" t="str">
        <f t="shared" si="456"/>
        <v>25Z</v>
      </c>
    </row>
    <row r="13964" spans="1:6" x14ac:dyDescent="0.2">
      <c r="A13964">
        <v>0</v>
      </c>
      <c r="E13964" t="str">
        <f t="shared" si="455"/>
        <v>A</v>
      </c>
      <c r="F13964" t="str">
        <f t="shared" si="456"/>
        <v>0A</v>
      </c>
    </row>
    <row r="13965" spans="1:6" x14ac:dyDescent="0.2">
      <c r="A13965">
        <v>1</v>
      </c>
      <c r="E13965" t="str">
        <f t="shared" si="455"/>
        <v>B</v>
      </c>
      <c r="F13965" t="str">
        <f t="shared" si="456"/>
        <v>1B</v>
      </c>
    </row>
    <row r="13966" spans="1:6" x14ac:dyDescent="0.2">
      <c r="A13966">
        <v>2</v>
      </c>
      <c r="E13966" t="str">
        <f t="shared" si="455"/>
        <v>C</v>
      </c>
      <c r="F13966" t="str">
        <f t="shared" si="456"/>
        <v>2C</v>
      </c>
    </row>
    <row r="13967" spans="1:6" x14ac:dyDescent="0.2">
      <c r="A13967">
        <v>3</v>
      </c>
      <c r="E13967" t="str">
        <f t="shared" si="455"/>
        <v>D</v>
      </c>
      <c r="F13967" t="str">
        <f t="shared" si="456"/>
        <v>3D</v>
      </c>
    </row>
    <row r="13968" spans="1:6" x14ac:dyDescent="0.2">
      <c r="A13968">
        <v>4</v>
      </c>
      <c r="E13968" t="str">
        <f t="shared" si="455"/>
        <v>E</v>
      </c>
      <c r="F13968" t="str">
        <f t="shared" si="456"/>
        <v>4E</v>
      </c>
    </row>
    <row r="13969" spans="1:6" x14ac:dyDescent="0.2">
      <c r="A13969">
        <v>5</v>
      </c>
      <c r="E13969" t="str">
        <f t="shared" si="455"/>
        <v>F</v>
      </c>
      <c r="F13969" t="str">
        <f t="shared" si="456"/>
        <v>5F</v>
      </c>
    </row>
    <row r="13970" spans="1:6" x14ac:dyDescent="0.2">
      <c r="A13970">
        <v>6</v>
      </c>
      <c r="E13970" t="str">
        <f t="shared" si="455"/>
        <v>G</v>
      </c>
      <c r="F13970" t="str">
        <f t="shared" si="456"/>
        <v>6G</v>
      </c>
    </row>
    <row r="13971" spans="1:6" x14ac:dyDescent="0.2">
      <c r="A13971">
        <v>7</v>
      </c>
      <c r="E13971" t="str">
        <f t="shared" si="455"/>
        <v>H</v>
      </c>
      <c r="F13971" t="str">
        <f t="shared" si="456"/>
        <v>7H</v>
      </c>
    </row>
    <row r="13972" spans="1:6" x14ac:dyDescent="0.2">
      <c r="A13972">
        <v>8</v>
      </c>
      <c r="E13972" t="str">
        <f t="shared" si="455"/>
        <v>I</v>
      </c>
      <c r="F13972" t="str">
        <f t="shared" si="456"/>
        <v>8I</v>
      </c>
    </row>
    <row r="13973" spans="1:6" x14ac:dyDescent="0.2">
      <c r="A13973">
        <v>9</v>
      </c>
      <c r="E13973" t="str">
        <f t="shared" ref="E13973:E14036" si="457">E13947</f>
        <v>J</v>
      </c>
      <c r="F13973" t="str">
        <f t="shared" si="456"/>
        <v>9J</v>
      </c>
    </row>
    <row r="13974" spans="1:6" x14ac:dyDescent="0.2">
      <c r="A13974">
        <v>10</v>
      </c>
      <c r="E13974" t="str">
        <f t="shared" si="457"/>
        <v>K</v>
      </c>
      <c r="F13974" t="str">
        <f t="shared" si="456"/>
        <v>10K</v>
      </c>
    </row>
    <row r="13975" spans="1:6" x14ac:dyDescent="0.2">
      <c r="A13975">
        <v>11</v>
      </c>
      <c r="E13975" t="str">
        <f t="shared" si="457"/>
        <v>L</v>
      </c>
      <c r="F13975" t="str">
        <f t="shared" ref="F13975:F14038" si="458">A13975&amp;C13975&amp;E13975</f>
        <v>11L</v>
      </c>
    </row>
    <row r="13976" spans="1:6" x14ac:dyDescent="0.2">
      <c r="A13976">
        <v>12</v>
      </c>
      <c r="E13976" t="str">
        <f t="shared" si="457"/>
        <v>M</v>
      </c>
      <c r="F13976" t="str">
        <f t="shared" si="458"/>
        <v>12M</v>
      </c>
    </row>
    <row r="13977" spans="1:6" x14ac:dyDescent="0.2">
      <c r="A13977">
        <v>13</v>
      </c>
      <c r="E13977" t="str">
        <f t="shared" si="457"/>
        <v>N</v>
      </c>
      <c r="F13977" t="str">
        <f t="shared" si="458"/>
        <v>13N</v>
      </c>
    </row>
    <row r="13978" spans="1:6" x14ac:dyDescent="0.2">
      <c r="A13978">
        <v>14</v>
      </c>
      <c r="E13978" t="str">
        <f t="shared" si="457"/>
        <v>O</v>
      </c>
      <c r="F13978" t="str">
        <f t="shared" si="458"/>
        <v>14O</v>
      </c>
    </row>
    <row r="13979" spans="1:6" x14ac:dyDescent="0.2">
      <c r="A13979">
        <v>15</v>
      </c>
      <c r="E13979" t="str">
        <f t="shared" si="457"/>
        <v>P</v>
      </c>
      <c r="F13979" t="str">
        <f t="shared" si="458"/>
        <v>15P</v>
      </c>
    </row>
    <row r="13980" spans="1:6" x14ac:dyDescent="0.2">
      <c r="A13980">
        <v>16</v>
      </c>
      <c r="E13980" t="str">
        <f t="shared" si="457"/>
        <v>Q</v>
      </c>
      <c r="F13980" t="str">
        <f t="shared" si="458"/>
        <v>16Q</v>
      </c>
    </row>
    <row r="13981" spans="1:6" x14ac:dyDescent="0.2">
      <c r="A13981">
        <v>17</v>
      </c>
      <c r="E13981" t="str">
        <f t="shared" si="457"/>
        <v>R</v>
      </c>
      <c r="F13981" t="str">
        <f t="shared" si="458"/>
        <v>17R</v>
      </c>
    </row>
    <row r="13982" spans="1:6" x14ac:dyDescent="0.2">
      <c r="A13982">
        <v>18</v>
      </c>
      <c r="E13982" t="str">
        <f t="shared" si="457"/>
        <v>S</v>
      </c>
      <c r="F13982" t="str">
        <f t="shared" si="458"/>
        <v>18S</v>
      </c>
    </row>
    <row r="13983" spans="1:6" x14ac:dyDescent="0.2">
      <c r="A13983">
        <v>19</v>
      </c>
      <c r="E13983" t="str">
        <f t="shared" si="457"/>
        <v>T</v>
      </c>
      <c r="F13983" t="str">
        <f t="shared" si="458"/>
        <v>19T</v>
      </c>
    </row>
    <row r="13984" spans="1:6" x14ac:dyDescent="0.2">
      <c r="A13984">
        <v>20</v>
      </c>
      <c r="E13984" t="str">
        <f t="shared" si="457"/>
        <v>U</v>
      </c>
      <c r="F13984" t="str">
        <f t="shared" si="458"/>
        <v>20U</v>
      </c>
    </row>
    <row r="13985" spans="1:6" x14ac:dyDescent="0.2">
      <c r="A13985">
        <v>21</v>
      </c>
      <c r="E13985" t="str">
        <f t="shared" si="457"/>
        <v>V</v>
      </c>
      <c r="F13985" t="str">
        <f t="shared" si="458"/>
        <v>21V</v>
      </c>
    </row>
    <row r="13986" spans="1:6" x14ac:dyDescent="0.2">
      <c r="A13986">
        <v>22</v>
      </c>
      <c r="E13986" t="str">
        <f t="shared" si="457"/>
        <v>W</v>
      </c>
      <c r="F13986" t="str">
        <f t="shared" si="458"/>
        <v>22W</v>
      </c>
    </row>
    <row r="13987" spans="1:6" x14ac:dyDescent="0.2">
      <c r="A13987">
        <v>23</v>
      </c>
      <c r="E13987" t="str">
        <f t="shared" si="457"/>
        <v>X</v>
      </c>
      <c r="F13987" t="str">
        <f t="shared" si="458"/>
        <v>23X</v>
      </c>
    </row>
    <row r="13988" spans="1:6" x14ac:dyDescent="0.2">
      <c r="A13988">
        <v>24</v>
      </c>
      <c r="E13988" t="str">
        <f t="shared" si="457"/>
        <v>Y</v>
      </c>
      <c r="F13988" t="str">
        <f t="shared" si="458"/>
        <v>24Y</v>
      </c>
    </row>
    <row r="13989" spans="1:6" x14ac:dyDescent="0.2">
      <c r="A13989">
        <v>25</v>
      </c>
      <c r="E13989" t="str">
        <f t="shared" si="457"/>
        <v>Z</v>
      </c>
      <c r="F13989" t="str">
        <f t="shared" si="458"/>
        <v>25Z</v>
      </c>
    </row>
    <row r="13990" spans="1:6" x14ac:dyDescent="0.2">
      <c r="A13990">
        <v>0</v>
      </c>
      <c r="E13990" t="str">
        <f t="shared" si="457"/>
        <v>A</v>
      </c>
      <c r="F13990" t="str">
        <f t="shared" si="458"/>
        <v>0A</v>
      </c>
    </row>
    <row r="13991" spans="1:6" x14ac:dyDescent="0.2">
      <c r="A13991">
        <v>1</v>
      </c>
      <c r="E13991" t="str">
        <f t="shared" si="457"/>
        <v>B</v>
      </c>
      <c r="F13991" t="str">
        <f t="shared" si="458"/>
        <v>1B</v>
      </c>
    </row>
    <row r="13992" spans="1:6" x14ac:dyDescent="0.2">
      <c r="A13992">
        <v>2</v>
      </c>
      <c r="E13992" t="str">
        <f t="shared" si="457"/>
        <v>C</v>
      </c>
      <c r="F13992" t="str">
        <f t="shared" si="458"/>
        <v>2C</v>
      </c>
    </row>
    <row r="13993" spans="1:6" x14ac:dyDescent="0.2">
      <c r="A13993">
        <v>3</v>
      </c>
      <c r="E13993" t="str">
        <f t="shared" si="457"/>
        <v>D</v>
      </c>
      <c r="F13993" t="str">
        <f t="shared" si="458"/>
        <v>3D</v>
      </c>
    </row>
    <row r="13994" spans="1:6" x14ac:dyDescent="0.2">
      <c r="A13994">
        <v>4</v>
      </c>
      <c r="E13994" t="str">
        <f t="shared" si="457"/>
        <v>E</v>
      </c>
      <c r="F13994" t="str">
        <f t="shared" si="458"/>
        <v>4E</v>
      </c>
    </row>
    <row r="13995" spans="1:6" x14ac:dyDescent="0.2">
      <c r="A13995">
        <v>5</v>
      </c>
      <c r="E13995" t="str">
        <f t="shared" si="457"/>
        <v>F</v>
      </c>
      <c r="F13995" t="str">
        <f t="shared" si="458"/>
        <v>5F</v>
      </c>
    </row>
    <row r="13996" spans="1:6" x14ac:dyDescent="0.2">
      <c r="A13996">
        <v>6</v>
      </c>
      <c r="E13996" t="str">
        <f t="shared" si="457"/>
        <v>G</v>
      </c>
      <c r="F13996" t="str">
        <f t="shared" si="458"/>
        <v>6G</v>
      </c>
    </row>
    <row r="13997" spans="1:6" x14ac:dyDescent="0.2">
      <c r="A13997">
        <v>7</v>
      </c>
      <c r="E13997" t="str">
        <f t="shared" si="457"/>
        <v>H</v>
      </c>
      <c r="F13997" t="str">
        <f t="shared" si="458"/>
        <v>7H</v>
      </c>
    </row>
    <row r="13998" spans="1:6" x14ac:dyDescent="0.2">
      <c r="A13998">
        <v>8</v>
      </c>
      <c r="E13998" t="str">
        <f t="shared" si="457"/>
        <v>I</v>
      </c>
      <c r="F13998" t="str">
        <f t="shared" si="458"/>
        <v>8I</v>
      </c>
    </row>
    <row r="13999" spans="1:6" x14ac:dyDescent="0.2">
      <c r="A13999">
        <v>9</v>
      </c>
      <c r="E13999" t="str">
        <f t="shared" si="457"/>
        <v>J</v>
      </c>
      <c r="F13999" t="str">
        <f t="shared" si="458"/>
        <v>9J</v>
      </c>
    </row>
    <row r="14000" spans="1:6" x14ac:dyDescent="0.2">
      <c r="A14000">
        <v>10</v>
      </c>
      <c r="E14000" t="str">
        <f t="shared" si="457"/>
        <v>K</v>
      </c>
      <c r="F14000" t="str">
        <f t="shared" si="458"/>
        <v>10K</v>
      </c>
    </row>
    <row r="14001" spans="1:6" x14ac:dyDescent="0.2">
      <c r="A14001">
        <v>11</v>
      </c>
      <c r="E14001" t="str">
        <f t="shared" si="457"/>
        <v>L</v>
      </c>
      <c r="F14001" t="str">
        <f t="shared" si="458"/>
        <v>11L</v>
      </c>
    </row>
    <row r="14002" spans="1:6" x14ac:dyDescent="0.2">
      <c r="A14002">
        <v>12</v>
      </c>
      <c r="E14002" t="str">
        <f t="shared" si="457"/>
        <v>M</v>
      </c>
      <c r="F14002" t="str">
        <f t="shared" si="458"/>
        <v>12M</v>
      </c>
    </row>
    <row r="14003" spans="1:6" x14ac:dyDescent="0.2">
      <c r="A14003">
        <v>13</v>
      </c>
      <c r="E14003" t="str">
        <f t="shared" si="457"/>
        <v>N</v>
      </c>
      <c r="F14003" t="str">
        <f t="shared" si="458"/>
        <v>13N</v>
      </c>
    </row>
    <row r="14004" spans="1:6" x14ac:dyDescent="0.2">
      <c r="A14004">
        <v>14</v>
      </c>
      <c r="E14004" t="str">
        <f t="shared" si="457"/>
        <v>O</v>
      </c>
      <c r="F14004" t="str">
        <f t="shared" si="458"/>
        <v>14O</v>
      </c>
    </row>
    <row r="14005" spans="1:6" x14ac:dyDescent="0.2">
      <c r="A14005">
        <v>15</v>
      </c>
      <c r="E14005" t="str">
        <f t="shared" si="457"/>
        <v>P</v>
      </c>
      <c r="F14005" t="str">
        <f t="shared" si="458"/>
        <v>15P</v>
      </c>
    </row>
    <row r="14006" spans="1:6" x14ac:dyDescent="0.2">
      <c r="A14006">
        <v>16</v>
      </c>
      <c r="E14006" t="str">
        <f t="shared" si="457"/>
        <v>Q</v>
      </c>
      <c r="F14006" t="str">
        <f t="shared" si="458"/>
        <v>16Q</v>
      </c>
    </row>
    <row r="14007" spans="1:6" x14ac:dyDescent="0.2">
      <c r="A14007">
        <v>17</v>
      </c>
      <c r="E14007" t="str">
        <f t="shared" si="457"/>
        <v>R</v>
      </c>
      <c r="F14007" t="str">
        <f t="shared" si="458"/>
        <v>17R</v>
      </c>
    </row>
    <row r="14008" spans="1:6" x14ac:dyDescent="0.2">
      <c r="A14008">
        <v>18</v>
      </c>
      <c r="E14008" t="str">
        <f t="shared" si="457"/>
        <v>S</v>
      </c>
      <c r="F14008" t="str">
        <f t="shared" si="458"/>
        <v>18S</v>
      </c>
    </row>
    <row r="14009" spans="1:6" x14ac:dyDescent="0.2">
      <c r="A14009">
        <v>19</v>
      </c>
      <c r="E14009" t="str">
        <f t="shared" si="457"/>
        <v>T</v>
      </c>
      <c r="F14009" t="str">
        <f t="shared" si="458"/>
        <v>19T</v>
      </c>
    </row>
    <row r="14010" spans="1:6" x14ac:dyDescent="0.2">
      <c r="A14010">
        <v>20</v>
      </c>
      <c r="E14010" t="str">
        <f t="shared" si="457"/>
        <v>U</v>
      </c>
      <c r="F14010" t="str">
        <f t="shared" si="458"/>
        <v>20U</v>
      </c>
    </row>
    <row r="14011" spans="1:6" x14ac:dyDescent="0.2">
      <c r="A14011">
        <v>21</v>
      </c>
      <c r="E14011" t="str">
        <f t="shared" si="457"/>
        <v>V</v>
      </c>
      <c r="F14011" t="str">
        <f t="shared" si="458"/>
        <v>21V</v>
      </c>
    </row>
    <row r="14012" spans="1:6" x14ac:dyDescent="0.2">
      <c r="A14012">
        <v>22</v>
      </c>
      <c r="E14012" t="str">
        <f t="shared" si="457"/>
        <v>W</v>
      </c>
      <c r="F14012" t="str">
        <f t="shared" si="458"/>
        <v>22W</v>
      </c>
    </row>
    <row r="14013" spans="1:6" x14ac:dyDescent="0.2">
      <c r="A14013">
        <v>23</v>
      </c>
      <c r="E14013" t="str">
        <f t="shared" si="457"/>
        <v>X</v>
      </c>
      <c r="F14013" t="str">
        <f t="shared" si="458"/>
        <v>23X</v>
      </c>
    </row>
    <row r="14014" spans="1:6" x14ac:dyDescent="0.2">
      <c r="A14014">
        <v>24</v>
      </c>
      <c r="E14014" t="str">
        <f t="shared" si="457"/>
        <v>Y</v>
      </c>
      <c r="F14014" t="str">
        <f t="shared" si="458"/>
        <v>24Y</v>
      </c>
    </row>
    <row r="14015" spans="1:6" x14ac:dyDescent="0.2">
      <c r="A14015">
        <v>25</v>
      </c>
      <c r="E14015" t="str">
        <f t="shared" si="457"/>
        <v>Z</v>
      </c>
      <c r="F14015" t="str">
        <f t="shared" si="458"/>
        <v>25Z</v>
      </c>
    </row>
    <row r="14016" spans="1:6" x14ac:dyDescent="0.2">
      <c r="A14016">
        <v>0</v>
      </c>
      <c r="E14016" t="str">
        <f t="shared" si="457"/>
        <v>A</v>
      </c>
      <c r="F14016" t="str">
        <f t="shared" si="458"/>
        <v>0A</v>
      </c>
    </row>
    <row r="14017" spans="1:6" x14ac:dyDescent="0.2">
      <c r="A14017">
        <v>1</v>
      </c>
      <c r="E14017" t="str">
        <f t="shared" si="457"/>
        <v>B</v>
      </c>
      <c r="F14017" t="str">
        <f t="shared" si="458"/>
        <v>1B</v>
      </c>
    </row>
    <row r="14018" spans="1:6" x14ac:dyDescent="0.2">
      <c r="A14018">
        <v>2</v>
      </c>
      <c r="E14018" t="str">
        <f t="shared" si="457"/>
        <v>C</v>
      </c>
      <c r="F14018" t="str">
        <f t="shared" si="458"/>
        <v>2C</v>
      </c>
    </row>
    <row r="14019" spans="1:6" x14ac:dyDescent="0.2">
      <c r="A14019">
        <v>3</v>
      </c>
      <c r="E14019" t="str">
        <f t="shared" si="457"/>
        <v>D</v>
      </c>
      <c r="F14019" t="str">
        <f t="shared" si="458"/>
        <v>3D</v>
      </c>
    </row>
    <row r="14020" spans="1:6" x14ac:dyDescent="0.2">
      <c r="A14020">
        <v>4</v>
      </c>
      <c r="E14020" t="str">
        <f t="shared" si="457"/>
        <v>E</v>
      </c>
      <c r="F14020" t="str">
        <f t="shared" si="458"/>
        <v>4E</v>
      </c>
    </row>
    <row r="14021" spans="1:6" x14ac:dyDescent="0.2">
      <c r="A14021">
        <v>5</v>
      </c>
      <c r="E14021" t="str">
        <f t="shared" si="457"/>
        <v>F</v>
      </c>
      <c r="F14021" t="str">
        <f t="shared" si="458"/>
        <v>5F</v>
      </c>
    </row>
    <row r="14022" spans="1:6" x14ac:dyDescent="0.2">
      <c r="A14022">
        <v>6</v>
      </c>
      <c r="E14022" t="str">
        <f t="shared" si="457"/>
        <v>G</v>
      </c>
      <c r="F14022" t="str">
        <f t="shared" si="458"/>
        <v>6G</v>
      </c>
    </row>
    <row r="14023" spans="1:6" x14ac:dyDescent="0.2">
      <c r="A14023">
        <v>7</v>
      </c>
      <c r="E14023" t="str">
        <f t="shared" si="457"/>
        <v>H</v>
      </c>
      <c r="F14023" t="str">
        <f t="shared" si="458"/>
        <v>7H</v>
      </c>
    </row>
    <row r="14024" spans="1:6" x14ac:dyDescent="0.2">
      <c r="A14024">
        <v>8</v>
      </c>
      <c r="E14024" t="str">
        <f t="shared" si="457"/>
        <v>I</v>
      </c>
      <c r="F14024" t="str">
        <f t="shared" si="458"/>
        <v>8I</v>
      </c>
    </row>
    <row r="14025" spans="1:6" x14ac:dyDescent="0.2">
      <c r="A14025">
        <v>9</v>
      </c>
      <c r="E14025" t="str">
        <f t="shared" si="457"/>
        <v>J</v>
      </c>
      <c r="F14025" t="str">
        <f t="shared" si="458"/>
        <v>9J</v>
      </c>
    </row>
    <row r="14026" spans="1:6" x14ac:dyDescent="0.2">
      <c r="A14026">
        <v>10</v>
      </c>
      <c r="E14026" t="str">
        <f t="shared" si="457"/>
        <v>K</v>
      </c>
      <c r="F14026" t="str">
        <f t="shared" si="458"/>
        <v>10K</v>
      </c>
    </row>
    <row r="14027" spans="1:6" x14ac:dyDescent="0.2">
      <c r="A14027">
        <v>11</v>
      </c>
      <c r="E14027" t="str">
        <f t="shared" si="457"/>
        <v>L</v>
      </c>
      <c r="F14027" t="str">
        <f t="shared" si="458"/>
        <v>11L</v>
      </c>
    </row>
    <row r="14028" spans="1:6" x14ac:dyDescent="0.2">
      <c r="A14028">
        <v>12</v>
      </c>
      <c r="E14028" t="str">
        <f t="shared" si="457"/>
        <v>M</v>
      </c>
      <c r="F14028" t="str">
        <f t="shared" si="458"/>
        <v>12M</v>
      </c>
    </row>
    <row r="14029" spans="1:6" x14ac:dyDescent="0.2">
      <c r="A14029">
        <v>13</v>
      </c>
      <c r="E14029" t="str">
        <f t="shared" si="457"/>
        <v>N</v>
      </c>
      <c r="F14029" t="str">
        <f t="shared" si="458"/>
        <v>13N</v>
      </c>
    </row>
    <row r="14030" spans="1:6" x14ac:dyDescent="0.2">
      <c r="A14030">
        <v>14</v>
      </c>
      <c r="E14030" t="str">
        <f t="shared" si="457"/>
        <v>O</v>
      </c>
      <c r="F14030" t="str">
        <f t="shared" si="458"/>
        <v>14O</v>
      </c>
    </row>
    <row r="14031" spans="1:6" x14ac:dyDescent="0.2">
      <c r="A14031">
        <v>15</v>
      </c>
      <c r="E14031" t="str">
        <f t="shared" si="457"/>
        <v>P</v>
      </c>
      <c r="F14031" t="str">
        <f t="shared" si="458"/>
        <v>15P</v>
      </c>
    </row>
    <row r="14032" spans="1:6" x14ac:dyDescent="0.2">
      <c r="A14032">
        <v>16</v>
      </c>
      <c r="E14032" t="str">
        <f t="shared" si="457"/>
        <v>Q</v>
      </c>
      <c r="F14032" t="str">
        <f t="shared" si="458"/>
        <v>16Q</v>
      </c>
    </row>
    <row r="14033" spans="1:6" x14ac:dyDescent="0.2">
      <c r="A14033">
        <v>17</v>
      </c>
      <c r="E14033" t="str">
        <f t="shared" si="457"/>
        <v>R</v>
      </c>
      <c r="F14033" t="str">
        <f t="shared" si="458"/>
        <v>17R</v>
      </c>
    </row>
    <row r="14034" spans="1:6" x14ac:dyDescent="0.2">
      <c r="A14034">
        <v>18</v>
      </c>
      <c r="E14034" t="str">
        <f t="shared" si="457"/>
        <v>S</v>
      </c>
      <c r="F14034" t="str">
        <f t="shared" si="458"/>
        <v>18S</v>
      </c>
    </row>
    <row r="14035" spans="1:6" x14ac:dyDescent="0.2">
      <c r="A14035">
        <v>19</v>
      </c>
      <c r="E14035" t="str">
        <f t="shared" si="457"/>
        <v>T</v>
      </c>
      <c r="F14035" t="str">
        <f t="shared" si="458"/>
        <v>19T</v>
      </c>
    </row>
    <row r="14036" spans="1:6" x14ac:dyDescent="0.2">
      <c r="A14036">
        <v>20</v>
      </c>
      <c r="E14036" t="str">
        <f t="shared" si="457"/>
        <v>U</v>
      </c>
      <c r="F14036" t="str">
        <f t="shared" si="458"/>
        <v>20U</v>
      </c>
    </row>
    <row r="14037" spans="1:6" x14ac:dyDescent="0.2">
      <c r="A14037">
        <v>21</v>
      </c>
      <c r="E14037" t="str">
        <f t="shared" ref="E14037:E14100" si="459">E14011</f>
        <v>V</v>
      </c>
      <c r="F14037" t="str">
        <f t="shared" si="458"/>
        <v>21V</v>
      </c>
    </row>
    <row r="14038" spans="1:6" x14ac:dyDescent="0.2">
      <c r="A14038">
        <v>22</v>
      </c>
      <c r="E14038" t="str">
        <f t="shared" si="459"/>
        <v>W</v>
      </c>
      <c r="F14038" t="str">
        <f t="shared" si="458"/>
        <v>22W</v>
      </c>
    </row>
    <row r="14039" spans="1:6" x14ac:dyDescent="0.2">
      <c r="A14039">
        <v>23</v>
      </c>
      <c r="E14039" t="str">
        <f t="shared" si="459"/>
        <v>X</v>
      </c>
      <c r="F14039" t="str">
        <f t="shared" ref="F14039:F14102" si="460">A14039&amp;C14039&amp;E14039</f>
        <v>23X</v>
      </c>
    </row>
    <row r="14040" spans="1:6" x14ac:dyDescent="0.2">
      <c r="A14040">
        <v>24</v>
      </c>
      <c r="E14040" t="str">
        <f t="shared" si="459"/>
        <v>Y</v>
      </c>
      <c r="F14040" t="str">
        <f t="shared" si="460"/>
        <v>24Y</v>
      </c>
    </row>
    <row r="14041" spans="1:6" x14ac:dyDescent="0.2">
      <c r="A14041">
        <v>25</v>
      </c>
      <c r="E14041" t="str">
        <f t="shared" si="459"/>
        <v>Z</v>
      </c>
      <c r="F14041" t="str">
        <f t="shared" si="460"/>
        <v>25Z</v>
      </c>
    </row>
    <row r="14042" spans="1:6" x14ac:dyDescent="0.2">
      <c r="A14042">
        <v>0</v>
      </c>
      <c r="E14042" t="str">
        <f t="shared" si="459"/>
        <v>A</v>
      </c>
      <c r="F14042" t="str">
        <f t="shared" si="460"/>
        <v>0A</v>
      </c>
    </row>
    <row r="14043" spans="1:6" x14ac:dyDescent="0.2">
      <c r="A14043">
        <v>1</v>
      </c>
      <c r="E14043" t="str">
        <f t="shared" si="459"/>
        <v>B</v>
      </c>
      <c r="F14043" t="str">
        <f t="shared" si="460"/>
        <v>1B</v>
      </c>
    </row>
    <row r="14044" spans="1:6" x14ac:dyDescent="0.2">
      <c r="A14044">
        <v>2</v>
      </c>
      <c r="E14044" t="str">
        <f t="shared" si="459"/>
        <v>C</v>
      </c>
      <c r="F14044" t="str">
        <f t="shared" si="460"/>
        <v>2C</v>
      </c>
    </row>
    <row r="14045" spans="1:6" x14ac:dyDescent="0.2">
      <c r="A14045">
        <v>3</v>
      </c>
      <c r="E14045" t="str">
        <f t="shared" si="459"/>
        <v>D</v>
      </c>
      <c r="F14045" t="str">
        <f t="shared" si="460"/>
        <v>3D</v>
      </c>
    </row>
    <row r="14046" spans="1:6" x14ac:dyDescent="0.2">
      <c r="A14046">
        <v>4</v>
      </c>
      <c r="E14046" t="str">
        <f t="shared" si="459"/>
        <v>E</v>
      </c>
      <c r="F14046" t="str">
        <f t="shared" si="460"/>
        <v>4E</v>
      </c>
    </row>
    <row r="14047" spans="1:6" x14ac:dyDescent="0.2">
      <c r="A14047">
        <v>5</v>
      </c>
      <c r="E14047" t="str">
        <f t="shared" si="459"/>
        <v>F</v>
      </c>
      <c r="F14047" t="str">
        <f t="shared" si="460"/>
        <v>5F</v>
      </c>
    </row>
    <row r="14048" spans="1:6" x14ac:dyDescent="0.2">
      <c r="A14048">
        <v>6</v>
      </c>
      <c r="E14048" t="str">
        <f t="shared" si="459"/>
        <v>G</v>
      </c>
      <c r="F14048" t="str">
        <f t="shared" si="460"/>
        <v>6G</v>
      </c>
    </row>
    <row r="14049" spans="1:6" x14ac:dyDescent="0.2">
      <c r="A14049">
        <v>7</v>
      </c>
      <c r="E14049" t="str">
        <f t="shared" si="459"/>
        <v>H</v>
      </c>
      <c r="F14049" t="str">
        <f t="shared" si="460"/>
        <v>7H</v>
      </c>
    </row>
    <row r="14050" spans="1:6" x14ac:dyDescent="0.2">
      <c r="A14050">
        <v>8</v>
      </c>
      <c r="E14050" t="str">
        <f t="shared" si="459"/>
        <v>I</v>
      </c>
      <c r="F14050" t="str">
        <f t="shared" si="460"/>
        <v>8I</v>
      </c>
    </row>
    <row r="14051" spans="1:6" x14ac:dyDescent="0.2">
      <c r="A14051">
        <v>9</v>
      </c>
      <c r="E14051" t="str">
        <f t="shared" si="459"/>
        <v>J</v>
      </c>
      <c r="F14051" t="str">
        <f t="shared" si="460"/>
        <v>9J</v>
      </c>
    </row>
    <row r="14052" spans="1:6" x14ac:dyDescent="0.2">
      <c r="A14052">
        <v>10</v>
      </c>
      <c r="E14052" t="str">
        <f t="shared" si="459"/>
        <v>K</v>
      </c>
      <c r="F14052" t="str">
        <f t="shared" si="460"/>
        <v>10K</v>
      </c>
    </row>
    <row r="14053" spans="1:6" x14ac:dyDescent="0.2">
      <c r="A14053">
        <v>11</v>
      </c>
      <c r="E14053" t="str">
        <f t="shared" si="459"/>
        <v>L</v>
      </c>
      <c r="F14053" t="str">
        <f t="shared" si="460"/>
        <v>11L</v>
      </c>
    </row>
    <row r="14054" spans="1:6" x14ac:dyDescent="0.2">
      <c r="A14054">
        <v>12</v>
      </c>
      <c r="E14054" t="str">
        <f t="shared" si="459"/>
        <v>M</v>
      </c>
      <c r="F14054" t="str">
        <f t="shared" si="460"/>
        <v>12M</v>
      </c>
    </row>
    <row r="14055" spans="1:6" x14ac:dyDescent="0.2">
      <c r="A14055">
        <v>13</v>
      </c>
      <c r="E14055" t="str">
        <f t="shared" si="459"/>
        <v>N</v>
      </c>
      <c r="F14055" t="str">
        <f t="shared" si="460"/>
        <v>13N</v>
      </c>
    </row>
    <row r="14056" spans="1:6" x14ac:dyDescent="0.2">
      <c r="A14056">
        <v>14</v>
      </c>
      <c r="E14056" t="str">
        <f t="shared" si="459"/>
        <v>O</v>
      </c>
      <c r="F14056" t="str">
        <f t="shared" si="460"/>
        <v>14O</v>
      </c>
    </row>
    <row r="14057" spans="1:6" x14ac:dyDescent="0.2">
      <c r="A14057">
        <v>15</v>
      </c>
      <c r="E14057" t="str">
        <f t="shared" si="459"/>
        <v>P</v>
      </c>
      <c r="F14057" t="str">
        <f t="shared" si="460"/>
        <v>15P</v>
      </c>
    </row>
    <row r="14058" spans="1:6" x14ac:dyDescent="0.2">
      <c r="A14058">
        <v>16</v>
      </c>
      <c r="E14058" t="str">
        <f t="shared" si="459"/>
        <v>Q</v>
      </c>
      <c r="F14058" t="str">
        <f t="shared" si="460"/>
        <v>16Q</v>
      </c>
    </row>
    <row r="14059" spans="1:6" x14ac:dyDescent="0.2">
      <c r="A14059">
        <v>17</v>
      </c>
      <c r="E14059" t="str">
        <f t="shared" si="459"/>
        <v>R</v>
      </c>
      <c r="F14059" t="str">
        <f t="shared" si="460"/>
        <v>17R</v>
      </c>
    </row>
    <row r="14060" spans="1:6" x14ac:dyDescent="0.2">
      <c r="A14060">
        <v>18</v>
      </c>
      <c r="E14060" t="str">
        <f t="shared" si="459"/>
        <v>S</v>
      </c>
      <c r="F14060" t="str">
        <f t="shared" si="460"/>
        <v>18S</v>
      </c>
    </row>
    <row r="14061" spans="1:6" x14ac:dyDescent="0.2">
      <c r="A14061">
        <v>19</v>
      </c>
      <c r="E14061" t="str">
        <f t="shared" si="459"/>
        <v>T</v>
      </c>
      <c r="F14061" t="str">
        <f t="shared" si="460"/>
        <v>19T</v>
      </c>
    </row>
    <row r="14062" spans="1:6" x14ac:dyDescent="0.2">
      <c r="A14062">
        <v>20</v>
      </c>
      <c r="E14062" t="str">
        <f t="shared" si="459"/>
        <v>U</v>
      </c>
      <c r="F14062" t="str">
        <f t="shared" si="460"/>
        <v>20U</v>
      </c>
    </row>
    <row r="14063" spans="1:6" x14ac:dyDescent="0.2">
      <c r="A14063">
        <v>21</v>
      </c>
      <c r="E14063" t="str">
        <f t="shared" si="459"/>
        <v>V</v>
      </c>
      <c r="F14063" t="str">
        <f t="shared" si="460"/>
        <v>21V</v>
      </c>
    </row>
    <row r="14064" spans="1:6" x14ac:dyDescent="0.2">
      <c r="A14064">
        <v>22</v>
      </c>
      <c r="E14064" t="str">
        <f t="shared" si="459"/>
        <v>W</v>
      </c>
      <c r="F14064" t="str">
        <f t="shared" si="460"/>
        <v>22W</v>
      </c>
    </row>
    <row r="14065" spans="1:6" x14ac:dyDescent="0.2">
      <c r="A14065">
        <v>23</v>
      </c>
      <c r="E14065" t="str">
        <f t="shared" si="459"/>
        <v>X</v>
      </c>
      <c r="F14065" t="str">
        <f t="shared" si="460"/>
        <v>23X</v>
      </c>
    </row>
    <row r="14066" spans="1:6" x14ac:dyDescent="0.2">
      <c r="A14066">
        <v>24</v>
      </c>
      <c r="E14066" t="str">
        <f t="shared" si="459"/>
        <v>Y</v>
      </c>
      <c r="F14066" t="str">
        <f t="shared" si="460"/>
        <v>24Y</v>
      </c>
    </row>
    <row r="14067" spans="1:6" x14ac:dyDescent="0.2">
      <c r="A14067">
        <v>25</v>
      </c>
      <c r="E14067" t="str">
        <f t="shared" si="459"/>
        <v>Z</v>
      </c>
      <c r="F14067" t="str">
        <f t="shared" si="460"/>
        <v>25Z</v>
      </c>
    </row>
    <row r="14068" spans="1:6" x14ac:dyDescent="0.2">
      <c r="A14068">
        <v>0</v>
      </c>
      <c r="E14068" t="str">
        <f t="shared" si="459"/>
        <v>A</v>
      </c>
      <c r="F14068" t="str">
        <f t="shared" si="460"/>
        <v>0A</v>
      </c>
    </row>
    <row r="14069" spans="1:6" x14ac:dyDescent="0.2">
      <c r="A14069">
        <v>1</v>
      </c>
      <c r="E14069" t="str">
        <f t="shared" si="459"/>
        <v>B</v>
      </c>
      <c r="F14069" t="str">
        <f t="shared" si="460"/>
        <v>1B</v>
      </c>
    </row>
    <row r="14070" spans="1:6" x14ac:dyDescent="0.2">
      <c r="A14070">
        <v>2</v>
      </c>
      <c r="E14070" t="str">
        <f t="shared" si="459"/>
        <v>C</v>
      </c>
      <c r="F14070" t="str">
        <f t="shared" si="460"/>
        <v>2C</v>
      </c>
    </row>
    <row r="14071" spans="1:6" x14ac:dyDescent="0.2">
      <c r="A14071">
        <v>3</v>
      </c>
      <c r="E14071" t="str">
        <f t="shared" si="459"/>
        <v>D</v>
      </c>
      <c r="F14071" t="str">
        <f t="shared" si="460"/>
        <v>3D</v>
      </c>
    </row>
    <row r="14072" spans="1:6" x14ac:dyDescent="0.2">
      <c r="A14072">
        <v>4</v>
      </c>
      <c r="E14072" t="str">
        <f t="shared" si="459"/>
        <v>E</v>
      </c>
      <c r="F14072" t="str">
        <f t="shared" si="460"/>
        <v>4E</v>
      </c>
    </row>
    <row r="14073" spans="1:6" x14ac:dyDescent="0.2">
      <c r="A14073">
        <v>5</v>
      </c>
      <c r="E14073" t="str">
        <f t="shared" si="459"/>
        <v>F</v>
      </c>
      <c r="F14073" t="str">
        <f t="shared" si="460"/>
        <v>5F</v>
      </c>
    </row>
    <row r="14074" spans="1:6" x14ac:dyDescent="0.2">
      <c r="A14074">
        <v>6</v>
      </c>
      <c r="E14074" t="str">
        <f t="shared" si="459"/>
        <v>G</v>
      </c>
      <c r="F14074" t="str">
        <f t="shared" si="460"/>
        <v>6G</v>
      </c>
    </row>
    <row r="14075" spans="1:6" x14ac:dyDescent="0.2">
      <c r="A14075">
        <v>7</v>
      </c>
      <c r="E14075" t="str">
        <f t="shared" si="459"/>
        <v>H</v>
      </c>
      <c r="F14075" t="str">
        <f t="shared" si="460"/>
        <v>7H</v>
      </c>
    </row>
    <row r="14076" spans="1:6" x14ac:dyDescent="0.2">
      <c r="A14076">
        <v>8</v>
      </c>
      <c r="E14076" t="str">
        <f t="shared" si="459"/>
        <v>I</v>
      </c>
      <c r="F14076" t="str">
        <f t="shared" si="460"/>
        <v>8I</v>
      </c>
    </row>
    <row r="14077" spans="1:6" x14ac:dyDescent="0.2">
      <c r="A14077">
        <v>9</v>
      </c>
      <c r="E14077" t="str">
        <f t="shared" si="459"/>
        <v>J</v>
      </c>
      <c r="F14077" t="str">
        <f t="shared" si="460"/>
        <v>9J</v>
      </c>
    </row>
    <row r="14078" spans="1:6" x14ac:dyDescent="0.2">
      <c r="A14078">
        <v>10</v>
      </c>
      <c r="E14078" t="str">
        <f t="shared" si="459"/>
        <v>K</v>
      </c>
      <c r="F14078" t="str">
        <f t="shared" si="460"/>
        <v>10K</v>
      </c>
    </row>
    <row r="14079" spans="1:6" x14ac:dyDescent="0.2">
      <c r="A14079">
        <v>11</v>
      </c>
      <c r="E14079" t="str">
        <f t="shared" si="459"/>
        <v>L</v>
      </c>
      <c r="F14079" t="str">
        <f t="shared" si="460"/>
        <v>11L</v>
      </c>
    </row>
    <row r="14080" spans="1:6" x14ac:dyDescent="0.2">
      <c r="A14080">
        <v>12</v>
      </c>
      <c r="E14080" t="str">
        <f t="shared" si="459"/>
        <v>M</v>
      </c>
      <c r="F14080" t="str">
        <f t="shared" si="460"/>
        <v>12M</v>
      </c>
    </row>
    <row r="14081" spans="1:6" x14ac:dyDescent="0.2">
      <c r="A14081">
        <v>13</v>
      </c>
      <c r="E14081" t="str">
        <f t="shared" si="459"/>
        <v>N</v>
      </c>
      <c r="F14081" t="str">
        <f t="shared" si="460"/>
        <v>13N</v>
      </c>
    </row>
    <row r="14082" spans="1:6" x14ac:dyDescent="0.2">
      <c r="A14082">
        <v>14</v>
      </c>
      <c r="E14082" t="str">
        <f t="shared" si="459"/>
        <v>O</v>
      </c>
      <c r="F14082" t="str">
        <f t="shared" si="460"/>
        <v>14O</v>
      </c>
    </row>
    <row r="14083" spans="1:6" x14ac:dyDescent="0.2">
      <c r="A14083">
        <v>15</v>
      </c>
      <c r="E14083" t="str">
        <f t="shared" si="459"/>
        <v>P</v>
      </c>
      <c r="F14083" t="str">
        <f t="shared" si="460"/>
        <v>15P</v>
      </c>
    </row>
    <row r="14084" spans="1:6" x14ac:dyDescent="0.2">
      <c r="A14084">
        <v>16</v>
      </c>
      <c r="E14084" t="str">
        <f t="shared" si="459"/>
        <v>Q</v>
      </c>
      <c r="F14084" t="str">
        <f t="shared" si="460"/>
        <v>16Q</v>
      </c>
    </row>
    <row r="14085" spans="1:6" x14ac:dyDescent="0.2">
      <c r="A14085">
        <v>17</v>
      </c>
      <c r="E14085" t="str">
        <f t="shared" si="459"/>
        <v>R</v>
      </c>
      <c r="F14085" t="str">
        <f t="shared" si="460"/>
        <v>17R</v>
      </c>
    </row>
    <row r="14086" spans="1:6" x14ac:dyDescent="0.2">
      <c r="A14086">
        <v>18</v>
      </c>
      <c r="E14086" t="str">
        <f t="shared" si="459"/>
        <v>S</v>
      </c>
      <c r="F14086" t="str">
        <f t="shared" si="460"/>
        <v>18S</v>
      </c>
    </row>
    <row r="14087" spans="1:6" x14ac:dyDescent="0.2">
      <c r="A14087">
        <v>19</v>
      </c>
      <c r="E14087" t="str">
        <f t="shared" si="459"/>
        <v>T</v>
      </c>
      <c r="F14087" t="str">
        <f t="shared" si="460"/>
        <v>19T</v>
      </c>
    </row>
    <row r="14088" spans="1:6" x14ac:dyDescent="0.2">
      <c r="A14088">
        <v>20</v>
      </c>
      <c r="E14088" t="str">
        <f t="shared" si="459"/>
        <v>U</v>
      </c>
      <c r="F14088" t="str">
        <f t="shared" si="460"/>
        <v>20U</v>
      </c>
    </row>
    <row r="14089" spans="1:6" x14ac:dyDescent="0.2">
      <c r="A14089">
        <v>21</v>
      </c>
      <c r="E14089" t="str">
        <f t="shared" si="459"/>
        <v>V</v>
      </c>
      <c r="F14089" t="str">
        <f t="shared" si="460"/>
        <v>21V</v>
      </c>
    </row>
    <row r="14090" spans="1:6" x14ac:dyDescent="0.2">
      <c r="A14090">
        <v>22</v>
      </c>
      <c r="E14090" t="str">
        <f t="shared" si="459"/>
        <v>W</v>
      </c>
      <c r="F14090" t="str">
        <f t="shared" si="460"/>
        <v>22W</v>
      </c>
    </row>
    <row r="14091" spans="1:6" x14ac:dyDescent="0.2">
      <c r="A14091">
        <v>23</v>
      </c>
      <c r="E14091" t="str">
        <f t="shared" si="459"/>
        <v>X</v>
      </c>
      <c r="F14091" t="str">
        <f t="shared" si="460"/>
        <v>23X</v>
      </c>
    </row>
    <row r="14092" spans="1:6" x14ac:dyDescent="0.2">
      <c r="A14092">
        <v>24</v>
      </c>
      <c r="E14092" t="str">
        <f t="shared" si="459"/>
        <v>Y</v>
      </c>
      <c r="F14092" t="str">
        <f t="shared" si="460"/>
        <v>24Y</v>
      </c>
    </row>
    <row r="14093" spans="1:6" x14ac:dyDescent="0.2">
      <c r="A14093">
        <v>25</v>
      </c>
      <c r="E14093" t="str">
        <f t="shared" si="459"/>
        <v>Z</v>
      </c>
      <c r="F14093" t="str">
        <f t="shared" si="460"/>
        <v>25Z</v>
      </c>
    </row>
    <row r="14094" spans="1:6" x14ac:dyDescent="0.2">
      <c r="A14094">
        <v>0</v>
      </c>
      <c r="E14094" t="str">
        <f t="shared" si="459"/>
        <v>A</v>
      </c>
      <c r="F14094" t="str">
        <f t="shared" si="460"/>
        <v>0A</v>
      </c>
    </row>
    <row r="14095" spans="1:6" x14ac:dyDescent="0.2">
      <c r="A14095">
        <v>1</v>
      </c>
      <c r="E14095" t="str">
        <f t="shared" si="459"/>
        <v>B</v>
      </c>
      <c r="F14095" t="str">
        <f t="shared" si="460"/>
        <v>1B</v>
      </c>
    </row>
    <row r="14096" spans="1:6" x14ac:dyDescent="0.2">
      <c r="A14096">
        <v>2</v>
      </c>
      <c r="E14096" t="str">
        <f t="shared" si="459"/>
        <v>C</v>
      </c>
      <c r="F14096" t="str">
        <f t="shared" si="460"/>
        <v>2C</v>
      </c>
    </row>
    <row r="14097" spans="1:6" x14ac:dyDescent="0.2">
      <c r="A14097">
        <v>3</v>
      </c>
      <c r="E14097" t="str">
        <f t="shared" si="459"/>
        <v>D</v>
      </c>
      <c r="F14097" t="str">
        <f t="shared" si="460"/>
        <v>3D</v>
      </c>
    </row>
    <row r="14098" spans="1:6" x14ac:dyDescent="0.2">
      <c r="A14098">
        <v>4</v>
      </c>
      <c r="E14098" t="str">
        <f t="shared" si="459"/>
        <v>E</v>
      </c>
      <c r="F14098" t="str">
        <f t="shared" si="460"/>
        <v>4E</v>
      </c>
    </row>
    <row r="14099" spans="1:6" x14ac:dyDescent="0.2">
      <c r="A14099">
        <v>5</v>
      </c>
      <c r="E14099" t="str">
        <f t="shared" si="459"/>
        <v>F</v>
      </c>
      <c r="F14099" t="str">
        <f t="shared" si="460"/>
        <v>5F</v>
      </c>
    </row>
    <row r="14100" spans="1:6" x14ac:dyDescent="0.2">
      <c r="A14100">
        <v>6</v>
      </c>
      <c r="E14100" t="str">
        <f t="shared" si="459"/>
        <v>G</v>
      </c>
      <c r="F14100" t="str">
        <f t="shared" si="460"/>
        <v>6G</v>
      </c>
    </row>
    <row r="14101" spans="1:6" x14ac:dyDescent="0.2">
      <c r="A14101">
        <v>7</v>
      </c>
      <c r="E14101" t="str">
        <f t="shared" ref="E14101:E14164" si="461">E14075</f>
        <v>H</v>
      </c>
      <c r="F14101" t="str">
        <f t="shared" si="460"/>
        <v>7H</v>
      </c>
    </row>
    <row r="14102" spans="1:6" x14ac:dyDescent="0.2">
      <c r="A14102">
        <v>8</v>
      </c>
      <c r="E14102" t="str">
        <f t="shared" si="461"/>
        <v>I</v>
      </c>
      <c r="F14102" t="str">
        <f t="shared" si="460"/>
        <v>8I</v>
      </c>
    </row>
    <row r="14103" spans="1:6" x14ac:dyDescent="0.2">
      <c r="A14103">
        <v>9</v>
      </c>
      <c r="E14103" t="str">
        <f t="shared" si="461"/>
        <v>J</v>
      </c>
      <c r="F14103" t="str">
        <f t="shared" ref="F14103:F14166" si="462">A14103&amp;C14103&amp;E14103</f>
        <v>9J</v>
      </c>
    </row>
    <row r="14104" spans="1:6" x14ac:dyDescent="0.2">
      <c r="A14104">
        <v>10</v>
      </c>
      <c r="E14104" t="str">
        <f t="shared" si="461"/>
        <v>K</v>
      </c>
      <c r="F14104" t="str">
        <f t="shared" si="462"/>
        <v>10K</v>
      </c>
    </row>
    <row r="14105" spans="1:6" x14ac:dyDescent="0.2">
      <c r="A14105">
        <v>11</v>
      </c>
      <c r="E14105" t="str">
        <f t="shared" si="461"/>
        <v>L</v>
      </c>
      <c r="F14105" t="str">
        <f t="shared" si="462"/>
        <v>11L</v>
      </c>
    </row>
    <row r="14106" spans="1:6" x14ac:dyDescent="0.2">
      <c r="A14106">
        <v>12</v>
      </c>
      <c r="E14106" t="str">
        <f t="shared" si="461"/>
        <v>M</v>
      </c>
      <c r="F14106" t="str">
        <f t="shared" si="462"/>
        <v>12M</v>
      </c>
    </row>
    <row r="14107" spans="1:6" x14ac:dyDescent="0.2">
      <c r="A14107">
        <v>13</v>
      </c>
      <c r="E14107" t="str">
        <f t="shared" si="461"/>
        <v>N</v>
      </c>
      <c r="F14107" t="str">
        <f t="shared" si="462"/>
        <v>13N</v>
      </c>
    </row>
    <row r="14108" spans="1:6" x14ac:dyDescent="0.2">
      <c r="A14108">
        <v>14</v>
      </c>
      <c r="E14108" t="str">
        <f t="shared" si="461"/>
        <v>O</v>
      </c>
      <c r="F14108" t="str">
        <f t="shared" si="462"/>
        <v>14O</v>
      </c>
    </row>
    <row r="14109" spans="1:6" x14ac:dyDescent="0.2">
      <c r="A14109">
        <v>15</v>
      </c>
      <c r="E14109" t="str">
        <f t="shared" si="461"/>
        <v>P</v>
      </c>
      <c r="F14109" t="str">
        <f t="shared" si="462"/>
        <v>15P</v>
      </c>
    </row>
    <row r="14110" spans="1:6" x14ac:dyDescent="0.2">
      <c r="A14110">
        <v>16</v>
      </c>
      <c r="E14110" t="str">
        <f t="shared" si="461"/>
        <v>Q</v>
      </c>
      <c r="F14110" t="str">
        <f t="shared" si="462"/>
        <v>16Q</v>
      </c>
    </row>
    <row r="14111" spans="1:6" x14ac:dyDescent="0.2">
      <c r="A14111">
        <v>17</v>
      </c>
      <c r="E14111" t="str">
        <f t="shared" si="461"/>
        <v>R</v>
      </c>
      <c r="F14111" t="str">
        <f t="shared" si="462"/>
        <v>17R</v>
      </c>
    </row>
    <row r="14112" spans="1:6" x14ac:dyDescent="0.2">
      <c r="A14112">
        <v>18</v>
      </c>
      <c r="E14112" t="str">
        <f t="shared" si="461"/>
        <v>S</v>
      </c>
      <c r="F14112" t="str">
        <f t="shared" si="462"/>
        <v>18S</v>
      </c>
    </row>
    <row r="14113" spans="1:6" x14ac:dyDescent="0.2">
      <c r="A14113">
        <v>19</v>
      </c>
      <c r="E14113" t="str">
        <f t="shared" si="461"/>
        <v>T</v>
      </c>
      <c r="F14113" t="str">
        <f t="shared" si="462"/>
        <v>19T</v>
      </c>
    </row>
    <row r="14114" spans="1:6" x14ac:dyDescent="0.2">
      <c r="A14114">
        <v>20</v>
      </c>
      <c r="E14114" t="str">
        <f t="shared" si="461"/>
        <v>U</v>
      </c>
      <c r="F14114" t="str">
        <f t="shared" si="462"/>
        <v>20U</v>
      </c>
    </row>
    <row r="14115" spans="1:6" x14ac:dyDescent="0.2">
      <c r="A14115">
        <v>21</v>
      </c>
      <c r="E14115" t="str">
        <f t="shared" si="461"/>
        <v>V</v>
      </c>
      <c r="F14115" t="str">
        <f t="shared" si="462"/>
        <v>21V</v>
      </c>
    </row>
    <row r="14116" spans="1:6" x14ac:dyDescent="0.2">
      <c r="A14116">
        <v>22</v>
      </c>
      <c r="E14116" t="str">
        <f t="shared" si="461"/>
        <v>W</v>
      </c>
      <c r="F14116" t="str">
        <f t="shared" si="462"/>
        <v>22W</v>
      </c>
    </row>
    <row r="14117" spans="1:6" x14ac:dyDescent="0.2">
      <c r="A14117">
        <v>23</v>
      </c>
      <c r="E14117" t="str">
        <f t="shared" si="461"/>
        <v>X</v>
      </c>
      <c r="F14117" t="str">
        <f t="shared" si="462"/>
        <v>23X</v>
      </c>
    </row>
    <row r="14118" spans="1:6" x14ac:dyDescent="0.2">
      <c r="A14118">
        <v>24</v>
      </c>
      <c r="E14118" t="str">
        <f t="shared" si="461"/>
        <v>Y</v>
      </c>
      <c r="F14118" t="str">
        <f t="shared" si="462"/>
        <v>24Y</v>
      </c>
    </row>
    <row r="14119" spans="1:6" x14ac:dyDescent="0.2">
      <c r="A14119">
        <v>25</v>
      </c>
      <c r="E14119" t="str">
        <f t="shared" si="461"/>
        <v>Z</v>
      </c>
      <c r="F14119" t="str">
        <f t="shared" si="462"/>
        <v>25Z</v>
      </c>
    </row>
    <row r="14120" spans="1:6" x14ac:dyDescent="0.2">
      <c r="A14120">
        <v>0</v>
      </c>
      <c r="E14120" t="str">
        <f t="shared" si="461"/>
        <v>A</v>
      </c>
      <c r="F14120" t="str">
        <f t="shared" si="462"/>
        <v>0A</v>
      </c>
    </row>
    <row r="14121" spans="1:6" x14ac:dyDescent="0.2">
      <c r="A14121">
        <v>1</v>
      </c>
      <c r="E14121" t="str">
        <f t="shared" si="461"/>
        <v>B</v>
      </c>
      <c r="F14121" t="str">
        <f t="shared" si="462"/>
        <v>1B</v>
      </c>
    </row>
    <row r="14122" spans="1:6" x14ac:dyDescent="0.2">
      <c r="A14122">
        <v>2</v>
      </c>
      <c r="E14122" t="str">
        <f t="shared" si="461"/>
        <v>C</v>
      </c>
      <c r="F14122" t="str">
        <f t="shared" si="462"/>
        <v>2C</v>
      </c>
    </row>
    <row r="14123" spans="1:6" x14ac:dyDescent="0.2">
      <c r="A14123">
        <v>3</v>
      </c>
      <c r="E14123" t="str">
        <f t="shared" si="461"/>
        <v>D</v>
      </c>
      <c r="F14123" t="str">
        <f t="shared" si="462"/>
        <v>3D</v>
      </c>
    </row>
    <row r="14124" spans="1:6" x14ac:dyDescent="0.2">
      <c r="A14124">
        <v>4</v>
      </c>
      <c r="E14124" t="str">
        <f t="shared" si="461"/>
        <v>E</v>
      </c>
      <c r="F14124" t="str">
        <f t="shared" si="462"/>
        <v>4E</v>
      </c>
    </row>
    <row r="14125" spans="1:6" x14ac:dyDescent="0.2">
      <c r="A14125">
        <v>5</v>
      </c>
      <c r="E14125" t="str">
        <f t="shared" si="461"/>
        <v>F</v>
      </c>
      <c r="F14125" t="str">
        <f t="shared" si="462"/>
        <v>5F</v>
      </c>
    </row>
    <row r="14126" spans="1:6" x14ac:dyDescent="0.2">
      <c r="A14126">
        <v>6</v>
      </c>
      <c r="E14126" t="str">
        <f t="shared" si="461"/>
        <v>G</v>
      </c>
      <c r="F14126" t="str">
        <f t="shared" si="462"/>
        <v>6G</v>
      </c>
    </row>
    <row r="14127" spans="1:6" x14ac:dyDescent="0.2">
      <c r="A14127">
        <v>7</v>
      </c>
      <c r="E14127" t="str">
        <f t="shared" si="461"/>
        <v>H</v>
      </c>
      <c r="F14127" t="str">
        <f t="shared" si="462"/>
        <v>7H</v>
      </c>
    </row>
    <row r="14128" spans="1:6" x14ac:dyDescent="0.2">
      <c r="A14128">
        <v>8</v>
      </c>
      <c r="E14128" t="str">
        <f t="shared" si="461"/>
        <v>I</v>
      </c>
      <c r="F14128" t="str">
        <f t="shared" si="462"/>
        <v>8I</v>
      </c>
    </row>
    <row r="14129" spans="1:6" x14ac:dyDescent="0.2">
      <c r="A14129">
        <v>9</v>
      </c>
      <c r="E14129" t="str">
        <f t="shared" si="461"/>
        <v>J</v>
      </c>
      <c r="F14129" t="str">
        <f t="shared" si="462"/>
        <v>9J</v>
      </c>
    </row>
    <row r="14130" spans="1:6" x14ac:dyDescent="0.2">
      <c r="A14130">
        <v>10</v>
      </c>
      <c r="E14130" t="str">
        <f t="shared" si="461"/>
        <v>K</v>
      </c>
      <c r="F14130" t="str">
        <f t="shared" si="462"/>
        <v>10K</v>
      </c>
    </row>
    <row r="14131" spans="1:6" x14ac:dyDescent="0.2">
      <c r="A14131">
        <v>11</v>
      </c>
      <c r="E14131" t="str">
        <f t="shared" si="461"/>
        <v>L</v>
      </c>
      <c r="F14131" t="str">
        <f t="shared" si="462"/>
        <v>11L</v>
      </c>
    </row>
    <row r="14132" spans="1:6" x14ac:dyDescent="0.2">
      <c r="A14132">
        <v>12</v>
      </c>
      <c r="E14132" t="str">
        <f t="shared" si="461"/>
        <v>M</v>
      </c>
      <c r="F14132" t="str">
        <f t="shared" si="462"/>
        <v>12M</v>
      </c>
    </row>
    <row r="14133" spans="1:6" x14ac:dyDescent="0.2">
      <c r="A14133">
        <v>13</v>
      </c>
      <c r="E14133" t="str">
        <f t="shared" si="461"/>
        <v>N</v>
      </c>
      <c r="F14133" t="str">
        <f t="shared" si="462"/>
        <v>13N</v>
      </c>
    </row>
    <row r="14134" spans="1:6" x14ac:dyDescent="0.2">
      <c r="A14134">
        <v>14</v>
      </c>
      <c r="E14134" t="str">
        <f t="shared" si="461"/>
        <v>O</v>
      </c>
      <c r="F14134" t="str">
        <f t="shared" si="462"/>
        <v>14O</v>
      </c>
    </row>
    <row r="14135" spans="1:6" x14ac:dyDescent="0.2">
      <c r="A14135">
        <v>15</v>
      </c>
      <c r="E14135" t="str">
        <f t="shared" si="461"/>
        <v>P</v>
      </c>
      <c r="F14135" t="str">
        <f t="shared" si="462"/>
        <v>15P</v>
      </c>
    </row>
    <row r="14136" spans="1:6" x14ac:dyDescent="0.2">
      <c r="A14136">
        <v>16</v>
      </c>
      <c r="E14136" t="str">
        <f t="shared" si="461"/>
        <v>Q</v>
      </c>
      <c r="F14136" t="str">
        <f t="shared" si="462"/>
        <v>16Q</v>
      </c>
    </row>
    <row r="14137" spans="1:6" x14ac:dyDescent="0.2">
      <c r="A14137">
        <v>17</v>
      </c>
      <c r="E14137" t="str">
        <f t="shared" si="461"/>
        <v>R</v>
      </c>
      <c r="F14137" t="str">
        <f t="shared" si="462"/>
        <v>17R</v>
      </c>
    </row>
    <row r="14138" spans="1:6" x14ac:dyDescent="0.2">
      <c r="A14138">
        <v>18</v>
      </c>
      <c r="E14138" t="str">
        <f t="shared" si="461"/>
        <v>S</v>
      </c>
      <c r="F14138" t="str">
        <f t="shared" si="462"/>
        <v>18S</v>
      </c>
    </row>
    <row r="14139" spans="1:6" x14ac:dyDescent="0.2">
      <c r="A14139">
        <v>19</v>
      </c>
      <c r="E14139" t="str">
        <f t="shared" si="461"/>
        <v>T</v>
      </c>
      <c r="F14139" t="str">
        <f t="shared" si="462"/>
        <v>19T</v>
      </c>
    </row>
    <row r="14140" spans="1:6" x14ac:dyDescent="0.2">
      <c r="A14140">
        <v>20</v>
      </c>
      <c r="E14140" t="str">
        <f t="shared" si="461"/>
        <v>U</v>
      </c>
      <c r="F14140" t="str">
        <f t="shared" si="462"/>
        <v>20U</v>
      </c>
    </row>
    <row r="14141" spans="1:6" x14ac:dyDescent="0.2">
      <c r="A14141">
        <v>21</v>
      </c>
      <c r="E14141" t="str">
        <f t="shared" si="461"/>
        <v>V</v>
      </c>
      <c r="F14141" t="str">
        <f t="shared" si="462"/>
        <v>21V</v>
      </c>
    </row>
    <row r="14142" spans="1:6" x14ac:dyDescent="0.2">
      <c r="A14142">
        <v>22</v>
      </c>
      <c r="E14142" t="str">
        <f t="shared" si="461"/>
        <v>W</v>
      </c>
      <c r="F14142" t="str">
        <f t="shared" si="462"/>
        <v>22W</v>
      </c>
    </row>
    <row r="14143" spans="1:6" x14ac:dyDescent="0.2">
      <c r="A14143">
        <v>23</v>
      </c>
      <c r="E14143" t="str">
        <f t="shared" si="461"/>
        <v>X</v>
      </c>
      <c r="F14143" t="str">
        <f t="shared" si="462"/>
        <v>23X</v>
      </c>
    </row>
    <row r="14144" spans="1:6" x14ac:dyDescent="0.2">
      <c r="A14144">
        <v>24</v>
      </c>
      <c r="E14144" t="str">
        <f t="shared" si="461"/>
        <v>Y</v>
      </c>
      <c r="F14144" t="str">
        <f t="shared" si="462"/>
        <v>24Y</v>
      </c>
    </row>
    <row r="14145" spans="1:6" x14ac:dyDescent="0.2">
      <c r="A14145">
        <v>25</v>
      </c>
      <c r="E14145" t="str">
        <f t="shared" si="461"/>
        <v>Z</v>
      </c>
      <c r="F14145" t="str">
        <f t="shared" si="462"/>
        <v>25Z</v>
      </c>
    </row>
    <row r="14146" spans="1:6" x14ac:dyDescent="0.2">
      <c r="A14146">
        <v>0</v>
      </c>
      <c r="E14146" t="str">
        <f t="shared" si="461"/>
        <v>A</v>
      </c>
      <c r="F14146" t="str">
        <f t="shared" si="462"/>
        <v>0A</v>
      </c>
    </row>
    <row r="14147" spans="1:6" x14ac:dyDescent="0.2">
      <c r="A14147">
        <v>1</v>
      </c>
      <c r="E14147" t="str">
        <f t="shared" si="461"/>
        <v>B</v>
      </c>
      <c r="F14147" t="str">
        <f t="shared" si="462"/>
        <v>1B</v>
      </c>
    </row>
    <row r="14148" spans="1:6" x14ac:dyDescent="0.2">
      <c r="A14148">
        <v>2</v>
      </c>
      <c r="E14148" t="str">
        <f t="shared" si="461"/>
        <v>C</v>
      </c>
      <c r="F14148" t="str">
        <f t="shared" si="462"/>
        <v>2C</v>
      </c>
    </row>
    <row r="14149" spans="1:6" x14ac:dyDescent="0.2">
      <c r="A14149">
        <v>3</v>
      </c>
      <c r="E14149" t="str">
        <f t="shared" si="461"/>
        <v>D</v>
      </c>
      <c r="F14149" t="str">
        <f t="shared" si="462"/>
        <v>3D</v>
      </c>
    </row>
    <row r="14150" spans="1:6" x14ac:dyDescent="0.2">
      <c r="A14150">
        <v>4</v>
      </c>
      <c r="E14150" t="str">
        <f t="shared" si="461"/>
        <v>E</v>
      </c>
      <c r="F14150" t="str">
        <f t="shared" si="462"/>
        <v>4E</v>
      </c>
    </row>
    <row r="14151" spans="1:6" x14ac:dyDescent="0.2">
      <c r="A14151">
        <v>5</v>
      </c>
      <c r="E14151" t="str">
        <f t="shared" si="461"/>
        <v>F</v>
      </c>
      <c r="F14151" t="str">
        <f t="shared" si="462"/>
        <v>5F</v>
      </c>
    </row>
    <row r="14152" spans="1:6" x14ac:dyDescent="0.2">
      <c r="A14152">
        <v>6</v>
      </c>
      <c r="E14152" t="str">
        <f t="shared" si="461"/>
        <v>G</v>
      </c>
      <c r="F14152" t="str">
        <f t="shared" si="462"/>
        <v>6G</v>
      </c>
    </row>
    <row r="14153" spans="1:6" x14ac:dyDescent="0.2">
      <c r="A14153">
        <v>7</v>
      </c>
      <c r="E14153" t="str">
        <f t="shared" si="461"/>
        <v>H</v>
      </c>
      <c r="F14153" t="str">
        <f t="shared" si="462"/>
        <v>7H</v>
      </c>
    </row>
    <row r="14154" spans="1:6" x14ac:dyDescent="0.2">
      <c r="A14154">
        <v>8</v>
      </c>
      <c r="E14154" t="str">
        <f t="shared" si="461"/>
        <v>I</v>
      </c>
      <c r="F14154" t="str">
        <f t="shared" si="462"/>
        <v>8I</v>
      </c>
    </row>
    <row r="14155" spans="1:6" x14ac:dyDescent="0.2">
      <c r="A14155">
        <v>9</v>
      </c>
      <c r="E14155" t="str">
        <f t="shared" si="461"/>
        <v>J</v>
      </c>
      <c r="F14155" t="str">
        <f t="shared" si="462"/>
        <v>9J</v>
      </c>
    </row>
    <row r="14156" spans="1:6" x14ac:dyDescent="0.2">
      <c r="A14156">
        <v>10</v>
      </c>
      <c r="E14156" t="str">
        <f t="shared" si="461"/>
        <v>K</v>
      </c>
      <c r="F14156" t="str">
        <f t="shared" si="462"/>
        <v>10K</v>
      </c>
    </row>
    <row r="14157" spans="1:6" x14ac:dyDescent="0.2">
      <c r="A14157">
        <v>11</v>
      </c>
      <c r="E14157" t="str">
        <f t="shared" si="461"/>
        <v>L</v>
      </c>
      <c r="F14157" t="str">
        <f t="shared" si="462"/>
        <v>11L</v>
      </c>
    </row>
    <row r="14158" spans="1:6" x14ac:dyDescent="0.2">
      <c r="A14158">
        <v>12</v>
      </c>
      <c r="E14158" t="str">
        <f t="shared" si="461"/>
        <v>M</v>
      </c>
      <c r="F14158" t="str">
        <f t="shared" si="462"/>
        <v>12M</v>
      </c>
    </row>
    <row r="14159" spans="1:6" x14ac:dyDescent="0.2">
      <c r="A14159">
        <v>13</v>
      </c>
      <c r="E14159" t="str">
        <f t="shared" si="461"/>
        <v>N</v>
      </c>
      <c r="F14159" t="str">
        <f t="shared" si="462"/>
        <v>13N</v>
      </c>
    </row>
    <row r="14160" spans="1:6" x14ac:dyDescent="0.2">
      <c r="A14160">
        <v>14</v>
      </c>
      <c r="E14160" t="str">
        <f t="shared" si="461"/>
        <v>O</v>
      </c>
      <c r="F14160" t="str">
        <f t="shared" si="462"/>
        <v>14O</v>
      </c>
    </row>
    <row r="14161" spans="1:6" x14ac:dyDescent="0.2">
      <c r="A14161">
        <v>15</v>
      </c>
      <c r="E14161" t="str">
        <f t="shared" si="461"/>
        <v>P</v>
      </c>
      <c r="F14161" t="str">
        <f t="shared" si="462"/>
        <v>15P</v>
      </c>
    </row>
    <row r="14162" spans="1:6" x14ac:dyDescent="0.2">
      <c r="A14162">
        <v>16</v>
      </c>
      <c r="E14162" t="str">
        <f t="shared" si="461"/>
        <v>Q</v>
      </c>
      <c r="F14162" t="str">
        <f t="shared" si="462"/>
        <v>16Q</v>
      </c>
    </row>
    <row r="14163" spans="1:6" x14ac:dyDescent="0.2">
      <c r="A14163">
        <v>17</v>
      </c>
      <c r="E14163" t="str">
        <f t="shared" si="461"/>
        <v>R</v>
      </c>
      <c r="F14163" t="str">
        <f t="shared" si="462"/>
        <v>17R</v>
      </c>
    </row>
    <row r="14164" spans="1:6" x14ac:dyDescent="0.2">
      <c r="A14164">
        <v>18</v>
      </c>
      <c r="E14164" t="str">
        <f t="shared" si="461"/>
        <v>S</v>
      </c>
      <c r="F14164" t="str">
        <f t="shared" si="462"/>
        <v>18S</v>
      </c>
    </row>
    <row r="14165" spans="1:6" x14ac:dyDescent="0.2">
      <c r="A14165">
        <v>19</v>
      </c>
      <c r="E14165" t="str">
        <f t="shared" ref="E14165:E14228" si="463">E14139</f>
        <v>T</v>
      </c>
      <c r="F14165" t="str">
        <f t="shared" si="462"/>
        <v>19T</v>
      </c>
    </row>
    <row r="14166" spans="1:6" x14ac:dyDescent="0.2">
      <c r="A14166">
        <v>20</v>
      </c>
      <c r="E14166" t="str">
        <f t="shared" si="463"/>
        <v>U</v>
      </c>
      <c r="F14166" t="str">
        <f t="shared" si="462"/>
        <v>20U</v>
      </c>
    </row>
    <row r="14167" spans="1:6" x14ac:dyDescent="0.2">
      <c r="A14167">
        <v>21</v>
      </c>
      <c r="E14167" t="str">
        <f t="shared" si="463"/>
        <v>V</v>
      </c>
      <c r="F14167" t="str">
        <f t="shared" ref="F14167:F14230" si="464">A14167&amp;C14167&amp;E14167</f>
        <v>21V</v>
      </c>
    </row>
    <row r="14168" spans="1:6" x14ac:dyDescent="0.2">
      <c r="A14168">
        <v>22</v>
      </c>
      <c r="E14168" t="str">
        <f t="shared" si="463"/>
        <v>W</v>
      </c>
      <c r="F14168" t="str">
        <f t="shared" si="464"/>
        <v>22W</v>
      </c>
    </row>
    <row r="14169" spans="1:6" x14ac:dyDescent="0.2">
      <c r="A14169">
        <v>23</v>
      </c>
      <c r="E14169" t="str">
        <f t="shared" si="463"/>
        <v>X</v>
      </c>
      <c r="F14169" t="str">
        <f t="shared" si="464"/>
        <v>23X</v>
      </c>
    </row>
    <row r="14170" spans="1:6" x14ac:dyDescent="0.2">
      <c r="A14170">
        <v>24</v>
      </c>
      <c r="E14170" t="str">
        <f t="shared" si="463"/>
        <v>Y</v>
      </c>
      <c r="F14170" t="str">
        <f t="shared" si="464"/>
        <v>24Y</v>
      </c>
    </row>
    <row r="14171" spans="1:6" x14ac:dyDescent="0.2">
      <c r="A14171">
        <v>25</v>
      </c>
      <c r="E14171" t="str">
        <f t="shared" si="463"/>
        <v>Z</v>
      </c>
      <c r="F14171" t="str">
        <f t="shared" si="464"/>
        <v>25Z</v>
      </c>
    </row>
    <row r="14172" spans="1:6" x14ac:dyDescent="0.2">
      <c r="A14172">
        <v>0</v>
      </c>
      <c r="E14172" t="str">
        <f t="shared" si="463"/>
        <v>A</v>
      </c>
      <c r="F14172" t="str">
        <f t="shared" si="464"/>
        <v>0A</v>
      </c>
    </row>
    <row r="14173" spans="1:6" x14ac:dyDescent="0.2">
      <c r="A14173">
        <v>1</v>
      </c>
      <c r="E14173" t="str">
        <f t="shared" si="463"/>
        <v>B</v>
      </c>
      <c r="F14173" t="str">
        <f t="shared" si="464"/>
        <v>1B</v>
      </c>
    </row>
    <row r="14174" spans="1:6" x14ac:dyDescent="0.2">
      <c r="A14174">
        <v>2</v>
      </c>
      <c r="E14174" t="str">
        <f t="shared" si="463"/>
        <v>C</v>
      </c>
      <c r="F14174" t="str">
        <f t="shared" si="464"/>
        <v>2C</v>
      </c>
    </row>
    <row r="14175" spans="1:6" x14ac:dyDescent="0.2">
      <c r="A14175">
        <v>3</v>
      </c>
      <c r="E14175" t="str">
        <f t="shared" si="463"/>
        <v>D</v>
      </c>
      <c r="F14175" t="str">
        <f t="shared" si="464"/>
        <v>3D</v>
      </c>
    </row>
    <row r="14176" spans="1:6" x14ac:dyDescent="0.2">
      <c r="A14176">
        <v>4</v>
      </c>
      <c r="E14176" t="str">
        <f t="shared" si="463"/>
        <v>E</v>
      </c>
      <c r="F14176" t="str">
        <f t="shared" si="464"/>
        <v>4E</v>
      </c>
    </row>
    <row r="14177" spans="1:6" x14ac:dyDescent="0.2">
      <c r="A14177">
        <v>5</v>
      </c>
      <c r="E14177" t="str">
        <f t="shared" si="463"/>
        <v>F</v>
      </c>
      <c r="F14177" t="str">
        <f t="shared" si="464"/>
        <v>5F</v>
      </c>
    </row>
    <row r="14178" spans="1:6" x14ac:dyDescent="0.2">
      <c r="A14178">
        <v>6</v>
      </c>
      <c r="E14178" t="str">
        <f t="shared" si="463"/>
        <v>G</v>
      </c>
      <c r="F14178" t="str">
        <f t="shared" si="464"/>
        <v>6G</v>
      </c>
    </row>
    <row r="14179" spans="1:6" x14ac:dyDescent="0.2">
      <c r="A14179">
        <v>7</v>
      </c>
      <c r="E14179" t="str">
        <f t="shared" si="463"/>
        <v>H</v>
      </c>
      <c r="F14179" t="str">
        <f t="shared" si="464"/>
        <v>7H</v>
      </c>
    </row>
    <row r="14180" spans="1:6" x14ac:dyDescent="0.2">
      <c r="A14180">
        <v>8</v>
      </c>
      <c r="E14180" t="str">
        <f t="shared" si="463"/>
        <v>I</v>
      </c>
      <c r="F14180" t="str">
        <f t="shared" si="464"/>
        <v>8I</v>
      </c>
    </row>
    <row r="14181" spans="1:6" x14ac:dyDescent="0.2">
      <c r="A14181">
        <v>9</v>
      </c>
      <c r="E14181" t="str">
        <f t="shared" si="463"/>
        <v>J</v>
      </c>
      <c r="F14181" t="str">
        <f t="shared" si="464"/>
        <v>9J</v>
      </c>
    </row>
    <row r="14182" spans="1:6" x14ac:dyDescent="0.2">
      <c r="A14182">
        <v>10</v>
      </c>
      <c r="E14182" t="str">
        <f t="shared" si="463"/>
        <v>K</v>
      </c>
      <c r="F14182" t="str">
        <f t="shared" si="464"/>
        <v>10K</v>
      </c>
    </row>
    <row r="14183" spans="1:6" x14ac:dyDescent="0.2">
      <c r="A14183">
        <v>11</v>
      </c>
      <c r="E14183" t="str">
        <f t="shared" si="463"/>
        <v>L</v>
      </c>
      <c r="F14183" t="str">
        <f t="shared" si="464"/>
        <v>11L</v>
      </c>
    </row>
    <row r="14184" spans="1:6" x14ac:dyDescent="0.2">
      <c r="A14184">
        <v>12</v>
      </c>
      <c r="E14184" t="str">
        <f t="shared" si="463"/>
        <v>M</v>
      </c>
      <c r="F14184" t="str">
        <f t="shared" si="464"/>
        <v>12M</v>
      </c>
    </row>
    <row r="14185" spans="1:6" x14ac:dyDescent="0.2">
      <c r="A14185">
        <v>13</v>
      </c>
      <c r="E14185" t="str">
        <f t="shared" si="463"/>
        <v>N</v>
      </c>
      <c r="F14185" t="str">
        <f t="shared" si="464"/>
        <v>13N</v>
      </c>
    </row>
    <row r="14186" spans="1:6" x14ac:dyDescent="0.2">
      <c r="A14186">
        <v>14</v>
      </c>
      <c r="E14186" t="str">
        <f t="shared" si="463"/>
        <v>O</v>
      </c>
      <c r="F14186" t="str">
        <f t="shared" si="464"/>
        <v>14O</v>
      </c>
    </row>
    <row r="14187" spans="1:6" x14ac:dyDescent="0.2">
      <c r="A14187">
        <v>15</v>
      </c>
      <c r="E14187" t="str">
        <f t="shared" si="463"/>
        <v>P</v>
      </c>
      <c r="F14187" t="str">
        <f t="shared" si="464"/>
        <v>15P</v>
      </c>
    </row>
    <row r="14188" spans="1:6" x14ac:dyDescent="0.2">
      <c r="A14188">
        <v>16</v>
      </c>
      <c r="E14188" t="str">
        <f t="shared" si="463"/>
        <v>Q</v>
      </c>
      <c r="F14188" t="str">
        <f t="shared" si="464"/>
        <v>16Q</v>
      </c>
    </row>
    <row r="14189" spans="1:6" x14ac:dyDescent="0.2">
      <c r="A14189">
        <v>17</v>
      </c>
      <c r="E14189" t="str">
        <f t="shared" si="463"/>
        <v>R</v>
      </c>
      <c r="F14189" t="str">
        <f t="shared" si="464"/>
        <v>17R</v>
      </c>
    </row>
    <row r="14190" spans="1:6" x14ac:dyDescent="0.2">
      <c r="A14190">
        <v>18</v>
      </c>
      <c r="E14190" t="str">
        <f t="shared" si="463"/>
        <v>S</v>
      </c>
      <c r="F14190" t="str">
        <f t="shared" si="464"/>
        <v>18S</v>
      </c>
    </row>
    <row r="14191" spans="1:6" x14ac:dyDescent="0.2">
      <c r="A14191">
        <v>19</v>
      </c>
      <c r="E14191" t="str">
        <f t="shared" si="463"/>
        <v>T</v>
      </c>
      <c r="F14191" t="str">
        <f t="shared" si="464"/>
        <v>19T</v>
      </c>
    </row>
    <row r="14192" spans="1:6" x14ac:dyDescent="0.2">
      <c r="A14192">
        <v>20</v>
      </c>
      <c r="E14192" t="str">
        <f t="shared" si="463"/>
        <v>U</v>
      </c>
      <c r="F14192" t="str">
        <f t="shared" si="464"/>
        <v>20U</v>
      </c>
    </row>
    <row r="14193" spans="1:6" x14ac:dyDescent="0.2">
      <c r="A14193">
        <v>21</v>
      </c>
      <c r="E14193" t="str">
        <f t="shared" si="463"/>
        <v>V</v>
      </c>
      <c r="F14193" t="str">
        <f t="shared" si="464"/>
        <v>21V</v>
      </c>
    </row>
    <row r="14194" spans="1:6" x14ac:dyDescent="0.2">
      <c r="A14194">
        <v>22</v>
      </c>
      <c r="E14194" t="str">
        <f t="shared" si="463"/>
        <v>W</v>
      </c>
      <c r="F14194" t="str">
        <f t="shared" si="464"/>
        <v>22W</v>
      </c>
    </row>
    <row r="14195" spans="1:6" x14ac:dyDescent="0.2">
      <c r="A14195">
        <v>23</v>
      </c>
      <c r="E14195" t="str">
        <f t="shared" si="463"/>
        <v>X</v>
      </c>
      <c r="F14195" t="str">
        <f t="shared" si="464"/>
        <v>23X</v>
      </c>
    </row>
    <row r="14196" spans="1:6" x14ac:dyDescent="0.2">
      <c r="A14196">
        <v>24</v>
      </c>
      <c r="E14196" t="str">
        <f t="shared" si="463"/>
        <v>Y</v>
      </c>
      <c r="F14196" t="str">
        <f t="shared" si="464"/>
        <v>24Y</v>
      </c>
    </row>
    <row r="14197" spans="1:6" x14ac:dyDescent="0.2">
      <c r="A14197">
        <v>25</v>
      </c>
      <c r="E14197" t="str">
        <f t="shared" si="463"/>
        <v>Z</v>
      </c>
      <c r="F14197" t="str">
        <f t="shared" si="464"/>
        <v>25Z</v>
      </c>
    </row>
    <row r="14198" spans="1:6" x14ac:dyDescent="0.2">
      <c r="A14198">
        <v>0</v>
      </c>
      <c r="E14198" t="str">
        <f t="shared" si="463"/>
        <v>A</v>
      </c>
      <c r="F14198" t="str">
        <f t="shared" si="464"/>
        <v>0A</v>
      </c>
    </row>
    <row r="14199" spans="1:6" x14ac:dyDescent="0.2">
      <c r="A14199">
        <v>1</v>
      </c>
      <c r="E14199" t="str">
        <f t="shared" si="463"/>
        <v>B</v>
      </c>
      <c r="F14199" t="str">
        <f t="shared" si="464"/>
        <v>1B</v>
      </c>
    </row>
    <row r="14200" spans="1:6" x14ac:dyDescent="0.2">
      <c r="A14200">
        <v>2</v>
      </c>
      <c r="E14200" t="str">
        <f t="shared" si="463"/>
        <v>C</v>
      </c>
      <c r="F14200" t="str">
        <f t="shared" si="464"/>
        <v>2C</v>
      </c>
    </row>
    <row r="14201" spans="1:6" x14ac:dyDescent="0.2">
      <c r="A14201">
        <v>3</v>
      </c>
      <c r="E14201" t="str">
        <f t="shared" si="463"/>
        <v>D</v>
      </c>
      <c r="F14201" t="str">
        <f t="shared" si="464"/>
        <v>3D</v>
      </c>
    </row>
    <row r="14202" spans="1:6" x14ac:dyDescent="0.2">
      <c r="A14202">
        <v>4</v>
      </c>
      <c r="E14202" t="str">
        <f t="shared" si="463"/>
        <v>E</v>
      </c>
      <c r="F14202" t="str">
        <f t="shared" si="464"/>
        <v>4E</v>
      </c>
    </row>
    <row r="14203" spans="1:6" x14ac:dyDescent="0.2">
      <c r="A14203">
        <v>5</v>
      </c>
      <c r="E14203" t="str">
        <f t="shared" si="463"/>
        <v>F</v>
      </c>
      <c r="F14203" t="str">
        <f t="shared" si="464"/>
        <v>5F</v>
      </c>
    </row>
    <row r="14204" spans="1:6" x14ac:dyDescent="0.2">
      <c r="A14204">
        <v>6</v>
      </c>
      <c r="E14204" t="str">
        <f t="shared" si="463"/>
        <v>G</v>
      </c>
      <c r="F14204" t="str">
        <f t="shared" si="464"/>
        <v>6G</v>
      </c>
    </row>
    <row r="14205" spans="1:6" x14ac:dyDescent="0.2">
      <c r="A14205">
        <v>7</v>
      </c>
      <c r="E14205" t="str">
        <f t="shared" si="463"/>
        <v>H</v>
      </c>
      <c r="F14205" t="str">
        <f t="shared" si="464"/>
        <v>7H</v>
      </c>
    </row>
    <row r="14206" spans="1:6" x14ac:dyDescent="0.2">
      <c r="A14206">
        <v>8</v>
      </c>
      <c r="E14206" t="str">
        <f t="shared" si="463"/>
        <v>I</v>
      </c>
      <c r="F14206" t="str">
        <f t="shared" si="464"/>
        <v>8I</v>
      </c>
    </row>
    <row r="14207" spans="1:6" x14ac:dyDescent="0.2">
      <c r="A14207">
        <v>9</v>
      </c>
      <c r="E14207" t="str">
        <f t="shared" si="463"/>
        <v>J</v>
      </c>
      <c r="F14207" t="str">
        <f t="shared" si="464"/>
        <v>9J</v>
      </c>
    </row>
    <row r="14208" spans="1:6" x14ac:dyDescent="0.2">
      <c r="A14208">
        <v>10</v>
      </c>
      <c r="E14208" t="str">
        <f t="shared" si="463"/>
        <v>K</v>
      </c>
      <c r="F14208" t="str">
        <f t="shared" si="464"/>
        <v>10K</v>
      </c>
    </row>
    <row r="14209" spans="1:6" x14ac:dyDescent="0.2">
      <c r="A14209">
        <v>11</v>
      </c>
      <c r="E14209" t="str">
        <f t="shared" si="463"/>
        <v>L</v>
      </c>
      <c r="F14209" t="str">
        <f t="shared" si="464"/>
        <v>11L</v>
      </c>
    </row>
    <row r="14210" spans="1:6" x14ac:dyDescent="0.2">
      <c r="A14210">
        <v>12</v>
      </c>
      <c r="E14210" t="str">
        <f t="shared" si="463"/>
        <v>M</v>
      </c>
      <c r="F14210" t="str">
        <f t="shared" si="464"/>
        <v>12M</v>
      </c>
    </row>
    <row r="14211" spans="1:6" x14ac:dyDescent="0.2">
      <c r="A14211">
        <v>13</v>
      </c>
      <c r="E14211" t="str">
        <f t="shared" si="463"/>
        <v>N</v>
      </c>
      <c r="F14211" t="str">
        <f t="shared" si="464"/>
        <v>13N</v>
      </c>
    </row>
    <row r="14212" spans="1:6" x14ac:dyDescent="0.2">
      <c r="A14212">
        <v>14</v>
      </c>
      <c r="E14212" t="str">
        <f t="shared" si="463"/>
        <v>O</v>
      </c>
      <c r="F14212" t="str">
        <f t="shared" si="464"/>
        <v>14O</v>
      </c>
    </row>
    <row r="14213" spans="1:6" x14ac:dyDescent="0.2">
      <c r="A14213">
        <v>15</v>
      </c>
      <c r="E14213" t="str">
        <f t="shared" si="463"/>
        <v>P</v>
      </c>
      <c r="F14213" t="str">
        <f t="shared" si="464"/>
        <v>15P</v>
      </c>
    </row>
    <row r="14214" spans="1:6" x14ac:dyDescent="0.2">
      <c r="A14214">
        <v>16</v>
      </c>
      <c r="E14214" t="str">
        <f t="shared" si="463"/>
        <v>Q</v>
      </c>
      <c r="F14214" t="str">
        <f t="shared" si="464"/>
        <v>16Q</v>
      </c>
    </row>
    <row r="14215" spans="1:6" x14ac:dyDescent="0.2">
      <c r="A14215">
        <v>17</v>
      </c>
      <c r="E14215" t="str">
        <f t="shared" si="463"/>
        <v>R</v>
      </c>
      <c r="F14215" t="str">
        <f t="shared" si="464"/>
        <v>17R</v>
      </c>
    </row>
    <row r="14216" spans="1:6" x14ac:dyDescent="0.2">
      <c r="A14216">
        <v>18</v>
      </c>
      <c r="E14216" t="str">
        <f t="shared" si="463"/>
        <v>S</v>
      </c>
      <c r="F14216" t="str">
        <f t="shared" si="464"/>
        <v>18S</v>
      </c>
    </row>
    <row r="14217" spans="1:6" x14ac:dyDescent="0.2">
      <c r="A14217">
        <v>19</v>
      </c>
      <c r="E14217" t="str">
        <f t="shared" si="463"/>
        <v>T</v>
      </c>
      <c r="F14217" t="str">
        <f t="shared" si="464"/>
        <v>19T</v>
      </c>
    </row>
    <row r="14218" spans="1:6" x14ac:dyDescent="0.2">
      <c r="A14218">
        <v>20</v>
      </c>
      <c r="E14218" t="str">
        <f t="shared" si="463"/>
        <v>U</v>
      </c>
      <c r="F14218" t="str">
        <f t="shared" si="464"/>
        <v>20U</v>
      </c>
    </row>
    <row r="14219" spans="1:6" x14ac:dyDescent="0.2">
      <c r="A14219">
        <v>21</v>
      </c>
      <c r="E14219" t="str">
        <f t="shared" si="463"/>
        <v>V</v>
      </c>
      <c r="F14219" t="str">
        <f t="shared" si="464"/>
        <v>21V</v>
      </c>
    </row>
    <row r="14220" spans="1:6" x14ac:dyDescent="0.2">
      <c r="A14220">
        <v>22</v>
      </c>
      <c r="E14220" t="str">
        <f t="shared" si="463"/>
        <v>W</v>
      </c>
      <c r="F14220" t="str">
        <f t="shared" si="464"/>
        <v>22W</v>
      </c>
    </row>
    <row r="14221" spans="1:6" x14ac:dyDescent="0.2">
      <c r="A14221">
        <v>23</v>
      </c>
      <c r="E14221" t="str">
        <f t="shared" si="463"/>
        <v>X</v>
      </c>
      <c r="F14221" t="str">
        <f t="shared" si="464"/>
        <v>23X</v>
      </c>
    </row>
    <row r="14222" spans="1:6" x14ac:dyDescent="0.2">
      <c r="A14222">
        <v>24</v>
      </c>
      <c r="E14222" t="str">
        <f t="shared" si="463"/>
        <v>Y</v>
      </c>
      <c r="F14222" t="str">
        <f t="shared" si="464"/>
        <v>24Y</v>
      </c>
    </row>
    <row r="14223" spans="1:6" x14ac:dyDescent="0.2">
      <c r="A14223">
        <v>25</v>
      </c>
      <c r="E14223" t="str">
        <f t="shared" si="463"/>
        <v>Z</v>
      </c>
      <c r="F14223" t="str">
        <f t="shared" si="464"/>
        <v>25Z</v>
      </c>
    </row>
    <row r="14224" spans="1:6" x14ac:dyDescent="0.2">
      <c r="A14224">
        <v>0</v>
      </c>
      <c r="E14224" t="str">
        <f t="shared" si="463"/>
        <v>A</v>
      </c>
      <c r="F14224" t="str">
        <f t="shared" si="464"/>
        <v>0A</v>
      </c>
    </row>
    <row r="14225" spans="1:6" x14ac:dyDescent="0.2">
      <c r="A14225">
        <v>1</v>
      </c>
      <c r="E14225" t="str">
        <f t="shared" si="463"/>
        <v>B</v>
      </c>
      <c r="F14225" t="str">
        <f t="shared" si="464"/>
        <v>1B</v>
      </c>
    </row>
    <row r="14226" spans="1:6" x14ac:dyDescent="0.2">
      <c r="A14226">
        <v>2</v>
      </c>
      <c r="E14226" t="str">
        <f t="shared" si="463"/>
        <v>C</v>
      </c>
      <c r="F14226" t="str">
        <f t="shared" si="464"/>
        <v>2C</v>
      </c>
    </row>
    <row r="14227" spans="1:6" x14ac:dyDescent="0.2">
      <c r="A14227">
        <v>3</v>
      </c>
      <c r="E14227" t="str">
        <f t="shared" si="463"/>
        <v>D</v>
      </c>
      <c r="F14227" t="str">
        <f t="shared" si="464"/>
        <v>3D</v>
      </c>
    </row>
    <row r="14228" spans="1:6" x14ac:dyDescent="0.2">
      <c r="A14228">
        <v>4</v>
      </c>
      <c r="E14228" t="str">
        <f t="shared" si="463"/>
        <v>E</v>
      </c>
      <c r="F14228" t="str">
        <f t="shared" si="464"/>
        <v>4E</v>
      </c>
    </row>
    <row r="14229" spans="1:6" x14ac:dyDescent="0.2">
      <c r="A14229">
        <v>5</v>
      </c>
      <c r="E14229" t="str">
        <f t="shared" ref="E14229:E14292" si="465">E14203</f>
        <v>F</v>
      </c>
      <c r="F14229" t="str">
        <f t="shared" si="464"/>
        <v>5F</v>
      </c>
    </row>
    <row r="14230" spans="1:6" x14ac:dyDescent="0.2">
      <c r="A14230">
        <v>6</v>
      </c>
      <c r="E14230" t="str">
        <f t="shared" si="465"/>
        <v>G</v>
      </c>
      <c r="F14230" t="str">
        <f t="shared" si="464"/>
        <v>6G</v>
      </c>
    </row>
    <row r="14231" spans="1:6" x14ac:dyDescent="0.2">
      <c r="A14231">
        <v>7</v>
      </c>
      <c r="E14231" t="str">
        <f t="shared" si="465"/>
        <v>H</v>
      </c>
      <c r="F14231" t="str">
        <f t="shared" ref="F14231:F14294" si="466">A14231&amp;C14231&amp;E14231</f>
        <v>7H</v>
      </c>
    </row>
    <row r="14232" spans="1:6" x14ac:dyDescent="0.2">
      <c r="A14232">
        <v>8</v>
      </c>
      <c r="E14232" t="str">
        <f t="shared" si="465"/>
        <v>I</v>
      </c>
      <c r="F14232" t="str">
        <f t="shared" si="466"/>
        <v>8I</v>
      </c>
    </row>
    <row r="14233" spans="1:6" x14ac:dyDescent="0.2">
      <c r="A14233">
        <v>9</v>
      </c>
      <c r="E14233" t="str">
        <f t="shared" si="465"/>
        <v>J</v>
      </c>
      <c r="F14233" t="str">
        <f t="shared" si="466"/>
        <v>9J</v>
      </c>
    </row>
    <row r="14234" spans="1:6" x14ac:dyDescent="0.2">
      <c r="A14234">
        <v>10</v>
      </c>
      <c r="E14234" t="str">
        <f t="shared" si="465"/>
        <v>K</v>
      </c>
      <c r="F14234" t="str">
        <f t="shared" si="466"/>
        <v>10K</v>
      </c>
    </row>
    <row r="14235" spans="1:6" x14ac:dyDescent="0.2">
      <c r="A14235">
        <v>11</v>
      </c>
      <c r="E14235" t="str">
        <f t="shared" si="465"/>
        <v>L</v>
      </c>
      <c r="F14235" t="str">
        <f t="shared" si="466"/>
        <v>11L</v>
      </c>
    </row>
    <row r="14236" spans="1:6" x14ac:dyDescent="0.2">
      <c r="A14236">
        <v>12</v>
      </c>
      <c r="E14236" t="str">
        <f t="shared" si="465"/>
        <v>M</v>
      </c>
      <c r="F14236" t="str">
        <f t="shared" si="466"/>
        <v>12M</v>
      </c>
    </row>
    <row r="14237" spans="1:6" x14ac:dyDescent="0.2">
      <c r="A14237">
        <v>13</v>
      </c>
      <c r="E14237" t="str">
        <f t="shared" si="465"/>
        <v>N</v>
      </c>
      <c r="F14237" t="str">
        <f t="shared" si="466"/>
        <v>13N</v>
      </c>
    </row>
    <row r="14238" spans="1:6" x14ac:dyDescent="0.2">
      <c r="A14238">
        <v>14</v>
      </c>
      <c r="E14238" t="str">
        <f t="shared" si="465"/>
        <v>O</v>
      </c>
      <c r="F14238" t="str">
        <f t="shared" si="466"/>
        <v>14O</v>
      </c>
    </row>
    <row r="14239" spans="1:6" x14ac:dyDescent="0.2">
      <c r="A14239">
        <v>15</v>
      </c>
      <c r="E14239" t="str">
        <f t="shared" si="465"/>
        <v>P</v>
      </c>
      <c r="F14239" t="str">
        <f t="shared" si="466"/>
        <v>15P</v>
      </c>
    </row>
    <row r="14240" spans="1:6" x14ac:dyDescent="0.2">
      <c r="A14240">
        <v>16</v>
      </c>
      <c r="E14240" t="str">
        <f t="shared" si="465"/>
        <v>Q</v>
      </c>
      <c r="F14240" t="str">
        <f t="shared" si="466"/>
        <v>16Q</v>
      </c>
    </row>
    <row r="14241" spans="1:6" x14ac:dyDescent="0.2">
      <c r="A14241">
        <v>17</v>
      </c>
      <c r="E14241" t="str">
        <f t="shared" si="465"/>
        <v>R</v>
      </c>
      <c r="F14241" t="str">
        <f t="shared" si="466"/>
        <v>17R</v>
      </c>
    </row>
    <row r="14242" spans="1:6" x14ac:dyDescent="0.2">
      <c r="A14242">
        <v>18</v>
      </c>
      <c r="E14242" t="str">
        <f t="shared" si="465"/>
        <v>S</v>
      </c>
      <c r="F14242" t="str">
        <f t="shared" si="466"/>
        <v>18S</v>
      </c>
    </row>
    <row r="14243" spans="1:6" x14ac:dyDescent="0.2">
      <c r="A14243">
        <v>19</v>
      </c>
      <c r="E14243" t="str">
        <f t="shared" si="465"/>
        <v>T</v>
      </c>
      <c r="F14243" t="str">
        <f t="shared" si="466"/>
        <v>19T</v>
      </c>
    </row>
    <row r="14244" spans="1:6" x14ac:dyDescent="0.2">
      <c r="A14244">
        <v>20</v>
      </c>
      <c r="E14244" t="str">
        <f t="shared" si="465"/>
        <v>U</v>
      </c>
      <c r="F14244" t="str">
        <f t="shared" si="466"/>
        <v>20U</v>
      </c>
    </row>
    <row r="14245" spans="1:6" x14ac:dyDescent="0.2">
      <c r="A14245">
        <v>21</v>
      </c>
      <c r="E14245" t="str">
        <f t="shared" si="465"/>
        <v>V</v>
      </c>
      <c r="F14245" t="str">
        <f t="shared" si="466"/>
        <v>21V</v>
      </c>
    </row>
    <row r="14246" spans="1:6" x14ac:dyDescent="0.2">
      <c r="A14246">
        <v>22</v>
      </c>
      <c r="E14246" t="str">
        <f t="shared" si="465"/>
        <v>W</v>
      </c>
      <c r="F14246" t="str">
        <f t="shared" si="466"/>
        <v>22W</v>
      </c>
    </row>
    <row r="14247" spans="1:6" x14ac:dyDescent="0.2">
      <c r="A14247">
        <v>23</v>
      </c>
      <c r="E14247" t="str">
        <f t="shared" si="465"/>
        <v>X</v>
      </c>
      <c r="F14247" t="str">
        <f t="shared" si="466"/>
        <v>23X</v>
      </c>
    </row>
    <row r="14248" spans="1:6" x14ac:dyDescent="0.2">
      <c r="A14248">
        <v>24</v>
      </c>
      <c r="E14248" t="str">
        <f t="shared" si="465"/>
        <v>Y</v>
      </c>
      <c r="F14248" t="str">
        <f t="shared" si="466"/>
        <v>24Y</v>
      </c>
    </row>
    <row r="14249" spans="1:6" x14ac:dyDescent="0.2">
      <c r="A14249">
        <v>25</v>
      </c>
      <c r="E14249" t="str">
        <f t="shared" si="465"/>
        <v>Z</v>
      </c>
      <c r="F14249" t="str">
        <f t="shared" si="466"/>
        <v>25Z</v>
      </c>
    </row>
    <row r="14250" spans="1:6" x14ac:dyDescent="0.2">
      <c r="A14250">
        <v>0</v>
      </c>
      <c r="E14250" t="str">
        <f t="shared" si="465"/>
        <v>A</v>
      </c>
      <c r="F14250" t="str">
        <f t="shared" si="466"/>
        <v>0A</v>
      </c>
    </row>
    <row r="14251" spans="1:6" x14ac:dyDescent="0.2">
      <c r="A14251">
        <v>1</v>
      </c>
      <c r="E14251" t="str">
        <f t="shared" si="465"/>
        <v>B</v>
      </c>
      <c r="F14251" t="str">
        <f t="shared" si="466"/>
        <v>1B</v>
      </c>
    </row>
    <row r="14252" spans="1:6" x14ac:dyDescent="0.2">
      <c r="A14252">
        <v>2</v>
      </c>
      <c r="E14252" t="str">
        <f t="shared" si="465"/>
        <v>C</v>
      </c>
      <c r="F14252" t="str">
        <f t="shared" si="466"/>
        <v>2C</v>
      </c>
    </row>
    <row r="14253" spans="1:6" x14ac:dyDescent="0.2">
      <c r="A14253">
        <v>3</v>
      </c>
      <c r="E14253" t="str">
        <f t="shared" si="465"/>
        <v>D</v>
      </c>
      <c r="F14253" t="str">
        <f t="shared" si="466"/>
        <v>3D</v>
      </c>
    </row>
    <row r="14254" spans="1:6" x14ac:dyDescent="0.2">
      <c r="A14254">
        <v>4</v>
      </c>
      <c r="E14254" t="str">
        <f t="shared" si="465"/>
        <v>E</v>
      </c>
      <c r="F14254" t="str">
        <f t="shared" si="466"/>
        <v>4E</v>
      </c>
    </row>
    <row r="14255" spans="1:6" x14ac:dyDescent="0.2">
      <c r="A14255">
        <v>5</v>
      </c>
      <c r="E14255" t="str">
        <f t="shared" si="465"/>
        <v>F</v>
      </c>
      <c r="F14255" t="str">
        <f t="shared" si="466"/>
        <v>5F</v>
      </c>
    </row>
    <row r="14256" spans="1:6" x14ac:dyDescent="0.2">
      <c r="A14256">
        <v>6</v>
      </c>
      <c r="E14256" t="str">
        <f t="shared" si="465"/>
        <v>G</v>
      </c>
      <c r="F14256" t="str">
        <f t="shared" si="466"/>
        <v>6G</v>
      </c>
    </row>
    <row r="14257" spans="1:6" x14ac:dyDescent="0.2">
      <c r="A14257">
        <v>7</v>
      </c>
      <c r="E14257" t="str">
        <f t="shared" si="465"/>
        <v>H</v>
      </c>
      <c r="F14257" t="str">
        <f t="shared" si="466"/>
        <v>7H</v>
      </c>
    </row>
    <row r="14258" spans="1:6" x14ac:dyDescent="0.2">
      <c r="A14258">
        <v>8</v>
      </c>
      <c r="E14258" t="str">
        <f t="shared" si="465"/>
        <v>I</v>
      </c>
      <c r="F14258" t="str">
        <f t="shared" si="466"/>
        <v>8I</v>
      </c>
    </row>
    <row r="14259" spans="1:6" x14ac:dyDescent="0.2">
      <c r="A14259">
        <v>9</v>
      </c>
      <c r="E14259" t="str">
        <f t="shared" si="465"/>
        <v>J</v>
      </c>
      <c r="F14259" t="str">
        <f t="shared" si="466"/>
        <v>9J</v>
      </c>
    </row>
    <row r="14260" spans="1:6" x14ac:dyDescent="0.2">
      <c r="A14260">
        <v>10</v>
      </c>
      <c r="E14260" t="str">
        <f t="shared" si="465"/>
        <v>K</v>
      </c>
      <c r="F14260" t="str">
        <f t="shared" si="466"/>
        <v>10K</v>
      </c>
    </row>
    <row r="14261" spans="1:6" x14ac:dyDescent="0.2">
      <c r="A14261">
        <v>11</v>
      </c>
      <c r="E14261" t="str">
        <f t="shared" si="465"/>
        <v>L</v>
      </c>
      <c r="F14261" t="str">
        <f t="shared" si="466"/>
        <v>11L</v>
      </c>
    </row>
    <row r="14262" spans="1:6" x14ac:dyDescent="0.2">
      <c r="A14262">
        <v>12</v>
      </c>
      <c r="E14262" t="str">
        <f t="shared" si="465"/>
        <v>M</v>
      </c>
      <c r="F14262" t="str">
        <f t="shared" si="466"/>
        <v>12M</v>
      </c>
    </row>
    <row r="14263" spans="1:6" x14ac:dyDescent="0.2">
      <c r="A14263">
        <v>13</v>
      </c>
      <c r="E14263" t="str">
        <f t="shared" si="465"/>
        <v>N</v>
      </c>
      <c r="F14263" t="str">
        <f t="shared" si="466"/>
        <v>13N</v>
      </c>
    </row>
    <row r="14264" spans="1:6" x14ac:dyDescent="0.2">
      <c r="A14264">
        <v>14</v>
      </c>
      <c r="E14264" t="str">
        <f t="shared" si="465"/>
        <v>O</v>
      </c>
      <c r="F14264" t="str">
        <f t="shared" si="466"/>
        <v>14O</v>
      </c>
    </row>
    <row r="14265" spans="1:6" x14ac:dyDescent="0.2">
      <c r="A14265">
        <v>15</v>
      </c>
      <c r="E14265" t="str">
        <f t="shared" si="465"/>
        <v>P</v>
      </c>
      <c r="F14265" t="str">
        <f t="shared" si="466"/>
        <v>15P</v>
      </c>
    </row>
    <row r="14266" spans="1:6" x14ac:dyDescent="0.2">
      <c r="A14266">
        <v>16</v>
      </c>
      <c r="E14266" t="str">
        <f t="shared" si="465"/>
        <v>Q</v>
      </c>
      <c r="F14266" t="str">
        <f t="shared" si="466"/>
        <v>16Q</v>
      </c>
    </row>
    <row r="14267" spans="1:6" x14ac:dyDescent="0.2">
      <c r="A14267">
        <v>17</v>
      </c>
      <c r="E14267" t="str">
        <f t="shared" si="465"/>
        <v>R</v>
      </c>
      <c r="F14267" t="str">
        <f t="shared" si="466"/>
        <v>17R</v>
      </c>
    </row>
    <row r="14268" spans="1:6" x14ac:dyDescent="0.2">
      <c r="A14268">
        <v>18</v>
      </c>
      <c r="E14268" t="str">
        <f t="shared" si="465"/>
        <v>S</v>
      </c>
      <c r="F14268" t="str">
        <f t="shared" si="466"/>
        <v>18S</v>
      </c>
    </row>
    <row r="14269" spans="1:6" x14ac:dyDescent="0.2">
      <c r="A14269">
        <v>19</v>
      </c>
      <c r="E14269" t="str">
        <f t="shared" si="465"/>
        <v>T</v>
      </c>
      <c r="F14269" t="str">
        <f t="shared" si="466"/>
        <v>19T</v>
      </c>
    </row>
    <row r="14270" spans="1:6" x14ac:dyDescent="0.2">
      <c r="A14270">
        <v>20</v>
      </c>
      <c r="E14270" t="str">
        <f t="shared" si="465"/>
        <v>U</v>
      </c>
      <c r="F14270" t="str">
        <f t="shared" si="466"/>
        <v>20U</v>
      </c>
    </row>
    <row r="14271" spans="1:6" x14ac:dyDescent="0.2">
      <c r="A14271">
        <v>21</v>
      </c>
      <c r="E14271" t="str">
        <f t="shared" si="465"/>
        <v>V</v>
      </c>
      <c r="F14271" t="str">
        <f t="shared" si="466"/>
        <v>21V</v>
      </c>
    </row>
    <row r="14272" spans="1:6" x14ac:dyDescent="0.2">
      <c r="A14272">
        <v>22</v>
      </c>
      <c r="E14272" t="str">
        <f t="shared" si="465"/>
        <v>W</v>
      </c>
      <c r="F14272" t="str">
        <f t="shared" si="466"/>
        <v>22W</v>
      </c>
    </row>
    <row r="14273" spans="1:6" x14ac:dyDescent="0.2">
      <c r="A14273">
        <v>23</v>
      </c>
      <c r="E14273" t="str">
        <f t="shared" si="465"/>
        <v>X</v>
      </c>
      <c r="F14273" t="str">
        <f t="shared" si="466"/>
        <v>23X</v>
      </c>
    </row>
    <row r="14274" spans="1:6" x14ac:dyDescent="0.2">
      <c r="A14274">
        <v>24</v>
      </c>
      <c r="E14274" t="str">
        <f t="shared" si="465"/>
        <v>Y</v>
      </c>
      <c r="F14274" t="str">
        <f t="shared" si="466"/>
        <v>24Y</v>
      </c>
    </row>
    <row r="14275" spans="1:6" x14ac:dyDescent="0.2">
      <c r="A14275">
        <v>25</v>
      </c>
      <c r="E14275" t="str">
        <f t="shared" si="465"/>
        <v>Z</v>
      </c>
      <c r="F14275" t="str">
        <f t="shared" si="466"/>
        <v>25Z</v>
      </c>
    </row>
    <row r="14276" spans="1:6" x14ac:dyDescent="0.2">
      <c r="A14276">
        <v>0</v>
      </c>
      <c r="E14276" t="str">
        <f t="shared" si="465"/>
        <v>A</v>
      </c>
      <c r="F14276" t="str">
        <f t="shared" si="466"/>
        <v>0A</v>
      </c>
    </row>
    <row r="14277" spans="1:6" x14ac:dyDescent="0.2">
      <c r="A14277">
        <v>1</v>
      </c>
      <c r="E14277" t="str">
        <f t="shared" si="465"/>
        <v>B</v>
      </c>
      <c r="F14277" t="str">
        <f t="shared" si="466"/>
        <v>1B</v>
      </c>
    </row>
    <row r="14278" spans="1:6" x14ac:dyDescent="0.2">
      <c r="A14278">
        <v>2</v>
      </c>
      <c r="E14278" t="str">
        <f t="shared" si="465"/>
        <v>C</v>
      </c>
      <c r="F14278" t="str">
        <f t="shared" si="466"/>
        <v>2C</v>
      </c>
    </row>
    <row r="14279" spans="1:6" x14ac:dyDescent="0.2">
      <c r="A14279">
        <v>3</v>
      </c>
      <c r="E14279" t="str">
        <f t="shared" si="465"/>
        <v>D</v>
      </c>
      <c r="F14279" t="str">
        <f t="shared" si="466"/>
        <v>3D</v>
      </c>
    </row>
    <row r="14280" spans="1:6" x14ac:dyDescent="0.2">
      <c r="A14280">
        <v>4</v>
      </c>
      <c r="E14280" t="str">
        <f t="shared" si="465"/>
        <v>E</v>
      </c>
      <c r="F14280" t="str">
        <f t="shared" si="466"/>
        <v>4E</v>
      </c>
    </row>
    <row r="14281" spans="1:6" x14ac:dyDescent="0.2">
      <c r="A14281">
        <v>5</v>
      </c>
      <c r="E14281" t="str">
        <f t="shared" si="465"/>
        <v>F</v>
      </c>
      <c r="F14281" t="str">
        <f t="shared" si="466"/>
        <v>5F</v>
      </c>
    </row>
    <row r="14282" spans="1:6" x14ac:dyDescent="0.2">
      <c r="A14282">
        <v>6</v>
      </c>
      <c r="E14282" t="str">
        <f t="shared" si="465"/>
        <v>G</v>
      </c>
      <c r="F14282" t="str">
        <f t="shared" si="466"/>
        <v>6G</v>
      </c>
    </row>
    <row r="14283" spans="1:6" x14ac:dyDescent="0.2">
      <c r="A14283">
        <v>7</v>
      </c>
      <c r="E14283" t="str">
        <f t="shared" si="465"/>
        <v>H</v>
      </c>
      <c r="F14283" t="str">
        <f t="shared" si="466"/>
        <v>7H</v>
      </c>
    </row>
    <row r="14284" spans="1:6" x14ac:dyDescent="0.2">
      <c r="A14284">
        <v>8</v>
      </c>
      <c r="E14284" t="str">
        <f t="shared" si="465"/>
        <v>I</v>
      </c>
      <c r="F14284" t="str">
        <f t="shared" si="466"/>
        <v>8I</v>
      </c>
    </row>
    <row r="14285" spans="1:6" x14ac:dyDescent="0.2">
      <c r="A14285">
        <v>9</v>
      </c>
      <c r="E14285" t="str">
        <f t="shared" si="465"/>
        <v>J</v>
      </c>
      <c r="F14285" t="str">
        <f t="shared" si="466"/>
        <v>9J</v>
      </c>
    </row>
    <row r="14286" spans="1:6" x14ac:dyDescent="0.2">
      <c r="A14286">
        <v>10</v>
      </c>
      <c r="E14286" t="str">
        <f t="shared" si="465"/>
        <v>K</v>
      </c>
      <c r="F14286" t="str">
        <f t="shared" si="466"/>
        <v>10K</v>
      </c>
    </row>
    <row r="14287" spans="1:6" x14ac:dyDescent="0.2">
      <c r="A14287">
        <v>11</v>
      </c>
      <c r="E14287" t="str">
        <f t="shared" si="465"/>
        <v>L</v>
      </c>
      <c r="F14287" t="str">
        <f t="shared" si="466"/>
        <v>11L</v>
      </c>
    </row>
    <row r="14288" spans="1:6" x14ac:dyDescent="0.2">
      <c r="A14288">
        <v>12</v>
      </c>
      <c r="E14288" t="str">
        <f t="shared" si="465"/>
        <v>M</v>
      </c>
      <c r="F14288" t="str">
        <f t="shared" si="466"/>
        <v>12M</v>
      </c>
    </row>
    <row r="14289" spans="1:6" x14ac:dyDescent="0.2">
      <c r="A14289">
        <v>13</v>
      </c>
      <c r="E14289" t="str">
        <f t="shared" si="465"/>
        <v>N</v>
      </c>
      <c r="F14289" t="str">
        <f t="shared" si="466"/>
        <v>13N</v>
      </c>
    </row>
    <row r="14290" spans="1:6" x14ac:dyDescent="0.2">
      <c r="A14290">
        <v>14</v>
      </c>
      <c r="E14290" t="str">
        <f t="shared" si="465"/>
        <v>O</v>
      </c>
      <c r="F14290" t="str">
        <f t="shared" si="466"/>
        <v>14O</v>
      </c>
    </row>
    <row r="14291" spans="1:6" x14ac:dyDescent="0.2">
      <c r="A14291">
        <v>15</v>
      </c>
      <c r="E14291" t="str">
        <f t="shared" si="465"/>
        <v>P</v>
      </c>
      <c r="F14291" t="str">
        <f t="shared" si="466"/>
        <v>15P</v>
      </c>
    </row>
    <row r="14292" spans="1:6" x14ac:dyDescent="0.2">
      <c r="A14292">
        <v>16</v>
      </c>
      <c r="E14292" t="str">
        <f t="shared" si="465"/>
        <v>Q</v>
      </c>
      <c r="F14292" t="str">
        <f t="shared" si="466"/>
        <v>16Q</v>
      </c>
    </row>
    <row r="14293" spans="1:6" x14ac:dyDescent="0.2">
      <c r="A14293">
        <v>17</v>
      </c>
      <c r="E14293" t="str">
        <f t="shared" ref="E14293:E14356" si="467">E14267</f>
        <v>R</v>
      </c>
      <c r="F14293" t="str">
        <f t="shared" si="466"/>
        <v>17R</v>
      </c>
    </row>
    <row r="14294" spans="1:6" x14ac:dyDescent="0.2">
      <c r="A14294">
        <v>18</v>
      </c>
      <c r="E14294" t="str">
        <f t="shared" si="467"/>
        <v>S</v>
      </c>
      <c r="F14294" t="str">
        <f t="shared" si="466"/>
        <v>18S</v>
      </c>
    </row>
    <row r="14295" spans="1:6" x14ac:dyDescent="0.2">
      <c r="A14295">
        <v>19</v>
      </c>
      <c r="E14295" t="str">
        <f t="shared" si="467"/>
        <v>T</v>
      </c>
      <c r="F14295" t="str">
        <f t="shared" ref="F14295:F14358" si="468">A14295&amp;C14295&amp;E14295</f>
        <v>19T</v>
      </c>
    </row>
    <row r="14296" spans="1:6" x14ac:dyDescent="0.2">
      <c r="A14296">
        <v>20</v>
      </c>
      <c r="E14296" t="str">
        <f t="shared" si="467"/>
        <v>U</v>
      </c>
      <c r="F14296" t="str">
        <f t="shared" si="468"/>
        <v>20U</v>
      </c>
    </row>
    <row r="14297" spans="1:6" x14ac:dyDescent="0.2">
      <c r="A14297">
        <v>21</v>
      </c>
      <c r="E14297" t="str">
        <f t="shared" si="467"/>
        <v>V</v>
      </c>
      <c r="F14297" t="str">
        <f t="shared" si="468"/>
        <v>21V</v>
      </c>
    </row>
    <row r="14298" spans="1:6" x14ac:dyDescent="0.2">
      <c r="A14298">
        <v>22</v>
      </c>
      <c r="E14298" t="str">
        <f t="shared" si="467"/>
        <v>W</v>
      </c>
      <c r="F14298" t="str">
        <f t="shared" si="468"/>
        <v>22W</v>
      </c>
    </row>
    <row r="14299" spans="1:6" x14ac:dyDescent="0.2">
      <c r="A14299">
        <v>23</v>
      </c>
      <c r="E14299" t="str">
        <f t="shared" si="467"/>
        <v>X</v>
      </c>
      <c r="F14299" t="str">
        <f t="shared" si="468"/>
        <v>23X</v>
      </c>
    </row>
    <row r="14300" spans="1:6" x14ac:dyDescent="0.2">
      <c r="A14300">
        <v>24</v>
      </c>
      <c r="E14300" t="str">
        <f t="shared" si="467"/>
        <v>Y</v>
      </c>
      <c r="F14300" t="str">
        <f t="shared" si="468"/>
        <v>24Y</v>
      </c>
    </row>
    <row r="14301" spans="1:6" x14ac:dyDescent="0.2">
      <c r="A14301">
        <v>25</v>
      </c>
      <c r="E14301" t="str">
        <f t="shared" si="467"/>
        <v>Z</v>
      </c>
      <c r="F14301" t="str">
        <f t="shared" si="468"/>
        <v>25Z</v>
      </c>
    </row>
    <row r="14302" spans="1:6" x14ac:dyDescent="0.2">
      <c r="A14302">
        <v>0</v>
      </c>
      <c r="E14302" t="str">
        <f t="shared" si="467"/>
        <v>A</v>
      </c>
      <c r="F14302" t="str">
        <f t="shared" si="468"/>
        <v>0A</v>
      </c>
    </row>
    <row r="14303" spans="1:6" x14ac:dyDescent="0.2">
      <c r="A14303">
        <v>1</v>
      </c>
      <c r="E14303" t="str">
        <f t="shared" si="467"/>
        <v>B</v>
      </c>
      <c r="F14303" t="str">
        <f t="shared" si="468"/>
        <v>1B</v>
      </c>
    </row>
    <row r="14304" spans="1:6" x14ac:dyDescent="0.2">
      <c r="A14304">
        <v>2</v>
      </c>
      <c r="E14304" t="str">
        <f t="shared" si="467"/>
        <v>C</v>
      </c>
      <c r="F14304" t="str">
        <f t="shared" si="468"/>
        <v>2C</v>
      </c>
    </row>
    <row r="14305" spans="1:6" x14ac:dyDescent="0.2">
      <c r="A14305">
        <v>3</v>
      </c>
      <c r="E14305" t="str">
        <f t="shared" si="467"/>
        <v>D</v>
      </c>
      <c r="F14305" t="str">
        <f t="shared" si="468"/>
        <v>3D</v>
      </c>
    </row>
    <row r="14306" spans="1:6" x14ac:dyDescent="0.2">
      <c r="A14306">
        <v>4</v>
      </c>
      <c r="E14306" t="str">
        <f t="shared" si="467"/>
        <v>E</v>
      </c>
      <c r="F14306" t="str">
        <f t="shared" si="468"/>
        <v>4E</v>
      </c>
    </row>
    <row r="14307" spans="1:6" x14ac:dyDescent="0.2">
      <c r="A14307">
        <v>5</v>
      </c>
      <c r="E14307" t="str">
        <f t="shared" si="467"/>
        <v>F</v>
      </c>
      <c r="F14307" t="str">
        <f t="shared" si="468"/>
        <v>5F</v>
      </c>
    </row>
    <row r="14308" spans="1:6" x14ac:dyDescent="0.2">
      <c r="A14308">
        <v>6</v>
      </c>
      <c r="E14308" t="str">
        <f t="shared" si="467"/>
        <v>G</v>
      </c>
      <c r="F14308" t="str">
        <f t="shared" si="468"/>
        <v>6G</v>
      </c>
    </row>
    <row r="14309" spans="1:6" x14ac:dyDescent="0.2">
      <c r="A14309">
        <v>7</v>
      </c>
      <c r="E14309" t="str">
        <f t="shared" si="467"/>
        <v>H</v>
      </c>
      <c r="F14309" t="str">
        <f t="shared" si="468"/>
        <v>7H</v>
      </c>
    </row>
    <row r="14310" spans="1:6" x14ac:dyDescent="0.2">
      <c r="A14310">
        <v>8</v>
      </c>
      <c r="E14310" t="str">
        <f t="shared" si="467"/>
        <v>I</v>
      </c>
      <c r="F14310" t="str">
        <f t="shared" si="468"/>
        <v>8I</v>
      </c>
    </row>
    <row r="14311" spans="1:6" x14ac:dyDescent="0.2">
      <c r="A14311">
        <v>9</v>
      </c>
      <c r="E14311" t="str">
        <f t="shared" si="467"/>
        <v>J</v>
      </c>
      <c r="F14311" t="str">
        <f t="shared" si="468"/>
        <v>9J</v>
      </c>
    </row>
    <row r="14312" spans="1:6" x14ac:dyDescent="0.2">
      <c r="A14312">
        <v>10</v>
      </c>
      <c r="E14312" t="str">
        <f t="shared" si="467"/>
        <v>K</v>
      </c>
      <c r="F14312" t="str">
        <f t="shared" si="468"/>
        <v>10K</v>
      </c>
    </row>
    <row r="14313" spans="1:6" x14ac:dyDescent="0.2">
      <c r="A14313">
        <v>11</v>
      </c>
      <c r="E14313" t="str">
        <f t="shared" si="467"/>
        <v>L</v>
      </c>
      <c r="F14313" t="str">
        <f t="shared" si="468"/>
        <v>11L</v>
      </c>
    </row>
    <row r="14314" spans="1:6" x14ac:dyDescent="0.2">
      <c r="A14314">
        <v>12</v>
      </c>
      <c r="E14314" t="str">
        <f t="shared" si="467"/>
        <v>M</v>
      </c>
      <c r="F14314" t="str">
        <f t="shared" si="468"/>
        <v>12M</v>
      </c>
    </row>
    <row r="14315" spans="1:6" x14ac:dyDescent="0.2">
      <c r="A14315">
        <v>13</v>
      </c>
      <c r="E14315" t="str">
        <f t="shared" si="467"/>
        <v>N</v>
      </c>
      <c r="F14315" t="str">
        <f t="shared" si="468"/>
        <v>13N</v>
      </c>
    </row>
    <row r="14316" spans="1:6" x14ac:dyDescent="0.2">
      <c r="A14316">
        <v>14</v>
      </c>
      <c r="E14316" t="str">
        <f t="shared" si="467"/>
        <v>O</v>
      </c>
      <c r="F14316" t="str">
        <f t="shared" si="468"/>
        <v>14O</v>
      </c>
    </row>
    <row r="14317" spans="1:6" x14ac:dyDescent="0.2">
      <c r="A14317">
        <v>15</v>
      </c>
      <c r="E14317" t="str">
        <f t="shared" si="467"/>
        <v>P</v>
      </c>
      <c r="F14317" t="str">
        <f t="shared" si="468"/>
        <v>15P</v>
      </c>
    </row>
    <row r="14318" spans="1:6" x14ac:dyDescent="0.2">
      <c r="A14318">
        <v>16</v>
      </c>
      <c r="E14318" t="str">
        <f t="shared" si="467"/>
        <v>Q</v>
      </c>
      <c r="F14318" t="str">
        <f t="shared" si="468"/>
        <v>16Q</v>
      </c>
    </row>
    <row r="14319" spans="1:6" x14ac:dyDescent="0.2">
      <c r="A14319">
        <v>17</v>
      </c>
      <c r="E14319" t="str">
        <f t="shared" si="467"/>
        <v>R</v>
      </c>
      <c r="F14319" t="str">
        <f t="shared" si="468"/>
        <v>17R</v>
      </c>
    </row>
    <row r="14320" spans="1:6" x14ac:dyDescent="0.2">
      <c r="A14320">
        <v>18</v>
      </c>
      <c r="E14320" t="str">
        <f t="shared" si="467"/>
        <v>S</v>
      </c>
      <c r="F14320" t="str">
        <f t="shared" si="468"/>
        <v>18S</v>
      </c>
    </row>
    <row r="14321" spans="1:6" x14ac:dyDescent="0.2">
      <c r="A14321">
        <v>19</v>
      </c>
      <c r="E14321" t="str">
        <f t="shared" si="467"/>
        <v>T</v>
      </c>
      <c r="F14321" t="str">
        <f t="shared" si="468"/>
        <v>19T</v>
      </c>
    </row>
    <row r="14322" spans="1:6" x14ac:dyDescent="0.2">
      <c r="A14322">
        <v>20</v>
      </c>
      <c r="E14322" t="str">
        <f t="shared" si="467"/>
        <v>U</v>
      </c>
      <c r="F14322" t="str">
        <f t="shared" si="468"/>
        <v>20U</v>
      </c>
    </row>
    <row r="14323" spans="1:6" x14ac:dyDescent="0.2">
      <c r="A14323">
        <v>21</v>
      </c>
      <c r="E14323" t="str">
        <f t="shared" si="467"/>
        <v>V</v>
      </c>
      <c r="F14323" t="str">
        <f t="shared" si="468"/>
        <v>21V</v>
      </c>
    </row>
    <row r="14324" spans="1:6" x14ac:dyDescent="0.2">
      <c r="A14324">
        <v>22</v>
      </c>
      <c r="E14324" t="str">
        <f t="shared" si="467"/>
        <v>W</v>
      </c>
      <c r="F14324" t="str">
        <f t="shared" si="468"/>
        <v>22W</v>
      </c>
    </row>
    <row r="14325" spans="1:6" x14ac:dyDescent="0.2">
      <c r="A14325">
        <v>23</v>
      </c>
      <c r="E14325" t="str">
        <f t="shared" si="467"/>
        <v>X</v>
      </c>
      <c r="F14325" t="str">
        <f t="shared" si="468"/>
        <v>23X</v>
      </c>
    </row>
    <row r="14326" spans="1:6" x14ac:dyDescent="0.2">
      <c r="A14326">
        <v>24</v>
      </c>
      <c r="E14326" t="str">
        <f t="shared" si="467"/>
        <v>Y</v>
      </c>
      <c r="F14326" t="str">
        <f t="shared" si="468"/>
        <v>24Y</v>
      </c>
    </row>
    <row r="14327" spans="1:6" x14ac:dyDescent="0.2">
      <c r="A14327">
        <v>25</v>
      </c>
      <c r="E14327" t="str">
        <f t="shared" si="467"/>
        <v>Z</v>
      </c>
      <c r="F14327" t="str">
        <f t="shared" si="468"/>
        <v>25Z</v>
      </c>
    </row>
    <row r="14328" spans="1:6" x14ac:dyDescent="0.2">
      <c r="A14328">
        <v>0</v>
      </c>
      <c r="E14328" t="str">
        <f t="shared" si="467"/>
        <v>A</v>
      </c>
      <c r="F14328" t="str">
        <f t="shared" si="468"/>
        <v>0A</v>
      </c>
    </row>
    <row r="14329" spans="1:6" x14ac:dyDescent="0.2">
      <c r="A14329">
        <v>1</v>
      </c>
      <c r="E14329" t="str">
        <f t="shared" si="467"/>
        <v>B</v>
      </c>
      <c r="F14329" t="str">
        <f t="shared" si="468"/>
        <v>1B</v>
      </c>
    </row>
    <row r="14330" spans="1:6" x14ac:dyDescent="0.2">
      <c r="A14330">
        <v>2</v>
      </c>
      <c r="E14330" t="str">
        <f t="shared" si="467"/>
        <v>C</v>
      </c>
      <c r="F14330" t="str">
        <f t="shared" si="468"/>
        <v>2C</v>
      </c>
    </row>
    <row r="14331" spans="1:6" x14ac:dyDescent="0.2">
      <c r="A14331">
        <v>3</v>
      </c>
      <c r="E14331" t="str">
        <f t="shared" si="467"/>
        <v>D</v>
      </c>
      <c r="F14331" t="str">
        <f t="shared" si="468"/>
        <v>3D</v>
      </c>
    </row>
    <row r="14332" spans="1:6" x14ac:dyDescent="0.2">
      <c r="A14332">
        <v>4</v>
      </c>
      <c r="E14332" t="str">
        <f t="shared" si="467"/>
        <v>E</v>
      </c>
      <c r="F14332" t="str">
        <f t="shared" si="468"/>
        <v>4E</v>
      </c>
    </row>
    <row r="14333" spans="1:6" x14ac:dyDescent="0.2">
      <c r="A14333">
        <v>5</v>
      </c>
      <c r="E14333" t="str">
        <f t="shared" si="467"/>
        <v>F</v>
      </c>
      <c r="F14333" t="str">
        <f t="shared" si="468"/>
        <v>5F</v>
      </c>
    </row>
    <row r="14334" spans="1:6" x14ac:dyDescent="0.2">
      <c r="A14334">
        <v>6</v>
      </c>
      <c r="E14334" t="str">
        <f t="shared" si="467"/>
        <v>G</v>
      </c>
      <c r="F14334" t="str">
        <f t="shared" si="468"/>
        <v>6G</v>
      </c>
    </row>
    <row r="14335" spans="1:6" x14ac:dyDescent="0.2">
      <c r="A14335">
        <v>7</v>
      </c>
      <c r="E14335" t="str">
        <f t="shared" si="467"/>
        <v>H</v>
      </c>
      <c r="F14335" t="str">
        <f t="shared" si="468"/>
        <v>7H</v>
      </c>
    </row>
    <row r="14336" spans="1:6" x14ac:dyDescent="0.2">
      <c r="A14336">
        <v>8</v>
      </c>
      <c r="E14336" t="str">
        <f t="shared" si="467"/>
        <v>I</v>
      </c>
      <c r="F14336" t="str">
        <f t="shared" si="468"/>
        <v>8I</v>
      </c>
    </row>
    <row r="14337" spans="1:6" x14ac:dyDescent="0.2">
      <c r="A14337">
        <v>9</v>
      </c>
      <c r="E14337" t="str">
        <f t="shared" si="467"/>
        <v>J</v>
      </c>
      <c r="F14337" t="str">
        <f t="shared" si="468"/>
        <v>9J</v>
      </c>
    </row>
    <row r="14338" spans="1:6" x14ac:dyDescent="0.2">
      <c r="A14338">
        <v>10</v>
      </c>
      <c r="E14338" t="str">
        <f t="shared" si="467"/>
        <v>K</v>
      </c>
      <c r="F14338" t="str">
        <f t="shared" si="468"/>
        <v>10K</v>
      </c>
    </row>
    <row r="14339" spans="1:6" x14ac:dyDescent="0.2">
      <c r="A14339">
        <v>11</v>
      </c>
      <c r="E14339" t="str">
        <f t="shared" si="467"/>
        <v>L</v>
      </c>
      <c r="F14339" t="str">
        <f t="shared" si="468"/>
        <v>11L</v>
      </c>
    </row>
    <row r="14340" spans="1:6" x14ac:dyDescent="0.2">
      <c r="A14340">
        <v>12</v>
      </c>
      <c r="E14340" t="str">
        <f t="shared" si="467"/>
        <v>M</v>
      </c>
      <c r="F14340" t="str">
        <f t="shared" si="468"/>
        <v>12M</v>
      </c>
    </row>
    <row r="14341" spans="1:6" x14ac:dyDescent="0.2">
      <c r="A14341">
        <v>13</v>
      </c>
      <c r="E14341" t="str">
        <f t="shared" si="467"/>
        <v>N</v>
      </c>
      <c r="F14341" t="str">
        <f t="shared" si="468"/>
        <v>13N</v>
      </c>
    </row>
    <row r="14342" spans="1:6" x14ac:dyDescent="0.2">
      <c r="A14342">
        <v>14</v>
      </c>
      <c r="E14342" t="str">
        <f t="shared" si="467"/>
        <v>O</v>
      </c>
      <c r="F14342" t="str">
        <f t="shared" si="468"/>
        <v>14O</v>
      </c>
    </row>
    <row r="14343" spans="1:6" x14ac:dyDescent="0.2">
      <c r="A14343">
        <v>15</v>
      </c>
      <c r="E14343" t="str">
        <f t="shared" si="467"/>
        <v>P</v>
      </c>
      <c r="F14343" t="str">
        <f t="shared" si="468"/>
        <v>15P</v>
      </c>
    </row>
    <row r="14344" spans="1:6" x14ac:dyDescent="0.2">
      <c r="A14344">
        <v>16</v>
      </c>
      <c r="E14344" t="str">
        <f t="shared" si="467"/>
        <v>Q</v>
      </c>
      <c r="F14344" t="str">
        <f t="shared" si="468"/>
        <v>16Q</v>
      </c>
    </row>
    <row r="14345" spans="1:6" x14ac:dyDescent="0.2">
      <c r="A14345">
        <v>17</v>
      </c>
      <c r="E14345" t="str">
        <f t="shared" si="467"/>
        <v>R</v>
      </c>
      <c r="F14345" t="str">
        <f t="shared" si="468"/>
        <v>17R</v>
      </c>
    </row>
    <row r="14346" spans="1:6" x14ac:dyDescent="0.2">
      <c r="A14346">
        <v>18</v>
      </c>
      <c r="E14346" t="str">
        <f t="shared" si="467"/>
        <v>S</v>
      </c>
      <c r="F14346" t="str">
        <f t="shared" si="468"/>
        <v>18S</v>
      </c>
    </row>
    <row r="14347" spans="1:6" x14ac:dyDescent="0.2">
      <c r="A14347">
        <v>19</v>
      </c>
      <c r="E14347" t="str">
        <f t="shared" si="467"/>
        <v>T</v>
      </c>
      <c r="F14347" t="str">
        <f t="shared" si="468"/>
        <v>19T</v>
      </c>
    </row>
    <row r="14348" spans="1:6" x14ac:dyDescent="0.2">
      <c r="A14348">
        <v>20</v>
      </c>
      <c r="E14348" t="str">
        <f t="shared" si="467"/>
        <v>U</v>
      </c>
      <c r="F14348" t="str">
        <f t="shared" si="468"/>
        <v>20U</v>
      </c>
    </row>
    <row r="14349" spans="1:6" x14ac:dyDescent="0.2">
      <c r="A14349">
        <v>21</v>
      </c>
      <c r="E14349" t="str">
        <f t="shared" si="467"/>
        <v>V</v>
      </c>
      <c r="F14349" t="str">
        <f t="shared" si="468"/>
        <v>21V</v>
      </c>
    </row>
    <row r="14350" spans="1:6" x14ac:dyDescent="0.2">
      <c r="A14350">
        <v>22</v>
      </c>
      <c r="E14350" t="str">
        <f t="shared" si="467"/>
        <v>W</v>
      </c>
      <c r="F14350" t="str">
        <f t="shared" si="468"/>
        <v>22W</v>
      </c>
    </row>
    <row r="14351" spans="1:6" x14ac:dyDescent="0.2">
      <c r="A14351">
        <v>23</v>
      </c>
      <c r="E14351" t="str">
        <f t="shared" si="467"/>
        <v>X</v>
      </c>
      <c r="F14351" t="str">
        <f t="shared" si="468"/>
        <v>23X</v>
      </c>
    </row>
    <row r="14352" spans="1:6" x14ac:dyDescent="0.2">
      <c r="A14352">
        <v>24</v>
      </c>
      <c r="E14352" t="str">
        <f t="shared" si="467"/>
        <v>Y</v>
      </c>
      <c r="F14352" t="str">
        <f t="shared" si="468"/>
        <v>24Y</v>
      </c>
    </row>
    <row r="14353" spans="1:6" x14ac:dyDescent="0.2">
      <c r="A14353">
        <v>25</v>
      </c>
      <c r="E14353" t="str">
        <f t="shared" si="467"/>
        <v>Z</v>
      </c>
      <c r="F14353" t="str">
        <f t="shared" si="468"/>
        <v>25Z</v>
      </c>
    </row>
    <row r="14354" spans="1:6" x14ac:dyDescent="0.2">
      <c r="A14354">
        <v>0</v>
      </c>
      <c r="E14354" t="str">
        <f t="shared" si="467"/>
        <v>A</v>
      </c>
      <c r="F14354" t="str">
        <f t="shared" si="468"/>
        <v>0A</v>
      </c>
    </row>
    <row r="14355" spans="1:6" x14ac:dyDescent="0.2">
      <c r="A14355">
        <v>1</v>
      </c>
      <c r="E14355" t="str">
        <f t="shared" si="467"/>
        <v>B</v>
      </c>
      <c r="F14355" t="str">
        <f t="shared" si="468"/>
        <v>1B</v>
      </c>
    </row>
    <row r="14356" spans="1:6" x14ac:dyDescent="0.2">
      <c r="A14356">
        <v>2</v>
      </c>
      <c r="E14356" t="str">
        <f t="shared" si="467"/>
        <v>C</v>
      </c>
      <c r="F14356" t="str">
        <f t="shared" si="468"/>
        <v>2C</v>
      </c>
    </row>
    <row r="14357" spans="1:6" x14ac:dyDescent="0.2">
      <c r="A14357">
        <v>3</v>
      </c>
      <c r="E14357" t="str">
        <f t="shared" ref="E14357:E14420" si="469">E14331</f>
        <v>D</v>
      </c>
      <c r="F14357" t="str">
        <f t="shared" si="468"/>
        <v>3D</v>
      </c>
    </row>
    <row r="14358" spans="1:6" x14ac:dyDescent="0.2">
      <c r="A14358">
        <v>4</v>
      </c>
      <c r="E14358" t="str">
        <f t="shared" si="469"/>
        <v>E</v>
      </c>
      <c r="F14358" t="str">
        <f t="shared" si="468"/>
        <v>4E</v>
      </c>
    </row>
    <row r="14359" spans="1:6" x14ac:dyDescent="0.2">
      <c r="A14359">
        <v>5</v>
      </c>
      <c r="E14359" t="str">
        <f t="shared" si="469"/>
        <v>F</v>
      </c>
      <c r="F14359" t="str">
        <f t="shared" ref="F14359:F14422" si="470">A14359&amp;C14359&amp;E14359</f>
        <v>5F</v>
      </c>
    </row>
    <row r="14360" spans="1:6" x14ac:dyDescent="0.2">
      <c r="A14360">
        <v>6</v>
      </c>
      <c r="E14360" t="str">
        <f t="shared" si="469"/>
        <v>G</v>
      </c>
      <c r="F14360" t="str">
        <f t="shared" si="470"/>
        <v>6G</v>
      </c>
    </row>
    <row r="14361" spans="1:6" x14ac:dyDescent="0.2">
      <c r="A14361">
        <v>7</v>
      </c>
      <c r="E14361" t="str">
        <f t="shared" si="469"/>
        <v>H</v>
      </c>
      <c r="F14361" t="str">
        <f t="shared" si="470"/>
        <v>7H</v>
      </c>
    </row>
    <row r="14362" spans="1:6" x14ac:dyDescent="0.2">
      <c r="A14362">
        <v>8</v>
      </c>
      <c r="E14362" t="str">
        <f t="shared" si="469"/>
        <v>I</v>
      </c>
      <c r="F14362" t="str">
        <f t="shared" si="470"/>
        <v>8I</v>
      </c>
    </row>
    <row r="14363" spans="1:6" x14ac:dyDescent="0.2">
      <c r="A14363">
        <v>9</v>
      </c>
      <c r="E14363" t="str">
        <f t="shared" si="469"/>
        <v>J</v>
      </c>
      <c r="F14363" t="str">
        <f t="shared" si="470"/>
        <v>9J</v>
      </c>
    </row>
    <row r="14364" spans="1:6" x14ac:dyDescent="0.2">
      <c r="A14364">
        <v>10</v>
      </c>
      <c r="E14364" t="str">
        <f t="shared" si="469"/>
        <v>K</v>
      </c>
      <c r="F14364" t="str">
        <f t="shared" si="470"/>
        <v>10K</v>
      </c>
    </row>
    <row r="14365" spans="1:6" x14ac:dyDescent="0.2">
      <c r="A14365">
        <v>11</v>
      </c>
      <c r="E14365" t="str">
        <f t="shared" si="469"/>
        <v>L</v>
      </c>
      <c r="F14365" t="str">
        <f t="shared" si="470"/>
        <v>11L</v>
      </c>
    </row>
    <row r="14366" spans="1:6" x14ac:dyDescent="0.2">
      <c r="A14366">
        <v>12</v>
      </c>
      <c r="E14366" t="str">
        <f t="shared" si="469"/>
        <v>M</v>
      </c>
      <c r="F14366" t="str">
        <f t="shared" si="470"/>
        <v>12M</v>
      </c>
    </row>
    <row r="14367" spans="1:6" x14ac:dyDescent="0.2">
      <c r="A14367">
        <v>13</v>
      </c>
      <c r="E14367" t="str">
        <f t="shared" si="469"/>
        <v>N</v>
      </c>
      <c r="F14367" t="str">
        <f t="shared" si="470"/>
        <v>13N</v>
      </c>
    </row>
    <row r="14368" spans="1:6" x14ac:dyDescent="0.2">
      <c r="A14368">
        <v>14</v>
      </c>
      <c r="E14368" t="str">
        <f t="shared" si="469"/>
        <v>O</v>
      </c>
      <c r="F14368" t="str">
        <f t="shared" si="470"/>
        <v>14O</v>
      </c>
    </row>
    <row r="14369" spans="1:6" x14ac:dyDescent="0.2">
      <c r="A14369">
        <v>15</v>
      </c>
      <c r="E14369" t="str">
        <f t="shared" si="469"/>
        <v>P</v>
      </c>
      <c r="F14369" t="str">
        <f t="shared" si="470"/>
        <v>15P</v>
      </c>
    </row>
    <row r="14370" spans="1:6" x14ac:dyDescent="0.2">
      <c r="A14370">
        <v>16</v>
      </c>
      <c r="E14370" t="str">
        <f t="shared" si="469"/>
        <v>Q</v>
      </c>
      <c r="F14370" t="str">
        <f t="shared" si="470"/>
        <v>16Q</v>
      </c>
    </row>
    <row r="14371" spans="1:6" x14ac:dyDescent="0.2">
      <c r="A14371">
        <v>17</v>
      </c>
      <c r="E14371" t="str">
        <f t="shared" si="469"/>
        <v>R</v>
      </c>
      <c r="F14371" t="str">
        <f t="shared" si="470"/>
        <v>17R</v>
      </c>
    </row>
    <row r="14372" spans="1:6" x14ac:dyDescent="0.2">
      <c r="A14372">
        <v>18</v>
      </c>
      <c r="E14372" t="str">
        <f t="shared" si="469"/>
        <v>S</v>
      </c>
      <c r="F14372" t="str">
        <f t="shared" si="470"/>
        <v>18S</v>
      </c>
    </row>
    <row r="14373" spans="1:6" x14ac:dyDescent="0.2">
      <c r="A14373">
        <v>19</v>
      </c>
      <c r="E14373" t="str">
        <f t="shared" si="469"/>
        <v>T</v>
      </c>
      <c r="F14373" t="str">
        <f t="shared" si="470"/>
        <v>19T</v>
      </c>
    </row>
    <row r="14374" spans="1:6" x14ac:dyDescent="0.2">
      <c r="A14374">
        <v>20</v>
      </c>
      <c r="E14374" t="str">
        <f t="shared" si="469"/>
        <v>U</v>
      </c>
      <c r="F14374" t="str">
        <f t="shared" si="470"/>
        <v>20U</v>
      </c>
    </row>
    <row r="14375" spans="1:6" x14ac:dyDescent="0.2">
      <c r="A14375">
        <v>21</v>
      </c>
      <c r="E14375" t="str">
        <f t="shared" si="469"/>
        <v>V</v>
      </c>
      <c r="F14375" t="str">
        <f t="shared" si="470"/>
        <v>21V</v>
      </c>
    </row>
    <row r="14376" spans="1:6" x14ac:dyDescent="0.2">
      <c r="A14376">
        <v>22</v>
      </c>
      <c r="E14376" t="str">
        <f t="shared" si="469"/>
        <v>W</v>
      </c>
      <c r="F14376" t="str">
        <f t="shared" si="470"/>
        <v>22W</v>
      </c>
    </row>
    <row r="14377" spans="1:6" x14ac:dyDescent="0.2">
      <c r="A14377">
        <v>23</v>
      </c>
      <c r="E14377" t="str">
        <f t="shared" si="469"/>
        <v>X</v>
      </c>
      <c r="F14377" t="str">
        <f t="shared" si="470"/>
        <v>23X</v>
      </c>
    </row>
    <row r="14378" spans="1:6" x14ac:dyDescent="0.2">
      <c r="A14378">
        <v>24</v>
      </c>
      <c r="E14378" t="str">
        <f t="shared" si="469"/>
        <v>Y</v>
      </c>
      <c r="F14378" t="str">
        <f t="shared" si="470"/>
        <v>24Y</v>
      </c>
    </row>
    <row r="14379" spans="1:6" x14ac:dyDescent="0.2">
      <c r="A14379">
        <v>25</v>
      </c>
      <c r="E14379" t="str">
        <f t="shared" si="469"/>
        <v>Z</v>
      </c>
      <c r="F14379" t="str">
        <f t="shared" si="470"/>
        <v>25Z</v>
      </c>
    </row>
    <row r="14380" spans="1:6" x14ac:dyDescent="0.2">
      <c r="A14380">
        <v>0</v>
      </c>
      <c r="E14380" t="str">
        <f t="shared" si="469"/>
        <v>A</v>
      </c>
      <c r="F14380" t="str">
        <f t="shared" si="470"/>
        <v>0A</v>
      </c>
    </row>
    <row r="14381" spans="1:6" x14ac:dyDescent="0.2">
      <c r="A14381">
        <v>1</v>
      </c>
      <c r="E14381" t="str">
        <f t="shared" si="469"/>
        <v>B</v>
      </c>
      <c r="F14381" t="str">
        <f t="shared" si="470"/>
        <v>1B</v>
      </c>
    </row>
    <row r="14382" spans="1:6" x14ac:dyDescent="0.2">
      <c r="A14382">
        <v>2</v>
      </c>
      <c r="E14382" t="str">
        <f t="shared" si="469"/>
        <v>C</v>
      </c>
      <c r="F14382" t="str">
        <f t="shared" si="470"/>
        <v>2C</v>
      </c>
    </row>
    <row r="14383" spans="1:6" x14ac:dyDescent="0.2">
      <c r="A14383">
        <v>3</v>
      </c>
      <c r="E14383" t="str">
        <f t="shared" si="469"/>
        <v>D</v>
      </c>
      <c r="F14383" t="str">
        <f t="shared" si="470"/>
        <v>3D</v>
      </c>
    </row>
    <row r="14384" spans="1:6" x14ac:dyDescent="0.2">
      <c r="A14384">
        <v>4</v>
      </c>
      <c r="E14384" t="str">
        <f t="shared" si="469"/>
        <v>E</v>
      </c>
      <c r="F14384" t="str">
        <f t="shared" si="470"/>
        <v>4E</v>
      </c>
    </row>
    <row r="14385" spans="1:6" x14ac:dyDescent="0.2">
      <c r="A14385">
        <v>5</v>
      </c>
      <c r="E14385" t="str">
        <f t="shared" si="469"/>
        <v>F</v>
      </c>
      <c r="F14385" t="str">
        <f t="shared" si="470"/>
        <v>5F</v>
      </c>
    </row>
    <row r="14386" spans="1:6" x14ac:dyDescent="0.2">
      <c r="A14386">
        <v>6</v>
      </c>
      <c r="E14386" t="str">
        <f t="shared" si="469"/>
        <v>G</v>
      </c>
      <c r="F14386" t="str">
        <f t="shared" si="470"/>
        <v>6G</v>
      </c>
    </row>
    <row r="14387" spans="1:6" x14ac:dyDescent="0.2">
      <c r="A14387">
        <v>7</v>
      </c>
      <c r="E14387" t="str">
        <f t="shared" si="469"/>
        <v>H</v>
      </c>
      <c r="F14387" t="str">
        <f t="shared" si="470"/>
        <v>7H</v>
      </c>
    </row>
    <row r="14388" spans="1:6" x14ac:dyDescent="0.2">
      <c r="A14388">
        <v>8</v>
      </c>
      <c r="E14388" t="str">
        <f t="shared" si="469"/>
        <v>I</v>
      </c>
      <c r="F14388" t="str">
        <f t="shared" si="470"/>
        <v>8I</v>
      </c>
    </row>
    <row r="14389" spans="1:6" x14ac:dyDescent="0.2">
      <c r="A14389">
        <v>9</v>
      </c>
      <c r="E14389" t="str">
        <f t="shared" si="469"/>
        <v>J</v>
      </c>
      <c r="F14389" t="str">
        <f t="shared" si="470"/>
        <v>9J</v>
      </c>
    </row>
    <row r="14390" spans="1:6" x14ac:dyDescent="0.2">
      <c r="A14390">
        <v>10</v>
      </c>
      <c r="E14390" t="str">
        <f t="shared" si="469"/>
        <v>K</v>
      </c>
      <c r="F14390" t="str">
        <f t="shared" si="470"/>
        <v>10K</v>
      </c>
    </row>
    <row r="14391" spans="1:6" x14ac:dyDescent="0.2">
      <c r="A14391">
        <v>11</v>
      </c>
      <c r="E14391" t="str">
        <f t="shared" si="469"/>
        <v>L</v>
      </c>
      <c r="F14391" t="str">
        <f t="shared" si="470"/>
        <v>11L</v>
      </c>
    </row>
    <row r="14392" spans="1:6" x14ac:dyDescent="0.2">
      <c r="A14392">
        <v>12</v>
      </c>
      <c r="E14392" t="str">
        <f t="shared" si="469"/>
        <v>M</v>
      </c>
      <c r="F14392" t="str">
        <f t="shared" si="470"/>
        <v>12M</v>
      </c>
    </row>
    <row r="14393" spans="1:6" x14ac:dyDescent="0.2">
      <c r="A14393">
        <v>13</v>
      </c>
      <c r="E14393" t="str">
        <f t="shared" si="469"/>
        <v>N</v>
      </c>
      <c r="F14393" t="str">
        <f t="shared" si="470"/>
        <v>13N</v>
      </c>
    </row>
    <row r="14394" spans="1:6" x14ac:dyDescent="0.2">
      <c r="A14394">
        <v>14</v>
      </c>
      <c r="E14394" t="str">
        <f t="shared" si="469"/>
        <v>O</v>
      </c>
      <c r="F14394" t="str">
        <f t="shared" si="470"/>
        <v>14O</v>
      </c>
    </row>
    <row r="14395" spans="1:6" x14ac:dyDescent="0.2">
      <c r="A14395">
        <v>15</v>
      </c>
      <c r="E14395" t="str">
        <f t="shared" si="469"/>
        <v>P</v>
      </c>
      <c r="F14395" t="str">
        <f t="shared" si="470"/>
        <v>15P</v>
      </c>
    </row>
    <row r="14396" spans="1:6" x14ac:dyDescent="0.2">
      <c r="A14396">
        <v>16</v>
      </c>
      <c r="E14396" t="str">
        <f t="shared" si="469"/>
        <v>Q</v>
      </c>
      <c r="F14396" t="str">
        <f t="shared" si="470"/>
        <v>16Q</v>
      </c>
    </row>
    <row r="14397" spans="1:6" x14ac:dyDescent="0.2">
      <c r="A14397">
        <v>17</v>
      </c>
      <c r="E14397" t="str">
        <f t="shared" si="469"/>
        <v>R</v>
      </c>
      <c r="F14397" t="str">
        <f t="shared" si="470"/>
        <v>17R</v>
      </c>
    </row>
    <row r="14398" spans="1:6" x14ac:dyDescent="0.2">
      <c r="A14398">
        <v>18</v>
      </c>
      <c r="E14398" t="str">
        <f t="shared" si="469"/>
        <v>S</v>
      </c>
      <c r="F14398" t="str">
        <f t="shared" si="470"/>
        <v>18S</v>
      </c>
    </row>
    <row r="14399" spans="1:6" x14ac:dyDescent="0.2">
      <c r="A14399">
        <v>19</v>
      </c>
      <c r="E14399" t="str">
        <f t="shared" si="469"/>
        <v>T</v>
      </c>
      <c r="F14399" t="str">
        <f t="shared" si="470"/>
        <v>19T</v>
      </c>
    </row>
    <row r="14400" spans="1:6" x14ac:dyDescent="0.2">
      <c r="A14400">
        <v>20</v>
      </c>
      <c r="E14400" t="str">
        <f t="shared" si="469"/>
        <v>U</v>
      </c>
      <c r="F14400" t="str">
        <f t="shared" si="470"/>
        <v>20U</v>
      </c>
    </row>
    <row r="14401" spans="1:6" x14ac:dyDescent="0.2">
      <c r="A14401">
        <v>21</v>
      </c>
      <c r="E14401" t="str">
        <f t="shared" si="469"/>
        <v>V</v>
      </c>
      <c r="F14401" t="str">
        <f t="shared" si="470"/>
        <v>21V</v>
      </c>
    </row>
    <row r="14402" spans="1:6" x14ac:dyDescent="0.2">
      <c r="A14402">
        <v>22</v>
      </c>
      <c r="E14402" t="str">
        <f t="shared" si="469"/>
        <v>W</v>
      </c>
      <c r="F14402" t="str">
        <f t="shared" si="470"/>
        <v>22W</v>
      </c>
    </row>
    <row r="14403" spans="1:6" x14ac:dyDescent="0.2">
      <c r="A14403">
        <v>23</v>
      </c>
      <c r="E14403" t="str">
        <f t="shared" si="469"/>
        <v>X</v>
      </c>
      <c r="F14403" t="str">
        <f t="shared" si="470"/>
        <v>23X</v>
      </c>
    </row>
    <row r="14404" spans="1:6" x14ac:dyDescent="0.2">
      <c r="A14404">
        <v>24</v>
      </c>
      <c r="E14404" t="str">
        <f t="shared" si="469"/>
        <v>Y</v>
      </c>
      <c r="F14404" t="str">
        <f t="shared" si="470"/>
        <v>24Y</v>
      </c>
    </row>
    <row r="14405" spans="1:6" x14ac:dyDescent="0.2">
      <c r="A14405">
        <v>25</v>
      </c>
      <c r="E14405" t="str">
        <f t="shared" si="469"/>
        <v>Z</v>
      </c>
      <c r="F14405" t="str">
        <f t="shared" si="470"/>
        <v>25Z</v>
      </c>
    </row>
    <row r="14406" spans="1:6" x14ac:dyDescent="0.2">
      <c r="A14406">
        <v>0</v>
      </c>
      <c r="E14406" t="str">
        <f t="shared" si="469"/>
        <v>A</v>
      </c>
      <c r="F14406" t="str">
        <f t="shared" si="470"/>
        <v>0A</v>
      </c>
    </row>
    <row r="14407" spans="1:6" x14ac:dyDescent="0.2">
      <c r="A14407">
        <v>1</v>
      </c>
      <c r="E14407" t="str">
        <f t="shared" si="469"/>
        <v>B</v>
      </c>
      <c r="F14407" t="str">
        <f t="shared" si="470"/>
        <v>1B</v>
      </c>
    </row>
    <row r="14408" spans="1:6" x14ac:dyDescent="0.2">
      <c r="A14408">
        <v>2</v>
      </c>
      <c r="E14408" t="str">
        <f t="shared" si="469"/>
        <v>C</v>
      </c>
      <c r="F14408" t="str">
        <f t="shared" si="470"/>
        <v>2C</v>
      </c>
    </row>
    <row r="14409" spans="1:6" x14ac:dyDescent="0.2">
      <c r="A14409">
        <v>3</v>
      </c>
      <c r="E14409" t="str">
        <f t="shared" si="469"/>
        <v>D</v>
      </c>
      <c r="F14409" t="str">
        <f t="shared" si="470"/>
        <v>3D</v>
      </c>
    </row>
    <row r="14410" spans="1:6" x14ac:dyDescent="0.2">
      <c r="A14410">
        <v>4</v>
      </c>
      <c r="E14410" t="str">
        <f t="shared" si="469"/>
        <v>E</v>
      </c>
      <c r="F14410" t="str">
        <f t="shared" si="470"/>
        <v>4E</v>
      </c>
    </row>
    <row r="14411" spans="1:6" x14ac:dyDescent="0.2">
      <c r="A14411">
        <v>5</v>
      </c>
      <c r="E14411" t="str">
        <f t="shared" si="469"/>
        <v>F</v>
      </c>
      <c r="F14411" t="str">
        <f t="shared" si="470"/>
        <v>5F</v>
      </c>
    </row>
    <row r="14412" spans="1:6" x14ac:dyDescent="0.2">
      <c r="A14412">
        <v>6</v>
      </c>
      <c r="E14412" t="str">
        <f t="shared" si="469"/>
        <v>G</v>
      </c>
      <c r="F14412" t="str">
        <f t="shared" si="470"/>
        <v>6G</v>
      </c>
    </row>
    <row r="14413" spans="1:6" x14ac:dyDescent="0.2">
      <c r="A14413">
        <v>7</v>
      </c>
      <c r="E14413" t="str">
        <f t="shared" si="469"/>
        <v>H</v>
      </c>
      <c r="F14413" t="str">
        <f t="shared" si="470"/>
        <v>7H</v>
      </c>
    </row>
    <row r="14414" spans="1:6" x14ac:dyDescent="0.2">
      <c r="A14414">
        <v>8</v>
      </c>
      <c r="E14414" t="str">
        <f t="shared" si="469"/>
        <v>I</v>
      </c>
      <c r="F14414" t="str">
        <f t="shared" si="470"/>
        <v>8I</v>
      </c>
    </row>
    <row r="14415" spans="1:6" x14ac:dyDescent="0.2">
      <c r="A14415">
        <v>9</v>
      </c>
      <c r="E14415" t="str">
        <f t="shared" si="469"/>
        <v>J</v>
      </c>
      <c r="F14415" t="str">
        <f t="shared" si="470"/>
        <v>9J</v>
      </c>
    </row>
    <row r="14416" spans="1:6" x14ac:dyDescent="0.2">
      <c r="A14416">
        <v>10</v>
      </c>
      <c r="E14416" t="str">
        <f t="shared" si="469"/>
        <v>K</v>
      </c>
      <c r="F14416" t="str">
        <f t="shared" si="470"/>
        <v>10K</v>
      </c>
    </row>
    <row r="14417" spans="1:6" x14ac:dyDescent="0.2">
      <c r="A14417">
        <v>11</v>
      </c>
      <c r="E14417" t="str">
        <f t="shared" si="469"/>
        <v>L</v>
      </c>
      <c r="F14417" t="str">
        <f t="shared" si="470"/>
        <v>11L</v>
      </c>
    </row>
    <row r="14418" spans="1:6" x14ac:dyDescent="0.2">
      <c r="A14418">
        <v>12</v>
      </c>
      <c r="E14418" t="str">
        <f t="shared" si="469"/>
        <v>M</v>
      </c>
      <c r="F14418" t="str">
        <f t="shared" si="470"/>
        <v>12M</v>
      </c>
    </row>
    <row r="14419" spans="1:6" x14ac:dyDescent="0.2">
      <c r="A14419">
        <v>13</v>
      </c>
      <c r="E14419" t="str">
        <f t="shared" si="469"/>
        <v>N</v>
      </c>
      <c r="F14419" t="str">
        <f t="shared" si="470"/>
        <v>13N</v>
      </c>
    </row>
    <row r="14420" spans="1:6" x14ac:dyDescent="0.2">
      <c r="A14420">
        <v>14</v>
      </c>
      <c r="E14420" t="str">
        <f t="shared" si="469"/>
        <v>O</v>
      </c>
      <c r="F14420" t="str">
        <f t="shared" si="470"/>
        <v>14O</v>
      </c>
    </row>
    <row r="14421" spans="1:6" x14ac:dyDescent="0.2">
      <c r="A14421">
        <v>15</v>
      </c>
      <c r="E14421" t="str">
        <f t="shared" ref="E14421:E14484" si="471">E14395</f>
        <v>P</v>
      </c>
      <c r="F14421" t="str">
        <f t="shared" si="470"/>
        <v>15P</v>
      </c>
    </row>
    <row r="14422" spans="1:6" x14ac:dyDescent="0.2">
      <c r="A14422">
        <v>16</v>
      </c>
      <c r="E14422" t="str">
        <f t="shared" si="471"/>
        <v>Q</v>
      </c>
      <c r="F14422" t="str">
        <f t="shared" si="470"/>
        <v>16Q</v>
      </c>
    </row>
    <row r="14423" spans="1:6" x14ac:dyDescent="0.2">
      <c r="A14423">
        <v>17</v>
      </c>
      <c r="E14423" t="str">
        <f t="shared" si="471"/>
        <v>R</v>
      </c>
      <c r="F14423" t="str">
        <f t="shared" ref="F14423:F14486" si="472">A14423&amp;C14423&amp;E14423</f>
        <v>17R</v>
      </c>
    </row>
    <row r="14424" spans="1:6" x14ac:dyDescent="0.2">
      <c r="A14424">
        <v>18</v>
      </c>
      <c r="E14424" t="str">
        <f t="shared" si="471"/>
        <v>S</v>
      </c>
      <c r="F14424" t="str">
        <f t="shared" si="472"/>
        <v>18S</v>
      </c>
    </row>
    <row r="14425" spans="1:6" x14ac:dyDescent="0.2">
      <c r="A14425">
        <v>19</v>
      </c>
      <c r="E14425" t="str">
        <f t="shared" si="471"/>
        <v>T</v>
      </c>
      <c r="F14425" t="str">
        <f t="shared" si="472"/>
        <v>19T</v>
      </c>
    </row>
    <row r="14426" spans="1:6" x14ac:dyDescent="0.2">
      <c r="A14426">
        <v>20</v>
      </c>
      <c r="E14426" t="str">
        <f t="shared" si="471"/>
        <v>U</v>
      </c>
      <c r="F14426" t="str">
        <f t="shared" si="472"/>
        <v>20U</v>
      </c>
    </row>
    <row r="14427" spans="1:6" x14ac:dyDescent="0.2">
      <c r="A14427">
        <v>21</v>
      </c>
      <c r="E14427" t="str">
        <f t="shared" si="471"/>
        <v>V</v>
      </c>
      <c r="F14427" t="str">
        <f t="shared" si="472"/>
        <v>21V</v>
      </c>
    </row>
    <row r="14428" spans="1:6" x14ac:dyDescent="0.2">
      <c r="A14428">
        <v>22</v>
      </c>
      <c r="E14428" t="str">
        <f t="shared" si="471"/>
        <v>W</v>
      </c>
      <c r="F14428" t="str">
        <f t="shared" si="472"/>
        <v>22W</v>
      </c>
    </row>
    <row r="14429" spans="1:6" x14ac:dyDescent="0.2">
      <c r="A14429">
        <v>23</v>
      </c>
      <c r="E14429" t="str">
        <f t="shared" si="471"/>
        <v>X</v>
      </c>
      <c r="F14429" t="str">
        <f t="shared" si="472"/>
        <v>23X</v>
      </c>
    </row>
    <row r="14430" spans="1:6" x14ac:dyDescent="0.2">
      <c r="A14430">
        <v>24</v>
      </c>
      <c r="E14430" t="str">
        <f t="shared" si="471"/>
        <v>Y</v>
      </c>
      <c r="F14430" t="str">
        <f t="shared" si="472"/>
        <v>24Y</v>
      </c>
    </row>
    <row r="14431" spans="1:6" x14ac:dyDescent="0.2">
      <c r="A14431">
        <v>25</v>
      </c>
      <c r="E14431" t="str">
        <f t="shared" si="471"/>
        <v>Z</v>
      </c>
      <c r="F14431" t="str">
        <f t="shared" si="472"/>
        <v>25Z</v>
      </c>
    </row>
    <row r="14432" spans="1:6" x14ac:dyDescent="0.2">
      <c r="A14432">
        <v>0</v>
      </c>
      <c r="E14432" t="str">
        <f t="shared" si="471"/>
        <v>A</v>
      </c>
      <c r="F14432" t="str">
        <f t="shared" si="472"/>
        <v>0A</v>
      </c>
    </row>
    <row r="14433" spans="1:6" x14ac:dyDescent="0.2">
      <c r="A14433">
        <v>1</v>
      </c>
      <c r="E14433" t="str">
        <f t="shared" si="471"/>
        <v>B</v>
      </c>
      <c r="F14433" t="str">
        <f t="shared" si="472"/>
        <v>1B</v>
      </c>
    </row>
    <row r="14434" spans="1:6" x14ac:dyDescent="0.2">
      <c r="A14434">
        <v>2</v>
      </c>
      <c r="E14434" t="str">
        <f t="shared" si="471"/>
        <v>C</v>
      </c>
      <c r="F14434" t="str">
        <f t="shared" si="472"/>
        <v>2C</v>
      </c>
    </row>
    <row r="14435" spans="1:6" x14ac:dyDescent="0.2">
      <c r="A14435">
        <v>3</v>
      </c>
      <c r="E14435" t="str">
        <f t="shared" si="471"/>
        <v>D</v>
      </c>
      <c r="F14435" t="str">
        <f t="shared" si="472"/>
        <v>3D</v>
      </c>
    </row>
    <row r="14436" spans="1:6" x14ac:dyDescent="0.2">
      <c r="A14436">
        <v>4</v>
      </c>
      <c r="E14436" t="str">
        <f t="shared" si="471"/>
        <v>E</v>
      </c>
      <c r="F14436" t="str">
        <f t="shared" si="472"/>
        <v>4E</v>
      </c>
    </row>
    <row r="14437" spans="1:6" x14ac:dyDescent="0.2">
      <c r="A14437">
        <v>5</v>
      </c>
      <c r="E14437" t="str">
        <f t="shared" si="471"/>
        <v>F</v>
      </c>
      <c r="F14437" t="str">
        <f t="shared" si="472"/>
        <v>5F</v>
      </c>
    </row>
    <row r="14438" spans="1:6" x14ac:dyDescent="0.2">
      <c r="A14438">
        <v>6</v>
      </c>
      <c r="E14438" t="str">
        <f t="shared" si="471"/>
        <v>G</v>
      </c>
      <c r="F14438" t="str">
        <f t="shared" si="472"/>
        <v>6G</v>
      </c>
    </row>
    <row r="14439" spans="1:6" x14ac:dyDescent="0.2">
      <c r="A14439">
        <v>7</v>
      </c>
      <c r="E14439" t="str">
        <f t="shared" si="471"/>
        <v>H</v>
      </c>
      <c r="F14439" t="str">
        <f t="shared" si="472"/>
        <v>7H</v>
      </c>
    </row>
    <row r="14440" spans="1:6" x14ac:dyDescent="0.2">
      <c r="A14440">
        <v>8</v>
      </c>
      <c r="E14440" t="str">
        <f t="shared" si="471"/>
        <v>I</v>
      </c>
      <c r="F14440" t="str">
        <f t="shared" si="472"/>
        <v>8I</v>
      </c>
    </row>
    <row r="14441" spans="1:6" x14ac:dyDescent="0.2">
      <c r="A14441">
        <v>9</v>
      </c>
      <c r="E14441" t="str">
        <f t="shared" si="471"/>
        <v>J</v>
      </c>
      <c r="F14441" t="str">
        <f t="shared" si="472"/>
        <v>9J</v>
      </c>
    </row>
    <row r="14442" spans="1:6" x14ac:dyDescent="0.2">
      <c r="A14442">
        <v>10</v>
      </c>
      <c r="E14442" t="str">
        <f t="shared" si="471"/>
        <v>K</v>
      </c>
      <c r="F14442" t="str">
        <f t="shared" si="472"/>
        <v>10K</v>
      </c>
    </row>
    <row r="14443" spans="1:6" x14ac:dyDescent="0.2">
      <c r="A14443">
        <v>11</v>
      </c>
      <c r="E14443" t="str">
        <f t="shared" si="471"/>
        <v>L</v>
      </c>
      <c r="F14443" t="str">
        <f t="shared" si="472"/>
        <v>11L</v>
      </c>
    </row>
    <row r="14444" spans="1:6" x14ac:dyDescent="0.2">
      <c r="A14444">
        <v>12</v>
      </c>
      <c r="E14444" t="str">
        <f t="shared" si="471"/>
        <v>M</v>
      </c>
      <c r="F14444" t="str">
        <f t="shared" si="472"/>
        <v>12M</v>
      </c>
    </row>
    <row r="14445" spans="1:6" x14ac:dyDescent="0.2">
      <c r="A14445">
        <v>13</v>
      </c>
      <c r="E14445" t="str">
        <f t="shared" si="471"/>
        <v>N</v>
      </c>
      <c r="F14445" t="str">
        <f t="shared" si="472"/>
        <v>13N</v>
      </c>
    </row>
    <row r="14446" spans="1:6" x14ac:dyDescent="0.2">
      <c r="A14446">
        <v>14</v>
      </c>
      <c r="E14446" t="str">
        <f t="shared" si="471"/>
        <v>O</v>
      </c>
      <c r="F14446" t="str">
        <f t="shared" si="472"/>
        <v>14O</v>
      </c>
    </row>
    <row r="14447" spans="1:6" x14ac:dyDescent="0.2">
      <c r="A14447">
        <v>15</v>
      </c>
      <c r="E14447" t="str">
        <f t="shared" si="471"/>
        <v>P</v>
      </c>
      <c r="F14447" t="str">
        <f t="shared" si="472"/>
        <v>15P</v>
      </c>
    </row>
    <row r="14448" spans="1:6" x14ac:dyDescent="0.2">
      <c r="A14448">
        <v>16</v>
      </c>
      <c r="E14448" t="str">
        <f t="shared" si="471"/>
        <v>Q</v>
      </c>
      <c r="F14448" t="str">
        <f t="shared" si="472"/>
        <v>16Q</v>
      </c>
    </row>
    <row r="14449" spans="1:6" x14ac:dyDescent="0.2">
      <c r="A14449">
        <v>17</v>
      </c>
      <c r="E14449" t="str">
        <f t="shared" si="471"/>
        <v>R</v>
      </c>
      <c r="F14449" t="str">
        <f t="shared" si="472"/>
        <v>17R</v>
      </c>
    </row>
    <row r="14450" spans="1:6" x14ac:dyDescent="0.2">
      <c r="A14450">
        <v>18</v>
      </c>
      <c r="E14450" t="str">
        <f t="shared" si="471"/>
        <v>S</v>
      </c>
      <c r="F14450" t="str">
        <f t="shared" si="472"/>
        <v>18S</v>
      </c>
    </row>
    <row r="14451" spans="1:6" x14ac:dyDescent="0.2">
      <c r="A14451">
        <v>19</v>
      </c>
      <c r="E14451" t="str">
        <f t="shared" si="471"/>
        <v>T</v>
      </c>
      <c r="F14451" t="str">
        <f t="shared" si="472"/>
        <v>19T</v>
      </c>
    </row>
    <row r="14452" spans="1:6" x14ac:dyDescent="0.2">
      <c r="A14452">
        <v>20</v>
      </c>
      <c r="E14452" t="str">
        <f t="shared" si="471"/>
        <v>U</v>
      </c>
      <c r="F14452" t="str">
        <f t="shared" si="472"/>
        <v>20U</v>
      </c>
    </row>
    <row r="14453" spans="1:6" x14ac:dyDescent="0.2">
      <c r="A14453">
        <v>21</v>
      </c>
      <c r="E14453" t="str">
        <f t="shared" si="471"/>
        <v>V</v>
      </c>
      <c r="F14453" t="str">
        <f t="shared" si="472"/>
        <v>21V</v>
      </c>
    </row>
    <row r="14454" spans="1:6" x14ac:dyDescent="0.2">
      <c r="A14454">
        <v>22</v>
      </c>
      <c r="E14454" t="str">
        <f t="shared" si="471"/>
        <v>W</v>
      </c>
      <c r="F14454" t="str">
        <f t="shared" si="472"/>
        <v>22W</v>
      </c>
    </row>
    <row r="14455" spans="1:6" x14ac:dyDescent="0.2">
      <c r="A14455">
        <v>23</v>
      </c>
      <c r="E14455" t="str">
        <f t="shared" si="471"/>
        <v>X</v>
      </c>
      <c r="F14455" t="str">
        <f t="shared" si="472"/>
        <v>23X</v>
      </c>
    </row>
    <row r="14456" spans="1:6" x14ac:dyDescent="0.2">
      <c r="A14456">
        <v>24</v>
      </c>
      <c r="E14456" t="str">
        <f t="shared" si="471"/>
        <v>Y</v>
      </c>
      <c r="F14456" t="str">
        <f t="shared" si="472"/>
        <v>24Y</v>
      </c>
    </row>
    <row r="14457" spans="1:6" x14ac:dyDescent="0.2">
      <c r="A14457">
        <v>25</v>
      </c>
      <c r="E14457" t="str">
        <f t="shared" si="471"/>
        <v>Z</v>
      </c>
      <c r="F14457" t="str">
        <f t="shared" si="472"/>
        <v>25Z</v>
      </c>
    </row>
    <row r="14458" spans="1:6" x14ac:dyDescent="0.2">
      <c r="A14458">
        <v>0</v>
      </c>
      <c r="E14458" t="str">
        <f t="shared" si="471"/>
        <v>A</v>
      </c>
      <c r="F14458" t="str">
        <f t="shared" si="472"/>
        <v>0A</v>
      </c>
    </row>
    <row r="14459" spans="1:6" x14ac:dyDescent="0.2">
      <c r="A14459">
        <v>1</v>
      </c>
      <c r="E14459" t="str">
        <f t="shared" si="471"/>
        <v>B</v>
      </c>
      <c r="F14459" t="str">
        <f t="shared" si="472"/>
        <v>1B</v>
      </c>
    </row>
    <row r="14460" spans="1:6" x14ac:dyDescent="0.2">
      <c r="A14460">
        <v>2</v>
      </c>
      <c r="E14460" t="str">
        <f t="shared" si="471"/>
        <v>C</v>
      </c>
      <c r="F14460" t="str">
        <f t="shared" si="472"/>
        <v>2C</v>
      </c>
    </row>
    <row r="14461" spans="1:6" x14ac:dyDescent="0.2">
      <c r="A14461">
        <v>3</v>
      </c>
      <c r="E14461" t="str">
        <f t="shared" si="471"/>
        <v>D</v>
      </c>
      <c r="F14461" t="str">
        <f t="shared" si="472"/>
        <v>3D</v>
      </c>
    </row>
    <row r="14462" spans="1:6" x14ac:dyDescent="0.2">
      <c r="A14462">
        <v>4</v>
      </c>
      <c r="E14462" t="str">
        <f t="shared" si="471"/>
        <v>E</v>
      </c>
      <c r="F14462" t="str">
        <f t="shared" si="472"/>
        <v>4E</v>
      </c>
    </row>
    <row r="14463" spans="1:6" x14ac:dyDescent="0.2">
      <c r="A14463">
        <v>5</v>
      </c>
      <c r="E14463" t="str">
        <f t="shared" si="471"/>
        <v>F</v>
      </c>
      <c r="F14463" t="str">
        <f t="shared" si="472"/>
        <v>5F</v>
      </c>
    </row>
    <row r="14464" spans="1:6" x14ac:dyDescent="0.2">
      <c r="A14464">
        <v>6</v>
      </c>
      <c r="E14464" t="str">
        <f t="shared" si="471"/>
        <v>G</v>
      </c>
      <c r="F14464" t="str">
        <f t="shared" si="472"/>
        <v>6G</v>
      </c>
    </row>
    <row r="14465" spans="1:6" x14ac:dyDescent="0.2">
      <c r="A14465">
        <v>7</v>
      </c>
      <c r="E14465" t="str">
        <f t="shared" si="471"/>
        <v>H</v>
      </c>
      <c r="F14465" t="str">
        <f t="shared" si="472"/>
        <v>7H</v>
      </c>
    </row>
    <row r="14466" spans="1:6" x14ac:dyDescent="0.2">
      <c r="A14466">
        <v>8</v>
      </c>
      <c r="E14466" t="str">
        <f t="shared" si="471"/>
        <v>I</v>
      </c>
      <c r="F14466" t="str">
        <f t="shared" si="472"/>
        <v>8I</v>
      </c>
    </row>
    <row r="14467" spans="1:6" x14ac:dyDescent="0.2">
      <c r="A14467">
        <v>9</v>
      </c>
      <c r="E14467" t="str">
        <f t="shared" si="471"/>
        <v>J</v>
      </c>
      <c r="F14467" t="str">
        <f t="shared" si="472"/>
        <v>9J</v>
      </c>
    </row>
    <row r="14468" spans="1:6" x14ac:dyDescent="0.2">
      <c r="A14468">
        <v>10</v>
      </c>
      <c r="E14468" t="str">
        <f t="shared" si="471"/>
        <v>K</v>
      </c>
      <c r="F14468" t="str">
        <f t="shared" si="472"/>
        <v>10K</v>
      </c>
    </row>
    <row r="14469" spans="1:6" x14ac:dyDescent="0.2">
      <c r="A14469">
        <v>11</v>
      </c>
      <c r="E14469" t="str">
        <f t="shared" si="471"/>
        <v>L</v>
      </c>
      <c r="F14469" t="str">
        <f t="shared" si="472"/>
        <v>11L</v>
      </c>
    </row>
    <row r="14470" spans="1:6" x14ac:dyDescent="0.2">
      <c r="A14470">
        <v>12</v>
      </c>
      <c r="E14470" t="str">
        <f t="shared" si="471"/>
        <v>M</v>
      </c>
      <c r="F14470" t="str">
        <f t="shared" si="472"/>
        <v>12M</v>
      </c>
    </row>
    <row r="14471" spans="1:6" x14ac:dyDescent="0.2">
      <c r="A14471">
        <v>13</v>
      </c>
      <c r="E14471" t="str">
        <f t="shared" si="471"/>
        <v>N</v>
      </c>
      <c r="F14471" t="str">
        <f t="shared" si="472"/>
        <v>13N</v>
      </c>
    </row>
    <row r="14472" spans="1:6" x14ac:dyDescent="0.2">
      <c r="A14472">
        <v>14</v>
      </c>
      <c r="E14472" t="str">
        <f t="shared" si="471"/>
        <v>O</v>
      </c>
      <c r="F14472" t="str">
        <f t="shared" si="472"/>
        <v>14O</v>
      </c>
    </row>
    <row r="14473" spans="1:6" x14ac:dyDescent="0.2">
      <c r="A14473">
        <v>15</v>
      </c>
      <c r="E14473" t="str">
        <f t="shared" si="471"/>
        <v>P</v>
      </c>
      <c r="F14473" t="str">
        <f t="shared" si="472"/>
        <v>15P</v>
      </c>
    </row>
    <row r="14474" spans="1:6" x14ac:dyDescent="0.2">
      <c r="A14474">
        <v>16</v>
      </c>
      <c r="E14474" t="str">
        <f t="shared" si="471"/>
        <v>Q</v>
      </c>
      <c r="F14474" t="str">
        <f t="shared" si="472"/>
        <v>16Q</v>
      </c>
    </row>
    <row r="14475" spans="1:6" x14ac:dyDescent="0.2">
      <c r="A14475">
        <v>17</v>
      </c>
      <c r="E14475" t="str">
        <f t="shared" si="471"/>
        <v>R</v>
      </c>
      <c r="F14475" t="str">
        <f t="shared" si="472"/>
        <v>17R</v>
      </c>
    </row>
    <row r="14476" spans="1:6" x14ac:dyDescent="0.2">
      <c r="A14476">
        <v>18</v>
      </c>
      <c r="E14476" t="str">
        <f t="shared" si="471"/>
        <v>S</v>
      </c>
      <c r="F14476" t="str">
        <f t="shared" si="472"/>
        <v>18S</v>
      </c>
    </row>
    <row r="14477" spans="1:6" x14ac:dyDescent="0.2">
      <c r="A14477">
        <v>19</v>
      </c>
      <c r="E14477" t="str">
        <f t="shared" si="471"/>
        <v>T</v>
      </c>
      <c r="F14477" t="str">
        <f t="shared" si="472"/>
        <v>19T</v>
      </c>
    </row>
    <row r="14478" spans="1:6" x14ac:dyDescent="0.2">
      <c r="A14478">
        <v>20</v>
      </c>
      <c r="E14478" t="str">
        <f t="shared" si="471"/>
        <v>U</v>
      </c>
      <c r="F14478" t="str">
        <f t="shared" si="472"/>
        <v>20U</v>
      </c>
    </row>
    <row r="14479" spans="1:6" x14ac:dyDescent="0.2">
      <c r="A14479">
        <v>21</v>
      </c>
      <c r="E14479" t="str">
        <f t="shared" si="471"/>
        <v>V</v>
      </c>
      <c r="F14479" t="str">
        <f t="shared" si="472"/>
        <v>21V</v>
      </c>
    </row>
    <row r="14480" spans="1:6" x14ac:dyDescent="0.2">
      <c r="A14480">
        <v>22</v>
      </c>
      <c r="E14480" t="str">
        <f t="shared" si="471"/>
        <v>W</v>
      </c>
      <c r="F14480" t="str">
        <f t="shared" si="472"/>
        <v>22W</v>
      </c>
    </row>
    <row r="14481" spans="1:6" x14ac:dyDescent="0.2">
      <c r="A14481">
        <v>23</v>
      </c>
      <c r="E14481" t="str">
        <f t="shared" si="471"/>
        <v>X</v>
      </c>
      <c r="F14481" t="str">
        <f t="shared" si="472"/>
        <v>23X</v>
      </c>
    </row>
    <row r="14482" spans="1:6" x14ac:dyDescent="0.2">
      <c r="A14482">
        <v>24</v>
      </c>
      <c r="E14482" t="str">
        <f t="shared" si="471"/>
        <v>Y</v>
      </c>
      <c r="F14482" t="str">
        <f t="shared" si="472"/>
        <v>24Y</v>
      </c>
    </row>
    <row r="14483" spans="1:6" x14ac:dyDescent="0.2">
      <c r="A14483">
        <v>25</v>
      </c>
      <c r="E14483" t="str">
        <f t="shared" si="471"/>
        <v>Z</v>
      </c>
      <c r="F14483" t="str">
        <f t="shared" si="472"/>
        <v>25Z</v>
      </c>
    </row>
    <row r="14484" spans="1:6" x14ac:dyDescent="0.2">
      <c r="A14484">
        <v>0</v>
      </c>
      <c r="E14484" t="str">
        <f t="shared" si="471"/>
        <v>A</v>
      </c>
      <c r="F14484" t="str">
        <f t="shared" si="472"/>
        <v>0A</v>
      </c>
    </row>
    <row r="14485" spans="1:6" x14ac:dyDescent="0.2">
      <c r="A14485">
        <v>1</v>
      </c>
      <c r="E14485" t="str">
        <f t="shared" ref="E14485:E14548" si="473">E14459</f>
        <v>B</v>
      </c>
      <c r="F14485" t="str">
        <f t="shared" si="472"/>
        <v>1B</v>
      </c>
    </row>
    <row r="14486" spans="1:6" x14ac:dyDescent="0.2">
      <c r="A14486">
        <v>2</v>
      </c>
      <c r="E14486" t="str">
        <f t="shared" si="473"/>
        <v>C</v>
      </c>
      <c r="F14486" t="str">
        <f t="shared" si="472"/>
        <v>2C</v>
      </c>
    </row>
    <row r="14487" spans="1:6" x14ac:dyDescent="0.2">
      <c r="A14487">
        <v>3</v>
      </c>
      <c r="E14487" t="str">
        <f t="shared" si="473"/>
        <v>D</v>
      </c>
      <c r="F14487" t="str">
        <f t="shared" ref="F14487:F14550" si="474">A14487&amp;C14487&amp;E14487</f>
        <v>3D</v>
      </c>
    </row>
    <row r="14488" spans="1:6" x14ac:dyDescent="0.2">
      <c r="A14488">
        <v>4</v>
      </c>
      <c r="E14488" t="str">
        <f t="shared" si="473"/>
        <v>E</v>
      </c>
      <c r="F14488" t="str">
        <f t="shared" si="474"/>
        <v>4E</v>
      </c>
    </row>
    <row r="14489" spans="1:6" x14ac:dyDescent="0.2">
      <c r="A14489">
        <v>5</v>
      </c>
      <c r="E14489" t="str">
        <f t="shared" si="473"/>
        <v>F</v>
      </c>
      <c r="F14489" t="str">
        <f t="shared" si="474"/>
        <v>5F</v>
      </c>
    </row>
    <row r="14490" spans="1:6" x14ac:dyDescent="0.2">
      <c r="A14490">
        <v>6</v>
      </c>
      <c r="E14490" t="str">
        <f t="shared" si="473"/>
        <v>G</v>
      </c>
      <c r="F14490" t="str">
        <f t="shared" si="474"/>
        <v>6G</v>
      </c>
    </row>
    <row r="14491" spans="1:6" x14ac:dyDescent="0.2">
      <c r="A14491">
        <v>7</v>
      </c>
      <c r="E14491" t="str">
        <f t="shared" si="473"/>
        <v>H</v>
      </c>
      <c r="F14491" t="str">
        <f t="shared" si="474"/>
        <v>7H</v>
      </c>
    </row>
    <row r="14492" spans="1:6" x14ac:dyDescent="0.2">
      <c r="A14492">
        <v>8</v>
      </c>
      <c r="E14492" t="str">
        <f t="shared" si="473"/>
        <v>I</v>
      </c>
      <c r="F14492" t="str">
        <f t="shared" si="474"/>
        <v>8I</v>
      </c>
    </row>
    <row r="14493" spans="1:6" x14ac:dyDescent="0.2">
      <c r="A14493">
        <v>9</v>
      </c>
      <c r="E14493" t="str">
        <f t="shared" si="473"/>
        <v>J</v>
      </c>
      <c r="F14493" t="str">
        <f t="shared" si="474"/>
        <v>9J</v>
      </c>
    </row>
    <row r="14494" spans="1:6" x14ac:dyDescent="0.2">
      <c r="A14494">
        <v>10</v>
      </c>
      <c r="E14494" t="str">
        <f t="shared" si="473"/>
        <v>K</v>
      </c>
      <c r="F14494" t="str">
        <f t="shared" si="474"/>
        <v>10K</v>
      </c>
    </row>
    <row r="14495" spans="1:6" x14ac:dyDescent="0.2">
      <c r="A14495">
        <v>11</v>
      </c>
      <c r="E14495" t="str">
        <f t="shared" si="473"/>
        <v>L</v>
      </c>
      <c r="F14495" t="str">
        <f t="shared" si="474"/>
        <v>11L</v>
      </c>
    </row>
    <row r="14496" spans="1:6" x14ac:dyDescent="0.2">
      <c r="A14496">
        <v>12</v>
      </c>
      <c r="E14496" t="str">
        <f t="shared" si="473"/>
        <v>M</v>
      </c>
      <c r="F14496" t="str">
        <f t="shared" si="474"/>
        <v>12M</v>
      </c>
    </row>
    <row r="14497" spans="1:6" x14ac:dyDescent="0.2">
      <c r="A14497">
        <v>13</v>
      </c>
      <c r="E14497" t="str">
        <f t="shared" si="473"/>
        <v>N</v>
      </c>
      <c r="F14497" t="str">
        <f t="shared" si="474"/>
        <v>13N</v>
      </c>
    </row>
    <row r="14498" spans="1:6" x14ac:dyDescent="0.2">
      <c r="A14498">
        <v>14</v>
      </c>
      <c r="E14498" t="str">
        <f t="shared" si="473"/>
        <v>O</v>
      </c>
      <c r="F14498" t="str">
        <f t="shared" si="474"/>
        <v>14O</v>
      </c>
    </row>
    <row r="14499" spans="1:6" x14ac:dyDescent="0.2">
      <c r="A14499">
        <v>15</v>
      </c>
      <c r="E14499" t="str">
        <f t="shared" si="473"/>
        <v>P</v>
      </c>
      <c r="F14499" t="str">
        <f t="shared" si="474"/>
        <v>15P</v>
      </c>
    </row>
    <row r="14500" spans="1:6" x14ac:dyDescent="0.2">
      <c r="A14500">
        <v>16</v>
      </c>
      <c r="E14500" t="str">
        <f t="shared" si="473"/>
        <v>Q</v>
      </c>
      <c r="F14500" t="str">
        <f t="shared" si="474"/>
        <v>16Q</v>
      </c>
    </row>
    <row r="14501" spans="1:6" x14ac:dyDescent="0.2">
      <c r="A14501">
        <v>17</v>
      </c>
      <c r="E14501" t="str">
        <f t="shared" si="473"/>
        <v>R</v>
      </c>
      <c r="F14501" t="str">
        <f t="shared" si="474"/>
        <v>17R</v>
      </c>
    </row>
    <row r="14502" spans="1:6" x14ac:dyDescent="0.2">
      <c r="A14502">
        <v>18</v>
      </c>
      <c r="E14502" t="str">
        <f t="shared" si="473"/>
        <v>S</v>
      </c>
      <c r="F14502" t="str">
        <f t="shared" si="474"/>
        <v>18S</v>
      </c>
    </row>
    <row r="14503" spans="1:6" x14ac:dyDescent="0.2">
      <c r="A14503">
        <v>19</v>
      </c>
      <c r="E14503" t="str">
        <f t="shared" si="473"/>
        <v>T</v>
      </c>
      <c r="F14503" t="str">
        <f t="shared" si="474"/>
        <v>19T</v>
      </c>
    </row>
    <row r="14504" spans="1:6" x14ac:dyDescent="0.2">
      <c r="A14504">
        <v>20</v>
      </c>
      <c r="E14504" t="str">
        <f t="shared" si="473"/>
        <v>U</v>
      </c>
      <c r="F14504" t="str">
        <f t="shared" si="474"/>
        <v>20U</v>
      </c>
    </row>
    <row r="14505" spans="1:6" x14ac:dyDescent="0.2">
      <c r="A14505">
        <v>21</v>
      </c>
      <c r="E14505" t="str">
        <f t="shared" si="473"/>
        <v>V</v>
      </c>
      <c r="F14505" t="str">
        <f t="shared" si="474"/>
        <v>21V</v>
      </c>
    </row>
    <row r="14506" spans="1:6" x14ac:dyDescent="0.2">
      <c r="A14506">
        <v>22</v>
      </c>
      <c r="E14506" t="str">
        <f t="shared" si="473"/>
        <v>W</v>
      </c>
      <c r="F14506" t="str">
        <f t="shared" si="474"/>
        <v>22W</v>
      </c>
    </row>
    <row r="14507" spans="1:6" x14ac:dyDescent="0.2">
      <c r="A14507">
        <v>23</v>
      </c>
      <c r="E14507" t="str">
        <f t="shared" si="473"/>
        <v>X</v>
      </c>
      <c r="F14507" t="str">
        <f t="shared" si="474"/>
        <v>23X</v>
      </c>
    </row>
    <row r="14508" spans="1:6" x14ac:dyDescent="0.2">
      <c r="A14508">
        <v>24</v>
      </c>
      <c r="E14508" t="str">
        <f t="shared" si="473"/>
        <v>Y</v>
      </c>
      <c r="F14508" t="str">
        <f t="shared" si="474"/>
        <v>24Y</v>
      </c>
    </row>
    <row r="14509" spans="1:6" x14ac:dyDescent="0.2">
      <c r="A14509">
        <v>25</v>
      </c>
      <c r="E14509" t="str">
        <f t="shared" si="473"/>
        <v>Z</v>
      </c>
      <c r="F14509" t="str">
        <f t="shared" si="474"/>
        <v>25Z</v>
      </c>
    </row>
    <row r="14510" spans="1:6" x14ac:dyDescent="0.2">
      <c r="A14510">
        <v>0</v>
      </c>
      <c r="E14510" t="str">
        <f t="shared" si="473"/>
        <v>A</v>
      </c>
      <c r="F14510" t="str">
        <f t="shared" si="474"/>
        <v>0A</v>
      </c>
    </row>
    <row r="14511" spans="1:6" x14ac:dyDescent="0.2">
      <c r="A14511">
        <v>1</v>
      </c>
      <c r="E14511" t="str">
        <f t="shared" si="473"/>
        <v>B</v>
      </c>
      <c r="F14511" t="str">
        <f t="shared" si="474"/>
        <v>1B</v>
      </c>
    </row>
    <row r="14512" spans="1:6" x14ac:dyDescent="0.2">
      <c r="A14512">
        <v>2</v>
      </c>
      <c r="E14512" t="str">
        <f t="shared" si="473"/>
        <v>C</v>
      </c>
      <c r="F14512" t="str">
        <f t="shared" si="474"/>
        <v>2C</v>
      </c>
    </row>
    <row r="14513" spans="1:6" x14ac:dyDescent="0.2">
      <c r="A14513">
        <v>3</v>
      </c>
      <c r="E14513" t="str">
        <f t="shared" si="473"/>
        <v>D</v>
      </c>
      <c r="F14513" t="str">
        <f t="shared" si="474"/>
        <v>3D</v>
      </c>
    </row>
    <row r="14514" spans="1:6" x14ac:dyDescent="0.2">
      <c r="A14514">
        <v>4</v>
      </c>
      <c r="E14514" t="str">
        <f t="shared" si="473"/>
        <v>E</v>
      </c>
      <c r="F14514" t="str">
        <f t="shared" si="474"/>
        <v>4E</v>
      </c>
    </row>
    <row r="14515" spans="1:6" x14ac:dyDescent="0.2">
      <c r="A14515">
        <v>5</v>
      </c>
      <c r="E14515" t="str">
        <f t="shared" si="473"/>
        <v>F</v>
      </c>
      <c r="F14515" t="str">
        <f t="shared" si="474"/>
        <v>5F</v>
      </c>
    </row>
    <row r="14516" spans="1:6" x14ac:dyDescent="0.2">
      <c r="A14516">
        <v>6</v>
      </c>
      <c r="E14516" t="str">
        <f t="shared" si="473"/>
        <v>G</v>
      </c>
      <c r="F14516" t="str">
        <f t="shared" si="474"/>
        <v>6G</v>
      </c>
    </row>
    <row r="14517" spans="1:6" x14ac:dyDescent="0.2">
      <c r="A14517">
        <v>7</v>
      </c>
      <c r="E14517" t="str">
        <f t="shared" si="473"/>
        <v>H</v>
      </c>
      <c r="F14517" t="str">
        <f t="shared" si="474"/>
        <v>7H</v>
      </c>
    </row>
    <row r="14518" spans="1:6" x14ac:dyDescent="0.2">
      <c r="A14518">
        <v>8</v>
      </c>
      <c r="E14518" t="str">
        <f t="shared" si="473"/>
        <v>I</v>
      </c>
      <c r="F14518" t="str">
        <f t="shared" si="474"/>
        <v>8I</v>
      </c>
    </row>
    <row r="14519" spans="1:6" x14ac:dyDescent="0.2">
      <c r="A14519">
        <v>9</v>
      </c>
      <c r="E14519" t="str">
        <f t="shared" si="473"/>
        <v>J</v>
      </c>
      <c r="F14519" t="str">
        <f t="shared" si="474"/>
        <v>9J</v>
      </c>
    </row>
    <row r="14520" spans="1:6" x14ac:dyDescent="0.2">
      <c r="A14520">
        <v>10</v>
      </c>
      <c r="E14520" t="str">
        <f t="shared" si="473"/>
        <v>K</v>
      </c>
      <c r="F14520" t="str">
        <f t="shared" si="474"/>
        <v>10K</v>
      </c>
    </row>
    <row r="14521" spans="1:6" x14ac:dyDescent="0.2">
      <c r="A14521">
        <v>11</v>
      </c>
      <c r="E14521" t="str">
        <f t="shared" si="473"/>
        <v>L</v>
      </c>
      <c r="F14521" t="str">
        <f t="shared" si="474"/>
        <v>11L</v>
      </c>
    </row>
    <row r="14522" spans="1:6" x14ac:dyDescent="0.2">
      <c r="A14522">
        <v>12</v>
      </c>
      <c r="E14522" t="str">
        <f t="shared" si="473"/>
        <v>M</v>
      </c>
      <c r="F14522" t="str">
        <f t="shared" si="474"/>
        <v>12M</v>
      </c>
    </row>
    <row r="14523" spans="1:6" x14ac:dyDescent="0.2">
      <c r="A14523">
        <v>13</v>
      </c>
      <c r="E14523" t="str">
        <f t="shared" si="473"/>
        <v>N</v>
      </c>
      <c r="F14523" t="str">
        <f t="shared" si="474"/>
        <v>13N</v>
      </c>
    </row>
    <row r="14524" spans="1:6" x14ac:dyDescent="0.2">
      <c r="A14524">
        <v>14</v>
      </c>
      <c r="E14524" t="str">
        <f t="shared" si="473"/>
        <v>O</v>
      </c>
      <c r="F14524" t="str">
        <f t="shared" si="474"/>
        <v>14O</v>
      </c>
    </row>
    <row r="14525" spans="1:6" x14ac:dyDescent="0.2">
      <c r="A14525">
        <v>15</v>
      </c>
      <c r="E14525" t="str">
        <f t="shared" si="473"/>
        <v>P</v>
      </c>
      <c r="F14525" t="str">
        <f t="shared" si="474"/>
        <v>15P</v>
      </c>
    </row>
    <row r="14526" spans="1:6" x14ac:dyDescent="0.2">
      <c r="A14526">
        <v>16</v>
      </c>
      <c r="E14526" t="str">
        <f t="shared" si="473"/>
        <v>Q</v>
      </c>
      <c r="F14526" t="str">
        <f t="shared" si="474"/>
        <v>16Q</v>
      </c>
    </row>
    <row r="14527" spans="1:6" x14ac:dyDescent="0.2">
      <c r="A14527">
        <v>17</v>
      </c>
      <c r="E14527" t="str">
        <f t="shared" si="473"/>
        <v>R</v>
      </c>
      <c r="F14527" t="str">
        <f t="shared" si="474"/>
        <v>17R</v>
      </c>
    </row>
    <row r="14528" spans="1:6" x14ac:dyDescent="0.2">
      <c r="A14528">
        <v>18</v>
      </c>
      <c r="E14528" t="str">
        <f t="shared" si="473"/>
        <v>S</v>
      </c>
      <c r="F14528" t="str">
        <f t="shared" si="474"/>
        <v>18S</v>
      </c>
    </row>
    <row r="14529" spans="1:6" x14ac:dyDescent="0.2">
      <c r="A14529">
        <v>19</v>
      </c>
      <c r="E14529" t="str">
        <f t="shared" si="473"/>
        <v>T</v>
      </c>
      <c r="F14529" t="str">
        <f t="shared" si="474"/>
        <v>19T</v>
      </c>
    </row>
    <row r="14530" spans="1:6" x14ac:dyDescent="0.2">
      <c r="A14530">
        <v>20</v>
      </c>
      <c r="E14530" t="str">
        <f t="shared" si="473"/>
        <v>U</v>
      </c>
      <c r="F14530" t="str">
        <f t="shared" si="474"/>
        <v>20U</v>
      </c>
    </row>
    <row r="14531" spans="1:6" x14ac:dyDescent="0.2">
      <c r="A14531">
        <v>21</v>
      </c>
      <c r="E14531" t="str">
        <f t="shared" si="473"/>
        <v>V</v>
      </c>
      <c r="F14531" t="str">
        <f t="shared" si="474"/>
        <v>21V</v>
      </c>
    </row>
    <row r="14532" spans="1:6" x14ac:dyDescent="0.2">
      <c r="A14532">
        <v>22</v>
      </c>
      <c r="E14532" t="str">
        <f t="shared" si="473"/>
        <v>W</v>
      </c>
      <c r="F14532" t="str">
        <f t="shared" si="474"/>
        <v>22W</v>
      </c>
    </row>
    <row r="14533" spans="1:6" x14ac:dyDescent="0.2">
      <c r="A14533">
        <v>23</v>
      </c>
      <c r="E14533" t="str">
        <f t="shared" si="473"/>
        <v>X</v>
      </c>
      <c r="F14533" t="str">
        <f t="shared" si="474"/>
        <v>23X</v>
      </c>
    </row>
    <row r="14534" spans="1:6" x14ac:dyDescent="0.2">
      <c r="A14534">
        <v>24</v>
      </c>
      <c r="E14534" t="str">
        <f t="shared" si="473"/>
        <v>Y</v>
      </c>
      <c r="F14534" t="str">
        <f t="shared" si="474"/>
        <v>24Y</v>
      </c>
    </row>
    <row r="14535" spans="1:6" x14ac:dyDescent="0.2">
      <c r="A14535">
        <v>25</v>
      </c>
      <c r="E14535" t="str">
        <f t="shared" si="473"/>
        <v>Z</v>
      </c>
      <c r="F14535" t="str">
        <f t="shared" si="474"/>
        <v>25Z</v>
      </c>
    </row>
    <row r="14536" spans="1:6" x14ac:dyDescent="0.2">
      <c r="A14536">
        <v>0</v>
      </c>
      <c r="E14536" t="str">
        <f t="shared" si="473"/>
        <v>A</v>
      </c>
      <c r="F14536" t="str">
        <f t="shared" si="474"/>
        <v>0A</v>
      </c>
    </row>
    <row r="14537" spans="1:6" x14ac:dyDescent="0.2">
      <c r="A14537">
        <v>1</v>
      </c>
      <c r="E14537" t="str">
        <f t="shared" si="473"/>
        <v>B</v>
      </c>
      <c r="F14537" t="str">
        <f t="shared" si="474"/>
        <v>1B</v>
      </c>
    </row>
    <row r="14538" spans="1:6" x14ac:dyDescent="0.2">
      <c r="A14538">
        <v>2</v>
      </c>
      <c r="E14538" t="str">
        <f t="shared" si="473"/>
        <v>C</v>
      </c>
      <c r="F14538" t="str">
        <f t="shared" si="474"/>
        <v>2C</v>
      </c>
    </row>
    <row r="14539" spans="1:6" x14ac:dyDescent="0.2">
      <c r="A14539">
        <v>3</v>
      </c>
      <c r="E14539" t="str">
        <f t="shared" si="473"/>
        <v>D</v>
      </c>
      <c r="F14539" t="str">
        <f t="shared" si="474"/>
        <v>3D</v>
      </c>
    </row>
    <row r="14540" spans="1:6" x14ac:dyDescent="0.2">
      <c r="A14540">
        <v>4</v>
      </c>
      <c r="E14540" t="str">
        <f t="shared" si="473"/>
        <v>E</v>
      </c>
      <c r="F14540" t="str">
        <f t="shared" si="474"/>
        <v>4E</v>
      </c>
    </row>
    <row r="14541" spans="1:6" x14ac:dyDescent="0.2">
      <c r="A14541">
        <v>5</v>
      </c>
      <c r="E14541" t="str">
        <f t="shared" si="473"/>
        <v>F</v>
      </c>
      <c r="F14541" t="str">
        <f t="shared" si="474"/>
        <v>5F</v>
      </c>
    </row>
    <row r="14542" spans="1:6" x14ac:dyDescent="0.2">
      <c r="A14542">
        <v>6</v>
      </c>
      <c r="E14542" t="str">
        <f t="shared" si="473"/>
        <v>G</v>
      </c>
      <c r="F14542" t="str">
        <f t="shared" si="474"/>
        <v>6G</v>
      </c>
    </row>
    <row r="14543" spans="1:6" x14ac:dyDescent="0.2">
      <c r="A14543">
        <v>7</v>
      </c>
      <c r="E14543" t="str">
        <f t="shared" si="473"/>
        <v>H</v>
      </c>
      <c r="F14543" t="str">
        <f t="shared" si="474"/>
        <v>7H</v>
      </c>
    </row>
    <row r="14544" spans="1:6" x14ac:dyDescent="0.2">
      <c r="A14544">
        <v>8</v>
      </c>
      <c r="E14544" t="str">
        <f t="shared" si="473"/>
        <v>I</v>
      </c>
      <c r="F14544" t="str">
        <f t="shared" si="474"/>
        <v>8I</v>
      </c>
    </row>
    <row r="14545" spans="1:6" x14ac:dyDescent="0.2">
      <c r="A14545">
        <v>9</v>
      </c>
      <c r="E14545" t="str">
        <f t="shared" si="473"/>
        <v>J</v>
      </c>
      <c r="F14545" t="str">
        <f t="shared" si="474"/>
        <v>9J</v>
      </c>
    </row>
    <row r="14546" spans="1:6" x14ac:dyDescent="0.2">
      <c r="A14546">
        <v>10</v>
      </c>
      <c r="E14546" t="str">
        <f t="shared" si="473"/>
        <v>K</v>
      </c>
      <c r="F14546" t="str">
        <f t="shared" si="474"/>
        <v>10K</v>
      </c>
    </row>
    <row r="14547" spans="1:6" x14ac:dyDescent="0.2">
      <c r="A14547">
        <v>11</v>
      </c>
      <c r="E14547" t="str">
        <f t="shared" si="473"/>
        <v>L</v>
      </c>
      <c r="F14547" t="str">
        <f t="shared" si="474"/>
        <v>11L</v>
      </c>
    </row>
    <row r="14548" spans="1:6" x14ac:dyDescent="0.2">
      <c r="A14548">
        <v>12</v>
      </c>
      <c r="E14548" t="str">
        <f t="shared" si="473"/>
        <v>M</v>
      </c>
      <c r="F14548" t="str">
        <f t="shared" si="474"/>
        <v>12M</v>
      </c>
    </row>
    <row r="14549" spans="1:6" x14ac:dyDescent="0.2">
      <c r="A14549">
        <v>13</v>
      </c>
      <c r="E14549" t="str">
        <f t="shared" ref="E14549:E14612" si="475">E14523</f>
        <v>N</v>
      </c>
      <c r="F14549" t="str">
        <f t="shared" si="474"/>
        <v>13N</v>
      </c>
    </row>
    <row r="14550" spans="1:6" x14ac:dyDescent="0.2">
      <c r="A14550">
        <v>14</v>
      </c>
      <c r="E14550" t="str">
        <f t="shared" si="475"/>
        <v>O</v>
      </c>
      <c r="F14550" t="str">
        <f t="shared" si="474"/>
        <v>14O</v>
      </c>
    </row>
    <row r="14551" spans="1:6" x14ac:dyDescent="0.2">
      <c r="A14551">
        <v>15</v>
      </c>
      <c r="E14551" t="str">
        <f t="shared" si="475"/>
        <v>P</v>
      </c>
      <c r="F14551" t="str">
        <f t="shared" ref="F14551:F14614" si="476">A14551&amp;C14551&amp;E14551</f>
        <v>15P</v>
      </c>
    </row>
    <row r="14552" spans="1:6" x14ac:dyDescent="0.2">
      <c r="A14552">
        <v>16</v>
      </c>
      <c r="E14552" t="str">
        <f t="shared" si="475"/>
        <v>Q</v>
      </c>
      <c r="F14552" t="str">
        <f t="shared" si="476"/>
        <v>16Q</v>
      </c>
    </row>
    <row r="14553" spans="1:6" x14ac:dyDescent="0.2">
      <c r="A14553">
        <v>17</v>
      </c>
      <c r="E14553" t="str">
        <f t="shared" si="475"/>
        <v>R</v>
      </c>
      <c r="F14553" t="str">
        <f t="shared" si="476"/>
        <v>17R</v>
      </c>
    </row>
    <row r="14554" spans="1:6" x14ac:dyDescent="0.2">
      <c r="A14554">
        <v>18</v>
      </c>
      <c r="E14554" t="str">
        <f t="shared" si="475"/>
        <v>S</v>
      </c>
      <c r="F14554" t="str">
        <f t="shared" si="476"/>
        <v>18S</v>
      </c>
    </row>
    <row r="14555" spans="1:6" x14ac:dyDescent="0.2">
      <c r="A14555">
        <v>19</v>
      </c>
      <c r="E14555" t="str">
        <f t="shared" si="475"/>
        <v>T</v>
      </c>
      <c r="F14555" t="str">
        <f t="shared" si="476"/>
        <v>19T</v>
      </c>
    </row>
    <row r="14556" spans="1:6" x14ac:dyDescent="0.2">
      <c r="A14556">
        <v>20</v>
      </c>
      <c r="E14556" t="str">
        <f t="shared" si="475"/>
        <v>U</v>
      </c>
      <c r="F14556" t="str">
        <f t="shared" si="476"/>
        <v>20U</v>
      </c>
    </row>
    <row r="14557" spans="1:6" x14ac:dyDescent="0.2">
      <c r="A14557">
        <v>21</v>
      </c>
      <c r="E14557" t="str">
        <f t="shared" si="475"/>
        <v>V</v>
      </c>
      <c r="F14557" t="str">
        <f t="shared" si="476"/>
        <v>21V</v>
      </c>
    </row>
    <row r="14558" spans="1:6" x14ac:dyDescent="0.2">
      <c r="A14558">
        <v>22</v>
      </c>
      <c r="E14558" t="str">
        <f t="shared" si="475"/>
        <v>W</v>
      </c>
      <c r="F14558" t="str">
        <f t="shared" si="476"/>
        <v>22W</v>
      </c>
    </row>
    <row r="14559" spans="1:6" x14ac:dyDescent="0.2">
      <c r="A14559">
        <v>23</v>
      </c>
      <c r="E14559" t="str">
        <f t="shared" si="475"/>
        <v>X</v>
      </c>
      <c r="F14559" t="str">
        <f t="shared" si="476"/>
        <v>23X</v>
      </c>
    </row>
    <row r="14560" spans="1:6" x14ac:dyDescent="0.2">
      <c r="A14560">
        <v>24</v>
      </c>
      <c r="E14560" t="str">
        <f t="shared" si="475"/>
        <v>Y</v>
      </c>
      <c r="F14560" t="str">
        <f t="shared" si="476"/>
        <v>24Y</v>
      </c>
    </row>
    <row r="14561" spans="1:6" x14ac:dyDescent="0.2">
      <c r="A14561">
        <v>25</v>
      </c>
      <c r="E14561" t="str">
        <f t="shared" si="475"/>
        <v>Z</v>
      </c>
      <c r="F14561" t="str">
        <f t="shared" si="476"/>
        <v>25Z</v>
      </c>
    </row>
    <row r="14562" spans="1:6" x14ac:dyDescent="0.2">
      <c r="A14562">
        <v>0</v>
      </c>
      <c r="E14562" t="str">
        <f t="shared" si="475"/>
        <v>A</v>
      </c>
      <c r="F14562" t="str">
        <f t="shared" si="476"/>
        <v>0A</v>
      </c>
    </row>
    <row r="14563" spans="1:6" x14ac:dyDescent="0.2">
      <c r="A14563">
        <v>1</v>
      </c>
      <c r="E14563" t="str">
        <f t="shared" si="475"/>
        <v>B</v>
      </c>
      <c r="F14563" t="str">
        <f t="shared" si="476"/>
        <v>1B</v>
      </c>
    </row>
    <row r="14564" spans="1:6" x14ac:dyDescent="0.2">
      <c r="A14564">
        <v>2</v>
      </c>
      <c r="E14564" t="str">
        <f t="shared" si="475"/>
        <v>C</v>
      </c>
      <c r="F14564" t="str">
        <f t="shared" si="476"/>
        <v>2C</v>
      </c>
    </row>
    <row r="14565" spans="1:6" x14ac:dyDescent="0.2">
      <c r="A14565">
        <v>3</v>
      </c>
      <c r="E14565" t="str">
        <f t="shared" si="475"/>
        <v>D</v>
      </c>
      <c r="F14565" t="str">
        <f t="shared" si="476"/>
        <v>3D</v>
      </c>
    </row>
    <row r="14566" spans="1:6" x14ac:dyDescent="0.2">
      <c r="A14566">
        <v>4</v>
      </c>
      <c r="E14566" t="str">
        <f t="shared" si="475"/>
        <v>E</v>
      </c>
      <c r="F14566" t="str">
        <f t="shared" si="476"/>
        <v>4E</v>
      </c>
    </row>
    <row r="14567" spans="1:6" x14ac:dyDescent="0.2">
      <c r="A14567">
        <v>5</v>
      </c>
      <c r="E14567" t="str">
        <f t="shared" si="475"/>
        <v>F</v>
      </c>
      <c r="F14567" t="str">
        <f t="shared" si="476"/>
        <v>5F</v>
      </c>
    </row>
    <row r="14568" spans="1:6" x14ac:dyDescent="0.2">
      <c r="A14568">
        <v>6</v>
      </c>
      <c r="E14568" t="str">
        <f t="shared" si="475"/>
        <v>G</v>
      </c>
      <c r="F14568" t="str">
        <f t="shared" si="476"/>
        <v>6G</v>
      </c>
    </row>
    <row r="14569" spans="1:6" x14ac:dyDescent="0.2">
      <c r="A14569">
        <v>7</v>
      </c>
      <c r="E14569" t="str">
        <f t="shared" si="475"/>
        <v>H</v>
      </c>
      <c r="F14569" t="str">
        <f t="shared" si="476"/>
        <v>7H</v>
      </c>
    </row>
    <row r="14570" spans="1:6" x14ac:dyDescent="0.2">
      <c r="A14570">
        <v>8</v>
      </c>
      <c r="E14570" t="str">
        <f t="shared" si="475"/>
        <v>I</v>
      </c>
      <c r="F14570" t="str">
        <f t="shared" si="476"/>
        <v>8I</v>
      </c>
    </row>
    <row r="14571" spans="1:6" x14ac:dyDescent="0.2">
      <c r="A14571">
        <v>9</v>
      </c>
      <c r="E14571" t="str">
        <f t="shared" si="475"/>
        <v>J</v>
      </c>
      <c r="F14571" t="str">
        <f t="shared" si="476"/>
        <v>9J</v>
      </c>
    </row>
    <row r="14572" spans="1:6" x14ac:dyDescent="0.2">
      <c r="A14572">
        <v>10</v>
      </c>
      <c r="E14572" t="str">
        <f t="shared" si="475"/>
        <v>K</v>
      </c>
      <c r="F14572" t="str">
        <f t="shared" si="476"/>
        <v>10K</v>
      </c>
    </row>
    <row r="14573" spans="1:6" x14ac:dyDescent="0.2">
      <c r="A14573">
        <v>11</v>
      </c>
      <c r="E14573" t="str">
        <f t="shared" si="475"/>
        <v>L</v>
      </c>
      <c r="F14573" t="str">
        <f t="shared" si="476"/>
        <v>11L</v>
      </c>
    </row>
    <row r="14574" spans="1:6" x14ac:dyDescent="0.2">
      <c r="A14574">
        <v>12</v>
      </c>
      <c r="E14574" t="str">
        <f t="shared" si="475"/>
        <v>M</v>
      </c>
      <c r="F14574" t="str">
        <f t="shared" si="476"/>
        <v>12M</v>
      </c>
    </row>
    <row r="14575" spans="1:6" x14ac:dyDescent="0.2">
      <c r="A14575">
        <v>13</v>
      </c>
      <c r="E14575" t="str">
        <f t="shared" si="475"/>
        <v>N</v>
      </c>
      <c r="F14575" t="str">
        <f t="shared" si="476"/>
        <v>13N</v>
      </c>
    </row>
    <row r="14576" spans="1:6" x14ac:dyDescent="0.2">
      <c r="A14576">
        <v>14</v>
      </c>
      <c r="E14576" t="str">
        <f t="shared" si="475"/>
        <v>O</v>
      </c>
      <c r="F14576" t="str">
        <f t="shared" si="476"/>
        <v>14O</v>
      </c>
    </row>
    <row r="14577" spans="1:6" x14ac:dyDescent="0.2">
      <c r="A14577">
        <v>15</v>
      </c>
      <c r="E14577" t="str">
        <f t="shared" si="475"/>
        <v>P</v>
      </c>
      <c r="F14577" t="str">
        <f t="shared" si="476"/>
        <v>15P</v>
      </c>
    </row>
    <row r="14578" spans="1:6" x14ac:dyDescent="0.2">
      <c r="A14578">
        <v>16</v>
      </c>
      <c r="E14578" t="str">
        <f t="shared" si="475"/>
        <v>Q</v>
      </c>
      <c r="F14578" t="str">
        <f t="shared" si="476"/>
        <v>16Q</v>
      </c>
    </row>
    <row r="14579" spans="1:6" x14ac:dyDescent="0.2">
      <c r="A14579">
        <v>17</v>
      </c>
      <c r="E14579" t="str">
        <f t="shared" si="475"/>
        <v>R</v>
      </c>
      <c r="F14579" t="str">
        <f t="shared" si="476"/>
        <v>17R</v>
      </c>
    </row>
    <row r="14580" spans="1:6" x14ac:dyDescent="0.2">
      <c r="A14580">
        <v>18</v>
      </c>
      <c r="E14580" t="str">
        <f t="shared" si="475"/>
        <v>S</v>
      </c>
      <c r="F14580" t="str">
        <f t="shared" si="476"/>
        <v>18S</v>
      </c>
    </row>
    <row r="14581" spans="1:6" x14ac:dyDescent="0.2">
      <c r="A14581">
        <v>19</v>
      </c>
      <c r="E14581" t="str">
        <f t="shared" si="475"/>
        <v>T</v>
      </c>
      <c r="F14581" t="str">
        <f t="shared" si="476"/>
        <v>19T</v>
      </c>
    </row>
    <row r="14582" spans="1:6" x14ac:dyDescent="0.2">
      <c r="A14582">
        <v>20</v>
      </c>
      <c r="E14582" t="str">
        <f t="shared" si="475"/>
        <v>U</v>
      </c>
      <c r="F14582" t="str">
        <f t="shared" si="476"/>
        <v>20U</v>
      </c>
    </row>
    <row r="14583" spans="1:6" x14ac:dyDescent="0.2">
      <c r="A14583">
        <v>21</v>
      </c>
      <c r="E14583" t="str">
        <f t="shared" si="475"/>
        <v>V</v>
      </c>
      <c r="F14583" t="str">
        <f t="shared" si="476"/>
        <v>21V</v>
      </c>
    </row>
    <row r="14584" spans="1:6" x14ac:dyDescent="0.2">
      <c r="A14584">
        <v>22</v>
      </c>
      <c r="E14584" t="str">
        <f t="shared" si="475"/>
        <v>W</v>
      </c>
      <c r="F14584" t="str">
        <f t="shared" si="476"/>
        <v>22W</v>
      </c>
    </row>
    <row r="14585" spans="1:6" x14ac:dyDescent="0.2">
      <c r="A14585">
        <v>23</v>
      </c>
      <c r="E14585" t="str">
        <f t="shared" si="475"/>
        <v>X</v>
      </c>
      <c r="F14585" t="str">
        <f t="shared" si="476"/>
        <v>23X</v>
      </c>
    </row>
    <row r="14586" spans="1:6" x14ac:dyDescent="0.2">
      <c r="A14586">
        <v>24</v>
      </c>
      <c r="E14586" t="str">
        <f t="shared" si="475"/>
        <v>Y</v>
      </c>
      <c r="F14586" t="str">
        <f t="shared" si="476"/>
        <v>24Y</v>
      </c>
    </row>
    <row r="14587" spans="1:6" x14ac:dyDescent="0.2">
      <c r="A14587">
        <v>25</v>
      </c>
      <c r="E14587" t="str">
        <f t="shared" si="475"/>
        <v>Z</v>
      </c>
      <c r="F14587" t="str">
        <f t="shared" si="476"/>
        <v>25Z</v>
      </c>
    </row>
    <row r="14588" spans="1:6" x14ac:dyDescent="0.2">
      <c r="A14588">
        <v>0</v>
      </c>
      <c r="E14588" t="str">
        <f t="shared" si="475"/>
        <v>A</v>
      </c>
      <c r="F14588" t="str">
        <f t="shared" si="476"/>
        <v>0A</v>
      </c>
    </row>
    <row r="14589" spans="1:6" x14ac:dyDescent="0.2">
      <c r="A14589">
        <v>1</v>
      </c>
      <c r="E14589" t="str">
        <f t="shared" si="475"/>
        <v>B</v>
      </c>
      <c r="F14589" t="str">
        <f t="shared" si="476"/>
        <v>1B</v>
      </c>
    </row>
    <row r="14590" spans="1:6" x14ac:dyDescent="0.2">
      <c r="A14590">
        <v>2</v>
      </c>
      <c r="E14590" t="str">
        <f t="shared" si="475"/>
        <v>C</v>
      </c>
      <c r="F14590" t="str">
        <f t="shared" si="476"/>
        <v>2C</v>
      </c>
    </row>
    <row r="14591" spans="1:6" x14ac:dyDescent="0.2">
      <c r="A14591">
        <v>3</v>
      </c>
      <c r="E14591" t="str">
        <f t="shared" si="475"/>
        <v>D</v>
      </c>
      <c r="F14591" t="str">
        <f t="shared" si="476"/>
        <v>3D</v>
      </c>
    </row>
    <row r="14592" spans="1:6" x14ac:dyDescent="0.2">
      <c r="A14592">
        <v>4</v>
      </c>
      <c r="E14592" t="str">
        <f t="shared" si="475"/>
        <v>E</v>
      </c>
      <c r="F14592" t="str">
        <f t="shared" si="476"/>
        <v>4E</v>
      </c>
    </row>
    <row r="14593" spans="1:6" x14ac:dyDescent="0.2">
      <c r="A14593">
        <v>5</v>
      </c>
      <c r="E14593" t="str">
        <f t="shared" si="475"/>
        <v>F</v>
      </c>
      <c r="F14593" t="str">
        <f t="shared" si="476"/>
        <v>5F</v>
      </c>
    </row>
    <row r="14594" spans="1:6" x14ac:dyDescent="0.2">
      <c r="A14594">
        <v>6</v>
      </c>
      <c r="E14594" t="str">
        <f t="shared" si="475"/>
        <v>G</v>
      </c>
      <c r="F14594" t="str">
        <f t="shared" si="476"/>
        <v>6G</v>
      </c>
    </row>
    <row r="14595" spans="1:6" x14ac:dyDescent="0.2">
      <c r="A14595">
        <v>7</v>
      </c>
      <c r="E14595" t="str">
        <f t="shared" si="475"/>
        <v>H</v>
      </c>
      <c r="F14595" t="str">
        <f t="shared" si="476"/>
        <v>7H</v>
      </c>
    </row>
    <row r="14596" spans="1:6" x14ac:dyDescent="0.2">
      <c r="A14596">
        <v>8</v>
      </c>
      <c r="E14596" t="str">
        <f t="shared" si="475"/>
        <v>I</v>
      </c>
      <c r="F14596" t="str">
        <f t="shared" si="476"/>
        <v>8I</v>
      </c>
    </row>
    <row r="14597" spans="1:6" x14ac:dyDescent="0.2">
      <c r="A14597">
        <v>9</v>
      </c>
      <c r="E14597" t="str">
        <f t="shared" si="475"/>
        <v>J</v>
      </c>
      <c r="F14597" t="str">
        <f t="shared" si="476"/>
        <v>9J</v>
      </c>
    </row>
    <row r="14598" spans="1:6" x14ac:dyDescent="0.2">
      <c r="A14598">
        <v>10</v>
      </c>
      <c r="E14598" t="str">
        <f t="shared" si="475"/>
        <v>K</v>
      </c>
      <c r="F14598" t="str">
        <f t="shared" si="476"/>
        <v>10K</v>
      </c>
    </row>
    <row r="14599" spans="1:6" x14ac:dyDescent="0.2">
      <c r="A14599">
        <v>11</v>
      </c>
      <c r="E14599" t="str">
        <f t="shared" si="475"/>
        <v>L</v>
      </c>
      <c r="F14599" t="str">
        <f t="shared" si="476"/>
        <v>11L</v>
      </c>
    </row>
    <row r="14600" spans="1:6" x14ac:dyDescent="0.2">
      <c r="A14600">
        <v>12</v>
      </c>
      <c r="E14600" t="str">
        <f t="shared" si="475"/>
        <v>M</v>
      </c>
      <c r="F14600" t="str">
        <f t="shared" si="476"/>
        <v>12M</v>
      </c>
    </row>
    <row r="14601" spans="1:6" x14ac:dyDescent="0.2">
      <c r="A14601">
        <v>13</v>
      </c>
      <c r="E14601" t="str">
        <f t="shared" si="475"/>
        <v>N</v>
      </c>
      <c r="F14601" t="str">
        <f t="shared" si="476"/>
        <v>13N</v>
      </c>
    </row>
    <row r="14602" spans="1:6" x14ac:dyDescent="0.2">
      <c r="A14602">
        <v>14</v>
      </c>
      <c r="E14602" t="str">
        <f t="shared" si="475"/>
        <v>O</v>
      </c>
      <c r="F14602" t="str">
        <f t="shared" si="476"/>
        <v>14O</v>
      </c>
    </row>
    <row r="14603" spans="1:6" x14ac:dyDescent="0.2">
      <c r="A14603">
        <v>15</v>
      </c>
      <c r="E14603" t="str">
        <f t="shared" si="475"/>
        <v>P</v>
      </c>
      <c r="F14603" t="str">
        <f t="shared" si="476"/>
        <v>15P</v>
      </c>
    </row>
    <row r="14604" spans="1:6" x14ac:dyDescent="0.2">
      <c r="A14604">
        <v>16</v>
      </c>
      <c r="E14604" t="str">
        <f t="shared" si="475"/>
        <v>Q</v>
      </c>
      <c r="F14604" t="str">
        <f t="shared" si="476"/>
        <v>16Q</v>
      </c>
    </row>
    <row r="14605" spans="1:6" x14ac:dyDescent="0.2">
      <c r="A14605">
        <v>17</v>
      </c>
      <c r="E14605" t="str">
        <f t="shared" si="475"/>
        <v>R</v>
      </c>
      <c r="F14605" t="str">
        <f t="shared" si="476"/>
        <v>17R</v>
      </c>
    </row>
    <row r="14606" spans="1:6" x14ac:dyDescent="0.2">
      <c r="A14606">
        <v>18</v>
      </c>
      <c r="E14606" t="str">
        <f t="shared" si="475"/>
        <v>S</v>
      </c>
      <c r="F14606" t="str">
        <f t="shared" si="476"/>
        <v>18S</v>
      </c>
    </row>
    <row r="14607" spans="1:6" x14ac:dyDescent="0.2">
      <c r="A14607">
        <v>19</v>
      </c>
      <c r="E14607" t="str">
        <f t="shared" si="475"/>
        <v>T</v>
      </c>
      <c r="F14607" t="str">
        <f t="shared" si="476"/>
        <v>19T</v>
      </c>
    </row>
    <row r="14608" spans="1:6" x14ac:dyDescent="0.2">
      <c r="A14608">
        <v>20</v>
      </c>
      <c r="E14608" t="str">
        <f t="shared" si="475"/>
        <v>U</v>
      </c>
      <c r="F14608" t="str">
        <f t="shared" si="476"/>
        <v>20U</v>
      </c>
    </row>
    <row r="14609" spans="1:6" x14ac:dyDescent="0.2">
      <c r="A14609">
        <v>21</v>
      </c>
      <c r="E14609" t="str">
        <f t="shared" si="475"/>
        <v>V</v>
      </c>
      <c r="F14609" t="str">
        <f t="shared" si="476"/>
        <v>21V</v>
      </c>
    </row>
    <row r="14610" spans="1:6" x14ac:dyDescent="0.2">
      <c r="A14610">
        <v>22</v>
      </c>
      <c r="E14610" t="str">
        <f t="shared" si="475"/>
        <v>W</v>
      </c>
      <c r="F14610" t="str">
        <f t="shared" si="476"/>
        <v>22W</v>
      </c>
    </row>
    <row r="14611" spans="1:6" x14ac:dyDescent="0.2">
      <c r="A14611">
        <v>23</v>
      </c>
      <c r="E14611" t="str">
        <f t="shared" si="475"/>
        <v>X</v>
      </c>
      <c r="F14611" t="str">
        <f t="shared" si="476"/>
        <v>23X</v>
      </c>
    </row>
    <row r="14612" spans="1:6" x14ac:dyDescent="0.2">
      <c r="A14612">
        <v>24</v>
      </c>
      <c r="E14612" t="str">
        <f t="shared" si="475"/>
        <v>Y</v>
      </c>
      <c r="F14612" t="str">
        <f t="shared" si="476"/>
        <v>24Y</v>
      </c>
    </row>
    <row r="14613" spans="1:6" x14ac:dyDescent="0.2">
      <c r="A14613">
        <v>25</v>
      </c>
      <c r="E14613" t="str">
        <f t="shared" ref="E14613:E14676" si="477">E14587</f>
        <v>Z</v>
      </c>
      <c r="F14613" t="str">
        <f t="shared" si="476"/>
        <v>25Z</v>
      </c>
    </row>
    <row r="14614" spans="1:6" x14ac:dyDescent="0.2">
      <c r="A14614">
        <v>0</v>
      </c>
      <c r="E14614" t="str">
        <f t="shared" si="477"/>
        <v>A</v>
      </c>
      <c r="F14614" t="str">
        <f t="shared" si="476"/>
        <v>0A</v>
      </c>
    </row>
    <row r="14615" spans="1:6" x14ac:dyDescent="0.2">
      <c r="A14615">
        <v>1</v>
      </c>
      <c r="E14615" t="str">
        <f t="shared" si="477"/>
        <v>B</v>
      </c>
      <c r="F14615" t="str">
        <f t="shared" ref="F14615:F14678" si="478">A14615&amp;C14615&amp;E14615</f>
        <v>1B</v>
      </c>
    </row>
    <row r="14616" spans="1:6" x14ac:dyDescent="0.2">
      <c r="A14616">
        <v>2</v>
      </c>
      <c r="E14616" t="str">
        <f t="shared" si="477"/>
        <v>C</v>
      </c>
      <c r="F14616" t="str">
        <f t="shared" si="478"/>
        <v>2C</v>
      </c>
    </row>
    <row r="14617" spans="1:6" x14ac:dyDescent="0.2">
      <c r="A14617">
        <v>3</v>
      </c>
      <c r="E14617" t="str">
        <f t="shared" si="477"/>
        <v>D</v>
      </c>
      <c r="F14617" t="str">
        <f t="shared" si="478"/>
        <v>3D</v>
      </c>
    </row>
    <row r="14618" spans="1:6" x14ac:dyDescent="0.2">
      <c r="A14618">
        <v>4</v>
      </c>
      <c r="E14618" t="str">
        <f t="shared" si="477"/>
        <v>E</v>
      </c>
      <c r="F14618" t="str">
        <f t="shared" si="478"/>
        <v>4E</v>
      </c>
    </row>
    <row r="14619" spans="1:6" x14ac:dyDescent="0.2">
      <c r="A14619">
        <v>5</v>
      </c>
      <c r="E14619" t="str">
        <f t="shared" si="477"/>
        <v>F</v>
      </c>
      <c r="F14619" t="str">
        <f t="shared" si="478"/>
        <v>5F</v>
      </c>
    </row>
    <row r="14620" spans="1:6" x14ac:dyDescent="0.2">
      <c r="A14620">
        <v>6</v>
      </c>
      <c r="E14620" t="str">
        <f t="shared" si="477"/>
        <v>G</v>
      </c>
      <c r="F14620" t="str">
        <f t="shared" si="478"/>
        <v>6G</v>
      </c>
    </row>
    <row r="14621" spans="1:6" x14ac:dyDescent="0.2">
      <c r="A14621">
        <v>7</v>
      </c>
      <c r="E14621" t="str">
        <f t="shared" si="477"/>
        <v>H</v>
      </c>
      <c r="F14621" t="str">
        <f t="shared" si="478"/>
        <v>7H</v>
      </c>
    </row>
    <row r="14622" spans="1:6" x14ac:dyDescent="0.2">
      <c r="A14622">
        <v>8</v>
      </c>
      <c r="E14622" t="str">
        <f t="shared" si="477"/>
        <v>I</v>
      </c>
      <c r="F14622" t="str">
        <f t="shared" si="478"/>
        <v>8I</v>
      </c>
    </row>
    <row r="14623" spans="1:6" x14ac:dyDescent="0.2">
      <c r="A14623">
        <v>9</v>
      </c>
      <c r="E14623" t="str">
        <f t="shared" si="477"/>
        <v>J</v>
      </c>
      <c r="F14623" t="str">
        <f t="shared" si="478"/>
        <v>9J</v>
      </c>
    </row>
    <row r="14624" spans="1:6" x14ac:dyDescent="0.2">
      <c r="A14624">
        <v>10</v>
      </c>
      <c r="E14624" t="str">
        <f t="shared" si="477"/>
        <v>K</v>
      </c>
      <c r="F14624" t="str">
        <f t="shared" si="478"/>
        <v>10K</v>
      </c>
    </row>
    <row r="14625" spans="1:6" x14ac:dyDescent="0.2">
      <c r="A14625">
        <v>11</v>
      </c>
      <c r="E14625" t="str">
        <f t="shared" si="477"/>
        <v>L</v>
      </c>
      <c r="F14625" t="str">
        <f t="shared" si="478"/>
        <v>11L</v>
      </c>
    </row>
    <row r="14626" spans="1:6" x14ac:dyDescent="0.2">
      <c r="A14626">
        <v>12</v>
      </c>
      <c r="E14626" t="str">
        <f t="shared" si="477"/>
        <v>M</v>
      </c>
      <c r="F14626" t="str">
        <f t="shared" si="478"/>
        <v>12M</v>
      </c>
    </row>
    <row r="14627" spans="1:6" x14ac:dyDescent="0.2">
      <c r="A14627">
        <v>13</v>
      </c>
      <c r="E14627" t="str">
        <f t="shared" si="477"/>
        <v>N</v>
      </c>
      <c r="F14627" t="str">
        <f t="shared" si="478"/>
        <v>13N</v>
      </c>
    </row>
    <row r="14628" spans="1:6" x14ac:dyDescent="0.2">
      <c r="A14628">
        <v>14</v>
      </c>
      <c r="E14628" t="str">
        <f t="shared" si="477"/>
        <v>O</v>
      </c>
      <c r="F14628" t="str">
        <f t="shared" si="478"/>
        <v>14O</v>
      </c>
    </row>
    <row r="14629" spans="1:6" x14ac:dyDescent="0.2">
      <c r="A14629">
        <v>15</v>
      </c>
      <c r="E14629" t="str">
        <f t="shared" si="477"/>
        <v>P</v>
      </c>
      <c r="F14629" t="str">
        <f t="shared" si="478"/>
        <v>15P</v>
      </c>
    </row>
    <row r="14630" spans="1:6" x14ac:dyDescent="0.2">
      <c r="A14630">
        <v>16</v>
      </c>
      <c r="E14630" t="str">
        <f t="shared" si="477"/>
        <v>Q</v>
      </c>
      <c r="F14630" t="str">
        <f t="shared" si="478"/>
        <v>16Q</v>
      </c>
    </row>
    <row r="14631" spans="1:6" x14ac:dyDescent="0.2">
      <c r="A14631">
        <v>17</v>
      </c>
      <c r="E14631" t="str">
        <f t="shared" si="477"/>
        <v>R</v>
      </c>
      <c r="F14631" t="str">
        <f t="shared" si="478"/>
        <v>17R</v>
      </c>
    </row>
    <row r="14632" spans="1:6" x14ac:dyDescent="0.2">
      <c r="A14632">
        <v>18</v>
      </c>
      <c r="E14632" t="str">
        <f t="shared" si="477"/>
        <v>S</v>
      </c>
      <c r="F14632" t="str">
        <f t="shared" si="478"/>
        <v>18S</v>
      </c>
    </row>
    <row r="14633" spans="1:6" x14ac:dyDescent="0.2">
      <c r="A14633">
        <v>19</v>
      </c>
      <c r="E14633" t="str">
        <f t="shared" si="477"/>
        <v>T</v>
      </c>
      <c r="F14633" t="str">
        <f t="shared" si="478"/>
        <v>19T</v>
      </c>
    </row>
    <row r="14634" spans="1:6" x14ac:dyDescent="0.2">
      <c r="A14634">
        <v>20</v>
      </c>
      <c r="E14634" t="str">
        <f t="shared" si="477"/>
        <v>U</v>
      </c>
      <c r="F14634" t="str">
        <f t="shared" si="478"/>
        <v>20U</v>
      </c>
    </row>
    <row r="14635" spans="1:6" x14ac:dyDescent="0.2">
      <c r="A14635">
        <v>21</v>
      </c>
      <c r="E14635" t="str">
        <f t="shared" si="477"/>
        <v>V</v>
      </c>
      <c r="F14635" t="str">
        <f t="shared" si="478"/>
        <v>21V</v>
      </c>
    </row>
    <row r="14636" spans="1:6" x14ac:dyDescent="0.2">
      <c r="A14636">
        <v>22</v>
      </c>
      <c r="E14636" t="str">
        <f t="shared" si="477"/>
        <v>W</v>
      </c>
      <c r="F14636" t="str">
        <f t="shared" si="478"/>
        <v>22W</v>
      </c>
    </row>
    <row r="14637" spans="1:6" x14ac:dyDescent="0.2">
      <c r="A14637">
        <v>23</v>
      </c>
      <c r="E14637" t="str">
        <f t="shared" si="477"/>
        <v>X</v>
      </c>
      <c r="F14637" t="str">
        <f t="shared" si="478"/>
        <v>23X</v>
      </c>
    </row>
    <row r="14638" spans="1:6" x14ac:dyDescent="0.2">
      <c r="A14638">
        <v>24</v>
      </c>
      <c r="E14638" t="str">
        <f t="shared" si="477"/>
        <v>Y</v>
      </c>
      <c r="F14638" t="str">
        <f t="shared" si="478"/>
        <v>24Y</v>
      </c>
    </row>
    <row r="14639" spans="1:6" x14ac:dyDescent="0.2">
      <c r="A14639">
        <v>25</v>
      </c>
      <c r="E14639" t="str">
        <f t="shared" si="477"/>
        <v>Z</v>
      </c>
      <c r="F14639" t="str">
        <f t="shared" si="478"/>
        <v>25Z</v>
      </c>
    </row>
    <row r="14640" spans="1:6" x14ac:dyDescent="0.2">
      <c r="A14640">
        <v>0</v>
      </c>
      <c r="E14640" t="str">
        <f t="shared" si="477"/>
        <v>A</v>
      </c>
      <c r="F14640" t="str">
        <f t="shared" si="478"/>
        <v>0A</v>
      </c>
    </row>
    <row r="14641" spans="1:6" x14ac:dyDescent="0.2">
      <c r="A14641">
        <v>1</v>
      </c>
      <c r="E14641" t="str">
        <f t="shared" si="477"/>
        <v>B</v>
      </c>
      <c r="F14641" t="str">
        <f t="shared" si="478"/>
        <v>1B</v>
      </c>
    </row>
    <row r="14642" spans="1:6" x14ac:dyDescent="0.2">
      <c r="A14642">
        <v>2</v>
      </c>
      <c r="E14642" t="str">
        <f t="shared" si="477"/>
        <v>C</v>
      </c>
      <c r="F14642" t="str">
        <f t="shared" si="478"/>
        <v>2C</v>
      </c>
    </row>
    <row r="14643" spans="1:6" x14ac:dyDescent="0.2">
      <c r="A14643">
        <v>3</v>
      </c>
      <c r="E14643" t="str">
        <f t="shared" si="477"/>
        <v>D</v>
      </c>
      <c r="F14643" t="str">
        <f t="shared" si="478"/>
        <v>3D</v>
      </c>
    </row>
    <row r="14644" spans="1:6" x14ac:dyDescent="0.2">
      <c r="A14644">
        <v>4</v>
      </c>
      <c r="E14644" t="str">
        <f t="shared" si="477"/>
        <v>E</v>
      </c>
      <c r="F14644" t="str">
        <f t="shared" si="478"/>
        <v>4E</v>
      </c>
    </row>
    <row r="14645" spans="1:6" x14ac:dyDescent="0.2">
      <c r="A14645">
        <v>5</v>
      </c>
      <c r="E14645" t="str">
        <f t="shared" si="477"/>
        <v>F</v>
      </c>
      <c r="F14645" t="str">
        <f t="shared" si="478"/>
        <v>5F</v>
      </c>
    </row>
    <row r="14646" spans="1:6" x14ac:dyDescent="0.2">
      <c r="A14646">
        <v>6</v>
      </c>
      <c r="E14646" t="str">
        <f t="shared" si="477"/>
        <v>G</v>
      </c>
      <c r="F14646" t="str">
        <f t="shared" si="478"/>
        <v>6G</v>
      </c>
    </row>
    <row r="14647" spans="1:6" x14ac:dyDescent="0.2">
      <c r="A14647">
        <v>7</v>
      </c>
      <c r="E14647" t="str">
        <f t="shared" si="477"/>
        <v>H</v>
      </c>
      <c r="F14647" t="str">
        <f t="shared" si="478"/>
        <v>7H</v>
      </c>
    </row>
    <row r="14648" spans="1:6" x14ac:dyDescent="0.2">
      <c r="A14648">
        <v>8</v>
      </c>
      <c r="E14648" t="str">
        <f t="shared" si="477"/>
        <v>I</v>
      </c>
      <c r="F14648" t="str">
        <f t="shared" si="478"/>
        <v>8I</v>
      </c>
    </row>
    <row r="14649" spans="1:6" x14ac:dyDescent="0.2">
      <c r="A14649">
        <v>9</v>
      </c>
      <c r="E14649" t="str">
        <f t="shared" si="477"/>
        <v>J</v>
      </c>
      <c r="F14649" t="str">
        <f t="shared" si="478"/>
        <v>9J</v>
      </c>
    </row>
    <row r="14650" spans="1:6" x14ac:dyDescent="0.2">
      <c r="A14650">
        <v>10</v>
      </c>
      <c r="E14650" t="str">
        <f t="shared" si="477"/>
        <v>K</v>
      </c>
      <c r="F14650" t="str">
        <f t="shared" si="478"/>
        <v>10K</v>
      </c>
    </row>
    <row r="14651" spans="1:6" x14ac:dyDescent="0.2">
      <c r="A14651">
        <v>11</v>
      </c>
      <c r="E14651" t="str">
        <f t="shared" si="477"/>
        <v>L</v>
      </c>
      <c r="F14651" t="str">
        <f t="shared" si="478"/>
        <v>11L</v>
      </c>
    </row>
    <row r="14652" spans="1:6" x14ac:dyDescent="0.2">
      <c r="A14652">
        <v>12</v>
      </c>
      <c r="E14652" t="str">
        <f t="shared" si="477"/>
        <v>M</v>
      </c>
      <c r="F14652" t="str">
        <f t="shared" si="478"/>
        <v>12M</v>
      </c>
    </row>
    <row r="14653" spans="1:6" x14ac:dyDescent="0.2">
      <c r="A14653">
        <v>13</v>
      </c>
      <c r="E14653" t="str">
        <f t="shared" si="477"/>
        <v>N</v>
      </c>
      <c r="F14653" t="str">
        <f t="shared" si="478"/>
        <v>13N</v>
      </c>
    </row>
    <row r="14654" spans="1:6" x14ac:dyDescent="0.2">
      <c r="A14654">
        <v>14</v>
      </c>
      <c r="E14654" t="str">
        <f t="shared" si="477"/>
        <v>O</v>
      </c>
      <c r="F14654" t="str">
        <f t="shared" si="478"/>
        <v>14O</v>
      </c>
    </row>
    <row r="14655" spans="1:6" x14ac:dyDescent="0.2">
      <c r="A14655">
        <v>15</v>
      </c>
      <c r="E14655" t="str">
        <f t="shared" si="477"/>
        <v>P</v>
      </c>
      <c r="F14655" t="str">
        <f t="shared" si="478"/>
        <v>15P</v>
      </c>
    </row>
    <row r="14656" spans="1:6" x14ac:dyDescent="0.2">
      <c r="A14656">
        <v>16</v>
      </c>
      <c r="E14656" t="str">
        <f t="shared" si="477"/>
        <v>Q</v>
      </c>
      <c r="F14656" t="str">
        <f t="shared" si="478"/>
        <v>16Q</v>
      </c>
    </row>
    <row r="14657" spans="1:6" x14ac:dyDescent="0.2">
      <c r="A14657">
        <v>17</v>
      </c>
      <c r="E14657" t="str">
        <f t="shared" si="477"/>
        <v>R</v>
      </c>
      <c r="F14657" t="str">
        <f t="shared" si="478"/>
        <v>17R</v>
      </c>
    </row>
    <row r="14658" spans="1:6" x14ac:dyDescent="0.2">
      <c r="A14658">
        <v>18</v>
      </c>
      <c r="E14658" t="str">
        <f t="shared" si="477"/>
        <v>S</v>
      </c>
      <c r="F14658" t="str">
        <f t="shared" si="478"/>
        <v>18S</v>
      </c>
    </row>
    <row r="14659" spans="1:6" x14ac:dyDescent="0.2">
      <c r="A14659">
        <v>19</v>
      </c>
      <c r="E14659" t="str">
        <f t="shared" si="477"/>
        <v>T</v>
      </c>
      <c r="F14659" t="str">
        <f t="shared" si="478"/>
        <v>19T</v>
      </c>
    </row>
    <row r="14660" spans="1:6" x14ac:dyDescent="0.2">
      <c r="A14660">
        <v>20</v>
      </c>
      <c r="E14660" t="str">
        <f t="shared" si="477"/>
        <v>U</v>
      </c>
      <c r="F14660" t="str">
        <f t="shared" si="478"/>
        <v>20U</v>
      </c>
    </row>
    <row r="14661" spans="1:6" x14ac:dyDescent="0.2">
      <c r="A14661">
        <v>21</v>
      </c>
      <c r="E14661" t="str">
        <f t="shared" si="477"/>
        <v>V</v>
      </c>
      <c r="F14661" t="str">
        <f t="shared" si="478"/>
        <v>21V</v>
      </c>
    </row>
    <row r="14662" spans="1:6" x14ac:dyDescent="0.2">
      <c r="A14662">
        <v>22</v>
      </c>
      <c r="E14662" t="str">
        <f t="shared" si="477"/>
        <v>W</v>
      </c>
      <c r="F14662" t="str">
        <f t="shared" si="478"/>
        <v>22W</v>
      </c>
    </row>
    <row r="14663" spans="1:6" x14ac:dyDescent="0.2">
      <c r="A14663">
        <v>23</v>
      </c>
      <c r="E14663" t="str">
        <f t="shared" si="477"/>
        <v>X</v>
      </c>
      <c r="F14663" t="str">
        <f t="shared" si="478"/>
        <v>23X</v>
      </c>
    </row>
    <row r="14664" spans="1:6" x14ac:dyDescent="0.2">
      <c r="A14664">
        <v>24</v>
      </c>
      <c r="E14664" t="str">
        <f t="shared" si="477"/>
        <v>Y</v>
      </c>
      <c r="F14664" t="str">
        <f t="shared" si="478"/>
        <v>24Y</v>
      </c>
    </row>
    <row r="14665" spans="1:6" x14ac:dyDescent="0.2">
      <c r="A14665">
        <v>25</v>
      </c>
      <c r="E14665" t="str">
        <f t="shared" si="477"/>
        <v>Z</v>
      </c>
      <c r="F14665" t="str">
        <f t="shared" si="478"/>
        <v>25Z</v>
      </c>
    </row>
    <row r="14666" spans="1:6" x14ac:dyDescent="0.2">
      <c r="A14666">
        <v>0</v>
      </c>
      <c r="E14666" t="str">
        <f t="shared" si="477"/>
        <v>A</v>
      </c>
      <c r="F14666" t="str">
        <f t="shared" si="478"/>
        <v>0A</v>
      </c>
    </row>
    <row r="14667" spans="1:6" x14ac:dyDescent="0.2">
      <c r="A14667">
        <v>1</v>
      </c>
      <c r="E14667" t="str">
        <f t="shared" si="477"/>
        <v>B</v>
      </c>
      <c r="F14667" t="str">
        <f t="shared" si="478"/>
        <v>1B</v>
      </c>
    </row>
    <row r="14668" spans="1:6" x14ac:dyDescent="0.2">
      <c r="A14668">
        <v>2</v>
      </c>
      <c r="E14668" t="str">
        <f t="shared" si="477"/>
        <v>C</v>
      </c>
      <c r="F14668" t="str">
        <f t="shared" si="478"/>
        <v>2C</v>
      </c>
    </row>
    <row r="14669" spans="1:6" x14ac:dyDescent="0.2">
      <c r="A14669">
        <v>3</v>
      </c>
      <c r="E14669" t="str">
        <f t="shared" si="477"/>
        <v>D</v>
      </c>
      <c r="F14669" t="str">
        <f t="shared" si="478"/>
        <v>3D</v>
      </c>
    </row>
    <row r="14670" spans="1:6" x14ac:dyDescent="0.2">
      <c r="A14670">
        <v>4</v>
      </c>
      <c r="E14670" t="str">
        <f t="shared" si="477"/>
        <v>E</v>
      </c>
      <c r="F14670" t="str">
        <f t="shared" si="478"/>
        <v>4E</v>
      </c>
    </row>
    <row r="14671" spans="1:6" x14ac:dyDescent="0.2">
      <c r="A14671">
        <v>5</v>
      </c>
      <c r="E14671" t="str">
        <f t="shared" si="477"/>
        <v>F</v>
      </c>
      <c r="F14671" t="str">
        <f t="shared" si="478"/>
        <v>5F</v>
      </c>
    </row>
    <row r="14672" spans="1:6" x14ac:dyDescent="0.2">
      <c r="A14672">
        <v>6</v>
      </c>
      <c r="E14672" t="str">
        <f t="shared" si="477"/>
        <v>G</v>
      </c>
      <c r="F14672" t="str">
        <f t="shared" si="478"/>
        <v>6G</v>
      </c>
    </row>
    <row r="14673" spans="1:6" x14ac:dyDescent="0.2">
      <c r="A14673">
        <v>7</v>
      </c>
      <c r="E14673" t="str">
        <f t="shared" si="477"/>
        <v>H</v>
      </c>
      <c r="F14673" t="str">
        <f t="shared" si="478"/>
        <v>7H</v>
      </c>
    </row>
    <row r="14674" spans="1:6" x14ac:dyDescent="0.2">
      <c r="A14674">
        <v>8</v>
      </c>
      <c r="E14674" t="str">
        <f t="shared" si="477"/>
        <v>I</v>
      </c>
      <c r="F14674" t="str">
        <f t="shared" si="478"/>
        <v>8I</v>
      </c>
    </row>
    <row r="14675" spans="1:6" x14ac:dyDescent="0.2">
      <c r="A14675">
        <v>9</v>
      </c>
      <c r="E14675" t="str">
        <f t="shared" si="477"/>
        <v>J</v>
      </c>
      <c r="F14675" t="str">
        <f t="shared" si="478"/>
        <v>9J</v>
      </c>
    </row>
    <row r="14676" spans="1:6" x14ac:dyDescent="0.2">
      <c r="A14676">
        <v>10</v>
      </c>
      <c r="E14676" t="str">
        <f t="shared" si="477"/>
        <v>K</v>
      </c>
      <c r="F14676" t="str">
        <f t="shared" si="478"/>
        <v>10K</v>
      </c>
    </row>
    <row r="14677" spans="1:6" x14ac:dyDescent="0.2">
      <c r="A14677">
        <v>11</v>
      </c>
      <c r="E14677" t="str">
        <f t="shared" ref="E14677:E14740" si="479">E14651</f>
        <v>L</v>
      </c>
      <c r="F14677" t="str">
        <f t="shared" si="478"/>
        <v>11L</v>
      </c>
    </row>
    <row r="14678" spans="1:6" x14ac:dyDescent="0.2">
      <c r="A14678">
        <v>12</v>
      </c>
      <c r="E14678" t="str">
        <f t="shared" si="479"/>
        <v>M</v>
      </c>
      <c r="F14678" t="str">
        <f t="shared" si="478"/>
        <v>12M</v>
      </c>
    </row>
    <row r="14679" spans="1:6" x14ac:dyDescent="0.2">
      <c r="A14679">
        <v>13</v>
      </c>
      <c r="E14679" t="str">
        <f t="shared" si="479"/>
        <v>N</v>
      </c>
      <c r="F14679" t="str">
        <f t="shared" ref="F14679:F14742" si="480">A14679&amp;C14679&amp;E14679</f>
        <v>13N</v>
      </c>
    </row>
    <row r="14680" spans="1:6" x14ac:dyDescent="0.2">
      <c r="A14680">
        <v>14</v>
      </c>
      <c r="E14680" t="str">
        <f t="shared" si="479"/>
        <v>O</v>
      </c>
      <c r="F14680" t="str">
        <f t="shared" si="480"/>
        <v>14O</v>
      </c>
    </row>
    <row r="14681" spans="1:6" x14ac:dyDescent="0.2">
      <c r="A14681">
        <v>15</v>
      </c>
      <c r="E14681" t="str">
        <f t="shared" si="479"/>
        <v>P</v>
      </c>
      <c r="F14681" t="str">
        <f t="shared" si="480"/>
        <v>15P</v>
      </c>
    </row>
    <row r="14682" spans="1:6" x14ac:dyDescent="0.2">
      <c r="A14682">
        <v>16</v>
      </c>
      <c r="E14682" t="str">
        <f t="shared" si="479"/>
        <v>Q</v>
      </c>
      <c r="F14682" t="str">
        <f t="shared" si="480"/>
        <v>16Q</v>
      </c>
    </row>
    <row r="14683" spans="1:6" x14ac:dyDescent="0.2">
      <c r="A14683">
        <v>17</v>
      </c>
      <c r="E14683" t="str">
        <f t="shared" si="479"/>
        <v>R</v>
      </c>
      <c r="F14683" t="str">
        <f t="shared" si="480"/>
        <v>17R</v>
      </c>
    </row>
    <row r="14684" spans="1:6" x14ac:dyDescent="0.2">
      <c r="A14684">
        <v>18</v>
      </c>
      <c r="E14684" t="str">
        <f t="shared" si="479"/>
        <v>S</v>
      </c>
      <c r="F14684" t="str">
        <f t="shared" si="480"/>
        <v>18S</v>
      </c>
    </row>
    <row r="14685" spans="1:6" x14ac:dyDescent="0.2">
      <c r="A14685">
        <v>19</v>
      </c>
      <c r="E14685" t="str">
        <f t="shared" si="479"/>
        <v>T</v>
      </c>
      <c r="F14685" t="str">
        <f t="shared" si="480"/>
        <v>19T</v>
      </c>
    </row>
    <row r="14686" spans="1:6" x14ac:dyDescent="0.2">
      <c r="A14686">
        <v>20</v>
      </c>
      <c r="E14686" t="str">
        <f t="shared" si="479"/>
        <v>U</v>
      </c>
      <c r="F14686" t="str">
        <f t="shared" si="480"/>
        <v>20U</v>
      </c>
    </row>
    <row r="14687" spans="1:6" x14ac:dyDescent="0.2">
      <c r="A14687">
        <v>21</v>
      </c>
      <c r="E14687" t="str">
        <f t="shared" si="479"/>
        <v>V</v>
      </c>
      <c r="F14687" t="str">
        <f t="shared" si="480"/>
        <v>21V</v>
      </c>
    </row>
    <row r="14688" spans="1:6" x14ac:dyDescent="0.2">
      <c r="A14688">
        <v>22</v>
      </c>
      <c r="E14688" t="str">
        <f t="shared" si="479"/>
        <v>W</v>
      </c>
      <c r="F14688" t="str">
        <f t="shared" si="480"/>
        <v>22W</v>
      </c>
    </row>
    <row r="14689" spans="1:6" x14ac:dyDescent="0.2">
      <c r="A14689">
        <v>23</v>
      </c>
      <c r="E14689" t="str">
        <f t="shared" si="479"/>
        <v>X</v>
      </c>
      <c r="F14689" t="str">
        <f t="shared" si="480"/>
        <v>23X</v>
      </c>
    </row>
    <row r="14690" spans="1:6" x14ac:dyDescent="0.2">
      <c r="A14690">
        <v>24</v>
      </c>
      <c r="E14690" t="str">
        <f t="shared" si="479"/>
        <v>Y</v>
      </c>
      <c r="F14690" t="str">
        <f t="shared" si="480"/>
        <v>24Y</v>
      </c>
    </row>
    <row r="14691" spans="1:6" x14ac:dyDescent="0.2">
      <c r="A14691">
        <v>25</v>
      </c>
      <c r="E14691" t="str">
        <f t="shared" si="479"/>
        <v>Z</v>
      </c>
      <c r="F14691" t="str">
        <f t="shared" si="480"/>
        <v>25Z</v>
      </c>
    </row>
    <row r="14692" spans="1:6" x14ac:dyDescent="0.2">
      <c r="A14692">
        <v>0</v>
      </c>
      <c r="E14692" t="str">
        <f t="shared" si="479"/>
        <v>A</v>
      </c>
      <c r="F14692" t="str">
        <f t="shared" si="480"/>
        <v>0A</v>
      </c>
    </row>
    <row r="14693" spans="1:6" x14ac:dyDescent="0.2">
      <c r="A14693">
        <v>1</v>
      </c>
      <c r="E14693" t="str">
        <f t="shared" si="479"/>
        <v>B</v>
      </c>
      <c r="F14693" t="str">
        <f t="shared" si="480"/>
        <v>1B</v>
      </c>
    </row>
    <row r="14694" spans="1:6" x14ac:dyDescent="0.2">
      <c r="A14694">
        <v>2</v>
      </c>
      <c r="E14694" t="str">
        <f t="shared" si="479"/>
        <v>C</v>
      </c>
      <c r="F14694" t="str">
        <f t="shared" si="480"/>
        <v>2C</v>
      </c>
    </row>
    <row r="14695" spans="1:6" x14ac:dyDescent="0.2">
      <c r="A14695">
        <v>3</v>
      </c>
      <c r="E14695" t="str">
        <f t="shared" si="479"/>
        <v>D</v>
      </c>
      <c r="F14695" t="str">
        <f t="shared" si="480"/>
        <v>3D</v>
      </c>
    </row>
    <row r="14696" spans="1:6" x14ac:dyDescent="0.2">
      <c r="A14696">
        <v>4</v>
      </c>
      <c r="E14696" t="str">
        <f t="shared" si="479"/>
        <v>E</v>
      </c>
      <c r="F14696" t="str">
        <f t="shared" si="480"/>
        <v>4E</v>
      </c>
    </row>
    <row r="14697" spans="1:6" x14ac:dyDescent="0.2">
      <c r="A14697">
        <v>5</v>
      </c>
      <c r="E14697" t="str">
        <f t="shared" si="479"/>
        <v>F</v>
      </c>
      <c r="F14697" t="str">
        <f t="shared" si="480"/>
        <v>5F</v>
      </c>
    </row>
    <row r="14698" spans="1:6" x14ac:dyDescent="0.2">
      <c r="A14698">
        <v>6</v>
      </c>
      <c r="E14698" t="str">
        <f t="shared" si="479"/>
        <v>G</v>
      </c>
      <c r="F14698" t="str">
        <f t="shared" si="480"/>
        <v>6G</v>
      </c>
    </row>
    <row r="14699" spans="1:6" x14ac:dyDescent="0.2">
      <c r="A14699">
        <v>7</v>
      </c>
      <c r="E14699" t="str">
        <f t="shared" si="479"/>
        <v>H</v>
      </c>
      <c r="F14699" t="str">
        <f t="shared" si="480"/>
        <v>7H</v>
      </c>
    </row>
    <row r="14700" spans="1:6" x14ac:dyDescent="0.2">
      <c r="A14700">
        <v>8</v>
      </c>
      <c r="E14700" t="str">
        <f t="shared" si="479"/>
        <v>I</v>
      </c>
      <c r="F14700" t="str">
        <f t="shared" si="480"/>
        <v>8I</v>
      </c>
    </row>
    <row r="14701" spans="1:6" x14ac:dyDescent="0.2">
      <c r="A14701">
        <v>9</v>
      </c>
      <c r="E14701" t="str">
        <f t="shared" si="479"/>
        <v>J</v>
      </c>
      <c r="F14701" t="str">
        <f t="shared" si="480"/>
        <v>9J</v>
      </c>
    </row>
    <row r="14702" spans="1:6" x14ac:dyDescent="0.2">
      <c r="A14702">
        <v>10</v>
      </c>
      <c r="E14702" t="str">
        <f t="shared" si="479"/>
        <v>K</v>
      </c>
      <c r="F14702" t="str">
        <f t="shared" si="480"/>
        <v>10K</v>
      </c>
    </row>
    <row r="14703" spans="1:6" x14ac:dyDescent="0.2">
      <c r="A14703">
        <v>11</v>
      </c>
      <c r="E14703" t="str">
        <f t="shared" si="479"/>
        <v>L</v>
      </c>
      <c r="F14703" t="str">
        <f t="shared" si="480"/>
        <v>11L</v>
      </c>
    </row>
    <row r="14704" spans="1:6" x14ac:dyDescent="0.2">
      <c r="A14704">
        <v>12</v>
      </c>
      <c r="E14704" t="str">
        <f t="shared" si="479"/>
        <v>M</v>
      </c>
      <c r="F14704" t="str">
        <f t="shared" si="480"/>
        <v>12M</v>
      </c>
    </row>
    <row r="14705" spans="1:6" x14ac:dyDescent="0.2">
      <c r="A14705">
        <v>13</v>
      </c>
      <c r="E14705" t="str">
        <f t="shared" si="479"/>
        <v>N</v>
      </c>
      <c r="F14705" t="str">
        <f t="shared" si="480"/>
        <v>13N</v>
      </c>
    </row>
    <row r="14706" spans="1:6" x14ac:dyDescent="0.2">
      <c r="A14706">
        <v>14</v>
      </c>
      <c r="E14706" t="str">
        <f t="shared" si="479"/>
        <v>O</v>
      </c>
      <c r="F14706" t="str">
        <f t="shared" si="480"/>
        <v>14O</v>
      </c>
    </row>
    <row r="14707" spans="1:6" x14ac:dyDescent="0.2">
      <c r="A14707">
        <v>15</v>
      </c>
      <c r="E14707" t="str">
        <f t="shared" si="479"/>
        <v>P</v>
      </c>
      <c r="F14707" t="str">
        <f t="shared" si="480"/>
        <v>15P</v>
      </c>
    </row>
    <row r="14708" spans="1:6" x14ac:dyDescent="0.2">
      <c r="A14708">
        <v>16</v>
      </c>
      <c r="E14708" t="str">
        <f t="shared" si="479"/>
        <v>Q</v>
      </c>
      <c r="F14708" t="str">
        <f t="shared" si="480"/>
        <v>16Q</v>
      </c>
    </row>
    <row r="14709" spans="1:6" x14ac:dyDescent="0.2">
      <c r="A14709">
        <v>17</v>
      </c>
      <c r="E14709" t="str">
        <f t="shared" si="479"/>
        <v>R</v>
      </c>
      <c r="F14709" t="str">
        <f t="shared" si="480"/>
        <v>17R</v>
      </c>
    </row>
    <row r="14710" spans="1:6" x14ac:dyDescent="0.2">
      <c r="A14710">
        <v>18</v>
      </c>
      <c r="E14710" t="str">
        <f t="shared" si="479"/>
        <v>S</v>
      </c>
      <c r="F14710" t="str">
        <f t="shared" si="480"/>
        <v>18S</v>
      </c>
    </row>
    <row r="14711" spans="1:6" x14ac:dyDescent="0.2">
      <c r="A14711">
        <v>19</v>
      </c>
      <c r="E14711" t="str">
        <f t="shared" si="479"/>
        <v>T</v>
      </c>
      <c r="F14711" t="str">
        <f t="shared" si="480"/>
        <v>19T</v>
      </c>
    </row>
    <row r="14712" spans="1:6" x14ac:dyDescent="0.2">
      <c r="A14712">
        <v>20</v>
      </c>
      <c r="E14712" t="str">
        <f t="shared" si="479"/>
        <v>U</v>
      </c>
      <c r="F14712" t="str">
        <f t="shared" si="480"/>
        <v>20U</v>
      </c>
    </row>
    <row r="14713" spans="1:6" x14ac:dyDescent="0.2">
      <c r="A14713">
        <v>21</v>
      </c>
      <c r="E14713" t="str">
        <f t="shared" si="479"/>
        <v>V</v>
      </c>
      <c r="F14713" t="str">
        <f t="shared" si="480"/>
        <v>21V</v>
      </c>
    </row>
    <row r="14714" spans="1:6" x14ac:dyDescent="0.2">
      <c r="A14714">
        <v>22</v>
      </c>
      <c r="E14714" t="str">
        <f t="shared" si="479"/>
        <v>W</v>
      </c>
      <c r="F14714" t="str">
        <f t="shared" si="480"/>
        <v>22W</v>
      </c>
    </row>
    <row r="14715" spans="1:6" x14ac:dyDescent="0.2">
      <c r="A14715">
        <v>23</v>
      </c>
      <c r="E14715" t="str">
        <f t="shared" si="479"/>
        <v>X</v>
      </c>
      <c r="F14715" t="str">
        <f t="shared" si="480"/>
        <v>23X</v>
      </c>
    </row>
    <row r="14716" spans="1:6" x14ac:dyDescent="0.2">
      <c r="A14716">
        <v>24</v>
      </c>
      <c r="E14716" t="str">
        <f t="shared" si="479"/>
        <v>Y</v>
      </c>
      <c r="F14716" t="str">
        <f t="shared" si="480"/>
        <v>24Y</v>
      </c>
    </row>
    <row r="14717" spans="1:6" x14ac:dyDescent="0.2">
      <c r="A14717">
        <v>25</v>
      </c>
      <c r="E14717" t="str">
        <f t="shared" si="479"/>
        <v>Z</v>
      </c>
      <c r="F14717" t="str">
        <f t="shared" si="480"/>
        <v>25Z</v>
      </c>
    </row>
    <row r="14718" spans="1:6" x14ac:dyDescent="0.2">
      <c r="A14718">
        <v>0</v>
      </c>
      <c r="E14718" t="str">
        <f t="shared" si="479"/>
        <v>A</v>
      </c>
      <c r="F14718" t="str">
        <f t="shared" si="480"/>
        <v>0A</v>
      </c>
    </row>
    <row r="14719" spans="1:6" x14ac:dyDescent="0.2">
      <c r="A14719">
        <v>1</v>
      </c>
      <c r="E14719" t="str">
        <f t="shared" si="479"/>
        <v>B</v>
      </c>
      <c r="F14719" t="str">
        <f t="shared" si="480"/>
        <v>1B</v>
      </c>
    </row>
    <row r="14720" spans="1:6" x14ac:dyDescent="0.2">
      <c r="A14720">
        <v>2</v>
      </c>
      <c r="E14720" t="str">
        <f t="shared" si="479"/>
        <v>C</v>
      </c>
      <c r="F14720" t="str">
        <f t="shared" si="480"/>
        <v>2C</v>
      </c>
    </row>
    <row r="14721" spans="1:6" x14ac:dyDescent="0.2">
      <c r="A14721">
        <v>3</v>
      </c>
      <c r="E14721" t="str">
        <f t="shared" si="479"/>
        <v>D</v>
      </c>
      <c r="F14721" t="str">
        <f t="shared" si="480"/>
        <v>3D</v>
      </c>
    </row>
    <row r="14722" spans="1:6" x14ac:dyDescent="0.2">
      <c r="A14722">
        <v>4</v>
      </c>
      <c r="E14722" t="str">
        <f t="shared" si="479"/>
        <v>E</v>
      </c>
      <c r="F14722" t="str">
        <f t="shared" si="480"/>
        <v>4E</v>
      </c>
    </row>
    <row r="14723" spans="1:6" x14ac:dyDescent="0.2">
      <c r="A14723">
        <v>5</v>
      </c>
      <c r="E14723" t="str">
        <f t="shared" si="479"/>
        <v>F</v>
      </c>
      <c r="F14723" t="str">
        <f t="shared" si="480"/>
        <v>5F</v>
      </c>
    </row>
    <row r="14724" spans="1:6" x14ac:dyDescent="0.2">
      <c r="A14724">
        <v>6</v>
      </c>
      <c r="E14724" t="str">
        <f t="shared" si="479"/>
        <v>G</v>
      </c>
      <c r="F14724" t="str">
        <f t="shared" si="480"/>
        <v>6G</v>
      </c>
    </row>
    <row r="14725" spans="1:6" x14ac:dyDescent="0.2">
      <c r="A14725">
        <v>7</v>
      </c>
      <c r="E14725" t="str">
        <f t="shared" si="479"/>
        <v>H</v>
      </c>
      <c r="F14725" t="str">
        <f t="shared" si="480"/>
        <v>7H</v>
      </c>
    </row>
    <row r="14726" spans="1:6" x14ac:dyDescent="0.2">
      <c r="A14726">
        <v>8</v>
      </c>
      <c r="E14726" t="str">
        <f t="shared" si="479"/>
        <v>I</v>
      </c>
      <c r="F14726" t="str">
        <f t="shared" si="480"/>
        <v>8I</v>
      </c>
    </row>
    <row r="14727" spans="1:6" x14ac:dyDescent="0.2">
      <c r="A14727">
        <v>9</v>
      </c>
      <c r="E14727" t="str">
        <f t="shared" si="479"/>
        <v>J</v>
      </c>
      <c r="F14727" t="str">
        <f t="shared" si="480"/>
        <v>9J</v>
      </c>
    </row>
    <row r="14728" spans="1:6" x14ac:dyDescent="0.2">
      <c r="A14728">
        <v>10</v>
      </c>
      <c r="E14728" t="str">
        <f t="shared" si="479"/>
        <v>K</v>
      </c>
      <c r="F14728" t="str">
        <f t="shared" si="480"/>
        <v>10K</v>
      </c>
    </row>
    <row r="14729" spans="1:6" x14ac:dyDescent="0.2">
      <c r="A14729">
        <v>11</v>
      </c>
      <c r="E14729" t="str">
        <f t="shared" si="479"/>
        <v>L</v>
      </c>
      <c r="F14729" t="str">
        <f t="shared" si="480"/>
        <v>11L</v>
      </c>
    </row>
    <row r="14730" spans="1:6" x14ac:dyDescent="0.2">
      <c r="A14730">
        <v>12</v>
      </c>
      <c r="E14730" t="str">
        <f t="shared" si="479"/>
        <v>M</v>
      </c>
      <c r="F14730" t="str">
        <f t="shared" si="480"/>
        <v>12M</v>
      </c>
    </row>
    <row r="14731" spans="1:6" x14ac:dyDescent="0.2">
      <c r="A14731">
        <v>13</v>
      </c>
      <c r="E14731" t="str">
        <f t="shared" si="479"/>
        <v>N</v>
      </c>
      <c r="F14731" t="str">
        <f t="shared" si="480"/>
        <v>13N</v>
      </c>
    </row>
    <row r="14732" spans="1:6" x14ac:dyDescent="0.2">
      <c r="A14732">
        <v>14</v>
      </c>
      <c r="E14732" t="str">
        <f t="shared" si="479"/>
        <v>O</v>
      </c>
      <c r="F14732" t="str">
        <f t="shared" si="480"/>
        <v>14O</v>
      </c>
    </row>
    <row r="14733" spans="1:6" x14ac:dyDescent="0.2">
      <c r="A14733">
        <v>15</v>
      </c>
      <c r="E14733" t="str">
        <f t="shared" si="479"/>
        <v>P</v>
      </c>
      <c r="F14733" t="str">
        <f t="shared" si="480"/>
        <v>15P</v>
      </c>
    </row>
    <row r="14734" spans="1:6" x14ac:dyDescent="0.2">
      <c r="A14734">
        <v>16</v>
      </c>
      <c r="E14734" t="str">
        <f t="shared" si="479"/>
        <v>Q</v>
      </c>
      <c r="F14734" t="str">
        <f t="shared" si="480"/>
        <v>16Q</v>
      </c>
    </row>
    <row r="14735" spans="1:6" x14ac:dyDescent="0.2">
      <c r="A14735">
        <v>17</v>
      </c>
      <c r="E14735" t="str">
        <f t="shared" si="479"/>
        <v>R</v>
      </c>
      <c r="F14735" t="str">
        <f t="shared" si="480"/>
        <v>17R</v>
      </c>
    </row>
    <row r="14736" spans="1:6" x14ac:dyDescent="0.2">
      <c r="A14736">
        <v>18</v>
      </c>
      <c r="E14736" t="str">
        <f t="shared" si="479"/>
        <v>S</v>
      </c>
      <c r="F14736" t="str">
        <f t="shared" si="480"/>
        <v>18S</v>
      </c>
    </row>
    <row r="14737" spans="1:6" x14ac:dyDescent="0.2">
      <c r="A14737">
        <v>19</v>
      </c>
      <c r="E14737" t="str">
        <f t="shared" si="479"/>
        <v>T</v>
      </c>
      <c r="F14737" t="str">
        <f t="shared" si="480"/>
        <v>19T</v>
      </c>
    </row>
    <row r="14738" spans="1:6" x14ac:dyDescent="0.2">
      <c r="A14738">
        <v>20</v>
      </c>
      <c r="E14738" t="str">
        <f t="shared" si="479"/>
        <v>U</v>
      </c>
      <c r="F14738" t="str">
        <f t="shared" si="480"/>
        <v>20U</v>
      </c>
    </row>
    <row r="14739" spans="1:6" x14ac:dyDescent="0.2">
      <c r="A14739">
        <v>21</v>
      </c>
      <c r="E14739" t="str">
        <f t="shared" si="479"/>
        <v>V</v>
      </c>
      <c r="F14739" t="str">
        <f t="shared" si="480"/>
        <v>21V</v>
      </c>
    </row>
    <row r="14740" spans="1:6" x14ac:dyDescent="0.2">
      <c r="A14740">
        <v>22</v>
      </c>
      <c r="E14740" t="str">
        <f t="shared" si="479"/>
        <v>W</v>
      </c>
      <c r="F14740" t="str">
        <f t="shared" si="480"/>
        <v>22W</v>
      </c>
    </row>
    <row r="14741" spans="1:6" x14ac:dyDescent="0.2">
      <c r="A14741">
        <v>23</v>
      </c>
      <c r="E14741" t="str">
        <f t="shared" ref="E14741:E14804" si="481">E14715</f>
        <v>X</v>
      </c>
      <c r="F14741" t="str">
        <f t="shared" si="480"/>
        <v>23X</v>
      </c>
    </row>
    <row r="14742" spans="1:6" x14ac:dyDescent="0.2">
      <c r="A14742">
        <v>24</v>
      </c>
      <c r="E14742" t="str">
        <f t="shared" si="481"/>
        <v>Y</v>
      </c>
      <c r="F14742" t="str">
        <f t="shared" si="480"/>
        <v>24Y</v>
      </c>
    </row>
    <row r="14743" spans="1:6" x14ac:dyDescent="0.2">
      <c r="A14743">
        <v>25</v>
      </c>
      <c r="E14743" t="str">
        <f t="shared" si="481"/>
        <v>Z</v>
      </c>
      <c r="F14743" t="str">
        <f t="shared" ref="F14743:F14806" si="482">A14743&amp;C14743&amp;E14743</f>
        <v>25Z</v>
      </c>
    </row>
    <row r="14744" spans="1:6" x14ac:dyDescent="0.2">
      <c r="A14744">
        <v>0</v>
      </c>
      <c r="E14744" t="str">
        <f t="shared" si="481"/>
        <v>A</v>
      </c>
      <c r="F14744" t="str">
        <f t="shared" si="482"/>
        <v>0A</v>
      </c>
    </row>
    <row r="14745" spans="1:6" x14ac:dyDescent="0.2">
      <c r="A14745">
        <v>1</v>
      </c>
      <c r="E14745" t="str">
        <f t="shared" si="481"/>
        <v>B</v>
      </c>
      <c r="F14745" t="str">
        <f t="shared" si="482"/>
        <v>1B</v>
      </c>
    </row>
    <row r="14746" spans="1:6" x14ac:dyDescent="0.2">
      <c r="A14746">
        <v>2</v>
      </c>
      <c r="E14746" t="str">
        <f t="shared" si="481"/>
        <v>C</v>
      </c>
      <c r="F14746" t="str">
        <f t="shared" si="482"/>
        <v>2C</v>
      </c>
    </row>
    <row r="14747" spans="1:6" x14ac:dyDescent="0.2">
      <c r="A14747">
        <v>3</v>
      </c>
      <c r="E14747" t="str">
        <f t="shared" si="481"/>
        <v>D</v>
      </c>
      <c r="F14747" t="str">
        <f t="shared" si="482"/>
        <v>3D</v>
      </c>
    </row>
    <row r="14748" spans="1:6" x14ac:dyDescent="0.2">
      <c r="A14748">
        <v>4</v>
      </c>
      <c r="E14748" t="str">
        <f t="shared" si="481"/>
        <v>E</v>
      </c>
      <c r="F14748" t="str">
        <f t="shared" si="482"/>
        <v>4E</v>
      </c>
    </row>
    <row r="14749" spans="1:6" x14ac:dyDescent="0.2">
      <c r="A14749">
        <v>5</v>
      </c>
      <c r="E14749" t="str">
        <f t="shared" si="481"/>
        <v>F</v>
      </c>
      <c r="F14749" t="str">
        <f t="shared" si="482"/>
        <v>5F</v>
      </c>
    </row>
    <row r="14750" spans="1:6" x14ac:dyDescent="0.2">
      <c r="A14750">
        <v>6</v>
      </c>
      <c r="E14750" t="str">
        <f t="shared" si="481"/>
        <v>G</v>
      </c>
      <c r="F14750" t="str">
        <f t="shared" si="482"/>
        <v>6G</v>
      </c>
    </row>
    <row r="14751" spans="1:6" x14ac:dyDescent="0.2">
      <c r="A14751">
        <v>7</v>
      </c>
      <c r="E14751" t="str">
        <f t="shared" si="481"/>
        <v>H</v>
      </c>
      <c r="F14751" t="str">
        <f t="shared" si="482"/>
        <v>7H</v>
      </c>
    </row>
    <row r="14752" spans="1:6" x14ac:dyDescent="0.2">
      <c r="A14752">
        <v>8</v>
      </c>
      <c r="E14752" t="str">
        <f t="shared" si="481"/>
        <v>I</v>
      </c>
      <c r="F14752" t="str">
        <f t="shared" si="482"/>
        <v>8I</v>
      </c>
    </row>
    <row r="14753" spans="1:6" x14ac:dyDescent="0.2">
      <c r="A14753">
        <v>9</v>
      </c>
      <c r="E14753" t="str">
        <f t="shared" si="481"/>
        <v>J</v>
      </c>
      <c r="F14753" t="str">
        <f t="shared" si="482"/>
        <v>9J</v>
      </c>
    </row>
    <row r="14754" spans="1:6" x14ac:dyDescent="0.2">
      <c r="A14754">
        <v>10</v>
      </c>
      <c r="E14754" t="str">
        <f t="shared" si="481"/>
        <v>K</v>
      </c>
      <c r="F14754" t="str">
        <f t="shared" si="482"/>
        <v>10K</v>
      </c>
    </row>
    <row r="14755" spans="1:6" x14ac:dyDescent="0.2">
      <c r="A14755">
        <v>11</v>
      </c>
      <c r="E14755" t="str">
        <f t="shared" si="481"/>
        <v>L</v>
      </c>
      <c r="F14755" t="str">
        <f t="shared" si="482"/>
        <v>11L</v>
      </c>
    </row>
    <row r="14756" spans="1:6" x14ac:dyDescent="0.2">
      <c r="A14756">
        <v>12</v>
      </c>
      <c r="E14756" t="str">
        <f t="shared" si="481"/>
        <v>M</v>
      </c>
      <c r="F14756" t="str">
        <f t="shared" si="482"/>
        <v>12M</v>
      </c>
    </row>
    <row r="14757" spans="1:6" x14ac:dyDescent="0.2">
      <c r="A14757">
        <v>13</v>
      </c>
      <c r="E14757" t="str">
        <f t="shared" si="481"/>
        <v>N</v>
      </c>
      <c r="F14757" t="str">
        <f t="shared" si="482"/>
        <v>13N</v>
      </c>
    </row>
    <row r="14758" spans="1:6" x14ac:dyDescent="0.2">
      <c r="A14758">
        <v>14</v>
      </c>
      <c r="E14758" t="str">
        <f t="shared" si="481"/>
        <v>O</v>
      </c>
      <c r="F14758" t="str">
        <f t="shared" si="482"/>
        <v>14O</v>
      </c>
    </row>
    <row r="14759" spans="1:6" x14ac:dyDescent="0.2">
      <c r="A14759">
        <v>15</v>
      </c>
      <c r="E14759" t="str">
        <f t="shared" si="481"/>
        <v>P</v>
      </c>
      <c r="F14759" t="str">
        <f t="shared" si="482"/>
        <v>15P</v>
      </c>
    </row>
    <row r="14760" spans="1:6" x14ac:dyDescent="0.2">
      <c r="A14760">
        <v>16</v>
      </c>
      <c r="E14760" t="str">
        <f t="shared" si="481"/>
        <v>Q</v>
      </c>
      <c r="F14760" t="str">
        <f t="shared" si="482"/>
        <v>16Q</v>
      </c>
    </row>
    <row r="14761" spans="1:6" x14ac:dyDescent="0.2">
      <c r="A14761">
        <v>17</v>
      </c>
      <c r="E14761" t="str">
        <f t="shared" si="481"/>
        <v>R</v>
      </c>
      <c r="F14761" t="str">
        <f t="shared" si="482"/>
        <v>17R</v>
      </c>
    </row>
    <row r="14762" spans="1:6" x14ac:dyDescent="0.2">
      <c r="A14762">
        <v>18</v>
      </c>
      <c r="E14762" t="str">
        <f t="shared" si="481"/>
        <v>S</v>
      </c>
      <c r="F14762" t="str">
        <f t="shared" si="482"/>
        <v>18S</v>
      </c>
    </row>
    <row r="14763" spans="1:6" x14ac:dyDescent="0.2">
      <c r="A14763">
        <v>19</v>
      </c>
      <c r="E14763" t="str">
        <f t="shared" si="481"/>
        <v>T</v>
      </c>
      <c r="F14763" t="str">
        <f t="shared" si="482"/>
        <v>19T</v>
      </c>
    </row>
    <row r="14764" spans="1:6" x14ac:dyDescent="0.2">
      <c r="A14764">
        <v>20</v>
      </c>
      <c r="E14764" t="str">
        <f t="shared" si="481"/>
        <v>U</v>
      </c>
      <c r="F14764" t="str">
        <f t="shared" si="482"/>
        <v>20U</v>
      </c>
    </row>
    <row r="14765" spans="1:6" x14ac:dyDescent="0.2">
      <c r="A14765">
        <v>21</v>
      </c>
      <c r="E14765" t="str">
        <f t="shared" si="481"/>
        <v>V</v>
      </c>
      <c r="F14765" t="str">
        <f t="shared" si="482"/>
        <v>21V</v>
      </c>
    </row>
    <row r="14766" spans="1:6" x14ac:dyDescent="0.2">
      <c r="A14766">
        <v>22</v>
      </c>
      <c r="E14766" t="str">
        <f t="shared" si="481"/>
        <v>W</v>
      </c>
      <c r="F14766" t="str">
        <f t="shared" si="482"/>
        <v>22W</v>
      </c>
    </row>
    <row r="14767" spans="1:6" x14ac:dyDescent="0.2">
      <c r="A14767">
        <v>23</v>
      </c>
      <c r="E14767" t="str">
        <f t="shared" si="481"/>
        <v>X</v>
      </c>
      <c r="F14767" t="str">
        <f t="shared" si="482"/>
        <v>23X</v>
      </c>
    </row>
    <row r="14768" spans="1:6" x14ac:dyDescent="0.2">
      <c r="A14768">
        <v>24</v>
      </c>
      <c r="E14768" t="str">
        <f t="shared" si="481"/>
        <v>Y</v>
      </c>
      <c r="F14768" t="str">
        <f t="shared" si="482"/>
        <v>24Y</v>
      </c>
    </row>
    <row r="14769" spans="1:6" x14ac:dyDescent="0.2">
      <c r="A14769">
        <v>25</v>
      </c>
      <c r="E14769" t="str">
        <f t="shared" si="481"/>
        <v>Z</v>
      </c>
      <c r="F14769" t="str">
        <f t="shared" si="482"/>
        <v>25Z</v>
      </c>
    </row>
    <row r="14770" spans="1:6" x14ac:dyDescent="0.2">
      <c r="A14770">
        <v>0</v>
      </c>
      <c r="E14770" t="str">
        <f t="shared" si="481"/>
        <v>A</v>
      </c>
      <c r="F14770" t="str">
        <f t="shared" si="482"/>
        <v>0A</v>
      </c>
    </row>
    <row r="14771" spans="1:6" x14ac:dyDescent="0.2">
      <c r="A14771">
        <v>1</v>
      </c>
      <c r="E14771" t="str">
        <f t="shared" si="481"/>
        <v>B</v>
      </c>
      <c r="F14771" t="str">
        <f t="shared" si="482"/>
        <v>1B</v>
      </c>
    </row>
    <row r="14772" spans="1:6" x14ac:dyDescent="0.2">
      <c r="A14772">
        <v>2</v>
      </c>
      <c r="E14772" t="str">
        <f t="shared" si="481"/>
        <v>C</v>
      </c>
      <c r="F14772" t="str">
        <f t="shared" si="482"/>
        <v>2C</v>
      </c>
    </row>
    <row r="14773" spans="1:6" x14ac:dyDescent="0.2">
      <c r="A14773">
        <v>3</v>
      </c>
      <c r="E14773" t="str">
        <f t="shared" si="481"/>
        <v>D</v>
      </c>
      <c r="F14773" t="str">
        <f t="shared" si="482"/>
        <v>3D</v>
      </c>
    </row>
    <row r="14774" spans="1:6" x14ac:dyDescent="0.2">
      <c r="A14774">
        <v>4</v>
      </c>
      <c r="E14774" t="str">
        <f t="shared" si="481"/>
        <v>E</v>
      </c>
      <c r="F14774" t="str">
        <f t="shared" si="482"/>
        <v>4E</v>
      </c>
    </row>
    <row r="14775" spans="1:6" x14ac:dyDescent="0.2">
      <c r="A14775">
        <v>5</v>
      </c>
      <c r="E14775" t="str">
        <f t="shared" si="481"/>
        <v>F</v>
      </c>
      <c r="F14775" t="str">
        <f t="shared" si="482"/>
        <v>5F</v>
      </c>
    </row>
    <row r="14776" spans="1:6" x14ac:dyDescent="0.2">
      <c r="A14776">
        <v>6</v>
      </c>
      <c r="E14776" t="str">
        <f t="shared" si="481"/>
        <v>G</v>
      </c>
      <c r="F14776" t="str">
        <f t="shared" si="482"/>
        <v>6G</v>
      </c>
    </row>
    <row r="14777" spans="1:6" x14ac:dyDescent="0.2">
      <c r="A14777">
        <v>7</v>
      </c>
      <c r="E14777" t="str">
        <f t="shared" si="481"/>
        <v>H</v>
      </c>
      <c r="F14777" t="str">
        <f t="shared" si="482"/>
        <v>7H</v>
      </c>
    </row>
    <row r="14778" spans="1:6" x14ac:dyDescent="0.2">
      <c r="A14778">
        <v>8</v>
      </c>
      <c r="E14778" t="str">
        <f t="shared" si="481"/>
        <v>I</v>
      </c>
      <c r="F14778" t="str">
        <f t="shared" si="482"/>
        <v>8I</v>
      </c>
    </row>
    <row r="14779" spans="1:6" x14ac:dyDescent="0.2">
      <c r="A14779">
        <v>9</v>
      </c>
      <c r="E14779" t="str">
        <f t="shared" si="481"/>
        <v>J</v>
      </c>
      <c r="F14779" t="str">
        <f t="shared" si="482"/>
        <v>9J</v>
      </c>
    </row>
    <row r="14780" spans="1:6" x14ac:dyDescent="0.2">
      <c r="A14780">
        <v>10</v>
      </c>
      <c r="E14780" t="str">
        <f t="shared" si="481"/>
        <v>K</v>
      </c>
      <c r="F14780" t="str">
        <f t="shared" si="482"/>
        <v>10K</v>
      </c>
    </row>
    <row r="14781" spans="1:6" x14ac:dyDescent="0.2">
      <c r="A14781">
        <v>11</v>
      </c>
      <c r="E14781" t="str">
        <f t="shared" si="481"/>
        <v>L</v>
      </c>
      <c r="F14781" t="str">
        <f t="shared" si="482"/>
        <v>11L</v>
      </c>
    </row>
    <row r="14782" spans="1:6" x14ac:dyDescent="0.2">
      <c r="A14782">
        <v>12</v>
      </c>
      <c r="E14782" t="str">
        <f t="shared" si="481"/>
        <v>M</v>
      </c>
      <c r="F14782" t="str">
        <f t="shared" si="482"/>
        <v>12M</v>
      </c>
    </row>
    <row r="14783" spans="1:6" x14ac:dyDescent="0.2">
      <c r="A14783">
        <v>13</v>
      </c>
      <c r="E14783" t="str">
        <f t="shared" si="481"/>
        <v>N</v>
      </c>
      <c r="F14783" t="str">
        <f t="shared" si="482"/>
        <v>13N</v>
      </c>
    </row>
    <row r="14784" spans="1:6" x14ac:dyDescent="0.2">
      <c r="A14784">
        <v>14</v>
      </c>
      <c r="E14784" t="str">
        <f t="shared" si="481"/>
        <v>O</v>
      </c>
      <c r="F14784" t="str">
        <f t="shared" si="482"/>
        <v>14O</v>
      </c>
    </row>
    <row r="14785" spans="1:6" x14ac:dyDescent="0.2">
      <c r="A14785">
        <v>15</v>
      </c>
      <c r="E14785" t="str">
        <f t="shared" si="481"/>
        <v>P</v>
      </c>
      <c r="F14785" t="str">
        <f t="shared" si="482"/>
        <v>15P</v>
      </c>
    </row>
    <row r="14786" spans="1:6" x14ac:dyDescent="0.2">
      <c r="A14786">
        <v>16</v>
      </c>
      <c r="E14786" t="str">
        <f t="shared" si="481"/>
        <v>Q</v>
      </c>
      <c r="F14786" t="str">
        <f t="shared" si="482"/>
        <v>16Q</v>
      </c>
    </row>
    <row r="14787" spans="1:6" x14ac:dyDescent="0.2">
      <c r="A14787">
        <v>17</v>
      </c>
      <c r="E14787" t="str">
        <f t="shared" si="481"/>
        <v>R</v>
      </c>
      <c r="F14787" t="str">
        <f t="shared" si="482"/>
        <v>17R</v>
      </c>
    </row>
    <row r="14788" spans="1:6" x14ac:dyDescent="0.2">
      <c r="A14788">
        <v>18</v>
      </c>
      <c r="E14788" t="str">
        <f t="shared" si="481"/>
        <v>S</v>
      </c>
      <c r="F14788" t="str">
        <f t="shared" si="482"/>
        <v>18S</v>
      </c>
    </row>
    <row r="14789" spans="1:6" x14ac:dyDescent="0.2">
      <c r="A14789">
        <v>19</v>
      </c>
      <c r="E14789" t="str">
        <f t="shared" si="481"/>
        <v>T</v>
      </c>
      <c r="F14789" t="str">
        <f t="shared" si="482"/>
        <v>19T</v>
      </c>
    </row>
    <row r="14790" spans="1:6" x14ac:dyDescent="0.2">
      <c r="A14790">
        <v>20</v>
      </c>
      <c r="E14790" t="str">
        <f t="shared" si="481"/>
        <v>U</v>
      </c>
      <c r="F14790" t="str">
        <f t="shared" si="482"/>
        <v>20U</v>
      </c>
    </row>
    <row r="14791" spans="1:6" x14ac:dyDescent="0.2">
      <c r="A14791">
        <v>21</v>
      </c>
      <c r="E14791" t="str">
        <f t="shared" si="481"/>
        <v>V</v>
      </c>
      <c r="F14791" t="str">
        <f t="shared" si="482"/>
        <v>21V</v>
      </c>
    </row>
    <row r="14792" spans="1:6" x14ac:dyDescent="0.2">
      <c r="A14792">
        <v>22</v>
      </c>
      <c r="E14792" t="str">
        <f t="shared" si="481"/>
        <v>W</v>
      </c>
      <c r="F14792" t="str">
        <f t="shared" si="482"/>
        <v>22W</v>
      </c>
    </row>
    <row r="14793" spans="1:6" x14ac:dyDescent="0.2">
      <c r="A14793">
        <v>23</v>
      </c>
      <c r="E14793" t="str">
        <f t="shared" si="481"/>
        <v>X</v>
      </c>
      <c r="F14793" t="str">
        <f t="shared" si="482"/>
        <v>23X</v>
      </c>
    </row>
    <row r="14794" spans="1:6" x14ac:dyDescent="0.2">
      <c r="A14794">
        <v>24</v>
      </c>
      <c r="E14794" t="str">
        <f t="shared" si="481"/>
        <v>Y</v>
      </c>
      <c r="F14794" t="str">
        <f t="shared" si="482"/>
        <v>24Y</v>
      </c>
    </row>
    <row r="14795" spans="1:6" x14ac:dyDescent="0.2">
      <c r="A14795">
        <v>25</v>
      </c>
      <c r="E14795" t="str">
        <f t="shared" si="481"/>
        <v>Z</v>
      </c>
      <c r="F14795" t="str">
        <f t="shared" si="482"/>
        <v>25Z</v>
      </c>
    </row>
    <row r="14796" spans="1:6" x14ac:dyDescent="0.2">
      <c r="A14796">
        <v>0</v>
      </c>
      <c r="E14796" t="str">
        <f t="shared" si="481"/>
        <v>A</v>
      </c>
      <c r="F14796" t="str">
        <f t="shared" si="482"/>
        <v>0A</v>
      </c>
    </row>
    <row r="14797" spans="1:6" x14ac:dyDescent="0.2">
      <c r="A14797">
        <v>1</v>
      </c>
      <c r="E14797" t="str">
        <f t="shared" si="481"/>
        <v>B</v>
      </c>
      <c r="F14797" t="str">
        <f t="shared" si="482"/>
        <v>1B</v>
      </c>
    </row>
    <row r="14798" spans="1:6" x14ac:dyDescent="0.2">
      <c r="A14798">
        <v>2</v>
      </c>
      <c r="E14798" t="str">
        <f t="shared" si="481"/>
        <v>C</v>
      </c>
      <c r="F14798" t="str">
        <f t="shared" si="482"/>
        <v>2C</v>
      </c>
    </row>
    <row r="14799" spans="1:6" x14ac:dyDescent="0.2">
      <c r="A14799">
        <v>3</v>
      </c>
      <c r="E14799" t="str">
        <f t="shared" si="481"/>
        <v>D</v>
      </c>
      <c r="F14799" t="str">
        <f t="shared" si="482"/>
        <v>3D</v>
      </c>
    </row>
    <row r="14800" spans="1:6" x14ac:dyDescent="0.2">
      <c r="A14800">
        <v>4</v>
      </c>
      <c r="E14800" t="str">
        <f t="shared" si="481"/>
        <v>E</v>
      </c>
      <c r="F14800" t="str">
        <f t="shared" si="482"/>
        <v>4E</v>
      </c>
    </row>
    <row r="14801" spans="1:6" x14ac:dyDescent="0.2">
      <c r="A14801">
        <v>5</v>
      </c>
      <c r="E14801" t="str">
        <f t="shared" si="481"/>
        <v>F</v>
      </c>
      <c r="F14801" t="str">
        <f t="shared" si="482"/>
        <v>5F</v>
      </c>
    </row>
    <row r="14802" spans="1:6" x14ac:dyDescent="0.2">
      <c r="A14802">
        <v>6</v>
      </c>
      <c r="E14802" t="str">
        <f t="shared" si="481"/>
        <v>G</v>
      </c>
      <c r="F14802" t="str">
        <f t="shared" si="482"/>
        <v>6G</v>
      </c>
    </row>
    <row r="14803" spans="1:6" x14ac:dyDescent="0.2">
      <c r="A14803">
        <v>7</v>
      </c>
      <c r="E14803" t="str">
        <f t="shared" si="481"/>
        <v>H</v>
      </c>
      <c r="F14803" t="str">
        <f t="shared" si="482"/>
        <v>7H</v>
      </c>
    </row>
    <row r="14804" spans="1:6" x14ac:dyDescent="0.2">
      <c r="A14804">
        <v>8</v>
      </c>
      <c r="E14804" t="str">
        <f t="shared" si="481"/>
        <v>I</v>
      </c>
      <c r="F14804" t="str">
        <f t="shared" si="482"/>
        <v>8I</v>
      </c>
    </row>
    <row r="14805" spans="1:6" x14ac:dyDescent="0.2">
      <c r="A14805">
        <v>9</v>
      </c>
      <c r="E14805" t="str">
        <f t="shared" ref="E14805:E14868" si="483">E14779</f>
        <v>J</v>
      </c>
      <c r="F14805" t="str">
        <f t="shared" si="482"/>
        <v>9J</v>
      </c>
    </row>
    <row r="14806" spans="1:6" x14ac:dyDescent="0.2">
      <c r="A14806">
        <v>10</v>
      </c>
      <c r="E14806" t="str">
        <f t="shared" si="483"/>
        <v>K</v>
      </c>
      <c r="F14806" t="str">
        <f t="shared" si="482"/>
        <v>10K</v>
      </c>
    </row>
    <row r="14807" spans="1:6" x14ac:dyDescent="0.2">
      <c r="A14807">
        <v>11</v>
      </c>
      <c r="E14807" t="str">
        <f t="shared" si="483"/>
        <v>L</v>
      </c>
      <c r="F14807" t="str">
        <f t="shared" ref="F14807:F14870" si="484">A14807&amp;C14807&amp;E14807</f>
        <v>11L</v>
      </c>
    </row>
    <row r="14808" spans="1:6" x14ac:dyDescent="0.2">
      <c r="A14808">
        <v>12</v>
      </c>
      <c r="E14808" t="str">
        <f t="shared" si="483"/>
        <v>M</v>
      </c>
      <c r="F14808" t="str">
        <f t="shared" si="484"/>
        <v>12M</v>
      </c>
    </row>
    <row r="14809" spans="1:6" x14ac:dyDescent="0.2">
      <c r="A14809">
        <v>13</v>
      </c>
      <c r="E14809" t="str">
        <f t="shared" si="483"/>
        <v>N</v>
      </c>
      <c r="F14809" t="str">
        <f t="shared" si="484"/>
        <v>13N</v>
      </c>
    </row>
    <row r="14810" spans="1:6" x14ac:dyDescent="0.2">
      <c r="A14810">
        <v>14</v>
      </c>
      <c r="E14810" t="str">
        <f t="shared" si="483"/>
        <v>O</v>
      </c>
      <c r="F14810" t="str">
        <f t="shared" si="484"/>
        <v>14O</v>
      </c>
    </row>
    <row r="14811" spans="1:6" x14ac:dyDescent="0.2">
      <c r="A14811">
        <v>15</v>
      </c>
      <c r="E14811" t="str">
        <f t="shared" si="483"/>
        <v>P</v>
      </c>
      <c r="F14811" t="str">
        <f t="shared" si="484"/>
        <v>15P</v>
      </c>
    </row>
    <row r="14812" spans="1:6" x14ac:dyDescent="0.2">
      <c r="A14812">
        <v>16</v>
      </c>
      <c r="E14812" t="str">
        <f t="shared" si="483"/>
        <v>Q</v>
      </c>
      <c r="F14812" t="str">
        <f t="shared" si="484"/>
        <v>16Q</v>
      </c>
    </row>
    <row r="14813" spans="1:6" x14ac:dyDescent="0.2">
      <c r="A14813">
        <v>17</v>
      </c>
      <c r="E14813" t="str">
        <f t="shared" si="483"/>
        <v>R</v>
      </c>
      <c r="F14813" t="str">
        <f t="shared" si="484"/>
        <v>17R</v>
      </c>
    </row>
    <row r="14814" spans="1:6" x14ac:dyDescent="0.2">
      <c r="A14814">
        <v>18</v>
      </c>
      <c r="E14814" t="str">
        <f t="shared" si="483"/>
        <v>S</v>
      </c>
      <c r="F14814" t="str">
        <f t="shared" si="484"/>
        <v>18S</v>
      </c>
    </row>
    <row r="14815" spans="1:6" x14ac:dyDescent="0.2">
      <c r="A14815">
        <v>19</v>
      </c>
      <c r="E14815" t="str">
        <f t="shared" si="483"/>
        <v>T</v>
      </c>
      <c r="F14815" t="str">
        <f t="shared" si="484"/>
        <v>19T</v>
      </c>
    </row>
    <row r="14816" spans="1:6" x14ac:dyDescent="0.2">
      <c r="A14816">
        <v>20</v>
      </c>
      <c r="E14816" t="str">
        <f t="shared" si="483"/>
        <v>U</v>
      </c>
      <c r="F14816" t="str">
        <f t="shared" si="484"/>
        <v>20U</v>
      </c>
    </row>
    <row r="14817" spans="1:6" x14ac:dyDescent="0.2">
      <c r="A14817">
        <v>21</v>
      </c>
      <c r="E14817" t="str">
        <f t="shared" si="483"/>
        <v>V</v>
      </c>
      <c r="F14817" t="str">
        <f t="shared" si="484"/>
        <v>21V</v>
      </c>
    </row>
    <row r="14818" spans="1:6" x14ac:dyDescent="0.2">
      <c r="A14818">
        <v>22</v>
      </c>
      <c r="E14818" t="str">
        <f t="shared" si="483"/>
        <v>W</v>
      </c>
      <c r="F14818" t="str">
        <f t="shared" si="484"/>
        <v>22W</v>
      </c>
    </row>
    <row r="14819" spans="1:6" x14ac:dyDescent="0.2">
      <c r="A14819">
        <v>23</v>
      </c>
      <c r="E14819" t="str">
        <f t="shared" si="483"/>
        <v>X</v>
      </c>
      <c r="F14819" t="str">
        <f t="shared" si="484"/>
        <v>23X</v>
      </c>
    </row>
    <row r="14820" spans="1:6" x14ac:dyDescent="0.2">
      <c r="A14820">
        <v>24</v>
      </c>
      <c r="E14820" t="str">
        <f t="shared" si="483"/>
        <v>Y</v>
      </c>
      <c r="F14820" t="str">
        <f t="shared" si="484"/>
        <v>24Y</v>
      </c>
    </row>
    <row r="14821" spans="1:6" x14ac:dyDescent="0.2">
      <c r="A14821">
        <v>25</v>
      </c>
      <c r="E14821" t="str">
        <f t="shared" si="483"/>
        <v>Z</v>
      </c>
      <c r="F14821" t="str">
        <f t="shared" si="484"/>
        <v>25Z</v>
      </c>
    </row>
    <row r="14822" spans="1:6" x14ac:dyDescent="0.2">
      <c r="A14822">
        <v>0</v>
      </c>
      <c r="E14822" t="str">
        <f t="shared" si="483"/>
        <v>A</v>
      </c>
      <c r="F14822" t="str">
        <f t="shared" si="484"/>
        <v>0A</v>
      </c>
    </row>
    <row r="14823" spans="1:6" x14ac:dyDescent="0.2">
      <c r="A14823">
        <v>1</v>
      </c>
      <c r="E14823" t="str">
        <f t="shared" si="483"/>
        <v>B</v>
      </c>
      <c r="F14823" t="str">
        <f t="shared" si="484"/>
        <v>1B</v>
      </c>
    </row>
    <row r="14824" spans="1:6" x14ac:dyDescent="0.2">
      <c r="A14824">
        <v>2</v>
      </c>
      <c r="E14824" t="str">
        <f t="shared" si="483"/>
        <v>C</v>
      </c>
      <c r="F14824" t="str">
        <f t="shared" si="484"/>
        <v>2C</v>
      </c>
    </row>
    <row r="14825" spans="1:6" x14ac:dyDescent="0.2">
      <c r="A14825">
        <v>3</v>
      </c>
      <c r="E14825" t="str">
        <f t="shared" si="483"/>
        <v>D</v>
      </c>
      <c r="F14825" t="str">
        <f t="shared" si="484"/>
        <v>3D</v>
      </c>
    </row>
    <row r="14826" spans="1:6" x14ac:dyDescent="0.2">
      <c r="A14826">
        <v>4</v>
      </c>
      <c r="E14826" t="str">
        <f t="shared" si="483"/>
        <v>E</v>
      </c>
      <c r="F14826" t="str">
        <f t="shared" si="484"/>
        <v>4E</v>
      </c>
    </row>
    <row r="14827" spans="1:6" x14ac:dyDescent="0.2">
      <c r="A14827">
        <v>5</v>
      </c>
      <c r="E14827" t="str">
        <f t="shared" si="483"/>
        <v>F</v>
      </c>
      <c r="F14827" t="str">
        <f t="shared" si="484"/>
        <v>5F</v>
      </c>
    </row>
    <row r="14828" spans="1:6" x14ac:dyDescent="0.2">
      <c r="A14828">
        <v>6</v>
      </c>
      <c r="E14828" t="str">
        <f t="shared" si="483"/>
        <v>G</v>
      </c>
      <c r="F14828" t="str">
        <f t="shared" si="484"/>
        <v>6G</v>
      </c>
    </row>
    <row r="14829" spans="1:6" x14ac:dyDescent="0.2">
      <c r="A14829">
        <v>7</v>
      </c>
      <c r="E14829" t="str">
        <f t="shared" si="483"/>
        <v>H</v>
      </c>
      <c r="F14829" t="str">
        <f t="shared" si="484"/>
        <v>7H</v>
      </c>
    </row>
    <row r="14830" spans="1:6" x14ac:dyDescent="0.2">
      <c r="A14830">
        <v>8</v>
      </c>
      <c r="E14830" t="str">
        <f t="shared" si="483"/>
        <v>I</v>
      </c>
      <c r="F14830" t="str">
        <f t="shared" si="484"/>
        <v>8I</v>
      </c>
    </row>
    <row r="14831" spans="1:6" x14ac:dyDescent="0.2">
      <c r="A14831">
        <v>9</v>
      </c>
      <c r="E14831" t="str">
        <f t="shared" si="483"/>
        <v>J</v>
      </c>
      <c r="F14831" t="str">
        <f t="shared" si="484"/>
        <v>9J</v>
      </c>
    </row>
    <row r="14832" spans="1:6" x14ac:dyDescent="0.2">
      <c r="A14832">
        <v>10</v>
      </c>
      <c r="E14832" t="str">
        <f t="shared" si="483"/>
        <v>K</v>
      </c>
      <c r="F14832" t="str">
        <f t="shared" si="484"/>
        <v>10K</v>
      </c>
    </row>
    <row r="14833" spans="1:6" x14ac:dyDescent="0.2">
      <c r="A14833">
        <v>11</v>
      </c>
      <c r="E14833" t="str">
        <f t="shared" si="483"/>
        <v>L</v>
      </c>
      <c r="F14833" t="str">
        <f t="shared" si="484"/>
        <v>11L</v>
      </c>
    </row>
    <row r="14834" spans="1:6" x14ac:dyDescent="0.2">
      <c r="A14834">
        <v>12</v>
      </c>
      <c r="E14834" t="str">
        <f t="shared" si="483"/>
        <v>M</v>
      </c>
      <c r="F14834" t="str">
        <f t="shared" si="484"/>
        <v>12M</v>
      </c>
    </row>
    <row r="14835" spans="1:6" x14ac:dyDescent="0.2">
      <c r="A14835">
        <v>13</v>
      </c>
      <c r="E14835" t="str">
        <f t="shared" si="483"/>
        <v>N</v>
      </c>
      <c r="F14835" t="str">
        <f t="shared" si="484"/>
        <v>13N</v>
      </c>
    </row>
    <row r="14836" spans="1:6" x14ac:dyDescent="0.2">
      <c r="A14836">
        <v>14</v>
      </c>
      <c r="E14836" t="str">
        <f t="shared" si="483"/>
        <v>O</v>
      </c>
      <c r="F14836" t="str">
        <f t="shared" si="484"/>
        <v>14O</v>
      </c>
    </row>
    <row r="14837" spans="1:6" x14ac:dyDescent="0.2">
      <c r="A14837">
        <v>15</v>
      </c>
      <c r="E14837" t="str">
        <f t="shared" si="483"/>
        <v>P</v>
      </c>
      <c r="F14837" t="str">
        <f t="shared" si="484"/>
        <v>15P</v>
      </c>
    </row>
    <row r="14838" spans="1:6" x14ac:dyDescent="0.2">
      <c r="A14838">
        <v>16</v>
      </c>
      <c r="E14838" t="str">
        <f t="shared" si="483"/>
        <v>Q</v>
      </c>
      <c r="F14838" t="str">
        <f t="shared" si="484"/>
        <v>16Q</v>
      </c>
    </row>
    <row r="14839" spans="1:6" x14ac:dyDescent="0.2">
      <c r="A14839">
        <v>17</v>
      </c>
      <c r="E14839" t="str">
        <f t="shared" si="483"/>
        <v>R</v>
      </c>
      <c r="F14839" t="str">
        <f t="shared" si="484"/>
        <v>17R</v>
      </c>
    </row>
    <row r="14840" spans="1:6" x14ac:dyDescent="0.2">
      <c r="A14840">
        <v>18</v>
      </c>
      <c r="E14840" t="str">
        <f t="shared" si="483"/>
        <v>S</v>
      </c>
      <c r="F14840" t="str">
        <f t="shared" si="484"/>
        <v>18S</v>
      </c>
    </row>
    <row r="14841" spans="1:6" x14ac:dyDescent="0.2">
      <c r="A14841">
        <v>19</v>
      </c>
      <c r="E14841" t="str">
        <f t="shared" si="483"/>
        <v>T</v>
      </c>
      <c r="F14841" t="str">
        <f t="shared" si="484"/>
        <v>19T</v>
      </c>
    </row>
    <row r="14842" spans="1:6" x14ac:dyDescent="0.2">
      <c r="A14842">
        <v>20</v>
      </c>
      <c r="E14842" t="str">
        <f t="shared" si="483"/>
        <v>U</v>
      </c>
      <c r="F14842" t="str">
        <f t="shared" si="484"/>
        <v>20U</v>
      </c>
    </row>
    <row r="14843" spans="1:6" x14ac:dyDescent="0.2">
      <c r="A14843">
        <v>21</v>
      </c>
      <c r="E14843" t="str">
        <f t="shared" si="483"/>
        <v>V</v>
      </c>
      <c r="F14843" t="str">
        <f t="shared" si="484"/>
        <v>21V</v>
      </c>
    </row>
    <row r="14844" spans="1:6" x14ac:dyDescent="0.2">
      <c r="A14844">
        <v>22</v>
      </c>
      <c r="E14844" t="str">
        <f t="shared" si="483"/>
        <v>W</v>
      </c>
      <c r="F14844" t="str">
        <f t="shared" si="484"/>
        <v>22W</v>
      </c>
    </row>
    <row r="14845" spans="1:6" x14ac:dyDescent="0.2">
      <c r="A14845">
        <v>23</v>
      </c>
      <c r="E14845" t="str">
        <f t="shared" si="483"/>
        <v>X</v>
      </c>
      <c r="F14845" t="str">
        <f t="shared" si="484"/>
        <v>23X</v>
      </c>
    </row>
    <row r="14846" spans="1:6" x14ac:dyDescent="0.2">
      <c r="A14846">
        <v>24</v>
      </c>
      <c r="E14846" t="str">
        <f t="shared" si="483"/>
        <v>Y</v>
      </c>
      <c r="F14846" t="str">
        <f t="shared" si="484"/>
        <v>24Y</v>
      </c>
    </row>
    <row r="14847" spans="1:6" x14ac:dyDescent="0.2">
      <c r="A14847">
        <v>25</v>
      </c>
      <c r="E14847" t="str">
        <f t="shared" si="483"/>
        <v>Z</v>
      </c>
      <c r="F14847" t="str">
        <f t="shared" si="484"/>
        <v>25Z</v>
      </c>
    </row>
    <row r="14848" spans="1:6" x14ac:dyDescent="0.2">
      <c r="A14848">
        <v>0</v>
      </c>
      <c r="E14848" t="str">
        <f t="shared" si="483"/>
        <v>A</v>
      </c>
      <c r="F14848" t="str">
        <f t="shared" si="484"/>
        <v>0A</v>
      </c>
    </row>
    <row r="14849" spans="1:6" x14ac:dyDescent="0.2">
      <c r="A14849">
        <v>1</v>
      </c>
      <c r="E14849" t="str">
        <f t="shared" si="483"/>
        <v>B</v>
      </c>
      <c r="F14849" t="str">
        <f t="shared" si="484"/>
        <v>1B</v>
      </c>
    </row>
    <row r="14850" spans="1:6" x14ac:dyDescent="0.2">
      <c r="A14850">
        <v>2</v>
      </c>
      <c r="E14850" t="str">
        <f t="shared" si="483"/>
        <v>C</v>
      </c>
      <c r="F14850" t="str">
        <f t="shared" si="484"/>
        <v>2C</v>
      </c>
    </row>
    <row r="14851" spans="1:6" x14ac:dyDescent="0.2">
      <c r="A14851">
        <v>3</v>
      </c>
      <c r="E14851" t="str">
        <f t="shared" si="483"/>
        <v>D</v>
      </c>
      <c r="F14851" t="str">
        <f t="shared" si="484"/>
        <v>3D</v>
      </c>
    </row>
    <row r="14852" spans="1:6" x14ac:dyDescent="0.2">
      <c r="A14852">
        <v>4</v>
      </c>
      <c r="E14852" t="str">
        <f t="shared" si="483"/>
        <v>E</v>
      </c>
      <c r="F14852" t="str">
        <f t="shared" si="484"/>
        <v>4E</v>
      </c>
    </row>
    <row r="14853" spans="1:6" x14ac:dyDescent="0.2">
      <c r="A14853">
        <v>5</v>
      </c>
      <c r="E14853" t="str">
        <f t="shared" si="483"/>
        <v>F</v>
      </c>
      <c r="F14853" t="str">
        <f t="shared" si="484"/>
        <v>5F</v>
      </c>
    </row>
    <row r="14854" spans="1:6" x14ac:dyDescent="0.2">
      <c r="A14854">
        <v>6</v>
      </c>
      <c r="E14854" t="str">
        <f t="shared" si="483"/>
        <v>G</v>
      </c>
      <c r="F14854" t="str">
        <f t="shared" si="484"/>
        <v>6G</v>
      </c>
    </row>
    <row r="14855" spans="1:6" x14ac:dyDescent="0.2">
      <c r="A14855">
        <v>7</v>
      </c>
      <c r="E14855" t="str">
        <f t="shared" si="483"/>
        <v>H</v>
      </c>
      <c r="F14855" t="str">
        <f t="shared" si="484"/>
        <v>7H</v>
      </c>
    </row>
    <row r="14856" spans="1:6" x14ac:dyDescent="0.2">
      <c r="A14856">
        <v>8</v>
      </c>
      <c r="E14856" t="str">
        <f t="shared" si="483"/>
        <v>I</v>
      </c>
      <c r="F14856" t="str">
        <f t="shared" si="484"/>
        <v>8I</v>
      </c>
    </row>
    <row r="14857" spans="1:6" x14ac:dyDescent="0.2">
      <c r="A14857">
        <v>9</v>
      </c>
      <c r="E14857" t="str">
        <f t="shared" si="483"/>
        <v>J</v>
      </c>
      <c r="F14857" t="str">
        <f t="shared" si="484"/>
        <v>9J</v>
      </c>
    </row>
    <row r="14858" spans="1:6" x14ac:dyDescent="0.2">
      <c r="A14858">
        <v>10</v>
      </c>
      <c r="E14858" t="str">
        <f t="shared" si="483"/>
        <v>K</v>
      </c>
      <c r="F14858" t="str">
        <f t="shared" si="484"/>
        <v>10K</v>
      </c>
    </row>
    <row r="14859" spans="1:6" x14ac:dyDescent="0.2">
      <c r="A14859">
        <v>11</v>
      </c>
      <c r="E14859" t="str">
        <f t="shared" si="483"/>
        <v>L</v>
      </c>
      <c r="F14859" t="str">
        <f t="shared" si="484"/>
        <v>11L</v>
      </c>
    </row>
    <row r="14860" spans="1:6" x14ac:dyDescent="0.2">
      <c r="A14860">
        <v>12</v>
      </c>
      <c r="E14860" t="str">
        <f t="shared" si="483"/>
        <v>M</v>
      </c>
      <c r="F14860" t="str">
        <f t="shared" si="484"/>
        <v>12M</v>
      </c>
    </row>
    <row r="14861" spans="1:6" x14ac:dyDescent="0.2">
      <c r="A14861">
        <v>13</v>
      </c>
      <c r="E14861" t="str">
        <f t="shared" si="483"/>
        <v>N</v>
      </c>
      <c r="F14861" t="str">
        <f t="shared" si="484"/>
        <v>13N</v>
      </c>
    </row>
    <row r="14862" spans="1:6" x14ac:dyDescent="0.2">
      <c r="A14862">
        <v>14</v>
      </c>
      <c r="E14862" t="str">
        <f t="shared" si="483"/>
        <v>O</v>
      </c>
      <c r="F14862" t="str">
        <f t="shared" si="484"/>
        <v>14O</v>
      </c>
    </row>
    <row r="14863" spans="1:6" x14ac:dyDescent="0.2">
      <c r="A14863">
        <v>15</v>
      </c>
      <c r="E14863" t="str">
        <f t="shared" si="483"/>
        <v>P</v>
      </c>
      <c r="F14863" t="str">
        <f t="shared" si="484"/>
        <v>15P</v>
      </c>
    </row>
    <row r="14864" spans="1:6" x14ac:dyDescent="0.2">
      <c r="A14864">
        <v>16</v>
      </c>
      <c r="E14864" t="str">
        <f t="shared" si="483"/>
        <v>Q</v>
      </c>
      <c r="F14864" t="str">
        <f t="shared" si="484"/>
        <v>16Q</v>
      </c>
    </row>
    <row r="14865" spans="1:6" x14ac:dyDescent="0.2">
      <c r="A14865">
        <v>17</v>
      </c>
      <c r="E14865" t="str">
        <f t="shared" si="483"/>
        <v>R</v>
      </c>
      <c r="F14865" t="str">
        <f t="shared" si="484"/>
        <v>17R</v>
      </c>
    </row>
    <row r="14866" spans="1:6" x14ac:dyDescent="0.2">
      <c r="A14866">
        <v>18</v>
      </c>
      <c r="E14866" t="str">
        <f t="shared" si="483"/>
        <v>S</v>
      </c>
      <c r="F14866" t="str">
        <f t="shared" si="484"/>
        <v>18S</v>
      </c>
    </row>
    <row r="14867" spans="1:6" x14ac:dyDescent="0.2">
      <c r="A14867">
        <v>19</v>
      </c>
      <c r="E14867" t="str">
        <f t="shared" si="483"/>
        <v>T</v>
      </c>
      <c r="F14867" t="str">
        <f t="shared" si="484"/>
        <v>19T</v>
      </c>
    </row>
    <row r="14868" spans="1:6" x14ac:dyDescent="0.2">
      <c r="A14868">
        <v>20</v>
      </c>
      <c r="E14868" t="str">
        <f t="shared" si="483"/>
        <v>U</v>
      </c>
      <c r="F14868" t="str">
        <f t="shared" si="484"/>
        <v>20U</v>
      </c>
    </row>
    <row r="14869" spans="1:6" x14ac:dyDescent="0.2">
      <c r="A14869">
        <v>21</v>
      </c>
      <c r="E14869" t="str">
        <f t="shared" ref="E14869:E14932" si="485">E14843</f>
        <v>V</v>
      </c>
      <c r="F14869" t="str">
        <f t="shared" si="484"/>
        <v>21V</v>
      </c>
    </row>
    <row r="14870" spans="1:6" x14ac:dyDescent="0.2">
      <c r="A14870">
        <v>22</v>
      </c>
      <c r="E14870" t="str">
        <f t="shared" si="485"/>
        <v>W</v>
      </c>
      <c r="F14870" t="str">
        <f t="shared" si="484"/>
        <v>22W</v>
      </c>
    </row>
    <row r="14871" spans="1:6" x14ac:dyDescent="0.2">
      <c r="A14871">
        <v>23</v>
      </c>
      <c r="E14871" t="str">
        <f t="shared" si="485"/>
        <v>X</v>
      </c>
      <c r="F14871" t="str">
        <f t="shared" ref="F14871:F14934" si="486">A14871&amp;C14871&amp;E14871</f>
        <v>23X</v>
      </c>
    </row>
    <row r="14872" spans="1:6" x14ac:dyDescent="0.2">
      <c r="A14872">
        <v>24</v>
      </c>
      <c r="E14872" t="str">
        <f t="shared" si="485"/>
        <v>Y</v>
      </c>
      <c r="F14872" t="str">
        <f t="shared" si="486"/>
        <v>24Y</v>
      </c>
    </row>
    <row r="14873" spans="1:6" x14ac:dyDescent="0.2">
      <c r="A14873">
        <v>25</v>
      </c>
      <c r="E14873" t="str">
        <f t="shared" si="485"/>
        <v>Z</v>
      </c>
      <c r="F14873" t="str">
        <f t="shared" si="486"/>
        <v>25Z</v>
      </c>
    </row>
    <row r="14874" spans="1:6" x14ac:dyDescent="0.2">
      <c r="A14874">
        <v>0</v>
      </c>
      <c r="E14874" t="str">
        <f t="shared" si="485"/>
        <v>A</v>
      </c>
      <c r="F14874" t="str">
        <f t="shared" si="486"/>
        <v>0A</v>
      </c>
    </row>
    <row r="14875" spans="1:6" x14ac:dyDescent="0.2">
      <c r="A14875">
        <v>1</v>
      </c>
      <c r="E14875" t="str">
        <f t="shared" si="485"/>
        <v>B</v>
      </c>
      <c r="F14875" t="str">
        <f t="shared" si="486"/>
        <v>1B</v>
      </c>
    </row>
    <row r="14876" spans="1:6" x14ac:dyDescent="0.2">
      <c r="A14876">
        <v>2</v>
      </c>
      <c r="E14876" t="str">
        <f t="shared" si="485"/>
        <v>C</v>
      </c>
      <c r="F14876" t="str">
        <f t="shared" si="486"/>
        <v>2C</v>
      </c>
    </row>
    <row r="14877" spans="1:6" x14ac:dyDescent="0.2">
      <c r="A14877">
        <v>3</v>
      </c>
      <c r="E14877" t="str">
        <f t="shared" si="485"/>
        <v>D</v>
      </c>
      <c r="F14877" t="str">
        <f t="shared" si="486"/>
        <v>3D</v>
      </c>
    </row>
    <row r="14878" spans="1:6" x14ac:dyDescent="0.2">
      <c r="A14878">
        <v>4</v>
      </c>
      <c r="E14878" t="str">
        <f t="shared" si="485"/>
        <v>E</v>
      </c>
      <c r="F14878" t="str">
        <f t="shared" si="486"/>
        <v>4E</v>
      </c>
    </row>
    <row r="14879" spans="1:6" x14ac:dyDescent="0.2">
      <c r="A14879">
        <v>5</v>
      </c>
      <c r="E14879" t="str">
        <f t="shared" si="485"/>
        <v>F</v>
      </c>
      <c r="F14879" t="str">
        <f t="shared" si="486"/>
        <v>5F</v>
      </c>
    </row>
    <row r="14880" spans="1:6" x14ac:dyDescent="0.2">
      <c r="A14880">
        <v>6</v>
      </c>
      <c r="E14880" t="str">
        <f t="shared" si="485"/>
        <v>G</v>
      </c>
      <c r="F14880" t="str">
        <f t="shared" si="486"/>
        <v>6G</v>
      </c>
    </row>
    <row r="14881" spans="1:6" x14ac:dyDescent="0.2">
      <c r="A14881">
        <v>7</v>
      </c>
      <c r="E14881" t="str">
        <f t="shared" si="485"/>
        <v>H</v>
      </c>
      <c r="F14881" t="str">
        <f t="shared" si="486"/>
        <v>7H</v>
      </c>
    </row>
    <row r="14882" spans="1:6" x14ac:dyDescent="0.2">
      <c r="A14882">
        <v>8</v>
      </c>
      <c r="E14882" t="str">
        <f t="shared" si="485"/>
        <v>I</v>
      </c>
      <c r="F14882" t="str">
        <f t="shared" si="486"/>
        <v>8I</v>
      </c>
    </row>
    <row r="14883" spans="1:6" x14ac:dyDescent="0.2">
      <c r="A14883">
        <v>9</v>
      </c>
      <c r="E14883" t="str">
        <f t="shared" si="485"/>
        <v>J</v>
      </c>
      <c r="F14883" t="str">
        <f t="shared" si="486"/>
        <v>9J</v>
      </c>
    </row>
    <row r="14884" spans="1:6" x14ac:dyDescent="0.2">
      <c r="A14884">
        <v>10</v>
      </c>
      <c r="E14884" t="str">
        <f t="shared" si="485"/>
        <v>K</v>
      </c>
      <c r="F14884" t="str">
        <f t="shared" si="486"/>
        <v>10K</v>
      </c>
    </row>
    <row r="14885" spans="1:6" x14ac:dyDescent="0.2">
      <c r="A14885">
        <v>11</v>
      </c>
      <c r="E14885" t="str">
        <f t="shared" si="485"/>
        <v>L</v>
      </c>
      <c r="F14885" t="str">
        <f t="shared" si="486"/>
        <v>11L</v>
      </c>
    </row>
    <row r="14886" spans="1:6" x14ac:dyDescent="0.2">
      <c r="A14886">
        <v>12</v>
      </c>
      <c r="E14886" t="str">
        <f t="shared" si="485"/>
        <v>M</v>
      </c>
      <c r="F14886" t="str">
        <f t="shared" si="486"/>
        <v>12M</v>
      </c>
    </row>
    <row r="14887" spans="1:6" x14ac:dyDescent="0.2">
      <c r="A14887">
        <v>13</v>
      </c>
      <c r="E14887" t="str">
        <f t="shared" si="485"/>
        <v>N</v>
      </c>
      <c r="F14887" t="str">
        <f t="shared" si="486"/>
        <v>13N</v>
      </c>
    </row>
    <row r="14888" spans="1:6" x14ac:dyDescent="0.2">
      <c r="A14888">
        <v>14</v>
      </c>
      <c r="E14888" t="str">
        <f t="shared" si="485"/>
        <v>O</v>
      </c>
      <c r="F14888" t="str">
        <f t="shared" si="486"/>
        <v>14O</v>
      </c>
    </row>
    <row r="14889" spans="1:6" x14ac:dyDescent="0.2">
      <c r="A14889">
        <v>15</v>
      </c>
      <c r="E14889" t="str">
        <f t="shared" si="485"/>
        <v>P</v>
      </c>
      <c r="F14889" t="str">
        <f t="shared" si="486"/>
        <v>15P</v>
      </c>
    </row>
    <row r="14890" spans="1:6" x14ac:dyDescent="0.2">
      <c r="A14890">
        <v>16</v>
      </c>
      <c r="E14890" t="str">
        <f t="shared" si="485"/>
        <v>Q</v>
      </c>
      <c r="F14890" t="str">
        <f t="shared" si="486"/>
        <v>16Q</v>
      </c>
    </row>
    <row r="14891" spans="1:6" x14ac:dyDescent="0.2">
      <c r="A14891">
        <v>17</v>
      </c>
      <c r="E14891" t="str">
        <f t="shared" si="485"/>
        <v>R</v>
      </c>
      <c r="F14891" t="str">
        <f t="shared" si="486"/>
        <v>17R</v>
      </c>
    </row>
    <row r="14892" spans="1:6" x14ac:dyDescent="0.2">
      <c r="A14892">
        <v>18</v>
      </c>
      <c r="E14892" t="str">
        <f t="shared" si="485"/>
        <v>S</v>
      </c>
      <c r="F14892" t="str">
        <f t="shared" si="486"/>
        <v>18S</v>
      </c>
    </row>
    <row r="14893" spans="1:6" x14ac:dyDescent="0.2">
      <c r="A14893">
        <v>19</v>
      </c>
      <c r="E14893" t="str">
        <f t="shared" si="485"/>
        <v>T</v>
      </c>
      <c r="F14893" t="str">
        <f t="shared" si="486"/>
        <v>19T</v>
      </c>
    </row>
    <row r="14894" spans="1:6" x14ac:dyDescent="0.2">
      <c r="A14894">
        <v>20</v>
      </c>
      <c r="E14894" t="str">
        <f t="shared" si="485"/>
        <v>U</v>
      </c>
      <c r="F14894" t="str">
        <f t="shared" si="486"/>
        <v>20U</v>
      </c>
    </row>
    <row r="14895" spans="1:6" x14ac:dyDescent="0.2">
      <c r="A14895">
        <v>21</v>
      </c>
      <c r="E14895" t="str">
        <f t="shared" si="485"/>
        <v>V</v>
      </c>
      <c r="F14895" t="str">
        <f t="shared" si="486"/>
        <v>21V</v>
      </c>
    </row>
    <row r="14896" spans="1:6" x14ac:dyDescent="0.2">
      <c r="A14896">
        <v>22</v>
      </c>
      <c r="E14896" t="str">
        <f t="shared" si="485"/>
        <v>W</v>
      </c>
      <c r="F14896" t="str">
        <f t="shared" si="486"/>
        <v>22W</v>
      </c>
    </row>
    <row r="14897" spans="1:6" x14ac:dyDescent="0.2">
      <c r="A14897">
        <v>23</v>
      </c>
      <c r="E14897" t="str">
        <f t="shared" si="485"/>
        <v>X</v>
      </c>
      <c r="F14897" t="str">
        <f t="shared" si="486"/>
        <v>23X</v>
      </c>
    </row>
    <row r="14898" spans="1:6" x14ac:dyDescent="0.2">
      <c r="A14898">
        <v>24</v>
      </c>
      <c r="E14898" t="str">
        <f t="shared" si="485"/>
        <v>Y</v>
      </c>
      <c r="F14898" t="str">
        <f t="shared" si="486"/>
        <v>24Y</v>
      </c>
    </row>
    <row r="14899" spans="1:6" x14ac:dyDescent="0.2">
      <c r="A14899">
        <v>25</v>
      </c>
      <c r="E14899" t="str">
        <f t="shared" si="485"/>
        <v>Z</v>
      </c>
      <c r="F14899" t="str">
        <f t="shared" si="486"/>
        <v>25Z</v>
      </c>
    </row>
    <row r="14900" spans="1:6" x14ac:dyDescent="0.2">
      <c r="A14900">
        <v>0</v>
      </c>
      <c r="E14900" t="str">
        <f t="shared" si="485"/>
        <v>A</v>
      </c>
      <c r="F14900" t="str">
        <f t="shared" si="486"/>
        <v>0A</v>
      </c>
    </row>
    <row r="14901" spans="1:6" x14ac:dyDescent="0.2">
      <c r="A14901">
        <v>1</v>
      </c>
      <c r="E14901" t="str">
        <f t="shared" si="485"/>
        <v>B</v>
      </c>
      <c r="F14901" t="str">
        <f t="shared" si="486"/>
        <v>1B</v>
      </c>
    </row>
    <row r="14902" spans="1:6" x14ac:dyDescent="0.2">
      <c r="A14902">
        <v>2</v>
      </c>
      <c r="E14902" t="str">
        <f t="shared" si="485"/>
        <v>C</v>
      </c>
      <c r="F14902" t="str">
        <f t="shared" si="486"/>
        <v>2C</v>
      </c>
    </row>
    <row r="14903" spans="1:6" x14ac:dyDescent="0.2">
      <c r="A14903">
        <v>3</v>
      </c>
      <c r="E14903" t="str">
        <f t="shared" si="485"/>
        <v>D</v>
      </c>
      <c r="F14903" t="str">
        <f t="shared" si="486"/>
        <v>3D</v>
      </c>
    </row>
    <row r="14904" spans="1:6" x14ac:dyDescent="0.2">
      <c r="A14904">
        <v>4</v>
      </c>
      <c r="E14904" t="str">
        <f t="shared" si="485"/>
        <v>E</v>
      </c>
      <c r="F14904" t="str">
        <f t="shared" si="486"/>
        <v>4E</v>
      </c>
    </row>
    <row r="14905" spans="1:6" x14ac:dyDescent="0.2">
      <c r="A14905">
        <v>5</v>
      </c>
      <c r="E14905" t="str">
        <f t="shared" si="485"/>
        <v>F</v>
      </c>
      <c r="F14905" t="str">
        <f t="shared" si="486"/>
        <v>5F</v>
      </c>
    </row>
    <row r="14906" spans="1:6" x14ac:dyDescent="0.2">
      <c r="A14906">
        <v>6</v>
      </c>
      <c r="E14906" t="str">
        <f t="shared" si="485"/>
        <v>G</v>
      </c>
      <c r="F14906" t="str">
        <f t="shared" si="486"/>
        <v>6G</v>
      </c>
    </row>
    <row r="14907" spans="1:6" x14ac:dyDescent="0.2">
      <c r="A14907">
        <v>7</v>
      </c>
      <c r="E14907" t="str">
        <f t="shared" si="485"/>
        <v>H</v>
      </c>
      <c r="F14907" t="str">
        <f t="shared" si="486"/>
        <v>7H</v>
      </c>
    </row>
    <row r="14908" spans="1:6" x14ac:dyDescent="0.2">
      <c r="A14908">
        <v>8</v>
      </c>
      <c r="E14908" t="str">
        <f t="shared" si="485"/>
        <v>I</v>
      </c>
      <c r="F14908" t="str">
        <f t="shared" si="486"/>
        <v>8I</v>
      </c>
    </row>
    <row r="14909" spans="1:6" x14ac:dyDescent="0.2">
      <c r="A14909">
        <v>9</v>
      </c>
      <c r="E14909" t="str">
        <f t="shared" si="485"/>
        <v>J</v>
      </c>
      <c r="F14909" t="str">
        <f t="shared" si="486"/>
        <v>9J</v>
      </c>
    </row>
    <row r="14910" spans="1:6" x14ac:dyDescent="0.2">
      <c r="A14910">
        <v>10</v>
      </c>
      <c r="E14910" t="str">
        <f t="shared" si="485"/>
        <v>K</v>
      </c>
      <c r="F14910" t="str">
        <f t="shared" si="486"/>
        <v>10K</v>
      </c>
    </row>
    <row r="14911" spans="1:6" x14ac:dyDescent="0.2">
      <c r="A14911">
        <v>11</v>
      </c>
      <c r="E14911" t="str">
        <f t="shared" si="485"/>
        <v>L</v>
      </c>
      <c r="F14911" t="str">
        <f t="shared" si="486"/>
        <v>11L</v>
      </c>
    </row>
    <row r="14912" spans="1:6" x14ac:dyDescent="0.2">
      <c r="A14912">
        <v>12</v>
      </c>
      <c r="E14912" t="str">
        <f t="shared" si="485"/>
        <v>M</v>
      </c>
      <c r="F14912" t="str">
        <f t="shared" si="486"/>
        <v>12M</v>
      </c>
    </row>
    <row r="14913" spans="1:6" x14ac:dyDescent="0.2">
      <c r="A14913">
        <v>13</v>
      </c>
      <c r="E14913" t="str">
        <f t="shared" si="485"/>
        <v>N</v>
      </c>
      <c r="F14913" t="str">
        <f t="shared" si="486"/>
        <v>13N</v>
      </c>
    </row>
    <row r="14914" spans="1:6" x14ac:dyDescent="0.2">
      <c r="A14914">
        <v>14</v>
      </c>
      <c r="E14914" t="str">
        <f t="shared" si="485"/>
        <v>O</v>
      </c>
      <c r="F14914" t="str">
        <f t="shared" si="486"/>
        <v>14O</v>
      </c>
    </row>
    <row r="14915" spans="1:6" x14ac:dyDescent="0.2">
      <c r="A14915">
        <v>15</v>
      </c>
      <c r="E14915" t="str">
        <f t="shared" si="485"/>
        <v>P</v>
      </c>
      <c r="F14915" t="str">
        <f t="shared" si="486"/>
        <v>15P</v>
      </c>
    </row>
    <row r="14916" spans="1:6" x14ac:dyDescent="0.2">
      <c r="A14916">
        <v>16</v>
      </c>
      <c r="E14916" t="str">
        <f t="shared" si="485"/>
        <v>Q</v>
      </c>
      <c r="F14916" t="str">
        <f t="shared" si="486"/>
        <v>16Q</v>
      </c>
    </row>
    <row r="14917" spans="1:6" x14ac:dyDescent="0.2">
      <c r="A14917">
        <v>17</v>
      </c>
      <c r="E14917" t="str">
        <f t="shared" si="485"/>
        <v>R</v>
      </c>
      <c r="F14917" t="str">
        <f t="shared" si="486"/>
        <v>17R</v>
      </c>
    </row>
    <row r="14918" spans="1:6" x14ac:dyDescent="0.2">
      <c r="A14918">
        <v>18</v>
      </c>
      <c r="E14918" t="str">
        <f t="shared" si="485"/>
        <v>S</v>
      </c>
      <c r="F14918" t="str">
        <f t="shared" si="486"/>
        <v>18S</v>
      </c>
    </row>
    <row r="14919" spans="1:6" x14ac:dyDescent="0.2">
      <c r="A14919">
        <v>19</v>
      </c>
      <c r="E14919" t="str">
        <f t="shared" si="485"/>
        <v>T</v>
      </c>
      <c r="F14919" t="str">
        <f t="shared" si="486"/>
        <v>19T</v>
      </c>
    </row>
    <row r="14920" spans="1:6" x14ac:dyDescent="0.2">
      <c r="A14920">
        <v>20</v>
      </c>
      <c r="E14920" t="str">
        <f t="shared" si="485"/>
        <v>U</v>
      </c>
      <c r="F14920" t="str">
        <f t="shared" si="486"/>
        <v>20U</v>
      </c>
    </row>
    <row r="14921" spans="1:6" x14ac:dyDescent="0.2">
      <c r="A14921">
        <v>21</v>
      </c>
      <c r="E14921" t="str">
        <f t="shared" si="485"/>
        <v>V</v>
      </c>
      <c r="F14921" t="str">
        <f t="shared" si="486"/>
        <v>21V</v>
      </c>
    </row>
    <row r="14922" spans="1:6" x14ac:dyDescent="0.2">
      <c r="A14922">
        <v>22</v>
      </c>
      <c r="E14922" t="str">
        <f t="shared" si="485"/>
        <v>W</v>
      </c>
      <c r="F14922" t="str">
        <f t="shared" si="486"/>
        <v>22W</v>
      </c>
    </row>
    <row r="14923" spans="1:6" x14ac:dyDescent="0.2">
      <c r="A14923">
        <v>23</v>
      </c>
      <c r="E14923" t="str">
        <f t="shared" si="485"/>
        <v>X</v>
      </c>
      <c r="F14923" t="str">
        <f t="shared" si="486"/>
        <v>23X</v>
      </c>
    </row>
    <row r="14924" spans="1:6" x14ac:dyDescent="0.2">
      <c r="A14924">
        <v>24</v>
      </c>
      <c r="E14924" t="str">
        <f t="shared" si="485"/>
        <v>Y</v>
      </c>
      <c r="F14924" t="str">
        <f t="shared" si="486"/>
        <v>24Y</v>
      </c>
    </row>
    <row r="14925" spans="1:6" x14ac:dyDescent="0.2">
      <c r="A14925">
        <v>25</v>
      </c>
      <c r="E14925" t="str">
        <f t="shared" si="485"/>
        <v>Z</v>
      </c>
      <c r="F14925" t="str">
        <f t="shared" si="486"/>
        <v>25Z</v>
      </c>
    </row>
    <row r="14926" spans="1:6" x14ac:dyDescent="0.2">
      <c r="A14926">
        <v>0</v>
      </c>
      <c r="E14926" t="str">
        <f t="shared" si="485"/>
        <v>A</v>
      </c>
      <c r="F14926" t="str">
        <f t="shared" si="486"/>
        <v>0A</v>
      </c>
    </row>
    <row r="14927" spans="1:6" x14ac:dyDescent="0.2">
      <c r="A14927">
        <v>1</v>
      </c>
      <c r="E14927" t="str">
        <f t="shared" si="485"/>
        <v>B</v>
      </c>
      <c r="F14927" t="str">
        <f t="shared" si="486"/>
        <v>1B</v>
      </c>
    </row>
    <row r="14928" spans="1:6" x14ac:dyDescent="0.2">
      <c r="A14928">
        <v>2</v>
      </c>
      <c r="E14928" t="str">
        <f t="shared" si="485"/>
        <v>C</v>
      </c>
      <c r="F14928" t="str">
        <f t="shared" si="486"/>
        <v>2C</v>
      </c>
    </row>
    <row r="14929" spans="1:6" x14ac:dyDescent="0.2">
      <c r="A14929">
        <v>3</v>
      </c>
      <c r="E14929" t="str">
        <f t="shared" si="485"/>
        <v>D</v>
      </c>
      <c r="F14929" t="str">
        <f t="shared" si="486"/>
        <v>3D</v>
      </c>
    </row>
    <row r="14930" spans="1:6" x14ac:dyDescent="0.2">
      <c r="A14930">
        <v>4</v>
      </c>
      <c r="E14930" t="str">
        <f t="shared" si="485"/>
        <v>E</v>
      </c>
      <c r="F14930" t="str">
        <f t="shared" si="486"/>
        <v>4E</v>
      </c>
    </row>
    <row r="14931" spans="1:6" x14ac:dyDescent="0.2">
      <c r="A14931">
        <v>5</v>
      </c>
      <c r="E14931" t="str">
        <f t="shared" si="485"/>
        <v>F</v>
      </c>
      <c r="F14931" t="str">
        <f t="shared" si="486"/>
        <v>5F</v>
      </c>
    </row>
    <row r="14932" spans="1:6" x14ac:dyDescent="0.2">
      <c r="A14932">
        <v>6</v>
      </c>
      <c r="E14932" t="str">
        <f t="shared" si="485"/>
        <v>G</v>
      </c>
      <c r="F14932" t="str">
        <f t="shared" si="486"/>
        <v>6G</v>
      </c>
    </row>
    <row r="14933" spans="1:6" x14ac:dyDescent="0.2">
      <c r="A14933">
        <v>7</v>
      </c>
      <c r="E14933" t="str">
        <f t="shared" ref="E14933:E14996" si="487">E14907</f>
        <v>H</v>
      </c>
      <c r="F14933" t="str">
        <f t="shared" si="486"/>
        <v>7H</v>
      </c>
    </row>
    <row r="14934" spans="1:6" x14ac:dyDescent="0.2">
      <c r="A14934">
        <v>8</v>
      </c>
      <c r="E14934" t="str">
        <f t="shared" si="487"/>
        <v>I</v>
      </c>
      <c r="F14934" t="str">
        <f t="shared" si="486"/>
        <v>8I</v>
      </c>
    </row>
    <row r="14935" spans="1:6" x14ac:dyDescent="0.2">
      <c r="A14935">
        <v>9</v>
      </c>
      <c r="E14935" t="str">
        <f t="shared" si="487"/>
        <v>J</v>
      </c>
      <c r="F14935" t="str">
        <f t="shared" ref="F14935:F14998" si="488">A14935&amp;C14935&amp;E14935</f>
        <v>9J</v>
      </c>
    </row>
    <row r="14936" spans="1:6" x14ac:dyDescent="0.2">
      <c r="A14936">
        <v>10</v>
      </c>
      <c r="E14936" t="str">
        <f t="shared" si="487"/>
        <v>K</v>
      </c>
      <c r="F14936" t="str">
        <f t="shared" si="488"/>
        <v>10K</v>
      </c>
    </row>
    <row r="14937" spans="1:6" x14ac:dyDescent="0.2">
      <c r="A14937">
        <v>11</v>
      </c>
      <c r="E14937" t="str">
        <f t="shared" si="487"/>
        <v>L</v>
      </c>
      <c r="F14937" t="str">
        <f t="shared" si="488"/>
        <v>11L</v>
      </c>
    </row>
    <row r="14938" spans="1:6" x14ac:dyDescent="0.2">
      <c r="A14938">
        <v>12</v>
      </c>
      <c r="E14938" t="str">
        <f t="shared" si="487"/>
        <v>M</v>
      </c>
      <c r="F14938" t="str">
        <f t="shared" si="488"/>
        <v>12M</v>
      </c>
    </row>
    <row r="14939" spans="1:6" x14ac:dyDescent="0.2">
      <c r="A14939">
        <v>13</v>
      </c>
      <c r="E14939" t="str">
        <f t="shared" si="487"/>
        <v>N</v>
      </c>
      <c r="F14939" t="str">
        <f t="shared" si="488"/>
        <v>13N</v>
      </c>
    </row>
    <row r="14940" spans="1:6" x14ac:dyDescent="0.2">
      <c r="A14940">
        <v>14</v>
      </c>
      <c r="E14940" t="str">
        <f t="shared" si="487"/>
        <v>O</v>
      </c>
      <c r="F14940" t="str">
        <f t="shared" si="488"/>
        <v>14O</v>
      </c>
    </row>
    <row r="14941" spans="1:6" x14ac:dyDescent="0.2">
      <c r="A14941">
        <v>15</v>
      </c>
      <c r="E14941" t="str">
        <f t="shared" si="487"/>
        <v>P</v>
      </c>
      <c r="F14941" t="str">
        <f t="shared" si="488"/>
        <v>15P</v>
      </c>
    </row>
    <row r="14942" spans="1:6" x14ac:dyDescent="0.2">
      <c r="A14942">
        <v>16</v>
      </c>
      <c r="E14942" t="str">
        <f t="shared" si="487"/>
        <v>Q</v>
      </c>
      <c r="F14942" t="str">
        <f t="shared" si="488"/>
        <v>16Q</v>
      </c>
    </row>
    <row r="14943" spans="1:6" x14ac:dyDescent="0.2">
      <c r="A14943">
        <v>17</v>
      </c>
      <c r="E14943" t="str">
        <f t="shared" si="487"/>
        <v>R</v>
      </c>
      <c r="F14943" t="str">
        <f t="shared" si="488"/>
        <v>17R</v>
      </c>
    </row>
    <row r="14944" spans="1:6" x14ac:dyDescent="0.2">
      <c r="A14944">
        <v>18</v>
      </c>
      <c r="E14944" t="str">
        <f t="shared" si="487"/>
        <v>S</v>
      </c>
      <c r="F14944" t="str">
        <f t="shared" si="488"/>
        <v>18S</v>
      </c>
    </row>
    <row r="14945" spans="1:6" x14ac:dyDescent="0.2">
      <c r="A14945">
        <v>19</v>
      </c>
      <c r="E14945" t="str">
        <f t="shared" si="487"/>
        <v>T</v>
      </c>
      <c r="F14945" t="str">
        <f t="shared" si="488"/>
        <v>19T</v>
      </c>
    </row>
    <row r="14946" spans="1:6" x14ac:dyDescent="0.2">
      <c r="A14946">
        <v>20</v>
      </c>
      <c r="E14946" t="str">
        <f t="shared" si="487"/>
        <v>U</v>
      </c>
      <c r="F14946" t="str">
        <f t="shared" si="488"/>
        <v>20U</v>
      </c>
    </row>
    <row r="14947" spans="1:6" x14ac:dyDescent="0.2">
      <c r="A14947">
        <v>21</v>
      </c>
      <c r="E14947" t="str">
        <f t="shared" si="487"/>
        <v>V</v>
      </c>
      <c r="F14947" t="str">
        <f t="shared" si="488"/>
        <v>21V</v>
      </c>
    </row>
    <row r="14948" spans="1:6" x14ac:dyDescent="0.2">
      <c r="A14948">
        <v>22</v>
      </c>
      <c r="E14948" t="str">
        <f t="shared" si="487"/>
        <v>W</v>
      </c>
      <c r="F14948" t="str">
        <f t="shared" si="488"/>
        <v>22W</v>
      </c>
    </row>
    <row r="14949" spans="1:6" x14ac:dyDescent="0.2">
      <c r="A14949">
        <v>23</v>
      </c>
      <c r="E14949" t="str">
        <f t="shared" si="487"/>
        <v>X</v>
      </c>
      <c r="F14949" t="str">
        <f t="shared" si="488"/>
        <v>23X</v>
      </c>
    </row>
    <row r="14950" spans="1:6" x14ac:dyDescent="0.2">
      <c r="A14950">
        <v>24</v>
      </c>
      <c r="E14950" t="str">
        <f t="shared" si="487"/>
        <v>Y</v>
      </c>
      <c r="F14950" t="str">
        <f t="shared" si="488"/>
        <v>24Y</v>
      </c>
    </row>
    <row r="14951" spans="1:6" x14ac:dyDescent="0.2">
      <c r="A14951">
        <v>25</v>
      </c>
      <c r="E14951" t="str">
        <f t="shared" si="487"/>
        <v>Z</v>
      </c>
      <c r="F14951" t="str">
        <f t="shared" si="488"/>
        <v>25Z</v>
      </c>
    </row>
    <row r="14952" spans="1:6" x14ac:dyDescent="0.2">
      <c r="A14952">
        <v>0</v>
      </c>
      <c r="E14952" t="str">
        <f t="shared" si="487"/>
        <v>A</v>
      </c>
      <c r="F14952" t="str">
        <f t="shared" si="488"/>
        <v>0A</v>
      </c>
    </row>
    <row r="14953" spans="1:6" x14ac:dyDescent="0.2">
      <c r="A14953">
        <v>1</v>
      </c>
      <c r="E14953" t="str">
        <f t="shared" si="487"/>
        <v>B</v>
      </c>
      <c r="F14953" t="str">
        <f t="shared" si="488"/>
        <v>1B</v>
      </c>
    </row>
    <row r="14954" spans="1:6" x14ac:dyDescent="0.2">
      <c r="A14954">
        <v>2</v>
      </c>
      <c r="E14954" t="str">
        <f t="shared" si="487"/>
        <v>C</v>
      </c>
      <c r="F14954" t="str">
        <f t="shared" si="488"/>
        <v>2C</v>
      </c>
    </row>
    <row r="14955" spans="1:6" x14ac:dyDescent="0.2">
      <c r="A14955">
        <v>3</v>
      </c>
      <c r="E14955" t="str">
        <f t="shared" si="487"/>
        <v>D</v>
      </c>
      <c r="F14955" t="str">
        <f t="shared" si="488"/>
        <v>3D</v>
      </c>
    </row>
    <row r="14956" spans="1:6" x14ac:dyDescent="0.2">
      <c r="A14956">
        <v>4</v>
      </c>
      <c r="E14956" t="str">
        <f t="shared" si="487"/>
        <v>E</v>
      </c>
      <c r="F14956" t="str">
        <f t="shared" si="488"/>
        <v>4E</v>
      </c>
    </row>
    <row r="14957" spans="1:6" x14ac:dyDescent="0.2">
      <c r="A14957">
        <v>5</v>
      </c>
      <c r="E14957" t="str">
        <f t="shared" si="487"/>
        <v>F</v>
      </c>
      <c r="F14957" t="str">
        <f t="shared" si="488"/>
        <v>5F</v>
      </c>
    </row>
    <row r="14958" spans="1:6" x14ac:dyDescent="0.2">
      <c r="A14958">
        <v>6</v>
      </c>
      <c r="E14958" t="str">
        <f t="shared" si="487"/>
        <v>G</v>
      </c>
      <c r="F14958" t="str">
        <f t="shared" si="488"/>
        <v>6G</v>
      </c>
    </row>
    <row r="14959" spans="1:6" x14ac:dyDescent="0.2">
      <c r="A14959">
        <v>7</v>
      </c>
      <c r="E14959" t="str">
        <f t="shared" si="487"/>
        <v>H</v>
      </c>
      <c r="F14959" t="str">
        <f t="shared" si="488"/>
        <v>7H</v>
      </c>
    </row>
    <row r="14960" spans="1:6" x14ac:dyDescent="0.2">
      <c r="A14960">
        <v>8</v>
      </c>
      <c r="E14960" t="str">
        <f t="shared" si="487"/>
        <v>I</v>
      </c>
      <c r="F14960" t="str">
        <f t="shared" si="488"/>
        <v>8I</v>
      </c>
    </row>
    <row r="14961" spans="1:6" x14ac:dyDescent="0.2">
      <c r="A14961">
        <v>9</v>
      </c>
      <c r="E14961" t="str">
        <f t="shared" si="487"/>
        <v>J</v>
      </c>
      <c r="F14961" t="str">
        <f t="shared" si="488"/>
        <v>9J</v>
      </c>
    </row>
    <row r="14962" spans="1:6" x14ac:dyDescent="0.2">
      <c r="A14962">
        <v>10</v>
      </c>
      <c r="E14962" t="str">
        <f t="shared" si="487"/>
        <v>K</v>
      </c>
      <c r="F14962" t="str">
        <f t="shared" si="488"/>
        <v>10K</v>
      </c>
    </row>
    <row r="14963" spans="1:6" x14ac:dyDescent="0.2">
      <c r="A14963">
        <v>11</v>
      </c>
      <c r="E14963" t="str">
        <f t="shared" si="487"/>
        <v>L</v>
      </c>
      <c r="F14963" t="str">
        <f t="shared" si="488"/>
        <v>11L</v>
      </c>
    </row>
    <row r="14964" spans="1:6" x14ac:dyDescent="0.2">
      <c r="A14964">
        <v>12</v>
      </c>
      <c r="E14964" t="str">
        <f t="shared" si="487"/>
        <v>M</v>
      </c>
      <c r="F14964" t="str">
        <f t="shared" si="488"/>
        <v>12M</v>
      </c>
    </row>
    <row r="14965" spans="1:6" x14ac:dyDescent="0.2">
      <c r="A14965">
        <v>13</v>
      </c>
      <c r="E14965" t="str">
        <f t="shared" si="487"/>
        <v>N</v>
      </c>
      <c r="F14965" t="str">
        <f t="shared" si="488"/>
        <v>13N</v>
      </c>
    </row>
    <row r="14966" spans="1:6" x14ac:dyDescent="0.2">
      <c r="A14966">
        <v>14</v>
      </c>
      <c r="E14966" t="str">
        <f t="shared" si="487"/>
        <v>O</v>
      </c>
      <c r="F14966" t="str">
        <f t="shared" si="488"/>
        <v>14O</v>
      </c>
    </row>
    <row r="14967" spans="1:6" x14ac:dyDescent="0.2">
      <c r="A14967">
        <v>15</v>
      </c>
      <c r="E14967" t="str">
        <f t="shared" si="487"/>
        <v>P</v>
      </c>
      <c r="F14967" t="str">
        <f t="shared" si="488"/>
        <v>15P</v>
      </c>
    </row>
    <row r="14968" spans="1:6" x14ac:dyDescent="0.2">
      <c r="A14968">
        <v>16</v>
      </c>
      <c r="E14968" t="str">
        <f t="shared" si="487"/>
        <v>Q</v>
      </c>
      <c r="F14968" t="str">
        <f t="shared" si="488"/>
        <v>16Q</v>
      </c>
    </row>
    <row r="14969" spans="1:6" x14ac:dyDescent="0.2">
      <c r="A14969">
        <v>17</v>
      </c>
      <c r="E14969" t="str">
        <f t="shared" si="487"/>
        <v>R</v>
      </c>
      <c r="F14969" t="str">
        <f t="shared" si="488"/>
        <v>17R</v>
      </c>
    </row>
    <row r="14970" spans="1:6" x14ac:dyDescent="0.2">
      <c r="A14970">
        <v>18</v>
      </c>
      <c r="E14970" t="str">
        <f t="shared" si="487"/>
        <v>S</v>
      </c>
      <c r="F14970" t="str">
        <f t="shared" si="488"/>
        <v>18S</v>
      </c>
    </row>
    <row r="14971" spans="1:6" x14ac:dyDescent="0.2">
      <c r="A14971">
        <v>19</v>
      </c>
      <c r="E14971" t="str">
        <f t="shared" si="487"/>
        <v>T</v>
      </c>
      <c r="F14971" t="str">
        <f t="shared" si="488"/>
        <v>19T</v>
      </c>
    </row>
    <row r="14972" spans="1:6" x14ac:dyDescent="0.2">
      <c r="A14972">
        <v>20</v>
      </c>
      <c r="E14972" t="str">
        <f t="shared" si="487"/>
        <v>U</v>
      </c>
      <c r="F14972" t="str">
        <f t="shared" si="488"/>
        <v>20U</v>
      </c>
    </row>
    <row r="14973" spans="1:6" x14ac:dyDescent="0.2">
      <c r="A14973">
        <v>21</v>
      </c>
      <c r="E14973" t="str">
        <f t="shared" si="487"/>
        <v>V</v>
      </c>
      <c r="F14973" t="str">
        <f t="shared" si="488"/>
        <v>21V</v>
      </c>
    </row>
    <row r="14974" spans="1:6" x14ac:dyDescent="0.2">
      <c r="A14974">
        <v>22</v>
      </c>
      <c r="E14974" t="str">
        <f t="shared" si="487"/>
        <v>W</v>
      </c>
      <c r="F14974" t="str">
        <f t="shared" si="488"/>
        <v>22W</v>
      </c>
    </row>
    <row r="14975" spans="1:6" x14ac:dyDescent="0.2">
      <c r="A14975">
        <v>23</v>
      </c>
      <c r="E14975" t="str">
        <f t="shared" si="487"/>
        <v>X</v>
      </c>
      <c r="F14975" t="str">
        <f t="shared" si="488"/>
        <v>23X</v>
      </c>
    </row>
    <row r="14976" spans="1:6" x14ac:dyDescent="0.2">
      <c r="A14976">
        <v>24</v>
      </c>
      <c r="E14976" t="str">
        <f t="shared" si="487"/>
        <v>Y</v>
      </c>
      <c r="F14976" t="str">
        <f t="shared" si="488"/>
        <v>24Y</v>
      </c>
    </row>
    <row r="14977" spans="1:6" x14ac:dyDescent="0.2">
      <c r="A14977">
        <v>25</v>
      </c>
      <c r="E14977" t="str">
        <f t="shared" si="487"/>
        <v>Z</v>
      </c>
      <c r="F14977" t="str">
        <f t="shared" si="488"/>
        <v>25Z</v>
      </c>
    </row>
    <row r="14978" spans="1:6" x14ac:dyDescent="0.2">
      <c r="A14978">
        <v>0</v>
      </c>
      <c r="E14978" t="str">
        <f t="shared" si="487"/>
        <v>A</v>
      </c>
      <c r="F14978" t="str">
        <f t="shared" si="488"/>
        <v>0A</v>
      </c>
    </row>
    <row r="14979" spans="1:6" x14ac:dyDescent="0.2">
      <c r="A14979">
        <v>1</v>
      </c>
      <c r="E14979" t="str">
        <f t="shared" si="487"/>
        <v>B</v>
      </c>
      <c r="F14979" t="str">
        <f t="shared" si="488"/>
        <v>1B</v>
      </c>
    </row>
    <row r="14980" spans="1:6" x14ac:dyDescent="0.2">
      <c r="A14980">
        <v>2</v>
      </c>
      <c r="E14980" t="str">
        <f t="shared" si="487"/>
        <v>C</v>
      </c>
      <c r="F14980" t="str">
        <f t="shared" si="488"/>
        <v>2C</v>
      </c>
    </row>
    <row r="14981" spans="1:6" x14ac:dyDescent="0.2">
      <c r="A14981">
        <v>3</v>
      </c>
      <c r="E14981" t="str">
        <f t="shared" si="487"/>
        <v>D</v>
      </c>
      <c r="F14981" t="str">
        <f t="shared" si="488"/>
        <v>3D</v>
      </c>
    </row>
    <row r="14982" spans="1:6" x14ac:dyDescent="0.2">
      <c r="A14982">
        <v>4</v>
      </c>
      <c r="E14982" t="str">
        <f t="shared" si="487"/>
        <v>E</v>
      </c>
      <c r="F14982" t="str">
        <f t="shared" si="488"/>
        <v>4E</v>
      </c>
    </row>
    <row r="14983" spans="1:6" x14ac:dyDescent="0.2">
      <c r="A14983">
        <v>5</v>
      </c>
      <c r="E14983" t="str">
        <f t="shared" si="487"/>
        <v>F</v>
      </c>
      <c r="F14983" t="str">
        <f t="shared" si="488"/>
        <v>5F</v>
      </c>
    </row>
    <row r="14984" spans="1:6" x14ac:dyDescent="0.2">
      <c r="A14984">
        <v>6</v>
      </c>
      <c r="E14984" t="str">
        <f t="shared" si="487"/>
        <v>G</v>
      </c>
      <c r="F14984" t="str">
        <f t="shared" si="488"/>
        <v>6G</v>
      </c>
    </row>
    <row r="14985" spans="1:6" x14ac:dyDescent="0.2">
      <c r="A14985">
        <v>7</v>
      </c>
      <c r="E14985" t="str">
        <f t="shared" si="487"/>
        <v>H</v>
      </c>
      <c r="F14985" t="str">
        <f t="shared" si="488"/>
        <v>7H</v>
      </c>
    </row>
    <row r="14986" spans="1:6" x14ac:dyDescent="0.2">
      <c r="A14986">
        <v>8</v>
      </c>
      <c r="E14986" t="str">
        <f t="shared" si="487"/>
        <v>I</v>
      </c>
      <c r="F14986" t="str">
        <f t="shared" si="488"/>
        <v>8I</v>
      </c>
    </row>
    <row r="14987" spans="1:6" x14ac:dyDescent="0.2">
      <c r="A14987">
        <v>9</v>
      </c>
      <c r="E14987" t="str">
        <f t="shared" si="487"/>
        <v>J</v>
      </c>
      <c r="F14987" t="str">
        <f t="shared" si="488"/>
        <v>9J</v>
      </c>
    </row>
    <row r="14988" spans="1:6" x14ac:dyDescent="0.2">
      <c r="A14988">
        <v>10</v>
      </c>
      <c r="E14988" t="str">
        <f t="shared" si="487"/>
        <v>K</v>
      </c>
      <c r="F14988" t="str">
        <f t="shared" si="488"/>
        <v>10K</v>
      </c>
    </row>
    <row r="14989" spans="1:6" x14ac:dyDescent="0.2">
      <c r="A14989">
        <v>11</v>
      </c>
      <c r="E14989" t="str">
        <f t="shared" si="487"/>
        <v>L</v>
      </c>
      <c r="F14989" t="str">
        <f t="shared" si="488"/>
        <v>11L</v>
      </c>
    </row>
    <row r="14990" spans="1:6" x14ac:dyDescent="0.2">
      <c r="A14990">
        <v>12</v>
      </c>
      <c r="E14990" t="str">
        <f t="shared" si="487"/>
        <v>M</v>
      </c>
      <c r="F14990" t="str">
        <f t="shared" si="488"/>
        <v>12M</v>
      </c>
    </row>
    <row r="14991" spans="1:6" x14ac:dyDescent="0.2">
      <c r="A14991">
        <v>13</v>
      </c>
      <c r="E14991" t="str">
        <f t="shared" si="487"/>
        <v>N</v>
      </c>
      <c r="F14991" t="str">
        <f t="shared" si="488"/>
        <v>13N</v>
      </c>
    </row>
    <row r="14992" spans="1:6" x14ac:dyDescent="0.2">
      <c r="A14992">
        <v>14</v>
      </c>
      <c r="E14992" t="str">
        <f t="shared" si="487"/>
        <v>O</v>
      </c>
      <c r="F14992" t="str">
        <f t="shared" si="488"/>
        <v>14O</v>
      </c>
    </row>
    <row r="14993" spans="1:6" x14ac:dyDescent="0.2">
      <c r="A14993">
        <v>15</v>
      </c>
      <c r="E14993" t="str">
        <f t="shared" si="487"/>
        <v>P</v>
      </c>
      <c r="F14993" t="str">
        <f t="shared" si="488"/>
        <v>15P</v>
      </c>
    </row>
    <row r="14994" spans="1:6" x14ac:dyDescent="0.2">
      <c r="A14994">
        <v>16</v>
      </c>
      <c r="E14994" t="str">
        <f t="shared" si="487"/>
        <v>Q</v>
      </c>
      <c r="F14994" t="str">
        <f t="shared" si="488"/>
        <v>16Q</v>
      </c>
    </row>
    <row r="14995" spans="1:6" x14ac:dyDescent="0.2">
      <c r="A14995">
        <v>17</v>
      </c>
      <c r="E14995" t="str">
        <f t="shared" si="487"/>
        <v>R</v>
      </c>
      <c r="F14995" t="str">
        <f t="shared" si="488"/>
        <v>17R</v>
      </c>
    </row>
    <row r="14996" spans="1:6" x14ac:dyDescent="0.2">
      <c r="A14996">
        <v>18</v>
      </c>
      <c r="E14996" t="str">
        <f t="shared" si="487"/>
        <v>S</v>
      </c>
      <c r="F14996" t="str">
        <f t="shared" si="488"/>
        <v>18S</v>
      </c>
    </row>
    <row r="14997" spans="1:6" x14ac:dyDescent="0.2">
      <c r="A14997">
        <v>19</v>
      </c>
      <c r="E14997" t="str">
        <f t="shared" ref="E14997:E15060" si="489">E14971</f>
        <v>T</v>
      </c>
      <c r="F14997" t="str">
        <f t="shared" si="488"/>
        <v>19T</v>
      </c>
    </row>
    <row r="14998" spans="1:6" x14ac:dyDescent="0.2">
      <c r="A14998">
        <v>20</v>
      </c>
      <c r="E14998" t="str">
        <f t="shared" si="489"/>
        <v>U</v>
      </c>
      <c r="F14998" t="str">
        <f t="shared" si="488"/>
        <v>20U</v>
      </c>
    </row>
    <row r="14999" spans="1:6" x14ac:dyDescent="0.2">
      <c r="A14999">
        <v>21</v>
      </c>
      <c r="E14999" t="str">
        <f t="shared" si="489"/>
        <v>V</v>
      </c>
      <c r="F14999" t="str">
        <f t="shared" ref="F14999:F15062" si="490">A14999&amp;C14999&amp;E14999</f>
        <v>21V</v>
      </c>
    </row>
    <row r="15000" spans="1:6" x14ac:dyDescent="0.2">
      <c r="A15000">
        <v>22</v>
      </c>
      <c r="E15000" t="str">
        <f t="shared" si="489"/>
        <v>W</v>
      </c>
      <c r="F15000" t="str">
        <f t="shared" si="490"/>
        <v>22W</v>
      </c>
    </row>
    <row r="15001" spans="1:6" x14ac:dyDescent="0.2">
      <c r="A15001">
        <v>23</v>
      </c>
      <c r="E15001" t="str">
        <f t="shared" si="489"/>
        <v>X</v>
      </c>
      <c r="F15001" t="str">
        <f t="shared" si="490"/>
        <v>23X</v>
      </c>
    </row>
    <row r="15002" spans="1:6" x14ac:dyDescent="0.2">
      <c r="A15002">
        <v>24</v>
      </c>
      <c r="E15002" t="str">
        <f t="shared" si="489"/>
        <v>Y</v>
      </c>
      <c r="F15002" t="str">
        <f t="shared" si="490"/>
        <v>24Y</v>
      </c>
    </row>
    <row r="15003" spans="1:6" x14ac:dyDescent="0.2">
      <c r="A15003">
        <v>25</v>
      </c>
      <c r="E15003" t="str">
        <f t="shared" si="489"/>
        <v>Z</v>
      </c>
      <c r="F15003" t="str">
        <f t="shared" si="490"/>
        <v>25Z</v>
      </c>
    </row>
    <row r="15004" spans="1:6" x14ac:dyDescent="0.2">
      <c r="A15004">
        <v>0</v>
      </c>
      <c r="E15004" t="str">
        <f t="shared" si="489"/>
        <v>A</v>
      </c>
      <c r="F15004" t="str">
        <f t="shared" si="490"/>
        <v>0A</v>
      </c>
    </row>
    <row r="15005" spans="1:6" x14ac:dyDescent="0.2">
      <c r="A15005">
        <v>1</v>
      </c>
      <c r="E15005" t="str">
        <f t="shared" si="489"/>
        <v>B</v>
      </c>
      <c r="F15005" t="str">
        <f t="shared" si="490"/>
        <v>1B</v>
      </c>
    </row>
    <row r="15006" spans="1:6" x14ac:dyDescent="0.2">
      <c r="A15006">
        <v>2</v>
      </c>
      <c r="E15006" t="str">
        <f t="shared" si="489"/>
        <v>C</v>
      </c>
      <c r="F15006" t="str">
        <f t="shared" si="490"/>
        <v>2C</v>
      </c>
    </row>
    <row r="15007" spans="1:6" x14ac:dyDescent="0.2">
      <c r="A15007">
        <v>3</v>
      </c>
      <c r="E15007" t="str">
        <f t="shared" si="489"/>
        <v>D</v>
      </c>
      <c r="F15007" t="str">
        <f t="shared" si="490"/>
        <v>3D</v>
      </c>
    </row>
    <row r="15008" spans="1:6" x14ac:dyDescent="0.2">
      <c r="A15008">
        <v>4</v>
      </c>
      <c r="E15008" t="str">
        <f t="shared" si="489"/>
        <v>E</v>
      </c>
      <c r="F15008" t="str">
        <f t="shared" si="490"/>
        <v>4E</v>
      </c>
    </row>
    <row r="15009" spans="1:6" x14ac:dyDescent="0.2">
      <c r="A15009">
        <v>5</v>
      </c>
      <c r="E15009" t="str">
        <f t="shared" si="489"/>
        <v>F</v>
      </c>
      <c r="F15009" t="str">
        <f t="shared" si="490"/>
        <v>5F</v>
      </c>
    </row>
    <row r="15010" spans="1:6" x14ac:dyDescent="0.2">
      <c r="A15010">
        <v>6</v>
      </c>
      <c r="E15010" t="str">
        <f t="shared" si="489"/>
        <v>G</v>
      </c>
      <c r="F15010" t="str">
        <f t="shared" si="490"/>
        <v>6G</v>
      </c>
    </row>
    <row r="15011" spans="1:6" x14ac:dyDescent="0.2">
      <c r="A15011">
        <v>7</v>
      </c>
      <c r="E15011" t="str">
        <f t="shared" si="489"/>
        <v>H</v>
      </c>
      <c r="F15011" t="str">
        <f t="shared" si="490"/>
        <v>7H</v>
      </c>
    </row>
    <row r="15012" spans="1:6" x14ac:dyDescent="0.2">
      <c r="A15012">
        <v>8</v>
      </c>
      <c r="E15012" t="str">
        <f t="shared" si="489"/>
        <v>I</v>
      </c>
      <c r="F15012" t="str">
        <f t="shared" si="490"/>
        <v>8I</v>
      </c>
    </row>
    <row r="15013" spans="1:6" x14ac:dyDescent="0.2">
      <c r="A15013">
        <v>9</v>
      </c>
      <c r="E15013" t="str">
        <f t="shared" si="489"/>
        <v>J</v>
      </c>
      <c r="F15013" t="str">
        <f t="shared" si="490"/>
        <v>9J</v>
      </c>
    </row>
    <row r="15014" spans="1:6" x14ac:dyDescent="0.2">
      <c r="A15014">
        <v>10</v>
      </c>
      <c r="E15014" t="str">
        <f t="shared" si="489"/>
        <v>K</v>
      </c>
      <c r="F15014" t="str">
        <f t="shared" si="490"/>
        <v>10K</v>
      </c>
    </row>
    <row r="15015" spans="1:6" x14ac:dyDescent="0.2">
      <c r="A15015">
        <v>11</v>
      </c>
      <c r="E15015" t="str">
        <f t="shared" si="489"/>
        <v>L</v>
      </c>
      <c r="F15015" t="str">
        <f t="shared" si="490"/>
        <v>11L</v>
      </c>
    </row>
    <row r="15016" spans="1:6" x14ac:dyDescent="0.2">
      <c r="A15016">
        <v>12</v>
      </c>
      <c r="E15016" t="str">
        <f t="shared" si="489"/>
        <v>M</v>
      </c>
      <c r="F15016" t="str">
        <f t="shared" si="490"/>
        <v>12M</v>
      </c>
    </row>
    <row r="15017" spans="1:6" x14ac:dyDescent="0.2">
      <c r="A15017">
        <v>13</v>
      </c>
      <c r="E15017" t="str">
        <f t="shared" si="489"/>
        <v>N</v>
      </c>
      <c r="F15017" t="str">
        <f t="shared" si="490"/>
        <v>13N</v>
      </c>
    </row>
    <row r="15018" spans="1:6" x14ac:dyDescent="0.2">
      <c r="A15018">
        <v>14</v>
      </c>
      <c r="E15018" t="str">
        <f t="shared" si="489"/>
        <v>O</v>
      </c>
      <c r="F15018" t="str">
        <f t="shared" si="490"/>
        <v>14O</v>
      </c>
    </row>
    <row r="15019" spans="1:6" x14ac:dyDescent="0.2">
      <c r="A15019">
        <v>15</v>
      </c>
      <c r="E15019" t="str">
        <f t="shared" si="489"/>
        <v>P</v>
      </c>
      <c r="F15019" t="str">
        <f t="shared" si="490"/>
        <v>15P</v>
      </c>
    </row>
    <row r="15020" spans="1:6" x14ac:dyDescent="0.2">
      <c r="A15020">
        <v>16</v>
      </c>
      <c r="E15020" t="str">
        <f t="shared" si="489"/>
        <v>Q</v>
      </c>
      <c r="F15020" t="str">
        <f t="shared" si="490"/>
        <v>16Q</v>
      </c>
    </row>
    <row r="15021" spans="1:6" x14ac:dyDescent="0.2">
      <c r="A15021">
        <v>17</v>
      </c>
      <c r="E15021" t="str">
        <f t="shared" si="489"/>
        <v>R</v>
      </c>
      <c r="F15021" t="str">
        <f t="shared" si="490"/>
        <v>17R</v>
      </c>
    </row>
    <row r="15022" spans="1:6" x14ac:dyDescent="0.2">
      <c r="A15022">
        <v>18</v>
      </c>
      <c r="E15022" t="str">
        <f t="shared" si="489"/>
        <v>S</v>
      </c>
      <c r="F15022" t="str">
        <f t="shared" si="490"/>
        <v>18S</v>
      </c>
    </row>
    <row r="15023" spans="1:6" x14ac:dyDescent="0.2">
      <c r="A15023">
        <v>19</v>
      </c>
      <c r="E15023" t="str">
        <f t="shared" si="489"/>
        <v>T</v>
      </c>
      <c r="F15023" t="str">
        <f t="shared" si="490"/>
        <v>19T</v>
      </c>
    </row>
    <row r="15024" spans="1:6" x14ac:dyDescent="0.2">
      <c r="A15024">
        <v>20</v>
      </c>
      <c r="E15024" t="str">
        <f t="shared" si="489"/>
        <v>U</v>
      </c>
      <c r="F15024" t="str">
        <f t="shared" si="490"/>
        <v>20U</v>
      </c>
    </row>
    <row r="15025" spans="1:6" x14ac:dyDescent="0.2">
      <c r="A15025">
        <v>21</v>
      </c>
      <c r="E15025" t="str">
        <f t="shared" si="489"/>
        <v>V</v>
      </c>
      <c r="F15025" t="str">
        <f t="shared" si="490"/>
        <v>21V</v>
      </c>
    </row>
    <row r="15026" spans="1:6" x14ac:dyDescent="0.2">
      <c r="A15026">
        <v>22</v>
      </c>
      <c r="E15026" t="str">
        <f t="shared" si="489"/>
        <v>W</v>
      </c>
      <c r="F15026" t="str">
        <f t="shared" si="490"/>
        <v>22W</v>
      </c>
    </row>
    <row r="15027" spans="1:6" x14ac:dyDescent="0.2">
      <c r="A15027">
        <v>23</v>
      </c>
      <c r="E15027" t="str">
        <f t="shared" si="489"/>
        <v>X</v>
      </c>
      <c r="F15027" t="str">
        <f t="shared" si="490"/>
        <v>23X</v>
      </c>
    </row>
    <row r="15028" spans="1:6" x14ac:dyDescent="0.2">
      <c r="A15028">
        <v>24</v>
      </c>
      <c r="E15028" t="str">
        <f t="shared" si="489"/>
        <v>Y</v>
      </c>
      <c r="F15028" t="str">
        <f t="shared" si="490"/>
        <v>24Y</v>
      </c>
    </row>
    <row r="15029" spans="1:6" x14ac:dyDescent="0.2">
      <c r="A15029">
        <v>25</v>
      </c>
      <c r="E15029" t="str">
        <f t="shared" si="489"/>
        <v>Z</v>
      </c>
      <c r="F15029" t="str">
        <f t="shared" si="490"/>
        <v>25Z</v>
      </c>
    </row>
    <row r="15030" spans="1:6" x14ac:dyDescent="0.2">
      <c r="A15030">
        <v>0</v>
      </c>
      <c r="E15030" t="str">
        <f t="shared" si="489"/>
        <v>A</v>
      </c>
      <c r="F15030" t="str">
        <f t="shared" si="490"/>
        <v>0A</v>
      </c>
    </row>
    <row r="15031" spans="1:6" x14ac:dyDescent="0.2">
      <c r="A15031">
        <v>1</v>
      </c>
      <c r="E15031" t="str">
        <f t="shared" si="489"/>
        <v>B</v>
      </c>
      <c r="F15031" t="str">
        <f t="shared" si="490"/>
        <v>1B</v>
      </c>
    </row>
    <row r="15032" spans="1:6" x14ac:dyDescent="0.2">
      <c r="A15032">
        <v>2</v>
      </c>
      <c r="E15032" t="str">
        <f t="shared" si="489"/>
        <v>C</v>
      </c>
      <c r="F15032" t="str">
        <f t="shared" si="490"/>
        <v>2C</v>
      </c>
    </row>
    <row r="15033" spans="1:6" x14ac:dyDescent="0.2">
      <c r="A15033">
        <v>3</v>
      </c>
      <c r="E15033" t="str">
        <f t="shared" si="489"/>
        <v>D</v>
      </c>
      <c r="F15033" t="str">
        <f t="shared" si="490"/>
        <v>3D</v>
      </c>
    </row>
    <row r="15034" spans="1:6" x14ac:dyDescent="0.2">
      <c r="A15034">
        <v>4</v>
      </c>
      <c r="E15034" t="str">
        <f t="shared" si="489"/>
        <v>E</v>
      </c>
      <c r="F15034" t="str">
        <f t="shared" si="490"/>
        <v>4E</v>
      </c>
    </row>
    <row r="15035" spans="1:6" x14ac:dyDescent="0.2">
      <c r="A15035">
        <v>5</v>
      </c>
      <c r="E15035" t="str">
        <f t="shared" si="489"/>
        <v>F</v>
      </c>
      <c r="F15035" t="str">
        <f t="shared" si="490"/>
        <v>5F</v>
      </c>
    </row>
    <row r="15036" spans="1:6" x14ac:dyDescent="0.2">
      <c r="A15036">
        <v>6</v>
      </c>
      <c r="E15036" t="str">
        <f t="shared" si="489"/>
        <v>G</v>
      </c>
      <c r="F15036" t="str">
        <f t="shared" si="490"/>
        <v>6G</v>
      </c>
    </row>
    <row r="15037" spans="1:6" x14ac:dyDescent="0.2">
      <c r="A15037">
        <v>7</v>
      </c>
      <c r="E15037" t="str">
        <f t="shared" si="489"/>
        <v>H</v>
      </c>
      <c r="F15037" t="str">
        <f t="shared" si="490"/>
        <v>7H</v>
      </c>
    </row>
    <row r="15038" spans="1:6" x14ac:dyDescent="0.2">
      <c r="A15038">
        <v>8</v>
      </c>
      <c r="E15038" t="str">
        <f t="shared" si="489"/>
        <v>I</v>
      </c>
      <c r="F15038" t="str">
        <f t="shared" si="490"/>
        <v>8I</v>
      </c>
    </row>
    <row r="15039" spans="1:6" x14ac:dyDescent="0.2">
      <c r="A15039">
        <v>9</v>
      </c>
      <c r="E15039" t="str">
        <f t="shared" si="489"/>
        <v>J</v>
      </c>
      <c r="F15039" t="str">
        <f t="shared" si="490"/>
        <v>9J</v>
      </c>
    </row>
    <row r="15040" spans="1:6" x14ac:dyDescent="0.2">
      <c r="A15040">
        <v>10</v>
      </c>
      <c r="E15040" t="str">
        <f t="shared" si="489"/>
        <v>K</v>
      </c>
      <c r="F15040" t="str">
        <f t="shared" si="490"/>
        <v>10K</v>
      </c>
    </row>
    <row r="15041" spans="1:6" x14ac:dyDescent="0.2">
      <c r="A15041">
        <v>11</v>
      </c>
      <c r="E15041" t="str">
        <f t="shared" si="489"/>
        <v>L</v>
      </c>
      <c r="F15041" t="str">
        <f t="shared" si="490"/>
        <v>11L</v>
      </c>
    </row>
    <row r="15042" spans="1:6" x14ac:dyDescent="0.2">
      <c r="A15042">
        <v>12</v>
      </c>
      <c r="E15042" t="str">
        <f t="shared" si="489"/>
        <v>M</v>
      </c>
      <c r="F15042" t="str">
        <f t="shared" si="490"/>
        <v>12M</v>
      </c>
    </row>
    <row r="15043" spans="1:6" x14ac:dyDescent="0.2">
      <c r="A15043">
        <v>13</v>
      </c>
      <c r="E15043" t="str">
        <f t="shared" si="489"/>
        <v>N</v>
      </c>
      <c r="F15043" t="str">
        <f t="shared" si="490"/>
        <v>13N</v>
      </c>
    </row>
    <row r="15044" spans="1:6" x14ac:dyDescent="0.2">
      <c r="A15044">
        <v>14</v>
      </c>
      <c r="E15044" t="str">
        <f t="shared" si="489"/>
        <v>O</v>
      </c>
      <c r="F15044" t="str">
        <f t="shared" si="490"/>
        <v>14O</v>
      </c>
    </row>
    <row r="15045" spans="1:6" x14ac:dyDescent="0.2">
      <c r="A15045">
        <v>15</v>
      </c>
      <c r="E15045" t="str">
        <f t="shared" si="489"/>
        <v>P</v>
      </c>
      <c r="F15045" t="str">
        <f t="shared" si="490"/>
        <v>15P</v>
      </c>
    </row>
    <row r="15046" spans="1:6" x14ac:dyDescent="0.2">
      <c r="A15046">
        <v>16</v>
      </c>
      <c r="E15046" t="str">
        <f t="shared" si="489"/>
        <v>Q</v>
      </c>
      <c r="F15046" t="str">
        <f t="shared" si="490"/>
        <v>16Q</v>
      </c>
    </row>
    <row r="15047" spans="1:6" x14ac:dyDescent="0.2">
      <c r="A15047">
        <v>17</v>
      </c>
      <c r="E15047" t="str">
        <f t="shared" si="489"/>
        <v>R</v>
      </c>
      <c r="F15047" t="str">
        <f t="shared" si="490"/>
        <v>17R</v>
      </c>
    </row>
    <row r="15048" spans="1:6" x14ac:dyDescent="0.2">
      <c r="A15048">
        <v>18</v>
      </c>
      <c r="E15048" t="str">
        <f t="shared" si="489"/>
        <v>S</v>
      </c>
      <c r="F15048" t="str">
        <f t="shared" si="490"/>
        <v>18S</v>
      </c>
    </row>
    <row r="15049" spans="1:6" x14ac:dyDescent="0.2">
      <c r="A15049">
        <v>19</v>
      </c>
      <c r="E15049" t="str">
        <f t="shared" si="489"/>
        <v>T</v>
      </c>
      <c r="F15049" t="str">
        <f t="shared" si="490"/>
        <v>19T</v>
      </c>
    </row>
    <row r="15050" spans="1:6" x14ac:dyDescent="0.2">
      <c r="A15050">
        <v>20</v>
      </c>
      <c r="E15050" t="str">
        <f t="shared" si="489"/>
        <v>U</v>
      </c>
      <c r="F15050" t="str">
        <f t="shared" si="490"/>
        <v>20U</v>
      </c>
    </row>
    <row r="15051" spans="1:6" x14ac:dyDescent="0.2">
      <c r="A15051">
        <v>21</v>
      </c>
      <c r="E15051" t="str">
        <f t="shared" si="489"/>
        <v>V</v>
      </c>
      <c r="F15051" t="str">
        <f t="shared" si="490"/>
        <v>21V</v>
      </c>
    </row>
    <row r="15052" spans="1:6" x14ac:dyDescent="0.2">
      <c r="A15052">
        <v>22</v>
      </c>
      <c r="E15052" t="str">
        <f t="shared" si="489"/>
        <v>W</v>
      </c>
      <c r="F15052" t="str">
        <f t="shared" si="490"/>
        <v>22W</v>
      </c>
    </row>
    <row r="15053" spans="1:6" x14ac:dyDescent="0.2">
      <c r="A15053">
        <v>23</v>
      </c>
      <c r="E15053" t="str">
        <f t="shared" si="489"/>
        <v>X</v>
      </c>
      <c r="F15053" t="str">
        <f t="shared" si="490"/>
        <v>23X</v>
      </c>
    </row>
    <row r="15054" spans="1:6" x14ac:dyDescent="0.2">
      <c r="A15054">
        <v>24</v>
      </c>
      <c r="E15054" t="str">
        <f t="shared" si="489"/>
        <v>Y</v>
      </c>
      <c r="F15054" t="str">
        <f t="shared" si="490"/>
        <v>24Y</v>
      </c>
    </row>
    <row r="15055" spans="1:6" x14ac:dyDescent="0.2">
      <c r="A15055">
        <v>25</v>
      </c>
      <c r="E15055" t="str">
        <f t="shared" si="489"/>
        <v>Z</v>
      </c>
      <c r="F15055" t="str">
        <f t="shared" si="490"/>
        <v>25Z</v>
      </c>
    </row>
    <row r="15056" spans="1:6" x14ac:dyDescent="0.2">
      <c r="A15056">
        <v>0</v>
      </c>
      <c r="E15056" t="str">
        <f t="shared" si="489"/>
        <v>A</v>
      </c>
      <c r="F15056" t="str">
        <f t="shared" si="490"/>
        <v>0A</v>
      </c>
    </row>
    <row r="15057" spans="1:6" x14ac:dyDescent="0.2">
      <c r="A15057">
        <v>1</v>
      </c>
      <c r="E15057" t="str">
        <f t="shared" si="489"/>
        <v>B</v>
      </c>
      <c r="F15057" t="str">
        <f t="shared" si="490"/>
        <v>1B</v>
      </c>
    </row>
    <row r="15058" spans="1:6" x14ac:dyDescent="0.2">
      <c r="A15058">
        <v>2</v>
      </c>
      <c r="E15058" t="str">
        <f t="shared" si="489"/>
        <v>C</v>
      </c>
      <c r="F15058" t="str">
        <f t="shared" si="490"/>
        <v>2C</v>
      </c>
    </row>
    <row r="15059" spans="1:6" x14ac:dyDescent="0.2">
      <c r="A15059">
        <v>3</v>
      </c>
      <c r="E15059" t="str">
        <f t="shared" si="489"/>
        <v>D</v>
      </c>
      <c r="F15059" t="str">
        <f t="shared" si="490"/>
        <v>3D</v>
      </c>
    </row>
    <row r="15060" spans="1:6" x14ac:dyDescent="0.2">
      <c r="A15060">
        <v>4</v>
      </c>
      <c r="E15060" t="str">
        <f t="shared" si="489"/>
        <v>E</v>
      </c>
      <c r="F15060" t="str">
        <f t="shared" si="490"/>
        <v>4E</v>
      </c>
    </row>
    <row r="15061" spans="1:6" x14ac:dyDescent="0.2">
      <c r="A15061">
        <v>5</v>
      </c>
      <c r="E15061" t="str">
        <f t="shared" ref="E15061:E15124" si="491">E15035</f>
        <v>F</v>
      </c>
      <c r="F15061" t="str">
        <f t="shared" si="490"/>
        <v>5F</v>
      </c>
    </row>
    <row r="15062" spans="1:6" x14ac:dyDescent="0.2">
      <c r="A15062">
        <v>6</v>
      </c>
      <c r="E15062" t="str">
        <f t="shared" si="491"/>
        <v>G</v>
      </c>
      <c r="F15062" t="str">
        <f t="shared" si="490"/>
        <v>6G</v>
      </c>
    </row>
    <row r="15063" spans="1:6" x14ac:dyDescent="0.2">
      <c r="A15063">
        <v>7</v>
      </c>
      <c r="E15063" t="str">
        <f t="shared" si="491"/>
        <v>H</v>
      </c>
      <c r="F15063" t="str">
        <f t="shared" ref="F15063:F15126" si="492">A15063&amp;C15063&amp;E15063</f>
        <v>7H</v>
      </c>
    </row>
    <row r="15064" spans="1:6" x14ac:dyDescent="0.2">
      <c r="A15064">
        <v>8</v>
      </c>
      <c r="E15064" t="str">
        <f t="shared" si="491"/>
        <v>I</v>
      </c>
      <c r="F15064" t="str">
        <f t="shared" si="492"/>
        <v>8I</v>
      </c>
    </row>
    <row r="15065" spans="1:6" x14ac:dyDescent="0.2">
      <c r="A15065">
        <v>9</v>
      </c>
      <c r="E15065" t="str">
        <f t="shared" si="491"/>
        <v>J</v>
      </c>
      <c r="F15065" t="str">
        <f t="shared" si="492"/>
        <v>9J</v>
      </c>
    </row>
    <row r="15066" spans="1:6" x14ac:dyDescent="0.2">
      <c r="A15066">
        <v>10</v>
      </c>
      <c r="E15066" t="str">
        <f t="shared" si="491"/>
        <v>K</v>
      </c>
      <c r="F15066" t="str">
        <f t="shared" si="492"/>
        <v>10K</v>
      </c>
    </row>
    <row r="15067" spans="1:6" x14ac:dyDescent="0.2">
      <c r="A15067">
        <v>11</v>
      </c>
      <c r="E15067" t="str">
        <f t="shared" si="491"/>
        <v>L</v>
      </c>
      <c r="F15067" t="str">
        <f t="shared" si="492"/>
        <v>11L</v>
      </c>
    </row>
    <row r="15068" spans="1:6" x14ac:dyDescent="0.2">
      <c r="A15068">
        <v>12</v>
      </c>
      <c r="E15068" t="str">
        <f t="shared" si="491"/>
        <v>M</v>
      </c>
      <c r="F15068" t="str">
        <f t="shared" si="492"/>
        <v>12M</v>
      </c>
    </row>
    <row r="15069" spans="1:6" x14ac:dyDescent="0.2">
      <c r="A15069">
        <v>13</v>
      </c>
      <c r="E15069" t="str">
        <f t="shared" si="491"/>
        <v>N</v>
      </c>
      <c r="F15069" t="str">
        <f t="shared" si="492"/>
        <v>13N</v>
      </c>
    </row>
    <row r="15070" spans="1:6" x14ac:dyDescent="0.2">
      <c r="A15070">
        <v>14</v>
      </c>
      <c r="E15070" t="str">
        <f t="shared" si="491"/>
        <v>O</v>
      </c>
      <c r="F15070" t="str">
        <f t="shared" si="492"/>
        <v>14O</v>
      </c>
    </row>
    <row r="15071" spans="1:6" x14ac:dyDescent="0.2">
      <c r="A15071">
        <v>15</v>
      </c>
      <c r="E15071" t="str">
        <f t="shared" si="491"/>
        <v>P</v>
      </c>
      <c r="F15071" t="str">
        <f t="shared" si="492"/>
        <v>15P</v>
      </c>
    </row>
    <row r="15072" spans="1:6" x14ac:dyDescent="0.2">
      <c r="A15072">
        <v>16</v>
      </c>
      <c r="E15072" t="str">
        <f t="shared" si="491"/>
        <v>Q</v>
      </c>
      <c r="F15072" t="str">
        <f t="shared" si="492"/>
        <v>16Q</v>
      </c>
    </row>
    <row r="15073" spans="1:6" x14ac:dyDescent="0.2">
      <c r="A15073">
        <v>17</v>
      </c>
      <c r="E15073" t="str">
        <f t="shared" si="491"/>
        <v>R</v>
      </c>
      <c r="F15073" t="str">
        <f t="shared" si="492"/>
        <v>17R</v>
      </c>
    </row>
    <row r="15074" spans="1:6" x14ac:dyDescent="0.2">
      <c r="A15074">
        <v>18</v>
      </c>
      <c r="E15074" t="str">
        <f t="shared" si="491"/>
        <v>S</v>
      </c>
      <c r="F15074" t="str">
        <f t="shared" si="492"/>
        <v>18S</v>
      </c>
    </row>
    <row r="15075" spans="1:6" x14ac:dyDescent="0.2">
      <c r="A15075">
        <v>19</v>
      </c>
      <c r="E15075" t="str">
        <f t="shared" si="491"/>
        <v>T</v>
      </c>
      <c r="F15075" t="str">
        <f t="shared" si="492"/>
        <v>19T</v>
      </c>
    </row>
    <row r="15076" spans="1:6" x14ac:dyDescent="0.2">
      <c r="A15076">
        <v>20</v>
      </c>
      <c r="E15076" t="str">
        <f t="shared" si="491"/>
        <v>U</v>
      </c>
      <c r="F15076" t="str">
        <f t="shared" si="492"/>
        <v>20U</v>
      </c>
    </row>
    <row r="15077" spans="1:6" x14ac:dyDescent="0.2">
      <c r="A15077">
        <v>21</v>
      </c>
      <c r="E15077" t="str">
        <f t="shared" si="491"/>
        <v>V</v>
      </c>
      <c r="F15077" t="str">
        <f t="shared" si="492"/>
        <v>21V</v>
      </c>
    </row>
    <row r="15078" spans="1:6" x14ac:dyDescent="0.2">
      <c r="A15078">
        <v>22</v>
      </c>
      <c r="E15078" t="str">
        <f t="shared" si="491"/>
        <v>W</v>
      </c>
      <c r="F15078" t="str">
        <f t="shared" si="492"/>
        <v>22W</v>
      </c>
    </row>
    <row r="15079" spans="1:6" x14ac:dyDescent="0.2">
      <c r="A15079">
        <v>23</v>
      </c>
      <c r="E15079" t="str">
        <f t="shared" si="491"/>
        <v>X</v>
      </c>
      <c r="F15079" t="str">
        <f t="shared" si="492"/>
        <v>23X</v>
      </c>
    </row>
    <row r="15080" spans="1:6" x14ac:dyDescent="0.2">
      <c r="A15080">
        <v>24</v>
      </c>
      <c r="E15080" t="str">
        <f t="shared" si="491"/>
        <v>Y</v>
      </c>
      <c r="F15080" t="str">
        <f t="shared" si="492"/>
        <v>24Y</v>
      </c>
    </row>
    <row r="15081" spans="1:6" x14ac:dyDescent="0.2">
      <c r="A15081">
        <v>25</v>
      </c>
      <c r="E15081" t="str">
        <f t="shared" si="491"/>
        <v>Z</v>
      </c>
      <c r="F15081" t="str">
        <f t="shared" si="492"/>
        <v>25Z</v>
      </c>
    </row>
    <row r="15082" spans="1:6" x14ac:dyDescent="0.2">
      <c r="A15082">
        <v>0</v>
      </c>
      <c r="E15082" t="str">
        <f t="shared" si="491"/>
        <v>A</v>
      </c>
      <c r="F15082" t="str">
        <f t="shared" si="492"/>
        <v>0A</v>
      </c>
    </row>
    <row r="15083" spans="1:6" x14ac:dyDescent="0.2">
      <c r="A15083">
        <v>1</v>
      </c>
      <c r="E15083" t="str">
        <f t="shared" si="491"/>
        <v>B</v>
      </c>
      <c r="F15083" t="str">
        <f t="shared" si="492"/>
        <v>1B</v>
      </c>
    </row>
    <row r="15084" spans="1:6" x14ac:dyDescent="0.2">
      <c r="A15084">
        <v>2</v>
      </c>
      <c r="E15084" t="str">
        <f t="shared" si="491"/>
        <v>C</v>
      </c>
      <c r="F15084" t="str">
        <f t="shared" si="492"/>
        <v>2C</v>
      </c>
    </row>
    <row r="15085" spans="1:6" x14ac:dyDescent="0.2">
      <c r="A15085">
        <v>3</v>
      </c>
      <c r="E15085" t="str">
        <f t="shared" si="491"/>
        <v>D</v>
      </c>
      <c r="F15085" t="str">
        <f t="shared" si="492"/>
        <v>3D</v>
      </c>
    </row>
    <row r="15086" spans="1:6" x14ac:dyDescent="0.2">
      <c r="A15086">
        <v>4</v>
      </c>
      <c r="E15086" t="str">
        <f t="shared" si="491"/>
        <v>E</v>
      </c>
      <c r="F15086" t="str">
        <f t="shared" si="492"/>
        <v>4E</v>
      </c>
    </row>
    <row r="15087" spans="1:6" x14ac:dyDescent="0.2">
      <c r="A15087">
        <v>5</v>
      </c>
      <c r="E15087" t="str">
        <f t="shared" si="491"/>
        <v>F</v>
      </c>
      <c r="F15087" t="str">
        <f t="shared" si="492"/>
        <v>5F</v>
      </c>
    </row>
    <row r="15088" spans="1:6" x14ac:dyDescent="0.2">
      <c r="A15088">
        <v>6</v>
      </c>
      <c r="E15088" t="str">
        <f t="shared" si="491"/>
        <v>G</v>
      </c>
      <c r="F15088" t="str">
        <f t="shared" si="492"/>
        <v>6G</v>
      </c>
    </row>
    <row r="15089" spans="1:6" x14ac:dyDescent="0.2">
      <c r="A15089">
        <v>7</v>
      </c>
      <c r="E15089" t="str">
        <f t="shared" si="491"/>
        <v>H</v>
      </c>
      <c r="F15089" t="str">
        <f t="shared" si="492"/>
        <v>7H</v>
      </c>
    </row>
    <row r="15090" spans="1:6" x14ac:dyDescent="0.2">
      <c r="A15090">
        <v>8</v>
      </c>
      <c r="E15090" t="str">
        <f t="shared" si="491"/>
        <v>I</v>
      </c>
      <c r="F15090" t="str">
        <f t="shared" si="492"/>
        <v>8I</v>
      </c>
    </row>
    <row r="15091" spans="1:6" x14ac:dyDescent="0.2">
      <c r="A15091">
        <v>9</v>
      </c>
      <c r="E15091" t="str">
        <f t="shared" si="491"/>
        <v>J</v>
      </c>
      <c r="F15091" t="str">
        <f t="shared" si="492"/>
        <v>9J</v>
      </c>
    </row>
    <row r="15092" spans="1:6" x14ac:dyDescent="0.2">
      <c r="A15092">
        <v>10</v>
      </c>
      <c r="E15092" t="str">
        <f t="shared" si="491"/>
        <v>K</v>
      </c>
      <c r="F15092" t="str">
        <f t="shared" si="492"/>
        <v>10K</v>
      </c>
    </row>
    <row r="15093" spans="1:6" x14ac:dyDescent="0.2">
      <c r="A15093">
        <v>11</v>
      </c>
      <c r="E15093" t="str">
        <f t="shared" si="491"/>
        <v>L</v>
      </c>
      <c r="F15093" t="str">
        <f t="shared" si="492"/>
        <v>11L</v>
      </c>
    </row>
    <row r="15094" spans="1:6" x14ac:dyDescent="0.2">
      <c r="A15094">
        <v>12</v>
      </c>
      <c r="E15094" t="str">
        <f t="shared" si="491"/>
        <v>M</v>
      </c>
      <c r="F15094" t="str">
        <f t="shared" si="492"/>
        <v>12M</v>
      </c>
    </row>
    <row r="15095" spans="1:6" x14ac:dyDescent="0.2">
      <c r="A15095">
        <v>13</v>
      </c>
      <c r="E15095" t="str">
        <f t="shared" si="491"/>
        <v>N</v>
      </c>
      <c r="F15095" t="str">
        <f t="shared" si="492"/>
        <v>13N</v>
      </c>
    </row>
    <row r="15096" spans="1:6" x14ac:dyDescent="0.2">
      <c r="A15096">
        <v>14</v>
      </c>
      <c r="E15096" t="str">
        <f t="shared" si="491"/>
        <v>O</v>
      </c>
      <c r="F15096" t="str">
        <f t="shared" si="492"/>
        <v>14O</v>
      </c>
    </row>
    <row r="15097" spans="1:6" x14ac:dyDescent="0.2">
      <c r="A15097">
        <v>15</v>
      </c>
      <c r="E15097" t="str">
        <f t="shared" si="491"/>
        <v>P</v>
      </c>
      <c r="F15097" t="str">
        <f t="shared" si="492"/>
        <v>15P</v>
      </c>
    </row>
    <row r="15098" spans="1:6" x14ac:dyDescent="0.2">
      <c r="A15098">
        <v>16</v>
      </c>
      <c r="E15098" t="str">
        <f t="shared" si="491"/>
        <v>Q</v>
      </c>
      <c r="F15098" t="str">
        <f t="shared" si="492"/>
        <v>16Q</v>
      </c>
    </row>
    <row r="15099" spans="1:6" x14ac:dyDescent="0.2">
      <c r="A15099">
        <v>17</v>
      </c>
      <c r="E15099" t="str">
        <f t="shared" si="491"/>
        <v>R</v>
      </c>
      <c r="F15099" t="str">
        <f t="shared" si="492"/>
        <v>17R</v>
      </c>
    </row>
    <row r="15100" spans="1:6" x14ac:dyDescent="0.2">
      <c r="A15100">
        <v>18</v>
      </c>
      <c r="E15100" t="str">
        <f t="shared" si="491"/>
        <v>S</v>
      </c>
      <c r="F15100" t="str">
        <f t="shared" si="492"/>
        <v>18S</v>
      </c>
    </row>
    <row r="15101" spans="1:6" x14ac:dyDescent="0.2">
      <c r="A15101">
        <v>19</v>
      </c>
      <c r="E15101" t="str">
        <f t="shared" si="491"/>
        <v>T</v>
      </c>
      <c r="F15101" t="str">
        <f t="shared" si="492"/>
        <v>19T</v>
      </c>
    </row>
    <row r="15102" spans="1:6" x14ac:dyDescent="0.2">
      <c r="A15102">
        <v>20</v>
      </c>
      <c r="E15102" t="str">
        <f t="shared" si="491"/>
        <v>U</v>
      </c>
      <c r="F15102" t="str">
        <f t="shared" si="492"/>
        <v>20U</v>
      </c>
    </row>
    <row r="15103" spans="1:6" x14ac:dyDescent="0.2">
      <c r="A15103">
        <v>21</v>
      </c>
      <c r="E15103" t="str">
        <f t="shared" si="491"/>
        <v>V</v>
      </c>
      <c r="F15103" t="str">
        <f t="shared" si="492"/>
        <v>21V</v>
      </c>
    </row>
    <row r="15104" spans="1:6" x14ac:dyDescent="0.2">
      <c r="A15104">
        <v>22</v>
      </c>
      <c r="E15104" t="str">
        <f t="shared" si="491"/>
        <v>W</v>
      </c>
      <c r="F15104" t="str">
        <f t="shared" si="492"/>
        <v>22W</v>
      </c>
    </row>
    <row r="15105" spans="1:6" x14ac:dyDescent="0.2">
      <c r="A15105">
        <v>23</v>
      </c>
      <c r="E15105" t="str">
        <f t="shared" si="491"/>
        <v>X</v>
      </c>
      <c r="F15105" t="str">
        <f t="shared" si="492"/>
        <v>23X</v>
      </c>
    </row>
    <row r="15106" spans="1:6" x14ac:dyDescent="0.2">
      <c r="A15106">
        <v>24</v>
      </c>
      <c r="E15106" t="str">
        <f t="shared" si="491"/>
        <v>Y</v>
      </c>
      <c r="F15106" t="str">
        <f t="shared" si="492"/>
        <v>24Y</v>
      </c>
    </row>
    <row r="15107" spans="1:6" x14ac:dyDescent="0.2">
      <c r="A15107">
        <v>25</v>
      </c>
      <c r="E15107" t="str">
        <f t="shared" si="491"/>
        <v>Z</v>
      </c>
      <c r="F15107" t="str">
        <f t="shared" si="492"/>
        <v>25Z</v>
      </c>
    </row>
    <row r="15108" spans="1:6" x14ac:dyDescent="0.2">
      <c r="A15108">
        <v>0</v>
      </c>
      <c r="E15108" t="str">
        <f t="shared" si="491"/>
        <v>A</v>
      </c>
      <c r="F15108" t="str">
        <f t="shared" si="492"/>
        <v>0A</v>
      </c>
    </row>
    <row r="15109" spans="1:6" x14ac:dyDescent="0.2">
      <c r="A15109">
        <v>1</v>
      </c>
      <c r="E15109" t="str">
        <f t="shared" si="491"/>
        <v>B</v>
      </c>
      <c r="F15109" t="str">
        <f t="shared" si="492"/>
        <v>1B</v>
      </c>
    </row>
    <row r="15110" spans="1:6" x14ac:dyDescent="0.2">
      <c r="A15110">
        <v>2</v>
      </c>
      <c r="E15110" t="str">
        <f t="shared" si="491"/>
        <v>C</v>
      </c>
      <c r="F15110" t="str">
        <f t="shared" si="492"/>
        <v>2C</v>
      </c>
    </row>
    <row r="15111" spans="1:6" x14ac:dyDescent="0.2">
      <c r="A15111">
        <v>3</v>
      </c>
      <c r="E15111" t="str">
        <f t="shared" si="491"/>
        <v>D</v>
      </c>
      <c r="F15111" t="str">
        <f t="shared" si="492"/>
        <v>3D</v>
      </c>
    </row>
    <row r="15112" spans="1:6" x14ac:dyDescent="0.2">
      <c r="A15112">
        <v>4</v>
      </c>
      <c r="E15112" t="str">
        <f t="shared" si="491"/>
        <v>E</v>
      </c>
      <c r="F15112" t="str">
        <f t="shared" si="492"/>
        <v>4E</v>
      </c>
    </row>
    <row r="15113" spans="1:6" x14ac:dyDescent="0.2">
      <c r="A15113">
        <v>5</v>
      </c>
      <c r="E15113" t="str">
        <f t="shared" si="491"/>
        <v>F</v>
      </c>
      <c r="F15113" t="str">
        <f t="shared" si="492"/>
        <v>5F</v>
      </c>
    </row>
    <row r="15114" spans="1:6" x14ac:dyDescent="0.2">
      <c r="A15114">
        <v>6</v>
      </c>
      <c r="E15114" t="str">
        <f t="shared" si="491"/>
        <v>G</v>
      </c>
      <c r="F15114" t="str">
        <f t="shared" si="492"/>
        <v>6G</v>
      </c>
    </row>
    <row r="15115" spans="1:6" x14ac:dyDescent="0.2">
      <c r="A15115">
        <v>7</v>
      </c>
      <c r="E15115" t="str">
        <f t="shared" si="491"/>
        <v>H</v>
      </c>
      <c r="F15115" t="str">
        <f t="shared" si="492"/>
        <v>7H</v>
      </c>
    </row>
    <row r="15116" spans="1:6" x14ac:dyDescent="0.2">
      <c r="A15116">
        <v>8</v>
      </c>
      <c r="E15116" t="str">
        <f t="shared" si="491"/>
        <v>I</v>
      </c>
      <c r="F15116" t="str">
        <f t="shared" si="492"/>
        <v>8I</v>
      </c>
    </row>
    <row r="15117" spans="1:6" x14ac:dyDescent="0.2">
      <c r="A15117">
        <v>9</v>
      </c>
      <c r="E15117" t="str">
        <f t="shared" si="491"/>
        <v>J</v>
      </c>
      <c r="F15117" t="str">
        <f t="shared" si="492"/>
        <v>9J</v>
      </c>
    </row>
    <row r="15118" spans="1:6" x14ac:dyDescent="0.2">
      <c r="A15118">
        <v>10</v>
      </c>
      <c r="E15118" t="str">
        <f t="shared" si="491"/>
        <v>K</v>
      </c>
      <c r="F15118" t="str">
        <f t="shared" si="492"/>
        <v>10K</v>
      </c>
    </row>
    <row r="15119" spans="1:6" x14ac:dyDescent="0.2">
      <c r="A15119">
        <v>11</v>
      </c>
      <c r="E15119" t="str">
        <f t="shared" si="491"/>
        <v>L</v>
      </c>
      <c r="F15119" t="str">
        <f t="shared" si="492"/>
        <v>11L</v>
      </c>
    </row>
    <row r="15120" spans="1:6" x14ac:dyDescent="0.2">
      <c r="A15120">
        <v>12</v>
      </c>
      <c r="E15120" t="str">
        <f t="shared" si="491"/>
        <v>M</v>
      </c>
      <c r="F15120" t="str">
        <f t="shared" si="492"/>
        <v>12M</v>
      </c>
    </row>
    <row r="15121" spans="1:6" x14ac:dyDescent="0.2">
      <c r="A15121">
        <v>13</v>
      </c>
      <c r="E15121" t="str">
        <f t="shared" si="491"/>
        <v>N</v>
      </c>
      <c r="F15121" t="str">
        <f t="shared" si="492"/>
        <v>13N</v>
      </c>
    </row>
    <row r="15122" spans="1:6" x14ac:dyDescent="0.2">
      <c r="A15122">
        <v>14</v>
      </c>
      <c r="E15122" t="str">
        <f t="shared" si="491"/>
        <v>O</v>
      </c>
      <c r="F15122" t="str">
        <f t="shared" si="492"/>
        <v>14O</v>
      </c>
    </row>
    <row r="15123" spans="1:6" x14ac:dyDescent="0.2">
      <c r="A15123">
        <v>15</v>
      </c>
      <c r="E15123" t="str">
        <f t="shared" si="491"/>
        <v>P</v>
      </c>
      <c r="F15123" t="str">
        <f t="shared" si="492"/>
        <v>15P</v>
      </c>
    </row>
    <row r="15124" spans="1:6" x14ac:dyDescent="0.2">
      <c r="A15124">
        <v>16</v>
      </c>
      <c r="E15124" t="str">
        <f t="shared" si="491"/>
        <v>Q</v>
      </c>
      <c r="F15124" t="str">
        <f t="shared" si="492"/>
        <v>16Q</v>
      </c>
    </row>
    <row r="15125" spans="1:6" x14ac:dyDescent="0.2">
      <c r="A15125">
        <v>17</v>
      </c>
      <c r="E15125" t="str">
        <f t="shared" ref="E15125:E15188" si="493">E15099</f>
        <v>R</v>
      </c>
      <c r="F15125" t="str">
        <f t="shared" si="492"/>
        <v>17R</v>
      </c>
    </row>
    <row r="15126" spans="1:6" x14ac:dyDescent="0.2">
      <c r="A15126">
        <v>18</v>
      </c>
      <c r="E15126" t="str">
        <f t="shared" si="493"/>
        <v>S</v>
      </c>
      <c r="F15126" t="str">
        <f t="shared" si="492"/>
        <v>18S</v>
      </c>
    </row>
    <row r="15127" spans="1:6" x14ac:dyDescent="0.2">
      <c r="A15127">
        <v>19</v>
      </c>
      <c r="E15127" t="str">
        <f t="shared" si="493"/>
        <v>T</v>
      </c>
      <c r="F15127" t="str">
        <f t="shared" ref="F15127:F15190" si="494">A15127&amp;C15127&amp;E15127</f>
        <v>19T</v>
      </c>
    </row>
    <row r="15128" spans="1:6" x14ac:dyDescent="0.2">
      <c r="A15128">
        <v>20</v>
      </c>
      <c r="E15128" t="str">
        <f t="shared" si="493"/>
        <v>U</v>
      </c>
      <c r="F15128" t="str">
        <f t="shared" si="494"/>
        <v>20U</v>
      </c>
    </row>
    <row r="15129" spans="1:6" x14ac:dyDescent="0.2">
      <c r="A15129">
        <v>21</v>
      </c>
      <c r="E15129" t="str">
        <f t="shared" si="493"/>
        <v>V</v>
      </c>
      <c r="F15129" t="str">
        <f t="shared" si="494"/>
        <v>21V</v>
      </c>
    </row>
    <row r="15130" spans="1:6" x14ac:dyDescent="0.2">
      <c r="A15130">
        <v>22</v>
      </c>
      <c r="E15130" t="str">
        <f t="shared" si="493"/>
        <v>W</v>
      </c>
      <c r="F15130" t="str">
        <f t="shared" si="494"/>
        <v>22W</v>
      </c>
    </row>
    <row r="15131" spans="1:6" x14ac:dyDescent="0.2">
      <c r="A15131">
        <v>23</v>
      </c>
      <c r="E15131" t="str">
        <f t="shared" si="493"/>
        <v>X</v>
      </c>
      <c r="F15131" t="str">
        <f t="shared" si="494"/>
        <v>23X</v>
      </c>
    </row>
    <row r="15132" spans="1:6" x14ac:dyDescent="0.2">
      <c r="A15132">
        <v>24</v>
      </c>
      <c r="E15132" t="str">
        <f t="shared" si="493"/>
        <v>Y</v>
      </c>
      <c r="F15132" t="str">
        <f t="shared" si="494"/>
        <v>24Y</v>
      </c>
    </row>
    <row r="15133" spans="1:6" x14ac:dyDescent="0.2">
      <c r="A15133">
        <v>25</v>
      </c>
      <c r="E15133" t="str">
        <f t="shared" si="493"/>
        <v>Z</v>
      </c>
      <c r="F15133" t="str">
        <f t="shared" si="494"/>
        <v>25Z</v>
      </c>
    </row>
    <row r="15134" spans="1:6" x14ac:dyDescent="0.2">
      <c r="A15134">
        <v>0</v>
      </c>
      <c r="E15134" t="str">
        <f t="shared" si="493"/>
        <v>A</v>
      </c>
      <c r="F15134" t="str">
        <f t="shared" si="494"/>
        <v>0A</v>
      </c>
    </row>
    <row r="15135" spans="1:6" x14ac:dyDescent="0.2">
      <c r="A15135">
        <v>1</v>
      </c>
      <c r="E15135" t="str">
        <f t="shared" si="493"/>
        <v>B</v>
      </c>
      <c r="F15135" t="str">
        <f t="shared" si="494"/>
        <v>1B</v>
      </c>
    </row>
    <row r="15136" spans="1:6" x14ac:dyDescent="0.2">
      <c r="A15136">
        <v>2</v>
      </c>
      <c r="E15136" t="str">
        <f t="shared" si="493"/>
        <v>C</v>
      </c>
      <c r="F15136" t="str">
        <f t="shared" si="494"/>
        <v>2C</v>
      </c>
    </row>
    <row r="15137" spans="1:6" x14ac:dyDescent="0.2">
      <c r="A15137">
        <v>3</v>
      </c>
      <c r="E15137" t="str">
        <f t="shared" si="493"/>
        <v>D</v>
      </c>
      <c r="F15137" t="str">
        <f t="shared" si="494"/>
        <v>3D</v>
      </c>
    </row>
    <row r="15138" spans="1:6" x14ac:dyDescent="0.2">
      <c r="A15138">
        <v>4</v>
      </c>
      <c r="E15138" t="str">
        <f t="shared" si="493"/>
        <v>E</v>
      </c>
      <c r="F15138" t="str">
        <f t="shared" si="494"/>
        <v>4E</v>
      </c>
    </row>
    <row r="15139" spans="1:6" x14ac:dyDescent="0.2">
      <c r="A15139">
        <v>5</v>
      </c>
      <c r="E15139" t="str">
        <f t="shared" si="493"/>
        <v>F</v>
      </c>
      <c r="F15139" t="str">
        <f t="shared" si="494"/>
        <v>5F</v>
      </c>
    </row>
    <row r="15140" spans="1:6" x14ac:dyDescent="0.2">
      <c r="A15140">
        <v>6</v>
      </c>
      <c r="E15140" t="str">
        <f t="shared" si="493"/>
        <v>G</v>
      </c>
      <c r="F15140" t="str">
        <f t="shared" si="494"/>
        <v>6G</v>
      </c>
    </row>
    <row r="15141" spans="1:6" x14ac:dyDescent="0.2">
      <c r="A15141">
        <v>7</v>
      </c>
      <c r="E15141" t="str">
        <f t="shared" si="493"/>
        <v>H</v>
      </c>
      <c r="F15141" t="str">
        <f t="shared" si="494"/>
        <v>7H</v>
      </c>
    </row>
    <row r="15142" spans="1:6" x14ac:dyDescent="0.2">
      <c r="A15142">
        <v>8</v>
      </c>
      <c r="E15142" t="str">
        <f t="shared" si="493"/>
        <v>I</v>
      </c>
      <c r="F15142" t="str">
        <f t="shared" si="494"/>
        <v>8I</v>
      </c>
    </row>
    <row r="15143" spans="1:6" x14ac:dyDescent="0.2">
      <c r="A15143">
        <v>9</v>
      </c>
      <c r="E15143" t="str">
        <f t="shared" si="493"/>
        <v>J</v>
      </c>
      <c r="F15143" t="str">
        <f t="shared" si="494"/>
        <v>9J</v>
      </c>
    </row>
    <row r="15144" spans="1:6" x14ac:dyDescent="0.2">
      <c r="A15144">
        <v>10</v>
      </c>
      <c r="E15144" t="str">
        <f t="shared" si="493"/>
        <v>K</v>
      </c>
      <c r="F15144" t="str">
        <f t="shared" si="494"/>
        <v>10K</v>
      </c>
    </row>
    <row r="15145" spans="1:6" x14ac:dyDescent="0.2">
      <c r="A15145">
        <v>11</v>
      </c>
      <c r="E15145" t="str">
        <f t="shared" si="493"/>
        <v>L</v>
      </c>
      <c r="F15145" t="str">
        <f t="shared" si="494"/>
        <v>11L</v>
      </c>
    </row>
    <row r="15146" spans="1:6" x14ac:dyDescent="0.2">
      <c r="A15146">
        <v>12</v>
      </c>
      <c r="E15146" t="str">
        <f t="shared" si="493"/>
        <v>M</v>
      </c>
      <c r="F15146" t="str">
        <f t="shared" si="494"/>
        <v>12M</v>
      </c>
    </row>
    <row r="15147" spans="1:6" x14ac:dyDescent="0.2">
      <c r="A15147">
        <v>13</v>
      </c>
      <c r="E15147" t="str">
        <f t="shared" si="493"/>
        <v>N</v>
      </c>
      <c r="F15147" t="str">
        <f t="shared" si="494"/>
        <v>13N</v>
      </c>
    </row>
    <row r="15148" spans="1:6" x14ac:dyDescent="0.2">
      <c r="A15148">
        <v>14</v>
      </c>
      <c r="E15148" t="str">
        <f t="shared" si="493"/>
        <v>O</v>
      </c>
      <c r="F15148" t="str">
        <f t="shared" si="494"/>
        <v>14O</v>
      </c>
    </row>
    <row r="15149" spans="1:6" x14ac:dyDescent="0.2">
      <c r="A15149">
        <v>15</v>
      </c>
      <c r="E15149" t="str">
        <f t="shared" si="493"/>
        <v>P</v>
      </c>
      <c r="F15149" t="str">
        <f t="shared" si="494"/>
        <v>15P</v>
      </c>
    </row>
    <row r="15150" spans="1:6" x14ac:dyDescent="0.2">
      <c r="A15150">
        <v>16</v>
      </c>
      <c r="E15150" t="str">
        <f t="shared" si="493"/>
        <v>Q</v>
      </c>
      <c r="F15150" t="str">
        <f t="shared" si="494"/>
        <v>16Q</v>
      </c>
    </row>
    <row r="15151" spans="1:6" x14ac:dyDescent="0.2">
      <c r="A15151">
        <v>17</v>
      </c>
      <c r="E15151" t="str">
        <f t="shared" si="493"/>
        <v>R</v>
      </c>
      <c r="F15151" t="str">
        <f t="shared" si="494"/>
        <v>17R</v>
      </c>
    </row>
    <row r="15152" spans="1:6" x14ac:dyDescent="0.2">
      <c r="A15152">
        <v>18</v>
      </c>
      <c r="E15152" t="str">
        <f t="shared" si="493"/>
        <v>S</v>
      </c>
      <c r="F15152" t="str">
        <f t="shared" si="494"/>
        <v>18S</v>
      </c>
    </row>
    <row r="15153" spans="1:6" x14ac:dyDescent="0.2">
      <c r="A15153">
        <v>19</v>
      </c>
      <c r="E15153" t="str">
        <f t="shared" si="493"/>
        <v>T</v>
      </c>
      <c r="F15153" t="str">
        <f t="shared" si="494"/>
        <v>19T</v>
      </c>
    </row>
    <row r="15154" spans="1:6" x14ac:dyDescent="0.2">
      <c r="A15154">
        <v>20</v>
      </c>
      <c r="E15154" t="str">
        <f t="shared" si="493"/>
        <v>U</v>
      </c>
      <c r="F15154" t="str">
        <f t="shared" si="494"/>
        <v>20U</v>
      </c>
    </row>
    <row r="15155" spans="1:6" x14ac:dyDescent="0.2">
      <c r="A15155">
        <v>21</v>
      </c>
      <c r="E15155" t="str">
        <f t="shared" si="493"/>
        <v>V</v>
      </c>
      <c r="F15155" t="str">
        <f t="shared" si="494"/>
        <v>21V</v>
      </c>
    </row>
    <row r="15156" spans="1:6" x14ac:dyDescent="0.2">
      <c r="A15156">
        <v>22</v>
      </c>
      <c r="E15156" t="str">
        <f t="shared" si="493"/>
        <v>W</v>
      </c>
      <c r="F15156" t="str">
        <f t="shared" si="494"/>
        <v>22W</v>
      </c>
    </row>
    <row r="15157" spans="1:6" x14ac:dyDescent="0.2">
      <c r="A15157">
        <v>23</v>
      </c>
      <c r="E15157" t="str">
        <f t="shared" si="493"/>
        <v>X</v>
      </c>
      <c r="F15157" t="str">
        <f t="shared" si="494"/>
        <v>23X</v>
      </c>
    </row>
    <row r="15158" spans="1:6" x14ac:dyDescent="0.2">
      <c r="A15158">
        <v>24</v>
      </c>
      <c r="E15158" t="str">
        <f t="shared" si="493"/>
        <v>Y</v>
      </c>
      <c r="F15158" t="str">
        <f t="shared" si="494"/>
        <v>24Y</v>
      </c>
    </row>
    <row r="15159" spans="1:6" x14ac:dyDescent="0.2">
      <c r="A15159">
        <v>25</v>
      </c>
      <c r="E15159" t="str">
        <f t="shared" si="493"/>
        <v>Z</v>
      </c>
      <c r="F15159" t="str">
        <f t="shared" si="494"/>
        <v>25Z</v>
      </c>
    </row>
    <row r="15160" spans="1:6" x14ac:dyDescent="0.2">
      <c r="A15160">
        <v>0</v>
      </c>
      <c r="E15160" t="str">
        <f t="shared" si="493"/>
        <v>A</v>
      </c>
      <c r="F15160" t="str">
        <f t="shared" si="494"/>
        <v>0A</v>
      </c>
    </row>
    <row r="15161" spans="1:6" x14ac:dyDescent="0.2">
      <c r="A15161">
        <v>1</v>
      </c>
      <c r="E15161" t="str">
        <f t="shared" si="493"/>
        <v>B</v>
      </c>
      <c r="F15161" t="str">
        <f t="shared" si="494"/>
        <v>1B</v>
      </c>
    </row>
    <row r="15162" spans="1:6" x14ac:dyDescent="0.2">
      <c r="A15162">
        <v>2</v>
      </c>
      <c r="E15162" t="str">
        <f t="shared" si="493"/>
        <v>C</v>
      </c>
      <c r="F15162" t="str">
        <f t="shared" si="494"/>
        <v>2C</v>
      </c>
    </row>
    <row r="15163" spans="1:6" x14ac:dyDescent="0.2">
      <c r="A15163">
        <v>3</v>
      </c>
      <c r="E15163" t="str">
        <f t="shared" si="493"/>
        <v>D</v>
      </c>
      <c r="F15163" t="str">
        <f t="shared" si="494"/>
        <v>3D</v>
      </c>
    </row>
    <row r="15164" spans="1:6" x14ac:dyDescent="0.2">
      <c r="A15164">
        <v>4</v>
      </c>
      <c r="E15164" t="str">
        <f t="shared" si="493"/>
        <v>E</v>
      </c>
      <c r="F15164" t="str">
        <f t="shared" si="494"/>
        <v>4E</v>
      </c>
    </row>
    <row r="15165" spans="1:6" x14ac:dyDescent="0.2">
      <c r="A15165">
        <v>5</v>
      </c>
      <c r="E15165" t="str">
        <f t="shared" si="493"/>
        <v>F</v>
      </c>
      <c r="F15165" t="str">
        <f t="shared" si="494"/>
        <v>5F</v>
      </c>
    </row>
    <row r="15166" spans="1:6" x14ac:dyDescent="0.2">
      <c r="A15166">
        <v>6</v>
      </c>
      <c r="E15166" t="str">
        <f t="shared" si="493"/>
        <v>G</v>
      </c>
      <c r="F15166" t="str">
        <f t="shared" si="494"/>
        <v>6G</v>
      </c>
    </row>
    <row r="15167" spans="1:6" x14ac:dyDescent="0.2">
      <c r="A15167">
        <v>7</v>
      </c>
      <c r="E15167" t="str">
        <f t="shared" si="493"/>
        <v>H</v>
      </c>
      <c r="F15167" t="str">
        <f t="shared" si="494"/>
        <v>7H</v>
      </c>
    </row>
    <row r="15168" spans="1:6" x14ac:dyDescent="0.2">
      <c r="A15168">
        <v>8</v>
      </c>
      <c r="E15168" t="str">
        <f t="shared" si="493"/>
        <v>I</v>
      </c>
      <c r="F15168" t="str">
        <f t="shared" si="494"/>
        <v>8I</v>
      </c>
    </row>
    <row r="15169" spans="1:6" x14ac:dyDescent="0.2">
      <c r="A15169">
        <v>9</v>
      </c>
      <c r="E15169" t="str">
        <f t="shared" si="493"/>
        <v>J</v>
      </c>
      <c r="F15169" t="str">
        <f t="shared" si="494"/>
        <v>9J</v>
      </c>
    </row>
    <row r="15170" spans="1:6" x14ac:dyDescent="0.2">
      <c r="A15170">
        <v>10</v>
      </c>
      <c r="E15170" t="str">
        <f t="shared" si="493"/>
        <v>K</v>
      </c>
      <c r="F15170" t="str">
        <f t="shared" si="494"/>
        <v>10K</v>
      </c>
    </row>
    <row r="15171" spans="1:6" x14ac:dyDescent="0.2">
      <c r="A15171">
        <v>11</v>
      </c>
      <c r="E15171" t="str">
        <f t="shared" si="493"/>
        <v>L</v>
      </c>
      <c r="F15171" t="str">
        <f t="shared" si="494"/>
        <v>11L</v>
      </c>
    </row>
    <row r="15172" spans="1:6" x14ac:dyDescent="0.2">
      <c r="A15172">
        <v>12</v>
      </c>
      <c r="E15172" t="str">
        <f t="shared" si="493"/>
        <v>M</v>
      </c>
      <c r="F15172" t="str">
        <f t="shared" si="494"/>
        <v>12M</v>
      </c>
    </row>
    <row r="15173" spans="1:6" x14ac:dyDescent="0.2">
      <c r="A15173">
        <v>13</v>
      </c>
      <c r="E15173" t="str">
        <f t="shared" si="493"/>
        <v>N</v>
      </c>
      <c r="F15173" t="str">
        <f t="shared" si="494"/>
        <v>13N</v>
      </c>
    </row>
    <row r="15174" spans="1:6" x14ac:dyDescent="0.2">
      <c r="A15174">
        <v>14</v>
      </c>
      <c r="E15174" t="str">
        <f t="shared" si="493"/>
        <v>O</v>
      </c>
      <c r="F15174" t="str">
        <f t="shared" si="494"/>
        <v>14O</v>
      </c>
    </row>
    <row r="15175" spans="1:6" x14ac:dyDescent="0.2">
      <c r="A15175">
        <v>15</v>
      </c>
      <c r="E15175" t="str">
        <f t="shared" si="493"/>
        <v>P</v>
      </c>
      <c r="F15175" t="str">
        <f t="shared" si="494"/>
        <v>15P</v>
      </c>
    </row>
    <row r="15176" spans="1:6" x14ac:dyDescent="0.2">
      <c r="A15176">
        <v>16</v>
      </c>
      <c r="E15176" t="str">
        <f t="shared" si="493"/>
        <v>Q</v>
      </c>
      <c r="F15176" t="str">
        <f t="shared" si="494"/>
        <v>16Q</v>
      </c>
    </row>
    <row r="15177" spans="1:6" x14ac:dyDescent="0.2">
      <c r="A15177">
        <v>17</v>
      </c>
      <c r="E15177" t="str">
        <f t="shared" si="493"/>
        <v>R</v>
      </c>
      <c r="F15177" t="str">
        <f t="shared" si="494"/>
        <v>17R</v>
      </c>
    </row>
    <row r="15178" spans="1:6" x14ac:dyDescent="0.2">
      <c r="A15178">
        <v>18</v>
      </c>
      <c r="E15178" t="str">
        <f t="shared" si="493"/>
        <v>S</v>
      </c>
      <c r="F15178" t="str">
        <f t="shared" si="494"/>
        <v>18S</v>
      </c>
    </row>
    <row r="15179" spans="1:6" x14ac:dyDescent="0.2">
      <c r="A15179">
        <v>19</v>
      </c>
      <c r="E15179" t="str">
        <f t="shared" si="493"/>
        <v>T</v>
      </c>
      <c r="F15179" t="str">
        <f t="shared" si="494"/>
        <v>19T</v>
      </c>
    </row>
    <row r="15180" spans="1:6" x14ac:dyDescent="0.2">
      <c r="A15180">
        <v>20</v>
      </c>
      <c r="E15180" t="str">
        <f t="shared" si="493"/>
        <v>U</v>
      </c>
      <c r="F15180" t="str">
        <f t="shared" si="494"/>
        <v>20U</v>
      </c>
    </row>
    <row r="15181" spans="1:6" x14ac:dyDescent="0.2">
      <c r="A15181">
        <v>21</v>
      </c>
      <c r="E15181" t="str">
        <f t="shared" si="493"/>
        <v>V</v>
      </c>
      <c r="F15181" t="str">
        <f t="shared" si="494"/>
        <v>21V</v>
      </c>
    </row>
    <row r="15182" spans="1:6" x14ac:dyDescent="0.2">
      <c r="A15182">
        <v>22</v>
      </c>
      <c r="E15182" t="str">
        <f t="shared" si="493"/>
        <v>W</v>
      </c>
      <c r="F15182" t="str">
        <f t="shared" si="494"/>
        <v>22W</v>
      </c>
    </row>
    <row r="15183" spans="1:6" x14ac:dyDescent="0.2">
      <c r="A15183">
        <v>23</v>
      </c>
      <c r="E15183" t="str">
        <f t="shared" si="493"/>
        <v>X</v>
      </c>
      <c r="F15183" t="str">
        <f t="shared" si="494"/>
        <v>23X</v>
      </c>
    </row>
    <row r="15184" spans="1:6" x14ac:dyDescent="0.2">
      <c r="A15184">
        <v>24</v>
      </c>
      <c r="E15184" t="str">
        <f t="shared" si="493"/>
        <v>Y</v>
      </c>
      <c r="F15184" t="str">
        <f t="shared" si="494"/>
        <v>24Y</v>
      </c>
    </row>
    <row r="15185" spans="1:6" x14ac:dyDescent="0.2">
      <c r="A15185">
        <v>25</v>
      </c>
      <c r="E15185" t="str">
        <f t="shared" si="493"/>
        <v>Z</v>
      </c>
      <c r="F15185" t="str">
        <f t="shared" si="494"/>
        <v>25Z</v>
      </c>
    </row>
    <row r="15186" spans="1:6" x14ac:dyDescent="0.2">
      <c r="A15186">
        <v>0</v>
      </c>
      <c r="E15186" t="str">
        <f t="shared" si="493"/>
        <v>A</v>
      </c>
      <c r="F15186" t="str">
        <f t="shared" si="494"/>
        <v>0A</v>
      </c>
    </row>
    <row r="15187" spans="1:6" x14ac:dyDescent="0.2">
      <c r="A15187">
        <v>1</v>
      </c>
      <c r="E15187" t="str">
        <f t="shared" si="493"/>
        <v>B</v>
      </c>
      <c r="F15187" t="str">
        <f t="shared" si="494"/>
        <v>1B</v>
      </c>
    </row>
    <row r="15188" spans="1:6" x14ac:dyDescent="0.2">
      <c r="A15188">
        <v>2</v>
      </c>
      <c r="E15188" t="str">
        <f t="shared" si="493"/>
        <v>C</v>
      </c>
      <c r="F15188" t="str">
        <f t="shared" si="494"/>
        <v>2C</v>
      </c>
    </row>
    <row r="15189" spans="1:6" x14ac:dyDescent="0.2">
      <c r="A15189">
        <v>3</v>
      </c>
      <c r="E15189" t="str">
        <f t="shared" ref="E15189:E15252" si="495">E15163</f>
        <v>D</v>
      </c>
      <c r="F15189" t="str">
        <f t="shared" si="494"/>
        <v>3D</v>
      </c>
    </row>
    <row r="15190" spans="1:6" x14ac:dyDescent="0.2">
      <c r="A15190">
        <v>4</v>
      </c>
      <c r="E15190" t="str">
        <f t="shared" si="495"/>
        <v>E</v>
      </c>
      <c r="F15190" t="str">
        <f t="shared" si="494"/>
        <v>4E</v>
      </c>
    </row>
    <row r="15191" spans="1:6" x14ac:dyDescent="0.2">
      <c r="A15191">
        <v>5</v>
      </c>
      <c r="E15191" t="str">
        <f t="shared" si="495"/>
        <v>F</v>
      </c>
      <c r="F15191" t="str">
        <f t="shared" ref="F15191:F15254" si="496">A15191&amp;C15191&amp;E15191</f>
        <v>5F</v>
      </c>
    </row>
    <row r="15192" spans="1:6" x14ac:dyDescent="0.2">
      <c r="A15192">
        <v>6</v>
      </c>
      <c r="E15192" t="str">
        <f t="shared" si="495"/>
        <v>G</v>
      </c>
      <c r="F15192" t="str">
        <f t="shared" si="496"/>
        <v>6G</v>
      </c>
    </row>
    <row r="15193" spans="1:6" x14ac:dyDescent="0.2">
      <c r="A15193">
        <v>7</v>
      </c>
      <c r="E15193" t="str">
        <f t="shared" si="495"/>
        <v>H</v>
      </c>
      <c r="F15193" t="str">
        <f t="shared" si="496"/>
        <v>7H</v>
      </c>
    </row>
    <row r="15194" spans="1:6" x14ac:dyDescent="0.2">
      <c r="A15194">
        <v>8</v>
      </c>
      <c r="E15194" t="str">
        <f t="shared" si="495"/>
        <v>I</v>
      </c>
      <c r="F15194" t="str">
        <f t="shared" si="496"/>
        <v>8I</v>
      </c>
    </row>
    <row r="15195" spans="1:6" x14ac:dyDescent="0.2">
      <c r="A15195">
        <v>9</v>
      </c>
      <c r="E15195" t="str">
        <f t="shared" si="495"/>
        <v>J</v>
      </c>
      <c r="F15195" t="str">
        <f t="shared" si="496"/>
        <v>9J</v>
      </c>
    </row>
    <row r="15196" spans="1:6" x14ac:dyDescent="0.2">
      <c r="A15196">
        <v>10</v>
      </c>
      <c r="E15196" t="str">
        <f t="shared" si="495"/>
        <v>K</v>
      </c>
      <c r="F15196" t="str">
        <f t="shared" si="496"/>
        <v>10K</v>
      </c>
    </row>
    <row r="15197" spans="1:6" x14ac:dyDescent="0.2">
      <c r="A15197">
        <v>11</v>
      </c>
      <c r="E15197" t="str">
        <f t="shared" si="495"/>
        <v>L</v>
      </c>
      <c r="F15197" t="str">
        <f t="shared" si="496"/>
        <v>11L</v>
      </c>
    </row>
    <row r="15198" spans="1:6" x14ac:dyDescent="0.2">
      <c r="A15198">
        <v>12</v>
      </c>
      <c r="E15198" t="str">
        <f t="shared" si="495"/>
        <v>M</v>
      </c>
      <c r="F15198" t="str">
        <f t="shared" si="496"/>
        <v>12M</v>
      </c>
    </row>
    <row r="15199" spans="1:6" x14ac:dyDescent="0.2">
      <c r="A15199">
        <v>13</v>
      </c>
      <c r="E15199" t="str">
        <f t="shared" si="495"/>
        <v>N</v>
      </c>
      <c r="F15199" t="str">
        <f t="shared" si="496"/>
        <v>13N</v>
      </c>
    </row>
    <row r="15200" spans="1:6" x14ac:dyDescent="0.2">
      <c r="A15200">
        <v>14</v>
      </c>
      <c r="E15200" t="str">
        <f t="shared" si="495"/>
        <v>O</v>
      </c>
      <c r="F15200" t="str">
        <f t="shared" si="496"/>
        <v>14O</v>
      </c>
    </row>
    <row r="15201" spans="1:6" x14ac:dyDescent="0.2">
      <c r="A15201">
        <v>15</v>
      </c>
      <c r="E15201" t="str">
        <f t="shared" si="495"/>
        <v>P</v>
      </c>
      <c r="F15201" t="str">
        <f t="shared" si="496"/>
        <v>15P</v>
      </c>
    </row>
    <row r="15202" spans="1:6" x14ac:dyDescent="0.2">
      <c r="A15202">
        <v>16</v>
      </c>
      <c r="E15202" t="str">
        <f t="shared" si="495"/>
        <v>Q</v>
      </c>
      <c r="F15202" t="str">
        <f t="shared" si="496"/>
        <v>16Q</v>
      </c>
    </row>
    <row r="15203" spans="1:6" x14ac:dyDescent="0.2">
      <c r="A15203">
        <v>17</v>
      </c>
      <c r="E15203" t="str">
        <f t="shared" si="495"/>
        <v>R</v>
      </c>
      <c r="F15203" t="str">
        <f t="shared" si="496"/>
        <v>17R</v>
      </c>
    </row>
    <row r="15204" spans="1:6" x14ac:dyDescent="0.2">
      <c r="A15204">
        <v>18</v>
      </c>
      <c r="E15204" t="str">
        <f t="shared" si="495"/>
        <v>S</v>
      </c>
      <c r="F15204" t="str">
        <f t="shared" si="496"/>
        <v>18S</v>
      </c>
    </row>
    <row r="15205" spans="1:6" x14ac:dyDescent="0.2">
      <c r="A15205">
        <v>19</v>
      </c>
      <c r="E15205" t="str">
        <f t="shared" si="495"/>
        <v>T</v>
      </c>
      <c r="F15205" t="str">
        <f t="shared" si="496"/>
        <v>19T</v>
      </c>
    </row>
    <row r="15206" spans="1:6" x14ac:dyDescent="0.2">
      <c r="A15206">
        <v>20</v>
      </c>
      <c r="E15206" t="str">
        <f t="shared" si="495"/>
        <v>U</v>
      </c>
      <c r="F15206" t="str">
        <f t="shared" si="496"/>
        <v>20U</v>
      </c>
    </row>
    <row r="15207" spans="1:6" x14ac:dyDescent="0.2">
      <c r="A15207">
        <v>21</v>
      </c>
      <c r="E15207" t="str">
        <f t="shared" si="495"/>
        <v>V</v>
      </c>
      <c r="F15207" t="str">
        <f t="shared" si="496"/>
        <v>21V</v>
      </c>
    </row>
    <row r="15208" spans="1:6" x14ac:dyDescent="0.2">
      <c r="A15208">
        <v>22</v>
      </c>
      <c r="E15208" t="str">
        <f t="shared" si="495"/>
        <v>W</v>
      </c>
      <c r="F15208" t="str">
        <f t="shared" si="496"/>
        <v>22W</v>
      </c>
    </row>
    <row r="15209" spans="1:6" x14ac:dyDescent="0.2">
      <c r="A15209">
        <v>23</v>
      </c>
      <c r="E15209" t="str">
        <f t="shared" si="495"/>
        <v>X</v>
      </c>
      <c r="F15209" t="str">
        <f t="shared" si="496"/>
        <v>23X</v>
      </c>
    </row>
    <row r="15210" spans="1:6" x14ac:dyDescent="0.2">
      <c r="A15210">
        <v>24</v>
      </c>
      <c r="E15210" t="str">
        <f t="shared" si="495"/>
        <v>Y</v>
      </c>
      <c r="F15210" t="str">
        <f t="shared" si="496"/>
        <v>24Y</v>
      </c>
    </row>
    <row r="15211" spans="1:6" x14ac:dyDescent="0.2">
      <c r="A15211">
        <v>25</v>
      </c>
      <c r="E15211" t="str">
        <f t="shared" si="495"/>
        <v>Z</v>
      </c>
      <c r="F15211" t="str">
        <f t="shared" si="496"/>
        <v>25Z</v>
      </c>
    </row>
    <row r="15212" spans="1:6" x14ac:dyDescent="0.2">
      <c r="A15212">
        <v>0</v>
      </c>
      <c r="E15212" t="str">
        <f t="shared" si="495"/>
        <v>A</v>
      </c>
      <c r="F15212" t="str">
        <f t="shared" si="496"/>
        <v>0A</v>
      </c>
    </row>
    <row r="15213" spans="1:6" x14ac:dyDescent="0.2">
      <c r="A15213">
        <v>1</v>
      </c>
      <c r="E15213" t="str">
        <f t="shared" si="495"/>
        <v>B</v>
      </c>
      <c r="F15213" t="str">
        <f t="shared" si="496"/>
        <v>1B</v>
      </c>
    </row>
    <row r="15214" spans="1:6" x14ac:dyDescent="0.2">
      <c r="A15214">
        <v>2</v>
      </c>
      <c r="E15214" t="str">
        <f t="shared" si="495"/>
        <v>C</v>
      </c>
      <c r="F15214" t="str">
        <f t="shared" si="496"/>
        <v>2C</v>
      </c>
    </row>
    <row r="15215" spans="1:6" x14ac:dyDescent="0.2">
      <c r="A15215">
        <v>3</v>
      </c>
      <c r="E15215" t="str">
        <f t="shared" si="495"/>
        <v>D</v>
      </c>
      <c r="F15215" t="str">
        <f t="shared" si="496"/>
        <v>3D</v>
      </c>
    </row>
    <row r="15216" spans="1:6" x14ac:dyDescent="0.2">
      <c r="A15216">
        <v>4</v>
      </c>
      <c r="E15216" t="str">
        <f t="shared" si="495"/>
        <v>E</v>
      </c>
      <c r="F15216" t="str">
        <f t="shared" si="496"/>
        <v>4E</v>
      </c>
    </row>
    <row r="15217" spans="1:6" x14ac:dyDescent="0.2">
      <c r="A15217">
        <v>5</v>
      </c>
      <c r="E15217" t="str">
        <f t="shared" si="495"/>
        <v>F</v>
      </c>
      <c r="F15217" t="str">
        <f t="shared" si="496"/>
        <v>5F</v>
      </c>
    </row>
    <row r="15218" spans="1:6" x14ac:dyDescent="0.2">
      <c r="A15218">
        <v>6</v>
      </c>
      <c r="E15218" t="str">
        <f t="shared" si="495"/>
        <v>G</v>
      </c>
      <c r="F15218" t="str">
        <f t="shared" si="496"/>
        <v>6G</v>
      </c>
    </row>
    <row r="15219" spans="1:6" x14ac:dyDescent="0.2">
      <c r="A15219">
        <v>7</v>
      </c>
      <c r="E15219" t="str">
        <f t="shared" si="495"/>
        <v>H</v>
      </c>
      <c r="F15219" t="str">
        <f t="shared" si="496"/>
        <v>7H</v>
      </c>
    </row>
    <row r="15220" spans="1:6" x14ac:dyDescent="0.2">
      <c r="A15220">
        <v>8</v>
      </c>
      <c r="E15220" t="str">
        <f t="shared" si="495"/>
        <v>I</v>
      </c>
      <c r="F15220" t="str">
        <f t="shared" si="496"/>
        <v>8I</v>
      </c>
    </row>
    <row r="15221" spans="1:6" x14ac:dyDescent="0.2">
      <c r="A15221">
        <v>9</v>
      </c>
      <c r="E15221" t="str">
        <f t="shared" si="495"/>
        <v>J</v>
      </c>
      <c r="F15221" t="str">
        <f t="shared" si="496"/>
        <v>9J</v>
      </c>
    </row>
    <row r="15222" spans="1:6" x14ac:dyDescent="0.2">
      <c r="A15222">
        <v>10</v>
      </c>
      <c r="E15222" t="str">
        <f t="shared" si="495"/>
        <v>K</v>
      </c>
      <c r="F15222" t="str">
        <f t="shared" si="496"/>
        <v>10K</v>
      </c>
    </row>
    <row r="15223" spans="1:6" x14ac:dyDescent="0.2">
      <c r="A15223">
        <v>11</v>
      </c>
      <c r="E15223" t="str">
        <f t="shared" si="495"/>
        <v>L</v>
      </c>
      <c r="F15223" t="str">
        <f t="shared" si="496"/>
        <v>11L</v>
      </c>
    </row>
    <row r="15224" spans="1:6" x14ac:dyDescent="0.2">
      <c r="A15224">
        <v>12</v>
      </c>
      <c r="E15224" t="str">
        <f t="shared" si="495"/>
        <v>M</v>
      </c>
      <c r="F15224" t="str">
        <f t="shared" si="496"/>
        <v>12M</v>
      </c>
    </row>
    <row r="15225" spans="1:6" x14ac:dyDescent="0.2">
      <c r="A15225">
        <v>13</v>
      </c>
      <c r="E15225" t="str">
        <f t="shared" si="495"/>
        <v>N</v>
      </c>
      <c r="F15225" t="str">
        <f t="shared" si="496"/>
        <v>13N</v>
      </c>
    </row>
    <row r="15226" spans="1:6" x14ac:dyDescent="0.2">
      <c r="A15226">
        <v>14</v>
      </c>
      <c r="E15226" t="str">
        <f t="shared" si="495"/>
        <v>O</v>
      </c>
      <c r="F15226" t="str">
        <f t="shared" si="496"/>
        <v>14O</v>
      </c>
    </row>
    <row r="15227" spans="1:6" x14ac:dyDescent="0.2">
      <c r="A15227">
        <v>15</v>
      </c>
      <c r="E15227" t="str">
        <f t="shared" si="495"/>
        <v>P</v>
      </c>
      <c r="F15227" t="str">
        <f t="shared" si="496"/>
        <v>15P</v>
      </c>
    </row>
    <row r="15228" spans="1:6" x14ac:dyDescent="0.2">
      <c r="A15228">
        <v>16</v>
      </c>
      <c r="E15228" t="str">
        <f t="shared" si="495"/>
        <v>Q</v>
      </c>
      <c r="F15228" t="str">
        <f t="shared" si="496"/>
        <v>16Q</v>
      </c>
    </row>
    <row r="15229" spans="1:6" x14ac:dyDescent="0.2">
      <c r="A15229">
        <v>17</v>
      </c>
      <c r="E15229" t="str">
        <f t="shared" si="495"/>
        <v>R</v>
      </c>
      <c r="F15229" t="str">
        <f t="shared" si="496"/>
        <v>17R</v>
      </c>
    </row>
    <row r="15230" spans="1:6" x14ac:dyDescent="0.2">
      <c r="A15230">
        <v>18</v>
      </c>
      <c r="E15230" t="str">
        <f t="shared" si="495"/>
        <v>S</v>
      </c>
      <c r="F15230" t="str">
        <f t="shared" si="496"/>
        <v>18S</v>
      </c>
    </row>
    <row r="15231" spans="1:6" x14ac:dyDescent="0.2">
      <c r="A15231">
        <v>19</v>
      </c>
      <c r="E15231" t="str">
        <f t="shared" si="495"/>
        <v>T</v>
      </c>
      <c r="F15231" t="str">
        <f t="shared" si="496"/>
        <v>19T</v>
      </c>
    </row>
    <row r="15232" spans="1:6" x14ac:dyDescent="0.2">
      <c r="A15232">
        <v>20</v>
      </c>
      <c r="E15232" t="str">
        <f t="shared" si="495"/>
        <v>U</v>
      </c>
      <c r="F15232" t="str">
        <f t="shared" si="496"/>
        <v>20U</v>
      </c>
    </row>
    <row r="15233" spans="1:6" x14ac:dyDescent="0.2">
      <c r="A15233">
        <v>21</v>
      </c>
      <c r="E15233" t="str">
        <f t="shared" si="495"/>
        <v>V</v>
      </c>
      <c r="F15233" t="str">
        <f t="shared" si="496"/>
        <v>21V</v>
      </c>
    </row>
    <row r="15234" spans="1:6" x14ac:dyDescent="0.2">
      <c r="A15234">
        <v>22</v>
      </c>
      <c r="E15234" t="str">
        <f t="shared" si="495"/>
        <v>W</v>
      </c>
      <c r="F15234" t="str">
        <f t="shared" si="496"/>
        <v>22W</v>
      </c>
    </row>
    <row r="15235" spans="1:6" x14ac:dyDescent="0.2">
      <c r="A15235">
        <v>23</v>
      </c>
      <c r="E15235" t="str">
        <f t="shared" si="495"/>
        <v>X</v>
      </c>
      <c r="F15235" t="str">
        <f t="shared" si="496"/>
        <v>23X</v>
      </c>
    </row>
    <row r="15236" spans="1:6" x14ac:dyDescent="0.2">
      <c r="A15236">
        <v>24</v>
      </c>
      <c r="E15236" t="str">
        <f t="shared" si="495"/>
        <v>Y</v>
      </c>
      <c r="F15236" t="str">
        <f t="shared" si="496"/>
        <v>24Y</v>
      </c>
    </row>
    <row r="15237" spans="1:6" x14ac:dyDescent="0.2">
      <c r="A15237">
        <v>25</v>
      </c>
      <c r="E15237" t="str">
        <f t="shared" si="495"/>
        <v>Z</v>
      </c>
      <c r="F15237" t="str">
        <f t="shared" si="496"/>
        <v>25Z</v>
      </c>
    </row>
    <row r="15238" spans="1:6" x14ac:dyDescent="0.2">
      <c r="A15238">
        <v>0</v>
      </c>
      <c r="E15238" t="str">
        <f t="shared" si="495"/>
        <v>A</v>
      </c>
      <c r="F15238" t="str">
        <f t="shared" si="496"/>
        <v>0A</v>
      </c>
    </row>
    <row r="15239" spans="1:6" x14ac:dyDescent="0.2">
      <c r="A15239">
        <v>1</v>
      </c>
      <c r="E15239" t="str">
        <f t="shared" si="495"/>
        <v>B</v>
      </c>
      <c r="F15239" t="str">
        <f t="shared" si="496"/>
        <v>1B</v>
      </c>
    </row>
    <row r="15240" spans="1:6" x14ac:dyDescent="0.2">
      <c r="A15240">
        <v>2</v>
      </c>
      <c r="E15240" t="str">
        <f t="shared" si="495"/>
        <v>C</v>
      </c>
      <c r="F15240" t="str">
        <f t="shared" si="496"/>
        <v>2C</v>
      </c>
    </row>
    <row r="15241" spans="1:6" x14ac:dyDescent="0.2">
      <c r="A15241">
        <v>3</v>
      </c>
      <c r="E15241" t="str">
        <f t="shared" si="495"/>
        <v>D</v>
      </c>
      <c r="F15241" t="str">
        <f t="shared" si="496"/>
        <v>3D</v>
      </c>
    </row>
    <row r="15242" spans="1:6" x14ac:dyDescent="0.2">
      <c r="A15242">
        <v>4</v>
      </c>
      <c r="E15242" t="str">
        <f t="shared" si="495"/>
        <v>E</v>
      </c>
      <c r="F15242" t="str">
        <f t="shared" si="496"/>
        <v>4E</v>
      </c>
    </row>
    <row r="15243" spans="1:6" x14ac:dyDescent="0.2">
      <c r="A15243">
        <v>5</v>
      </c>
      <c r="E15243" t="str">
        <f t="shared" si="495"/>
        <v>F</v>
      </c>
      <c r="F15243" t="str">
        <f t="shared" si="496"/>
        <v>5F</v>
      </c>
    </row>
    <row r="15244" spans="1:6" x14ac:dyDescent="0.2">
      <c r="A15244">
        <v>6</v>
      </c>
      <c r="E15244" t="str">
        <f t="shared" si="495"/>
        <v>G</v>
      </c>
      <c r="F15244" t="str">
        <f t="shared" si="496"/>
        <v>6G</v>
      </c>
    </row>
    <row r="15245" spans="1:6" x14ac:dyDescent="0.2">
      <c r="A15245">
        <v>7</v>
      </c>
      <c r="E15245" t="str">
        <f t="shared" si="495"/>
        <v>H</v>
      </c>
      <c r="F15245" t="str">
        <f t="shared" si="496"/>
        <v>7H</v>
      </c>
    </row>
    <row r="15246" spans="1:6" x14ac:dyDescent="0.2">
      <c r="A15246">
        <v>8</v>
      </c>
      <c r="E15246" t="str">
        <f t="shared" si="495"/>
        <v>I</v>
      </c>
      <c r="F15246" t="str">
        <f t="shared" si="496"/>
        <v>8I</v>
      </c>
    </row>
    <row r="15247" spans="1:6" x14ac:dyDescent="0.2">
      <c r="A15247">
        <v>9</v>
      </c>
      <c r="E15247" t="str">
        <f t="shared" si="495"/>
        <v>J</v>
      </c>
      <c r="F15247" t="str">
        <f t="shared" si="496"/>
        <v>9J</v>
      </c>
    </row>
    <row r="15248" spans="1:6" x14ac:dyDescent="0.2">
      <c r="A15248">
        <v>10</v>
      </c>
      <c r="E15248" t="str">
        <f t="shared" si="495"/>
        <v>K</v>
      </c>
      <c r="F15248" t="str">
        <f t="shared" si="496"/>
        <v>10K</v>
      </c>
    </row>
    <row r="15249" spans="1:6" x14ac:dyDescent="0.2">
      <c r="A15249">
        <v>11</v>
      </c>
      <c r="E15249" t="str">
        <f t="shared" si="495"/>
        <v>L</v>
      </c>
      <c r="F15249" t="str">
        <f t="shared" si="496"/>
        <v>11L</v>
      </c>
    </row>
    <row r="15250" spans="1:6" x14ac:dyDescent="0.2">
      <c r="A15250">
        <v>12</v>
      </c>
      <c r="E15250" t="str">
        <f t="shared" si="495"/>
        <v>M</v>
      </c>
      <c r="F15250" t="str">
        <f t="shared" si="496"/>
        <v>12M</v>
      </c>
    </row>
    <row r="15251" spans="1:6" x14ac:dyDescent="0.2">
      <c r="A15251">
        <v>13</v>
      </c>
      <c r="E15251" t="str">
        <f t="shared" si="495"/>
        <v>N</v>
      </c>
      <c r="F15251" t="str">
        <f t="shared" si="496"/>
        <v>13N</v>
      </c>
    </row>
    <row r="15252" spans="1:6" x14ac:dyDescent="0.2">
      <c r="A15252">
        <v>14</v>
      </c>
      <c r="E15252" t="str">
        <f t="shared" si="495"/>
        <v>O</v>
      </c>
      <c r="F15252" t="str">
        <f t="shared" si="496"/>
        <v>14O</v>
      </c>
    </row>
    <row r="15253" spans="1:6" x14ac:dyDescent="0.2">
      <c r="A15253">
        <v>15</v>
      </c>
      <c r="E15253" t="str">
        <f t="shared" ref="E15253:E15316" si="497">E15227</f>
        <v>P</v>
      </c>
      <c r="F15253" t="str">
        <f t="shared" si="496"/>
        <v>15P</v>
      </c>
    </row>
    <row r="15254" spans="1:6" x14ac:dyDescent="0.2">
      <c r="A15254">
        <v>16</v>
      </c>
      <c r="E15254" t="str">
        <f t="shared" si="497"/>
        <v>Q</v>
      </c>
      <c r="F15254" t="str">
        <f t="shared" si="496"/>
        <v>16Q</v>
      </c>
    </row>
    <row r="15255" spans="1:6" x14ac:dyDescent="0.2">
      <c r="A15255">
        <v>17</v>
      </c>
      <c r="E15255" t="str">
        <f t="shared" si="497"/>
        <v>R</v>
      </c>
      <c r="F15255" t="str">
        <f t="shared" ref="F15255:F15318" si="498">A15255&amp;C15255&amp;E15255</f>
        <v>17R</v>
      </c>
    </row>
    <row r="15256" spans="1:6" x14ac:dyDescent="0.2">
      <c r="A15256">
        <v>18</v>
      </c>
      <c r="E15256" t="str">
        <f t="shared" si="497"/>
        <v>S</v>
      </c>
      <c r="F15256" t="str">
        <f t="shared" si="498"/>
        <v>18S</v>
      </c>
    </row>
    <row r="15257" spans="1:6" x14ac:dyDescent="0.2">
      <c r="A15257">
        <v>19</v>
      </c>
      <c r="E15257" t="str">
        <f t="shared" si="497"/>
        <v>T</v>
      </c>
      <c r="F15257" t="str">
        <f t="shared" si="498"/>
        <v>19T</v>
      </c>
    </row>
    <row r="15258" spans="1:6" x14ac:dyDescent="0.2">
      <c r="A15258">
        <v>20</v>
      </c>
      <c r="E15258" t="str">
        <f t="shared" si="497"/>
        <v>U</v>
      </c>
      <c r="F15258" t="str">
        <f t="shared" si="498"/>
        <v>20U</v>
      </c>
    </row>
    <row r="15259" spans="1:6" x14ac:dyDescent="0.2">
      <c r="A15259">
        <v>21</v>
      </c>
      <c r="E15259" t="str">
        <f t="shared" si="497"/>
        <v>V</v>
      </c>
      <c r="F15259" t="str">
        <f t="shared" si="498"/>
        <v>21V</v>
      </c>
    </row>
    <row r="15260" spans="1:6" x14ac:dyDescent="0.2">
      <c r="A15260">
        <v>22</v>
      </c>
      <c r="E15260" t="str">
        <f t="shared" si="497"/>
        <v>W</v>
      </c>
      <c r="F15260" t="str">
        <f t="shared" si="498"/>
        <v>22W</v>
      </c>
    </row>
    <row r="15261" spans="1:6" x14ac:dyDescent="0.2">
      <c r="A15261">
        <v>23</v>
      </c>
      <c r="E15261" t="str">
        <f t="shared" si="497"/>
        <v>X</v>
      </c>
      <c r="F15261" t="str">
        <f t="shared" si="498"/>
        <v>23X</v>
      </c>
    </row>
    <row r="15262" spans="1:6" x14ac:dyDescent="0.2">
      <c r="A15262">
        <v>24</v>
      </c>
      <c r="E15262" t="str">
        <f t="shared" si="497"/>
        <v>Y</v>
      </c>
      <c r="F15262" t="str">
        <f t="shared" si="498"/>
        <v>24Y</v>
      </c>
    </row>
    <row r="15263" spans="1:6" x14ac:dyDescent="0.2">
      <c r="A15263">
        <v>25</v>
      </c>
      <c r="E15263" t="str">
        <f t="shared" si="497"/>
        <v>Z</v>
      </c>
      <c r="F15263" t="str">
        <f t="shared" si="498"/>
        <v>25Z</v>
      </c>
    </row>
    <row r="15264" spans="1:6" x14ac:dyDescent="0.2">
      <c r="A15264">
        <v>0</v>
      </c>
      <c r="E15264" t="str">
        <f t="shared" si="497"/>
        <v>A</v>
      </c>
      <c r="F15264" t="str">
        <f t="shared" si="498"/>
        <v>0A</v>
      </c>
    </row>
    <row r="15265" spans="1:6" x14ac:dyDescent="0.2">
      <c r="A15265">
        <v>1</v>
      </c>
      <c r="E15265" t="str">
        <f t="shared" si="497"/>
        <v>B</v>
      </c>
      <c r="F15265" t="str">
        <f t="shared" si="498"/>
        <v>1B</v>
      </c>
    </row>
    <row r="15266" spans="1:6" x14ac:dyDescent="0.2">
      <c r="A15266">
        <v>2</v>
      </c>
      <c r="E15266" t="str">
        <f t="shared" si="497"/>
        <v>C</v>
      </c>
      <c r="F15266" t="str">
        <f t="shared" si="498"/>
        <v>2C</v>
      </c>
    </row>
    <row r="15267" spans="1:6" x14ac:dyDescent="0.2">
      <c r="A15267">
        <v>3</v>
      </c>
      <c r="E15267" t="str">
        <f t="shared" si="497"/>
        <v>D</v>
      </c>
      <c r="F15267" t="str">
        <f t="shared" si="498"/>
        <v>3D</v>
      </c>
    </row>
    <row r="15268" spans="1:6" x14ac:dyDescent="0.2">
      <c r="A15268">
        <v>4</v>
      </c>
      <c r="E15268" t="str">
        <f t="shared" si="497"/>
        <v>E</v>
      </c>
      <c r="F15268" t="str">
        <f t="shared" si="498"/>
        <v>4E</v>
      </c>
    </row>
    <row r="15269" spans="1:6" x14ac:dyDescent="0.2">
      <c r="A15269">
        <v>5</v>
      </c>
      <c r="E15269" t="str">
        <f t="shared" si="497"/>
        <v>F</v>
      </c>
      <c r="F15269" t="str">
        <f t="shared" si="498"/>
        <v>5F</v>
      </c>
    </row>
    <row r="15270" spans="1:6" x14ac:dyDescent="0.2">
      <c r="A15270">
        <v>6</v>
      </c>
      <c r="E15270" t="str">
        <f t="shared" si="497"/>
        <v>G</v>
      </c>
      <c r="F15270" t="str">
        <f t="shared" si="498"/>
        <v>6G</v>
      </c>
    </row>
    <row r="15271" spans="1:6" x14ac:dyDescent="0.2">
      <c r="A15271">
        <v>7</v>
      </c>
      <c r="E15271" t="str">
        <f t="shared" si="497"/>
        <v>H</v>
      </c>
      <c r="F15271" t="str">
        <f t="shared" si="498"/>
        <v>7H</v>
      </c>
    </row>
    <row r="15272" spans="1:6" x14ac:dyDescent="0.2">
      <c r="A15272">
        <v>8</v>
      </c>
      <c r="E15272" t="str">
        <f t="shared" si="497"/>
        <v>I</v>
      </c>
      <c r="F15272" t="str">
        <f t="shared" si="498"/>
        <v>8I</v>
      </c>
    </row>
    <row r="15273" spans="1:6" x14ac:dyDescent="0.2">
      <c r="A15273">
        <v>9</v>
      </c>
      <c r="E15273" t="str">
        <f t="shared" si="497"/>
        <v>J</v>
      </c>
      <c r="F15273" t="str">
        <f t="shared" si="498"/>
        <v>9J</v>
      </c>
    </row>
    <row r="15274" spans="1:6" x14ac:dyDescent="0.2">
      <c r="A15274">
        <v>10</v>
      </c>
      <c r="E15274" t="str">
        <f t="shared" si="497"/>
        <v>K</v>
      </c>
      <c r="F15274" t="str">
        <f t="shared" si="498"/>
        <v>10K</v>
      </c>
    </row>
    <row r="15275" spans="1:6" x14ac:dyDescent="0.2">
      <c r="A15275">
        <v>11</v>
      </c>
      <c r="E15275" t="str">
        <f t="shared" si="497"/>
        <v>L</v>
      </c>
      <c r="F15275" t="str">
        <f t="shared" si="498"/>
        <v>11L</v>
      </c>
    </row>
    <row r="15276" spans="1:6" x14ac:dyDescent="0.2">
      <c r="A15276">
        <v>12</v>
      </c>
      <c r="E15276" t="str">
        <f t="shared" si="497"/>
        <v>M</v>
      </c>
      <c r="F15276" t="str">
        <f t="shared" si="498"/>
        <v>12M</v>
      </c>
    </row>
    <row r="15277" spans="1:6" x14ac:dyDescent="0.2">
      <c r="A15277">
        <v>13</v>
      </c>
      <c r="E15277" t="str">
        <f t="shared" si="497"/>
        <v>N</v>
      </c>
      <c r="F15277" t="str">
        <f t="shared" si="498"/>
        <v>13N</v>
      </c>
    </row>
    <row r="15278" spans="1:6" x14ac:dyDescent="0.2">
      <c r="A15278">
        <v>14</v>
      </c>
      <c r="E15278" t="str">
        <f t="shared" si="497"/>
        <v>O</v>
      </c>
      <c r="F15278" t="str">
        <f t="shared" si="498"/>
        <v>14O</v>
      </c>
    </row>
    <row r="15279" spans="1:6" x14ac:dyDescent="0.2">
      <c r="A15279">
        <v>15</v>
      </c>
      <c r="E15279" t="str">
        <f t="shared" si="497"/>
        <v>P</v>
      </c>
      <c r="F15279" t="str">
        <f t="shared" si="498"/>
        <v>15P</v>
      </c>
    </row>
    <row r="15280" spans="1:6" x14ac:dyDescent="0.2">
      <c r="A15280">
        <v>16</v>
      </c>
      <c r="E15280" t="str">
        <f t="shared" si="497"/>
        <v>Q</v>
      </c>
      <c r="F15280" t="str">
        <f t="shared" si="498"/>
        <v>16Q</v>
      </c>
    </row>
    <row r="15281" spans="1:6" x14ac:dyDescent="0.2">
      <c r="A15281">
        <v>17</v>
      </c>
      <c r="E15281" t="str">
        <f t="shared" si="497"/>
        <v>R</v>
      </c>
      <c r="F15281" t="str">
        <f t="shared" si="498"/>
        <v>17R</v>
      </c>
    </row>
    <row r="15282" spans="1:6" x14ac:dyDescent="0.2">
      <c r="A15282">
        <v>18</v>
      </c>
      <c r="E15282" t="str">
        <f t="shared" si="497"/>
        <v>S</v>
      </c>
      <c r="F15282" t="str">
        <f t="shared" si="498"/>
        <v>18S</v>
      </c>
    </row>
    <row r="15283" spans="1:6" x14ac:dyDescent="0.2">
      <c r="A15283">
        <v>19</v>
      </c>
      <c r="E15283" t="str">
        <f t="shared" si="497"/>
        <v>T</v>
      </c>
      <c r="F15283" t="str">
        <f t="shared" si="498"/>
        <v>19T</v>
      </c>
    </row>
    <row r="15284" spans="1:6" x14ac:dyDescent="0.2">
      <c r="A15284">
        <v>20</v>
      </c>
      <c r="E15284" t="str">
        <f t="shared" si="497"/>
        <v>U</v>
      </c>
      <c r="F15284" t="str">
        <f t="shared" si="498"/>
        <v>20U</v>
      </c>
    </row>
    <row r="15285" spans="1:6" x14ac:dyDescent="0.2">
      <c r="A15285">
        <v>21</v>
      </c>
      <c r="E15285" t="str">
        <f t="shared" si="497"/>
        <v>V</v>
      </c>
      <c r="F15285" t="str">
        <f t="shared" si="498"/>
        <v>21V</v>
      </c>
    </row>
    <row r="15286" spans="1:6" x14ac:dyDescent="0.2">
      <c r="A15286">
        <v>22</v>
      </c>
      <c r="E15286" t="str">
        <f t="shared" si="497"/>
        <v>W</v>
      </c>
      <c r="F15286" t="str">
        <f t="shared" si="498"/>
        <v>22W</v>
      </c>
    </row>
    <row r="15287" spans="1:6" x14ac:dyDescent="0.2">
      <c r="A15287">
        <v>23</v>
      </c>
      <c r="E15287" t="str">
        <f t="shared" si="497"/>
        <v>X</v>
      </c>
      <c r="F15287" t="str">
        <f t="shared" si="498"/>
        <v>23X</v>
      </c>
    </row>
    <row r="15288" spans="1:6" x14ac:dyDescent="0.2">
      <c r="A15288">
        <v>24</v>
      </c>
      <c r="E15288" t="str">
        <f t="shared" si="497"/>
        <v>Y</v>
      </c>
      <c r="F15288" t="str">
        <f t="shared" si="498"/>
        <v>24Y</v>
      </c>
    </row>
    <row r="15289" spans="1:6" x14ac:dyDescent="0.2">
      <c r="A15289">
        <v>25</v>
      </c>
      <c r="E15289" t="str">
        <f t="shared" si="497"/>
        <v>Z</v>
      </c>
      <c r="F15289" t="str">
        <f t="shared" si="498"/>
        <v>25Z</v>
      </c>
    </row>
    <row r="15290" spans="1:6" x14ac:dyDescent="0.2">
      <c r="A15290">
        <v>0</v>
      </c>
      <c r="E15290" t="str">
        <f t="shared" si="497"/>
        <v>A</v>
      </c>
      <c r="F15290" t="str">
        <f t="shared" si="498"/>
        <v>0A</v>
      </c>
    </row>
    <row r="15291" spans="1:6" x14ac:dyDescent="0.2">
      <c r="A15291">
        <v>1</v>
      </c>
      <c r="E15291" t="str">
        <f t="shared" si="497"/>
        <v>B</v>
      </c>
      <c r="F15291" t="str">
        <f t="shared" si="498"/>
        <v>1B</v>
      </c>
    </row>
    <row r="15292" spans="1:6" x14ac:dyDescent="0.2">
      <c r="A15292">
        <v>2</v>
      </c>
      <c r="E15292" t="str">
        <f t="shared" si="497"/>
        <v>C</v>
      </c>
      <c r="F15292" t="str">
        <f t="shared" si="498"/>
        <v>2C</v>
      </c>
    </row>
    <row r="15293" spans="1:6" x14ac:dyDescent="0.2">
      <c r="A15293">
        <v>3</v>
      </c>
      <c r="E15293" t="str">
        <f t="shared" si="497"/>
        <v>D</v>
      </c>
      <c r="F15293" t="str">
        <f t="shared" si="498"/>
        <v>3D</v>
      </c>
    </row>
    <row r="15294" spans="1:6" x14ac:dyDescent="0.2">
      <c r="A15294">
        <v>4</v>
      </c>
      <c r="E15294" t="str">
        <f t="shared" si="497"/>
        <v>E</v>
      </c>
      <c r="F15294" t="str">
        <f t="shared" si="498"/>
        <v>4E</v>
      </c>
    </row>
    <row r="15295" spans="1:6" x14ac:dyDescent="0.2">
      <c r="A15295">
        <v>5</v>
      </c>
      <c r="E15295" t="str">
        <f t="shared" si="497"/>
        <v>F</v>
      </c>
      <c r="F15295" t="str">
        <f t="shared" si="498"/>
        <v>5F</v>
      </c>
    </row>
    <row r="15296" spans="1:6" x14ac:dyDescent="0.2">
      <c r="A15296">
        <v>6</v>
      </c>
      <c r="E15296" t="str">
        <f t="shared" si="497"/>
        <v>G</v>
      </c>
      <c r="F15296" t="str">
        <f t="shared" si="498"/>
        <v>6G</v>
      </c>
    </row>
    <row r="15297" spans="1:6" x14ac:dyDescent="0.2">
      <c r="A15297">
        <v>7</v>
      </c>
      <c r="E15297" t="str">
        <f t="shared" si="497"/>
        <v>H</v>
      </c>
      <c r="F15297" t="str">
        <f t="shared" si="498"/>
        <v>7H</v>
      </c>
    </row>
    <row r="15298" spans="1:6" x14ac:dyDescent="0.2">
      <c r="A15298">
        <v>8</v>
      </c>
      <c r="E15298" t="str">
        <f t="shared" si="497"/>
        <v>I</v>
      </c>
      <c r="F15298" t="str">
        <f t="shared" si="498"/>
        <v>8I</v>
      </c>
    </row>
    <row r="15299" spans="1:6" x14ac:dyDescent="0.2">
      <c r="A15299">
        <v>9</v>
      </c>
      <c r="E15299" t="str">
        <f t="shared" si="497"/>
        <v>J</v>
      </c>
      <c r="F15299" t="str">
        <f t="shared" si="498"/>
        <v>9J</v>
      </c>
    </row>
    <row r="15300" spans="1:6" x14ac:dyDescent="0.2">
      <c r="A15300">
        <v>10</v>
      </c>
      <c r="E15300" t="str">
        <f t="shared" si="497"/>
        <v>K</v>
      </c>
      <c r="F15300" t="str">
        <f t="shared" si="498"/>
        <v>10K</v>
      </c>
    </row>
    <row r="15301" spans="1:6" x14ac:dyDescent="0.2">
      <c r="A15301">
        <v>11</v>
      </c>
      <c r="E15301" t="str">
        <f t="shared" si="497"/>
        <v>L</v>
      </c>
      <c r="F15301" t="str">
        <f t="shared" si="498"/>
        <v>11L</v>
      </c>
    </row>
    <row r="15302" spans="1:6" x14ac:dyDescent="0.2">
      <c r="A15302">
        <v>12</v>
      </c>
      <c r="E15302" t="str">
        <f t="shared" si="497"/>
        <v>M</v>
      </c>
      <c r="F15302" t="str">
        <f t="shared" si="498"/>
        <v>12M</v>
      </c>
    </row>
    <row r="15303" spans="1:6" x14ac:dyDescent="0.2">
      <c r="A15303">
        <v>13</v>
      </c>
      <c r="E15303" t="str">
        <f t="shared" si="497"/>
        <v>N</v>
      </c>
      <c r="F15303" t="str">
        <f t="shared" si="498"/>
        <v>13N</v>
      </c>
    </row>
    <row r="15304" spans="1:6" x14ac:dyDescent="0.2">
      <c r="A15304">
        <v>14</v>
      </c>
      <c r="E15304" t="str">
        <f t="shared" si="497"/>
        <v>O</v>
      </c>
      <c r="F15304" t="str">
        <f t="shared" si="498"/>
        <v>14O</v>
      </c>
    </row>
    <row r="15305" spans="1:6" x14ac:dyDescent="0.2">
      <c r="A15305">
        <v>15</v>
      </c>
      <c r="E15305" t="str">
        <f t="shared" si="497"/>
        <v>P</v>
      </c>
      <c r="F15305" t="str">
        <f t="shared" si="498"/>
        <v>15P</v>
      </c>
    </row>
    <row r="15306" spans="1:6" x14ac:dyDescent="0.2">
      <c r="A15306">
        <v>16</v>
      </c>
      <c r="E15306" t="str">
        <f t="shared" si="497"/>
        <v>Q</v>
      </c>
      <c r="F15306" t="str">
        <f t="shared" si="498"/>
        <v>16Q</v>
      </c>
    </row>
    <row r="15307" spans="1:6" x14ac:dyDescent="0.2">
      <c r="A15307">
        <v>17</v>
      </c>
      <c r="E15307" t="str">
        <f t="shared" si="497"/>
        <v>R</v>
      </c>
      <c r="F15307" t="str">
        <f t="shared" si="498"/>
        <v>17R</v>
      </c>
    </row>
    <row r="15308" spans="1:6" x14ac:dyDescent="0.2">
      <c r="A15308">
        <v>18</v>
      </c>
      <c r="E15308" t="str">
        <f t="shared" si="497"/>
        <v>S</v>
      </c>
      <c r="F15308" t="str">
        <f t="shared" si="498"/>
        <v>18S</v>
      </c>
    </row>
    <row r="15309" spans="1:6" x14ac:dyDescent="0.2">
      <c r="A15309">
        <v>19</v>
      </c>
      <c r="E15309" t="str">
        <f t="shared" si="497"/>
        <v>T</v>
      </c>
      <c r="F15309" t="str">
        <f t="shared" si="498"/>
        <v>19T</v>
      </c>
    </row>
    <row r="15310" spans="1:6" x14ac:dyDescent="0.2">
      <c r="A15310">
        <v>20</v>
      </c>
      <c r="E15310" t="str">
        <f t="shared" si="497"/>
        <v>U</v>
      </c>
      <c r="F15310" t="str">
        <f t="shared" si="498"/>
        <v>20U</v>
      </c>
    </row>
    <row r="15311" spans="1:6" x14ac:dyDescent="0.2">
      <c r="A15311">
        <v>21</v>
      </c>
      <c r="E15311" t="str">
        <f t="shared" si="497"/>
        <v>V</v>
      </c>
      <c r="F15311" t="str">
        <f t="shared" si="498"/>
        <v>21V</v>
      </c>
    </row>
    <row r="15312" spans="1:6" x14ac:dyDescent="0.2">
      <c r="A15312">
        <v>22</v>
      </c>
      <c r="E15312" t="str">
        <f t="shared" si="497"/>
        <v>W</v>
      </c>
      <c r="F15312" t="str">
        <f t="shared" si="498"/>
        <v>22W</v>
      </c>
    </row>
    <row r="15313" spans="1:6" x14ac:dyDescent="0.2">
      <c r="A15313">
        <v>23</v>
      </c>
      <c r="E15313" t="str">
        <f t="shared" si="497"/>
        <v>X</v>
      </c>
      <c r="F15313" t="str">
        <f t="shared" si="498"/>
        <v>23X</v>
      </c>
    </row>
    <row r="15314" spans="1:6" x14ac:dyDescent="0.2">
      <c r="A15314">
        <v>24</v>
      </c>
      <c r="E15314" t="str">
        <f t="shared" si="497"/>
        <v>Y</v>
      </c>
      <c r="F15314" t="str">
        <f t="shared" si="498"/>
        <v>24Y</v>
      </c>
    </row>
    <row r="15315" spans="1:6" x14ac:dyDescent="0.2">
      <c r="A15315">
        <v>25</v>
      </c>
      <c r="E15315" t="str">
        <f t="shared" si="497"/>
        <v>Z</v>
      </c>
      <c r="F15315" t="str">
        <f t="shared" si="498"/>
        <v>25Z</v>
      </c>
    </row>
    <row r="15316" spans="1:6" x14ac:dyDescent="0.2">
      <c r="A15316">
        <v>0</v>
      </c>
      <c r="E15316" t="str">
        <f t="shared" si="497"/>
        <v>A</v>
      </c>
      <c r="F15316" t="str">
        <f t="shared" si="498"/>
        <v>0A</v>
      </c>
    </row>
    <row r="15317" spans="1:6" x14ac:dyDescent="0.2">
      <c r="A15317">
        <v>1</v>
      </c>
      <c r="E15317" t="str">
        <f t="shared" ref="E15317:E15380" si="499">E15291</f>
        <v>B</v>
      </c>
      <c r="F15317" t="str">
        <f t="shared" si="498"/>
        <v>1B</v>
      </c>
    </row>
    <row r="15318" spans="1:6" x14ac:dyDescent="0.2">
      <c r="A15318">
        <v>2</v>
      </c>
      <c r="E15318" t="str">
        <f t="shared" si="499"/>
        <v>C</v>
      </c>
      <c r="F15318" t="str">
        <f t="shared" si="498"/>
        <v>2C</v>
      </c>
    </row>
    <row r="15319" spans="1:6" x14ac:dyDescent="0.2">
      <c r="A15319">
        <v>3</v>
      </c>
      <c r="E15319" t="str">
        <f t="shared" si="499"/>
        <v>D</v>
      </c>
      <c r="F15319" t="str">
        <f t="shared" ref="F15319:F15382" si="500">A15319&amp;C15319&amp;E15319</f>
        <v>3D</v>
      </c>
    </row>
    <row r="15320" spans="1:6" x14ac:dyDescent="0.2">
      <c r="A15320">
        <v>4</v>
      </c>
      <c r="E15320" t="str">
        <f t="shared" si="499"/>
        <v>E</v>
      </c>
      <c r="F15320" t="str">
        <f t="shared" si="500"/>
        <v>4E</v>
      </c>
    </row>
    <row r="15321" spans="1:6" x14ac:dyDescent="0.2">
      <c r="A15321">
        <v>5</v>
      </c>
      <c r="E15321" t="str">
        <f t="shared" si="499"/>
        <v>F</v>
      </c>
      <c r="F15321" t="str">
        <f t="shared" si="500"/>
        <v>5F</v>
      </c>
    </row>
    <row r="15322" spans="1:6" x14ac:dyDescent="0.2">
      <c r="A15322">
        <v>6</v>
      </c>
      <c r="E15322" t="str">
        <f t="shared" si="499"/>
        <v>G</v>
      </c>
      <c r="F15322" t="str">
        <f t="shared" si="500"/>
        <v>6G</v>
      </c>
    </row>
    <row r="15323" spans="1:6" x14ac:dyDescent="0.2">
      <c r="A15323">
        <v>7</v>
      </c>
      <c r="E15323" t="str">
        <f t="shared" si="499"/>
        <v>H</v>
      </c>
      <c r="F15323" t="str">
        <f t="shared" si="500"/>
        <v>7H</v>
      </c>
    </row>
    <row r="15324" spans="1:6" x14ac:dyDescent="0.2">
      <c r="A15324">
        <v>8</v>
      </c>
      <c r="E15324" t="str">
        <f t="shared" si="499"/>
        <v>I</v>
      </c>
      <c r="F15324" t="str">
        <f t="shared" si="500"/>
        <v>8I</v>
      </c>
    </row>
    <row r="15325" spans="1:6" x14ac:dyDescent="0.2">
      <c r="A15325">
        <v>9</v>
      </c>
      <c r="E15325" t="str">
        <f t="shared" si="499"/>
        <v>J</v>
      </c>
      <c r="F15325" t="str">
        <f t="shared" si="500"/>
        <v>9J</v>
      </c>
    </row>
    <row r="15326" spans="1:6" x14ac:dyDescent="0.2">
      <c r="A15326">
        <v>10</v>
      </c>
      <c r="E15326" t="str">
        <f t="shared" si="499"/>
        <v>K</v>
      </c>
      <c r="F15326" t="str">
        <f t="shared" si="500"/>
        <v>10K</v>
      </c>
    </row>
    <row r="15327" spans="1:6" x14ac:dyDescent="0.2">
      <c r="A15327">
        <v>11</v>
      </c>
      <c r="E15327" t="str">
        <f t="shared" si="499"/>
        <v>L</v>
      </c>
      <c r="F15327" t="str">
        <f t="shared" si="500"/>
        <v>11L</v>
      </c>
    </row>
    <row r="15328" spans="1:6" x14ac:dyDescent="0.2">
      <c r="A15328">
        <v>12</v>
      </c>
      <c r="E15328" t="str">
        <f t="shared" si="499"/>
        <v>M</v>
      </c>
      <c r="F15328" t="str">
        <f t="shared" si="500"/>
        <v>12M</v>
      </c>
    </row>
    <row r="15329" spans="1:6" x14ac:dyDescent="0.2">
      <c r="A15329">
        <v>13</v>
      </c>
      <c r="E15329" t="str">
        <f t="shared" si="499"/>
        <v>N</v>
      </c>
      <c r="F15329" t="str">
        <f t="shared" si="500"/>
        <v>13N</v>
      </c>
    </row>
    <row r="15330" spans="1:6" x14ac:dyDescent="0.2">
      <c r="A15330">
        <v>14</v>
      </c>
      <c r="E15330" t="str">
        <f t="shared" si="499"/>
        <v>O</v>
      </c>
      <c r="F15330" t="str">
        <f t="shared" si="500"/>
        <v>14O</v>
      </c>
    </row>
    <row r="15331" spans="1:6" x14ac:dyDescent="0.2">
      <c r="A15331">
        <v>15</v>
      </c>
      <c r="E15331" t="str">
        <f t="shared" si="499"/>
        <v>P</v>
      </c>
      <c r="F15331" t="str">
        <f t="shared" si="500"/>
        <v>15P</v>
      </c>
    </row>
    <row r="15332" spans="1:6" x14ac:dyDescent="0.2">
      <c r="A15332">
        <v>16</v>
      </c>
      <c r="E15332" t="str">
        <f t="shared" si="499"/>
        <v>Q</v>
      </c>
      <c r="F15332" t="str">
        <f t="shared" si="500"/>
        <v>16Q</v>
      </c>
    </row>
    <row r="15333" spans="1:6" x14ac:dyDescent="0.2">
      <c r="A15333">
        <v>17</v>
      </c>
      <c r="E15333" t="str">
        <f t="shared" si="499"/>
        <v>R</v>
      </c>
      <c r="F15333" t="str">
        <f t="shared" si="500"/>
        <v>17R</v>
      </c>
    </row>
    <row r="15334" spans="1:6" x14ac:dyDescent="0.2">
      <c r="A15334">
        <v>18</v>
      </c>
      <c r="E15334" t="str">
        <f t="shared" si="499"/>
        <v>S</v>
      </c>
      <c r="F15334" t="str">
        <f t="shared" si="500"/>
        <v>18S</v>
      </c>
    </row>
    <row r="15335" spans="1:6" x14ac:dyDescent="0.2">
      <c r="A15335">
        <v>19</v>
      </c>
      <c r="E15335" t="str">
        <f t="shared" si="499"/>
        <v>T</v>
      </c>
      <c r="F15335" t="str">
        <f t="shared" si="500"/>
        <v>19T</v>
      </c>
    </row>
    <row r="15336" spans="1:6" x14ac:dyDescent="0.2">
      <c r="A15336">
        <v>20</v>
      </c>
      <c r="E15336" t="str">
        <f t="shared" si="499"/>
        <v>U</v>
      </c>
      <c r="F15336" t="str">
        <f t="shared" si="500"/>
        <v>20U</v>
      </c>
    </row>
    <row r="15337" spans="1:6" x14ac:dyDescent="0.2">
      <c r="A15337">
        <v>21</v>
      </c>
      <c r="E15337" t="str">
        <f t="shared" si="499"/>
        <v>V</v>
      </c>
      <c r="F15337" t="str">
        <f t="shared" si="500"/>
        <v>21V</v>
      </c>
    </row>
    <row r="15338" spans="1:6" x14ac:dyDescent="0.2">
      <c r="A15338">
        <v>22</v>
      </c>
      <c r="E15338" t="str">
        <f t="shared" si="499"/>
        <v>W</v>
      </c>
      <c r="F15338" t="str">
        <f t="shared" si="500"/>
        <v>22W</v>
      </c>
    </row>
    <row r="15339" spans="1:6" x14ac:dyDescent="0.2">
      <c r="A15339">
        <v>23</v>
      </c>
      <c r="E15339" t="str">
        <f t="shared" si="499"/>
        <v>X</v>
      </c>
      <c r="F15339" t="str">
        <f t="shared" si="500"/>
        <v>23X</v>
      </c>
    </row>
    <row r="15340" spans="1:6" x14ac:dyDescent="0.2">
      <c r="A15340">
        <v>24</v>
      </c>
      <c r="E15340" t="str">
        <f t="shared" si="499"/>
        <v>Y</v>
      </c>
      <c r="F15340" t="str">
        <f t="shared" si="500"/>
        <v>24Y</v>
      </c>
    </row>
    <row r="15341" spans="1:6" x14ac:dyDescent="0.2">
      <c r="A15341">
        <v>25</v>
      </c>
      <c r="E15341" t="str">
        <f t="shared" si="499"/>
        <v>Z</v>
      </c>
      <c r="F15341" t="str">
        <f t="shared" si="500"/>
        <v>25Z</v>
      </c>
    </row>
    <row r="15342" spans="1:6" x14ac:dyDescent="0.2">
      <c r="A15342">
        <v>0</v>
      </c>
      <c r="E15342" t="str">
        <f t="shared" si="499"/>
        <v>A</v>
      </c>
      <c r="F15342" t="str">
        <f t="shared" si="500"/>
        <v>0A</v>
      </c>
    </row>
    <row r="15343" spans="1:6" x14ac:dyDescent="0.2">
      <c r="A15343">
        <v>1</v>
      </c>
      <c r="E15343" t="str">
        <f t="shared" si="499"/>
        <v>B</v>
      </c>
      <c r="F15343" t="str">
        <f t="shared" si="500"/>
        <v>1B</v>
      </c>
    </row>
    <row r="15344" spans="1:6" x14ac:dyDescent="0.2">
      <c r="A15344">
        <v>2</v>
      </c>
      <c r="E15344" t="str">
        <f t="shared" si="499"/>
        <v>C</v>
      </c>
      <c r="F15344" t="str">
        <f t="shared" si="500"/>
        <v>2C</v>
      </c>
    </row>
    <row r="15345" spans="1:6" x14ac:dyDescent="0.2">
      <c r="A15345">
        <v>3</v>
      </c>
      <c r="E15345" t="str">
        <f t="shared" si="499"/>
        <v>D</v>
      </c>
      <c r="F15345" t="str">
        <f t="shared" si="500"/>
        <v>3D</v>
      </c>
    </row>
    <row r="15346" spans="1:6" x14ac:dyDescent="0.2">
      <c r="A15346">
        <v>4</v>
      </c>
      <c r="E15346" t="str">
        <f t="shared" si="499"/>
        <v>E</v>
      </c>
      <c r="F15346" t="str">
        <f t="shared" si="500"/>
        <v>4E</v>
      </c>
    </row>
    <row r="15347" spans="1:6" x14ac:dyDescent="0.2">
      <c r="A15347">
        <v>5</v>
      </c>
      <c r="E15347" t="str">
        <f t="shared" si="499"/>
        <v>F</v>
      </c>
      <c r="F15347" t="str">
        <f t="shared" si="500"/>
        <v>5F</v>
      </c>
    </row>
    <row r="15348" spans="1:6" x14ac:dyDescent="0.2">
      <c r="A15348">
        <v>6</v>
      </c>
      <c r="E15348" t="str">
        <f t="shared" si="499"/>
        <v>G</v>
      </c>
      <c r="F15348" t="str">
        <f t="shared" si="500"/>
        <v>6G</v>
      </c>
    </row>
    <row r="15349" spans="1:6" x14ac:dyDescent="0.2">
      <c r="A15349">
        <v>7</v>
      </c>
      <c r="E15349" t="str">
        <f t="shared" si="499"/>
        <v>H</v>
      </c>
      <c r="F15349" t="str">
        <f t="shared" si="500"/>
        <v>7H</v>
      </c>
    </row>
    <row r="15350" spans="1:6" x14ac:dyDescent="0.2">
      <c r="A15350">
        <v>8</v>
      </c>
      <c r="E15350" t="str">
        <f t="shared" si="499"/>
        <v>I</v>
      </c>
      <c r="F15350" t="str">
        <f t="shared" si="500"/>
        <v>8I</v>
      </c>
    </row>
    <row r="15351" spans="1:6" x14ac:dyDescent="0.2">
      <c r="A15351">
        <v>9</v>
      </c>
      <c r="E15351" t="str">
        <f t="shared" si="499"/>
        <v>J</v>
      </c>
      <c r="F15351" t="str">
        <f t="shared" si="500"/>
        <v>9J</v>
      </c>
    </row>
    <row r="15352" spans="1:6" x14ac:dyDescent="0.2">
      <c r="A15352">
        <v>10</v>
      </c>
      <c r="E15352" t="str">
        <f t="shared" si="499"/>
        <v>K</v>
      </c>
      <c r="F15352" t="str">
        <f t="shared" si="500"/>
        <v>10K</v>
      </c>
    </row>
    <row r="15353" spans="1:6" x14ac:dyDescent="0.2">
      <c r="A15353">
        <v>11</v>
      </c>
      <c r="E15353" t="str">
        <f t="shared" si="499"/>
        <v>L</v>
      </c>
      <c r="F15353" t="str">
        <f t="shared" si="500"/>
        <v>11L</v>
      </c>
    </row>
    <row r="15354" spans="1:6" x14ac:dyDescent="0.2">
      <c r="A15354">
        <v>12</v>
      </c>
      <c r="E15354" t="str">
        <f t="shared" si="499"/>
        <v>M</v>
      </c>
      <c r="F15354" t="str">
        <f t="shared" si="500"/>
        <v>12M</v>
      </c>
    </row>
    <row r="15355" spans="1:6" x14ac:dyDescent="0.2">
      <c r="A15355">
        <v>13</v>
      </c>
      <c r="E15355" t="str">
        <f t="shared" si="499"/>
        <v>N</v>
      </c>
      <c r="F15355" t="str">
        <f t="shared" si="500"/>
        <v>13N</v>
      </c>
    </row>
    <row r="15356" spans="1:6" x14ac:dyDescent="0.2">
      <c r="A15356">
        <v>14</v>
      </c>
      <c r="E15356" t="str">
        <f t="shared" si="499"/>
        <v>O</v>
      </c>
      <c r="F15356" t="str">
        <f t="shared" si="500"/>
        <v>14O</v>
      </c>
    </row>
    <row r="15357" spans="1:6" x14ac:dyDescent="0.2">
      <c r="A15357">
        <v>15</v>
      </c>
      <c r="E15357" t="str">
        <f t="shared" si="499"/>
        <v>P</v>
      </c>
      <c r="F15357" t="str">
        <f t="shared" si="500"/>
        <v>15P</v>
      </c>
    </row>
    <row r="15358" spans="1:6" x14ac:dyDescent="0.2">
      <c r="A15358">
        <v>16</v>
      </c>
      <c r="E15358" t="str">
        <f t="shared" si="499"/>
        <v>Q</v>
      </c>
      <c r="F15358" t="str">
        <f t="shared" si="500"/>
        <v>16Q</v>
      </c>
    </row>
    <row r="15359" spans="1:6" x14ac:dyDescent="0.2">
      <c r="A15359">
        <v>17</v>
      </c>
      <c r="E15359" t="str">
        <f t="shared" si="499"/>
        <v>R</v>
      </c>
      <c r="F15359" t="str">
        <f t="shared" si="500"/>
        <v>17R</v>
      </c>
    </row>
    <row r="15360" spans="1:6" x14ac:dyDescent="0.2">
      <c r="A15360">
        <v>18</v>
      </c>
      <c r="E15360" t="str">
        <f t="shared" si="499"/>
        <v>S</v>
      </c>
      <c r="F15360" t="str">
        <f t="shared" si="500"/>
        <v>18S</v>
      </c>
    </row>
    <row r="15361" spans="1:6" x14ac:dyDescent="0.2">
      <c r="A15361">
        <v>19</v>
      </c>
      <c r="E15361" t="str">
        <f t="shared" si="499"/>
        <v>T</v>
      </c>
      <c r="F15361" t="str">
        <f t="shared" si="500"/>
        <v>19T</v>
      </c>
    </row>
    <row r="15362" spans="1:6" x14ac:dyDescent="0.2">
      <c r="A15362">
        <v>20</v>
      </c>
      <c r="E15362" t="str">
        <f t="shared" si="499"/>
        <v>U</v>
      </c>
      <c r="F15362" t="str">
        <f t="shared" si="500"/>
        <v>20U</v>
      </c>
    </row>
    <row r="15363" spans="1:6" x14ac:dyDescent="0.2">
      <c r="A15363">
        <v>21</v>
      </c>
      <c r="E15363" t="str">
        <f t="shared" si="499"/>
        <v>V</v>
      </c>
      <c r="F15363" t="str">
        <f t="shared" si="500"/>
        <v>21V</v>
      </c>
    </row>
    <row r="15364" spans="1:6" x14ac:dyDescent="0.2">
      <c r="A15364">
        <v>22</v>
      </c>
      <c r="E15364" t="str">
        <f t="shared" si="499"/>
        <v>W</v>
      </c>
      <c r="F15364" t="str">
        <f t="shared" si="500"/>
        <v>22W</v>
      </c>
    </row>
    <row r="15365" spans="1:6" x14ac:dyDescent="0.2">
      <c r="A15365">
        <v>23</v>
      </c>
      <c r="E15365" t="str">
        <f t="shared" si="499"/>
        <v>X</v>
      </c>
      <c r="F15365" t="str">
        <f t="shared" si="500"/>
        <v>23X</v>
      </c>
    </row>
    <row r="15366" spans="1:6" x14ac:dyDescent="0.2">
      <c r="A15366">
        <v>24</v>
      </c>
      <c r="E15366" t="str">
        <f t="shared" si="499"/>
        <v>Y</v>
      </c>
      <c r="F15366" t="str">
        <f t="shared" si="500"/>
        <v>24Y</v>
      </c>
    </row>
    <row r="15367" spans="1:6" x14ac:dyDescent="0.2">
      <c r="A15367">
        <v>25</v>
      </c>
      <c r="E15367" t="str">
        <f t="shared" si="499"/>
        <v>Z</v>
      </c>
      <c r="F15367" t="str">
        <f t="shared" si="500"/>
        <v>25Z</v>
      </c>
    </row>
    <row r="15368" spans="1:6" x14ac:dyDescent="0.2">
      <c r="A15368">
        <v>0</v>
      </c>
      <c r="E15368" t="str">
        <f t="shared" si="499"/>
        <v>A</v>
      </c>
      <c r="F15368" t="str">
        <f t="shared" si="500"/>
        <v>0A</v>
      </c>
    </row>
    <row r="15369" spans="1:6" x14ac:dyDescent="0.2">
      <c r="A15369">
        <v>1</v>
      </c>
      <c r="E15369" t="str">
        <f t="shared" si="499"/>
        <v>B</v>
      </c>
      <c r="F15369" t="str">
        <f t="shared" si="500"/>
        <v>1B</v>
      </c>
    </row>
    <row r="15370" spans="1:6" x14ac:dyDescent="0.2">
      <c r="A15370">
        <v>2</v>
      </c>
      <c r="E15370" t="str">
        <f t="shared" si="499"/>
        <v>C</v>
      </c>
      <c r="F15370" t="str">
        <f t="shared" si="500"/>
        <v>2C</v>
      </c>
    </row>
    <row r="15371" spans="1:6" x14ac:dyDescent="0.2">
      <c r="A15371">
        <v>3</v>
      </c>
      <c r="E15371" t="str">
        <f t="shared" si="499"/>
        <v>D</v>
      </c>
      <c r="F15371" t="str">
        <f t="shared" si="500"/>
        <v>3D</v>
      </c>
    </row>
    <row r="15372" spans="1:6" x14ac:dyDescent="0.2">
      <c r="A15372">
        <v>4</v>
      </c>
      <c r="E15372" t="str">
        <f t="shared" si="499"/>
        <v>E</v>
      </c>
      <c r="F15372" t="str">
        <f t="shared" si="500"/>
        <v>4E</v>
      </c>
    </row>
    <row r="15373" spans="1:6" x14ac:dyDescent="0.2">
      <c r="A15373">
        <v>5</v>
      </c>
      <c r="E15373" t="str">
        <f t="shared" si="499"/>
        <v>F</v>
      </c>
      <c r="F15373" t="str">
        <f t="shared" si="500"/>
        <v>5F</v>
      </c>
    </row>
    <row r="15374" spans="1:6" x14ac:dyDescent="0.2">
      <c r="A15374">
        <v>6</v>
      </c>
      <c r="E15374" t="str">
        <f t="shared" si="499"/>
        <v>G</v>
      </c>
      <c r="F15374" t="str">
        <f t="shared" si="500"/>
        <v>6G</v>
      </c>
    </row>
    <row r="15375" spans="1:6" x14ac:dyDescent="0.2">
      <c r="A15375">
        <v>7</v>
      </c>
      <c r="E15375" t="str">
        <f t="shared" si="499"/>
        <v>H</v>
      </c>
      <c r="F15375" t="str">
        <f t="shared" si="500"/>
        <v>7H</v>
      </c>
    </row>
    <row r="15376" spans="1:6" x14ac:dyDescent="0.2">
      <c r="A15376">
        <v>8</v>
      </c>
      <c r="E15376" t="str">
        <f t="shared" si="499"/>
        <v>I</v>
      </c>
      <c r="F15376" t="str">
        <f t="shared" si="500"/>
        <v>8I</v>
      </c>
    </row>
    <row r="15377" spans="1:6" x14ac:dyDescent="0.2">
      <c r="A15377">
        <v>9</v>
      </c>
      <c r="E15377" t="str">
        <f t="shared" si="499"/>
        <v>J</v>
      </c>
      <c r="F15377" t="str">
        <f t="shared" si="500"/>
        <v>9J</v>
      </c>
    </row>
    <row r="15378" spans="1:6" x14ac:dyDescent="0.2">
      <c r="A15378">
        <v>10</v>
      </c>
      <c r="E15378" t="str">
        <f t="shared" si="499"/>
        <v>K</v>
      </c>
      <c r="F15378" t="str">
        <f t="shared" si="500"/>
        <v>10K</v>
      </c>
    </row>
    <row r="15379" spans="1:6" x14ac:dyDescent="0.2">
      <c r="A15379">
        <v>11</v>
      </c>
      <c r="E15379" t="str">
        <f t="shared" si="499"/>
        <v>L</v>
      </c>
      <c r="F15379" t="str">
        <f t="shared" si="500"/>
        <v>11L</v>
      </c>
    </row>
    <row r="15380" spans="1:6" x14ac:dyDescent="0.2">
      <c r="A15380">
        <v>12</v>
      </c>
      <c r="E15380" t="str">
        <f t="shared" si="499"/>
        <v>M</v>
      </c>
      <c r="F15380" t="str">
        <f t="shared" si="500"/>
        <v>12M</v>
      </c>
    </row>
    <row r="15381" spans="1:6" x14ac:dyDescent="0.2">
      <c r="A15381">
        <v>13</v>
      </c>
      <c r="E15381" t="str">
        <f t="shared" ref="E15381:E15444" si="501">E15355</f>
        <v>N</v>
      </c>
      <c r="F15381" t="str">
        <f t="shared" si="500"/>
        <v>13N</v>
      </c>
    </row>
    <row r="15382" spans="1:6" x14ac:dyDescent="0.2">
      <c r="A15382">
        <v>14</v>
      </c>
      <c r="E15382" t="str">
        <f t="shared" si="501"/>
        <v>O</v>
      </c>
      <c r="F15382" t="str">
        <f t="shared" si="500"/>
        <v>14O</v>
      </c>
    </row>
    <row r="15383" spans="1:6" x14ac:dyDescent="0.2">
      <c r="A15383">
        <v>15</v>
      </c>
      <c r="E15383" t="str">
        <f t="shared" si="501"/>
        <v>P</v>
      </c>
      <c r="F15383" t="str">
        <f t="shared" ref="F15383:F15446" si="502">A15383&amp;C15383&amp;E15383</f>
        <v>15P</v>
      </c>
    </row>
    <row r="15384" spans="1:6" x14ac:dyDescent="0.2">
      <c r="A15384">
        <v>16</v>
      </c>
      <c r="E15384" t="str">
        <f t="shared" si="501"/>
        <v>Q</v>
      </c>
      <c r="F15384" t="str">
        <f t="shared" si="502"/>
        <v>16Q</v>
      </c>
    </row>
    <row r="15385" spans="1:6" x14ac:dyDescent="0.2">
      <c r="A15385">
        <v>17</v>
      </c>
      <c r="E15385" t="str">
        <f t="shared" si="501"/>
        <v>R</v>
      </c>
      <c r="F15385" t="str">
        <f t="shared" si="502"/>
        <v>17R</v>
      </c>
    </row>
    <row r="15386" spans="1:6" x14ac:dyDescent="0.2">
      <c r="A15386">
        <v>18</v>
      </c>
      <c r="E15386" t="str">
        <f t="shared" si="501"/>
        <v>S</v>
      </c>
      <c r="F15386" t="str">
        <f t="shared" si="502"/>
        <v>18S</v>
      </c>
    </row>
    <row r="15387" spans="1:6" x14ac:dyDescent="0.2">
      <c r="A15387">
        <v>19</v>
      </c>
      <c r="E15387" t="str">
        <f t="shared" si="501"/>
        <v>T</v>
      </c>
      <c r="F15387" t="str">
        <f t="shared" si="502"/>
        <v>19T</v>
      </c>
    </row>
    <row r="15388" spans="1:6" x14ac:dyDescent="0.2">
      <c r="A15388">
        <v>20</v>
      </c>
      <c r="E15388" t="str">
        <f t="shared" si="501"/>
        <v>U</v>
      </c>
      <c r="F15388" t="str">
        <f t="shared" si="502"/>
        <v>20U</v>
      </c>
    </row>
    <row r="15389" spans="1:6" x14ac:dyDescent="0.2">
      <c r="A15389">
        <v>21</v>
      </c>
      <c r="E15389" t="str">
        <f t="shared" si="501"/>
        <v>V</v>
      </c>
      <c r="F15389" t="str">
        <f t="shared" si="502"/>
        <v>21V</v>
      </c>
    </row>
    <row r="15390" spans="1:6" x14ac:dyDescent="0.2">
      <c r="A15390">
        <v>22</v>
      </c>
      <c r="E15390" t="str">
        <f t="shared" si="501"/>
        <v>W</v>
      </c>
      <c r="F15390" t="str">
        <f t="shared" si="502"/>
        <v>22W</v>
      </c>
    </row>
    <row r="15391" spans="1:6" x14ac:dyDescent="0.2">
      <c r="A15391">
        <v>23</v>
      </c>
      <c r="E15391" t="str">
        <f t="shared" si="501"/>
        <v>X</v>
      </c>
      <c r="F15391" t="str">
        <f t="shared" si="502"/>
        <v>23X</v>
      </c>
    </row>
    <row r="15392" spans="1:6" x14ac:dyDescent="0.2">
      <c r="A15392">
        <v>24</v>
      </c>
      <c r="E15392" t="str">
        <f t="shared" si="501"/>
        <v>Y</v>
      </c>
      <c r="F15392" t="str">
        <f t="shared" si="502"/>
        <v>24Y</v>
      </c>
    </row>
    <row r="15393" spans="1:6" x14ac:dyDescent="0.2">
      <c r="A15393">
        <v>25</v>
      </c>
      <c r="E15393" t="str">
        <f t="shared" si="501"/>
        <v>Z</v>
      </c>
      <c r="F15393" t="str">
        <f t="shared" si="502"/>
        <v>25Z</v>
      </c>
    </row>
    <row r="15394" spans="1:6" x14ac:dyDescent="0.2">
      <c r="A15394">
        <v>0</v>
      </c>
      <c r="E15394" t="str">
        <f t="shared" si="501"/>
        <v>A</v>
      </c>
      <c r="F15394" t="str">
        <f t="shared" si="502"/>
        <v>0A</v>
      </c>
    </row>
    <row r="15395" spans="1:6" x14ac:dyDescent="0.2">
      <c r="A15395">
        <v>1</v>
      </c>
      <c r="E15395" t="str">
        <f t="shared" si="501"/>
        <v>B</v>
      </c>
      <c r="F15395" t="str">
        <f t="shared" si="502"/>
        <v>1B</v>
      </c>
    </row>
    <row r="15396" spans="1:6" x14ac:dyDescent="0.2">
      <c r="A15396">
        <v>2</v>
      </c>
      <c r="E15396" t="str">
        <f t="shared" si="501"/>
        <v>C</v>
      </c>
      <c r="F15396" t="str">
        <f t="shared" si="502"/>
        <v>2C</v>
      </c>
    </row>
    <row r="15397" spans="1:6" x14ac:dyDescent="0.2">
      <c r="A15397">
        <v>3</v>
      </c>
      <c r="E15397" t="str">
        <f t="shared" si="501"/>
        <v>D</v>
      </c>
      <c r="F15397" t="str">
        <f t="shared" si="502"/>
        <v>3D</v>
      </c>
    </row>
    <row r="15398" spans="1:6" x14ac:dyDescent="0.2">
      <c r="A15398">
        <v>4</v>
      </c>
      <c r="E15398" t="str">
        <f t="shared" si="501"/>
        <v>E</v>
      </c>
      <c r="F15398" t="str">
        <f t="shared" si="502"/>
        <v>4E</v>
      </c>
    </row>
    <row r="15399" spans="1:6" x14ac:dyDescent="0.2">
      <c r="A15399">
        <v>5</v>
      </c>
      <c r="E15399" t="str">
        <f t="shared" si="501"/>
        <v>F</v>
      </c>
      <c r="F15399" t="str">
        <f t="shared" si="502"/>
        <v>5F</v>
      </c>
    </row>
    <row r="15400" spans="1:6" x14ac:dyDescent="0.2">
      <c r="A15400">
        <v>6</v>
      </c>
      <c r="E15400" t="str">
        <f t="shared" si="501"/>
        <v>G</v>
      </c>
      <c r="F15400" t="str">
        <f t="shared" si="502"/>
        <v>6G</v>
      </c>
    </row>
    <row r="15401" spans="1:6" x14ac:dyDescent="0.2">
      <c r="A15401">
        <v>7</v>
      </c>
      <c r="E15401" t="str">
        <f t="shared" si="501"/>
        <v>H</v>
      </c>
      <c r="F15401" t="str">
        <f t="shared" si="502"/>
        <v>7H</v>
      </c>
    </row>
    <row r="15402" spans="1:6" x14ac:dyDescent="0.2">
      <c r="A15402">
        <v>8</v>
      </c>
      <c r="E15402" t="str">
        <f t="shared" si="501"/>
        <v>I</v>
      </c>
      <c r="F15402" t="str">
        <f t="shared" si="502"/>
        <v>8I</v>
      </c>
    </row>
    <row r="15403" spans="1:6" x14ac:dyDescent="0.2">
      <c r="A15403">
        <v>9</v>
      </c>
      <c r="E15403" t="str">
        <f t="shared" si="501"/>
        <v>J</v>
      </c>
      <c r="F15403" t="str">
        <f t="shared" si="502"/>
        <v>9J</v>
      </c>
    </row>
    <row r="15404" spans="1:6" x14ac:dyDescent="0.2">
      <c r="A15404">
        <v>10</v>
      </c>
      <c r="E15404" t="str">
        <f t="shared" si="501"/>
        <v>K</v>
      </c>
      <c r="F15404" t="str">
        <f t="shared" si="502"/>
        <v>10K</v>
      </c>
    </row>
    <row r="15405" spans="1:6" x14ac:dyDescent="0.2">
      <c r="A15405">
        <v>11</v>
      </c>
      <c r="E15405" t="str">
        <f t="shared" si="501"/>
        <v>L</v>
      </c>
      <c r="F15405" t="str">
        <f t="shared" si="502"/>
        <v>11L</v>
      </c>
    </row>
    <row r="15406" spans="1:6" x14ac:dyDescent="0.2">
      <c r="A15406">
        <v>12</v>
      </c>
      <c r="E15406" t="str">
        <f t="shared" si="501"/>
        <v>M</v>
      </c>
      <c r="F15406" t="str">
        <f t="shared" si="502"/>
        <v>12M</v>
      </c>
    </row>
    <row r="15407" spans="1:6" x14ac:dyDescent="0.2">
      <c r="A15407">
        <v>13</v>
      </c>
      <c r="E15407" t="str">
        <f t="shared" si="501"/>
        <v>N</v>
      </c>
      <c r="F15407" t="str">
        <f t="shared" si="502"/>
        <v>13N</v>
      </c>
    </row>
    <row r="15408" spans="1:6" x14ac:dyDescent="0.2">
      <c r="A15408">
        <v>14</v>
      </c>
      <c r="E15408" t="str">
        <f t="shared" si="501"/>
        <v>O</v>
      </c>
      <c r="F15408" t="str">
        <f t="shared" si="502"/>
        <v>14O</v>
      </c>
    </row>
    <row r="15409" spans="1:6" x14ac:dyDescent="0.2">
      <c r="A15409">
        <v>15</v>
      </c>
      <c r="E15409" t="str">
        <f t="shared" si="501"/>
        <v>P</v>
      </c>
      <c r="F15409" t="str">
        <f t="shared" si="502"/>
        <v>15P</v>
      </c>
    </row>
    <row r="15410" spans="1:6" x14ac:dyDescent="0.2">
      <c r="A15410">
        <v>16</v>
      </c>
      <c r="E15410" t="str">
        <f t="shared" si="501"/>
        <v>Q</v>
      </c>
      <c r="F15410" t="str">
        <f t="shared" si="502"/>
        <v>16Q</v>
      </c>
    </row>
    <row r="15411" spans="1:6" x14ac:dyDescent="0.2">
      <c r="A15411">
        <v>17</v>
      </c>
      <c r="E15411" t="str">
        <f t="shared" si="501"/>
        <v>R</v>
      </c>
      <c r="F15411" t="str">
        <f t="shared" si="502"/>
        <v>17R</v>
      </c>
    </row>
    <row r="15412" spans="1:6" x14ac:dyDescent="0.2">
      <c r="A15412">
        <v>18</v>
      </c>
      <c r="E15412" t="str">
        <f t="shared" si="501"/>
        <v>S</v>
      </c>
      <c r="F15412" t="str">
        <f t="shared" si="502"/>
        <v>18S</v>
      </c>
    </row>
    <row r="15413" spans="1:6" x14ac:dyDescent="0.2">
      <c r="A15413">
        <v>19</v>
      </c>
      <c r="E15413" t="str">
        <f t="shared" si="501"/>
        <v>T</v>
      </c>
      <c r="F15413" t="str">
        <f t="shared" si="502"/>
        <v>19T</v>
      </c>
    </row>
    <row r="15414" spans="1:6" x14ac:dyDescent="0.2">
      <c r="A15414">
        <v>20</v>
      </c>
      <c r="E15414" t="str">
        <f t="shared" si="501"/>
        <v>U</v>
      </c>
      <c r="F15414" t="str">
        <f t="shared" si="502"/>
        <v>20U</v>
      </c>
    </row>
    <row r="15415" spans="1:6" x14ac:dyDescent="0.2">
      <c r="A15415">
        <v>21</v>
      </c>
      <c r="E15415" t="str">
        <f t="shared" si="501"/>
        <v>V</v>
      </c>
      <c r="F15415" t="str">
        <f t="shared" si="502"/>
        <v>21V</v>
      </c>
    </row>
    <row r="15416" spans="1:6" x14ac:dyDescent="0.2">
      <c r="A15416">
        <v>22</v>
      </c>
      <c r="E15416" t="str">
        <f t="shared" si="501"/>
        <v>W</v>
      </c>
      <c r="F15416" t="str">
        <f t="shared" si="502"/>
        <v>22W</v>
      </c>
    </row>
    <row r="15417" spans="1:6" x14ac:dyDescent="0.2">
      <c r="A15417">
        <v>23</v>
      </c>
      <c r="E15417" t="str">
        <f t="shared" si="501"/>
        <v>X</v>
      </c>
      <c r="F15417" t="str">
        <f t="shared" si="502"/>
        <v>23X</v>
      </c>
    </row>
    <row r="15418" spans="1:6" x14ac:dyDescent="0.2">
      <c r="A15418">
        <v>24</v>
      </c>
      <c r="E15418" t="str">
        <f t="shared" si="501"/>
        <v>Y</v>
      </c>
      <c r="F15418" t="str">
        <f t="shared" si="502"/>
        <v>24Y</v>
      </c>
    </row>
    <row r="15419" spans="1:6" x14ac:dyDescent="0.2">
      <c r="A15419">
        <v>25</v>
      </c>
      <c r="E15419" t="str">
        <f t="shared" si="501"/>
        <v>Z</v>
      </c>
      <c r="F15419" t="str">
        <f t="shared" si="502"/>
        <v>25Z</v>
      </c>
    </row>
    <row r="15420" spans="1:6" x14ac:dyDescent="0.2">
      <c r="A15420">
        <v>0</v>
      </c>
      <c r="E15420" t="str">
        <f t="shared" si="501"/>
        <v>A</v>
      </c>
      <c r="F15420" t="str">
        <f t="shared" si="502"/>
        <v>0A</v>
      </c>
    </row>
    <row r="15421" spans="1:6" x14ac:dyDescent="0.2">
      <c r="A15421">
        <v>1</v>
      </c>
      <c r="E15421" t="str">
        <f t="shared" si="501"/>
        <v>B</v>
      </c>
      <c r="F15421" t="str">
        <f t="shared" si="502"/>
        <v>1B</v>
      </c>
    </row>
    <row r="15422" spans="1:6" x14ac:dyDescent="0.2">
      <c r="A15422">
        <v>2</v>
      </c>
      <c r="E15422" t="str">
        <f t="shared" si="501"/>
        <v>C</v>
      </c>
      <c r="F15422" t="str">
        <f t="shared" si="502"/>
        <v>2C</v>
      </c>
    </row>
    <row r="15423" spans="1:6" x14ac:dyDescent="0.2">
      <c r="A15423">
        <v>3</v>
      </c>
      <c r="E15423" t="str">
        <f t="shared" si="501"/>
        <v>D</v>
      </c>
      <c r="F15423" t="str">
        <f t="shared" si="502"/>
        <v>3D</v>
      </c>
    </row>
    <row r="15424" spans="1:6" x14ac:dyDescent="0.2">
      <c r="A15424">
        <v>4</v>
      </c>
      <c r="E15424" t="str">
        <f t="shared" si="501"/>
        <v>E</v>
      </c>
      <c r="F15424" t="str">
        <f t="shared" si="502"/>
        <v>4E</v>
      </c>
    </row>
    <row r="15425" spans="1:6" x14ac:dyDescent="0.2">
      <c r="A15425">
        <v>5</v>
      </c>
      <c r="E15425" t="str">
        <f t="shared" si="501"/>
        <v>F</v>
      </c>
      <c r="F15425" t="str">
        <f t="shared" si="502"/>
        <v>5F</v>
      </c>
    </row>
    <row r="15426" spans="1:6" x14ac:dyDescent="0.2">
      <c r="A15426">
        <v>6</v>
      </c>
      <c r="E15426" t="str">
        <f t="shared" si="501"/>
        <v>G</v>
      </c>
      <c r="F15426" t="str">
        <f t="shared" si="502"/>
        <v>6G</v>
      </c>
    </row>
    <row r="15427" spans="1:6" x14ac:dyDescent="0.2">
      <c r="A15427">
        <v>7</v>
      </c>
      <c r="E15427" t="str">
        <f t="shared" si="501"/>
        <v>H</v>
      </c>
      <c r="F15427" t="str">
        <f t="shared" si="502"/>
        <v>7H</v>
      </c>
    </row>
    <row r="15428" spans="1:6" x14ac:dyDescent="0.2">
      <c r="A15428">
        <v>8</v>
      </c>
      <c r="E15428" t="str">
        <f t="shared" si="501"/>
        <v>I</v>
      </c>
      <c r="F15428" t="str">
        <f t="shared" si="502"/>
        <v>8I</v>
      </c>
    </row>
    <row r="15429" spans="1:6" x14ac:dyDescent="0.2">
      <c r="A15429">
        <v>9</v>
      </c>
      <c r="E15429" t="str">
        <f t="shared" si="501"/>
        <v>J</v>
      </c>
      <c r="F15429" t="str">
        <f t="shared" si="502"/>
        <v>9J</v>
      </c>
    </row>
    <row r="15430" spans="1:6" x14ac:dyDescent="0.2">
      <c r="A15430">
        <v>10</v>
      </c>
      <c r="E15430" t="str">
        <f t="shared" si="501"/>
        <v>K</v>
      </c>
      <c r="F15430" t="str">
        <f t="shared" si="502"/>
        <v>10K</v>
      </c>
    </row>
    <row r="15431" spans="1:6" x14ac:dyDescent="0.2">
      <c r="A15431">
        <v>11</v>
      </c>
      <c r="E15431" t="str">
        <f t="shared" si="501"/>
        <v>L</v>
      </c>
      <c r="F15431" t="str">
        <f t="shared" si="502"/>
        <v>11L</v>
      </c>
    </row>
    <row r="15432" spans="1:6" x14ac:dyDescent="0.2">
      <c r="A15432">
        <v>12</v>
      </c>
      <c r="E15432" t="str">
        <f t="shared" si="501"/>
        <v>M</v>
      </c>
      <c r="F15432" t="str">
        <f t="shared" si="502"/>
        <v>12M</v>
      </c>
    </row>
    <row r="15433" spans="1:6" x14ac:dyDescent="0.2">
      <c r="A15433">
        <v>13</v>
      </c>
      <c r="E15433" t="str">
        <f t="shared" si="501"/>
        <v>N</v>
      </c>
      <c r="F15433" t="str">
        <f t="shared" si="502"/>
        <v>13N</v>
      </c>
    </row>
    <row r="15434" spans="1:6" x14ac:dyDescent="0.2">
      <c r="A15434">
        <v>14</v>
      </c>
      <c r="E15434" t="str">
        <f t="shared" si="501"/>
        <v>O</v>
      </c>
      <c r="F15434" t="str">
        <f t="shared" si="502"/>
        <v>14O</v>
      </c>
    </row>
    <row r="15435" spans="1:6" x14ac:dyDescent="0.2">
      <c r="A15435">
        <v>15</v>
      </c>
      <c r="E15435" t="str">
        <f t="shared" si="501"/>
        <v>P</v>
      </c>
      <c r="F15435" t="str">
        <f t="shared" si="502"/>
        <v>15P</v>
      </c>
    </row>
    <row r="15436" spans="1:6" x14ac:dyDescent="0.2">
      <c r="A15436">
        <v>16</v>
      </c>
      <c r="E15436" t="str">
        <f t="shared" si="501"/>
        <v>Q</v>
      </c>
      <c r="F15436" t="str">
        <f t="shared" si="502"/>
        <v>16Q</v>
      </c>
    </row>
    <row r="15437" spans="1:6" x14ac:dyDescent="0.2">
      <c r="A15437">
        <v>17</v>
      </c>
      <c r="E15437" t="str">
        <f t="shared" si="501"/>
        <v>R</v>
      </c>
      <c r="F15437" t="str">
        <f t="shared" si="502"/>
        <v>17R</v>
      </c>
    </row>
    <row r="15438" spans="1:6" x14ac:dyDescent="0.2">
      <c r="A15438">
        <v>18</v>
      </c>
      <c r="E15438" t="str">
        <f t="shared" si="501"/>
        <v>S</v>
      </c>
      <c r="F15438" t="str">
        <f t="shared" si="502"/>
        <v>18S</v>
      </c>
    </row>
    <row r="15439" spans="1:6" x14ac:dyDescent="0.2">
      <c r="A15439">
        <v>19</v>
      </c>
      <c r="E15439" t="str">
        <f t="shared" si="501"/>
        <v>T</v>
      </c>
      <c r="F15439" t="str">
        <f t="shared" si="502"/>
        <v>19T</v>
      </c>
    </row>
    <row r="15440" spans="1:6" x14ac:dyDescent="0.2">
      <c r="A15440">
        <v>20</v>
      </c>
      <c r="E15440" t="str">
        <f t="shared" si="501"/>
        <v>U</v>
      </c>
      <c r="F15440" t="str">
        <f t="shared" si="502"/>
        <v>20U</v>
      </c>
    </row>
    <row r="15441" spans="1:6" x14ac:dyDescent="0.2">
      <c r="A15441">
        <v>21</v>
      </c>
      <c r="E15441" t="str">
        <f t="shared" si="501"/>
        <v>V</v>
      </c>
      <c r="F15441" t="str">
        <f t="shared" si="502"/>
        <v>21V</v>
      </c>
    </row>
    <row r="15442" spans="1:6" x14ac:dyDescent="0.2">
      <c r="A15442">
        <v>22</v>
      </c>
      <c r="E15442" t="str">
        <f t="shared" si="501"/>
        <v>W</v>
      </c>
      <c r="F15442" t="str">
        <f t="shared" si="502"/>
        <v>22W</v>
      </c>
    </row>
    <row r="15443" spans="1:6" x14ac:dyDescent="0.2">
      <c r="A15443">
        <v>23</v>
      </c>
      <c r="E15443" t="str">
        <f t="shared" si="501"/>
        <v>X</v>
      </c>
      <c r="F15443" t="str">
        <f t="shared" si="502"/>
        <v>23X</v>
      </c>
    </row>
    <row r="15444" spans="1:6" x14ac:dyDescent="0.2">
      <c r="A15444">
        <v>24</v>
      </c>
      <c r="E15444" t="str">
        <f t="shared" si="501"/>
        <v>Y</v>
      </c>
      <c r="F15444" t="str">
        <f t="shared" si="502"/>
        <v>24Y</v>
      </c>
    </row>
    <row r="15445" spans="1:6" x14ac:dyDescent="0.2">
      <c r="A15445">
        <v>25</v>
      </c>
      <c r="E15445" t="str">
        <f t="shared" ref="E15445:E15508" si="503">E15419</f>
        <v>Z</v>
      </c>
      <c r="F15445" t="str">
        <f t="shared" si="502"/>
        <v>25Z</v>
      </c>
    </row>
    <row r="15446" spans="1:6" x14ac:dyDescent="0.2">
      <c r="A15446">
        <v>0</v>
      </c>
      <c r="E15446" t="str">
        <f t="shared" si="503"/>
        <v>A</v>
      </c>
      <c r="F15446" t="str">
        <f t="shared" si="502"/>
        <v>0A</v>
      </c>
    </row>
    <row r="15447" spans="1:6" x14ac:dyDescent="0.2">
      <c r="A15447">
        <v>1</v>
      </c>
      <c r="E15447" t="str">
        <f t="shared" si="503"/>
        <v>B</v>
      </c>
      <c r="F15447" t="str">
        <f t="shared" ref="F15447:F15510" si="504">A15447&amp;C15447&amp;E15447</f>
        <v>1B</v>
      </c>
    </row>
    <row r="15448" spans="1:6" x14ac:dyDescent="0.2">
      <c r="A15448">
        <v>2</v>
      </c>
      <c r="E15448" t="str">
        <f t="shared" si="503"/>
        <v>C</v>
      </c>
      <c r="F15448" t="str">
        <f t="shared" si="504"/>
        <v>2C</v>
      </c>
    </row>
    <row r="15449" spans="1:6" x14ac:dyDescent="0.2">
      <c r="A15449">
        <v>3</v>
      </c>
      <c r="E15449" t="str">
        <f t="shared" si="503"/>
        <v>D</v>
      </c>
      <c r="F15449" t="str">
        <f t="shared" si="504"/>
        <v>3D</v>
      </c>
    </row>
    <row r="15450" spans="1:6" x14ac:dyDescent="0.2">
      <c r="A15450">
        <v>4</v>
      </c>
      <c r="E15450" t="str">
        <f t="shared" si="503"/>
        <v>E</v>
      </c>
      <c r="F15450" t="str">
        <f t="shared" si="504"/>
        <v>4E</v>
      </c>
    </row>
    <row r="15451" spans="1:6" x14ac:dyDescent="0.2">
      <c r="A15451">
        <v>5</v>
      </c>
      <c r="E15451" t="str">
        <f t="shared" si="503"/>
        <v>F</v>
      </c>
      <c r="F15451" t="str">
        <f t="shared" si="504"/>
        <v>5F</v>
      </c>
    </row>
    <row r="15452" spans="1:6" x14ac:dyDescent="0.2">
      <c r="A15452">
        <v>6</v>
      </c>
      <c r="E15452" t="str">
        <f t="shared" si="503"/>
        <v>G</v>
      </c>
      <c r="F15452" t="str">
        <f t="shared" si="504"/>
        <v>6G</v>
      </c>
    </row>
    <row r="15453" spans="1:6" x14ac:dyDescent="0.2">
      <c r="A15453">
        <v>7</v>
      </c>
      <c r="E15453" t="str">
        <f t="shared" si="503"/>
        <v>H</v>
      </c>
      <c r="F15453" t="str">
        <f t="shared" si="504"/>
        <v>7H</v>
      </c>
    </row>
    <row r="15454" spans="1:6" x14ac:dyDescent="0.2">
      <c r="A15454">
        <v>8</v>
      </c>
      <c r="E15454" t="str">
        <f t="shared" si="503"/>
        <v>I</v>
      </c>
      <c r="F15454" t="str">
        <f t="shared" si="504"/>
        <v>8I</v>
      </c>
    </row>
    <row r="15455" spans="1:6" x14ac:dyDescent="0.2">
      <c r="A15455">
        <v>9</v>
      </c>
      <c r="E15455" t="str">
        <f t="shared" si="503"/>
        <v>J</v>
      </c>
      <c r="F15455" t="str">
        <f t="shared" si="504"/>
        <v>9J</v>
      </c>
    </row>
    <row r="15456" spans="1:6" x14ac:dyDescent="0.2">
      <c r="A15456">
        <v>10</v>
      </c>
      <c r="E15456" t="str">
        <f t="shared" si="503"/>
        <v>K</v>
      </c>
      <c r="F15456" t="str">
        <f t="shared" si="504"/>
        <v>10K</v>
      </c>
    </row>
    <row r="15457" spans="1:6" x14ac:dyDescent="0.2">
      <c r="A15457">
        <v>11</v>
      </c>
      <c r="E15457" t="str">
        <f t="shared" si="503"/>
        <v>L</v>
      </c>
      <c r="F15457" t="str">
        <f t="shared" si="504"/>
        <v>11L</v>
      </c>
    </row>
    <row r="15458" spans="1:6" x14ac:dyDescent="0.2">
      <c r="A15458">
        <v>12</v>
      </c>
      <c r="E15458" t="str">
        <f t="shared" si="503"/>
        <v>M</v>
      </c>
      <c r="F15458" t="str">
        <f t="shared" si="504"/>
        <v>12M</v>
      </c>
    </row>
    <row r="15459" spans="1:6" x14ac:dyDescent="0.2">
      <c r="A15459">
        <v>13</v>
      </c>
      <c r="E15459" t="str">
        <f t="shared" si="503"/>
        <v>N</v>
      </c>
      <c r="F15459" t="str">
        <f t="shared" si="504"/>
        <v>13N</v>
      </c>
    </row>
    <row r="15460" spans="1:6" x14ac:dyDescent="0.2">
      <c r="A15460">
        <v>14</v>
      </c>
      <c r="E15460" t="str">
        <f t="shared" si="503"/>
        <v>O</v>
      </c>
      <c r="F15460" t="str">
        <f t="shared" si="504"/>
        <v>14O</v>
      </c>
    </row>
    <row r="15461" spans="1:6" x14ac:dyDescent="0.2">
      <c r="A15461">
        <v>15</v>
      </c>
      <c r="E15461" t="str">
        <f t="shared" si="503"/>
        <v>P</v>
      </c>
      <c r="F15461" t="str">
        <f t="shared" si="504"/>
        <v>15P</v>
      </c>
    </row>
    <row r="15462" spans="1:6" x14ac:dyDescent="0.2">
      <c r="A15462">
        <v>16</v>
      </c>
      <c r="E15462" t="str">
        <f t="shared" si="503"/>
        <v>Q</v>
      </c>
      <c r="F15462" t="str">
        <f t="shared" si="504"/>
        <v>16Q</v>
      </c>
    </row>
    <row r="15463" spans="1:6" x14ac:dyDescent="0.2">
      <c r="A15463">
        <v>17</v>
      </c>
      <c r="E15463" t="str">
        <f t="shared" si="503"/>
        <v>R</v>
      </c>
      <c r="F15463" t="str">
        <f t="shared" si="504"/>
        <v>17R</v>
      </c>
    </row>
    <row r="15464" spans="1:6" x14ac:dyDescent="0.2">
      <c r="A15464">
        <v>18</v>
      </c>
      <c r="E15464" t="str">
        <f t="shared" si="503"/>
        <v>S</v>
      </c>
      <c r="F15464" t="str">
        <f t="shared" si="504"/>
        <v>18S</v>
      </c>
    </row>
    <row r="15465" spans="1:6" x14ac:dyDescent="0.2">
      <c r="A15465">
        <v>19</v>
      </c>
      <c r="E15465" t="str">
        <f t="shared" si="503"/>
        <v>T</v>
      </c>
      <c r="F15465" t="str">
        <f t="shared" si="504"/>
        <v>19T</v>
      </c>
    </row>
    <row r="15466" spans="1:6" x14ac:dyDescent="0.2">
      <c r="A15466">
        <v>20</v>
      </c>
      <c r="E15466" t="str">
        <f t="shared" si="503"/>
        <v>U</v>
      </c>
      <c r="F15466" t="str">
        <f t="shared" si="504"/>
        <v>20U</v>
      </c>
    </row>
    <row r="15467" spans="1:6" x14ac:dyDescent="0.2">
      <c r="A15467">
        <v>21</v>
      </c>
      <c r="E15467" t="str">
        <f t="shared" si="503"/>
        <v>V</v>
      </c>
      <c r="F15467" t="str">
        <f t="shared" si="504"/>
        <v>21V</v>
      </c>
    </row>
    <row r="15468" spans="1:6" x14ac:dyDescent="0.2">
      <c r="A15468">
        <v>22</v>
      </c>
      <c r="E15468" t="str">
        <f t="shared" si="503"/>
        <v>W</v>
      </c>
      <c r="F15468" t="str">
        <f t="shared" si="504"/>
        <v>22W</v>
      </c>
    </row>
    <row r="15469" spans="1:6" x14ac:dyDescent="0.2">
      <c r="A15469">
        <v>23</v>
      </c>
      <c r="E15469" t="str">
        <f t="shared" si="503"/>
        <v>X</v>
      </c>
      <c r="F15469" t="str">
        <f t="shared" si="504"/>
        <v>23X</v>
      </c>
    </row>
    <row r="15470" spans="1:6" x14ac:dyDescent="0.2">
      <c r="A15470">
        <v>24</v>
      </c>
      <c r="E15470" t="str">
        <f t="shared" si="503"/>
        <v>Y</v>
      </c>
      <c r="F15470" t="str">
        <f t="shared" si="504"/>
        <v>24Y</v>
      </c>
    </row>
    <row r="15471" spans="1:6" x14ac:dyDescent="0.2">
      <c r="A15471">
        <v>25</v>
      </c>
      <c r="E15471" t="str">
        <f t="shared" si="503"/>
        <v>Z</v>
      </c>
      <c r="F15471" t="str">
        <f t="shared" si="504"/>
        <v>25Z</v>
      </c>
    </row>
    <row r="15472" spans="1:6" x14ac:dyDescent="0.2">
      <c r="A15472">
        <v>0</v>
      </c>
      <c r="E15472" t="str">
        <f t="shared" si="503"/>
        <v>A</v>
      </c>
      <c r="F15472" t="str">
        <f t="shared" si="504"/>
        <v>0A</v>
      </c>
    </row>
    <row r="15473" spans="1:6" x14ac:dyDescent="0.2">
      <c r="A15473">
        <v>1</v>
      </c>
      <c r="E15473" t="str">
        <f t="shared" si="503"/>
        <v>B</v>
      </c>
      <c r="F15473" t="str">
        <f t="shared" si="504"/>
        <v>1B</v>
      </c>
    </row>
    <row r="15474" spans="1:6" x14ac:dyDescent="0.2">
      <c r="A15474">
        <v>2</v>
      </c>
      <c r="E15474" t="str">
        <f t="shared" si="503"/>
        <v>C</v>
      </c>
      <c r="F15474" t="str">
        <f t="shared" si="504"/>
        <v>2C</v>
      </c>
    </row>
    <row r="15475" spans="1:6" x14ac:dyDescent="0.2">
      <c r="A15475">
        <v>3</v>
      </c>
      <c r="E15475" t="str">
        <f t="shared" si="503"/>
        <v>D</v>
      </c>
      <c r="F15475" t="str">
        <f t="shared" si="504"/>
        <v>3D</v>
      </c>
    </row>
    <row r="15476" spans="1:6" x14ac:dyDescent="0.2">
      <c r="A15476">
        <v>4</v>
      </c>
      <c r="E15476" t="str">
        <f t="shared" si="503"/>
        <v>E</v>
      </c>
      <c r="F15476" t="str">
        <f t="shared" si="504"/>
        <v>4E</v>
      </c>
    </row>
    <row r="15477" spans="1:6" x14ac:dyDescent="0.2">
      <c r="A15477">
        <v>5</v>
      </c>
      <c r="E15477" t="str">
        <f t="shared" si="503"/>
        <v>F</v>
      </c>
      <c r="F15477" t="str">
        <f t="shared" si="504"/>
        <v>5F</v>
      </c>
    </row>
    <row r="15478" spans="1:6" x14ac:dyDescent="0.2">
      <c r="A15478">
        <v>6</v>
      </c>
      <c r="E15478" t="str">
        <f t="shared" si="503"/>
        <v>G</v>
      </c>
      <c r="F15478" t="str">
        <f t="shared" si="504"/>
        <v>6G</v>
      </c>
    </row>
    <row r="15479" spans="1:6" x14ac:dyDescent="0.2">
      <c r="A15479">
        <v>7</v>
      </c>
      <c r="E15479" t="str">
        <f t="shared" si="503"/>
        <v>H</v>
      </c>
      <c r="F15479" t="str">
        <f t="shared" si="504"/>
        <v>7H</v>
      </c>
    </row>
    <row r="15480" spans="1:6" x14ac:dyDescent="0.2">
      <c r="A15480">
        <v>8</v>
      </c>
      <c r="E15480" t="str">
        <f t="shared" si="503"/>
        <v>I</v>
      </c>
      <c r="F15480" t="str">
        <f t="shared" si="504"/>
        <v>8I</v>
      </c>
    </row>
    <row r="15481" spans="1:6" x14ac:dyDescent="0.2">
      <c r="A15481">
        <v>9</v>
      </c>
      <c r="E15481" t="str">
        <f t="shared" si="503"/>
        <v>J</v>
      </c>
      <c r="F15481" t="str">
        <f t="shared" si="504"/>
        <v>9J</v>
      </c>
    </row>
    <row r="15482" spans="1:6" x14ac:dyDescent="0.2">
      <c r="A15482">
        <v>10</v>
      </c>
      <c r="E15482" t="str">
        <f t="shared" si="503"/>
        <v>K</v>
      </c>
      <c r="F15482" t="str">
        <f t="shared" si="504"/>
        <v>10K</v>
      </c>
    </row>
    <row r="15483" spans="1:6" x14ac:dyDescent="0.2">
      <c r="A15483">
        <v>11</v>
      </c>
      <c r="E15483" t="str">
        <f t="shared" si="503"/>
        <v>L</v>
      </c>
      <c r="F15483" t="str">
        <f t="shared" si="504"/>
        <v>11L</v>
      </c>
    </row>
    <row r="15484" spans="1:6" x14ac:dyDescent="0.2">
      <c r="A15484">
        <v>12</v>
      </c>
      <c r="E15484" t="str">
        <f t="shared" si="503"/>
        <v>M</v>
      </c>
      <c r="F15484" t="str">
        <f t="shared" si="504"/>
        <v>12M</v>
      </c>
    </row>
    <row r="15485" spans="1:6" x14ac:dyDescent="0.2">
      <c r="A15485">
        <v>13</v>
      </c>
      <c r="E15485" t="str">
        <f t="shared" si="503"/>
        <v>N</v>
      </c>
      <c r="F15485" t="str">
        <f t="shared" si="504"/>
        <v>13N</v>
      </c>
    </row>
    <row r="15486" spans="1:6" x14ac:dyDescent="0.2">
      <c r="A15486">
        <v>14</v>
      </c>
      <c r="E15486" t="str">
        <f t="shared" si="503"/>
        <v>O</v>
      </c>
      <c r="F15486" t="str">
        <f t="shared" si="504"/>
        <v>14O</v>
      </c>
    </row>
    <row r="15487" spans="1:6" x14ac:dyDescent="0.2">
      <c r="A15487">
        <v>15</v>
      </c>
      <c r="E15487" t="str">
        <f t="shared" si="503"/>
        <v>P</v>
      </c>
      <c r="F15487" t="str">
        <f t="shared" si="504"/>
        <v>15P</v>
      </c>
    </row>
    <row r="15488" spans="1:6" x14ac:dyDescent="0.2">
      <c r="A15488">
        <v>16</v>
      </c>
      <c r="E15488" t="str">
        <f t="shared" si="503"/>
        <v>Q</v>
      </c>
      <c r="F15488" t="str">
        <f t="shared" si="504"/>
        <v>16Q</v>
      </c>
    </row>
    <row r="15489" spans="1:6" x14ac:dyDescent="0.2">
      <c r="A15489">
        <v>17</v>
      </c>
      <c r="E15489" t="str">
        <f t="shared" si="503"/>
        <v>R</v>
      </c>
      <c r="F15489" t="str">
        <f t="shared" si="504"/>
        <v>17R</v>
      </c>
    </row>
    <row r="15490" spans="1:6" x14ac:dyDescent="0.2">
      <c r="A15490">
        <v>18</v>
      </c>
      <c r="E15490" t="str">
        <f t="shared" si="503"/>
        <v>S</v>
      </c>
      <c r="F15490" t="str">
        <f t="shared" si="504"/>
        <v>18S</v>
      </c>
    </row>
    <row r="15491" spans="1:6" x14ac:dyDescent="0.2">
      <c r="A15491">
        <v>19</v>
      </c>
      <c r="E15491" t="str">
        <f t="shared" si="503"/>
        <v>T</v>
      </c>
      <c r="F15491" t="str">
        <f t="shared" si="504"/>
        <v>19T</v>
      </c>
    </row>
    <row r="15492" spans="1:6" x14ac:dyDescent="0.2">
      <c r="A15492">
        <v>20</v>
      </c>
      <c r="E15492" t="str">
        <f t="shared" si="503"/>
        <v>U</v>
      </c>
      <c r="F15492" t="str">
        <f t="shared" si="504"/>
        <v>20U</v>
      </c>
    </row>
    <row r="15493" spans="1:6" x14ac:dyDescent="0.2">
      <c r="A15493">
        <v>21</v>
      </c>
      <c r="E15493" t="str">
        <f t="shared" si="503"/>
        <v>V</v>
      </c>
      <c r="F15493" t="str">
        <f t="shared" si="504"/>
        <v>21V</v>
      </c>
    </row>
    <row r="15494" spans="1:6" x14ac:dyDescent="0.2">
      <c r="A15494">
        <v>22</v>
      </c>
      <c r="E15494" t="str">
        <f t="shared" si="503"/>
        <v>W</v>
      </c>
      <c r="F15494" t="str">
        <f t="shared" si="504"/>
        <v>22W</v>
      </c>
    </row>
    <row r="15495" spans="1:6" x14ac:dyDescent="0.2">
      <c r="A15495">
        <v>23</v>
      </c>
      <c r="E15495" t="str">
        <f t="shared" si="503"/>
        <v>X</v>
      </c>
      <c r="F15495" t="str">
        <f t="shared" si="504"/>
        <v>23X</v>
      </c>
    </row>
    <row r="15496" spans="1:6" x14ac:dyDescent="0.2">
      <c r="A15496">
        <v>24</v>
      </c>
      <c r="E15496" t="str">
        <f t="shared" si="503"/>
        <v>Y</v>
      </c>
      <c r="F15496" t="str">
        <f t="shared" si="504"/>
        <v>24Y</v>
      </c>
    </row>
    <row r="15497" spans="1:6" x14ac:dyDescent="0.2">
      <c r="A15497">
        <v>25</v>
      </c>
      <c r="E15497" t="str">
        <f t="shared" si="503"/>
        <v>Z</v>
      </c>
      <c r="F15497" t="str">
        <f t="shared" si="504"/>
        <v>25Z</v>
      </c>
    </row>
    <row r="15498" spans="1:6" x14ac:dyDescent="0.2">
      <c r="A15498">
        <v>0</v>
      </c>
      <c r="E15498" t="str">
        <f t="shared" si="503"/>
        <v>A</v>
      </c>
      <c r="F15498" t="str">
        <f t="shared" si="504"/>
        <v>0A</v>
      </c>
    </row>
    <row r="15499" spans="1:6" x14ac:dyDescent="0.2">
      <c r="A15499">
        <v>1</v>
      </c>
      <c r="E15499" t="str">
        <f t="shared" si="503"/>
        <v>B</v>
      </c>
      <c r="F15499" t="str">
        <f t="shared" si="504"/>
        <v>1B</v>
      </c>
    </row>
    <row r="15500" spans="1:6" x14ac:dyDescent="0.2">
      <c r="A15500">
        <v>2</v>
      </c>
      <c r="E15500" t="str">
        <f t="shared" si="503"/>
        <v>C</v>
      </c>
      <c r="F15500" t="str">
        <f t="shared" si="504"/>
        <v>2C</v>
      </c>
    </row>
    <row r="15501" spans="1:6" x14ac:dyDescent="0.2">
      <c r="A15501">
        <v>3</v>
      </c>
      <c r="E15501" t="str">
        <f t="shared" si="503"/>
        <v>D</v>
      </c>
      <c r="F15501" t="str">
        <f t="shared" si="504"/>
        <v>3D</v>
      </c>
    </row>
    <row r="15502" spans="1:6" x14ac:dyDescent="0.2">
      <c r="A15502">
        <v>4</v>
      </c>
      <c r="E15502" t="str">
        <f t="shared" si="503"/>
        <v>E</v>
      </c>
      <c r="F15502" t="str">
        <f t="shared" si="504"/>
        <v>4E</v>
      </c>
    </row>
    <row r="15503" spans="1:6" x14ac:dyDescent="0.2">
      <c r="A15503">
        <v>5</v>
      </c>
      <c r="E15503" t="str">
        <f t="shared" si="503"/>
        <v>F</v>
      </c>
      <c r="F15503" t="str">
        <f t="shared" si="504"/>
        <v>5F</v>
      </c>
    </row>
    <row r="15504" spans="1:6" x14ac:dyDescent="0.2">
      <c r="A15504">
        <v>6</v>
      </c>
      <c r="E15504" t="str">
        <f t="shared" si="503"/>
        <v>G</v>
      </c>
      <c r="F15504" t="str">
        <f t="shared" si="504"/>
        <v>6G</v>
      </c>
    </row>
    <row r="15505" spans="1:6" x14ac:dyDescent="0.2">
      <c r="A15505">
        <v>7</v>
      </c>
      <c r="E15505" t="str">
        <f t="shared" si="503"/>
        <v>H</v>
      </c>
      <c r="F15505" t="str">
        <f t="shared" si="504"/>
        <v>7H</v>
      </c>
    </row>
    <row r="15506" spans="1:6" x14ac:dyDescent="0.2">
      <c r="A15506">
        <v>8</v>
      </c>
      <c r="E15506" t="str">
        <f t="shared" si="503"/>
        <v>I</v>
      </c>
      <c r="F15506" t="str">
        <f t="shared" si="504"/>
        <v>8I</v>
      </c>
    </row>
    <row r="15507" spans="1:6" x14ac:dyDescent="0.2">
      <c r="A15507">
        <v>9</v>
      </c>
      <c r="E15507" t="str">
        <f t="shared" si="503"/>
        <v>J</v>
      </c>
      <c r="F15507" t="str">
        <f t="shared" si="504"/>
        <v>9J</v>
      </c>
    </row>
    <row r="15508" spans="1:6" x14ac:dyDescent="0.2">
      <c r="A15508">
        <v>10</v>
      </c>
      <c r="E15508" t="str">
        <f t="shared" si="503"/>
        <v>K</v>
      </c>
      <c r="F15508" t="str">
        <f t="shared" si="504"/>
        <v>10K</v>
      </c>
    </row>
    <row r="15509" spans="1:6" x14ac:dyDescent="0.2">
      <c r="A15509">
        <v>11</v>
      </c>
      <c r="E15509" t="str">
        <f t="shared" ref="E15509:E15572" si="505">E15483</f>
        <v>L</v>
      </c>
      <c r="F15509" t="str">
        <f t="shared" si="504"/>
        <v>11L</v>
      </c>
    </row>
    <row r="15510" spans="1:6" x14ac:dyDescent="0.2">
      <c r="A15510">
        <v>12</v>
      </c>
      <c r="E15510" t="str">
        <f t="shared" si="505"/>
        <v>M</v>
      </c>
      <c r="F15510" t="str">
        <f t="shared" si="504"/>
        <v>12M</v>
      </c>
    </row>
    <row r="15511" spans="1:6" x14ac:dyDescent="0.2">
      <c r="A15511">
        <v>13</v>
      </c>
      <c r="E15511" t="str">
        <f t="shared" si="505"/>
        <v>N</v>
      </c>
      <c r="F15511" t="str">
        <f t="shared" ref="F15511:F15574" si="506">A15511&amp;C15511&amp;E15511</f>
        <v>13N</v>
      </c>
    </row>
    <row r="15512" spans="1:6" x14ac:dyDescent="0.2">
      <c r="A15512">
        <v>14</v>
      </c>
      <c r="E15512" t="str">
        <f t="shared" si="505"/>
        <v>O</v>
      </c>
      <c r="F15512" t="str">
        <f t="shared" si="506"/>
        <v>14O</v>
      </c>
    </row>
    <row r="15513" spans="1:6" x14ac:dyDescent="0.2">
      <c r="A15513">
        <v>15</v>
      </c>
      <c r="E15513" t="str">
        <f t="shared" si="505"/>
        <v>P</v>
      </c>
      <c r="F15513" t="str">
        <f t="shared" si="506"/>
        <v>15P</v>
      </c>
    </row>
    <row r="15514" spans="1:6" x14ac:dyDescent="0.2">
      <c r="A15514">
        <v>16</v>
      </c>
      <c r="E15514" t="str">
        <f t="shared" si="505"/>
        <v>Q</v>
      </c>
      <c r="F15514" t="str">
        <f t="shared" si="506"/>
        <v>16Q</v>
      </c>
    </row>
    <row r="15515" spans="1:6" x14ac:dyDescent="0.2">
      <c r="A15515">
        <v>17</v>
      </c>
      <c r="E15515" t="str">
        <f t="shared" si="505"/>
        <v>R</v>
      </c>
      <c r="F15515" t="str">
        <f t="shared" si="506"/>
        <v>17R</v>
      </c>
    </row>
    <row r="15516" spans="1:6" x14ac:dyDescent="0.2">
      <c r="A15516">
        <v>18</v>
      </c>
      <c r="E15516" t="str">
        <f t="shared" si="505"/>
        <v>S</v>
      </c>
      <c r="F15516" t="str">
        <f t="shared" si="506"/>
        <v>18S</v>
      </c>
    </row>
    <row r="15517" spans="1:6" x14ac:dyDescent="0.2">
      <c r="A15517">
        <v>19</v>
      </c>
      <c r="E15517" t="str">
        <f t="shared" si="505"/>
        <v>T</v>
      </c>
      <c r="F15517" t="str">
        <f t="shared" si="506"/>
        <v>19T</v>
      </c>
    </row>
    <row r="15518" spans="1:6" x14ac:dyDescent="0.2">
      <c r="A15518">
        <v>20</v>
      </c>
      <c r="E15518" t="str">
        <f t="shared" si="505"/>
        <v>U</v>
      </c>
      <c r="F15518" t="str">
        <f t="shared" si="506"/>
        <v>20U</v>
      </c>
    </row>
    <row r="15519" spans="1:6" x14ac:dyDescent="0.2">
      <c r="A15519">
        <v>21</v>
      </c>
      <c r="E15519" t="str">
        <f t="shared" si="505"/>
        <v>V</v>
      </c>
      <c r="F15519" t="str">
        <f t="shared" si="506"/>
        <v>21V</v>
      </c>
    </row>
    <row r="15520" spans="1:6" x14ac:dyDescent="0.2">
      <c r="A15520">
        <v>22</v>
      </c>
      <c r="E15520" t="str">
        <f t="shared" si="505"/>
        <v>W</v>
      </c>
      <c r="F15520" t="str">
        <f t="shared" si="506"/>
        <v>22W</v>
      </c>
    </row>
    <row r="15521" spans="1:6" x14ac:dyDescent="0.2">
      <c r="A15521">
        <v>23</v>
      </c>
      <c r="E15521" t="str">
        <f t="shared" si="505"/>
        <v>X</v>
      </c>
      <c r="F15521" t="str">
        <f t="shared" si="506"/>
        <v>23X</v>
      </c>
    </row>
    <row r="15522" spans="1:6" x14ac:dyDescent="0.2">
      <c r="A15522">
        <v>24</v>
      </c>
      <c r="E15522" t="str">
        <f t="shared" si="505"/>
        <v>Y</v>
      </c>
      <c r="F15522" t="str">
        <f t="shared" si="506"/>
        <v>24Y</v>
      </c>
    </row>
    <row r="15523" spans="1:6" x14ac:dyDescent="0.2">
      <c r="A15523">
        <v>25</v>
      </c>
      <c r="E15523" t="str">
        <f t="shared" si="505"/>
        <v>Z</v>
      </c>
      <c r="F15523" t="str">
        <f t="shared" si="506"/>
        <v>25Z</v>
      </c>
    </row>
    <row r="15524" spans="1:6" x14ac:dyDescent="0.2">
      <c r="A15524">
        <v>0</v>
      </c>
      <c r="E15524" t="str">
        <f t="shared" si="505"/>
        <v>A</v>
      </c>
      <c r="F15524" t="str">
        <f t="shared" si="506"/>
        <v>0A</v>
      </c>
    </row>
    <row r="15525" spans="1:6" x14ac:dyDescent="0.2">
      <c r="A15525">
        <v>1</v>
      </c>
      <c r="E15525" t="str">
        <f t="shared" si="505"/>
        <v>B</v>
      </c>
      <c r="F15525" t="str">
        <f t="shared" si="506"/>
        <v>1B</v>
      </c>
    </row>
    <row r="15526" spans="1:6" x14ac:dyDescent="0.2">
      <c r="A15526">
        <v>2</v>
      </c>
      <c r="E15526" t="str">
        <f t="shared" si="505"/>
        <v>C</v>
      </c>
      <c r="F15526" t="str">
        <f t="shared" si="506"/>
        <v>2C</v>
      </c>
    </row>
    <row r="15527" spans="1:6" x14ac:dyDescent="0.2">
      <c r="A15527">
        <v>3</v>
      </c>
      <c r="E15527" t="str">
        <f t="shared" si="505"/>
        <v>D</v>
      </c>
      <c r="F15527" t="str">
        <f t="shared" si="506"/>
        <v>3D</v>
      </c>
    </row>
    <row r="15528" spans="1:6" x14ac:dyDescent="0.2">
      <c r="A15528">
        <v>4</v>
      </c>
      <c r="E15528" t="str">
        <f t="shared" si="505"/>
        <v>E</v>
      </c>
      <c r="F15528" t="str">
        <f t="shared" si="506"/>
        <v>4E</v>
      </c>
    </row>
    <row r="15529" spans="1:6" x14ac:dyDescent="0.2">
      <c r="A15529">
        <v>5</v>
      </c>
      <c r="E15529" t="str">
        <f t="shared" si="505"/>
        <v>F</v>
      </c>
      <c r="F15529" t="str">
        <f t="shared" si="506"/>
        <v>5F</v>
      </c>
    </row>
    <row r="15530" spans="1:6" x14ac:dyDescent="0.2">
      <c r="A15530">
        <v>6</v>
      </c>
      <c r="E15530" t="str">
        <f t="shared" si="505"/>
        <v>G</v>
      </c>
      <c r="F15530" t="str">
        <f t="shared" si="506"/>
        <v>6G</v>
      </c>
    </row>
    <row r="15531" spans="1:6" x14ac:dyDescent="0.2">
      <c r="A15531">
        <v>7</v>
      </c>
      <c r="E15531" t="str">
        <f t="shared" si="505"/>
        <v>H</v>
      </c>
      <c r="F15531" t="str">
        <f t="shared" si="506"/>
        <v>7H</v>
      </c>
    </row>
    <row r="15532" spans="1:6" x14ac:dyDescent="0.2">
      <c r="A15532">
        <v>8</v>
      </c>
      <c r="E15532" t="str">
        <f t="shared" si="505"/>
        <v>I</v>
      </c>
      <c r="F15532" t="str">
        <f t="shared" si="506"/>
        <v>8I</v>
      </c>
    </row>
    <row r="15533" spans="1:6" x14ac:dyDescent="0.2">
      <c r="A15533">
        <v>9</v>
      </c>
      <c r="E15533" t="str">
        <f t="shared" si="505"/>
        <v>J</v>
      </c>
      <c r="F15533" t="str">
        <f t="shared" si="506"/>
        <v>9J</v>
      </c>
    </row>
    <row r="15534" spans="1:6" x14ac:dyDescent="0.2">
      <c r="A15534">
        <v>10</v>
      </c>
      <c r="E15534" t="str">
        <f t="shared" si="505"/>
        <v>K</v>
      </c>
      <c r="F15534" t="str">
        <f t="shared" si="506"/>
        <v>10K</v>
      </c>
    </row>
    <row r="15535" spans="1:6" x14ac:dyDescent="0.2">
      <c r="A15535">
        <v>11</v>
      </c>
      <c r="E15535" t="str">
        <f t="shared" si="505"/>
        <v>L</v>
      </c>
      <c r="F15535" t="str">
        <f t="shared" si="506"/>
        <v>11L</v>
      </c>
    </row>
    <row r="15536" spans="1:6" x14ac:dyDescent="0.2">
      <c r="A15536">
        <v>12</v>
      </c>
      <c r="E15536" t="str">
        <f t="shared" si="505"/>
        <v>M</v>
      </c>
      <c r="F15536" t="str">
        <f t="shared" si="506"/>
        <v>12M</v>
      </c>
    </row>
    <row r="15537" spans="1:6" x14ac:dyDescent="0.2">
      <c r="A15537">
        <v>13</v>
      </c>
      <c r="E15537" t="str">
        <f t="shared" si="505"/>
        <v>N</v>
      </c>
      <c r="F15537" t="str">
        <f t="shared" si="506"/>
        <v>13N</v>
      </c>
    </row>
    <row r="15538" spans="1:6" x14ac:dyDescent="0.2">
      <c r="A15538">
        <v>14</v>
      </c>
      <c r="E15538" t="str">
        <f t="shared" si="505"/>
        <v>O</v>
      </c>
      <c r="F15538" t="str">
        <f t="shared" si="506"/>
        <v>14O</v>
      </c>
    </row>
    <row r="15539" spans="1:6" x14ac:dyDescent="0.2">
      <c r="A15539">
        <v>15</v>
      </c>
      <c r="E15539" t="str">
        <f t="shared" si="505"/>
        <v>P</v>
      </c>
      <c r="F15539" t="str">
        <f t="shared" si="506"/>
        <v>15P</v>
      </c>
    </row>
    <row r="15540" spans="1:6" x14ac:dyDescent="0.2">
      <c r="A15540">
        <v>16</v>
      </c>
      <c r="E15540" t="str">
        <f t="shared" si="505"/>
        <v>Q</v>
      </c>
      <c r="F15540" t="str">
        <f t="shared" si="506"/>
        <v>16Q</v>
      </c>
    </row>
    <row r="15541" spans="1:6" x14ac:dyDescent="0.2">
      <c r="A15541">
        <v>17</v>
      </c>
      <c r="E15541" t="str">
        <f t="shared" si="505"/>
        <v>R</v>
      </c>
      <c r="F15541" t="str">
        <f t="shared" si="506"/>
        <v>17R</v>
      </c>
    </row>
    <row r="15542" spans="1:6" x14ac:dyDescent="0.2">
      <c r="A15542">
        <v>18</v>
      </c>
      <c r="E15542" t="str">
        <f t="shared" si="505"/>
        <v>S</v>
      </c>
      <c r="F15542" t="str">
        <f t="shared" si="506"/>
        <v>18S</v>
      </c>
    </row>
    <row r="15543" spans="1:6" x14ac:dyDescent="0.2">
      <c r="A15543">
        <v>19</v>
      </c>
      <c r="E15543" t="str">
        <f t="shared" si="505"/>
        <v>T</v>
      </c>
      <c r="F15543" t="str">
        <f t="shared" si="506"/>
        <v>19T</v>
      </c>
    </row>
    <row r="15544" spans="1:6" x14ac:dyDescent="0.2">
      <c r="A15544">
        <v>20</v>
      </c>
      <c r="E15544" t="str">
        <f t="shared" si="505"/>
        <v>U</v>
      </c>
      <c r="F15544" t="str">
        <f t="shared" si="506"/>
        <v>20U</v>
      </c>
    </row>
    <row r="15545" spans="1:6" x14ac:dyDescent="0.2">
      <c r="A15545">
        <v>21</v>
      </c>
      <c r="E15545" t="str">
        <f t="shared" si="505"/>
        <v>V</v>
      </c>
      <c r="F15545" t="str">
        <f t="shared" si="506"/>
        <v>21V</v>
      </c>
    </row>
    <row r="15546" spans="1:6" x14ac:dyDescent="0.2">
      <c r="A15546">
        <v>22</v>
      </c>
      <c r="E15546" t="str">
        <f t="shared" si="505"/>
        <v>W</v>
      </c>
      <c r="F15546" t="str">
        <f t="shared" si="506"/>
        <v>22W</v>
      </c>
    </row>
    <row r="15547" spans="1:6" x14ac:dyDescent="0.2">
      <c r="A15547">
        <v>23</v>
      </c>
      <c r="E15547" t="str">
        <f t="shared" si="505"/>
        <v>X</v>
      </c>
      <c r="F15547" t="str">
        <f t="shared" si="506"/>
        <v>23X</v>
      </c>
    </row>
    <row r="15548" spans="1:6" x14ac:dyDescent="0.2">
      <c r="A15548">
        <v>24</v>
      </c>
      <c r="E15548" t="str">
        <f t="shared" si="505"/>
        <v>Y</v>
      </c>
      <c r="F15548" t="str">
        <f t="shared" si="506"/>
        <v>24Y</v>
      </c>
    </row>
    <row r="15549" spans="1:6" x14ac:dyDescent="0.2">
      <c r="A15549">
        <v>25</v>
      </c>
      <c r="E15549" t="str">
        <f t="shared" si="505"/>
        <v>Z</v>
      </c>
      <c r="F15549" t="str">
        <f t="shared" si="506"/>
        <v>25Z</v>
      </c>
    </row>
    <row r="15550" spans="1:6" x14ac:dyDescent="0.2">
      <c r="A15550">
        <v>0</v>
      </c>
      <c r="E15550" t="str">
        <f t="shared" si="505"/>
        <v>A</v>
      </c>
      <c r="F15550" t="str">
        <f t="shared" si="506"/>
        <v>0A</v>
      </c>
    </row>
    <row r="15551" spans="1:6" x14ac:dyDescent="0.2">
      <c r="A15551">
        <v>1</v>
      </c>
      <c r="E15551" t="str">
        <f t="shared" si="505"/>
        <v>B</v>
      </c>
      <c r="F15551" t="str">
        <f t="shared" si="506"/>
        <v>1B</v>
      </c>
    </row>
    <row r="15552" spans="1:6" x14ac:dyDescent="0.2">
      <c r="A15552">
        <v>2</v>
      </c>
      <c r="E15552" t="str">
        <f t="shared" si="505"/>
        <v>C</v>
      </c>
      <c r="F15552" t="str">
        <f t="shared" si="506"/>
        <v>2C</v>
      </c>
    </row>
    <row r="15553" spans="1:6" x14ac:dyDescent="0.2">
      <c r="A15553">
        <v>3</v>
      </c>
      <c r="E15553" t="str">
        <f t="shared" si="505"/>
        <v>D</v>
      </c>
      <c r="F15553" t="str">
        <f t="shared" si="506"/>
        <v>3D</v>
      </c>
    </row>
    <row r="15554" spans="1:6" x14ac:dyDescent="0.2">
      <c r="A15554">
        <v>4</v>
      </c>
      <c r="E15554" t="str">
        <f t="shared" si="505"/>
        <v>E</v>
      </c>
      <c r="F15554" t="str">
        <f t="shared" si="506"/>
        <v>4E</v>
      </c>
    </row>
    <row r="15555" spans="1:6" x14ac:dyDescent="0.2">
      <c r="A15555">
        <v>5</v>
      </c>
      <c r="E15555" t="str">
        <f t="shared" si="505"/>
        <v>F</v>
      </c>
      <c r="F15555" t="str">
        <f t="shared" si="506"/>
        <v>5F</v>
      </c>
    </row>
    <row r="15556" spans="1:6" x14ac:dyDescent="0.2">
      <c r="A15556">
        <v>6</v>
      </c>
      <c r="E15556" t="str">
        <f t="shared" si="505"/>
        <v>G</v>
      </c>
      <c r="F15556" t="str">
        <f t="shared" si="506"/>
        <v>6G</v>
      </c>
    </row>
    <row r="15557" spans="1:6" x14ac:dyDescent="0.2">
      <c r="A15557">
        <v>7</v>
      </c>
      <c r="E15557" t="str">
        <f t="shared" si="505"/>
        <v>H</v>
      </c>
      <c r="F15557" t="str">
        <f t="shared" si="506"/>
        <v>7H</v>
      </c>
    </row>
    <row r="15558" spans="1:6" x14ac:dyDescent="0.2">
      <c r="A15558">
        <v>8</v>
      </c>
      <c r="E15558" t="str">
        <f t="shared" si="505"/>
        <v>I</v>
      </c>
      <c r="F15558" t="str">
        <f t="shared" si="506"/>
        <v>8I</v>
      </c>
    </row>
    <row r="15559" spans="1:6" x14ac:dyDescent="0.2">
      <c r="A15559">
        <v>9</v>
      </c>
      <c r="E15559" t="str">
        <f t="shared" si="505"/>
        <v>J</v>
      </c>
      <c r="F15559" t="str">
        <f t="shared" si="506"/>
        <v>9J</v>
      </c>
    </row>
    <row r="15560" spans="1:6" x14ac:dyDescent="0.2">
      <c r="A15560">
        <v>10</v>
      </c>
      <c r="E15560" t="str">
        <f t="shared" si="505"/>
        <v>K</v>
      </c>
      <c r="F15560" t="str">
        <f t="shared" si="506"/>
        <v>10K</v>
      </c>
    </row>
    <row r="15561" spans="1:6" x14ac:dyDescent="0.2">
      <c r="A15561">
        <v>11</v>
      </c>
      <c r="E15561" t="str">
        <f t="shared" si="505"/>
        <v>L</v>
      </c>
      <c r="F15561" t="str">
        <f t="shared" si="506"/>
        <v>11L</v>
      </c>
    </row>
    <row r="15562" spans="1:6" x14ac:dyDescent="0.2">
      <c r="A15562">
        <v>12</v>
      </c>
      <c r="E15562" t="str">
        <f t="shared" si="505"/>
        <v>M</v>
      </c>
      <c r="F15562" t="str">
        <f t="shared" si="506"/>
        <v>12M</v>
      </c>
    </row>
    <row r="15563" spans="1:6" x14ac:dyDescent="0.2">
      <c r="A15563">
        <v>13</v>
      </c>
      <c r="E15563" t="str">
        <f t="shared" si="505"/>
        <v>N</v>
      </c>
      <c r="F15563" t="str">
        <f t="shared" si="506"/>
        <v>13N</v>
      </c>
    </row>
    <row r="15564" spans="1:6" x14ac:dyDescent="0.2">
      <c r="A15564">
        <v>14</v>
      </c>
      <c r="E15564" t="str">
        <f t="shared" si="505"/>
        <v>O</v>
      </c>
      <c r="F15564" t="str">
        <f t="shared" si="506"/>
        <v>14O</v>
      </c>
    </row>
    <row r="15565" spans="1:6" x14ac:dyDescent="0.2">
      <c r="A15565">
        <v>15</v>
      </c>
      <c r="E15565" t="str">
        <f t="shared" si="505"/>
        <v>P</v>
      </c>
      <c r="F15565" t="str">
        <f t="shared" si="506"/>
        <v>15P</v>
      </c>
    </row>
    <row r="15566" spans="1:6" x14ac:dyDescent="0.2">
      <c r="A15566">
        <v>16</v>
      </c>
      <c r="E15566" t="str">
        <f t="shared" si="505"/>
        <v>Q</v>
      </c>
      <c r="F15566" t="str">
        <f t="shared" si="506"/>
        <v>16Q</v>
      </c>
    </row>
    <row r="15567" spans="1:6" x14ac:dyDescent="0.2">
      <c r="A15567">
        <v>17</v>
      </c>
      <c r="E15567" t="str">
        <f t="shared" si="505"/>
        <v>R</v>
      </c>
      <c r="F15567" t="str">
        <f t="shared" si="506"/>
        <v>17R</v>
      </c>
    </row>
    <row r="15568" spans="1:6" x14ac:dyDescent="0.2">
      <c r="A15568">
        <v>18</v>
      </c>
      <c r="E15568" t="str">
        <f t="shared" si="505"/>
        <v>S</v>
      </c>
      <c r="F15568" t="str">
        <f t="shared" si="506"/>
        <v>18S</v>
      </c>
    </row>
    <row r="15569" spans="1:6" x14ac:dyDescent="0.2">
      <c r="A15569">
        <v>19</v>
      </c>
      <c r="E15569" t="str">
        <f t="shared" si="505"/>
        <v>T</v>
      </c>
      <c r="F15569" t="str">
        <f t="shared" si="506"/>
        <v>19T</v>
      </c>
    </row>
    <row r="15570" spans="1:6" x14ac:dyDescent="0.2">
      <c r="A15570">
        <v>20</v>
      </c>
      <c r="E15570" t="str">
        <f t="shared" si="505"/>
        <v>U</v>
      </c>
      <c r="F15570" t="str">
        <f t="shared" si="506"/>
        <v>20U</v>
      </c>
    </row>
    <row r="15571" spans="1:6" x14ac:dyDescent="0.2">
      <c r="A15571">
        <v>21</v>
      </c>
      <c r="E15571" t="str">
        <f t="shared" si="505"/>
        <v>V</v>
      </c>
      <c r="F15571" t="str">
        <f t="shared" si="506"/>
        <v>21V</v>
      </c>
    </row>
    <row r="15572" spans="1:6" x14ac:dyDescent="0.2">
      <c r="A15572">
        <v>22</v>
      </c>
      <c r="E15572" t="str">
        <f t="shared" si="505"/>
        <v>W</v>
      </c>
      <c r="F15572" t="str">
        <f t="shared" si="506"/>
        <v>22W</v>
      </c>
    </row>
    <row r="15573" spans="1:6" x14ac:dyDescent="0.2">
      <c r="A15573">
        <v>23</v>
      </c>
      <c r="E15573" t="str">
        <f t="shared" ref="E15573:E15601" si="507">E15547</f>
        <v>X</v>
      </c>
      <c r="F15573" t="str">
        <f t="shared" si="506"/>
        <v>23X</v>
      </c>
    </row>
    <row r="15574" spans="1:6" x14ac:dyDescent="0.2">
      <c r="A15574">
        <v>24</v>
      </c>
      <c r="E15574" t="str">
        <f t="shared" si="507"/>
        <v>Y</v>
      </c>
      <c r="F15574" t="str">
        <f t="shared" si="506"/>
        <v>24Y</v>
      </c>
    </row>
    <row r="15575" spans="1:6" x14ac:dyDescent="0.2">
      <c r="A15575">
        <v>25</v>
      </c>
      <c r="E15575" t="str">
        <f t="shared" si="507"/>
        <v>Z</v>
      </c>
      <c r="F15575" t="str">
        <f t="shared" ref="F15575:F15600" si="508">A15575&amp;C15575&amp;E15575</f>
        <v>25Z</v>
      </c>
    </row>
    <row r="15576" spans="1:6" x14ac:dyDescent="0.2">
      <c r="A15576">
        <v>0</v>
      </c>
      <c r="E15576" t="str">
        <f t="shared" si="507"/>
        <v>A</v>
      </c>
      <c r="F15576" t="str">
        <f t="shared" si="508"/>
        <v>0A</v>
      </c>
    </row>
    <row r="15577" spans="1:6" x14ac:dyDescent="0.2">
      <c r="A15577">
        <v>1</v>
      </c>
      <c r="E15577" t="str">
        <f t="shared" si="507"/>
        <v>B</v>
      </c>
      <c r="F15577" t="str">
        <f t="shared" si="508"/>
        <v>1B</v>
      </c>
    </row>
    <row r="15578" spans="1:6" x14ac:dyDescent="0.2">
      <c r="A15578">
        <v>2</v>
      </c>
      <c r="E15578" t="str">
        <f t="shared" si="507"/>
        <v>C</v>
      </c>
      <c r="F15578" t="str">
        <f t="shared" si="508"/>
        <v>2C</v>
      </c>
    </row>
    <row r="15579" spans="1:6" x14ac:dyDescent="0.2">
      <c r="A15579">
        <v>3</v>
      </c>
      <c r="E15579" t="str">
        <f t="shared" si="507"/>
        <v>D</v>
      </c>
      <c r="F15579" t="str">
        <f t="shared" si="508"/>
        <v>3D</v>
      </c>
    </row>
    <row r="15580" spans="1:6" x14ac:dyDescent="0.2">
      <c r="A15580">
        <v>4</v>
      </c>
      <c r="E15580" t="str">
        <f t="shared" si="507"/>
        <v>E</v>
      </c>
      <c r="F15580" t="str">
        <f t="shared" si="508"/>
        <v>4E</v>
      </c>
    </row>
    <row r="15581" spans="1:6" x14ac:dyDescent="0.2">
      <c r="A15581">
        <v>5</v>
      </c>
      <c r="E15581" t="str">
        <f t="shared" si="507"/>
        <v>F</v>
      </c>
      <c r="F15581" t="str">
        <f t="shared" si="508"/>
        <v>5F</v>
      </c>
    </row>
    <row r="15582" spans="1:6" x14ac:dyDescent="0.2">
      <c r="A15582">
        <v>6</v>
      </c>
      <c r="E15582" t="str">
        <f t="shared" si="507"/>
        <v>G</v>
      </c>
      <c r="F15582" t="str">
        <f t="shared" si="508"/>
        <v>6G</v>
      </c>
    </row>
    <row r="15583" spans="1:6" x14ac:dyDescent="0.2">
      <c r="A15583">
        <v>7</v>
      </c>
      <c r="E15583" t="str">
        <f t="shared" si="507"/>
        <v>H</v>
      </c>
      <c r="F15583" t="str">
        <f t="shared" si="508"/>
        <v>7H</v>
      </c>
    </row>
    <row r="15584" spans="1:6" x14ac:dyDescent="0.2">
      <c r="A15584">
        <v>8</v>
      </c>
      <c r="E15584" t="str">
        <f t="shared" si="507"/>
        <v>I</v>
      </c>
      <c r="F15584" t="str">
        <f t="shared" si="508"/>
        <v>8I</v>
      </c>
    </row>
    <row r="15585" spans="1:6" x14ac:dyDescent="0.2">
      <c r="A15585">
        <v>9</v>
      </c>
      <c r="E15585" t="str">
        <f t="shared" si="507"/>
        <v>J</v>
      </c>
      <c r="F15585" t="str">
        <f t="shared" si="508"/>
        <v>9J</v>
      </c>
    </row>
    <row r="15586" spans="1:6" x14ac:dyDescent="0.2">
      <c r="A15586">
        <v>10</v>
      </c>
      <c r="E15586" t="str">
        <f t="shared" si="507"/>
        <v>K</v>
      </c>
      <c r="F15586" t="str">
        <f t="shared" si="508"/>
        <v>10K</v>
      </c>
    </row>
    <row r="15587" spans="1:6" x14ac:dyDescent="0.2">
      <c r="A15587">
        <v>11</v>
      </c>
      <c r="E15587" t="str">
        <f t="shared" si="507"/>
        <v>L</v>
      </c>
      <c r="F15587" t="str">
        <f t="shared" si="508"/>
        <v>11L</v>
      </c>
    </row>
    <row r="15588" spans="1:6" x14ac:dyDescent="0.2">
      <c r="A15588">
        <v>12</v>
      </c>
      <c r="E15588" t="str">
        <f t="shared" si="507"/>
        <v>M</v>
      </c>
      <c r="F15588" t="str">
        <f t="shared" si="508"/>
        <v>12M</v>
      </c>
    </row>
    <row r="15589" spans="1:6" x14ac:dyDescent="0.2">
      <c r="A15589">
        <v>13</v>
      </c>
      <c r="E15589" t="str">
        <f t="shared" si="507"/>
        <v>N</v>
      </c>
      <c r="F15589" t="str">
        <f t="shared" si="508"/>
        <v>13N</v>
      </c>
    </row>
    <row r="15590" spans="1:6" x14ac:dyDescent="0.2">
      <c r="A15590">
        <v>14</v>
      </c>
      <c r="E15590" t="str">
        <f t="shared" si="507"/>
        <v>O</v>
      </c>
      <c r="F15590" t="str">
        <f t="shared" si="508"/>
        <v>14O</v>
      </c>
    </row>
    <row r="15591" spans="1:6" x14ac:dyDescent="0.2">
      <c r="A15591">
        <v>15</v>
      </c>
      <c r="E15591" t="str">
        <f t="shared" si="507"/>
        <v>P</v>
      </c>
      <c r="F15591" t="str">
        <f t="shared" si="508"/>
        <v>15P</v>
      </c>
    </row>
    <row r="15592" spans="1:6" x14ac:dyDescent="0.2">
      <c r="A15592">
        <v>16</v>
      </c>
      <c r="E15592" t="str">
        <f t="shared" si="507"/>
        <v>Q</v>
      </c>
      <c r="F15592" t="str">
        <f t="shared" si="508"/>
        <v>16Q</v>
      </c>
    </row>
    <row r="15593" spans="1:6" x14ac:dyDescent="0.2">
      <c r="A15593">
        <v>17</v>
      </c>
      <c r="E15593" t="str">
        <f t="shared" si="507"/>
        <v>R</v>
      </c>
      <c r="F15593" t="str">
        <f t="shared" si="508"/>
        <v>17R</v>
      </c>
    </row>
    <row r="15594" spans="1:6" x14ac:dyDescent="0.2">
      <c r="A15594">
        <v>18</v>
      </c>
      <c r="E15594" t="str">
        <f t="shared" si="507"/>
        <v>S</v>
      </c>
      <c r="F15594" t="str">
        <f t="shared" si="508"/>
        <v>18S</v>
      </c>
    </row>
    <row r="15595" spans="1:6" x14ac:dyDescent="0.2">
      <c r="A15595">
        <v>19</v>
      </c>
      <c r="E15595" t="str">
        <f t="shared" si="507"/>
        <v>T</v>
      </c>
      <c r="F15595" t="str">
        <f t="shared" si="508"/>
        <v>19T</v>
      </c>
    </row>
    <row r="15596" spans="1:6" x14ac:dyDescent="0.2">
      <c r="A15596">
        <v>20</v>
      </c>
      <c r="E15596" t="str">
        <f t="shared" si="507"/>
        <v>U</v>
      </c>
      <c r="F15596" t="str">
        <f t="shared" si="508"/>
        <v>20U</v>
      </c>
    </row>
    <row r="15597" spans="1:6" x14ac:dyDescent="0.2">
      <c r="A15597">
        <v>21</v>
      </c>
      <c r="E15597" t="str">
        <f t="shared" si="507"/>
        <v>V</v>
      </c>
      <c r="F15597" t="str">
        <f t="shared" si="508"/>
        <v>21V</v>
      </c>
    </row>
    <row r="15598" spans="1:6" x14ac:dyDescent="0.2">
      <c r="A15598">
        <v>22</v>
      </c>
      <c r="E15598" t="str">
        <f t="shared" si="507"/>
        <v>W</v>
      </c>
      <c r="F15598" t="str">
        <f t="shared" si="508"/>
        <v>22W</v>
      </c>
    </row>
    <row r="15599" spans="1:6" x14ac:dyDescent="0.2">
      <c r="A15599">
        <v>23</v>
      </c>
      <c r="E15599" t="str">
        <f t="shared" si="507"/>
        <v>X</v>
      </c>
      <c r="F15599" t="str">
        <f t="shared" si="508"/>
        <v>23X</v>
      </c>
    </row>
    <row r="15600" spans="1:6" x14ac:dyDescent="0.2">
      <c r="A15600">
        <v>24</v>
      </c>
      <c r="E15600" t="str">
        <f t="shared" si="507"/>
        <v>Y</v>
      </c>
      <c r="F15600" t="str">
        <f t="shared" si="508"/>
        <v>24Y</v>
      </c>
    </row>
    <row r="15601" spans="1:6" x14ac:dyDescent="0.2">
      <c r="A15601">
        <v>25</v>
      </c>
      <c r="E15601" t="str">
        <f t="shared" si="507"/>
        <v>Z</v>
      </c>
      <c r="F15601" t="str">
        <f t="shared" ref="F15601" si="509">A15601&amp;C15601&amp;E15601</f>
        <v>25Z</v>
      </c>
    </row>
  </sheetData>
  <autoFilter ref="A1:F15601" xr:uid="{DF1A6301-A031-4456-A0DA-74F1819293DC}"/>
  <conditionalFormatting sqref="E2:E27">
    <cfRule type="cellIs" dxfId="5" priority="3" operator="equal">
      <formula>LEFT(F2,1)</formula>
    </cfRule>
  </conditionalFormatting>
  <conditionalFormatting sqref="F1:F1048576">
    <cfRule type="duplicateValues" dxfId="4" priority="2"/>
  </conditionalFormatting>
  <conditionalFormatting sqref="L1:L1048576">
    <cfRule type="cellIs" dxfId="3" priority="4" operator="equal">
      <formula>LEFT(M1,1)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C684-6787-42A3-AE6F-97EC536F4513}">
  <dimension ref="A1:W56"/>
  <sheetViews>
    <sheetView topLeftCell="A22" workbookViewId="0">
      <selection activeCell="C51" sqref="C51"/>
    </sheetView>
  </sheetViews>
  <sheetFormatPr defaultColWidth="3.75" defaultRowHeight="12.45" outlineLevelCol="1" x14ac:dyDescent="0.2"/>
  <cols>
    <col min="1" max="1" width="4.125" bestFit="1" customWidth="1"/>
    <col min="2" max="2" width="7.125" bestFit="1" customWidth="1" outlineLevel="1"/>
    <col min="3" max="3" width="40" bestFit="1" customWidth="1"/>
    <col min="4" max="4" width="7.125" bestFit="1" customWidth="1"/>
    <col min="5" max="5" width="8.5" bestFit="1" customWidth="1"/>
    <col min="6" max="6" width="12.625" bestFit="1" customWidth="1"/>
    <col min="7" max="7" width="34.375" customWidth="1" outlineLevel="1"/>
    <col min="8" max="10" width="11.5" bestFit="1" customWidth="1"/>
    <col min="11" max="13" width="5.125" hidden="1" customWidth="1" outlineLevel="1"/>
    <col min="14" max="15" width="8.75" hidden="1" customWidth="1" outlineLevel="1"/>
    <col min="16" max="16" width="8.75" bestFit="1" customWidth="1" collapsed="1"/>
    <col min="19" max="19" width="31.25" bestFit="1" customWidth="1"/>
    <col min="20" max="20" width="23" bestFit="1" customWidth="1"/>
    <col min="21" max="22" width="2.875" bestFit="1" customWidth="1"/>
    <col min="23" max="23" width="11.5" bestFit="1" customWidth="1"/>
    <col min="24" max="24" width="5.75" bestFit="1" customWidth="1"/>
    <col min="25" max="25" width="7" bestFit="1" customWidth="1"/>
    <col min="26" max="26" width="11.5" bestFit="1" customWidth="1"/>
    <col min="27" max="27" width="31.25" bestFit="1" customWidth="1"/>
    <col min="28" max="28" width="17.125" bestFit="1" customWidth="1"/>
    <col min="29" max="29" width="31.25" bestFit="1" customWidth="1"/>
    <col min="30" max="30" width="17.125" bestFit="1" customWidth="1"/>
    <col min="31" max="31" width="31.25" bestFit="1" customWidth="1"/>
    <col min="32" max="32" width="21.75" bestFit="1" customWidth="1"/>
    <col min="33" max="33" width="35.875" bestFit="1" customWidth="1"/>
  </cols>
  <sheetData>
    <row r="1" spans="1:23" x14ac:dyDescent="0.2">
      <c r="A1" s="24" t="s">
        <v>3333</v>
      </c>
      <c r="B1" s="24" t="s">
        <v>3334</v>
      </c>
      <c r="C1" t="s">
        <v>3259</v>
      </c>
      <c r="D1" s="24" t="s">
        <v>3296</v>
      </c>
      <c r="E1" t="s">
        <v>3263</v>
      </c>
      <c r="F1" t="s">
        <v>3276</v>
      </c>
      <c r="G1" s="24" t="s">
        <v>3280</v>
      </c>
      <c r="H1" t="s">
        <v>3260</v>
      </c>
      <c r="I1" t="s">
        <v>3261</v>
      </c>
      <c r="J1" t="s">
        <v>3262</v>
      </c>
      <c r="K1" t="s">
        <v>3277</v>
      </c>
      <c r="L1" t="s">
        <v>3278</v>
      </c>
      <c r="M1" t="s">
        <v>3279</v>
      </c>
      <c r="N1" s="59" t="s">
        <v>3272</v>
      </c>
      <c r="O1" s="59" t="s">
        <v>3273</v>
      </c>
      <c r="P1" s="59" t="s">
        <v>3274</v>
      </c>
      <c r="S1" s="16" t="s">
        <v>3296</v>
      </c>
      <c r="T1" t="s">
        <v>3335</v>
      </c>
    </row>
    <row r="2" spans="1:23" x14ac:dyDescent="0.2">
      <c r="A2">
        <v>1</v>
      </c>
      <c r="B2" s="45">
        <v>-1</v>
      </c>
      <c r="C2" t="s">
        <v>3240</v>
      </c>
      <c r="D2" s="61">
        <v>45889</v>
      </c>
      <c r="E2" s="15" t="s">
        <v>3264</v>
      </c>
      <c r="F2" s="15">
        <f t="shared" ref="F2:F47" si="0">COUNTIF(N2:P2,E2)</f>
        <v>0</v>
      </c>
      <c r="G2" s="45" t="s">
        <v>3281</v>
      </c>
      <c r="H2" t="s">
        <v>653</v>
      </c>
      <c r="I2" t="s">
        <v>919</v>
      </c>
      <c r="J2" t="s">
        <v>1366</v>
      </c>
      <c r="K2">
        <f>VLOOKUP(H2,Лист2!$A:$F,2,FALSE)</f>
        <v>3</v>
      </c>
      <c r="L2">
        <f>VLOOKUP(I2,Лист2!$A:$F,2,FALSE)</f>
        <v>0</v>
      </c>
      <c r="M2">
        <f>VLOOKUP(J2,Лист2!$A:$F,2,FALSE)</f>
        <v>3</v>
      </c>
      <c r="N2" s="58" t="str">
        <f>VLOOKUP(H2,Лист2!$A:$F,6,FALSE)</f>
        <v>аметист</v>
      </c>
      <c r="O2" s="58" t="str">
        <f>VLOOKUP(I2,Лист2!$A:$F,6,FALSE)</f>
        <v>изумруд</v>
      </c>
      <c r="P2" s="58" t="str">
        <f>VLOOKUP(J2,Лист2!$A:$F,6,FALSE)</f>
        <v>рубин</v>
      </c>
    </row>
    <row r="3" spans="1:23" x14ac:dyDescent="0.2">
      <c r="A3">
        <v>4</v>
      </c>
      <c r="B3" s="45">
        <v>-1</v>
      </c>
      <c r="C3" t="s">
        <v>3243</v>
      </c>
      <c r="D3" s="61">
        <v>45889</v>
      </c>
      <c r="E3" s="45" t="s">
        <v>3266</v>
      </c>
      <c r="F3" s="45">
        <f t="shared" si="0"/>
        <v>2</v>
      </c>
      <c r="G3" s="45" t="s">
        <v>3284</v>
      </c>
      <c r="H3" t="s">
        <v>1662</v>
      </c>
      <c r="I3" t="s">
        <v>1959</v>
      </c>
      <c r="J3" t="s">
        <v>1082</v>
      </c>
      <c r="K3">
        <f>VLOOKUP(H3,Лист2!$A:$F,2,FALSE)</f>
        <v>0</v>
      </c>
      <c r="L3">
        <f>VLOOKUP(I3,Лист2!$A:$F,2,FALSE)</f>
        <v>2</v>
      </c>
      <c r="M3">
        <f>VLOOKUP(J3,Лист2!$A:$F,2,FALSE)</f>
        <v>0</v>
      </c>
      <c r="N3" s="58" t="str">
        <f>VLOOKUP(H3,Лист2!$A:$F,6,FALSE)</f>
        <v>сапфир</v>
      </c>
      <c r="O3" s="58" t="str">
        <f>VLOOKUP(I3,Лист2!$A:$F,6,FALSE)</f>
        <v>рубин</v>
      </c>
      <c r="P3" s="58" t="str">
        <f>VLOOKUP(J3,Лист2!$A:$F,6,FALSE)</f>
        <v>рубин</v>
      </c>
      <c r="S3" s="16" t="s">
        <v>3336</v>
      </c>
      <c r="T3" s="16" t="s">
        <v>3129</v>
      </c>
    </row>
    <row r="4" spans="1:23" x14ac:dyDescent="0.2">
      <c r="A4">
        <v>12</v>
      </c>
      <c r="B4" s="45">
        <v>-1</v>
      </c>
      <c r="C4" t="s">
        <v>3251</v>
      </c>
      <c r="D4" s="61">
        <v>45889</v>
      </c>
      <c r="F4">
        <f t="shared" si="0"/>
        <v>0</v>
      </c>
      <c r="G4" s="45" t="s">
        <v>3281</v>
      </c>
      <c r="H4" t="s">
        <v>1495</v>
      </c>
      <c r="I4" t="s">
        <v>124</v>
      </c>
      <c r="J4" t="s">
        <v>1834</v>
      </c>
      <c r="K4">
        <f>VLOOKUP(H4,Лист2!$A:$F,2,FALSE)</f>
        <v>0</v>
      </c>
      <c r="L4">
        <f>VLOOKUP(I4,Лист2!$A:$F,2,FALSE)</f>
        <v>3</v>
      </c>
      <c r="M4">
        <f>VLOOKUP(J4,Лист2!$A:$F,2,FALSE)</f>
        <v>1</v>
      </c>
      <c r="N4" s="58" t="str">
        <f>VLOOKUP(H4,Лист2!$A:$F,6,FALSE)</f>
        <v>топаз</v>
      </c>
      <c r="O4" s="58" t="str">
        <f>VLOOKUP(I4,Лист2!$A:$F,6,FALSE)</f>
        <v>аметист</v>
      </c>
      <c r="P4" s="58" t="str">
        <f>VLOOKUP(J4,Лист2!$A:$F,6,FALSE)</f>
        <v>топаз</v>
      </c>
      <c r="S4" s="16" t="s">
        <v>2918</v>
      </c>
      <c r="T4">
        <v>-1</v>
      </c>
      <c r="U4">
        <v>0</v>
      </c>
      <c r="V4">
        <v>1</v>
      </c>
      <c r="W4" t="s">
        <v>2902</v>
      </c>
    </row>
    <row r="5" spans="1:23" x14ac:dyDescent="0.2">
      <c r="A5">
        <v>13</v>
      </c>
      <c r="B5" s="45">
        <v>-1</v>
      </c>
      <c r="C5" t="s">
        <v>3252</v>
      </c>
      <c r="D5" s="61">
        <v>45889</v>
      </c>
      <c r="E5" s="50" t="s">
        <v>3265</v>
      </c>
      <c r="F5" s="50">
        <f t="shared" si="0"/>
        <v>2</v>
      </c>
      <c r="G5" s="45" t="s">
        <v>3281</v>
      </c>
      <c r="H5" t="s">
        <v>3126</v>
      </c>
      <c r="I5" t="s">
        <v>1193</v>
      </c>
      <c r="J5" t="s">
        <v>1662</v>
      </c>
      <c r="K5">
        <f>VLOOKUP(H5,Лист2!$A:$F,2,FALSE)</f>
        <v>0</v>
      </c>
      <c r="L5">
        <f>VLOOKUP(I5,Лист2!$A:$F,2,FALSE)</f>
        <v>0</v>
      </c>
      <c r="M5">
        <f>VLOOKUP(J5,Лист2!$A:$F,2,FALSE)</f>
        <v>0</v>
      </c>
      <c r="N5" s="58" t="str">
        <f>VLOOKUP(H5,Лист2!$A:$F,6,FALSE)</f>
        <v>сапфир</v>
      </c>
      <c r="O5" s="58" t="str">
        <f>VLOOKUP(I5,Лист2!$A:$F,6,FALSE)</f>
        <v>изумруд</v>
      </c>
      <c r="P5" s="58" t="str">
        <f>VLOOKUP(J5,Лист2!$A:$F,6,FALSE)</f>
        <v>сапфир</v>
      </c>
      <c r="S5" s="6" t="s">
        <v>3147</v>
      </c>
      <c r="T5">
        <v>4</v>
      </c>
      <c r="U5">
        <v>3</v>
      </c>
      <c r="W5">
        <v>7</v>
      </c>
    </row>
    <row r="6" spans="1:23" x14ac:dyDescent="0.2">
      <c r="A6">
        <v>15</v>
      </c>
      <c r="B6" s="45">
        <v>-1</v>
      </c>
      <c r="C6" t="s">
        <v>3254</v>
      </c>
      <c r="D6" s="61">
        <v>45889</v>
      </c>
      <c r="F6">
        <f t="shared" si="0"/>
        <v>0</v>
      </c>
      <c r="G6" s="45" t="s">
        <v>3281</v>
      </c>
      <c r="H6" t="s">
        <v>269</v>
      </c>
      <c r="I6" t="s">
        <v>1834</v>
      </c>
      <c r="J6" t="s">
        <v>1959</v>
      </c>
      <c r="K6">
        <f>VLOOKUP(H6,Лист2!$A:$F,2,FALSE)</f>
        <v>1</v>
      </c>
      <c r="L6">
        <f>VLOOKUP(I6,Лист2!$A:$F,2,FALSE)</f>
        <v>1</v>
      </c>
      <c r="M6">
        <f>VLOOKUP(J6,Лист2!$A:$F,2,FALSE)</f>
        <v>2</v>
      </c>
      <c r="N6" s="58" t="str">
        <f>VLOOKUP(H6,Лист2!$A:$F,6,FALSE)</f>
        <v>рубин</v>
      </c>
      <c r="O6" s="58" t="str">
        <f>VLOOKUP(I6,Лист2!$A:$F,6,FALSE)</f>
        <v>топаз</v>
      </c>
      <c r="P6" s="58" t="str">
        <f>VLOOKUP(J6,Лист2!$A:$F,6,FALSE)</f>
        <v>рубин</v>
      </c>
      <c r="S6" s="6" t="s">
        <v>3264</v>
      </c>
      <c r="T6">
        <v>4</v>
      </c>
      <c r="U6">
        <v>1</v>
      </c>
      <c r="V6">
        <v>3</v>
      </c>
      <c r="W6">
        <v>8</v>
      </c>
    </row>
    <row r="7" spans="1:23" x14ac:dyDescent="0.2">
      <c r="A7">
        <v>16</v>
      </c>
      <c r="B7" s="45">
        <v>-1</v>
      </c>
      <c r="C7" t="s">
        <v>3255</v>
      </c>
      <c r="D7" s="61">
        <v>45889</v>
      </c>
      <c r="E7" s="51" t="s">
        <v>3267</v>
      </c>
      <c r="F7" s="51">
        <f t="shared" si="0"/>
        <v>1</v>
      </c>
      <c r="G7" s="45" t="s">
        <v>3281</v>
      </c>
      <c r="H7" t="s">
        <v>1778</v>
      </c>
      <c r="I7" t="s">
        <v>1366</v>
      </c>
      <c r="J7" t="s">
        <v>653</v>
      </c>
      <c r="K7">
        <f>VLOOKUP(H7,Лист2!$A:$F,2,FALSE)</f>
        <v>3</v>
      </c>
      <c r="L7">
        <f>VLOOKUP(I7,Лист2!$A:$F,2,FALSE)</f>
        <v>3</v>
      </c>
      <c r="M7">
        <f>VLOOKUP(J7,Лист2!$A:$F,2,FALSE)</f>
        <v>3</v>
      </c>
      <c r="N7" s="58" t="str">
        <f>VLOOKUP(H7,Лист2!$A:$F,6,FALSE)</f>
        <v>изумруд</v>
      </c>
      <c r="O7" s="58" t="str">
        <f>VLOOKUP(I7,Лист2!$A:$F,6,FALSE)</f>
        <v>рубин</v>
      </c>
      <c r="P7" s="58" t="str">
        <f>VLOOKUP(J7,Лист2!$A:$F,6,FALSE)</f>
        <v>аметист</v>
      </c>
      <c r="S7" s="6" t="s">
        <v>3265</v>
      </c>
      <c r="T7">
        <v>2</v>
      </c>
      <c r="U7">
        <v>2</v>
      </c>
      <c r="V7">
        <v>3</v>
      </c>
      <c r="W7">
        <v>7</v>
      </c>
    </row>
    <row r="8" spans="1:23" x14ac:dyDescent="0.2">
      <c r="A8">
        <v>17</v>
      </c>
      <c r="B8" s="45">
        <v>-1</v>
      </c>
      <c r="C8" t="s">
        <v>3256</v>
      </c>
      <c r="D8" s="61">
        <v>45889</v>
      </c>
      <c r="F8">
        <f t="shared" si="0"/>
        <v>0</v>
      </c>
      <c r="G8" s="45" t="s">
        <v>3281</v>
      </c>
      <c r="H8" t="s">
        <v>771</v>
      </c>
      <c r="I8" t="s">
        <v>124</v>
      </c>
      <c r="J8" t="s">
        <v>1662</v>
      </c>
      <c r="K8">
        <f>VLOOKUP(H8,Лист2!$A:$F,2,FALSE)</f>
        <v>0</v>
      </c>
      <c r="L8">
        <f>VLOOKUP(I8,Лист2!$A:$F,2,FALSE)</f>
        <v>3</v>
      </c>
      <c r="M8">
        <f>VLOOKUP(J8,Лист2!$A:$F,2,FALSE)</f>
        <v>0</v>
      </c>
      <c r="N8" s="58" t="str">
        <f>VLOOKUP(H8,Лист2!$A:$F,6,FALSE)</f>
        <v>изумруд</v>
      </c>
      <c r="O8" s="58" t="str">
        <f>VLOOKUP(I8,Лист2!$A:$F,6,FALSE)</f>
        <v>аметист</v>
      </c>
      <c r="P8" s="58" t="str">
        <f>VLOOKUP(J8,Лист2!$A:$F,6,FALSE)</f>
        <v>сапфир</v>
      </c>
      <c r="S8" s="6" t="s">
        <v>3266</v>
      </c>
      <c r="T8">
        <v>4</v>
      </c>
      <c r="U8">
        <v>1</v>
      </c>
      <c r="V8">
        <v>1</v>
      </c>
      <c r="W8">
        <v>6</v>
      </c>
    </row>
    <row r="9" spans="1:23" x14ac:dyDescent="0.2">
      <c r="A9">
        <v>19</v>
      </c>
      <c r="B9" s="45">
        <v>-1</v>
      </c>
      <c r="C9" t="s">
        <v>3258</v>
      </c>
      <c r="D9" s="61">
        <v>45889</v>
      </c>
      <c r="F9">
        <f t="shared" si="0"/>
        <v>0</v>
      </c>
      <c r="G9" s="45" t="s">
        <v>3281</v>
      </c>
      <c r="H9" t="s">
        <v>419</v>
      </c>
      <c r="I9" t="s">
        <v>1193</v>
      </c>
      <c r="J9" t="s">
        <v>839</v>
      </c>
      <c r="K9">
        <f>VLOOKUP(H9,Лист2!$A:$F,2,FALSE)</f>
        <v>0</v>
      </c>
      <c r="L9">
        <f>VLOOKUP(I9,Лист2!$A:$F,2,FALSE)</f>
        <v>0</v>
      </c>
      <c r="M9">
        <f>VLOOKUP(J9,Лист2!$A:$F,2,FALSE)</f>
        <v>0</v>
      </c>
      <c r="N9" s="58" t="str">
        <f>VLOOKUP(H9,Лист2!$A:$F,6,FALSE)</f>
        <v>изумруд</v>
      </c>
      <c r="O9" s="58" t="str">
        <f>VLOOKUP(I9,Лист2!$A:$F,6,FALSE)</f>
        <v>изумруд</v>
      </c>
      <c r="P9" s="58" t="str">
        <f>VLOOKUP(J9,Лист2!$A:$F,6,FALSE)</f>
        <v>сапфир</v>
      </c>
      <c r="S9" s="6" t="s">
        <v>3267</v>
      </c>
      <c r="T9">
        <v>4</v>
      </c>
      <c r="U9">
        <v>2</v>
      </c>
      <c r="V9">
        <v>4</v>
      </c>
      <c r="W9">
        <v>10</v>
      </c>
    </row>
    <row r="10" spans="1:23" x14ac:dyDescent="0.2">
      <c r="A10">
        <v>20</v>
      </c>
      <c r="B10" s="45">
        <v>-1</v>
      </c>
      <c r="C10" s="24" t="s">
        <v>3291</v>
      </c>
      <c r="D10" s="62">
        <v>45892</v>
      </c>
      <c r="E10" s="15" t="s">
        <v>3264</v>
      </c>
      <c r="F10" s="15">
        <f t="shared" si="0"/>
        <v>0</v>
      </c>
      <c r="G10" s="45" t="s">
        <v>3301</v>
      </c>
      <c r="K10" t="e">
        <f>VLOOKUP(H10,Лист2!$A:$F,2,FALSE)</f>
        <v>#N/A</v>
      </c>
      <c r="L10" t="e">
        <f>VLOOKUP(I10,Лист2!$A:$F,2,FALSE)</f>
        <v>#N/A</v>
      </c>
      <c r="M10" t="e">
        <f>VLOOKUP(J10,Лист2!$A:$F,2,FALSE)</f>
        <v>#N/A</v>
      </c>
      <c r="N10" s="58" t="e">
        <f>VLOOKUP(H10,Лист2!$A:$F,6,FALSE)</f>
        <v>#N/A</v>
      </c>
      <c r="O10" s="58" t="e">
        <f>VLOOKUP(I10,Лист2!$A:$F,6,FALSE)</f>
        <v>#N/A</v>
      </c>
      <c r="P10" s="58" t="e">
        <f>VLOOKUP(J10,Лист2!$A:$F,6,FALSE)</f>
        <v>#N/A</v>
      </c>
      <c r="S10" s="6" t="s">
        <v>3268</v>
      </c>
      <c r="U10">
        <v>3</v>
      </c>
      <c r="V10">
        <v>5</v>
      </c>
      <c r="W10">
        <v>8</v>
      </c>
    </row>
    <row r="11" spans="1:23" x14ac:dyDescent="0.2">
      <c r="A11">
        <v>21</v>
      </c>
      <c r="B11" s="45">
        <v>-1</v>
      </c>
      <c r="C11" s="24" t="s">
        <v>3292</v>
      </c>
      <c r="D11" s="62">
        <v>45892</v>
      </c>
      <c r="E11" s="50" t="s">
        <v>3265</v>
      </c>
      <c r="F11" s="50">
        <f t="shared" si="0"/>
        <v>0</v>
      </c>
      <c r="G11" s="45" t="s">
        <v>3302</v>
      </c>
      <c r="K11" t="e">
        <f>VLOOKUP(H11,Лист2!$A:$F,2,FALSE)</f>
        <v>#N/A</v>
      </c>
      <c r="L11" t="e">
        <f>VLOOKUP(I11,Лист2!$A:$F,2,FALSE)</f>
        <v>#N/A</v>
      </c>
      <c r="M11" t="e">
        <f>VLOOKUP(J11,Лист2!$A:$F,2,FALSE)</f>
        <v>#N/A</v>
      </c>
      <c r="N11" s="58" t="e">
        <f>VLOOKUP(H11,Лист2!$A:$F,6,FALSE)</f>
        <v>#N/A</v>
      </c>
      <c r="O11" s="58" t="e">
        <f>VLOOKUP(I11,Лист2!$A:$F,6,FALSE)</f>
        <v>#N/A</v>
      </c>
      <c r="P11" s="58" t="e">
        <f>VLOOKUP(J11,Лист2!$A:$F,6,FALSE)</f>
        <v>#N/A</v>
      </c>
      <c r="S11" s="6" t="s">
        <v>2902</v>
      </c>
      <c r="T11">
        <v>18</v>
      </c>
      <c r="U11">
        <v>12</v>
      </c>
      <c r="V11">
        <v>16</v>
      </c>
      <c r="W11">
        <v>46</v>
      </c>
    </row>
    <row r="12" spans="1:23" x14ac:dyDescent="0.2">
      <c r="A12">
        <v>26</v>
      </c>
      <c r="B12" s="45">
        <v>-1</v>
      </c>
      <c r="C12" t="s">
        <v>3306</v>
      </c>
      <c r="D12" s="61">
        <v>45894</v>
      </c>
      <c r="E12" s="15" t="s">
        <v>3264</v>
      </c>
      <c r="F12" s="15">
        <f t="shared" si="0"/>
        <v>0</v>
      </c>
      <c r="G12" s="45" t="s">
        <v>3326</v>
      </c>
      <c r="H12" s="24" t="s">
        <v>217</v>
      </c>
      <c r="I12" s="24" t="s">
        <v>1193</v>
      </c>
      <c r="J12" s="24" t="s">
        <v>839</v>
      </c>
      <c r="K12">
        <f>VLOOKUP(H12,Лист2!$A:$F,2,FALSE)</f>
        <v>3</v>
      </c>
      <c r="L12">
        <f>VLOOKUP(I12,Лист2!$A:$F,2,FALSE)</f>
        <v>0</v>
      </c>
      <c r="M12">
        <f>VLOOKUP(J12,Лист2!$A:$F,2,FALSE)</f>
        <v>0</v>
      </c>
      <c r="N12" s="58" t="str">
        <f>VLOOKUP(H12,Лист2!$A:$F,6,FALSE)</f>
        <v>аметист</v>
      </c>
      <c r="O12" s="58" t="str">
        <f>VLOOKUP(I12,Лист2!$A:$F,6,FALSE)</f>
        <v>изумруд</v>
      </c>
      <c r="P12" s="58" t="str">
        <f>VLOOKUP(J12,Лист2!$A:$F,6,FALSE)</f>
        <v>сапфир</v>
      </c>
    </row>
    <row r="13" spans="1:23" x14ac:dyDescent="0.2">
      <c r="A13">
        <v>27</v>
      </c>
      <c r="B13" s="45">
        <v>-1</v>
      </c>
      <c r="C13" t="s">
        <v>3307</v>
      </c>
      <c r="D13" s="61">
        <v>45894</v>
      </c>
      <c r="E13" s="15" t="s">
        <v>3264</v>
      </c>
      <c r="F13" s="15">
        <f t="shared" si="0"/>
        <v>0</v>
      </c>
      <c r="G13" s="45" t="s">
        <v>3327</v>
      </c>
      <c r="H13" s="24" t="s">
        <v>1662</v>
      </c>
      <c r="I13" s="24" t="s">
        <v>919</v>
      </c>
      <c r="J13" s="24" t="s">
        <v>653</v>
      </c>
      <c r="K13">
        <f>VLOOKUP(H13,Лист2!$A:$F,2,FALSE)</f>
        <v>0</v>
      </c>
      <c r="L13">
        <f>VLOOKUP(I13,Лист2!$A:$F,2,FALSE)</f>
        <v>0</v>
      </c>
      <c r="M13">
        <f>VLOOKUP(J13,Лист2!$A:$F,2,FALSE)</f>
        <v>3</v>
      </c>
      <c r="N13" s="58" t="str">
        <f>VLOOKUP(H13,Лист2!$A:$F,6,FALSE)</f>
        <v>сапфир</v>
      </c>
      <c r="O13" s="58" t="str">
        <f>VLOOKUP(I13,Лист2!$A:$F,6,FALSE)</f>
        <v>изумруд</v>
      </c>
      <c r="P13" s="58" t="str">
        <f>VLOOKUP(J13,Лист2!$A:$F,6,FALSE)</f>
        <v>аметист</v>
      </c>
    </row>
    <row r="14" spans="1:23" x14ac:dyDescent="0.2">
      <c r="A14">
        <v>34</v>
      </c>
      <c r="B14" s="45">
        <v>-1</v>
      </c>
      <c r="C14" t="s">
        <v>3312</v>
      </c>
      <c r="D14" s="61">
        <v>45894</v>
      </c>
      <c r="E14" s="45" t="s">
        <v>3266</v>
      </c>
      <c r="F14" s="45">
        <f t="shared" si="0"/>
        <v>1</v>
      </c>
      <c r="G14" s="45" t="s">
        <v>3330</v>
      </c>
      <c r="H14" s="24" t="s">
        <v>653</v>
      </c>
      <c r="I14" s="24" t="s">
        <v>1031</v>
      </c>
      <c r="J14" s="24" t="s">
        <v>1959</v>
      </c>
      <c r="K14">
        <f>VLOOKUP(H14,Лист2!$A:$F,2,FALSE)</f>
        <v>3</v>
      </c>
      <c r="L14">
        <f>VLOOKUP(I14,Лист2!$A:$F,2,FALSE)</f>
        <v>0</v>
      </c>
      <c r="M14">
        <f>VLOOKUP(J14,Лист2!$A:$F,2,FALSE)</f>
        <v>2</v>
      </c>
      <c r="N14" s="58" t="str">
        <f>VLOOKUP(H14,Лист2!$A:$F,6,FALSE)</f>
        <v>аметист</v>
      </c>
      <c r="O14" s="58" t="str">
        <f>VLOOKUP(I14,Лист2!$A:$F,6,FALSE)</f>
        <v>аметист</v>
      </c>
      <c r="P14" s="58" t="str">
        <f>VLOOKUP(J14,Лист2!$A:$F,6,FALSE)</f>
        <v>рубин</v>
      </c>
    </row>
    <row r="15" spans="1:23" x14ac:dyDescent="0.2">
      <c r="A15">
        <v>35</v>
      </c>
      <c r="B15" s="45">
        <v>-1</v>
      </c>
      <c r="C15" t="s">
        <v>3313</v>
      </c>
      <c r="D15" s="61">
        <v>45894</v>
      </c>
      <c r="E15" s="45" t="s">
        <v>3266</v>
      </c>
      <c r="F15" s="45">
        <f t="shared" si="0"/>
        <v>0</v>
      </c>
      <c r="G15" s="45" t="s">
        <v>3330</v>
      </c>
      <c r="H15" s="24" t="s">
        <v>3133</v>
      </c>
      <c r="I15" s="24" t="s">
        <v>653</v>
      </c>
      <c r="J15" s="24" t="s">
        <v>839</v>
      </c>
      <c r="K15">
        <f>VLOOKUP(H15,Лист2!$A:$F,2,FALSE)</f>
        <v>3</v>
      </c>
      <c r="L15">
        <f>VLOOKUP(I15,Лист2!$A:$F,2,FALSE)</f>
        <v>3</v>
      </c>
      <c r="M15">
        <f>VLOOKUP(J15,Лист2!$A:$F,2,FALSE)</f>
        <v>0</v>
      </c>
      <c r="N15" s="58" t="str">
        <f>VLOOKUP(H15,Лист2!$A:$F,6,FALSE)</f>
        <v>топаз</v>
      </c>
      <c r="O15" s="58" t="str">
        <f>VLOOKUP(I15,Лист2!$A:$F,6,FALSE)</f>
        <v>аметист</v>
      </c>
      <c r="P15" s="58" t="str">
        <f>VLOOKUP(J15,Лист2!$A:$F,6,FALSE)</f>
        <v>сапфир</v>
      </c>
      <c r="S15" s="16" t="s">
        <v>3334</v>
      </c>
      <c r="T15" s="6">
        <v>1</v>
      </c>
    </row>
    <row r="16" spans="1:23" x14ac:dyDescent="0.2">
      <c r="A16">
        <v>36</v>
      </c>
      <c r="B16" s="45">
        <v>-1</v>
      </c>
      <c r="C16" t="s">
        <v>3299</v>
      </c>
      <c r="D16" s="61">
        <v>45894</v>
      </c>
      <c r="E16" s="45" t="s">
        <v>3266</v>
      </c>
      <c r="F16" s="45">
        <f t="shared" si="0"/>
        <v>0</v>
      </c>
      <c r="G16" s="45" t="s">
        <v>3330</v>
      </c>
      <c r="H16" s="24" t="s">
        <v>124</v>
      </c>
      <c r="I16" s="24" t="s">
        <v>2913</v>
      </c>
      <c r="J16" s="24" t="s">
        <v>598</v>
      </c>
      <c r="K16">
        <f>VLOOKUP(H16,Лист2!$A:$F,2,FALSE)</f>
        <v>3</v>
      </c>
      <c r="L16">
        <f>VLOOKUP(I16,Лист2!$A:$F,2,FALSE)</f>
        <v>5</v>
      </c>
      <c r="M16">
        <f>VLOOKUP(J16,Лист2!$A:$F,2,FALSE)</f>
        <v>3</v>
      </c>
      <c r="N16" s="58" t="str">
        <f>VLOOKUP(H16,Лист2!$A:$F,6,FALSE)</f>
        <v>аметист</v>
      </c>
      <c r="O16" s="58" t="str">
        <f>VLOOKUP(I16,Лист2!$A:$F,6,FALSE)</f>
        <v>все</v>
      </c>
      <c r="P16" s="58" t="str">
        <f>VLOOKUP(J16,Лист2!$A:$F,6,FALSE)</f>
        <v>сапфир</v>
      </c>
    </row>
    <row r="17" spans="1:23" x14ac:dyDescent="0.2">
      <c r="A17">
        <v>37</v>
      </c>
      <c r="B17" s="45">
        <v>-1</v>
      </c>
      <c r="C17" t="s">
        <v>3314</v>
      </c>
      <c r="D17" s="61">
        <v>45894</v>
      </c>
      <c r="E17" s="51" t="s">
        <v>3267</v>
      </c>
      <c r="F17" s="51">
        <f t="shared" si="0"/>
        <v>0</v>
      </c>
      <c r="G17" s="45" t="s">
        <v>3332</v>
      </c>
      <c r="H17" s="24" t="s">
        <v>3133</v>
      </c>
      <c r="I17" s="24" t="s">
        <v>653</v>
      </c>
      <c r="J17" s="24" t="s">
        <v>1031</v>
      </c>
      <c r="K17">
        <f>VLOOKUP(H17,Лист2!$A:$F,2,FALSE)</f>
        <v>3</v>
      </c>
      <c r="L17">
        <f>VLOOKUP(I17,Лист2!$A:$F,2,FALSE)</f>
        <v>3</v>
      </c>
      <c r="M17">
        <f>VLOOKUP(J17,Лист2!$A:$F,2,FALSE)</f>
        <v>0</v>
      </c>
      <c r="N17" s="58" t="str">
        <f>VLOOKUP(H17,Лист2!$A:$F,6,FALSE)</f>
        <v>топаз</v>
      </c>
      <c r="O17" s="58" t="str">
        <f>VLOOKUP(I17,Лист2!$A:$F,6,FALSE)</f>
        <v>аметист</v>
      </c>
      <c r="P17" s="58" t="str">
        <f>VLOOKUP(J17,Лист2!$A:$F,6,FALSE)</f>
        <v>аметист</v>
      </c>
      <c r="S17" s="16" t="s">
        <v>3336</v>
      </c>
      <c r="T17" s="16" t="s">
        <v>3129</v>
      </c>
    </row>
    <row r="18" spans="1:23" x14ac:dyDescent="0.2">
      <c r="A18">
        <v>38</v>
      </c>
      <c r="B18" s="45">
        <v>-1</v>
      </c>
      <c r="C18" t="s">
        <v>3315</v>
      </c>
      <c r="D18" s="61">
        <v>45894</v>
      </c>
      <c r="E18" s="51" t="s">
        <v>3267</v>
      </c>
      <c r="F18" s="51">
        <f t="shared" si="0"/>
        <v>2</v>
      </c>
      <c r="G18" s="45" t="s">
        <v>3332</v>
      </c>
      <c r="H18" s="24" t="s">
        <v>1031</v>
      </c>
      <c r="I18" s="24" t="s">
        <v>1193</v>
      </c>
      <c r="J18" s="24" t="s">
        <v>771</v>
      </c>
      <c r="K18">
        <f>VLOOKUP(H18,Лист2!$A:$F,2,FALSE)</f>
        <v>0</v>
      </c>
      <c r="L18">
        <f>VLOOKUP(I18,Лист2!$A:$F,2,FALSE)</f>
        <v>0</v>
      </c>
      <c r="M18">
        <f>VLOOKUP(J18,Лист2!$A:$F,2,FALSE)</f>
        <v>0</v>
      </c>
      <c r="N18" s="58" t="str">
        <f>VLOOKUP(H18,Лист2!$A:$F,6,FALSE)</f>
        <v>аметист</v>
      </c>
      <c r="O18" s="58" t="str">
        <f>VLOOKUP(I18,Лист2!$A:$F,6,FALSE)</f>
        <v>изумруд</v>
      </c>
      <c r="P18" s="58" t="str">
        <f>VLOOKUP(J18,Лист2!$A:$F,6,FALSE)</f>
        <v>изумруд</v>
      </c>
      <c r="S18" s="16" t="s">
        <v>2918</v>
      </c>
      <c r="T18" s="63">
        <v>45889</v>
      </c>
      <c r="U18" s="63">
        <v>45892</v>
      </c>
      <c r="V18" s="63">
        <v>45894</v>
      </c>
      <c r="W18" t="s">
        <v>2902</v>
      </c>
    </row>
    <row r="19" spans="1:23" x14ac:dyDescent="0.2">
      <c r="A19">
        <v>39</v>
      </c>
      <c r="B19" s="45">
        <v>-1</v>
      </c>
      <c r="C19" t="s">
        <v>3316</v>
      </c>
      <c r="D19" s="61">
        <v>45894</v>
      </c>
      <c r="E19" s="51" t="s">
        <v>3267</v>
      </c>
      <c r="F19" s="51">
        <f t="shared" si="0"/>
        <v>1</v>
      </c>
      <c r="G19" s="45" t="s">
        <v>3332</v>
      </c>
      <c r="H19" s="24" t="s">
        <v>419</v>
      </c>
      <c r="I19" s="24" t="s">
        <v>3131</v>
      </c>
      <c r="J19" s="24" t="s">
        <v>1366</v>
      </c>
      <c r="K19">
        <f>VLOOKUP(H19,Лист2!$A:$F,2,FALSE)</f>
        <v>0</v>
      </c>
      <c r="L19">
        <f>VLOOKUP(I19,Лист2!$A:$F,2,FALSE)</f>
        <v>0</v>
      </c>
      <c r="M19">
        <f>VLOOKUP(J19,Лист2!$A:$F,2,FALSE)</f>
        <v>3</v>
      </c>
      <c r="N19" s="58" t="str">
        <f>VLOOKUP(H19,Лист2!$A:$F,6,FALSE)</f>
        <v>изумруд</v>
      </c>
      <c r="O19" s="58" t="str">
        <f>VLOOKUP(I19,Лист2!$A:$F,6,FALSE)</f>
        <v>аметист</v>
      </c>
      <c r="P19" s="58" t="str">
        <f>VLOOKUP(J19,Лист2!$A:$F,6,FALSE)</f>
        <v>рубин</v>
      </c>
      <c r="S19" s="6" t="s">
        <v>3264</v>
      </c>
      <c r="T19">
        <v>1</v>
      </c>
      <c r="V19">
        <v>2</v>
      </c>
      <c r="W19">
        <v>3</v>
      </c>
    </row>
    <row r="20" spans="1:23" x14ac:dyDescent="0.2">
      <c r="A20">
        <v>2</v>
      </c>
      <c r="B20" s="15">
        <v>0</v>
      </c>
      <c r="C20" t="s">
        <v>3241</v>
      </c>
      <c r="D20" s="61">
        <v>45889</v>
      </c>
      <c r="F20">
        <f t="shared" si="0"/>
        <v>0</v>
      </c>
      <c r="G20" s="15" t="s">
        <v>3282</v>
      </c>
      <c r="H20" t="s">
        <v>839</v>
      </c>
      <c r="I20" t="s">
        <v>419</v>
      </c>
      <c r="J20" t="s">
        <v>598</v>
      </c>
      <c r="K20">
        <f>VLOOKUP(H20,Лист2!$A:$F,2,FALSE)</f>
        <v>0</v>
      </c>
      <c r="L20">
        <f>VLOOKUP(I20,Лист2!$A:$F,2,FALSE)</f>
        <v>0</v>
      </c>
      <c r="M20">
        <f>VLOOKUP(J20,Лист2!$A:$F,2,FALSE)</f>
        <v>3</v>
      </c>
      <c r="N20" s="58" t="str">
        <f>VLOOKUP(H20,Лист2!$A:$F,6,FALSE)</f>
        <v>сапфир</v>
      </c>
      <c r="O20" s="58" t="str">
        <f>VLOOKUP(I20,Лист2!$A:$F,6,FALSE)</f>
        <v>изумруд</v>
      </c>
      <c r="P20" s="58" t="str">
        <f>VLOOKUP(J20,Лист2!$A:$F,6,FALSE)</f>
        <v>сапфир</v>
      </c>
      <c r="S20" s="10" t="s">
        <v>3305</v>
      </c>
      <c r="V20">
        <v>1</v>
      </c>
      <c r="W20">
        <v>1</v>
      </c>
    </row>
    <row r="21" spans="1:23" x14ac:dyDescent="0.2">
      <c r="A21">
        <v>3</v>
      </c>
      <c r="B21" s="15">
        <v>0</v>
      </c>
      <c r="C21" t="s">
        <v>3242</v>
      </c>
      <c r="D21" s="61">
        <v>45889</v>
      </c>
      <c r="F21">
        <f t="shared" si="0"/>
        <v>0</v>
      </c>
      <c r="G21" s="15" t="s">
        <v>3283</v>
      </c>
      <c r="H21" t="s">
        <v>2913</v>
      </c>
      <c r="I21" t="s">
        <v>269</v>
      </c>
      <c r="J21" t="s">
        <v>3133</v>
      </c>
      <c r="K21">
        <f>VLOOKUP(H21,Лист2!$A:$F,2,FALSE)</f>
        <v>5</v>
      </c>
      <c r="L21">
        <f>VLOOKUP(I21,Лист2!$A:$F,2,FALSE)</f>
        <v>1</v>
      </c>
      <c r="M21">
        <f>VLOOKUP(J21,Лист2!$A:$F,2,FALSE)</f>
        <v>3</v>
      </c>
      <c r="N21" s="58" t="str">
        <f>VLOOKUP(H21,Лист2!$A:$F,6,FALSE)</f>
        <v>все</v>
      </c>
      <c r="O21" s="58" t="str">
        <f>VLOOKUP(I21,Лист2!$A:$F,6,FALSE)</f>
        <v>рубин</v>
      </c>
      <c r="P21" s="58" t="str">
        <f>VLOOKUP(J21,Лист2!$A:$F,6,FALSE)</f>
        <v>топаз</v>
      </c>
      <c r="S21" s="9" t="s">
        <v>3328</v>
      </c>
      <c r="V21">
        <v>1</v>
      </c>
      <c r="W21">
        <v>1</v>
      </c>
    </row>
    <row r="22" spans="1:23" x14ac:dyDescent="0.2">
      <c r="A22">
        <v>7</v>
      </c>
      <c r="B22" s="15">
        <v>0</v>
      </c>
      <c r="C22" t="s">
        <v>3246</v>
      </c>
      <c r="D22" s="61">
        <v>45889</v>
      </c>
      <c r="E22" s="51" t="s">
        <v>3267</v>
      </c>
      <c r="F22" s="51">
        <f t="shared" si="0"/>
        <v>0</v>
      </c>
      <c r="G22" s="15" t="s">
        <v>3287</v>
      </c>
      <c r="H22" t="s">
        <v>839</v>
      </c>
      <c r="I22" t="s">
        <v>464</v>
      </c>
      <c r="J22" t="s">
        <v>1031</v>
      </c>
      <c r="K22">
        <f>VLOOKUP(H22,Лист2!$A:$F,2,FALSE)</f>
        <v>0</v>
      </c>
      <c r="L22">
        <f>VLOOKUP(I22,Лист2!$A:$F,2,FALSE)</f>
        <v>0</v>
      </c>
      <c r="M22">
        <f>VLOOKUP(J22,Лист2!$A:$F,2,FALSE)</f>
        <v>0</v>
      </c>
      <c r="N22" s="58" t="str">
        <f>VLOOKUP(H22,Лист2!$A:$F,6,FALSE)</f>
        <v>сапфир</v>
      </c>
      <c r="O22" s="58" t="str">
        <f>VLOOKUP(I22,Лист2!$A:$F,6,FALSE)</f>
        <v>сапфир</v>
      </c>
      <c r="P22" s="58" t="str">
        <f>VLOOKUP(J22,Лист2!$A:$F,6,FALSE)</f>
        <v>аметист</v>
      </c>
      <c r="S22" s="10" t="s">
        <v>3247</v>
      </c>
      <c r="T22">
        <v>1</v>
      </c>
      <c r="W22">
        <v>1</v>
      </c>
    </row>
    <row r="23" spans="1:23" x14ac:dyDescent="0.2">
      <c r="A23">
        <v>10</v>
      </c>
      <c r="B23" s="60">
        <v>0</v>
      </c>
      <c r="C23" t="s">
        <v>3249</v>
      </c>
      <c r="D23" s="61">
        <v>45889</v>
      </c>
      <c r="F23">
        <f t="shared" si="0"/>
        <v>0</v>
      </c>
      <c r="G23" s="60" t="s">
        <v>3289</v>
      </c>
      <c r="H23" t="s">
        <v>1193</v>
      </c>
      <c r="I23" t="s">
        <v>3131</v>
      </c>
      <c r="J23" s="24" t="s">
        <v>1897</v>
      </c>
      <c r="K23">
        <f>VLOOKUP(H23,Лист2!$A:$F,2,FALSE)</f>
        <v>0</v>
      </c>
      <c r="L23">
        <f>VLOOKUP(I23,Лист2!$A:$F,2,FALSE)</f>
        <v>0</v>
      </c>
      <c r="M23">
        <f>VLOOKUP(J23,Лист2!$A:$F,2,FALSE)</f>
        <v>2</v>
      </c>
      <c r="N23" s="58" t="str">
        <f>VLOOKUP(H23,Лист2!$A:$F,6,FALSE)</f>
        <v>изумруд</v>
      </c>
      <c r="O23" s="58" t="str">
        <f>VLOOKUP(I23,Лист2!$A:$F,6,FALSE)</f>
        <v>аметист</v>
      </c>
      <c r="P23" s="58" t="str">
        <f>VLOOKUP(J23,Лист2!$A:$F,6,FALSE)</f>
        <v>топаз</v>
      </c>
      <c r="S23" s="9" t="s">
        <v>3288</v>
      </c>
      <c r="T23">
        <v>1</v>
      </c>
      <c r="W23">
        <v>1</v>
      </c>
    </row>
    <row r="24" spans="1:23" x14ac:dyDescent="0.2">
      <c r="A24">
        <v>11</v>
      </c>
      <c r="B24" s="60">
        <v>0</v>
      </c>
      <c r="C24" t="s">
        <v>3250</v>
      </c>
      <c r="D24" s="61">
        <v>45889</v>
      </c>
      <c r="E24" s="15" t="s">
        <v>3264</v>
      </c>
      <c r="F24" s="15">
        <f t="shared" si="0"/>
        <v>0</v>
      </c>
      <c r="G24" s="60" t="s">
        <v>3290</v>
      </c>
      <c r="H24" t="s">
        <v>3131</v>
      </c>
      <c r="I24" t="s">
        <v>1366</v>
      </c>
      <c r="J24" t="s">
        <v>653</v>
      </c>
      <c r="K24">
        <f>VLOOKUP(H24,Лист2!$A:$F,2,FALSE)</f>
        <v>0</v>
      </c>
      <c r="L24">
        <f>VLOOKUP(I24,Лист2!$A:$F,2,FALSE)</f>
        <v>3</v>
      </c>
      <c r="M24">
        <f>VLOOKUP(J24,Лист2!$A:$F,2,FALSE)</f>
        <v>3</v>
      </c>
      <c r="N24" s="58" t="str">
        <f>VLOOKUP(H24,Лист2!$A:$F,6,FALSE)</f>
        <v>аметист</v>
      </c>
      <c r="O24" s="58" t="str">
        <f>VLOOKUP(I24,Лист2!$A:$F,6,FALSE)</f>
        <v>рубин</v>
      </c>
      <c r="P24" s="58" t="str">
        <f>VLOOKUP(J24,Лист2!$A:$F,6,FALSE)</f>
        <v>аметист</v>
      </c>
      <c r="S24" s="10" t="s">
        <v>3297</v>
      </c>
      <c r="V24">
        <v>1</v>
      </c>
      <c r="W24">
        <v>1</v>
      </c>
    </row>
    <row r="25" spans="1:23" x14ac:dyDescent="0.2">
      <c r="A25">
        <v>14</v>
      </c>
      <c r="B25" s="15">
        <v>0</v>
      </c>
      <c r="C25" t="s">
        <v>3253</v>
      </c>
      <c r="D25" s="61">
        <v>45889</v>
      </c>
      <c r="E25" s="40" t="s">
        <v>3268</v>
      </c>
      <c r="F25" s="40">
        <f t="shared" si="0"/>
        <v>1</v>
      </c>
      <c r="G25" s="15" t="s">
        <v>3287</v>
      </c>
      <c r="H25" t="s">
        <v>1031</v>
      </c>
      <c r="I25" t="s">
        <v>3133</v>
      </c>
      <c r="J25" t="s">
        <v>464</v>
      </c>
      <c r="K25">
        <f>VLOOKUP(H25,Лист2!$A:$F,2,FALSE)</f>
        <v>0</v>
      </c>
      <c r="L25">
        <f>VLOOKUP(I25,Лист2!$A:$F,2,FALSE)</f>
        <v>3</v>
      </c>
      <c r="M25">
        <f>VLOOKUP(J25,Лист2!$A:$F,2,FALSE)</f>
        <v>0</v>
      </c>
      <c r="N25" s="58" t="str">
        <f>VLOOKUP(H25,Лист2!$A:$F,6,FALSE)</f>
        <v>аметист</v>
      </c>
      <c r="O25" s="58" t="str">
        <f>VLOOKUP(I25,Лист2!$A:$F,6,FALSE)</f>
        <v>топаз</v>
      </c>
      <c r="P25" s="58" t="str">
        <f>VLOOKUP(J25,Лист2!$A:$F,6,FALSE)</f>
        <v>сапфир</v>
      </c>
      <c r="S25" s="9" t="s">
        <v>3328</v>
      </c>
      <c r="V25">
        <v>1</v>
      </c>
      <c r="W25">
        <v>1</v>
      </c>
    </row>
    <row r="26" spans="1:23" x14ac:dyDescent="0.2">
      <c r="A26">
        <v>22</v>
      </c>
      <c r="B26" s="60">
        <v>0</v>
      </c>
      <c r="C26" s="24" t="s">
        <v>3293</v>
      </c>
      <c r="D26" s="62">
        <v>45892</v>
      </c>
      <c r="E26" s="45" t="s">
        <v>3266</v>
      </c>
      <c r="F26" s="45">
        <f t="shared" si="0"/>
        <v>0</v>
      </c>
      <c r="G26" s="60" t="s">
        <v>3303</v>
      </c>
      <c r="K26" t="e">
        <f>VLOOKUP(H26,Лист2!$A:$F,2,FALSE)</f>
        <v>#N/A</v>
      </c>
      <c r="L26" t="e">
        <f>VLOOKUP(I26,Лист2!$A:$F,2,FALSE)</f>
        <v>#N/A</v>
      </c>
      <c r="M26" t="e">
        <f>VLOOKUP(J26,Лист2!$A:$F,2,FALSE)</f>
        <v>#N/A</v>
      </c>
      <c r="N26" s="58" t="e">
        <f>VLOOKUP(H26,Лист2!$A:$F,6,FALSE)</f>
        <v>#N/A</v>
      </c>
      <c r="O26" s="58" t="e">
        <f>VLOOKUP(I26,Лист2!$A:$F,6,FALSE)</f>
        <v>#N/A</v>
      </c>
      <c r="P26" s="58" t="e">
        <f>VLOOKUP(J26,Лист2!$A:$F,6,FALSE)</f>
        <v>#N/A</v>
      </c>
      <c r="S26" s="6" t="s">
        <v>3265</v>
      </c>
      <c r="T26">
        <v>1</v>
      </c>
      <c r="V26">
        <v>2</v>
      </c>
      <c r="W26">
        <v>3</v>
      </c>
    </row>
    <row r="27" spans="1:23" x14ac:dyDescent="0.2">
      <c r="A27">
        <v>23</v>
      </c>
      <c r="B27" s="60">
        <v>0</v>
      </c>
      <c r="C27" s="24" t="s">
        <v>3294</v>
      </c>
      <c r="D27" s="62">
        <v>45892</v>
      </c>
      <c r="E27" s="51" t="s">
        <v>3267</v>
      </c>
      <c r="F27" s="51">
        <f t="shared" si="0"/>
        <v>0</v>
      </c>
      <c r="G27" s="60" t="s">
        <v>3304</v>
      </c>
      <c r="K27" t="e">
        <f>VLOOKUP(H27,Лист2!$A:$F,2,FALSE)</f>
        <v>#N/A</v>
      </c>
      <c r="L27" t="e">
        <f>VLOOKUP(I27,Лист2!$A:$F,2,FALSE)</f>
        <v>#N/A</v>
      </c>
      <c r="M27" t="e">
        <f>VLOOKUP(J27,Лист2!$A:$F,2,FALSE)</f>
        <v>#N/A</v>
      </c>
      <c r="N27" s="58" t="e">
        <f>VLOOKUP(H27,Лист2!$A:$F,6,FALSE)</f>
        <v>#N/A</v>
      </c>
      <c r="O27" s="58" t="e">
        <f>VLOOKUP(I27,Лист2!$A:$F,6,FALSE)</f>
        <v>#N/A</v>
      </c>
      <c r="P27" s="58" t="e">
        <f>VLOOKUP(J27,Лист2!$A:$F,6,FALSE)</f>
        <v>#N/A</v>
      </c>
      <c r="S27" s="10" t="s">
        <v>3310</v>
      </c>
      <c r="V27">
        <v>1</v>
      </c>
      <c r="W27">
        <v>1</v>
      </c>
    </row>
    <row r="28" spans="1:23" x14ac:dyDescent="0.2">
      <c r="A28">
        <v>29</v>
      </c>
      <c r="B28" s="60">
        <v>0</v>
      </c>
      <c r="C28" t="s">
        <v>3308</v>
      </c>
      <c r="D28" s="61">
        <v>45894</v>
      </c>
      <c r="E28" s="50" t="s">
        <v>3265</v>
      </c>
      <c r="F28" s="50">
        <f t="shared" si="0"/>
        <v>2</v>
      </c>
      <c r="G28" s="60" t="s">
        <v>3325</v>
      </c>
      <c r="H28" s="24" t="s">
        <v>3126</v>
      </c>
      <c r="I28" s="24" t="s">
        <v>464</v>
      </c>
      <c r="J28" s="24" t="s">
        <v>1031</v>
      </c>
      <c r="K28">
        <f>VLOOKUP(H28,Лист2!$A:$F,2,FALSE)</f>
        <v>0</v>
      </c>
      <c r="L28">
        <f>VLOOKUP(I28,Лист2!$A:$F,2,FALSE)</f>
        <v>0</v>
      </c>
      <c r="M28">
        <f>VLOOKUP(J28,Лист2!$A:$F,2,FALSE)</f>
        <v>0</v>
      </c>
      <c r="N28" s="58" t="str">
        <f>VLOOKUP(H28,Лист2!$A:$F,6,FALSE)</f>
        <v>сапфир</v>
      </c>
      <c r="O28" s="58" t="str">
        <f>VLOOKUP(I28,Лист2!$A:$F,6,FALSE)</f>
        <v>сапфир</v>
      </c>
      <c r="P28" s="58" t="str">
        <f>VLOOKUP(J28,Лист2!$A:$F,6,FALSE)</f>
        <v>аметист</v>
      </c>
      <c r="S28" s="9" t="s">
        <v>3329</v>
      </c>
      <c r="V28">
        <v>1</v>
      </c>
      <c r="W28">
        <v>1</v>
      </c>
    </row>
    <row r="29" spans="1:23" x14ac:dyDescent="0.2">
      <c r="A29">
        <v>30</v>
      </c>
      <c r="B29" s="60">
        <v>0</v>
      </c>
      <c r="C29" t="s">
        <v>3309</v>
      </c>
      <c r="D29" s="61">
        <v>45894</v>
      </c>
      <c r="E29" s="50" t="s">
        <v>3265</v>
      </c>
      <c r="F29" s="50">
        <f t="shared" si="0"/>
        <v>1</v>
      </c>
      <c r="G29" s="60" t="s">
        <v>3325</v>
      </c>
      <c r="H29" s="24" t="s">
        <v>217</v>
      </c>
      <c r="I29" s="24" t="s">
        <v>464</v>
      </c>
      <c r="J29" s="24" t="s">
        <v>771</v>
      </c>
      <c r="K29">
        <f>VLOOKUP(H29,Лист2!$A:$F,2,FALSE)</f>
        <v>3</v>
      </c>
      <c r="L29">
        <f>VLOOKUP(I29,Лист2!$A:$F,2,FALSE)</f>
        <v>0</v>
      </c>
      <c r="M29">
        <f>VLOOKUP(J29,Лист2!$A:$F,2,FALSE)</f>
        <v>0</v>
      </c>
      <c r="N29" s="58" t="str">
        <f>VLOOKUP(H29,Лист2!$A:$F,6,FALSE)</f>
        <v>аметист</v>
      </c>
      <c r="O29" s="58" t="str">
        <f>VLOOKUP(I29,Лист2!$A:$F,6,FALSE)</f>
        <v>сапфир</v>
      </c>
      <c r="P29" s="58" t="str">
        <f>VLOOKUP(J29,Лист2!$A:$F,6,FALSE)</f>
        <v>изумруд</v>
      </c>
      <c r="S29" s="10" t="s">
        <v>3244</v>
      </c>
      <c r="T29">
        <v>1</v>
      </c>
      <c r="W29">
        <v>1</v>
      </c>
    </row>
    <row r="30" spans="1:23" x14ac:dyDescent="0.2">
      <c r="A30">
        <v>43</v>
      </c>
      <c r="B30" s="60">
        <v>0</v>
      </c>
      <c r="C30" t="s">
        <v>3320</v>
      </c>
      <c r="D30" s="61">
        <v>45894</v>
      </c>
      <c r="E30" s="40" t="s">
        <v>3268</v>
      </c>
      <c r="F30" s="40">
        <f t="shared" si="0"/>
        <v>1</v>
      </c>
      <c r="G30" s="60" t="s">
        <v>3325</v>
      </c>
      <c r="H30" s="24" t="s">
        <v>653</v>
      </c>
      <c r="I30" s="24" t="s">
        <v>1193</v>
      </c>
      <c r="J30" s="24" t="s">
        <v>1366</v>
      </c>
      <c r="K30">
        <f>VLOOKUP(H30,Лист2!$A:$F,2,FALSE)</f>
        <v>3</v>
      </c>
      <c r="L30">
        <f>VLOOKUP(I30,Лист2!$A:$F,2,FALSE)</f>
        <v>0</v>
      </c>
      <c r="M30">
        <f>VLOOKUP(J30,Лист2!$A:$F,2,FALSE)</f>
        <v>3</v>
      </c>
      <c r="N30" s="58" t="str">
        <f>VLOOKUP(H30,Лист2!$A:$F,6,FALSE)</f>
        <v>аметист</v>
      </c>
      <c r="O30" s="58" t="str">
        <f>VLOOKUP(I30,Лист2!$A:$F,6,FALSE)</f>
        <v>изумруд</v>
      </c>
      <c r="P30" s="58" t="str">
        <f>VLOOKUP(J30,Лист2!$A:$F,6,FALSE)</f>
        <v>рубин</v>
      </c>
      <c r="S30" s="9" t="s">
        <v>3285</v>
      </c>
      <c r="T30">
        <v>1</v>
      </c>
      <c r="W30">
        <v>1</v>
      </c>
    </row>
    <row r="31" spans="1:23" x14ac:dyDescent="0.2">
      <c r="A31">
        <v>44</v>
      </c>
      <c r="B31" s="60">
        <v>0</v>
      </c>
      <c r="C31" t="s">
        <v>3321</v>
      </c>
      <c r="D31" s="61">
        <v>45894</v>
      </c>
      <c r="E31" s="40" t="s">
        <v>3268</v>
      </c>
      <c r="F31" s="40">
        <f t="shared" si="0"/>
        <v>1</v>
      </c>
      <c r="G31" s="60" t="s">
        <v>3325</v>
      </c>
      <c r="H31" s="24" t="s">
        <v>3131</v>
      </c>
      <c r="I31" s="24" t="s">
        <v>919</v>
      </c>
      <c r="J31" s="24" t="s">
        <v>1366</v>
      </c>
      <c r="K31">
        <f>VLOOKUP(H31,Лист2!$A:$F,2,FALSE)</f>
        <v>0</v>
      </c>
      <c r="L31">
        <f>VLOOKUP(I31,Лист2!$A:$F,2,FALSE)</f>
        <v>0</v>
      </c>
      <c r="M31">
        <f>VLOOKUP(J31,Лист2!$A:$F,2,FALSE)</f>
        <v>3</v>
      </c>
      <c r="N31" s="58" t="str">
        <f>VLOOKUP(H31,Лист2!$A:$F,6,FALSE)</f>
        <v>аметист</v>
      </c>
      <c r="O31" s="58" t="str">
        <f>VLOOKUP(I31,Лист2!$A:$F,6,FALSE)</f>
        <v>изумруд</v>
      </c>
      <c r="P31" s="58" t="str">
        <f>VLOOKUP(J31,Лист2!$A:$F,6,FALSE)</f>
        <v>рубин</v>
      </c>
      <c r="S31" s="10" t="s">
        <v>3298</v>
      </c>
      <c r="V31">
        <v>1</v>
      </c>
      <c r="W31">
        <v>1</v>
      </c>
    </row>
    <row r="32" spans="1:23" x14ac:dyDescent="0.2">
      <c r="A32">
        <v>9</v>
      </c>
      <c r="B32" s="51">
        <v>1</v>
      </c>
      <c r="C32" t="s">
        <v>3248</v>
      </c>
      <c r="D32" s="61">
        <v>45889</v>
      </c>
      <c r="E32" s="40" t="s">
        <v>3268</v>
      </c>
      <c r="F32" s="40">
        <f t="shared" si="0"/>
        <v>0</v>
      </c>
      <c r="G32" s="51" t="s">
        <v>3285</v>
      </c>
      <c r="H32" t="s">
        <v>1571</v>
      </c>
      <c r="I32" t="s">
        <v>20</v>
      </c>
      <c r="J32" t="s">
        <v>1959</v>
      </c>
      <c r="K32">
        <f>VLOOKUP(H32,Лист2!$A:$F,2,FALSE)</f>
        <v>0</v>
      </c>
      <c r="L32">
        <f>VLOOKUP(I32,Лист2!$A:$F,2,FALSE)</f>
        <v>0</v>
      </c>
      <c r="M32">
        <f>VLOOKUP(J32,Лист2!$A:$F,2,FALSE)</f>
        <v>2</v>
      </c>
      <c r="N32" s="58" t="str">
        <f>VLOOKUP(H32,Лист2!$A:$F,6,FALSE)</f>
        <v>топаз</v>
      </c>
      <c r="O32" s="58" t="str">
        <f>VLOOKUP(I32,Лист2!$A:$F,6,FALSE)</f>
        <v>рубин</v>
      </c>
      <c r="P32" s="58" t="str">
        <f>VLOOKUP(J32,Лист2!$A:$F,6,FALSE)</f>
        <v>рубин</v>
      </c>
      <c r="S32" s="9" t="s">
        <v>3329</v>
      </c>
      <c r="V32">
        <v>1</v>
      </c>
      <c r="W32">
        <v>1</v>
      </c>
    </row>
    <row r="33" spans="1:23" x14ac:dyDescent="0.2">
      <c r="A33">
        <v>18</v>
      </c>
      <c r="B33" s="51">
        <v>1</v>
      </c>
      <c r="C33" t="s">
        <v>3257</v>
      </c>
      <c r="D33" s="61">
        <v>45889</v>
      </c>
      <c r="E33" s="64" t="s">
        <v>3337</v>
      </c>
      <c r="F33">
        <f t="shared" si="0"/>
        <v>1</v>
      </c>
      <c r="G33" s="51" t="s">
        <v>3288</v>
      </c>
      <c r="H33" t="s">
        <v>3133</v>
      </c>
      <c r="I33" s="24" t="s">
        <v>1082</v>
      </c>
      <c r="J33" t="s">
        <v>1031</v>
      </c>
      <c r="K33">
        <f>VLOOKUP(H33,Лист2!$A:$F,2,FALSE)</f>
        <v>3</v>
      </c>
      <c r="L33">
        <f>VLOOKUP(I33,Лист2!$A:$F,2,FALSE)</f>
        <v>0</v>
      </c>
      <c r="M33">
        <f>VLOOKUP(J33,Лист2!$A:$F,2,FALSE)</f>
        <v>0</v>
      </c>
      <c r="N33" s="58" t="str">
        <f>VLOOKUP(H33,Лист2!$A:$F,6,FALSE)</f>
        <v>топаз</v>
      </c>
      <c r="O33" s="58" t="str">
        <f>VLOOKUP(I33,Лист2!$A:$F,6,FALSE)</f>
        <v>рубин</v>
      </c>
      <c r="P33" s="58" t="str">
        <f>VLOOKUP(J33,Лист2!$A:$F,6,FALSE)</f>
        <v>аметист</v>
      </c>
      <c r="S33" s="6" t="s">
        <v>3266</v>
      </c>
      <c r="V33">
        <v>1</v>
      </c>
      <c r="W33">
        <v>1</v>
      </c>
    </row>
    <row r="34" spans="1:23" x14ac:dyDescent="0.2">
      <c r="A34">
        <v>24</v>
      </c>
      <c r="B34" s="51">
        <v>1</v>
      </c>
      <c r="C34" s="24" t="s">
        <v>3295</v>
      </c>
      <c r="D34" s="62">
        <v>45892</v>
      </c>
      <c r="E34" s="40" t="s">
        <v>3268</v>
      </c>
      <c r="F34" s="40">
        <f t="shared" si="0"/>
        <v>0</v>
      </c>
      <c r="G34" s="51" t="s">
        <v>3285</v>
      </c>
      <c r="K34" t="e">
        <f>VLOOKUP(H34,Лист2!$A:$F,2,FALSE)</f>
        <v>#N/A</v>
      </c>
      <c r="L34" t="e">
        <f>VLOOKUP(I34,Лист2!$A:$F,2,FALSE)</f>
        <v>#N/A</v>
      </c>
      <c r="M34" t="e">
        <f>VLOOKUP(J34,Лист2!$A:$F,2,FALSE)</f>
        <v>#N/A</v>
      </c>
      <c r="N34" s="58" t="e">
        <f>VLOOKUP(H34,Лист2!$A:$F,6,FALSE)</f>
        <v>#N/A</v>
      </c>
      <c r="O34" s="58" t="e">
        <f>VLOOKUP(I34,Лист2!$A:$F,6,FALSE)</f>
        <v>#N/A</v>
      </c>
      <c r="P34" s="58" t="e">
        <f>VLOOKUP(J34,Лист2!$A:$F,6,FALSE)</f>
        <v>#N/A</v>
      </c>
      <c r="S34" s="10" t="s">
        <v>3311</v>
      </c>
      <c r="V34">
        <v>1</v>
      </c>
      <c r="W34">
        <v>1</v>
      </c>
    </row>
    <row r="35" spans="1:23" ht="13.1" x14ac:dyDescent="0.25">
      <c r="A35">
        <v>6</v>
      </c>
      <c r="B35" s="51">
        <v>1</v>
      </c>
      <c r="C35" t="s">
        <v>3245</v>
      </c>
      <c r="D35" s="61">
        <v>45889</v>
      </c>
      <c r="E35" s="65" t="s">
        <v>3267</v>
      </c>
      <c r="F35">
        <f t="shared" si="0"/>
        <v>2</v>
      </c>
      <c r="G35" s="51" t="s">
        <v>3286</v>
      </c>
      <c r="H35" t="s">
        <v>1778</v>
      </c>
      <c r="I35" t="s">
        <v>771</v>
      </c>
      <c r="J35" t="s">
        <v>217</v>
      </c>
      <c r="K35">
        <f>VLOOKUP(H35,Лист2!$A:$F,2,FALSE)</f>
        <v>3</v>
      </c>
      <c r="L35">
        <f>VLOOKUP(I35,Лист2!$A:$F,2,FALSE)</f>
        <v>0</v>
      </c>
      <c r="M35">
        <f>VLOOKUP(J35,Лист2!$A:$F,2,FALSE)</f>
        <v>3</v>
      </c>
      <c r="N35" s="58" t="str">
        <f>VLOOKUP(H35,Лист2!$A:$F,6,FALSE)</f>
        <v>изумруд</v>
      </c>
      <c r="O35" s="58" t="str">
        <f>VLOOKUP(I35,Лист2!$A:$F,6,FALSE)</f>
        <v>изумруд</v>
      </c>
      <c r="P35" s="58" t="str">
        <f>VLOOKUP(J35,Лист2!$A:$F,6,FALSE)</f>
        <v>аметист</v>
      </c>
      <c r="S35" s="9" t="s">
        <v>3331</v>
      </c>
      <c r="V35">
        <v>1</v>
      </c>
      <c r="W35">
        <v>1</v>
      </c>
    </row>
    <row r="36" spans="1:23" x14ac:dyDescent="0.2">
      <c r="A36">
        <v>41</v>
      </c>
      <c r="B36" s="51">
        <v>1</v>
      </c>
      <c r="C36" t="s">
        <v>3318</v>
      </c>
      <c r="D36" s="61">
        <v>45894</v>
      </c>
      <c r="E36" s="51" t="s">
        <v>3267</v>
      </c>
      <c r="F36" s="51">
        <f t="shared" si="0"/>
        <v>1</v>
      </c>
      <c r="G36" s="51" t="s">
        <v>3331</v>
      </c>
      <c r="H36" s="24" t="s">
        <v>2913</v>
      </c>
      <c r="I36" s="24" t="s">
        <v>1778</v>
      </c>
      <c r="J36" s="24" t="s">
        <v>217</v>
      </c>
      <c r="K36">
        <f>VLOOKUP(H36,Лист2!$A:$F,2,FALSE)</f>
        <v>5</v>
      </c>
      <c r="L36">
        <f>VLOOKUP(I36,Лист2!$A:$F,2,FALSE)</f>
        <v>3</v>
      </c>
      <c r="M36">
        <f>VLOOKUP(J36,Лист2!$A:$F,2,FALSE)</f>
        <v>3</v>
      </c>
      <c r="N36" s="58" t="str">
        <f>VLOOKUP(H36,Лист2!$A:$F,6,FALSE)</f>
        <v>все</v>
      </c>
      <c r="O36" s="58" t="str">
        <f>VLOOKUP(I36,Лист2!$A:$F,6,FALSE)</f>
        <v>изумруд</v>
      </c>
      <c r="P36" s="58" t="str">
        <f>VLOOKUP(J36,Лист2!$A:$F,6,FALSE)</f>
        <v>аметист</v>
      </c>
      <c r="S36" s="6" t="s">
        <v>3267</v>
      </c>
      <c r="T36">
        <v>1</v>
      </c>
      <c r="V36">
        <v>3</v>
      </c>
      <c r="W36">
        <v>4</v>
      </c>
    </row>
    <row r="37" spans="1:23" x14ac:dyDescent="0.2">
      <c r="A37">
        <v>5</v>
      </c>
      <c r="B37" s="51">
        <v>1</v>
      </c>
      <c r="C37" t="s">
        <v>3244</v>
      </c>
      <c r="D37" s="61">
        <v>45889</v>
      </c>
      <c r="E37" s="50" t="s">
        <v>3265</v>
      </c>
      <c r="F37" s="50">
        <f t="shared" si="0"/>
        <v>1</v>
      </c>
      <c r="G37" s="51" t="s">
        <v>3285</v>
      </c>
      <c r="H37" t="s">
        <v>3126</v>
      </c>
      <c r="I37" t="s">
        <v>1193</v>
      </c>
      <c r="J37" t="s">
        <v>653</v>
      </c>
      <c r="K37">
        <f>VLOOKUP(H37,Лист2!$A:$F,2,FALSE)</f>
        <v>0</v>
      </c>
      <c r="L37">
        <f>VLOOKUP(I37,Лист2!$A:$F,2,FALSE)</f>
        <v>0</v>
      </c>
      <c r="M37">
        <f>VLOOKUP(J37,Лист2!$A:$F,2,FALSE)</f>
        <v>3</v>
      </c>
      <c r="N37" s="58" t="str">
        <f>VLOOKUP(H37,Лист2!$A:$F,6,FALSE)</f>
        <v>сапфир</v>
      </c>
      <c r="O37" s="58" t="str">
        <f>VLOOKUP(I37,Лист2!$A:$F,6,FALSE)</f>
        <v>изумруд</v>
      </c>
      <c r="P37" s="58" t="str">
        <f>VLOOKUP(J37,Лист2!$A:$F,6,FALSE)</f>
        <v>аметист</v>
      </c>
      <c r="S37" s="10" t="s">
        <v>3317</v>
      </c>
      <c r="V37">
        <v>1</v>
      </c>
      <c r="W37">
        <v>1</v>
      </c>
    </row>
    <row r="38" spans="1:23" x14ac:dyDescent="0.2">
      <c r="A38">
        <v>46</v>
      </c>
      <c r="B38" s="67">
        <v>2</v>
      </c>
      <c r="C38" t="s">
        <v>3300</v>
      </c>
      <c r="D38" s="61">
        <v>45894</v>
      </c>
      <c r="E38" s="40" t="s">
        <v>3268</v>
      </c>
      <c r="F38" s="40">
        <f t="shared" si="0"/>
        <v>2</v>
      </c>
      <c r="G38" s="51" t="s">
        <v>3323</v>
      </c>
      <c r="H38" s="24" t="s">
        <v>2913</v>
      </c>
      <c r="I38" s="24" t="s">
        <v>124</v>
      </c>
      <c r="J38" s="24" t="s">
        <v>653</v>
      </c>
      <c r="K38">
        <f>VLOOKUP(H38,Лист2!$A:$F,2,FALSE)</f>
        <v>5</v>
      </c>
      <c r="L38">
        <f>VLOOKUP(I38,Лист2!$A:$F,2,FALSE)</f>
        <v>3</v>
      </c>
      <c r="M38">
        <f>VLOOKUP(J38,Лист2!$A:$F,2,FALSE)</f>
        <v>3</v>
      </c>
      <c r="N38" s="58" t="str">
        <f>VLOOKUP(H38,Лист2!$A:$F,6,FALSE)</f>
        <v>все</v>
      </c>
      <c r="O38" s="58" t="str">
        <f>VLOOKUP(I38,Лист2!$A:$F,6,FALSE)</f>
        <v>аметист</v>
      </c>
      <c r="P38" s="58" t="str">
        <f>VLOOKUP(J38,Лист2!$A:$F,6,FALSE)</f>
        <v>аметист</v>
      </c>
      <c r="S38" s="9" t="s">
        <v>3331</v>
      </c>
      <c r="V38">
        <v>1</v>
      </c>
      <c r="W38">
        <v>1</v>
      </c>
    </row>
    <row r="39" spans="1:23" x14ac:dyDescent="0.2">
      <c r="A39">
        <v>42</v>
      </c>
      <c r="B39" s="67">
        <v>2</v>
      </c>
      <c r="C39" t="s">
        <v>3319</v>
      </c>
      <c r="D39" s="61">
        <v>45894</v>
      </c>
      <c r="E39" s="51" t="s">
        <v>3267</v>
      </c>
      <c r="F39" s="51">
        <f t="shared" si="0"/>
        <v>0</v>
      </c>
      <c r="G39" s="51" t="s">
        <v>3331</v>
      </c>
      <c r="H39" s="24" t="s">
        <v>598</v>
      </c>
      <c r="I39" s="24" t="s">
        <v>124</v>
      </c>
      <c r="J39" s="24" t="s">
        <v>653</v>
      </c>
      <c r="K39">
        <f>VLOOKUP(H39,Лист2!$A:$F,2,FALSE)</f>
        <v>3</v>
      </c>
      <c r="L39">
        <f>VLOOKUP(I39,Лист2!$A:$F,2,FALSE)</f>
        <v>3</v>
      </c>
      <c r="M39">
        <f>VLOOKUP(J39,Лист2!$A:$F,2,FALSE)</f>
        <v>3</v>
      </c>
      <c r="N39" s="58" t="str">
        <f>VLOOKUP(H39,Лист2!$A:$F,6,FALSE)</f>
        <v>сапфир</v>
      </c>
      <c r="O39" s="58" t="str">
        <f>VLOOKUP(I39,Лист2!$A:$F,6,FALSE)</f>
        <v>аметист</v>
      </c>
      <c r="P39" s="58" t="str">
        <f>VLOOKUP(J39,Лист2!$A:$F,6,FALSE)</f>
        <v>аметист</v>
      </c>
      <c r="S39" s="10" t="s">
        <v>3318</v>
      </c>
      <c r="V39">
        <v>1</v>
      </c>
      <c r="W39">
        <v>1</v>
      </c>
    </row>
    <row r="40" spans="1:23" x14ac:dyDescent="0.2">
      <c r="A40">
        <v>31</v>
      </c>
      <c r="B40" s="67">
        <v>2</v>
      </c>
      <c r="C40" t="s">
        <v>3310</v>
      </c>
      <c r="D40" s="61">
        <v>45894</v>
      </c>
      <c r="E40" s="50" t="s">
        <v>3265</v>
      </c>
      <c r="F40" s="50">
        <f t="shared" si="0"/>
        <v>2</v>
      </c>
      <c r="G40" s="51" t="s">
        <v>3329</v>
      </c>
      <c r="H40" s="24" t="s">
        <v>269</v>
      </c>
      <c r="I40" s="24" t="s">
        <v>598</v>
      </c>
      <c r="J40" s="24" t="s">
        <v>3126</v>
      </c>
      <c r="K40">
        <f>VLOOKUP(H40,Лист2!$A:$F,2,FALSE)</f>
        <v>1</v>
      </c>
      <c r="L40">
        <f>VLOOKUP(I40,Лист2!$A:$F,2,FALSE)</f>
        <v>3</v>
      </c>
      <c r="M40">
        <f>VLOOKUP(J40,Лист2!$A:$F,2,FALSE)</f>
        <v>0</v>
      </c>
      <c r="N40" s="58" t="str">
        <f>VLOOKUP(H40,Лист2!$A:$F,6,FALSE)</f>
        <v>рубин</v>
      </c>
      <c r="O40" s="58" t="str">
        <f>VLOOKUP(I40,Лист2!$A:$F,6,FALSE)</f>
        <v>сапфир</v>
      </c>
      <c r="P40" s="58" t="str">
        <f>VLOOKUP(J40,Лист2!$A:$F,6,FALSE)</f>
        <v>сапфир</v>
      </c>
      <c r="S40" s="9" t="s">
        <v>3331</v>
      </c>
      <c r="V40">
        <v>1</v>
      </c>
      <c r="W40">
        <v>1</v>
      </c>
    </row>
    <row r="41" spans="1:23" x14ac:dyDescent="0.2">
      <c r="A41">
        <v>25</v>
      </c>
      <c r="B41" s="67">
        <v>2</v>
      </c>
      <c r="C41" t="s">
        <v>3305</v>
      </c>
      <c r="D41" s="61">
        <v>45894</v>
      </c>
      <c r="E41" s="15" t="s">
        <v>3264</v>
      </c>
      <c r="F41" s="15">
        <f t="shared" si="0"/>
        <v>0</v>
      </c>
      <c r="G41" s="51" t="s">
        <v>3328</v>
      </c>
      <c r="H41" s="24" t="s">
        <v>419</v>
      </c>
      <c r="I41" s="24" t="s">
        <v>919</v>
      </c>
      <c r="J41" s="24" t="s">
        <v>653</v>
      </c>
      <c r="K41">
        <f>VLOOKUP(H41,Лист2!$A:$F,2,FALSE)</f>
        <v>0</v>
      </c>
      <c r="L41">
        <f>VLOOKUP(I41,Лист2!$A:$F,2,FALSE)</f>
        <v>0</v>
      </c>
      <c r="M41">
        <f>VLOOKUP(J41,Лист2!$A:$F,2,FALSE)</f>
        <v>3</v>
      </c>
      <c r="N41" s="58" t="str">
        <f>VLOOKUP(H41,Лист2!$A:$F,6,FALSE)</f>
        <v>изумруд</v>
      </c>
      <c r="O41" s="58" t="str">
        <f>VLOOKUP(I41,Лист2!$A:$F,6,FALSE)</f>
        <v>изумруд</v>
      </c>
      <c r="P41" s="58" t="str">
        <f>VLOOKUP(J41,Лист2!$A:$F,6,FALSE)</f>
        <v>аметист</v>
      </c>
      <c r="S41" s="10" t="s">
        <v>3245</v>
      </c>
      <c r="T41">
        <v>1</v>
      </c>
      <c r="W41">
        <v>1</v>
      </c>
    </row>
    <row r="42" spans="1:23" x14ac:dyDescent="0.2">
      <c r="A42">
        <v>45</v>
      </c>
      <c r="B42" s="39">
        <v>3</v>
      </c>
      <c r="C42" t="s">
        <v>3322</v>
      </c>
      <c r="D42" s="61">
        <v>45894</v>
      </c>
      <c r="E42" s="40" t="s">
        <v>3268</v>
      </c>
      <c r="F42" s="40">
        <f t="shared" si="0"/>
        <v>0</v>
      </c>
      <c r="G42" s="51" t="s">
        <v>3324</v>
      </c>
      <c r="H42" s="24" t="s">
        <v>839</v>
      </c>
      <c r="I42" s="24" t="s">
        <v>3126</v>
      </c>
      <c r="J42" s="24" t="s">
        <v>464</v>
      </c>
      <c r="K42">
        <f>VLOOKUP(H42,Лист2!$A:$F,2,FALSE)</f>
        <v>0</v>
      </c>
      <c r="L42">
        <f>VLOOKUP(I42,Лист2!$A:$F,2,FALSE)</f>
        <v>0</v>
      </c>
      <c r="M42">
        <f>VLOOKUP(J42,Лист2!$A:$F,2,FALSE)</f>
        <v>0</v>
      </c>
      <c r="N42" s="58" t="str">
        <f>VLOOKUP(H42,Лист2!$A:$F,6,FALSE)</f>
        <v>сапфир</v>
      </c>
      <c r="O42" s="58" t="str">
        <f>VLOOKUP(I42,Лист2!$A:$F,6,FALSE)</f>
        <v>сапфир</v>
      </c>
      <c r="P42" s="58" t="str">
        <f>VLOOKUP(J42,Лист2!$A:$F,6,FALSE)</f>
        <v>сапфир</v>
      </c>
      <c r="S42" s="9" t="s">
        <v>3286</v>
      </c>
      <c r="T42">
        <v>1</v>
      </c>
      <c r="W42">
        <v>1</v>
      </c>
    </row>
    <row r="43" spans="1:23" x14ac:dyDescent="0.2">
      <c r="A43">
        <v>40</v>
      </c>
      <c r="B43" s="39">
        <v>3</v>
      </c>
      <c r="C43" t="s">
        <v>3317</v>
      </c>
      <c r="D43" s="61">
        <v>45894</v>
      </c>
      <c r="E43" s="51" t="s">
        <v>3267</v>
      </c>
      <c r="F43" s="51">
        <f t="shared" si="0"/>
        <v>0</v>
      </c>
      <c r="G43" s="51" t="s">
        <v>3331</v>
      </c>
      <c r="H43" s="24" t="s">
        <v>124</v>
      </c>
      <c r="I43" s="24" t="s">
        <v>598</v>
      </c>
      <c r="J43" s="24" t="s">
        <v>653</v>
      </c>
      <c r="K43">
        <f>VLOOKUP(H43,Лист2!$A:$F,2,FALSE)</f>
        <v>3</v>
      </c>
      <c r="L43">
        <f>VLOOKUP(I43,Лист2!$A:$F,2,FALSE)</f>
        <v>3</v>
      </c>
      <c r="M43">
        <f>VLOOKUP(J43,Лист2!$A:$F,2,FALSE)</f>
        <v>3</v>
      </c>
      <c r="N43" s="58" t="str">
        <f>VLOOKUP(H43,Лист2!$A:$F,6,FALSE)</f>
        <v>аметист</v>
      </c>
      <c r="O43" s="58" t="str">
        <f>VLOOKUP(I43,Лист2!$A:$F,6,FALSE)</f>
        <v>сапфир</v>
      </c>
      <c r="P43" s="58" t="str">
        <f>VLOOKUP(J43,Лист2!$A:$F,6,FALSE)</f>
        <v>аметист</v>
      </c>
      <c r="S43" s="10" t="s">
        <v>3319</v>
      </c>
      <c r="V43">
        <v>1</v>
      </c>
      <c r="W43">
        <v>1</v>
      </c>
    </row>
    <row r="44" spans="1:23" x14ac:dyDescent="0.2">
      <c r="A44">
        <v>33</v>
      </c>
      <c r="B44" s="39">
        <v>3</v>
      </c>
      <c r="C44" t="s">
        <v>3311</v>
      </c>
      <c r="D44" s="61">
        <v>45894</v>
      </c>
      <c r="E44" s="45" t="s">
        <v>3266</v>
      </c>
      <c r="F44" s="45">
        <f t="shared" si="0"/>
        <v>1</v>
      </c>
      <c r="G44" s="51" t="s">
        <v>3331</v>
      </c>
      <c r="H44" s="24" t="s">
        <v>269</v>
      </c>
      <c r="I44" s="24" t="s">
        <v>217</v>
      </c>
      <c r="J44" s="24" t="s">
        <v>771</v>
      </c>
      <c r="K44">
        <f>VLOOKUP(H44,Лист2!$A:$F,2,FALSE)</f>
        <v>1</v>
      </c>
      <c r="L44">
        <f>VLOOKUP(I44,Лист2!$A:$F,2,FALSE)</f>
        <v>3</v>
      </c>
      <c r="M44">
        <f>VLOOKUP(J44,Лист2!$A:$F,2,FALSE)</f>
        <v>0</v>
      </c>
      <c r="N44" s="58" t="str">
        <f>VLOOKUP(H44,Лист2!$A:$F,6,FALSE)</f>
        <v>рубин</v>
      </c>
      <c r="O44" s="58" t="str">
        <f>VLOOKUP(I44,Лист2!$A:$F,6,FALSE)</f>
        <v>аметист</v>
      </c>
      <c r="P44" s="58" t="str">
        <f>VLOOKUP(J44,Лист2!$A:$F,6,FALSE)</f>
        <v>изумруд</v>
      </c>
      <c r="S44" s="9" t="s">
        <v>3331</v>
      </c>
      <c r="V44">
        <v>1</v>
      </c>
      <c r="W44">
        <v>1</v>
      </c>
    </row>
    <row r="45" spans="1:23" x14ac:dyDescent="0.2">
      <c r="A45">
        <v>32</v>
      </c>
      <c r="B45" s="39">
        <v>3</v>
      </c>
      <c r="C45" t="s">
        <v>3298</v>
      </c>
      <c r="D45" s="61">
        <v>45894</v>
      </c>
      <c r="E45" s="50" t="s">
        <v>3265</v>
      </c>
      <c r="F45" s="50">
        <f t="shared" si="0"/>
        <v>1</v>
      </c>
      <c r="G45" s="51" t="s">
        <v>3329</v>
      </c>
      <c r="H45" s="24" t="s">
        <v>2913</v>
      </c>
      <c r="I45" s="24" t="s">
        <v>598</v>
      </c>
      <c r="J45" s="24" t="s">
        <v>217</v>
      </c>
      <c r="K45">
        <f>VLOOKUP(H45,Лист2!$A:$F,2,FALSE)</f>
        <v>5</v>
      </c>
      <c r="L45">
        <f>VLOOKUP(I45,Лист2!$A:$F,2,FALSE)</f>
        <v>3</v>
      </c>
      <c r="M45">
        <f>VLOOKUP(J45,Лист2!$A:$F,2,FALSE)</f>
        <v>3</v>
      </c>
      <c r="N45" s="58" t="str">
        <f>VLOOKUP(H45,Лист2!$A:$F,6,FALSE)</f>
        <v>все</v>
      </c>
      <c r="O45" s="58" t="str">
        <f>VLOOKUP(I45,Лист2!$A:$F,6,FALSE)</f>
        <v>сапфир</v>
      </c>
      <c r="P45" s="58" t="str">
        <f>VLOOKUP(J45,Лист2!$A:$F,6,FALSE)</f>
        <v>аметист</v>
      </c>
      <c r="S45" s="6" t="s">
        <v>3268</v>
      </c>
      <c r="T45">
        <v>2</v>
      </c>
      <c r="U45">
        <v>1</v>
      </c>
      <c r="V45">
        <v>2</v>
      </c>
      <c r="W45">
        <v>5</v>
      </c>
    </row>
    <row r="46" spans="1:23" ht="13.1" x14ac:dyDescent="0.25">
      <c r="A46">
        <v>8</v>
      </c>
      <c r="B46" s="39">
        <v>3</v>
      </c>
      <c r="C46" t="s">
        <v>3247</v>
      </c>
      <c r="D46" s="61">
        <v>45889</v>
      </c>
      <c r="E46" s="66" t="s">
        <v>3264</v>
      </c>
      <c r="F46">
        <f t="shared" si="0"/>
        <v>2</v>
      </c>
      <c r="G46" s="51" t="s">
        <v>3288</v>
      </c>
      <c r="H46" t="s">
        <v>124</v>
      </c>
      <c r="I46" t="s">
        <v>1495</v>
      </c>
      <c r="J46" t="s">
        <v>1834</v>
      </c>
      <c r="K46">
        <f>VLOOKUP(H46,Лист2!$A:$F,2,FALSE)</f>
        <v>3</v>
      </c>
      <c r="L46">
        <f>VLOOKUP(I46,Лист2!$A:$F,2,FALSE)</f>
        <v>0</v>
      </c>
      <c r="M46">
        <f>VLOOKUP(J46,Лист2!$A:$F,2,FALSE)</f>
        <v>1</v>
      </c>
      <c r="N46" s="58" t="str">
        <f>VLOOKUP(H46,Лист2!$A:$F,6,FALSE)</f>
        <v>аметист</v>
      </c>
      <c r="O46" s="58" t="str">
        <f>VLOOKUP(I46,Лист2!$A:$F,6,FALSE)</f>
        <v>топаз</v>
      </c>
      <c r="P46" s="58" t="str">
        <f>VLOOKUP(J46,Лист2!$A:$F,6,FALSE)</f>
        <v>топаз</v>
      </c>
      <c r="S46" s="10" t="s">
        <v>3257</v>
      </c>
      <c r="T46">
        <v>1</v>
      </c>
      <c r="W46">
        <v>1</v>
      </c>
    </row>
    <row r="47" spans="1:23" x14ac:dyDescent="0.2">
      <c r="A47">
        <v>28</v>
      </c>
      <c r="B47" s="39">
        <v>3</v>
      </c>
      <c r="C47" s="24" t="s">
        <v>3297</v>
      </c>
      <c r="D47" s="61">
        <v>45894</v>
      </c>
      <c r="E47" s="15" t="s">
        <v>3264</v>
      </c>
      <c r="F47" s="15">
        <f t="shared" si="0"/>
        <v>0</v>
      </c>
      <c r="G47" s="51" t="s">
        <v>3328</v>
      </c>
      <c r="H47" s="24" t="s">
        <v>124</v>
      </c>
      <c r="I47" s="24" t="s">
        <v>598</v>
      </c>
      <c r="J47" s="24" t="s">
        <v>217</v>
      </c>
      <c r="K47">
        <f>VLOOKUP(H47,Лист2!$A:$F,2,FALSE)</f>
        <v>3</v>
      </c>
      <c r="L47">
        <f>VLOOKUP(I47,Лист2!$A:$F,2,FALSE)</f>
        <v>3</v>
      </c>
      <c r="M47">
        <f>VLOOKUP(J47,Лист2!$A:$F,2,FALSE)</f>
        <v>3</v>
      </c>
      <c r="N47" s="58" t="str">
        <f>VLOOKUP(H47,Лист2!$A:$F,6,FALSE)</f>
        <v>аметист</v>
      </c>
      <c r="O47" s="58" t="str">
        <f>VLOOKUP(I47,Лист2!$A:$F,6,FALSE)</f>
        <v>сапфир</v>
      </c>
      <c r="P47" s="58" t="str">
        <f>VLOOKUP(J47,Лист2!$A:$F,6,FALSE)</f>
        <v>аметист</v>
      </c>
      <c r="S47" s="9" t="s">
        <v>3288</v>
      </c>
      <c r="T47">
        <v>1</v>
      </c>
      <c r="W47">
        <v>1</v>
      </c>
    </row>
    <row r="48" spans="1:23" x14ac:dyDescent="0.2">
      <c r="S48" s="10" t="s">
        <v>3322</v>
      </c>
      <c r="V48">
        <v>1</v>
      </c>
      <c r="W48">
        <v>1</v>
      </c>
    </row>
    <row r="49" spans="19:23" x14ac:dyDescent="0.2">
      <c r="S49" s="9" t="s">
        <v>3324</v>
      </c>
      <c r="V49">
        <v>1</v>
      </c>
      <c r="W49">
        <v>1</v>
      </c>
    </row>
    <row r="50" spans="19:23" x14ac:dyDescent="0.2">
      <c r="S50" s="10" t="s">
        <v>3248</v>
      </c>
      <c r="T50">
        <v>1</v>
      </c>
      <c r="W50">
        <v>1</v>
      </c>
    </row>
    <row r="51" spans="19:23" x14ac:dyDescent="0.2">
      <c r="S51" s="9" t="s">
        <v>3285</v>
      </c>
      <c r="T51">
        <v>1</v>
      </c>
      <c r="W51">
        <v>1</v>
      </c>
    </row>
    <row r="52" spans="19:23" x14ac:dyDescent="0.2">
      <c r="S52" s="10" t="s">
        <v>3300</v>
      </c>
      <c r="V52">
        <v>1</v>
      </c>
      <c r="W52">
        <v>1</v>
      </c>
    </row>
    <row r="53" spans="19:23" x14ac:dyDescent="0.2">
      <c r="S53" s="9" t="s">
        <v>3323</v>
      </c>
      <c r="V53">
        <v>1</v>
      </c>
      <c r="W53">
        <v>1</v>
      </c>
    </row>
    <row r="54" spans="19:23" x14ac:dyDescent="0.2">
      <c r="S54" s="10" t="s">
        <v>3295</v>
      </c>
      <c r="U54">
        <v>1</v>
      </c>
      <c r="W54">
        <v>1</v>
      </c>
    </row>
    <row r="55" spans="19:23" x14ac:dyDescent="0.2">
      <c r="S55" s="9" t="s">
        <v>3285</v>
      </c>
      <c r="U55">
        <v>1</v>
      </c>
      <c r="W55">
        <v>1</v>
      </c>
    </row>
    <row r="56" spans="19:23" x14ac:dyDescent="0.2">
      <c r="S56" s="6" t="s">
        <v>2902</v>
      </c>
      <c r="T56">
        <v>5</v>
      </c>
      <c r="U56">
        <v>1</v>
      </c>
      <c r="V56">
        <v>10</v>
      </c>
      <c r="W56">
        <v>16</v>
      </c>
    </row>
  </sheetData>
  <autoFilter ref="A1:P47" xr:uid="{F62EC684-6787-42A3-AE6F-97EC536F4513}">
    <sortState xmlns:xlrd2="http://schemas.microsoft.com/office/spreadsheetml/2017/richdata2" ref="A2:P47">
      <sortCondition ref="B1:B47"/>
    </sortState>
  </autoFilter>
  <conditionalFormatting sqref="H1:J1048576">
    <cfRule type="expression" dxfId="2" priority="1">
      <formula>K1&gt;0</formula>
    </cfRule>
  </conditionalFormatting>
  <conditionalFormatting sqref="H28:J28">
    <cfRule type="expression" dxfId="1" priority="6">
      <formula>K26&gt;0</formula>
    </cfRule>
  </conditionalFormatting>
  <conditionalFormatting sqref="K1:M1048576">
    <cfRule type="cellIs" dxfId="0" priority="2"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2E58-DC52-4CEE-A6E1-1D4D803ADBA3}">
  <dimension ref="A2:M28"/>
  <sheetViews>
    <sheetView workbookViewId="0">
      <selection activeCell="D9" sqref="D9"/>
    </sheetView>
  </sheetViews>
  <sheetFormatPr defaultRowHeight="12.45" x14ac:dyDescent="0.2"/>
  <cols>
    <col min="1" max="1" width="11.5" bestFit="1" customWidth="1"/>
    <col min="2" max="2" width="7" style="52" bestFit="1" customWidth="1"/>
    <col min="3" max="3" width="7.125" bestFit="1" customWidth="1"/>
    <col min="4" max="4" width="13.25" bestFit="1" customWidth="1"/>
    <col min="5" max="5" width="13.375" bestFit="1" customWidth="1"/>
    <col min="6" max="6" width="12" bestFit="1" customWidth="1"/>
    <col min="7" max="7" width="5.625" bestFit="1" customWidth="1"/>
    <col min="8" max="8" width="7.25" bestFit="1" customWidth="1"/>
    <col min="9" max="9" width="5.875" bestFit="1" customWidth="1"/>
    <col min="10" max="11" width="7.875" bestFit="1" customWidth="1"/>
    <col min="12" max="12" width="6.75" bestFit="1" customWidth="1"/>
    <col min="13" max="13" width="5.5" bestFit="1" customWidth="1"/>
  </cols>
  <sheetData>
    <row r="2" spans="1:13" x14ac:dyDescent="0.2">
      <c r="A2" t="s">
        <v>7</v>
      </c>
      <c r="B2" s="53" t="s">
        <v>3271</v>
      </c>
      <c r="C2" t="s">
        <v>3230</v>
      </c>
      <c r="D2" t="s">
        <v>3228</v>
      </c>
      <c r="E2" t="s">
        <v>3229</v>
      </c>
      <c r="F2" s="24" t="s">
        <v>3275</v>
      </c>
      <c r="G2" s="15" t="s">
        <v>3264</v>
      </c>
      <c r="H2" s="50" t="s">
        <v>3265</v>
      </c>
      <c r="I2" s="45" t="s">
        <v>3266</v>
      </c>
      <c r="J2" s="51" t="s">
        <v>3267</v>
      </c>
      <c r="K2" s="40" t="s">
        <v>3268</v>
      </c>
      <c r="L2" s="24" t="s">
        <v>3269</v>
      </c>
      <c r="M2" s="24" t="s">
        <v>3270</v>
      </c>
    </row>
    <row r="3" spans="1:13" x14ac:dyDescent="0.2">
      <c r="A3" s="47" t="s">
        <v>20</v>
      </c>
      <c r="B3" s="54"/>
      <c r="C3" s="47" t="s">
        <v>3231</v>
      </c>
      <c r="D3" t="s">
        <v>2904</v>
      </c>
      <c r="E3" t="s">
        <v>3168</v>
      </c>
      <c r="F3" s="45" t="s">
        <v>3266</v>
      </c>
      <c r="G3">
        <f>COUNTIFS(trials!$H:$H,$A3,trials!$E:$E,G$2)+COUNTIFS(trials!$I:$I,$A3,trials!$E:$E,G$2)+COUNTIFS(trials!$J:$J,$A3,trials!$E:$E,G$2)</f>
        <v>0</v>
      </c>
      <c r="H3">
        <f>COUNTIFS(trials!$H:$H,$A3,trials!$E:$E,H$2)+COUNTIFS(trials!$I:$I,$A3,trials!$E:$E,H$2)+COUNTIFS(trials!$J:$J,$A3,trials!$E:$E,H$2)</f>
        <v>0</v>
      </c>
      <c r="I3">
        <f>COUNTIFS(trials!$H:$H,$A3,trials!$E:$E,I$2)+COUNTIFS(trials!$I:$I,$A3,trials!$E:$E,I$2)+COUNTIFS(trials!$J:$J,$A3,trials!$E:$E,I$2)</f>
        <v>0</v>
      </c>
      <c r="J3">
        <f>COUNTIFS(trials!$H:$H,$A3,trials!$E:$E,J$2)+COUNTIFS(trials!$I:$I,$A3,trials!$E:$E,J$2)+COUNTIFS(trials!$J:$J,$A3,trials!$E:$E,J$2)</f>
        <v>0</v>
      </c>
      <c r="K3">
        <f>COUNTIFS(trials!$H:$H,$A3,trials!$E:$E,K$2)+COUNTIFS(trials!$I:$I,$A3,trials!$E:$E,K$2)+COUNTIFS(trials!$J:$J,$A3,trials!$E:$E,K$2)</f>
        <v>1</v>
      </c>
      <c r="L3">
        <f>COUNTIF(trials!$H:$H,$A3)+COUNTIF(trials!$I:$I,$A3)+COUNTIF(trials!$J:$J,$A3)-SUM(G3:K3)</f>
        <v>0</v>
      </c>
      <c r="M3">
        <f>COUNTIF(trials!H:J,A3)</f>
        <v>1</v>
      </c>
    </row>
    <row r="4" spans="1:13" x14ac:dyDescent="0.2">
      <c r="A4" s="35" t="s">
        <v>124</v>
      </c>
      <c r="B4" s="55">
        <v>3</v>
      </c>
      <c r="C4" s="35" t="s">
        <v>3233</v>
      </c>
      <c r="D4" t="s">
        <v>2914</v>
      </c>
      <c r="E4" t="s">
        <v>3169</v>
      </c>
      <c r="F4" s="40" t="s">
        <v>3268</v>
      </c>
      <c r="G4">
        <f>COUNTIFS(trials!$H:$H,$A4,trials!$E:$E,G$2)+COUNTIFS(trials!$I:$I,$A4,trials!$E:$E,G$2)+COUNTIFS(trials!$J:$J,$A4,trials!$E:$E,G$2)</f>
        <v>2</v>
      </c>
      <c r="H4">
        <f>COUNTIFS(trials!$H:$H,$A4,trials!$E:$E,H$2)+COUNTIFS(trials!$I:$I,$A4,trials!$E:$E,H$2)+COUNTIFS(trials!$J:$J,$A4,trials!$E:$E,H$2)</f>
        <v>0</v>
      </c>
      <c r="I4">
        <f>COUNTIFS(trials!$H:$H,$A4,trials!$E:$E,I$2)+COUNTIFS(trials!$I:$I,$A4,trials!$E:$E,I$2)+COUNTIFS(trials!$J:$J,$A4,trials!$E:$E,I$2)</f>
        <v>1</v>
      </c>
      <c r="J4">
        <f>COUNTIFS(trials!$H:$H,$A4,trials!$E:$E,J$2)+COUNTIFS(trials!$I:$I,$A4,trials!$E:$E,J$2)+COUNTIFS(trials!$J:$J,$A4,trials!$E:$E,J$2)</f>
        <v>2</v>
      </c>
      <c r="K4">
        <f>COUNTIFS(trials!$H:$H,$A4,trials!$E:$E,K$2)+COUNTIFS(trials!$I:$I,$A4,trials!$E:$E,K$2)+COUNTIFS(trials!$J:$J,$A4,trials!$E:$E,K$2)</f>
        <v>1</v>
      </c>
      <c r="L4">
        <f>COUNTIF(trials!$H:$H,$A4)+COUNTIF(trials!$I:$I,$A4)+COUNTIF(trials!$J:$J,$A4)-SUM(G4:K4)</f>
        <v>2</v>
      </c>
      <c r="M4">
        <f>COUNTIF(trials!H:J,A4)</f>
        <v>8</v>
      </c>
    </row>
    <row r="5" spans="1:13" x14ac:dyDescent="0.2">
      <c r="A5" s="47" t="s">
        <v>217</v>
      </c>
      <c r="B5" s="54">
        <v>3</v>
      </c>
      <c r="C5" s="47" t="s">
        <v>3231</v>
      </c>
      <c r="D5" t="s">
        <v>2916</v>
      </c>
      <c r="E5" t="s">
        <v>3169</v>
      </c>
      <c r="F5" s="40" t="s">
        <v>3268</v>
      </c>
      <c r="G5">
        <f>COUNTIFS(trials!$H:$H,$A5,trials!$E:$E,G$2)+COUNTIFS(trials!$I:$I,$A5,trials!$E:$E,G$2)+COUNTIFS(trials!$J:$J,$A5,trials!$E:$E,G$2)</f>
        <v>2</v>
      </c>
      <c r="H5">
        <f>COUNTIFS(trials!$H:$H,$A5,trials!$E:$E,H$2)+COUNTIFS(trials!$I:$I,$A5,trials!$E:$E,H$2)+COUNTIFS(trials!$J:$J,$A5,trials!$E:$E,H$2)</f>
        <v>2</v>
      </c>
      <c r="I5">
        <f>COUNTIFS(trials!$H:$H,$A5,trials!$E:$E,I$2)+COUNTIFS(trials!$I:$I,$A5,trials!$E:$E,I$2)+COUNTIFS(trials!$J:$J,$A5,trials!$E:$E,I$2)</f>
        <v>1</v>
      </c>
      <c r="J5">
        <f>COUNTIFS(trials!$H:$H,$A5,trials!$E:$E,J$2)+COUNTIFS(trials!$I:$I,$A5,trials!$E:$E,J$2)+COUNTIFS(trials!$J:$J,$A5,trials!$E:$E,J$2)</f>
        <v>2</v>
      </c>
      <c r="K5">
        <f>COUNTIFS(trials!$H:$H,$A5,trials!$E:$E,K$2)+COUNTIFS(trials!$I:$I,$A5,trials!$E:$E,K$2)+COUNTIFS(trials!$J:$J,$A5,trials!$E:$E,K$2)</f>
        <v>0</v>
      </c>
      <c r="L5">
        <f>COUNTIF(trials!$H:$H,$A5)+COUNTIF(trials!$I:$I,$A5)+COUNTIF(trials!$J:$J,$A5)-SUM(G5:K5)</f>
        <v>0</v>
      </c>
      <c r="M5">
        <f>COUNTIF(trials!H:J,A5)</f>
        <v>7</v>
      </c>
    </row>
    <row r="6" spans="1:13" x14ac:dyDescent="0.2">
      <c r="A6" s="47" t="s">
        <v>269</v>
      </c>
      <c r="B6" s="54">
        <v>1</v>
      </c>
      <c r="C6" s="47" t="s">
        <v>3231</v>
      </c>
      <c r="D6" t="s">
        <v>2904</v>
      </c>
      <c r="E6" t="s">
        <v>3168</v>
      </c>
      <c r="F6" s="45" t="s">
        <v>3266</v>
      </c>
      <c r="G6">
        <f>COUNTIFS(trials!$H:$H,$A6,trials!$E:$E,G$2)+COUNTIFS(trials!$I:$I,$A6,trials!$E:$E,G$2)+COUNTIFS(trials!$J:$J,$A6,trials!$E:$E,G$2)</f>
        <v>0</v>
      </c>
      <c r="H6">
        <f>COUNTIFS(trials!$H:$H,$A6,trials!$E:$E,H$2)+COUNTIFS(trials!$I:$I,$A6,trials!$E:$E,H$2)+COUNTIFS(trials!$J:$J,$A6,trials!$E:$E,H$2)</f>
        <v>1</v>
      </c>
      <c r="I6">
        <f>COUNTIFS(trials!$H:$H,$A6,trials!$E:$E,I$2)+COUNTIFS(trials!$I:$I,$A6,trials!$E:$E,I$2)+COUNTIFS(trials!$J:$J,$A6,trials!$E:$E,I$2)</f>
        <v>1</v>
      </c>
      <c r="J6">
        <f>COUNTIFS(trials!$H:$H,$A6,trials!$E:$E,J$2)+COUNTIFS(trials!$I:$I,$A6,trials!$E:$E,J$2)+COUNTIFS(trials!$J:$J,$A6,trials!$E:$E,J$2)</f>
        <v>0</v>
      </c>
      <c r="K6">
        <f>COUNTIFS(trials!$H:$H,$A6,trials!$E:$E,K$2)+COUNTIFS(trials!$I:$I,$A6,trials!$E:$E,K$2)+COUNTIFS(trials!$J:$J,$A6,trials!$E:$E,K$2)</f>
        <v>0</v>
      </c>
      <c r="L6">
        <f>COUNTIF(trials!$H:$H,$A6)+COUNTIF(trials!$I:$I,$A6)+COUNTIF(trials!$J:$J,$A6)-SUM(G6:K6)</f>
        <v>2</v>
      </c>
      <c r="M6">
        <f>COUNTIF(trials!H:J,A6)</f>
        <v>4</v>
      </c>
    </row>
    <row r="7" spans="1:13" x14ac:dyDescent="0.2">
      <c r="A7" t="s">
        <v>3131</v>
      </c>
      <c r="C7" t="s">
        <v>147</v>
      </c>
      <c r="D7" t="s">
        <v>2910</v>
      </c>
      <c r="E7" t="s">
        <v>3169</v>
      </c>
      <c r="F7" s="40" t="s">
        <v>3268</v>
      </c>
      <c r="G7">
        <f>COUNTIFS(trials!$H:$H,$A7,trials!$E:$E,G$2)+COUNTIFS(trials!$I:$I,$A7,trials!$E:$E,G$2)+COUNTIFS(trials!$J:$J,$A7,trials!$E:$E,G$2)</f>
        <v>1</v>
      </c>
      <c r="H7">
        <f>COUNTIFS(trials!$H:$H,$A7,trials!$E:$E,H$2)+COUNTIFS(trials!$I:$I,$A7,trials!$E:$E,H$2)+COUNTIFS(trials!$J:$J,$A7,trials!$E:$E,H$2)</f>
        <v>0</v>
      </c>
      <c r="I7">
        <f>COUNTIFS(trials!$H:$H,$A7,trials!$E:$E,I$2)+COUNTIFS(trials!$I:$I,$A7,trials!$E:$E,I$2)+COUNTIFS(trials!$J:$J,$A7,trials!$E:$E,I$2)</f>
        <v>0</v>
      </c>
      <c r="J7">
        <f>COUNTIFS(trials!$H:$H,$A7,trials!$E:$E,J$2)+COUNTIFS(trials!$I:$I,$A7,trials!$E:$E,J$2)+COUNTIFS(trials!$J:$J,$A7,trials!$E:$E,J$2)</f>
        <v>1</v>
      </c>
      <c r="K7">
        <f>COUNTIFS(trials!$H:$H,$A7,trials!$E:$E,K$2)+COUNTIFS(trials!$I:$I,$A7,trials!$E:$E,K$2)+COUNTIFS(trials!$J:$J,$A7,trials!$E:$E,K$2)</f>
        <v>1</v>
      </c>
      <c r="L7">
        <f>COUNTIF(trials!$H:$H,$A7)+COUNTIF(trials!$I:$I,$A7)+COUNTIF(trials!$J:$J,$A7)-SUM(G7:K7)</f>
        <v>1</v>
      </c>
      <c r="M7">
        <f>COUNTIF(trials!H:J,A7)</f>
        <v>4</v>
      </c>
    </row>
    <row r="8" spans="1:13" x14ac:dyDescent="0.2">
      <c r="A8" s="48" t="s">
        <v>464</v>
      </c>
      <c r="B8" s="56"/>
      <c r="C8" s="48" t="s">
        <v>3232</v>
      </c>
      <c r="D8" t="s">
        <v>2912</v>
      </c>
      <c r="E8" t="s">
        <v>3172</v>
      </c>
      <c r="F8" s="50" t="s">
        <v>3265</v>
      </c>
      <c r="G8">
        <f>COUNTIFS(trials!$H:$H,$A8,trials!$E:$E,G$2)+COUNTIFS(trials!$I:$I,$A8,trials!$E:$E,G$2)+COUNTIFS(trials!$J:$J,$A8,trials!$E:$E,G$2)</f>
        <v>0</v>
      </c>
      <c r="H8">
        <f>COUNTIFS(trials!$H:$H,$A8,trials!$E:$E,H$2)+COUNTIFS(trials!$I:$I,$A8,trials!$E:$E,H$2)+COUNTIFS(trials!$J:$J,$A8,trials!$E:$E,H$2)</f>
        <v>2</v>
      </c>
      <c r="I8">
        <f>COUNTIFS(trials!$H:$H,$A8,trials!$E:$E,I$2)+COUNTIFS(trials!$I:$I,$A8,trials!$E:$E,I$2)+COUNTIFS(trials!$J:$J,$A8,trials!$E:$E,I$2)</f>
        <v>0</v>
      </c>
      <c r="J8">
        <f>COUNTIFS(trials!$H:$H,$A8,trials!$E:$E,J$2)+COUNTIFS(trials!$I:$I,$A8,trials!$E:$E,J$2)+COUNTIFS(trials!$J:$J,$A8,trials!$E:$E,J$2)</f>
        <v>1</v>
      </c>
      <c r="K8">
        <f>COUNTIFS(trials!$H:$H,$A8,trials!$E:$E,K$2)+COUNTIFS(trials!$I:$I,$A8,trials!$E:$E,K$2)+COUNTIFS(trials!$J:$J,$A8,trials!$E:$E,K$2)</f>
        <v>2</v>
      </c>
      <c r="L8">
        <f>COUNTIF(trials!$H:$H,$A8)+COUNTIF(trials!$I:$I,$A8)+COUNTIF(trials!$J:$J,$A8)-SUM(G8:K8)</f>
        <v>0</v>
      </c>
      <c r="M8">
        <f>COUNTIF(trials!H:J,A8)</f>
        <v>5</v>
      </c>
    </row>
    <row r="9" spans="1:13" x14ac:dyDescent="0.2">
      <c r="A9" s="49" t="s">
        <v>598</v>
      </c>
      <c r="B9" s="57">
        <v>3</v>
      </c>
      <c r="C9" s="49" t="s">
        <v>3234</v>
      </c>
      <c r="D9" t="s">
        <v>2916</v>
      </c>
      <c r="E9" t="s">
        <v>3172</v>
      </c>
      <c r="F9" s="50" t="s">
        <v>3265</v>
      </c>
      <c r="G9">
        <f>COUNTIFS(trials!$H:$H,$A9,trials!$E:$E,G$2)+COUNTIFS(trials!$I:$I,$A9,trials!$E:$E,G$2)+COUNTIFS(trials!$J:$J,$A9,trials!$E:$E,G$2)</f>
        <v>1</v>
      </c>
      <c r="H9">
        <f>COUNTIFS(trials!$H:$H,$A9,trials!$E:$E,H$2)+COUNTIFS(trials!$I:$I,$A9,trials!$E:$E,H$2)+COUNTIFS(trials!$J:$J,$A9,trials!$E:$E,H$2)</f>
        <v>2</v>
      </c>
      <c r="I9">
        <f>COUNTIFS(trials!$H:$H,$A9,trials!$E:$E,I$2)+COUNTIFS(trials!$I:$I,$A9,trials!$E:$E,I$2)+COUNTIFS(trials!$J:$J,$A9,trials!$E:$E,I$2)</f>
        <v>1</v>
      </c>
      <c r="J9">
        <f>COUNTIFS(trials!$H:$H,$A9,trials!$E:$E,J$2)+COUNTIFS(trials!$I:$I,$A9,trials!$E:$E,J$2)+COUNTIFS(trials!$J:$J,$A9,trials!$E:$E,J$2)</f>
        <v>2</v>
      </c>
      <c r="K9">
        <f>COUNTIFS(trials!$H:$H,$A9,trials!$E:$E,K$2)+COUNTIFS(trials!$I:$I,$A9,trials!$E:$E,K$2)+COUNTIFS(trials!$J:$J,$A9,trials!$E:$E,K$2)</f>
        <v>0</v>
      </c>
      <c r="L9">
        <f>COUNTIF(trials!$H:$H,$A9)+COUNTIF(trials!$I:$I,$A9)+COUNTIF(trials!$J:$J,$A9)-SUM(G9:K9)</f>
        <v>1</v>
      </c>
      <c r="M9">
        <f>COUNTIF(trials!H:J,A9)</f>
        <v>7</v>
      </c>
    </row>
    <row r="10" spans="1:13" x14ac:dyDescent="0.2">
      <c r="A10" s="35" t="s">
        <v>653</v>
      </c>
      <c r="B10" s="55">
        <v>3</v>
      </c>
      <c r="C10" s="35" t="s">
        <v>3233</v>
      </c>
      <c r="D10" t="s">
        <v>2915</v>
      </c>
      <c r="E10" t="s">
        <v>3169</v>
      </c>
      <c r="F10" s="40" t="s">
        <v>3268</v>
      </c>
      <c r="G10">
        <f>COUNTIFS(trials!$H:$H,$A10,trials!$E:$E,G$2)+COUNTIFS(trials!$I:$I,$A10,trials!$E:$E,G$2)+COUNTIFS(trials!$J:$J,$A10,trials!$E:$E,G$2)</f>
        <v>4</v>
      </c>
      <c r="H10">
        <f>COUNTIFS(trials!$H:$H,$A10,trials!$E:$E,H$2)+COUNTIFS(trials!$I:$I,$A10,trials!$E:$E,H$2)+COUNTIFS(trials!$J:$J,$A10,trials!$E:$E,H$2)</f>
        <v>1</v>
      </c>
      <c r="I10">
        <f>COUNTIFS(trials!$H:$H,$A10,trials!$E:$E,I$2)+COUNTIFS(trials!$I:$I,$A10,trials!$E:$E,I$2)+COUNTIFS(trials!$J:$J,$A10,trials!$E:$E,I$2)</f>
        <v>2</v>
      </c>
      <c r="J10">
        <f>COUNTIFS(trials!$H:$H,$A10,trials!$E:$E,J$2)+COUNTIFS(trials!$I:$I,$A10,trials!$E:$E,J$2)+COUNTIFS(trials!$J:$J,$A10,trials!$E:$E,J$2)</f>
        <v>4</v>
      </c>
      <c r="K10">
        <f>COUNTIFS(trials!$H:$H,$A10,trials!$E:$E,K$2)+COUNTIFS(trials!$I:$I,$A10,trials!$E:$E,K$2)+COUNTIFS(trials!$J:$J,$A10,trials!$E:$E,K$2)</f>
        <v>2</v>
      </c>
      <c r="L10">
        <f>COUNTIF(trials!$H:$H,$A10)+COUNTIF(trials!$I:$I,$A10)+COUNTIF(trials!$J:$J,$A10)-SUM(G10:K10)</f>
        <v>0</v>
      </c>
      <c r="M10">
        <f>COUNTIF(trials!H:J,A10)</f>
        <v>13</v>
      </c>
    </row>
    <row r="11" spans="1:13" x14ac:dyDescent="0.2">
      <c r="A11" t="s">
        <v>419</v>
      </c>
      <c r="C11" t="s">
        <v>147</v>
      </c>
      <c r="D11" t="s">
        <v>2909</v>
      </c>
      <c r="E11" t="s">
        <v>3171</v>
      </c>
      <c r="F11" s="51" t="s">
        <v>3267</v>
      </c>
      <c r="G11">
        <f>COUNTIFS(trials!$H:$H,$A11,trials!$E:$E,G$2)+COUNTIFS(trials!$I:$I,$A11,trials!$E:$E,G$2)+COUNTIFS(trials!$J:$J,$A11,trials!$E:$E,G$2)</f>
        <v>1</v>
      </c>
      <c r="H11">
        <f>COUNTIFS(trials!$H:$H,$A11,trials!$E:$E,H$2)+COUNTIFS(trials!$I:$I,$A11,trials!$E:$E,H$2)+COUNTIFS(trials!$J:$J,$A11,trials!$E:$E,H$2)</f>
        <v>0</v>
      </c>
      <c r="I11">
        <f>COUNTIFS(trials!$H:$H,$A11,trials!$E:$E,I$2)+COUNTIFS(trials!$I:$I,$A11,trials!$E:$E,I$2)+COUNTIFS(trials!$J:$J,$A11,trials!$E:$E,I$2)</f>
        <v>0</v>
      </c>
      <c r="J11">
        <f>COUNTIFS(trials!$H:$H,$A11,trials!$E:$E,J$2)+COUNTIFS(trials!$I:$I,$A11,trials!$E:$E,J$2)+COUNTIFS(trials!$J:$J,$A11,trials!$E:$E,J$2)</f>
        <v>1</v>
      </c>
      <c r="K11">
        <f>COUNTIFS(trials!$H:$H,$A11,trials!$E:$E,K$2)+COUNTIFS(trials!$I:$I,$A11,trials!$E:$E,K$2)+COUNTIFS(trials!$J:$J,$A11,trials!$E:$E,K$2)</f>
        <v>0</v>
      </c>
      <c r="L11">
        <f>COUNTIF(trials!$H:$H,$A11)+COUNTIF(trials!$I:$I,$A11)+COUNTIF(trials!$J:$J,$A11)-SUM(G11:K11)</f>
        <v>2</v>
      </c>
      <c r="M11">
        <f>COUNTIF(trials!H:J,A11)</f>
        <v>4</v>
      </c>
    </row>
    <row r="12" spans="1:13" x14ac:dyDescent="0.2">
      <c r="A12" t="s">
        <v>771</v>
      </c>
      <c r="C12" t="s">
        <v>147</v>
      </c>
      <c r="D12" t="s">
        <v>2907</v>
      </c>
      <c r="E12" t="s">
        <v>3171</v>
      </c>
      <c r="F12" s="51" t="s">
        <v>3267</v>
      </c>
      <c r="G12">
        <f>COUNTIFS(trials!$H:$H,$A12,trials!$E:$E,G$2)+COUNTIFS(trials!$I:$I,$A12,trials!$E:$E,G$2)+COUNTIFS(trials!$J:$J,$A12,trials!$E:$E,G$2)</f>
        <v>0</v>
      </c>
      <c r="H12">
        <f>COUNTIFS(trials!$H:$H,$A12,trials!$E:$E,H$2)+COUNTIFS(trials!$I:$I,$A12,trials!$E:$E,H$2)+COUNTIFS(trials!$J:$J,$A12,trials!$E:$E,H$2)</f>
        <v>1</v>
      </c>
      <c r="I12">
        <f>COUNTIFS(trials!$H:$H,$A12,trials!$E:$E,I$2)+COUNTIFS(trials!$I:$I,$A12,trials!$E:$E,I$2)+COUNTIFS(trials!$J:$J,$A12,trials!$E:$E,I$2)</f>
        <v>1</v>
      </c>
      <c r="J12">
        <f>COUNTIFS(trials!$H:$H,$A12,trials!$E:$E,J$2)+COUNTIFS(trials!$I:$I,$A12,trials!$E:$E,J$2)+COUNTIFS(trials!$J:$J,$A12,trials!$E:$E,J$2)</f>
        <v>2</v>
      </c>
      <c r="K12">
        <f>COUNTIFS(trials!$H:$H,$A12,trials!$E:$E,K$2)+COUNTIFS(trials!$I:$I,$A12,trials!$E:$E,K$2)+COUNTIFS(trials!$J:$J,$A12,trials!$E:$E,K$2)</f>
        <v>0</v>
      </c>
      <c r="L12">
        <f>COUNTIF(trials!$H:$H,$A12)+COUNTIF(trials!$I:$I,$A12)+COUNTIF(trials!$J:$J,$A12)-SUM(G12:K12)</f>
        <v>1</v>
      </c>
      <c r="M12">
        <f>COUNTIF(trials!H:J,A12)</f>
        <v>5</v>
      </c>
    </row>
    <row r="13" spans="1:13" x14ac:dyDescent="0.2">
      <c r="A13" s="48" t="s">
        <v>839</v>
      </c>
      <c r="B13" s="56"/>
      <c r="C13" s="48" t="s">
        <v>3232</v>
      </c>
      <c r="D13" t="s">
        <v>2910</v>
      </c>
      <c r="E13" t="s">
        <v>3172</v>
      </c>
      <c r="F13" s="50" t="s">
        <v>3265</v>
      </c>
      <c r="G13">
        <f>COUNTIFS(trials!$H:$H,$A13,trials!$E:$E,G$2)+COUNTIFS(trials!$I:$I,$A13,trials!$E:$E,G$2)+COUNTIFS(trials!$J:$J,$A13,trials!$E:$E,G$2)</f>
        <v>1</v>
      </c>
      <c r="H13">
        <f>COUNTIFS(trials!$H:$H,$A13,trials!$E:$E,H$2)+COUNTIFS(trials!$I:$I,$A13,trials!$E:$E,H$2)+COUNTIFS(trials!$J:$J,$A13,trials!$E:$E,H$2)</f>
        <v>0</v>
      </c>
      <c r="I13">
        <f>COUNTIFS(trials!$H:$H,$A13,trials!$E:$E,I$2)+COUNTIFS(trials!$I:$I,$A13,trials!$E:$E,I$2)+COUNTIFS(trials!$J:$J,$A13,trials!$E:$E,I$2)</f>
        <v>1</v>
      </c>
      <c r="J13">
        <f>COUNTIFS(trials!$H:$H,$A13,trials!$E:$E,J$2)+COUNTIFS(trials!$I:$I,$A13,trials!$E:$E,J$2)+COUNTIFS(trials!$J:$J,$A13,trials!$E:$E,J$2)</f>
        <v>1</v>
      </c>
      <c r="K13">
        <f>COUNTIFS(trials!$H:$H,$A13,trials!$E:$E,K$2)+COUNTIFS(trials!$I:$I,$A13,trials!$E:$E,K$2)+COUNTIFS(trials!$J:$J,$A13,trials!$E:$E,K$2)</f>
        <v>1</v>
      </c>
      <c r="L13">
        <f>COUNTIF(trials!$H:$H,$A13)+COUNTIF(trials!$I:$I,$A13)+COUNTIF(trials!$J:$J,$A13)-SUM(G13:K13)</f>
        <v>2</v>
      </c>
      <c r="M13">
        <f>COUNTIF(trials!H:J,A13)</f>
        <v>6</v>
      </c>
    </row>
    <row r="14" spans="1:13" x14ac:dyDescent="0.2">
      <c r="A14" t="s">
        <v>919</v>
      </c>
      <c r="C14" t="s">
        <v>147</v>
      </c>
      <c r="D14" t="s">
        <v>2915</v>
      </c>
      <c r="E14" t="s">
        <v>3171</v>
      </c>
      <c r="F14" s="51" t="s">
        <v>3267</v>
      </c>
      <c r="G14">
        <f>COUNTIFS(trials!$H:$H,$A14,trials!$E:$E,G$2)+COUNTIFS(trials!$I:$I,$A14,trials!$E:$E,G$2)+COUNTIFS(trials!$J:$J,$A14,trials!$E:$E,G$2)</f>
        <v>3</v>
      </c>
      <c r="H14">
        <f>COUNTIFS(trials!$H:$H,$A14,trials!$E:$E,H$2)+COUNTIFS(trials!$I:$I,$A14,trials!$E:$E,H$2)+COUNTIFS(trials!$J:$J,$A14,trials!$E:$E,H$2)</f>
        <v>0</v>
      </c>
      <c r="I14">
        <f>COUNTIFS(trials!$H:$H,$A14,trials!$E:$E,I$2)+COUNTIFS(trials!$I:$I,$A14,trials!$E:$E,I$2)+COUNTIFS(trials!$J:$J,$A14,trials!$E:$E,I$2)</f>
        <v>0</v>
      </c>
      <c r="J14">
        <f>COUNTIFS(trials!$H:$H,$A14,trials!$E:$E,J$2)+COUNTIFS(trials!$I:$I,$A14,trials!$E:$E,J$2)+COUNTIFS(trials!$J:$J,$A14,trials!$E:$E,J$2)</f>
        <v>0</v>
      </c>
      <c r="K14">
        <f>COUNTIFS(trials!$H:$H,$A14,trials!$E:$E,K$2)+COUNTIFS(trials!$I:$I,$A14,trials!$E:$E,K$2)+COUNTIFS(trials!$J:$J,$A14,trials!$E:$E,K$2)</f>
        <v>1</v>
      </c>
      <c r="L14">
        <f>COUNTIF(trials!$H:$H,$A14)+COUNTIF(trials!$I:$I,$A14)+COUNTIF(trials!$J:$J,$A14)-SUM(G14:K14)</f>
        <v>0</v>
      </c>
      <c r="M14">
        <f>COUNTIF(trials!H:J,A14)</f>
        <v>4</v>
      </c>
    </row>
    <row r="15" spans="1:13" x14ac:dyDescent="0.2">
      <c r="A15" s="49" t="s">
        <v>2913</v>
      </c>
      <c r="B15" s="57">
        <v>5</v>
      </c>
      <c r="C15" s="49" t="s">
        <v>3234</v>
      </c>
      <c r="D15" t="s">
        <v>147</v>
      </c>
      <c r="E15" t="s">
        <v>3110</v>
      </c>
      <c r="F15" s="24" t="s">
        <v>3110</v>
      </c>
      <c r="G15">
        <f>COUNTIFS(trials!$H:$H,$A15,trials!$E:$E,G$2)+COUNTIFS(trials!$I:$I,$A15,trials!$E:$E,G$2)+COUNTIFS(trials!$J:$J,$A15,trials!$E:$E,G$2)</f>
        <v>0</v>
      </c>
      <c r="H15">
        <f>COUNTIFS(trials!$H:$H,$A15,trials!$E:$E,H$2)+COUNTIFS(trials!$I:$I,$A15,trials!$E:$E,H$2)+COUNTIFS(trials!$J:$J,$A15,trials!$E:$E,H$2)</f>
        <v>1</v>
      </c>
      <c r="I15">
        <f>COUNTIFS(trials!$H:$H,$A15,trials!$E:$E,I$2)+COUNTIFS(trials!$I:$I,$A15,trials!$E:$E,I$2)+COUNTIFS(trials!$J:$J,$A15,trials!$E:$E,I$2)</f>
        <v>1</v>
      </c>
      <c r="J15">
        <f>COUNTIFS(trials!$H:$H,$A15,trials!$E:$E,J$2)+COUNTIFS(trials!$I:$I,$A15,trials!$E:$E,J$2)+COUNTIFS(trials!$J:$J,$A15,trials!$E:$E,J$2)</f>
        <v>1</v>
      </c>
      <c r="K15">
        <f>COUNTIFS(trials!$H:$H,$A15,trials!$E:$E,K$2)+COUNTIFS(trials!$I:$I,$A15,trials!$E:$E,K$2)+COUNTIFS(trials!$J:$J,$A15,trials!$E:$E,K$2)</f>
        <v>1</v>
      </c>
      <c r="L15">
        <f>COUNTIF(trials!$H:$H,$A15)+COUNTIF(trials!$I:$I,$A15)+COUNTIF(trials!$J:$J,$A15)-SUM(G15:K15)</f>
        <v>1</v>
      </c>
      <c r="M15">
        <f>COUNTIF(trials!H:J,A15)</f>
        <v>5</v>
      </c>
    </row>
    <row r="16" spans="1:13" x14ac:dyDescent="0.2">
      <c r="A16" t="s">
        <v>1031</v>
      </c>
      <c r="C16" t="s">
        <v>147</v>
      </c>
      <c r="D16" t="s">
        <v>2912</v>
      </c>
      <c r="E16" t="s">
        <v>3169</v>
      </c>
      <c r="F16" s="40" t="s">
        <v>3268</v>
      </c>
      <c r="G16">
        <f>COUNTIFS(trials!$H:$H,$A16,trials!$E:$E,G$2)+COUNTIFS(trials!$I:$I,$A16,trials!$E:$E,G$2)+COUNTIFS(trials!$J:$J,$A16,trials!$E:$E,G$2)</f>
        <v>0</v>
      </c>
      <c r="H16">
        <f>COUNTIFS(trials!$H:$H,$A16,trials!$E:$E,H$2)+COUNTIFS(trials!$I:$I,$A16,trials!$E:$E,H$2)+COUNTIFS(trials!$J:$J,$A16,trials!$E:$E,H$2)</f>
        <v>1</v>
      </c>
      <c r="I16">
        <f>COUNTIFS(trials!$H:$H,$A16,trials!$E:$E,I$2)+COUNTIFS(trials!$I:$I,$A16,trials!$E:$E,I$2)+COUNTIFS(trials!$J:$J,$A16,trials!$E:$E,I$2)</f>
        <v>1</v>
      </c>
      <c r="J16">
        <f>COUNTIFS(trials!$H:$H,$A16,trials!$E:$E,J$2)+COUNTIFS(trials!$I:$I,$A16,trials!$E:$E,J$2)+COUNTIFS(trials!$J:$J,$A16,trials!$E:$E,J$2)</f>
        <v>3</v>
      </c>
      <c r="K16">
        <f>COUNTIFS(trials!$H:$H,$A16,trials!$E:$E,K$2)+COUNTIFS(trials!$I:$I,$A16,trials!$E:$E,K$2)+COUNTIFS(trials!$J:$J,$A16,trials!$E:$E,K$2)</f>
        <v>2</v>
      </c>
      <c r="L16">
        <f>COUNTIF(trials!$H:$H,$A16)+COUNTIF(trials!$I:$I,$A16)+COUNTIF(trials!$J:$J,$A16)-SUM(G16:K16)</f>
        <v>0</v>
      </c>
      <c r="M16">
        <f>COUNTIF(trials!H:J,A16)</f>
        <v>7</v>
      </c>
    </row>
    <row r="17" spans="1:13" x14ac:dyDescent="0.2">
      <c r="A17" s="47" t="s">
        <v>1082</v>
      </c>
      <c r="B17" s="54"/>
      <c r="C17" s="47" t="s">
        <v>3231</v>
      </c>
      <c r="D17" t="s">
        <v>2904</v>
      </c>
      <c r="E17" t="s">
        <v>3168</v>
      </c>
      <c r="F17" s="45" t="s">
        <v>3266</v>
      </c>
      <c r="G17">
        <f>COUNTIFS(trials!$H:$H,$A17,trials!$E:$E,G$2)+COUNTIFS(trials!$I:$I,$A17,trials!$E:$E,G$2)+COUNTIFS(trials!$J:$J,$A17,trials!$E:$E,G$2)</f>
        <v>0</v>
      </c>
      <c r="H17">
        <f>COUNTIFS(trials!$H:$H,$A17,trials!$E:$E,H$2)+COUNTIFS(trials!$I:$I,$A17,trials!$E:$E,H$2)+COUNTIFS(trials!$J:$J,$A17,trials!$E:$E,H$2)</f>
        <v>0</v>
      </c>
      <c r="I17">
        <f>COUNTIFS(trials!$H:$H,$A17,trials!$E:$E,I$2)+COUNTIFS(trials!$I:$I,$A17,trials!$E:$E,I$2)+COUNTIFS(trials!$J:$J,$A17,trials!$E:$E,I$2)</f>
        <v>1</v>
      </c>
      <c r="J17">
        <f>COUNTIFS(trials!$H:$H,$A17,trials!$E:$E,J$2)+COUNTIFS(trials!$I:$I,$A17,trials!$E:$E,J$2)+COUNTIFS(trials!$J:$J,$A17,trials!$E:$E,J$2)</f>
        <v>0</v>
      </c>
      <c r="K17">
        <f>COUNTIFS(trials!$H:$H,$A17,trials!$E:$E,K$2)+COUNTIFS(trials!$I:$I,$A17,trials!$E:$E,K$2)+COUNTIFS(trials!$J:$J,$A17,trials!$E:$E,K$2)</f>
        <v>1</v>
      </c>
      <c r="L17">
        <f>COUNTIF(trials!$H:$H,$A17)+COUNTIF(trials!$I:$I,$A17)+COUNTIF(trials!$J:$J,$A17)-SUM(G17:K17)</f>
        <v>0</v>
      </c>
      <c r="M17">
        <f>COUNTIF(trials!H:J,A17)</f>
        <v>2</v>
      </c>
    </row>
    <row r="18" spans="1:13" x14ac:dyDescent="0.2">
      <c r="A18" t="s">
        <v>1193</v>
      </c>
      <c r="C18" t="s">
        <v>147</v>
      </c>
      <c r="D18" t="s">
        <v>2910</v>
      </c>
      <c r="E18" t="s">
        <v>3171</v>
      </c>
      <c r="F18" s="51" t="s">
        <v>3267</v>
      </c>
      <c r="G18">
        <f>COUNTIFS(trials!$H:$H,$A18,trials!$E:$E,G$2)+COUNTIFS(trials!$I:$I,$A18,trials!$E:$E,G$2)+COUNTIFS(trials!$J:$J,$A18,trials!$E:$E,G$2)</f>
        <v>1</v>
      </c>
      <c r="H18">
        <f>COUNTIFS(trials!$H:$H,$A18,trials!$E:$E,H$2)+COUNTIFS(trials!$I:$I,$A18,trials!$E:$E,H$2)+COUNTIFS(trials!$J:$J,$A18,trials!$E:$E,H$2)</f>
        <v>2</v>
      </c>
      <c r="I18">
        <f>COUNTIFS(trials!$H:$H,$A18,trials!$E:$E,I$2)+COUNTIFS(trials!$I:$I,$A18,trials!$E:$E,I$2)+COUNTIFS(trials!$J:$J,$A18,trials!$E:$E,I$2)</f>
        <v>0</v>
      </c>
      <c r="J18">
        <f>COUNTIFS(trials!$H:$H,$A18,trials!$E:$E,J$2)+COUNTIFS(trials!$I:$I,$A18,trials!$E:$E,J$2)+COUNTIFS(trials!$J:$J,$A18,trials!$E:$E,J$2)</f>
        <v>1</v>
      </c>
      <c r="K18">
        <f>COUNTIFS(trials!$H:$H,$A18,trials!$E:$E,K$2)+COUNTIFS(trials!$I:$I,$A18,trials!$E:$E,K$2)+COUNTIFS(trials!$J:$J,$A18,trials!$E:$E,K$2)</f>
        <v>1</v>
      </c>
      <c r="L18">
        <f>COUNTIF(trials!$H:$H,$A18)+COUNTIF(trials!$I:$I,$A18)+COUNTIF(trials!$J:$J,$A18)-SUM(G18:K18)</f>
        <v>2</v>
      </c>
      <c r="M18">
        <f>COUNTIF(trials!H:J,A18)</f>
        <v>7</v>
      </c>
    </row>
    <row r="19" spans="1:13" x14ac:dyDescent="0.2">
      <c r="A19" s="48" t="s">
        <v>3126</v>
      </c>
      <c r="B19" s="56"/>
      <c r="C19" s="48" t="s">
        <v>3232</v>
      </c>
      <c r="D19" t="s">
        <v>2906</v>
      </c>
      <c r="E19" t="s">
        <v>3172</v>
      </c>
      <c r="F19" s="50" t="s">
        <v>3265</v>
      </c>
      <c r="G19">
        <f>COUNTIFS(trials!$H:$H,$A19,trials!$E:$E,G$2)+COUNTIFS(trials!$I:$I,$A19,trials!$E:$E,G$2)+COUNTIFS(trials!$J:$J,$A19,trials!$E:$E,G$2)</f>
        <v>0</v>
      </c>
      <c r="H19">
        <f>COUNTIFS(trials!$H:$H,$A19,trials!$E:$E,H$2)+COUNTIFS(trials!$I:$I,$A19,trials!$E:$E,H$2)+COUNTIFS(trials!$J:$J,$A19,trials!$E:$E,H$2)</f>
        <v>4</v>
      </c>
      <c r="I19">
        <f>COUNTIFS(trials!$H:$H,$A19,trials!$E:$E,I$2)+COUNTIFS(trials!$I:$I,$A19,trials!$E:$E,I$2)+COUNTIFS(trials!$J:$J,$A19,trials!$E:$E,I$2)</f>
        <v>0</v>
      </c>
      <c r="J19">
        <f>COUNTIFS(trials!$H:$H,$A19,trials!$E:$E,J$2)+COUNTIFS(trials!$I:$I,$A19,trials!$E:$E,J$2)+COUNTIFS(trials!$J:$J,$A19,trials!$E:$E,J$2)</f>
        <v>0</v>
      </c>
      <c r="K19">
        <f>COUNTIFS(trials!$H:$H,$A19,trials!$E:$E,K$2)+COUNTIFS(trials!$I:$I,$A19,trials!$E:$E,K$2)+COUNTIFS(trials!$J:$J,$A19,trials!$E:$E,K$2)</f>
        <v>1</v>
      </c>
      <c r="L19">
        <f>COUNTIF(trials!$H:$H,$A19)+COUNTIF(trials!$I:$I,$A19)+COUNTIF(trials!$J:$J,$A19)-SUM(G19:K19)</f>
        <v>0</v>
      </c>
      <c r="M19">
        <f>COUNTIF(trials!H:J,A19)</f>
        <v>5</v>
      </c>
    </row>
    <row r="20" spans="1:13" x14ac:dyDescent="0.2">
      <c r="A20" s="35" t="s">
        <v>1366</v>
      </c>
      <c r="B20" s="55">
        <v>3</v>
      </c>
      <c r="C20" s="35" t="s">
        <v>3233</v>
      </c>
      <c r="D20" t="s">
        <v>2911</v>
      </c>
      <c r="E20" t="s">
        <v>3168</v>
      </c>
      <c r="F20" s="45" t="s">
        <v>3266</v>
      </c>
      <c r="G20">
        <f>COUNTIFS(trials!$H:$H,$A20,trials!$E:$E,G$2)+COUNTIFS(trials!$I:$I,$A20,trials!$E:$E,G$2)+COUNTIFS(trials!$J:$J,$A20,trials!$E:$E,G$2)</f>
        <v>2</v>
      </c>
      <c r="H20">
        <f>COUNTIFS(trials!$H:$H,$A20,trials!$E:$E,H$2)+COUNTIFS(trials!$I:$I,$A20,trials!$E:$E,H$2)+COUNTIFS(trials!$J:$J,$A20,trials!$E:$E,H$2)</f>
        <v>0</v>
      </c>
      <c r="I20">
        <f>COUNTIFS(trials!$H:$H,$A20,trials!$E:$E,I$2)+COUNTIFS(trials!$I:$I,$A20,trials!$E:$E,I$2)+COUNTIFS(trials!$J:$J,$A20,trials!$E:$E,I$2)</f>
        <v>0</v>
      </c>
      <c r="J20">
        <f>COUNTIFS(trials!$H:$H,$A20,trials!$E:$E,J$2)+COUNTIFS(trials!$I:$I,$A20,trials!$E:$E,J$2)+COUNTIFS(trials!$J:$J,$A20,trials!$E:$E,J$2)</f>
        <v>2</v>
      </c>
      <c r="K20">
        <f>COUNTIFS(trials!$H:$H,$A20,trials!$E:$E,K$2)+COUNTIFS(trials!$I:$I,$A20,trials!$E:$E,K$2)+COUNTIFS(trials!$J:$J,$A20,trials!$E:$E,K$2)</f>
        <v>2</v>
      </c>
      <c r="L20">
        <f>COUNTIF(trials!$H:$H,$A20)+COUNTIF(trials!$I:$I,$A20)+COUNTIF(trials!$J:$J,$A20)-SUM(G20:K20)</f>
        <v>0</v>
      </c>
      <c r="M20">
        <f>COUNTIF(trials!H:J,A20)</f>
        <v>6</v>
      </c>
    </row>
    <row r="21" spans="1:13" x14ac:dyDescent="0.2">
      <c r="A21" s="47" t="s">
        <v>3133</v>
      </c>
      <c r="B21" s="54">
        <v>3</v>
      </c>
      <c r="C21" s="47" t="s">
        <v>3231</v>
      </c>
      <c r="D21" t="s">
        <v>2903</v>
      </c>
      <c r="E21" t="s">
        <v>3170</v>
      </c>
      <c r="F21" s="15" t="s">
        <v>3264</v>
      </c>
      <c r="G21">
        <f>COUNTIFS(trials!$H:$H,$A21,trials!$E:$E,G$2)+COUNTIFS(trials!$I:$I,$A21,trials!$E:$E,G$2)+COUNTIFS(trials!$J:$J,$A21,trials!$E:$E,G$2)</f>
        <v>0</v>
      </c>
      <c r="H21">
        <f>COUNTIFS(trials!$H:$H,$A21,trials!$E:$E,H$2)+COUNTIFS(trials!$I:$I,$A21,trials!$E:$E,H$2)+COUNTIFS(trials!$J:$J,$A21,trials!$E:$E,H$2)</f>
        <v>0</v>
      </c>
      <c r="I21">
        <f>COUNTIFS(trials!$H:$H,$A21,trials!$E:$E,I$2)+COUNTIFS(trials!$I:$I,$A21,trials!$E:$E,I$2)+COUNTIFS(trials!$J:$J,$A21,trials!$E:$E,I$2)</f>
        <v>1</v>
      </c>
      <c r="J21">
        <f>COUNTIFS(trials!$H:$H,$A21,trials!$E:$E,J$2)+COUNTIFS(trials!$I:$I,$A21,trials!$E:$E,J$2)+COUNTIFS(trials!$J:$J,$A21,trials!$E:$E,J$2)</f>
        <v>1</v>
      </c>
      <c r="K21">
        <f>COUNTIFS(trials!$H:$H,$A21,trials!$E:$E,K$2)+COUNTIFS(trials!$I:$I,$A21,trials!$E:$E,K$2)+COUNTIFS(trials!$J:$J,$A21,trials!$E:$E,K$2)</f>
        <v>2</v>
      </c>
      <c r="L21">
        <f>COUNTIF(trials!$H:$H,$A21)+COUNTIF(trials!$I:$I,$A21)+COUNTIF(trials!$J:$J,$A21)-SUM(G21:K21)</f>
        <v>1</v>
      </c>
      <c r="M21">
        <f>COUNTIF(trials!H:J,A21)</f>
        <v>5</v>
      </c>
    </row>
    <row r="22" spans="1:13" x14ac:dyDescent="0.2">
      <c r="A22" t="s">
        <v>1495</v>
      </c>
      <c r="C22" t="s">
        <v>147</v>
      </c>
      <c r="D22" t="s">
        <v>2907</v>
      </c>
      <c r="E22" t="s">
        <v>3170</v>
      </c>
      <c r="F22" s="15" t="s">
        <v>3264</v>
      </c>
      <c r="G22">
        <f>COUNTIFS(trials!$H:$H,$A22,trials!$E:$E,G$2)+COUNTIFS(trials!$I:$I,$A22,trials!$E:$E,G$2)+COUNTIFS(trials!$J:$J,$A22,trials!$E:$E,G$2)</f>
        <v>1</v>
      </c>
      <c r="H22">
        <f>COUNTIFS(trials!$H:$H,$A22,trials!$E:$E,H$2)+COUNTIFS(trials!$I:$I,$A22,trials!$E:$E,H$2)+COUNTIFS(trials!$J:$J,$A22,trials!$E:$E,H$2)</f>
        <v>0</v>
      </c>
      <c r="I22">
        <f>COUNTIFS(trials!$H:$H,$A22,trials!$E:$E,I$2)+COUNTIFS(trials!$I:$I,$A22,trials!$E:$E,I$2)+COUNTIFS(trials!$J:$J,$A22,trials!$E:$E,I$2)</f>
        <v>0</v>
      </c>
      <c r="J22">
        <f>COUNTIFS(trials!$H:$H,$A22,trials!$E:$E,J$2)+COUNTIFS(trials!$I:$I,$A22,trials!$E:$E,J$2)+COUNTIFS(trials!$J:$J,$A22,trials!$E:$E,J$2)</f>
        <v>0</v>
      </c>
      <c r="K22">
        <f>COUNTIFS(trials!$H:$H,$A22,trials!$E:$E,K$2)+COUNTIFS(trials!$I:$I,$A22,trials!$E:$E,K$2)+COUNTIFS(trials!$J:$J,$A22,trials!$E:$E,K$2)</f>
        <v>0</v>
      </c>
      <c r="L22">
        <f>COUNTIF(trials!$H:$H,$A22)+COUNTIF(trials!$I:$I,$A22)+COUNTIF(trials!$J:$J,$A22)-SUM(G22:K22)</f>
        <v>1</v>
      </c>
      <c r="M22">
        <f>COUNTIF(trials!H:J,A22)</f>
        <v>2</v>
      </c>
    </row>
    <row r="23" spans="1:13" x14ac:dyDescent="0.2">
      <c r="A23" t="s">
        <v>1571</v>
      </c>
      <c r="C23" t="s">
        <v>147</v>
      </c>
      <c r="D23" t="s">
        <v>2905</v>
      </c>
      <c r="E23" t="s">
        <v>3170</v>
      </c>
      <c r="F23" s="15" t="s">
        <v>3264</v>
      </c>
      <c r="G23">
        <f>COUNTIFS(trials!$H:$H,$A23,trials!$E:$E,G$2)+COUNTIFS(trials!$I:$I,$A23,trials!$E:$E,G$2)+COUNTIFS(trials!$J:$J,$A23,trials!$E:$E,G$2)</f>
        <v>0</v>
      </c>
      <c r="H23">
        <f>COUNTIFS(trials!$H:$H,$A23,trials!$E:$E,H$2)+COUNTIFS(trials!$I:$I,$A23,trials!$E:$E,H$2)+COUNTIFS(trials!$J:$J,$A23,trials!$E:$E,H$2)</f>
        <v>0</v>
      </c>
      <c r="I23">
        <f>COUNTIFS(trials!$H:$H,$A23,trials!$E:$E,I$2)+COUNTIFS(trials!$I:$I,$A23,trials!$E:$E,I$2)+COUNTIFS(trials!$J:$J,$A23,trials!$E:$E,I$2)</f>
        <v>0</v>
      </c>
      <c r="J23">
        <f>COUNTIFS(trials!$H:$H,$A23,trials!$E:$E,J$2)+COUNTIFS(trials!$I:$I,$A23,trials!$E:$E,J$2)+COUNTIFS(trials!$J:$J,$A23,trials!$E:$E,J$2)</f>
        <v>0</v>
      </c>
      <c r="K23">
        <f>COUNTIFS(trials!$H:$H,$A23,trials!$E:$E,K$2)+COUNTIFS(trials!$I:$I,$A23,trials!$E:$E,K$2)+COUNTIFS(trials!$J:$J,$A23,trials!$E:$E,K$2)</f>
        <v>1</v>
      </c>
      <c r="L23">
        <f>COUNTIF(trials!$H:$H,$A23)+COUNTIF(trials!$I:$I,$A23)+COUNTIF(trials!$J:$J,$A23)-SUM(G23:K23)</f>
        <v>0</v>
      </c>
      <c r="M23">
        <f>COUNTIF(trials!H:J,A23)</f>
        <v>1</v>
      </c>
    </row>
    <row r="24" spans="1:13" x14ac:dyDescent="0.2">
      <c r="A24" s="48" t="s">
        <v>1662</v>
      </c>
      <c r="B24" s="56"/>
      <c r="C24" s="48" t="s">
        <v>3232</v>
      </c>
      <c r="D24" t="s">
        <v>2907</v>
      </c>
      <c r="E24" t="s">
        <v>3172</v>
      </c>
      <c r="F24" s="50" t="s">
        <v>3265</v>
      </c>
      <c r="G24">
        <f>COUNTIFS(trials!$H:$H,$A24,trials!$E:$E,G$2)+COUNTIFS(trials!$I:$I,$A24,trials!$E:$E,G$2)+COUNTIFS(trials!$J:$J,$A24,trials!$E:$E,G$2)</f>
        <v>1</v>
      </c>
      <c r="H24">
        <f>COUNTIFS(trials!$H:$H,$A24,trials!$E:$E,H$2)+COUNTIFS(trials!$I:$I,$A24,trials!$E:$E,H$2)+COUNTIFS(trials!$J:$J,$A24,trials!$E:$E,H$2)</f>
        <v>1</v>
      </c>
      <c r="I24">
        <f>COUNTIFS(trials!$H:$H,$A24,trials!$E:$E,I$2)+COUNTIFS(trials!$I:$I,$A24,trials!$E:$E,I$2)+COUNTIFS(trials!$J:$J,$A24,trials!$E:$E,I$2)</f>
        <v>1</v>
      </c>
      <c r="J24">
        <f>COUNTIFS(trials!$H:$H,$A24,trials!$E:$E,J$2)+COUNTIFS(trials!$I:$I,$A24,trials!$E:$E,J$2)+COUNTIFS(trials!$J:$J,$A24,trials!$E:$E,J$2)</f>
        <v>0</v>
      </c>
      <c r="K24">
        <f>COUNTIFS(trials!$H:$H,$A24,trials!$E:$E,K$2)+COUNTIFS(trials!$I:$I,$A24,trials!$E:$E,K$2)+COUNTIFS(trials!$J:$J,$A24,trials!$E:$E,K$2)</f>
        <v>0</v>
      </c>
      <c r="L24">
        <f>COUNTIF(trials!$H:$H,$A24)+COUNTIF(trials!$I:$I,$A24)+COUNTIF(trials!$J:$J,$A24)-SUM(G24:K24)</f>
        <v>1</v>
      </c>
      <c r="M24">
        <f>COUNTIF(trials!H:J,A24)</f>
        <v>4</v>
      </c>
    </row>
    <row r="25" spans="1:13" x14ac:dyDescent="0.2">
      <c r="A25" s="35" t="s">
        <v>1778</v>
      </c>
      <c r="B25" s="55">
        <v>3</v>
      </c>
      <c r="C25" s="35" t="s">
        <v>3233</v>
      </c>
      <c r="D25" t="s">
        <v>2908</v>
      </c>
      <c r="E25" t="s">
        <v>3171</v>
      </c>
      <c r="F25" s="51" t="s">
        <v>3267</v>
      </c>
      <c r="G25">
        <f>COUNTIFS(trials!$H:$H,$A25,trials!$E:$E,G$2)+COUNTIFS(trials!$I:$I,$A25,trials!$E:$E,G$2)+COUNTIFS(trials!$J:$J,$A25,trials!$E:$E,G$2)</f>
        <v>0</v>
      </c>
      <c r="H25">
        <f>COUNTIFS(trials!$H:$H,$A25,trials!$E:$E,H$2)+COUNTIFS(trials!$I:$I,$A25,trials!$E:$E,H$2)+COUNTIFS(trials!$J:$J,$A25,trials!$E:$E,H$2)</f>
        <v>0</v>
      </c>
      <c r="I25">
        <f>COUNTIFS(trials!$H:$H,$A25,trials!$E:$E,I$2)+COUNTIFS(trials!$I:$I,$A25,trials!$E:$E,I$2)+COUNTIFS(trials!$J:$J,$A25,trials!$E:$E,I$2)</f>
        <v>0</v>
      </c>
      <c r="J25">
        <f>COUNTIFS(trials!$H:$H,$A25,trials!$E:$E,J$2)+COUNTIFS(trials!$I:$I,$A25,trials!$E:$E,J$2)+COUNTIFS(trials!$J:$J,$A25,trials!$E:$E,J$2)</f>
        <v>3</v>
      </c>
      <c r="K25">
        <f>COUNTIFS(trials!$H:$H,$A25,trials!$E:$E,K$2)+COUNTIFS(trials!$I:$I,$A25,trials!$E:$E,K$2)+COUNTIFS(trials!$J:$J,$A25,trials!$E:$E,K$2)</f>
        <v>0</v>
      </c>
      <c r="L25">
        <f>COUNTIF(trials!$H:$H,$A25)+COUNTIF(trials!$I:$I,$A25)+COUNTIF(trials!$J:$J,$A25)-SUM(G25:K25)</f>
        <v>0</v>
      </c>
      <c r="M25">
        <f>COUNTIF(trials!H:J,A25)</f>
        <v>3</v>
      </c>
    </row>
    <row r="26" spans="1:13" x14ac:dyDescent="0.2">
      <c r="A26" t="s">
        <v>1834</v>
      </c>
      <c r="B26" s="52">
        <v>1</v>
      </c>
      <c r="C26" t="s">
        <v>147</v>
      </c>
      <c r="D26" t="s">
        <v>2906</v>
      </c>
      <c r="E26" t="s">
        <v>3170</v>
      </c>
      <c r="F26" s="15" t="s">
        <v>3264</v>
      </c>
      <c r="G26">
        <f>COUNTIFS(trials!$H:$H,$A26,trials!$E:$E,G$2)+COUNTIFS(trials!$I:$I,$A26,trials!$E:$E,G$2)+COUNTIFS(trials!$J:$J,$A26,trials!$E:$E,G$2)</f>
        <v>1</v>
      </c>
      <c r="H26">
        <f>COUNTIFS(trials!$H:$H,$A26,trials!$E:$E,H$2)+COUNTIFS(trials!$I:$I,$A26,trials!$E:$E,H$2)+COUNTIFS(trials!$J:$J,$A26,trials!$E:$E,H$2)</f>
        <v>0</v>
      </c>
      <c r="I26">
        <f>COUNTIFS(trials!$H:$H,$A26,trials!$E:$E,I$2)+COUNTIFS(trials!$I:$I,$A26,trials!$E:$E,I$2)+COUNTIFS(trials!$J:$J,$A26,trials!$E:$E,I$2)</f>
        <v>0</v>
      </c>
      <c r="J26">
        <f>COUNTIFS(trials!$H:$H,$A26,trials!$E:$E,J$2)+COUNTIFS(trials!$I:$I,$A26,trials!$E:$E,J$2)+COUNTIFS(trials!$J:$J,$A26,trials!$E:$E,J$2)</f>
        <v>0</v>
      </c>
      <c r="K26">
        <f>COUNTIFS(trials!$H:$H,$A26,trials!$E:$E,K$2)+COUNTIFS(trials!$I:$I,$A26,trials!$E:$E,K$2)+COUNTIFS(trials!$J:$J,$A26,trials!$E:$E,K$2)</f>
        <v>0</v>
      </c>
      <c r="L26">
        <f>COUNTIF(trials!$H:$H,$A26)+COUNTIF(trials!$I:$I,$A26)+COUNTIF(trials!$J:$J,$A26)-SUM(G26:K26)</f>
        <v>2</v>
      </c>
      <c r="M26">
        <f>COUNTIF(trials!H:J,A26)</f>
        <v>3</v>
      </c>
    </row>
    <row r="27" spans="1:13" x14ac:dyDescent="0.2">
      <c r="A27" s="47" t="s">
        <v>1897</v>
      </c>
      <c r="B27" s="54">
        <v>2</v>
      </c>
      <c r="C27" s="47" t="s">
        <v>3231</v>
      </c>
      <c r="D27" t="s">
        <v>2904</v>
      </c>
      <c r="E27" t="s">
        <v>3170</v>
      </c>
      <c r="F27" s="15" t="s">
        <v>3264</v>
      </c>
      <c r="G27">
        <f>COUNTIFS(trials!$H:$H,$A27,trials!$E:$E,G$2)+COUNTIFS(trials!$I:$I,$A27,trials!$E:$E,G$2)+COUNTIFS(trials!$J:$J,$A27,trials!$E:$E,G$2)</f>
        <v>0</v>
      </c>
      <c r="H27">
        <f>COUNTIFS(trials!$H:$H,$A27,trials!$E:$E,H$2)+COUNTIFS(trials!$I:$I,$A27,trials!$E:$E,H$2)+COUNTIFS(trials!$J:$J,$A27,trials!$E:$E,H$2)</f>
        <v>0</v>
      </c>
      <c r="I27">
        <f>COUNTIFS(trials!$H:$H,$A27,trials!$E:$E,I$2)+COUNTIFS(trials!$I:$I,$A27,trials!$E:$E,I$2)+COUNTIFS(trials!$J:$J,$A27,trials!$E:$E,I$2)</f>
        <v>0</v>
      </c>
      <c r="J27">
        <f>COUNTIFS(trials!$H:$H,$A27,trials!$E:$E,J$2)+COUNTIFS(trials!$I:$I,$A27,trials!$E:$E,J$2)+COUNTIFS(trials!$J:$J,$A27,trials!$E:$E,J$2)</f>
        <v>0</v>
      </c>
      <c r="K27">
        <f>COUNTIFS(trials!$H:$H,$A27,trials!$E:$E,K$2)+COUNTIFS(trials!$I:$I,$A27,trials!$E:$E,K$2)+COUNTIFS(trials!$J:$J,$A27,trials!$E:$E,K$2)</f>
        <v>0</v>
      </c>
      <c r="L27">
        <f>COUNTIF(trials!$H:$H,$A27)+COUNTIF(trials!$I:$I,$A27)+COUNTIF(trials!$J:$J,$A27)-SUM(G27:K27)</f>
        <v>1</v>
      </c>
      <c r="M27">
        <f>COUNTIF(trials!H:J,A27)</f>
        <v>1</v>
      </c>
    </row>
    <row r="28" spans="1:13" x14ac:dyDescent="0.2">
      <c r="A28" s="47" t="s">
        <v>1959</v>
      </c>
      <c r="B28" s="54">
        <v>2</v>
      </c>
      <c r="C28" s="47" t="s">
        <v>3231</v>
      </c>
      <c r="D28" t="s">
        <v>2903</v>
      </c>
      <c r="E28" t="s">
        <v>3168</v>
      </c>
      <c r="F28" s="45" t="s">
        <v>3266</v>
      </c>
      <c r="G28">
        <f>COUNTIFS(trials!$H:$H,$A28,trials!$E:$E,G$2)+COUNTIFS(trials!$I:$I,$A28,trials!$E:$E,G$2)+COUNTIFS(trials!$J:$J,$A28,trials!$E:$E,G$2)</f>
        <v>0</v>
      </c>
      <c r="H28">
        <f>COUNTIFS(trials!$H:$H,$A28,trials!$E:$E,H$2)+COUNTIFS(trials!$I:$I,$A28,trials!$E:$E,H$2)+COUNTIFS(trials!$J:$J,$A28,trials!$E:$E,H$2)</f>
        <v>0</v>
      </c>
      <c r="I28">
        <f>COUNTIFS(trials!$H:$H,$A28,trials!$E:$E,I$2)+COUNTIFS(trials!$I:$I,$A28,trials!$E:$E,I$2)+COUNTIFS(trials!$J:$J,$A28,trials!$E:$E,I$2)</f>
        <v>2</v>
      </c>
      <c r="J28">
        <f>COUNTIFS(trials!$H:$H,$A28,trials!$E:$E,J$2)+COUNTIFS(trials!$I:$I,$A28,trials!$E:$E,J$2)+COUNTIFS(trials!$J:$J,$A28,trials!$E:$E,J$2)</f>
        <v>0</v>
      </c>
      <c r="K28">
        <f>COUNTIFS(trials!$H:$H,$A28,trials!$E:$E,K$2)+COUNTIFS(trials!$I:$I,$A28,trials!$E:$E,K$2)+COUNTIFS(trials!$J:$J,$A28,trials!$E:$E,K$2)</f>
        <v>1</v>
      </c>
      <c r="L28">
        <f>COUNTIF(trials!$H:$H,$A28)+COUNTIF(trials!$I:$I,$A28)+COUNTIF(trials!$J:$J,$A28)-SUM(G28:K28)</f>
        <v>1</v>
      </c>
      <c r="M28">
        <f>COUNTIF(trials!H:J,A28)</f>
        <v>4</v>
      </c>
    </row>
  </sheetData>
  <conditionalFormatting sqref="G3:L28">
    <cfRule type="colorScale" priority="1">
      <colorScale>
        <cfvo type="min"/>
        <cfvo type="percentile" val="50"/>
        <cfvo type="max"/>
        <color theme="2"/>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4</vt:i4>
      </vt:variant>
    </vt:vector>
  </HeadingPairs>
  <TitlesOfParts>
    <vt:vector size="12" baseType="lpstr">
      <vt:lpstr>timeline</vt:lpstr>
      <vt:lpstr>solar tabs</vt:lpstr>
      <vt:lpstr>Solarlist</vt:lpstr>
      <vt:lpstr>Siderial</vt:lpstr>
      <vt:lpstr>pearl</vt:lpstr>
      <vt:lpstr>Лист1</vt:lpstr>
      <vt:lpstr>trials</vt:lpstr>
      <vt:lpstr>Лист2</vt:lpstr>
      <vt:lpstr>Solarlist!DataCharmsAll</vt:lpstr>
      <vt:lpstr>DataCharmsAll</vt:lpstr>
      <vt:lpstr>Solarlist!DataCharmsAllType</vt:lpstr>
      <vt:lpstr>DataCharmsAllType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Екатерина Ремизова</dc:creator>
  <cp:lastModifiedBy>Екатерина Ремизова</cp:lastModifiedBy>
  <dcterms:created xsi:type="dcterms:W3CDTF">2025-07-16T22:27:57Z</dcterms:created>
  <dcterms:modified xsi:type="dcterms:W3CDTF">2025-08-31T20:11:54Z</dcterms:modified>
</cp:coreProperties>
</file>