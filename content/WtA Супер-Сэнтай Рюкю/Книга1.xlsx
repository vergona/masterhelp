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 Circe\Rolling Vault\WtA Супер-Сэнтай Рюкю\"/>
    </mc:Choice>
  </mc:AlternateContent>
  <xr:revisionPtr revIDLastSave="0" documentId="13_ncr:1_{CFE4FDB1-8D50-4866-B30A-03A261367BFA}" xr6:coauthVersionLast="47" xr6:coauthVersionMax="47" xr10:uidLastSave="{00000000-0000-0000-0000-000000000000}"/>
  <bookViews>
    <workbookView xWindow="-118" yWindow="-118" windowWidth="25370" windowHeight="13759" xr2:uid="{9D2331F1-6F21-4FA8-8735-1DF49FEA737E}"/>
  </bookViews>
  <sheets>
    <sheet name="Лист1" sheetId="1" r:id="rId1"/>
  </sheets>
  <definedNames>
    <definedName name="_xlnm._FilterDatabase" localSheetId="0" hidden="1">Лист1!$A$1:$L$19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34" i="1"/>
  <c r="E35" i="1"/>
  <c r="E36" i="1"/>
  <c r="E37" i="1"/>
  <c r="D26" i="1"/>
  <c r="E26" i="1" s="1"/>
  <c r="D27" i="1"/>
  <c r="E27" i="1" s="1"/>
  <c r="D28" i="1"/>
  <c r="D29" i="1"/>
  <c r="D30" i="1"/>
  <c r="D31" i="1"/>
  <c r="E31" i="1" s="1"/>
  <c r="D32" i="1"/>
  <c r="D33" i="1"/>
  <c r="D34" i="1"/>
  <c r="D35" i="1"/>
  <c r="D36" i="1"/>
  <c r="D37" i="1"/>
  <c r="D25" i="1"/>
  <c r="E25" i="1" s="1"/>
  <c r="E28" i="1"/>
  <c r="E29" i="1"/>
  <c r="E30" i="1"/>
  <c r="E32" i="1"/>
  <c r="E24" i="1"/>
</calcChain>
</file>

<file path=xl/sharedStrings.xml><?xml version="1.0" encoding="utf-8"?>
<sst xmlns="http://schemas.openxmlformats.org/spreadsheetml/2006/main" count="101" uniqueCount="72">
  <si>
    <t>Ёнахара Саё (与那原 小夜) — Ночная бариста**</t>
  </si>
  <si>
    <t>Горо (悟郎) — Механик</t>
  </si>
  <si>
    <t>Дзэн Дзиро (善 次郎) — Студент-неформал и художник-граффитист**</t>
  </si>
  <si>
    <t>Исии Рёта (石井 涼太) — Садовник и продавец цветов**</t>
  </si>
  <si>
    <t>Кари Ясухиро (狩 康弘) — Молодой рыбак</t>
  </si>
  <si>
    <t>Кэнта (健太) — Студент-историк</t>
  </si>
  <si>
    <t>Мияги Айка (宮城 愛果) — Бариста в серф-кафе**</t>
  </si>
  <si>
    <t>Накамура Кэйко (中村 敬子) — Смотрительница маленького частного музея**</t>
  </si>
  <si>
    <t>Осиро Юка (大城 由佳) — Кассирша в круглосуточном магазине (комбини)**</t>
  </si>
  <si>
    <t>Оширо Рёта (大城 涼太) — Садовод-натуралист**</t>
  </si>
  <si>
    <t>Сатоми (聡美) — Библиотекарь</t>
  </si>
  <si>
    <t>Тамамуро Хикару (玉室 光) — Курьер на скутере**</t>
  </si>
  <si>
    <t>Тамура Хироки (田村 洋輝) — Ночной сторож на стройке**</t>
  </si>
  <si>
    <t>Тянь Мэйли (田 美莉) — Владелица маленькой лавки</t>
  </si>
  <si>
    <t>Уэхара Сэйити (上原 聖一) — Таксист и краевед-любитель**</t>
  </si>
  <si>
    <t>Хига Матико (比嘉 町子) — Старая ткачиха**</t>
  </si>
  <si>
    <t>Хига Матико (比嘉 町子) — Хранительница семейного ресторанчика**</t>
  </si>
  <si>
    <t>Юри (由里) — Девушка-дайвер (ама)</t>
  </si>
  <si>
    <t>Ёнахара Саё (与那原 小夜)</t>
  </si>
  <si>
    <t>Ночная бариста</t>
  </si>
  <si>
    <t>Горо (悟郎)</t>
  </si>
  <si>
    <t>Механик</t>
  </si>
  <si>
    <t>Дзэн Дзиро (善 次郎)</t>
  </si>
  <si>
    <t>Студент-неформал и художник-граффитист</t>
  </si>
  <si>
    <t>Исии Рёта (石井 涼太)</t>
  </si>
  <si>
    <t>Садовник и продавец цветов</t>
  </si>
  <si>
    <t>Кари Ясухиро (狩 康弘)</t>
  </si>
  <si>
    <t>Молодой рыбак</t>
  </si>
  <si>
    <t>Кэнта (健太)</t>
  </si>
  <si>
    <t>Студент-историк</t>
  </si>
  <si>
    <t>Мияги Айка (宮城 愛果)</t>
  </si>
  <si>
    <t>Бариста в серф-кафе</t>
  </si>
  <si>
    <t>Накамура Кэйко (中村 敬子)</t>
  </si>
  <si>
    <t>Смотрительница маленького частного музея</t>
  </si>
  <si>
    <t>Осиро Юка (大城 由佳)</t>
  </si>
  <si>
    <t>Кассирша в круглосуточном магазине (комбини)</t>
  </si>
  <si>
    <t>Оширо Рёта (大城 涼太)</t>
  </si>
  <si>
    <t>Садовод-натуралист</t>
  </si>
  <si>
    <t>Сатоми (聡美)</t>
  </si>
  <si>
    <t>Библиотекарь</t>
  </si>
  <si>
    <t>Тамамуро Хикару (玉室 光)</t>
  </si>
  <si>
    <t>Курьер на скутере</t>
  </si>
  <si>
    <t>Тамура Хироки (田村 洋輝)</t>
  </si>
  <si>
    <t>Ночной сторож на стройке</t>
  </si>
  <si>
    <t>Тянь Мэйли (田 美莉)</t>
  </si>
  <si>
    <t>Владелица маленькой лавки</t>
  </si>
  <si>
    <t>Уэхара Сэйити (上原 聖一)</t>
  </si>
  <si>
    <t>Таксист и краевед-любитель</t>
  </si>
  <si>
    <t>Хига Матико (比嘉 町子)</t>
  </si>
  <si>
    <t>Старая ткачиха</t>
  </si>
  <si>
    <t>Хранительница семейного ресторанчика</t>
  </si>
  <si>
    <t>Юри (由里)</t>
  </si>
  <si>
    <t>Девушка-дайвер (ама)</t>
  </si>
  <si>
    <t>полное</t>
  </si>
  <si>
    <t>имя</t>
  </si>
  <si>
    <t>роль</t>
  </si>
  <si>
    <t>код</t>
  </si>
  <si>
    <t>По роду занятий</t>
  </si>
  <si>
    <t>По возрасту</t>
  </si>
  <si>
    <t>ц</t>
  </si>
  <si>
    <t>Море/Вода</t>
  </si>
  <si>
    <t>Земля/Ремесло</t>
  </si>
  <si>
    <t>Город/Сервис</t>
  </si>
  <si>
    <t>Знания/Дух</t>
  </si>
  <si>
    <t>Ровесники/Молодые (20-30 лет)</t>
  </si>
  <si>
    <t>Старшие наставники/Опекуны (40+ лет)</t>
  </si>
  <si>
    <t>Хранители мудрости/Старейшины (60+ лет</t>
  </si>
  <si>
    <t>Интеллектуал</t>
  </si>
  <si>
    <t>По типу предлагаемой помощи:</t>
  </si>
  <si>
    <t>Ресурсная (еда, транспорт, кров)</t>
  </si>
  <si>
    <t>Эмоциональная/Духовная (принятие, утешение, понимание)</t>
  </si>
  <si>
    <t>Информационная/Образовательная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</si>
</sst>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404040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3" borderId="0" xfId="0" applyFill="1"/>
    <xf numFmtId="0" fontId="1" fillId="3" borderId="0" xfId="0" applyFont="1" applyFill="1"/>
    <xf numFmtId="14" fontId="0" fillId="0" borderId="0" xfId="0" applyNumberFormat="1"/>
    <xf numFmtId="14" fontId="0" fillId="4" borderId="0" xfId="0" applyNumberFormat="1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2F1E-F003-4B5D-90A6-ECFE505FF8F8}">
  <dimension ref="A1:L37"/>
  <sheetViews>
    <sheetView tabSelected="1" topLeftCell="A13" workbookViewId="0">
      <selection activeCell="E33" sqref="D33:E33"/>
    </sheetView>
  </sheetViews>
  <sheetFormatPr defaultRowHeight="15.05" x14ac:dyDescent="0.3"/>
  <cols>
    <col min="1" max="1" width="3.88671875" style="1" customWidth="1"/>
    <col min="2" max="2" width="25" bestFit="1" customWidth="1"/>
    <col min="3" max="3" width="41" bestFit="1" customWidth="1"/>
    <col min="4" max="4" width="9.88671875" bestFit="1" customWidth="1"/>
    <col min="5" max="5" width="16.44140625" bestFit="1" customWidth="1"/>
    <col min="6" max="6" width="39.5546875" bestFit="1" customWidth="1"/>
    <col min="7" max="7" width="22.5546875" customWidth="1"/>
  </cols>
  <sheetData>
    <row r="1" spans="1:12" ht="28.8" x14ac:dyDescent="0.3">
      <c r="A1" s="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s="3" t="s">
        <v>68</v>
      </c>
      <c r="H1" t="s">
        <v>59</v>
      </c>
      <c r="I1" t="s">
        <v>59</v>
      </c>
      <c r="J1" t="s">
        <v>59</v>
      </c>
      <c r="K1" t="s">
        <v>59</v>
      </c>
      <c r="L1" t="s">
        <v>59</v>
      </c>
    </row>
    <row r="2" spans="1:12" x14ac:dyDescent="0.3">
      <c r="A2" s="1" t="s">
        <v>4</v>
      </c>
      <c r="B2" t="s">
        <v>26</v>
      </c>
      <c r="C2" t="s">
        <v>27</v>
      </c>
      <c r="D2">
        <v>1.01</v>
      </c>
      <c r="E2" s="2" t="s">
        <v>60</v>
      </c>
      <c r="F2" s="2" t="s">
        <v>64</v>
      </c>
      <c r="G2" s="2" t="s">
        <v>69</v>
      </c>
    </row>
    <row r="3" spans="1:12" x14ac:dyDescent="0.3">
      <c r="A3" s="1" t="s">
        <v>13</v>
      </c>
      <c r="B3" t="s">
        <v>44</v>
      </c>
      <c r="C3" t="s">
        <v>45</v>
      </c>
      <c r="D3">
        <v>1.02</v>
      </c>
      <c r="E3" s="2" t="s">
        <v>61</v>
      </c>
      <c r="F3" s="2" t="s">
        <v>65</v>
      </c>
      <c r="G3" s="2" t="s">
        <v>69</v>
      </c>
    </row>
    <row r="4" spans="1:12" x14ac:dyDescent="0.3">
      <c r="A4" s="1" t="s">
        <v>1</v>
      </c>
      <c r="B4" t="s">
        <v>20</v>
      </c>
      <c r="C4" t="s">
        <v>21</v>
      </c>
      <c r="D4">
        <v>2.0099999999999998</v>
      </c>
    </row>
    <row r="5" spans="1:12" x14ac:dyDescent="0.3">
      <c r="A5" s="1" t="s">
        <v>17</v>
      </c>
      <c r="B5" t="s">
        <v>51</v>
      </c>
      <c r="C5" t="s">
        <v>52</v>
      </c>
      <c r="D5">
        <v>2.02</v>
      </c>
      <c r="E5" s="2" t="s">
        <v>60</v>
      </c>
      <c r="F5" s="2" t="s">
        <v>64</v>
      </c>
      <c r="G5" s="2" t="s">
        <v>70</v>
      </c>
    </row>
    <row r="6" spans="1:12" x14ac:dyDescent="0.3">
      <c r="A6" s="1" t="s">
        <v>5</v>
      </c>
      <c r="B6" t="s">
        <v>28</v>
      </c>
      <c r="C6" t="s">
        <v>29</v>
      </c>
      <c r="D6">
        <v>3.01</v>
      </c>
      <c r="E6" s="2" t="s">
        <v>63</v>
      </c>
      <c r="F6" s="2" t="s">
        <v>67</v>
      </c>
      <c r="G6" s="2" t="s">
        <v>71</v>
      </c>
    </row>
    <row r="7" spans="1:12" x14ac:dyDescent="0.3">
      <c r="A7" s="1" t="s">
        <v>10</v>
      </c>
      <c r="B7" t="s">
        <v>38</v>
      </c>
      <c r="C7" t="s">
        <v>39</v>
      </c>
      <c r="D7">
        <v>3.02</v>
      </c>
    </row>
    <row r="8" spans="1:12" x14ac:dyDescent="0.3">
      <c r="A8" s="4" t="s">
        <v>9</v>
      </c>
      <c r="B8" s="4" t="s">
        <v>36</v>
      </c>
      <c r="C8" s="4" t="s">
        <v>37</v>
      </c>
      <c r="D8" s="4">
        <v>4.1100000000000003</v>
      </c>
      <c r="E8" s="4"/>
      <c r="F8" s="4"/>
      <c r="G8" s="5"/>
    </row>
    <row r="9" spans="1:12" x14ac:dyDescent="0.3">
      <c r="A9" s="4" t="s">
        <v>16</v>
      </c>
      <c r="B9" s="4" t="s">
        <v>48</v>
      </c>
      <c r="C9" s="4" t="s">
        <v>50</v>
      </c>
      <c r="D9" s="4">
        <v>4.12</v>
      </c>
      <c r="E9" s="4"/>
      <c r="F9" s="5"/>
      <c r="G9" s="4"/>
    </row>
    <row r="10" spans="1:12" x14ac:dyDescent="0.3">
      <c r="A10" s="1" t="s">
        <v>3</v>
      </c>
      <c r="B10" t="s">
        <v>24</v>
      </c>
      <c r="C10" t="s">
        <v>25</v>
      </c>
      <c r="D10">
        <v>4.21</v>
      </c>
      <c r="E10" s="2" t="s">
        <v>61</v>
      </c>
      <c r="F10" s="2" t="s">
        <v>65</v>
      </c>
      <c r="G10" s="2" t="s">
        <v>70</v>
      </c>
    </row>
    <row r="11" spans="1:12" x14ac:dyDescent="0.3">
      <c r="A11" s="1" t="s">
        <v>15</v>
      </c>
      <c r="B11" t="s">
        <v>48</v>
      </c>
      <c r="C11" t="s">
        <v>49</v>
      </c>
      <c r="D11">
        <v>4.22</v>
      </c>
      <c r="E11" s="2" t="s">
        <v>61</v>
      </c>
      <c r="F11" s="2" t="s">
        <v>66</v>
      </c>
      <c r="G11" s="2" t="s">
        <v>70</v>
      </c>
    </row>
    <row r="12" spans="1:12" x14ac:dyDescent="0.3">
      <c r="A12" s="4" t="s">
        <v>0</v>
      </c>
      <c r="B12" s="4" t="s">
        <v>18</v>
      </c>
      <c r="C12" s="4" t="s">
        <v>19</v>
      </c>
      <c r="D12" s="4">
        <v>5.1100000000000003</v>
      </c>
      <c r="E12" s="5" t="s">
        <v>62</v>
      </c>
      <c r="F12" s="4"/>
      <c r="G12" s="4"/>
    </row>
    <row r="13" spans="1:12" x14ac:dyDescent="0.3">
      <c r="A13" s="4" t="s">
        <v>11</v>
      </c>
      <c r="B13" s="4" t="s">
        <v>40</v>
      </c>
      <c r="C13" s="4" t="s">
        <v>41</v>
      </c>
      <c r="D13" s="4">
        <v>5.12</v>
      </c>
      <c r="E13" s="4"/>
      <c r="F13" s="4"/>
      <c r="G13" s="4"/>
    </row>
    <row r="14" spans="1:12" x14ac:dyDescent="0.3">
      <c r="A14" s="1" t="s">
        <v>12</v>
      </c>
      <c r="B14" t="s">
        <v>42</v>
      </c>
      <c r="C14" t="s">
        <v>43</v>
      </c>
      <c r="D14">
        <v>5.21</v>
      </c>
      <c r="E14" s="2" t="s">
        <v>61</v>
      </c>
      <c r="F14" s="2" t="s">
        <v>65</v>
      </c>
      <c r="G14" s="2" t="s">
        <v>69</v>
      </c>
    </row>
    <row r="15" spans="1:12" x14ac:dyDescent="0.3">
      <c r="A15" s="1" t="s">
        <v>8</v>
      </c>
      <c r="B15" t="s">
        <v>34</v>
      </c>
      <c r="C15" t="s">
        <v>35</v>
      </c>
      <c r="D15">
        <v>5.22</v>
      </c>
      <c r="E15" s="2" t="s">
        <v>62</v>
      </c>
      <c r="F15" s="2" t="s">
        <v>64</v>
      </c>
      <c r="G15" s="2" t="s">
        <v>69</v>
      </c>
    </row>
    <row r="16" spans="1:12" x14ac:dyDescent="0.3">
      <c r="A16" s="1" t="s">
        <v>14</v>
      </c>
      <c r="B16" t="s">
        <v>46</v>
      </c>
      <c r="C16" t="s">
        <v>47</v>
      </c>
      <c r="D16">
        <v>6.01</v>
      </c>
      <c r="E16" s="2" t="s">
        <v>62</v>
      </c>
      <c r="F16" s="2" t="s">
        <v>65</v>
      </c>
      <c r="G16" s="2" t="s">
        <v>69</v>
      </c>
    </row>
    <row r="17" spans="1:7" x14ac:dyDescent="0.3">
      <c r="A17" s="1" t="s">
        <v>7</v>
      </c>
      <c r="B17" t="s">
        <v>32</v>
      </c>
      <c r="C17" t="s">
        <v>33</v>
      </c>
      <c r="D17">
        <v>6.02</v>
      </c>
      <c r="E17" s="2" t="s">
        <v>63</v>
      </c>
      <c r="F17" s="2" t="s">
        <v>66</v>
      </c>
      <c r="G17" s="2" t="s">
        <v>71</v>
      </c>
    </row>
    <row r="18" spans="1:7" x14ac:dyDescent="0.3">
      <c r="A18" s="1" t="s">
        <v>2</v>
      </c>
      <c r="B18" t="s">
        <v>22</v>
      </c>
      <c r="C18" t="s">
        <v>23</v>
      </c>
      <c r="D18">
        <v>7.01</v>
      </c>
      <c r="E18" s="2" t="s">
        <v>63</v>
      </c>
      <c r="F18" s="2" t="s">
        <v>64</v>
      </c>
    </row>
    <row r="19" spans="1:7" x14ac:dyDescent="0.3">
      <c r="A19" s="1" t="s">
        <v>6</v>
      </c>
      <c r="B19" t="s">
        <v>30</v>
      </c>
      <c r="C19" t="s">
        <v>31</v>
      </c>
      <c r="D19">
        <v>7.02</v>
      </c>
      <c r="F19" s="2" t="s">
        <v>64</v>
      </c>
      <c r="G19" s="2" t="s">
        <v>69</v>
      </c>
    </row>
    <row r="24" spans="1:7" x14ac:dyDescent="0.3">
      <c r="D24" s="6"/>
      <c r="E24">
        <f>WEEKDAY(D24,12)</f>
        <v>5</v>
      </c>
    </row>
    <row r="25" spans="1:7" x14ac:dyDescent="0.3">
      <c r="D25" s="6">
        <f>DATE(2040-ROW(),7,4)</f>
        <v>42189</v>
      </c>
      <c r="E25">
        <f t="shared" ref="E25:E37" si="0">WEEKDAY(D25,12)</f>
        <v>5</v>
      </c>
    </row>
    <row r="26" spans="1:7" x14ac:dyDescent="0.3">
      <c r="D26" s="6">
        <f t="shared" ref="D26:D37" si="1">DATE(2040-ROW(),7,4)</f>
        <v>41824</v>
      </c>
      <c r="E26">
        <f t="shared" si="0"/>
        <v>4</v>
      </c>
    </row>
    <row r="27" spans="1:7" x14ac:dyDescent="0.3">
      <c r="D27" s="6">
        <f t="shared" si="1"/>
        <v>41459</v>
      </c>
      <c r="E27">
        <f t="shared" si="0"/>
        <v>3</v>
      </c>
    </row>
    <row r="28" spans="1:7" x14ac:dyDescent="0.3">
      <c r="D28" s="7">
        <f t="shared" si="1"/>
        <v>41094</v>
      </c>
      <c r="E28" s="8">
        <f t="shared" si="0"/>
        <v>2</v>
      </c>
    </row>
    <row r="29" spans="1:7" x14ac:dyDescent="0.3">
      <c r="D29" s="6">
        <f t="shared" si="1"/>
        <v>40728</v>
      </c>
      <c r="E29">
        <f t="shared" si="0"/>
        <v>7</v>
      </c>
    </row>
    <row r="30" spans="1:7" x14ac:dyDescent="0.3">
      <c r="D30" s="6">
        <f t="shared" si="1"/>
        <v>40363</v>
      </c>
      <c r="E30">
        <f t="shared" si="0"/>
        <v>6</v>
      </c>
    </row>
    <row r="31" spans="1:7" x14ac:dyDescent="0.3">
      <c r="D31" s="6">
        <f t="shared" si="1"/>
        <v>39998</v>
      </c>
      <c r="E31">
        <f t="shared" si="0"/>
        <v>5</v>
      </c>
    </row>
    <row r="32" spans="1:7" x14ac:dyDescent="0.3">
      <c r="D32" s="6">
        <f t="shared" si="1"/>
        <v>39633</v>
      </c>
      <c r="E32">
        <f t="shared" si="0"/>
        <v>4</v>
      </c>
    </row>
    <row r="33" spans="4:5" x14ac:dyDescent="0.3">
      <c r="D33" s="6">
        <f t="shared" si="1"/>
        <v>39267</v>
      </c>
      <c r="E33">
        <f t="shared" si="0"/>
        <v>2</v>
      </c>
    </row>
    <row r="34" spans="4:5" x14ac:dyDescent="0.3">
      <c r="D34" s="6">
        <f t="shared" si="1"/>
        <v>38902</v>
      </c>
      <c r="E34">
        <f t="shared" si="0"/>
        <v>1</v>
      </c>
    </row>
    <row r="35" spans="4:5" x14ac:dyDescent="0.3">
      <c r="D35" s="6">
        <f t="shared" si="1"/>
        <v>38537</v>
      </c>
      <c r="E35">
        <f t="shared" si="0"/>
        <v>7</v>
      </c>
    </row>
    <row r="36" spans="4:5" x14ac:dyDescent="0.3">
      <c r="D36" s="6">
        <f t="shared" si="1"/>
        <v>38172</v>
      </c>
      <c r="E36">
        <f t="shared" si="0"/>
        <v>6</v>
      </c>
    </row>
    <row r="37" spans="4:5" x14ac:dyDescent="0.3">
      <c r="D37" s="6">
        <f t="shared" si="1"/>
        <v>37806</v>
      </c>
      <c r="E37">
        <f t="shared" si="0"/>
        <v>4</v>
      </c>
    </row>
  </sheetData>
  <autoFilter ref="A1:L19" xr:uid="{3B5F2F1E-F003-4B5D-90A6-ECFE505FF8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Ремизова</dc:creator>
  <cp:lastModifiedBy>Екатерина Ремизова</cp:lastModifiedBy>
  <dcterms:created xsi:type="dcterms:W3CDTF">2025-09-02T18:23:46Z</dcterms:created>
  <dcterms:modified xsi:type="dcterms:W3CDTF">2025-09-02T22:18:31Z</dcterms:modified>
</cp:coreProperties>
</file>