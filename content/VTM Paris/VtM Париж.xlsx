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filterPrivacy="1"/>
  <xr:revisionPtr revIDLastSave="0" documentId="13_ncr:1_{533E30EC-9A07-4F56-915A-F155D3CC4A60}" xr6:coauthVersionLast="47" xr6:coauthVersionMax="47" xr10:uidLastSave="{00000000-0000-0000-0000-000000000000}"/>
  <bookViews>
    <workbookView xWindow="-118" yWindow="-118" windowWidth="25370" windowHeight="13759" activeTab="2" xr2:uid="{00000000-000D-0000-FFFF-FFFF00000000}"/>
  </bookViews>
  <sheets>
    <sheet name="________2025" sheetId="11" r:id="rId1"/>
    <sheet name="черновик" sheetId="12" r:id="rId2"/>
    <sheet name="октябрь 2025" sheetId="1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5" i="13" l="1"/>
  <c r="G35" i="13"/>
  <c r="U34" i="13"/>
  <c r="T34" i="13"/>
  <c r="P34" i="13"/>
  <c r="L34" i="13"/>
  <c r="G34" i="13"/>
  <c r="U33" i="13"/>
  <c r="T33" i="13"/>
  <c r="P33" i="13"/>
  <c r="L33" i="13"/>
  <c r="G33" i="13"/>
  <c r="U32" i="13"/>
  <c r="T32" i="13"/>
  <c r="P32" i="13"/>
  <c r="L32" i="13"/>
  <c r="G32" i="13"/>
  <c r="U31" i="13"/>
  <c r="T31" i="13"/>
  <c r="P31" i="13"/>
  <c r="L31" i="13"/>
  <c r="G31" i="13"/>
  <c r="V30" i="13"/>
  <c r="U30" i="13"/>
  <c r="T30" i="13"/>
  <c r="P30" i="13"/>
  <c r="M30" i="13"/>
  <c r="L30" i="13"/>
  <c r="G30" i="13"/>
  <c r="U29" i="13"/>
  <c r="T29" i="13"/>
  <c r="P29" i="13"/>
  <c r="L29" i="13"/>
  <c r="L28" i="13" s="1"/>
  <c r="AA8" i="13" s="1"/>
  <c r="G29" i="13"/>
  <c r="U28" i="13"/>
  <c r="T28" i="13"/>
  <c r="P28" i="13"/>
  <c r="K28" i="13"/>
  <c r="J28" i="13"/>
  <c r="U27" i="13"/>
  <c r="T27" i="13"/>
  <c r="P27" i="13"/>
  <c r="M27" i="13"/>
  <c r="L27" i="13"/>
  <c r="G27" i="13"/>
  <c r="AA24" i="13"/>
  <c r="U26" i="13"/>
  <c r="T26" i="13"/>
  <c r="P26" i="13"/>
  <c r="M26" i="13"/>
  <c r="L26" i="13"/>
  <c r="G26" i="13"/>
  <c r="AA23" i="13"/>
  <c r="U25" i="13"/>
  <c r="U24" i="13" s="1"/>
  <c r="T25" i="13"/>
  <c r="P25" i="13"/>
  <c r="M25" i="13"/>
  <c r="L25" i="13"/>
  <c r="G25" i="13"/>
  <c r="T24" i="13"/>
  <c r="S24" i="13"/>
  <c r="M24" i="13"/>
  <c r="L24" i="13"/>
  <c r="AA11" i="13" s="1"/>
  <c r="J24" i="13"/>
  <c r="G24" i="13" s="1"/>
  <c r="AA22" i="13"/>
  <c r="U23" i="13"/>
  <c r="T23" i="13"/>
  <c r="P23" i="13"/>
  <c r="M23" i="13"/>
  <c r="L23" i="13"/>
  <c r="AA10" i="13" s="1"/>
  <c r="J23" i="13"/>
  <c r="G23" i="13" s="1"/>
  <c r="AA21" i="13"/>
  <c r="U22" i="13"/>
  <c r="T22" i="13"/>
  <c r="P22" i="13"/>
  <c r="U21" i="13"/>
  <c r="T21" i="13"/>
  <c r="P21" i="13"/>
  <c r="L21" i="13"/>
  <c r="G21" i="13"/>
  <c r="AA20" i="13"/>
  <c r="U20" i="13"/>
  <c r="T20" i="13"/>
  <c r="P20" i="13"/>
  <c r="L20" i="13"/>
  <c r="G20" i="13"/>
  <c r="AA19" i="13"/>
  <c r="U19" i="13"/>
  <c r="T19" i="13"/>
  <c r="P19" i="13"/>
  <c r="L19" i="13"/>
  <c r="G19" i="13"/>
  <c r="U18" i="13"/>
  <c r="T18" i="13"/>
  <c r="P18" i="13"/>
  <c r="L18" i="13"/>
  <c r="G18" i="13"/>
  <c r="Z17" i="13"/>
  <c r="U17" i="13"/>
  <c r="T17" i="13"/>
  <c r="P17" i="13"/>
  <c r="L17" i="13"/>
  <c r="G17" i="13"/>
  <c r="Z16" i="13"/>
  <c r="U16" i="13"/>
  <c r="T16" i="13"/>
  <c r="P16" i="13"/>
  <c r="M16" i="13"/>
  <c r="L16" i="13"/>
  <c r="G16" i="13"/>
  <c r="U15" i="13"/>
  <c r="U13" i="13" s="1"/>
  <c r="T15" i="13"/>
  <c r="P15" i="13"/>
  <c r="L15" i="13"/>
  <c r="L14" i="13" s="1"/>
  <c r="AA5" i="13" s="1"/>
  <c r="G15" i="13"/>
  <c r="U14" i="13"/>
  <c r="T14" i="13"/>
  <c r="P14" i="13"/>
  <c r="K14" i="13"/>
  <c r="J14" i="13"/>
  <c r="S13" i="13"/>
  <c r="L13" i="13"/>
  <c r="G13" i="13"/>
  <c r="U12" i="13"/>
  <c r="T12" i="13"/>
  <c r="P12" i="13"/>
  <c r="L12" i="13"/>
  <c r="G12" i="13"/>
  <c r="U11" i="13"/>
  <c r="T11" i="13"/>
  <c r="P11" i="13"/>
  <c r="L11" i="13"/>
  <c r="L10" i="13" s="1"/>
  <c r="G11" i="13"/>
  <c r="U10" i="13"/>
  <c r="T10" i="13"/>
  <c r="P10" i="13"/>
  <c r="K10" i="13"/>
  <c r="J10" i="13"/>
  <c r="AA9" i="13"/>
  <c r="U9" i="13"/>
  <c r="T9" i="13"/>
  <c r="P9" i="13"/>
  <c r="L9" i="13"/>
  <c r="G9" i="13"/>
  <c r="U8" i="13"/>
  <c r="T8" i="13"/>
  <c r="P8" i="13"/>
  <c r="L8" i="13"/>
  <c r="G8" i="13"/>
  <c r="U7" i="13"/>
  <c r="T7" i="13"/>
  <c r="P7" i="13"/>
  <c r="L7" i="13"/>
  <c r="L6" i="13" s="1"/>
  <c r="G7" i="13"/>
  <c r="U6" i="13"/>
  <c r="T6" i="13"/>
  <c r="P6" i="13"/>
  <c r="K6" i="13"/>
  <c r="J6" i="13"/>
  <c r="U5" i="13"/>
  <c r="T5" i="13"/>
  <c r="P5" i="13"/>
  <c r="L5" i="13"/>
  <c r="G5" i="13"/>
  <c r="U4" i="13"/>
  <c r="T4" i="13"/>
  <c r="P4" i="13"/>
  <c r="L4" i="13"/>
  <c r="G4" i="13"/>
  <c r="V3" i="13"/>
  <c r="U3" i="13"/>
  <c r="U2" i="13" s="1"/>
  <c r="AA3" i="13" s="1"/>
  <c r="T3" i="13"/>
  <c r="P3" i="13"/>
  <c r="M3" i="13"/>
  <c r="L3" i="13"/>
  <c r="L2" i="13" s="1"/>
  <c r="AA2" i="13" s="1"/>
  <c r="G3" i="13"/>
  <c r="S2" i="13"/>
  <c r="K2" i="13"/>
  <c r="J2" i="13"/>
  <c r="U34" i="11"/>
  <c r="U33" i="11"/>
  <c r="U32" i="11"/>
  <c r="U31" i="11"/>
  <c r="U30" i="11"/>
  <c r="U29" i="11"/>
  <c r="U28" i="11"/>
  <c r="U27" i="11"/>
  <c r="U26" i="11"/>
  <c r="U25" i="11"/>
  <c r="U23" i="11"/>
  <c r="U22" i="11"/>
  <c r="U21" i="11"/>
  <c r="U20" i="11"/>
  <c r="U19" i="11"/>
  <c r="U18" i="11"/>
  <c r="U17" i="11"/>
  <c r="U16" i="11"/>
  <c r="U15" i="11"/>
  <c r="U14" i="11"/>
  <c r="U4" i="11"/>
  <c r="U5" i="11"/>
  <c r="U6" i="11"/>
  <c r="U7" i="11"/>
  <c r="U8" i="11"/>
  <c r="U9" i="11"/>
  <c r="U10" i="11"/>
  <c r="U11" i="11"/>
  <c r="U12" i="11"/>
  <c r="T34" i="11"/>
  <c r="T33" i="11"/>
  <c r="T32" i="11"/>
  <c r="T31" i="11"/>
  <c r="T30" i="11"/>
  <c r="T29" i="11"/>
  <c r="T28" i="11"/>
  <c r="T27" i="11"/>
  <c r="T26" i="11"/>
  <c r="T25" i="11"/>
  <c r="T23" i="11"/>
  <c r="T22" i="11"/>
  <c r="T21" i="11"/>
  <c r="T20" i="11"/>
  <c r="T19" i="11"/>
  <c r="T18" i="11"/>
  <c r="T17" i="11"/>
  <c r="T16" i="11"/>
  <c r="T15" i="11"/>
  <c r="T14" i="11"/>
  <c r="U21" i="12"/>
  <c r="T21" i="12"/>
  <c r="P21" i="12"/>
  <c r="P21" i="11"/>
  <c r="L35" i="12"/>
  <c r="G35" i="12"/>
  <c r="U34" i="12"/>
  <c r="T34" i="12"/>
  <c r="P34" i="12"/>
  <c r="L34" i="12"/>
  <c r="G34" i="12"/>
  <c r="U33" i="12"/>
  <c r="T33" i="12"/>
  <c r="P33" i="12"/>
  <c r="L33" i="12"/>
  <c r="G33" i="12"/>
  <c r="U32" i="12"/>
  <c r="T32" i="12"/>
  <c r="P32" i="12"/>
  <c r="L32" i="12"/>
  <c r="G32" i="12"/>
  <c r="V31" i="12"/>
  <c r="U31" i="12"/>
  <c r="T31" i="12"/>
  <c r="P31" i="12"/>
  <c r="L31" i="12"/>
  <c r="G31" i="12"/>
  <c r="U30" i="12"/>
  <c r="T30" i="12"/>
  <c r="P30" i="12"/>
  <c r="M30" i="12"/>
  <c r="L30" i="12"/>
  <c r="G30" i="12"/>
  <c r="U29" i="12"/>
  <c r="T29" i="12"/>
  <c r="P29" i="12"/>
  <c r="L29" i="12"/>
  <c r="L28" i="12" s="1"/>
  <c r="AA8" i="12" s="1"/>
  <c r="G29" i="12"/>
  <c r="U28" i="12"/>
  <c r="T28" i="12"/>
  <c r="P28" i="12"/>
  <c r="K28" i="12"/>
  <c r="J28" i="12"/>
  <c r="U27" i="12"/>
  <c r="T27" i="12"/>
  <c r="P27" i="12"/>
  <c r="M27" i="12"/>
  <c r="L27" i="12"/>
  <c r="G27" i="12"/>
  <c r="AA26" i="12"/>
  <c r="U26" i="12"/>
  <c r="T26" i="12"/>
  <c r="P26" i="12"/>
  <c r="M26" i="12"/>
  <c r="L26" i="12"/>
  <c r="G26" i="12"/>
  <c r="AA25" i="12"/>
  <c r="U25" i="12"/>
  <c r="U24" i="12" s="1"/>
  <c r="T25" i="12"/>
  <c r="T24" i="12" s="1"/>
  <c r="P25" i="12"/>
  <c r="M25" i="12"/>
  <c r="L25" i="12"/>
  <c r="L22" i="12" s="1"/>
  <c r="G25" i="12"/>
  <c r="AA24" i="12"/>
  <c r="S24" i="12"/>
  <c r="M24" i="12"/>
  <c r="L24" i="12"/>
  <c r="AA11" i="12" s="1"/>
  <c r="J24" i="12"/>
  <c r="G24" i="12" s="1"/>
  <c r="AA23" i="12"/>
  <c r="U23" i="12"/>
  <c r="T23" i="12"/>
  <c r="P23" i="12"/>
  <c r="M23" i="12"/>
  <c r="L23" i="12"/>
  <c r="J23" i="12"/>
  <c r="J22" i="12" s="1"/>
  <c r="AA22" i="12"/>
  <c r="U22" i="12"/>
  <c r="T22" i="12"/>
  <c r="P22" i="12"/>
  <c r="AA21" i="12"/>
  <c r="U20" i="12"/>
  <c r="T20" i="12"/>
  <c r="P20" i="12"/>
  <c r="L21" i="12"/>
  <c r="G21" i="12"/>
  <c r="AA20" i="12"/>
  <c r="U19" i="12"/>
  <c r="T19" i="12"/>
  <c r="P19" i="12"/>
  <c r="L20" i="12"/>
  <c r="G20" i="12"/>
  <c r="AA19" i="12"/>
  <c r="L19" i="12"/>
  <c r="G19" i="12"/>
  <c r="U18" i="12"/>
  <c r="U13" i="12" s="1"/>
  <c r="T18" i="12"/>
  <c r="P18" i="12"/>
  <c r="L18" i="12"/>
  <c r="G18" i="12"/>
  <c r="Z17" i="12"/>
  <c r="Z13" i="12" s="1"/>
  <c r="U17" i="12"/>
  <c r="T17" i="12"/>
  <c r="P17" i="12"/>
  <c r="L17" i="12"/>
  <c r="G17" i="12"/>
  <c r="Z16" i="12"/>
  <c r="U16" i="12"/>
  <c r="T16" i="12"/>
  <c r="P16" i="12"/>
  <c r="M16" i="12"/>
  <c r="L16" i="12"/>
  <c r="G16" i="12"/>
  <c r="U15" i="12"/>
  <c r="T15" i="12"/>
  <c r="P15" i="12"/>
  <c r="L15" i="12"/>
  <c r="L14" i="12" s="1"/>
  <c r="AA5" i="12" s="1"/>
  <c r="G15" i="12"/>
  <c r="U14" i="12"/>
  <c r="T14" i="12"/>
  <c r="P14" i="12"/>
  <c r="K14" i="12"/>
  <c r="J14" i="12"/>
  <c r="S13" i="12"/>
  <c r="L13" i="12"/>
  <c r="G13" i="12"/>
  <c r="U12" i="12"/>
  <c r="T12" i="12"/>
  <c r="P12" i="12"/>
  <c r="L12" i="12"/>
  <c r="G12" i="12"/>
  <c r="U11" i="12"/>
  <c r="T11" i="12"/>
  <c r="P11" i="12"/>
  <c r="L11" i="12"/>
  <c r="L10" i="12" s="1"/>
  <c r="G11" i="12"/>
  <c r="AA10" i="12"/>
  <c r="U10" i="12"/>
  <c r="T10" i="12"/>
  <c r="P10" i="12"/>
  <c r="K10" i="12"/>
  <c r="J10" i="12"/>
  <c r="U9" i="12"/>
  <c r="T9" i="12"/>
  <c r="P9" i="12"/>
  <c r="L9" i="12"/>
  <c r="G9" i="12"/>
  <c r="U8" i="12"/>
  <c r="T8" i="12"/>
  <c r="P8" i="12"/>
  <c r="L8" i="12"/>
  <c r="G8" i="12"/>
  <c r="U7" i="12"/>
  <c r="T7" i="12"/>
  <c r="P7" i="12"/>
  <c r="L7" i="12"/>
  <c r="L6" i="12" s="1"/>
  <c r="G7" i="12"/>
  <c r="U6" i="12"/>
  <c r="T6" i="12"/>
  <c r="P6" i="12"/>
  <c r="K6" i="12"/>
  <c r="J6" i="12"/>
  <c r="U5" i="12"/>
  <c r="T5" i="12"/>
  <c r="T2" i="12" s="1"/>
  <c r="P5" i="12"/>
  <c r="L5" i="12"/>
  <c r="G5" i="12"/>
  <c r="U4" i="12"/>
  <c r="T4" i="12"/>
  <c r="P4" i="12"/>
  <c r="L4" i="12"/>
  <c r="G4" i="12"/>
  <c r="V3" i="12"/>
  <c r="U3" i="12"/>
  <c r="U2" i="12" s="1"/>
  <c r="T3" i="12"/>
  <c r="P3" i="12"/>
  <c r="M3" i="12"/>
  <c r="L3" i="12"/>
  <c r="G3" i="12"/>
  <c r="S2" i="12"/>
  <c r="L2" i="12"/>
  <c r="K2" i="12"/>
  <c r="J2" i="12"/>
  <c r="AA20" i="11"/>
  <c r="AA21" i="11"/>
  <c r="AA22" i="11"/>
  <c r="AA23" i="11"/>
  <c r="AA24" i="11"/>
  <c r="AA25" i="11"/>
  <c r="AA26" i="11"/>
  <c r="AA19" i="11"/>
  <c r="Z17" i="11"/>
  <c r="Z13" i="11" s="1"/>
  <c r="Z16" i="11"/>
  <c r="L35" i="11"/>
  <c r="G35" i="11"/>
  <c r="P34" i="11"/>
  <c r="L34" i="11"/>
  <c r="G34" i="11"/>
  <c r="P33" i="11"/>
  <c r="L33" i="11"/>
  <c r="G33" i="11"/>
  <c r="P32" i="11"/>
  <c r="L32" i="11"/>
  <c r="G32" i="11"/>
  <c r="V30" i="11"/>
  <c r="P31" i="11"/>
  <c r="L31" i="11"/>
  <c r="G31" i="11"/>
  <c r="P30" i="11"/>
  <c r="M30" i="11"/>
  <c r="L30" i="11"/>
  <c r="G30" i="11"/>
  <c r="P29" i="11"/>
  <c r="L29" i="11"/>
  <c r="L28" i="11" s="1"/>
  <c r="AA8" i="11" s="1"/>
  <c r="G29" i="11"/>
  <c r="P28" i="11"/>
  <c r="K28" i="11"/>
  <c r="J28" i="11"/>
  <c r="P27" i="11"/>
  <c r="M27" i="11"/>
  <c r="L27" i="11"/>
  <c r="G27" i="11"/>
  <c r="P26" i="11"/>
  <c r="M26" i="11"/>
  <c r="L26" i="11"/>
  <c r="G26" i="11"/>
  <c r="P25" i="11"/>
  <c r="M25" i="11"/>
  <c r="L25" i="11"/>
  <c r="G25" i="11"/>
  <c r="S24" i="11"/>
  <c r="M24" i="11"/>
  <c r="L24" i="11"/>
  <c r="L22" i="11" s="1"/>
  <c r="J24" i="11"/>
  <c r="G24" i="11" s="1"/>
  <c r="P23" i="11"/>
  <c r="M23" i="11"/>
  <c r="L23" i="11"/>
  <c r="J23" i="11"/>
  <c r="J22" i="11" s="1"/>
  <c r="G23" i="11"/>
  <c r="P22" i="11"/>
  <c r="P20" i="11"/>
  <c r="L21" i="11"/>
  <c r="G21" i="11"/>
  <c r="P19" i="11"/>
  <c r="L20" i="11"/>
  <c r="G20" i="11"/>
  <c r="L19" i="11"/>
  <c r="G19" i="11"/>
  <c r="P18" i="11"/>
  <c r="L18" i="11"/>
  <c r="G18" i="11"/>
  <c r="P17" i="11"/>
  <c r="L17" i="11"/>
  <c r="G17" i="11"/>
  <c r="P16" i="11"/>
  <c r="M16" i="11"/>
  <c r="L16" i="11"/>
  <c r="L14" i="11" s="1"/>
  <c r="AA5" i="11" s="1"/>
  <c r="G16" i="11"/>
  <c r="P15" i="11"/>
  <c r="L15" i="11"/>
  <c r="G15" i="11"/>
  <c r="P14" i="11"/>
  <c r="K14" i="11"/>
  <c r="J14" i="11"/>
  <c r="S13" i="11"/>
  <c r="L13" i="11"/>
  <c r="G13" i="11"/>
  <c r="T12" i="11"/>
  <c r="P12" i="11"/>
  <c r="L12" i="11"/>
  <c r="G12" i="11"/>
  <c r="T11" i="11"/>
  <c r="P11" i="11"/>
  <c r="L11" i="11"/>
  <c r="G11" i="11"/>
  <c r="AA10" i="11"/>
  <c r="T10" i="11"/>
  <c r="P10" i="11"/>
  <c r="L10" i="11"/>
  <c r="K10" i="11"/>
  <c r="J10" i="11"/>
  <c r="AA9" i="11"/>
  <c r="T9" i="11"/>
  <c r="P9" i="11"/>
  <c r="L9" i="11"/>
  <c r="G9" i="11"/>
  <c r="T8" i="11"/>
  <c r="P8" i="11"/>
  <c r="L8" i="11"/>
  <c r="L6" i="11" s="1"/>
  <c r="G8" i="11"/>
  <c r="T7" i="11"/>
  <c r="P7" i="11"/>
  <c r="L7" i="11"/>
  <c r="G7" i="11"/>
  <c r="T6" i="11"/>
  <c r="P6" i="11"/>
  <c r="K6" i="11"/>
  <c r="J6" i="11"/>
  <c r="T5" i="11"/>
  <c r="P5" i="11"/>
  <c r="L5" i="11"/>
  <c r="G5" i="11"/>
  <c r="T4" i="11"/>
  <c r="P4" i="11"/>
  <c r="L4" i="11"/>
  <c r="G4" i="11"/>
  <c r="V3" i="11"/>
  <c r="U3" i="11"/>
  <c r="T3" i="11"/>
  <c r="P3" i="11"/>
  <c r="M3" i="11"/>
  <c r="L3" i="11"/>
  <c r="L2" i="11" s="1"/>
  <c r="G3" i="11"/>
  <c r="S2" i="11"/>
  <c r="K2" i="11"/>
  <c r="J2" i="11"/>
  <c r="T2" i="13" l="1"/>
  <c r="T13" i="13"/>
  <c r="Z13" i="13"/>
  <c r="AA13" i="13"/>
  <c r="J22" i="13"/>
  <c r="L22" i="13"/>
  <c r="AB15" i="13"/>
  <c r="U13" i="11"/>
  <c r="U24" i="11"/>
  <c r="T24" i="11"/>
  <c r="AA3" i="12"/>
  <c r="T13" i="11"/>
  <c r="T13" i="12"/>
  <c r="T2" i="11"/>
  <c r="U2" i="11"/>
  <c r="AA2" i="12"/>
  <c r="AA9" i="12"/>
  <c r="G23" i="12"/>
  <c r="AA2" i="11"/>
  <c r="AA11" i="11"/>
  <c r="AA13" i="12" l="1"/>
  <c r="AA3" i="11"/>
  <c r="AA13" i="11" s="1"/>
  <c r="AB15" i="12"/>
  <c r="AB15" i="11" l="1"/>
</calcChain>
</file>

<file path=xl/sharedStrings.xml><?xml version="1.0" encoding="utf-8"?>
<sst xmlns="http://schemas.openxmlformats.org/spreadsheetml/2006/main" count="473" uniqueCount="116">
  <si>
    <t>STR</t>
  </si>
  <si>
    <t>DEX</t>
  </si>
  <si>
    <t>STA</t>
  </si>
  <si>
    <t>Социал</t>
  </si>
  <si>
    <t>Физика</t>
  </si>
  <si>
    <t>Ментал</t>
  </si>
  <si>
    <t>CHA</t>
  </si>
  <si>
    <t>MAN</t>
  </si>
  <si>
    <t>APP</t>
  </si>
  <si>
    <t>PER</t>
  </si>
  <si>
    <t>INT</t>
  </si>
  <si>
    <t>WIT</t>
  </si>
  <si>
    <t>атрибуты</t>
  </si>
  <si>
    <t>знания</t>
  </si>
  <si>
    <t>таланты</t>
  </si>
  <si>
    <t>Alertness</t>
  </si>
  <si>
    <t>Academics</t>
  </si>
  <si>
    <t>Athletics</t>
  </si>
  <si>
    <t>Computer</t>
  </si>
  <si>
    <t>Brawl</t>
  </si>
  <si>
    <t>Dodge</t>
  </si>
  <si>
    <t>Investigation</t>
  </si>
  <si>
    <t>Expression</t>
  </si>
  <si>
    <t>Law</t>
  </si>
  <si>
    <t>Intimidation</t>
  </si>
  <si>
    <t>Linguistics</t>
  </si>
  <si>
    <t>Leadership</t>
  </si>
  <si>
    <t>Medicine</t>
  </si>
  <si>
    <t>Streetwise</t>
  </si>
  <si>
    <t>Occult</t>
  </si>
  <si>
    <t>Subterfuge</t>
  </si>
  <si>
    <t>Science</t>
  </si>
  <si>
    <t>Crafts</t>
  </si>
  <si>
    <t>Drive</t>
  </si>
  <si>
    <t>Etiquette</t>
  </si>
  <si>
    <t>Firearms</t>
  </si>
  <si>
    <t>Melee</t>
  </si>
  <si>
    <t>Performance</t>
  </si>
  <si>
    <t>Stealth</t>
  </si>
  <si>
    <t>Survival</t>
  </si>
  <si>
    <t>навыки</t>
  </si>
  <si>
    <t>способности</t>
  </si>
  <si>
    <t>Атрибут</t>
  </si>
  <si>
    <t>Способность</t>
  </si>
  <si>
    <t>Дополнение</t>
  </si>
  <si>
    <t>Сила Воли</t>
  </si>
  <si>
    <t>Предыстории</t>
  </si>
  <si>
    <t>Ментор</t>
  </si>
  <si>
    <t>Ресурсы</t>
  </si>
  <si>
    <t>7-5-3 .</t>
  </si>
  <si>
    <t>13-9-5-..</t>
  </si>
  <si>
    <t>Прочее</t>
  </si>
  <si>
    <t>flaws</t>
  </si>
  <si>
    <t>merits</t>
  </si>
  <si>
    <t>потратила</t>
  </si>
  <si>
    <t>по базе фриби</t>
  </si>
  <si>
    <t>Контакты</t>
  </si>
  <si>
    <t xml:space="preserve"> **Черта** </t>
  </si>
  <si>
    <t>Точки</t>
  </si>
  <si>
    <t>Опыт</t>
  </si>
  <si>
    <t>Св.очки</t>
  </si>
  <si>
    <t>База</t>
  </si>
  <si>
    <t>Трата XP</t>
  </si>
  <si>
    <t>Трата FB</t>
  </si>
  <si>
    <t>баланс</t>
  </si>
  <si>
    <t>Цена в опыте</t>
  </si>
  <si>
    <t>Цена в св.очках</t>
  </si>
  <si>
    <t>5FB за точку</t>
  </si>
  <si>
    <t>2FB за точку</t>
  </si>
  <si>
    <t>7FB за точку</t>
  </si>
  <si>
    <t>1FB за точку</t>
  </si>
  <si>
    <t>френц</t>
  </si>
  <si>
    <t>латынь</t>
  </si>
  <si>
    <t>Дисциплины</t>
  </si>
  <si>
    <t>c</t>
  </si>
  <si>
    <t>g</t>
  </si>
  <si>
    <t>necro (sepulcrum)</t>
  </si>
  <si>
    <t>potence</t>
  </si>
  <si>
    <t>auspex</t>
  </si>
  <si>
    <t>поколение 9</t>
  </si>
  <si>
    <t>статус</t>
  </si>
  <si>
    <t>призраки рабы</t>
  </si>
  <si>
    <t>стадо</t>
  </si>
  <si>
    <t>Empathy</t>
  </si>
  <si>
    <t>Animal Ken</t>
  </si>
  <si>
    <t>Finance</t>
  </si>
  <si>
    <t>Politics</t>
  </si>
  <si>
    <t>италик</t>
  </si>
  <si>
    <t>Новая Способность</t>
  </si>
  <si>
    <t>Дисциплина</t>
  </si>
  <si>
    <t>Добродетель</t>
  </si>
  <si>
    <t>Человечность</t>
  </si>
  <si>
    <t>Кл. Дисциплина</t>
  </si>
  <si>
    <t>Пр. Дисциплина</t>
  </si>
  <si>
    <t>ТР*4</t>
  </si>
  <si>
    <t>ТР*2</t>
  </si>
  <si>
    <t>ТР*5</t>
  </si>
  <si>
    <t>ТР*7</t>
  </si>
  <si>
    <t>Путь в дисциплине</t>
  </si>
  <si>
    <t>Текущий Рейтинг</t>
  </si>
  <si>
    <t>Сознательность</t>
  </si>
  <si>
    <t>Самоконтроль</t>
  </si>
  <si>
    <t>Храбрость</t>
  </si>
  <si>
    <t>7 добр, Ч=Со+Са, Вол=Хр</t>
  </si>
  <si>
    <t>medium</t>
  </si>
  <si>
    <t>common</t>
  </si>
  <si>
    <t>early riser</t>
  </si>
  <si>
    <t>eat food</t>
  </si>
  <si>
    <t>loly</t>
  </si>
  <si>
    <t>spirit chase</t>
  </si>
  <si>
    <t>short</t>
  </si>
  <si>
    <t>Bond</t>
  </si>
  <si>
    <t>Security</t>
  </si>
  <si>
    <t>dominance</t>
  </si>
  <si>
    <t>Союзники</t>
  </si>
  <si>
    <t>7 добр, Ч=Созн+Самоконт, Вол=Храбрость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</si>
</sst>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i/>
      <sz val="12"/>
      <color rgb="FF7030A0"/>
      <name val="Calibri"/>
      <family val="2"/>
      <charset val="204"/>
      <scheme val="minor"/>
    </font>
    <font>
      <b/>
      <sz val="12"/>
      <color theme="6" tint="-0.249977111117893"/>
      <name val="Calibri"/>
      <family val="2"/>
      <charset val="204"/>
      <scheme val="minor"/>
    </font>
    <font>
      <sz val="12"/>
      <color theme="6" tint="-0.249977111117893"/>
      <name val="Calibri"/>
      <family val="2"/>
      <charset val="204"/>
      <scheme val="minor"/>
    </font>
    <font>
      <i/>
      <sz val="12"/>
      <color theme="6" tint="-0.249977111117893"/>
      <name val="Calibri"/>
      <family val="2"/>
      <charset val="204"/>
      <scheme val="minor"/>
    </font>
    <font>
      <b/>
      <i/>
      <sz val="12"/>
      <color theme="6" tint="-0.249977111117893"/>
      <name val="Calibri"/>
      <family val="2"/>
      <charset val="204"/>
      <scheme val="minor"/>
    </font>
    <font>
      <sz val="12"/>
      <color rgb="FF7030A0"/>
      <name val="Calibri"/>
      <family val="2"/>
      <charset val="204"/>
      <scheme val="minor"/>
    </font>
    <font>
      <i/>
      <sz val="12"/>
      <color rgb="FFA20000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2" fillId="3" borderId="0" xfId="0" applyFont="1" applyFill="1"/>
    <xf numFmtId="0" fontId="2" fillId="0" borderId="0" xfId="0" applyFont="1"/>
    <xf numFmtId="14" fontId="2" fillId="0" borderId="0" xfId="0" applyNumberFormat="1" applyFont="1"/>
    <xf numFmtId="0" fontId="3" fillId="2" borderId="0" xfId="0" applyFont="1" applyFill="1"/>
    <xf numFmtId="0" fontId="3" fillId="0" borderId="0" xfId="0" applyFont="1"/>
    <xf numFmtId="0" fontId="3" fillId="3" borderId="0" xfId="0" applyFont="1" applyFill="1"/>
    <xf numFmtId="0" fontId="3" fillId="4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8" fillId="3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9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3" fillId="5" borderId="0" xfId="0" applyFont="1" applyFill="1"/>
    <xf numFmtId="14" fontId="3" fillId="0" borderId="0" xfId="0" applyNumberFormat="1" applyFont="1"/>
    <xf numFmtId="0" fontId="3" fillId="6" borderId="0" xfId="0" applyFont="1" applyFill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1" xfId="0" applyFont="1" applyFill="1" applyBorder="1"/>
    <xf numFmtId="0" fontId="3" fillId="2" borderId="4" xfId="0" applyFont="1" applyFill="1" applyBorder="1"/>
    <xf numFmtId="0" fontId="3" fillId="2" borderId="6" xfId="0" applyFont="1" applyFill="1" applyBorder="1"/>
    <xf numFmtId="0" fontId="3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0" fillId="0" borderId="0" xfId="0" applyFont="1"/>
    <xf numFmtId="0" fontId="3" fillId="7" borderId="0" xfId="0" applyFont="1" applyFill="1" applyAlignment="1">
      <alignment horizontal="center"/>
    </xf>
    <xf numFmtId="0" fontId="3" fillId="0" borderId="0" xfId="1" applyFont="1" applyAlignment="1">
      <alignment horizontal="left"/>
    </xf>
    <xf numFmtId="0" fontId="0" fillId="8" borderId="0" xfId="0" applyFill="1"/>
    <xf numFmtId="0" fontId="3" fillId="8" borderId="0" xfId="0" applyFont="1" applyFill="1"/>
    <xf numFmtId="0" fontId="3" fillId="9" borderId="0" xfId="0" applyFont="1" applyFill="1"/>
  </cellXfs>
  <cellStyles count="2">
    <cellStyle name="Обычный" xfId="0" builtinId="0"/>
    <cellStyle name="Обычный 2" xfId="1" xr:uid="{445E07D5-E06B-4EC2-8A71-367ABD14ECCB}"/>
  </cellStyles>
  <dxfs count="25">
    <dxf>
      <fill>
        <patternFill>
          <bgColor theme="9" tint="0.59996337778862885"/>
        </patternFill>
      </fill>
    </dxf>
    <dxf>
      <font>
        <b/>
        <i/>
        <color rgb="FFC00000"/>
      </font>
    </dxf>
    <dxf>
      <font>
        <b/>
        <i/>
        <color rgb="FFC00000"/>
      </font>
    </dxf>
    <dxf>
      <font>
        <b/>
        <i/>
        <color rgb="FFC00000"/>
      </font>
    </dxf>
    <dxf>
      <font>
        <b/>
        <i/>
        <color rgb="FFC00000"/>
      </font>
    </dxf>
    <dxf>
      <font>
        <color auto="1"/>
      </font>
      <fill>
        <patternFill>
          <bgColor rgb="FFFFC7CE"/>
        </patternFill>
      </fill>
    </dxf>
    <dxf>
      <font>
        <color theme="9" tint="0.59996337778862885"/>
      </font>
      <fill>
        <patternFill>
          <bgColor rgb="FFC6EFCE"/>
        </patternFill>
      </fill>
    </dxf>
    <dxf>
      <font>
        <color rgb="FFFFEB92"/>
      </font>
      <fill>
        <patternFill>
          <bgColor rgb="FFFFEB9C"/>
        </patternFill>
      </fill>
    </dxf>
    <dxf>
      <fill>
        <patternFill>
          <bgColor theme="9" tint="0.59996337778862885"/>
        </patternFill>
      </fill>
    </dxf>
    <dxf>
      <font>
        <b/>
        <i/>
        <color rgb="FFC00000"/>
      </font>
    </dxf>
    <dxf>
      <font>
        <b/>
        <i/>
        <color rgb="FFC00000"/>
      </font>
    </dxf>
    <dxf>
      <font>
        <b/>
        <i/>
        <color rgb="FFC00000"/>
      </font>
    </dxf>
    <dxf>
      <font>
        <b/>
        <i/>
        <color rgb="FFC00000"/>
      </font>
    </dxf>
    <dxf>
      <font>
        <b/>
        <i/>
        <color rgb="FFC00000"/>
      </font>
    </dxf>
    <dxf>
      <font>
        <color auto="1"/>
      </font>
      <fill>
        <patternFill>
          <bgColor rgb="FFFFC7CE"/>
        </patternFill>
      </fill>
    </dxf>
    <dxf>
      <font>
        <color theme="9" tint="0.59996337778862885"/>
      </font>
      <fill>
        <patternFill>
          <bgColor rgb="FFC6EFCE"/>
        </patternFill>
      </fill>
    </dxf>
    <dxf>
      <font>
        <color rgb="FFFFEB92"/>
      </font>
      <fill>
        <patternFill>
          <bgColor rgb="FFFFEB9C"/>
        </patternFill>
      </fill>
    </dxf>
    <dxf>
      <fill>
        <patternFill>
          <bgColor theme="9" tint="0.59996337778862885"/>
        </patternFill>
      </fill>
    </dxf>
    <dxf>
      <font>
        <b/>
        <i/>
        <color rgb="FFC00000"/>
      </font>
    </dxf>
    <dxf>
      <font>
        <b/>
        <i/>
        <color rgb="FFC00000"/>
      </font>
    </dxf>
    <dxf>
      <font>
        <b/>
        <i/>
        <color rgb="FFC00000"/>
      </font>
    </dxf>
    <dxf>
      <font>
        <b/>
        <i/>
        <color rgb="FFC00000"/>
      </font>
    </dxf>
    <dxf>
      <font>
        <color auto="1"/>
      </font>
      <fill>
        <patternFill>
          <bgColor rgb="FFFFC7CE"/>
        </patternFill>
      </fill>
    </dxf>
    <dxf>
      <font>
        <color theme="9" tint="0.59996337778862885"/>
      </font>
      <fill>
        <patternFill>
          <bgColor rgb="FFC6EFCE"/>
        </patternFill>
      </fill>
    </dxf>
    <dxf>
      <font>
        <color rgb="FFFFEB92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FEB92"/>
      <color rgb="FFCCCCFF"/>
      <color rgb="FFFFD9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B3E2B-4906-4FF0-A44B-B2EA123B6B2B}">
  <sheetPr>
    <tabColor theme="5" tint="0.39997558519241921"/>
  </sheetPr>
  <dimension ref="A1:AF37"/>
  <sheetViews>
    <sheetView zoomScale="60" zoomScaleNormal="60" workbookViewId="0">
      <selection activeCell="V10" sqref="V10"/>
    </sheetView>
  </sheetViews>
  <sheetFormatPr defaultRowHeight="15.75" outlineLevelCol="1" x14ac:dyDescent="0.3"/>
  <cols>
    <col min="1" max="1" width="3.109375" style="5" customWidth="1"/>
    <col min="2" max="5" width="3.109375" style="5" customWidth="1" outlineLevel="1"/>
    <col min="6" max="6" width="16.109375" style="5" bestFit="1" customWidth="1"/>
    <col min="7" max="7" width="7.77734375" style="5" bestFit="1" customWidth="1"/>
    <col min="8" max="8" width="6.21875" style="16" bestFit="1" customWidth="1"/>
    <col min="9" max="9" width="8.5546875" style="16" bestFit="1" customWidth="1"/>
    <col min="10" max="10" width="5.44140625" style="16" bestFit="1" customWidth="1"/>
    <col min="11" max="11" width="9.44140625" style="11" customWidth="1" outlineLevel="1"/>
    <col min="12" max="12" width="9.21875" style="11" bestFit="1" customWidth="1"/>
    <col min="13" max="13" width="23.44140625" style="5" bestFit="1" customWidth="1"/>
    <col min="14" max="14" width="8.88671875" style="5"/>
    <col min="15" max="15" width="13.5546875" style="5" bestFit="1" customWidth="1"/>
    <col min="16" max="16" width="6.77734375" style="5" bestFit="1" customWidth="1"/>
    <col min="17" max="17" width="6.21875" style="16" bestFit="1" customWidth="1"/>
    <col min="18" max="18" width="8.5546875" style="16" bestFit="1" customWidth="1"/>
    <col min="19" max="19" width="5.44140625" style="16" bestFit="1" customWidth="1"/>
    <col min="20" max="20" width="10.21875" style="11" customWidth="1" outlineLevel="1"/>
    <col min="21" max="21" width="9.21875" style="11" bestFit="1" customWidth="1"/>
    <col min="22" max="22" width="13.21875" style="5" bestFit="1" customWidth="1"/>
    <col min="23" max="23" width="12.21875" style="5" bestFit="1" customWidth="1"/>
    <col min="24" max="24" width="8.88671875" style="5"/>
    <col min="25" max="25" width="15.21875" style="5" bestFit="1" customWidth="1"/>
    <col min="26" max="26" width="11.6640625" style="5" bestFit="1" customWidth="1"/>
    <col min="27" max="27" width="12.88671875" style="5" bestFit="1" customWidth="1"/>
    <col min="28" max="28" width="10.88671875" style="5" customWidth="1"/>
    <col min="29" max="29" width="8.88671875" style="5"/>
    <col min="30" max="30" width="18.21875" style="5" bestFit="1" customWidth="1"/>
    <col min="31" max="31" width="17.77734375" style="5" bestFit="1" customWidth="1"/>
    <col min="32" max="32" width="16.33203125" style="16" bestFit="1" customWidth="1"/>
    <col min="33" max="33" width="18.6640625" style="5" bestFit="1" customWidth="1"/>
    <col min="34" max="34" width="12" style="5" bestFit="1" customWidth="1"/>
    <col min="35" max="35" width="9.6640625" style="5" customWidth="1"/>
    <col min="36" max="16384" width="8.88671875" style="5"/>
  </cols>
  <sheetData>
    <row r="1" spans="1:32" s="2" customFormat="1" x14ac:dyDescent="0.3">
      <c r="F1" s="1" t="s">
        <v>12</v>
      </c>
      <c r="G1" s="1" t="s">
        <v>58</v>
      </c>
      <c r="H1" s="17" t="s">
        <v>59</v>
      </c>
      <c r="I1" s="17" t="s">
        <v>60</v>
      </c>
      <c r="J1" s="17" t="s">
        <v>61</v>
      </c>
      <c r="K1" s="8" t="s">
        <v>62</v>
      </c>
      <c r="L1" s="8" t="s">
        <v>63</v>
      </c>
      <c r="M1" s="2" t="s">
        <v>49</v>
      </c>
      <c r="O1" s="1" t="s">
        <v>41</v>
      </c>
      <c r="P1" s="1" t="s">
        <v>58</v>
      </c>
      <c r="Q1" s="17" t="s">
        <v>59</v>
      </c>
      <c r="R1" s="17" t="s">
        <v>60</v>
      </c>
      <c r="S1" s="17" t="s">
        <v>61</v>
      </c>
      <c r="T1" s="8" t="s">
        <v>62</v>
      </c>
      <c r="U1" s="8" t="s">
        <v>63</v>
      </c>
      <c r="V1" s="3" t="s">
        <v>50</v>
      </c>
      <c r="AA1" s="2" t="s">
        <v>54</v>
      </c>
      <c r="AD1" s="5" t="s">
        <v>57</v>
      </c>
      <c r="AE1" s="5" t="s">
        <v>65</v>
      </c>
      <c r="AF1" s="16" t="s">
        <v>66</v>
      </c>
    </row>
    <row r="2" spans="1:32" ht="16.399999999999999" thickBot="1" x14ac:dyDescent="0.35">
      <c r="F2" s="4" t="s">
        <v>4</v>
      </c>
      <c r="G2" s="4"/>
      <c r="H2" s="18"/>
      <c r="I2" s="13"/>
      <c r="J2" s="18">
        <f>SUM(J3:J5)-3</f>
        <v>3</v>
      </c>
      <c r="K2" s="9">
        <f>SUM(K3:K5)</f>
        <v>0</v>
      </c>
      <c r="L2" s="9">
        <f>SUM(L3:L5)</f>
        <v>0</v>
      </c>
      <c r="M2" s="5" t="s">
        <v>42</v>
      </c>
      <c r="O2" s="4" t="s">
        <v>14</v>
      </c>
      <c r="P2" s="4"/>
      <c r="Q2" s="18"/>
      <c r="R2" s="19"/>
      <c r="S2" s="18">
        <f>SUM(S3:S12)</f>
        <v>13</v>
      </c>
      <c r="T2" s="9">
        <f>SUM(T3:T12)</f>
        <v>0</v>
      </c>
      <c r="U2" s="9">
        <f>SUM(U3:U12)</f>
        <v>2</v>
      </c>
      <c r="V2" s="5" t="s">
        <v>43</v>
      </c>
      <c r="Y2" s="5" t="s">
        <v>42</v>
      </c>
      <c r="Z2" s="5" t="s">
        <v>67</v>
      </c>
      <c r="AA2" s="5">
        <f>SUM(L2,L6,L10)</f>
        <v>0</v>
      </c>
      <c r="AD2" s="5" t="s">
        <v>42</v>
      </c>
      <c r="AE2" s="5" t="s">
        <v>67</v>
      </c>
      <c r="AF2" s="16" t="s">
        <v>94</v>
      </c>
    </row>
    <row r="3" spans="1:32" x14ac:dyDescent="0.3">
      <c r="A3" s="32" t="s">
        <v>74</v>
      </c>
      <c r="B3" s="25"/>
      <c r="C3" s="25"/>
      <c r="D3" s="25"/>
      <c r="E3" s="26"/>
      <c r="F3" s="5" t="s">
        <v>0</v>
      </c>
      <c r="G3" s="5" t="str">
        <f>REPT("•",SUM(H3:J3))</f>
        <v>••</v>
      </c>
      <c r="I3" s="14"/>
      <c r="J3" s="16">
        <v>2</v>
      </c>
      <c r="K3" s="10"/>
      <c r="L3" s="11">
        <f>5*I3</f>
        <v>0</v>
      </c>
      <c r="M3" s="5" t="str">
        <f>VLOOKUP(M2,$AD:$AF,2,0)</f>
        <v>5FB за точку</v>
      </c>
      <c r="O3" s="5" t="s">
        <v>15</v>
      </c>
      <c r="P3" s="5" t="str">
        <f>REPT("•",SUM(Q3:S3))</f>
        <v>•••</v>
      </c>
      <c r="R3" s="20"/>
      <c r="S3" s="16">
        <v>3</v>
      </c>
      <c r="T3" s="11">
        <f>IF(Q3&lt;&gt;1,0,IF(R3+S3=0,3,2*(R3+S3)))</f>
        <v>0</v>
      </c>
      <c r="U3" s="11">
        <f>2*R3</f>
        <v>0</v>
      </c>
      <c r="V3" s="5" t="str">
        <f>VLOOKUP(V2,$AD:$AF,2,0)</f>
        <v>2FB за точку</v>
      </c>
      <c r="Y3" s="5" t="s">
        <v>43</v>
      </c>
      <c r="Z3" s="5" t="s">
        <v>68</v>
      </c>
      <c r="AA3" s="5">
        <f>SUM(U2,U13,U24)</f>
        <v>10</v>
      </c>
      <c r="AD3" s="5" t="s">
        <v>43</v>
      </c>
      <c r="AE3" s="4" t="s">
        <v>68</v>
      </c>
      <c r="AF3" s="16" t="s">
        <v>95</v>
      </c>
    </row>
    <row r="4" spans="1:32" x14ac:dyDescent="0.3">
      <c r="A4" s="33" t="s">
        <v>74</v>
      </c>
      <c r="B4" s="5" t="s">
        <v>75</v>
      </c>
      <c r="E4" s="28"/>
      <c r="F4" s="5" t="s">
        <v>1</v>
      </c>
      <c r="G4" s="5" t="str">
        <f t="shared" ref="G4:G5" si="0">REPT("•",SUM(H4:J4))</f>
        <v>•••</v>
      </c>
      <c r="I4" s="14"/>
      <c r="J4" s="16">
        <v>3</v>
      </c>
      <c r="K4" s="10"/>
      <c r="L4" s="11">
        <f t="shared" ref="L4:L5" si="1">5*I4</f>
        <v>0</v>
      </c>
      <c r="O4" s="5" t="s">
        <v>17</v>
      </c>
      <c r="P4" s="5" t="str">
        <f t="shared" ref="P4:P12" si="2">REPT("•",SUM(Q4:S4))</f>
        <v>••</v>
      </c>
      <c r="R4" s="20"/>
      <c r="S4" s="16">
        <v>2</v>
      </c>
      <c r="T4" s="11">
        <f t="shared" ref="T4:T12" si="3">IF(Q4&lt;&gt;1,0,IF(R4+S4=0,3,2*(R4+S4)))</f>
        <v>0</v>
      </c>
      <c r="U4" s="11">
        <f t="shared" ref="U4:U12" si="4">2*R4</f>
        <v>0</v>
      </c>
      <c r="AD4" s="5" t="s">
        <v>88</v>
      </c>
      <c r="AE4" s="4" t="s">
        <v>68</v>
      </c>
      <c r="AF4" s="16">
        <v>3</v>
      </c>
    </row>
    <row r="5" spans="1:32" ht="16.399999999999999" thickBot="1" x14ac:dyDescent="0.35">
      <c r="A5" s="34" t="s">
        <v>74</v>
      </c>
      <c r="B5" s="30"/>
      <c r="C5" s="30"/>
      <c r="D5" s="30"/>
      <c r="E5" s="31"/>
      <c r="F5" s="5" t="s">
        <v>2</v>
      </c>
      <c r="G5" s="5" t="str">
        <f t="shared" si="0"/>
        <v>•</v>
      </c>
      <c r="I5" s="14"/>
      <c r="J5" s="16">
        <v>1</v>
      </c>
      <c r="K5" s="10"/>
      <c r="L5" s="11">
        <f t="shared" si="1"/>
        <v>0</v>
      </c>
      <c r="M5" s="22"/>
      <c r="O5" s="5" t="s">
        <v>19</v>
      </c>
      <c r="P5" s="5" t="str">
        <f t="shared" si="2"/>
        <v/>
      </c>
      <c r="R5" s="20"/>
      <c r="T5" s="11">
        <f t="shared" si="3"/>
        <v>0</v>
      </c>
      <c r="U5" s="11">
        <f t="shared" si="4"/>
        <v>0</v>
      </c>
      <c r="Y5" s="5" t="s">
        <v>92</v>
      </c>
      <c r="Z5" s="5" t="s">
        <v>69</v>
      </c>
      <c r="AA5" s="5">
        <f>L14</f>
        <v>7</v>
      </c>
      <c r="AD5" s="5" t="s">
        <v>92</v>
      </c>
      <c r="AE5" s="21" t="s">
        <v>69</v>
      </c>
      <c r="AF5" s="16" t="s">
        <v>96</v>
      </c>
    </row>
    <row r="6" spans="1:32" ht="16.399999999999999" thickBot="1" x14ac:dyDescent="0.35">
      <c r="F6" s="4" t="s">
        <v>3</v>
      </c>
      <c r="G6" s="4"/>
      <c r="H6" s="18"/>
      <c r="I6" s="13"/>
      <c r="J6" s="18">
        <f>SUM(J7:J9)-3</f>
        <v>5</v>
      </c>
      <c r="K6" s="9">
        <f>SUM(K7:K9)</f>
        <v>0</v>
      </c>
      <c r="L6" s="9">
        <f>SUM(L7:L9)</f>
        <v>0</v>
      </c>
      <c r="O6" s="5" t="s">
        <v>20</v>
      </c>
      <c r="P6" s="5" t="str">
        <f t="shared" si="2"/>
        <v>•••</v>
      </c>
      <c r="R6" s="20"/>
      <c r="S6" s="16">
        <v>3</v>
      </c>
      <c r="T6" s="11">
        <f t="shared" si="3"/>
        <v>0</v>
      </c>
      <c r="U6" s="11">
        <f t="shared" si="4"/>
        <v>0</v>
      </c>
      <c r="AD6" s="5" t="s">
        <v>93</v>
      </c>
      <c r="AE6" s="21" t="s">
        <v>69</v>
      </c>
      <c r="AF6" s="16" t="s">
        <v>97</v>
      </c>
    </row>
    <row r="7" spans="1:32" x14ac:dyDescent="0.3">
      <c r="A7" s="32" t="s">
        <v>74</v>
      </c>
      <c r="B7" s="25"/>
      <c r="C7" s="25"/>
      <c r="D7" s="25"/>
      <c r="E7" s="26"/>
      <c r="F7" s="5" t="s">
        <v>6</v>
      </c>
      <c r="G7" s="5" t="str">
        <f>REPT("•",SUM(H7:J7))</f>
        <v>••</v>
      </c>
      <c r="I7" s="14"/>
      <c r="J7" s="16">
        <v>2</v>
      </c>
      <c r="K7" s="10"/>
      <c r="L7" s="11">
        <f>5*I7</f>
        <v>0</v>
      </c>
      <c r="O7" s="5" t="s">
        <v>83</v>
      </c>
      <c r="P7" s="5" t="str">
        <f t="shared" si="2"/>
        <v>••</v>
      </c>
      <c r="R7" s="20"/>
      <c r="S7" s="16">
        <v>2</v>
      </c>
      <c r="T7" s="11">
        <f t="shared" si="3"/>
        <v>0</v>
      </c>
      <c r="U7" s="11">
        <f t="shared" si="4"/>
        <v>0</v>
      </c>
      <c r="AD7" s="5" t="s">
        <v>98</v>
      </c>
      <c r="AF7" s="16" t="s">
        <v>94</v>
      </c>
    </row>
    <row r="8" spans="1:32" x14ac:dyDescent="0.3">
      <c r="A8" s="33" t="s">
        <v>74</v>
      </c>
      <c r="B8" s="5" t="s">
        <v>75</v>
      </c>
      <c r="E8" s="28"/>
      <c r="F8" s="5" t="s">
        <v>7</v>
      </c>
      <c r="G8" s="5" t="str">
        <f t="shared" ref="G8:G9" si="5">REPT("•",SUM(H8:J8))</f>
        <v>•••</v>
      </c>
      <c r="I8" s="14"/>
      <c r="J8" s="16">
        <v>3</v>
      </c>
      <c r="K8" s="10"/>
      <c r="L8" s="11">
        <f t="shared" ref="L8:L9" si="6">5*I8</f>
        <v>0</v>
      </c>
      <c r="O8" s="5" t="s">
        <v>22</v>
      </c>
      <c r="P8" s="5" t="str">
        <f t="shared" si="2"/>
        <v>•</v>
      </c>
      <c r="R8" s="20">
        <v>1</v>
      </c>
      <c r="T8" s="11">
        <f t="shared" si="3"/>
        <v>0</v>
      </c>
      <c r="U8" s="11">
        <f t="shared" si="4"/>
        <v>2</v>
      </c>
      <c r="Y8" s="5" t="s">
        <v>44</v>
      </c>
      <c r="Z8" s="5" t="s">
        <v>70</v>
      </c>
      <c r="AA8" s="5">
        <f>L28</f>
        <v>6</v>
      </c>
      <c r="AD8" s="5" t="s">
        <v>44</v>
      </c>
      <c r="AE8" s="5" t="s">
        <v>70</v>
      </c>
    </row>
    <row r="9" spans="1:32" ht="16.399999999999999" thickBot="1" x14ac:dyDescent="0.35">
      <c r="A9" s="34" t="s">
        <v>74</v>
      </c>
      <c r="B9" s="30"/>
      <c r="C9" s="30"/>
      <c r="D9" s="30"/>
      <c r="E9" s="31"/>
      <c r="F9" s="5" t="s">
        <v>8</v>
      </c>
      <c r="G9" s="5" t="str">
        <f t="shared" si="5"/>
        <v>•••</v>
      </c>
      <c r="I9" s="14"/>
      <c r="J9" s="16">
        <v>3</v>
      </c>
      <c r="K9" s="10"/>
      <c r="L9" s="11">
        <f t="shared" si="6"/>
        <v>0</v>
      </c>
      <c r="O9" s="5" t="s">
        <v>24</v>
      </c>
      <c r="P9" s="5" t="str">
        <f t="shared" si="2"/>
        <v>•</v>
      </c>
      <c r="R9" s="20"/>
      <c r="S9" s="16">
        <v>1</v>
      </c>
      <c r="T9" s="11">
        <f t="shared" si="3"/>
        <v>0</v>
      </c>
      <c r="U9" s="11">
        <f t="shared" si="4"/>
        <v>0</v>
      </c>
      <c r="Y9" s="5" t="s">
        <v>90</v>
      </c>
      <c r="Z9" s="5" t="s">
        <v>68</v>
      </c>
      <c r="AA9" s="5">
        <f>SUM(L25:L27)</f>
        <v>0</v>
      </c>
      <c r="AD9" s="5" t="s">
        <v>90</v>
      </c>
      <c r="AE9" s="5" t="s">
        <v>68</v>
      </c>
      <c r="AF9" s="16" t="s">
        <v>95</v>
      </c>
    </row>
    <row r="10" spans="1:32" ht="16.399999999999999" thickBot="1" x14ac:dyDescent="0.35">
      <c r="F10" s="4" t="s">
        <v>5</v>
      </c>
      <c r="G10" s="4"/>
      <c r="H10" s="18"/>
      <c r="I10" s="13"/>
      <c r="J10" s="18">
        <f>SUM(J11:J13)-3</f>
        <v>7</v>
      </c>
      <c r="K10" s="9">
        <f>SUM(K11:K13)</f>
        <v>0</v>
      </c>
      <c r="L10" s="9">
        <f>SUM(L11:L13)</f>
        <v>0</v>
      </c>
      <c r="O10" s="5" t="s">
        <v>26</v>
      </c>
      <c r="P10" s="5" t="str">
        <f t="shared" si="2"/>
        <v/>
      </c>
      <c r="R10" s="20"/>
      <c r="T10" s="11">
        <f t="shared" si="3"/>
        <v>0</v>
      </c>
      <c r="U10" s="11">
        <f t="shared" si="4"/>
        <v>0</v>
      </c>
      <c r="Y10" s="5" t="s">
        <v>91</v>
      </c>
      <c r="Z10" s="5" t="s">
        <v>70</v>
      </c>
      <c r="AA10" s="5">
        <f>L23</f>
        <v>0</v>
      </c>
      <c r="AD10" s="5" t="s">
        <v>91</v>
      </c>
      <c r="AE10" s="5" t="s">
        <v>70</v>
      </c>
      <c r="AF10" s="16" t="s">
        <v>95</v>
      </c>
    </row>
    <row r="11" spans="1:32" x14ac:dyDescent="0.3">
      <c r="A11" s="32" t="s">
        <v>74</v>
      </c>
      <c r="B11" s="25" t="s">
        <v>75</v>
      </c>
      <c r="C11" s="25" t="s">
        <v>75</v>
      </c>
      <c r="D11" s="25"/>
      <c r="E11" s="26"/>
      <c r="F11" s="5" t="s">
        <v>9</v>
      </c>
      <c r="G11" s="5" t="str">
        <f>REPT("•",SUM(H11:J11))</f>
        <v>••••</v>
      </c>
      <c r="I11" s="14"/>
      <c r="J11" s="16">
        <v>4</v>
      </c>
      <c r="K11" s="10"/>
      <c r="L11" s="11">
        <f>5*I11</f>
        <v>0</v>
      </c>
      <c r="O11" s="5" t="s">
        <v>28</v>
      </c>
      <c r="P11" s="5" t="str">
        <f t="shared" si="2"/>
        <v/>
      </c>
      <c r="R11" s="20"/>
      <c r="T11" s="11">
        <f t="shared" si="3"/>
        <v>0</v>
      </c>
      <c r="U11" s="11">
        <f t="shared" si="4"/>
        <v>0</v>
      </c>
      <c r="Y11" s="5" t="s">
        <v>45</v>
      </c>
      <c r="Z11" s="5" t="s">
        <v>70</v>
      </c>
      <c r="AA11" s="5">
        <f>L24</f>
        <v>3</v>
      </c>
      <c r="AD11" s="5" t="s">
        <v>45</v>
      </c>
      <c r="AE11" s="5" t="s">
        <v>70</v>
      </c>
      <c r="AF11" s="16" t="s">
        <v>99</v>
      </c>
    </row>
    <row r="12" spans="1:32" x14ac:dyDescent="0.3">
      <c r="A12" s="33" t="s">
        <v>74</v>
      </c>
      <c r="E12" s="28"/>
      <c r="F12" s="5" t="s">
        <v>10</v>
      </c>
      <c r="G12" s="5" t="str">
        <f t="shared" ref="G12:G13" si="7">REPT("•",SUM(H12:J12))</f>
        <v>•••</v>
      </c>
      <c r="I12" s="14"/>
      <c r="J12" s="16">
        <v>3</v>
      </c>
      <c r="K12" s="10"/>
      <c r="L12" s="11">
        <f t="shared" ref="L12:L13" si="8">5*I12</f>
        <v>0</v>
      </c>
      <c r="O12" s="5" t="s">
        <v>30</v>
      </c>
      <c r="P12" s="5" t="str">
        <f t="shared" si="2"/>
        <v>••</v>
      </c>
      <c r="R12" s="20"/>
      <c r="S12" s="16">
        <v>2</v>
      </c>
      <c r="T12" s="11">
        <f t="shared" si="3"/>
        <v>0</v>
      </c>
      <c r="U12" s="11">
        <f t="shared" si="4"/>
        <v>0</v>
      </c>
    </row>
    <row r="13" spans="1:32" ht="16.399999999999999" thickBot="1" x14ac:dyDescent="0.35">
      <c r="A13" s="34" t="s">
        <v>74</v>
      </c>
      <c r="B13" s="30"/>
      <c r="C13" s="30"/>
      <c r="D13" s="30"/>
      <c r="E13" s="31"/>
      <c r="F13" s="5" t="s">
        <v>11</v>
      </c>
      <c r="G13" s="5" t="str">
        <f t="shared" si="7"/>
        <v>•••</v>
      </c>
      <c r="I13" s="14"/>
      <c r="J13" s="16">
        <v>3</v>
      </c>
      <c r="K13" s="10"/>
      <c r="L13" s="11">
        <f t="shared" si="8"/>
        <v>0</v>
      </c>
      <c r="O13" s="4" t="s">
        <v>40</v>
      </c>
      <c r="P13" s="4"/>
      <c r="Q13" s="18"/>
      <c r="R13" s="19"/>
      <c r="S13" s="18">
        <f>SUM(S14:S23)</f>
        <v>5</v>
      </c>
      <c r="T13" s="9">
        <f>SUM(T14:T23)</f>
        <v>0</v>
      </c>
      <c r="U13" s="9">
        <f>SUM(U14:U23)</f>
        <v>6</v>
      </c>
      <c r="Z13" s="6" t="str">
        <f>(Z15+Z17-Z16)&amp;" fr-b всего"</f>
        <v>26 fr-b всего</v>
      </c>
      <c r="AA13" s="6" t="str">
        <f>SUM(AA2:AA11)&amp;" потрачено"</f>
        <v>26 потрачено</v>
      </c>
    </row>
    <row r="14" spans="1:32" ht="16.399999999999999" thickBot="1" x14ac:dyDescent="0.35">
      <c r="F14" s="1" t="s">
        <v>73</v>
      </c>
      <c r="G14" s="1"/>
      <c r="H14" s="17"/>
      <c r="I14" s="15"/>
      <c r="J14" s="17">
        <f>SUM(J15:J21)</f>
        <v>3</v>
      </c>
      <c r="K14" s="12">
        <f>SUM(K15:K22)</f>
        <v>0</v>
      </c>
      <c r="L14" s="8">
        <f>SUM(L15:L21)</f>
        <v>7</v>
      </c>
      <c r="M14" s="35">
        <v>3</v>
      </c>
      <c r="O14" s="5" t="s">
        <v>84</v>
      </c>
      <c r="P14" s="5" t="str">
        <f>REPT("•",SUM(Q14:S14))</f>
        <v>•</v>
      </c>
      <c r="R14" s="20"/>
      <c r="S14" s="16">
        <v>1</v>
      </c>
      <c r="T14" s="11">
        <f>IF(Q14&lt;&gt;1,0,IF(R14+S14=0,3,2*(R14+S14)))</f>
        <v>0</v>
      </c>
      <c r="U14" s="11">
        <f>2*R14</f>
        <v>0</v>
      </c>
      <c r="AB14" s="5" t="s">
        <v>64</v>
      </c>
    </row>
    <row r="15" spans="1:32" x14ac:dyDescent="0.3">
      <c r="A15" s="24" t="s">
        <v>75</v>
      </c>
      <c r="B15" s="25" t="s">
        <v>75</v>
      </c>
      <c r="C15" s="25"/>
      <c r="D15" s="25"/>
      <c r="E15" s="26"/>
      <c r="F15" s="5" t="s">
        <v>76</v>
      </c>
      <c r="G15" s="5" t="str">
        <f t="shared" ref="G15:G21" si="9">REPT("•",SUM(H15:J15))</f>
        <v>••</v>
      </c>
      <c r="I15" s="14">
        <v>1</v>
      </c>
      <c r="J15" s="16">
        <v>1</v>
      </c>
      <c r="K15" s="10"/>
      <c r="L15" s="11">
        <f>7*I15</f>
        <v>7</v>
      </c>
      <c r="M15" s="5" t="s">
        <v>89</v>
      </c>
      <c r="O15" s="5" t="s">
        <v>32</v>
      </c>
      <c r="P15" s="5" t="str">
        <f t="shared" ref="P15:P23" si="10">REPT("•",SUM(Q15:S15))</f>
        <v/>
      </c>
      <c r="R15" s="20"/>
      <c r="T15" s="11">
        <f t="shared" ref="T15:T23" si="11">IF(Q15&lt;&gt;1,0,IF(R15+S15=0,3,2*(R15+S15)))</f>
        <v>0</v>
      </c>
      <c r="U15" s="11">
        <f t="shared" ref="U15:U23" si="12">2*R15</f>
        <v>0</v>
      </c>
      <c r="Y15" s="5" t="s">
        <v>55</v>
      </c>
      <c r="Z15" s="6">
        <v>25</v>
      </c>
      <c r="AB15" s="7">
        <f>(Z15+Z17-Z16)-SUM(AA2:AA11)</f>
        <v>0</v>
      </c>
    </row>
    <row r="16" spans="1:32" x14ac:dyDescent="0.3">
      <c r="A16" s="27"/>
      <c r="E16" s="28"/>
      <c r="F16" s="5" t="s">
        <v>77</v>
      </c>
      <c r="G16" s="5" t="str">
        <f t="shared" si="9"/>
        <v>•</v>
      </c>
      <c r="I16" s="14"/>
      <c r="J16" s="16">
        <v>1</v>
      </c>
      <c r="K16" s="10"/>
      <c r="L16" s="11">
        <f t="shared" ref="L16:L21" si="13">7*I16</f>
        <v>0</v>
      </c>
      <c r="M16" s="5" t="str">
        <f>VLOOKUP("*"&amp;M15,$AD:$AF,2,0)</f>
        <v>7FB за точку</v>
      </c>
      <c r="O16" s="5" t="s">
        <v>33</v>
      </c>
      <c r="P16" s="5" t="str">
        <f t="shared" si="10"/>
        <v/>
      </c>
      <c r="R16" s="20"/>
      <c r="T16" s="11">
        <f t="shared" si="11"/>
        <v>0</v>
      </c>
      <c r="U16" s="11">
        <f t="shared" si="12"/>
        <v>0</v>
      </c>
      <c r="Y16" s="5" t="s">
        <v>53</v>
      </c>
      <c r="Z16" s="5">
        <f>-SUMIF($Z$19:$Z$32,"&lt;0")</f>
        <v>4</v>
      </c>
    </row>
    <row r="17" spans="1:29" x14ac:dyDescent="0.3">
      <c r="A17" s="27"/>
      <c r="E17" s="28"/>
      <c r="F17" s="5" t="s">
        <v>113</v>
      </c>
      <c r="G17" s="5" t="str">
        <f t="shared" si="9"/>
        <v>•</v>
      </c>
      <c r="I17" s="14"/>
      <c r="J17" s="16">
        <v>1</v>
      </c>
      <c r="K17" s="10"/>
      <c r="L17" s="11">
        <f t="shared" si="13"/>
        <v>0</v>
      </c>
      <c r="O17" s="5" t="s">
        <v>34</v>
      </c>
      <c r="P17" s="5" t="str">
        <f t="shared" si="10"/>
        <v>••</v>
      </c>
      <c r="R17" s="20"/>
      <c r="S17" s="16">
        <v>2</v>
      </c>
      <c r="T17" s="11">
        <f t="shared" si="11"/>
        <v>0</v>
      </c>
      <c r="U17" s="11">
        <f t="shared" si="12"/>
        <v>0</v>
      </c>
      <c r="X17"/>
      <c r="Y17" s="5" t="s">
        <v>52</v>
      </c>
      <c r="Z17" s="5">
        <f>SUMIF($Z$19:$Z$32,"&gt;0")</f>
        <v>5</v>
      </c>
      <c r="AC17"/>
    </row>
    <row r="18" spans="1:29" ht="16.399999999999999" thickBot="1" x14ac:dyDescent="0.35">
      <c r="A18" s="29"/>
      <c r="B18" s="30"/>
      <c r="C18" s="30"/>
      <c r="D18" s="30"/>
      <c r="E18" s="31"/>
      <c r="G18" s="5" t="str">
        <f t="shared" si="9"/>
        <v/>
      </c>
      <c r="I18" s="14"/>
      <c r="K18" s="10"/>
      <c r="L18" s="11">
        <f t="shared" si="13"/>
        <v>0</v>
      </c>
      <c r="O18" s="5" t="s">
        <v>35</v>
      </c>
      <c r="P18" s="5" t="str">
        <f t="shared" si="10"/>
        <v/>
      </c>
      <c r="R18" s="20"/>
      <c r="T18" s="11">
        <f t="shared" si="11"/>
        <v>0</v>
      </c>
      <c r="U18" s="11">
        <f t="shared" si="12"/>
        <v>0</v>
      </c>
      <c r="X18"/>
      <c r="Y18"/>
      <c r="Z18"/>
      <c r="AA18"/>
      <c r="AB18"/>
      <c r="AC18"/>
    </row>
    <row r="19" spans="1:29" x14ac:dyDescent="0.3">
      <c r="G19" s="5" t="str">
        <f t="shared" si="9"/>
        <v/>
      </c>
      <c r="I19" s="14"/>
      <c r="K19" s="10"/>
      <c r="L19" s="11">
        <f t="shared" si="13"/>
        <v>0</v>
      </c>
      <c r="O19" s="5" t="s">
        <v>36</v>
      </c>
      <c r="P19" s="5" t="str">
        <f>REPT("•",SUM(Q19:S19))</f>
        <v>•</v>
      </c>
      <c r="R19" s="20">
        <v>1</v>
      </c>
      <c r="T19" s="11">
        <f t="shared" si="11"/>
        <v>0</v>
      </c>
      <c r="U19" s="11">
        <f t="shared" si="12"/>
        <v>2</v>
      </c>
      <c r="X19"/>
      <c r="Y19" s="40" t="s">
        <v>104</v>
      </c>
      <c r="Z19" s="40">
        <v>-2</v>
      </c>
      <c r="AA19" s="40" t="str">
        <f>IF(Z19&lt;0,"merit","flaw")</f>
        <v>merit</v>
      </c>
      <c r="AB19"/>
      <c r="AC19"/>
    </row>
    <row r="20" spans="1:29" x14ac:dyDescent="0.3">
      <c r="G20" s="5" t="str">
        <f t="shared" si="9"/>
        <v/>
      </c>
      <c r="I20" s="14"/>
      <c r="K20" s="10"/>
      <c r="L20" s="11">
        <f t="shared" si="13"/>
        <v>0</v>
      </c>
      <c r="O20" s="5" t="s">
        <v>37</v>
      </c>
      <c r="P20" s="5" t="str">
        <f>REPT("•",SUM(Q20:S20))</f>
        <v/>
      </c>
      <c r="R20" s="20"/>
      <c r="T20" s="11">
        <f t="shared" si="11"/>
        <v>0</v>
      </c>
      <c r="U20" s="11">
        <f t="shared" si="12"/>
        <v>0</v>
      </c>
      <c r="X20"/>
      <c r="Y20" s="41" t="s">
        <v>105</v>
      </c>
      <c r="Z20" s="40">
        <v>-1</v>
      </c>
      <c r="AA20" s="40" t="str">
        <f t="shared" ref="AA20:AA26" si="14">IF(Z20&lt;0,"merit","flaw")</f>
        <v>merit</v>
      </c>
      <c r="AB20"/>
      <c r="AC20"/>
    </row>
    <row r="21" spans="1:29" x14ac:dyDescent="0.3">
      <c r="G21" s="5" t="str">
        <f t="shared" si="9"/>
        <v/>
      </c>
      <c r="I21" s="14"/>
      <c r="K21" s="10"/>
      <c r="L21" s="11">
        <f t="shared" si="13"/>
        <v>0</v>
      </c>
      <c r="O21" s="5" t="s">
        <v>112</v>
      </c>
      <c r="P21" s="5" t="str">
        <f t="shared" ref="P21" si="15">REPT("•",SUM(Q21:S21))</f>
        <v>•</v>
      </c>
      <c r="R21" s="20">
        <v>1</v>
      </c>
      <c r="T21" s="11">
        <f t="shared" si="11"/>
        <v>0</v>
      </c>
      <c r="U21" s="11">
        <f t="shared" si="12"/>
        <v>2</v>
      </c>
      <c r="X21"/>
      <c r="Y21" s="41"/>
      <c r="Z21" s="40"/>
      <c r="AA21" s="40" t="str">
        <f t="shared" si="14"/>
        <v>flaw</v>
      </c>
      <c r="AB21"/>
      <c r="AC21"/>
    </row>
    <row r="22" spans="1:29" x14ac:dyDescent="0.3">
      <c r="F22" s="1" t="s">
        <v>51</v>
      </c>
      <c r="G22" s="1"/>
      <c r="H22" s="17"/>
      <c r="I22" s="15"/>
      <c r="J22" s="17">
        <f>SUM(J23:J25)</f>
        <v>12</v>
      </c>
      <c r="K22" s="12"/>
      <c r="L22" s="8">
        <f>SUM(L23:L25)</f>
        <v>3</v>
      </c>
      <c r="M22" s="5" t="s">
        <v>103</v>
      </c>
      <c r="O22" s="5" t="s">
        <v>38</v>
      </c>
      <c r="P22" s="5" t="str">
        <f t="shared" si="10"/>
        <v>•••</v>
      </c>
      <c r="R22" s="20">
        <v>1</v>
      </c>
      <c r="S22" s="16">
        <v>2</v>
      </c>
      <c r="T22" s="11">
        <f t="shared" si="11"/>
        <v>0</v>
      </c>
      <c r="U22" s="11">
        <f t="shared" si="12"/>
        <v>2</v>
      </c>
      <c r="X22"/>
      <c r="Y22" s="41" t="s">
        <v>107</v>
      </c>
      <c r="Z22" s="40">
        <v>-1</v>
      </c>
      <c r="AA22" s="40" t="str">
        <f t="shared" si="14"/>
        <v>merit</v>
      </c>
      <c r="AB22"/>
      <c r="AC22"/>
    </row>
    <row r="23" spans="1:29" x14ac:dyDescent="0.3">
      <c r="F23" s="5" t="s">
        <v>91</v>
      </c>
      <c r="G23" s="39" t="str">
        <f>IF(SUM(H23:K23)&gt;=5,"⑤ "&amp;REPT("•",SUM(H23:K23)-5),REPT("•",SUM(H23:K23)))</f>
        <v>⑤ •</v>
      </c>
      <c r="I23" s="14"/>
      <c r="J23" s="38">
        <f>J25+J26</f>
        <v>6</v>
      </c>
      <c r="K23" s="10"/>
      <c r="L23" s="11">
        <f>1*I23</f>
        <v>0</v>
      </c>
      <c r="M23" s="5" t="str">
        <f>VLOOKUP(F23,$AD:$AF,2,0)</f>
        <v>1FB за точку</v>
      </c>
      <c r="O23" s="5" t="s">
        <v>39</v>
      </c>
      <c r="P23" s="5" t="str">
        <f t="shared" si="10"/>
        <v/>
      </c>
      <c r="R23" s="20"/>
      <c r="T23" s="11">
        <f t="shared" si="11"/>
        <v>0</v>
      </c>
      <c r="U23" s="11">
        <f t="shared" si="12"/>
        <v>0</v>
      </c>
      <c r="X23"/>
      <c r="Y23" s="41" t="s">
        <v>108</v>
      </c>
      <c r="Z23" s="40">
        <v>2</v>
      </c>
      <c r="AA23" s="40" t="str">
        <f t="shared" si="14"/>
        <v>flaw</v>
      </c>
      <c r="AB23"/>
      <c r="AC23"/>
    </row>
    <row r="24" spans="1:29" x14ac:dyDescent="0.3">
      <c r="F24" s="5" t="s">
        <v>45</v>
      </c>
      <c r="G24" s="39" t="str">
        <f>IF(SUM(H24:K24)&gt;=5,"⑤ "&amp;REPT("•",SUM(H24:K24)-5),REPT("•",SUM(H24:K24)))</f>
        <v>⑤ •</v>
      </c>
      <c r="I24" s="14">
        <v>3</v>
      </c>
      <c r="J24" s="38">
        <f>J27</f>
        <v>3</v>
      </c>
      <c r="L24" s="11">
        <f>1*I24</f>
        <v>3</v>
      </c>
      <c r="M24" s="5" t="str">
        <f>VLOOKUP(F24,$AD:$AF,2,0)</f>
        <v>1FB за точку</v>
      </c>
      <c r="O24" s="4" t="s">
        <v>13</v>
      </c>
      <c r="P24" s="4"/>
      <c r="Q24" s="18"/>
      <c r="R24" s="19"/>
      <c r="S24" s="18">
        <f>SUM(S25:S34)</f>
        <v>9</v>
      </c>
      <c r="T24" s="9">
        <f>SUM(T25:T34)</f>
        <v>0</v>
      </c>
      <c r="U24" s="9">
        <f>SUM(U25:U34)</f>
        <v>2</v>
      </c>
      <c r="X24"/>
      <c r="Y24" s="41"/>
      <c r="Z24" s="40"/>
      <c r="AA24" s="40" t="str">
        <f t="shared" si="14"/>
        <v>flaw</v>
      </c>
      <c r="AB24"/>
      <c r="AC24"/>
    </row>
    <row r="25" spans="1:29" x14ac:dyDescent="0.3">
      <c r="F25" s="37" t="s">
        <v>100</v>
      </c>
      <c r="G25" s="5" t="str">
        <f t="shared" ref="G25:G27" si="16">REPT("•",SUM(H25:J25))</f>
        <v>•••</v>
      </c>
      <c r="H25" s="36"/>
      <c r="I25" s="14"/>
      <c r="J25" s="36">
        <v>3</v>
      </c>
      <c r="K25" s="36"/>
      <c r="L25" s="11">
        <f>2*I25</f>
        <v>0</v>
      </c>
      <c r="M25" s="37" t="str">
        <f>VLOOKUP("Добродетель",$AD:$AF,2,0)</f>
        <v>2FB за точку</v>
      </c>
      <c r="O25" s="5" t="s">
        <v>16</v>
      </c>
      <c r="P25" s="5" t="str">
        <f>REPT("•",SUM(Q25:S25))</f>
        <v/>
      </c>
      <c r="R25" s="20"/>
      <c r="T25" s="11">
        <f>IF(Q25&lt;&gt;1,0,IF(R25+S25=0,3,2*(R25+S25)))</f>
        <v>0</v>
      </c>
      <c r="U25" s="11">
        <f>2*R25</f>
        <v>0</v>
      </c>
      <c r="X25"/>
      <c r="Y25" s="41" t="s">
        <v>110</v>
      </c>
      <c r="Z25" s="40">
        <v>1</v>
      </c>
      <c r="AA25" s="40" t="str">
        <f t="shared" si="14"/>
        <v>flaw</v>
      </c>
      <c r="AB25"/>
      <c r="AC25"/>
    </row>
    <row r="26" spans="1:29" x14ac:dyDescent="0.3">
      <c r="F26" s="37" t="s">
        <v>101</v>
      </c>
      <c r="G26" s="5" t="str">
        <f t="shared" si="16"/>
        <v>•••</v>
      </c>
      <c r="H26" s="36"/>
      <c r="I26" s="14"/>
      <c r="J26" s="36">
        <v>3</v>
      </c>
      <c r="K26" s="36"/>
      <c r="L26" s="11">
        <f t="shared" ref="L26:L27" si="17">2*I26</f>
        <v>0</v>
      </c>
      <c r="M26" s="37" t="str">
        <f t="shared" ref="M26:M27" si="18">VLOOKUP("Добродетель",$AD:$AF,2,0)</f>
        <v>2FB за точку</v>
      </c>
      <c r="O26" s="5" t="s">
        <v>18</v>
      </c>
      <c r="P26" s="5" t="str">
        <f t="shared" ref="P26:P34" si="19">REPT("•",SUM(Q26:S26))</f>
        <v>•</v>
      </c>
      <c r="R26" s="20"/>
      <c r="S26" s="16">
        <v>1</v>
      </c>
      <c r="T26" s="11">
        <f t="shared" ref="T26:T34" si="20">IF(Q26&lt;&gt;1,0,IF(R26+S26=0,3,2*(R26+S26)))</f>
        <v>0</v>
      </c>
      <c r="U26" s="11">
        <f t="shared" ref="U26:U34" si="21">2*R26</f>
        <v>0</v>
      </c>
      <c r="X26"/>
      <c r="Y26" s="41" t="s">
        <v>111</v>
      </c>
      <c r="Z26" s="40">
        <v>2</v>
      </c>
      <c r="AA26" s="40" t="str">
        <f t="shared" si="14"/>
        <v>flaw</v>
      </c>
      <c r="AB26"/>
      <c r="AC26"/>
    </row>
    <row r="27" spans="1:29" x14ac:dyDescent="0.3">
      <c r="F27" s="37" t="s">
        <v>102</v>
      </c>
      <c r="G27" s="5" t="str">
        <f t="shared" si="16"/>
        <v>•••</v>
      </c>
      <c r="H27" s="36"/>
      <c r="I27" s="14"/>
      <c r="J27" s="36">
        <v>3</v>
      </c>
      <c r="K27" s="36"/>
      <c r="L27" s="11">
        <f t="shared" si="17"/>
        <v>0</v>
      </c>
      <c r="M27" s="37" t="str">
        <f t="shared" si="18"/>
        <v>2FB за точку</v>
      </c>
      <c r="O27" s="5" t="s">
        <v>85</v>
      </c>
      <c r="P27" s="5" t="str">
        <f t="shared" si="19"/>
        <v/>
      </c>
      <c r="R27" s="20"/>
      <c r="T27" s="11">
        <f t="shared" si="20"/>
        <v>0</v>
      </c>
      <c r="U27" s="11">
        <f t="shared" si="21"/>
        <v>0</v>
      </c>
      <c r="X27"/>
      <c r="Y27"/>
      <c r="Z27"/>
      <c r="AA27"/>
      <c r="AB27"/>
      <c r="AC27"/>
    </row>
    <row r="28" spans="1:29" x14ac:dyDescent="0.3">
      <c r="F28" s="1" t="s">
        <v>46</v>
      </c>
      <c r="G28" s="1"/>
      <c r="H28" s="17"/>
      <c r="I28" s="15"/>
      <c r="J28" s="17">
        <f>SUM(J29:J37)</f>
        <v>5</v>
      </c>
      <c r="K28" s="8">
        <f>SUM(K29:K37)</f>
        <v>0</v>
      </c>
      <c r="L28" s="8">
        <f>SUM(L29:L37)</f>
        <v>6</v>
      </c>
      <c r="M28" s="5">
        <v>5</v>
      </c>
      <c r="O28" s="5" t="s">
        <v>21</v>
      </c>
      <c r="P28" s="5" t="str">
        <f t="shared" si="19"/>
        <v>•</v>
      </c>
      <c r="R28" s="20"/>
      <c r="S28" s="16">
        <v>1</v>
      </c>
      <c r="T28" s="11">
        <f t="shared" si="20"/>
        <v>0</v>
      </c>
      <c r="U28" s="11">
        <f t="shared" si="21"/>
        <v>0</v>
      </c>
      <c r="X28"/>
      <c r="Y28"/>
      <c r="Z28"/>
      <c r="AA28"/>
      <c r="AB28"/>
      <c r="AC28"/>
    </row>
    <row r="29" spans="1:29" x14ac:dyDescent="0.3">
      <c r="F29" s="5" t="s">
        <v>79</v>
      </c>
      <c r="G29" s="5" t="str">
        <f>REPT("•",SUM(H29:J29))</f>
        <v>••••</v>
      </c>
      <c r="I29" s="14"/>
      <c r="J29" s="16">
        <v>4</v>
      </c>
      <c r="K29" s="10"/>
      <c r="L29" s="11">
        <f>I29</f>
        <v>0</v>
      </c>
      <c r="M29" s="5" t="s">
        <v>44</v>
      </c>
      <c r="O29" s="5" t="s">
        <v>23</v>
      </c>
      <c r="P29" s="5" t="str">
        <f t="shared" si="19"/>
        <v/>
      </c>
      <c r="R29" s="20"/>
      <c r="T29" s="11">
        <f t="shared" si="20"/>
        <v>0</v>
      </c>
      <c r="U29" s="11">
        <f t="shared" si="21"/>
        <v>0</v>
      </c>
      <c r="W29" s="23" t="s">
        <v>71</v>
      </c>
      <c r="X29"/>
      <c r="Y29"/>
      <c r="Z29"/>
      <c r="AA29"/>
      <c r="AB29"/>
      <c r="AC29"/>
    </row>
    <row r="30" spans="1:29" x14ac:dyDescent="0.3">
      <c r="F30" s="5" t="s">
        <v>80</v>
      </c>
      <c r="G30" s="5" t="str">
        <f>REPT("•",SUM(H30:J30))</f>
        <v>•</v>
      </c>
      <c r="I30" s="14"/>
      <c r="J30" s="16">
        <v>1</v>
      </c>
      <c r="K30" s="10"/>
      <c r="L30" s="11">
        <f>I30</f>
        <v>0</v>
      </c>
      <c r="M30" s="5" t="str">
        <f>VLOOKUP(M29,$AD:$AF,2,0)</f>
        <v>1FB за точку</v>
      </c>
      <c r="O30" s="5" t="s">
        <v>25</v>
      </c>
      <c r="P30" s="5" t="str">
        <f t="shared" si="19"/>
        <v>••</v>
      </c>
      <c r="R30" s="20"/>
      <c r="S30" s="16">
        <v>2</v>
      </c>
      <c r="T30" s="11">
        <f t="shared" si="20"/>
        <v>0</v>
      </c>
      <c r="U30" s="11">
        <f t="shared" si="21"/>
        <v>0</v>
      </c>
      <c r="V30" s="5">
        <f>POWER(2,SUM(Q30:S30,-1))</f>
        <v>2</v>
      </c>
      <c r="W30" s="5" t="s">
        <v>87</v>
      </c>
      <c r="X30"/>
      <c r="Y30"/>
      <c r="Z30"/>
      <c r="AA30"/>
      <c r="AB30"/>
      <c r="AC30"/>
    </row>
    <row r="31" spans="1:29" x14ac:dyDescent="0.3">
      <c r="F31" s="5" t="s">
        <v>47</v>
      </c>
      <c r="G31" s="5" t="str">
        <f>REPT("•",SUM(H31:J31))</f>
        <v>•</v>
      </c>
      <c r="I31" s="14">
        <v>1</v>
      </c>
      <c r="K31" s="10"/>
      <c r="L31" s="11">
        <f>I31</f>
        <v>1</v>
      </c>
      <c r="O31" s="5" t="s">
        <v>27</v>
      </c>
      <c r="P31" s="5" t="str">
        <f t="shared" si="19"/>
        <v>••</v>
      </c>
      <c r="R31" s="20"/>
      <c r="S31" s="16">
        <v>2</v>
      </c>
      <c r="T31" s="11">
        <f t="shared" si="20"/>
        <v>0</v>
      </c>
      <c r="U31" s="11">
        <f t="shared" si="21"/>
        <v>0</v>
      </c>
      <c r="W31" s="5" t="s">
        <v>72</v>
      </c>
      <c r="X31"/>
      <c r="Y31"/>
      <c r="Z31"/>
      <c r="AA31"/>
      <c r="AB31"/>
      <c r="AC31"/>
    </row>
    <row r="32" spans="1:29" x14ac:dyDescent="0.3">
      <c r="F32" s="5" t="s">
        <v>48</v>
      </c>
      <c r="G32" s="5" t="str">
        <f>REPT("•",SUM(H32:J32))</f>
        <v>•</v>
      </c>
      <c r="I32" s="14">
        <v>1</v>
      </c>
      <c r="K32" s="10"/>
      <c r="L32" s="11">
        <f>I32</f>
        <v>1</v>
      </c>
      <c r="O32" s="5" t="s">
        <v>29</v>
      </c>
      <c r="P32" s="5" t="str">
        <f t="shared" si="19"/>
        <v>•••</v>
      </c>
      <c r="R32" s="20">
        <v>1</v>
      </c>
      <c r="S32" s="16">
        <v>2</v>
      </c>
      <c r="T32" s="11">
        <f t="shared" si="20"/>
        <v>0</v>
      </c>
      <c r="U32" s="11">
        <f t="shared" si="21"/>
        <v>2</v>
      </c>
    </row>
    <row r="33" spans="6:21" x14ac:dyDescent="0.3">
      <c r="F33" s="5" t="s">
        <v>56</v>
      </c>
      <c r="G33" s="5" t="str">
        <f>REPT("•",SUM(H33:J33))</f>
        <v>•</v>
      </c>
      <c r="I33" s="14">
        <v>1</v>
      </c>
      <c r="K33" s="10"/>
      <c r="L33" s="11">
        <f>I33</f>
        <v>1</v>
      </c>
      <c r="O33" s="5" t="s">
        <v>86</v>
      </c>
      <c r="P33" s="5" t="str">
        <f t="shared" si="19"/>
        <v/>
      </c>
      <c r="R33" s="20"/>
      <c r="T33" s="11">
        <f t="shared" si="20"/>
        <v>0</v>
      </c>
      <c r="U33" s="11">
        <f t="shared" si="21"/>
        <v>0</v>
      </c>
    </row>
    <row r="34" spans="6:21" x14ac:dyDescent="0.3">
      <c r="F34" s="5" t="s">
        <v>81</v>
      </c>
      <c r="G34" s="5" t="str">
        <f t="shared" ref="G34:G35" si="22">REPT("•",SUM(H34:J34))</f>
        <v>••</v>
      </c>
      <c r="I34" s="14">
        <v>2</v>
      </c>
      <c r="K34" s="10"/>
      <c r="L34" s="11">
        <f t="shared" ref="L34:L35" si="23">I34</f>
        <v>2</v>
      </c>
      <c r="O34" s="5" t="s">
        <v>31</v>
      </c>
      <c r="P34" s="5" t="str">
        <f t="shared" si="19"/>
        <v>•</v>
      </c>
      <c r="R34" s="20"/>
      <c r="S34" s="16">
        <v>1</v>
      </c>
      <c r="T34" s="11">
        <f t="shared" si="20"/>
        <v>0</v>
      </c>
      <c r="U34" s="11">
        <f t="shared" si="21"/>
        <v>0</v>
      </c>
    </row>
    <row r="35" spans="6:21" x14ac:dyDescent="0.3">
      <c r="F35" s="5" t="s">
        <v>82</v>
      </c>
      <c r="G35" s="5" t="str">
        <f t="shared" si="22"/>
        <v>•</v>
      </c>
      <c r="I35" s="14">
        <v>1</v>
      </c>
      <c r="K35" s="10"/>
      <c r="L35" s="11">
        <f t="shared" si="23"/>
        <v>1</v>
      </c>
    </row>
    <row r="36" spans="6:21" x14ac:dyDescent="0.3">
      <c r="K36" s="10"/>
    </row>
    <row r="37" spans="6:21" x14ac:dyDescent="0.3">
      <c r="K37" s="10"/>
    </row>
  </sheetData>
  <conditionalFormatting sqref="A1:E1048576">
    <cfRule type="containsText" dxfId="24" priority="5" operator="containsText" text="f">
      <formula>NOT(ISERROR(SEARCH("f",A1)))</formula>
    </cfRule>
    <cfRule type="containsText" dxfId="23" priority="6" operator="containsText" text="g">
      <formula>NOT(ISERROR(SEARCH("g",A1)))</formula>
    </cfRule>
  </conditionalFormatting>
  <conditionalFormatting sqref="F14:L21">
    <cfRule type="expression" dxfId="22" priority="8">
      <formula>LEN($G14)&gt;0</formula>
    </cfRule>
  </conditionalFormatting>
  <conditionalFormatting sqref="N6">
    <cfRule type="expression" dxfId="21" priority="9">
      <formula>LEN($P5)&gt;0</formula>
    </cfRule>
  </conditionalFormatting>
  <conditionalFormatting sqref="O3:S4 P5:S5 O25:O32 O34">
    <cfRule type="expression" dxfId="20" priority="7">
      <formula>LEN($P3)&gt;0</formula>
    </cfRule>
  </conditionalFormatting>
  <conditionalFormatting sqref="O6:S15 P16:S16 O17:S24">
    <cfRule type="expression" dxfId="19" priority="1">
      <formula>LEN($P6)&gt;0</formula>
    </cfRule>
  </conditionalFormatting>
  <conditionalFormatting sqref="P25:S34">
    <cfRule type="expression" dxfId="18" priority="3">
      <formula>LEN($P25)&gt;0</formula>
    </cfRule>
  </conditionalFormatting>
  <conditionalFormatting sqref="Y19:AA26">
    <cfRule type="expression" dxfId="17" priority="2">
      <formula>$Z19&lt;0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7AFFB-117B-4634-979C-5EC35F1AD31C}">
  <sheetPr>
    <tabColor theme="4" tint="0.79998168889431442"/>
  </sheetPr>
  <dimension ref="A1:AF37"/>
  <sheetViews>
    <sheetView zoomScale="75" zoomScaleNormal="75" workbookViewId="0">
      <selection activeCell="R15" sqref="R15:S23"/>
    </sheetView>
  </sheetViews>
  <sheetFormatPr defaultRowHeight="15.75" outlineLevelCol="1" x14ac:dyDescent="0.3"/>
  <cols>
    <col min="1" max="1" width="3.109375" style="5" customWidth="1"/>
    <col min="2" max="5" width="3.109375" style="5" hidden="1" customWidth="1" outlineLevel="1"/>
    <col min="6" max="6" width="16.109375" style="5" bestFit="1" customWidth="1" collapsed="1"/>
    <col min="7" max="7" width="7.77734375" style="5" bestFit="1" customWidth="1"/>
    <col min="8" max="8" width="6.21875" style="16" bestFit="1" customWidth="1"/>
    <col min="9" max="9" width="8.5546875" style="16" bestFit="1" customWidth="1"/>
    <col min="10" max="10" width="5.44140625" style="16" bestFit="1" customWidth="1"/>
    <col min="11" max="11" width="9.44140625" style="11" hidden="1" customWidth="1" outlineLevel="1"/>
    <col min="12" max="12" width="9.21875" style="11" bestFit="1" customWidth="1" collapsed="1"/>
    <col min="13" max="13" width="23.44140625" style="5" bestFit="1" customWidth="1"/>
    <col min="14" max="14" width="8.88671875" style="5"/>
    <col min="15" max="15" width="13.5546875" style="5" bestFit="1" customWidth="1"/>
    <col min="16" max="16" width="6.77734375" style="5" bestFit="1" customWidth="1"/>
    <col min="17" max="17" width="6.21875" style="16" bestFit="1" customWidth="1"/>
    <col min="18" max="18" width="8.5546875" style="16" bestFit="1" customWidth="1"/>
    <col min="19" max="19" width="5.44140625" style="16" bestFit="1" customWidth="1"/>
    <col min="20" max="20" width="9.44140625" style="11" hidden="1" customWidth="1" outlineLevel="1"/>
    <col min="21" max="21" width="9.21875" style="11" bestFit="1" customWidth="1" collapsed="1"/>
    <col min="22" max="22" width="13.21875" style="5" bestFit="1" customWidth="1"/>
    <col min="23" max="23" width="12.21875" style="5" bestFit="1" customWidth="1"/>
    <col min="24" max="24" width="8.88671875" style="5"/>
    <col min="25" max="25" width="23.77734375" style="5" bestFit="1" customWidth="1"/>
    <col min="26" max="26" width="27.109375" style="5" bestFit="1" customWidth="1"/>
    <col min="27" max="27" width="20.88671875" style="5" bestFit="1" customWidth="1"/>
    <col min="28" max="28" width="10.88671875" style="5" customWidth="1"/>
    <col min="29" max="29" width="8.88671875" style="5"/>
    <col min="30" max="30" width="23.5546875" style="5" bestFit="1" customWidth="1"/>
    <col min="31" max="31" width="17.77734375" style="5" bestFit="1" customWidth="1"/>
    <col min="32" max="32" width="16.33203125" style="16" bestFit="1" customWidth="1"/>
    <col min="33" max="33" width="18.6640625" style="5" bestFit="1" customWidth="1"/>
    <col min="34" max="34" width="12" style="5" bestFit="1" customWidth="1"/>
    <col min="35" max="35" width="9.6640625" style="5" customWidth="1"/>
    <col min="36" max="16384" width="8.88671875" style="5"/>
  </cols>
  <sheetData>
    <row r="1" spans="1:32" s="2" customFormat="1" x14ac:dyDescent="0.3">
      <c r="F1" s="1" t="s">
        <v>12</v>
      </c>
      <c r="G1" s="1" t="s">
        <v>58</v>
      </c>
      <c r="H1" s="17" t="s">
        <v>59</v>
      </c>
      <c r="I1" s="17" t="s">
        <v>60</v>
      </c>
      <c r="J1" s="17" t="s">
        <v>61</v>
      </c>
      <c r="K1" s="8" t="s">
        <v>62</v>
      </c>
      <c r="L1" s="8" t="s">
        <v>63</v>
      </c>
      <c r="M1" s="2" t="s">
        <v>49</v>
      </c>
      <c r="O1" s="1" t="s">
        <v>41</v>
      </c>
      <c r="P1" s="1" t="s">
        <v>58</v>
      </c>
      <c r="Q1" s="17" t="s">
        <v>59</v>
      </c>
      <c r="R1" s="17" t="s">
        <v>60</v>
      </c>
      <c r="S1" s="17" t="s">
        <v>61</v>
      </c>
      <c r="T1" s="8" t="s">
        <v>62</v>
      </c>
      <c r="U1" s="8" t="s">
        <v>63</v>
      </c>
      <c r="V1" s="3" t="s">
        <v>50</v>
      </c>
      <c r="AA1" s="2" t="s">
        <v>54</v>
      </c>
      <c r="AD1" s="5" t="s">
        <v>57</v>
      </c>
      <c r="AE1" s="5" t="s">
        <v>65</v>
      </c>
      <c r="AF1" s="16" t="s">
        <v>66</v>
      </c>
    </row>
    <row r="2" spans="1:32" ht="16.399999999999999" thickBot="1" x14ac:dyDescent="0.35">
      <c r="F2" s="4" t="s">
        <v>4</v>
      </c>
      <c r="G2" s="4"/>
      <c r="H2" s="18"/>
      <c r="I2" s="13"/>
      <c r="J2" s="18">
        <f>SUM(J3:J5)-3</f>
        <v>3</v>
      </c>
      <c r="K2" s="9">
        <f>SUM(K3:K5)</f>
        <v>0</v>
      </c>
      <c r="L2" s="9">
        <f>SUM(L3:L5)</f>
        <v>0</v>
      </c>
      <c r="M2" s="5" t="s">
        <v>42</v>
      </c>
      <c r="O2" s="4" t="s">
        <v>14</v>
      </c>
      <c r="P2" s="4"/>
      <c r="Q2" s="18"/>
      <c r="R2" s="19"/>
      <c r="S2" s="18">
        <f>SUM(S3:S12)</f>
        <v>13</v>
      </c>
      <c r="T2" s="9">
        <f>SUM(T3:T12)</f>
        <v>0</v>
      </c>
      <c r="U2" s="9">
        <f>SUM(U3:U12)</f>
        <v>0</v>
      </c>
      <c r="V2" s="5" t="s">
        <v>43</v>
      </c>
      <c r="Y2" s="5" t="s">
        <v>42</v>
      </c>
      <c r="Z2" s="5" t="s">
        <v>67</v>
      </c>
      <c r="AA2" s="5">
        <f>SUM(L2,L6,L10)</f>
        <v>0</v>
      </c>
      <c r="AD2" s="5" t="s">
        <v>42</v>
      </c>
      <c r="AE2" s="5" t="s">
        <v>67</v>
      </c>
      <c r="AF2" s="16" t="s">
        <v>94</v>
      </c>
    </row>
    <row r="3" spans="1:32" x14ac:dyDescent="0.3">
      <c r="A3" s="32" t="s">
        <v>74</v>
      </c>
      <c r="B3" s="25"/>
      <c r="C3" s="25"/>
      <c r="D3" s="25"/>
      <c r="E3" s="26"/>
      <c r="F3" s="5" t="s">
        <v>0</v>
      </c>
      <c r="G3" s="5" t="str">
        <f>REPT("•",SUM(H3:J3))</f>
        <v>•</v>
      </c>
      <c r="I3" s="14"/>
      <c r="J3" s="16">
        <v>1</v>
      </c>
      <c r="K3" s="10"/>
      <c r="L3" s="11">
        <f>5*I3</f>
        <v>0</v>
      </c>
      <c r="M3" s="5" t="str">
        <f>VLOOKUP(M2,$AD:$AF,2,0)</f>
        <v>5FB за точку</v>
      </c>
      <c r="O3" s="5" t="s">
        <v>15</v>
      </c>
      <c r="P3" s="5" t="str">
        <f>REPT("•",SUM(Q3:S3))</f>
        <v>•••</v>
      </c>
      <c r="R3" s="20"/>
      <c r="S3" s="16">
        <v>3</v>
      </c>
      <c r="T3" s="11">
        <f>IF(Q3&lt;&gt;1,0,IF(R3+S3=0,3,2*(R3+S3)))</f>
        <v>0</v>
      </c>
      <c r="U3" s="11">
        <f>2*R3</f>
        <v>0</v>
      </c>
      <c r="V3" s="5" t="str">
        <f>VLOOKUP(V2,$AD:$AF,2,0)</f>
        <v>2FB за точку</v>
      </c>
      <c r="Y3" s="5" t="s">
        <v>43</v>
      </c>
      <c r="Z3" s="5" t="s">
        <v>68</v>
      </c>
      <c r="AA3" s="5">
        <f>SUM(U2,U13,U24)</f>
        <v>12</v>
      </c>
      <c r="AD3" s="5" t="s">
        <v>43</v>
      </c>
      <c r="AE3" s="4" t="s">
        <v>68</v>
      </c>
      <c r="AF3" s="16" t="s">
        <v>95</v>
      </c>
    </row>
    <row r="4" spans="1:32" x14ac:dyDescent="0.3">
      <c r="A4" s="33" t="s">
        <v>74</v>
      </c>
      <c r="B4" s="5" t="s">
        <v>75</v>
      </c>
      <c r="E4" s="28"/>
      <c r="F4" s="5" t="s">
        <v>1</v>
      </c>
      <c r="G4" s="5" t="str">
        <f t="shared" ref="G4:G5" si="0">REPT("•",SUM(H4:J4))</f>
        <v>•••</v>
      </c>
      <c r="I4" s="14"/>
      <c r="J4" s="16">
        <v>3</v>
      </c>
      <c r="K4" s="10"/>
      <c r="L4" s="11">
        <f t="shared" ref="L4:L5" si="1">5*I4</f>
        <v>0</v>
      </c>
      <c r="O4" s="5" t="s">
        <v>17</v>
      </c>
      <c r="P4" s="5" t="str">
        <f t="shared" ref="P4:P12" si="2">REPT("•",SUM(Q4:S4))</f>
        <v>••</v>
      </c>
      <c r="R4" s="20"/>
      <c r="S4" s="16">
        <v>2</v>
      </c>
      <c r="T4" s="11">
        <f t="shared" ref="T4:T12" si="3">IF(Q4&lt;&gt;1,0,IF(R4+S4=0,3,2*(R4+S4)))</f>
        <v>0</v>
      </c>
      <c r="U4" s="11">
        <f t="shared" ref="U4:U12" si="4">2*R4</f>
        <v>0</v>
      </c>
      <c r="AD4" s="5" t="s">
        <v>88</v>
      </c>
      <c r="AE4" s="4" t="s">
        <v>68</v>
      </c>
      <c r="AF4" s="16">
        <v>3</v>
      </c>
    </row>
    <row r="5" spans="1:32" ht="16.399999999999999" thickBot="1" x14ac:dyDescent="0.35">
      <c r="A5" s="34" t="s">
        <v>74</v>
      </c>
      <c r="B5" s="30"/>
      <c r="C5" s="30"/>
      <c r="D5" s="30"/>
      <c r="E5" s="31"/>
      <c r="F5" s="5" t="s">
        <v>2</v>
      </c>
      <c r="G5" s="5" t="str">
        <f t="shared" si="0"/>
        <v>••</v>
      </c>
      <c r="I5" s="14"/>
      <c r="J5" s="16">
        <v>2</v>
      </c>
      <c r="K5" s="10"/>
      <c r="L5" s="11">
        <f t="shared" si="1"/>
        <v>0</v>
      </c>
      <c r="M5" s="22"/>
      <c r="O5" s="5" t="s">
        <v>19</v>
      </c>
      <c r="P5" s="5" t="str">
        <f t="shared" si="2"/>
        <v/>
      </c>
      <c r="R5" s="20"/>
      <c r="T5" s="11">
        <f t="shared" si="3"/>
        <v>0</v>
      </c>
      <c r="U5" s="11">
        <f t="shared" si="4"/>
        <v>0</v>
      </c>
      <c r="Y5" s="5" t="s">
        <v>92</v>
      </c>
      <c r="Z5" s="5" t="s">
        <v>69</v>
      </c>
      <c r="AA5" s="5">
        <f>L14</f>
        <v>7</v>
      </c>
      <c r="AD5" s="5" t="s">
        <v>92</v>
      </c>
      <c r="AE5" s="21" t="s">
        <v>69</v>
      </c>
      <c r="AF5" s="16" t="s">
        <v>96</v>
      </c>
    </row>
    <row r="6" spans="1:32" ht="16.399999999999999" thickBot="1" x14ac:dyDescent="0.35">
      <c r="F6" s="4" t="s">
        <v>3</v>
      </c>
      <c r="G6" s="4"/>
      <c r="H6" s="18"/>
      <c r="I6" s="13"/>
      <c r="J6" s="18">
        <f>SUM(J7:J9)-3</f>
        <v>5</v>
      </c>
      <c r="K6" s="9">
        <f>SUM(K7:K9)</f>
        <v>0</v>
      </c>
      <c r="L6" s="9">
        <f>SUM(L7:L9)</f>
        <v>0</v>
      </c>
      <c r="O6" s="5" t="s">
        <v>20</v>
      </c>
      <c r="P6" s="5" t="str">
        <f t="shared" si="2"/>
        <v>•••</v>
      </c>
      <c r="R6" s="20"/>
      <c r="S6" s="16">
        <v>3</v>
      </c>
      <c r="T6" s="11">
        <f t="shared" si="3"/>
        <v>0</v>
      </c>
      <c r="U6" s="11">
        <f t="shared" si="4"/>
        <v>0</v>
      </c>
      <c r="AD6" s="5" t="s">
        <v>93</v>
      </c>
      <c r="AE6" s="21" t="s">
        <v>69</v>
      </c>
      <c r="AF6" s="16" t="s">
        <v>97</v>
      </c>
    </row>
    <row r="7" spans="1:32" x14ac:dyDescent="0.3">
      <c r="A7" s="32" t="s">
        <v>74</v>
      </c>
      <c r="B7" s="25"/>
      <c r="C7" s="25"/>
      <c r="D7" s="25"/>
      <c r="E7" s="26"/>
      <c r="F7" s="5" t="s">
        <v>6</v>
      </c>
      <c r="G7" s="5" t="str">
        <f>REPT("•",SUM(H7:J7))</f>
        <v>•••</v>
      </c>
      <c r="I7" s="14"/>
      <c r="J7" s="16">
        <v>3</v>
      </c>
      <c r="K7" s="10"/>
      <c r="L7" s="11">
        <f>5*I7</f>
        <v>0</v>
      </c>
      <c r="O7" s="5" t="s">
        <v>83</v>
      </c>
      <c r="P7" s="5" t="str">
        <f t="shared" si="2"/>
        <v>••</v>
      </c>
      <c r="R7" s="20"/>
      <c r="S7" s="16">
        <v>2</v>
      </c>
      <c r="T7" s="11">
        <f t="shared" si="3"/>
        <v>0</v>
      </c>
      <c r="U7" s="11">
        <f t="shared" si="4"/>
        <v>0</v>
      </c>
      <c r="AD7" s="5" t="s">
        <v>98</v>
      </c>
      <c r="AF7" s="16" t="s">
        <v>94</v>
      </c>
    </row>
    <row r="8" spans="1:32" x14ac:dyDescent="0.3">
      <c r="A8" s="33" t="s">
        <v>74</v>
      </c>
      <c r="B8" s="5" t="s">
        <v>75</v>
      </c>
      <c r="E8" s="28"/>
      <c r="F8" s="5" t="s">
        <v>7</v>
      </c>
      <c r="G8" s="5" t="str">
        <f t="shared" ref="G8:G9" si="5">REPT("•",SUM(H8:J8))</f>
        <v>••</v>
      </c>
      <c r="I8" s="14"/>
      <c r="J8" s="16">
        <v>2</v>
      </c>
      <c r="K8" s="10"/>
      <c r="L8" s="11">
        <f t="shared" ref="L8:L9" si="6">5*I8</f>
        <v>0</v>
      </c>
      <c r="O8" s="5" t="s">
        <v>22</v>
      </c>
      <c r="P8" s="5" t="str">
        <f t="shared" si="2"/>
        <v/>
      </c>
      <c r="R8" s="20"/>
      <c r="T8" s="11">
        <f t="shared" si="3"/>
        <v>0</v>
      </c>
      <c r="U8" s="11">
        <f t="shared" si="4"/>
        <v>0</v>
      </c>
      <c r="Y8" s="5" t="s">
        <v>44</v>
      </c>
      <c r="Z8" s="5" t="s">
        <v>70</v>
      </c>
      <c r="AA8" s="5">
        <f>L28</f>
        <v>6</v>
      </c>
      <c r="AD8" s="5" t="s">
        <v>44</v>
      </c>
      <c r="AE8" s="5" t="s">
        <v>70</v>
      </c>
    </row>
    <row r="9" spans="1:32" ht="16.399999999999999" thickBot="1" x14ac:dyDescent="0.35">
      <c r="A9" s="34" t="s">
        <v>74</v>
      </c>
      <c r="B9" s="30"/>
      <c r="C9" s="30"/>
      <c r="D9" s="30"/>
      <c r="E9" s="31"/>
      <c r="F9" s="5" t="s">
        <v>8</v>
      </c>
      <c r="G9" s="5" t="str">
        <f t="shared" si="5"/>
        <v>•••</v>
      </c>
      <c r="I9" s="14"/>
      <c r="J9" s="16">
        <v>3</v>
      </c>
      <c r="K9" s="10"/>
      <c r="L9" s="11">
        <f t="shared" si="6"/>
        <v>0</v>
      </c>
      <c r="O9" s="5" t="s">
        <v>24</v>
      </c>
      <c r="P9" s="5" t="str">
        <f t="shared" si="2"/>
        <v>•</v>
      </c>
      <c r="R9" s="20"/>
      <c r="S9" s="16">
        <v>1</v>
      </c>
      <c r="T9" s="11">
        <f t="shared" si="3"/>
        <v>0</v>
      </c>
      <c r="U9" s="11">
        <f t="shared" si="4"/>
        <v>0</v>
      </c>
      <c r="Y9" s="5" t="s">
        <v>90</v>
      </c>
      <c r="Z9" s="5" t="s">
        <v>68</v>
      </c>
      <c r="AA9" s="5">
        <f>SUM(L25:L27)</f>
        <v>0</v>
      </c>
      <c r="AD9" s="5" t="s">
        <v>90</v>
      </c>
      <c r="AE9" s="5" t="s">
        <v>68</v>
      </c>
      <c r="AF9" s="16" t="s">
        <v>95</v>
      </c>
    </row>
    <row r="10" spans="1:32" ht="16.399999999999999" thickBot="1" x14ac:dyDescent="0.35">
      <c r="F10" s="4" t="s">
        <v>5</v>
      </c>
      <c r="G10" s="4"/>
      <c r="H10" s="18"/>
      <c r="I10" s="13"/>
      <c r="J10" s="18">
        <f>SUM(J11:J13)-3</f>
        <v>7</v>
      </c>
      <c r="K10" s="9">
        <f>SUM(K11:K13)</f>
        <v>0</v>
      </c>
      <c r="L10" s="9">
        <f>SUM(L11:L13)</f>
        <v>0</v>
      </c>
      <c r="O10" s="5" t="s">
        <v>26</v>
      </c>
      <c r="P10" s="5" t="str">
        <f t="shared" si="2"/>
        <v/>
      </c>
      <c r="R10" s="20"/>
      <c r="T10" s="11">
        <f t="shared" si="3"/>
        <v>0</v>
      </c>
      <c r="U10" s="11">
        <f t="shared" si="4"/>
        <v>0</v>
      </c>
      <c r="Y10" s="5" t="s">
        <v>91</v>
      </c>
      <c r="Z10" s="5" t="s">
        <v>70</v>
      </c>
      <c r="AA10" s="5">
        <f>L23</f>
        <v>0</v>
      </c>
      <c r="AD10" s="5" t="s">
        <v>91</v>
      </c>
      <c r="AE10" s="5" t="s">
        <v>70</v>
      </c>
      <c r="AF10" s="16" t="s">
        <v>95</v>
      </c>
    </row>
    <row r="11" spans="1:32" x14ac:dyDescent="0.3">
      <c r="A11" s="32" t="s">
        <v>74</v>
      </c>
      <c r="B11" s="25" t="s">
        <v>75</v>
      </c>
      <c r="C11" s="25" t="s">
        <v>75</v>
      </c>
      <c r="D11" s="25"/>
      <c r="E11" s="26"/>
      <c r="F11" s="5" t="s">
        <v>9</v>
      </c>
      <c r="G11" s="5" t="str">
        <f>REPT("•",SUM(H11:J11))</f>
        <v>••••</v>
      </c>
      <c r="I11" s="14"/>
      <c r="J11" s="16">
        <v>4</v>
      </c>
      <c r="K11" s="10"/>
      <c r="L11" s="11">
        <f>5*I11</f>
        <v>0</v>
      </c>
      <c r="O11" s="5" t="s">
        <v>28</v>
      </c>
      <c r="P11" s="5" t="str">
        <f t="shared" si="2"/>
        <v/>
      </c>
      <c r="R11" s="20"/>
      <c r="T11" s="11">
        <f t="shared" si="3"/>
        <v>0</v>
      </c>
      <c r="U11" s="11">
        <f t="shared" si="4"/>
        <v>0</v>
      </c>
      <c r="Y11" s="5" t="s">
        <v>45</v>
      </c>
      <c r="Z11" s="5" t="s">
        <v>70</v>
      </c>
      <c r="AA11" s="5">
        <f>L24</f>
        <v>3</v>
      </c>
      <c r="AD11" s="5" t="s">
        <v>45</v>
      </c>
      <c r="AE11" s="5" t="s">
        <v>70</v>
      </c>
      <c r="AF11" s="16" t="s">
        <v>99</v>
      </c>
    </row>
    <row r="12" spans="1:32" x14ac:dyDescent="0.3">
      <c r="A12" s="33" t="s">
        <v>74</v>
      </c>
      <c r="E12" s="28"/>
      <c r="F12" s="5" t="s">
        <v>10</v>
      </c>
      <c r="G12" s="5" t="str">
        <f t="shared" ref="G12:G13" si="7">REPT("•",SUM(H12:J12))</f>
        <v>•••</v>
      </c>
      <c r="I12" s="14"/>
      <c r="J12" s="16">
        <v>3</v>
      </c>
      <c r="K12" s="10"/>
      <c r="L12" s="11">
        <f t="shared" ref="L12:L13" si="8">5*I12</f>
        <v>0</v>
      </c>
      <c r="O12" s="5" t="s">
        <v>30</v>
      </c>
      <c r="P12" s="5" t="str">
        <f t="shared" si="2"/>
        <v>••</v>
      </c>
      <c r="R12" s="20"/>
      <c r="S12" s="16">
        <v>2</v>
      </c>
      <c r="T12" s="11">
        <f t="shared" si="3"/>
        <v>0</v>
      </c>
      <c r="U12" s="11">
        <f t="shared" si="4"/>
        <v>0</v>
      </c>
    </row>
    <row r="13" spans="1:32" ht="16.399999999999999" thickBot="1" x14ac:dyDescent="0.35">
      <c r="A13" s="34" t="s">
        <v>74</v>
      </c>
      <c r="B13" s="30"/>
      <c r="C13" s="30"/>
      <c r="D13" s="30"/>
      <c r="E13" s="31"/>
      <c r="F13" s="5" t="s">
        <v>11</v>
      </c>
      <c r="G13" s="5" t="str">
        <f t="shared" si="7"/>
        <v>•••</v>
      </c>
      <c r="I13" s="14"/>
      <c r="J13" s="16">
        <v>3</v>
      </c>
      <c r="K13" s="10"/>
      <c r="L13" s="11">
        <f t="shared" si="8"/>
        <v>0</v>
      </c>
      <c r="O13" s="4" t="s">
        <v>40</v>
      </c>
      <c r="P13" s="4"/>
      <c r="Q13" s="18"/>
      <c r="R13" s="19"/>
      <c r="S13" s="18">
        <f>SUM(S14:S23)</f>
        <v>9</v>
      </c>
      <c r="T13" s="9" t="e">
        <f>SUM(T14:T23)</f>
        <v>#REF!</v>
      </c>
      <c r="U13" s="9">
        <f>SUM(U14:U23)</f>
        <v>2</v>
      </c>
      <c r="Z13" s="6" t="str">
        <f>(Z15+Z17-Z16)&amp;" fr-b всего"</f>
        <v>28 fr-b всего</v>
      </c>
      <c r="AA13" s="6" t="str">
        <f>SUM(AA2:AA11)&amp;" потрачено"</f>
        <v>28 потрачено</v>
      </c>
    </row>
    <row r="14" spans="1:32" ht="16.399999999999999" thickBot="1" x14ac:dyDescent="0.35">
      <c r="F14" s="1" t="s">
        <v>73</v>
      </c>
      <c r="G14" s="1"/>
      <c r="H14" s="17"/>
      <c r="I14" s="15"/>
      <c r="J14" s="17">
        <f>SUM(J15:J21)</f>
        <v>3</v>
      </c>
      <c r="K14" s="12">
        <f>SUM(K15:K22)</f>
        <v>0</v>
      </c>
      <c r="L14" s="8">
        <f>SUM(L15:L21)</f>
        <v>7</v>
      </c>
      <c r="M14" s="35">
        <v>3</v>
      </c>
      <c r="O14" s="5" t="s">
        <v>84</v>
      </c>
      <c r="P14" s="5" t="str">
        <f>REPT("•",SUM(Q14:S14))</f>
        <v/>
      </c>
      <c r="R14" s="20"/>
      <c r="T14" s="11">
        <f>IF(Q15&lt;&gt;1,0,IF(R15+S15=0,3,2*(R15+S15)))</f>
        <v>0</v>
      </c>
      <c r="U14" s="11">
        <f>2*R14</f>
        <v>0</v>
      </c>
      <c r="AB14" s="5" t="s">
        <v>64</v>
      </c>
    </row>
    <row r="15" spans="1:32" x14ac:dyDescent="0.3">
      <c r="A15" s="24" t="s">
        <v>75</v>
      </c>
      <c r="B15" s="25" t="s">
        <v>75</v>
      </c>
      <c r="C15" s="25"/>
      <c r="D15" s="25"/>
      <c r="E15" s="26"/>
      <c r="F15" s="5" t="s">
        <v>76</v>
      </c>
      <c r="G15" s="5" t="str">
        <f t="shared" ref="G15:G21" si="9">REPT("•",SUM(H15:J15))</f>
        <v>••</v>
      </c>
      <c r="I15" s="14">
        <v>1</v>
      </c>
      <c r="J15" s="16">
        <v>1</v>
      </c>
      <c r="K15" s="10"/>
      <c r="L15" s="11">
        <f>7*I15</f>
        <v>7</v>
      </c>
      <c r="M15" s="5" t="s">
        <v>89</v>
      </c>
      <c r="O15" s="5" t="s">
        <v>32</v>
      </c>
      <c r="P15" s="5" t="str">
        <f t="shared" ref="P15:P23" si="10">REPT("•",SUM(Q15:S15))</f>
        <v>•</v>
      </c>
      <c r="R15" s="20"/>
      <c r="S15" s="16">
        <v>1</v>
      </c>
      <c r="T15" s="11">
        <f t="shared" ref="T15:T23" si="11">IF(Q16&lt;&gt;1,0,IF(R16+S16=0,3,2*(R16+S16)))</f>
        <v>0</v>
      </c>
      <c r="U15" s="11">
        <f t="shared" ref="U15:U23" si="12">2*R15</f>
        <v>0</v>
      </c>
      <c r="Y15" s="5" t="s">
        <v>55</v>
      </c>
      <c r="Z15" s="6">
        <v>25</v>
      </c>
      <c r="AB15" s="7">
        <f>(Z15+Z17-Z16)-SUM(AA2:AA11)</f>
        <v>0</v>
      </c>
    </row>
    <row r="16" spans="1:32" x14ac:dyDescent="0.3">
      <c r="A16" s="27"/>
      <c r="E16" s="28"/>
      <c r="F16" s="5" t="s">
        <v>77</v>
      </c>
      <c r="G16" s="5" t="str">
        <f t="shared" si="9"/>
        <v>•</v>
      </c>
      <c r="I16" s="14"/>
      <c r="J16" s="16">
        <v>1</v>
      </c>
      <c r="K16" s="10"/>
      <c r="L16" s="11">
        <f t="shared" ref="L16:L21" si="13">7*I16</f>
        <v>0</v>
      </c>
      <c r="M16" s="5" t="str">
        <f>VLOOKUP("*"&amp;M15,$AD:$AF,2,0)</f>
        <v>7FB за точку</v>
      </c>
      <c r="O16" s="5" t="s">
        <v>33</v>
      </c>
      <c r="P16" s="5" t="str">
        <f t="shared" si="10"/>
        <v/>
      </c>
      <c r="R16" s="20"/>
      <c r="T16" s="11">
        <f t="shared" si="11"/>
        <v>0</v>
      </c>
      <c r="U16" s="11">
        <f t="shared" si="12"/>
        <v>0</v>
      </c>
      <c r="Y16" s="5" t="s">
        <v>53</v>
      </c>
      <c r="Z16" s="5">
        <f>-SUMIF($Z$19:$Z$32,"&lt;0")</f>
        <v>5</v>
      </c>
    </row>
    <row r="17" spans="1:29" x14ac:dyDescent="0.3">
      <c r="A17" s="27"/>
      <c r="E17" s="28"/>
      <c r="F17" s="5" t="s">
        <v>78</v>
      </c>
      <c r="G17" s="5" t="str">
        <f t="shared" si="9"/>
        <v>•</v>
      </c>
      <c r="I17" s="14"/>
      <c r="J17" s="16">
        <v>1</v>
      </c>
      <c r="K17" s="10"/>
      <c r="L17" s="11">
        <f t="shared" si="13"/>
        <v>0</v>
      </c>
      <c r="O17" s="5" t="s">
        <v>34</v>
      </c>
      <c r="P17" s="5" t="str">
        <f t="shared" si="10"/>
        <v>•••</v>
      </c>
      <c r="R17" s="20">
        <v>1</v>
      </c>
      <c r="S17" s="16">
        <v>2</v>
      </c>
      <c r="T17" s="11">
        <f t="shared" si="11"/>
        <v>0</v>
      </c>
      <c r="U17" s="11">
        <f t="shared" si="12"/>
        <v>2</v>
      </c>
      <c r="X17"/>
      <c r="Y17" s="5" t="s">
        <v>52</v>
      </c>
      <c r="Z17" s="5">
        <f>SUMIF($Z$19:$Z$32,"&gt;0")</f>
        <v>8</v>
      </c>
      <c r="AC17"/>
    </row>
    <row r="18" spans="1:29" ht="16.399999999999999" thickBot="1" x14ac:dyDescent="0.35">
      <c r="A18" s="29"/>
      <c r="B18" s="30"/>
      <c r="C18" s="30"/>
      <c r="D18" s="30"/>
      <c r="E18" s="31"/>
      <c r="G18" s="5" t="str">
        <f t="shared" si="9"/>
        <v/>
      </c>
      <c r="I18" s="14"/>
      <c r="K18" s="10"/>
      <c r="L18" s="11">
        <f t="shared" si="13"/>
        <v>0</v>
      </c>
      <c r="O18" s="5" t="s">
        <v>35</v>
      </c>
      <c r="P18" s="5" t="str">
        <f t="shared" si="10"/>
        <v/>
      </c>
      <c r="R18" s="20"/>
      <c r="T18" s="11" t="e">
        <f>IF(#REF!&lt;&gt;1,0,IF(#REF!+#REF!=0,3,2*(#REF!+#REF!)))</f>
        <v>#REF!</v>
      </c>
      <c r="U18" s="11">
        <f t="shared" si="12"/>
        <v>0</v>
      </c>
      <c r="X18"/>
      <c r="Y18"/>
      <c r="Z18"/>
      <c r="AA18"/>
      <c r="AB18"/>
      <c r="AC18"/>
    </row>
    <row r="19" spans="1:29" x14ac:dyDescent="0.3">
      <c r="G19" s="5" t="str">
        <f t="shared" si="9"/>
        <v/>
      </c>
      <c r="I19" s="14"/>
      <c r="K19" s="10"/>
      <c r="L19" s="11">
        <f t="shared" si="13"/>
        <v>0</v>
      </c>
      <c r="O19" s="5" t="s">
        <v>36</v>
      </c>
      <c r="P19" s="5" t="str">
        <f>REPT("•",SUM(Q19:S19))</f>
        <v>•</v>
      </c>
      <c r="R19" s="20"/>
      <c r="S19" s="16">
        <v>1</v>
      </c>
      <c r="T19" s="11">
        <f>IF(Q20&lt;&gt;1,0,IF(R20+S20=0,3,2*(R20+S20)))</f>
        <v>0</v>
      </c>
      <c r="U19" s="11">
        <f>2*R19</f>
        <v>0</v>
      </c>
      <c r="X19"/>
      <c r="Y19" s="40" t="s">
        <v>104</v>
      </c>
      <c r="Z19" s="40">
        <v>-2</v>
      </c>
      <c r="AA19" s="40" t="str">
        <f>IF(Z19&lt;0,"merit","flaw")</f>
        <v>merit</v>
      </c>
      <c r="AB19"/>
      <c r="AC19"/>
    </row>
    <row r="20" spans="1:29" x14ac:dyDescent="0.3">
      <c r="G20" s="5" t="str">
        <f t="shared" si="9"/>
        <v/>
      </c>
      <c r="I20" s="14"/>
      <c r="K20" s="10"/>
      <c r="L20" s="11">
        <f t="shared" si="13"/>
        <v>0</v>
      </c>
      <c r="O20" s="5" t="s">
        <v>37</v>
      </c>
      <c r="P20" s="5" t="str">
        <f>REPT("•",SUM(Q20:S20))</f>
        <v>••</v>
      </c>
      <c r="R20" s="20"/>
      <c r="S20" s="16">
        <v>2</v>
      </c>
      <c r="T20" s="11">
        <f>IF(Q22&lt;&gt;1,0,IF(R22+S22=0,3,2*(R22+S22)))</f>
        <v>0</v>
      </c>
      <c r="U20" s="11">
        <f>2*R20</f>
        <v>0</v>
      </c>
      <c r="X20"/>
      <c r="Y20" s="41" t="s">
        <v>105</v>
      </c>
      <c r="Z20" s="40">
        <v>-1</v>
      </c>
      <c r="AA20" s="40" t="str">
        <f t="shared" ref="AA20:AA26" si="14">IF(Z20&lt;0,"merit","flaw")</f>
        <v>merit</v>
      </c>
      <c r="AB20"/>
      <c r="AC20"/>
    </row>
    <row r="21" spans="1:29" x14ac:dyDescent="0.3">
      <c r="G21" s="5" t="str">
        <f t="shared" si="9"/>
        <v/>
      </c>
      <c r="I21" s="14"/>
      <c r="K21" s="10"/>
      <c r="L21" s="11">
        <f t="shared" si="13"/>
        <v>0</v>
      </c>
      <c r="O21" s="5" t="s">
        <v>112</v>
      </c>
      <c r="P21" s="5" t="str">
        <f t="shared" ref="P21" si="15">REPT("•",SUM(Q21:S21))</f>
        <v/>
      </c>
      <c r="R21" s="20"/>
      <c r="T21" s="11" t="e">
        <f>IF(#REF!&lt;&gt;1,0,IF(#REF!+#REF!=0,3,2*(#REF!+#REF!)))</f>
        <v>#REF!</v>
      </c>
      <c r="U21" s="11">
        <f t="shared" ref="U21" si="16">2*R21</f>
        <v>0</v>
      </c>
      <c r="X21"/>
      <c r="Y21" s="41" t="s">
        <v>106</v>
      </c>
      <c r="Z21" s="40">
        <v>-1</v>
      </c>
      <c r="AA21" s="40" t="str">
        <f t="shared" si="14"/>
        <v>merit</v>
      </c>
      <c r="AB21"/>
      <c r="AC21"/>
    </row>
    <row r="22" spans="1:29" x14ac:dyDescent="0.3">
      <c r="F22" s="1" t="s">
        <v>51</v>
      </c>
      <c r="G22" s="1"/>
      <c r="H22" s="17"/>
      <c r="I22" s="15"/>
      <c r="J22" s="17">
        <f>SUM(J23:J25)</f>
        <v>12</v>
      </c>
      <c r="K22" s="12"/>
      <c r="L22" s="8">
        <f>SUM(L23:L25)</f>
        <v>3</v>
      </c>
      <c r="M22" s="5" t="s">
        <v>103</v>
      </c>
      <c r="O22" s="5" t="s">
        <v>38</v>
      </c>
      <c r="P22" s="5" t="str">
        <f t="shared" si="10"/>
        <v>•••</v>
      </c>
      <c r="R22" s="20"/>
      <c r="S22" s="16">
        <v>3</v>
      </c>
      <c r="T22" s="11">
        <f t="shared" si="11"/>
        <v>0</v>
      </c>
      <c r="U22" s="11">
        <f t="shared" si="12"/>
        <v>0</v>
      </c>
      <c r="X22"/>
      <c r="Y22" s="41" t="s">
        <v>107</v>
      </c>
      <c r="Z22" s="40">
        <v>-1</v>
      </c>
      <c r="AA22" s="40" t="str">
        <f t="shared" si="14"/>
        <v>merit</v>
      </c>
      <c r="AB22"/>
      <c r="AC22"/>
    </row>
    <row r="23" spans="1:29" x14ac:dyDescent="0.3">
      <c r="F23" s="5" t="s">
        <v>91</v>
      </c>
      <c r="G23" s="39" t="str">
        <f>IF(SUM(H23:K23)&gt;=5,"⑤ "&amp;REPT("•",SUM(H23:K23)-5),REPT("•",SUM(H23:K23)))</f>
        <v>⑤ •</v>
      </c>
      <c r="I23" s="14"/>
      <c r="J23" s="38">
        <f>J25+J26</f>
        <v>6</v>
      </c>
      <c r="K23" s="10"/>
      <c r="L23" s="11">
        <f>1*I23</f>
        <v>0</v>
      </c>
      <c r="M23" s="5" t="str">
        <f>VLOOKUP(F23,$AD:$AF,2,0)</f>
        <v>1FB за точку</v>
      </c>
      <c r="O23" s="5" t="s">
        <v>39</v>
      </c>
      <c r="P23" s="5" t="str">
        <f t="shared" si="10"/>
        <v/>
      </c>
      <c r="R23" s="20"/>
      <c r="T23" s="11">
        <f t="shared" si="11"/>
        <v>0</v>
      </c>
      <c r="U23" s="11">
        <f t="shared" si="12"/>
        <v>0</v>
      </c>
      <c r="X23"/>
      <c r="Y23" s="41" t="s">
        <v>108</v>
      </c>
      <c r="Z23" s="40">
        <v>2</v>
      </c>
      <c r="AA23" s="40" t="str">
        <f t="shared" si="14"/>
        <v>flaw</v>
      </c>
      <c r="AB23"/>
      <c r="AC23"/>
    </row>
    <row r="24" spans="1:29" x14ac:dyDescent="0.3">
      <c r="F24" s="5" t="s">
        <v>45</v>
      </c>
      <c r="G24" s="39" t="str">
        <f>IF(SUM(H24:K24)&gt;=5,"⑤ "&amp;REPT("•",SUM(H24:K24)-5),REPT("•",SUM(H24:K24)))</f>
        <v>⑤ •</v>
      </c>
      <c r="I24" s="14">
        <v>3</v>
      </c>
      <c r="J24" s="38">
        <f>J27</f>
        <v>3</v>
      </c>
      <c r="L24" s="11">
        <f>1*I24</f>
        <v>3</v>
      </c>
      <c r="M24" s="5" t="str">
        <f>VLOOKUP(F24,$AD:$AF,2,0)</f>
        <v>1FB за точку</v>
      </c>
      <c r="O24" s="4" t="s">
        <v>13</v>
      </c>
      <c r="P24" s="4"/>
      <c r="Q24" s="18"/>
      <c r="R24" s="19"/>
      <c r="S24" s="18">
        <f>SUM(S25:S34)</f>
        <v>5</v>
      </c>
      <c r="T24" s="9">
        <f>SUM(T25:T34)</f>
        <v>0</v>
      </c>
      <c r="U24" s="9">
        <f>SUM(U25:U34)</f>
        <v>10</v>
      </c>
      <c r="X24"/>
      <c r="Y24" s="41" t="s">
        <v>109</v>
      </c>
      <c r="Z24" s="40">
        <v>3</v>
      </c>
      <c r="AA24" s="40" t="str">
        <f t="shared" si="14"/>
        <v>flaw</v>
      </c>
      <c r="AB24"/>
      <c r="AC24"/>
    </row>
    <row r="25" spans="1:29" x14ac:dyDescent="0.3">
      <c r="F25" s="37" t="s">
        <v>100</v>
      </c>
      <c r="G25" s="5" t="str">
        <f t="shared" ref="G25:G27" si="17">REPT("•",SUM(H25:J25))</f>
        <v>•••</v>
      </c>
      <c r="H25" s="36"/>
      <c r="I25" s="14"/>
      <c r="J25" s="36">
        <v>3</v>
      </c>
      <c r="K25" s="36"/>
      <c r="L25" s="11">
        <f>2*I25</f>
        <v>0</v>
      </c>
      <c r="M25" s="37" t="str">
        <f>VLOOKUP("Добродетель",$AD:$AF,2,0)</f>
        <v>2FB за точку</v>
      </c>
      <c r="O25" s="5" t="s">
        <v>16</v>
      </c>
      <c r="P25" s="5" t="str">
        <f>REPT("•",SUM(Q25:S25))</f>
        <v/>
      </c>
      <c r="R25" s="20"/>
      <c r="T25" s="11">
        <f>IF(Q26&lt;&gt;1,0,IF(R26+S26=0,3,2*(R26+S26)))</f>
        <v>0</v>
      </c>
      <c r="U25" s="11">
        <f>2*R25</f>
        <v>0</v>
      </c>
      <c r="X25"/>
      <c r="Y25" s="41" t="s">
        <v>110</v>
      </c>
      <c r="Z25" s="40">
        <v>1</v>
      </c>
      <c r="AA25" s="40" t="str">
        <f t="shared" si="14"/>
        <v>flaw</v>
      </c>
      <c r="AB25"/>
      <c r="AC25"/>
    </row>
    <row r="26" spans="1:29" x14ac:dyDescent="0.3">
      <c r="F26" s="37" t="s">
        <v>101</v>
      </c>
      <c r="G26" s="5" t="str">
        <f t="shared" si="17"/>
        <v>•••</v>
      </c>
      <c r="H26" s="36"/>
      <c r="I26" s="14"/>
      <c r="J26" s="36">
        <v>3</v>
      </c>
      <c r="K26" s="36"/>
      <c r="L26" s="11">
        <f t="shared" ref="L26:L27" si="18">2*I26</f>
        <v>0</v>
      </c>
      <c r="M26" s="37" t="str">
        <f t="shared" ref="M26:M27" si="19">VLOOKUP("Добродетель",$AD:$AF,2,0)</f>
        <v>2FB за точку</v>
      </c>
      <c r="O26" s="5" t="s">
        <v>18</v>
      </c>
      <c r="P26" s="5" t="str">
        <f t="shared" ref="P26:P34" si="20">REPT("•",SUM(Q26:S26))</f>
        <v>•</v>
      </c>
      <c r="R26" s="20"/>
      <c r="S26" s="16">
        <v>1</v>
      </c>
      <c r="T26" s="11">
        <f t="shared" ref="T26:T34" si="21">IF(Q27&lt;&gt;1,0,IF(R27+S27=0,3,2*(R27+S27)))</f>
        <v>0</v>
      </c>
      <c r="U26" s="11">
        <f t="shared" ref="U26:U34" si="22">2*R26</f>
        <v>0</v>
      </c>
      <c r="X26"/>
      <c r="Y26" s="41" t="s">
        <v>111</v>
      </c>
      <c r="Z26" s="40">
        <v>2</v>
      </c>
      <c r="AA26" s="40" t="str">
        <f t="shared" si="14"/>
        <v>flaw</v>
      </c>
      <c r="AB26"/>
      <c r="AC26"/>
    </row>
    <row r="27" spans="1:29" x14ac:dyDescent="0.3">
      <c r="F27" s="37" t="s">
        <v>102</v>
      </c>
      <c r="G27" s="5" t="str">
        <f t="shared" si="17"/>
        <v>•••</v>
      </c>
      <c r="H27" s="36"/>
      <c r="I27" s="14"/>
      <c r="J27" s="36">
        <v>3</v>
      </c>
      <c r="K27" s="36"/>
      <c r="L27" s="11">
        <f t="shared" si="18"/>
        <v>0</v>
      </c>
      <c r="M27" s="37" t="str">
        <f t="shared" si="19"/>
        <v>2FB за точку</v>
      </c>
      <c r="O27" s="5" t="s">
        <v>85</v>
      </c>
      <c r="P27" s="5" t="str">
        <f t="shared" si="20"/>
        <v/>
      </c>
      <c r="R27" s="20"/>
      <c r="T27" s="11">
        <f t="shared" si="21"/>
        <v>0</v>
      </c>
      <c r="U27" s="11">
        <f t="shared" si="22"/>
        <v>0</v>
      </c>
      <c r="X27"/>
      <c r="Y27"/>
      <c r="Z27"/>
      <c r="AA27"/>
      <c r="AB27"/>
      <c r="AC27"/>
    </row>
    <row r="28" spans="1:29" x14ac:dyDescent="0.3">
      <c r="F28" s="1" t="s">
        <v>46</v>
      </c>
      <c r="G28" s="1"/>
      <c r="H28" s="17"/>
      <c r="I28" s="15"/>
      <c r="J28" s="17">
        <f>SUM(J29:J37)</f>
        <v>5</v>
      </c>
      <c r="K28" s="8">
        <f>SUM(K29:K37)</f>
        <v>0</v>
      </c>
      <c r="L28" s="8">
        <f>SUM(L29:L37)</f>
        <v>6</v>
      </c>
      <c r="M28" s="5">
        <v>5</v>
      </c>
      <c r="O28" s="5" t="s">
        <v>21</v>
      </c>
      <c r="P28" s="5" t="str">
        <f t="shared" si="20"/>
        <v>•</v>
      </c>
      <c r="R28" s="20"/>
      <c r="S28" s="16">
        <v>1</v>
      </c>
      <c r="T28" s="11">
        <f t="shared" si="21"/>
        <v>0</v>
      </c>
      <c r="U28" s="11">
        <f t="shared" si="22"/>
        <v>0</v>
      </c>
      <c r="X28"/>
      <c r="Y28"/>
      <c r="Z28"/>
      <c r="AA28"/>
      <c r="AB28"/>
      <c r="AC28"/>
    </row>
    <row r="29" spans="1:29" x14ac:dyDescent="0.3">
      <c r="F29" s="5" t="s">
        <v>79</v>
      </c>
      <c r="G29" s="5" t="str">
        <f>REPT("•",SUM(H29:J29))</f>
        <v>••••</v>
      </c>
      <c r="I29" s="14"/>
      <c r="J29" s="16">
        <v>4</v>
      </c>
      <c r="K29" s="10"/>
      <c r="L29" s="11">
        <f>I29</f>
        <v>0</v>
      </c>
      <c r="M29" s="5" t="s">
        <v>44</v>
      </c>
      <c r="O29" s="5" t="s">
        <v>23</v>
      </c>
      <c r="P29" s="5" t="str">
        <f t="shared" si="20"/>
        <v/>
      </c>
      <c r="R29" s="20"/>
      <c r="T29" s="11">
        <f t="shared" si="21"/>
        <v>0</v>
      </c>
      <c r="U29" s="11">
        <f t="shared" si="22"/>
        <v>0</v>
      </c>
      <c r="W29" s="23" t="s">
        <v>71</v>
      </c>
      <c r="X29"/>
      <c r="Y29"/>
      <c r="Z29"/>
      <c r="AA29"/>
      <c r="AB29"/>
      <c r="AC29"/>
    </row>
    <row r="30" spans="1:29" x14ac:dyDescent="0.3">
      <c r="F30" s="5" t="s">
        <v>80</v>
      </c>
      <c r="G30" s="5" t="str">
        <f>REPT("•",SUM(H30:J30))</f>
        <v>•</v>
      </c>
      <c r="I30" s="14"/>
      <c r="J30" s="16">
        <v>1</v>
      </c>
      <c r="K30" s="10"/>
      <c r="L30" s="11">
        <f>I30</f>
        <v>0</v>
      </c>
      <c r="M30" s="5" t="str">
        <f>VLOOKUP(M29,$AD:$AF,2,0)</f>
        <v>1FB за точку</v>
      </c>
      <c r="O30" s="5" t="s">
        <v>25</v>
      </c>
      <c r="P30" s="5" t="str">
        <f t="shared" si="20"/>
        <v>••</v>
      </c>
      <c r="R30" s="20"/>
      <c r="S30" s="16">
        <v>2</v>
      </c>
      <c r="T30" s="11">
        <f t="shared" si="21"/>
        <v>0</v>
      </c>
      <c r="U30" s="11">
        <f t="shared" si="22"/>
        <v>0</v>
      </c>
      <c r="W30" s="5" t="s">
        <v>87</v>
      </c>
      <c r="X30"/>
      <c r="Y30"/>
      <c r="Z30"/>
      <c r="AA30"/>
      <c r="AB30"/>
      <c r="AC30"/>
    </row>
    <row r="31" spans="1:29" x14ac:dyDescent="0.3">
      <c r="F31" s="5" t="s">
        <v>47</v>
      </c>
      <c r="G31" s="5" t="str">
        <f>REPT("•",SUM(H31:J31))</f>
        <v>•</v>
      </c>
      <c r="I31" s="14">
        <v>1</v>
      </c>
      <c r="K31" s="10"/>
      <c r="L31" s="11">
        <f>I31</f>
        <v>1</v>
      </c>
      <c r="O31" s="5" t="s">
        <v>27</v>
      </c>
      <c r="P31" s="5" t="str">
        <f t="shared" si="20"/>
        <v>••</v>
      </c>
      <c r="R31" s="20">
        <v>2</v>
      </c>
      <c r="T31" s="11">
        <f t="shared" si="21"/>
        <v>0</v>
      </c>
      <c r="U31" s="11">
        <f t="shared" si="22"/>
        <v>4</v>
      </c>
      <c r="V31" s="5">
        <f>POWER(2,SUM(Q30:S30,-1))</f>
        <v>2</v>
      </c>
      <c r="W31" s="5" t="s">
        <v>72</v>
      </c>
      <c r="X31"/>
      <c r="Y31"/>
      <c r="Z31"/>
      <c r="AA31"/>
      <c r="AB31"/>
      <c r="AC31"/>
    </row>
    <row r="32" spans="1:29" x14ac:dyDescent="0.3">
      <c r="F32" s="5" t="s">
        <v>48</v>
      </c>
      <c r="G32" s="5" t="str">
        <f>REPT("•",SUM(H32:J32))</f>
        <v>•</v>
      </c>
      <c r="I32" s="14">
        <v>1</v>
      </c>
      <c r="K32" s="10"/>
      <c r="L32" s="11">
        <f>I32</f>
        <v>1</v>
      </c>
      <c r="O32" s="5" t="s">
        <v>29</v>
      </c>
      <c r="P32" s="5" t="str">
        <f t="shared" si="20"/>
        <v>•••</v>
      </c>
      <c r="R32" s="20">
        <v>3</v>
      </c>
      <c r="T32" s="11">
        <f t="shared" si="21"/>
        <v>0</v>
      </c>
      <c r="U32" s="11">
        <f t="shared" si="22"/>
        <v>6</v>
      </c>
    </row>
    <row r="33" spans="6:21" x14ac:dyDescent="0.3">
      <c r="F33" s="5" t="s">
        <v>56</v>
      </c>
      <c r="G33" s="5" t="str">
        <f>REPT("•",SUM(H33:J33))</f>
        <v>•</v>
      </c>
      <c r="I33" s="14">
        <v>1</v>
      </c>
      <c r="K33" s="10"/>
      <c r="L33" s="11">
        <f>I33</f>
        <v>1</v>
      </c>
      <c r="O33" s="5" t="s">
        <v>86</v>
      </c>
      <c r="P33" s="5" t="str">
        <f t="shared" si="20"/>
        <v/>
      </c>
      <c r="R33" s="20"/>
      <c r="T33" s="11">
        <f t="shared" si="21"/>
        <v>0</v>
      </c>
      <c r="U33" s="11">
        <f t="shared" si="22"/>
        <v>0</v>
      </c>
    </row>
    <row r="34" spans="6:21" x14ac:dyDescent="0.3">
      <c r="F34" s="5" t="s">
        <v>81</v>
      </c>
      <c r="G34" s="5" t="str">
        <f t="shared" ref="G34:G35" si="23">REPT("•",SUM(H34:J34))</f>
        <v>••</v>
      </c>
      <c r="I34" s="14">
        <v>2</v>
      </c>
      <c r="K34" s="10"/>
      <c r="L34" s="11">
        <f t="shared" ref="L34:L35" si="24">I34</f>
        <v>2</v>
      </c>
      <c r="O34" s="5" t="s">
        <v>31</v>
      </c>
      <c r="P34" s="5" t="str">
        <f t="shared" si="20"/>
        <v>•</v>
      </c>
      <c r="R34" s="20"/>
      <c r="S34" s="16">
        <v>1</v>
      </c>
      <c r="T34" s="11">
        <f t="shared" si="21"/>
        <v>0</v>
      </c>
      <c r="U34" s="11">
        <f t="shared" si="22"/>
        <v>0</v>
      </c>
    </row>
    <row r="35" spans="6:21" x14ac:dyDescent="0.3">
      <c r="F35" s="5" t="s">
        <v>82</v>
      </c>
      <c r="G35" s="5" t="str">
        <f t="shared" si="23"/>
        <v>•</v>
      </c>
      <c r="I35" s="14">
        <v>1</v>
      </c>
      <c r="K35" s="10"/>
      <c r="L35" s="11">
        <f t="shared" si="24"/>
        <v>1</v>
      </c>
    </row>
    <row r="36" spans="6:21" x14ac:dyDescent="0.3">
      <c r="K36" s="10"/>
    </row>
    <row r="37" spans="6:21" x14ac:dyDescent="0.3">
      <c r="K37" s="10"/>
    </row>
  </sheetData>
  <conditionalFormatting sqref="A1:E1048576">
    <cfRule type="containsText" dxfId="16" priority="5" operator="containsText" text="f">
      <formula>NOT(ISERROR(SEARCH("f",A1)))</formula>
    </cfRule>
    <cfRule type="containsText" dxfId="15" priority="6" operator="containsText" text="g">
      <formula>NOT(ISERROR(SEARCH("g",A1)))</formula>
    </cfRule>
  </conditionalFormatting>
  <conditionalFormatting sqref="F14:L21">
    <cfRule type="expression" dxfId="14" priority="8">
      <formula>LEN($G14)&gt;0</formula>
    </cfRule>
  </conditionalFormatting>
  <conditionalFormatting sqref="N6">
    <cfRule type="expression" dxfId="13" priority="9">
      <formula>LEN($P5)&gt;0</formula>
    </cfRule>
  </conditionalFormatting>
  <conditionalFormatting sqref="O14:R20 S15:S20 O22:S24">
    <cfRule type="expression" dxfId="12" priority="4">
      <formula>LEN($P14)&gt;0</formula>
    </cfRule>
  </conditionalFormatting>
  <conditionalFormatting sqref="O3:S4 P5:S5 O6:S13 O25:O32 O34">
    <cfRule type="expression" dxfId="11" priority="7">
      <formula>LEN($P3)&gt;0</formula>
    </cfRule>
  </conditionalFormatting>
  <conditionalFormatting sqref="P21:S21">
    <cfRule type="expression" dxfId="10" priority="1">
      <formula>LEN($P21)&gt;0</formula>
    </cfRule>
  </conditionalFormatting>
  <conditionalFormatting sqref="P25:S34">
    <cfRule type="expression" dxfId="9" priority="3">
      <formula>LEN($P25)&gt;0</formula>
    </cfRule>
  </conditionalFormatting>
  <conditionalFormatting sqref="Y19:AA26">
    <cfRule type="expression" dxfId="8" priority="2">
      <formula>$Z19&lt;0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51817-A558-468C-A69D-BC9FFED2FF59}">
  <sheetPr>
    <tabColor theme="5" tint="0.39997558519241921"/>
  </sheetPr>
  <dimension ref="A1:AF37"/>
  <sheetViews>
    <sheetView tabSelected="1" zoomScale="70" zoomScaleNormal="70" workbookViewId="0">
      <selection activeCell="K32" sqref="K32"/>
    </sheetView>
  </sheetViews>
  <sheetFormatPr defaultRowHeight="15.75" outlineLevelCol="1" x14ac:dyDescent="0.3"/>
  <cols>
    <col min="1" max="1" width="3.109375" style="5" customWidth="1"/>
    <col min="2" max="5" width="3.109375" style="5" customWidth="1" outlineLevel="1"/>
    <col min="6" max="6" width="20.88671875" style="5" customWidth="1"/>
    <col min="7" max="7" width="7.77734375" style="5" bestFit="1" customWidth="1"/>
    <col min="8" max="8" width="6.21875" style="16" bestFit="1" customWidth="1"/>
    <col min="9" max="9" width="8.5546875" style="16" bestFit="1" customWidth="1"/>
    <col min="10" max="10" width="5.44140625" style="16" bestFit="1" customWidth="1"/>
    <col min="11" max="11" width="9.44140625" style="11" customWidth="1" outlineLevel="1"/>
    <col min="12" max="12" width="9.21875" style="11" bestFit="1" customWidth="1"/>
    <col min="13" max="13" width="23.88671875" style="5" customWidth="1"/>
    <col min="14" max="14" width="8.88671875" style="5"/>
    <col min="15" max="15" width="13.5546875" style="5" bestFit="1" customWidth="1"/>
    <col min="16" max="16" width="6.77734375" style="5" bestFit="1" customWidth="1"/>
    <col min="17" max="17" width="6.21875" style="16" bestFit="1" customWidth="1"/>
    <col min="18" max="18" width="8.5546875" style="16" bestFit="1" customWidth="1"/>
    <col min="19" max="19" width="5.44140625" style="16" bestFit="1" customWidth="1"/>
    <col min="20" max="20" width="10.21875" style="11" customWidth="1" outlineLevel="1"/>
    <col min="21" max="21" width="9.21875" style="11" bestFit="1" customWidth="1"/>
    <col min="22" max="22" width="13.21875" style="5" bestFit="1" customWidth="1"/>
    <col min="23" max="23" width="12.21875" style="5" bestFit="1" customWidth="1"/>
    <col min="24" max="24" width="8.88671875" style="5"/>
    <col min="25" max="25" width="15.21875" style="5" bestFit="1" customWidth="1"/>
    <col min="26" max="26" width="11.6640625" style="5" bestFit="1" customWidth="1"/>
    <col min="27" max="27" width="12.88671875" style="5" bestFit="1" customWidth="1"/>
    <col min="28" max="28" width="10.88671875" style="5" customWidth="1"/>
    <col min="29" max="29" width="8.88671875" style="5"/>
    <col min="30" max="30" width="18.21875" style="5" bestFit="1" customWidth="1"/>
    <col min="31" max="31" width="17.77734375" style="5" bestFit="1" customWidth="1"/>
    <col min="32" max="32" width="16.33203125" style="16" bestFit="1" customWidth="1"/>
    <col min="33" max="33" width="18.6640625" style="5" bestFit="1" customWidth="1"/>
    <col min="34" max="34" width="12" style="5" bestFit="1" customWidth="1"/>
    <col min="35" max="35" width="9.6640625" style="5" customWidth="1"/>
    <col min="36" max="16384" width="8.88671875" style="5"/>
  </cols>
  <sheetData>
    <row r="1" spans="1:32" s="2" customFormat="1" x14ac:dyDescent="0.3">
      <c r="F1" s="1" t="s">
        <v>12</v>
      </c>
      <c r="G1" s="1" t="s">
        <v>58</v>
      </c>
      <c r="H1" s="17" t="s">
        <v>59</v>
      </c>
      <c r="I1" s="17" t="s">
        <v>60</v>
      </c>
      <c r="J1" s="17" t="s">
        <v>61</v>
      </c>
      <c r="K1" s="8" t="s">
        <v>62</v>
      </c>
      <c r="L1" s="8" t="s">
        <v>63</v>
      </c>
      <c r="M1" s="2" t="s">
        <v>49</v>
      </c>
      <c r="O1" s="1" t="s">
        <v>41</v>
      </c>
      <c r="P1" s="1" t="s">
        <v>58</v>
      </c>
      <c r="Q1" s="17" t="s">
        <v>59</v>
      </c>
      <c r="R1" s="17" t="s">
        <v>60</v>
      </c>
      <c r="S1" s="17" t="s">
        <v>61</v>
      </c>
      <c r="T1" s="8" t="s">
        <v>62</v>
      </c>
      <c r="U1" s="8" t="s">
        <v>63</v>
      </c>
      <c r="V1" s="3" t="s">
        <v>50</v>
      </c>
      <c r="AA1" s="2" t="s">
        <v>54</v>
      </c>
      <c r="AD1" s="5" t="s">
        <v>57</v>
      </c>
      <c r="AE1" s="5" t="s">
        <v>65</v>
      </c>
      <c r="AF1" s="16" t="s">
        <v>66</v>
      </c>
    </row>
    <row r="2" spans="1:32" ht="16.399999999999999" thickBot="1" x14ac:dyDescent="0.35">
      <c r="F2" s="4" t="s">
        <v>4</v>
      </c>
      <c r="G2" s="4"/>
      <c r="H2" s="18"/>
      <c r="I2" s="13"/>
      <c r="J2" s="18">
        <f>SUM(J3:J5)-3</f>
        <v>3</v>
      </c>
      <c r="K2" s="9">
        <f>SUM(K3:K5)</f>
        <v>0</v>
      </c>
      <c r="L2" s="9">
        <f>SUM(L3:L5)</f>
        <v>0</v>
      </c>
      <c r="M2" s="5" t="s">
        <v>42</v>
      </c>
      <c r="O2" s="4" t="s">
        <v>14</v>
      </c>
      <c r="P2" s="4"/>
      <c r="Q2" s="18"/>
      <c r="R2" s="19"/>
      <c r="S2" s="18">
        <f>SUM(S3:S12)</f>
        <v>13</v>
      </c>
      <c r="T2" s="9">
        <f>SUM(T3:T12)</f>
        <v>0</v>
      </c>
      <c r="U2" s="9">
        <f>SUM(U3:U12)</f>
        <v>2</v>
      </c>
      <c r="V2" s="5" t="s">
        <v>43</v>
      </c>
      <c r="Y2" s="5" t="s">
        <v>42</v>
      </c>
      <c r="Z2" s="5" t="s">
        <v>67</v>
      </c>
      <c r="AA2" s="5">
        <f>SUM(L2,L6,L10)</f>
        <v>0</v>
      </c>
      <c r="AD2" s="5" t="s">
        <v>42</v>
      </c>
      <c r="AE2" s="5" t="s">
        <v>67</v>
      </c>
      <c r="AF2" s="16" t="s">
        <v>94</v>
      </c>
    </row>
    <row r="3" spans="1:32" x14ac:dyDescent="0.3">
      <c r="A3" s="32" t="s">
        <v>74</v>
      </c>
      <c r="B3" s="25"/>
      <c r="C3" s="25"/>
      <c r="D3" s="25"/>
      <c r="E3" s="26"/>
      <c r="F3" s="42" t="s">
        <v>0</v>
      </c>
      <c r="G3" s="5" t="str">
        <f>REPT("•",SUM(H3:J3))</f>
        <v>••</v>
      </c>
      <c r="I3" s="14"/>
      <c r="J3" s="16">
        <v>2</v>
      </c>
      <c r="K3" s="10"/>
      <c r="L3" s="11">
        <f>5*I3</f>
        <v>0</v>
      </c>
      <c r="M3" s="5" t="str">
        <f>VLOOKUP(M2,$AD:$AF,2,0)</f>
        <v>5FB за точку</v>
      </c>
      <c r="O3" s="5" t="s">
        <v>15</v>
      </c>
      <c r="P3" s="5" t="str">
        <f>REPT("•",SUM(Q3:S3))</f>
        <v>•••</v>
      </c>
      <c r="R3" s="20"/>
      <c r="S3" s="16">
        <v>3</v>
      </c>
      <c r="T3" s="11">
        <f>IF(Q3&lt;&gt;1,0,IF(R3+S3=0,3,2*(R3+S3)))</f>
        <v>0</v>
      </c>
      <c r="U3" s="11">
        <f>2*R3</f>
        <v>0</v>
      </c>
      <c r="V3" s="5" t="str">
        <f>VLOOKUP(V2,$AD:$AF,2,0)</f>
        <v>2FB за точку</v>
      </c>
      <c r="Y3" s="5" t="s">
        <v>43</v>
      </c>
      <c r="Z3" s="5" t="s">
        <v>68</v>
      </c>
      <c r="AA3" s="5">
        <f>SUM(U2,U13,U24)</f>
        <v>10</v>
      </c>
      <c r="AD3" s="5" t="s">
        <v>43</v>
      </c>
      <c r="AE3" s="4" t="s">
        <v>68</v>
      </c>
      <c r="AF3" s="16" t="s">
        <v>95</v>
      </c>
    </row>
    <row r="4" spans="1:32" x14ac:dyDescent="0.3">
      <c r="A4" s="33" t="s">
        <v>74</v>
      </c>
      <c r="B4" s="5" t="s">
        <v>75</v>
      </c>
      <c r="E4" s="28"/>
      <c r="F4" s="5" t="s">
        <v>1</v>
      </c>
      <c r="G4" s="5" t="str">
        <f t="shared" ref="G4:G5" si="0">REPT("•",SUM(H4:J4))</f>
        <v>•••</v>
      </c>
      <c r="I4" s="14"/>
      <c r="J4" s="16">
        <v>3</v>
      </c>
      <c r="K4" s="10"/>
      <c r="L4" s="11">
        <f t="shared" ref="L4:L5" si="1">5*I4</f>
        <v>0</v>
      </c>
      <c r="O4" s="5" t="s">
        <v>17</v>
      </c>
      <c r="P4" s="5" t="str">
        <f t="shared" ref="P4:P12" si="2">REPT("•",SUM(Q4:S4))</f>
        <v>••</v>
      </c>
      <c r="R4" s="20"/>
      <c r="S4" s="16">
        <v>2</v>
      </c>
      <c r="T4" s="11">
        <f t="shared" ref="T4:T12" si="3">IF(Q4&lt;&gt;1,0,IF(R4+S4=0,3,2*(R4+S4)))</f>
        <v>0</v>
      </c>
      <c r="U4" s="11">
        <f t="shared" ref="U4:U12" si="4">2*R4</f>
        <v>0</v>
      </c>
      <c r="AD4" s="5" t="s">
        <v>88</v>
      </c>
      <c r="AE4" s="4" t="s">
        <v>68</v>
      </c>
      <c r="AF4" s="16">
        <v>3</v>
      </c>
    </row>
    <row r="5" spans="1:32" ht="16.399999999999999" thickBot="1" x14ac:dyDescent="0.35">
      <c r="A5" s="34" t="s">
        <v>74</v>
      </c>
      <c r="B5" s="30"/>
      <c r="C5" s="30"/>
      <c r="D5" s="30"/>
      <c r="E5" s="31"/>
      <c r="F5" s="42" t="s">
        <v>2</v>
      </c>
      <c r="G5" s="5" t="str">
        <f t="shared" si="0"/>
        <v>•</v>
      </c>
      <c r="I5" s="14"/>
      <c r="J5" s="16">
        <v>1</v>
      </c>
      <c r="K5" s="10"/>
      <c r="L5" s="11">
        <f t="shared" si="1"/>
        <v>0</v>
      </c>
      <c r="M5" s="22"/>
      <c r="O5" s="5" t="s">
        <v>19</v>
      </c>
      <c r="P5" s="5" t="str">
        <f t="shared" si="2"/>
        <v/>
      </c>
      <c r="R5" s="20"/>
      <c r="T5" s="11">
        <f t="shared" si="3"/>
        <v>0</v>
      </c>
      <c r="U5" s="11">
        <f t="shared" si="4"/>
        <v>0</v>
      </c>
      <c r="Y5" s="5" t="s">
        <v>92</v>
      </c>
      <c r="Z5" s="5" t="s">
        <v>69</v>
      </c>
      <c r="AA5" s="5">
        <f>L14</f>
        <v>7</v>
      </c>
      <c r="AD5" s="5" t="s">
        <v>92</v>
      </c>
      <c r="AE5" s="21" t="s">
        <v>69</v>
      </c>
      <c r="AF5" s="16" t="s">
        <v>96</v>
      </c>
    </row>
    <row r="6" spans="1:32" ht="16.399999999999999" thickBot="1" x14ac:dyDescent="0.35">
      <c r="F6" s="4" t="s">
        <v>3</v>
      </c>
      <c r="G6" s="4"/>
      <c r="H6" s="18"/>
      <c r="I6" s="13"/>
      <c r="J6" s="18">
        <f>SUM(J7:J9)-3</f>
        <v>5</v>
      </c>
      <c r="K6" s="9">
        <f>SUM(K7:K9)</f>
        <v>0</v>
      </c>
      <c r="L6" s="9">
        <f>SUM(L7:L9)</f>
        <v>0</v>
      </c>
      <c r="O6" s="5" t="s">
        <v>20</v>
      </c>
      <c r="P6" s="5" t="str">
        <f t="shared" si="2"/>
        <v>•••</v>
      </c>
      <c r="R6" s="20"/>
      <c r="S6" s="16">
        <v>3</v>
      </c>
      <c r="T6" s="11">
        <f t="shared" si="3"/>
        <v>0</v>
      </c>
      <c r="U6" s="11">
        <f t="shared" si="4"/>
        <v>0</v>
      </c>
      <c r="AD6" s="5" t="s">
        <v>93</v>
      </c>
      <c r="AE6" s="21" t="s">
        <v>69</v>
      </c>
      <c r="AF6" s="16" t="s">
        <v>97</v>
      </c>
    </row>
    <row r="7" spans="1:32" x14ac:dyDescent="0.3">
      <c r="A7" s="32" t="s">
        <v>74</v>
      </c>
      <c r="B7" s="25"/>
      <c r="C7" s="25"/>
      <c r="D7" s="25"/>
      <c r="E7" s="26"/>
      <c r="F7" s="42" t="s">
        <v>6</v>
      </c>
      <c r="G7" s="5" t="str">
        <f>REPT("•",SUM(H7:J7))</f>
        <v>••</v>
      </c>
      <c r="I7" s="14"/>
      <c r="J7" s="16">
        <v>2</v>
      </c>
      <c r="K7" s="10"/>
      <c r="L7" s="11">
        <f>5*I7</f>
        <v>0</v>
      </c>
      <c r="O7" s="5" t="s">
        <v>83</v>
      </c>
      <c r="P7" s="5" t="str">
        <f t="shared" si="2"/>
        <v>••</v>
      </c>
      <c r="R7" s="20"/>
      <c r="S7" s="16">
        <v>2</v>
      </c>
      <c r="T7" s="11">
        <f t="shared" si="3"/>
        <v>0</v>
      </c>
      <c r="U7" s="11">
        <f t="shared" si="4"/>
        <v>0</v>
      </c>
      <c r="AD7" s="5" t="s">
        <v>98</v>
      </c>
      <c r="AF7" s="16" t="s">
        <v>94</v>
      </c>
    </row>
    <row r="8" spans="1:32" x14ac:dyDescent="0.3">
      <c r="A8" s="33" t="s">
        <v>74</v>
      </c>
      <c r="B8" s="5" t="s">
        <v>75</v>
      </c>
      <c r="E8" s="28"/>
      <c r="F8" s="42" t="s">
        <v>7</v>
      </c>
      <c r="G8" s="5" t="str">
        <f t="shared" ref="G8:G9" si="5">REPT("•",SUM(H8:J8))</f>
        <v>•••</v>
      </c>
      <c r="I8" s="14"/>
      <c r="J8" s="16">
        <v>3</v>
      </c>
      <c r="K8" s="10"/>
      <c r="L8" s="11">
        <f t="shared" ref="L8:L9" si="6">5*I8</f>
        <v>0</v>
      </c>
      <c r="O8" s="5" t="s">
        <v>22</v>
      </c>
      <c r="P8" s="5" t="str">
        <f t="shared" si="2"/>
        <v>••</v>
      </c>
      <c r="R8" s="20">
        <v>1</v>
      </c>
      <c r="S8" s="16">
        <v>1</v>
      </c>
      <c r="T8" s="11">
        <f t="shared" si="3"/>
        <v>0</v>
      </c>
      <c r="U8" s="11">
        <f t="shared" si="4"/>
        <v>2</v>
      </c>
      <c r="Y8" s="5" t="s">
        <v>44</v>
      </c>
      <c r="Z8" s="5" t="s">
        <v>70</v>
      </c>
      <c r="AA8" s="5">
        <f>L28</f>
        <v>6</v>
      </c>
      <c r="AD8" s="5" t="s">
        <v>44</v>
      </c>
      <c r="AE8" s="5" t="s">
        <v>70</v>
      </c>
    </row>
    <row r="9" spans="1:32" ht="16.399999999999999" thickBot="1" x14ac:dyDescent="0.35">
      <c r="A9" s="34" t="s">
        <v>74</v>
      </c>
      <c r="B9" s="30"/>
      <c r="C9" s="30"/>
      <c r="D9" s="30"/>
      <c r="E9" s="31"/>
      <c r="F9" s="5" t="s">
        <v>8</v>
      </c>
      <c r="G9" s="5" t="str">
        <f t="shared" si="5"/>
        <v>•••</v>
      </c>
      <c r="I9" s="14"/>
      <c r="J9" s="16">
        <v>3</v>
      </c>
      <c r="K9" s="10"/>
      <c r="L9" s="11">
        <f t="shared" si="6"/>
        <v>0</v>
      </c>
      <c r="O9" s="5" t="s">
        <v>24</v>
      </c>
      <c r="P9" s="5" t="str">
        <f t="shared" si="2"/>
        <v/>
      </c>
      <c r="R9" s="20"/>
      <c r="T9" s="11">
        <f t="shared" si="3"/>
        <v>0</v>
      </c>
      <c r="U9" s="11">
        <f t="shared" si="4"/>
        <v>0</v>
      </c>
      <c r="Y9" s="5" t="s">
        <v>90</v>
      </c>
      <c r="Z9" s="5" t="s">
        <v>68</v>
      </c>
      <c r="AA9" s="5">
        <f>SUM(L25:L27)</f>
        <v>0</v>
      </c>
      <c r="AD9" s="5" t="s">
        <v>90</v>
      </c>
      <c r="AE9" s="5" t="s">
        <v>68</v>
      </c>
      <c r="AF9" s="16" t="s">
        <v>95</v>
      </c>
    </row>
    <row r="10" spans="1:32" ht="16.399999999999999" thickBot="1" x14ac:dyDescent="0.35">
      <c r="F10" s="4" t="s">
        <v>5</v>
      </c>
      <c r="G10" s="4"/>
      <c r="H10" s="18"/>
      <c r="I10" s="13"/>
      <c r="J10" s="18">
        <f>SUM(J11:J13)-3</f>
        <v>7</v>
      </c>
      <c r="K10" s="9">
        <f>SUM(K11:K13)</f>
        <v>0</v>
      </c>
      <c r="L10" s="9">
        <f>SUM(L11:L13)</f>
        <v>0</v>
      </c>
      <c r="O10" s="5" t="s">
        <v>26</v>
      </c>
      <c r="P10" s="5" t="str">
        <f t="shared" si="2"/>
        <v/>
      </c>
      <c r="R10" s="20"/>
      <c r="T10" s="11">
        <f t="shared" si="3"/>
        <v>0</v>
      </c>
      <c r="U10" s="11">
        <f t="shared" si="4"/>
        <v>0</v>
      </c>
      <c r="Y10" s="5" t="s">
        <v>91</v>
      </c>
      <c r="Z10" s="5" t="s">
        <v>70</v>
      </c>
      <c r="AA10" s="5">
        <f>L23</f>
        <v>0</v>
      </c>
      <c r="AD10" s="5" t="s">
        <v>91</v>
      </c>
      <c r="AE10" s="5" t="s">
        <v>70</v>
      </c>
      <c r="AF10" s="16" t="s">
        <v>95</v>
      </c>
    </row>
    <row r="11" spans="1:32" x14ac:dyDescent="0.3">
      <c r="A11" s="32" t="s">
        <v>74</v>
      </c>
      <c r="B11" s="25" t="s">
        <v>75</v>
      </c>
      <c r="C11" s="25" t="s">
        <v>75</v>
      </c>
      <c r="D11" s="25"/>
      <c r="E11" s="26"/>
      <c r="F11" s="5" t="s">
        <v>9</v>
      </c>
      <c r="G11" s="5" t="str">
        <f>REPT("•",SUM(H11:J11))</f>
        <v>••••</v>
      </c>
      <c r="I11" s="14"/>
      <c r="J11" s="16">
        <v>4</v>
      </c>
      <c r="K11" s="10"/>
      <c r="L11" s="11">
        <f>5*I11</f>
        <v>0</v>
      </c>
      <c r="O11" s="5" t="s">
        <v>28</v>
      </c>
      <c r="P11" s="5" t="str">
        <f t="shared" si="2"/>
        <v/>
      </c>
      <c r="R11" s="20"/>
      <c r="T11" s="11">
        <f t="shared" si="3"/>
        <v>0</v>
      </c>
      <c r="U11" s="11">
        <f t="shared" si="4"/>
        <v>0</v>
      </c>
      <c r="Y11" s="5" t="s">
        <v>45</v>
      </c>
      <c r="Z11" s="5" t="s">
        <v>70</v>
      </c>
      <c r="AA11" s="5">
        <f>L24</f>
        <v>3</v>
      </c>
      <c r="AD11" s="5" t="s">
        <v>45</v>
      </c>
      <c r="AE11" s="5" t="s">
        <v>70</v>
      </c>
      <c r="AF11" s="16" t="s">
        <v>99</v>
      </c>
    </row>
    <row r="12" spans="1:32" x14ac:dyDescent="0.3">
      <c r="A12" s="33" t="s">
        <v>74</v>
      </c>
      <c r="E12" s="28"/>
      <c r="F12" s="5" t="s">
        <v>10</v>
      </c>
      <c r="G12" s="5" t="str">
        <f t="shared" ref="G12:G13" si="7">REPT("•",SUM(H12:J12))</f>
        <v>•••</v>
      </c>
      <c r="I12" s="14"/>
      <c r="J12" s="16">
        <v>3</v>
      </c>
      <c r="K12" s="10"/>
      <c r="L12" s="11">
        <f t="shared" ref="L12:L13" si="8">5*I12</f>
        <v>0</v>
      </c>
      <c r="O12" s="5" t="s">
        <v>30</v>
      </c>
      <c r="P12" s="5" t="str">
        <f t="shared" si="2"/>
        <v>••</v>
      </c>
      <c r="R12" s="20"/>
      <c r="S12" s="16">
        <v>2</v>
      </c>
      <c r="T12" s="11">
        <f t="shared" si="3"/>
        <v>0</v>
      </c>
      <c r="U12" s="11">
        <f t="shared" si="4"/>
        <v>0</v>
      </c>
    </row>
    <row r="13" spans="1:32" ht="16.399999999999999" thickBot="1" x14ac:dyDescent="0.35">
      <c r="A13" s="34" t="s">
        <v>74</v>
      </c>
      <c r="B13" s="30"/>
      <c r="C13" s="30"/>
      <c r="D13" s="30"/>
      <c r="E13" s="31"/>
      <c r="F13" s="5" t="s">
        <v>11</v>
      </c>
      <c r="G13" s="5" t="str">
        <f t="shared" si="7"/>
        <v>•••</v>
      </c>
      <c r="I13" s="14"/>
      <c r="J13" s="16">
        <v>3</v>
      </c>
      <c r="K13" s="10"/>
      <c r="L13" s="11">
        <f t="shared" si="8"/>
        <v>0</v>
      </c>
      <c r="O13" s="4" t="s">
        <v>40</v>
      </c>
      <c r="P13" s="4"/>
      <c r="Q13" s="18"/>
      <c r="R13" s="19"/>
      <c r="S13" s="18">
        <f>SUM(S14:S23)</f>
        <v>5</v>
      </c>
      <c r="T13" s="9">
        <f>SUM(T14:T23)</f>
        <v>0</v>
      </c>
      <c r="U13" s="9">
        <f>SUM(U14:U23)</f>
        <v>6</v>
      </c>
      <c r="Z13" s="6" t="str">
        <f>(Z15+Z17-Z16)&amp;" fr-b всего"</f>
        <v>26 fr-b всего</v>
      </c>
      <c r="AA13" s="6" t="str">
        <f>SUM(AA2:AA11)&amp;" потрачено"</f>
        <v>26 потрачено</v>
      </c>
    </row>
    <row r="14" spans="1:32" ht="16.399999999999999" thickBot="1" x14ac:dyDescent="0.35">
      <c r="F14" s="1" t="s">
        <v>73</v>
      </c>
      <c r="G14" s="1"/>
      <c r="H14" s="17"/>
      <c r="I14" s="15"/>
      <c r="J14" s="17">
        <f>SUM(J15:J21)</f>
        <v>3</v>
      </c>
      <c r="K14" s="12">
        <f>SUM(K15:K22)</f>
        <v>0</v>
      </c>
      <c r="L14" s="8">
        <f>SUM(L15:L21)</f>
        <v>7</v>
      </c>
      <c r="M14" s="35">
        <v>3</v>
      </c>
      <c r="O14" s="5" t="s">
        <v>84</v>
      </c>
      <c r="P14" s="5" t="str">
        <f>REPT("•",SUM(Q14:S14))</f>
        <v>•</v>
      </c>
      <c r="R14" s="20"/>
      <c r="S14" s="16">
        <v>1</v>
      </c>
      <c r="T14" s="11">
        <f>IF(Q14&lt;&gt;1,0,IF(R14+S14=0,3,2*(R14+S14)))</f>
        <v>0</v>
      </c>
      <c r="U14" s="11">
        <f>2*R14</f>
        <v>0</v>
      </c>
      <c r="AB14" s="5" t="s">
        <v>64</v>
      </c>
    </row>
    <row r="15" spans="1:32" x14ac:dyDescent="0.3">
      <c r="A15" s="24" t="s">
        <v>75</v>
      </c>
      <c r="B15" s="25" t="s">
        <v>75</v>
      </c>
      <c r="C15" s="25"/>
      <c r="D15" s="25"/>
      <c r="E15" s="26"/>
      <c r="F15" s="5" t="s">
        <v>76</v>
      </c>
      <c r="G15" s="5" t="str">
        <f t="shared" ref="G15:G21" si="9">REPT("•",SUM(H15:J15))</f>
        <v>••</v>
      </c>
      <c r="I15" s="14">
        <v>1</v>
      </c>
      <c r="J15" s="16">
        <v>1</v>
      </c>
      <c r="K15" s="10"/>
      <c r="L15" s="11">
        <f>7*I15</f>
        <v>7</v>
      </c>
      <c r="M15" s="5" t="s">
        <v>89</v>
      </c>
      <c r="O15" s="5" t="s">
        <v>32</v>
      </c>
      <c r="P15" s="5" t="str">
        <f t="shared" ref="P15:P23" si="10">REPT("•",SUM(Q15:S15))</f>
        <v/>
      </c>
      <c r="R15" s="20"/>
      <c r="T15" s="11">
        <f t="shared" ref="T15:T23" si="11">IF(Q15&lt;&gt;1,0,IF(R15+S15=0,3,2*(R15+S15)))</f>
        <v>0</v>
      </c>
      <c r="U15" s="11">
        <f t="shared" ref="U15:U23" si="12">2*R15</f>
        <v>0</v>
      </c>
      <c r="Y15" s="5" t="s">
        <v>55</v>
      </c>
      <c r="Z15" s="6">
        <v>25</v>
      </c>
      <c r="AB15" s="7">
        <f>(Z15+Z17-Z16)-SUM(AA2:AA11)</f>
        <v>0</v>
      </c>
    </row>
    <row r="16" spans="1:32" x14ac:dyDescent="0.3">
      <c r="A16" s="27"/>
      <c r="E16" s="28"/>
      <c r="F16" s="5" t="s">
        <v>77</v>
      </c>
      <c r="G16" s="5" t="str">
        <f t="shared" si="9"/>
        <v>•</v>
      </c>
      <c r="I16" s="14"/>
      <c r="J16" s="16">
        <v>1</v>
      </c>
      <c r="K16" s="10"/>
      <c r="L16" s="11">
        <f t="shared" ref="L16:L21" si="13">7*I16</f>
        <v>0</v>
      </c>
      <c r="M16" s="5" t="str">
        <f>VLOOKUP("*"&amp;M15,$AD:$AF,2,0)</f>
        <v>7FB за точку</v>
      </c>
      <c r="O16" s="5" t="s">
        <v>33</v>
      </c>
      <c r="P16" s="5" t="str">
        <f t="shared" si="10"/>
        <v/>
      </c>
      <c r="R16" s="20"/>
      <c r="T16" s="11">
        <f t="shared" si="11"/>
        <v>0</v>
      </c>
      <c r="U16" s="11">
        <f t="shared" si="12"/>
        <v>0</v>
      </c>
      <c r="Y16" s="5" t="s">
        <v>53</v>
      </c>
      <c r="Z16" s="5">
        <f>-SUMIF($Z$19:$Z$32,"&lt;0")</f>
        <v>4</v>
      </c>
    </row>
    <row r="17" spans="1:29" x14ac:dyDescent="0.3">
      <c r="A17" s="27"/>
      <c r="E17" s="28"/>
      <c r="F17" s="5" t="s">
        <v>113</v>
      </c>
      <c r="G17" s="5" t="str">
        <f t="shared" si="9"/>
        <v>•</v>
      </c>
      <c r="I17" s="14"/>
      <c r="J17" s="16">
        <v>1</v>
      </c>
      <c r="K17" s="10"/>
      <c r="L17" s="11">
        <f t="shared" si="13"/>
        <v>0</v>
      </c>
      <c r="O17" s="5" t="s">
        <v>34</v>
      </c>
      <c r="P17" s="5" t="str">
        <f t="shared" si="10"/>
        <v>••</v>
      </c>
      <c r="R17" s="20"/>
      <c r="S17" s="16">
        <v>2</v>
      </c>
      <c r="T17" s="11">
        <f t="shared" si="11"/>
        <v>0</v>
      </c>
      <c r="U17" s="11">
        <f t="shared" si="12"/>
        <v>0</v>
      </c>
      <c r="X17"/>
      <c r="Y17" s="5" t="s">
        <v>52</v>
      </c>
      <c r="Z17" s="5">
        <f>SUMIF($Z$19:$Z$32,"&gt;0")</f>
        <v>5</v>
      </c>
      <c r="AC17"/>
    </row>
    <row r="18" spans="1:29" ht="16.399999999999999" thickBot="1" x14ac:dyDescent="0.35">
      <c r="A18" s="29"/>
      <c r="B18" s="30"/>
      <c r="C18" s="30"/>
      <c r="D18" s="30"/>
      <c r="E18" s="31"/>
      <c r="G18" s="5" t="str">
        <f t="shared" si="9"/>
        <v/>
      </c>
      <c r="I18" s="14"/>
      <c r="K18" s="10"/>
      <c r="L18" s="11">
        <f t="shared" si="13"/>
        <v>0</v>
      </c>
      <c r="O18" s="5" t="s">
        <v>35</v>
      </c>
      <c r="P18" s="5" t="str">
        <f t="shared" si="10"/>
        <v/>
      </c>
      <c r="R18" s="20"/>
      <c r="T18" s="11">
        <f t="shared" si="11"/>
        <v>0</v>
      </c>
      <c r="U18" s="11">
        <f t="shared" si="12"/>
        <v>0</v>
      </c>
      <c r="X18"/>
      <c r="Y18"/>
      <c r="Z18"/>
      <c r="AA18"/>
      <c r="AB18"/>
      <c r="AC18"/>
    </row>
    <row r="19" spans="1:29" x14ac:dyDescent="0.3">
      <c r="G19" s="5" t="str">
        <f t="shared" si="9"/>
        <v/>
      </c>
      <c r="I19" s="14"/>
      <c r="K19" s="10"/>
      <c r="L19" s="11">
        <f t="shared" si="13"/>
        <v>0</v>
      </c>
      <c r="O19" s="5" t="s">
        <v>36</v>
      </c>
      <c r="P19" s="5" t="str">
        <f>REPT("•",SUM(Q19:S19))</f>
        <v>•</v>
      </c>
      <c r="R19" s="20">
        <v>1</v>
      </c>
      <c r="T19" s="11">
        <f t="shared" si="11"/>
        <v>0</v>
      </c>
      <c r="U19" s="11">
        <f t="shared" si="12"/>
        <v>2</v>
      </c>
      <c r="X19"/>
      <c r="Y19" s="40" t="s">
        <v>104</v>
      </c>
      <c r="Z19" s="40">
        <v>-2</v>
      </c>
      <c r="AA19" s="40" t="str">
        <f>IF(Z19&lt;0,"merit","flaw")</f>
        <v>merit</v>
      </c>
      <c r="AB19"/>
      <c r="AC19"/>
    </row>
    <row r="20" spans="1:29" x14ac:dyDescent="0.3">
      <c r="G20" s="5" t="str">
        <f t="shared" si="9"/>
        <v/>
      </c>
      <c r="I20" s="14"/>
      <c r="K20" s="10"/>
      <c r="L20" s="11">
        <f t="shared" si="13"/>
        <v>0</v>
      </c>
      <c r="O20" s="5" t="s">
        <v>37</v>
      </c>
      <c r="P20" s="5" t="str">
        <f>REPT("•",SUM(Q20:S20))</f>
        <v/>
      </c>
      <c r="R20" s="20"/>
      <c r="T20" s="11">
        <f t="shared" si="11"/>
        <v>0</v>
      </c>
      <c r="U20" s="11">
        <f t="shared" si="12"/>
        <v>0</v>
      </c>
      <c r="X20"/>
      <c r="Y20" s="41" t="s">
        <v>105</v>
      </c>
      <c r="Z20" s="40">
        <v>-1</v>
      </c>
      <c r="AA20" s="40" t="str">
        <f t="shared" ref="AA20:AA26" si="14">IF(Z20&lt;0,"merit","flaw")</f>
        <v>merit</v>
      </c>
      <c r="AB20"/>
      <c r="AC20"/>
    </row>
    <row r="21" spans="1:29" x14ac:dyDescent="0.3">
      <c r="G21" s="5" t="str">
        <f t="shared" si="9"/>
        <v/>
      </c>
      <c r="I21" s="14"/>
      <c r="K21" s="10"/>
      <c r="L21" s="11">
        <f t="shared" si="13"/>
        <v>0</v>
      </c>
      <c r="O21" s="5" t="s">
        <v>112</v>
      </c>
      <c r="P21" s="5" t="str">
        <f t="shared" ref="P21" si="15">REPT("•",SUM(Q21:S21))</f>
        <v>••</v>
      </c>
      <c r="R21" s="20">
        <v>1</v>
      </c>
      <c r="S21" s="16">
        <v>1</v>
      </c>
      <c r="T21" s="11">
        <f t="shared" si="11"/>
        <v>0</v>
      </c>
      <c r="U21" s="11">
        <f t="shared" si="12"/>
        <v>2</v>
      </c>
      <c r="X21"/>
      <c r="Y21" s="41" t="s">
        <v>107</v>
      </c>
      <c r="Z21" s="40">
        <v>-1</v>
      </c>
      <c r="AA21" s="40" t="str">
        <f>IF(Z21&lt;0,"merit","flaw")</f>
        <v>merit</v>
      </c>
      <c r="AB21"/>
      <c r="AC21"/>
    </row>
    <row r="22" spans="1:29" x14ac:dyDescent="0.3">
      <c r="F22" s="1" t="s">
        <v>51</v>
      </c>
      <c r="G22" s="1"/>
      <c r="H22" s="17"/>
      <c r="I22" s="15"/>
      <c r="J22" s="17">
        <f>SUM(J23:J25)</f>
        <v>12</v>
      </c>
      <c r="K22" s="12"/>
      <c r="L22" s="8">
        <f>SUM(L23:L25)</f>
        <v>3</v>
      </c>
      <c r="M22" s="5" t="s">
        <v>115</v>
      </c>
      <c r="O22" s="5" t="s">
        <v>38</v>
      </c>
      <c r="P22" s="5" t="str">
        <f t="shared" si="10"/>
        <v>••</v>
      </c>
      <c r="R22" s="20">
        <v>1</v>
      </c>
      <c r="S22" s="16">
        <v>1</v>
      </c>
      <c r="T22" s="11">
        <f t="shared" si="11"/>
        <v>0</v>
      </c>
      <c r="U22" s="11">
        <f t="shared" si="12"/>
        <v>2</v>
      </c>
      <c r="X22"/>
      <c r="Y22" s="41" t="s">
        <v>108</v>
      </c>
      <c r="Z22" s="40">
        <v>2</v>
      </c>
      <c r="AA22" s="40" t="str">
        <f>IF(Z22&lt;0,"merit","flaw")</f>
        <v>flaw</v>
      </c>
      <c r="AB22"/>
      <c r="AC22"/>
    </row>
    <row r="23" spans="1:29" x14ac:dyDescent="0.3">
      <c r="F23" s="5" t="s">
        <v>91</v>
      </c>
      <c r="G23" s="39" t="str">
        <f>IF(SUM(H23:K23)&gt;=5,"⑤ "&amp;REPT("•",SUM(H23:K23)-5),REPT("•",SUM(H23:K23)))</f>
        <v>⑤ •</v>
      </c>
      <c r="I23" s="14"/>
      <c r="J23" s="38">
        <f>J25+J26</f>
        <v>6</v>
      </c>
      <c r="K23" s="10"/>
      <c r="L23" s="11">
        <f>1*I23</f>
        <v>0</v>
      </c>
      <c r="M23" s="5" t="str">
        <f>VLOOKUP(F23,$AD:$AF,2,0)</f>
        <v>1FB за точку</v>
      </c>
      <c r="O23" s="5" t="s">
        <v>39</v>
      </c>
      <c r="P23" s="5" t="str">
        <f t="shared" si="10"/>
        <v/>
      </c>
      <c r="R23" s="20"/>
      <c r="T23" s="11">
        <f t="shared" si="11"/>
        <v>0</v>
      </c>
      <c r="U23" s="11">
        <f t="shared" si="12"/>
        <v>0</v>
      </c>
      <c r="X23"/>
      <c r="Y23" s="41" t="s">
        <v>110</v>
      </c>
      <c r="Z23" s="40">
        <v>1</v>
      </c>
      <c r="AA23" s="40" t="str">
        <f>IF(Z23&lt;0,"merit","flaw")</f>
        <v>flaw</v>
      </c>
      <c r="AB23"/>
      <c r="AC23"/>
    </row>
    <row r="24" spans="1:29" x14ac:dyDescent="0.3">
      <c r="F24" s="5" t="s">
        <v>45</v>
      </c>
      <c r="G24" s="39" t="str">
        <f>IF(SUM(H24:K24)&gt;=5,"⑤ "&amp;REPT("•",SUM(H24:K24)-5),REPT("•",SUM(H24:K24)))</f>
        <v>⑤ ••</v>
      </c>
      <c r="I24" s="14">
        <v>3</v>
      </c>
      <c r="J24" s="38">
        <f>J27</f>
        <v>4</v>
      </c>
      <c r="L24" s="11">
        <f>1*I24</f>
        <v>3</v>
      </c>
      <c r="M24" s="5" t="str">
        <f>VLOOKUP(F24,$AD:$AF,2,0)</f>
        <v>1FB за точку</v>
      </c>
      <c r="O24" s="4" t="s">
        <v>13</v>
      </c>
      <c r="P24" s="4"/>
      <c r="Q24" s="18"/>
      <c r="R24" s="19"/>
      <c r="S24" s="18">
        <f>SUM(S25:S34)</f>
        <v>9</v>
      </c>
      <c r="T24" s="9">
        <f>SUM(T25:T34)</f>
        <v>3</v>
      </c>
      <c r="U24" s="9">
        <f>SUM(U25:U34)</f>
        <v>2</v>
      </c>
      <c r="X24"/>
      <c r="Y24" s="41" t="s">
        <v>111</v>
      </c>
      <c r="Z24" s="40">
        <v>2</v>
      </c>
      <c r="AA24" s="40" t="str">
        <f>IF(Z24&lt;0,"merit","flaw")</f>
        <v>flaw</v>
      </c>
      <c r="AB24"/>
      <c r="AC24"/>
    </row>
    <row r="25" spans="1:29" x14ac:dyDescent="0.3">
      <c r="F25" s="37" t="s">
        <v>100</v>
      </c>
      <c r="G25" s="5" t="str">
        <f t="shared" ref="G25:G27" si="16">REPT("•",SUM(H25:J25))</f>
        <v>••</v>
      </c>
      <c r="H25" s="36"/>
      <c r="I25" s="14"/>
      <c r="J25" s="36">
        <v>2</v>
      </c>
      <c r="K25" s="36"/>
      <c r="L25" s="11">
        <f>2*I25</f>
        <v>0</v>
      </c>
      <c r="M25" s="37" t="str">
        <f>VLOOKUP("Добродетель",$AD:$AF,2,0)</f>
        <v>2FB за точку</v>
      </c>
      <c r="O25" s="5" t="s">
        <v>16</v>
      </c>
      <c r="P25" s="5" t="str">
        <f>REPT("•",SUM(Q25:S25))</f>
        <v>•</v>
      </c>
      <c r="Q25" s="16">
        <v>1</v>
      </c>
      <c r="R25" s="20"/>
      <c r="T25" s="11">
        <f>IF(Q25&lt;&gt;1,0,IF(R25+S25=0,3,2*(R25+S25)))</f>
        <v>3</v>
      </c>
      <c r="U25" s="11">
        <f>2*R25</f>
        <v>0</v>
      </c>
      <c r="X25"/>
      <c r="AB25"/>
      <c r="AC25"/>
    </row>
    <row r="26" spans="1:29" x14ac:dyDescent="0.3">
      <c r="F26" s="37" t="s">
        <v>101</v>
      </c>
      <c r="G26" s="5" t="str">
        <f t="shared" si="16"/>
        <v>••••</v>
      </c>
      <c r="H26" s="36"/>
      <c r="I26" s="14"/>
      <c r="J26" s="36">
        <v>4</v>
      </c>
      <c r="K26" s="36"/>
      <c r="L26" s="11">
        <f t="shared" ref="L26:L27" si="17">2*I26</f>
        <v>0</v>
      </c>
      <c r="M26" s="37" t="str">
        <f t="shared" ref="M26:M27" si="18">VLOOKUP("Добродетель",$AD:$AF,2,0)</f>
        <v>2FB за точку</v>
      </c>
      <c r="O26" s="5" t="s">
        <v>18</v>
      </c>
      <c r="P26" s="5" t="str">
        <f t="shared" ref="P26:P34" si="19">REPT("•",SUM(Q26:S26))</f>
        <v>•</v>
      </c>
      <c r="R26" s="20"/>
      <c r="S26" s="16">
        <v>1</v>
      </c>
      <c r="T26" s="11">
        <f t="shared" ref="T26:T34" si="20">IF(Q26&lt;&gt;1,0,IF(R26+S26=0,3,2*(R26+S26)))</f>
        <v>0</v>
      </c>
      <c r="U26" s="11">
        <f t="shared" ref="U26:U34" si="21">2*R26</f>
        <v>0</v>
      </c>
      <c r="X26"/>
      <c r="AB26"/>
      <c r="AC26"/>
    </row>
    <row r="27" spans="1:29" x14ac:dyDescent="0.3">
      <c r="F27" s="37" t="s">
        <v>102</v>
      </c>
      <c r="G27" s="5" t="str">
        <f t="shared" si="16"/>
        <v>••••</v>
      </c>
      <c r="H27" s="36"/>
      <c r="I27" s="14"/>
      <c r="J27" s="36">
        <v>4</v>
      </c>
      <c r="K27" s="36"/>
      <c r="L27" s="11">
        <f t="shared" si="17"/>
        <v>0</v>
      </c>
      <c r="M27" s="37" t="str">
        <f t="shared" si="18"/>
        <v>2FB за точку</v>
      </c>
      <c r="O27" s="5" t="s">
        <v>85</v>
      </c>
      <c r="P27" s="5" t="str">
        <f t="shared" si="19"/>
        <v/>
      </c>
      <c r="R27" s="20"/>
      <c r="T27" s="11">
        <f t="shared" si="20"/>
        <v>0</v>
      </c>
      <c r="U27" s="11">
        <f t="shared" si="21"/>
        <v>0</v>
      </c>
      <c r="X27"/>
      <c r="Y27"/>
      <c r="Z27"/>
      <c r="AA27"/>
      <c r="AB27"/>
      <c r="AC27"/>
    </row>
    <row r="28" spans="1:29" x14ac:dyDescent="0.3">
      <c r="F28" s="1" t="s">
        <v>46</v>
      </c>
      <c r="G28" s="1"/>
      <c r="H28" s="17"/>
      <c r="I28" s="15"/>
      <c r="J28" s="17">
        <f>SUM(J29:J37)</f>
        <v>5</v>
      </c>
      <c r="K28" s="8">
        <f>SUM(K29:K37)</f>
        <v>0</v>
      </c>
      <c r="L28" s="8">
        <f>SUM(L29:L37)</f>
        <v>6</v>
      </c>
      <c r="M28" s="5">
        <v>5</v>
      </c>
      <c r="O28" s="5" t="s">
        <v>21</v>
      </c>
      <c r="P28" s="5" t="str">
        <f t="shared" si="19"/>
        <v>•</v>
      </c>
      <c r="R28" s="20"/>
      <c r="S28" s="16">
        <v>1</v>
      </c>
      <c r="T28" s="11">
        <f t="shared" si="20"/>
        <v>0</v>
      </c>
      <c r="U28" s="11">
        <f t="shared" si="21"/>
        <v>0</v>
      </c>
      <c r="X28"/>
      <c r="Y28"/>
      <c r="Z28"/>
      <c r="AA28"/>
      <c r="AB28"/>
      <c r="AC28"/>
    </row>
    <row r="29" spans="1:29" x14ac:dyDescent="0.3">
      <c r="F29" s="5" t="s">
        <v>79</v>
      </c>
      <c r="G29" s="5" t="str">
        <f>REPT("•",SUM(H29:J29))</f>
        <v>••••</v>
      </c>
      <c r="I29" s="14"/>
      <c r="J29" s="16">
        <v>4</v>
      </c>
      <c r="K29" s="10"/>
      <c r="L29" s="11">
        <f>I29</f>
        <v>0</v>
      </c>
      <c r="M29" s="5" t="s">
        <v>44</v>
      </c>
      <c r="O29" s="5" t="s">
        <v>23</v>
      </c>
      <c r="P29" s="5" t="str">
        <f t="shared" si="19"/>
        <v/>
      </c>
      <c r="R29" s="20"/>
      <c r="T29" s="11">
        <f t="shared" si="20"/>
        <v>0</v>
      </c>
      <c r="U29" s="11">
        <f t="shared" si="21"/>
        <v>0</v>
      </c>
      <c r="W29" s="23" t="s">
        <v>71</v>
      </c>
      <c r="X29"/>
      <c r="Y29"/>
      <c r="Z29"/>
      <c r="AA29"/>
      <c r="AB29"/>
      <c r="AC29"/>
    </row>
    <row r="30" spans="1:29" x14ac:dyDescent="0.3">
      <c r="F30" s="5" t="s">
        <v>80</v>
      </c>
      <c r="G30" s="5" t="str">
        <f>REPT("•",SUM(H30:J30))</f>
        <v>•</v>
      </c>
      <c r="I30" s="14"/>
      <c r="J30" s="16">
        <v>1</v>
      </c>
      <c r="K30" s="10"/>
      <c r="L30" s="11">
        <f>I30</f>
        <v>0</v>
      </c>
      <c r="M30" s="5" t="str">
        <f>VLOOKUP(M29,$AD:$AF,2,0)</f>
        <v>1FB за точку</v>
      </c>
      <c r="O30" s="5" t="s">
        <v>25</v>
      </c>
      <c r="P30" s="5" t="str">
        <f t="shared" si="19"/>
        <v>••</v>
      </c>
      <c r="R30" s="20"/>
      <c r="S30" s="16">
        <v>2</v>
      </c>
      <c r="T30" s="11">
        <f t="shared" si="20"/>
        <v>0</v>
      </c>
      <c r="U30" s="11">
        <f t="shared" si="21"/>
        <v>0</v>
      </c>
      <c r="V30" s="5">
        <f>POWER(2,SUM(Q30:S30,-1))</f>
        <v>2</v>
      </c>
      <c r="W30" s="5" t="s">
        <v>87</v>
      </c>
      <c r="X30"/>
      <c r="Y30"/>
      <c r="Z30"/>
      <c r="AA30"/>
      <c r="AB30"/>
      <c r="AC30"/>
    </row>
    <row r="31" spans="1:29" x14ac:dyDescent="0.3">
      <c r="F31" s="5" t="s">
        <v>47</v>
      </c>
      <c r="G31" s="5" t="str">
        <f>REPT("•",SUM(H31:J31))</f>
        <v>•</v>
      </c>
      <c r="I31" s="14">
        <v>1</v>
      </c>
      <c r="K31" s="10"/>
      <c r="L31" s="11">
        <f>I31</f>
        <v>1</v>
      </c>
      <c r="O31" s="5" t="s">
        <v>27</v>
      </c>
      <c r="P31" s="5" t="str">
        <f t="shared" si="19"/>
        <v>••</v>
      </c>
      <c r="R31" s="20"/>
      <c r="S31" s="16">
        <v>2</v>
      </c>
      <c r="T31" s="11">
        <f t="shared" si="20"/>
        <v>0</v>
      </c>
      <c r="U31" s="11">
        <f t="shared" si="21"/>
        <v>0</v>
      </c>
      <c r="W31" s="5" t="s">
        <v>72</v>
      </c>
      <c r="X31"/>
      <c r="Y31"/>
      <c r="Z31"/>
      <c r="AA31"/>
      <c r="AB31"/>
      <c r="AC31"/>
    </row>
    <row r="32" spans="1:29" x14ac:dyDescent="0.3">
      <c r="F32" s="5" t="s">
        <v>48</v>
      </c>
      <c r="G32" s="5" t="str">
        <f>REPT("•",SUM(H32:J32))</f>
        <v>•••</v>
      </c>
      <c r="H32" s="16">
        <v>2</v>
      </c>
      <c r="I32" s="14">
        <v>1</v>
      </c>
      <c r="K32" s="10"/>
      <c r="L32" s="11">
        <f>I32</f>
        <v>1</v>
      </c>
      <c r="O32" s="5" t="s">
        <v>29</v>
      </c>
      <c r="P32" s="5" t="str">
        <f t="shared" si="19"/>
        <v>•••</v>
      </c>
      <c r="R32" s="20">
        <v>1</v>
      </c>
      <c r="S32" s="16">
        <v>2</v>
      </c>
      <c r="T32" s="11">
        <f t="shared" si="20"/>
        <v>0</v>
      </c>
      <c r="U32" s="11">
        <f t="shared" si="21"/>
        <v>2</v>
      </c>
    </row>
    <row r="33" spans="6:21" x14ac:dyDescent="0.3">
      <c r="F33" s="5" t="s">
        <v>114</v>
      </c>
      <c r="G33" s="5" t="str">
        <f>REPT("•",SUM(H33:J33))</f>
        <v>•</v>
      </c>
      <c r="I33" s="14">
        <v>1</v>
      </c>
      <c r="K33" s="10"/>
      <c r="L33" s="11">
        <f>I33</f>
        <v>1</v>
      </c>
      <c r="O33" s="5" t="s">
        <v>86</v>
      </c>
      <c r="P33" s="5" t="str">
        <f t="shared" si="19"/>
        <v/>
      </c>
      <c r="R33" s="20"/>
      <c r="T33" s="11">
        <f t="shared" si="20"/>
        <v>0</v>
      </c>
      <c r="U33" s="11">
        <f t="shared" si="21"/>
        <v>0</v>
      </c>
    </row>
    <row r="34" spans="6:21" x14ac:dyDescent="0.3">
      <c r="F34" s="5" t="s">
        <v>81</v>
      </c>
      <c r="G34" s="5" t="str">
        <f t="shared" ref="G34:G35" si="22">REPT("•",SUM(H34:J34))</f>
        <v>••</v>
      </c>
      <c r="I34" s="14">
        <v>2</v>
      </c>
      <c r="K34" s="10"/>
      <c r="L34" s="11">
        <f t="shared" ref="L34:L35" si="23">I34</f>
        <v>2</v>
      </c>
      <c r="O34" s="5" t="s">
        <v>31</v>
      </c>
      <c r="P34" s="5" t="str">
        <f t="shared" si="19"/>
        <v>•</v>
      </c>
      <c r="R34" s="20"/>
      <c r="S34" s="16">
        <v>1</v>
      </c>
      <c r="T34" s="11">
        <f t="shared" si="20"/>
        <v>0</v>
      </c>
      <c r="U34" s="11">
        <f t="shared" si="21"/>
        <v>0</v>
      </c>
    </row>
    <row r="35" spans="6:21" x14ac:dyDescent="0.3">
      <c r="F35" s="5" t="s">
        <v>82</v>
      </c>
      <c r="G35" s="5" t="str">
        <f t="shared" si="22"/>
        <v>•</v>
      </c>
      <c r="I35" s="14">
        <v>1</v>
      </c>
      <c r="K35" s="10"/>
      <c r="L35" s="11">
        <f t="shared" si="23"/>
        <v>1</v>
      </c>
    </row>
    <row r="36" spans="6:21" x14ac:dyDescent="0.3">
      <c r="K36" s="10"/>
    </row>
    <row r="37" spans="6:21" x14ac:dyDescent="0.3">
      <c r="K37" s="10"/>
    </row>
  </sheetData>
  <conditionalFormatting sqref="A1:E1048576">
    <cfRule type="containsText" dxfId="7" priority="4" operator="containsText" text="f">
      <formula>NOT(ISERROR(SEARCH("f",A1)))</formula>
    </cfRule>
    <cfRule type="containsText" dxfId="6" priority="5" operator="containsText" text="g">
      <formula>NOT(ISERROR(SEARCH("g",A1)))</formula>
    </cfRule>
  </conditionalFormatting>
  <conditionalFormatting sqref="F14:L21">
    <cfRule type="expression" dxfId="5" priority="7">
      <formula>LEN($G14)&gt;0</formula>
    </cfRule>
  </conditionalFormatting>
  <conditionalFormatting sqref="N6">
    <cfRule type="expression" dxfId="4" priority="8">
      <formula>LEN($P5)&gt;0</formula>
    </cfRule>
  </conditionalFormatting>
  <conditionalFormatting sqref="O3:S4 P5:S5 O25:O32 O34">
    <cfRule type="expression" dxfId="3" priority="6">
      <formula>LEN($P3)&gt;0</formula>
    </cfRule>
  </conditionalFormatting>
  <conditionalFormatting sqref="O6:S15 P16:S16 O17:S24">
    <cfRule type="expression" dxfId="2" priority="1">
      <formula>LEN($P6)&gt;0</formula>
    </cfRule>
  </conditionalFormatting>
  <conditionalFormatting sqref="P25:S34">
    <cfRule type="expression" dxfId="1" priority="3">
      <formula>LEN($P25)&gt;0</formula>
    </cfRule>
  </conditionalFormatting>
  <conditionalFormatting sqref="Y19:AA24">
    <cfRule type="expression" dxfId="0" priority="2">
      <formula>$Z19&lt;0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________2025</vt:lpstr>
      <vt:lpstr>черновик</vt:lpstr>
      <vt:lpstr>октябрь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2025-10-04T19:31:40Z</dcterms:modified>
</cp:coreProperties>
</file>