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bsidian Circe\Rolling Vault\MtA Вальс Сломанных Кукол\мискеллания\"/>
    </mc:Choice>
  </mc:AlternateContent>
  <xr:revisionPtr revIDLastSave="0" documentId="13_ncr:1_{EF591C8E-0268-4115-91CB-B1B21A8E02A6}" xr6:coauthVersionLast="47" xr6:coauthVersionMax="47" xr10:uidLastSave="{00000000-0000-0000-0000-000000000000}"/>
  <bookViews>
    <workbookView xWindow="-118" yWindow="-118" windowWidth="25370" windowHeight="13759" xr2:uid="{8C796DC0-0E5B-43FF-B2DD-E20750249270}"/>
  </bookViews>
  <sheets>
    <sheet name="Лист1" sheetId="1" r:id="rId1"/>
  </sheets>
  <definedNames>
    <definedName name="_xlnm._FilterDatabase" localSheetId="0" hidden="1">Лист1!$Y$26:$AA$26</definedName>
    <definedName name="skillblock">Лист1!$X$26:$AA$41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7" i="1" l="1"/>
  <c r="O37" i="1" s="1"/>
  <c r="Q36" i="1"/>
  <c r="AD16" i="1"/>
  <c r="AD15" i="1"/>
  <c r="AD14" i="1"/>
  <c r="AD13" i="1"/>
  <c r="AD12" i="1"/>
  <c r="O36" i="1"/>
  <c r="P36" i="1"/>
  <c r="AD19" i="1"/>
  <c r="D15" i="1"/>
  <c r="AC19" i="1"/>
  <c r="AA20" i="1"/>
  <c r="AB20" i="1"/>
  <c r="F32" i="1"/>
  <c r="F33" i="1"/>
  <c r="F34" i="1"/>
  <c r="F35" i="1"/>
  <c r="F36" i="1"/>
  <c r="N1" i="1"/>
  <c r="O1" i="1"/>
  <c r="P1" i="1"/>
  <c r="Q1" i="1"/>
  <c r="R1" i="1"/>
  <c r="S1" i="1"/>
  <c r="T1" i="1"/>
  <c r="U1" i="1"/>
  <c r="V1" i="1"/>
  <c r="AB19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27" i="1"/>
  <c r="C36" i="1"/>
  <c r="D36" i="1" s="1"/>
  <c r="Q37" i="1" l="1"/>
  <c r="P37" i="1"/>
  <c r="E36" i="1"/>
  <c r="Z20" i="1"/>
  <c r="Z19" i="1"/>
  <c r="N36" i="1"/>
  <c r="N34" i="1"/>
  <c r="N33" i="1"/>
  <c r="N32" i="1"/>
  <c r="N31" i="1"/>
  <c r="N30" i="1"/>
  <c r="N29" i="1"/>
  <c r="N28" i="1"/>
  <c r="N27" i="1"/>
  <c r="N26" i="1"/>
  <c r="N25" i="1"/>
  <c r="N23" i="1"/>
  <c r="N22" i="1"/>
  <c r="N21" i="1"/>
  <c r="N20" i="1"/>
  <c r="N19" i="1"/>
  <c r="N18" i="1"/>
  <c r="N17" i="1"/>
  <c r="O17" i="1" s="1"/>
  <c r="N16" i="1"/>
  <c r="N15" i="1"/>
  <c r="N14" i="1"/>
  <c r="N4" i="1"/>
  <c r="O4" i="1" s="1"/>
  <c r="N5" i="1"/>
  <c r="N6" i="1"/>
  <c r="N7" i="1"/>
  <c r="N8" i="1"/>
  <c r="N9" i="1"/>
  <c r="O9" i="1" s="1"/>
  <c r="N10" i="1"/>
  <c r="N11" i="1"/>
  <c r="P11" i="1" s="1"/>
  <c r="N12" i="1"/>
  <c r="N3" i="1"/>
  <c r="AA33" i="1"/>
  <c r="AA34" i="1"/>
  <c r="AA35" i="1"/>
  <c r="AA36" i="1"/>
  <c r="AA37" i="1"/>
  <c r="AA38" i="1"/>
  <c r="AA39" i="1"/>
  <c r="AA40" i="1"/>
  <c r="AA41" i="1"/>
  <c r="AA32" i="1"/>
  <c r="AA31" i="1"/>
  <c r="AA30" i="1"/>
  <c r="AA29" i="1"/>
  <c r="AA28" i="1"/>
  <c r="C3" i="1"/>
  <c r="C34" i="1"/>
  <c r="D34" i="1" s="1"/>
  <c r="C33" i="1"/>
  <c r="D33" i="1" s="1"/>
  <c r="C32" i="1"/>
  <c r="D32" i="1" s="1"/>
  <c r="C31" i="1"/>
  <c r="D31" i="1" s="1"/>
  <c r="C30" i="1"/>
  <c r="D30" i="1" s="1"/>
  <c r="F30" i="1" s="1"/>
  <c r="C27" i="1"/>
  <c r="D27" i="1" s="1"/>
  <c r="F27" i="1" s="1"/>
  <c r="AC15" i="1" s="1"/>
  <c r="C26" i="1"/>
  <c r="D26" i="1" s="1"/>
  <c r="F26" i="1" s="1"/>
  <c r="AC14" i="1" s="1"/>
  <c r="C25" i="1"/>
  <c r="D25" i="1" s="1"/>
  <c r="F25" i="1" s="1"/>
  <c r="AC13" i="1" s="1"/>
  <c r="C23" i="1"/>
  <c r="D23" i="1" s="1"/>
  <c r="F23" i="1" s="1"/>
  <c r="C22" i="1"/>
  <c r="D22" i="1" s="1"/>
  <c r="F22" i="1" s="1"/>
  <c r="C21" i="1"/>
  <c r="D21" i="1" s="1"/>
  <c r="F21" i="1" s="1"/>
  <c r="C20" i="1"/>
  <c r="D20" i="1" s="1"/>
  <c r="C19" i="1"/>
  <c r="C18" i="1"/>
  <c r="D18" i="1" s="1"/>
  <c r="F18" i="1" s="1"/>
  <c r="C17" i="1"/>
  <c r="D17" i="1" s="1"/>
  <c r="F17" i="1" s="1"/>
  <c r="C16" i="1"/>
  <c r="D16" i="1" s="1"/>
  <c r="F16" i="1" s="1"/>
  <c r="C15" i="1"/>
  <c r="C13" i="1"/>
  <c r="D13" i="1" s="1"/>
  <c r="F13" i="1" s="1"/>
  <c r="C12" i="1"/>
  <c r="D12" i="1" s="1"/>
  <c r="F12" i="1" s="1"/>
  <c r="C11" i="1"/>
  <c r="D11" i="1" s="1"/>
  <c r="F11" i="1" s="1"/>
  <c r="C9" i="1"/>
  <c r="C8" i="1"/>
  <c r="D8" i="1" s="1"/>
  <c r="F8" i="1" s="1"/>
  <c r="C7" i="1"/>
  <c r="D7" i="1" s="1"/>
  <c r="F7" i="1" s="1"/>
  <c r="C5" i="1"/>
  <c r="D5" i="1" s="1"/>
  <c r="C4" i="1"/>
  <c r="D4" i="1" s="1"/>
  <c r="F4" i="1" s="1"/>
  <c r="P3" i="1" l="1"/>
  <c r="O25" i="1"/>
  <c r="Q25" i="1" s="1"/>
  <c r="O12" i="1"/>
  <c r="Q12" i="1" s="1"/>
  <c r="O5" i="1"/>
  <c r="Q5" i="1" s="1"/>
  <c r="O18" i="1"/>
  <c r="Q18" i="1" s="1"/>
  <c r="O26" i="1"/>
  <c r="Q26" i="1" s="1"/>
  <c r="O34" i="1"/>
  <c r="Q34" i="1" s="1"/>
  <c r="E3" i="1"/>
  <c r="D3" i="1"/>
  <c r="F3" i="1" s="1"/>
  <c r="O11" i="1"/>
  <c r="Q11" i="1" s="1"/>
  <c r="O27" i="1"/>
  <c r="Q27" i="1" s="1"/>
  <c r="O33" i="1"/>
  <c r="Q33" i="1" s="1"/>
  <c r="O10" i="1"/>
  <c r="Q10" i="1" s="1"/>
  <c r="Q4" i="1"/>
  <c r="O19" i="1"/>
  <c r="Q19" i="1" s="1"/>
  <c r="O28" i="1"/>
  <c r="Q28" i="1" s="1"/>
  <c r="O6" i="1"/>
  <c r="Q6" i="1" s="1"/>
  <c r="E9" i="1"/>
  <c r="D9" i="1"/>
  <c r="F9" i="1" s="1"/>
  <c r="E19" i="1"/>
  <c r="D19" i="1"/>
  <c r="F19" i="1" s="1"/>
  <c r="O20" i="1"/>
  <c r="Q20" i="1" s="1"/>
  <c r="O29" i="1"/>
  <c r="Q29" i="1" s="1"/>
  <c r="O30" i="1"/>
  <c r="Q30" i="1" s="1"/>
  <c r="Q9" i="1"/>
  <c r="O15" i="1"/>
  <c r="Q15" i="1" s="1"/>
  <c r="O21" i="1"/>
  <c r="Q21" i="1" s="1"/>
  <c r="O8" i="1"/>
  <c r="Q8" i="1" s="1"/>
  <c r="O16" i="1"/>
  <c r="Q16" i="1" s="1"/>
  <c r="O22" i="1"/>
  <c r="Q22" i="1" s="1"/>
  <c r="O31" i="1"/>
  <c r="Q31" i="1" s="1"/>
  <c r="AD17" i="1" s="1"/>
  <c r="Q17" i="1"/>
  <c r="O23" i="1"/>
  <c r="Q23" i="1" s="1"/>
  <c r="O32" i="1"/>
  <c r="Q32" i="1" s="1"/>
  <c r="F20" i="1"/>
  <c r="P16" i="1"/>
  <c r="O3" i="1"/>
  <c r="Q3" i="1" s="1"/>
  <c r="P25" i="1"/>
  <c r="P33" i="1"/>
  <c r="O14" i="1"/>
  <c r="Q14" i="1" s="1"/>
  <c r="O7" i="1"/>
  <c r="Q7" i="1" s="1"/>
  <c r="E12" i="1"/>
  <c r="E18" i="1"/>
  <c r="E32" i="1"/>
  <c r="P7" i="1"/>
  <c r="P18" i="1"/>
  <c r="P27" i="1"/>
  <c r="E13" i="1"/>
  <c r="E17" i="1"/>
  <c r="E31" i="1"/>
  <c r="F31" i="1" s="1"/>
  <c r="AC16" i="1" s="1"/>
  <c r="P6" i="1"/>
  <c r="P19" i="1"/>
  <c r="P28" i="1"/>
  <c r="E5" i="1"/>
  <c r="F5" i="1" s="1"/>
  <c r="AD11" i="1" s="1"/>
  <c r="E15" i="1"/>
  <c r="F15" i="1" s="1"/>
  <c r="AC12" i="1" s="1"/>
  <c r="E16" i="1"/>
  <c r="P5" i="1"/>
  <c r="P20" i="1"/>
  <c r="P29" i="1"/>
  <c r="E4" i="1"/>
  <c r="E23" i="1"/>
  <c r="E25" i="1"/>
  <c r="P12" i="1"/>
  <c r="P4" i="1"/>
  <c r="P21" i="1"/>
  <c r="P30" i="1"/>
  <c r="E7" i="1"/>
  <c r="E22" i="1"/>
  <c r="E26" i="1"/>
  <c r="P14" i="1"/>
  <c r="P22" i="1"/>
  <c r="P31" i="1"/>
  <c r="E8" i="1"/>
  <c r="E21" i="1"/>
  <c r="E30" i="1"/>
  <c r="P10" i="1"/>
  <c r="P15" i="1"/>
  <c r="P23" i="1"/>
  <c r="P32" i="1"/>
  <c r="E20" i="1"/>
  <c r="E34" i="1"/>
  <c r="P9" i="1"/>
  <c r="E11" i="1"/>
  <c r="E33" i="1"/>
  <c r="P8" i="1"/>
  <c r="P17" i="1"/>
  <c r="P26" i="1"/>
  <c r="P34" i="1"/>
  <c r="AD20" i="1" l="1"/>
  <c r="AD21" i="1" s="1"/>
  <c r="AC17" i="1"/>
  <c r="AC11" i="1"/>
  <c r="AC20" i="1" l="1"/>
  <c r="AC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Y3" authorId="0" shapeId="0" xr:uid="{EAD13BD1-E562-446C-B837-D2AAABE9E3B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10 для Силы, Жизнь, Материю, Разум, Основы и Дух.
8 за Время и Связи
7 за Энтропию</t>
        </r>
      </text>
    </comment>
    <comment ref="Y12" authorId="0" shapeId="0" xr:uid="{AF2C3B2A-7689-4069-BDF0-E473A4FFE4C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10 для Силы, Жизнь, Материю, Разум, Основы и Дух.
8 за Время и Связи
7 за Энтропию</t>
        </r>
      </text>
    </comment>
  </commentList>
</comments>
</file>

<file path=xl/sharedStrings.xml><?xml version="1.0" encoding="utf-8"?>
<sst xmlns="http://schemas.openxmlformats.org/spreadsheetml/2006/main" count="216" uniqueCount="110">
  <si>
    <t>Атрибут</t>
  </si>
  <si>
    <t>5FB за точку</t>
  </si>
  <si>
    <t>тек.знач*4</t>
  </si>
  <si>
    <t>Сфера</t>
  </si>
  <si>
    <t>7FB за точку</t>
  </si>
  <si>
    <t>10 new / *7 spec / *8 other</t>
  </si>
  <si>
    <t>Арете</t>
  </si>
  <si>
    <t>тек.знач*8</t>
  </si>
  <si>
    <t>Сила Воли</t>
  </si>
  <si>
    <t>1FB за точку</t>
  </si>
  <si>
    <t>*тек.знач</t>
  </si>
  <si>
    <t>Квинта</t>
  </si>
  <si>
    <t>1 за 4 точки</t>
  </si>
  <si>
    <t>Дополнение</t>
  </si>
  <si>
    <t>тек.знач*3</t>
  </si>
  <si>
    <t>Способность</t>
  </si>
  <si>
    <t>2FB за точку</t>
  </si>
  <si>
    <t>3 за новую, тек.зн.*2</t>
  </si>
  <si>
    <t>Параметр</t>
  </si>
  <si>
    <t>Свободные</t>
  </si>
  <si>
    <t>Опыт</t>
  </si>
  <si>
    <t>атрибуты</t>
  </si>
  <si>
    <t>Физика</t>
  </si>
  <si>
    <t>STR</t>
  </si>
  <si>
    <t>DEX</t>
  </si>
  <si>
    <t>STA</t>
  </si>
  <si>
    <t>Социал</t>
  </si>
  <si>
    <t>CHA</t>
  </si>
  <si>
    <t>MAN</t>
  </si>
  <si>
    <t>APP</t>
  </si>
  <si>
    <t>Ментал</t>
  </si>
  <si>
    <t>PER</t>
  </si>
  <si>
    <t>INT</t>
  </si>
  <si>
    <t>WIT</t>
  </si>
  <si>
    <t>Сферы</t>
  </si>
  <si>
    <t>Связи</t>
  </si>
  <si>
    <t>Энтропия</t>
  </si>
  <si>
    <t>Силы</t>
  </si>
  <si>
    <t>Жизнь</t>
  </si>
  <si>
    <t>Материя</t>
  </si>
  <si>
    <t>Разум</t>
  </si>
  <si>
    <t>Основы</t>
  </si>
  <si>
    <t>Дух</t>
  </si>
  <si>
    <t>Время</t>
  </si>
  <si>
    <t>Прочее</t>
  </si>
  <si>
    <t>Воля</t>
  </si>
  <si>
    <t>Предыстории</t>
  </si>
  <si>
    <t>Аватар</t>
  </si>
  <si>
    <t>Библиотека</t>
  </si>
  <si>
    <t>Ментор</t>
  </si>
  <si>
    <t>Ресурсы</t>
  </si>
  <si>
    <t>Контакты</t>
  </si>
  <si>
    <t>способности</t>
  </si>
  <si>
    <t>таланты</t>
  </si>
  <si>
    <t>Alertness</t>
  </si>
  <si>
    <t>Athletics</t>
  </si>
  <si>
    <t>Awareness</t>
  </si>
  <si>
    <t>Brawl</t>
  </si>
  <si>
    <t>Dodge</t>
  </si>
  <si>
    <t>Expression</t>
  </si>
  <si>
    <t>Intimidation</t>
  </si>
  <si>
    <t>Leadership</t>
  </si>
  <si>
    <t>Streetwise</t>
  </si>
  <si>
    <t>Subterfuge</t>
  </si>
  <si>
    <t>навыки</t>
  </si>
  <si>
    <t>Crafts</t>
  </si>
  <si>
    <t>Drive</t>
  </si>
  <si>
    <t>Etiquette</t>
  </si>
  <si>
    <t>Firearms</t>
  </si>
  <si>
    <t>Meditation</t>
  </si>
  <si>
    <t>Melee</t>
  </si>
  <si>
    <t>Performance</t>
  </si>
  <si>
    <t>Stealth</t>
  </si>
  <si>
    <t>Survival</t>
  </si>
  <si>
    <t>Technology</t>
  </si>
  <si>
    <t>знания</t>
  </si>
  <si>
    <t>Academics</t>
  </si>
  <si>
    <t>Computer</t>
  </si>
  <si>
    <t>Cosmology</t>
  </si>
  <si>
    <t>Enigmas</t>
  </si>
  <si>
    <t>Investigation</t>
  </si>
  <si>
    <t>Law</t>
  </si>
  <si>
    <t>Linguistics</t>
  </si>
  <si>
    <t>Medicine</t>
  </si>
  <si>
    <t>Occult</t>
  </si>
  <si>
    <t>Science</t>
  </si>
  <si>
    <t>Текущие</t>
  </si>
  <si>
    <t>Будущие</t>
  </si>
  <si>
    <t>@</t>
  </si>
  <si>
    <t>•</t>
  </si>
  <si>
    <t>Опыт за +1</t>
  </si>
  <si>
    <t>навык был</t>
  </si>
  <si>
    <t>навык стал</t>
  </si>
  <si>
    <t>очков</t>
  </si>
  <si>
    <t>дополнительные</t>
  </si>
  <si>
    <t>Мёльн</t>
  </si>
  <si>
    <t>по базе фриби</t>
  </si>
  <si>
    <t>merits</t>
  </si>
  <si>
    <t>flaws</t>
  </si>
  <si>
    <t>всего</t>
  </si>
  <si>
    <t>потрачено</t>
  </si>
  <si>
    <t>Три мелка</t>
  </si>
  <si>
    <t>гематрия</t>
  </si>
  <si>
    <t>Середина Дельты</t>
  </si>
  <si>
    <t>Траты</t>
  </si>
  <si>
    <t>4FB за точку (м.3)</t>
  </si>
  <si>
    <t>главы</t>
  </si>
  <si>
    <t>опыт</t>
  </si>
  <si>
    <t>после конклава</t>
  </si>
  <si>
    <t>Эмпатия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</si>
</sst>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b/>
      <sz val="11"/>
      <color rgb="FFED0000"/>
      <name val="Calibri"/>
      <family val="2"/>
      <charset val="204"/>
      <scheme val="minor"/>
    </font>
    <font>
      <i/>
      <sz val="11"/>
      <color rgb="FFED0000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3"/>
      <color rgb="FF7030A0"/>
      <name val="Calibri"/>
      <family val="2"/>
      <charset val="204"/>
      <scheme val="minor"/>
    </font>
    <font>
      <b/>
      <sz val="13"/>
      <color rgb="FFC00000"/>
      <name val="Calibri"/>
      <family val="2"/>
      <charset val="204"/>
      <scheme val="minor"/>
    </font>
    <font>
      <b/>
      <sz val="13"/>
      <color rgb="FF7030A0"/>
      <name val="Calibri"/>
      <family val="2"/>
      <charset val="204"/>
      <scheme val="minor"/>
    </font>
    <font>
      <sz val="13"/>
      <color rgb="FFC00000"/>
      <name val="Monotype Corsiva"/>
      <family val="4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12" fillId="2" borderId="0" xfId="1" applyFont="1" applyFill="1"/>
    <xf numFmtId="0" fontId="12" fillId="2" borderId="0" xfId="1" applyFont="1" applyFill="1" applyAlignment="1">
      <alignment horizontal="center"/>
    </xf>
    <xf numFmtId="0" fontId="13" fillId="0" borderId="0" xfId="0" applyFont="1"/>
    <xf numFmtId="0" fontId="13" fillId="3" borderId="0" xfId="1" applyFont="1" applyFill="1"/>
    <xf numFmtId="0" fontId="14" fillId="3" borderId="0" xfId="1" applyFont="1" applyFill="1"/>
    <xf numFmtId="0" fontId="13" fillId="3" borderId="0" xfId="1" applyFont="1" applyFill="1" applyAlignment="1">
      <alignment horizontal="center"/>
    </xf>
    <xf numFmtId="0" fontId="13" fillId="0" borderId="0" xfId="1" applyFont="1"/>
    <xf numFmtId="0" fontId="14" fillId="0" borderId="0" xfId="1" applyFont="1"/>
    <xf numFmtId="0" fontId="13" fillId="0" borderId="0" xfId="1" applyFont="1" applyAlignment="1">
      <alignment horizontal="center"/>
    </xf>
    <xf numFmtId="0" fontId="15" fillId="4" borderId="0" xfId="1" applyFont="1" applyFill="1"/>
    <xf numFmtId="0" fontId="16" fillId="2" borderId="0" xfId="1" applyFont="1" applyFill="1"/>
    <xf numFmtId="0" fontId="17" fillId="4" borderId="0" xfId="1" applyFont="1" applyFill="1"/>
    <xf numFmtId="0" fontId="14" fillId="0" borderId="0" xfId="0" applyFont="1"/>
    <xf numFmtId="0" fontId="13" fillId="0" borderId="0" xfId="0" applyFont="1" applyAlignment="1">
      <alignment horizontal="center"/>
    </xf>
    <xf numFmtId="0" fontId="13" fillId="2" borderId="0" xfId="1" applyFont="1" applyFill="1"/>
    <xf numFmtId="0" fontId="13" fillId="5" borderId="0" xfId="1" applyFont="1" applyFill="1" applyAlignment="1">
      <alignment horizontal="center"/>
    </xf>
    <xf numFmtId="0" fontId="2" fillId="5" borderId="0" xfId="1" applyFont="1" applyFill="1"/>
    <xf numFmtId="0" fontId="2" fillId="3" borderId="0" xfId="1" applyFont="1" applyFill="1"/>
    <xf numFmtId="0" fontId="2" fillId="6" borderId="0" xfId="1" applyFont="1" applyFill="1"/>
    <xf numFmtId="0" fontId="3" fillId="0" borderId="0" xfId="1" applyFont="1"/>
    <xf numFmtId="0" fontId="2" fillId="0" borderId="0" xfId="1" applyFont="1"/>
  </cellXfs>
  <cellStyles count="2">
    <cellStyle name="Обычный" xfId="0" builtinId="0"/>
    <cellStyle name="Обычный 2" xfId="1" xr:uid="{8FDA4460-39BB-40B1-9483-50C7FBA2CEAC}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numFmt numFmtId="164" formatCode=";;;"/>
    </dxf>
    <dxf>
      <font>
        <color rgb="FF006100"/>
      </font>
      <fill>
        <patternFill>
          <bgColor rgb="FFC6EFCE"/>
        </patternFill>
      </fill>
    </dxf>
    <dxf>
      <font>
        <color auto="1"/>
      </font>
      <numFmt numFmtId="164" formatCode=";;;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4DBB-4B9B-4D76-BD41-0582AD509625}">
  <dimension ref="B1:AD41"/>
  <sheetViews>
    <sheetView tabSelected="1" zoomScale="75" zoomScaleNormal="75" workbookViewId="0">
      <selection activeCell="F6" sqref="F6"/>
    </sheetView>
  </sheetViews>
  <sheetFormatPr defaultColWidth="8.77734375" defaultRowHeight="17.05" x14ac:dyDescent="0.3"/>
  <cols>
    <col min="2" max="2" width="14.44140625" style="14" bestFit="1" customWidth="1"/>
    <col min="3" max="3" width="9.5546875" style="24" bestFit="1" customWidth="1"/>
    <col min="4" max="4" width="9.88671875" style="14" bestFit="1" customWidth="1"/>
    <col min="5" max="5" width="11.6640625" style="14" bestFit="1" customWidth="1"/>
    <col min="6" max="6" width="6.88671875" style="14" bestFit="1" customWidth="1"/>
    <col min="7" max="11" width="4.33203125" style="25" customWidth="1"/>
    <col min="12" max="12" width="4.6640625" style="14" customWidth="1"/>
    <col min="13" max="13" width="17.44140625" style="14" bestFit="1" customWidth="1"/>
    <col min="14" max="14" width="9.5546875" style="14" bestFit="1" customWidth="1"/>
    <col min="15" max="15" width="9.88671875" style="14" bestFit="1" customWidth="1"/>
    <col min="16" max="16" width="11.6640625" style="14" bestFit="1" customWidth="1"/>
    <col min="17" max="17" width="6.88671875" style="14" bestFit="1" customWidth="1"/>
    <col min="18" max="22" width="4" style="14" customWidth="1"/>
    <col min="23" max="23" width="15.6640625" customWidth="1"/>
    <col min="24" max="24" width="3.88671875" bestFit="1" customWidth="1"/>
    <col min="25" max="25" width="13.88671875" customWidth="1"/>
    <col min="26" max="26" width="17" customWidth="1"/>
    <col min="27" max="27" width="9.21875" bestFit="1" customWidth="1"/>
    <col min="28" max="28" width="18.77734375" customWidth="1"/>
    <col min="29" max="29" width="15.33203125" bestFit="1" customWidth="1"/>
  </cols>
  <sheetData>
    <row r="1" spans="2:30" x14ac:dyDescent="0.3">
      <c r="B1" s="12" t="s">
        <v>21</v>
      </c>
      <c r="C1" s="12" t="s">
        <v>86</v>
      </c>
      <c r="D1" s="12" t="s">
        <v>87</v>
      </c>
      <c r="E1" s="12" t="s">
        <v>90</v>
      </c>
      <c r="F1" s="12" t="s">
        <v>104</v>
      </c>
      <c r="G1" s="13">
        <v>1</v>
      </c>
      <c r="H1" s="13">
        <v>2</v>
      </c>
      <c r="I1" s="13">
        <v>3</v>
      </c>
      <c r="J1" s="13">
        <v>4</v>
      </c>
      <c r="K1" s="13">
        <v>5</v>
      </c>
      <c r="M1" s="12" t="s">
        <v>52</v>
      </c>
      <c r="N1" s="13" t="str">
        <f t="shared" ref="N1:U1" si="0">C1</f>
        <v>Текущие</v>
      </c>
      <c r="O1" s="13" t="str">
        <f t="shared" si="0"/>
        <v>Будущие</v>
      </c>
      <c r="P1" s="13" t="str">
        <f t="shared" si="0"/>
        <v>Опыт за +1</v>
      </c>
      <c r="Q1" s="13" t="str">
        <f t="shared" si="0"/>
        <v>Траты</v>
      </c>
      <c r="R1" s="13">
        <f t="shared" si="0"/>
        <v>1</v>
      </c>
      <c r="S1" s="13">
        <f t="shared" si="0"/>
        <v>2</v>
      </c>
      <c r="T1" s="13">
        <f t="shared" si="0"/>
        <v>3</v>
      </c>
      <c r="U1" s="13">
        <f t="shared" si="0"/>
        <v>4</v>
      </c>
      <c r="V1" s="13">
        <f>K1</f>
        <v>5</v>
      </c>
      <c r="Y1" s="1" t="s">
        <v>18</v>
      </c>
      <c r="Z1" s="1" t="s">
        <v>19</v>
      </c>
      <c r="AA1" s="32" t="s">
        <v>20</v>
      </c>
      <c r="AB1" s="32"/>
    </row>
    <row r="2" spans="2:30" x14ac:dyDescent="0.3">
      <c r="B2" s="15" t="s">
        <v>22</v>
      </c>
      <c r="C2" s="16"/>
      <c r="D2" s="15"/>
      <c r="E2" s="15"/>
      <c r="F2" s="15"/>
      <c r="G2" s="17"/>
      <c r="H2" s="17"/>
      <c r="I2" s="17"/>
      <c r="J2" s="17"/>
      <c r="K2" s="17"/>
      <c r="M2" s="15" t="s">
        <v>53</v>
      </c>
      <c r="N2" s="16"/>
      <c r="O2" s="15"/>
      <c r="P2" s="15"/>
      <c r="Q2" s="15"/>
      <c r="R2" s="17"/>
      <c r="S2" s="17"/>
      <c r="T2" s="17"/>
      <c r="U2" s="17"/>
      <c r="V2" s="17"/>
      <c r="Y2" s="2" t="s">
        <v>0</v>
      </c>
      <c r="Z2" s="2" t="s">
        <v>1</v>
      </c>
      <c r="AA2" s="31" t="s">
        <v>2</v>
      </c>
      <c r="AB2" s="31"/>
    </row>
    <row r="3" spans="2:30" x14ac:dyDescent="0.3">
      <c r="B3" s="18" t="s">
        <v>23</v>
      </c>
      <c r="C3" s="19" t="str">
        <f>REPT("•",COUNTIF($G3:$L3,"•"))</f>
        <v>•</v>
      </c>
      <c r="D3" s="18" t="str">
        <f>C3&amp;REPT("•",COUNTIF($G3:$L3,"@"))</f>
        <v>•</v>
      </c>
      <c r="E3" s="18">
        <f>LEN(C3)*4</f>
        <v>4</v>
      </c>
      <c r="F3" s="18">
        <f>IF(D3=C3,0,E3)</f>
        <v>0</v>
      </c>
      <c r="G3" s="20" t="s">
        <v>89</v>
      </c>
      <c r="H3" s="20"/>
      <c r="I3" s="20"/>
      <c r="J3" s="20"/>
      <c r="K3" s="20"/>
      <c r="M3" s="18" t="s">
        <v>54</v>
      </c>
      <c r="N3" s="19" t="str">
        <f t="shared" ref="N3:N12" si="1">REPT("•",COUNTIF($R3:$X3,"•"))</f>
        <v>••</v>
      </c>
      <c r="O3" s="18" t="str">
        <f t="shared" ref="O3:O12" si="2">N3&amp;REPT("•",COUNTIF($R3:$X3,"@"))</f>
        <v>••</v>
      </c>
      <c r="P3" s="18">
        <f t="shared" ref="P3:P34" si="3">IF(LEN(N3)=0,3,2*LEN(N3))</f>
        <v>4</v>
      </c>
      <c r="Q3" s="18">
        <f t="shared" ref="Q3:Q12" si="4">IF(N3=O3,0,VLOOKUP("_"&amp;LEN(N3)&amp;LEN(O3),skillblock,4,0))</f>
        <v>0</v>
      </c>
      <c r="R3" s="20" t="s">
        <v>89</v>
      </c>
      <c r="S3" s="27" t="s">
        <v>89</v>
      </c>
      <c r="T3" s="20"/>
      <c r="U3" s="20"/>
      <c r="V3" s="20"/>
      <c r="Y3" s="2" t="s">
        <v>3</v>
      </c>
      <c r="Z3" s="2" t="s">
        <v>4</v>
      </c>
      <c r="AA3" s="31" t="s">
        <v>5</v>
      </c>
      <c r="AB3" s="31"/>
    </row>
    <row r="4" spans="2:30" x14ac:dyDescent="0.3">
      <c r="B4" s="18" t="s">
        <v>24</v>
      </c>
      <c r="C4" s="19" t="str">
        <f>REPT("•",COUNTIF($G4:$L4,"•"))</f>
        <v>•••</v>
      </c>
      <c r="D4" s="18" t="str">
        <f>C4&amp;REPT("•",COUNTIF($G4:$L4,"@"))</f>
        <v>•••</v>
      </c>
      <c r="E4" s="18">
        <f t="shared" ref="E4:E5" si="5">LEN(C4)*4</f>
        <v>12</v>
      </c>
      <c r="F4" s="18">
        <f t="shared" ref="F4:F5" si="6">IF(D4=C4,0,E4)</f>
        <v>0</v>
      </c>
      <c r="G4" s="20" t="s">
        <v>89</v>
      </c>
      <c r="H4" s="20" t="s">
        <v>89</v>
      </c>
      <c r="I4" s="20" t="s">
        <v>89</v>
      </c>
      <c r="J4" s="20"/>
      <c r="K4" s="20"/>
      <c r="M4" s="18" t="s">
        <v>55</v>
      </c>
      <c r="N4" s="19" t="str">
        <f t="shared" si="1"/>
        <v/>
      </c>
      <c r="O4" s="18" t="str">
        <f t="shared" si="2"/>
        <v/>
      </c>
      <c r="P4" s="18">
        <f t="shared" si="3"/>
        <v>3</v>
      </c>
      <c r="Q4" s="18">
        <f t="shared" si="4"/>
        <v>0</v>
      </c>
      <c r="R4" s="20"/>
      <c r="S4" s="20"/>
      <c r="T4" s="20"/>
      <c r="U4" s="20"/>
      <c r="V4" s="20"/>
      <c r="Y4" s="2" t="s">
        <v>6</v>
      </c>
      <c r="Z4" s="2" t="s">
        <v>105</v>
      </c>
      <c r="AA4" s="31" t="s">
        <v>7</v>
      </c>
      <c r="AB4" s="31"/>
    </row>
    <row r="5" spans="2:30" x14ac:dyDescent="0.3">
      <c r="B5" s="18" t="s">
        <v>25</v>
      </c>
      <c r="C5" s="19" t="str">
        <f>REPT("•",COUNTIF($G5:$L5,"•"))</f>
        <v>••</v>
      </c>
      <c r="D5" s="18" t="str">
        <f>C5&amp;REPT("•",COUNTIF($G5:$L5,"@"))</f>
        <v>•••</v>
      </c>
      <c r="E5" s="18">
        <f t="shared" si="5"/>
        <v>8</v>
      </c>
      <c r="F5" s="18">
        <f t="shared" si="6"/>
        <v>8</v>
      </c>
      <c r="G5" s="20" t="s">
        <v>89</v>
      </c>
      <c r="H5" s="20" t="s">
        <v>89</v>
      </c>
      <c r="I5" s="20" t="s">
        <v>88</v>
      </c>
      <c r="J5" s="20"/>
      <c r="K5" s="20"/>
      <c r="M5" s="18" t="s">
        <v>56</v>
      </c>
      <c r="N5" s="19" t="str">
        <f t="shared" si="1"/>
        <v>•••</v>
      </c>
      <c r="O5" s="18" t="str">
        <f t="shared" si="2"/>
        <v>•••</v>
      </c>
      <c r="P5" s="18">
        <f t="shared" si="3"/>
        <v>6</v>
      </c>
      <c r="Q5" s="18">
        <f t="shared" si="4"/>
        <v>0</v>
      </c>
      <c r="R5" s="20" t="s">
        <v>89</v>
      </c>
      <c r="S5" s="20" t="s">
        <v>89</v>
      </c>
      <c r="T5" s="27" t="s">
        <v>89</v>
      </c>
      <c r="U5" s="20"/>
      <c r="V5" s="20"/>
      <c r="Y5" s="2" t="s">
        <v>8</v>
      </c>
      <c r="Z5" s="2" t="s">
        <v>9</v>
      </c>
      <c r="AA5" s="31" t="s">
        <v>10</v>
      </c>
      <c r="AB5" s="31"/>
    </row>
    <row r="6" spans="2:30" x14ac:dyDescent="0.3">
      <c r="B6" s="15" t="s">
        <v>26</v>
      </c>
      <c r="C6" s="16"/>
      <c r="D6" s="15"/>
      <c r="E6" s="15"/>
      <c r="F6" s="15"/>
      <c r="G6" s="17"/>
      <c r="H6" s="17"/>
      <c r="I6" s="17"/>
      <c r="J6" s="17"/>
      <c r="K6" s="17"/>
      <c r="M6" s="18" t="s">
        <v>57</v>
      </c>
      <c r="N6" s="19" t="str">
        <f t="shared" si="1"/>
        <v/>
      </c>
      <c r="O6" s="18" t="str">
        <f t="shared" si="2"/>
        <v/>
      </c>
      <c r="P6" s="18">
        <f t="shared" si="3"/>
        <v>3</v>
      </c>
      <c r="Q6" s="18">
        <f t="shared" si="4"/>
        <v>0</v>
      </c>
      <c r="R6" s="20"/>
      <c r="S6" s="20"/>
      <c r="T6" s="20"/>
      <c r="U6" s="20"/>
      <c r="V6" s="20"/>
      <c r="Y6" s="2" t="s">
        <v>11</v>
      </c>
      <c r="Z6" s="2" t="s">
        <v>12</v>
      </c>
      <c r="AA6" s="31"/>
      <c r="AB6" s="31"/>
    </row>
    <row r="7" spans="2:30" x14ac:dyDescent="0.3">
      <c r="B7" s="18" t="s">
        <v>27</v>
      </c>
      <c r="C7" s="19" t="str">
        <f>REPT("•",COUNTIF($G7:$L7,"•"))</f>
        <v>••</v>
      </c>
      <c r="D7" s="18" t="str">
        <f>C7&amp;REPT("•",COUNTIF($G7:$L7,"@"))</f>
        <v>••</v>
      </c>
      <c r="E7" s="18">
        <f>LEN(C7)*4</f>
        <v>8</v>
      </c>
      <c r="F7" s="18">
        <f>IF(D7=C7,0,E7)</f>
        <v>0</v>
      </c>
      <c r="G7" s="20" t="s">
        <v>89</v>
      </c>
      <c r="H7" s="20" t="s">
        <v>89</v>
      </c>
      <c r="I7" s="20"/>
      <c r="J7" s="20"/>
      <c r="K7" s="20"/>
      <c r="M7" s="18" t="s">
        <v>58</v>
      </c>
      <c r="N7" s="19" t="str">
        <f t="shared" si="1"/>
        <v>•••</v>
      </c>
      <c r="O7" s="18" t="str">
        <f t="shared" si="2"/>
        <v>•••</v>
      </c>
      <c r="P7" s="18">
        <f t="shared" si="3"/>
        <v>6</v>
      </c>
      <c r="Q7" s="18">
        <f t="shared" si="4"/>
        <v>0</v>
      </c>
      <c r="R7" s="20" t="s">
        <v>89</v>
      </c>
      <c r="S7" s="20" t="s">
        <v>89</v>
      </c>
      <c r="T7" s="27" t="s">
        <v>89</v>
      </c>
      <c r="U7" s="20"/>
      <c r="V7" s="20"/>
      <c r="Y7" s="2" t="s">
        <v>13</v>
      </c>
      <c r="Z7" s="2" t="s">
        <v>9</v>
      </c>
      <c r="AA7" s="31" t="s">
        <v>14</v>
      </c>
      <c r="AB7" s="31"/>
    </row>
    <row r="8" spans="2:30" x14ac:dyDescent="0.3">
      <c r="B8" s="18" t="s">
        <v>28</v>
      </c>
      <c r="C8" s="19" t="str">
        <f>REPT("•",COUNTIF($G8:$L8,"•"))</f>
        <v>••</v>
      </c>
      <c r="D8" s="18" t="str">
        <f>C8&amp;REPT("•",COUNTIF($G8:$L8,"@"))</f>
        <v>••</v>
      </c>
      <c r="E8" s="18">
        <f t="shared" ref="E8:E9" si="7">LEN(C8)*4</f>
        <v>8</v>
      </c>
      <c r="F8" s="18">
        <f t="shared" ref="F8:F9" si="8">IF(D8=C8,0,E8)</f>
        <v>0</v>
      </c>
      <c r="G8" s="20" t="s">
        <v>89</v>
      </c>
      <c r="H8" s="20" t="s">
        <v>89</v>
      </c>
      <c r="I8" s="20"/>
      <c r="J8" s="20"/>
      <c r="K8" s="20"/>
      <c r="M8" s="18" t="s">
        <v>59</v>
      </c>
      <c r="N8" s="19" t="str">
        <f t="shared" si="1"/>
        <v>••</v>
      </c>
      <c r="O8" s="18" t="str">
        <f t="shared" si="2"/>
        <v>••</v>
      </c>
      <c r="P8" s="18">
        <f t="shared" si="3"/>
        <v>4</v>
      </c>
      <c r="Q8" s="18">
        <f t="shared" si="4"/>
        <v>0</v>
      </c>
      <c r="R8" s="20" t="s">
        <v>89</v>
      </c>
      <c r="S8" s="20" t="s">
        <v>89</v>
      </c>
      <c r="T8" s="20"/>
      <c r="U8" s="20"/>
      <c r="V8" s="20"/>
      <c r="Y8" s="3" t="s">
        <v>15</v>
      </c>
      <c r="Z8" s="3" t="s">
        <v>16</v>
      </c>
      <c r="AA8" s="31" t="s">
        <v>17</v>
      </c>
      <c r="AB8" s="31"/>
    </row>
    <row r="9" spans="2:30" x14ac:dyDescent="0.3">
      <c r="B9" s="21" t="s">
        <v>29</v>
      </c>
      <c r="C9" s="19" t="str">
        <f>REPT("•",COUNTIF($G9:$L9,"•"))</f>
        <v>••••</v>
      </c>
      <c r="D9" s="18" t="str">
        <f>C9&amp;REPT("•",COUNTIF($G9:$L9,"@"))</f>
        <v>••••</v>
      </c>
      <c r="E9" s="18">
        <f t="shared" si="7"/>
        <v>16</v>
      </c>
      <c r="F9" s="18">
        <f t="shared" si="8"/>
        <v>0</v>
      </c>
      <c r="G9" s="20" t="s">
        <v>89</v>
      </c>
      <c r="H9" s="20" t="s">
        <v>89</v>
      </c>
      <c r="I9" s="20" t="s">
        <v>89</v>
      </c>
      <c r="J9" s="20" t="s">
        <v>89</v>
      </c>
      <c r="K9" s="20"/>
      <c r="M9" s="18" t="s">
        <v>60</v>
      </c>
      <c r="N9" s="19" t="str">
        <f t="shared" si="1"/>
        <v/>
      </c>
      <c r="O9" s="18" t="str">
        <f t="shared" si="2"/>
        <v/>
      </c>
      <c r="P9" s="18">
        <f t="shared" si="3"/>
        <v>3</v>
      </c>
      <c r="Q9" s="18">
        <f t="shared" si="4"/>
        <v>0</v>
      </c>
      <c r="R9" s="20"/>
      <c r="S9" s="20"/>
      <c r="T9" s="20"/>
      <c r="U9" s="20"/>
      <c r="V9" s="20"/>
    </row>
    <row r="10" spans="2:30" x14ac:dyDescent="0.3">
      <c r="B10" s="15" t="s">
        <v>30</v>
      </c>
      <c r="C10" s="16"/>
      <c r="D10" s="15"/>
      <c r="E10" s="15"/>
      <c r="F10" s="15"/>
      <c r="G10" s="17"/>
      <c r="H10" s="17"/>
      <c r="I10" s="17"/>
      <c r="J10" s="17"/>
      <c r="K10" s="17"/>
      <c r="M10" s="18" t="s">
        <v>61</v>
      </c>
      <c r="N10" s="19" t="str">
        <f t="shared" si="1"/>
        <v>•</v>
      </c>
      <c r="O10" s="18" t="str">
        <f t="shared" si="2"/>
        <v>•</v>
      </c>
      <c r="P10" s="18">
        <f t="shared" si="3"/>
        <v>2</v>
      </c>
      <c r="Q10" s="18">
        <f t="shared" si="4"/>
        <v>0</v>
      </c>
      <c r="R10" s="20" t="s">
        <v>89</v>
      </c>
      <c r="S10" s="20"/>
      <c r="T10" s="20"/>
      <c r="U10" s="20"/>
      <c r="V10" s="20"/>
      <c r="W10" s="1"/>
      <c r="Y10" s="1" t="s">
        <v>18</v>
      </c>
      <c r="Z10" s="1" t="s">
        <v>19</v>
      </c>
      <c r="AA10" s="29" t="s">
        <v>95</v>
      </c>
      <c r="AB10" s="28" t="s">
        <v>103</v>
      </c>
      <c r="AC10" s="30" t="s">
        <v>108</v>
      </c>
      <c r="AD10" s="1" t="s">
        <v>107</v>
      </c>
    </row>
    <row r="11" spans="2:30" x14ac:dyDescent="0.3">
      <c r="B11" s="21" t="s">
        <v>31</v>
      </c>
      <c r="C11" s="19" t="str">
        <f>REPT("•",COUNTIF($G11:$L11,"•"))</f>
        <v>••••</v>
      </c>
      <c r="D11" s="18" t="str">
        <f>C11&amp;REPT("•",COUNTIF($G11:$L11,"@"))</f>
        <v>••••</v>
      </c>
      <c r="E11" s="18">
        <f>LEN(C11)*4</f>
        <v>16</v>
      </c>
      <c r="F11" s="18">
        <f>IF(D11=C11,0,E11)</f>
        <v>0</v>
      </c>
      <c r="G11" s="20" t="s">
        <v>89</v>
      </c>
      <c r="H11" s="20" t="s">
        <v>89</v>
      </c>
      <c r="I11" s="20" t="s">
        <v>89</v>
      </c>
      <c r="J11" s="20" t="s">
        <v>89</v>
      </c>
      <c r="K11" s="20"/>
      <c r="M11" s="18" t="s">
        <v>62</v>
      </c>
      <c r="N11" s="19" t="str">
        <f t="shared" si="1"/>
        <v/>
      </c>
      <c r="O11" s="18" t="str">
        <f t="shared" si="2"/>
        <v/>
      </c>
      <c r="P11" s="18">
        <f t="shared" si="3"/>
        <v>3</v>
      </c>
      <c r="Q11" s="18">
        <f t="shared" si="4"/>
        <v>0</v>
      </c>
      <c r="R11" s="20"/>
      <c r="S11" s="20"/>
      <c r="T11" s="20"/>
      <c r="U11" s="20"/>
      <c r="V11" s="20"/>
      <c r="W11" s="10"/>
      <c r="Y11" s="2" t="s">
        <v>0</v>
      </c>
      <c r="Z11" s="10">
        <v>0</v>
      </c>
      <c r="AA11" s="10">
        <v>0</v>
      </c>
      <c r="AB11" s="10">
        <v>0</v>
      </c>
      <c r="AC11" s="10">
        <f>SUM(F3:F13)</f>
        <v>8</v>
      </c>
      <c r="AD11" s="10">
        <f>SUM(F3:F13)</f>
        <v>8</v>
      </c>
    </row>
    <row r="12" spans="2:30" x14ac:dyDescent="0.3">
      <c r="B12" s="18" t="s">
        <v>32</v>
      </c>
      <c r="C12" s="19" t="str">
        <f>REPT("•",COUNTIF($G12:$L12,"•"))</f>
        <v>•••</v>
      </c>
      <c r="D12" s="18" t="str">
        <f>C12&amp;REPT("•",COUNTIF($G12:$L12,"@"))</f>
        <v>•••</v>
      </c>
      <c r="E12" s="18">
        <f t="shared" ref="E12:E13" si="9">LEN(C12)*4</f>
        <v>12</v>
      </c>
      <c r="F12" s="18">
        <f t="shared" ref="F12:F13" si="10">IF(D12=C12,0,E12)</f>
        <v>0</v>
      </c>
      <c r="G12" s="20" t="s">
        <v>89</v>
      </c>
      <c r="H12" s="20" t="s">
        <v>89</v>
      </c>
      <c r="I12" s="20" t="s">
        <v>89</v>
      </c>
      <c r="J12" s="20"/>
      <c r="K12" s="20"/>
      <c r="M12" s="18" t="s">
        <v>63</v>
      </c>
      <c r="N12" s="19" t="str">
        <f t="shared" si="1"/>
        <v>••</v>
      </c>
      <c r="O12" s="18" t="str">
        <f t="shared" si="2"/>
        <v>••</v>
      </c>
      <c r="P12" s="18">
        <f t="shared" si="3"/>
        <v>4</v>
      </c>
      <c r="Q12" s="18">
        <f t="shared" si="4"/>
        <v>0</v>
      </c>
      <c r="R12" s="20" t="s">
        <v>89</v>
      </c>
      <c r="S12" s="27" t="s">
        <v>89</v>
      </c>
      <c r="T12" s="20"/>
      <c r="U12" s="20"/>
      <c r="V12" s="20"/>
      <c r="W12" s="10"/>
      <c r="Y12" s="2" t="s">
        <v>3</v>
      </c>
      <c r="Z12" s="10">
        <v>7</v>
      </c>
      <c r="AA12" s="10">
        <v>0</v>
      </c>
      <c r="AB12" s="10">
        <v>0</v>
      </c>
      <c r="AC12" s="10">
        <f>SUM(F15:F23)</f>
        <v>26</v>
      </c>
      <c r="AD12" s="10">
        <f>SUM(F15:F23)</f>
        <v>26</v>
      </c>
    </row>
    <row r="13" spans="2:30" x14ac:dyDescent="0.3">
      <c r="B13" s="18" t="s">
        <v>33</v>
      </c>
      <c r="C13" s="19" t="str">
        <f>REPT("•",COUNTIF($G13:$L13,"•"))</f>
        <v>•••</v>
      </c>
      <c r="D13" s="18" t="str">
        <f>C13&amp;REPT("•",COUNTIF($G13:$L13,"@"))</f>
        <v>•••</v>
      </c>
      <c r="E13" s="18">
        <f t="shared" si="9"/>
        <v>12</v>
      </c>
      <c r="F13" s="18">
        <f t="shared" si="10"/>
        <v>0</v>
      </c>
      <c r="G13" s="20" t="s">
        <v>89</v>
      </c>
      <c r="H13" s="20" t="s">
        <v>89</v>
      </c>
      <c r="I13" s="20" t="s">
        <v>89</v>
      </c>
      <c r="J13" s="20"/>
      <c r="K13" s="20"/>
      <c r="M13" s="15" t="s">
        <v>64</v>
      </c>
      <c r="N13" s="16"/>
      <c r="O13" s="15"/>
      <c r="P13" s="15"/>
      <c r="Q13" s="15"/>
      <c r="R13" s="17"/>
      <c r="S13" s="17"/>
      <c r="T13" s="17"/>
      <c r="U13" s="17"/>
      <c r="V13" s="17"/>
      <c r="W13" s="10"/>
      <c r="Y13" s="2" t="s">
        <v>6</v>
      </c>
      <c r="Z13" s="10">
        <v>8</v>
      </c>
      <c r="AA13" s="10">
        <v>0</v>
      </c>
      <c r="AB13" s="10">
        <v>0</v>
      </c>
      <c r="AC13" s="10">
        <f>SUM(F25)</f>
        <v>0</v>
      </c>
      <c r="AD13" s="10">
        <f>SUM(F25)</f>
        <v>0</v>
      </c>
    </row>
    <row r="14" spans="2:30" x14ac:dyDescent="0.3">
      <c r="B14" s="12" t="s">
        <v>34</v>
      </c>
      <c r="C14" s="22"/>
      <c r="D14" s="12"/>
      <c r="E14" s="12"/>
      <c r="F14" s="26"/>
      <c r="G14" s="13"/>
      <c r="H14" s="13"/>
      <c r="I14" s="13"/>
      <c r="J14" s="13"/>
      <c r="K14" s="13"/>
      <c r="M14" s="18" t="s">
        <v>65</v>
      </c>
      <c r="N14" s="19" t="str">
        <f t="shared" ref="N14:N23" si="11">REPT("•",COUNTIF($R14:$X14,"•"))</f>
        <v>•</v>
      </c>
      <c r="O14" s="18" t="str">
        <f t="shared" ref="O14:O23" si="12">N14&amp;REPT("•",COUNTIF($R14:$X14,"@"))</f>
        <v>•</v>
      </c>
      <c r="P14" s="18">
        <f t="shared" si="3"/>
        <v>2</v>
      </c>
      <c r="Q14" s="18">
        <f t="shared" ref="Q14:Q23" si="13">IF(N14=O14,0,VLOOKUP("_"&amp;LEN(N14)&amp;LEN(O14),skillblock,4,0))</f>
        <v>0</v>
      </c>
      <c r="R14" s="20" t="s">
        <v>89</v>
      </c>
      <c r="S14" s="20"/>
      <c r="T14" s="20"/>
      <c r="U14" s="20"/>
      <c r="V14" s="20"/>
      <c r="W14" s="10"/>
      <c r="Y14" s="2" t="s">
        <v>8</v>
      </c>
      <c r="Z14" s="10">
        <v>1</v>
      </c>
      <c r="AA14" s="10">
        <v>0</v>
      </c>
      <c r="AB14" s="10">
        <v>0</v>
      </c>
      <c r="AC14" s="10">
        <f>SUM(F26)</f>
        <v>0</v>
      </c>
      <c r="AD14" s="10">
        <f>SUM(F26)</f>
        <v>0</v>
      </c>
    </row>
    <row r="15" spans="2:30" x14ac:dyDescent="0.3">
      <c r="B15" s="21" t="s">
        <v>35</v>
      </c>
      <c r="C15" s="19" t="str">
        <f t="shared" ref="C15:C23" si="14">REPT("•",COUNTIF($G15:$L15,"•"))</f>
        <v>••</v>
      </c>
      <c r="D15" s="18" t="str">
        <f>C15&amp;REPT("•",COUNTIF($G15:$L15,"@"))</f>
        <v>•••</v>
      </c>
      <c r="E15" s="18">
        <f>IF(LEN(C15)=0,10,IF(B15="Энтропия",7,8)*LEN(C15))</f>
        <v>16</v>
      </c>
      <c r="F15" s="18">
        <f t="shared" ref="F15:F23" si="15">IF(D15=C15,0,E15)</f>
        <v>16</v>
      </c>
      <c r="G15" s="20" t="s">
        <v>89</v>
      </c>
      <c r="H15" s="20" t="s">
        <v>89</v>
      </c>
      <c r="I15" s="20" t="s">
        <v>88</v>
      </c>
      <c r="J15" s="20"/>
      <c r="K15" s="20"/>
      <c r="M15" s="18" t="s">
        <v>66</v>
      </c>
      <c r="N15" s="19" t="str">
        <f t="shared" si="11"/>
        <v>•</v>
      </c>
      <c r="O15" s="18" t="str">
        <f t="shared" si="12"/>
        <v>•</v>
      </c>
      <c r="P15" s="18">
        <f t="shared" si="3"/>
        <v>2</v>
      </c>
      <c r="Q15" s="18">
        <f t="shared" si="13"/>
        <v>0</v>
      </c>
      <c r="R15" s="20" t="s">
        <v>89</v>
      </c>
      <c r="S15" s="20"/>
      <c r="T15" s="20"/>
      <c r="U15" s="20"/>
      <c r="V15" s="20"/>
      <c r="W15" s="10"/>
      <c r="Y15" s="2" t="s">
        <v>11</v>
      </c>
      <c r="Z15" s="10">
        <v>0</v>
      </c>
      <c r="AA15" s="10">
        <v>0</v>
      </c>
      <c r="AB15" s="10">
        <v>0</v>
      </c>
      <c r="AC15" s="10">
        <f>SUM(F27)</f>
        <v>0</v>
      </c>
      <c r="AD15" s="10">
        <f>SUM(F27)</f>
        <v>0</v>
      </c>
    </row>
    <row r="16" spans="2:30" ht="17.7" x14ac:dyDescent="0.35">
      <c r="B16" s="23" t="s">
        <v>36</v>
      </c>
      <c r="C16" s="19" t="str">
        <f t="shared" si="14"/>
        <v>••</v>
      </c>
      <c r="D16" s="18" t="str">
        <f t="shared" ref="D16:D23" si="16">C16&amp;REPT("•",COUNTIF($G16:$L16,"@"))</f>
        <v>••</v>
      </c>
      <c r="E16" s="18">
        <f t="shared" ref="E16:E23" si="17">IF(LEN(C16)=0,10,IF(B16="Энтропия",7,8)*LEN(C16))</f>
        <v>14</v>
      </c>
      <c r="F16" s="18">
        <f t="shared" si="15"/>
        <v>0</v>
      </c>
      <c r="G16" s="20" t="s">
        <v>89</v>
      </c>
      <c r="H16" s="20" t="s">
        <v>89</v>
      </c>
      <c r="I16" s="20"/>
      <c r="J16" s="20"/>
      <c r="K16" s="20"/>
      <c r="M16" s="18" t="s">
        <v>67</v>
      </c>
      <c r="N16" s="19" t="str">
        <f t="shared" si="11"/>
        <v>••</v>
      </c>
      <c r="O16" s="18" t="str">
        <f t="shared" si="12"/>
        <v>••</v>
      </c>
      <c r="P16" s="18">
        <f t="shared" si="3"/>
        <v>4</v>
      </c>
      <c r="Q16" s="18">
        <f t="shared" si="13"/>
        <v>0</v>
      </c>
      <c r="R16" s="20" t="s">
        <v>89</v>
      </c>
      <c r="S16" s="20" t="s">
        <v>89</v>
      </c>
      <c r="T16" s="20"/>
      <c r="U16" s="20"/>
      <c r="V16" s="20"/>
      <c r="W16" s="10"/>
      <c r="Y16" s="2" t="s">
        <v>13</v>
      </c>
      <c r="Z16" s="10">
        <v>1</v>
      </c>
      <c r="AA16" s="10">
        <v>0</v>
      </c>
      <c r="AB16" s="10">
        <v>3</v>
      </c>
      <c r="AC16" s="10">
        <f>SUM(F30:F37)</f>
        <v>6</v>
      </c>
      <c r="AD16" s="10">
        <f>SUM(F30:F37)</f>
        <v>6</v>
      </c>
    </row>
    <row r="17" spans="2:30" x14ac:dyDescent="0.3">
      <c r="B17" s="18" t="s">
        <v>37</v>
      </c>
      <c r="C17" s="19" t="str">
        <f t="shared" si="14"/>
        <v/>
      </c>
      <c r="D17" s="18" t="str">
        <f t="shared" si="16"/>
        <v/>
      </c>
      <c r="E17" s="18">
        <f t="shared" si="17"/>
        <v>10</v>
      </c>
      <c r="F17" s="18">
        <f t="shared" si="15"/>
        <v>0</v>
      </c>
      <c r="G17" s="20"/>
      <c r="H17" s="20"/>
      <c r="I17" s="20"/>
      <c r="J17" s="20"/>
      <c r="K17" s="20"/>
      <c r="M17" s="18" t="s">
        <v>68</v>
      </c>
      <c r="N17" s="19" t="str">
        <f t="shared" si="11"/>
        <v/>
      </c>
      <c r="O17" s="18" t="str">
        <f t="shared" si="12"/>
        <v/>
      </c>
      <c r="P17" s="18">
        <f t="shared" si="3"/>
        <v>3</v>
      </c>
      <c r="Q17" s="18">
        <f t="shared" si="13"/>
        <v>0</v>
      </c>
      <c r="R17" s="20"/>
      <c r="S17" s="20"/>
      <c r="T17" s="20"/>
      <c r="U17" s="20"/>
      <c r="V17" s="20"/>
      <c r="W17" s="10"/>
      <c r="Y17" s="3" t="s">
        <v>15</v>
      </c>
      <c r="Z17" s="11">
        <v>0</v>
      </c>
      <c r="AA17" s="11">
        <v>4</v>
      </c>
      <c r="AB17" s="11">
        <v>24</v>
      </c>
      <c r="AC17" s="11">
        <f>SUM(Q3:Q45)</f>
        <v>6</v>
      </c>
      <c r="AD17" s="11">
        <f>SUM(Q3:Q45)</f>
        <v>6</v>
      </c>
    </row>
    <row r="18" spans="2:30" x14ac:dyDescent="0.3">
      <c r="B18" s="18" t="s">
        <v>38</v>
      </c>
      <c r="C18" s="19" t="str">
        <f t="shared" si="14"/>
        <v/>
      </c>
      <c r="D18" s="18" t="str">
        <f t="shared" si="16"/>
        <v/>
      </c>
      <c r="E18" s="18">
        <f t="shared" si="17"/>
        <v>10</v>
      </c>
      <c r="F18" s="18">
        <f t="shared" si="15"/>
        <v>0</v>
      </c>
      <c r="G18" s="20"/>
      <c r="H18" s="20"/>
      <c r="I18" s="20"/>
      <c r="J18" s="20"/>
      <c r="K18" s="20"/>
      <c r="M18" s="18" t="s">
        <v>69</v>
      </c>
      <c r="N18" s="19" t="str">
        <f t="shared" si="11"/>
        <v>••</v>
      </c>
      <c r="O18" s="18" t="str">
        <f t="shared" si="12"/>
        <v>••</v>
      </c>
      <c r="P18" s="18">
        <f t="shared" si="3"/>
        <v>4</v>
      </c>
      <c r="Q18" s="18">
        <f t="shared" si="13"/>
        <v>0</v>
      </c>
      <c r="R18" s="20" t="s">
        <v>89</v>
      </c>
      <c r="S18" s="17" t="s">
        <v>89</v>
      </c>
      <c r="T18" s="20"/>
      <c r="U18" s="20"/>
      <c r="V18" s="20"/>
      <c r="W18" s="10"/>
      <c r="Y18" s="10"/>
      <c r="Z18" s="10"/>
      <c r="AA18" s="10"/>
      <c r="AB18" s="10"/>
    </row>
    <row r="19" spans="2:30" x14ac:dyDescent="0.3">
      <c r="B19" s="18" t="s">
        <v>39</v>
      </c>
      <c r="C19" s="19" t="str">
        <f t="shared" si="14"/>
        <v/>
      </c>
      <c r="D19" s="18" t="str">
        <f t="shared" si="16"/>
        <v/>
      </c>
      <c r="E19" s="18">
        <f t="shared" si="17"/>
        <v>10</v>
      </c>
      <c r="F19" s="18">
        <f t="shared" si="15"/>
        <v>0</v>
      </c>
      <c r="G19" s="20"/>
      <c r="H19" s="20"/>
      <c r="I19" s="20"/>
      <c r="J19" s="20"/>
      <c r="K19" s="20"/>
      <c r="M19" s="18" t="s">
        <v>70</v>
      </c>
      <c r="N19" s="19" t="str">
        <f t="shared" si="11"/>
        <v/>
      </c>
      <c r="O19" s="18" t="str">
        <f t="shared" si="12"/>
        <v/>
      </c>
      <c r="P19" s="18">
        <f t="shared" si="3"/>
        <v>3</v>
      </c>
      <c r="Q19" s="18">
        <f t="shared" si="13"/>
        <v>0</v>
      </c>
      <c r="R19" s="20"/>
      <c r="S19" s="20"/>
      <c r="T19" s="20"/>
      <c r="U19" s="20"/>
      <c r="V19" s="20"/>
      <c r="W19" s="10"/>
      <c r="Y19" s="2" t="s">
        <v>99</v>
      </c>
      <c r="Z19" s="10">
        <f>SUM(Z22,-Z23,Z24)</f>
        <v>17</v>
      </c>
      <c r="AA19" s="10">
        <v>4</v>
      </c>
      <c r="AB19" s="10">
        <f>27+19+11</f>
        <v>57</v>
      </c>
      <c r="AC19">
        <f>19+29+3</f>
        <v>51</v>
      </c>
      <c r="AD19">
        <f>19+29+3</f>
        <v>51</v>
      </c>
    </row>
    <row r="20" spans="2:30" x14ac:dyDescent="0.3">
      <c r="B20" s="18" t="s">
        <v>40</v>
      </c>
      <c r="C20" s="19" t="str">
        <f t="shared" si="14"/>
        <v/>
      </c>
      <c r="D20" s="18" t="str">
        <f t="shared" si="16"/>
        <v>•</v>
      </c>
      <c r="E20" s="18">
        <f t="shared" si="17"/>
        <v>10</v>
      </c>
      <c r="F20" s="18">
        <f t="shared" si="15"/>
        <v>10</v>
      </c>
      <c r="G20" s="20" t="s">
        <v>88</v>
      </c>
      <c r="H20" s="20"/>
      <c r="I20" s="20"/>
      <c r="J20" s="20"/>
      <c r="K20" s="20"/>
      <c r="M20" s="18" t="s">
        <v>71</v>
      </c>
      <c r="N20" s="19" t="str">
        <f t="shared" si="11"/>
        <v/>
      </c>
      <c r="O20" s="18" t="str">
        <f t="shared" si="12"/>
        <v/>
      </c>
      <c r="P20" s="18">
        <f t="shared" si="3"/>
        <v>3</v>
      </c>
      <c r="Q20" s="18">
        <f t="shared" si="13"/>
        <v>0</v>
      </c>
      <c r="R20" s="20"/>
      <c r="S20" s="20"/>
      <c r="T20" s="20"/>
      <c r="U20" s="20"/>
      <c r="V20" s="20"/>
      <c r="W20" s="10"/>
      <c r="Y20" s="2" t="s">
        <v>100</v>
      </c>
      <c r="Z20" s="10">
        <f>SUM(Z11:Z17)</f>
        <v>17</v>
      </c>
      <c r="AA20" s="10">
        <f t="shared" ref="AA20:AC20" si="18">SUM(AA11:AA17)</f>
        <v>4</v>
      </c>
      <c r="AB20" s="10">
        <f t="shared" si="18"/>
        <v>27</v>
      </c>
      <c r="AC20" s="10">
        <f t="shared" si="18"/>
        <v>46</v>
      </c>
      <c r="AD20" s="10">
        <f t="shared" ref="AD20" si="19">SUM(AD11:AD17)</f>
        <v>46</v>
      </c>
    </row>
    <row r="21" spans="2:30" x14ac:dyDescent="0.3">
      <c r="B21" s="18" t="s">
        <v>41</v>
      </c>
      <c r="C21" s="19" t="str">
        <f t="shared" si="14"/>
        <v/>
      </c>
      <c r="D21" s="18" t="str">
        <f t="shared" si="16"/>
        <v/>
      </c>
      <c r="E21" s="18">
        <f t="shared" si="17"/>
        <v>10</v>
      </c>
      <c r="F21" s="18">
        <f t="shared" si="15"/>
        <v>0</v>
      </c>
      <c r="G21" s="20"/>
      <c r="H21" s="20"/>
      <c r="I21" s="20"/>
      <c r="J21" s="20"/>
      <c r="K21" s="20"/>
      <c r="M21" s="18" t="s">
        <v>72</v>
      </c>
      <c r="N21" s="19" t="str">
        <f t="shared" si="11"/>
        <v/>
      </c>
      <c r="O21" s="18" t="str">
        <f t="shared" si="12"/>
        <v/>
      </c>
      <c r="P21" s="18">
        <f t="shared" si="3"/>
        <v>3</v>
      </c>
      <c r="Q21" s="18">
        <f t="shared" si="13"/>
        <v>0</v>
      </c>
      <c r="R21" s="20"/>
      <c r="S21" s="20"/>
      <c r="T21" s="20"/>
      <c r="U21" s="20"/>
      <c r="V21" s="20"/>
      <c r="W21" s="10"/>
      <c r="Y21" s="10"/>
      <c r="Z21" s="10"/>
      <c r="AA21" s="10"/>
      <c r="AB21" s="10"/>
      <c r="AC21" s="10">
        <f>AC19-AC20</f>
        <v>5</v>
      </c>
      <c r="AD21" s="10">
        <f>AD19-AD20</f>
        <v>5</v>
      </c>
    </row>
    <row r="22" spans="2:30" x14ac:dyDescent="0.3">
      <c r="B22" s="18" t="s">
        <v>42</v>
      </c>
      <c r="C22" s="19" t="str">
        <f t="shared" si="14"/>
        <v/>
      </c>
      <c r="D22" s="18" t="str">
        <f t="shared" si="16"/>
        <v/>
      </c>
      <c r="E22" s="18">
        <f t="shared" si="17"/>
        <v>10</v>
      </c>
      <c r="F22" s="18">
        <f t="shared" si="15"/>
        <v>0</v>
      </c>
      <c r="G22" s="20"/>
      <c r="H22" s="20"/>
      <c r="I22" s="20"/>
      <c r="J22" s="20"/>
      <c r="K22" s="20"/>
      <c r="M22" s="18" t="s">
        <v>73</v>
      </c>
      <c r="N22" s="19" t="str">
        <f t="shared" si="11"/>
        <v/>
      </c>
      <c r="O22" s="18" t="str">
        <f t="shared" si="12"/>
        <v/>
      </c>
      <c r="P22" s="18">
        <f t="shared" si="3"/>
        <v>3</v>
      </c>
      <c r="Q22" s="18">
        <f t="shared" si="13"/>
        <v>0</v>
      </c>
      <c r="R22" s="20"/>
      <c r="S22" s="20"/>
      <c r="T22" s="20"/>
      <c r="U22" s="20"/>
      <c r="V22" s="20"/>
      <c r="W22" s="10"/>
      <c r="Y22" s="10" t="s">
        <v>96</v>
      </c>
      <c r="Z22" s="10">
        <v>15</v>
      </c>
      <c r="AA22" s="10"/>
      <c r="AB22" s="10"/>
    </row>
    <row r="23" spans="2:30" x14ac:dyDescent="0.3">
      <c r="B23" s="21" t="s">
        <v>43</v>
      </c>
      <c r="C23" s="19" t="str">
        <f t="shared" si="14"/>
        <v>•••</v>
      </c>
      <c r="D23" s="18" t="str">
        <f t="shared" si="16"/>
        <v>•••</v>
      </c>
      <c r="E23" s="18">
        <f t="shared" si="17"/>
        <v>24</v>
      </c>
      <c r="F23" s="18">
        <f t="shared" si="15"/>
        <v>0</v>
      </c>
      <c r="G23" s="20" t="s">
        <v>89</v>
      </c>
      <c r="H23" s="20" t="s">
        <v>89</v>
      </c>
      <c r="I23" s="20" t="s">
        <v>89</v>
      </c>
      <c r="J23" s="20"/>
      <c r="K23" s="20"/>
      <c r="M23" s="18" t="s">
        <v>74</v>
      </c>
      <c r="N23" s="19" t="str">
        <f t="shared" si="11"/>
        <v/>
      </c>
      <c r="O23" s="18" t="str">
        <f t="shared" si="12"/>
        <v/>
      </c>
      <c r="P23" s="18">
        <f t="shared" si="3"/>
        <v>3</v>
      </c>
      <c r="Q23" s="18">
        <f t="shared" si="13"/>
        <v>0</v>
      </c>
      <c r="R23" s="20"/>
      <c r="S23" s="20"/>
      <c r="T23" s="20"/>
      <c r="U23" s="20"/>
      <c r="V23" s="20"/>
      <c r="W23" s="10"/>
      <c r="Y23" s="10" t="s">
        <v>97</v>
      </c>
      <c r="Z23" s="10">
        <v>4</v>
      </c>
      <c r="AA23" s="10"/>
      <c r="AB23" s="10"/>
    </row>
    <row r="24" spans="2:30" x14ac:dyDescent="0.3">
      <c r="B24" s="12" t="s">
        <v>44</v>
      </c>
      <c r="C24" s="22"/>
      <c r="D24" s="12"/>
      <c r="E24" s="12"/>
      <c r="F24" s="26"/>
      <c r="G24" s="13"/>
      <c r="H24" s="13"/>
      <c r="I24" s="13"/>
      <c r="J24" s="13"/>
      <c r="K24" s="13"/>
      <c r="M24" s="15" t="s">
        <v>75</v>
      </c>
      <c r="N24" s="16"/>
      <c r="O24" s="15"/>
      <c r="P24" s="15"/>
      <c r="Q24" s="15"/>
      <c r="R24" s="17"/>
      <c r="S24" s="17"/>
      <c r="T24" s="17"/>
      <c r="U24" s="17"/>
      <c r="V24" s="17"/>
      <c r="W24" s="10"/>
      <c r="Y24" s="10" t="s">
        <v>98</v>
      </c>
      <c r="Z24" s="10">
        <v>6</v>
      </c>
      <c r="AA24" s="10"/>
      <c r="AB24" s="10"/>
    </row>
    <row r="25" spans="2:30" x14ac:dyDescent="0.3">
      <c r="B25" s="18" t="s">
        <v>6</v>
      </c>
      <c r="C25" s="19" t="str">
        <f>REPT("•",COUNTIF($G25:$L25,"•"))</f>
        <v>•••</v>
      </c>
      <c r="D25" s="18" t="str">
        <f>C25&amp;REPT("•",COUNTIF($G25:$L25,"@"))</f>
        <v>•••</v>
      </c>
      <c r="E25" s="18">
        <f>LEN(C25)*8</f>
        <v>24</v>
      </c>
      <c r="F25" s="18">
        <f>IF(D25=C25,0,E25)</f>
        <v>0</v>
      </c>
      <c r="G25" s="20" t="s">
        <v>89</v>
      </c>
      <c r="H25" s="20" t="s">
        <v>89</v>
      </c>
      <c r="I25" s="20" t="s">
        <v>89</v>
      </c>
      <c r="J25" s="20"/>
      <c r="K25" s="20"/>
      <c r="M25" s="18" t="s">
        <v>76</v>
      </c>
      <c r="N25" s="19" t="str">
        <f t="shared" ref="N25:N34" si="20">REPT("•",COUNTIF($R25:$X25,"•"))</f>
        <v>•</v>
      </c>
      <c r="O25" s="18" t="str">
        <f t="shared" ref="O25:O34" si="21">N25&amp;REPT("•",COUNTIF($R25:$X25,"@"))</f>
        <v>•</v>
      </c>
      <c r="P25" s="18">
        <f t="shared" si="3"/>
        <v>2</v>
      </c>
      <c r="Q25" s="18">
        <f t="shared" ref="Q25:Q36" si="22">IF(N25=O25,0,VLOOKUP("_"&amp;LEN(N25)&amp;LEN(O25),skillblock,4,0))</f>
        <v>0</v>
      </c>
      <c r="R25" s="20" t="s">
        <v>89</v>
      </c>
      <c r="S25" s="20"/>
      <c r="T25" s="20"/>
      <c r="U25" s="20"/>
      <c r="V25" s="20"/>
    </row>
    <row r="26" spans="2:30" x14ac:dyDescent="0.3">
      <c r="B26" s="18" t="s">
        <v>45</v>
      </c>
      <c r="C26" s="19" t="str">
        <f>REPT("•",COUNTIF($G26:$L26,"•"))</f>
        <v>••••••</v>
      </c>
      <c r="D26" s="18" t="str">
        <f>C26&amp;REPT("•",COUNTIF($G26:$L26,"@"))</f>
        <v>••••••</v>
      </c>
      <c r="E26" s="18">
        <f>LEN(C26)</f>
        <v>6</v>
      </c>
      <c r="F26" s="18">
        <f t="shared" ref="F26:F27" si="23">IF(D26=C26,0,E26)</f>
        <v>0</v>
      </c>
      <c r="G26" s="20" t="s">
        <v>89</v>
      </c>
      <c r="H26" s="20" t="s">
        <v>89</v>
      </c>
      <c r="I26" s="20" t="s">
        <v>89</v>
      </c>
      <c r="J26" s="20" t="s">
        <v>89</v>
      </c>
      <c r="K26" s="20" t="s">
        <v>89</v>
      </c>
      <c r="L26" s="20" t="s">
        <v>89</v>
      </c>
      <c r="M26" s="18" t="s">
        <v>77</v>
      </c>
      <c r="N26" s="19" t="str">
        <f t="shared" si="20"/>
        <v>••</v>
      </c>
      <c r="O26" s="18" t="str">
        <f t="shared" si="21"/>
        <v>••</v>
      </c>
      <c r="P26" s="18">
        <f t="shared" si="3"/>
        <v>4</v>
      </c>
      <c r="Q26" s="18">
        <f t="shared" si="22"/>
        <v>0</v>
      </c>
      <c r="R26" s="20" t="s">
        <v>89</v>
      </c>
      <c r="S26" s="20" t="s">
        <v>89</v>
      </c>
      <c r="T26" s="20"/>
      <c r="U26" s="20"/>
      <c r="V26" s="20"/>
      <c r="Y26" s="2" t="s">
        <v>91</v>
      </c>
      <c r="Z26" s="2" t="s">
        <v>92</v>
      </c>
      <c r="AA26" t="s">
        <v>93</v>
      </c>
      <c r="AC26" t="s">
        <v>106</v>
      </c>
    </row>
    <row r="27" spans="2:30" x14ac:dyDescent="0.3">
      <c r="B27" s="18" t="s">
        <v>11</v>
      </c>
      <c r="C27" s="19" t="str">
        <f>REPT("•",COUNTIF($G27:$L27,"•"))</f>
        <v>••</v>
      </c>
      <c r="D27" s="18" t="str">
        <f>C27&amp;REPT("•",COUNTIF($G27:$L27,"@"))</f>
        <v>••</v>
      </c>
      <c r="E27" s="18">
        <v>0</v>
      </c>
      <c r="F27" s="18">
        <f t="shared" si="23"/>
        <v>0</v>
      </c>
      <c r="G27" s="20" t="s">
        <v>89</v>
      </c>
      <c r="H27" s="20" t="s">
        <v>89</v>
      </c>
      <c r="I27" s="20"/>
      <c r="J27" s="20"/>
      <c r="K27" s="20"/>
      <c r="M27" s="18" t="s">
        <v>78</v>
      </c>
      <c r="N27" s="19" t="str">
        <f t="shared" si="20"/>
        <v>•</v>
      </c>
      <c r="O27" s="18" t="str">
        <f t="shared" si="21"/>
        <v>•</v>
      </c>
      <c r="P27" s="18">
        <f t="shared" si="3"/>
        <v>2</v>
      </c>
      <c r="Q27" s="18">
        <f t="shared" si="22"/>
        <v>0</v>
      </c>
      <c r="R27" s="20" t="s">
        <v>89</v>
      </c>
      <c r="S27" s="20"/>
      <c r="T27" s="20"/>
      <c r="U27" s="20"/>
      <c r="V27" s="20"/>
      <c r="X27" t="str">
        <f>"_"&amp;Y27&amp;Z27</f>
        <v>_01</v>
      </c>
      <c r="Y27">
        <v>0</v>
      </c>
      <c r="Z27">
        <v>1</v>
      </c>
      <c r="AA27" s="4">
        <v>3</v>
      </c>
    </row>
    <row r="28" spans="2:30" x14ac:dyDescent="0.3">
      <c r="B28" s="18"/>
      <c r="C28" s="19"/>
      <c r="D28" s="18"/>
      <c r="E28" s="18"/>
      <c r="F28" s="18"/>
      <c r="G28" s="20"/>
      <c r="H28" s="20"/>
      <c r="I28" s="20"/>
      <c r="J28" s="20"/>
      <c r="K28" s="20"/>
      <c r="M28" s="18" t="s">
        <v>79</v>
      </c>
      <c r="N28" s="19" t="str">
        <f t="shared" si="20"/>
        <v>•••</v>
      </c>
      <c r="O28" s="18" t="str">
        <f t="shared" si="21"/>
        <v>•••</v>
      </c>
      <c r="P28" s="18">
        <f t="shared" si="3"/>
        <v>6</v>
      </c>
      <c r="Q28" s="18">
        <f t="shared" si="22"/>
        <v>0</v>
      </c>
      <c r="R28" s="20" t="s">
        <v>89</v>
      </c>
      <c r="S28" s="20" t="s">
        <v>89</v>
      </c>
      <c r="T28" s="20" t="s">
        <v>89</v>
      </c>
      <c r="U28" s="20"/>
      <c r="V28" s="20"/>
      <c r="X28" t="str">
        <f t="shared" ref="X28:X41" si="24">"_"&amp;Y28&amp;Z28</f>
        <v>_02</v>
      </c>
      <c r="Y28">
        <v>0</v>
      </c>
      <c r="Z28">
        <v>2</v>
      </c>
      <c r="AA28" s="5">
        <f>3+(Z28-Y28)*(Z28+Y28-1)</f>
        <v>5</v>
      </c>
    </row>
    <row r="29" spans="2:30" x14ac:dyDescent="0.3">
      <c r="B29" s="12" t="s">
        <v>46</v>
      </c>
      <c r="C29" s="22"/>
      <c r="D29" s="12"/>
      <c r="E29" s="12"/>
      <c r="F29" s="26"/>
      <c r="G29" s="13"/>
      <c r="H29" s="13"/>
      <c r="I29" s="13"/>
      <c r="J29" s="13"/>
      <c r="K29" s="13"/>
      <c r="M29" s="18" t="s">
        <v>80</v>
      </c>
      <c r="N29" s="19" t="str">
        <f t="shared" si="20"/>
        <v>••</v>
      </c>
      <c r="O29" s="18" t="str">
        <f t="shared" si="21"/>
        <v>••</v>
      </c>
      <c r="P29" s="18">
        <f t="shared" si="3"/>
        <v>4</v>
      </c>
      <c r="Q29" s="18">
        <f t="shared" si="22"/>
        <v>0</v>
      </c>
      <c r="R29" s="27" t="s">
        <v>89</v>
      </c>
      <c r="S29" s="27" t="s">
        <v>89</v>
      </c>
      <c r="T29" s="20"/>
      <c r="U29" s="20"/>
      <c r="V29" s="20"/>
      <c r="X29" t="str">
        <f t="shared" si="24"/>
        <v>_03</v>
      </c>
      <c r="Y29">
        <v>0</v>
      </c>
      <c r="Z29">
        <v>3</v>
      </c>
      <c r="AA29" s="5">
        <f>3+(Z29-Y29)*(Z29+Y29-1)</f>
        <v>9</v>
      </c>
    </row>
    <row r="30" spans="2:30" x14ac:dyDescent="0.3">
      <c r="B30" s="18" t="s">
        <v>47</v>
      </c>
      <c r="C30" s="19" t="str">
        <f>REPT("•",COUNTIF($G30:$L30,"•"))</f>
        <v>••</v>
      </c>
      <c r="D30" s="18" t="str">
        <f>C30&amp;REPT("•",COUNTIF($G30:$L30,"@"))</f>
        <v>••</v>
      </c>
      <c r="E30" s="18">
        <f>LEN(C30)*3</f>
        <v>6</v>
      </c>
      <c r="F30" s="18">
        <f>IF(D30=C30,0,E30)</f>
        <v>0</v>
      </c>
      <c r="G30" s="20" t="s">
        <v>89</v>
      </c>
      <c r="H30" s="20" t="s">
        <v>89</v>
      </c>
      <c r="I30" s="20"/>
      <c r="J30" s="20"/>
      <c r="K30" s="20"/>
      <c r="M30" s="18" t="s">
        <v>81</v>
      </c>
      <c r="N30" s="19" t="str">
        <f t="shared" si="20"/>
        <v>••</v>
      </c>
      <c r="O30" s="18" t="str">
        <f t="shared" si="21"/>
        <v>••</v>
      </c>
      <c r="P30" s="18">
        <f t="shared" si="3"/>
        <v>4</v>
      </c>
      <c r="Q30" s="18">
        <f t="shared" si="22"/>
        <v>0</v>
      </c>
      <c r="R30" s="20" t="s">
        <v>89</v>
      </c>
      <c r="S30" s="27" t="s">
        <v>89</v>
      </c>
      <c r="T30" s="20"/>
      <c r="U30" s="20"/>
      <c r="V30" s="20"/>
      <c r="X30" t="str">
        <f t="shared" si="24"/>
        <v>_04</v>
      </c>
      <c r="Y30">
        <v>0</v>
      </c>
      <c r="Z30">
        <v>4</v>
      </c>
      <c r="AA30" s="5">
        <f>3+(Z30-Y30)*(Z30+Y30-1)</f>
        <v>15</v>
      </c>
    </row>
    <row r="31" spans="2:30" x14ac:dyDescent="0.3">
      <c r="B31" s="18" t="s">
        <v>48</v>
      </c>
      <c r="C31" s="19" t="str">
        <f>REPT("•",COUNTIF($G31:$L31,"•"))</f>
        <v>••</v>
      </c>
      <c r="D31" s="18" t="str">
        <f>C31&amp;REPT("•",COUNTIF($G31:$L31,"@"))</f>
        <v>•••</v>
      </c>
      <c r="E31" s="18">
        <f t="shared" ref="E31:E34" si="25">LEN(C31)*3</f>
        <v>6</v>
      </c>
      <c r="F31" s="18">
        <f t="shared" ref="F31:F36" si="26">IF(D31=C31,0,E31)</f>
        <v>6</v>
      </c>
      <c r="G31" s="20" t="s">
        <v>89</v>
      </c>
      <c r="H31" s="20" t="s">
        <v>89</v>
      </c>
      <c r="I31" s="20" t="s">
        <v>88</v>
      </c>
      <c r="J31" s="20"/>
      <c r="K31" s="20"/>
      <c r="M31" s="18" t="s">
        <v>82</v>
      </c>
      <c r="N31" s="19" t="str">
        <f t="shared" si="20"/>
        <v>••</v>
      </c>
      <c r="O31" s="18" t="str">
        <f t="shared" si="21"/>
        <v>•••</v>
      </c>
      <c r="P31" s="18">
        <f t="shared" si="3"/>
        <v>4</v>
      </c>
      <c r="Q31" s="18">
        <f t="shared" si="22"/>
        <v>4</v>
      </c>
      <c r="R31" s="20" t="s">
        <v>89</v>
      </c>
      <c r="S31" s="20" t="s">
        <v>89</v>
      </c>
      <c r="T31" s="20" t="s">
        <v>88</v>
      </c>
      <c r="U31" s="20"/>
      <c r="V31" s="20"/>
      <c r="X31" t="str">
        <f t="shared" si="24"/>
        <v>_05</v>
      </c>
      <c r="Y31">
        <v>0</v>
      </c>
      <c r="Z31">
        <v>5</v>
      </c>
      <c r="AA31" s="5">
        <f>3+(Z31-Y31)*(Z31+Y31-1)</f>
        <v>23</v>
      </c>
    </row>
    <row r="32" spans="2:30" x14ac:dyDescent="0.3">
      <c r="B32" s="18" t="s">
        <v>49</v>
      </c>
      <c r="C32" s="19" t="str">
        <f>REPT("•",COUNTIF($G32:$L32,"•"))</f>
        <v>••</v>
      </c>
      <c r="D32" s="18" t="str">
        <f>C32&amp;REPT("•",COUNTIF($G32:$L32,"@"))</f>
        <v>••</v>
      </c>
      <c r="E32" s="18">
        <f t="shared" si="25"/>
        <v>6</v>
      </c>
      <c r="F32" s="18">
        <f t="shared" si="26"/>
        <v>0</v>
      </c>
      <c r="G32" s="20" t="s">
        <v>89</v>
      </c>
      <c r="H32" s="20" t="s">
        <v>89</v>
      </c>
      <c r="I32" s="20"/>
      <c r="J32" s="20"/>
      <c r="K32" s="20"/>
      <c r="M32" s="18" t="s">
        <v>83</v>
      </c>
      <c r="N32" s="19" t="str">
        <f t="shared" si="20"/>
        <v/>
      </c>
      <c r="O32" s="18" t="str">
        <f t="shared" si="21"/>
        <v/>
      </c>
      <c r="P32" s="18">
        <f t="shared" si="3"/>
        <v>3</v>
      </c>
      <c r="Q32" s="18">
        <f t="shared" si="22"/>
        <v>0</v>
      </c>
      <c r="R32" s="20"/>
      <c r="S32" s="20"/>
      <c r="T32" s="20"/>
      <c r="U32" s="20"/>
      <c r="V32" s="20"/>
      <c r="X32" t="str">
        <f t="shared" si="24"/>
        <v>_12</v>
      </c>
      <c r="Y32">
        <v>1</v>
      </c>
      <c r="Z32">
        <v>2</v>
      </c>
      <c r="AA32" s="7">
        <f>(Z32-Y32)*(Z32+Y32-1)</f>
        <v>2</v>
      </c>
    </row>
    <row r="33" spans="2:27" x14ac:dyDescent="0.3">
      <c r="B33" s="18" t="s">
        <v>50</v>
      </c>
      <c r="C33" s="19" t="str">
        <f>REPT("•",COUNTIF($G33:$L33,"•"))</f>
        <v>•</v>
      </c>
      <c r="D33" s="18" t="str">
        <f>C33&amp;REPT("•",COUNTIF($G33:$L33,"@"))</f>
        <v>•</v>
      </c>
      <c r="E33" s="18">
        <f t="shared" si="25"/>
        <v>3</v>
      </c>
      <c r="F33" s="18">
        <f t="shared" si="26"/>
        <v>0</v>
      </c>
      <c r="G33" s="20" t="s">
        <v>89</v>
      </c>
      <c r="H33" s="20"/>
      <c r="I33" s="20"/>
      <c r="J33" s="20"/>
      <c r="K33" s="20"/>
      <c r="M33" s="18" t="s">
        <v>84</v>
      </c>
      <c r="N33" s="19" t="str">
        <f t="shared" si="20"/>
        <v>••</v>
      </c>
      <c r="O33" s="18" t="str">
        <f t="shared" si="21"/>
        <v>••</v>
      </c>
      <c r="P33" s="18">
        <f t="shared" si="3"/>
        <v>4</v>
      </c>
      <c r="Q33" s="18">
        <f t="shared" si="22"/>
        <v>0</v>
      </c>
      <c r="R33" s="20" t="s">
        <v>89</v>
      </c>
      <c r="S33" s="17" t="s">
        <v>89</v>
      </c>
      <c r="T33" s="20"/>
      <c r="U33" s="20"/>
      <c r="V33" s="20"/>
      <c r="X33" t="str">
        <f t="shared" si="24"/>
        <v>_13</v>
      </c>
      <c r="Y33">
        <v>1</v>
      </c>
      <c r="Z33">
        <v>3</v>
      </c>
      <c r="AA33" s="7">
        <f t="shared" ref="AA33:AA41" si="27">(Z33-Y33)*(Z33+Y33-1)</f>
        <v>6</v>
      </c>
    </row>
    <row r="34" spans="2:27" x14ac:dyDescent="0.3">
      <c r="B34" s="18" t="s">
        <v>51</v>
      </c>
      <c r="C34" s="19" t="str">
        <f>REPT("•",COUNTIF($G34:$L34,"•"))</f>
        <v>•</v>
      </c>
      <c r="D34" s="18" t="str">
        <f>C34&amp;REPT("•",COUNTIF($G34:$L34,"@"))</f>
        <v>•</v>
      </c>
      <c r="E34" s="18">
        <f t="shared" si="25"/>
        <v>3</v>
      </c>
      <c r="F34" s="18">
        <f t="shared" si="26"/>
        <v>0</v>
      </c>
      <c r="G34" s="20" t="s">
        <v>89</v>
      </c>
      <c r="H34" s="20"/>
      <c r="I34" s="20"/>
      <c r="J34" s="20"/>
      <c r="K34" s="20"/>
      <c r="M34" s="18" t="s">
        <v>85</v>
      </c>
      <c r="N34" s="19" t="str">
        <f t="shared" si="20"/>
        <v>••</v>
      </c>
      <c r="O34" s="18" t="str">
        <f t="shared" si="21"/>
        <v>••</v>
      </c>
      <c r="P34" s="18">
        <f t="shared" si="3"/>
        <v>4</v>
      </c>
      <c r="Q34" s="18">
        <f t="shared" si="22"/>
        <v>0</v>
      </c>
      <c r="R34" s="20" t="s">
        <v>89</v>
      </c>
      <c r="S34" s="20" t="s">
        <v>89</v>
      </c>
      <c r="T34" s="20"/>
      <c r="U34" s="20"/>
      <c r="V34" s="20"/>
      <c r="X34" t="str">
        <f t="shared" si="24"/>
        <v>_14</v>
      </c>
      <c r="Y34">
        <v>1</v>
      </c>
      <c r="Z34">
        <v>4</v>
      </c>
      <c r="AA34" s="7">
        <f t="shared" si="27"/>
        <v>12</v>
      </c>
    </row>
    <row r="35" spans="2:27" x14ac:dyDescent="0.3">
      <c r="B35" s="18"/>
      <c r="C35" s="19"/>
      <c r="D35" s="18"/>
      <c r="E35" s="18"/>
      <c r="F35" s="18">
        <f t="shared" si="26"/>
        <v>0</v>
      </c>
      <c r="G35" s="20"/>
      <c r="H35" s="20"/>
      <c r="I35" s="20"/>
      <c r="J35" s="20"/>
      <c r="K35" s="20"/>
      <c r="M35" s="15" t="s">
        <v>94</v>
      </c>
      <c r="N35" s="16"/>
      <c r="O35" s="15"/>
      <c r="P35" s="15"/>
      <c r="Q35" s="15"/>
      <c r="R35" s="17"/>
      <c r="S35" s="17"/>
      <c r="T35" s="17"/>
      <c r="U35" s="17"/>
      <c r="V35" s="17"/>
      <c r="X35" t="str">
        <f t="shared" si="24"/>
        <v>_15</v>
      </c>
      <c r="Y35">
        <v>1</v>
      </c>
      <c r="Z35">
        <v>5</v>
      </c>
      <c r="AA35" s="7">
        <f t="shared" si="27"/>
        <v>20</v>
      </c>
    </row>
    <row r="36" spans="2:27" x14ac:dyDescent="0.3">
      <c r="B36" s="14" t="s">
        <v>101</v>
      </c>
      <c r="C36" s="19" t="str">
        <f>REPT("•",COUNTIF($G36:$L36,"•"))</f>
        <v>•</v>
      </c>
      <c r="D36" s="18" t="str">
        <f>C36&amp;REPT("•",COUNTIF($G36:$L36,"@"))</f>
        <v>•</v>
      </c>
      <c r="E36" s="18">
        <f t="shared" ref="E36" si="28">LEN(C36)*3</f>
        <v>3</v>
      </c>
      <c r="F36" s="18">
        <f t="shared" si="26"/>
        <v>0</v>
      </c>
      <c r="G36" s="27" t="s">
        <v>89</v>
      </c>
      <c r="H36" s="20"/>
      <c r="I36" s="20"/>
      <c r="J36" s="20"/>
      <c r="K36" s="20"/>
      <c r="M36" s="18" t="s">
        <v>102</v>
      </c>
      <c r="N36" s="19" t="str">
        <f>REPT("•",COUNTIF($R36:$X36,"•"))</f>
        <v>••</v>
      </c>
      <c r="O36" s="18" t="str">
        <f>N36&amp;REPT("•",COUNTIF($R36:$W36,"@"))</f>
        <v>••</v>
      </c>
      <c r="P36" s="18">
        <f>IF(LEN(N36)=0,3,2*LEN(N36))</f>
        <v>4</v>
      </c>
      <c r="Q36" s="18">
        <f t="shared" si="22"/>
        <v>0</v>
      </c>
      <c r="R36" s="27" t="s">
        <v>89</v>
      </c>
      <c r="S36" s="27" t="s">
        <v>89</v>
      </c>
      <c r="T36" s="20"/>
      <c r="U36" s="20"/>
      <c r="V36" s="20"/>
      <c r="X36" t="str">
        <f t="shared" si="24"/>
        <v>_23</v>
      </c>
      <c r="Y36">
        <v>2</v>
      </c>
      <c r="Z36">
        <v>3</v>
      </c>
      <c r="AA36" s="8">
        <f t="shared" si="27"/>
        <v>4</v>
      </c>
    </row>
    <row r="37" spans="2:27" x14ac:dyDescent="0.3">
      <c r="M37" s="18" t="s">
        <v>109</v>
      </c>
      <c r="N37" s="19" t="str">
        <f>REPT("•",COUNTIF($R37:$X37,"•"))</f>
        <v>•</v>
      </c>
      <c r="O37" s="18" t="str">
        <f>N37&amp;REPT("•",COUNTIF($R37:$W37,"@"))</f>
        <v>••</v>
      </c>
      <c r="P37" s="18">
        <f t="shared" ref="P37" si="29">IF(LEN(N37)=0,3,2*LEN(N37))</f>
        <v>2</v>
      </c>
      <c r="Q37" s="18">
        <f>IF(N37=O37,0,VLOOKUP("_"&amp;LEN(N37)&amp;LEN(O37),skillblock,4,0))</f>
        <v>2</v>
      </c>
      <c r="R37" s="20" t="s">
        <v>89</v>
      </c>
      <c r="S37" s="20" t="s">
        <v>88</v>
      </c>
      <c r="T37" s="20"/>
      <c r="U37" s="20"/>
      <c r="V37" s="20"/>
      <c r="X37" t="str">
        <f t="shared" si="24"/>
        <v>_24</v>
      </c>
      <c r="Y37">
        <v>2</v>
      </c>
      <c r="Z37">
        <v>4</v>
      </c>
      <c r="AA37" s="8">
        <f t="shared" si="27"/>
        <v>10</v>
      </c>
    </row>
    <row r="38" spans="2:27" x14ac:dyDescent="0.3">
      <c r="X38" t="str">
        <f t="shared" si="24"/>
        <v>_25</v>
      </c>
      <c r="Y38">
        <v>2</v>
      </c>
      <c r="Z38">
        <v>5</v>
      </c>
      <c r="AA38" s="8">
        <f t="shared" si="27"/>
        <v>18</v>
      </c>
    </row>
    <row r="39" spans="2:27" x14ac:dyDescent="0.3">
      <c r="X39" t="str">
        <f t="shared" si="24"/>
        <v>_34</v>
      </c>
      <c r="Y39">
        <v>3</v>
      </c>
      <c r="Z39">
        <v>4</v>
      </c>
      <c r="AA39" s="9">
        <f t="shared" si="27"/>
        <v>6</v>
      </c>
    </row>
    <row r="40" spans="2:27" x14ac:dyDescent="0.3">
      <c r="X40" t="str">
        <f t="shared" si="24"/>
        <v>_35</v>
      </c>
      <c r="Y40">
        <v>3</v>
      </c>
      <c r="Z40">
        <v>5</v>
      </c>
      <c r="AA40" s="9">
        <f t="shared" si="27"/>
        <v>14</v>
      </c>
    </row>
    <row r="41" spans="2:27" x14ac:dyDescent="0.3">
      <c r="X41" t="str">
        <f t="shared" si="24"/>
        <v>_45</v>
      </c>
      <c r="Y41">
        <v>4</v>
      </c>
      <c r="Z41">
        <v>5</v>
      </c>
      <c r="AA41" s="6">
        <f t="shared" si="27"/>
        <v>8</v>
      </c>
    </row>
  </sheetData>
  <autoFilter ref="Y26:AA26" xr:uid="{58ED4DBB-4B9B-4D76-BD41-0582AD509625}">
    <sortState xmlns:xlrd2="http://schemas.microsoft.com/office/spreadsheetml/2017/richdata2" ref="Y27:AA31">
      <sortCondition ref="Y26"/>
    </sortState>
  </autoFilter>
  <mergeCells count="8">
    <mergeCell ref="AA7:AB7"/>
    <mergeCell ref="AA8:AB8"/>
    <mergeCell ref="AA1:AB1"/>
    <mergeCell ref="AA2:AB2"/>
    <mergeCell ref="AA3:AB3"/>
    <mergeCell ref="AA4:AB4"/>
    <mergeCell ref="AA5:AB5"/>
    <mergeCell ref="AA6:AB6"/>
  </mergeCells>
  <conditionalFormatting sqref="F3:F36">
    <cfRule type="cellIs" dxfId="5" priority="7" operator="equal">
      <formula>0</formula>
    </cfRule>
  </conditionalFormatting>
  <conditionalFormatting sqref="G3:L36">
    <cfRule type="cellIs" dxfId="4" priority="1" operator="equal">
      <formula>"@"</formula>
    </cfRule>
  </conditionalFormatting>
  <conditionalFormatting sqref="Q3:Q37">
    <cfRule type="cellIs" dxfId="3" priority="8" operator="equal">
      <formula>0</formula>
    </cfRule>
  </conditionalFormatting>
  <conditionalFormatting sqref="R37:S37">
    <cfRule type="cellIs" dxfId="2" priority="3" operator="equal">
      <formula>"@"</formula>
    </cfRule>
  </conditionalFormatting>
  <conditionalFormatting sqref="R3:W36">
    <cfRule type="cellIs" dxfId="1" priority="2" operator="equal">
      <formula>"@"</formula>
    </cfRule>
  </conditionalFormatting>
  <conditionalFormatting sqref="Z11:AD17">
    <cfRule type="cellIs" dxfId="0" priority="11" operator="not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skillblock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Ремизова</dc:creator>
  <cp:lastModifiedBy>Екатерина Ремизова</cp:lastModifiedBy>
  <dcterms:created xsi:type="dcterms:W3CDTF">2025-06-23T15:49:04Z</dcterms:created>
  <dcterms:modified xsi:type="dcterms:W3CDTF">2025-10-29T08:54:49Z</dcterms:modified>
</cp:coreProperties>
</file>